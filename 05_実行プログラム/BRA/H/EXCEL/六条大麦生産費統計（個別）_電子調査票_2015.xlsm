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drawings/drawing9.xml" ContentType="application/vnd.openxmlformats-officedocument.drawing+xml"/>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10.xml" ContentType="application/vnd.openxmlformats-officedocument.drawing+xml"/>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drawings/drawing11.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drawings/drawing15.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drawings/drawing16.xml" ContentType="application/vnd.openxmlformats-officedocument.drawing+xml"/>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drawings/drawing17.xml" ContentType="application/vnd.openxmlformats-officedocument.drawing+xml"/>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drawings/drawing18.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1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drawings/drawing20.xml" ContentType="application/vnd.openxmlformats-officedocument.drawing+xml"/>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2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AE6600E7-7A62-396C-DE95-9942FA9DD81E}"/>
  <workbookPr codeName="ThisWorkbook"/>
  <mc:AlternateContent xmlns:mc="http://schemas.openxmlformats.org/markup-compatibility/2006">
    <mc:Choice Requires="x15">
      <x15ac:absPath xmlns:x15ac="http://schemas.microsoft.com/office/spreadsheetml/2010/11/ac" url="\\100.83.187.164\0800_農生班\05 見直し\02 システム\01 令和元年体系\231225_関東照会（労働評価額がROUND関数抜け）\07_ROUND関数確認・修正（小麦（組織）、二条大麦、六条大麦、はだか麦、なたね）\04_調査票再提出（シート保護、最初に表示されるシートの修正）\"/>
    </mc:Choice>
  </mc:AlternateContent>
  <xr:revisionPtr revIDLastSave="0" documentId="13_ncr:1_{FB7C3E3E-2371-403C-8D01-2F54E7A0B901}" xr6:coauthVersionLast="47" xr6:coauthVersionMax="47" xr10:uidLastSave="{00000000-0000-0000-0000-000000000000}"/>
  <bookViews>
    <workbookView xWindow="-120" yWindow="-120" windowWidth="29040" windowHeight="15840" xr2:uid="{00000000-000D-0000-FFFF-FFFF00000000}"/>
  </bookViews>
  <sheets>
    <sheet name="指標部入力" sheetId="2" r:id="rId1"/>
    <sheet name="表紙_個別" sheetId="3" r:id="rId2"/>
    <sheet name="約束事項_麦類" sheetId="4" r:id="rId3"/>
    <sheet name="目次_個別_米以外" sheetId="5" r:id="rId4"/>
    <sheet name="【１】経営の概況①_個別" sheetId="6" r:id="rId5"/>
    <sheet name="【１】経営の概況③_個別_麦・大豆" sheetId="7" r:id="rId6"/>
    <sheet name="【２】生産物の販売等の状況①_麦類" sheetId="8" r:id="rId7"/>
    <sheet name="【２】生産物の販売等の状況③_個別_麦類" sheetId="9" r:id="rId8"/>
    <sheet name="栽培の特徴" sheetId="10" r:id="rId9"/>
    <sheet name="【３】１種苗費_米以外" sheetId="11" r:id="rId10"/>
    <sheet name="【３】２肥料費_米以外" sheetId="12" r:id="rId11"/>
    <sheet name="【３】３農業薬剤費_米以外" sheetId="13" r:id="rId12"/>
    <sheet name="【３】４光熱動力費・５諸材料費_米以外" sheetId="14" r:id="rId13"/>
    <sheet name="【３】６賃借料及び料金_米以外" sheetId="15" r:id="rId14"/>
    <sheet name="【４】物件税及び公課諸負担_米以外" sheetId="16" r:id="rId15"/>
    <sheet name="【５】土地改良及び水利費・【６】借入金_米以外" sheetId="17" r:id="rId16"/>
    <sheet name="【７】建物及び構築物" sheetId="18" r:id="rId17"/>
    <sheet name="【８】自動車" sheetId="19" r:id="rId18"/>
    <sheet name="【９】農業機械" sheetId="20" r:id="rId19"/>
    <sheet name="減価償却費" sheetId="21" r:id="rId20"/>
    <sheet name="【10】農具の購入費等" sheetId="22" r:id="rId21"/>
    <sheet name="【11】土地_１所有地_米・さとうきび以外" sheetId="23" r:id="rId22"/>
    <sheet name="【11】土地_２借入地_米・さとうきび以外" sheetId="24" r:id="rId23"/>
    <sheet name="【12】作業別労働時間①_個別" sheetId="25" r:id="rId24"/>
    <sheet name="任意項目" sheetId="26" r:id="rId25"/>
    <sheet name="リスト" sheetId="27" state="hidden" r:id="rId26"/>
  </sheets>
  <definedNames>
    <definedName name="[01]住宅">リスト!$AV$5:$AV$13</definedName>
    <definedName name="[01]電動機">リスト!$CF$20</definedName>
    <definedName name="[02]事務所">リスト!$AV$14:$AV$22</definedName>
    <definedName name="[02]発動機">リスト!$CF$21</definedName>
    <definedName name="[03]納屋・倉庫">リスト!$AV$23:$AV$31</definedName>
    <definedName name="[03]歩行用トラクター">リスト!$CF$22</definedName>
    <definedName name="[04]作業場">リスト!$AV$32:$AV$40</definedName>
    <definedName name="[04]乗用トラクター">リスト!$CF$5:$CF$7</definedName>
    <definedName name="[08]たい肥等散布機">リスト!$CF$23</definedName>
    <definedName name="[08]車庫">リスト!$AV$41:$AV$49</definedName>
    <definedName name="[09]肥料散布機">リスト!$CF$24</definedName>
    <definedName name="[1]貨物自動車">リスト!$BG$5:$BG$7</definedName>
    <definedName name="[10]総合は種機">リスト!$CF$25</definedName>
    <definedName name="[11]ライスセンター">リスト!$AV$50:$AV$58</definedName>
    <definedName name="[12]育苗ハウス">リスト!$AV$59:$AV$61</definedName>
    <definedName name="[12]電熱育苗機">リスト!$CF$26</definedName>
    <definedName name="[13]その他の建築物">リスト!$AV$62:$AV$70</definedName>
    <definedName name="[13]田植機">リスト!$CF$8:$CF$10</definedName>
    <definedName name="[14]移植機">リスト!$CF$27</definedName>
    <definedName name="[14]稲架">リスト!$AV$71:$AV$73</definedName>
    <definedName name="[15]コンクリートけい畔">リスト!$AV$74:$AV$75</definedName>
    <definedName name="[15]揚水ポンプ">リスト!$CF$28</definedName>
    <definedName name="[16]暗きょ排水施設">リスト!$AV$76:$AV$78</definedName>
    <definedName name="[16]中耕除草機">リスト!$CF$29</definedName>
    <definedName name="[17]客土">リスト!$AV$79</definedName>
    <definedName name="[17]動力噴霧機">リスト!$CF$30</definedName>
    <definedName name="[18]作業道">リスト!$AV$80</definedName>
    <definedName name="[18]動力散粉機">リスト!$CF$31</definedName>
    <definedName name="[19]バインダー">リスト!$CF$32</definedName>
    <definedName name="[19]用水路">リスト!$AV$81:$AV$82</definedName>
    <definedName name="[2]その他の自動車">リスト!$BG$8:$BG$10</definedName>
    <definedName name="[20]自脱型コンバイン">リスト!$CF$11:$CF$12</definedName>
    <definedName name="[21]普通型コンバイン">リスト!$CF$33</definedName>
    <definedName name="[22]そば収穫機">リスト!$CF$34</definedName>
    <definedName name="[23]大豆収穫機">リスト!$CF$35</definedName>
    <definedName name="[24]かんしょ収穫機">リスト!$CF$36</definedName>
    <definedName name="[25]たい肥盤">リスト!$AV$83:$AV$84</definedName>
    <definedName name="[25]ばれいしょ収穫機">リスト!$CF$37</definedName>
    <definedName name="[26]なたね収穫機">リスト!$CF$38</definedName>
    <definedName name="[27]てんさい収穫機">リスト!$CF$39</definedName>
    <definedName name="[28]さとうきび収穫機">リスト!$CF$40</definedName>
    <definedName name="[29]脱穀機">リスト!$CF$41</definedName>
    <definedName name="[30]きび脱葉機">リスト!$CF$42</definedName>
    <definedName name="[31]その他の構築物">リスト!$AV$85:$AV$91</definedName>
    <definedName name="[31]乾燥機">リスト!$CF$43</definedName>
    <definedName name="[32]もみすり機">リスト!$CF$44</definedName>
    <definedName name="[54]トレーラー">リスト!$CF$45</definedName>
    <definedName name="[56]その他の農機具">リスト!$CF$15:$CF$19</definedName>
    <definedName name="[57]パソコン">リスト!$CF$46</definedName>
    <definedName name="[58]その他の生産管理機器">リスト!$CF$47</definedName>
    <definedName name="調査年">指標部入力!$A$8</definedName>
    <definedName name="農機具種類">リスト!$BO$5:$BO$20</definedName>
    <definedName name="品種名称">リスト!$Z$5:$Z$19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L54" i="25" l="1"/>
  <c r="BL53" i="25"/>
  <c r="BE54" i="25"/>
  <c r="BE53" i="25"/>
  <c r="BI43" i="25"/>
  <c r="BI42" i="25"/>
  <c r="BD43" i="25"/>
  <c r="BD42" i="25"/>
  <c r="Y115" i="18"/>
  <c r="Y18" i="18"/>
  <c r="Y19" i="18"/>
  <c r="Y20" i="18"/>
  <c r="Y21" i="18"/>
  <c r="Y22" i="18"/>
  <c r="Y23" i="18"/>
  <c r="Y24" i="18"/>
  <c r="Y25" i="18"/>
  <c r="Y26" i="18"/>
  <c r="Y27" i="18"/>
  <c r="Y28" i="18"/>
  <c r="Y29" i="18"/>
  <c r="Y30" i="18"/>
  <c r="Y31" i="18"/>
  <c r="Y32" i="18"/>
  <c r="Y33" i="18"/>
  <c r="Y34" i="18"/>
  <c r="Y35" i="18"/>
  <c r="Y36" i="18"/>
  <c r="Y37" i="18"/>
  <c r="Y38" i="18"/>
  <c r="Y39" i="18"/>
  <c r="Y40" i="18"/>
  <c r="Y41" i="18"/>
  <c r="Y42" i="18"/>
  <c r="Y43" i="18"/>
  <c r="Y44" i="18"/>
  <c r="Y45" i="18"/>
  <c r="Y46" i="18"/>
  <c r="Y47" i="18"/>
  <c r="Y48" i="18"/>
  <c r="Y49" i="18"/>
  <c r="Y50" i="18"/>
  <c r="Y51" i="18"/>
  <c r="Y52" i="18"/>
  <c r="Y53" i="18"/>
  <c r="Y54" i="18"/>
  <c r="Y55" i="18"/>
  <c r="Y56" i="18"/>
  <c r="Y57" i="18"/>
  <c r="Y58" i="18"/>
  <c r="Y59" i="18"/>
  <c r="Y60" i="18"/>
  <c r="Y61" i="18"/>
  <c r="Y62" i="18"/>
  <c r="Y63" i="18"/>
  <c r="Y64" i="18"/>
  <c r="Y65" i="18"/>
  <c r="Y66" i="18"/>
  <c r="Y67" i="18"/>
  <c r="Y68" i="18"/>
  <c r="Y69" i="18"/>
  <c r="Y70" i="18"/>
  <c r="Y71" i="18"/>
  <c r="Y72" i="18"/>
  <c r="Y73" i="18"/>
  <c r="Y74" i="18"/>
  <c r="Y75" i="18"/>
  <c r="Y76" i="18"/>
  <c r="Y77" i="18"/>
  <c r="Y78" i="18"/>
  <c r="Y79" i="18"/>
  <c r="Y80" i="18"/>
  <c r="Y81" i="18"/>
  <c r="Y82" i="18"/>
  <c r="Y83" i="18"/>
  <c r="Y84" i="18"/>
  <c r="Y85" i="18"/>
  <c r="Y86" i="18"/>
  <c r="Y87" i="18"/>
  <c r="Y88" i="18"/>
  <c r="Y89" i="18"/>
  <c r="Y90" i="18"/>
  <c r="Y91" i="18"/>
  <c r="Y92" i="18"/>
  <c r="Y93" i="18"/>
  <c r="Y94" i="18"/>
  <c r="Y95" i="18"/>
  <c r="Y96" i="18"/>
  <c r="Y97" i="18"/>
  <c r="Y98" i="18"/>
  <c r="Y99" i="18"/>
  <c r="Y100" i="18"/>
  <c r="Y101" i="18"/>
  <c r="Y102" i="18"/>
  <c r="Y103" i="18"/>
  <c r="Y104" i="18"/>
  <c r="Y105" i="18"/>
  <c r="Y106" i="18"/>
  <c r="Y107" i="18"/>
  <c r="Y108" i="18"/>
  <c r="Y109" i="18"/>
  <c r="Y110" i="18"/>
  <c r="Y111" i="18"/>
  <c r="Y112" i="18"/>
  <c r="Y113" i="18"/>
  <c r="Y114" i="18"/>
  <c r="Y17" i="18"/>
  <c r="Y16" i="18"/>
  <c r="CX77" i="27"/>
  <c r="CX76" i="27"/>
  <c r="CX64" i="27"/>
  <c r="CX63" i="27"/>
  <c r="CX54" i="27"/>
  <c r="CX53" i="27"/>
  <c r="CX44" i="27"/>
  <c r="CX43" i="27"/>
  <c r="CX34" i="27"/>
  <c r="CX33" i="27"/>
  <c r="CX24" i="27"/>
  <c r="CX23" i="27"/>
  <c r="CX14" i="27"/>
  <c r="CX13" i="27"/>
  <c r="CX98" i="27" l="1"/>
  <c r="CX97" i="27"/>
  <c r="CX96" i="27"/>
  <c r="CX95" i="27"/>
  <c r="CX94" i="27"/>
  <c r="CX93" i="27"/>
  <c r="CX92" i="27"/>
  <c r="CX91" i="27"/>
  <c r="CX90" i="27"/>
  <c r="CX89" i="27"/>
  <c r="CX88" i="27"/>
  <c r="CX87" i="27"/>
  <c r="CX86" i="27"/>
  <c r="CX85" i="27"/>
  <c r="CX84" i="27"/>
  <c r="CX83" i="27"/>
  <c r="CX82" i="27"/>
  <c r="CX81" i="27"/>
  <c r="CX80" i="27"/>
  <c r="CX79" i="27"/>
  <c r="CX78" i="27"/>
  <c r="CX75" i="27"/>
  <c r="CX74" i="27"/>
  <c r="CX73" i="27"/>
  <c r="CX72" i="27"/>
  <c r="CX71" i="27"/>
  <c r="CX70" i="27"/>
  <c r="CX69" i="27"/>
  <c r="CX68" i="27"/>
  <c r="CX67" i="27"/>
  <c r="CX66" i="27"/>
  <c r="CX65" i="27"/>
  <c r="CX62" i="27"/>
  <c r="CX61" i="27"/>
  <c r="CX60" i="27"/>
  <c r="CX59" i="27"/>
  <c r="CX58" i="27"/>
  <c r="CX57" i="27"/>
  <c r="CX56" i="27"/>
  <c r="CX55" i="27"/>
  <c r="CX52" i="27"/>
  <c r="CX51" i="27"/>
  <c r="CX50" i="27"/>
  <c r="CX49" i="27"/>
  <c r="CX48" i="27"/>
  <c r="CX47" i="27"/>
  <c r="CX46" i="27"/>
  <c r="CX45" i="27"/>
  <c r="CX42" i="27"/>
  <c r="CX41" i="27"/>
  <c r="CX40" i="27"/>
  <c r="CX39" i="27"/>
  <c r="CX38" i="27"/>
  <c r="CX37" i="27"/>
  <c r="CX36" i="27"/>
  <c r="CX35" i="27"/>
  <c r="CX32" i="27"/>
  <c r="CX31" i="27"/>
  <c r="CX30" i="27"/>
  <c r="CX29" i="27"/>
  <c r="CX28" i="27"/>
  <c r="CX27" i="27"/>
  <c r="CX26" i="27"/>
  <c r="CX25" i="27"/>
  <c r="CX22" i="27"/>
  <c r="CX21" i="27"/>
  <c r="CX20" i="27"/>
  <c r="CX19" i="27"/>
  <c r="CX18" i="27"/>
  <c r="CX17" i="27"/>
  <c r="CX16" i="27"/>
  <c r="CX15" i="27"/>
  <c r="CX12" i="27"/>
  <c r="CX11" i="27"/>
  <c r="CX10" i="27"/>
  <c r="CX9" i="27"/>
  <c r="CX8" i="27"/>
  <c r="CX7" i="27"/>
  <c r="CX6" i="27"/>
  <c r="CX5" i="27"/>
  <c r="AX17" i="20" l="1"/>
  <c r="AX41" i="20"/>
  <c r="AX116" i="20"/>
  <c r="AW116" i="20"/>
  <c r="AX115" i="20"/>
  <c r="AW115" i="20"/>
  <c r="AX114" i="20"/>
  <c r="AW114" i="20"/>
  <c r="AX113" i="20"/>
  <c r="AW113" i="20"/>
  <c r="AX112" i="20"/>
  <c r="AW112" i="20"/>
  <c r="AX111" i="20"/>
  <c r="AW111" i="20"/>
  <c r="AX110" i="20"/>
  <c r="AW110" i="20"/>
  <c r="AX109" i="20"/>
  <c r="AW109" i="20"/>
  <c r="AX108" i="20"/>
  <c r="AW108" i="20"/>
  <c r="AX107" i="20"/>
  <c r="AW107" i="20"/>
  <c r="AX106" i="20"/>
  <c r="AW106" i="20"/>
  <c r="AX105" i="20"/>
  <c r="AW105" i="20"/>
  <c r="AX104" i="20"/>
  <c r="AW104" i="20"/>
  <c r="AX103" i="20"/>
  <c r="AW103" i="20"/>
  <c r="AX102" i="20"/>
  <c r="AW102" i="20"/>
  <c r="AX101" i="20"/>
  <c r="AW101" i="20"/>
  <c r="AX100" i="20"/>
  <c r="AW100" i="20"/>
  <c r="AX99" i="20"/>
  <c r="AW99" i="20"/>
  <c r="AX98" i="20"/>
  <c r="AW98" i="20"/>
  <c r="AX97" i="20"/>
  <c r="AW97" i="20"/>
  <c r="AX96" i="20"/>
  <c r="AW96" i="20"/>
  <c r="AX95" i="20"/>
  <c r="AW95" i="20"/>
  <c r="AX94" i="20"/>
  <c r="AW94" i="20"/>
  <c r="AX93" i="20"/>
  <c r="AW93" i="20"/>
  <c r="AX92" i="20"/>
  <c r="AW92" i="20"/>
  <c r="AX91" i="20"/>
  <c r="AW91" i="20"/>
  <c r="AX90" i="20"/>
  <c r="AW90" i="20"/>
  <c r="AX89" i="20"/>
  <c r="AW89" i="20"/>
  <c r="AX88" i="20"/>
  <c r="AW88" i="20"/>
  <c r="AX87" i="20"/>
  <c r="AW87" i="20"/>
  <c r="AX86" i="20"/>
  <c r="AW86" i="20"/>
  <c r="AX85" i="20"/>
  <c r="AW85" i="20"/>
  <c r="AX84" i="20"/>
  <c r="AW84" i="20"/>
  <c r="AX83" i="20"/>
  <c r="AW83" i="20"/>
  <c r="AX82" i="20"/>
  <c r="AW82" i="20"/>
  <c r="AX81" i="20"/>
  <c r="AW81" i="20"/>
  <c r="AX80" i="20"/>
  <c r="AW80" i="20"/>
  <c r="AX79" i="20"/>
  <c r="AW79" i="20"/>
  <c r="AX78" i="20"/>
  <c r="AW78" i="20"/>
  <c r="AX77" i="20"/>
  <c r="AW77" i="20"/>
  <c r="AX76" i="20"/>
  <c r="AW76" i="20"/>
  <c r="AX75" i="20"/>
  <c r="AW75" i="20"/>
  <c r="AX74" i="20"/>
  <c r="AW74" i="20"/>
  <c r="AX73" i="20"/>
  <c r="AW73" i="20"/>
  <c r="AX72" i="20"/>
  <c r="AW72" i="20"/>
  <c r="AX71" i="20"/>
  <c r="AW71" i="20"/>
  <c r="AX70" i="20"/>
  <c r="AW70" i="20"/>
  <c r="AX69" i="20"/>
  <c r="AW69" i="20"/>
  <c r="AX68" i="20"/>
  <c r="AW68" i="20"/>
  <c r="AX67" i="20"/>
  <c r="AW67" i="20"/>
  <c r="AX66" i="20"/>
  <c r="AW66" i="20"/>
  <c r="AX65" i="20"/>
  <c r="AW65" i="20"/>
  <c r="AX64" i="20"/>
  <c r="AW64" i="20"/>
  <c r="AX63" i="20"/>
  <c r="AW63" i="20"/>
  <c r="AX62" i="20"/>
  <c r="AW62" i="20"/>
  <c r="AX61" i="20"/>
  <c r="AW61" i="20"/>
  <c r="AX60" i="20"/>
  <c r="AW60" i="20"/>
  <c r="AX59" i="20"/>
  <c r="AW59" i="20"/>
  <c r="AX58" i="20"/>
  <c r="AW58" i="20"/>
  <c r="AX57" i="20"/>
  <c r="AW57" i="20"/>
  <c r="AX56" i="20"/>
  <c r="AW56" i="20"/>
  <c r="AX55" i="20"/>
  <c r="AW55" i="20"/>
  <c r="AX54" i="20"/>
  <c r="AW54" i="20"/>
  <c r="AX53" i="20"/>
  <c r="AW53" i="20"/>
  <c r="AX52" i="20"/>
  <c r="AW52" i="20"/>
  <c r="AX51" i="20"/>
  <c r="AW51" i="20"/>
  <c r="AX50" i="20"/>
  <c r="AW50" i="20"/>
  <c r="AX49" i="20"/>
  <c r="AW49" i="20"/>
  <c r="AX48" i="20"/>
  <c r="AW48" i="20"/>
  <c r="AX47" i="20"/>
  <c r="AW47" i="20"/>
  <c r="AX46" i="20"/>
  <c r="AW46" i="20"/>
  <c r="AX45" i="20"/>
  <c r="AW45" i="20"/>
  <c r="AX44" i="20"/>
  <c r="AW44" i="20"/>
  <c r="AX43" i="20"/>
  <c r="AW43" i="20"/>
  <c r="AX42" i="20"/>
  <c r="AW42" i="20"/>
  <c r="AW41" i="20"/>
  <c r="AX40" i="20"/>
  <c r="AW40" i="20"/>
  <c r="AX39" i="20"/>
  <c r="AW39" i="20"/>
  <c r="AX38" i="20"/>
  <c r="AW38" i="20"/>
  <c r="AX37" i="20"/>
  <c r="AW37" i="20"/>
  <c r="AX36" i="20"/>
  <c r="AW36" i="20"/>
  <c r="AX35" i="20"/>
  <c r="AW35" i="20"/>
  <c r="AX34" i="20"/>
  <c r="AW34" i="20"/>
  <c r="AX33" i="20"/>
  <c r="AW33" i="20"/>
  <c r="AX32" i="20"/>
  <c r="AW32" i="20"/>
  <c r="AX31" i="20"/>
  <c r="AW31" i="20"/>
  <c r="AX30" i="20"/>
  <c r="AW30" i="20"/>
  <c r="AX29" i="20"/>
  <c r="AW29" i="20"/>
  <c r="AX28" i="20"/>
  <c r="AW28" i="20"/>
  <c r="AX27" i="20"/>
  <c r="AW27" i="20"/>
  <c r="AX26" i="20"/>
  <c r="AW26" i="20"/>
  <c r="AX25" i="20"/>
  <c r="AW25" i="20"/>
  <c r="AX24" i="20"/>
  <c r="AW24" i="20"/>
  <c r="AX23" i="20"/>
  <c r="AW23" i="20"/>
  <c r="AX22" i="20"/>
  <c r="AW22" i="20"/>
  <c r="AX21" i="20"/>
  <c r="AW21" i="20"/>
  <c r="AX20" i="20"/>
  <c r="AW20" i="20"/>
  <c r="AX19" i="20"/>
  <c r="AW19" i="20"/>
  <c r="AX18" i="20"/>
  <c r="AW18" i="20"/>
  <c r="AW17" i="20"/>
  <c r="AS24" i="19"/>
  <c r="AT24" i="19"/>
  <c r="AS25" i="19"/>
  <c r="AT25" i="19"/>
  <c r="AS26" i="19"/>
  <c r="AT26" i="19"/>
  <c r="AS27" i="19"/>
  <c r="AT27" i="19"/>
  <c r="AS28" i="19"/>
  <c r="AT28" i="19"/>
  <c r="AS29" i="19"/>
  <c r="AT29" i="19"/>
  <c r="AS30" i="19"/>
  <c r="AT30" i="19"/>
  <c r="AS31" i="19"/>
  <c r="AT31" i="19"/>
  <c r="AS32" i="19"/>
  <c r="AT32" i="19"/>
  <c r="AS33" i="19"/>
  <c r="AT33" i="19"/>
  <c r="AS34" i="19"/>
  <c r="AT34" i="19"/>
  <c r="AS35" i="19"/>
  <c r="AT35" i="19"/>
  <c r="AS36" i="19"/>
  <c r="AT36" i="19"/>
  <c r="AS37" i="19"/>
  <c r="AT37" i="19"/>
  <c r="AS38" i="19"/>
  <c r="AT38" i="19"/>
  <c r="AS39" i="19"/>
  <c r="AT39" i="19"/>
  <c r="AS40" i="19"/>
  <c r="AT40" i="19"/>
  <c r="AS41" i="19"/>
  <c r="AT41" i="19"/>
  <c r="AS42" i="19"/>
  <c r="AT42" i="19"/>
  <c r="AS43" i="19"/>
  <c r="AT43" i="19"/>
  <c r="AS44" i="19"/>
  <c r="AT44" i="19"/>
  <c r="AS45" i="19"/>
  <c r="AT45" i="19"/>
  <c r="AS46" i="19"/>
  <c r="AT46" i="19"/>
  <c r="AS47" i="19"/>
  <c r="AT47" i="19"/>
  <c r="AS48" i="19"/>
  <c r="AT48" i="19"/>
  <c r="AS49" i="19"/>
  <c r="AT49" i="19"/>
  <c r="AS50" i="19"/>
  <c r="AT50" i="19"/>
  <c r="AS51" i="19"/>
  <c r="AT51" i="19"/>
  <c r="AS52" i="19"/>
  <c r="AT52" i="19"/>
  <c r="AS53" i="19"/>
  <c r="AT53" i="19"/>
  <c r="AS54" i="19"/>
  <c r="AT54" i="19"/>
  <c r="AS55" i="19"/>
  <c r="AT55" i="19"/>
  <c r="AS56" i="19"/>
  <c r="AT56" i="19"/>
  <c r="AS57" i="19"/>
  <c r="AT57" i="19"/>
  <c r="AS58" i="19"/>
  <c r="AT58" i="19"/>
  <c r="AS59" i="19"/>
  <c r="AT59" i="19"/>
  <c r="AS60" i="19"/>
  <c r="AT60" i="19"/>
  <c r="AS61" i="19"/>
  <c r="AT61" i="19"/>
  <c r="AS62" i="19"/>
  <c r="AT62" i="19"/>
  <c r="AS63" i="19"/>
  <c r="AT63" i="19"/>
  <c r="AS64" i="19"/>
  <c r="AT64" i="19"/>
  <c r="AS65" i="19"/>
  <c r="AT65" i="19"/>
  <c r="AS66" i="19"/>
  <c r="AT66" i="19"/>
  <c r="AS67" i="19"/>
  <c r="AT67" i="19"/>
  <c r="AS68" i="19"/>
  <c r="AT68" i="19"/>
  <c r="AS69" i="19"/>
  <c r="AT69" i="19"/>
  <c r="AS70" i="19"/>
  <c r="AT70" i="19"/>
  <c r="AS71" i="19"/>
  <c r="AT71" i="19"/>
  <c r="AS72" i="19"/>
  <c r="AT72" i="19"/>
  <c r="AS73" i="19"/>
  <c r="AT73" i="19"/>
  <c r="AS74" i="19"/>
  <c r="AT74" i="19"/>
  <c r="AS75" i="19"/>
  <c r="AT75" i="19"/>
  <c r="AS76" i="19"/>
  <c r="AT76" i="19"/>
  <c r="AS77" i="19"/>
  <c r="AT77" i="19"/>
  <c r="AS78" i="19"/>
  <c r="AT78" i="19"/>
  <c r="AS79" i="19"/>
  <c r="AT79" i="19"/>
  <c r="AS80" i="19"/>
  <c r="AT80" i="19"/>
  <c r="AS81" i="19"/>
  <c r="AT81" i="19"/>
  <c r="AS82" i="19"/>
  <c r="AT82" i="19"/>
  <c r="AS83" i="19"/>
  <c r="AT83" i="19"/>
  <c r="AS84" i="19"/>
  <c r="AT84" i="19"/>
  <c r="AS85" i="19"/>
  <c r="AT85" i="19"/>
  <c r="AS86" i="19"/>
  <c r="AT86" i="19"/>
  <c r="AS87" i="19"/>
  <c r="AT87" i="19"/>
  <c r="AS88" i="19"/>
  <c r="AT88" i="19"/>
  <c r="AS89" i="19"/>
  <c r="AT89" i="19"/>
  <c r="AS90" i="19"/>
  <c r="AT90" i="19"/>
  <c r="AS91" i="19"/>
  <c r="AT91" i="19"/>
  <c r="AS92" i="19"/>
  <c r="AT92" i="19"/>
  <c r="AS93" i="19"/>
  <c r="AT93" i="19"/>
  <c r="AS94" i="19"/>
  <c r="AT94" i="19"/>
  <c r="AS95" i="19"/>
  <c r="AT95" i="19"/>
  <c r="AS96" i="19"/>
  <c r="AT96" i="19"/>
  <c r="AS97" i="19"/>
  <c r="AT97" i="19"/>
  <c r="AS98" i="19"/>
  <c r="AT98" i="19"/>
  <c r="AS99" i="19"/>
  <c r="AT99" i="19"/>
  <c r="AS100" i="19"/>
  <c r="AT100" i="19"/>
  <c r="AS101" i="19"/>
  <c r="AT101" i="19"/>
  <c r="AS102" i="19"/>
  <c r="AT102" i="19"/>
  <c r="AS103" i="19"/>
  <c r="AT103" i="19"/>
  <c r="AS104" i="19"/>
  <c r="AT104" i="19"/>
  <c r="AS105" i="19"/>
  <c r="AT105" i="19"/>
  <c r="AS106" i="19"/>
  <c r="AT106" i="19"/>
  <c r="AS107" i="19"/>
  <c r="AT107" i="19"/>
  <c r="AS108" i="19"/>
  <c r="AT108" i="19"/>
  <c r="AS109" i="19"/>
  <c r="AT109" i="19"/>
  <c r="AS110" i="19"/>
  <c r="AT110" i="19"/>
  <c r="AS111" i="19"/>
  <c r="AT111" i="19"/>
  <c r="AS112" i="19"/>
  <c r="AT112" i="19"/>
  <c r="AS113" i="19"/>
  <c r="AT113" i="19"/>
  <c r="AS114" i="19"/>
  <c r="AT114" i="19"/>
  <c r="AS115" i="19"/>
  <c r="AT115" i="19"/>
  <c r="AS116" i="19"/>
  <c r="AT116" i="19"/>
  <c r="AS117" i="19"/>
  <c r="AT117" i="19"/>
  <c r="AS19" i="19"/>
  <c r="AT19" i="19"/>
  <c r="AS20" i="19"/>
  <c r="AT20" i="19"/>
  <c r="AS21" i="19"/>
  <c r="AT21" i="19"/>
  <c r="AS22" i="19"/>
  <c r="AT22" i="19"/>
  <c r="AS23" i="19"/>
  <c r="AT23" i="19"/>
  <c r="AS18" i="19"/>
  <c r="AT18" i="19"/>
  <c r="Z17" i="18"/>
  <c r="AA17" i="18"/>
  <c r="Z18" i="18"/>
  <c r="AA18" i="18"/>
  <c r="Z19" i="18"/>
  <c r="AA19" i="18"/>
  <c r="Z20" i="18"/>
  <c r="AA20" i="18"/>
  <c r="Z21" i="18"/>
  <c r="AA21" i="18"/>
  <c r="Z22" i="18"/>
  <c r="AA22" i="18"/>
  <c r="Z23" i="18"/>
  <c r="AA23" i="18"/>
  <c r="Z24" i="18"/>
  <c r="AA24" i="18"/>
  <c r="Z25" i="18"/>
  <c r="AA25" i="18"/>
  <c r="Z26" i="18"/>
  <c r="AA26" i="18"/>
  <c r="Z27" i="18"/>
  <c r="AA27" i="18"/>
  <c r="Z28" i="18"/>
  <c r="AA28" i="18"/>
  <c r="Z29" i="18"/>
  <c r="AA29" i="18"/>
  <c r="Z30" i="18"/>
  <c r="AA30" i="18"/>
  <c r="AT17" i="19" l="1"/>
  <c r="AW14" i="20"/>
  <c r="AX14" i="20"/>
  <c r="DH47" i="27"/>
  <c r="DH46" i="27"/>
  <c r="DH45" i="27"/>
  <c r="DH44" i="27"/>
  <c r="DH43" i="27"/>
  <c r="DH42" i="27"/>
  <c r="DH41" i="27"/>
  <c r="DH40" i="27"/>
  <c r="DH39" i="27"/>
  <c r="DH38" i="27"/>
  <c r="DH37" i="27"/>
  <c r="DH36" i="27"/>
  <c r="DH35" i="27"/>
  <c r="DH34" i="27"/>
  <c r="DH33" i="27"/>
  <c r="DH32" i="27"/>
  <c r="DH31" i="27"/>
  <c r="DH30" i="27"/>
  <c r="DH29" i="27"/>
  <c r="DH28" i="27"/>
  <c r="DH27" i="27"/>
  <c r="DH26" i="27"/>
  <c r="DH25" i="27"/>
  <c r="DH24" i="27"/>
  <c r="DH23" i="27"/>
  <c r="DH22" i="27"/>
  <c r="DH21" i="27"/>
  <c r="DH20" i="27"/>
  <c r="DH19" i="27"/>
  <c r="C19" i="27"/>
  <c r="C23" i="27" s="1"/>
  <c r="DH18" i="27"/>
  <c r="DH17" i="27"/>
  <c r="DH16" i="27"/>
  <c r="DH15" i="27"/>
  <c r="DH14" i="27"/>
  <c r="DH13" i="27"/>
  <c r="DH12" i="27"/>
  <c r="DH11" i="27"/>
  <c r="DH10" i="27"/>
  <c r="DH9" i="27"/>
  <c r="DH8" i="27"/>
  <c r="DH7" i="27"/>
  <c r="DH6" i="27"/>
  <c r="DH5" i="27"/>
  <c r="BO51" i="25"/>
  <c r="BO54" i="25" s="1"/>
  <c r="BN51" i="25"/>
  <c r="BN54" i="25" s="1"/>
  <c r="BM51" i="25"/>
  <c r="BM54" i="25" s="1"/>
  <c r="BL51" i="25"/>
  <c r="BH51" i="25"/>
  <c r="BH54" i="25" s="1"/>
  <c r="BG51" i="25"/>
  <c r="BG54" i="25" s="1"/>
  <c r="BF51" i="25"/>
  <c r="BF54" i="25" s="1"/>
  <c r="BE51" i="25"/>
  <c r="BO50" i="25"/>
  <c r="BO53" i="25" s="1"/>
  <c r="BN50" i="25"/>
  <c r="BN52" i="25" s="1"/>
  <c r="BM50" i="25"/>
  <c r="BM52" i="25" s="1"/>
  <c r="BL50" i="25"/>
  <c r="BH50" i="25"/>
  <c r="BH52" i="25" s="1"/>
  <c r="BG50" i="25"/>
  <c r="BG53" i="25" s="1"/>
  <c r="BG55" i="25" s="1"/>
  <c r="BF50" i="25"/>
  <c r="BF52" i="25" s="1"/>
  <c r="BE50" i="25"/>
  <c r="BE52" i="25" s="1"/>
  <c r="BL40" i="25"/>
  <c r="BL43" i="25" s="1"/>
  <c r="BK40" i="25"/>
  <c r="BK43" i="25" s="1"/>
  <c r="BJ40" i="25"/>
  <c r="BJ43" i="25" s="1"/>
  <c r="BI40" i="25"/>
  <c r="BG40" i="25"/>
  <c r="BF40" i="25"/>
  <c r="BF43" i="25" s="1"/>
  <c r="BE40" i="25"/>
  <c r="BE43" i="25" s="1"/>
  <c r="BD40" i="25"/>
  <c r="BL39" i="25"/>
  <c r="BL41" i="25" s="1"/>
  <c r="BK39" i="25"/>
  <c r="BK41" i="25" s="1"/>
  <c r="BJ39" i="25"/>
  <c r="BJ41" i="25" s="1"/>
  <c r="BI39" i="25"/>
  <c r="BI44" i="25" s="1"/>
  <c r="BG39" i="25"/>
  <c r="BG41" i="25" s="1"/>
  <c r="BF39" i="25"/>
  <c r="BF41" i="25" s="1"/>
  <c r="BE39" i="25"/>
  <c r="BE42" i="25" s="1"/>
  <c r="BE44" i="25" s="1"/>
  <c r="BD39" i="25"/>
  <c r="BD41" i="25" s="1"/>
  <c r="BK31" i="25"/>
  <c r="BJ31" i="25"/>
  <c r="BH31" i="25"/>
  <c r="BG31" i="25"/>
  <c r="BD51" i="25" s="1"/>
  <c r="BE31" i="25"/>
  <c r="BD31" i="25"/>
  <c r="BE30" i="25"/>
  <c r="BD30" i="25"/>
  <c r="BK29" i="25"/>
  <c r="BJ29" i="25"/>
  <c r="BH29" i="25"/>
  <c r="BG29" i="25"/>
  <c r="BE29" i="25"/>
  <c r="BD29" i="25"/>
  <c r="BK28" i="25"/>
  <c r="BJ28" i="25"/>
  <c r="BH28" i="25"/>
  <c r="BG28" i="25"/>
  <c r="BE28" i="25"/>
  <c r="BD28" i="25"/>
  <c r="BK27" i="25"/>
  <c r="BJ27" i="25"/>
  <c r="BH27" i="25"/>
  <c r="BG27" i="25"/>
  <c r="BE27" i="25"/>
  <c r="BF27" i="25" s="1"/>
  <c r="BD27" i="25"/>
  <c r="BK26" i="25"/>
  <c r="BJ26" i="25"/>
  <c r="BH26" i="25"/>
  <c r="BG26" i="25"/>
  <c r="BE26" i="25"/>
  <c r="BD26" i="25"/>
  <c r="BK25" i="25"/>
  <c r="BJ25" i="25"/>
  <c r="BH25" i="25"/>
  <c r="BG25" i="25"/>
  <c r="BE25" i="25"/>
  <c r="BF25" i="25" s="1"/>
  <c r="BD25" i="25"/>
  <c r="BK24" i="25"/>
  <c r="BJ24" i="25"/>
  <c r="BH24" i="25"/>
  <c r="BG24" i="25"/>
  <c r="BE24" i="25"/>
  <c r="BD24" i="25"/>
  <c r="BK23" i="25"/>
  <c r="BJ23" i="25"/>
  <c r="BH23" i="25"/>
  <c r="BG23" i="25"/>
  <c r="BE23" i="25"/>
  <c r="BD23" i="25"/>
  <c r="BK22" i="25"/>
  <c r="BJ22" i="25"/>
  <c r="BH22" i="25"/>
  <c r="BG22" i="25"/>
  <c r="BE22" i="25"/>
  <c r="BD22" i="25"/>
  <c r="BK21" i="25"/>
  <c r="BJ21" i="25"/>
  <c r="BH21" i="25"/>
  <c r="BG21" i="25"/>
  <c r="BE21" i="25"/>
  <c r="BD21" i="25"/>
  <c r="BK20" i="25"/>
  <c r="BJ20" i="25"/>
  <c r="BH20" i="25"/>
  <c r="BG20" i="25"/>
  <c r="BE20" i="25"/>
  <c r="BD20" i="25"/>
  <c r="BK19" i="25"/>
  <c r="BJ19" i="25"/>
  <c r="BH19" i="25"/>
  <c r="BG19" i="25"/>
  <c r="BE19" i="25"/>
  <c r="BD19" i="25"/>
  <c r="BK18" i="25"/>
  <c r="BJ18" i="25"/>
  <c r="BH18" i="25"/>
  <c r="BG18" i="25"/>
  <c r="BE18" i="25"/>
  <c r="BD18" i="25"/>
  <c r="BK17" i="25"/>
  <c r="BJ17" i="25"/>
  <c r="BH17" i="25"/>
  <c r="BG17" i="25"/>
  <c r="BE17" i="25"/>
  <c r="BD17" i="25"/>
  <c r="BK16" i="25"/>
  <c r="BJ16" i="25"/>
  <c r="BH16" i="25"/>
  <c r="BG16" i="25"/>
  <c r="BE16" i="25"/>
  <c r="BD16" i="25"/>
  <c r="BK15" i="25"/>
  <c r="BJ15" i="25"/>
  <c r="BH15" i="25"/>
  <c r="BG15" i="25"/>
  <c r="BE15" i="25"/>
  <c r="BD15" i="25"/>
  <c r="O240" i="24"/>
  <c r="P240" i="24" s="1"/>
  <c r="N240" i="24"/>
  <c r="M240" i="24"/>
  <c r="O239" i="24"/>
  <c r="P239" i="24" s="1"/>
  <c r="N239" i="24"/>
  <c r="M239" i="24"/>
  <c r="O238" i="24"/>
  <c r="P238" i="24" s="1"/>
  <c r="N238" i="24"/>
  <c r="M238" i="24"/>
  <c r="O237" i="24"/>
  <c r="P237" i="24" s="1"/>
  <c r="N237" i="24"/>
  <c r="M237" i="24"/>
  <c r="O236" i="24"/>
  <c r="P236" i="24" s="1"/>
  <c r="N236" i="24"/>
  <c r="M236" i="24"/>
  <c r="O235" i="24"/>
  <c r="P235" i="24" s="1"/>
  <c r="N235" i="24"/>
  <c r="M235" i="24"/>
  <c r="O234" i="24"/>
  <c r="P234" i="24" s="1"/>
  <c r="N234" i="24"/>
  <c r="M234" i="24"/>
  <c r="O233" i="24"/>
  <c r="P233" i="24" s="1"/>
  <c r="N233" i="24"/>
  <c r="M233" i="24"/>
  <c r="O232" i="24"/>
  <c r="P232" i="24" s="1"/>
  <c r="N232" i="24"/>
  <c r="M232" i="24"/>
  <c r="O231" i="24"/>
  <c r="P231" i="24" s="1"/>
  <c r="N231" i="24"/>
  <c r="M231" i="24"/>
  <c r="O230" i="24"/>
  <c r="P230" i="24" s="1"/>
  <c r="N230" i="24"/>
  <c r="M230" i="24"/>
  <c r="O229" i="24"/>
  <c r="P229" i="24" s="1"/>
  <c r="N229" i="24"/>
  <c r="M229" i="24"/>
  <c r="O228" i="24"/>
  <c r="P228" i="24" s="1"/>
  <c r="N228" i="24"/>
  <c r="M228" i="24"/>
  <c r="O227" i="24"/>
  <c r="P227" i="24" s="1"/>
  <c r="N227" i="24"/>
  <c r="M227" i="24"/>
  <c r="O226" i="24"/>
  <c r="P226" i="24" s="1"/>
  <c r="N226" i="24"/>
  <c r="M226" i="24"/>
  <c r="O225" i="24"/>
  <c r="P225" i="24" s="1"/>
  <c r="N225" i="24"/>
  <c r="M225" i="24"/>
  <c r="O224" i="24"/>
  <c r="P224" i="24" s="1"/>
  <c r="N224" i="24"/>
  <c r="M224" i="24"/>
  <c r="O223" i="24"/>
  <c r="P223" i="24" s="1"/>
  <c r="N223" i="24"/>
  <c r="M223" i="24"/>
  <c r="O222" i="24"/>
  <c r="P222" i="24" s="1"/>
  <c r="N222" i="24"/>
  <c r="M222" i="24"/>
  <c r="O221" i="24"/>
  <c r="P221" i="24" s="1"/>
  <c r="N221" i="24"/>
  <c r="M221" i="24"/>
  <c r="O220" i="24"/>
  <c r="P220" i="24" s="1"/>
  <c r="N220" i="24"/>
  <c r="M220" i="24"/>
  <c r="O219" i="24"/>
  <c r="P219" i="24" s="1"/>
  <c r="N219" i="24"/>
  <c r="M219" i="24"/>
  <c r="O218" i="24"/>
  <c r="P218" i="24" s="1"/>
  <c r="N218" i="24"/>
  <c r="M218" i="24"/>
  <c r="O217" i="24"/>
  <c r="P217" i="24" s="1"/>
  <c r="N217" i="24"/>
  <c r="M217" i="24"/>
  <c r="O216" i="24"/>
  <c r="P216" i="24" s="1"/>
  <c r="N216" i="24"/>
  <c r="M216" i="24"/>
  <c r="O215" i="24"/>
  <c r="P215" i="24" s="1"/>
  <c r="N215" i="24"/>
  <c r="M215" i="24"/>
  <c r="O214" i="24"/>
  <c r="P214" i="24" s="1"/>
  <c r="N214" i="24"/>
  <c r="M214" i="24"/>
  <c r="O213" i="24"/>
  <c r="P213" i="24" s="1"/>
  <c r="N213" i="24"/>
  <c r="M213" i="24"/>
  <c r="O212" i="24"/>
  <c r="P212" i="24" s="1"/>
  <c r="N212" i="24"/>
  <c r="M212" i="24"/>
  <c r="O211" i="24"/>
  <c r="P211" i="24" s="1"/>
  <c r="N211" i="24"/>
  <c r="M211" i="24"/>
  <c r="O210" i="24"/>
  <c r="P210" i="24" s="1"/>
  <c r="N210" i="24"/>
  <c r="M210" i="24"/>
  <c r="O209" i="24"/>
  <c r="P209" i="24" s="1"/>
  <c r="N209" i="24"/>
  <c r="M209" i="24"/>
  <c r="O208" i="24"/>
  <c r="P208" i="24" s="1"/>
  <c r="N208" i="24"/>
  <c r="M208" i="24"/>
  <c r="O207" i="24"/>
  <c r="P207" i="24" s="1"/>
  <c r="N207" i="24"/>
  <c r="M207" i="24"/>
  <c r="O206" i="24"/>
  <c r="P206" i="24" s="1"/>
  <c r="N206" i="24"/>
  <c r="M206" i="24"/>
  <c r="O205" i="24"/>
  <c r="P205" i="24" s="1"/>
  <c r="N205" i="24"/>
  <c r="M205" i="24"/>
  <c r="O204" i="24"/>
  <c r="P204" i="24" s="1"/>
  <c r="N204" i="24"/>
  <c r="M204" i="24"/>
  <c r="O203" i="24"/>
  <c r="P203" i="24" s="1"/>
  <c r="N203" i="24"/>
  <c r="M203" i="24"/>
  <c r="O202" i="24"/>
  <c r="P202" i="24" s="1"/>
  <c r="N202" i="24"/>
  <c r="M202" i="24"/>
  <c r="O201" i="24"/>
  <c r="P201" i="24" s="1"/>
  <c r="N201" i="24"/>
  <c r="M201" i="24"/>
  <c r="O200" i="24"/>
  <c r="P200" i="24" s="1"/>
  <c r="N200" i="24"/>
  <c r="M200" i="24"/>
  <c r="O199" i="24"/>
  <c r="P199" i="24" s="1"/>
  <c r="N199" i="24"/>
  <c r="M199" i="24"/>
  <c r="O198" i="24"/>
  <c r="P198" i="24" s="1"/>
  <c r="N198" i="24"/>
  <c r="M198" i="24"/>
  <c r="O197" i="24"/>
  <c r="P197" i="24" s="1"/>
  <c r="N197" i="24"/>
  <c r="M197" i="24"/>
  <c r="O196" i="24"/>
  <c r="P196" i="24" s="1"/>
  <c r="N196" i="24"/>
  <c r="M196" i="24"/>
  <c r="O195" i="24"/>
  <c r="P195" i="24" s="1"/>
  <c r="N195" i="24"/>
  <c r="M195" i="24"/>
  <c r="O194" i="24"/>
  <c r="P194" i="24" s="1"/>
  <c r="N194" i="24"/>
  <c r="M194" i="24"/>
  <c r="O193" i="24"/>
  <c r="P193" i="24" s="1"/>
  <c r="N193" i="24"/>
  <c r="M193" i="24"/>
  <c r="O192" i="24"/>
  <c r="P192" i="24" s="1"/>
  <c r="N192" i="24"/>
  <c r="M192" i="24"/>
  <c r="O191" i="24"/>
  <c r="P191" i="24" s="1"/>
  <c r="N191" i="24"/>
  <c r="M191" i="24"/>
  <c r="O174" i="24"/>
  <c r="P174" i="24" s="1"/>
  <c r="N174" i="24"/>
  <c r="M174" i="24"/>
  <c r="O173" i="24"/>
  <c r="P173" i="24" s="1"/>
  <c r="N173" i="24"/>
  <c r="M173" i="24"/>
  <c r="O172" i="24"/>
  <c r="P172" i="24" s="1"/>
  <c r="N172" i="24"/>
  <c r="M172" i="24"/>
  <c r="O171" i="24"/>
  <c r="P171" i="24" s="1"/>
  <c r="N171" i="24"/>
  <c r="M171" i="24"/>
  <c r="O170" i="24"/>
  <c r="P170" i="24" s="1"/>
  <c r="N170" i="24"/>
  <c r="M170" i="24"/>
  <c r="O169" i="24"/>
  <c r="P169" i="24" s="1"/>
  <c r="N169" i="24"/>
  <c r="M169" i="24"/>
  <c r="O168" i="24"/>
  <c r="P168" i="24" s="1"/>
  <c r="N168" i="24"/>
  <c r="M168" i="24"/>
  <c r="O167" i="24"/>
  <c r="P167" i="24" s="1"/>
  <c r="N167" i="24"/>
  <c r="M167" i="24"/>
  <c r="O166" i="24"/>
  <c r="P166" i="24" s="1"/>
  <c r="N166" i="24"/>
  <c r="M166" i="24"/>
  <c r="O165" i="24"/>
  <c r="P165" i="24" s="1"/>
  <c r="N165" i="24"/>
  <c r="M165" i="24"/>
  <c r="O164" i="24"/>
  <c r="P164" i="24" s="1"/>
  <c r="N164" i="24"/>
  <c r="M164" i="24"/>
  <c r="O163" i="24"/>
  <c r="P163" i="24" s="1"/>
  <c r="N163" i="24"/>
  <c r="M163" i="24"/>
  <c r="O162" i="24"/>
  <c r="P162" i="24" s="1"/>
  <c r="N162" i="24"/>
  <c r="M162" i="24"/>
  <c r="O161" i="24"/>
  <c r="P161" i="24" s="1"/>
  <c r="N161" i="24"/>
  <c r="M161" i="24"/>
  <c r="O160" i="24"/>
  <c r="P160" i="24" s="1"/>
  <c r="N160" i="24"/>
  <c r="M160" i="24"/>
  <c r="O159" i="24"/>
  <c r="P159" i="24" s="1"/>
  <c r="N159" i="24"/>
  <c r="M159" i="24"/>
  <c r="O158" i="24"/>
  <c r="P158" i="24" s="1"/>
  <c r="N158" i="24"/>
  <c r="M158" i="24"/>
  <c r="O157" i="24"/>
  <c r="P157" i="24" s="1"/>
  <c r="N157" i="24"/>
  <c r="M157" i="24"/>
  <c r="O156" i="24"/>
  <c r="P156" i="24" s="1"/>
  <c r="N156" i="24"/>
  <c r="M156" i="24"/>
  <c r="O155" i="24"/>
  <c r="P155" i="24" s="1"/>
  <c r="N155" i="24"/>
  <c r="M155" i="24"/>
  <c r="O154" i="24"/>
  <c r="P154" i="24" s="1"/>
  <c r="N154" i="24"/>
  <c r="M154" i="24"/>
  <c r="O153" i="24"/>
  <c r="P153" i="24" s="1"/>
  <c r="N153" i="24"/>
  <c r="M153" i="24"/>
  <c r="O152" i="24"/>
  <c r="P152" i="24" s="1"/>
  <c r="N152" i="24"/>
  <c r="M152" i="24"/>
  <c r="O151" i="24"/>
  <c r="P151" i="24" s="1"/>
  <c r="N151" i="24"/>
  <c r="M151" i="24"/>
  <c r="O150" i="24"/>
  <c r="P150" i="24" s="1"/>
  <c r="N150" i="24"/>
  <c r="M150" i="24"/>
  <c r="O149" i="24"/>
  <c r="P149" i="24" s="1"/>
  <c r="N149" i="24"/>
  <c r="M149" i="24"/>
  <c r="O148" i="24"/>
  <c r="P148" i="24" s="1"/>
  <c r="N148" i="24"/>
  <c r="M148" i="24"/>
  <c r="O147" i="24"/>
  <c r="P147" i="24" s="1"/>
  <c r="N147" i="24"/>
  <c r="M147" i="24"/>
  <c r="O146" i="24"/>
  <c r="P146" i="24" s="1"/>
  <c r="N146" i="24"/>
  <c r="M146" i="24"/>
  <c r="O145" i="24"/>
  <c r="P145" i="24" s="1"/>
  <c r="N145" i="24"/>
  <c r="M145" i="24"/>
  <c r="O144" i="24"/>
  <c r="P144" i="24" s="1"/>
  <c r="N144" i="24"/>
  <c r="M144" i="24"/>
  <c r="O143" i="24"/>
  <c r="P143" i="24" s="1"/>
  <c r="N143" i="24"/>
  <c r="M143" i="24"/>
  <c r="O142" i="24"/>
  <c r="P142" i="24" s="1"/>
  <c r="N142" i="24"/>
  <c r="M142" i="24"/>
  <c r="O141" i="24"/>
  <c r="P141" i="24" s="1"/>
  <c r="N141" i="24"/>
  <c r="M141" i="24"/>
  <c r="O140" i="24"/>
  <c r="P140" i="24" s="1"/>
  <c r="N140" i="24"/>
  <c r="M140" i="24"/>
  <c r="O139" i="24"/>
  <c r="P139" i="24" s="1"/>
  <c r="N139" i="24"/>
  <c r="M139" i="24"/>
  <c r="O138" i="24"/>
  <c r="P138" i="24" s="1"/>
  <c r="N138" i="24"/>
  <c r="M138" i="24"/>
  <c r="O137" i="24"/>
  <c r="P137" i="24" s="1"/>
  <c r="N137" i="24"/>
  <c r="M137" i="24"/>
  <c r="O136" i="24"/>
  <c r="P136" i="24" s="1"/>
  <c r="N136" i="24"/>
  <c r="M136" i="24"/>
  <c r="O135" i="24"/>
  <c r="P135" i="24" s="1"/>
  <c r="N135" i="24"/>
  <c r="M135" i="24"/>
  <c r="O134" i="24"/>
  <c r="P134" i="24" s="1"/>
  <c r="N134" i="24"/>
  <c r="M134" i="24"/>
  <c r="O133" i="24"/>
  <c r="P133" i="24" s="1"/>
  <c r="N133" i="24"/>
  <c r="M133" i="24"/>
  <c r="O132" i="24"/>
  <c r="P132" i="24" s="1"/>
  <c r="N132" i="24"/>
  <c r="M132" i="24"/>
  <c r="O131" i="24"/>
  <c r="P131" i="24" s="1"/>
  <c r="N131" i="24"/>
  <c r="M131" i="24"/>
  <c r="O130" i="24"/>
  <c r="P130" i="24" s="1"/>
  <c r="N130" i="24"/>
  <c r="M130" i="24"/>
  <c r="O129" i="24"/>
  <c r="P129" i="24" s="1"/>
  <c r="N129" i="24"/>
  <c r="M129" i="24"/>
  <c r="O128" i="24"/>
  <c r="P128" i="24" s="1"/>
  <c r="N128" i="24"/>
  <c r="M128" i="24"/>
  <c r="O127" i="24"/>
  <c r="P127" i="24" s="1"/>
  <c r="N127" i="24"/>
  <c r="M127" i="24"/>
  <c r="O126" i="24"/>
  <c r="P126" i="24" s="1"/>
  <c r="N126" i="24"/>
  <c r="M126" i="24"/>
  <c r="O125" i="24"/>
  <c r="P125" i="24" s="1"/>
  <c r="N125" i="24"/>
  <c r="M125" i="24"/>
  <c r="O124" i="24"/>
  <c r="P124" i="24" s="1"/>
  <c r="N124" i="24"/>
  <c r="M124" i="24"/>
  <c r="O123" i="24"/>
  <c r="P123" i="24" s="1"/>
  <c r="N123" i="24"/>
  <c r="M123" i="24"/>
  <c r="O122" i="24"/>
  <c r="P122" i="24" s="1"/>
  <c r="N122" i="24"/>
  <c r="M122" i="24"/>
  <c r="O121" i="24"/>
  <c r="P121" i="24" s="1"/>
  <c r="N121" i="24"/>
  <c r="M121" i="24"/>
  <c r="O120" i="24"/>
  <c r="P120" i="24" s="1"/>
  <c r="N120" i="24"/>
  <c r="M120" i="24"/>
  <c r="O119" i="24"/>
  <c r="P119" i="24" s="1"/>
  <c r="N119" i="24"/>
  <c r="M119" i="24"/>
  <c r="O118" i="24"/>
  <c r="P118" i="24" s="1"/>
  <c r="N118" i="24"/>
  <c r="M118" i="24"/>
  <c r="O117" i="24"/>
  <c r="P117" i="24" s="1"/>
  <c r="N117" i="24"/>
  <c r="M117" i="24"/>
  <c r="O116" i="24"/>
  <c r="P116" i="24" s="1"/>
  <c r="N116" i="24"/>
  <c r="M116" i="24"/>
  <c r="O115" i="24"/>
  <c r="P115" i="24" s="1"/>
  <c r="N115" i="24"/>
  <c r="M115" i="24"/>
  <c r="O114" i="24"/>
  <c r="P114" i="24" s="1"/>
  <c r="N114" i="24"/>
  <c r="M114" i="24"/>
  <c r="O113" i="24"/>
  <c r="P113" i="24" s="1"/>
  <c r="N113" i="24"/>
  <c r="M113" i="24"/>
  <c r="O112" i="24"/>
  <c r="P112" i="24" s="1"/>
  <c r="N112" i="24"/>
  <c r="M112" i="24"/>
  <c r="O111" i="24"/>
  <c r="P111" i="24" s="1"/>
  <c r="N111" i="24"/>
  <c r="M111" i="24"/>
  <c r="O110" i="24"/>
  <c r="P110" i="24" s="1"/>
  <c r="N110" i="24"/>
  <c r="M110" i="24"/>
  <c r="O109" i="24"/>
  <c r="P109" i="24" s="1"/>
  <c r="N109" i="24"/>
  <c r="M109" i="24"/>
  <c r="O108" i="24"/>
  <c r="P108" i="24" s="1"/>
  <c r="N108" i="24"/>
  <c r="M108" i="24"/>
  <c r="O107" i="24"/>
  <c r="P107" i="24" s="1"/>
  <c r="N107" i="24"/>
  <c r="M107" i="24"/>
  <c r="O106" i="24"/>
  <c r="P106" i="24" s="1"/>
  <c r="N106" i="24"/>
  <c r="M106" i="24"/>
  <c r="O105" i="24"/>
  <c r="P105" i="24" s="1"/>
  <c r="N105" i="24"/>
  <c r="M105" i="24"/>
  <c r="O104" i="24"/>
  <c r="P104" i="24" s="1"/>
  <c r="N104" i="24"/>
  <c r="M104" i="24"/>
  <c r="O103" i="24"/>
  <c r="P103" i="24" s="1"/>
  <c r="N103" i="24"/>
  <c r="M103" i="24"/>
  <c r="O102" i="24"/>
  <c r="P102" i="24" s="1"/>
  <c r="N102" i="24"/>
  <c r="M102" i="24"/>
  <c r="O101" i="24"/>
  <c r="P101" i="24" s="1"/>
  <c r="N101" i="24"/>
  <c r="M101" i="24"/>
  <c r="O100" i="24"/>
  <c r="P100" i="24" s="1"/>
  <c r="N100" i="24"/>
  <c r="M100" i="24"/>
  <c r="O99" i="24"/>
  <c r="P99" i="24" s="1"/>
  <c r="N99" i="24"/>
  <c r="M99" i="24"/>
  <c r="O98" i="24"/>
  <c r="P98" i="24" s="1"/>
  <c r="N98" i="24"/>
  <c r="M98" i="24"/>
  <c r="O97" i="24"/>
  <c r="P97" i="24" s="1"/>
  <c r="N97" i="24"/>
  <c r="M97" i="24"/>
  <c r="O96" i="24"/>
  <c r="P96" i="24" s="1"/>
  <c r="N96" i="24"/>
  <c r="M96" i="24"/>
  <c r="O95" i="24"/>
  <c r="P95" i="24" s="1"/>
  <c r="N95" i="24"/>
  <c r="M95" i="24"/>
  <c r="O94" i="24"/>
  <c r="P94" i="24" s="1"/>
  <c r="N94" i="24"/>
  <c r="M94" i="24"/>
  <c r="O93" i="24"/>
  <c r="P93" i="24" s="1"/>
  <c r="N93" i="24"/>
  <c r="M93" i="24"/>
  <c r="O92" i="24"/>
  <c r="P92" i="24" s="1"/>
  <c r="N92" i="24"/>
  <c r="M92" i="24"/>
  <c r="O91" i="24"/>
  <c r="P91" i="24" s="1"/>
  <c r="N91" i="24"/>
  <c r="M91" i="24"/>
  <c r="O90" i="24"/>
  <c r="P90" i="24" s="1"/>
  <c r="N90" i="24"/>
  <c r="M90" i="24"/>
  <c r="O89" i="24"/>
  <c r="P89" i="24" s="1"/>
  <c r="N89" i="24"/>
  <c r="M89" i="24"/>
  <c r="O88" i="24"/>
  <c r="P88" i="24" s="1"/>
  <c r="N88" i="24"/>
  <c r="M88" i="24"/>
  <c r="O87" i="24"/>
  <c r="P87" i="24" s="1"/>
  <c r="N87" i="24"/>
  <c r="M87" i="24"/>
  <c r="O86" i="24"/>
  <c r="P86" i="24" s="1"/>
  <c r="N86" i="24"/>
  <c r="M86" i="24"/>
  <c r="O85" i="24"/>
  <c r="P85" i="24" s="1"/>
  <c r="N85" i="24"/>
  <c r="M85" i="24"/>
  <c r="O84" i="24"/>
  <c r="P84" i="24" s="1"/>
  <c r="N84" i="24"/>
  <c r="M84" i="24"/>
  <c r="O83" i="24"/>
  <c r="P83" i="24" s="1"/>
  <c r="N83" i="24"/>
  <c r="M83" i="24"/>
  <c r="O82" i="24"/>
  <c r="P82" i="24" s="1"/>
  <c r="N82" i="24"/>
  <c r="M82" i="24"/>
  <c r="O81" i="24"/>
  <c r="P81" i="24" s="1"/>
  <c r="N81" i="24"/>
  <c r="M81" i="24"/>
  <c r="O80" i="24"/>
  <c r="P80" i="24" s="1"/>
  <c r="N80" i="24"/>
  <c r="M80" i="24"/>
  <c r="O79" i="24"/>
  <c r="P79" i="24" s="1"/>
  <c r="N79" i="24"/>
  <c r="M79" i="24"/>
  <c r="O78" i="24"/>
  <c r="P78" i="24" s="1"/>
  <c r="N78" i="24"/>
  <c r="M78" i="24"/>
  <c r="O77" i="24"/>
  <c r="P77" i="24" s="1"/>
  <c r="N77" i="24"/>
  <c r="M77" i="24"/>
  <c r="O76" i="24"/>
  <c r="P76" i="24" s="1"/>
  <c r="N76" i="24"/>
  <c r="M76" i="24"/>
  <c r="O75" i="24"/>
  <c r="P75" i="24" s="1"/>
  <c r="N75" i="24"/>
  <c r="M75" i="24"/>
  <c r="O74" i="24"/>
  <c r="P74" i="24" s="1"/>
  <c r="N74" i="24"/>
  <c r="M74" i="24"/>
  <c r="O73" i="24"/>
  <c r="P73" i="24" s="1"/>
  <c r="N73" i="24"/>
  <c r="M73" i="24"/>
  <c r="O72" i="24"/>
  <c r="P72" i="24" s="1"/>
  <c r="N72" i="24"/>
  <c r="M72" i="24"/>
  <c r="O71" i="24"/>
  <c r="P71" i="24" s="1"/>
  <c r="N71" i="24"/>
  <c r="M71" i="24"/>
  <c r="O70" i="24"/>
  <c r="P70" i="24" s="1"/>
  <c r="N70" i="24"/>
  <c r="M70" i="24"/>
  <c r="O69" i="24"/>
  <c r="P69" i="24" s="1"/>
  <c r="N69" i="24"/>
  <c r="M69" i="24"/>
  <c r="O68" i="24"/>
  <c r="P68" i="24" s="1"/>
  <c r="N68" i="24"/>
  <c r="M68" i="24"/>
  <c r="O67" i="24"/>
  <c r="P67" i="24" s="1"/>
  <c r="N67" i="24"/>
  <c r="M67" i="24"/>
  <c r="O66" i="24"/>
  <c r="P66" i="24" s="1"/>
  <c r="N66" i="24"/>
  <c r="M66" i="24"/>
  <c r="O65" i="24"/>
  <c r="P65" i="24" s="1"/>
  <c r="N65" i="24"/>
  <c r="M65" i="24"/>
  <c r="O64" i="24"/>
  <c r="P64" i="24" s="1"/>
  <c r="N64" i="24"/>
  <c r="M64" i="24"/>
  <c r="O63" i="24"/>
  <c r="P63" i="24" s="1"/>
  <c r="N63" i="24"/>
  <c r="M63" i="24"/>
  <c r="O62" i="24"/>
  <c r="P62" i="24" s="1"/>
  <c r="N62" i="24"/>
  <c r="M62" i="24"/>
  <c r="O61" i="24"/>
  <c r="P61" i="24" s="1"/>
  <c r="N61" i="24"/>
  <c r="M61" i="24"/>
  <c r="O60" i="24"/>
  <c r="P60" i="24" s="1"/>
  <c r="N60" i="24"/>
  <c r="M60" i="24"/>
  <c r="O59" i="24"/>
  <c r="P59" i="24" s="1"/>
  <c r="N59" i="24"/>
  <c r="M59" i="24"/>
  <c r="O58" i="24"/>
  <c r="P58" i="24" s="1"/>
  <c r="N58" i="24"/>
  <c r="M58" i="24"/>
  <c r="O57" i="24"/>
  <c r="P57" i="24" s="1"/>
  <c r="N57" i="24"/>
  <c r="M57" i="24"/>
  <c r="O56" i="24"/>
  <c r="P56" i="24" s="1"/>
  <c r="N56" i="24"/>
  <c r="M56" i="24"/>
  <c r="O55" i="24"/>
  <c r="P55" i="24" s="1"/>
  <c r="N55" i="24"/>
  <c r="M55" i="24"/>
  <c r="O54" i="24"/>
  <c r="P54" i="24" s="1"/>
  <c r="N54" i="24"/>
  <c r="M54" i="24"/>
  <c r="O53" i="24"/>
  <c r="P53" i="24" s="1"/>
  <c r="N53" i="24"/>
  <c r="M53" i="24"/>
  <c r="O52" i="24"/>
  <c r="P52" i="24" s="1"/>
  <c r="N52" i="24"/>
  <c r="M52" i="24"/>
  <c r="O51" i="24"/>
  <c r="P51" i="24" s="1"/>
  <c r="N51" i="24"/>
  <c r="M51" i="24"/>
  <c r="O50" i="24"/>
  <c r="P50" i="24" s="1"/>
  <c r="N50" i="24"/>
  <c r="M50" i="24"/>
  <c r="O49" i="24"/>
  <c r="P49" i="24" s="1"/>
  <c r="N49" i="24"/>
  <c r="M49" i="24"/>
  <c r="O48" i="24"/>
  <c r="P48" i="24" s="1"/>
  <c r="N48" i="24"/>
  <c r="M48" i="24"/>
  <c r="O47" i="24"/>
  <c r="P47" i="24" s="1"/>
  <c r="N47" i="24"/>
  <c r="M47" i="24"/>
  <c r="O46" i="24"/>
  <c r="P46" i="24" s="1"/>
  <c r="N46" i="24"/>
  <c r="M46" i="24"/>
  <c r="O45" i="24"/>
  <c r="P45" i="24" s="1"/>
  <c r="N45" i="24"/>
  <c r="M45" i="24"/>
  <c r="O44" i="24"/>
  <c r="P44" i="24" s="1"/>
  <c r="N44" i="24"/>
  <c r="M44" i="24"/>
  <c r="O43" i="24"/>
  <c r="P43" i="24" s="1"/>
  <c r="N43" i="24"/>
  <c r="M43" i="24"/>
  <c r="O42" i="24"/>
  <c r="P42" i="24" s="1"/>
  <c r="N42" i="24"/>
  <c r="M42" i="24"/>
  <c r="O41" i="24"/>
  <c r="P41" i="24" s="1"/>
  <c r="N41" i="24"/>
  <c r="M41" i="24"/>
  <c r="O40" i="24"/>
  <c r="P40" i="24" s="1"/>
  <c r="N40" i="24"/>
  <c r="M40" i="24"/>
  <c r="O39" i="24"/>
  <c r="P39" i="24" s="1"/>
  <c r="N39" i="24"/>
  <c r="M39" i="24"/>
  <c r="O38" i="24"/>
  <c r="P38" i="24" s="1"/>
  <c r="N38" i="24"/>
  <c r="M38" i="24"/>
  <c r="O37" i="24"/>
  <c r="P37" i="24" s="1"/>
  <c r="N37" i="24"/>
  <c r="M37" i="24"/>
  <c r="O36" i="24"/>
  <c r="P36" i="24" s="1"/>
  <c r="N36" i="24"/>
  <c r="M36" i="24"/>
  <c r="O35" i="24"/>
  <c r="P35" i="24" s="1"/>
  <c r="N35" i="24"/>
  <c r="M35" i="24"/>
  <c r="O34" i="24"/>
  <c r="P34" i="24" s="1"/>
  <c r="N34" i="24"/>
  <c r="M34" i="24"/>
  <c r="O33" i="24"/>
  <c r="P33" i="24" s="1"/>
  <c r="N33" i="24"/>
  <c r="M33" i="24"/>
  <c r="O32" i="24"/>
  <c r="P32" i="24" s="1"/>
  <c r="N32" i="24"/>
  <c r="M32" i="24"/>
  <c r="O31" i="24"/>
  <c r="P31" i="24" s="1"/>
  <c r="N31" i="24"/>
  <c r="M31" i="24"/>
  <c r="O30" i="24"/>
  <c r="P30" i="24" s="1"/>
  <c r="N30" i="24"/>
  <c r="M30" i="24"/>
  <c r="O29" i="24"/>
  <c r="P29" i="24" s="1"/>
  <c r="N29" i="24"/>
  <c r="M29" i="24"/>
  <c r="O28" i="24"/>
  <c r="P28" i="24" s="1"/>
  <c r="N28" i="24"/>
  <c r="M28" i="24"/>
  <c r="O27" i="24"/>
  <c r="P27" i="24" s="1"/>
  <c r="N27" i="24"/>
  <c r="M27" i="24"/>
  <c r="O26" i="24"/>
  <c r="P26" i="24" s="1"/>
  <c r="N26" i="24"/>
  <c r="M26" i="24"/>
  <c r="O25" i="24"/>
  <c r="P25" i="24" s="1"/>
  <c r="N25" i="24"/>
  <c r="M25" i="24"/>
  <c r="M242" i="23"/>
  <c r="L242" i="23"/>
  <c r="O242" i="23" s="1"/>
  <c r="P242" i="23" s="1"/>
  <c r="M241" i="23"/>
  <c r="L241" i="23"/>
  <c r="O241" i="23" s="1"/>
  <c r="P241" i="23" s="1"/>
  <c r="M240" i="23"/>
  <c r="L240" i="23"/>
  <c r="O240" i="23" s="1"/>
  <c r="P240" i="23" s="1"/>
  <c r="M239" i="23"/>
  <c r="L239" i="23"/>
  <c r="O239" i="23" s="1"/>
  <c r="P239" i="23" s="1"/>
  <c r="M238" i="23"/>
  <c r="L238" i="23"/>
  <c r="O238" i="23" s="1"/>
  <c r="P238" i="23" s="1"/>
  <c r="M237" i="23"/>
  <c r="L237" i="23"/>
  <c r="O237" i="23" s="1"/>
  <c r="P237" i="23" s="1"/>
  <c r="M236" i="23"/>
  <c r="L236" i="23"/>
  <c r="O236" i="23" s="1"/>
  <c r="P236" i="23" s="1"/>
  <c r="M235" i="23"/>
  <c r="L235" i="23"/>
  <c r="O235" i="23" s="1"/>
  <c r="P235" i="23" s="1"/>
  <c r="M234" i="23"/>
  <c r="L234" i="23"/>
  <c r="O234" i="23" s="1"/>
  <c r="P234" i="23" s="1"/>
  <c r="M233" i="23"/>
  <c r="L233" i="23"/>
  <c r="O233" i="23" s="1"/>
  <c r="P233" i="23" s="1"/>
  <c r="M232" i="23"/>
  <c r="L232" i="23"/>
  <c r="O232" i="23" s="1"/>
  <c r="P232" i="23" s="1"/>
  <c r="M231" i="23"/>
  <c r="L231" i="23"/>
  <c r="O231" i="23" s="1"/>
  <c r="P231" i="23" s="1"/>
  <c r="M230" i="23"/>
  <c r="L230" i="23"/>
  <c r="O230" i="23" s="1"/>
  <c r="P230" i="23" s="1"/>
  <c r="M229" i="23"/>
  <c r="L229" i="23"/>
  <c r="O229" i="23" s="1"/>
  <c r="P229" i="23" s="1"/>
  <c r="M228" i="23"/>
  <c r="L228" i="23"/>
  <c r="O228" i="23" s="1"/>
  <c r="P228" i="23" s="1"/>
  <c r="M227" i="23"/>
  <c r="L227" i="23"/>
  <c r="O227" i="23" s="1"/>
  <c r="P227" i="23" s="1"/>
  <c r="M226" i="23"/>
  <c r="L226" i="23"/>
  <c r="O226" i="23" s="1"/>
  <c r="P226" i="23" s="1"/>
  <c r="M225" i="23"/>
  <c r="L225" i="23"/>
  <c r="O225" i="23" s="1"/>
  <c r="P225" i="23" s="1"/>
  <c r="M224" i="23"/>
  <c r="L224" i="23"/>
  <c r="O224" i="23" s="1"/>
  <c r="P224" i="23" s="1"/>
  <c r="M223" i="23"/>
  <c r="L223" i="23"/>
  <c r="O223" i="23" s="1"/>
  <c r="P223" i="23" s="1"/>
  <c r="M222" i="23"/>
  <c r="L222" i="23"/>
  <c r="O222" i="23" s="1"/>
  <c r="P222" i="23" s="1"/>
  <c r="M221" i="23"/>
  <c r="L221" i="23"/>
  <c r="O221" i="23" s="1"/>
  <c r="P221" i="23" s="1"/>
  <c r="M220" i="23"/>
  <c r="L220" i="23"/>
  <c r="O220" i="23" s="1"/>
  <c r="P220" i="23" s="1"/>
  <c r="M219" i="23"/>
  <c r="L219" i="23"/>
  <c r="O219" i="23" s="1"/>
  <c r="P219" i="23" s="1"/>
  <c r="M218" i="23"/>
  <c r="L218" i="23"/>
  <c r="O218" i="23" s="1"/>
  <c r="P218" i="23" s="1"/>
  <c r="M217" i="23"/>
  <c r="L217" i="23"/>
  <c r="O217" i="23" s="1"/>
  <c r="P217" i="23" s="1"/>
  <c r="M216" i="23"/>
  <c r="L216" i="23"/>
  <c r="O216" i="23" s="1"/>
  <c r="P216" i="23" s="1"/>
  <c r="M215" i="23"/>
  <c r="L215" i="23"/>
  <c r="O215" i="23" s="1"/>
  <c r="P215" i="23" s="1"/>
  <c r="M214" i="23"/>
  <c r="L214" i="23"/>
  <c r="O214" i="23" s="1"/>
  <c r="P214" i="23" s="1"/>
  <c r="M213" i="23"/>
  <c r="L213" i="23"/>
  <c r="O213" i="23" s="1"/>
  <c r="P213" i="23" s="1"/>
  <c r="M212" i="23"/>
  <c r="L212" i="23"/>
  <c r="O212" i="23" s="1"/>
  <c r="P212" i="23" s="1"/>
  <c r="M211" i="23"/>
  <c r="L211" i="23"/>
  <c r="O211" i="23" s="1"/>
  <c r="P211" i="23" s="1"/>
  <c r="M210" i="23"/>
  <c r="L210" i="23"/>
  <c r="O210" i="23" s="1"/>
  <c r="P210" i="23" s="1"/>
  <c r="O209" i="23"/>
  <c r="P209" i="23" s="1"/>
  <c r="M209" i="23"/>
  <c r="L209" i="23"/>
  <c r="M208" i="23"/>
  <c r="L208" i="23"/>
  <c r="O208" i="23" s="1"/>
  <c r="P208" i="23" s="1"/>
  <c r="M207" i="23"/>
  <c r="L207" i="23"/>
  <c r="O207" i="23" s="1"/>
  <c r="P207" i="23" s="1"/>
  <c r="M206" i="23"/>
  <c r="L206" i="23"/>
  <c r="O206" i="23" s="1"/>
  <c r="P206" i="23" s="1"/>
  <c r="M205" i="23"/>
  <c r="L205" i="23"/>
  <c r="O205" i="23" s="1"/>
  <c r="P205" i="23" s="1"/>
  <c r="M204" i="23"/>
  <c r="L204" i="23"/>
  <c r="O204" i="23" s="1"/>
  <c r="P204" i="23" s="1"/>
  <c r="M203" i="23"/>
  <c r="L203" i="23"/>
  <c r="O203" i="23" s="1"/>
  <c r="P203" i="23" s="1"/>
  <c r="M202" i="23"/>
  <c r="L202" i="23"/>
  <c r="O202" i="23" s="1"/>
  <c r="P202" i="23" s="1"/>
  <c r="M201" i="23"/>
  <c r="L201" i="23"/>
  <c r="O201" i="23" s="1"/>
  <c r="P201" i="23" s="1"/>
  <c r="M200" i="23"/>
  <c r="L200" i="23"/>
  <c r="O200" i="23" s="1"/>
  <c r="P200" i="23" s="1"/>
  <c r="M199" i="23"/>
  <c r="L199" i="23"/>
  <c r="O199" i="23" s="1"/>
  <c r="P199" i="23" s="1"/>
  <c r="M198" i="23"/>
  <c r="L198" i="23"/>
  <c r="O198" i="23" s="1"/>
  <c r="P198" i="23" s="1"/>
  <c r="M197" i="23"/>
  <c r="L197" i="23"/>
  <c r="O197" i="23" s="1"/>
  <c r="P197" i="23" s="1"/>
  <c r="M196" i="23"/>
  <c r="L196" i="23"/>
  <c r="O196" i="23" s="1"/>
  <c r="P196" i="23" s="1"/>
  <c r="M195" i="23"/>
  <c r="L195" i="23"/>
  <c r="M194" i="23"/>
  <c r="L194" i="23"/>
  <c r="O194" i="23" s="1"/>
  <c r="P194" i="23" s="1"/>
  <c r="M193" i="23"/>
  <c r="L193" i="23"/>
  <c r="O193" i="23" s="1"/>
  <c r="P193" i="23" s="1"/>
  <c r="M176" i="23"/>
  <c r="L176" i="23"/>
  <c r="O176" i="23" s="1"/>
  <c r="P176" i="23" s="1"/>
  <c r="M175" i="23"/>
  <c r="L175" i="23"/>
  <c r="O175" i="23" s="1"/>
  <c r="P175" i="23" s="1"/>
  <c r="M174" i="23"/>
  <c r="L174" i="23"/>
  <c r="O174" i="23" s="1"/>
  <c r="P174" i="23" s="1"/>
  <c r="M173" i="23"/>
  <c r="L173" i="23"/>
  <c r="O173" i="23" s="1"/>
  <c r="P173" i="23" s="1"/>
  <c r="M172" i="23"/>
  <c r="L172" i="23"/>
  <c r="O172" i="23" s="1"/>
  <c r="P172" i="23" s="1"/>
  <c r="M171" i="23"/>
  <c r="L171" i="23"/>
  <c r="O171" i="23" s="1"/>
  <c r="P171" i="23" s="1"/>
  <c r="M170" i="23"/>
  <c r="L170" i="23"/>
  <c r="O170" i="23" s="1"/>
  <c r="P170" i="23" s="1"/>
  <c r="M169" i="23"/>
  <c r="L169" i="23"/>
  <c r="O169" i="23" s="1"/>
  <c r="P169" i="23" s="1"/>
  <c r="M168" i="23"/>
  <c r="L168" i="23"/>
  <c r="O168" i="23" s="1"/>
  <c r="P168" i="23" s="1"/>
  <c r="M167" i="23"/>
  <c r="L167" i="23"/>
  <c r="O167" i="23" s="1"/>
  <c r="P167" i="23" s="1"/>
  <c r="M166" i="23"/>
  <c r="L166" i="23"/>
  <c r="O166" i="23" s="1"/>
  <c r="P166" i="23" s="1"/>
  <c r="M165" i="23"/>
  <c r="L165" i="23"/>
  <c r="O165" i="23" s="1"/>
  <c r="P165" i="23" s="1"/>
  <c r="M164" i="23"/>
  <c r="L164" i="23"/>
  <c r="O164" i="23" s="1"/>
  <c r="P164" i="23" s="1"/>
  <c r="M163" i="23"/>
  <c r="L163" i="23"/>
  <c r="O163" i="23" s="1"/>
  <c r="P163" i="23" s="1"/>
  <c r="M162" i="23"/>
  <c r="L162" i="23"/>
  <c r="O162" i="23" s="1"/>
  <c r="P162" i="23" s="1"/>
  <c r="M161" i="23"/>
  <c r="L161" i="23"/>
  <c r="O161" i="23" s="1"/>
  <c r="P161" i="23" s="1"/>
  <c r="M160" i="23"/>
  <c r="L160" i="23"/>
  <c r="O160" i="23" s="1"/>
  <c r="P160" i="23" s="1"/>
  <c r="M159" i="23"/>
  <c r="L159" i="23"/>
  <c r="O159" i="23" s="1"/>
  <c r="P159" i="23" s="1"/>
  <c r="M158" i="23"/>
  <c r="L158" i="23"/>
  <c r="O158" i="23" s="1"/>
  <c r="P158" i="23" s="1"/>
  <c r="M157" i="23"/>
  <c r="L157" i="23"/>
  <c r="O157" i="23" s="1"/>
  <c r="P157" i="23" s="1"/>
  <c r="M156" i="23"/>
  <c r="L156" i="23"/>
  <c r="O156" i="23" s="1"/>
  <c r="P156" i="23" s="1"/>
  <c r="M155" i="23"/>
  <c r="L155" i="23"/>
  <c r="O155" i="23" s="1"/>
  <c r="P155" i="23" s="1"/>
  <c r="M154" i="23"/>
  <c r="L154" i="23"/>
  <c r="O154" i="23" s="1"/>
  <c r="P154" i="23" s="1"/>
  <c r="M153" i="23"/>
  <c r="L153" i="23"/>
  <c r="O153" i="23" s="1"/>
  <c r="P153" i="23" s="1"/>
  <c r="M152" i="23"/>
  <c r="L152" i="23"/>
  <c r="O152" i="23" s="1"/>
  <c r="P152" i="23" s="1"/>
  <c r="M151" i="23"/>
  <c r="L151" i="23"/>
  <c r="O151" i="23" s="1"/>
  <c r="P151" i="23" s="1"/>
  <c r="M150" i="23"/>
  <c r="L150" i="23"/>
  <c r="O150" i="23" s="1"/>
  <c r="P150" i="23" s="1"/>
  <c r="M149" i="23"/>
  <c r="L149" i="23"/>
  <c r="O149" i="23" s="1"/>
  <c r="P149" i="23" s="1"/>
  <c r="M148" i="23"/>
  <c r="L148" i="23"/>
  <c r="O148" i="23" s="1"/>
  <c r="P148" i="23" s="1"/>
  <c r="M147" i="23"/>
  <c r="L147" i="23"/>
  <c r="O147" i="23" s="1"/>
  <c r="P147" i="23" s="1"/>
  <c r="M146" i="23"/>
  <c r="L146" i="23"/>
  <c r="O146" i="23" s="1"/>
  <c r="P146" i="23" s="1"/>
  <c r="M145" i="23"/>
  <c r="L145" i="23"/>
  <c r="O145" i="23" s="1"/>
  <c r="P145" i="23" s="1"/>
  <c r="M144" i="23"/>
  <c r="L144" i="23"/>
  <c r="O144" i="23" s="1"/>
  <c r="P144" i="23" s="1"/>
  <c r="M143" i="23"/>
  <c r="L143" i="23"/>
  <c r="O143" i="23" s="1"/>
  <c r="P143" i="23" s="1"/>
  <c r="M142" i="23"/>
  <c r="L142" i="23"/>
  <c r="O142" i="23" s="1"/>
  <c r="P142" i="23" s="1"/>
  <c r="M141" i="23"/>
  <c r="L141" i="23"/>
  <c r="O141" i="23" s="1"/>
  <c r="P141" i="23" s="1"/>
  <c r="M140" i="23"/>
  <c r="L140" i="23"/>
  <c r="O140" i="23" s="1"/>
  <c r="P140" i="23" s="1"/>
  <c r="M139" i="23"/>
  <c r="L139" i="23"/>
  <c r="O139" i="23" s="1"/>
  <c r="P139" i="23" s="1"/>
  <c r="M138" i="23"/>
  <c r="L138" i="23"/>
  <c r="O138" i="23" s="1"/>
  <c r="P138" i="23" s="1"/>
  <c r="M137" i="23"/>
  <c r="L137" i="23"/>
  <c r="O137" i="23" s="1"/>
  <c r="P137" i="23" s="1"/>
  <c r="M136" i="23"/>
  <c r="L136" i="23"/>
  <c r="O136" i="23" s="1"/>
  <c r="P136" i="23" s="1"/>
  <c r="M135" i="23"/>
  <c r="L135" i="23"/>
  <c r="O135" i="23" s="1"/>
  <c r="P135" i="23" s="1"/>
  <c r="M134" i="23"/>
  <c r="L134" i="23"/>
  <c r="O134" i="23" s="1"/>
  <c r="P134" i="23" s="1"/>
  <c r="M133" i="23"/>
  <c r="L133" i="23"/>
  <c r="O133" i="23" s="1"/>
  <c r="P133" i="23" s="1"/>
  <c r="M132" i="23"/>
  <c r="L132" i="23"/>
  <c r="O132" i="23" s="1"/>
  <c r="P132" i="23" s="1"/>
  <c r="M131" i="23"/>
  <c r="L131" i="23"/>
  <c r="O131" i="23" s="1"/>
  <c r="P131" i="23" s="1"/>
  <c r="M130" i="23"/>
  <c r="L130" i="23"/>
  <c r="O130" i="23" s="1"/>
  <c r="P130" i="23" s="1"/>
  <c r="M129" i="23"/>
  <c r="L129" i="23"/>
  <c r="O129" i="23" s="1"/>
  <c r="P129" i="23" s="1"/>
  <c r="M128" i="23"/>
  <c r="L128" i="23"/>
  <c r="O128" i="23" s="1"/>
  <c r="P128" i="23" s="1"/>
  <c r="M127" i="23"/>
  <c r="L127" i="23"/>
  <c r="O127" i="23" s="1"/>
  <c r="P127" i="23" s="1"/>
  <c r="M126" i="23"/>
  <c r="L126" i="23"/>
  <c r="O126" i="23" s="1"/>
  <c r="P126" i="23" s="1"/>
  <c r="M125" i="23"/>
  <c r="L125" i="23"/>
  <c r="O125" i="23" s="1"/>
  <c r="P125" i="23" s="1"/>
  <c r="M124" i="23"/>
  <c r="L124" i="23"/>
  <c r="O124" i="23" s="1"/>
  <c r="P124" i="23" s="1"/>
  <c r="M123" i="23"/>
  <c r="L123" i="23"/>
  <c r="O123" i="23" s="1"/>
  <c r="P123" i="23" s="1"/>
  <c r="M122" i="23"/>
  <c r="L122" i="23"/>
  <c r="O122" i="23" s="1"/>
  <c r="P122" i="23" s="1"/>
  <c r="M121" i="23"/>
  <c r="L121" i="23"/>
  <c r="O121" i="23" s="1"/>
  <c r="P121" i="23" s="1"/>
  <c r="M120" i="23"/>
  <c r="L120" i="23"/>
  <c r="O120" i="23" s="1"/>
  <c r="P120" i="23" s="1"/>
  <c r="M119" i="23"/>
  <c r="L119" i="23"/>
  <c r="O119" i="23" s="1"/>
  <c r="P119" i="23" s="1"/>
  <c r="M118" i="23"/>
  <c r="L118" i="23"/>
  <c r="O118" i="23" s="1"/>
  <c r="P118" i="23" s="1"/>
  <c r="M117" i="23"/>
  <c r="L117" i="23"/>
  <c r="O117" i="23" s="1"/>
  <c r="P117" i="23" s="1"/>
  <c r="M116" i="23"/>
  <c r="L116" i="23"/>
  <c r="O116" i="23" s="1"/>
  <c r="P116" i="23" s="1"/>
  <c r="M115" i="23"/>
  <c r="L115" i="23"/>
  <c r="O115" i="23" s="1"/>
  <c r="P115" i="23" s="1"/>
  <c r="M114" i="23"/>
  <c r="L114" i="23"/>
  <c r="O114" i="23" s="1"/>
  <c r="P114" i="23" s="1"/>
  <c r="M113" i="23"/>
  <c r="L113" i="23"/>
  <c r="O113" i="23" s="1"/>
  <c r="P113" i="23" s="1"/>
  <c r="M112" i="23"/>
  <c r="L112" i="23"/>
  <c r="O112" i="23" s="1"/>
  <c r="P112" i="23" s="1"/>
  <c r="M111" i="23"/>
  <c r="L111" i="23"/>
  <c r="O111" i="23" s="1"/>
  <c r="P111" i="23" s="1"/>
  <c r="M110" i="23"/>
  <c r="L110" i="23"/>
  <c r="O110" i="23" s="1"/>
  <c r="P110" i="23" s="1"/>
  <c r="M109" i="23"/>
  <c r="L109" i="23"/>
  <c r="O109" i="23" s="1"/>
  <c r="P109" i="23" s="1"/>
  <c r="M108" i="23"/>
  <c r="L108" i="23"/>
  <c r="O108" i="23" s="1"/>
  <c r="P108" i="23" s="1"/>
  <c r="M107" i="23"/>
  <c r="L107" i="23"/>
  <c r="O107" i="23" s="1"/>
  <c r="P107" i="23" s="1"/>
  <c r="M106" i="23"/>
  <c r="L106" i="23"/>
  <c r="O106" i="23" s="1"/>
  <c r="P106" i="23" s="1"/>
  <c r="M105" i="23"/>
  <c r="L105" i="23"/>
  <c r="O105" i="23" s="1"/>
  <c r="P105" i="23" s="1"/>
  <c r="M104" i="23"/>
  <c r="L104" i="23"/>
  <c r="O104" i="23" s="1"/>
  <c r="P104" i="23" s="1"/>
  <c r="M103" i="23"/>
  <c r="L103" i="23"/>
  <c r="O103" i="23" s="1"/>
  <c r="P103" i="23" s="1"/>
  <c r="M102" i="23"/>
  <c r="L102" i="23"/>
  <c r="O102" i="23" s="1"/>
  <c r="P102" i="23" s="1"/>
  <c r="M101" i="23"/>
  <c r="L101" i="23"/>
  <c r="O101" i="23" s="1"/>
  <c r="P101" i="23" s="1"/>
  <c r="M100" i="23"/>
  <c r="L100" i="23"/>
  <c r="O100" i="23" s="1"/>
  <c r="P100" i="23" s="1"/>
  <c r="M99" i="23"/>
  <c r="L99" i="23"/>
  <c r="O99" i="23" s="1"/>
  <c r="P99" i="23" s="1"/>
  <c r="M98" i="23"/>
  <c r="L98" i="23"/>
  <c r="O98" i="23" s="1"/>
  <c r="P98" i="23" s="1"/>
  <c r="M97" i="23"/>
  <c r="L97" i="23"/>
  <c r="O97" i="23" s="1"/>
  <c r="P97" i="23" s="1"/>
  <c r="M96" i="23"/>
  <c r="L96" i="23"/>
  <c r="O96" i="23" s="1"/>
  <c r="P96" i="23" s="1"/>
  <c r="M95" i="23"/>
  <c r="L95" i="23"/>
  <c r="O95" i="23" s="1"/>
  <c r="P95" i="23" s="1"/>
  <c r="M94" i="23"/>
  <c r="L94" i="23"/>
  <c r="O94" i="23" s="1"/>
  <c r="P94" i="23" s="1"/>
  <c r="M93" i="23"/>
  <c r="L93" i="23"/>
  <c r="O93" i="23" s="1"/>
  <c r="P93" i="23" s="1"/>
  <c r="M92" i="23"/>
  <c r="L92" i="23"/>
  <c r="O92" i="23" s="1"/>
  <c r="P92" i="23" s="1"/>
  <c r="M91" i="23"/>
  <c r="L91" i="23"/>
  <c r="O91" i="23" s="1"/>
  <c r="P91" i="23" s="1"/>
  <c r="M90" i="23"/>
  <c r="L90" i="23"/>
  <c r="O90" i="23" s="1"/>
  <c r="P90" i="23" s="1"/>
  <c r="M89" i="23"/>
  <c r="L89" i="23"/>
  <c r="O89" i="23" s="1"/>
  <c r="P89" i="23" s="1"/>
  <c r="M88" i="23"/>
  <c r="L88" i="23"/>
  <c r="O88" i="23" s="1"/>
  <c r="P88" i="23" s="1"/>
  <c r="M87" i="23"/>
  <c r="L87" i="23"/>
  <c r="O87" i="23" s="1"/>
  <c r="P87" i="23" s="1"/>
  <c r="M86" i="23"/>
  <c r="L86" i="23"/>
  <c r="O86" i="23" s="1"/>
  <c r="P86" i="23" s="1"/>
  <c r="M85" i="23"/>
  <c r="L85" i="23"/>
  <c r="O85" i="23" s="1"/>
  <c r="P85" i="23" s="1"/>
  <c r="M84" i="23"/>
  <c r="L84" i="23"/>
  <c r="O84" i="23" s="1"/>
  <c r="P84" i="23" s="1"/>
  <c r="M83" i="23"/>
  <c r="L83" i="23"/>
  <c r="O83" i="23" s="1"/>
  <c r="P83" i="23" s="1"/>
  <c r="M82" i="23"/>
  <c r="L82" i="23"/>
  <c r="O82" i="23" s="1"/>
  <c r="P82" i="23" s="1"/>
  <c r="M81" i="23"/>
  <c r="L81" i="23"/>
  <c r="O81" i="23" s="1"/>
  <c r="P81" i="23" s="1"/>
  <c r="M80" i="23"/>
  <c r="L80" i="23"/>
  <c r="O80" i="23" s="1"/>
  <c r="P80" i="23" s="1"/>
  <c r="M79" i="23"/>
  <c r="L79" i="23"/>
  <c r="O79" i="23" s="1"/>
  <c r="P79" i="23" s="1"/>
  <c r="M78" i="23"/>
  <c r="L78" i="23"/>
  <c r="O78" i="23" s="1"/>
  <c r="P78" i="23" s="1"/>
  <c r="M77" i="23"/>
  <c r="L77" i="23"/>
  <c r="O77" i="23" s="1"/>
  <c r="P77" i="23" s="1"/>
  <c r="M76" i="23"/>
  <c r="L76" i="23"/>
  <c r="O76" i="23" s="1"/>
  <c r="P76" i="23" s="1"/>
  <c r="M75" i="23"/>
  <c r="L75" i="23"/>
  <c r="O75" i="23" s="1"/>
  <c r="P75" i="23" s="1"/>
  <c r="M74" i="23"/>
  <c r="L74" i="23"/>
  <c r="O74" i="23" s="1"/>
  <c r="P74" i="23" s="1"/>
  <c r="M73" i="23"/>
  <c r="L73" i="23"/>
  <c r="O73" i="23" s="1"/>
  <c r="P73" i="23" s="1"/>
  <c r="M72" i="23"/>
  <c r="L72" i="23"/>
  <c r="O72" i="23" s="1"/>
  <c r="P72" i="23" s="1"/>
  <c r="M71" i="23"/>
  <c r="L71" i="23"/>
  <c r="O71" i="23" s="1"/>
  <c r="P71" i="23" s="1"/>
  <c r="M70" i="23"/>
  <c r="L70" i="23"/>
  <c r="O70" i="23" s="1"/>
  <c r="P70" i="23" s="1"/>
  <c r="M69" i="23"/>
  <c r="L69" i="23"/>
  <c r="O69" i="23" s="1"/>
  <c r="P69" i="23" s="1"/>
  <c r="M68" i="23"/>
  <c r="L68" i="23"/>
  <c r="O68" i="23" s="1"/>
  <c r="P68" i="23" s="1"/>
  <c r="M67" i="23"/>
  <c r="L67" i="23"/>
  <c r="O67" i="23" s="1"/>
  <c r="P67" i="23" s="1"/>
  <c r="M66" i="23"/>
  <c r="L66" i="23"/>
  <c r="O66" i="23" s="1"/>
  <c r="P66" i="23" s="1"/>
  <c r="M65" i="23"/>
  <c r="L65" i="23"/>
  <c r="O65" i="23" s="1"/>
  <c r="P65" i="23" s="1"/>
  <c r="M64" i="23"/>
  <c r="L64" i="23"/>
  <c r="O64" i="23" s="1"/>
  <c r="P64" i="23" s="1"/>
  <c r="M63" i="23"/>
  <c r="L63" i="23"/>
  <c r="O63" i="23" s="1"/>
  <c r="P63" i="23" s="1"/>
  <c r="M62" i="23"/>
  <c r="L62" i="23"/>
  <c r="O62" i="23" s="1"/>
  <c r="P62" i="23" s="1"/>
  <c r="M61" i="23"/>
  <c r="L61" i="23"/>
  <c r="O61" i="23" s="1"/>
  <c r="P61" i="23" s="1"/>
  <c r="M60" i="23"/>
  <c r="L60" i="23"/>
  <c r="O60" i="23" s="1"/>
  <c r="P60" i="23" s="1"/>
  <c r="M59" i="23"/>
  <c r="L59" i="23"/>
  <c r="O59" i="23" s="1"/>
  <c r="P59" i="23" s="1"/>
  <c r="M58" i="23"/>
  <c r="L58" i="23"/>
  <c r="O58" i="23" s="1"/>
  <c r="P58" i="23" s="1"/>
  <c r="M57" i="23"/>
  <c r="L57" i="23"/>
  <c r="O57" i="23" s="1"/>
  <c r="P57" i="23" s="1"/>
  <c r="M56" i="23"/>
  <c r="L56" i="23"/>
  <c r="O56" i="23" s="1"/>
  <c r="P56" i="23" s="1"/>
  <c r="M55" i="23"/>
  <c r="L55" i="23"/>
  <c r="O55" i="23" s="1"/>
  <c r="P55" i="23" s="1"/>
  <c r="M54" i="23"/>
  <c r="L54" i="23"/>
  <c r="O54" i="23" s="1"/>
  <c r="P54" i="23" s="1"/>
  <c r="M53" i="23"/>
  <c r="L53" i="23"/>
  <c r="O53" i="23" s="1"/>
  <c r="P53" i="23" s="1"/>
  <c r="M52" i="23"/>
  <c r="L52" i="23"/>
  <c r="O52" i="23" s="1"/>
  <c r="P52" i="23" s="1"/>
  <c r="M51" i="23"/>
  <c r="L51" i="23"/>
  <c r="O51" i="23" s="1"/>
  <c r="P51" i="23" s="1"/>
  <c r="M50" i="23"/>
  <c r="L50" i="23"/>
  <c r="O50" i="23" s="1"/>
  <c r="P50" i="23" s="1"/>
  <c r="M49" i="23"/>
  <c r="L49" i="23"/>
  <c r="O49" i="23" s="1"/>
  <c r="P49" i="23" s="1"/>
  <c r="M48" i="23"/>
  <c r="L48" i="23"/>
  <c r="O48" i="23" s="1"/>
  <c r="P48" i="23" s="1"/>
  <c r="M47" i="23"/>
  <c r="L47" i="23"/>
  <c r="O47" i="23" s="1"/>
  <c r="P47" i="23" s="1"/>
  <c r="M46" i="23"/>
  <c r="L46" i="23"/>
  <c r="O46" i="23" s="1"/>
  <c r="P46" i="23" s="1"/>
  <c r="M45" i="23"/>
  <c r="L45" i="23"/>
  <c r="O45" i="23" s="1"/>
  <c r="P45" i="23" s="1"/>
  <c r="M44" i="23"/>
  <c r="L44" i="23"/>
  <c r="O44" i="23" s="1"/>
  <c r="P44" i="23" s="1"/>
  <c r="M43" i="23"/>
  <c r="L43" i="23"/>
  <c r="O43" i="23" s="1"/>
  <c r="P43" i="23" s="1"/>
  <c r="M42" i="23"/>
  <c r="L42" i="23"/>
  <c r="O42" i="23" s="1"/>
  <c r="P42" i="23" s="1"/>
  <c r="M41" i="23"/>
  <c r="L41" i="23"/>
  <c r="O41" i="23" s="1"/>
  <c r="P41" i="23" s="1"/>
  <c r="M40" i="23"/>
  <c r="L40" i="23"/>
  <c r="O40" i="23" s="1"/>
  <c r="P40" i="23" s="1"/>
  <c r="M39" i="23"/>
  <c r="L39" i="23"/>
  <c r="O39" i="23" s="1"/>
  <c r="P39" i="23" s="1"/>
  <c r="M38" i="23"/>
  <c r="L38" i="23"/>
  <c r="O38" i="23" s="1"/>
  <c r="P38" i="23" s="1"/>
  <c r="M37" i="23"/>
  <c r="L37" i="23"/>
  <c r="O37" i="23" s="1"/>
  <c r="P37" i="23" s="1"/>
  <c r="M36" i="23"/>
  <c r="L36" i="23"/>
  <c r="O36" i="23" s="1"/>
  <c r="P36" i="23" s="1"/>
  <c r="M35" i="23"/>
  <c r="L35" i="23"/>
  <c r="O35" i="23" s="1"/>
  <c r="P35" i="23" s="1"/>
  <c r="M34" i="23"/>
  <c r="L34" i="23"/>
  <c r="O34" i="23" s="1"/>
  <c r="P34" i="23" s="1"/>
  <c r="M33" i="23"/>
  <c r="L33" i="23"/>
  <c r="O33" i="23" s="1"/>
  <c r="P33" i="23" s="1"/>
  <c r="M32" i="23"/>
  <c r="L32" i="23"/>
  <c r="O32" i="23" s="1"/>
  <c r="P32" i="23" s="1"/>
  <c r="M31" i="23"/>
  <c r="L31" i="23"/>
  <c r="O31" i="23" s="1"/>
  <c r="P31" i="23" s="1"/>
  <c r="M30" i="23"/>
  <c r="L30" i="23"/>
  <c r="O30" i="23" s="1"/>
  <c r="P30" i="23" s="1"/>
  <c r="M29" i="23"/>
  <c r="L29" i="23"/>
  <c r="O29" i="23" s="1"/>
  <c r="P29" i="23" s="1"/>
  <c r="M28" i="23"/>
  <c r="L28" i="23"/>
  <c r="O28" i="23" s="1"/>
  <c r="P28" i="23" s="1"/>
  <c r="M27" i="23"/>
  <c r="L27" i="23"/>
  <c r="S26" i="23"/>
  <c r="S25" i="23"/>
  <c r="CC15" i="22"/>
  <c r="AS16" i="20" s="1"/>
  <c r="CC14" i="22"/>
  <c r="O48" i="21"/>
  <c r="O47" i="21"/>
  <c r="N47" i="21"/>
  <c r="O46" i="21"/>
  <c r="N46" i="21"/>
  <c r="O45" i="21"/>
  <c r="N45" i="21"/>
  <c r="O44" i="21"/>
  <c r="N44" i="21"/>
  <c r="O43" i="21"/>
  <c r="N43" i="21"/>
  <c r="O42" i="21"/>
  <c r="N42" i="21"/>
  <c r="O41" i="21"/>
  <c r="N41" i="21"/>
  <c r="O40" i="21"/>
  <c r="N40" i="21"/>
  <c r="O39" i="21"/>
  <c r="N39" i="21"/>
  <c r="O38" i="21"/>
  <c r="N38" i="21"/>
  <c r="O37" i="21"/>
  <c r="N37" i="21"/>
  <c r="O36" i="21"/>
  <c r="N36" i="21"/>
  <c r="O35" i="21"/>
  <c r="N35" i="21"/>
  <c r="O34" i="21"/>
  <c r="N34" i="21"/>
  <c r="O33" i="21"/>
  <c r="N33" i="21"/>
  <c r="O32" i="21"/>
  <c r="N32" i="21"/>
  <c r="O31" i="21"/>
  <c r="N31" i="21"/>
  <c r="O30" i="21"/>
  <c r="N30" i="21"/>
  <c r="O29" i="21"/>
  <c r="N29" i="21"/>
  <c r="O28" i="21"/>
  <c r="N28" i="21"/>
  <c r="O27" i="21"/>
  <c r="N27" i="21"/>
  <c r="O26" i="21"/>
  <c r="N26" i="21"/>
  <c r="O25" i="21"/>
  <c r="N25" i="21"/>
  <c r="O24" i="21"/>
  <c r="N24" i="21"/>
  <c r="O23" i="21"/>
  <c r="N23" i="21"/>
  <c r="O22" i="21"/>
  <c r="N22" i="21"/>
  <c r="O21" i="21"/>
  <c r="N21" i="21"/>
  <c r="O20" i="21"/>
  <c r="N20" i="21"/>
  <c r="O19" i="21"/>
  <c r="N19" i="21"/>
  <c r="O18" i="21"/>
  <c r="N18" i="21"/>
  <c r="O15" i="21"/>
  <c r="O14" i="21"/>
  <c r="N14" i="21"/>
  <c r="O10" i="21"/>
  <c r="O9" i="21"/>
  <c r="O8" i="21"/>
  <c r="O7" i="21"/>
  <c r="O6" i="21"/>
  <c r="O5" i="21"/>
  <c r="AY116" i="20"/>
  <c r="AV116" i="20"/>
  <c r="AT116" i="20"/>
  <c r="AS116" i="20"/>
  <c r="AR116" i="20"/>
  <c r="AQ116" i="20"/>
  <c r="AP116" i="20"/>
  <c r="AA116" i="20"/>
  <c r="AY115" i="20"/>
  <c r="AV115" i="20"/>
  <c r="AT115" i="20"/>
  <c r="AS115" i="20"/>
  <c r="AR115" i="20"/>
  <c r="AQ115" i="20"/>
  <c r="AP115" i="20"/>
  <c r="AA115" i="20"/>
  <c r="AY114" i="20"/>
  <c r="AV114" i="20"/>
  <c r="AT114" i="20"/>
  <c r="AS114" i="20"/>
  <c r="AR114" i="20"/>
  <c r="AQ114" i="20"/>
  <c r="AP114" i="20"/>
  <c r="AA114" i="20"/>
  <c r="AY113" i="20"/>
  <c r="AV113" i="20"/>
  <c r="AT113" i="20"/>
  <c r="AS113" i="20"/>
  <c r="AR113" i="20"/>
  <c r="AQ113" i="20"/>
  <c r="AP113" i="20"/>
  <c r="AA113" i="20"/>
  <c r="AY112" i="20"/>
  <c r="AV112" i="20"/>
  <c r="AT112" i="20"/>
  <c r="AS112" i="20"/>
  <c r="AR112" i="20"/>
  <c r="AQ112" i="20"/>
  <c r="AP112" i="20"/>
  <c r="AA112" i="20"/>
  <c r="AY111" i="20"/>
  <c r="AV111" i="20"/>
  <c r="AT111" i="20"/>
  <c r="AS111" i="20"/>
  <c r="AR111" i="20"/>
  <c r="AQ111" i="20"/>
  <c r="AP111" i="20"/>
  <c r="AA111" i="20"/>
  <c r="AY110" i="20"/>
  <c r="AV110" i="20"/>
  <c r="AT110" i="20"/>
  <c r="AS110" i="20"/>
  <c r="AR110" i="20"/>
  <c r="AQ110" i="20"/>
  <c r="AP110" i="20"/>
  <c r="AA110" i="20"/>
  <c r="AY109" i="20"/>
  <c r="AV109" i="20"/>
  <c r="AT109" i="20"/>
  <c r="AS109" i="20"/>
  <c r="AR109" i="20"/>
  <c r="AQ109" i="20"/>
  <c r="AP109" i="20"/>
  <c r="AA109" i="20"/>
  <c r="AY108" i="20"/>
  <c r="AV108" i="20"/>
  <c r="AT108" i="20"/>
  <c r="AS108" i="20"/>
  <c r="AR108" i="20"/>
  <c r="AQ108" i="20"/>
  <c r="AP108" i="20"/>
  <c r="AA108" i="20"/>
  <c r="AY107" i="20"/>
  <c r="AV107" i="20"/>
  <c r="AT107" i="20"/>
  <c r="AS107" i="20"/>
  <c r="AR107" i="20"/>
  <c r="AQ107" i="20"/>
  <c r="AP107" i="20"/>
  <c r="AA107" i="20"/>
  <c r="AY106" i="20"/>
  <c r="AV106" i="20"/>
  <c r="AT106" i="20"/>
  <c r="AS106" i="20"/>
  <c r="AR106" i="20"/>
  <c r="AQ106" i="20"/>
  <c r="AP106" i="20"/>
  <c r="AA106" i="20"/>
  <c r="AY105" i="20"/>
  <c r="AV105" i="20"/>
  <c r="AT105" i="20"/>
  <c r="AS105" i="20"/>
  <c r="AR105" i="20"/>
  <c r="AQ105" i="20"/>
  <c r="AP105" i="20"/>
  <c r="AA105" i="20"/>
  <c r="AY104" i="20"/>
  <c r="AV104" i="20"/>
  <c r="AT104" i="20"/>
  <c r="AS104" i="20"/>
  <c r="AR104" i="20"/>
  <c r="AQ104" i="20"/>
  <c r="AP104" i="20"/>
  <c r="AA104" i="20"/>
  <c r="AY103" i="20"/>
  <c r="AV103" i="20"/>
  <c r="AT103" i="20"/>
  <c r="AS103" i="20"/>
  <c r="AR103" i="20"/>
  <c r="AQ103" i="20"/>
  <c r="AP103" i="20"/>
  <c r="AA103" i="20"/>
  <c r="AY102" i="20"/>
  <c r="AV102" i="20"/>
  <c r="AT102" i="20"/>
  <c r="AS102" i="20"/>
  <c r="AR102" i="20"/>
  <c r="AQ102" i="20"/>
  <c r="AP102" i="20"/>
  <c r="AA102" i="20"/>
  <c r="AY101" i="20"/>
  <c r="AV101" i="20"/>
  <c r="AT101" i="20"/>
  <c r="AS101" i="20"/>
  <c r="AR101" i="20"/>
  <c r="AQ101" i="20"/>
  <c r="AP101" i="20"/>
  <c r="AA101" i="20"/>
  <c r="AY100" i="20"/>
  <c r="AV100" i="20"/>
  <c r="AT100" i="20"/>
  <c r="AS100" i="20"/>
  <c r="AR100" i="20"/>
  <c r="AQ100" i="20"/>
  <c r="AP100" i="20"/>
  <c r="AA100" i="20"/>
  <c r="AY99" i="20"/>
  <c r="AV99" i="20"/>
  <c r="AT99" i="20"/>
  <c r="AS99" i="20"/>
  <c r="AR99" i="20"/>
  <c r="AQ99" i="20"/>
  <c r="AP99" i="20"/>
  <c r="AA99" i="20"/>
  <c r="AY98" i="20"/>
  <c r="AV98" i="20"/>
  <c r="AT98" i="20"/>
  <c r="AS98" i="20"/>
  <c r="AR98" i="20"/>
  <c r="AQ98" i="20"/>
  <c r="AP98" i="20"/>
  <c r="AA98" i="20"/>
  <c r="AY97" i="20"/>
  <c r="AV97" i="20"/>
  <c r="AT97" i="20"/>
  <c r="AS97" i="20"/>
  <c r="AR97" i="20"/>
  <c r="AQ97" i="20"/>
  <c r="AP97" i="20"/>
  <c r="AA97" i="20"/>
  <c r="AY96" i="20"/>
  <c r="AV96" i="20"/>
  <c r="AT96" i="20"/>
  <c r="AS96" i="20"/>
  <c r="AR96" i="20"/>
  <c r="AQ96" i="20"/>
  <c r="AP96" i="20"/>
  <c r="AA96" i="20"/>
  <c r="AY95" i="20"/>
  <c r="AV95" i="20"/>
  <c r="AT95" i="20"/>
  <c r="AS95" i="20"/>
  <c r="AR95" i="20"/>
  <c r="AQ95" i="20"/>
  <c r="AP95" i="20"/>
  <c r="AA95" i="20"/>
  <c r="AY94" i="20"/>
  <c r="AV94" i="20"/>
  <c r="AT94" i="20"/>
  <c r="AS94" i="20"/>
  <c r="AR94" i="20"/>
  <c r="AQ94" i="20"/>
  <c r="AP94" i="20"/>
  <c r="AA94" i="20"/>
  <c r="AY93" i="20"/>
  <c r="AV93" i="20"/>
  <c r="AT93" i="20"/>
  <c r="AS93" i="20"/>
  <c r="AR93" i="20"/>
  <c r="AQ93" i="20"/>
  <c r="AP93" i="20"/>
  <c r="AA93" i="20"/>
  <c r="AY92" i="20"/>
  <c r="AV92" i="20"/>
  <c r="AT92" i="20"/>
  <c r="AS92" i="20"/>
  <c r="AR92" i="20"/>
  <c r="AQ92" i="20"/>
  <c r="AP92" i="20"/>
  <c r="AA92" i="20"/>
  <c r="AY91" i="20"/>
  <c r="AV91" i="20"/>
  <c r="AT91" i="20"/>
  <c r="AS91" i="20"/>
  <c r="AR91" i="20"/>
  <c r="AQ91" i="20"/>
  <c r="AP91" i="20"/>
  <c r="AA91" i="20"/>
  <c r="AY90" i="20"/>
  <c r="AV90" i="20"/>
  <c r="AT90" i="20"/>
  <c r="AS90" i="20"/>
  <c r="AR90" i="20"/>
  <c r="AQ90" i="20"/>
  <c r="AP90" i="20"/>
  <c r="AA90" i="20"/>
  <c r="AY89" i="20"/>
  <c r="AV89" i="20"/>
  <c r="AT89" i="20"/>
  <c r="AS89" i="20"/>
  <c r="AR89" i="20"/>
  <c r="AQ89" i="20"/>
  <c r="AP89" i="20"/>
  <c r="AA89" i="20"/>
  <c r="AY88" i="20"/>
  <c r="AV88" i="20"/>
  <c r="AT88" i="20"/>
  <c r="AS88" i="20"/>
  <c r="AR88" i="20"/>
  <c r="AQ88" i="20"/>
  <c r="AP88" i="20"/>
  <c r="AA88" i="20"/>
  <c r="AY87" i="20"/>
  <c r="AV87" i="20"/>
  <c r="AT87" i="20"/>
  <c r="AS87" i="20"/>
  <c r="AR87" i="20"/>
  <c r="AQ87" i="20"/>
  <c r="AP87" i="20"/>
  <c r="AA87" i="20"/>
  <c r="AY86" i="20"/>
  <c r="AV86" i="20"/>
  <c r="AT86" i="20"/>
  <c r="AS86" i="20"/>
  <c r="AR86" i="20"/>
  <c r="AQ86" i="20"/>
  <c r="AP86" i="20"/>
  <c r="AA86" i="20"/>
  <c r="AY85" i="20"/>
  <c r="AV85" i="20"/>
  <c r="AT85" i="20"/>
  <c r="AS85" i="20"/>
  <c r="AR85" i="20"/>
  <c r="AQ85" i="20"/>
  <c r="AP85" i="20"/>
  <c r="AA85" i="20"/>
  <c r="AY84" i="20"/>
  <c r="AV84" i="20"/>
  <c r="AT84" i="20"/>
  <c r="AS84" i="20"/>
  <c r="AR84" i="20"/>
  <c r="AQ84" i="20"/>
  <c r="AP84" i="20"/>
  <c r="AA84" i="20"/>
  <c r="AY83" i="20"/>
  <c r="AV83" i="20"/>
  <c r="AT83" i="20"/>
  <c r="AS83" i="20"/>
  <c r="AR83" i="20"/>
  <c r="AQ83" i="20"/>
  <c r="AP83" i="20"/>
  <c r="AA83" i="20"/>
  <c r="AY82" i="20"/>
  <c r="AV82" i="20"/>
  <c r="AT82" i="20"/>
  <c r="AS82" i="20"/>
  <c r="AR82" i="20"/>
  <c r="AQ82" i="20"/>
  <c r="AP82" i="20"/>
  <c r="AA82" i="20"/>
  <c r="AY81" i="20"/>
  <c r="AV81" i="20"/>
  <c r="AT81" i="20"/>
  <c r="AS81" i="20"/>
  <c r="AR81" i="20"/>
  <c r="AQ81" i="20"/>
  <c r="AP81" i="20"/>
  <c r="AA81" i="20"/>
  <c r="AY80" i="20"/>
  <c r="AV80" i="20"/>
  <c r="AT80" i="20"/>
  <c r="AS80" i="20"/>
  <c r="AR80" i="20"/>
  <c r="AQ80" i="20"/>
  <c r="AP80" i="20"/>
  <c r="AA80" i="20"/>
  <c r="AY79" i="20"/>
  <c r="AV79" i="20"/>
  <c r="AT79" i="20"/>
  <c r="AS79" i="20"/>
  <c r="AR79" i="20"/>
  <c r="AQ79" i="20"/>
  <c r="AP79" i="20"/>
  <c r="AA79" i="20"/>
  <c r="AY78" i="20"/>
  <c r="AV78" i="20"/>
  <c r="AT78" i="20"/>
  <c r="AS78" i="20"/>
  <c r="AR78" i="20"/>
  <c r="AQ78" i="20"/>
  <c r="AP78" i="20"/>
  <c r="AA78" i="20"/>
  <c r="AY77" i="20"/>
  <c r="AV77" i="20"/>
  <c r="AT77" i="20"/>
  <c r="AS77" i="20"/>
  <c r="AR77" i="20"/>
  <c r="AQ77" i="20"/>
  <c r="AP77" i="20"/>
  <c r="AA77" i="20"/>
  <c r="AY76" i="20"/>
  <c r="AV76" i="20"/>
  <c r="AT76" i="20"/>
  <c r="AS76" i="20"/>
  <c r="AR76" i="20"/>
  <c r="AQ76" i="20"/>
  <c r="AP76" i="20"/>
  <c r="AA76" i="20"/>
  <c r="AY75" i="20"/>
  <c r="AV75" i="20"/>
  <c r="AT75" i="20"/>
  <c r="AS75" i="20"/>
  <c r="AR75" i="20"/>
  <c r="AQ75" i="20"/>
  <c r="AP75" i="20"/>
  <c r="AA75" i="20"/>
  <c r="AY74" i="20"/>
  <c r="AV74" i="20"/>
  <c r="AT74" i="20"/>
  <c r="AS74" i="20"/>
  <c r="AR74" i="20"/>
  <c r="AQ74" i="20"/>
  <c r="AP74" i="20"/>
  <c r="AA74" i="20"/>
  <c r="AY73" i="20"/>
  <c r="AV73" i="20"/>
  <c r="AT73" i="20"/>
  <c r="AS73" i="20"/>
  <c r="AR73" i="20"/>
  <c r="AQ73" i="20"/>
  <c r="AP73" i="20"/>
  <c r="AA73" i="20"/>
  <c r="AY72" i="20"/>
  <c r="AV72" i="20"/>
  <c r="AT72" i="20"/>
  <c r="AS72" i="20"/>
  <c r="AR72" i="20"/>
  <c r="AQ72" i="20"/>
  <c r="AP72" i="20"/>
  <c r="AA72" i="20"/>
  <c r="AY71" i="20"/>
  <c r="AV71" i="20"/>
  <c r="AT71" i="20"/>
  <c r="AS71" i="20"/>
  <c r="AR71" i="20"/>
  <c r="AQ71" i="20"/>
  <c r="AP71" i="20"/>
  <c r="AA71" i="20"/>
  <c r="AY70" i="20"/>
  <c r="AV70" i="20"/>
  <c r="AT70" i="20"/>
  <c r="AS70" i="20"/>
  <c r="AR70" i="20"/>
  <c r="AQ70" i="20"/>
  <c r="AP70" i="20"/>
  <c r="AA70" i="20"/>
  <c r="AY69" i="20"/>
  <c r="AV69" i="20"/>
  <c r="AT69" i="20"/>
  <c r="AS69" i="20"/>
  <c r="AR69" i="20"/>
  <c r="AQ69" i="20"/>
  <c r="AP69" i="20"/>
  <c r="AA69" i="20"/>
  <c r="AY68" i="20"/>
  <c r="AV68" i="20"/>
  <c r="AT68" i="20"/>
  <c r="AS68" i="20"/>
  <c r="AR68" i="20"/>
  <c r="AQ68" i="20"/>
  <c r="AP68" i="20"/>
  <c r="AA68" i="20"/>
  <c r="AY67" i="20"/>
  <c r="AV67" i="20"/>
  <c r="AT67" i="20"/>
  <c r="AS67" i="20"/>
  <c r="AR67" i="20"/>
  <c r="AQ67" i="20"/>
  <c r="AP67" i="20"/>
  <c r="AA67" i="20"/>
  <c r="AY66" i="20"/>
  <c r="AV66" i="20"/>
  <c r="AT66" i="20"/>
  <c r="AS66" i="20"/>
  <c r="AR66" i="20"/>
  <c r="AQ66" i="20"/>
  <c r="AP66" i="20"/>
  <c r="AA66" i="20"/>
  <c r="AY65" i="20"/>
  <c r="AV65" i="20"/>
  <c r="AT65" i="20"/>
  <c r="AS65" i="20"/>
  <c r="AR65" i="20"/>
  <c r="AQ65" i="20"/>
  <c r="AP65" i="20"/>
  <c r="AA65" i="20"/>
  <c r="AY64" i="20"/>
  <c r="AV64" i="20"/>
  <c r="AT64" i="20"/>
  <c r="AS64" i="20"/>
  <c r="AR64" i="20"/>
  <c r="AQ64" i="20"/>
  <c r="AP64" i="20"/>
  <c r="AA64" i="20"/>
  <c r="AY63" i="20"/>
  <c r="AV63" i="20"/>
  <c r="AT63" i="20"/>
  <c r="AS63" i="20"/>
  <c r="AR63" i="20"/>
  <c r="AQ63" i="20"/>
  <c r="AP63" i="20"/>
  <c r="AA63" i="20"/>
  <c r="AY62" i="20"/>
  <c r="AV62" i="20"/>
  <c r="AT62" i="20"/>
  <c r="AS62" i="20"/>
  <c r="AR62" i="20"/>
  <c r="AQ62" i="20"/>
  <c r="AP62" i="20"/>
  <c r="AA62" i="20"/>
  <c r="AY61" i="20"/>
  <c r="AV61" i="20"/>
  <c r="AT61" i="20"/>
  <c r="AS61" i="20"/>
  <c r="AR61" i="20"/>
  <c r="AQ61" i="20"/>
  <c r="AP61" i="20"/>
  <c r="AA61" i="20"/>
  <c r="AY60" i="20"/>
  <c r="AV60" i="20"/>
  <c r="AT60" i="20"/>
  <c r="AS60" i="20"/>
  <c r="AR60" i="20"/>
  <c r="AQ60" i="20"/>
  <c r="AP60" i="20"/>
  <c r="AA60" i="20"/>
  <c r="AY59" i="20"/>
  <c r="AV59" i="20"/>
  <c r="AT59" i="20"/>
  <c r="AS59" i="20"/>
  <c r="AR59" i="20"/>
  <c r="AQ59" i="20"/>
  <c r="AP59" i="20"/>
  <c r="AA59" i="20"/>
  <c r="AY58" i="20"/>
  <c r="AV58" i="20"/>
  <c r="AT58" i="20"/>
  <c r="AS58" i="20"/>
  <c r="AR58" i="20"/>
  <c r="AQ58" i="20"/>
  <c r="AP58" i="20"/>
  <c r="AA58" i="20"/>
  <c r="AY57" i="20"/>
  <c r="AV57" i="20"/>
  <c r="AT57" i="20"/>
  <c r="AS57" i="20"/>
  <c r="AR57" i="20"/>
  <c r="AQ57" i="20"/>
  <c r="AP57" i="20"/>
  <c r="AA57" i="20"/>
  <c r="AY56" i="20"/>
  <c r="AV56" i="20"/>
  <c r="AT56" i="20"/>
  <c r="AS56" i="20"/>
  <c r="AR56" i="20"/>
  <c r="AQ56" i="20"/>
  <c r="AP56" i="20"/>
  <c r="AA56" i="20"/>
  <c r="AY55" i="20"/>
  <c r="AV55" i="20"/>
  <c r="AT55" i="20"/>
  <c r="AS55" i="20"/>
  <c r="AR55" i="20"/>
  <c r="AQ55" i="20"/>
  <c r="AP55" i="20"/>
  <c r="AA55" i="20"/>
  <c r="AY54" i="20"/>
  <c r="AV54" i="20"/>
  <c r="AT54" i="20"/>
  <c r="AS54" i="20"/>
  <c r="AR54" i="20"/>
  <c r="AQ54" i="20"/>
  <c r="AP54" i="20"/>
  <c r="AA54" i="20"/>
  <c r="AY53" i="20"/>
  <c r="AV53" i="20"/>
  <c r="AT53" i="20"/>
  <c r="AS53" i="20"/>
  <c r="AR53" i="20"/>
  <c r="AQ53" i="20"/>
  <c r="AP53" i="20"/>
  <c r="AA53" i="20"/>
  <c r="AY52" i="20"/>
  <c r="AV52" i="20"/>
  <c r="AT52" i="20"/>
  <c r="AS52" i="20"/>
  <c r="AR52" i="20"/>
  <c r="AQ52" i="20"/>
  <c r="AP52" i="20"/>
  <c r="AA52" i="20"/>
  <c r="AY51" i="20"/>
  <c r="AV51" i="20"/>
  <c r="AT51" i="20"/>
  <c r="AS51" i="20"/>
  <c r="AR51" i="20"/>
  <c r="AQ51" i="20"/>
  <c r="AP51" i="20"/>
  <c r="AA51" i="20"/>
  <c r="AY50" i="20"/>
  <c r="AV50" i="20"/>
  <c r="AT50" i="20"/>
  <c r="AS50" i="20"/>
  <c r="AR50" i="20"/>
  <c r="AQ50" i="20"/>
  <c r="AP50" i="20"/>
  <c r="AA50" i="20"/>
  <c r="AY49" i="20"/>
  <c r="AV49" i="20"/>
  <c r="AT49" i="20"/>
  <c r="AS49" i="20"/>
  <c r="AR49" i="20"/>
  <c r="AQ49" i="20"/>
  <c r="AP49" i="20"/>
  <c r="AA49" i="20"/>
  <c r="AY48" i="20"/>
  <c r="AV48" i="20"/>
  <c r="AT48" i="20"/>
  <c r="AS48" i="20"/>
  <c r="AR48" i="20"/>
  <c r="AQ48" i="20"/>
  <c r="AP48" i="20"/>
  <c r="AA48" i="20"/>
  <c r="AY47" i="20"/>
  <c r="AV47" i="20"/>
  <c r="AT47" i="20"/>
  <c r="AS47" i="20"/>
  <c r="AR47" i="20"/>
  <c r="AQ47" i="20"/>
  <c r="AP47" i="20"/>
  <c r="AA47" i="20"/>
  <c r="AY46" i="20"/>
  <c r="AV46" i="20"/>
  <c r="AT46" i="20"/>
  <c r="AS46" i="20"/>
  <c r="AR46" i="20"/>
  <c r="AQ46" i="20"/>
  <c r="AP46" i="20"/>
  <c r="AA46" i="20"/>
  <c r="AY45" i="20"/>
  <c r="AV45" i="20"/>
  <c r="AT45" i="20"/>
  <c r="AS45" i="20"/>
  <c r="AR45" i="20"/>
  <c r="AQ45" i="20"/>
  <c r="AP45" i="20"/>
  <c r="AA45" i="20"/>
  <c r="AY44" i="20"/>
  <c r="AV44" i="20"/>
  <c r="AT44" i="20"/>
  <c r="AS44" i="20"/>
  <c r="AR44" i="20"/>
  <c r="AQ44" i="20"/>
  <c r="AP44" i="20"/>
  <c r="AA44" i="20"/>
  <c r="AY43" i="20"/>
  <c r="AV43" i="20"/>
  <c r="AT43" i="20"/>
  <c r="AS43" i="20"/>
  <c r="AR43" i="20"/>
  <c r="AQ43" i="20"/>
  <c r="AP43" i="20"/>
  <c r="AA43" i="20"/>
  <c r="AY42" i="20"/>
  <c r="AV42" i="20"/>
  <c r="AT42" i="20"/>
  <c r="AS42" i="20"/>
  <c r="AR42" i="20"/>
  <c r="AQ42" i="20"/>
  <c r="AP42" i="20"/>
  <c r="AA42" i="20"/>
  <c r="AY41" i="20"/>
  <c r="AV41" i="20"/>
  <c r="AT41" i="20"/>
  <c r="AS41" i="20"/>
  <c r="AR41" i="20"/>
  <c r="AQ41" i="20"/>
  <c r="AP41" i="20"/>
  <c r="AA41" i="20"/>
  <c r="AY40" i="20"/>
  <c r="AV40" i="20"/>
  <c r="AT40" i="20"/>
  <c r="AS40" i="20"/>
  <c r="AR40" i="20"/>
  <c r="AQ40" i="20"/>
  <c r="AP40" i="20"/>
  <c r="AA40" i="20"/>
  <c r="AY39" i="20"/>
  <c r="AV39" i="20"/>
  <c r="AT39" i="20"/>
  <c r="AS39" i="20"/>
  <c r="AR39" i="20"/>
  <c r="AQ39" i="20"/>
  <c r="AP39" i="20"/>
  <c r="AA39" i="20"/>
  <c r="AY38" i="20"/>
  <c r="AV38" i="20"/>
  <c r="AT38" i="20"/>
  <c r="AS38" i="20"/>
  <c r="AR38" i="20"/>
  <c r="AQ38" i="20"/>
  <c r="AP38" i="20"/>
  <c r="AA38" i="20"/>
  <c r="AY37" i="20"/>
  <c r="AV37" i="20"/>
  <c r="AT37" i="20"/>
  <c r="AS37" i="20"/>
  <c r="AR37" i="20"/>
  <c r="AQ37" i="20"/>
  <c r="AP37" i="20"/>
  <c r="AA37" i="20"/>
  <c r="AY36" i="20"/>
  <c r="AV36" i="20"/>
  <c r="AT36" i="20"/>
  <c r="AS36" i="20"/>
  <c r="AR36" i="20"/>
  <c r="AQ36" i="20"/>
  <c r="AP36" i="20"/>
  <c r="AA36" i="20"/>
  <c r="AY35" i="20"/>
  <c r="AV35" i="20"/>
  <c r="AT35" i="20"/>
  <c r="AS35" i="20"/>
  <c r="AR35" i="20"/>
  <c r="AQ35" i="20"/>
  <c r="AP35" i="20"/>
  <c r="AA35" i="20"/>
  <c r="AY34" i="20"/>
  <c r="AV34" i="20"/>
  <c r="AT34" i="20"/>
  <c r="AS34" i="20"/>
  <c r="AR34" i="20"/>
  <c r="AQ34" i="20"/>
  <c r="AP34" i="20"/>
  <c r="AA34" i="20"/>
  <c r="AY33" i="20"/>
  <c r="AV33" i="20"/>
  <c r="AT33" i="20"/>
  <c r="AS33" i="20"/>
  <c r="AR33" i="20"/>
  <c r="AQ33" i="20"/>
  <c r="AP33" i="20"/>
  <c r="AA33" i="20"/>
  <c r="AY32" i="20"/>
  <c r="AV32" i="20"/>
  <c r="AT32" i="20"/>
  <c r="AS32" i="20"/>
  <c r="AR32" i="20"/>
  <c r="AQ32" i="20"/>
  <c r="AP32" i="20"/>
  <c r="AA32" i="20"/>
  <c r="AY31" i="20"/>
  <c r="AV31" i="20"/>
  <c r="AT31" i="20"/>
  <c r="AS31" i="20"/>
  <c r="AR31" i="20"/>
  <c r="AQ31" i="20"/>
  <c r="AP31" i="20"/>
  <c r="AA31" i="20"/>
  <c r="AY30" i="20"/>
  <c r="AV30" i="20"/>
  <c r="AT30" i="20"/>
  <c r="AS30" i="20"/>
  <c r="AR30" i="20"/>
  <c r="AQ30" i="20"/>
  <c r="AP30" i="20"/>
  <c r="AA30" i="20"/>
  <c r="AY29" i="20"/>
  <c r="AV29" i="20"/>
  <c r="AT29" i="20"/>
  <c r="AS29" i="20"/>
  <c r="AR29" i="20"/>
  <c r="AQ29" i="20"/>
  <c r="AP29" i="20"/>
  <c r="AA29" i="20"/>
  <c r="AY28" i="20"/>
  <c r="AV28" i="20"/>
  <c r="AT28" i="20"/>
  <c r="AS28" i="20"/>
  <c r="AR28" i="20"/>
  <c r="AQ28" i="20"/>
  <c r="AP28" i="20"/>
  <c r="AA28" i="20"/>
  <c r="AY27" i="20"/>
  <c r="AV27" i="20"/>
  <c r="AT27" i="20"/>
  <c r="AS27" i="20"/>
  <c r="AR27" i="20"/>
  <c r="AQ27" i="20"/>
  <c r="AP27" i="20"/>
  <c r="AA27" i="20"/>
  <c r="AY26" i="20"/>
  <c r="AV26" i="20"/>
  <c r="AT26" i="20"/>
  <c r="AS26" i="20"/>
  <c r="AR26" i="20"/>
  <c r="AQ26" i="20"/>
  <c r="AP26" i="20"/>
  <c r="AA26" i="20"/>
  <c r="AY25" i="20"/>
  <c r="AV25" i="20"/>
  <c r="AT25" i="20"/>
  <c r="AS25" i="20"/>
  <c r="AR25" i="20"/>
  <c r="AQ25" i="20"/>
  <c r="AP25" i="20"/>
  <c r="AA25" i="20"/>
  <c r="AY24" i="20"/>
  <c r="AV24" i="20"/>
  <c r="AT24" i="20"/>
  <c r="AS24" i="20"/>
  <c r="AR24" i="20"/>
  <c r="AQ24" i="20"/>
  <c r="AP24" i="20"/>
  <c r="AA24" i="20"/>
  <c r="AY23" i="20"/>
  <c r="AV23" i="20"/>
  <c r="AT23" i="20"/>
  <c r="AS23" i="20"/>
  <c r="AR23" i="20"/>
  <c r="AQ23" i="20"/>
  <c r="AP23" i="20"/>
  <c r="AA23" i="20"/>
  <c r="AY22" i="20"/>
  <c r="AV22" i="20"/>
  <c r="AT22" i="20"/>
  <c r="AS22" i="20"/>
  <c r="AR22" i="20"/>
  <c r="AQ22" i="20"/>
  <c r="AP22" i="20"/>
  <c r="AA22" i="20"/>
  <c r="AY21" i="20"/>
  <c r="AV21" i="20"/>
  <c r="AT21" i="20"/>
  <c r="AS21" i="20"/>
  <c r="AR21" i="20"/>
  <c r="AQ21" i="20"/>
  <c r="AP21" i="20"/>
  <c r="AA21" i="20"/>
  <c r="AY20" i="20"/>
  <c r="AV20" i="20"/>
  <c r="AT20" i="20"/>
  <c r="AS20" i="20"/>
  <c r="AR20" i="20"/>
  <c r="AQ20" i="20"/>
  <c r="AP20" i="20"/>
  <c r="AA20" i="20"/>
  <c r="AY19" i="20"/>
  <c r="AV19" i="20"/>
  <c r="AT19" i="20"/>
  <c r="AS19" i="20"/>
  <c r="AR19" i="20"/>
  <c r="AQ19" i="20"/>
  <c r="AP19" i="20"/>
  <c r="AA19" i="20"/>
  <c r="AY18" i="20"/>
  <c r="AV18" i="20"/>
  <c r="AT18" i="20"/>
  <c r="AS18" i="20"/>
  <c r="AR18" i="20"/>
  <c r="AQ18" i="20"/>
  <c r="AP18" i="20"/>
  <c r="AA18" i="20"/>
  <c r="AY17" i="20"/>
  <c r="AV17" i="20"/>
  <c r="AT17" i="20"/>
  <c r="AS17" i="20"/>
  <c r="AS15" i="20" s="1"/>
  <c r="AR17" i="20"/>
  <c r="AR15" i="20" s="1"/>
  <c r="AQ17" i="20"/>
  <c r="AP17" i="20"/>
  <c r="AP15" i="20" s="1"/>
  <c r="AA17" i="20"/>
  <c r="AT16" i="20"/>
  <c r="AR16" i="20"/>
  <c r="AQ16" i="20"/>
  <c r="O52" i="21" s="1"/>
  <c r="AP16" i="20"/>
  <c r="AO16" i="20"/>
  <c r="AT15" i="20"/>
  <c r="AQ15" i="20"/>
  <c r="O50" i="21" s="1"/>
  <c r="AW117" i="19"/>
  <c r="AV117" i="19"/>
  <c r="AU117" i="19"/>
  <c r="AQ117" i="19"/>
  <c r="AP117" i="19"/>
  <c r="AO117" i="19"/>
  <c r="AN117" i="19"/>
  <c r="AM117" i="19"/>
  <c r="Z117" i="19"/>
  <c r="AW116" i="19"/>
  <c r="AV116" i="19"/>
  <c r="AU116" i="19"/>
  <c r="AQ116" i="19"/>
  <c r="AP116" i="19"/>
  <c r="AO116" i="19"/>
  <c r="AN116" i="19"/>
  <c r="AM116" i="19"/>
  <c r="Z116" i="19"/>
  <c r="AF116" i="19" s="1"/>
  <c r="AW115" i="19"/>
  <c r="AV115" i="19"/>
  <c r="AU115" i="19"/>
  <c r="AQ115" i="19"/>
  <c r="AP115" i="19"/>
  <c r="AO115" i="19"/>
  <c r="AN115" i="19"/>
  <c r="AM115" i="19"/>
  <c r="Z115" i="19"/>
  <c r="AC115" i="19" s="1"/>
  <c r="AW114" i="19"/>
  <c r="AV114" i="19"/>
  <c r="AU114" i="19"/>
  <c r="AQ114" i="19"/>
  <c r="AP114" i="19"/>
  <c r="AO114" i="19"/>
  <c r="AN114" i="19"/>
  <c r="AM114" i="19"/>
  <c r="Z114" i="19"/>
  <c r="AW113" i="19"/>
  <c r="AV113" i="19"/>
  <c r="AU113" i="19"/>
  <c r="AQ113" i="19"/>
  <c r="AP113" i="19"/>
  <c r="AO113" i="19"/>
  <c r="AN113" i="19"/>
  <c r="AM113" i="19"/>
  <c r="Z113" i="19"/>
  <c r="AF113" i="19" s="1"/>
  <c r="AW112" i="19"/>
  <c r="AV112" i="19"/>
  <c r="AU112" i="19"/>
  <c r="AQ112" i="19"/>
  <c r="AP112" i="19"/>
  <c r="AO112" i="19"/>
  <c r="AN112" i="19"/>
  <c r="AM112" i="19"/>
  <c r="Z112" i="19"/>
  <c r="AC112" i="19" s="1"/>
  <c r="AW111" i="19"/>
  <c r="AV111" i="19"/>
  <c r="AU111" i="19"/>
  <c r="AQ111" i="19"/>
  <c r="AP111" i="19"/>
  <c r="AO111" i="19"/>
  <c r="AN111" i="19"/>
  <c r="AM111" i="19"/>
  <c r="Z111" i="19"/>
  <c r="AW110" i="19"/>
  <c r="AV110" i="19"/>
  <c r="AU110" i="19"/>
  <c r="AQ110" i="19"/>
  <c r="AP110" i="19"/>
  <c r="AO110" i="19"/>
  <c r="AN110" i="19"/>
  <c r="AM110" i="19"/>
  <c r="Z110" i="19"/>
  <c r="AW109" i="19"/>
  <c r="AV109" i="19"/>
  <c r="AU109" i="19"/>
  <c r="AQ109" i="19"/>
  <c r="AP109" i="19"/>
  <c r="AO109" i="19"/>
  <c r="AN109" i="19"/>
  <c r="AM109" i="19"/>
  <c r="Z109" i="19"/>
  <c r="AW108" i="19"/>
  <c r="AV108" i="19"/>
  <c r="AU108" i="19"/>
  <c r="AQ108" i="19"/>
  <c r="AP108" i="19"/>
  <c r="AO108" i="19"/>
  <c r="AN108" i="19"/>
  <c r="AM108" i="19"/>
  <c r="Z108" i="19"/>
  <c r="AF108" i="19" s="1"/>
  <c r="AW107" i="19"/>
  <c r="AV107" i="19"/>
  <c r="AU107" i="19"/>
  <c r="AQ107" i="19"/>
  <c r="AP107" i="19"/>
  <c r="AO107" i="19"/>
  <c r="AN107" i="19"/>
  <c r="AM107" i="19"/>
  <c r="Z107" i="19"/>
  <c r="AW106" i="19"/>
  <c r="AV106" i="19"/>
  <c r="AU106" i="19"/>
  <c r="AQ106" i="19"/>
  <c r="AP106" i="19"/>
  <c r="AO106" i="19"/>
  <c r="AN106" i="19"/>
  <c r="AM106" i="19"/>
  <c r="Z106" i="19"/>
  <c r="AW105" i="19"/>
  <c r="AV105" i="19"/>
  <c r="AU105" i="19"/>
  <c r="AQ105" i="19"/>
  <c r="AP105" i="19"/>
  <c r="AO105" i="19"/>
  <c r="AN105" i="19"/>
  <c r="AM105" i="19"/>
  <c r="Z105" i="19"/>
  <c r="AW104" i="19"/>
  <c r="AV104" i="19"/>
  <c r="AU104" i="19"/>
  <c r="AQ104" i="19"/>
  <c r="AP104" i="19"/>
  <c r="AO104" i="19"/>
  <c r="AN104" i="19"/>
  <c r="AM104" i="19"/>
  <c r="Z104" i="19"/>
  <c r="AB104" i="19" s="1"/>
  <c r="AW103" i="19"/>
  <c r="AV103" i="19"/>
  <c r="AU103" i="19"/>
  <c r="AQ103" i="19"/>
  <c r="AP103" i="19"/>
  <c r="AO103" i="19"/>
  <c r="AN103" i="19"/>
  <c r="AM103" i="19"/>
  <c r="Z103" i="19"/>
  <c r="AW102" i="19"/>
  <c r="AV102" i="19"/>
  <c r="AU102" i="19"/>
  <c r="AQ102" i="19"/>
  <c r="AP102" i="19"/>
  <c r="AO102" i="19"/>
  <c r="AN102" i="19"/>
  <c r="AM102" i="19"/>
  <c r="Z102" i="19"/>
  <c r="AW101" i="19"/>
  <c r="AV101" i="19"/>
  <c r="AU101" i="19"/>
  <c r="AQ101" i="19"/>
  <c r="AP101" i="19"/>
  <c r="AO101" i="19"/>
  <c r="AN101" i="19"/>
  <c r="AM101" i="19"/>
  <c r="Z101" i="19"/>
  <c r="AW100" i="19"/>
  <c r="AV100" i="19"/>
  <c r="AU100" i="19"/>
  <c r="AQ100" i="19"/>
  <c r="AP100" i="19"/>
  <c r="AO100" i="19"/>
  <c r="AN100" i="19"/>
  <c r="AM100" i="19"/>
  <c r="Z100" i="19"/>
  <c r="AF100" i="19" s="1"/>
  <c r="AW99" i="19"/>
  <c r="AV99" i="19"/>
  <c r="AU99" i="19"/>
  <c r="AQ99" i="19"/>
  <c r="AP99" i="19"/>
  <c r="AO99" i="19"/>
  <c r="AN99" i="19"/>
  <c r="AM99" i="19"/>
  <c r="Z99" i="19"/>
  <c r="AF99" i="19" s="1"/>
  <c r="AW98" i="19"/>
  <c r="AV98" i="19"/>
  <c r="AU98" i="19"/>
  <c r="AQ98" i="19"/>
  <c r="AP98" i="19"/>
  <c r="AO98" i="19"/>
  <c r="AN98" i="19"/>
  <c r="AM98" i="19"/>
  <c r="Z98" i="19"/>
  <c r="AW97" i="19"/>
  <c r="AV97" i="19"/>
  <c r="AU97" i="19"/>
  <c r="AQ97" i="19"/>
  <c r="AP97" i="19"/>
  <c r="AO97" i="19"/>
  <c r="AN97" i="19"/>
  <c r="AM97" i="19"/>
  <c r="Z97" i="19"/>
  <c r="AF97" i="19" s="1"/>
  <c r="AW96" i="19"/>
  <c r="AV96" i="19"/>
  <c r="AU96" i="19"/>
  <c r="AQ96" i="19"/>
  <c r="AP96" i="19"/>
  <c r="AO96" i="19"/>
  <c r="AN96" i="19"/>
  <c r="AM96" i="19"/>
  <c r="Z96" i="19"/>
  <c r="AC96" i="19" s="1"/>
  <c r="AW95" i="19"/>
  <c r="AV95" i="19"/>
  <c r="AU95" i="19"/>
  <c r="AQ95" i="19"/>
  <c r="AP95" i="19"/>
  <c r="AO95" i="19"/>
  <c r="AN95" i="19"/>
  <c r="AM95" i="19"/>
  <c r="Z95" i="19"/>
  <c r="AF95" i="19" s="1"/>
  <c r="AW94" i="19"/>
  <c r="AV94" i="19"/>
  <c r="AU94" i="19"/>
  <c r="AQ94" i="19"/>
  <c r="AP94" i="19"/>
  <c r="AO94" i="19"/>
  <c r="AN94" i="19"/>
  <c r="AM94" i="19"/>
  <c r="Z94" i="19"/>
  <c r="AW93" i="19"/>
  <c r="AV93" i="19"/>
  <c r="AU93" i="19"/>
  <c r="AQ93" i="19"/>
  <c r="AP93" i="19"/>
  <c r="AO93" i="19"/>
  <c r="AN93" i="19"/>
  <c r="AM93" i="19"/>
  <c r="Z93" i="19"/>
  <c r="AW92" i="19"/>
  <c r="AV92" i="19"/>
  <c r="AU92" i="19"/>
  <c r="AQ92" i="19"/>
  <c r="AP92" i="19"/>
  <c r="AO92" i="19"/>
  <c r="AN92" i="19"/>
  <c r="AM92" i="19"/>
  <c r="Z92" i="19"/>
  <c r="AF92" i="19" s="1"/>
  <c r="AW91" i="19"/>
  <c r="AV91" i="19"/>
  <c r="AU91" i="19"/>
  <c r="AQ91" i="19"/>
  <c r="AP91" i="19"/>
  <c r="AO91" i="19"/>
  <c r="AN91" i="19"/>
  <c r="AM91" i="19"/>
  <c r="Z91" i="19"/>
  <c r="AB91" i="19" s="1"/>
  <c r="AW90" i="19"/>
  <c r="AV90" i="19"/>
  <c r="AU90" i="19"/>
  <c r="AQ90" i="19"/>
  <c r="AP90" i="19"/>
  <c r="AO90" i="19"/>
  <c r="AN90" i="19"/>
  <c r="AM90" i="19"/>
  <c r="Z90" i="19"/>
  <c r="AW89" i="19"/>
  <c r="AV89" i="19"/>
  <c r="AU89" i="19"/>
  <c r="AQ89" i="19"/>
  <c r="AP89" i="19"/>
  <c r="AO89" i="19"/>
  <c r="AN89" i="19"/>
  <c r="AM89" i="19"/>
  <c r="Z89" i="19"/>
  <c r="AF89" i="19" s="1"/>
  <c r="AW88" i="19"/>
  <c r="AV88" i="19"/>
  <c r="AU88" i="19"/>
  <c r="AQ88" i="19"/>
  <c r="AP88" i="19"/>
  <c r="AO88" i="19"/>
  <c r="AN88" i="19"/>
  <c r="AM88" i="19"/>
  <c r="Z88" i="19"/>
  <c r="AA88" i="19" s="1"/>
  <c r="AW87" i="19"/>
  <c r="AV87" i="19"/>
  <c r="AU87" i="19"/>
  <c r="AQ87" i="19"/>
  <c r="AP87" i="19"/>
  <c r="AO87" i="19"/>
  <c r="AN87" i="19"/>
  <c r="AM87" i="19"/>
  <c r="Z87" i="19"/>
  <c r="AW86" i="19"/>
  <c r="AV86" i="19"/>
  <c r="AU86" i="19"/>
  <c r="AQ86" i="19"/>
  <c r="AP86" i="19"/>
  <c r="AO86" i="19"/>
  <c r="AN86" i="19"/>
  <c r="AM86" i="19"/>
  <c r="Z86" i="19"/>
  <c r="AW85" i="19"/>
  <c r="AV85" i="19"/>
  <c r="AU85" i="19"/>
  <c r="AQ85" i="19"/>
  <c r="AP85" i="19"/>
  <c r="AO85" i="19"/>
  <c r="AN85" i="19"/>
  <c r="AM85" i="19"/>
  <c r="Z85" i="19"/>
  <c r="AW84" i="19"/>
  <c r="AV84" i="19"/>
  <c r="AU84" i="19"/>
  <c r="AQ84" i="19"/>
  <c r="AP84" i="19"/>
  <c r="AO84" i="19"/>
  <c r="AN84" i="19"/>
  <c r="AM84" i="19"/>
  <c r="Z84" i="19"/>
  <c r="AW83" i="19"/>
  <c r="AV83" i="19"/>
  <c r="AU83" i="19"/>
  <c r="AQ83" i="19"/>
  <c r="AP83" i="19"/>
  <c r="AO83" i="19"/>
  <c r="AN83" i="19"/>
  <c r="AM83" i="19"/>
  <c r="Z83" i="19"/>
  <c r="AW82" i="19"/>
  <c r="AV82" i="19"/>
  <c r="AU82" i="19"/>
  <c r="AQ82" i="19"/>
  <c r="AP82" i="19"/>
  <c r="AO82" i="19"/>
  <c r="AN82" i="19"/>
  <c r="AM82" i="19"/>
  <c r="Z82" i="19"/>
  <c r="AW81" i="19"/>
  <c r="AV81" i="19"/>
  <c r="AU81" i="19"/>
  <c r="AQ81" i="19"/>
  <c r="AP81" i="19"/>
  <c r="AO81" i="19"/>
  <c r="AN81" i="19"/>
  <c r="AM81" i="19"/>
  <c r="Z81" i="19"/>
  <c r="AW80" i="19"/>
  <c r="AV80" i="19"/>
  <c r="AU80" i="19"/>
  <c r="AQ80" i="19"/>
  <c r="AP80" i="19"/>
  <c r="AO80" i="19"/>
  <c r="AN80" i="19"/>
  <c r="AM80" i="19"/>
  <c r="Z80" i="19"/>
  <c r="AW79" i="19"/>
  <c r="AV79" i="19"/>
  <c r="AU79" i="19"/>
  <c r="AQ79" i="19"/>
  <c r="AP79" i="19"/>
  <c r="AO79" i="19"/>
  <c r="AN79" i="19"/>
  <c r="AM79" i="19"/>
  <c r="Z79" i="19"/>
  <c r="AF79" i="19" s="1"/>
  <c r="AW78" i="19"/>
  <c r="AV78" i="19"/>
  <c r="AU78" i="19"/>
  <c r="AQ78" i="19"/>
  <c r="AP78" i="19"/>
  <c r="AO78" i="19"/>
  <c r="AN78" i="19"/>
  <c r="AM78" i="19"/>
  <c r="Z78" i="19"/>
  <c r="AW77" i="19"/>
  <c r="AV77" i="19"/>
  <c r="AU77" i="19"/>
  <c r="AQ77" i="19"/>
  <c r="AP77" i="19"/>
  <c r="AO77" i="19"/>
  <c r="AN77" i="19"/>
  <c r="AM77" i="19"/>
  <c r="Z77" i="19"/>
  <c r="AW76" i="19"/>
  <c r="AV76" i="19"/>
  <c r="AU76" i="19"/>
  <c r="AQ76" i="19"/>
  <c r="AP76" i="19"/>
  <c r="AO76" i="19"/>
  <c r="AN76" i="19"/>
  <c r="AM76" i="19"/>
  <c r="Z76" i="19"/>
  <c r="AA76" i="19" s="1"/>
  <c r="AI76" i="19" s="1"/>
  <c r="AW75" i="19"/>
  <c r="AV75" i="19"/>
  <c r="AU75" i="19"/>
  <c r="AQ75" i="19"/>
  <c r="AP75" i="19"/>
  <c r="AO75" i="19"/>
  <c r="AN75" i="19"/>
  <c r="AM75" i="19"/>
  <c r="Z75" i="19"/>
  <c r="AC75" i="19" s="1"/>
  <c r="AW74" i="19"/>
  <c r="AV74" i="19"/>
  <c r="AU74" i="19"/>
  <c r="AQ74" i="19"/>
  <c r="AP74" i="19"/>
  <c r="AO74" i="19"/>
  <c r="AN74" i="19"/>
  <c r="AM74" i="19"/>
  <c r="Z74" i="19"/>
  <c r="AW73" i="19"/>
  <c r="AV73" i="19"/>
  <c r="AU73" i="19"/>
  <c r="AQ73" i="19"/>
  <c r="AP73" i="19"/>
  <c r="AO73" i="19"/>
  <c r="AN73" i="19"/>
  <c r="AM73" i="19"/>
  <c r="Z73" i="19"/>
  <c r="AA73" i="19" s="1"/>
  <c r="AI73" i="19" s="1"/>
  <c r="AW72" i="19"/>
  <c r="AV72" i="19"/>
  <c r="AU72" i="19"/>
  <c r="AQ72" i="19"/>
  <c r="AP72" i="19"/>
  <c r="AO72" i="19"/>
  <c r="AN72" i="19"/>
  <c r="AM72" i="19"/>
  <c r="Z72" i="19"/>
  <c r="AC72" i="19" s="1"/>
  <c r="AW71" i="19"/>
  <c r="AV71" i="19"/>
  <c r="AU71" i="19"/>
  <c r="AQ71" i="19"/>
  <c r="AP71" i="19"/>
  <c r="AO71" i="19"/>
  <c r="AN71" i="19"/>
  <c r="AM71" i="19"/>
  <c r="Z71" i="19"/>
  <c r="AB71" i="19" s="1"/>
  <c r="AW70" i="19"/>
  <c r="AV70" i="19"/>
  <c r="AU70" i="19"/>
  <c r="AQ70" i="19"/>
  <c r="AP70" i="19"/>
  <c r="AO70" i="19"/>
  <c r="AN70" i="19"/>
  <c r="AM70" i="19"/>
  <c r="Z70" i="19"/>
  <c r="AA70" i="19" s="1"/>
  <c r="AW69" i="19"/>
  <c r="AV69" i="19"/>
  <c r="AU69" i="19"/>
  <c r="AQ69" i="19"/>
  <c r="AP69" i="19"/>
  <c r="AO69" i="19"/>
  <c r="AN69" i="19"/>
  <c r="AM69" i="19"/>
  <c r="Z69" i="19"/>
  <c r="AB69" i="19" s="1"/>
  <c r="AW68" i="19"/>
  <c r="AV68" i="19"/>
  <c r="AU68" i="19"/>
  <c r="AQ68" i="19"/>
  <c r="AP68" i="19"/>
  <c r="AO68" i="19"/>
  <c r="AN68" i="19"/>
  <c r="AM68" i="19"/>
  <c r="Z68" i="19"/>
  <c r="AW67" i="19"/>
  <c r="AV67" i="19"/>
  <c r="AU67" i="19"/>
  <c r="AQ67" i="19"/>
  <c r="AP67" i="19"/>
  <c r="AO67" i="19"/>
  <c r="AN67" i="19"/>
  <c r="AM67" i="19"/>
  <c r="Z67" i="19"/>
  <c r="AF67" i="19" s="1"/>
  <c r="AW66" i="19"/>
  <c r="AV66" i="19"/>
  <c r="AU66" i="19"/>
  <c r="AQ66" i="19"/>
  <c r="AP66" i="19"/>
  <c r="AO66" i="19"/>
  <c r="AN66" i="19"/>
  <c r="AM66" i="19"/>
  <c r="Z66" i="19"/>
  <c r="AF66" i="19" s="1"/>
  <c r="AW65" i="19"/>
  <c r="AV65" i="19"/>
  <c r="AU65" i="19"/>
  <c r="AQ65" i="19"/>
  <c r="AP65" i="19"/>
  <c r="AO65" i="19"/>
  <c r="AN65" i="19"/>
  <c r="AM65" i="19"/>
  <c r="Z65" i="19"/>
  <c r="AB65" i="19" s="1"/>
  <c r="AW64" i="19"/>
  <c r="AV64" i="19"/>
  <c r="AU64" i="19"/>
  <c r="AQ64" i="19"/>
  <c r="AP64" i="19"/>
  <c r="AO64" i="19"/>
  <c r="AN64" i="19"/>
  <c r="AM64" i="19"/>
  <c r="Z64" i="19"/>
  <c r="AW63" i="19"/>
  <c r="AV63" i="19"/>
  <c r="AU63" i="19"/>
  <c r="AQ63" i="19"/>
  <c r="AP63" i="19"/>
  <c r="AO63" i="19"/>
  <c r="AN63" i="19"/>
  <c r="AM63" i="19"/>
  <c r="Z63" i="19"/>
  <c r="AF63" i="19" s="1"/>
  <c r="AW62" i="19"/>
  <c r="AV62" i="19"/>
  <c r="AU62" i="19"/>
  <c r="AQ62" i="19"/>
  <c r="AP62" i="19"/>
  <c r="AO62" i="19"/>
  <c r="AN62" i="19"/>
  <c r="AM62" i="19"/>
  <c r="Z62" i="19"/>
  <c r="AC62" i="19" s="1"/>
  <c r="AW61" i="19"/>
  <c r="AV61" i="19"/>
  <c r="AU61" i="19"/>
  <c r="AQ61" i="19"/>
  <c r="AP61" i="19"/>
  <c r="AO61" i="19"/>
  <c r="AN61" i="19"/>
  <c r="AM61" i="19"/>
  <c r="Z61" i="19"/>
  <c r="AC61" i="19" s="1"/>
  <c r="AW60" i="19"/>
  <c r="AV60" i="19"/>
  <c r="AU60" i="19"/>
  <c r="AQ60" i="19"/>
  <c r="AP60" i="19"/>
  <c r="AO60" i="19"/>
  <c r="AN60" i="19"/>
  <c r="AM60" i="19"/>
  <c r="Z60" i="19"/>
  <c r="AW59" i="19"/>
  <c r="AV59" i="19"/>
  <c r="AU59" i="19"/>
  <c r="AQ59" i="19"/>
  <c r="AP59" i="19"/>
  <c r="AO59" i="19"/>
  <c r="AN59" i="19"/>
  <c r="AM59" i="19"/>
  <c r="Z59" i="19"/>
  <c r="AF59" i="19" s="1"/>
  <c r="AW58" i="19"/>
  <c r="AV58" i="19"/>
  <c r="AU58" i="19"/>
  <c r="AQ58" i="19"/>
  <c r="AP58" i="19"/>
  <c r="AO58" i="19"/>
  <c r="AN58" i="19"/>
  <c r="AM58" i="19"/>
  <c r="Z58" i="19"/>
  <c r="AF58" i="19" s="1"/>
  <c r="AW57" i="19"/>
  <c r="AV57" i="19"/>
  <c r="AU57" i="19"/>
  <c r="AQ57" i="19"/>
  <c r="AP57" i="19"/>
  <c r="AO57" i="19"/>
  <c r="AN57" i="19"/>
  <c r="AM57" i="19"/>
  <c r="Z57" i="19"/>
  <c r="AC57" i="19" s="1"/>
  <c r="AW56" i="19"/>
  <c r="AV56" i="19"/>
  <c r="AU56" i="19"/>
  <c r="AQ56" i="19"/>
  <c r="AP56" i="19"/>
  <c r="AO56" i="19"/>
  <c r="AN56" i="19"/>
  <c r="AM56" i="19"/>
  <c r="Z56" i="19"/>
  <c r="AW55" i="19"/>
  <c r="AV55" i="19"/>
  <c r="AU55" i="19"/>
  <c r="AQ55" i="19"/>
  <c r="AP55" i="19"/>
  <c r="AO55" i="19"/>
  <c r="AN55" i="19"/>
  <c r="AM55" i="19"/>
  <c r="Z55" i="19"/>
  <c r="AW54" i="19"/>
  <c r="AV54" i="19"/>
  <c r="AU54" i="19"/>
  <c r="AQ54" i="19"/>
  <c r="AP54" i="19"/>
  <c r="AO54" i="19"/>
  <c r="AN54" i="19"/>
  <c r="AM54" i="19"/>
  <c r="Z54" i="19"/>
  <c r="AW53" i="19"/>
  <c r="AV53" i="19"/>
  <c r="AU53" i="19"/>
  <c r="AQ53" i="19"/>
  <c r="AP53" i="19"/>
  <c r="AO53" i="19"/>
  <c r="AN53" i="19"/>
  <c r="AM53" i="19"/>
  <c r="Z53" i="19"/>
  <c r="AC53" i="19" s="1"/>
  <c r="AW52" i="19"/>
  <c r="AV52" i="19"/>
  <c r="AU52" i="19"/>
  <c r="AQ52" i="19"/>
  <c r="AP52" i="19"/>
  <c r="AO52" i="19"/>
  <c r="AN52" i="19"/>
  <c r="AM52" i="19"/>
  <c r="Z52" i="19"/>
  <c r="AW51" i="19"/>
  <c r="AV51" i="19"/>
  <c r="AU51" i="19"/>
  <c r="AQ51" i="19"/>
  <c r="AP51" i="19"/>
  <c r="AO51" i="19"/>
  <c r="AN51" i="19"/>
  <c r="AM51" i="19"/>
  <c r="Z51" i="19"/>
  <c r="AF51" i="19" s="1"/>
  <c r="AW50" i="19"/>
  <c r="AV50" i="19"/>
  <c r="AU50" i="19"/>
  <c r="AQ50" i="19"/>
  <c r="AP50" i="19"/>
  <c r="AO50" i="19"/>
  <c r="AN50" i="19"/>
  <c r="AM50" i="19"/>
  <c r="Z50" i="19"/>
  <c r="AC50" i="19" s="1"/>
  <c r="AW49" i="19"/>
  <c r="AV49" i="19"/>
  <c r="AU49" i="19"/>
  <c r="AQ49" i="19"/>
  <c r="AP49" i="19"/>
  <c r="AO49" i="19"/>
  <c r="AN49" i="19"/>
  <c r="AM49" i="19"/>
  <c r="Z49" i="19"/>
  <c r="AF49" i="19" s="1"/>
  <c r="AW48" i="19"/>
  <c r="AV48" i="19"/>
  <c r="AU48" i="19"/>
  <c r="AQ48" i="19"/>
  <c r="AP48" i="19"/>
  <c r="AO48" i="19"/>
  <c r="AN48" i="19"/>
  <c r="AM48" i="19"/>
  <c r="Z48" i="19"/>
  <c r="AW47" i="19"/>
  <c r="AV47" i="19"/>
  <c r="AU47" i="19"/>
  <c r="AQ47" i="19"/>
  <c r="AP47" i="19"/>
  <c r="AO47" i="19"/>
  <c r="AN47" i="19"/>
  <c r="AM47" i="19"/>
  <c r="Z47" i="19"/>
  <c r="AF47" i="19" s="1"/>
  <c r="AW46" i="19"/>
  <c r="AV46" i="19"/>
  <c r="AU46" i="19"/>
  <c r="AQ46" i="19"/>
  <c r="AP46" i="19"/>
  <c r="AO46" i="19"/>
  <c r="AN46" i="19"/>
  <c r="AM46" i="19"/>
  <c r="Z46" i="19"/>
  <c r="AA46" i="19" s="1"/>
  <c r="AI46" i="19" s="1"/>
  <c r="AW45" i="19"/>
  <c r="AV45" i="19"/>
  <c r="AU45" i="19"/>
  <c r="AQ45" i="19"/>
  <c r="AP45" i="19"/>
  <c r="AO45" i="19"/>
  <c r="AN45" i="19"/>
  <c r="AM45" i="19"/>
  <c r="Z45" i="19"/>
  <c r="AW44" i="19"/>
  <c r="AV44" i="19"/>
  <c r="AU44" i="19"/>
  <c r="AQ44" i="19"/>
  <c r="AP44" i="19"/>
  <c r="AO44" i="19"/>
  <c r="AN44" i="19"/>
  <c r="AM44" i="19"/>
  <c r="Z44" i="19"/>
  <c r="AW43" i="19"/>
  <c r="AV43" i="19"/>
  <c r="AU43" i="19"/>
  <c r="AQ43" i="19"/>
  <c r="AP43" i="19"/>
  <c r="AO43" i="19"/>
  <c r="AN43" i="19"/>
  <c r="AM43" i="19"/>
  <c r="Z43" i="19"/>
  <c r="AF43" i="19" s="1"/>
  <c r="AW42" i="19"/>
  <c r="AV42" i="19"/>
  <c r="AU42" i="19"/>
  <c r="AQ42" i="19"/>
  <c r="AP42" i="19"/>
  <c r="AO42" i="19"/>
  <c r="AN42" i="19"/>
  <c r="AM42" i="19"/>
  <c r="Z42" i="19"/>
  <c r="AB42" i="19" s="1"/>
  <c r="AW41" i="19"/>
  <c r="AV41" i="19"/>
  <c r="AU41" i="19"/>
  <c r="AQ41" i="19"/>
  <c r="AP41" i="19"/>
  <c r="AO41" i="19"/>
  <c r="AN41" i="19"/>
  <c r="AM41" i="19"/>
  <c r="Z41" i="19"/>
  <c r="AC41" i="19" s="1"/>
  <c r="AW40" i="19"/>
  <c r="AV40" i="19"/>
  <c r="AU40" i="19"/>
  <c r="AQ40" i="19"/>
  <c r="AP40" i="19"/>
  <c r="AO40" i="19"/>
  <c r="AN40" i="19"/>
  <c r="AM40" i="19"/>
  <c r="Z40" i="19"/>
  <c r="AW39" i="19"/>
  <c r="AV39" i="19"/>
  <c r="AU39" i="19"/>
  <c r="AQ39" i="19"/>
  <c r="AP39" i="19"/>
  <c r="AO39" i="19"/>
  <c r="AN39" i="19"/>
  <c r="AM39" i="19"/>
  <c r="Z39" i="19"/>
  <c r="AF39" i="19" s="1"/>
  <c r="AW38" i="19"/>
  <c r="AV38" i="19"/>
  <c r="AU38" i="19"/>
  <c r="AQ38" i="19"/>
  <c r="AP38" i="19"/>
  <c r="AO38" i="19"/>
  <c r="AN38" i="19"/>
  <c r="AM38" i="19"/>
  <c r="Z38" i="19"/>
  <c r="AF38" i="19" s="1"/>
  <c r="AW37" i="19"/>
  <c r="AV37" i="19"/>
  <c r="AU37" i="19"/>
  <c r="AQ37" i="19"/>
  <c r="AP37" i="19"/>
  <c r="AO37" i="19"/>
  <c r="AN37" i="19"/>
  <c r="AM37" i="19"/>
  <c r="Z37" i="19"/>
  <c r="AB37" i="19" s="1"/>
  <c r="AW36" i="19"/>
  <c r="AV36" i="19"/>
  <c r="AU36" i="19"/>
  <c r="AQ36" i="19"/>
  <c r="AP36" i="19"/>
  <c r="AO36" i="19"/>
  <c r="AN36" i="19"/>
  <c r="AM36" i="19"/>
  <c r="Z36" i="19"/>
  <c r="AW35" i="19"/>
  <c r="AV35" i="19"/>
  <c r="AU35" i="19"/>
  <c r="AQ35" i="19"/>
  <c r="AP35" i="19"/>
  <c r="AO35" i="19"/>
  <c r="AN35" i="19"/>
  <c r="AM35" i="19"/>
  <c r="Z35" i="19"/>
  <c r="AF35" i="19" s="1"/>
  <c r="AW34" i="19"/>
  <c r="AV34" i="19"/>
  <c r="AU34" i="19"/>
  <c r="AQ34" i="19"/>
  <c r="AP34" i="19"/>
  <c r="AO34" i="19"/>
  <c r="AN34" i="19"/>
  <c r="AM34" i="19"/>
  <c r="Z34" i="19"/>
  <c r="AA34" i="19" s="1"/>
  <c r="AW33" i="19"/>
  <c r="AV33" i="19"/>
  <c r="AU33" i="19"/>
  <c r="AQ33" i="19"/>
  <c r="AP33" i="19"/>
  <c r="AO33" i="19"/>
  <c r="AN33" i="19"/>
  <c r="AM33" i="19"/>
  <c r="Z33" i="19"/>
  <c r="AB33" i="19" s="1"/>
  <c r="AW32" i="19"/>
  <c r="AV32" i="19"/>
  <c r="AU32" i="19"/>
  <c r="AQ32" i="19"/>
  <c r="AP32" i="19"/>
  <c r="AO32" i="19"/>
  <c r="AN32" i="19"/>
  <c r="AM32" i="19"/>
  <c r="Z32" i="19"/>
  <c r="AW31" i="19"/>
  <c r="AV31" i="19"/>
  <c r="AU31" i="19"/>
  <c r="AQ31" i="19"/>
  <c r="AP31" i="19"/>
  <c r="AO31" i="19"/>
  <c r="AN31" i="19"/>
  <c r="AM31" i="19"/>
  <c r="Z31" i="19"/>
  <c r="AF31" i="19" s="1"/>
  <c r="AW30" i="19"/>
  <c r="AV30" i="19"/>
  <c r="AU30" i="19"/>
  <c r="AQ30" i="19"/>
  <c r="AP30" i="19"/>
  <c r="AO30" i="19"/>
  <c r="AN30" i="19"/>
  <c r="AM30" i="19"/>
  <c r="Z30" i="19"/>
  <c r="AF30" i="19" s="1"/>
  <c r="AW29" i="19"/>
  <c r="AV29" i="19"/>
  <c r="AU29" i="19"/>
  <c r="AQ29" i="19"/>
  <c r="AP29" i="19"/>
  <c r="AO29" i="19"/>
  <c r="AN29" i="19"/>
  <c r="AM29" i="19"/>
  <c r="Z29" i="19"/>
  <c r="AB29" i="19" s="1"/>
  <c r="AW28" i="19"/>
  <c r="AV28" i="19"/>
  <c r="AU28" i="19"/>
  <c r="AQ28" i="19"/>
  <c r="AP28" i="19"/>
  <c r="AO28" i="19"/>
  <c r="AN28" i="19"/>
  <c r="AM28" i="19"/>
  <c r="Z28" i="19"/>
  <c r="AW27" i="19"/>
  <c r="AV27" i="19"/>
  <c r="AU27" i="19"/>
  <c r="AQ27" i="19"/>
  <c r="AP27" i="19"/>
  <c r="AO27" i="19"/>
  <c r="AN27" i="19"/>
  <c r="AM27" i="19"/>
  <c r="Z27" i="19"/>
  <c r="AF27" i="19" s="1"/>
  <c r="AW26" i="19"/>
  <c r="AV26" i="19"/>
  <c r="AU26" i="19"/>
  <c r="AQ26" i="19"/>
  <c r="AP26" i="19"/>
  <c r="AR26" i="19" s="1"/>
  <c r="AO26" i="19"/>
  <c r="AN26" i="19"/>
  <c r="AM26" i="19"/>
  <c r="Z26" i="19"/>
  <c r="AF26" i="19" s="1"/>
  <c r="AW25" i="19"/>
  <c r="AV25" i="19"/>
  <c r="AU25" i="19"/>
  <c r="AQ25" i="19"/>
  <c r="AP25" i="19"/>
  <c r="AO25" i="19"/>
  <c r="AN25" i="19"/>
  <c r="AM25" i="19"/>
  <c r="Z25" i="19"/>
  <c r="AW24" i="19"/>
  <c r="AV24" i="19"/>
  <c r="AU24" i="19"/>
  <c r="AQ24" i="19"/>
  <c r="AP24" i="19"/>
  <c r="AO24" i="19"/>
  <c r="AN24" i="19"/>
  <c r="AM24" i="19"/>
  <c r="Z24" i="19"/>
  <c r="AW23" i="19"/>
  <c r="AV23" i="19"/>
  <c r="AU23" i="19"/>
  <c r="AQ23" i="19"/>
  <c r="AP23" i="19"/>
  <c r="AO23" i="19"/>
  <c r="AN23" i="19"/>
  <c r="AM23" i="19"/>
  <c r="Z23" i="19"/>
  <c r="AF23" i="19" s="1"/>
  <c r="AW22" i="19"/>
  <c r="AV22" i="19"/>
  <c r="AU22" i="19"/>
  <c r="AQ22" i="19"/>
  <c r="AP22" i="19"/>
  <c r="AO22" i="19"/>
  <c r="AN22" i="19"/>
  <c r="AM22" i="19"/>
  <c r="Z22" i="19"/>
  <c r="AB22" i="19" s="1"/>
  <c r="AW21" i="19"/>
  <c r="AV21" i="19"/>
  <c r="AU21" i="19"/>
  <c r="AQ21" i="19"/>
  <c r="AP21" i="19"/>
  <c r="AO21" i="19"/>
  <c r="AN21" i="19"/>
  <c r="AM21" i="19"/>
  <c r="Z21" i="19"/>
  <c r="AC21" i="19" s="1"/>
  <c r="AW20" i="19"/>
  <c r="AV20" i="19"/>
  <c r="AU20" i="19"/>
  <c r="AQ20" i="19"/>
  <c r="AP20" i="19"/>
  <c r="AO20" i="19"/>
  <c r="AN20" i="19"/>
  <c r="AM20" i="19"/>
  <c r="Z20" i="19"/>
  <c r="AW19" i="19"/>
  <c r="AV19" i="19"/>
  <c r="AU19" i="19"/>
  <c r="AQ19" i="19"/>
  <c r="AP19" i="19"/>
  <c r="AO19" i="19"/>
  <c r="AN19" i="19"/>
  <c r="AM19" i="19"/>
  <c r="Z19" i="19"/>
  <c r="AF19" i="19" s="1"/>
  <c r="AW18" i="19"/>
  <c r="AV18" i="19"/>
  <c r="AU18" i="19"/>
  <c r="AQ18" i="19"/>
  <c r="AP18" i="19"/>
  <c r="Z18" i="19"/>
  <c r="AA18" i="19" s="1"/>
  <c r="AT115" i="18"/>
  <c r="AS115" i="18"/>
  <c r="AR115" i="18"/>
  <c r="AQ115" i="18"/>
  <c r="AP115" i="18"/>
  <c r="AM115" i="18"/>
  <c r="AL115" i="18"/>
  <c r="AT114" i="18"/>
  <c r="AS114" i="18"/>
  <c r="AR114" i="18"/>
  <c r="AQ114" i="18"/>
  <c r="AP114" i="18"/>
  <c r="AM114" i="18"/>
  <c r="AL114" i="18"/>
  <c r="AT113" i="18"/>
  <c r="AS113" i="18"/>
  <c r="AR113" i="18"/>
  <c r="AQ113" i="18"/>
  <c r="AP113" i="18"/>
  <c r="AM113" i="18"/>
  <c r="AL113" i="18"/>
  <c r="AT112" i="18"/>
  <c r="AS112" i="18"/>
  <c r="AR112" i="18"/>
  <c r="AQ112" i="18"/>
  <c r="AP112" i="18"/>
  <c r="AM112" i="18"/>
  <c r="AL112" i="18"/>
  <c r="AT111" i="18"/>
  <c r="AS111" i="18"/>
  <c r="AR111" i="18"/>
  <c r="AQ111" i="18"/>
  <c r="AP111" i="18"/>
  <c r="AM111" i="18"/>
  <c r="AL111" i="18"/>
  <c r="AT110" i="18"/>
  <c r="AS110" i="18"/>
  <c r="AR110" i="18"/>
  <c r="AQ110" i="18"/>
  <c r="AP110" i="18"/>
  <c r="AM110" i="18"/>
  <c r="AL110" i="18"/>
  <c r="AT109" i="18"/>
  <c r="AS109" i="18"/>
  <c r="AR109" i="18"/>
  <c r="AQ109" i="18"/>
  <c r="AP109" i="18"/>
  <c r="AM109" i="18"/>
  <c r="AL109" i="18"/>
  <c r="AT108" i="18"/>
  <c r="AS108" i="18"/>
  <c r="AR108" i="18"/>
  <c r="AQ108" i="18"/>
  <c r="AP108" i="18"/>
  <c r="AM108" i="18"/>
  <c r="AL108" i="18"/>
  <c r="AT107" i="18"/>
  <c r="AS107" i="18"/>
  <c r="AR107" i="18"/>
  <c r="AQ107" i="18"/>
  <c r="AP107" i="18"/>
  <c r="AM107" i="18"/>
  <c r="AL107" i="18"/>
  <c r="AT106" i="18"/>
  <c r="AS106" i="18"/>
  <c r="AR106" i="18"/>
  <c r="AQ106" i="18"/>
  <c r="AP106" i="18"/>
  <c r="AM106" i="18"/>
  <c r="AL106" i="18"/>
  <c r="AT105" i="18"/>
  <c r="AS105" i="18"/>
  <c r="AR105" i="18"/>
  <c r="AQ105" i="18"/>
  <c r="AP105" i="18"/>
  <c r="AM105" i="18"/>
  <c r="AL105" i="18"/>
  <c r="AT104" i="18"/>
  <c r="AS104" i="18"/>
  <c r="AR104" i="18"/>
  <c r="AQ104" i="18"/>
  <c r="AP104" i="18"/>
  <c r="AM104" i="18"/>
  <c r="AL104" i="18"/>
  <c r="AT103" i="18"/>
  <c r="AS103" i="18"/>
  <c r="AR103" i="18"/>
  <c r="AQ103" i="18"/>
  <c r="AP103" i="18"/>
  <c r="AM103" i="18"/>
  <c r="AL103" i="18"/>
  <c r="AT102" i="18"/>
  <c r="AS102" i="18"/>
  <c r="AR102" i="18"/>
  <c r="AQ102" i="18"/>
  <c r="AP102" i="18"/>
  <c r="AM102" i="18"/>
  <c r="AL102" i="18"/>
  <c r="AT101" i="18"/>
  <c r="AS101" i="18"/>
  <c r="AR101" i="18"/>
  <c r="AQ101" i="18"/>
  <c r="AP101" i="18"/>
  <c r="AM101" i="18"/>
  <c r="AL101" i="18"/>
  <c r="AT100" i="18"/>
  <c r="AS100" i="18"/>
  <c r="AR100" i="18"/>
  <c r="AQ100" i="18"/>
  <c r="AP100" i="18"/>
  <c r="AM100" i="18"/>
  <c r="AL100" i="18"/>
  <c r="AT99" i="18"/>
  <c r="AS99" i="18"/>
  <c r="AR99" i="18"/>
  <c r="AQ99" i="18"/>
  <c r="AP99" i="18"/>
  <c r="AM99" i="18"/>
  <c r="AL99" i="18"/>
  <c r="AT98" i="18"/>
  <c r="AS98" i="18"/>
  <c r="AR98" i="18"/>
  <c r="AQ98" i="18"/>
  <c r="AP98" i="18"/>
  <c r="AM98" i="18"/>
  <c r="AL98" i="18"/>
  <c r="AT97" i="18"/>
  <c r="AS97" i="18"/>
  <c r="AR97" i="18"/>
  <c r="AQ97" i="18"/>
  <c r="AP97" i="18"/>
  <c r="AM97" i="18"/>
  <c r="AL97" i="18"/>
  <c r="AT96" i="18"/>
  <c r="AS96" i="18"/>
  <c r="AR96" i="18"/>
  <c r="AQ96" i="18"/>
  <c r="AP96" i="18"/>
  <c r="AM96" i="18"/>
  <c r="AL96" i="18"/>
  <c r="AT95" i="18"/>
  <c r="AS95" i="18"/>
  <c r="AR95" i="18"/>
  <c r="AQ95" i="18"/>
  <c r="AP95" i="18"/>
  <c r="AM95" i="18"/>
  <c r="AL95" i="18"/>
  <c r="AT94" i="18"/>
  <c r="AS94" i="18"/>
  <c r="AR94" i="18"/>
  <c r="AQ94" i="18"/>
  <c r="AP94" i="18"/>
  <c r="AM94" i="18"/>
  <c r="AL94" i="18"/>
  <c r="AT93" i="18"/>
  <c r="AS93" i="18"/>
  <c r="AR93" i="18"/>
  <c r="AQ93" i="18"/>
  <c r="AP93" i="18"/>
  <c r="AM93" i="18"/>
  <c r="AL93" i="18"/>
  <c r="AT92" i="18"/>
  <c r="AS92" i="18"/>
  <c r="AR92" i="18"/>
  <c r="AQ92" i="18"/>
  <c r="AP92" i="18"/>
  <c r="AM92" i="18"/>
  <c r="AL92" i="18"/>
  <c r="AT91" i="18"/>
  <c r="AS91" i="18"/>
  <c r="AR91" i="18"/>
  <c r="AQ91" i="18"/>
  <c r="AP91" i="18"/>
  <c r="AM91" i="18"/>
  <c r="AL91" i="18"/>
  <c r="AT90" i="18"/>
  <c r="AS90" i="18"/>
  <c r="AR90" i="18"/>
  <c r="AQ90" i="18"/>
  <c r="AP90" i="18"/>
  <c r="AM90" i="18"/>
  <c r="AL90" i="18"/>
  <c r="AT89" i="18"/>
  <c r="AS89" i="18"/>
  <c r="AR89" i="18"/>
  <c r="AQ89" i="18"/>
  <c r="AP89" i="18"/>
  <c r="AM89" i="18"/>
  <c r="AL89" i="18"/>
  <c r="AT88" i="18"/>
  <c r="AS88" i="18"/>
  <c r="AR88" i="18"/>
  <c r="AQ88" i="18"/>
  <c r="AP88" i="18"/>
  <c r="AM88" i="18"/>
  <c r="AL88" i="18"/>
  <c r="AT87" i="18"/>
  <c r="AS87" i="18"/>
  <c r="AR87" i="18"/>
  <c r="AQ87" i="18"/>
  <c r="AP87" i="18"/>
  <c r="AM87" i="18"/>
  <c r="AL87" i="18"/>
  <c r="AT86" i="18"/>
  <c r="AS86" i="18"/>
  <c r="AR86" i="18"/>
  <c r="AQ86" i="18"/>
  <c r="AP86" i="18"/>
  <c r="AM86" i="18"/>
  <c r="AL86" i="18"/>
  <c r="AT85" i="18"/>
  <c r="AS85" i="18"/>
  <c r="AR85" i="18"/>
  <c r="AQ85" i="18"/>
  <c r="AP85" i="18"/>
  <c r="AM85" i="18"/>
  <c r="AL85" i="18"/>
  <c r="AT84" i="18"/>
  <c r="AS84" i="18"/>
  <c r="AR84" i="18"/>
  <c r="AQ84" i="18"/>
  <c r="AP84" i="18"/>
  <c r="AM84" i="18"/>
  <c r="AL84" i="18"/>
  <c r="AT83" i="18"/>
  <c r="AS83" i="18"/>
  <c r="AR83" i="18"/>
  <c r="AQ83" i="18"/>
  <c r="AP83" i="18"/>
  <c r="AM83" i="18"/>
  <c r="AL83" i="18"/>
  <c r="AT82" i="18"/>
  <c r="AS82" i="18"/>
  <c r="AR82" i="18"/>
  <c r="AQ82" i="18"/>
  <c r="AP82" i="18"/>
  <c r="AM82" i="18"/>
  <c r="AL82" i="18"/>
  <c r="AT81" i="18"/>
  <c r="AS81" i="18"/>
  <c r="AR81" i="18"/>
  <c r="AQ81" i="18"/>
  <c r="AP81" i="18"/>
  <c r="AM81" i="18"/>
  <c r="AL81" i="18"/>
  <c r="AT80" i="18"/>
  <c r="AS80" i="18"/>
  <c r="AR80" i="18"/>
  <c r="AQ80" i="18"/>
  <c r="AP80" i="18"/>
  <c r="AM80" i="18"/>
  <c r="AL80" i="18"/>
  <c r="AT79" i="18"/>
  <c r="AS79" i="18"/>
  <c r="AR79" i="18"/>
  <c r="AQ79" i="18"/>
  <c r="AP79" i="18"/>
  <c r="AM79" i="18"/>
  <c r="AL79" i="18"/>
  <c r="AT78" i="18"/>
  <c r="AS78" i="18"/>
  <c r="AR78" i="18"/>
  <c r="AQ78" i="18"/>
  <c r="AP78" i="18"/>
  <c r="AM78" i="18"/>
  <c r="AL78" i="18"/>
  <c r="AT77" i="18"/>
  <c r="AS77" i="18"/>
  <c r="AR77" i="18"/>
  <c r="AQ77" i="18"/>
  <c r="AP77" i="18"/>
  <c r="AM77" i="18"/>
  <c r="AL77" i="18"/>
  <c r="AT76" i="18"/>
  <c r="AS76" i="18"/>
  <c r="AR76" i="18"/>
  <c r="AQ76" i="18"/>
  <c r="AP76" i="18"/>
  <c r="AM76" i="18"/>
  <c r="AL76" i="18"/>
  <c r="AT75" i="18"/>
  <c r="AS75" i="18"/>
  <c r="AR75" i="18"/>
  <c r="AQ75" i="18"/>
  <c r="AP75" i="18"/>
  <c r="AM75" i="18"/>
  <c r="AL75" i="18"/>
  <c r="AT74" i="18"/>
  <c r="AS74" i="18"/>
  <c r="AR74" i="18"/>
  <c r="AQ74" i="18"/>
  <c r="AP74" i="18"/>
  <c r="AM74" i="18"/>
  <c r="AL74" i="18"/>
  <c r="AT73" i="18"/>
  <c r="AS73" i="18"/>
  <c r="AR73" i="18"/>
  <c r="AQ73" i="18"/>
  <c r="AP73" i="18"/>
  <c r="AM73" i="18"/>
  <c r="AL73" i="18"/>
  <c r="AT72" i="18"/>
  <c r="AS72" i="18"/>
  <c r="AR72" i="18"/>
  <c r="AQ72" i="18"/>
  <c r="AP72" i="18"/>
  <c r="AM72" i="18"/>
  <c r="AL72" i="18"/>
  <c r="AT71" i="18"/>
  <c r="AS71" i="18"/>
  <c r="AR71" i="18"/>
  <c r="AQ71" i="18"/>
  <c r="AP71" i="18"/>
  <c r="AM71" i="18"/>
  <c r="AL71" i="18"/>
  <c r="AT70" i="18"/>
  <c r="AS70" i="18"/>
  <c r="AR70" i="18"/>
  <c r="AQ70" i="18"/>
  <c r="AP70" i="18"/>
  <c r="AM70" i="18"/>
  <c r="AL70" i="18"/>
  <c r="AT69" i="18"/>
  <c r="AS69" i="18"/>
  <c r="AR69" i="18"/>
  <c r="AQ69" i="18"/>
  <c r="AP69" i="18"/>
  <c r="AM69" i="18"/>
  <c r="AL69" i="18"/>
  <c r="AT68" i="18"/>
  <c r="AS68" i="18"/>
  <c r="AR68" i="18"/>
  <c r="AQ68" i="18"/>
  <c r="AP68" i="18"/>
  <c r="AM68" i="18"/>
  <c r="AL68" i="18"/>
  <c r="AT67" i="18"/>
  <c r="AS67" i="18"/>
  <c r="AR67" i="18"/>
  <c r="AQ67" i="18"/>
  <c r="AP67" i="18"/>
  <c r="AM67" i="18"/>
  <c r="AL67" i="18"/>
  <c r="AT66" i="18"/>
  <c r="AS66" i="18"/>
  <c r="AR66" i="18"/>
  <c r="AQ66" i="18"/>
  <c r="AP66" i="18"/>
  <c r="AM66" i="18"/>
  <c r="AL66" i="18"/>
  <c r="AT65" i="18"/>
  <c r="AS65" i="18"/>
  <c r="AR65" i="18"/>
  <c r="AQ65" i="18"/>
  <c r="AP65" i="18"/>
  <c r="AM65" i="18"/>
  <c r="AL65" i="18"/>
  <c r="AT64" i="18"/>
  <c r="AS64" i="18"/>
  <c r="AR64" i="18"/>
  <c r="AQ64" i="18"/>
  <c r="AP64" i="18"/>
  <c r="AM64" i="18"/>
  <c r="AL64" i="18"/>
  <c r="AT63" i="18"/>
  <c r="AS63" i="18"/>
  <c r="AR63" i="18"/>
  <c r="AQ63" i="18"/>
  <c r="AP63" i="18"/>
  <c r="AM63" i="18"/>
  <c r="AL63" i="18"/>
  <c r="AT62" i="18"/>
  <c r="AS62" i="18"/>
  <c r="AR62" i="18"/>
  <c r="AQ62" i="18"/>
  <c r="AP62" i="18"/>
  <c r="AM62" i="18"/>
  <c r="AL62" i="18"/>
  <c r="AT61" i="18"/>
  <c r="AS61" i="18"/>
  <c r="AR61" i="18"/>
  <c r="AQ61" i="18"/>
  <c r="AP61" i="18"/>
  <c r="AM61" i="18"/>
  <c r="AL61" i="18"/>
  <c r="AT60" i="18"/>
  <c r="AS60" i="18"/>
  <c r="AR60" i="18"/>
  <c r="AQ60" i="18"/>
  <c r="AP60" i="18"/>
  <c r="AM60" i="18"/>
  <c r="AL60" i="18"/>
  <c r="AT59" i="18"/>
  <c r="AS59" i="18"/>
  <c r="AR59" i="18"/>
  <c r="AQ59" i="18"/>
  <c r="AP59" i="18"/>
  <c r="AM59" i="18"/>
  <c r="AL59" i="18"/>
  <c r="AT58" i="18"/>
  <c r="AS58" i="18"/>
  <c r="AR58" i="18"/>
  <c r="AQ58" i="18"/>
  <c r="AP58" i="18"/>
  <c r="AM58" i="18"/>
  <c r="AL58" i="18"/>
  <c r="AT57" i="18"/>
  <c r="AS57" i="18"/>
  <c r="AR57" i="18"/>
  <c r="AQ57" i="18"/>
  <c r="AP57" i="18"/>
  <c r="AM57" i="18"/>
  <c r="AL57" i="18"/>
  <c r="AT56" i="18"/>
  <c r="AS56" i="18"/>
  <c r="AR56" i="18"/>
  <c r="AQ56" i="18"/>
  <c r="AP56" i="18"/>
  <c r="AM56" i="18"/>
  <c r="AL56" i="18"/>
  <c r="AT55" i="18"/>
  <c r="AS55" i="18"/>
  <c r="AR55" i="18"/>
  <c r="AQ55" i="18"/>
  <c r="AP55" i="18"/>
  <c r="AM55" i="18"/>
  <c r="AL55" i="18"/>
  <c r="AT54" i="18"/>
  <c r="AS54" i="18"/>
  <c r="AR54" i="18"/>
  <c r="AQ54" i="18"/>
  <c r="AP54" i="18"/>
  <c r="AM54" i="18"/>
  <c r="AL54" i="18"/>
  <c r="AT53" i="18"/>
  <c r="AS53" i="18"/>
  <c r="AR53" i="18"/>
  <c r="AQ53" i="18"/>
  <c r="AP53" i="18"/>
  <c r="AM53" i="18"/>
  <c r="AL53" i="18"/>
  <c r="AT52" i="18"/>
  <c r="AS52" i="18"/>
  <c r="AR52" i="18"/>
  <c r="AQ52" i="18"/>
  <c r="AP52" i="18"/>
  <c r="AM52" i="18"/>
  <c r="AL52" i="18"/>
  <c r="AT51" i="18"/>
  <c r="AS51" i="18"/>
  <c r="AR51" i="18"/>
  <c r="AQ51" i="18"/>
  <c r="AP51" i="18"/>
  <c r="AM51" i="18"/>
  <c r="AL51" i="18"/>
  <c r="AT50" i="18"/>
  <c r="AS50" i="18"/>
  <c r="AR50" i="18"/>
  <c r="AQ50" i="18"/>
  <c r="AP50" i="18"/>
  <c r="AM50" i="18"/>
  <c r="AL50" i="18"/>
  <c r="AT49" i="18"/>
  <c r="AS49" i="18"/>
  <c r="AR49" i="18"/>
  <c r="AQ49" i="18"/>
  <c r="AP49" i="18"/>
  <c r="AM49" i="18"/>
  <c r="AL49" i="18"/>
  <c r="AT48" i="18"/>
  <c r="AS48" i="18"/>
  <c r="AR48" i="18"/>
  <c r="AQ48" i="18"/>
  <c r="AP48" i="18"/>
  <c r="AM48" i="18"/>
  <c r="AL48" i="18"/>
  <c r="AT47" i="18"/>
  <c r="AS47" i="18"/>
  <c r="AR47" i="18"/>
  <c r="AQ47" i="18"/>
  <c r="AP47" i="18"/>
  <c r="AM47" i="18"/>
  <c r="AL47" i="18"/>
  <c r="AT46" i="18"/>
  <c r="AS46" i="18"/>
  <c r="AR46" i="18"/>
  <c r="AQ46" i="18"/>
  <c r="AP46" i="18"/>
  <c r="AM46" i="18"/>
  <c r="AL46" i="18"/>
  <c r="AT45" i="18"/>
  <c r="AS45" i="18"/>
  <c r="AR45" i="18"/>
  <c r="AQ45" i="18"/>
  <c r="AP45" i="18"/>
  <c r="AM45" i="18"/>
  <c r="AL45" i="18"/>
  <c r="AT44" i="18"/>
  <c r="AS44" i="18"/>
  <c r="AR44" i="18"/>
  <c r="AQ44" i="18"/>
  <c r="AP44" i="18"/>
  <c r="AM44" i="18"/>
  <c r="AL44" i="18"/>
  <c r="AT43" i="18"/>
  <c r="AS43" i="18"/>
  <c r="AR43" i="18"/>
  <c r="AQ43" i="18"/>
  <c r="AP43" i="18"/>
  <c r="AM43" i="18"/>
  <c r="AL43" i="18"/>
  <c r="AT42" i="18"/>
  <c r="AS42" i="18"/>
  <c r="AR42" i="18"/>
  <c r="AQ42" i="18"/>
  <c r="AP42" i="18"/>
  <c r="AM42" i="18"/>
  <c r="AL42" i="18"/>
  <c r="AT41" i="18"/>
  <c r="AS41" i="18"/>
  <c r="AR41" i="18"/>
  <c r="AQ41" i="18"/>
  <c r="AP41" i="18"/>
  <c r="AM41" i="18"/>
  <c r="AL41" i="18"/>
  <c r="AT40" i="18"/>
  <c r="AS40" i="18"/>
  <c r="AR40" i="18"/>
  <c r="AQ40" i="18"/>
  <c r="AP40" i="18"/>
  <c r="AM40" i="18"/>
  <c r="AL40" i="18"/>
  <c r="AT39" i="18"/>
  <c r="AS39" i="18"/>
  <c r="AR39" i="18"/>
  <c r="AQ39" i="18"/>
  <c r="AP39" i="18"/>
  <c r="AM39" i="18"/>
  <c r="AL39" i="18"/>
  <c r="AT38" i="18"/>
  <c r="AS38" i="18"/>
  <c r="AR38" i="18"/>
  <c r="AQ38" i="18"/>
  <c r="AP38" i="18"/>
  <c r="AM38" i="18"/>
  <c r="AL38" i="18"/>
  <c r="AT37" i="18"/>
  <c r="AS37" i="18"/>
  <c r="AR37" i="18"/>
  <c r="AQ37" i="18"/>
  <c r="AP37" i="18"/>
  <c r="AM37" i="18"/>
  <c r="AL37" i="18"/>
  <c r="AT36" i="18"/>
  <c r="AS36" i="18"/>
  <c r="AR36" i="18"/>
  <c r="AQ36" i="18"/>
  <c r="AP36" i="18"/>
  <c r="AM36" i="18"/>
  <c r="AL36" i="18"/>
  <c r="AT35" i="18"/>
  <c r="AS35" i="18"/>
  <c r="AR35" i="18"/>
  <c r="AQ35" i="18"/>
  <c r="AP35" i="18"/>
  <c r="AM35" i="18"/>
  <c r="AL35" i="18"/>
  <c r="AT34" i="18"/>
  <c r="AS34" i="18"/>
  <c r="AR34" i="18"/>
  <c r="AQ34" i="18"/>
  <c r="AP34" i="18"/>
  <c r="AM34" i="18"/>
  <c r="AL34" i="18"/>
  <c r="AT33" i="18"/>
  <c r="AS33" i="18"/>
  <c r="AR33" i="18"/>
  <c r="AQ33" i="18"/>
  <c r="AP33" i="18"/>
  <c r="AM33" i="18"/>
  <c r="AL33" i="18"/>
  <c r="AT32" i="18"/>
  <c r="AS32" i="18"/>
  <c r="AR32" i="18"/>
  <c r="AQ32" i="18"/>
  <c r="AP32" i="18"/>
  <c r="AM32" i="18"/>
  <c r="AL32" i="18"/>
  <c r="AT31" i="18"/>
  <c r="AS31" i="18"/>
  <c r="AR31" i="18"/>
  <c r="AQ31" i="18"/>
  <c r="AP31" i="18"/>
  <c r="AM31" i="18"/>
  <c r="AL31" i="18"/>
  <c r="AT30" i="18"/>
  <c r="AS30" i="18"/>
  <c r="AR30" i="18"/>
  <c r="AQ30" i="18"/>
  <c r="AP30" i="18"/>
  <c r="AM30" i="18"/>
  <c r="AL30" i="18"/>
  <c r="AT29" i="18"/>
  <c r="AS29" i="18"/>
  <c r="AR29" i="18"/>
  <c r="AQ29" i="18"/>
  <c r="AP29" i="18"/>
  <c r="AM29" i="18"/>
  <c r="AL29" i="18"/>
  <c r="AT28" i="18"/>
  <c r="AS28" i="18"/>
  <c r="AR28" i="18"/>
  <c r="AQ28" i="18"/>
  <c r="AP28" i="18"/>
  <c r="AM28" i="18"/>
  <c r="AL28" i="18"/>
  <c r="AT27" i="18"/>
  <c r="AS27" i="18"/>
  <c r="AR27" i="18"/>
  <c r="AQ27" i="18"/>
  <c r="AP27" i="18"/>
  <c r="AM27" i="18"/>
  <c r="AL27" i="18"/>
  <c r="AT26" i="18"/>
  <c r="AS26" i="18"/>
  <c r="AR26" i="18"/>
  <c r="AQ26" i="18"/>
  <c r="AP26" i="18"/>
  <c r="AM26" i="18"/>
  <c r="AL26" i="18"/>
  <c r="AT25" i="18"/>
  <c r="AS25" i="18"/>
  <c r="AR25" i="18"/>
  <c r="AQ25" i="18"/>
  <c r="AP25" i="18"/>
  <c r="AM25" i="18"/>
  <c r="AL25" i="18"/>
  <c r="AT24" i="18"/>
  <c r="AS24" i="18"/>
  <c r="AR24" i="18"/>
  <c r="AQ24" i="18"/>
  <c r="AP24" i="18"/>
  <c r="AM24" i="18"/>
  <c r="AL24" i="18"/>
  <c r="AT23" i="18"/>
  <c r="AS23" i="18"/>
  <c r="AR23" i="18"/>
  <c r="AQ23" i="18"/>
  <c r="AP23" i="18"/>
  <c r="AM23" i="18"/>
  <c r="AL23" i="18"/>
  <c r="AT22" i="18"/>
  <c r="AS22" i="18"/>
  <c r="AR22" i="18"/>
  <c r="AQ22" i="18"/>
  <c r="AP22" i="18"/>
  <c r="AM22" i="18"/>
  <c r="AL22" i="18"/>
  <c r="AT21" i="18"/>
  <c r="AS21" i="18"/>
  <c r="AR21" i="18"/>
  <c r="AQ21" i="18"/>
  <c r="AP21" i="18"/>
  <c r="AM21" i="18"/>
  <c r="AL21" i="18"/>
  <c r="AT20" i="18"/>
  <c r="AS20" i="18"/>
  <c r="AR20" i="18"/>
  <c r="AQ20" i="18"/>
  <c r="AP20" i="18"/>
  <c r="AM20" i="18"/>
  <c r="AL20" i="18"/>
  <c r="AT19" i="18"/>
  <c r="AS19" i="18"/>
  <c r="AR19" i="18"/>
  <c r="AQ19" i="18"/>
  <c r="AP19" i="18"/>
  <c r="AM19" i="18"/>
  <c r="AL19" i="18"/>
  <c r="AT18" i="18"/>
  <c r="AS18" i="18"/>
  <c r="AR18" i="18"/>
  <c r="AQ18" i="18"/>
  <c r="AP18" i="18"/>
  <c r="AM18" i="18"/>
  <c r="AL18" i="18"/>
  <c r="AT17" i="18"/>
  <c r="AS17" i="18"/>
  <c r="AR17" i="18"/>
  <c r="AQ17" i="18"/>
  <c r="AP17" i="18"/>
  <c r="AM17" i="18"/>
  <c r="AL17" i="18"/>
  <c r="AT16" i="18"/>
  <c r="AS16" i="18"/>
  <c r="AS14" i="18" s="1"/>
  <c r="AR16" i="18"/>
  <c r="AR14" i="18" s="1"/>
  <c r="AQ16" i="18"/>
  <c r="AQ14" i="18" s="1"/>
  <c r="AP16" i="18"/>
  <c r="O4" i="21" s="1"/>
  <c r="AM16" i="18"/>
  <c r="AL16" i="18"/>
  <c r="AT15" i="18"/>
  <c r="AS15" i="18"/>
  <c r="AR15" i="18"/>
  <c r="AQ15" i="18"/>
  <c r="AP15" i="18"/>
  <c r="AO15" i="18"/>
  <c r="AT14" i="18"/>
  <c r="AG41" i="17"/>
  <c r="AF41" i="17"/>
  <c r="AG40" i="17"/>
  <c r="AF40" i="17"/>
  <c r="AG39" i="17"/>
  <c r="AF39" i="17"/>
  <c r="AF26" i="17"/>
  <c r="AF25" i="17"/>
  <c r="AF24" i="17"/>
  <c r="AG16" i="17"/>
  <c r="AF16" i="17"/>
  <c r="AG15" i="17"/>
  <c r="AF15" i="17"/>
  <c r="AG14" i="17"/>
  <c r="AF14" i="17"/>
  <c r="AG13" i="17"/>
  <c r="AF13" i="17"/>
  <c r="AG12" i="17"/>
  <c r="AF12" i="17"/>
  <c r="AU36" i="16"/>
  <c r="AU35" i="16"/>
  <c r="AU34" i="16"/>
  <c r="AU33" i="16"/>
  <c r="AU19" i="16"/>
  <c r="AU18" i="16"/>
  <c r="AU17" i="16"/>
  <c r="AU16" i="16"/>
  <c r="AU15" i="16"/>
  <c r="AU14" i="16"/>
  <c r="AU13" i="16"/>
  <c r="BA26" i="15"/>
  <c r="BA25" i="15"/>
  <c r="AW25" i="15"/>
  <c r="BA24" i="15"/>
  <c r="AW24" i="15"/>
  <c r="BA23" i="15"/>
  <c r="AW23" i="15"/>
  <c r="BA22" i="15"/>
  <c r="AW22" i="15"/>
  <c r="BA21" i="15"/>
  <c r="AW21" i="15"/>
  <c r="BA20" i="15"/>
  <c r="AW20" i="15"/>
  <c r="BA19" i="15"/>
  <c r="AW19" i="15"/>
  <c r="BA18" i="15"/>
  <c r="AW18" i="15"/>
  <c r="BA17" i="15"/>
  <c r="AW17" i="15"/>
  <c r="BA16" i="15"/>
  <c r="BA15" i="15"/>
  <c r="BA14" i="15"/>
  <c r="BA13" i="15"/>
  <c r="AP92" i="14"/>
  <c r="AR92" i="14" s="1"/>
  <c r="AO92" i="14"/>
  <c r="AS92" i="14" s="1"/>
  <c r="AM92" i="14"/>
  <c r="AP91" i="14"/>
  <c r="AR91" i="14" s="1"/>
  <c r="AO91" i="14"/>
  <c r="AS91" i="14" s="1"/>
  <c r="AM91" i="14"/>
  <c r="AP90" i="14"/>
  <c r="AR90" i="14" s="1"/>
  <c r="AO90" i="14"/>
  <c r="AS90" i="14" s="1"/>
  <c r="AM90" i="14"/>
  <c r="AP89" i="14"/>
  <c r="AR89" i="14" s="1"/>
  <c r="AO89" i="14"/>
  <c r="AS89" i="14" s="1"/>
  <c r="AM89" i="14"/>
  <c r="AP88" i="14"/>
  <c r="AR88" i="14" s="1"/>
  <c r="AO88" i="14"/>
  <c r="AS88" i="14" s="1"/>
  <c r="AM88" i="14"/>
  <c r="AP87" i="14"/>
  <c r="AR87" i="14" s="1"/>
  <c r="AO87" i="14"/>
  <c r="AS87" i="14" s="1"/>
  <c r="AM87" i="14"/>
  <c r="AP86" i="14"/>
  <c r="AR86" i="14" s="1"/>
  <c r="AO86" i="14"/>
  <c r="AS86" i="14" s="1"/>
  <c r="AM86" i="14"/>
  <c r="AP85" i="14"/>
  <c r="AR85" i="14" s="1"/>
  <c r="AO85" i="14"/>
  <c r="AS85" i="14" s="1"/>
  <c r="AM85" i="14"/>
  <c r="AP84" i="14"/>
  <c r="AR84" i="14" s="1"/>
  <c r="AO84" i="14"/>
  <c r="AS84" i="14" s="1"/>
  <c r="AM84" i="14"/>
  <c r="AP83" i="14"/>
  <c r="AR83" i="14" s="1"/>
  <c r="AO83" i="14"/>
  <c r="AS83" i="14" s="1"/>
  <c r="AM83" i="14"/>
  <c r="AP82" i="14"/>
  <c r="AR82" i="14" s="1"/>
  <c r="AO82" i="14"/>
  <c r="AS82" i="14" s="1"/>
  <c r="AM82" i="14"/>
  <c r="AP81" i="14"/>
  <c r="AR81" i="14" s="1"/>
  <c r="AO81" i="14"/>
  <c r="AS81" i="14" s="1"/>
  <c r="AM81" i="14"/>
  <c r="AP80" i="14"/>
  <c r="AR80" i="14" s="1"/>
  <c r="AO80" i="14"/>
  <c r="AS80" i="14" s="1"/>
  <c r="AM80" i="14"/>
  <c r="AP79" i="14"/>
  <c r="AR79" i="14" s="1"/>
  <c r="AO79" i="14"/>
  <c r="AS79" i="14" s="1"/>
  <c r="AM79" i="14"/>
  <c r="AP78" i="14"/>
  <c r="AR78" i="14" s="1"/>
  <c r="AO78" i="14"/>
  <c r="AS78" i="14" s="1"/>
  <c r="AM78" i="14"/>
  <c r="AS47" i="14"/>
  <c r="AS46" i="14"/>
  <c r="AO46" i="14"/>
  <c r="AP32" i="14"/>
  <c r="AR32" i="14" s="1"/>
  <c r="AO32" i="14"/>
  <c r="AS32" i="14" s="1"/>
  <c r="AM32" i="14"/>
  <c r="AP31" i="14"/>
  <c r="AR31" i="14" s="1"/>
  <c r="AO31" i="14"/>
  <c r="AS31" i="14" s="1"/>
  <c r="AM31" i="14"/>
  <c r="AP30" i="14"/>
  <c r="AR30" i="14" s="1"/>
  <c r="AO30" i="14"/>
  <c r="AS30" i="14" s="1"/>
  <c r="AM30" i="14"/>
  <c r="AP29" i="14"/>
  <c r="AR29" i="14" s="1"/>
  <c r="AO29" i="14"/>
  <c r="AS29" i="14" s="1"/>
  <c r="AM29" i="14"/>
  <c r="AP28" i="14"/>
  <c r="AR28" i="14" s="1"/>
  <c r="AO28" i="14"/>
  <c r="AS28" i="14" s="1"/>
  <c r="AM28" i="14"/>
  <c r="AP27" i="14"/>
  <c r="AR27" i="14" s="1"/>
  <c r="AO27" i="14"/>
  <c r="AS27" i="14" s="1"/>
  <c r="AM27" i="14"/>
  <c r="AP26" i="14"/>
  <c r="AR26" i="14" s="1"/>
  <c r="AO26" i="14"/>
  <c r="AS26" i="14" s="1"/>
  <c r="AM26" i="14"/>
  <c r="AP25" i="14"/>
  <c r="AR25" i="14" s="1"/>
  <c r="AO25" i="14"/>
  <c r="AS25" i="14" s="1"/>
  <c r="AM25" i="14"/>
  <c r="AP24" i="14"/>
  <c r="AR24" i="14" s="1"/>
  <c r="AO24" i="14"/>
  <c r="AS24" i="14" s="1"/>
  <c r="AM24" i="14"/>
  <c r="AP23" i="14"/>
  <c r="AR23" i="14" s="1"/>
  <c r="AO23" i="14"/>
  <c r="AS23" i="14" s="1"/>
  <c r="AM23" i="14"/>
  <c r="AP22" i="14"/>
  <c r="AR22" i="14" s="1"/>
  <c r="AO22" i="14"/>
  <c r="AS22" i="14" s="1"/>
  <c r="AM22" i="14"/>
  <c r="AP21" i="14"/>
  <c r="AR21" i="14" s="1"/>
  <c r="AO21" i="14"/>
  <c r="AS21" i="14" s="1"/>
  <c r="AM21" i="14"/>
  <c r="AP20" i="14"/>
  <c r="AR20" i="14" s="1"/>
  <c r="AO20" i="14"/>
  <c r="AS20" i="14" s="1"/>
  <c r="AM20" i="14"/>
  <c r="AP19" i="14"/>
  <c r="AR19" i="14" s="1"/>
  <c r="AO19" i="14"/>
  <c r="AS19" i="14" s="1"/>
  <c r="AM19" i="14"/>
  <c r="AP18" i="14"/>
  <c r="AR18" i="14" s="1"/>
  <c r="AO18" i="14"/>
  <c r="AS18" i="14" s="1"/>
  <c r="AM18" i="14"/>
  <c r="AS17" i="14"/>
  <c r="AS16" i="14"/>
  <c r="AS15" i="14"/>
  <c r="AO15" i="14"/>
  <c r="AS14" i="14"/>
  <c r="AO14" i="14"/>
  <c r="AS13" i="14"/>
  <c r="AO13" i="14"/>
  <c r="AS12" i="14"/>
  <c r="AO12" i="14"/>
  <c r="AS11" i="14"/>
  <c r="AO11" i="14"/>
  <c r="AS10" i="14"/>
  <c r="AO10" i="14"/>
  <c r="Y16" i="13"/>
  <c r="Y15" i="13"/>
  <c r="Y14" i="13"/>
  <c r="Y13" i="13"/>
  <c r="Y12" i="13"/>
  <c r="AE122" i="12"/>
  <c r="AG122" i="12" s="1"/>
  <c r="AE121" i="12"/>
  <c r="AG121" i="12" s="1"/>
  <c r="AE120" i="12"/>
  <c r="AG120" i="12" s="1"/>
  <c r="AE119" i="12"/>
  <c r="AG119" i="12" s="1"/>
  <c r="AG31" i="12"/>
  <c r="AG30" i="12"/>
  <c r="AE30" i="12"/>
  <c r="AG29" i="12"/>
  <c r="AG28" i="12"/>
  <c r="AE28" i="12"/>
  <c r="AG16" i="12"/>
  <c r="AE16" i="12"/>
  <c r="AG15" i="12"/>
  <c r="AE15" i="12"/>
  <c r="AG14" i="12"/>
  <c r="AE14" i="12"/>
  <c r="AG13" i="12"/>
  <c r="AE13" i="12"/>
  <c r="AG12" i="12"/>
  <c r="AE12" i="12"/>
  <c r="Z84" i="11"/>
  <c r="AB84" i="11" s="1"/>
  <c r="Y84" i="11"/>
  <c r="AC84" i="11" s="1"/>
  <c r="X84" i="11"/>
  <c r="Z83" i="11"/>
  <c r="AB83" i="11" s="1"/>
  <c r="Y83" i="11"/>
  <c r="AC83" i="11" s="1"/>
  <c r="X83" i="11"/>
  <c r="Z82" i="11"/>
  <c r="AB82" i="11" s="1"/>
  <c r="Y82" i="11"/>
  <c r="AC82" i="11" s="1"/>
  <c r="X82" i="11"/>
  <c r="Z81" i="11"/>
  <c r="AB81" i="11" s="1"/>
  <c r="Y81" i="11"/>
  <c r="AC81" i="11" s="1"/>
  <c r="X81" i="11"/>
  <c r="Z80" i="11"/>
  <c r="AB80" i="11" s="1"/>
  <c r="Y80" i="11"/>
  <c r="AC80" i="11" s="1"/>
  <c r="X80" i="11"/>
  <c r="Z79" i="11"/>
  <c r="AB79" i="11" s="1"/>
  <c r="Y79" i="11"/>
  <c r="AC79" i="11" s="1"/>
  <c r="X79" i="11"/>
  <c r="Z78" i="11"/>
  <c r="AB78" i="11" s="1"/>
  <c r="Y78" i="11"/>
  <c r="AC78" i="11" s="1"/>
  <c r="X78" i="11"/>
  <c r="Z77" i="11"/>
  <c r="AB77" i="11" s="1"/>
  <c r="Y77" i="11"/>
  <c r="AC77" i="11" s="1"/>
  <c r="X77" i="11"/>
  <c r="Z76" i="11"/>
  <c r="AB76" i="11" s="1"/>
  <c r="Y76" i="11"/>
  <c r="AC76" i="11" s="1"/>
  <c r="X76" i="11"/>
  <c r="Z75" i="11"/>
  <c r="AB75" i="11" s="1"/>
  <c r="Y75" i="11"/>
  <c r="AC75" i="11" s="1"/>
  <c r="X75" i="11"/>
  <c r="Z74" i="11"/>
  <c r="AB74" i="11" s="1"/>
  <c r="Y74" i="11"/>
  <c r="AC74" i="11" s="1"/>
  <c r="X74" i="11"/>
  <c r="Z73" i="11"/>
  <c r="AB73" i="11" s="1"/>
  <c r="Y73" i="11"/>
  <c r="AC73" i="11" s="1"/>
  <c r="X73" i="11"/>
  <c r="Z72" i="11"/>
  <c r="AB72" i="11" s="1"/>
  <c r="Y72" i="11"/>
  <c r="AC72" i="11" s="1"/>
  <c r="X72" i="11"/>
  <c r="Z71" i="11"/>
  <c r="AB71" i="11" s="1"/>
  <c r="Y71" i="11"/>
  <c r="AC71" i="11" s="1"/>
  <c r="X71" i="11"/>
  <c r="Z70" i="11"/>
  <c r="AB70" i="11" s="1"/>
  <c r="Y70" i="11"/>
  <c r="AC70" i="11" s="1"/>
  <c r="X70" i="11"/>
  <c r="AC55" i="11"/>
  <c r="Z46" i="11"/>
  <c r="AB46" i="11" s="1"/>
  <c r="Y46" i="11"/>
  <c r="AC46" i="11" s="1"/>
  <c r="X46" i="11"/>
  <c r="Z45" i="11"/>
  <c r="AB45" i="11" s="1"/>
  <c r="Y45" i="11"/>
  <c r="AC45" i="11" s="1"/>
  <c r="X45" i="11"/>
  <c r="Z44" i="11"/>
  <c r="AB44" i="11" s="1"/>
  <c r="Y44" i="11"/>
  <c r="AC44" i="11" s="1"/>
  <c r="X44" i="11"/>
  <c r="Z43" i="11"/>
  <c r="AB43" i="11" s="1"/>
  <c r="Y43" i="11"/>
  <c r="AC43" i="11" s="1"/>
  <c r="X43" i="11"/>
  <c r="Z42" i="11"/>
  <c r="AB42" i="11" s="1"/>
  <c r="Y42" i="11"/>
  <c r="AC42" i="11" s="1"/>
  <c r="X42" i="11"/>
  <c r="Z41" i="11"/>
  <c r="AB41" i="11" s="1"/>
  <c r="Y41" i="11"/>
  <c r="AC41" i="11" s="1"/>
  <c r="X41" i="11"/>
  <c r="Z40" i="11"/>
  <c r="AB40" i="11" s="1"/>
  <c r="Y40" i="11"/>
  <c r="AC40" i="11" s="1"/>
  <c r="X40" i="11"/>
  <c r="Z39" i="11"/>
  <c r="AB39" i="11" s="1"/>
  <c r="Y39" i="11"/>
  <c r="AC39" i="11" s="1"/>
  <c r="X39" i="11"/>
  <c r="Z38" i="11"/>
  <c r="AB38" i="11" s="1"/>
  <c r="Y38" i="11"/>
  <c r="AC38" i="11" s="1"/>
  <c r="X38" i="11"/>
  <c r="Z37" i="11"/>
  <c r="AB37" i="11" s="1"/>
  <c r="Y37" i="11"/>
  <c r="AC37" i="11" s="1"/>
  <c r="X37" i="11"/>
  <c r="Z36" i="11"/>
  <c r="AB36" i="11" s="1"/>
  <c r="Y36" i="11"/>
  <c r="AC36" i="11" s="1"/>
  <c r="X36" i="11"/>
  <c r="Z35" i="11"/>
  <c r="AB35" i="11" s="1"/>
  <c r="Y35" i="11"/>
  <c r="AC35" i="11" s="1"/>
  <c r="X35" i="11"/>
  <c r="Z34" i="11"/>
  <c r="AB34" i="11" s="1"/>
  <c r="Y34" i="11"/>
  <c r="AC34" i="11" s="1"/>
  <c r="X34" i="11"/>
  <c r="Z33" i="11"/>
  <c r="AB33" i="11" s="1"/>
  <c r="Y33" i="11"/>
  <c r="AC33" i="11" s="1"/>
  <c r="X33" i="11"/>
  <c r="Z32" i="11"/>
  <c r="AB32" i="11" s="1"/>
  <c r="Y32" i="11"/>
  <c r="AC32" i="11" s="1"/>
  <c r="X32" i="11"/>
  <c r="AC17" i="11"/>
  <c r="AD20" i="9"/>
  <c r="AF20" i="9" s="1"/>
  <c r="AD19" i="9"/>
  <c r="AF19" i="9" s="1"/>
  <c r="AF18" i="9"/>
  <c r="AF17" i="9"/>
  <c r="AE17" i="9" s="1"/>
  <c r="AF16" i="9"/>
  <c r="AE16" i="9" s="1"/>
  <c r="AD16" i="9"/>
  <c r="AF15" i="9"/>
  <c r="AE15" i="9" s="1"/>
  <c r="AD15" i="9"/>
  <c r="AA82" i="8"/>
  <c r="AC82" i="8" s="1"/>
  <c r="AA81" i="8"/>
  <c r="AC81" i="8" s="1"/>
  <c r="AA80" i="8"/>
  <c r="AC80" i="8" s="1"/>
  <c r="AB79" i="8"/>
  <c r="AC17" i="8"/>
  <c r="AA17" i="8"/>
  <c r="AC16" i="8"/>
  <c r="AA16" i="8"/>
  <c r="AC15" i="8"/>
  <c r="AA15" i="8"/>
  <c r="AC14" i="8"/>
  <c r="AA14" i="8"/>
  <c r="AB12" i="8"/>
  <c r="AM28" i="7"/>
  <c r="AL28" i="7"/>
  <c r="AM27" i="7"/>
  <c r="AL27" i="7"/>
  <c r="AM26" i="7"/>
  <c r="AL26" i="7"/>
  <c r="AM25" i="7"/>
  <c r="AL25" i="7"/>
  <c r="AM24" i="7"/>
  <c r="AL24" i="7"/>
  <c r="AE36" i="6"/>
  <c r="AF28" i="6"/>
  <c r="AG28" i="6" s="1"/>
  <c r="H60" i="3"/>
  <c r="E12" i="2"/>
  <c r="BG14" i="25" l="1"/>
  <c r="BN40" i="25"/>
  <c r="BP43" i="25"/>
  <c r="BQ40" i="25"/>
  <c r="AM24" i="20"/>
  <c r="AM64" i="20"/>
  <c r="AC18" i="20"/>
  <c r="AB18" i="20"/>
  <c r="AG19" i="20"/>
  <c r="AB19" i="20"/>
  <c r="AM19" i="20" s="1"/>
  <c r="AC19" i="20"/>
  <c r="AB20" i="20"/>
  <c r="AC20" i="20"/>
  <c r="AG21" i="20"/>
  <c r="AB21" i="20"/>
  <c r="AM21" i="20" s="1"/>
  <c r="AC21" i="20"/>
  <c r="AB22" i="20"/>
  <c r="AC22" i="20"/>
  <c r="AB23" i="20"/>
  <c r="AC23" i="20"/>
  <c r="AB24" i="20"/>
  <c r="AC24" i="20"/>
  <c r="AB25" i="20"/>
  <c r="AM25" i="20" s="1"/>
  <c r="AC25" i="20"/>
  <c r="AB26" i="20"/>
  <c r="AC26" i="20"/>
  <c r="AB27" i="20"/>
  <c r="AC27" i="20"/>
  <c r="AB28" i="20"/>
  <c r="AC28" i="20"/>
  <c r="AB29" i="20"/>
  <c r="AM29" i="20" s="1"/>
  <c r="AC29" i="20"/>
  <c r="AB30" i="20"/>
  <c r="AC30" i="20"/>
  <c r="AB31" i="20"/>
  <c r="AC31" i="20"/>
  <c r="AP14" i="18"/>
  <c r="AP13" i="18" s="1"/>
  <c r="O11" i="21"/>
  <c r="O12" i="21" s="1"/>
  <c r="Z16" i="18"/>
  <c r="AG17" i="20"/>
  <c r="AC17" i="20"/>
  <c r="AB17" i="20"/>
  <c r="AL17" i="20" s="1"/>
  <c r="AC32" i="20"/>
  <c r="AB32" i="20"/>
  <c r="AC34" i="20"/>
  <c r="AB34" i="20"/>
  <c r="AL34" i="20" s="1"/>
  <c r="AD37" i="20"/>
  <c r="AB37" i="20"/>
  <c r="AH37" i="20" s="1"/>
  <c r="AC37" i="20"/>
  <c r="AB39" i="20"/>
  <c r="AI39" i="20" s="1"/>
  <c r="AO39" i="20" s="1"/>
  <c r="AC39" i="20"/>
  <c r="AB42" i="20"/>
  <c r="AC42" i="20"/>
  <c r="AB43" i="20"/>
  <c r="AC43" i="20"/>
  <c r="AB45" i="20"/>
  <c r="AH45" i="20" s="1"/>
  <c r="AC45" i="20"/>
  <c r="AB47" i="20"/>
  <c r="AH47" i="20" s="1"/>
  <c r="AC47" i="20"/>
  <c r="AB49" i="20"/>
  <c r="AH49" i="20" s="1"/>
  <c r="AC49" i="20"/>
  <c r="AB50" i="20"/>
  <c r="AJ50" i="20" s="1"/>
  <c r="AC50" i="20"/>
  <c r="AB51" i="20"/>
  <c r="AC51" i="20"/>
  <c r="AC52" i="20"/>
  <c r="AB52" i="20"/>
  <c r="AI52" i="20" s="1"/>
  <c r="AO52" i="20" s="1"/>
  <c r="AB53" i="20"/>
  <c r="AH53" i="20" s="1"/>
  <c r="AC53" i="20"/>
  <c r="AB54" i="20"/>
  <c r="AI54" i="20" s="1"/>
  <c r="AO54" i="20" s="1"/>
  <c r="AC54" i="20"/>
  <c r="AB55" i="20"/>
  <c r="AC55" i="20"/>
  <c r="AG56" i="20"/>
  <c r="AM56" i="20" s="1"/>
  <c r="AC56" i="20"/>
  <c r="AB56" i="20"/>
  <c r="AL56" i="20" s="1"/>
  <c r="AB57" i="20"/>
  <c r="AH57" i="20" s="1"/>
  <c r="AC57" i="20"/>
  <c r="AB58" i="20"/>
  <c r="AC58" i="20"/>
  <c r="AB59" i="20"/>
  <c r="AC59" i="20"/>
  <c r="AD99" i="20"/>
  <c r="AC99" i="20"/>
  <c r="AB99" i="20"/>
  <c r="AH99" i="20" s="1"/>
  <c r="AB100" i="20"/>
  <c r="AH100" i="20" s="1"/>
  <c r="AC100" i="20"/>
  <c r="AB103" i="20"/>
  <c r="AC103" i="20"/>
  <c r="AB104" i="20"/>
  <c r="AH104" i="20" s="1"/>
  <c r="AC104" i="20"/>
  <c r="AB108" i="20"/>
  <c r="AC108" i="20"/>
  <c r="AB111" i="20"/>
  <c r="AL111" i="20" s="1"/>
  <c r="AC111" i="20"/>
  <c r="AG112" i="20"/>
  <c r="AB112" i="20"/>
  <c r="AL112" i="20" s="1"/>
  <c r="AC112" i="20"/>
  <c r="AC114" i="20"/>
  <c r="AB114" i="20"/>
  <c r="AJ114" i="20" s="1"/>
  <c r="AC115" i="20"/>
  <c r="AB115" i="20"/>
  <c r="AH115" i="20" s="1"/>
  <c r="AB116" i="20"/>
  <c r="AJ116" i="20" s="1"/>
  <c r="AC116" i="20"/>
  <c r="AB33" i="20"/>
  <c r="AL33" i="20" s="1"/>
  <c r="AC33" i="20"/>
  <c r="AB35" i="20"/>
  <c r="AJ35" i="20" s="1"/>
  <c r="AC35" i="20"/>
  <c r="AB36" i="20"/>
  <c r="AJ36" i="20" s="1"/>
  <c r="AC36" i="20"/>
  <c r="AC38" i="20"/>
  <c r="AB38" i="20"/>
  <c r="AC40" i="20"/>
  <c r="AB40" i="20"/>
  <c r="AL40" i="20" s="1"/>
  <c r="AB41" i="20"/>
  <c r="AC41" i="20"/>
  <c r="AD44" i="20"/>
  <c r="AC44" i="20"/>
  <c r="AB44" i="20"/>
  <c r="AI44" i="20" s="1"/>
  <c r="AO44" i="20" s="1"/>
  <c r="AB46" i="20"/>
  <c r="AC46" i="20"/>
  <c r="AC48" i="20"/>
  <c r="AB48" i="20"/>
  <c r="AI48" i="20" s="1"/>
  <c r="AO48" i="20" s="1"/>
  <c r="AC60" i="20"/>
  <c r="AB60" i="20"/>
  <c r="AB61" i="20"/>
  <c r="AH61" i="20" s="1"/>
  <c r="AC61" i="20"/>
  <c r="AB62" i="20"/>
  <c r="AC62" i="20"/>
  <c r="AB63" i="20"/>
  <c r="AI63" i="20" s="1"/>
  <c r="AO63" i="20" s="1"/>
  <c r="AC63" i="20"/>
  <c r="AG64" i="20"/>
  <c r="AB64" i="20"/>
  <c r="AJ64" i="20" s="1"/>
  <c r="AC64" i="20"/>
  <c r="AB65" i="20"/>
  <c r="AL65" i="20" s="1"/>
  <c r="AC65" i="20"/>
  <c r="AG66" i="20"/>
  <c r="AC66" i="20"/>
  <c r="AB66" i="20"/>
  <c r="AJ66" i="20" s="1"/>
  <c r="AB67" i="20"/>
  <c r="AC67" i="20"/>
  <c r="AB68" i="20"/>
  <c r="AL68" i="20" s="1"/>
  <c r="AC68" i="20"/>
  <c r="AB69" i="20"/>
  <c r="AH69" i="20" s="1"/>
  <c r="AC69" i="20"/>
  <c r="AD70" i="20"/>
  <c r="AC70" i="20"/>
  <c r="AB70" i="20"/>
  <c r="AB71" i="20"/>
  <c r="AI71" i="20" s="1"/>
  <c r="AO71" i="20" s="1"/>
  <c r="AC71" i="20"/>
  <c r="AD72" i="20"/>
  <c r="AB72" i="20"/>
  <c r="AJ72" i="20" s="1"/>
  <c r="AC72" i="20"/>
  <c r="AB73" i="20"/>
  <c r="AI73" i="20" s="1"/>
  <c r="AO73" i="20" s="1"/>
  <c r="AC73" i="20"/>
  <c r="AB74" i="20"/>
  <c r="AC74" i="20"/>
  <c r="AB75" i="20"/>
  <c r="AL75" i="20" s="1"/>
  <c r="AC75" i="20"/>
  <c r="AB76" i="20"/>
  <c r="AC76" i="20"/>
  <c r="AB77" i="20"/>
  <c r="AL77" i="20" s="1"/>
  <c r="AC77" i="20"/>
  <c r="AG78" i="20"/>
  <c r="AB78" i="20"/>
  <c r="AI78" i="20" s="1"/>
  <c r="AO78" i="20" s="1"/>
  <c r="AC78" i="20"/>
  <c r="AC79" i="20"/>
  <c r="AB79" i="20"/>
  <c r="AL79" i="20" s="1"/>
  <c r="AG80" i="20"/>
  <c r="AB80" i="20"/>
  <c r="AM80" i="20" s="1"/>
  <c r="AC80" i="20"/>
  <c r="AC81" i="20"/>
  <c r="AB81" i="20"/>
  <c r="AL81" i="20" s="1"/>
  <c r="AC82" i="20"/>
  <c r="AB82" i="20"/>
  <c r="AL82" i="20" s="1"/>
  <c r="AB83" i="20"/>
  <c r="AL83" i="20" s="1"/>
  <c r="AC83" i="20"/>
  <c r="AB84" i="20"/>
  <c r="AH84" i="20" s="1"/>
  <c r="AC84" i="20"/>
  <c r="AD85" i="20"/>
  <c r="AB85" i="20"/>
  <c r="AJ85" i="20" s="1"/>
  <c r="AC85" i="20"/>
  <c r="AE85" i="20" s="1"/>
  <c r="AF85" i="20" s="1"/>
  <c r="AG86" i="20"/>
  <c r="AB86" i="20"/>
  <c r="AC86" i="20"/>
  <c r="AB87" i="20"/>
  <c r="AL87" i="20" s="1"/>
  <c r="AC87" i="20"/>
  <c r="AB88" i="20"/>
  <c r="AL88" i="20" s="1"/>
  <c r="AC88" i="20"/>
  <c r="AD89" i="20"/>
  <c r="AC89" i="20"/>
  <c r="AB89" i="20"/>
  <c r="AL89" i="20" s="1"/>
  <c r="AB90" i="20"/>
  <c r="AL90" i="20" s="1"/>
  <c r="AC90" i="20"/>
  <c r="AC91" i="20"/>
  <c r="AB91" i="20"/>
  <c r="AL91" i="20" s="1"/>
  <c r="AB92" i="20"/>
  <c r="AH92" i="20" s="1"/>
  <c r="AC92" i="20"/>
  <c r="AB93" i="20"/>
  <c r="AL93" i="20" s="1"/>
  <c r="AC93" i="20"/>
  <c r="AC94" i="20"/>
  <c r="AB94" i="20"/>
  <c r="AH94" i="20" s="1"/>
  <c r="AC95" i="20"/>
  <c r="AB95" i="20"/>
  <c r="AG96" i="20"/>
  <c r="AB96" i="20"/>
  <c r="AH96" i="20" s="1"/>
  <c r="AC96" i="20"/>
  <c r="AD97" i="20"/>
  <c r="AB97" i="20"/>
  <c r="AC97" i="20"/>
  <c r="AB98" i="20"/>
  <c r="AJ98" i="20" s="1"/>
  <c r="AC98" i="20"/>
  <c r="AD101" i="20"/>
  <c r="AC101" i="20"/>
  <c r="AB101" i="20"/>
  <c r="AL101" i="20" s="1"/>
  <c r="AD102" i="20"/>
  <c r="AB102" i="20"/>
  <c r="AH102" i="20" s="1"/>
  <c r="AC102" i="20"/>
  <c r="AD105" i="20"/>
  <c r="AC105" i="20"/>
  <c r="AB105" i="20"/>
  <c r="AC106" i="20"/>
  <c r="AB106" i="20"/>
  <c r="AL106" i="20" s="1"/>
  <c r="AD107" i="20"/>
  <c r="AC107" i="20"/>
  <c r="AB107" i="20"/>
  <c r="AD109" i="20"/>
  <c r="AC109" i="20"/>
  <c r="AB109" i="20"/>
  <c r="AB110" i="20"/>
  <c r="AJ110" i="20" s="1"/>
  <c r="AC110" i="20"/>
  <c r="AD113" i="20"/>
  <c r="AC113" i="20"/>
  <c r="AE113" i="20" s="1"/>
  <c r="AF113" i="20" s="1"/>
  <c r="AB113" i="20"/>
  <c r="AI113" i="20" s="1"/>
  <c r="AO113" i="20" s="1"/>
  <c r="Z31" i="18"/>
  <c r="AA31" i="18"/>
  <c r="AA32" i="18"/>
  <c r="Z32" i="18"/>
  <c r="AA33" i="18"/>
  <c r="Z33" i="18"/>
  <c r="AA34" i="18"/>
  <c r="Z34" i="18"/>
  <c r="Z35" i="18"/>
  <c r="AA35" i="18"/>
  <c r="AA36" i="18"/>
  <c r="Z36" i="18"/>
  <c r="AA37" i="18"/>
  <c r="Z37" i="18"/>
  <c r="AA38" i="18"/>
  <c r="Z38" i="18"/>
  <c r="Z39" i="18"/>
  <c r="AA39" i="18"/>
  <c r="AA40" i="18"/>
  <c r="Z40" i="18"/>
  <c r="AA41" i="18"/>
  <c r="Z41" i="18"/>
  <c r="AE42" i="18"/>
  <c r="AA42" i="18"/>
  <c r="Z42" i="18"/>
  <c r="Z43" i="18"/>
  <c r="AA43" i="18"/>
  <c r="AB44" i="18"/>
  <c r="AA44" i="18"/>
  <c r="Z44" i="18"/>
  <c r="AA45" i="18"/>
  <c r="Z45" i="18"/>
  <c r="AA46" i="18"/>
  <c r="Z46" i="18"/>
  <c r="Z47" i="18"/>
  <c r="AA47" i="18"/>
  <c r="AB48" i="18"/>
  <c r="AA48" i="18"/>
  <c r="Z48" i="18"/>
  <c r="Z49" i="18"/>
  <c r="AA49" i="18"/>
  <c r="AE50" i="18"/>
  <c r="AA50" i="18"/>
  <c r="Z50" i="18"/>
  <c r="AK50" i="18" s="1"/>
  <c r="AA51" i="18"/>
  <c r="Z51" i="18"/>
  <c r="AB52" i="18"/>
  <c r="AA52" i="18"/>
  <c r="Z52" i="18"/>
  <c r="Z53" i="18"/>
  <c r="AA53" i="18"/>
  <c r="AA54" i="18"/>
  <c r="Z54" i="18"/>
  <c r="AA55" i="18"/>
  <c r="Z55" i="18"/>
  <c r="AB56" i="18"/>
  <c r="AA56" i="18"/>
  <c r="Z56" i="18"/>
  <c r="Z57" i="18"/>
  <c r="AA57" i="18"/>
  <c r="AE58" i="18"/>
  <c r="AA58" i="18"/>
  <c r="Z58" i="18"/>
  <c r="AA59" i="18"/>
  <c r="Z59" i="18"/>
  <c r="AE60" i="18"/>
  <c r="AA60" i="18"/>
  <c r="Z60" i="18"/>
  <c r="AK60" i="18" s="1"/>
  <c r="Z61" i="18"/>
  <c r="AA61" i="18"/>
  <c r="AA62" i="18"/>
  <c r="Z62" i="18"/>
  <c r="AA63" i="18"/>
  <c r="Z63" i="18"/>
  <c r="AB64" i="18"/>
  <c r="AA64" i="18"/>
  <c r="Z64" i="18"/>
  <c r="Z65" i="18"/>
  <c r="AA65" i="18"/>
  <c r="AE66" i="18"/>
  <c r="AA66" i="18"/>
  <c r="Z66" i="18"/>
  <c r="AA67" i="18"/>
  <c r="Z67" i="18"/>
  <c r="AB68" i="18"/>
  <c r="AA68" i="18"/>
  <c r="Z68" i="18"/>
  <c r="Z69" i="18"/>
  <c r="AA69" i="18"/>
  <c r="AA70" i="18"/>
  <c r="Z70" i="18"/>
  <c r="AA71" i="18"/>
  <c r="Z71" i="18"/>
  <c r="AB72" i="18"/>
  <c r="AA72" i="18"/>
  <c r="Z72" i="18"/>
  <c r="Z73" i="18"/>
  <c r="AA73" i="18"/>
  <c r="AE74" i="18"/>
  <c r="AA74" i="18"/>
  <c r="Z74" i="18"/>
  <c r="AA75" i="18"/>
  <c r="Z75" i="18"/>
  <c r="AA76" i="18"/>
  <c r="Z76" i="18"/>
  <c r="Z77" i="18"/>
  <c r="AA77" i="18"/>
  <c r="AA78" i="18"/>
  <c r="Z78" i="18"/>
  <c r="AA79" i="18"/>
  <c r="Z79" i="18"/>
  <c r="AB80" i="18"/>
  <c r="AA80" i="18"/>
  <c r="Z80" i="18"/>
  <c r="Z81" i="18"/>
  <c r="AA81" i="18"/>
  <c r="AE82" i="18"/>
  <c r="AA82" i="18"/>
  <c r="Z82" i="18"/>
  <c r="AA83" i="18"/>
  <c r="Z83" i="18"/>
  <c r="AB84" i="18"/>
  <c r="AA84" i="18"/>
  <c r="Z84" i="18"/>
  <c r="AK84" i="18" s="1"/>
  <c r="Z85" i="18"/>
  <c r="AA85" i="18"/>
  <c r="AA86" i="18"/>
  <c r="Z86" i="18"/>
  <c r="AA87" i="18"/>
  <c r="Z87" i="18"/>
  <c r="AB88" i="18"/>
  <c r="AA88" i="18"/>
  <c r="Z88" i="18"/>
  <c r="Z89" i="18"/>
  <c r="AA89" i="18"/>
  <c r="AE90" i="18"/>
  <c r="AA90" i="18"/>
  <c r="Z90" i="18"/>
  <c r="AA91" i="18"/>
  <c r="Z91" i="18"/>
  <c r="AE92" i="18"/>
  <c r="AA92" i="18"/>
  <c r="Z92" i="18"/>
  <c r="Z93" i="18"/>
  <c r="AA93" i="18"/>
  <c r="AA94" i="18"/>
  <c r="Z94" i="18"/>
  <c r="AA95" i="18"/>
  <c r="Z95" i="18"/>
  <c r="AB96" i="18"/>
  <c r="AA96" i="18"/>
  <c r="Z96" i="18"/>
  <c r="Z97" i="18"/>
  <c r="AA97" i="18"/>
  <c r="AA98" i="18"/>
  <c r="Z98" i="18"/>
  <c r="AA99" i="18"/>
  <c r="Z99" i="18"/>
  <c r="AE100" i="18"/>
  <c r="AA100" i="18"/>
  <c r="Z100" i="18"/>
  <c r="Z101" i="18"/>
  <c r="AA101" i="18"/>
  <c r="AA102" i="18"/>
  <c r="Z102" i="18"/>
  <c r="Z103" i="18"/>
  <c r="AA103" i="18"/>
  <c r="AA104" i="18"/>
  <c r="Z104" i="18"/>
  <c r="AA105" i="18"/>
  <c r="Z105" i="18"/>
  <c r="AA106" i="18"/>
  <c r="Z106" i="18"/>
  <c r="AB107" i="18"/>
  <c r="Z107" i="18"/>
  <c r="AA107" i="18"/>
  <c r="AA108" i="18"/>
  <c r="Z108" i="18"/>
  <c r="AB109" i="18"/>
  <c r="AA109" i="18"/>
  <c r="Z109" i="18"/>
  <c r="AA110" i="18"/>
  <c r="Z110" i="18"/>
  <c r="Z111" i="18"/>
  <c r="AA111" i="18"/>
  <c r="AA112" i="18"/>
  <c r="Z112" i="18"/>
  <c r="AE113" i="18"/>
  <c r="AA113" i="18"/>
  <c r="Z113" i="18"/>
  <c r="Z114" i="18"/>
  <c r="AA114" i="18"/>
  <c r="AE115" i="18"/>
  <c r="Z115" i="18"/>
  <c r="AA115" i="18"/>
  <c r="AU27" i="18"/>
  <c r="AS45" i="14"/>
  <c r="M190" i="24"/>
  <c r="BI51" i="25"/>
  <c r="BJ51" i="25" s="1"/>
  <c r="AF42" i="19"/>
  <c r="AA59" i="19"/>
  <c r="AI59" i="19" s="1"/>
  <c r="AR106" i="19"/>
  <c r="AA26" i="19"/>
  <c r="AI26" i="19" s="1"/>
  <c r="AU103" i="18"/>
  <c r="AU113" i="18"/>
  <c r="AU108" i="20"/>
  <c r="AB26" i="19"/>
  <c r="AU17" i="18"/>
  <c r="AU37" i="18"/>
  <c r="AU44" i="18"/>
  <c r="AU45" i="18"/>
  <c r="AU48" i="18"/>
  <c r="AU49" i="18"/>
  <c r="AU52" i="18"/>
  <c r="AU53" i="18"/>
  <c r="AU55" i="18"/>
  <c r="AU56" i="18"/>
  <c r="AU63" i="18"/>
  <c r="AU72" i="18"/>
  <c r="AU106" i="18"/>
  <c r="AR39" i="19"/>
  <c r="AR61" i="19"/>
  <c r="AR101" i="19"/>
  <c r="AD55" i="20"/>
  <c r="AU91" i="18"/>
  <c r="AU99" i="18"/>
  <c r="AR62" i="19"/>
  <c r="N24" i="24"/>
  <c r="AE21" i="18"/>
  <c r="AK21" i="18" s="1"/>
  <c r="AE37" i="18"/>
  <c r="AU69" i="20"/>
  <c r="AQ14" i="14"/>
  <c r="AY19" i="15"/>
  <c r="AU21" i="18"/>
  <c r="AU29" i="18"/>
  <c r="AU31" i="18"/>
  <c r="AU33" i="18"/>
  <c r="AE109" i="18"/>
  <c r="AR38" i="19"/>
  <c r="AR51" i="19"/>
  <c r="AR76" i="19"/>
  <c r="AU41" i="20"/>
  <c r="AU42" i="20"/>
  <c r="AD78" i="20"/>
  <c r="AU82" i="20"/>
  <c r="AR33" i="19"/>
  <c r="AR50" i="19"/>
  <c r="AR58" i="19"/>
  <c r="AR59" i="19"/>
  <c r="AU55" i="20"/>
  <c r="AU56" i="20"/>
  <c r="N190" i="24"/>
  <c r="AB15" i="8"/>
  <c r="AY24" i="15"/>
  <c r="AU17" i="19"/>
  <c r="AU20" i="16" s="1"/>
  <c r="AA51" i="19"/>
  <c r="AI51" i="19" s="1"/>
  <c r="AC76" i="19"/>
  <c r="AR81" i="19"/>
  <c r="M24" i="24"/>
  <c r="P190" i="24"/>
  <c r="BL16" i="25"/>
  <c r="BI19" i="25"/>
  <c r="BL20" i="25"/>
  <c r="BL28" i="25"/>
  <c r="BI29" i="25"/>
  <c r="BI31" i="25"/>
  <c r="AE29" i="18"/>
  <c r="AK29" i="18" s="1"/>
  <c r="AU35" i="18"/>
  <c r="AE44" i="18"/>
  <c r="AE52" i="18"/>
  <c r="AE72" i="18"/>
  <c r="AA19" i="19"/>
  <c r="AI19" i="19" s="1"/>
  <c r="AQ17" i="19"/>
  <c r="AC49" i="19"/>
  <c r="AA62" i="19"/>
  <c r="AI62" i="19" s="1"/>
  <c r="AF65" i="19"/>
  <c r="AR85" i="19"/>
  <c r="AD39" i="20"/>
  <c r="AD76" i="20"/>
  <c r="AG94" i="20"/>
  <c r="AF14" i="12"/>
  <c r="AS13" i="18"/>
  <c r="AQ13" i="18"/>
  <c r="O13" i="21" s="1"/>
  <c r="AU23" i="18"/>
  <c r="AU25" i="18"/>
  <c r="AU39" i="18"/>
  <c r="AU41" i="18"/>
  <c r="AE48" i="18"/>
  <c r="AB76" i="18"/>
  <c r="AU112" i="18"/>
  <c r="AR41" i="19"/>
  <c r="AA42" i="19"/>
  <c r="AI42" i="19" s="1"/>
  <c r="AR68" i="19"/>
  <c r="AB70" i="19"/>
  <c r="AA89" i="19"/>
  <c r="AI89" i="19" s="1"/>
  <c r="AR93" i="19"/>
  <c r="AB99" i="19"/>
  <c r="AR104" i="19"/>
  <c r="AR108" i="19"/>
  <c r="AA113" i="19"/>
  <c r="AI113" i="19" s="1"/>
  <c r="AR14" i="20"/>
  <c r="AU47" i="20"/>
  <c r="AD50" i="20"/>
  <c r="AU50" i="20"/>
  <c r="AU51" i="20"/>
  <c r="AU63" i="20"/>
  <c r="AG76" i="20"/>
  <c r="AU76" i="20"/>
  <c r="AU113" i="20"/>
  <c r="BL29" i="25"/>
  <c r="BF31" i="25"/>
  <c r="P24" i="24"/>
  <c r="AB50" i="18"/>
  <c r="AU97" i="18"/>
  <c r="AU108" i="18"/>
  <c r="AC33" i="19"/>
  <c r="AD33" i="19" s="1"/>
  <c r="AE33" i="19" s="1"/>
  <c r="AA39" i="19"/>
  <c r="AI39" i="19" s="1"/>
  <c r="AF53" i="19"/>
  <c r="AR54" i="19"/>
  <c r="AC65" i="19"/>
  <c r="AD65" i="19" s="1"/>
  <c r="AE65" i="19" s="1"/>
  <c r="AB96" i="19"/>
  <c r="AD96" i="19" s="1"/>
  <c r="AE96" i="19" s="1"/>
  <c r="AU24" i="20"/>
  <c r="AU28" i="20"/>
  <c r="AU32" i="20"/>
  <c r="AD60" i="20"/>
  <c r="AU61" i="20"/>
  <c r="AD94" i="20"/>
  <c r="AU102" i="20"/>
  <c r="AD108" i="20"/>
  <c r="AG11" i="12"/>
  <c r="AG19" i="18"/>
  <c r="AO19" i="18" s="1"/>
  <c r="AB42" i="18"/>
  <c r="AU47" i="18"/>
  <c r="AB66" i="18"/>
  <c r="AU68" i="18"/>
  <c r="AU69" i="18"/>
  <c r="AU71" i="18"/>
  <c r="AU79" i="18"/>
  <c r="AB82" i="18"/>
  <c r="AU84" i="18"/>
  <c r="AU85" i="18"/>
  <c r="AU87" i="18"/>
  <c r="AU88" i="18"/>
  <c r="AU100" i="18"/>
  <c r="AU101" i="18"/>
  <c r="AB30" i="19"/>
  <c r="AR30" i="19"/>
  <c r="AA31" i="19"/>
  <c r="AI31" i="19" s="1"/>
  <c r="AR31" i="19"/>
  <c r="AA38" i="19"/>
  <c r="AG38" i="19" s="1"/>
  <c r="AR42" i="19"/>
  <c r="AR43" i="19"/>
  <c r="AA47" i="19"/>
  <c r="AI47" i="19" s="1"/>
  <c r="AR47" i="19"/>
  <c r="AR56" i="19"/>
  <c r="AB57" i="19"/>
  <c r="AD57" i="19" s="1"/>
  <c r="AE57" i="19" s="1"/>
  <c r="AA58" i="19"/>
  <c r="AG58" i="19" s="1"/>
  <c r="AA63" i="19"/>
  <c r="AI63" i="19" s="1"/>
  <c r="AC66" i="19"/>
  <c r="AR66" i="19"/>
  <c r="AA67" i="19"/>
  <c r="AH67" i="19" s="1"/>
  <c r="AL67" i="19" s="1"/>
  <c r="AR67" i="19"/>
  <c r="AR70" i="19"/>
  <c r="AR73" i="19"/>
  <c r="AR80" i="19"/>
  <c r="AF91" i="19"/>
  <c r="AR91" i="19"/>
  <c r="AC92" i="19"/>
  <c r="AR92" i="19"/>
  <c r="AR102" i="19"/>
  <c r="AA112" i="19"/>
  <c r="AI112" i="19" s="1"/>
  <c r="AR116" i="19"/>
  <c r="AU46" i="20"/>
  <c r="AU48" i="20"/>
  <c r="AD61" i="20"/>
  <c r="AH70" i="20"/>
  <c r="AL85" i="20"/>
  <c r="AU86" i="20"/>
  <c r="AU95" i="20"/>
  <c r="O24" i="24"/>
  <c r="O190" i="24"/>
  <c r="BF15" i="25"/>
  <c r="AC38" i="19"/>
  <c r="AC58" i="19"/>
  <c r="AG17" i="17"/>
  <c r="AF38" i="17"/>
  <c r="AB112" i="19"/>
  <c r="AD112" i="19" s="1"/>
  <c r="AE112" i="19" s="1"/>
  <c r="AQ11" i="14"/>
  <c r="BA12" i="15"/>
  <c r="AY17" i="15"/>
  <c r="AY23" i="15"/>
  <c r="AR13" i="18"/>
  <c r="AU19" i="18"/>
  <c r="AU59" i="18"/>
  <c r="AU65" i="18"/>
  <c r="AE68" i="18"/>
  <c r="AU75" i="18"/>
  <c r="AU81" i="18"/>
  <c r="AE84" i="18"/>
  <c r="AB100" i="18"/>
  <c r="AE107" i="18"/>
  <c r="AU109" i="18"/>
  <c r="AU110" i="18"/>
  <c r="AB21" i="19"/>
  <c r="AD21" i="19" s="1"/>
  <c r="AE21" i="19" s="1"/>
  <c r="AF22" i="19"/>
  <c r="AR23" i="19"/>
  <c r="AR35" i="19"/>
  <c r="AR52" i="19"/>
  <c r="AB53" i="19"/>
  <c r="AD53" i="19" s="1"/>
  <c r="AE53" i="19" s="1"/>
  <c r="AB76" i="19"/>
  <c r="AR88" i="19"/>
  <c r="AR94" i="19"/>
  <c r="AR95" i="19"/>
  <c r="AA96" i="19"/>
  <c r="AH96" i="19" s="1"/>
  <c r="AL96" i="19" s="1"/>
  <c r="AR97" i="19"/>
  <c r="AC99" i="19"/>
  <c r="AR109" i="19"/>
  <c r="AT14" i="20"/>
  <c r="AD19" i="20"/>
  <c r="AU20" i="20"/>
  <c r="AU68" i="20"/>
  <c r="AU72" i="20"/>
  <c r="AU74" i="20"/>
  <c r="AU89" i="20"/>
  <c r="AU90" i="20"/>
  <c r="AD91" i="20"/>
  <c r="AU92" i="20"/>
  <c r="AU93" i="20"/>
  <c r="AU97" i="20"/>
  <c r="C21" i="27"/>
  <c r="D16" i="3" s="1"/>
  <c r="BI21" i="25"/>
  <c r="BF24" i="25"/>
  <c r="BI25" i="25"/>
  <c r="BF26" i="25"/>
  <c r="BI27" i="25"/>
  <c r="BM27" i="25" s="1"/>
  <c r="AP17" i="19"/>
  <c r="AF54" i="19"/>
  <c r="AC54" i="19"/>
  <c r="AF80" i="19"/>
  <c r="AA80" i="19"/>
  <c r="AG80" i="19" s="1"/>
  <c r="AF105" i="19"/>
  <c r="AA105" i="19"/>
  <c r="AI105" i="19" s="1"/>
  <c r="AD47" i="20"/>
  <c r="AG100" i="20"/>
  <c r="AA18" i="8"/>
  <c r="AC91" i="11"/>
  <c r="AF16" i="12"/>
  <c r="AY25" i="15"/>
  <c r="AE19" i="18"/>
  <c r="AK19" i="18" s="1"/>
  <c r="AG25" i="18"/>
  <c r="AO25" i="18" s="1"/>
  <c r="AE27" i="18"/>
  <c r="AK27" i="18" s="1"/>
  <c r="AE35" i="18"/>
  <c r="AU51" i="18"/>
  <c r="AU57" i="18"/>
  <c r="AU60" i="18"/>
  <c r="AU61" i="18"/>
  <c r="AU64" i="18"/>
  <c r="AB74" i="18"/>
  <c r="AE76" i="18"/>
  <c r="AE80" i="18"/>
  <c r="AU83" i="18"/>
  <c r="AU89" i="18"/>
  <c r="AU92" i="18"/>
  <c r="AU93" i="18"/>
  <c r="AU95" i="18"/>
  <c r="AE96" i="18"/>
  <c r="AE98" i="18"/>
  <c r="AB98" i="18"/>
  <c r="AU104" i="18"/>
  <c r="AB113" i="18"/>
  <c r="AR22" i="19"/>
  <c r="AR37" i="19"/>
  <c r="AR40" i="19"/>
  <c r="AB41" i="19"/>
  <c r="AD41" i="19" s="1"/>
  <c r="AE41" i="19" s="1"/>
  <c r="AF45" i="19"/>
  <c r="AC45" i="19"/>
  <c r="AR53" i="19"/>
  <c r="AA54" i="19"/>
  <c r="AI54" i="19" s="1"/>
  <c r="AF55" i="19"/>
  <c r="AA55" i="19"/>
  <c r="AI55" i="19" s="1"/>
  <c r="AF57" i="19"/>
  <c r="AR57" i="19"/>
  <c r="AR60" i="19"/>
  <c r="AB61" i="19"/>
  <c r="AD61" i="19" s="1"/>
  <c r="AE61" i="19" s="1"/>
  <c r="AF62" i="19"/>
  <c r="AB62" i="19"/>
  <c r="AD62" i="19" s="1"/>
  <c r="AE62" i="19" s="1"/>
  <c r="AC70" i="19"/>
  <c r="AA72" i="19"/>
  <c r="AI72" i="19" s="1"/>
  <c r="AB80" i="19"/>
  <c r="AF115" i="19"/>
  <c r="AB115" i="19"/>
  <c r="AD115" i="19" s="1"/>
  <c r="AE115" i="19" s="1"/>
  <c r="AD41" i="20"/>
  <c r="AD48" i="20"/>
  <c r="AL49" i="20"/>
  <c r="AD49" i="20"/>
  <c r="AG90" i="20"/>
  <c r="AC18" i="8"/>
  <c r="AC83" i="8"/>
  <c r="AQ13" i="14"/>
  <c r="AQ15" i="14"/>
  <c r="AY22" i="15"/>
  <c r="AF17" i="17"/>
  <c r="AE17" i="18"/>
  <c r="AK17" i="18" s="1"/>
  <c r="AE25" i="18"/>
  <c r="AK25" i="18" s="1"/>
  <c r="AE33" i="18"/>
  <c r="AE56" i="18"/>
  <c r="AB60" i="18"/>
  <c r="AE88" i="18"/>
  <c r="AB92" i="18"/>
  <c r="AB104" i="18"/>
  <c r="AE104" i="18"/>
  <c r="AC25" i="19"/>
  <c r="AB25" i="19"/>
  <c r="AF41" i="19"/>
  <c r="AB54" i="19"/>
  <c r="AF61" i="19"/>
  <c r="AB72" i="19"/>
  <c r="AD72" i="19" s="1"/>
  <c r="AE72" i="19" s="1"/>
  <c r="AB83" i="19"/>
  <c r="AF83" i="19"/>
  <c r="AA84" i="19"/>
  <c r="AH84" i="19" s="1"/>
  <c r="AL84" i="19" s="1"/>
  <c r="AF84" i="19"/>
  <c r="AF107" i="19"/>
  <c r="AC107" i="19"/>
  <c r="AB107" i="19"/>
  <c r="AD84" i="20"/>
  <c r="AG92" i="20"/>
  <c r="AF28" i="12"/>
  <c r="AT13" i="18"/>
  <c r="AE23" i="18"/>
  <c r="AK23" i="18" s="1"/>
  <c r="AG29" i="18"/>
  <c r="AO29" i="18" s="1"/>
  <c r="AE31" i="18"/>
  <c r="AE39" i="18"/>
  <c r="AU43" i="18"/>
  <c r="AB58" i="18"/>
  <c r="AE64" i="18"/>
  <c r="AU67" i="18"/>
  <c r="AU73" i="18"/>
  <c r="AU76" i="18"/>
  <c r="AU77" i="18"/>
  <c r="AU80" i="18"/>
  <c r="AB90" i="18"/>
  <c r="AU96" i="18"/>
  <c r="AB115" i="18"/>
  <c r="AR20" i="19"/>
  <c r="AA21" i="19"/>
  <c r="AG21" i="19" s="1"/>
  <c r="AF25" i="19"/>
  <c r="AR25" i="19"/>
  <c r="AR32" i="19"/>
  <c r="AA33" i="19"/>
  <c r="AG33" i="19" s="1"/>
  <c r="AB34" i="19"/>
  <c r="AF34" i="19"/>
  <c r="AR48" i="19"/>
  <c r="AB49" i="19"/>
  <c r="AF50" i="19"/>
  <c r="AA50" i="19"/>
  <c r="AI50" i="19" s="1"/>
  <c r="AR63" i="19"/>
  <c r="AR65" i="19"/>
  <c r="AA66" i="19"/>
  <c r="AG66" i="19" s="1"/>
  <c r="AC69" i="19"/>
  <c r="AD69" i="19" s="1"/>
  <c r="AE69" i="19" s="1"/>
  <c r="AF69" i="19"/>
  <c r="AR77" i="19"/>
  <c r="AC83" i="19"/>
  <c r="AC88" i="19"/>
  <c r="AB88" i="19"/>
  <c r="AC91" i="19"/>
  <c r="AD91" i="19" s="1"/>
  <c r="AE91" i="19" s="1"/>
  <c r="AA97" i="19"/>
  <c r="AI97" i="19" s="1"/>
  <c r="AC104" i="19"/>
  <c r="AD104" i="19" s="1"/>
  <c r="AE104" i="19" s="1"/>
  <c r="AA104" i="19"/>
  <c r="AI104" i="19" s="1"/>
  <c r="AR112" i="19"/>
  <c r="AD52" i="20"/>
  <c r="AG58" i="20"/>
  <c r="AD58" i="20"/>
  <c r="AE58" i="20" s="1"/>
  <c r="AF58" i="20" s="1"/>
  <c r="AD82" i="20"/>
  <c r="AD92" i="20"/>
  <c r="AU107" i="18"/>
  <c r="AU114" i="18"/>
  <c r="AR18" i="19"/>
  <c r="AV17" i="19"/>
  <c r="AR21" i="19"/>
  <c r="AR24" i="19"/>
  <c r="AR27" i="19"/>
  <c r="AR34" i="19"/>
  <c r="AR46" i="19"/>
  <c r="AR49" i="19"/>
  <c r="AR55" i="19"/>
  <c r="AR64" i="19"/>
  <c r="AR69" i="19"/>
  <c r="AR72" i="19"/>
  <c r="AR78" i="19"/>
  <c r="AR79" i="19"/>
  <c r="AR114" i="19"/>
  <c r="AR117" i="19"/>
  <c r="AU26" i="20"/>
  <c r="AU34" i="20"/>
  <c r="AU39" i="20"/>
  <c r="AU49" i="20"/>
  <c r="AU53" i="20"/>
  <c r="AH55" i="20"/>
  <c r="AU60" i="20"/>
  <c r="AD63" i="20"/>
  <c r="AD68" i="20"/>
  <c r="AD69" i="20"/>
  <c r="AU88" i="20"/>
  <c r="AG108" i="20"/>
  <c r="AU22" i="20"/>
  <c r="AU30" i="20"/>
  <c r="AU37" i="20"/>
  <c r="AD38" i="20"/>
  <c r="AJ38" i="20"/>
  <c r="AU65" i="20"/>
  <c r="AU66" i="20"/>
  <c r="AU67" i="20"/>
  <c r="AU78" i="20"/>
  <c r="AU85" i="20"/>
  <c r="AD88" i="20"/>
  <c r="AU94" i="20"/>
  <c r="AD98" i="20"/>
  <c r="AU104" i="20"/>
  <c r="AU105" i="20"/>
  <c r="AU106" i="20"/>
  <c r="AU107" i="20"/>
  <c r="AU109" i="20"/>
  <c r="AU114" i="20"/>
  <c r="AU115" i="20"/>
  <c r="AD116" i="20"/>
  <c r="BK51" i="25"/>
  <c r="BL31" i="25"/>
  <c r="BL27" i="25"/>
  <c r="BI28" i="25"/>
  <c r="AR83" i="19"/>
  <c r="AR86" i="19"/>
  <c r="AR90" i="19"/>
  <c r="AR96" i="19"/>
  <c r="AR99" i="19"/>
  <c r="AR100" i="19"/>
  <c r="AU17" i="20"/>
  <c r="AU18" i="20"/>
  <c r="AV14" i="20"/>
  <c r="AU35" i="20"/>
  <c r="AU38" i="20"/>
  <c r="AU58" i="20"/>
  <c r="AU59" i="20"/>
  <c r="AU70" i="20"/>
  <c r="AU71" i="20"/>
  <c r="AU75" i="20"/>
  <c r="AU79" i="20"/>
  <c r="BK14" i="25"/>
  <c r="BK32" i="25" s="1"/>
  <c r="BF17" i="25"/>
  <c r="BF19" i="25"/>
  <c r="BL19" i="25"/>
  <c r="BI20" i="25"/>
  <c r="BL22" i="25"/>
  <c r="BI15" i="25"/>
  <c r="BF18" i="25"/>
  <c r="BL21" i="25"/>
  <c r="BI22" i="25"/>
  <c r="Y11" i="13"/>
  <c r="AF23" i="17"/>
  <c r="AB46" i="18"/>
  <c r="AB54" i="18"/>
  <c r="AB62" i="18"/>
  <c r="AB70" i="18"/>
  <c r="AB78" i="18"/>
  <c r="AB86" i="18"/>
  <c r="AB94" i="18"/>
  <c r="AB102" i="18"/>
  <c r="AB111" i="18"/>
  <c r="AB18" i="19"/>
  <c r="AS17" i="19"/>
  <c r="AU21" i="16" s="1"/>
  <c r="AR19" i="19"/>
  <c r="AC23" i="19"/>
  <c r="AF29" i="19"/>
  <c r="AC37" i="19"/>
  <c r="AD37" i="19" s="1"/>
  <c r="AE37" i="19" s="1"/>
  <c r="AB46" i="19"/>
  <c r="AB73" i="19"/>
  <c r="AB100" i="19"/>
  <c r="AA100" i="19"/>
  <c r="AH100" i="19" s="1"/>
  <c r="AL100" i="19" s="1"/>
  <c r="AC103" i="19"/>
  <c r="AB103" i="19"/>
  <c r="AB116" i="19"/>
  <c r="AA116" i="19"/>
  <c r="AI116" i="19" s="1"/>
  <c r="AU15" i="20"/>
  <c r="AS14" i="20"/>
  <c r="AD36" i="20"/>
  <c r="AD42" i="20"/>
  <c r="AU43" i="20"/>
  <c r="AD73" i="20"/>
  <c r="AB14" i="8"/>
  <c r="AB16" i="8"/>
  <c r="AC47" i="11"/>
  <c r="AF13" i="12"/>
  <c r="AF30" i="12"/>
  <c r="AQ12" i="14"/>
  <c r="AQ46" i="14"/>
  <c r="AY20" i="15"/>
  <c r="AG38" i="17"/>
  <c r="AU16" i="18"/>
  <c r="AU18" i="18"/>
  <c r="AU20" i="18"/>
  <c r="AU22" i="18"/>
  <c r="AU24" i="18"/>
  <c r="AU26" i="18"/>
  <c r="AU28" i="18"/>
  <c r="AU30" i="18"/>
  <c r="AU32" i="18"/>
  <c r="AU34" i="18"/>
  <c r="AU36" i="18"/>
  <c r="AU38" i="18"/>
  <c r="AU40" i="18"/>
  <c r="AU42" i="18"/>
  <c r="AE46" i="18"/>
  <c r="AU50" i="18"/>
  <c r="AE54" i="18"/>
  <c r="AU58" i="18"/>
  <c r="AE62" i="18"/>
  <c r="AU66" i="18"/>
  <c r="AE70" i="18"/>
  <c r="AU74" i="18"/>
  <c r="AE78" i="18"/>
  <c r="AU82" i="18"/>
  <c r="AE86" i="18"/>
  <c r="AU90" i="18"/>
  <c r="AE94" i="18"/>
  <c r="AU98" i="18"/>
  <c r="AE102" i="18"/>
  <c r="AE111" i="18"/>
  <c r="AU115" i="18"/>
  <c r="AF18" i="19"/>
  <c r="AF21" i="19"/>
  <c r="AA27" i="19"/>
  <c r="AI27" i="19" s="1"/>
  <c r="AR28" i="19"/>
  <c r="AA29" i="19"/>
  <c r="AI29" i="19" s="1"/>
  <c r="AR29" i="19"/>
  <c r="AA30" i="19"/>
  <c r="AI30" i="19" s="1"/>
  <c r="AB38" i="19"/>
  <c r="AA43" i="19"/>
  <c r="AI43" i="19" s="1"/>
  <c r="AR44" i="19"/>
  <c r="AB45" i="19"/>
  <c r="AF46" i="19"/>
  <c r="AB50" i="19"/>
  <c r="AD50" i="19" s="1"/>
  <c r="AE50" i="19" s="1"/>
  <c r="AB58" i="19"/>
  <c r="AB66" i="19"/>
  <c r="AF70" i="19"/>
  <c r="AF72" i="19"/>
  <c r="AF73" i="19"/>
  <c r="AC84" i="19"/>
  <c r="AB84" i="19"/>
  <c r="AR89" i="19"/>
  <c r="AB92" i="19"/>
  <c r="AA92" i="19"/>
  <c r="AG92" i="19" s="1"/>
  <c r="AC95" i="19"/>
  <c r="AB95" i="19"/>
  <c r="AC100" i="19"/>
  <c r="AF101" i="19"/>
  <c r="AA101" i="19"/>
  <c r="AI101" i="19" s="1"/>
  <c r="AF103" i="19"/>
  <c r="AR103" i="19"/>
  <c r="AR113" i="19"/>
  <c r="AC116" i="19"/>
  <c r="AF117" i="19"/>
  <c r="AA117" i="19"/>
  <c r="AI117" i="19" s="1"/>
  <c r="AQ14" i="20"/>
  <c r="AD17" i="20"/>
  <c r="AG23" i="20"/>
  <c r="AG27" i="20"/>
  <c r="AG31" i="20"/>
  <c r="AD35" i="20"/>
  <c r="AU44" i="20"/>
  <c r="AD45" i="20"/>
  <c r="AH73" i="19"/>
  <c r="AL73" i="19" s="1"/>
  <c r="AC78" i="19"/>
  <c r="AA78" i="19"/>
  <c r="AG78" i="19" s="1"/>
  <c r="AF85" i="19"/>
  <c r="AC87" i="19"/>
  <c r="AB87" i="19"/>
  <c r="AF93" i="19"/>
  <c r="AA93" i="19"/>
  <c r="AI93" i="19" s="1"/>
  <c r="AB108" i="19"/>
  <c r="AA108" i="19"/>
  <c r="AH108" i="19" s="1"/>
  <c r="AL108" i="19" s="1"/>
  <c r="AC111" i="19"/>
  <c r="AB111" i="19"/>
  <c r="AL41" i="20"/>
  <c r="AD43" i="20"/>
  <c r="AD54" i="20"/>
  <c r="AD71" i="20"/>
  <c r="AG110" i="20"/>
  <c r="AD110" i="20"/>
  <c r="AB17" i="8"/>
  <c r="AF12" i="12"/>
  <c r="AF15" i="12"/>
  <c r="AQ10" i="14"/>
  <c r="AS9" i="14"/>
  <c r="AY18" i="15"/>
  <c r="AY21" i="15"/>
  <c r="AU46" i="18"/>
  <c r="AU54" i="18"/>
  <c r="AU62" i="18"/>
  <c r="AU70" i="18"/>
  <c r="AU78" i="18"/>
  <c r="AU86" i="18"/>
  <c r="AU94" i="18"/>
  <c r="AU102" i="18"/>
  <c r="AU111" i="18"/>
  <c r="AA23" i="19"/>
  <c r="AI23" i="19" s="1"/>
  <c r="AC29" i="19"/>
  <c r="AD29" i="19" s="1"/>
  <c r="AE29" i="19" s="1"/>
  <c r="AF33" i="19"/>
  <c r="AA35" i="19"/>
  <c r="AI35" i="19" s="1"/>
  <c r="AR36" i="19"/>
  <c r="AR45" i="19"/>
  <c r="AA74" i="19"/>
  <c r="AG74" i="19" s="1"/>
  <c r="AR74" i="19"/>
  <c r="AB75" i="19"/>
  <c r="AD75" i="19" s="1"/>
  <c r="AE75" i="19" s="1"/>
  <c r="AC79" i="19"/>
  <c r="AB79" i="19"/>
  <c r="AR84" i="19"/>
  <c r="AA85" i="19"/>
  <c r="AI85" i="19" s="1"/>
  <c r="AF87" i="19"/>
  <c r="AR87" i="19"/>
  <c r="AR98" i="19"/>
  <c r="AR105" i="19"/>
  <c r="AC108" i="19"/>
  <c r="AF109" i="19"/>
  <c r="AA109" i="19"/>
  <c r="AI109" i="19" s="1"/>
  <c r="AF111" i="19"/>
  <c r="AR111" i="19"/>
  <c r="O51" i="21"/>
  <c r="AP14" i="20"/>
  <c r="AG25" i="20"/>
  <c r="AG29" i="20"/>
  <c r="AG33" i="20"/>
  <c r="AL45" i="20"/>
  <c r="AU45" i="20"/>
  <c r="AD46" i="20"/>
  <c r="AL46" i="20"/>
  <c r="AF76" i="19"/>
  <c r="AC80" i="19"/>
  <c r="AR107" i="19"/>
  <c r="AR110" i="19"/>
  <c r="AR115" i="19"/>
  <c r="AU19" i="20"/>
  <c r="AD21" i="20"/>
  <c r="AE21" i="20" s="1"/>
  <c r="AF21" i="20" s="1"/>
  <c r="AD40" i="20"/>
  <c r="AU40" i="20"/>
  <c r="AD51" i="20"/>
  <c r="AU52" i="20"/>
  <c r="AD53" i="20"/>
  <c r="AD66" i="20"/>
  <c r="AU73" i="20"/>
  <c r="AG74" i="20"/>
  <c r="AL74" i="20"/>
  <c r="AD74" i="20"/>
  <c r="AD80" i="20"/>
  <c r="AI86" i="20"/>
  <c r="AO86" i="20" s="1"/>
  <c r="AD96" i="20"/>
  <c r="AG106" i="20"/>
  <c r="AD106" i="20"/>
  <c r="AU110" i="20"/>
  <c r="AU111" i="20"/>
  <c r="AD112" i="20"/>
  <c r="AF88" i="19"/>
  <c r="AF96" i="19"/>
  <c r="AF104" i="19"/>
  <c r="AF112" i="19"/>
  <c r="AU16" i="20"/>
  <c r="AU21" i="20"/>
  <c r="AU23" i="20"/>
  <c r="AU25" i="20"/>
  <c r="AU27" i="20"/>
  <c r="AU29" i="20"/>
  <c r="AU31" i="20"/>
  <c r="AU33" i="20"/>
  <c r="AU36" i="20"/>
  <c r="AD56" i="20"/>
  <c r="AU57" i="20"/>
  <c r="AU64" i="20"/>
  <c r="AD65" i="20"/>
  <c r="AD67" i="20"/>
  <c r="AU80" i="20"/>
  <c r="AD83" i="20"/>
  <c r="AI83" i="20"/>
  <c r="AO83" i="20" s="1"/>
  <c r="AU84" i="20"/>
  <c r="AD90" i="20"/>
  <c r="AU103" i="20"/>
  <c r="AG104" i="20"/>
  <c r="AD104" i="20"/>
  <c r="AE104" i="20" s="1"/>
  <c r="AF104" i="20" s="1"/>
  <c r="AD114" i="20"/>
  <c r="AG114" i="20"/>
  <c r="AL55" i="20"/>
  <c r="AD57" i="20"/>
  <c r="AD59" i="20"/>
  <c r="AD64" i="20"/>
  <c r="AD86" i="20"/>
  <c r="AD87" i="20"/>
  <c r="AD93" i="20"/>
  <c r="M192" i="23"/>
  <c r="AU54" i="20"/>
  <c r="AG62" i="20"/>
  <c r="AU62" i="20"/>
  <c r="AU77" i="20"/>
  <c r="AU83" i="20"/>
  <c r="AG84" i="20"/>
  <c r="AU87" i="20"/>
  <c r="AG88" i="20"/>
  <c r="AH91" i="20"/>
  <c r="AU99" i="20"/>
  <c r="AD100" i="20"/>
  <c r="AU100" i="20"/>
  <c r="O27" i="23"/>
  <c r="P27" i="23" s="1"/>
  <c r="P26" i="23" s="1"/>
  <c r="L26" i="23"/>
  <c r="BD14" i="25"/>
  <c r="BD32" i="25" s="1"/>
  <c r="BL17" i="25"/>
  <c r="BI18" i="25"/>
  <c r="BF22" i="25"/>
  <c r="BI23" i="25"/>
  <c r="AG60" i="20"/>
  <c r="AD62" i="20"/>
  <c r="AG68" i="20"/>
  <c r="AU81" i="20"/>
  <c r="AG82" i="20"/>
  <c r="AG98" i="20"/>
  <c r="AH108" i="20"/>
  <c r="S24" i="23"/>
  <c r="L192" i="23"/>
  <c r="BH14" i="25"/>
  <c r="BH32" i="25" s="1"/>
  <c r="BF16" i="25"/>
  <c r="BI17" i="25"/>
  <c r="BL25" i="25"/>
  <c r="BI26" i="25"/>
  <c r="BF21" i="25"/>
  <c r="BL24" i="25"/>
  <c r="BF29" i="25"/>
  <c r="BO43" i="25"/>
  <c r="AU91" i="20"/>
  <c r="AU96" i="20"/>
  <c r="AU98" i="20"/>
  <c r="AU101" i="20"/>
  <c r="AG102" i="20"/>
  <c r="AG116" i="20"/>
  <c r="M26" i="23"/>
  <c r="BI16" i="25"/>
  <c r="BL18" i="25"/>
  <c r="BF20" i="25"/>
  <c r="BF23" i="25"/>
  <c r="BL23" i="25"/>
  <c r="BI24" i="25"/>
  <c r="BL26" i="25"/>
  <c r="BF28" i="25"/>
  <c r="BO55" i="25"/>
  <c r="BF30" i="25"/>
  <c r="BP50" i="25"/>
  <c r="BI54" i="25"/>
  <c r="BO40" i="25"/>
  <c r="AC85" i="11"/>
  <c r="AC92" i="11" s="1"/>
  <c r="AG123" i="12"/>
  <c r="AS93" i="14"/>
  <c r="AS33" i="14"/>
  <c r="AA83" i="8"/>
  <c r="AJ16" i="18"/>
  <c r="AB17" i="18"/>
  <c r="AC17" i="18" s="1"/>
  <c r="AD17" i="18" s="1"/>
  <c r="AF17" i="18"/>
  <c r="AJ17" i="18"/>
  <c r="AJ18" i="18"/>
  <c r="AB19" i="18"/>
  <c r="AC19" i="18" s="1"/>
  <c r="AD19" i="18" s="1"/>
  <c r="AJ19" i="18"/>
  <c r="AJ20" i="18"/>
  <c r="AB21" i="18"/>
  <c r="AC21" i="18" s="1"/>
  <c r="AD21" i="18" s="1"/>
  <c r="AF21" i="18"/>
  <c r="AJ21" i="18"/>
  <c r="AJ22" i="18"/>
  <c r="AB23" i="18"/>
  <c r="AC23" i="18" s="1"/>
  <c r="AD23" i="18" s="1"/>
  <c r="AF23" i="18"/>
  <c r="AJ23" i="18"/>
  <c r="AJ24" i="18"/>
  <c r="AB25" i="18"/>
  <c r="AC25" i="18" s="1"/>
  <c r="AD25" i="18" s="1"/>
  <c r="AJ25" i="18"/>
  <c r="AJ26" i="18"/>
  <c r="AB27" i="18"/>
  <c r="AC27" i="18" s="1"/>
  <c r="AD27" i="18" s="1"/>
  <c r="AF27" i="18"/>
  <c r="AJ27" i="18"/>
  <c r="AJ28" i="18"/>
  <c r="AB29" i="18"/>
  <c r="AC29" i="18" s="1"/>
  <c r="AD29" i="18" s="1"/>
  <c r="AJ29" i="18"/>
  <c r="AJ30" i="18"/>
  <c r="AB31" i="18"/>
  <c r="AB33" i="18"/>
  <c r="AB35" i="18"/>
  <c r="AB37" i="18"/>
  <c r="AB39" i="18"/>
  <c r="AJ39" i="18"/>
  <c r="AB41" i="18"/>
  <c r="AE16" i="18"/>
  <c r="AG17" i="18"/>
  <c r="AO17" i="18" s="1"/>
  <c r="AE18" i="18"/>
  <c r="AK18" i="18" s="1"/>
  <c r="AE20" i="18"/>
  <c r="AK20" i="18" s="1"/>
  <c r="AG21" i="18"/>
  <c r="AO21" i="18" s="1"/>
  <c r="AE22" i="18"/>
  <c r="AK22" i="18" s="1"/>
  <c r="AG23" i="18"/>
  <c r="AO23" i="18" s="1"/>
  <c r="AE24" i="18"/>
  <c r="AK24" i="18" s="1"/>
  <c r="AE26" i="18"/>
  <c r="AK26" i="18" s="1"/>
  <c r="AG27" i="18"/>
  <c r="AO27" i="18" s="1"/>
  <c r="AE28" i="18"/>
  <c r="AK28" i="18" s="1"/>
  <c r="AE30" i="18"/>
  <c r="AK30" i="18" s="1"/>
  <c r="AG31" i="18"/>
  <c r="AO31" i="18" s="1"/>
  <c r="AE32" i="18"/>
  <c r="AE34" i="18"/>
  <c r="AE36" i="18"/>
  <c r="AE38" i="18"/>
  <c r="AE40" i="18"/>
  <c r="AE41" i="18"/>
  <c r="AB16" i="18"/>
  <c r="AH17" i="18"/>
  <c r="AB18" i="18"/>
  <c r="AB20" i="18"/>
  <c r="AH21" i="18"/>
  <c r="AB22" i="18"/>
  <c r="AH23" i="18"/>
  <c r="AB24" i="18"/>
  <c r="AB26" i="18"/>
  <c r="AH27" i="18"/>
  <c r="AB28" i="18"/>
  <c r="AB30" i="18"/>
  <c r="AB32" i="18"/>
  <c r="AB34" i="18"/>
  <c r="AB36" i="18"/>
  <c r="AB38" i="18"/>
  <c r="AB40" i="18"/>
  <c r="AG59" i="18"/>
  <c r="AO59" i="18" s="1"/>
  <c r="AG73" i="18"/>
  <c r="AO73" i="18" s="1"/>
  <c r="AE105" i="18"/>
  <c r="AU105" i="18"/>
  <c r="AH73" i="18"/>
  <c r="AH97" i="18"/>
  <c r="AB106" i="18"/>
  <c r="AE43" i="18"/>
  <c r="AE45" i="18"/>
  <c r="AE47" i="18"/>
  <c r="AE49" i="18"/>
  <c r="AE51" i="18"/>
  <c r="AE53" i="18"/>
  <c r="AE55" i="18"/>
  <c r="AE57" i="18"/>
  <c r="AE59" i="18"/>
  <c r="AE61" i="18"/>
  <c r="AE63" i="18"/>
  <c r="AE65" i="18"/>
  <c r="AE67" i="18"/>
  <c r="AE69" i="18"/>
  <c r="AE71" i="18"/>
  <c r="AE73" i="18"/>
  <c r="AE75" i="18"/>
  <c r="AE77" i="18"/>
  <c r="AE79" i="18"/>
  <c r="AE81" i="18"/>
  <c r="AE83" i="18"/>
  <c r="AE85" i="18"/>
  <c r="AE87" i="18"/>
  <c r="AE89" i="18"/>
  <c r="AE91" i="18"/>
  <c r="AE93" i="18"/>
  <c r="AE95" i="18"/>
  <c r="AE97" i="18"/>
  <c r="AE99" i="18"/>
  <c r="AE101" i="18"/>
  <c r="AE103" i="18"/>
  <c r="AB105" i="18"/>
  <c r="AE106" i="18"/>
  <c r="AB43" i="18"/>
  <c r="AB45" i="18"/>
  <c r="AB47" i="18"/>
  <c r="AB49" i="18"/>
  <c r="AB51" i="18"/>
  <c r="AB53" i="18"/>
  <c r="AB55" i="18"/>
  <c r="AB57" i="18"/>
  <c r="AB59" i="18"/>
  <c r="AF59" i="18"/>
  <c r="AB61" i="18"/>
  <c r="AB63" i="18"/>
  <c r="AB65" i="18"/>
  <c r="AB67" i="18"/>
  <c r="AB69" i="18"/>
  <c r="AB71" i="18"/>
  <c r="AB73" i="18"/>
  <c r="AB75" i="18"/>
  <c r="AB77" i="18"/>
  <c r="AB79" i="18"/>
  <c r="AB81" i="18"/>
  <c r="AB83" i="18"/>
  <c r="AB85" i="18"/>
  <c r="AB87" i="18"/>
  <c r="AB89" i="18"/>
  <c r="AB91" i="18"/>
  <c r="AB93" i="18"/>
  <c r="AB95" i="18"/>
  <c r="AB97" i="18"/>
  <c r="AB99" i="18"/>
  <c r="AB101" i="18"/>
  <c r="AB103" i="18"/>
  <c r="AB108" i="18"/>
  <c r="AB110" i="18"/>
  <c r="AB112" i="18"/>
  <c r="AB114" i="18"/>
  <c r="AH18" i="19"/>
  <c r="AC19" i="19"/>
  <c r="AB20" i="19"/>
  <c r="AF20" i="19"/>
  <c r="AI21" i="19"/>
  <c r="AJ21" i="19" s="1"/>
  <c r="AB24" i="19"/>
  <c r="AF24" i="19"/>
  <c r="AA25" i="19"/>
  <c r="AI25" i="19" s="1"/>
  <c r="AH26" i="19"/>
  <c r="AL26" i="19" s="1"/>
  <c r="AC27" i="19"/>
  <c r="AB28" i="19"/>
  <c r="AF28" i="19"/>
  <c r="AC31" i="19"/>
  <c r="AB32" i="19"/>
  <c r="AF32" i="19"/>
  <c r="AH34" i="19"/>
  <c r="AL34" i="19" s="1"/>
  <c r="AC35" i="19"/>
  <c r="AG35" i="19"/>
  <c r="AJ35" i="19" s="1"/>
  <c r="AB36" i="19"/>
  <c r="AF36" i="19"/>
  <c r="AA37" i="19"/>
  <c r="AH37" i="19" s="1"/>
  <c r="AL37" i="19" s="1"/>
  <c r="AH38" i="19"/>
  <c r="AL38" i="19" s="1"/>
  <c r="AC39" i="19"/>
  <c r="AB40" i="19"/>
  <c r="AF40" i="19"/>
  <c r="AA41" i="19"/>
  <c r="AI41" i="19" s="1"/>
  <c r="AH42" i="19"/>
  <c r="AL42" i="19" s="1"/>
  <c r="AC43" i="19"/>
  <c r="AB44" i="19"/>
  <c r="AF44" i="19"/>
  <c r="AA45" i="19"/>
  <c r="AH45" i="19" s="1"/>
  <c r="AL45" i="19" s="1"/>
  <c r="AH46" i="19"/>
  <c r="AL46" i="19" s="1"/>
  <c r="AC47" i="19"/>
  <c r="AB48" i="19"/>
  <c r="AF48" i="19"/>
  <c r="AA49" i="19"/>
  <c r="AI49" i="19" s="1"/>
  <c r="AC51" i="19"/>
  <c r="AG51" i="19"/>
  <c r="AJ51" i="19" s="1"/>
  <c r="AB52" i="19"/>
  <c r="AF52" i="19"/>
  <c r="AA53" i="19"/>
  <c r="AI53" i="19" s="1"/>
  <c r="AC55" i="19"/>
  <c r="AB56" i="19"/>
  <c r="AF56" i="19"/>
  <c r="AA57" i="19"/>
  <c r="AI57" i="19" s="1"/>
  <c r="AC59" i="19"/>
  <c r="AB60" i="19"/>
  <c r="AF60" i="19"/>
  <c r="AA61" i="19"/>
  <c r="AI61" i="19" s="1"/>
  <c r="AH62" i="19"/>
  <c r="AL62" i="19" s="1"/>
  <c r="AC63" i="19"/>
  <c r="AB64" i="19"/>
  <c r="AF64" i="19"/>
  <c r="AA65" i="19"/>
  <c r="AC67" i="19"/>
  <c r="AB68" i="19"/>
  <c r="AF68" i="19"/>
  <c r="AA69" i="19"/>
  <c r="AH70" i="19"/>
  <c r="AL70" i="19" s="1"/>
  <c r="AG73" i="19"/>
  <c r="AJ73" i="19" s="1"/>
  <c r="AC73" i="19"/>
  <c r="AD73" i="19" s="1"/>
  <c r="AE73" i="19" s="1"/>
  <c r="AB77" i="19"/>
  <c r="AI18" i="19"/>
  <c r="AM18" i="19" s="1"/>
  <c r="AM17" i="19" s="1"/>
  <c r="AH19" i="19"/>
  <c r="AL19" i="19" s="1"/>
  <c r="AC20" i="19"/>
  <c r="AA22" i="19"/>
  <c r="AC24" i="19"/>
  <c r="AC28" i="19"/>
  <c r="AC32" i="19"/>
  <c r="AI34" i="19"/>
  <c r="AH35" i="19"/>
  <c r="AL35" i="19" s="1"/>
  <c r="AC36" i="19"/>
  <c r="AF37" i="19"/>
  <c r="AC40" i="19"/>
  <c r="AC44" i="19"/>
  <c r="AC48" i="19"/>
  <c r="AC52" i="19"/>
  <c r="AC56" i="19"/>
  <c r="AC60" i="19"/>
  <c r="AC64" i="19"/>
  <c r="AC68" i="19"/>
  <c r="AI70" i="19"/>
  <c r="AA71" i="19"/>
  <c r="AG71" i="19" s="1"/>
  <c r="AF71" i="19"/>
  <c r="AR71" i="19"/>
  <c r="AF74" i="19"/>
  <c r="AB74" i="19"/>
  <c r="AR82" i="19"/>
  <c r="AG76" i="19"/>
  <c r="AJ76" i="19" s="1"/>
  <c r="AC77" i="19"/>
  <c r="AF81" i="19"/>
  <c r="AB81" i="19"/>
  <c r="AC81" i="19"/>
  <c r="AE108" i="18"/>
  <c r="AE110" i="18"/>
  <c r="AE112" i="18"/>
  <c r="AE114" i="18"/>
  <c r="AC18" i="19"/>
  <c r="AG18" i="19"/>
  <c r="AB19" i="19"/>
  <c r="AA20" i="19"/>
  <c r="AG20" i="19" s="1"/>
  <c r="AC22" i="19"/>
  <c r="AD22" i="19" s="1"/>
  <c r="AE22" i="19" s="1"/>
  <c r="AB23" i="19"/>
  <c r="AA24" i="19"/>
  <c r="AI24" i="19" s="1"/>
  <c r="AC26" i="19"/>
  <c r="AB27" i="19"/>
  <c r="AA28" i="19"/>
  <c r="AI28" i="19" s="1"/>
  <c r="AC30" i="19"/>
  <c r="AB31" i="19"/>
  <c r="AA32" i="19"/>
  <c r="AI32" i="19" s="1"/>
  <c r="AC34" i="19"/>
  <c r="AG34" i="19"/>
  <c r="AB35" i="19"/>
  <c r="AA36" i="19"/>
  <c r="AI36" i="19" s="1"/>
  <c r="AB39" i="19"/>
  <c r="AA40" i="19"/>
  <c r="AI40" i="19" s="1"/>
  <c r="AC42" i="19"/>
  <c r="AD42" i="19" s="1"/>
  <c r="AE42" i="19" s="1"/>
  <c r="AB43" i="19"/>
  <c r="AA44" i="19"/>
  <c r="AH44" i="19" s="1"/>
  <c r="AL44" i="19" s="1"/>
  <c r="AC46" i="19"/>
  <c r="AG46" i="19"/>
  <c r="AJ46" i="19" s="1"/>
  <c r="AB47" i="19"/>
  <c r="AA48" i="19"/>
  <c r="AI48" i="19" s="1"/>
  <c r="AB51" i="19"/>
  <c r="AA52" i="19"/>
  <c r="AB55" i="19"/>
  <c r="AA56" i="19"/>
  <c r="AI56" i="19" s="1"/>
  <c r="AB59" i="19"/>
  <c r="AA60" i="19"/>
  <c r="AI60" i="19" s="1"/>
  <c r="AG62" i="19"/>
  <c r="AJ62" i="19" s="1"/>
  <c r="AB63" i="19"/>
  <c r="AA64" i="19"/>
  <c r="AI64" i="19" s="1"/>
  <c r="AB67" i="19"/>
  <c r="AA68" i="19"/>
  <c r="AI68" i="19" s="1"/>
  <c r="AG70" i="19"/>
  <c r="AC71" i="19"/>
  <c r="AD71" i="19" s="1"/>
  <c r="AE71" i="19" s="1"/>
  <c r="AC74" i="19"/>
  <c r="AH74" i="19"/>
  <c r="AL74" i="19" s="1"/>
  <c r="AA75" i="19"/>
  <c r="AI75" i="19" s="1"/>
  <c r="AF75" i="19"/>
  <c r="AR75" i="19"/>
  <c r="AA77" i="19"/>
  <c r="AI77" i="19" s="1"/>
  <c r="AF77" i="19"/>
  <c r="AF78" i="19"/>
  <c r="AB78" i="19"/>
  <c r="AA81" i="19"/>
  <c r="AI81" i="19" s="1"/>
  <c r="AA82" i="19"/>
  <c r="AH82" i="19" s="1"/>
  <c r="AL82" i="19" s="1"/>
  <c r="AC82" i="19"/>
  <c r="AF82" i="19"/>
  <c r="AB82" i="19"/>
  <c r="AH72" i="19"/>
  <c r="AL72" i="19" s="1"/>
  <c r="AH76" i="19"/>
  <c r="AL76" i="19" s="1"/>
  <c r="AA79" i="19"/>
  <c r="AI79" i="19" s="1"/>
  <c r="AA83" i="19"/>
  <c r="AI83" i="19" s="1"/>
  <c r="AC85" i="19"/>
  <c r="AB86" i="19"/>
  <c r="AF86" i="19"/>
  <c r="AA87" i="19"/>
  <c r="AH87" i="19" s="1"/>
  <c r="AL87" i="19" s="1"/>
  <c r="AH88" i="19"/>
  <c r="AL88" i="19" s="1"/>
  <c r="AC89" i="19"/>
  <c r="AB90" i="19"/>
  <c r="AF90" i="19"/>
  <c r="AA91" i="19"/>
  <c r="AI91" i="19" s="1"/>
  <c r="AC93" i="19"/>
  <c r="AB94" i="19"/>
  <c r="AF94" i="19"/>
  <c r="AA95" i="19"/>
  <c r="AI95" i="19" s="1"/>
  <c r="AC97" i="19"/>
  <c r="AB98" i="19"/>
  <c r="AF98" i="19"/>
  <c r="AA99" i="19"/>
  <c r="AI99" i="19" s="1"/>
  <c r="AC101" i="19"/>
  <c r="AB102" i="19"/>
  <c r="AF102" i="19"/>
  <c r="AA103" i="19"/>
  <c r="AI103" i="19" s="1"/>
  <c r="AC105" i="19"/>
  <c r="AG105" i="19"/>
  <c r="AJ105" i="19" s="1"/>
  <c r="AB106" i="19"/>
  <c r="AF106" i="19"/>
  <c r="AA107" i="19"/>
  <c r="AI107" i="19" s="1"/>
  <c r="AC109" i="19"/>
  <c r="AB110" i="19"/>
  <c r="AF110" i="19"/>
  <c r="AA111" i="19"/>
  <c r="AI111" i="19" s="1"/>
  <c r="AC113" i="19"/>
  <c r="AB114" i="19"/>
  <c r="AF114" i="19"/>
  <c r="AA115" i="19"/>
  <c r="AH115" i="19" s="1"/>
  <c r="AL115" i="19" s="1"/>
  <c r="AC117" i="19"/>
  <c r="AG18" i="20"/>
  <c r="AG20" i="20"/>
  <c r="AG22" i="20"/>
  <c r="AI23" i="20"/>
  <c r="AO23" i="20" s="1"/>
  <c r="AG24" i="20"/>
  <c r="AG26" i="20"/>
  <c r="AI27" i="20"/>
  <c r="AO27" i="20" s="1"/>
  <c r="AG28" i="20"/>
  <c r="AI29" i="20"/>
  <c r="AO29" i="20" s="1"/>
  <c r="AG30" i="20"/>
  <c r="AG32" i="20"/>
  <c r="AM32" i="20" s="1"/>
  <c r="AG34" i="20"/>
  <c r="AC86" i="19"/>
  <c r="AI88" i="19"/>
  <c r="AC90" i="19"/>
  <c r="AC94" i="19"/>
  <c r="AC98" i="19"/>
  <c r="AC102" i="19"/>
  <c r="AH105" i="19"/>
  <c r="AL105" i="19" s="1"/>
  <c r="AC106" i="19"/>
  <c r="AC110" i="19"/>
  <c r="AH113" i="19"/>
  <c r="AL113" i="19" s="1"/>
  <c r="AC114" i="19"/>
  <c r="AD18" i="20"/>
  <c r="AD20" i="20"/>
  <c r="AD22" i="20"/>
  <c r="AJ23" i="20"/>
  <c r="AD24" i="20"/>
  <c r="AD26" i="20"/>
  <c r="AJ27" i="20"/>
  <c r="AD28" i="20"/>
  <c r="AJ29" i="20"/>
  <c r="AD30" i="20"/>
  <c r="AD32" i="20"/>
  <c r="AD34" i="20"/>
  <c r="AL42" i="20"/>
  <c r="AH42" i="20"/>
  <c r="AJ42" i="20"/>
  <c r="AB85" i="19"/>
  <c r="AA86" i="19"/>
  <c r="AG86" i="19" s="1"/>
  <c r="AG88" i="19"/>
  <c r="AB89" i="19"/>
  <c r="AA90" i="19"/>
  <c r="AI90" i="19" s="1"/>
  <c r="AB93" i="19"/>
  <c r="AA94" i="19"/>
  <c r="AG94" i="19" s="1"/>
  <c r="AB97" i="19"/>
  <c r="AA98" i="19"/>
  <c r="AI98" i="19" s="1"/>
  <c r="AB101" i="19"/>
  <c r="AA102" i="19"/>
  <c r="AG102" i="19" s="1"/>
  <c r="AB105" i="19"/>
  <c r="AA106" i="19"/>
  <c r="AI106" i="19" s="1"/>
  <c r="AB109" i="19"/>
  <c r="AA110" i="19"/>
  <c r="AG110" i="19" s="1"/>
  <c r="AB113" i="19"/>
  <c r="AA114" i="19"/>
  <c r="AI114" i="19" s="1"/>
  <c r="AB117" i="19"/>
  <c r="AL18" i="20"/>
  <c r="AL20" i="20"/>
  <c r="AD23" i="20"/>
  <c r="AE23" i="20" s="1"/>
  <c r="AF23" i="20" s="1"/>
  <c r="AH23" i="20"/>
  <c r="AD25" i="20"/>
  <c r="AH25" i="20"/>
  <c r="AD27" i="20"/>
  <c r="AH27" i="20"/>
  <c r="AL28" i="20"/>
  <c r="AD29" i="20"/>
  <c r="AD31" i="20"/>
  <c r="AE31" i="20" s="1"/>
  <c r="AF31" i="20" s="1"/>
  <c r="AL32" i="20"/>
  <c r="AD33" i="20"/>
  <c r="AJ62" i="20"/>
  <c r="AG36" i="20"/>
  <c r="AI37" i="20"/>
  <c r="AO37" i="20" s="1"/>
  <c r="AG38" i="20"/>
  <c r="AG40" i="20"/>
  <c r="AI41" i="20"/>
  <c r="AO41" i="20" s="1"/>
  <c r="AG42" i="20"/>
  <c r="AG44" i="20"/>
  <c r="AI45" i="20"/>
  <c r="AO45" i="20" s="1"/>
  <c r="AG46" i="20"/>
  <c r="AG48" i="20"/>
  <c r="AM48" i="20" s="1"/>
  <c r="AG50" i="20"/>
  <c r="AI51" i="20"/>
  <c r="AO51" i="20" s="1"/>
  <c r="AG52" i="20"/>
  <c r="AI53" i="20"/>
  <c r="AO53" i="20" s="1"/>
  <c r="AG54" i="20"/>
  <c r="AI55" i="20"/>
  <c r="AO55" i="20" s="1"/>
  <c r="AI67" i="20"/>
  <c r="AO67" i="20" s="1"/>
  <c r="AG70" i="20"/>
  <c r="AG72" i="20"/>
  <c r="AD75" i="20"/>
  <c r="AG75" i="20"/>
  <c r="AJ37" i="20"/>
  <c r="AJ45" i="20"/>
  <c r="AH46" i="20"/>
  <c r="AJ51" i="20"/>
  <c r="AJ53" i="20"/>
  <c r="AJ55" i="20"/>
  <c r="AH56" i="20"/>
  <c r="AH62" i="20"/>
  <c r="AL62" i="20"/>
  <c r="AL66" i="20"/>
  <c r="AJ67" i="20"/>
  <c r="AL72" i="20"/>
  <c r="AG35" i="20"/>
  <c r="AG37" i="20"/>
  <c r="AG39" i="20"/>
  <c r="AG41" i="20"/>
  <c r="AI42" i="20"/>
  <c r="AO42" i="20" s="1"/>
  <c r="AG43" i="20"/>
  <c r="AG45" i="20"/>
  <c r="AG47" i="20"/>
  <c r="AG49" i="20"/>
  <c r="AG51" i="20"/>
  <c r="AG53" i="20"/>
  <c r="AG55" i="20"/>
  <c r="AG57" i="20"/>
  <c r="AG59" i="20"/>
  <c r="AG61" i="20"/>
  <c r="AI62" i="20"/>
  <c r="AO62" i="20" s="1"/>
  <c r="AG63" i="20"/>
  <c r="AG65" i="20"/>
  <c r="AG67" i="20"/>
  <c r="AG69" i="20"/>
  <c r="AG71" i="20"/>
  <c r="AI72" i="20"/>
  <c r="AO72" i="20" s="1"/>
  <c r="AG73" i="20"/>
  <c r="AD77" i="20"/>
  <c r="AG77" i="20"/>
  <c r="AJ79" i="20"/>
  <c r="AI79" i="20"/>
  <c r="AO79" i="20" s="1"/>
  <c r="AI81" i="20"/>
  <c r="AO81" i="20" s="1"/>
  <c r="AH83" i="20"/>
  <c r="AG101" i="20"/>
  <c r="AG95" i="20"/>
  <c r="AL95" i="20"/>
  <c r="AG103" i="20"/>
  <c r="AL103" i="20"/>
  <c r="AG111" i="20"/>
  <c r="AD111" i="20"/>
  <c r="AG79" i="20"/>
  <c r="AG81" i="20"/>
  <c r="AJ83" i="20"/>
  <c r="AJ91" i="20"/>
  <c r="AD95" i="20"/>
  <c r="AG97" i="20"/>
  <c r="AD103" i="20"/>
  <c r="AG105" i="20"/>
  <c r="AH116" i="20"/>
  <c r="AD79" i="20"/>
  <c r="AH79" i="20"/>
  <c r="AD81" i="20"/>
  <c r="AG83" i="20"/>
  <c r="AG99" i="20"/>
  <c r="AG107" i="20"/>
  <c r="O49" i="21"/>
  <c r="AI91" i="20"/>
  <c r="AO91" i="20" s="1"/>
  <c r="AG93" i="20"/>
  <c r="AL96" i="20"/>
  <c r="AL108" i="20"/>
  <c r="AG109" i="20"/>
  <c r="AU112" i="20"/>
  <c r="AL114" i="20"/>
  <c r="AH114" i="20"/>
  <c r="AG115" i="20"/>
  <c r="AG85" i="20"/>
  <c r="AG87" i="20"/>
  <c r="AG89" i="20"/>
  <c r="AG91" i="20"/>
  <c r="AJ108" i="20"/>
  <c r="AG113" i="20"/>
  <c r="AD115" i="20"/>
  <c r="AU116" i="20"/>
  <c r="O16" i="21"/>
  <c r="AI108" i="20"/>
  <c r="AO108" i="20" s="1"/>
  <c r="AI114" i="20"/>
  <c r="AO114" i="20" s="1"/>
  <c r="O195" i="23"/>
  <c r="P195" i="23" s="1"/>
  <c r="P192" i="23" s="1"/>
  <c r="BD50" i="25"/>
  <c r="BG32" i="25"/>
  <c r="BM24" i="25"/>
  <c r="BM25" i="25"/>
  <c r="BE14" i="25"/>
  <c r="BE32" i="25" s="1"/>
  <c r="BM19" i="25"/>
  <c r="BP54" i="25"/>
  <c r="BL15" i="25"/>
  <c r="BM15" i="25" s="1"/>
  <c r="BJ14" i="25"/>
  <c r="BM43" i="25"/>
  <c r="BO39" i="25"/>
  <c r="BH40" i="25"/>
  <c r="BP40" i="25"/>
  <c r="BE41" i="25"/>
  <c r="BH41" i="25" s="1"/>
  <c r="BI41" i="25"/>
  <c r="BM41" i="25" s="1"/>
  <c r="BF42" i="25"/>
  <c r="BF44" i="25" s="1"/>
  <c r="BJ42" i="25"/>
  <c r="BJ44" i="25" s="1"/>
  <c r="BG43" i="25"/>
  <c r="BQ43" i="25" s="1"/>
  <c r="BI50" i="25"/>
  <c r="BG52" i="25"/>
  <c r="BI52" i="25" s="1"/>
  <c r="BO52" i="25"/>
  <c r="BH53" i="25"/>
  <c r="BH55" i="25" s="1"/>
  <c r="BH39" i="25"/>
  <c r="BP39" i="25"/>
  <c r="BP41" i="25" s="1"/>
  <c r="BM40" i="25"/>
  <c r="BG42" i="25"/>
  <c r="BG44" i="25" s="1"/>
  <c r="BK42" i="25"/>
  <c r="BK44" i="25" s="1"/>
  <c r="BL52" i="25"/>
  <c r="BM53" i="25"/>
  <c r="BM55" i="25" s="1"/>
  <c r="BM39" i="25"/>
  <c r="BQ39" i="25"/>
  <c r="BQ41" i="25" s="1"/>
  <c r="BD44" i="25"/>
  <c r="BL42" i="25"/>
  <c r="BL44" i="25" s="1"/>
  <c r="BP51" i="25"/>
  <c r="BQ51" i="25" s="1"/>
  <c r="BF53" i="25"/>
  <c r="BF55" i="25" s="1"/>
  <c r="BN53" i="25"/>
  <c r="BN55" i="25" s="1"/>
  <c r="BN39" i="25"/>
  <c r="AM107" i="20" l="1"/>
  <c r="AH112" i="19"/>
  <c r="AL112" i="19" s="1"/>
  <c r="AL21" i="20"/>
  <c r="AK92" i="18"/>
  <c r="AK82" i="18"/>
  <c r="AK58" i="18"/>
  <c r="AM97" i="20"/>
  <c r="AM59" i="20"/>
  <c r="AM30" i="20"/>
  <c r="AM26" i="20"/>
  <c r="AM22" i="20"/>
  <c r="AG112" i="19"/>
  <c r="AI92" i="19"/>
  <c r="AG63" i="19"/>
  <c r="AJ63" i="19" s="1"/>
  <c r="AM86" i="20"/>
  <c r="AM76" i="20"/>
  <c r="AM62" i="20"/>
  <c r="AM46" i="20"/>
  <c r="AM38" i="20"/>
  <c r="AM103" i="20"/>
  <c r="AM55" i="20"/>
  <c r="AM51" i="20"/>
  <c r="AM18" i="20"/>
  <c r="AI38" i="19"/>
  <c r="AJ38" i="19" s="1"/>
  <c r="AH29" i="20"/>
  <c r="AJ25" i="20"/>
  <c r="AK98" i="18"/>
  <c r="AK67" i="18"/>
  <c r="AC44" i="18"/>
  <c r="AD44" i="18" s="1"/>
  <c r="AK40" i="18"/>
  <c r="AK36" i="18"/>
  <c r="AK32" i="18"/>
  <c r="AM43" i="20"/>
  <c r="AM112" i="20"/>
  <c r="AH30" i="19"/>
  <c r="AL30" i="19" s="1"/>
  <c r="BM20" i="25"/>
  <c r="AK105" i="18"/>
  <c r="AK94" i="18"/>
  <c r="AK81" i="18"/>
  <c r="AK70" i="18"/>
  <c r="AK47" i="18"/>
  <c r="AM109" i="20"/>
  <c r="AM105" i="20"/>
  <c r="AM60" i="20"/>
  <c r="AM28" i="20"/>
  <c r="AM96" i="20"/>
  <c r="AG42" i="19"/>
  <c r="AJ42" i="19" s="1"/>
  <c r="BR51" i="25"/>
  <c r="BM22" i="25"/>
  <c r="AM95" i="20"/>
  <c r="AM74" i="20"/>
  <c r="AM70" i="20"/>
  <c r="AM67" i="20"/>
  <c r="AM108" i="20"/>
  <c r="AM42" i="20"/>
  <c r="AM20" i="20"/>
  <c r="AM88" i="20"/>
  <c r="AM58" i="20"/>
  <c r="AI116" i="20"/>
  <c r="AO116" i="20" s="1"/>
  <c r="AI25" i="20"/>
  <c r="AO25" i="20" s="1"/>
  <c r="AI65" i="20"/>
  <c r="AO65" i="20" s="1"/>
  <c r="AG113" i="19"/>
  <c r="AJ113" i="19" s="1"/>
  <c r="AG30" i="19"/>
  <c r="AI33" i="19"/>
  <c r="AJ33" i="19" s="1"/>
  <c r="AK100" i="18"/>
  <c r="AK42" i="18"/>
  <c r="AM41" i="20"/>
  <c r="AM31" i="20"/>
  <c r="AM27" i="20"/>
  <c r="AM23" i="20"/>
  <c r="AM72" i="20"/>
  <c r="AM104" i="20"/>
  <c r="AM111" i="20"/>
  <c r="AM87" i="20"/>
  <c r="AM79" i="20"/>
  <c r="AM71" i="20"/>
  <c r="AM63" i="20"/>
  <c r="AM47" i="20"/>
  <c r="AM39" i="20"/>
  <c r="AM110" i="20"/>
  <c r="AM102" i="20"/>
  <c r="AM94" i="20"/>
  <c r="AM78" i="20"/>
  <c r="AM54" i="20"/>
  <c r="AM101" i="20"/>
  <c r="AM93" i="20"/>
  <c r="AM85" i="20"/>
  <c r="AM77" i="20"/>
  <c r="AM69" i="20"/>
  <c r="AM61" i="20"/>
  <c r="AM53" i="20"/>
  <c r="AM45" i="20"/>
  <c r="AM37" i="20"/>
  <c r="AM40" i="20"/>
  <c r="AM116" i="20"/>
  <c r="AM100" i="20"/>
  <c r="AM92" i="20"/>
  <c r="AM84" i="20"/>
  <c r="AM68" i="20"/>
  <c r="AM52" i="20"/>
  <c r="AM44" i="20"/>
  <c r="AM36" i="20"/>
  <c r="AM115" i="20"/>
  <c r="AM99" i="20"/>
  <c r="AM91" i="20"/>
  <c r="AM83" i="20"/>
  <c r="AM75" i="20"/>
  <c r="AM35" i="20"/>
  <c r="AM114" i="20"/>
  <c r="AM106" i="20"/>
  <c r="AM98" i="20"/>
  <c r="AM90" i="20"/>
  <c r="AM82" i="20"/>
  <c r="AM66" i="20"/>
  <c r="AM50" i="20"/>
  <c r="AM34" i="20"/>
  <c r="AM113" i="20"/>
  <c r="AM89" i="20"/>
  <c r="AM81" i="20"/>
  <c r="AM73" i="20"/>
  <c r="AM65" i="20"/>
  <c r="AM57" i="20"/>
  <c r="AM49" i="20"/>
  <c r="AM33" i="20"/>
  <c r="AM17" i="20"/>
  <c r="AE107" i="20"/>
  <c r="AF107" i="20" s="1"/>
  <c r="AK115" i="18"/>
  <c r="AK108" i="18"/>
  <c r="AK101" i="18"/>
  <c r="AK90" i="18"/>
  <c r="AK87" i="18"/>
  <c r="AK80" i="18"/>
  <c r="AK77" i="18"/>
  <c r="AK66" i="18"/>
  <c r="AK63" i="18"/>
  <c r="AK56" i="18"/>
  <c r="AK53" i="18"/>
  <c r="AK46" i="18"/>
  <c r="AK43" i="18"/>
  <c r="AK112" i="18"/>
  <c r="AK104" i="18"/>
  <c r="AK97" i="18"/>
  <c r="AK83" i="18"/>
  <c r="AK76" i="18"/>
  <c r="AK73" i="18"/>
  <c r="AK59" i="18"/>
  <c r="AK52" i="18"/>
  <c r="AK39" i="18"/>
  <c r="AK35" i="18"/>
  <c r="AK31" i="18"/>
  <c r="AK111" i="18"/>
  <c r="AK96" i="18"/>
  <c r="AK93" i="18"/>
  <c r="AK86" i="18"/>
  <c r="AK72" i="18"/>
  <c r="AK69" i="18"/>
  <c r="AK62" i="18"/>
  <c r="AK49" i="18"/>
  <c r="AK45" i="18"/>
  <c r="AK38" i="18"/>
  <c r="AK34" i="18"/>
  <c r="AK91" i="18"/>
  <c r="AK57" i="18"/>
  <c r="AK114" i="18"/>
  <c r="AK110" i="18"/>
  <c r="AK107" i="18"/>
  <c r="AK79" i="18"/>
  <c r="AK75" i="18"/>
  <c r="AK68" i="18"/>
  <c r="AK55" i="18"/>
  <c r="AK48" i="18"/>
  <c r="AK113" i="18"/>
  <c r="AK103" i="18"/>
  <c r="AK99" i="18"/>
  <c r="AK89" i="18"/>
  <c r="AK65" i="18"/>
  <c r="AK51" i="18"/>
  <c r="AK44" i="18"/>
  <c r="AK41" i="18"/>
  <c r="AK37" i="18"/>
  <c r="AK33" i="18"/>
  <c r="AK109" i="18"/>
  <c r="AK106" i="18"/>
  <c r="AK102" i="18"/>
  <c r="AK95" i="18"/>
  <c r="AK88" i="18"/>
  <c r="AK85" i="18"/>
  <c r="AK78" i="18"/>
  <c r="AK74" i="18"/>
  <c r="AF71" i="18"/>
  <c r="AK71" i="18"/>
  <c r="AK64" i="18"/>
  <c r="AK61" i="18"/>
  <c r="AK54" i="18"/>
  <c r="AA16" i="18"/>
  <c r="AK16" i="18"/>
  <c r="AH71" i="18"/>
  <c r="AH109" i="18"/>
  <c r="AJ32" i="18"/>
  <c r="AL30" i="20"/>
  <c r="AL24" i="20"/>
  <c r="AI31" i="20"/>
  <c r="AO31" i="20" s="1"/>
  <c r="AL29" i="20"/>
  <c r="AL27" i="20"/>
  <c r="AL25" i="20"/>
  <c r="AL23" i="20"/>
  <c r="AL26" i="20"/>
  <c r="AI112" i="20"/>
  <c r="AO112" i="20" s="1"/>
  <c r="AI90" i="20"/>
  <c r="AO90" i="20" s="1"/>
  <c r="AL22" i="20"/>
  <c r="AL19" i="20"/>
  <c r="AE37" i="20"/>
  <c r="AF37" i="20" s="1"/>
  <c r="AJ96" i="20"/>
  <c r="AJ87" i="20"/>
  <c r="AJ75" i="20"/>
  <c r="AK75" i="20" s="1"/>
  <c r="AH114" i="18"/>
  <c r="AF112" i="18"/>
  <c r="AG107" i="18"/>
  <c r="AO107" i="18" s="1"/>
  <c r="AH105" i="18"/>
  <c r="AH94" i="18"/>
  <c r="AJ79" i="18"/>
  <c r="AJ57" i="18"/>
  <c r="AJ55" i="18"/>
  <c r="AH48" i="18"/>
  <c r="AH111" i="18"/>
  <c r="AJ69" i="18"/>
  <c r="AF49" i="18"/>
  <c r="AJ45" i="18"/>
  <c r="AH115" i="18"/>
  <c r="AH113" i="18"/>
  <c r="AJ108" i="18"/>
  <c r="AJ103" i="18"/>
  <c r="AJ101" i="18"/>
  <c r="AJ99" i="18"/>
  <c r="AJ89" i="18"/>
  <c r="AJ87" i="18"/>
  <c r="AJ77" i="18"/>
  <c r="AJ65" i="18"/>
  <c r="AJ63" i="18"/>
  <c r="AH56" i="18"/>
  <c r="AJ53" i="18"/>
  <c r="AJ51" i="18"/>
  <c r="AH46" i="18"/>
  <c r="AH44" i="18"/>
  <c r="AJ43" i="18"/>
  <c r="AH41" i="18"/>
  <c r="AJ37" i="18"/>
  <c r="AF33" i="18"/>
  <c r="AJ93" i="18"/>
  <c r="AJ91" i="18"/>
  <c r="AJ67" i="18"/>
  <c r="AH50" i="18"/>
  <c r="AJ40" i="18"/>
  <c r="AJ38" i="18"/>
  <c r="AJ36" i="18"/>
  <c r="AJ34" i="18"/>
  <c r="AJ106" i="18"/>
  <c r="AJ97" i="18"/>
  <c r="AG95" i="18"/>
  <c r="AO95" i="18" s="1"/>
  <c r="AH85" i="18"/>
  <c r="AJ83" i="18"/>
  <c r="AJ73" i="18"/>
  <c r="AJ71" i="18"/>
  <c r="AH61" i="18"/>
  <c r="AJ59" i="18"/>
  <c r="AH54" i="18"/>
  <c r="AH52" i="18"/>
  <c r="AH42" i="18"/>
  <c r="AH39" i="18"/>
  <c r="AJ35" i="18"/>
  <c r="AF31" i="18"/>
  <c r="AF67" i="18"/>
  <c r="AU37" i="16"/>
  <c r="AU32" i="16" s="1"/>
  <c r="O26" i="23"/>
  <c r="AI96" i="20"/>
  <c r="AO96" i="20" s="1"/>
  <c r="AJ84" i="20"/>
  <c r="AJ77" i="20"/>
  <c r="AH75" i="20"/>
  <c r="AH40" i="20"/>
  <c r="AH90" i="20"/>
  <c r="AJ92" i="20"/>
  <c r="AK92" i="20" s="1"/>
  <c r="AI77" i="20"/>
  <c r="AO77" i="20" s="1"/>
  <c r="AH77" i="20"/>
  <c r="AI36" i="20"/>
  <c r="AO36" i="20" s="1"/>
  <c r="AJ71" i="20"/>
  <c r="AJ112" i="20"/>
  <c r="AI87" i="20"/>
  <c r="AO87" i="20" s="1"/>
  <c r="AL84" i="20"/>
  <c r="AH68" i="20"/>
  <c r="AE99" i="20"/>
  <c r="AF99" i="20" s="1"/>
  <c r="AI92" i="20"/>
  <c r="AO92" i="20" s="1"/>
  <c r="AL102" i="20"/>
  <c r="AH85" i="20"/>
  <c r="AH81" i="20"/>
  <c r="AI57" i="20"/>
  <c r="AO57" i="20" s="1"/>
  <c r="AH33" i="20"/>
  <c r="AE40" i="20"/>
  <c r="AF40" i="20" s="1"/>
  <c r="AL57" i="20"/>
  <c r="AJ57" i="20"/>
  <c r="AE63" i="20"/>
  <c r="AF63" i="20" s="1"/>
  <c r="AE43" i="20"/>
  <c r="AF43" i="20" s="1"/>
  <c r="AI102" i="20"/>
  <c r="AO102" i="20" s="1"/>
  <c r="AJ102" i="20"/>
  <c r="AK102" i="20" s="1"/>
  <c r="AL92" i="20"/>
  <c r="AJ81" i="20"/>
  <c r="AI60" i="20"/>
  <c r="AO60" i="20" s="1"/>
  <c r="AH109" i="19"/>
  <c r="AL109" i="19" s="1"/>
  <c r="AI84" i="19"/>
  <c r="AH104" i="19"/>
  <c r="AL104" i="19" s="1"/>
  <c r="AG101" i="19"/>
  <c r="AJ101" i="19" s="1"/>
  <c r="AH80" i="19"/>
  <c r="AL80" i="19" s="1"/>
  <c r="AI67" i="19"/>
  <c r="AI108" i="19"/>
  <c r="AH101" i="19"/>
  <c r="AL101" i="19" s="1"/>
  <c r="AG109" i="19"/>
  <c r="AJ109" i="19" s="1"/>
  <c r="AH33" i="19"/>
  <c r="AL33" i="19" s="1"/>
  <c r="AH25" i="19"/>
  <c r="AL25" i="19" s="1"/>
  <c r="AH21" i="19"/>
  <c r="AL21" i="19" s="1"/>
  <c r="AH31" i="19"/>
  <c r="AL31" i="19" s="1"/>
  <c r="AG39" i="19"/>
  <c r="AJ39" i="19" s="1"/>
  <c r="AD92" i="19"/>
  <c r="AE92" i="19" s="1"/>
  <c r="AD58" i="19"/>
  <c r="AE58" i="19" s="1"/>
  <c r="AG67" i="19"/>
  <c r="AL18" i="19"/>
  <c r="AO18" i="19"/>
  <c r="AO17" i="19" s="1"/>
  <c r="AH39" i="19"/>
  <c r="AL39" i="19" s="1"/>
  <c r="AG43" i="19"/>
  <c r="AJ43" i="19" s="1"/>
  <c r="AG84" i="19"/>
  <c r="AH47" i="19"/>
  <c r="AL47" i="19" s="1"/>
  <c r="AG72" i="19"/>
  <c r="AJ72" i="19" s="1"/>
  <c r="AD45" i="19"/>
  <c r="AE45" i="19" s="1"/>
  <c r="AF63" i="18"/>
  <c r="AG75" i="18"/>
  <c r="AO75" i="18" s="1"/>
  <c r="AG55" i="18"/>
  <c r="AO55" i="18" s="1"/>
  <c r="AF45" i="18"/>
  <c r="AH57" i="18"/>
  <c r="AG47" i="18"/>
  <c r="AO47" i="18" s="1"/>
  <c r="AF93" i="18"/>
  <c r="AF57" i="18"/>
  <c r="AG79" i="18"/>
  <c r="AO79" i="18" s="1"/>
  <c r="AG67" i="18"/>
  <c r="AO67" i="18" s="1"/>
  <c r="AG114" i="18"/>
  <c r="AO114" i="18" s="1"/>
  <c r="AG91" i="18"/>
  <c r="AO91" i="18" s="1"/>
  <c r="AH47" i="18"/>
  <c r="AG110" i="18"/>
  <c r="AO110" i="18" s="1"/>
  <c r="AF75" i="18"/>
  <c r="AG81" i="18"/>
  <c r="AO81" i="18" s="1"/>
  <c r="AG57" i="18"/>
  <c r="AO57" i="18" s="1"/>
  <c r="AL52" i="20"/>
  <c r="AJ52" i="20"/>
  <c r="AE27" i="20"/>
  <c r="AF27" i="20" s="1"/>
  <c r="AI93" i="20"/>
  <c r="AO93" i="20" s="1"/>
  <c r="AH65" i="20"/>
  <c r="AE78" i="20"/>
  <c r="AF78" i="20" s="1"/>
  <c r="AL31" i="20"/>
  <c r="AL116" i="20"/>
  <c r="AI66" i="20"/>
  <c r="AO66" i="20" s="1"/>
  <c r="AJ65" i="20"/>
  <c r="AK65" i="20" s="1"/>
  <c r="AH52" i="20"/>
  <c r="AH35" i="20"/>
  <c r="AK35" i="20" s="1"/>
  <c r="AH31" i="20"/>
  <c r="AH19" i="20"/>
  <c r="AJ31" i="20"/>
  <c r="AH98" i="20"/>
  <c r="AK98" i="20" s="1"/>
  <c r="AE39" i="20"/>
  <c r="AF39" i="20" s="1"/>
  <c r="AL98" i="20"/>
  <c r="AH66" i="20"/>
  <c r="AK66" i="20" s="1"/>
  <c r="AE101" i="20"/>
  <c r="AF101" i="20" s="1"/>
  <c r="AE94" i="20"/>
  <c r="AF94" i="20" s="1"/>
  <c r="AE72" i="20"/>
  <c r="AF72" i="20" s="1"/>
  <c r="AE59" i="20"/>
  <c r="AF59" i="20" s="1"/>
  <c r="AD51" i="19"/>
  <c r="AE51" i="19" s="1"/>
  <c r="AG59" i="19"/>
  <c r="AJ59" i="19" s="1"/>
  <c r="AG117" i="19"/>
  <c r="AJ117" i="19" s="1"/>
  <c r="AG85" i="19"/>
  <c r="AJ85" i="19" s="1"/>
  <c r="AH59" i="19"/>
  <c r="AL59" i="19" s="1"/>
  <c r="AG54" i="19"/>
  <c r="AJ54" i="19" s="1"/>
  <c r="AD39" i="19"/>
  <c r="AE39" i="19" s="1"/>
  <c r="AH54" i="19"/>
  <c r="AL54" i="19" s="1"/>
  <c r="AG31" i="19"/>
  <c r="AJ31" i="19" s="1"/>
  <c r="AF69" i="18"/>
  <c r="AF91" i="18"/>
  <c r="AF53" i="18"/>
  <c r="AF99" i="18"/>
  <c r="AG63" i="18"/>
  <c r="AO63" i="18" s="1"/>
  <c r="AC102" i="18"/>
  <c r="AD102" i="18" s="1"/>
  <c r="AC54" i="18"/>
  <c r="AD54" i="18" s="1"/>
  <c r="AH103" i="18"/>
  <c r="AC70" i="18"/>
  <c r="AD70" i="18" s="1"/>
  <c r="AF97" i="18"/>
  <c r="AI97" i="18" s="1"/>
  <c r="AF77" i="18"/>
  <c r="AG87" i="18"/>
  <c r="AO87" i="18" s="1"/>
  <c r="AH95" i="18"/>
  <c r="AG97" i="18"/>
  <c r="AO97" i="18" s="1"/>
  <c r="AJ95" i="18"/>
  <c r="AF87" i="18"/>
  <c r="AC94" i="18"/>
  <c r="AD94" i="18" s="1"/>
  <c r="AC68" i="18"/>
  <c r="AD68" i="18" s="1"/>
  <c r="AF83" i="18"/>
  <c r="AF65" i="18"/>
  <c r="AH89" i="18"/>
  <c r="AH65" i="18"/>
  <c r="AG83" i="18"/>
  <c r="AO83" i="18" s="1"/>
  <c r="AG71" i="18"/>
  <c r="AO71" i="18" s="1"/>
  <c r="AG65" i="18"/>
  <c r="AO65" i="18" s="1"/>
  <c r="AF37" i="18"/>
  <c r="AF95" i="18"/>
  <c r="AF89" i="18"/>
  <c r="AF73" i="18"/>
  <c r="AI73" i="18" s="1"/>
  <c r="AH87" i="18"/>
  <c r="AH63" i="18"/>
  <c r="AG89" i="18"/>
  <c r="AO89" i="18" s="1"/>
  <c r="AH33" i="18"/>
  <c r="AC37" i="18"/>
  <c r="AD37" i="18" s="1"/>
  <c r="AC33" i="18"/>
  <c r="AD33" i="18" s="1"/>
  <c r="AC111" i="18"/>
  <c r="AD111" i="18" s="1"/>
  <c r="AG35" i="18"/>
  <c r="AO35" i="18" s="1"/>
  <c r="AC76" i="18"/>
  <c r="AD76" i="18" s="1"/>
  <c r="AC107" i="18"/>
  <c r="AD107" i="18" s="1"/>
  <c r="AH108" i="18"/>
  <c r="AF101" i="18"/>
  <c r="AH81" i="18"/>
  <c r="AG103" i="18"/>
  <c r="AO103" i="18" s="1"/>
  <c r="AC35" i="18"/>
  <c r="AD35" i="18" s="1"/>
  <c r="AC31" i="18"/>
  <c r="AD31" i="18" s="1"/>
  <c r="AC62" i="18"/>
  <c r="AD62" i="18" s="1"/>
  <c r="AC100" i="18"/>
  <c r="AD100" i="18" s="1"/>
  <c r="AC84" i="18"/>
  <c r="AD84" i="18" s="1"/>
  <c r="AJ81" i="18"/>
  <c r="AC46" i="18"/>
  <c r="AD46" i="18" s="1"/>
  <c r="AC86" i="18"/>
  <c r="AD86" i="18" s="1"/>
  <c r="AF108" i="18"/>
  <c r="AF81" i="18"/>
  <c r="AF51" i="18"/>
  <c r="AC105" i="18"/>
  <c r="AD105" i="18" s="1"/>
  <c r="AG99" i="18"/>
  <c r="AO99" i="18" s="1"/>
  <c r="AG51" i="18"/>
  <c r="AO51" i="18" s="1"/>
  <c r="AC78" i="18"/>
  <c r="AD78" i="18" s="1"/>
  <c r="AC109" i="18"/>
  <c r="AD109" i="18" s="1"/>
  <c r="AC52" i="18"/>
  <c r="AD52" i="18" s="1"/>
  <c r="AH112" i="18"/>
  <c r="AJ112" i="18"/>
  <c r="AJ110" i="18"/>
  <c r="AF61" i="18"/>
  <c r="AH79" i="18"/>
  <c r="AJ114" i="18"/>
  <c r="AF85" i="18"/>
  <c r="AI85" i="18" s="1"/>
  <c r="AH55" i="18"/>
  <c r="AJ85" i="18"/>
  <c r="AJ61" i="18"/>
  <c r="AG108" i="18"/>
  <c r="AO108" i="18" s="1"/>
  <c r="AF110" i="18"/>
  <c r="AF103" i="18"/>
  <c r="AF55" i="18"/>
  <c r="AH93" i="18"/>
  <c r="AH77" i="18"/>
  <c r="AH69" i="18"/>
  <c r="AH53" i="18"/>
  <c r="AG101" i="18"/>
  <c r="AO101" i="18" s="1"/>
  <c r="AG85" i="18"/>
  <c r="AO85" i="18" s="1"/>
  <c r="AG77" i="18"/>
  <c r="AO77" i="18" s="1"/>
  <c r="AG61" i="18"/>
  <c r="AO61" i="18" s="1"/>
  <c r="AG53" i="18"/>
  <c r="AO53" i="18" s="1"/>
  <c r="AG37" i="18"/>
  <c r="AO37" i="18" s="1"/>
  <c r="AJ31" i="18"/>
  <c r="AC58" i="18"/>
  <c r="AD58" i="18" s="1"/>
  <c r="AJ41" i="18"/>
  <c r="AC66" i="18"/>
  <c r="AD66" i="18" s="1"/>
  <c r="AC96" i="18"/>
  <c r="AD96" i="18" s="1"/>
  <c r="AC88" i="18"/>
  <c r="AD88" i="18" s="1"/>
  <c r="AJ75" i="18"/>
  <c r="AC72" i="18"/>
  <c r="AD72" i="18" s="1"/>
  <c r="AC64" i="18"/>
  <c r="AD64" i="18" s="1"/>
  <c r="AJ47" i="18"/>
  <c r="AH37" i="18"/>
  <c r="AC39" i="18"/>
  <c r="AD39" i="18" s="1"/>
  <c r="AC115" i="18"/>
  <c r="AD115" i="18" s="1"/>
  <c r="AH110" i="18"/>
  <c r="AG112" i="18"/>
  <c r="AO112" i="18" s="1"/>
  <c r="AF114" i="18"/>
  <c r="AI114" i="18" s="1"/>
  <c r="AF79" i="18"/>
  <c r="AF47" i="18"/>
  <c r="AH101" i="18"/>
  <c r="AG93" i="18"/>
  <c r="AO93" i="18" s="1"/>
  <c r="AG69" i="18"/>
  <c r="AO69" i="18" s="1"/>
  <c r="AG49" i="18"/>
  <c r="AO49" i="18" s="1"/>
  <c r="AG45" i="18"/>
  <c r="AO45" i="18" s="1"/>
  <c r="AH31" i="18"/>
  <c r="AG33" i="18"/>
  <c r="AO33" i="18" s="1"/>
  <c r="AC41" i="18"/>
  <c r="AD41" i="18" s="1"/>
  <c r="AJ33" i="18"/>
  <c r="AH99" i="18"/>
  <c r="AH91" i="18"/>
  <c r="AH83" i="18"/>
  <c r="AH75" i="18"/>
  <c r="AH67" i="18"/>
  <c r="AI67" i="18" s="1"/>
  <c r="AH59" i="18"/>
  <c r="AI59" i="18" s="1"/>
  <c r="AH51" i="18"/>
  <c r="AH45" i="18"/>
  <c r="AC90" i="18"/>
  <c r="AD90" i="18" s="1"/>
  <c r="AC80" i="18"/>
  <c r="AD80" i="18" s="1"/>
  <c r="AC56" i="18"/>
  <c r="AD56" i="18" s="1"/>
  <c r="AC48" i="18"/>
  <c r="AD48" i="18" s="1"/>
  <c r="AU13" i="18"/>
  <c r="AJ40" i="20"/>
  <c r="AE46" i="20"/>
  <c r="AF46" i="20" s="1"/>
  <c r="AE44" i="20"/>
  <c r="AF44" i="20" s="1"/>
  <c r="AH63" i="20"/>
  <c r="AI40" i="20"/>
  <c r="AO40" i="20" s="1"/>
  <c r="AJ61" i="20"/>
  <c r="AK61" i="20" s="1"/>
  <c r="AH50" i="20"/>
  <c r="AK50" i="20" s="1"/>
  <c r="AI75" i="20"/>
  <c r="AO75" i="20" s="1"/>
  <c r="AH87" i="20"/>
  <c r="AE41" i="20"/>
  <c r="AF41" i="20" s="1"/>
  <c r="AE60" i="20"/>
  <c r="AF60" i="20" s="1"/>
  <c r="AE55" i="20"/>
  <c r="AF55" i="20" s="1"/>
  <c r="AE102" i="20"/>
  <c r="AF102" i="20" s="1"/>
  <c r="AE97" i="20"/>
  <c r="AF97" i="20" s="1"/>
  <c r="AE89" i="20"/>
  <c r="AF89" i="20" s="1"/>
  <c r="AH110" i="20"/>
  <c r="AK110" i="20" s="1"/>
  <c r="AL60" i="20"/>
  <c r="AI47" i="20"/>
  <c r="AO47" i="20" s="1"/>
  <c r="AJ60" i="20"/>
  <c r="AJ33" i="20"/>
  <c r="AI33" i="20"/>
  <c r="AO33" i="20" s="1"/>
  <c r="AE62" i="20"/>
  <c r="AF62" i="20" s="1"/>
  <c r="AE67" i="20"/>
  <c r="AF67" i="20" s="1"/>
  <c r="AL37" i="20"/>
  <c r="AE116" i="20"/>
  <c r="AF116" i="20" s="1"/>
  <c r="AE98" i="20"/>
  <c r="AF98" i="20" s="1"/>
  <c r="AH82" i="20"/>
  <c r="AL53" i="20"/>
  <c r="AK45" i="20"/>
  <c r="AH60" i="20"/>
  <c r="AE87" i="20"/>
  <c r="AF87" i="20" s="1"/>
  <c r="AE109" i="20"/>
  <c r="AF109" i="20" s="1"/>
  <c r="AE105" i="20"/>
  <c r="AF105" i="20" s="1"/>
  <c r="AE70" i="20"/>
  <c r="AF70" i="20" s="1"/>
  <c r="AE82" i="20"/>
  <c r="AF82" i="20" s="1"/>
  <c r="AE83" i="20"/>
  <c r="AF83" i="20" s="1"/>
  <c r="AE76" i="20"/>
  <c r="AF76" i="20" s="1"/>
  <c r="AE71" i="20"/>
  <c r="AF71" i="20" s="1"/>
  <c r="AJ106" i="20"/>
  <c r="AJ63" i="20"/>
  <c r="AL48" i="20"/>
  <c r="AJ41" i="20"/>
  <c r="AI61" i="20"/>
  <c r="AO61" i="20" s="1"/>
  <c r="AI35" i="20"/>
  <c r="AO35" i="20" s="1"/>
  <c r="AL61" i="20"/>
  <c r="AE57" i="20"/>
  <c r="AF57" i="20" s="1"/>
  <c r="AH41" i="20"/>
  <c r="AL44" i="20"/>
  <c r="AL39" i="20"/>
  <c r="AH48" i="20"/>
  <c r="AE91" i="20"/>
  <c r="AF91" i="20" s="1"/>
  <c r="AL35" i="20"/>
  <c r="AK114" i="20"/>
  <c r="AI88" i="20"/>
  <c r="AO88" i="20" s="1"/>
  <c r="AI85" i="20"/>
  <c r="AO85" i="20" s="1"/>
  <c r="AI68" i="20"/>
  <c r="AO68" i="20" s="1"/>
  <c r="AL54" i="20"/>
  <c r="AJ47" i="20"/>
  <c r="AK47" i="20" s="1"/>
  <c r="AJ39" i="20"/>
  <c r="AJ68" i="20"/>
  <c r="AK68" i="20" s="1"/>
  <c r="AL63" i="20"/>
  <c r="AH106" i="20"/>
  <c r="AE38" i="20"/>
  <c r="AF38" i="20" s="1"/>
  <c r="AE52" i="20"/>
  <c r="AF52" i="20" s="1"/>
  <c r="AH88" i="20"/>
  <c r="AH39" i="20"/>
  <c r="AI89" i="20"/>
  <c r="AO89" i="20" s="1"/>
  <c r="AJ88" i="20"/>
  <c r="AI50" i="20"/>
  <c r="AO50" i="20" s="1"/>
  <c r="AI106" i="20"/>
  <c r="AO106" i="20" s="1"/>
  <c r="AI98" i="20"/>
  <c r="AO98" i="20" s="1"/>
  <c r="AK53" i="20"/>
  <c r="AL50" i="20"/>
  <c r="AL47" i="20"/>
  <c r="AK55" i="20"/>
  <c r="AK96" i="20"/>
  <c r="AK84" i="20"/>
  <c r="AE73" i="20"/>
  <c r="AF73" i="20" s="1"/>
  <c r="AJ49" i="20"/>
  <c r="AK49" i="20" s="1"/>
  <c r="AI49" i="20"/>
  <c r="AO49" i="20" s="1"/>
  <c r="AJ56" i="20"/>
  <c r="AK56" i="20" s="1"/>
  <c r="AI43" i="20"/>
  <c r="AO43" i="20" s="1"/>
  <c r="AH36" i="20"/>
  <c r="AK36" i="20" s="1"/>
  <c r="AI58" i="20"/>
  <c r="AO58" i="20" s="1"/>
  <c r="AI56" i="20"/>
  <c r="AO56" i="20" s="1"/>
  <c r="AL64" i="20"/>
  <c r="AL36" i="20"/>
  <c r="AE100" i="20"/>
  <c r="AF100" i="20" s="1"/>
  <c r="AG108" i="19"/>
  <c r="AJ108" i="19" s="1"/>
  <c r="AD46" i="19"/>
  <c r="AE46" i="19" s="1"/>
  <c r="AH85" i="19"/>
  <c r="AL85" i="19" s="1"/>
  <c r="AG97" i="19"/>
  <c r="AJ97" i="19" s="1"/>
  <c r="AD78" i="19"/>
  <c r="AE78" i="19" s="1"/>
  <c r="AD34" i="19"/>
  <c r="AE34" i="19" s="1"/>
  <c r="AG26" i="19"/>
  <c r="AI80" i="19"/>
  <c r="AJ80" i="19" s="1"/>
  <c r="AD38" i="19"/>
  <c r="AE38" i="19" s="1"/>
  <c r="AH95" i="19"/>
  <c r="AL95" i="19" s="1"/>
  <c r="AH97" i="19"/>
  <c r="AL97" i="19" s="1"/>
  <c r="AH89" i="19"/>
  <c r="AL89" i="19" s="1"/>
  <c r="AG89" i="19"/>
  <c r="AJ89" i="19" s="1"/>
  <c r="AI66" i="19"/>
  <c r="AJ66" i="19" s="1"/>
  <c r="AH66" i="19"/>
  <c r="AL66" i="19" s="1"/>
  <c r="AD76" i="19"/>
  <c r="AE76" i="19" s="1"/>
  <c r="AH19" i="18"/>
  <c r="AF25" i="18"/>
  <c r="AF19" i="18"/>
  <c r="AF41" i="18"/>
  <c r="AH25" i="18"/>
  <c r="AG41" i="18"/>
  <c r="AO41" i="18" s="1"/>
  <c r="AI64" i="20"/>
  <c r="AO64" i="20" s="1"/>
  <c r="AH64" i="20"/>
  <c r="AK64" i="20" s="1"/>
  <c r="AH54" i="20"/>
  <c r="AJ46" i="20"/>
  <c r="AK46" i="20" s="1"/>
  <c r="AH17" i="20"/>
  <c r="AJ17" i="20"/>
  <c r="AD67" i="19"/>
  <c r="AE67" i="19" s="1"/>
  <c r="AH61" i="19"/>
  <c r="AL61" i="19" s="1"/>
  <c r="AF38" i="18"/>
  <c r="AI17" i="18"/>
  <c r="BM31" i="25"/>
  <c r="AC113" i="18"/>
  <c r="AD113" i="18" s="1"/>
  <c r="BO41" i="25"/>
  <c r="AI74" i="20"/>
  <c r="AO74" i="20" s="1"/>
  <c r="AH116" i="19"/>
  <c r="AL116" i="19" s="1"/>
  <c r="AD47" i="19"/>
  <c r="AE47" i="19" s="1"/>
  <c r="AH41" i="19"/>
  <c r="AL41" i="19" s="1"/>
  <c r="AG23" i="19"/>
  <c r="AJ23" i="19" s="1"/>
  <c r="AE51" i="20"/>
  <c r="AF51" i="20" s="1"/>
  <c r="AJ43" i="20"/>
  <c r="AJ54" i="20"/>
  <c r="AH117" i="19"/>
  <c r="AL117" i="19" s="1"/>
  <c r="AI46" i="20"/>
  <c r="AO46" i="20" s="1"/>
  <c r="AH74" i="20"/>
  <c r="AJ74" i="20"/>
  <c r="AE29" i="20"/>
  <c r="AF29" i="20" s="1"/>
  <c r="AG116" i="19"/>
  <c r="AJ116" i="19" s="1"/>
  <c r="AI17" i="20"/>
  <c r="AO17" i="20" s="1"/>
  <c r="AO15" i="20" s="1"/>
  <c r="AO14" i="20" s="1"/>
  <c r="AD18" i="19"/>
  <c r="AE18" i="19" s="1"/>
  <c r="AH23" i="19"/>
  <c r="AL23" i="19" s="1"/>
  <c r="AH78" i="19"/>
  <c r="AL78" i="19" s="1"/>
  <c r="AD66" i="19"/>
  <c r="AE66" i="19" s="1"/>
  <c r="AD49" i="19"/>
  <c r="AE49" i="19" s="1"/>
  <c r="AE75" i="20"/>
  <c r="AF75" i="20" s="1"/>
  <c r="AE35" i="20"/>
  <c r="AF35" i="20" s="1"/>
  <c r="AI101" i="20"/>
  <c r="AO101" i="20" s="1"/>
  <c r="AE90" i="20"/>
  <c r="AF90" i="20" s="1"/>
  <c r="AE84" i="20"/>
  <c r="AF84" i="20" s="1"/>
  <c r="AB18" i="8"/>
  <c r="AD54" i="19"/>
  <c r="AE54" i="19" s="1"/>
  <c r="BM21" i="25"/>
  <c r="AD70" i="19"/>
  <c r="AE70" i="19" s="1"/>
  <c r="AE19" i="20"/>
  <c r="AF19" i="20" s="1"/>
  <c r="AI104" i="20"/>
  <c r="AO104" i="20" s="1"/>
  <c r="AI94" i="20"/>
  <c r="AO94" i="20" s="1"/>
  <c r="AL104" i="20"/>
  <c r="AL94" i="20"/>
  <c r="AH112" i="20"/>
  <c r="AH89" i="20"/>
  <c r="AJ89" i="20"/>
  <c r="AI38" i="20"/>
  <c r="AO38" i="20" s="1"/>
  <c r="AJ69" i="20"/>
  <c r="AK69" i="20" s="1"/>
  <c r="AH44" i="20"/>
  <c r="AI59" i="20"/>
  <c r="AO59" i="20" s="1"/>
  <c r="AJ48" i="20"/>
  <c r="AL38" i="20"/>
  <c r="AJ21" i="20"/>
  <c r="AH93" i="19"/>
  <c r="AL93" i="19" s="1"/>
  <c r="AI21" i="20"/>
  <c r="AO21" i="20" s="1"/>
  <c r="AH92" i="19"/>
  <c r="AL92" i="19" s="1"/>
  <c r="AD55" i="19"/>
  <c r="AE55" i="19" s="1"/>
  <c r="AG50" i="19"/>
  <c r="AJ50" i="19" s="1"/>
  <c r="AG113" i="18"/>
  <c r="AO113" i="18" s="1"/>
  <c r="AG55" i="19"/>
  <c r="AJ55" i="19" s="1"/>
  <c r="AH50" i="19"/>
  <c r="AL50" i="19" s="1"/>
  <c r="AG27" i="19"/>
  <c r="AJ27" i="19" s="1"/>
  <c r="AF32" i="18"/>
  <c r="BM16" i="25"/>
  <c r="AU14" i="20"/>
  <c r="AE92" i="20"/>
  <c r="AF92" i="20" s="1"/>
  <c r="AD88" i="19"/>
  <c r="AE88" i="19" s="1"/>
  <c r="AJ104" i="20"/>
  <c r="AK104" i="20" s="1"/>
  <c r="AJ94" i="20"/>
  <c r="AK94" i="20" s="1"/>
  <c r="AI70" i="20"/>
  <c r="AO70" i="20" s="1"/>
  <c r="AL70" i="20"/>
  <c r="AI69" i="20"/>
  <c r="AO69" i="20" s="1"/>
  <c r="AE54" i="20"/>
  <c r="AF54" i="20" s="1"/>
  <c r="AE36" i="20"/>
  <c r="AF36" i="20" s="1"/>
  <c r="AJ70" i="20"/>
  <c r="AK70" i="20" s="1"/>
  <c r="AJ44" i="20"/>
  <c r="AE33" i="20"/>
  <c r="AF33" i="20" s="1"/>
  <c r="AE25" i="20"/>
  <c r="AF25" i="20" s="1"/>
  <c r="AG96" i="19"/>
  <c r="AI96" i="19"/>
  <c r="AG93" i="19"/>
  <c r="AJ93" i="19" s="1"/>
  <c r="AH57" i="19"/>
  <c r="AL57" i="19" s="1"/>
  <c r="AD30" i="19"/>
  <c r="AE30" i="19" s="1"/>
  <c r="AD26" i="19"/>
  <c r="AE26" i="19" s="1"/>
  <c r="AH63" i="19"/>
  <c r="AL63" i="19" s="1"/>
  <c r="AH55" i="19"/>
  <c r="AL55" i="19" s="1"/>
  <c r="AH27" i="19"/>
  <c r="AL27" i="19" s="1"/>
  <c r="AL69" i="20"/>
  <c r="AE68" i="20"/>
  <c r="AF68" i="20" s="1"/>
  <c r="BM29" i="25"/>
  <c r="BI32" i="25"/>
  <c r="BI14" i="25"/>
  <c r="AE93" i="20"/>
  <c r="AF93" i="20" s="1"/>
  <c r="AI82" i="20"/>
  <c r="AO82" i="20" s="1"/>
  <c r="AE53" i="20"/>
  <c r="AF53" i="20" s="1"/>
  <c r="AE49" i="20"/>
  <c r="AF49" i="20" s="1"/>
  <c r="AJ59" i="20"/>
  <c r="AH21" i="20"/>
  <c r="AG109" i="18"/>
  <c r="AO109" i="18" s="1"/>
  <c r="AF30" i="18"/>
  <c r="AJ82" i="20"/>
  <c r="AC82" i="18"/>
  <c r="AD82" i="18" s="1"/>
  <c r="AC50" i="18"/>
  <c r="AD50" i="18" s="1"/>
  <c r="AC42" i="18"/>
  <c r="AD42" i="18" s="1"/>
  <c r="AC104" i="18"/>
  <c r="AD104" i="18" s="1"/>
  <c r="AR17" i="19"/>
  <c r="AH103" i="19"/>
  <c r="AL103" i="19" s="1"/>
  <c r="AE86" i="20"/>
  <c r="AF86" i="20" s="1"/>
  <c r="AD25" i="19"/>
  <c r="AE25" i="19" s="1"/>
  <c r="AJ25" i="17"/>
  <c r="AH53" i="19"/>
  <c r="AL53" i="19" s="1"/>
  <c r="AD19" i="19"/>
  <c r="AE19" i="19" s="1"/>
  <c r="AF24" i="18"/>
  <c r="AJ90" i="20"/>
  <c r="AH111" i="19"/>
  <c r="AL111" i="19" s="1"/>
  <c r="AF16" i="18"/>
  <c r="BM18" i="25"/>
  <c r="AE88" i="20"/>
  <c r="AF88" i="20" s="1"/>
  <c r="AD99" i="19"/>
  <c r="AE99" i="19" s="1"/>
  <c r="AI110" i="20"/>
  <c r="AO110" i="20" s="1"/>
  <c r="AL110" i="20"/>
  <c r="AH86" i="20"/>
  <c r="AK91" i="20"/>
  <c r="AH72" i="20"/>
  <c r="AK72" i="20" s="1"/>
  <c r="AL58" i="20"/>
  <c r="AE74" i="20"/>
  <c r="AF74" i="20" s="1"/>
  <c r="AD27" i="19"/>
  <c r="AE27" i="19" s="1"/>
  <c r="AH35" i="18"/>
  <c r="AH29" i="18"/>
  <c r="AF26" i="18"/>
  <c r="AF18" i="18"/>
  <c r="AF39" i="18"/>
  <c r="AF35" i="18"/>
  <c r="AF29" i="18"/>
  <c r="AB83" i="8"/>
  <c r="AE108" i="20"/>
  <c r="AF108" i="20" s="1"/>
  <c r="BR40" i="25"/>
  <c r="AK108" i="20"/>
  <c r="AJ100" i="20"/>
  <c r="AK100" i="20" s="1"/>
  <c r="AI84" i="20"/>
  <c r="AO84" i="20" s="1"/>
  <c r="AE69" i="20"/>
  <c r="AF69" i="20" s="1"/>
  <c r="AE65" i="20"/>
  <c r="AF65" i="20" s="1"/>
  <c r="AE61" i="20"/>
  <c r="AF61" i="20" s="1"/>
  <c r="AE47" i="20"/>
  <c r="AF47" i="20" s="1"/>
  <c r="AE45" i="20"/>
  <c r="AF45" i="20" s="1"/>
  <c r="AH58" i="20"/>
  <c r="AJ58" i="20"/>
  <c r="AG104" i="19"/>
  <c r="AG100" i="19"/>
  <c r="AJ19" i="20"/>
  <c r="AI100" i="19"/>
  <c r="AD23" i="19"/>
  <c r="AE23" i="19" s="1"/>
  <c r="AI58" i="19"/>
  <c r="AJ58" i="19" s="1"/>
  <c r="AH51" i="19"/>
  <c r="AL51" i="19" s="1"/>
  <c r="AH43" i="19"/>
  <c r="AL43" i="19" s="1"/>
  <c r="AH58" i="19"/>
  <c r="AL58" i="19" s="1"/>
  <c r="AG47" i="19"/>
  <c r="AJ47" i="19" s="1"/>
  <c r="AG19" i="19"/>
  <c r="AJ19" i="19" s="1"/>
  <c r="AF43" i="18"/>
  <c r="AG43" i="18"/>
  <c r="AO43" i="18" s="1"/>
  <c r="AF28" i="18"/>
  <c r="AF20" i="18"/>
  <c r="AD80" i="19"/>
  <c r="AE80" i="19" s="1"/>
  <c r="AC98" i="18"/>
  <c r="AD98" i="18" s="1"/>
  <c r="BM28" i="25"/>
  <c r="AI100" i="20"/>
  <c r="AO100" i="20" s="1"/>
  <c r="AH93" i="20"/>
  <c r="AL100" i="20"/>
  <c r="AJ93" i="20"/>
  <c r="AK57" i="20"/>
  <c r="AK37" i="20"/>
  <c r="AE50" i="20"/>
  <c r="AF50" i="20" s="1"/>
  <c r="AH38" i="20"/>
  <c r="AK38" i="20" s="1"/>
  <c r="AI19" i="20"/>
  <c r="AO19" i="20" s="1"/>
  <c r="AG82" i="19"/>
  <c r="AH29" i="19"/>
  <c r="AL29" i="19" s="1"/>
  <c r="AF22" i="18"/>
  <c r="AG39" i="18"/>
  <c r="AO39" i="18" s="1"/>
  <c r="AH28" i="18"/>
  <c r="AE56" i="20"/>
  <c r="AF56" i="20" s="1"/>
  <c r="AD87" i="19"/>
  <c r="AE87" i="19" s="1"/>
  <c r="AC74" i="18"/>
  <c r="AD74" i="18" s="1"/>
  <c r="AH107" i="19"/>
  <c r="AL107" i="19" s="1"/>
  <c r="AH99" i="19"/>
  <c r="AL99" i="19" s="1"/>
  <c r="AH91" i="19"/>
  <c r="AL91" i="19" s="1"/>
  <c r="AH83" i="19"/>
  <c r="AL83" i="19" s="1"/>
  <c r="AD63" i="19"/>
  <c r="AE63" i="19" s="1"/>
  <c r="AF34" i="18"/>
  <c r="AH16" i="18"/>
  <c r="BM23" i="25"/>
  <c r="AF36" i="18"/>
  <c r="AG29" i="19"/>
  <c r="AJ29" i="19" s="1"/>
  <c r="AJ76" i="20"/>
  <c r="AD113" i="19"/>
  <c r="AE113" i="19" s="1"/>
  <c r="AD105" i="19"/>
  <c r="AE105" i="19" s="1"/>
  <c r="AD97" i="19"/>
  <c r="AE97" i="19" s="1"/>
  <c r="AD89" i="19"/>
  <c r="AE89" i="19" s="1"/>
  <c r="AH36" i="18"/>
  <c r="AI71" i="19"/>
  <c r="AJ71" i="19" s="1"/>
  <c r="AI27" i="18"/>
  <c r="AE64" i="20"/>
  <c r="AF64" i="20" s="1"/>
  <c r="AE114" i="20"/>
  <c r="AF114" i="20" s="1"/>
  <c r="AH95" i="20"/>
  <c r="AH79" i="19"/>
  <c r="AL79" i="19" s="1"/>
  <c r="AH69" i="19"/>
  <c r="AL69" i="19" s="1"/>
  <c r="AC112" i="18"/>
  <c r="AD112" i="18" s="1"/>
  <c r="AG106" i="18"/>
  <c r="AO106" i="18" s="1"/>
  <c r="AF40" i="18"/>
  <c r="AI21" i="18"/>
  <c r="AE66" i="20"/>
  <c r="AF66" i="20" s="1"/>
  <c r="AI109" i="20"/>
  <c r="AO109" i="20" s="1"/>
  <c r="AD117" i="19"/>
  <c r="AE117" i="19" s="1"/>
  <c r="AD109" i="19"/>
  <c r="AE109" i="19" s="1"/>
  <c r="AD101" i="19"/>
  <c r="AE101" i="19" s="1"/>
  <c r="AD93" i="19"/>
  <c r="AE93" i="19" s="1"/>
  <c r="AD85" i="19"/>
  <c r="AE85" i="19" s="1"/>
  <c r="AK42" i="20"/>
  <c r="AH71" i="19"/>
  <c r="AL71" i="19" s="1"/>
  <c r="AH49" i="19"/>
  <c r="AL49" i="19" s="1"/>
  <c r="AD31" i="19"/>
  <c r="AE31" i="19" s="1"/>
  <c r="AC106" i="18"/>
  <c r="AD106" i="18" s="1"/>
  <c r="AI23" i="18"/>
  <c r="AE112" i="20"/>
  <c r="AF112" i="20" s="1"/>
  <c r="AE106" i="20"/>
  <c r="AF106" i="20" s="1"/>
  <c r="AJ20" i="20"/>
  <c r="AH24" i="19"/>
  <c r="AL24" i="19" s="1"/>
  <c r="AH107" i="18"/>
  <c r="AH32" i="18"/>
  <c r="AD79" i="19"/>
  <c r="AE79" i="19" s="1"/>
  <c r="AD84" i="19"/>
  <c r="AE84" i="19" s="1"/>
  <c r="AC60" i="18"/>
  <c r="AD60" i="18" s="1"/>
  <c r="AH40" i="18"/>
  <c r="AH20" i="18"/>
  <c r="AD111" i="19"/>
  <c r="AE111" i="19" s="1"/>
  <c r="AD83" i="19"/>
  <c r="AE83" i="19" s="1"/>
  <c r="AE48" i="20"/>
  <c r="AF48" i="20" s="1"/>
  <c r="O192" i="23"/>
  <c r="AU22" i="16"/>
  <c r="AU12" i="16" s="1"/>
  <c r="AD107" i="19"/>
  <c r="AE107" i="19" s="1"/>
  <c r="AC92" i="18"/>
  <c r="AD92" i="18" s="1"/>
  <c r="AJ97" i="20"/>
  <c r="AK29" i="20"/>
  <c r="AJ67" i="19"/>
  <c r="AD56" i="19"/>
  <c r="AE56" i="19" s="1"/>
  <c r="AI45" i="19"/>
  <c r="AH104" i="18"/>
  <c r="AH102" i="18"/>
  <c r="AH100" i="18"/>
  <c r="AH98" i="18"/>
  <c r="AH96" i="18"/>
  <c r="AH92" i="18"/>
  <c r="AH90" i="18"/>
  <c r="AH88" i="18"/>
  <c r="AH86" i="18"/>
  <c r="AH84" i="18"/>
  <c r="AH82" i="18"/>
  <c r="AH80" i="18"/>
  <c r="AH78" i="18"/>
  <c r="AH76" i="18"/>
  <c r="AH74" i="18"/>
  <c r="AH72" i="18"/>
  <c r="AH70" i="18"/>
  <c r="AH68" i="18"/>
  <c r="AH66" i="18"/>
  <c r="AH64" i="18"/>
  <c r="AH62" i="18"/>
  <c r="AH60" i="18"/>
  <c r="AH58" i="18"/>
  <c r="AH24" i="18"/>
  <c r="AH43" i="18"/>
  <c r="BM42" i="25"/>
  <c r="AJ107" i="20"/>
  <c r="AJ80" i="20"/>
  <c r="AJ78" i="20"/>
  <c r="AJ105" i="20"/>
  <c r="AJ101" i="20"/>
  <c r="AK85" i="20"/>
  <c r="AI99" i="20"/>
  <c r="AO99" i="20" s="1"/>
  <c r="AH114" i="19"/>
  <c r="AL114" i="19" s="1"/>
  <c r="AI94" i="19"/>
  <c r="AJ94" i="19" s="1"/>
  <c r="AG81" i="19"/>
  <c r="AJ81" i="19" s="1"/>
  <c r="AH56" i="19"/>
  <c r="AL56" i="19" s="1"/>
  <c r="AH32" i="19"/>
  <c r="AL32" i="19" s="1"/>
  <c r="AG40" i="19"/>
  <c r="AJ40" i="19" s="1"/>
  <c r="AI69" i="19"/>
  <c r="AD48" i="19"/>
  <c r="AE48" i="19" s="1"/>
  <c r="AI37" i="19"/>
  <c r="AD20" i="19"/>
  <c r="AE20" i="19" s="1"/>
  <c r="AG105" i="18"/>
  <c r="AO105" i="18" s="1"/>
  <c r="AC103" i="18"/>
  <c r="AD103" i="18" s="1"/>
  <c r="AC95" i="18"/>
  <c r="AD95" i="18" s="1"/>
  <c r="AC87" i="18"/>
  <c r="AD87" i="18" s="1"/>
  <c r="AC79" i="18"/>
  <c r="AD79" i="18" s="1"/>
  <c r="AC71" i="18"/>
  <c r="AD71" i="18" s="1"/>
  <c r="AC63" i="18"/>
  <c r="AD63" i="18" s="1"/>
  <c r="BM17" i="25"/>
  <c r="AL86" i="20"/>
  <c r="AJ86" i="20"/>
  <c r="AL43" i="20"/>
  <c r="AH43" i="20"/>
  <c r="AE42" i="20"/>
  <c r="AF42" i="20" s="1"/>
  <c r="AD103" i="19"/>
  <c r="AE103" i="19" s="1"/>
  <c r="AI78" i="19"/>
  <c r="AJ78" i="19" s="1"/>
  <c r="AH90" i="19"/>
  <c r="AL90" i="19" s="1"/>
  <c r="AI86" i="19"/>
  <c r="AH52" i="19"/>
  <c r="AL52" i="19" s="1"/>
  <c r="AG48" i="19"/>
  <c r="AJ48" i="19" s="1"/>
  <c r="AC97" i="18"/>
  <c r="AD97" i="18" s="1"/>
  <c r="AC89" i="18"/>
  <c r="AD89" i="18" s="1"/>
  <c r="AC81" i="18"/>
  <c r="AD81" i="18" s="1"/>
  <c r="AC73" i="18"/>
  <c r="AD73" i="18" s="1"/>
  <c r="AC65" i="18"/>
  <c r="AD65" i="18" s="1"/>
  <c r="AC57" i="18"/>
  <c r="AD57" i="18" s="1"/>
  <c r="AC53" i="18"/>
  <c r="AD53" i="18" s="1"/>
  <c r="AE110" i="20"/>
  <c r="AF110" i="20" s="1"/>
  <c r="AL71" i="20"/>
  <c r="AI74" i="19"/>
  <c r="AJ74" i="19" s="1"/>
  <c r="AD95" i="19"/>
  <c r="AE95" i="19" s="1"/>
  <c r="AJ49" i="18"/>
  <c r="AH49" i="18"/>
  <c r="AJ73" i="20"/>
  <c r="AL73" i="20"/>
  <c r="AE17" i="20"/>
  <c r="AF17" i="20" s="1"/>
  <c r="AD116" i="19"/>
  <c r="AE116" i="19" s="1"/>
  <c r="AI115" i="20"/>
  <c r="AO115" i="20" s="1"/>
  <c r="AH105" i="20"/>
  <c r="AI80" i="20"/>
  <c r="AO80" i="20" s="1"/>
  <c r="AH111" i="20"/>
  <c r="AJ111" i="20"/>
  <c r="AH101" i="20"/>
  <c r="AK52" i="20"/>
  <c r="AI20" i="20"/>
  <c r="AO20" i="20" s="1"/>
  <c r="AH98" i="19"/>
  <c r="AL98" i="19" s="1"/>
  <c r="AH20" i="20"/>
  <c r="AI110" i="19"/>
  <c r="AJ110" i="19" s="1"/>
  <c r="AH81" i="19"/>
  <c r="AL81" i="19" s="1"/>
  <c r="AH48" i="19"/>
  <c r="AL48" i="19" s="1"/>
  <c r="AG56" i="19"/>
  <c r="AJ56" i="19" s="1"/>
  <c r="AC99" i="18"/>
  <c r="AD99" i="18" s="1"/>
  <c r="AC91" i="18"/>
  <c r="AD91" i="18" s="1"/>
  <c r="AC83" i="18"/>
  <c r="AD83" i="18" s="1"/>
  <c r="AC75" i="18"/>
  <c r="AD75" i="18" s="1"/>
  <c r="AC67" i="18"/>
  <c r="AD67" i="18" s="1"/>
  <c r="AC59" i="18"/>
  <c r="AD59" i="18" s="1"/>
  <c r="BM26" i="25"/>
  <c r="AL59" i="20"/>
  <c r="AD108" i="19"/>
  <c r="AE108" i="19" s="1"/>
  <c r="AH73" i="20"/>
  <c r="AI111" i="20"/>
  <c r="AO111" i="20" s="1"/>
  <c r="AK83" i="20"/>
  <c r="AE111" i="20"/>
  <c r="AF111" i="20" s="1"/>
  <c r="AK77" i="20"/>
  <c r="AH106" i="19"/>
  <c r="AL106" i="19" s="1"/>
  <c r="AK25" i="20"/>
  <c r="AI102" i="19"/>
  <c r="AJ102" i="19" s="1"/>
  <c r="AG77" i="19"/>
  <c r="AJ77" i="19" s="1"/>
  <c r="AH40" i="19"/>
  <c r="AL40" i="19" s="1"/>
  <c r="AH77" i="19"/>
  <c r="AL77" i="19" s="1"/>
  <c r="AD40" i="19"/>
  <c r="AE40" i="19" s="1"/>
  <c r="AC101" i="18"/>
  <c r="AD101" i="18" s="1"/>
  <c r="AC93" i="18"/>
  <c r="AD93" i="18" s="1"/>
  <c r="AC85" i="18"/>
  <c r="AD85" i="18" s="1"/>
  <c r="AC77" i="18"/>
  <c r="AD77" i="18" s="1"/>
  <c r="AC69" i="18"/>
  <c r="AD69" i="18" s="1"/>
  <c r="AC61" i="18"/>
  <c r="AD61" i="18" s="1"/>
  <c r="AC55" i="18"/>
  <c r="AD55" i="18" s="1"/>
  <c r="AL67" i="20"/>
  <c r="AH67" i="20"/>
  <c r="AK67" i="20" s="1"/>
  <c r="AE96" i="20"/>
  <c r="AF96" i="20" s="1"/>
  <c r="AE80" i="20"/>
  <c r="AF80" i="20" s="1"/>
  <c r="AH51" i="20"/>
  <c r="AK51" i="20" s="1"/>
  <c r="AL51" i="20"/>
  <c r="AH71" i="20"/>
  <c r="AH59" i="20"/>
  <c r="AD100" i="19"/>
  <c r="AE100" i="19" s="1"/>
  <c r="BE55" i="25"/>
  <c r="BI55" i="25" s="1"/>
  <c r="BI53" i="25"/>
  <c r="BL55" i="25"/>
  <c r="BP55" i="25" s="1"/>
  <c r="BP53" i="25"/>
  <c r="BP52" i="25"/>
  <c r="BD52" i="25"/>
  <c r="BJ50" i="25"/>
  <c r="AJ113" i="20"/>
  <c r="AL99" i="20"/>
  <c r="AH76" i="20"/>
  <c r="AL76" i="20"/>
  <c r="AE79" i="20"/>
  <c r="AF79" i="20" s="1"/>
  <c r="AH103" i="20"/>
  <c r="AE95" i="20"/>
  <c r="AF95" i="20" s="1"/>
  <c r="AI103" i="20"/>
  <c r="AO103" i="20" s="1"/>
  <c r="AE77" i="20"/>
  <c r="AF77" i="20" s="1"/>
  <c r="AJ18" i="20"/>
  <c r="AI34" i="20"/>
  <c r="AO34" i="20" s="1"/>
  <c r="AI30" i="20"/>
  <c r="AO30" i="20" s="1"/>
  <c r="AI22" i="20"/>
  <c r="AO22" i="20" s="1"/>
  <c r="AH34" i="20"/>
  <c r="AK31" i="20"/>
  <c r="AH26" i="20"/>
  <c r="AK23" i="20"/>
  <c r="AH18" i="20"/>
  <c r="AG114" i="19"/>
  <c r="AJ114" i="19" s="1"/>
  <c r="AJ112" i="19"/>
  <c r="AG106" i="19"/>
  <c r="AJ106" i="19" s="1"/>
  <c r="AJ104" i="19"/>
  <c r="AG98" i="19"/>
  <c r="AJ98" i="19" s="1"/>
  <c r="AJ96" i="19"/>
  <c r="AG90" i="19"/>
  <c r="AJ90" i="19" s="1"/>
  <c r="AJ88" i="19"/>
  <c r="AE32" i="20"/>
  <c r="AF32" i="20" s="1"/>
  <c r="AE28" i="20"/>
  <c r="AF28" i="20" s="1"/>
  <c r="AE24" i="20"/>
  <c r="AF24" i="20" s="1"/>
  <c r="AE20" i="20"/>
  <c r="AF20" i="20" s="1"/>
  <c r="AI82" i="19"/>
  <c r="AH75" i="19"/>
  <c r="AL75" i="19" s="1"/>
  <c r="AG75" i="19"/>
  <c r="AJ75" i="19" s="1"/>
  <c r="AD59" i="19"/>
  <c r="AE59" i="19" s="1"/>
  <c r="AD43" i="19"/>
  <c r="AE43" i="19" s="1"/>
  <c r="AD35" i="19"/>
  <c r="AE35" i="19" s="1"/>
  <c r="AG22" i="19"/>
  <c r="AG115" i="18"/>
  <c r="AO115" i="18" s="1"/>
  <c r="AG111" i="18"/>
  <c r="AO111" i="18" s="1"/>
  <c r="AD81" i="19"/>
  <c r="AE81" i="19" s="1"/>
  <c r="AJ70" i="19"/>
  <c r="AG64" i="19"/>
  <c r="AJ64" i="19" s="1"/>
  <c r="AG52" i="19"/>
  <c r="AG32" i="19"/>
  <c r="AJ32" i="19" s="1"/>
  <c r="AJ30" i="19"/>
  <c r="AG24" i="19"/>
  <c r="AJ24" i="19" s="1"/>
  <c r="AI22" i="19"/>
  <c r="AD77" i="19"/>
  <c r="AE77" i="19" s="1"/>
  <c r="AD68" i="19"/>
  <c r="AE68" i="19" s="1"/>
  <c r="AG61" i="19"/>
  <c r="AJ61" i="19" s="1"/>
  <c r="AD52" i="19"/>
  <c r="AE52" i="19" s="1"/>
  <c r="AG45" i="19"/>
  <c r="AD36" i="19"/>
  <c r="AE36" i="19" s="1"/>
  <c r="AD32" i="19"/>
  <c r="AE32" i="19" s="1"/>
  <c r="AD24" i="19"/>
  <c r="AE24" i="19" s="1"/>
  <c r="AH22" i="19"/>
  <c r="AL22" i="19" s="1"/>
  <c r="AJ109" i="18"/>
  <c r="AF109" i="18"/>
  <c r="AJ104" i="18"/>
  <c r="AF104" i="18"/>
  <c r="AJ102" i="18"/>
  <c r="AF102" i="18"/>
  <c r="AJ100" i="18"/>
  <c r="AF100" i="18"/>
  <c r="AJ98" i="18"/>
  <c r="AF98" i="18"/>
  <c r="AJ96" i="18"/>
  <c r="AF96" i="18"/>
  <c r="AJ94" i="18"/>
  <c r="AF94" i="18"/>
  <c r="AI94" i="18" s="1"/>
  <c r="AJ92" i="18"/>
  <c r="AF92" i="18"/>
  <c r="AJ90" i="18"/>
  <c r="AF90" i="18"/>
  <c r="AJ88" i="18"/>
  <c r="AF88" i="18"/>
  <c r="AJ86" i="18"/>
  <c r="AF86" i="18"/>
  <c r="AJ84" i="18"/>
  <c r="AF84" i="18"/>
  <c r="AJ82" i="18"/>
  <c r="AF82" i="18"/>
  <c r="AJ80" i="18"/>
  <c r="AF80" i="18"/>
  <c r="AJ78" i="18"/>
  <c r="AF78" i="18"/>
  <c r="AJ76" i="18"/>
  <c r="AF76" i="18"/>
  <c r="AJ74" i="18"/>
  <c r="AF74" i="18"/>
  <c r="AJ72" i="18"/>
  <c r="AF72" i="18"/>
  <c r="AJ70" i="18"/>
  <c r="AF70" i="18"/>
  <c r="AJ68" i="18"/>
  <c r="AF68" i="18"/>
  <c r="AJ66" i="18"/>
  <c r="AF66" i="18"/>
  <c r="AJ64" i="18"/>
  <c r="AF64" i="18"/>
  <c r="AJ62" i="18"/>
  <c r="AF62" i="18"/>
  <c r="AJ60" i="18"/>
  <c r="AF60" i="18"/>
  <c r="AJ58" i="18"/>
  <c r="AF58" i="18"/>
  <c r="AJ56" i="18"/>
  <c r="AF56" i="18"/>
  <c r="AI56" i="18" s="1"/>
  <c r="AJ54" i="18"/>
  <c r="AF54" i="18"/>
  <c r="AJ52" i="18"/>
  <c r="AF52" i="18"/>
  <c r="AI52" i="18" s="1"/>
  <c r="AJ50" i="18"/>
  <c r="AF50" i="18"/>
  <c r="AI50" i="18" s="1"/>
  <c r="AJ48" i="18"/>
  <c r="AF48" i="18"/>
  <c r="AI48" i="18" s="1"/>
  <c r="AJ46" i="18"/>
  <c r="AF46" i="18"/>
  <c r="AJ44" i="18"/>
  <c r="AF44" i="18"/>
  <c r="AI44" i="18" s="1"/>
  <c r="AJ42" i="18"/>
  <c r="AF42" i="18"/>
  <c r="AI42" i="18" s="1"/>
  <c r="AG104" i="18"/>
  <c r="AO104" i="18" s="1"/>
  <c r="AG100" i="18"/>
  <c r="AO100" i="18" s="1"/>
  <c r="AG96" i="18"/>
  <c r="AO96" i="18" s="1"/>
  <c r="AG92" i="18"/>
  <c r="AO92" i="18" s="1"/>
  <c r="AG88" i="18"/>
  <c r="AO88" i="18" s="1"/>
  <c r="AG84" i="18"/>
  <c r="AO84" i="18" s="1"/>
  <c r="AG80" i="18"/>
  <c r="AO80" i="18" s="1"/>
  <c r="AG76" i="18"/>
  <c r="AO76" i="18" s="1"/>
  <c r="AG72" i="18"/>
  <c r="AO72" i="18" s="1"/>
  <c r="AG68" i="18"/>
  <c r="AO68" i="18" s="1"/>
  <c r="AG64" i="18"/>
  <c r="AO64" i="18" s="1"/>
  <c r="AG60" i="18"/>
  <c r="AO60" i="18" s="1"/>
  <c r="AG56" i="18"/>
  <c r="AO56" i="18" s="1"/>
  <c r="AG52" i="18"/>
  <c r="AO52" i="18" s="1"/>
  <c r="AG48" i="18"/>
  <c r="AO48" i="18" s="1"/>
  <c r="AG44" i="18"/>
  <c r="AO44" i="18" s="1"/>
  <c r="AH106" i="18"/>
  <c r="AF105" i="18"/>
  <c r="AJ105" i="18"/>
  <c r="AC32" i="18"/>
  <c r="AD32" i="18" s="1"/>
  <c r="AC24" i="18"/>
  <c r="AD24" i="18" s="1"/>
  <c r="AC16" i="18"/>
  <c r="AD16" i="18" s="1"/>
  <c r="AH34" i="18"/>
  <c r="AH26" i="18"/>
  <c r="AH18" i="18"/>
  <c r="AG36" i="18"/>
  <c r="AO36" i="18" s="1"/>
  <c r="AG28" i="18"/>
  <c r="AO28" i="18" s="1"/>
  <c r="AG20" i="18"/>
  <c r="AO20" i="18" s="1"/>
  <c r="BO42" i="25"/>
  <c r="BO44" i="25" s="1"/>
  <c r="BF14" i="25"/>
  <c r="AL109" i="20"/>
  <c r="AH109" i="20"/>
  <c r="AL107" i="20"/>
  <c r="AI107" i="20"/>
  <c r="AO107" i="20" s="1"/>
  <c r="AL97" i="20"/>
  <c r="AI97" i="20"/>
  <c r="AO97" i="20" s="1"/>
  <c r="AK62" i="20"/>
  <c r="AI32" i="20"/>
  <c r="AO32" i="20" s="1"/>
  <c r="AI24" i="20"/>
  <c r="AO24" i="20" s="1"/>
  <c r="AH32" i="20"/>
  <c r="AH24" i="20"/>
  <c r="AD114" i="19"/>
  <c r="AE114" i="19" s="1"/>
  <c r="AD110" i="19"/>
  <c r="AE110" i="19" s="1"/>
  <c r="AD106" i="19"/>
  <c r="AE106" i="19" s="1"/>
  <c r="AD102" i="19"/>
  <c r="AE102" i="19" s="1"/>
  <c r="AD98" i="19"/>
  <c r="AE98" i="19" s="1"/>
  <c r="AD94" i="19"/>
  <c r="AE94" i="19" s="1"/>
  <c r="AD90" i="19"/>
  <c r="AE90" i="19" s="1"/>
  <c r="AD86" i="19"/>
  <c r="AE86" i="19" s="1"/>
  <c r="AJ86" i="19"/>
  <c r="AH64" i="19"/>
  <c r="AL64" i="19" s="1"/>
  <c r="AD74" i="19"/>
  <c r="AE74" i="19" s="1"/>
  <c r="AG60" i="19"/>
  <c r="AJ60" i="19" s="1"/>
  <c r="AD64" i="19"/>
  <c r="AE64" i="19" s="1"/>
  <c r="AG57" i="19"/>
  <c r="AJ57" i="19" s="1"/>
  <c r="AG41" i="19"/>
  <c r="AJ41" i="19" s="1"/>
  <c r="AJ111" i="18"/>
  <c r="AF111" i="18"/>
  <c r="AI111" i="18" s="1"/>
  <c r="AI44" i="19"/>
  <c r="AI52" i="19"/>
  <c r="AI20" i="19"/>
  <c r="AJ20" i="19" s="1"/>
  <c r="AC49" i="18"/>
  <c r="AD49" i="18" s="1"/>
  <c r="AC45" i="18"/>
  <c r="AD45" i="18" s="1"/>
  <c r="AF106" i="18"/>
  <c r="AC38" i="18"/>
  <c r="AD38" i="18" s="1"/>
  <c r="AC30" i="18"/>
  <c r="AD30" i="18" s="1"/>
  <c r="AC22" i="18"/>
  <c r="AD22" i="18" s="1"/>
  <c r="AG38" i="18"/>
  <c r="AO38" i="18" s="1"/>
  <c r="AG30" i="18"/>
  <c r="AO30" i="18" s="1"/>
  <c r="AG22" i="18"/>
  <c r="AO22" i="18" s="1"/>
  <c r="Y15" i="9"/>
  <c r="Y17" i="9" s="1"/>
  <c r="BH42" i="25"/>
  <c r="BN42" i="25"/>
  <c r="BK50" i="25"/>
  <c r="BJ32" i="25"/>
  <c r="BL32" i="25" s="1"/>
  <c r="BM32" i="25" s="1"/>
  <c r="BL14" i="25"/>
  <c r="BM14" i="25" s="1"/>
  <c r="BN43" i="25"/>
  <c r="BR43" i="25" s="1"/>
  <c r="BH43" i="25"/>
  <c r="AL115" i="20"/>
  <c r="AJ103" i="20"/>
  <c r="BR39" i="25"/>
  <c r="BN41" i="25"/>
  <c r="BR41" i="25" s="1"/>
  <c r="BP42" i="25"/>
  <c r="BP44" i="25" s="1"/>
  <c r="BM44" i="25"/>
  <c r="BF32" i="25"/>
  <c r="AE115" i="20"/>
  <c r="AF115" i="20" s="1"/>
  <c r="AJ115" i="20"/>
  <c r="AK115" i="20" s="1"/>
  <c r="AJ109" i="20"/>
  <c r="AH107" i="20"/>
  <c r="AJ99" i="20"/>
  <c r="AK99" i="20" s="1"/>
  <c r="AL80" i="20"/>
  <c r="AH80" i="20"/>
  <c r="AL78" i="20"/>
  <c r="AH78" i="20"/>
  <c r="AK116" i="20"/>
  <c r="AL105" i="20"/>
  <c r="AI105" i="20"/>
  <c r="AO105" i="20" s="1"/>
  <c r="AH97" i="20"/>
  <c r="AE81" i="20"/>
  <c r="AF81" i="20" s="1"/>
  <c r="AI76" i="20"/>
  <c r="AO76" i="20" s="1"/>
  <c r="AJ95" i="20"/>
  <c r="AI95" i="20"/>
  <c r="AO95" i="20" s="1"/>
  <c r="AJ34" i="20"/>
  <c r="AJ32" i="20"/>
  <c r="AJ30" i="20"/>
  <c r="AJ28" i="20"/>
  <c r="AJ26" i="20"/>
  <c r="AJ24" i="20"/>
  <c r="AJ22" i="20"/>
  <c r="AI26" i="20"/>
  <c r="AO26" i="20" s="1"/>
  <c r="AI18" i="20"/>
  <c r="AO18" i="20" s="1"/>
  <c r="AH110" i="19"/>
  <c r="AL110" i="19" s="1"/>
  <c r="AH102" i="19"/>
  <c r="AL102" i="19" s="1"/>
  <c r="AH94" i="19"/>
  <c r="AL94" i="19" s="1"/>
  <c r="AH86" i="19"/>
  <c r="AL86" i="19" s="1"/>
  <c r="AH30" i="20"/>
  <c r="AK27" i="20"/>
  <c r="AH22" i="20"/>
  <c r="AJ92" i="19"/>
  <c r="AJ84" i="19"/>
  <c r="AE34" i="20"/>
  <c r="AF34" i="20" s="1"/>
  <c r="AE30" i="20"/>
  <c r="AF30" i="20" s="1"/>
  <c r="AE26" i="20"/>
  <c r="AF26" i="20" s="1"/>
  <c r="AE22" i="20"/>
  <c r="AF22" i="20" s="1"/>
  <c r="AE18" i="20"/>
  <c r="AF18" i="20" s="1"/>
  <c r="AI115" i="19"/>
  <c r="AI87" i="19"/>
  <c r="AG79" i="19"/>
  <c r="AJ79" i="19" s="1"/>
  <c r="AD82" i="19"/>
  <c r="AE82" i="19" s="1"/>
  <c r="AH65" i="19"/>
  <c r="AL65" i="19" s="1"/>
  <c r="AC114" i="18"/>
  <c r="AD114" i="18" s="1"/>
  <c r="AC110" i="18"/>
  <c r="AD110" i="18" s="1"/>
  <c r="AC108" i="18"/>
  <c r="AD108" i="18" s="1"/>
  <c r="AH68" i="19"/>
  <c r="AL68" i="19" s="1"/>
  <c r="AG68" i="19"/>
  <c r="AJ68" i="19" s="1"/>
  <c r="AG44" i="19"/>
  <c r="AG36" i="19"/>
  <c r="AJ36" i="19" s="1"/>
  <c r="AJ34" i="19"/>
  <c r="AG28" i="19"/>
  <c r="AJ28" i="19" s="1"/>
  <c r="AJ26" i="19"/>
  <c r="AG69" i="19"/>
  <c r="AI65" i="19"/>
  <c r="AD60" i="19"/>
  <c r="AE60" i="19" s="1"/>
  <c r="AG53" i="19"/>
  <c r="AJ53" i="19" s="1"/>
  <c r="AD44" i="19"/>
  <c r="AE44" i="19" s="1"/>
  <c r="AG37" i="19"/>
  <c r="AJ37" i="19" s="1"/>
  <c r="AG25" i="19"/>
  <c r="AJ25" i="19" s="1"/>
  <c r="AJ113" i="18"/>
  <c r="AF113" i="18"/>
  <c r="AI113" i="18" s="1"/>
  <c r="AJ107" i="18"/>
  <c r="AF107" i="18"/>
  <c r="AG102" i="18"/>
  <c r="AO102" i="18" s="1"/>
  <c r="AG98" i="18"/>
  <c r="AO98" i="18" s="1"/>
  <c r="AG94" i="18"/>
  <c r="AO94" i="18" s="1"/>
  <c r="AG90" i="18"/>
  <c r="AO90" i="18" s="1"/>
  <c r="AG86" i="18"/>
  <c r="AO86" i="18" s="1"/>
  <c r="AG82" i="18"/>
  <c r="AO82" i="18" s="1"/>
  <c r="AG78" i="18"/>
  <c r="AO78" i="18" s="1"/>
  <c r="AG74" i="18"/>
  <c r="AO74" i="18" s="1"/>
  <c r="AG70" i="18"/>
  <c r="AO70" i="18" s="1"/>
  <c r="AG66" i="18"/>
  <c r="AO66" i="18" s="1"/>
  <c r="AG62" i="18"/>
  <c r="AO62" i="18" s="1"/>
  <c r="AG58" i="18"/>
  <c r="AO58" i="18" s="1"/>
  <c r="AG54" i="18"/>
  <c r="AO54" i="18" s="1"/>
  <c r="AG50" i="18"/>
  <c r="AO50" i="18" s="1"/>
  <c r="AG46" i="18"/>
  <c r="AO46" i="18" s="1"/>
  <c r="AG42" i="18"/>
  <c r="AO42" i="18" s="1"/>
  <c r="AC36" i="18"/>
  <c r="AD36" i="18" s="1"/>
  <c r="AC28" i="18"/>
  <c r="AD28" i="18" s="1"/>
  <c r="AC20" i="18"/>
  <c r="AD20" i="18" s="1"/>
  <c r="AH38" i="18"/>
  <c r="AH30" i="18"/>
  <c r="AH22" i="18"/>
  <c r="AG40" i="18"/>
  <c r="AO40" i="18" s="1"/>
  <c r="AG32" i="18"/>
  <c r="AO32" i="18" s="1"/>
  <c r="AG24" i="18"/>
  <c r="AO24" i="18" s="1"/>
  <c r="AG16" i="18"/>
  <c r="AO16" i="18" s="1"/>
  <c r="AO14" i="18" s="1"/>
  <c r="AO13" i="18" s="1"/>
  <c r="BQ42" i="25"/>
  <c r="BQ44" i="25" s="1"/>
  <c r="AH113" i="20"/>
  <c r="AL113" i="20"/>
  <c r="AE103" i="20"/>
  <c r="AF103" i="20" s="1"/>
  <c r="AK79" i="20"/>
  <c r="AI28" i="20"/>
  <c r="AO28" i="20" s="1"/>
  <c r="AH28" i="20"/>
  <c r="AG115" i="19"/>
  <c r="AG111" i="19"/>
  <c r="AJ111" i="19" s="1"/>
  <c r="AG107" i="19"/>
  <c r="AJ107" i="19" s="1"/>
  <c r="AG103" i="19"/>
  <c r="AJ103" i="19" s="1"/>
  <c r="AG99" i="19"/>
  <c r="AJ99" i="19" s="1"/>
  <c r="AG95" i="19"/>
  <c r="AJ95" i="19" s="1"/>
  <c r="AG91" i="19"/>
  <c r="AJ91" i="19" s="1"/>
  <c r="AG87" i="19"/>
  <c r="AG83" i="19"/>
  <c r="AJ83" i="19" s="1"/>
  <c r="AH60" i="19"/>
  <c r="AL60" i="19" s="1"/>
  <c r="AH36" i="19"/>
  <c r="AL36" i="19" s="1"/>
  <c r="AH28" i="19"/>
  <c r="AL28" i="19" s="1"/>
  <c r="AH20" i="19"/>
  <c r="AL20" i="19" s="1"/>
  <c r="AJ18" i="19"/>
  <c r="AN18" i="19" s="1"/>
  <c r="AN17" i="19" s="1"/>
  <c r="O17" i="21" s="1"/>
  <c r="AG65" i="19"/>
  <c r="AG49" i="19"/>
  <c r="AJ49" i="19" s="1"/>
  <c r="AD28" i="19"/>
  <c r="AE28" i="19" s="1"/>
  <c r="AJ115" i="18"/>
  <c r="AF115" i="18"/>
  <c r="AI115" i="18" s="1"/>
  <c r="AC51" i="18"/>
  <c r="AD51" i="18" s="1"/>
  <c r="AC47" i="18"/>
  <c r="AD47" i="18" s="1"/>
  <c r="AC43" i="18"/>
  <c r="AD43" i="18" s="1"/>
  <c r="AC40" i="18"/>
  <c r="AD40" i="18" s="1"/>
  <c r="AC34" i="18"/>
  <c r="AD34" i="18" s="1"/>
  <c r="AC26" i="18"/>
  <c r="AD26" i="18" s="1"/>
  <c r="AC18" i="18"/>
  <c r="AD18" i="18" s="1"/>
  <c r="AG34" i="18"/>
  <c r="AO34" i="18" s="1"/>
  <c r="AG26" i="18"/>
  <c r="AO26" i="18" s="1"/>
  <c r="AG18" i="18"/>
  <c r="AO18" i="18" s="1"/>
  <c r="Y27" i="9"/>
  <c r="Y29" i="9" s="1"/>
  <c r="AK90" i="20" l="1"/>
  <c r="AI71" i="18"/>
  <c r="AI41" i="18"/>
  <c r="AK33" i="20"/>
  <c r="AI61" i="18"/>
  <c r="AI57" i="18"/>
  <c r="BR42" i="25"/>
  <c r="AK87" i="20"/>
  <c r="AK81" i="20"/>
  <c r="AK76" i="20"/>
  <c r="AI54" i="18"/>
  <c r="AI46" i="18"/>
  <c r="AI109" i="18"/>
  <c r="AI49" i="18"/>
  <c r="AI103" i="18"/>
  <c r="AI33" i="18"/>
  <c r="AI45" i="18"/>
  <c r="AI37" i="18"/>
  <c r="AI63" i="18"/>
  <c r="AI112" i="18"/>
  <c r="AI105" i="18"/>
  <c r="AI39" i="18"/>
  <c r="AI31" i="18"/>
  <c r="AK54" i="20"/>
  <c r="AK82" i="20"/>
  <c r="AK63" i="20"/>
  <c r="AI77" i="18"/>
  <c r="AI69" i="18"/>
  <c r="AI99" i="18"/>
  <c r="AU43" i="16"/>
  <c r="AK19" i="20"/>
  <c r="AK112" i="20"/>
  <c r="AK60" i="20"/>
  <c r="AK40" i="20"/>
  <c r="AK71" i="20"/>
  <c r="AK48" i="20"/>
  <c r="AK86" i="20"/>
  <c r="AJ69" i="19"/>
  <c r="AJ45" i="19"/>
  <c r="AI93" i="18"/>
  <c r="AI75" i="18"/>
  <c r="AI47" i="18"/>
  <c r="AI101" i="18"/>
  <c r="AI53" i="18"/>
  <c r="AI91" i="18"/>
  <c r="AI16" i="18"/>
  <c r="AI89" i="18"/>
  <c r="AI64" i="18"/>
  <c r="AI72" i="18"/>
  <c r="AI80" i="18"/>
  <c r="AI88" i="18"/>
  <c r="AJ100" i="19"/>
  <c r="AI65" i="18"/>
  <c r="AI95" i="18"/>
  <c r="AI55" i="18"/>
  <c r="AI87" i="18"/>
  <c r="AI83" i="18"/>
  <c r="AI81" i="18"/>
  <c r="AI108" i="18"/>
  <c r="AI110" i="18"/>
  <c r="AI79" i="18"/>
  <c r="AI51" i="18"/>
  <c r="AI96" i="18"/>
  <c r="AI104" i="18"/>
  <c r="AI20" i="18"/>
  <c r="AI62" i="18"/>
  <c r="AI70" i="18"/>
  <c r="AI78" i="18"/>
  <c r="AI86" i="18"/>
  <c r="AI90" i="18"/>
  <c r="AI43" i="18"/>
  <c r="AK88" i="20"/>
  <c r="AK106" i="20"/>
  <c r="AK41" i="20"/>
  <c r="AK20" i="20"/>
  <c r="AI38" i="18"/>
  <c r="AI19" i="18"/>
  <c r="AI25" i="18"/>
  <c r="AK59" i="20"/>
  <c r="AK89" i="20"/>
  <c r="AK39" i="20"/>
  <c r="AK74" i="20"/>
  <c r="AK78" i="20"/>
  <c r="AK93" i="20"/>
  <c r="AK58" i="20"/>
  <c r="AK105" i="20"/>
  <c r="AK107" i="20"/>
  <c r="AK24" i="20"/>
  <c r="AK32" i="20"/>
  <c r="AK97" i="20"/>
  <c r="AK101" i="20"/>
  <c r="AK17" i="20"/>
  <c r="AJ82" i="19"/>
  <c r="AI58" i="18"/>
  <c r="AI74" i="18"/>
  <c r="AI24" i="18"/>
  <c r="AI32" i="18"/>
  <c r="AI98" i="18"/>
  <c r="AI40" i="18"/>
  <c r="AI36" i="18"/>
  <c r="AI107" i="18"/>
  <c r="AI26" i="18"/>
  <c r="AI66" i="18"/>
  <c r="AI82" i="18"/>
  <c r="AI100" i="18"/>
  <c r="AI28" i="18"/>
  <c r="AK26" i="20"/>
  <c r="AJ52" i="19"/>
  <c r="AI34" i="18"/>
  <c r="AK43" i="20"/>
  <c r="AK103" i="20"/>
  <c r="AK21" i="20"/>
  <c r="AK44" i="20"/>
  <c r="AI60" i="18"/>
  <c r="AI68" i="18"/>
  <c r="AI76" i="18"/>
  <c r="AI84" i="18"/>
  <c r="AI92" i="18"/>
  <c r="AI102" i="18"/>
  <c r="AK34" i="20"/>
  <c r="AK95" i="20"/>
  <c r="AI22" i="18"/>
  <c r="AK80" i="20"/>
  <c r="AI30" i="18"/>
  <c r="AK109" i="20"/>
  <c r="AI18" i="18"/>
  <c r="AI35" i="18"/>
  <c r="AI29" i="18"/>
  <c r="AK111" i="20"/>
  <c r="AL17" i="19"/>
  <c r="AJ22" i="19"/>
  <c r="AK73" i="20"/>
  <c r="AJ65" i="19"/>
  <c r="AI106" i="18"/>
  <c r="AK18" i="20"/>
  <c r="AK113" i="20"/>
  <c r="BK52" i="25"/>
  <c r="BQ50" i="25"/>
  <c r="BR50" i="25" s="1"/>
  <c r="AD18" i="9"/>
  <c r="AE18" i="9" s="1"/>
  <c r="AD22" i="9"/>
  <c r="AJ44" i="19"/>
  <c r="AJ87" i="19"/>
  <c r="AK28" i="20"/>
  <c r="BN44" i="25"/>
  <c r="BR44" i="25" s="1"/>
  <c r="BD54" i="25"/>
  <c r="BJ54" i="25" s="1"/>
  <c r="BJ52" i="25"/>
  <c r="BD53" i="25"/>
  <c r="AD21" i="9"/>
  <c r="AF21" i="9" s="1"/>
  <c r="AD17" i="9"/>
  <c r="AJ115" i="19"/>
  <c r="AK22" i="20"/>
  <c r="AK30" i="20"/>
  <c r="BH44" i="25"/>
  <c r="BD55" i="25" l="1"/>
  <c r="BJ55" i="25" s="1"/>
  <c r="BJ53" i="25"/>
  <c r="AD24" i="9"/>
  <c r="AD23" i="9" s="1"/>
  <c r="AF23" i="9" s="1"/>
  <c r="AF22" i="9" s="1"/>
  <c r="AE22" i="9" s="1"/>
  <c r="BK53" i="25"/>
  <c r="BK54" i="25"/>
  <c r="BQ54" i="25" s="1"/>
  <c r="BR54" i="25" s="1"/>
  <c r="BQ52" i="25"/>
  <c r="BR52" i="25" s="1"/>
  <c r="BK55" i="25" l="1"/>
  <c r="BQ53" i="25"/>
  <c r="BR53" i="25" s="1"/>
  <c r="BQ55" i="25" l="1"/>
  <c r="BR55"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梅津　幸子</author>
  </authors>
  <commentList>
    <comment ref="DG36" authorId="0" shapeId="0" xr:uid="{00000000-0006-0000-1900-000001000000}">
      <text>
        <r>
          <rPr>
            <b/>
            <sz val="9"/>
            <color indexed="81"/>
            <rFont val="MS P ゴシック"/>
            <family val="3"/>
            <charset val="128"/>
          </rPr>
          <t>米</t>
        </r>
      </text>
    </comment>
    <comment ref="DG37" authorId="0" shapeId="0" xr:uid="{00000000-0006-0000-1900-000002000000}">
      <text>
        <r>
          <rPr>
            <b/>
            <sz val="9"/>
            <color indexed="81"/>
            <rFont val="MS P ゴシック"/>
            <family val="3"/>
            <charset val="128"/>
          </rPr>
          <t>米</t>
        </r>
      </text>
    </comment>
    <comment ref="DG38" authorId="0" shapeId="0" xr:uid="{00000000-0006-0000-1900-000003000000}">
      <text>
        <r>
          <rPr>
            <b/>
            <sz val="9"/>
            <color indexed="81"/>
            <rFont val="MS P ゴシック"/>
            <family val="3"/>
            <charset val="128"/>
          </rPr>
          <t>麦類・そば・大豆・なたね</t>
        </r>
      </text>
    </comment>
  </commentList>
</comments>
</file>

<file path=xl/sharedStrings.xml><?xml version="1.0" encoding="utf-8"?>
<sst xmlns="http://schemas.openxmlformats.org/spreadsheetml/2006/main" count="2485" uniqueCount="1402">
  <si>
    <t>【職員記入欄】</t>
    <phoneticPr fontId="6"/>
  </si>
  <si>
    <t>次の指標を記入してください。</t>
    <rPh sb="0" eb="1">
      <t>ツギ</t>
    </rPh>
    <rPh sb="2" eb="4">
      <t>シヒョウ</t>
    </rPh>
    <rPh sb="5" eb="7">
      <t>キニュウ</t>
    </rPh>
    <phoneticPr fontId="6"/>
  </si>
  <si>
    <t>調査年産</t>
    <rPh sb="0" eb="2">
      <t>チョウサ</t>
    </rPh>
    <rPh sb="2" eb="3">
      <t>ネン</t>
    </rPh>
    <rPh sb="3" eb="4">
      <t>サン</t>
    </rPh>
    <phoneticPr fontId="6"/>
  </si>
  <si>
    <t>2015年農林業センサス　基本指標番号</t>
    <rPh sb="4" eb="5">
      <t>ネン</t>
    </rPh>
    <rPh sb="5" eb="8">
      <t>ノウリンギョウ</t>
    </rPh>
    <rPh sb="13" eb="15">
      <t>キホン</t>
    </rPh>
    <rPh sb="15" eb="17">
      <t>シヒョウ</t>
    </rPh>
    <rPh sb="17" eb="19">
      <t>バンゴウ</t>
    </rPh>
    <phoneticPr fontId="6"/>
  </si>
  <si>
    <t>都道府県</t>
    <rPh sb="0" eb="4">
      <t>トドウフケン</t>
    </rPh>
    <phoneticPr fontId="6"/>
  </si>
  <si>
    <t>市区町村</t>
    <rPh sb="0" eb="4">
      <t>シクチョウソン</t>
    </rPh>
    <phoneticPr fontId="6"/>
  </si>
  <si>
    <t>旧市区町村</t>
    <rPh sb="0" eb="1">
      <t>キュウ</t>
    </rPh>
    <rPh sb="1" eb="5">
      <t>シクチョウソン</t>
    </rPh>
    <phoneticPr fontId="6"/>
  </si>
  <si>
    <t>農業集落</t>
    <rPh sb="0" eb="2">
      <t>ノウギョウ</t>
    </rPh>
    <rPh sb="2" eb="4">
      <t>シュウラク</t>
    </rPh>
    <phoneticPr fontId="6"/>
  </si>
  <si>
    <t>調査区</t>
    <rPh sb="0" eb="3">
      <t>チョウサク</t>
    </rPh>
    <phoneticPr fontId="6"/>
  </si>
  <si>
    <t>客体番号</t>
    <rPh sb="0" eb="2">
      <t>キャクタイ</t>
    </rPh>
    <rPh sb="2" eb="4">
      <t>バンゴウ</t>
    </rPh>
    <phoneticPr fontId="6"/>
  </si>
  <si>
    <t>対象品目</t>
    <rPh sb="0" eb="2">
      <t>タイショウ</t>
    </rPh>
    <rPh sb="2" eb="4">
      <t>ヒンモク</t>
    </rPh>
    <phoneticPr fontId="6"/>
  </si>
  <si>
    <t>[78]六条大麦</t>
    <rPh sb="4" eb="6">
      <t>ロクジョウ</t>
    </rPh>
    <rPh sb="6" eb="8">
      <t>オオムギ</t>
    </rPh>
    <phoneticPr fontId="6"/>
  </si>
  <si>
    <t>調査区分</t>
    <rPh sb="0" eb="2">
      <t>チョウサ</t>
    </rPh>
    <rPh sb="2" eb="4">
      <t>クブン</t>
    </rPh>
    <phoneticPr fontId="6"/>
  </si>
  <si>
    <t>経営種類</t>
    <rPh sb="0" eb="2">
      <t>ケイエイ</t>
    </rPh>
    <rPh sb="2" eb="4">
      <t>シュルイ</t>
    </rPh>
    <phoneticPr fontId="6"/>
  </si>
  <si>
    <t>個別経営体</t>
    <rPh sb="0" eb="2">
      <t>コベツ</t>
    </rPh>
    <rPh sb="2" eb="4">
      <t>ケイエイ</t>
    </rPh>
    <rPh sb="4" eb="5">
      <t>タイ</t>
    </rPh>
    <phoneticPr fontId="6"/>
  </si>
  <si>
    <t>法人番号（13桁）</t>
    <rPh sb="0" eb="2">
      <t>ホウジン</t>
    </rPh>
    <rPh sb="2" eb="4">
      <t>バンゴウ</t>
    </rPh>
    <rPh sb="7" eb="8">
      <t>ケタ</t>
    </rPh>
    <phoneticPr fontId="6"/>
  </si>
  <si>
    <t>法人化年次</t>
    <rPh sb="0" eb="3">
      <t>ホウジンカ</t>
    </rPh>
    <rPh sb="3" eb="5">
      <t>ネンジ</t>
    </rPh>
    <phoneticPr fontId="6"/>
  </si>
  <si>
    <t>集落営農区分</t>
    <rPh sb="0" eb="2">
      <t>シュウラク</t>
    </rPh>
    <rPh sb="2" eb="4">
      <t>エイノウ</t>
    </rPh>
    <rPh sb="4" eb="6">
      <t>クブン</t>
    </rPh>
    <phoneticPr fontId="6"/>
  </si>
  <si>
    <t>組織形態区分</t>
    <rPh sb="0" eb="2">
      <t>ソシキ</t>
    </rPh>
    <rPh sb="2" eb="4">
      <t>ケイタイ</t>
    </rPh>
    <rPh sb="4" eb="6">
      <t>クブン</t>
    </rPh>
    <phoneticPr fontId="6"/>
  </si>
  <si>
    <t>別記様式第４号</t>
    <phoneticPr fontId="6"/>
  </si>
  <si>
    <t>秘</t>
    <rPh sb="0" eb="1">
      <t>ヒ</t>
    </rPh>
    <phoneticPr fontId="6"/>
  </si>
  <si>
    <t>農林水産省</t>
    <rPh sb="0" eb="2">
      <t>ノウリン</t>
    </rPh>
    <rPh sb="2" eb="5">
      <t>スイサンショウ</t>
    </rPh>
    <phoneticPr fontId="6"/>
  </si>
  <si>
    <t>農業経営統計調査</t>
    <phoneticPr fontId="6"/>
  </si>
  <si>
    <t>（個別経営体用）</t>
    <phoneticPr fontId="6"/>
  </si>
  <si>
    <t>【入力上の留意事項】</t>
    <phoneticPr fontId="6"/>
  </si>
  <si>
    <t>１．2019年産の六条大麦生産費について入力してください。</t>
    <phoneticPr fontId="6"/>
  </si>
  <si>
    <t>２．入力は、</t>
    <phoneticPr fontId="6"/>
  </si>
  <si>
    <t>（黄色）の欄、または</t>
    <rPh sb="1" eb="3">
      <t>キイロ</t>
    </rPh>
    <rPh sb="5" eb="6">
      <t>ラン</t>
    </rPh>
    <phoneticPr fontId="6"/>
  </si>
  <si>
    <t>（緑色）の欄です。</t>
    <phoneticPr fontId="6"/>
  </si>
  <si>
    <t>　　なお、光熱動力費等の内訳欄</t>
    <rPh sb="5" eb="7">
      <t>コウネツ</t>
    </rPh>
    <rPh sb="7" eb="10">
      <t>ドウリョクヒ</t>
    </rPh>
    <phoneticPr fontId="6"/>
  </si>
  <si>
    <t>（緑色）を利用して「計」の内訳を入力する場合は、「計」欄の入力は不要です。</t>
    <phoneticPr fontId="6"/>
  </si>
  <si>
    <t>３．選択項目は、[▼]が表示されますので、該当するものを選択してください。</t>
    <phoneticPr fontId="6"/>
  </si>
  <si>
    <t>【提出方法】</t>
    <rPh sb="1" eb="3">
      <t>テイシュツ</t>
    </rPh>
    <rPh sb="3" eb="5">
      <t>ホウホウ</t>
    </rPh>
    <phoneticPr fontId="6"/>
  </si>
  <si>
    <t>　オンラインシステムを利用する場合は、「経営統計調査オンラインシステム操作手順書」に従って調査票を提出してください。</t>
    <rPh sb="11" eb="13">
      <t>リヨウ</t>
    </rPh>
    <rPh sb="15" eb="17">
      <t>バアイ</t>
    </rPh>
    <rPh sb="20" eb="22">
      <t>ケイエイ</t>
    </rPh>
    <rPh sb="22" eb="24">
      <t>トウケイ</t>
    </rPh>
    <rPh sb="24" eb="26">
      <t>チョウサ</t>
    </rPh>
    <rPh sb="35" eb="37">
      <t>ソウサ</t>
    </rPh>
    <rPh sb="37" eb="40">
      <t>テジュンショ</t>
    </rPh>
    <rPh sb="42" eb="43">
      <t>シタガ</t>
    </rPh>
    <rPh sb="45" eb="48">
      <t>チョウサヒョウ</t>
    </rPh>
    <rPh sb="49" eb="51">
      <t>テイシュツ</t>
    </rPh>
    <phoneticPr fontId="6"/>
  </si>
  <si>
    <t>ご不明な点がございましたら、次のお問い合わせ先までご照会ください。</t>
    <phoneticPr fontId="6"/>
  </si>
  <si>
    <t>【問合わせ先】</t>
    <phoneticPr fontId="6"/>
  </si>
  <si>
    <t>2015センサス
番号</t>
    <rPh sb="9" eb="11">
      <t>バンゴウ</t>
    </rPh>
    <phoneticPr fontId="6"/>
  </si>
  <si>
    <t>　　調査にご協力いただき、ありがとうございます。</t>
    <rPh sb="2" eb="4">
      <t>チョウサ</t>
    </rPh>
    <rPh sb="6" eb="8">
      <t>キョウリョク</t>
    </rPh>
    <phoneticPr fontId="6"/>
  </si>
  <si>
    <t>　　調査票に記入いただく前に、以下についてお読みください。</t>
    <rPh sb="2" eb="5">
      <t>チョウサヒョウ</t>
    </rPh>
    <rPh sb="12" eb="13">
      <t>マエ</t>
    </rPh>
    <rPh sb="15" eb="17">
      <t>イカ</t>
    </rPh>
    <rPh sb="22" eb="23">
      <t>ヨ</t>
    </rPh>
    <phoneticPr fontId="6"/>
  </si>
  <si>
    <r>
      <t>　　この調査は、</t>
    </r>
    <r>
      <rPr>
        <u/>
        <sz val="14"/>
        <rFont val="ＭＳ 明朝"/>
        <family val="1"/>
        <charset val="128"/>
      </rPr>
      <t>「小麦、二条大麦、六条大麦及びはだか麦（※１）の生産コ</t>
    </r>
    <rPh sb="4" eb="6">
      <t>チョウサ</t>
    </rPh>
    <rPh sb="9" eb="11">
      <t>コムギ</t>
    </rPh>
    <rPh sb="12" eb="14">
      <t>ニジョウ</t>
    </rPh>
    <rPh sb="14" eb="16">
      <t>オオムギ</t>
    </rPh>
    <rPh sb="17" eb="19">
      <t>ロクジョウ</t>
    </rPh>
    <rPh sb="19" eb="21">
      <t>オオムギ</t>
    </rPh>
    <rPh sb="21" eb="22">
      <t>オヨ</t>
    </rPh>
    <rPh sb="26" eb="27">
      <t>ムギ</t>
    </rPh>
    <rPh sb="32" eb="34">
      <t>セイサン</t>
    </rPh>
    <phoneticPr fontId="6"/>
  </si>
  <si>
    <r>
      <t>　</t>
    </r>
    <r>
      <rPr>
        <u/>
        <sz val="14"/>
        <rFont val="ＭＳ 明朝"/>
        <family val="1"/>
        <charset val="128"/>
      </rPr>
      <t>スト」を把握する調査</t>
    </r>
    <r>
      <rPr>
        <sz val="14"/>
        <rFont val="ＭＳ 明朝"/>
        <family val="1"/>
        <charset val="128"/>
      </rPr>
      <t>です。</t>
    </r>
    <phoneticPr fontId="6"/>
  </si>
  <si>
    <t>　　調査票には、2019年産の小麦、二条大麦、六条大麦及びはだか麦のうち、</t>
    <phoneticPr fontId="6"/>
  </si>
  <si>
    <r>
      <t>　</t>
    </r>
    <r>
      <rPr>
        <u/>
        <sz val="14"/>
        <rFont val="ＭＳ 明朝"/>
        <family val="1"/>
        <charset val="128"/>
      </rPr>
      <t>対象品目の麦の生産（※２）のためにかかった経費や労働時間等</t>
    </r>
    <r>
      <rPr>
        <sz val="14"/>
        <rFont val="ＭＳ 明朝"/>
        <family val="1"/>
        <charset val="128"/>
      </rPr>
      <t>について記</t>
    </r>
    <rPh sb="1" eb="3">
      <t>タイショウ</t>
    </rPh>
    <rPh sb="3" eb="5">
      <t>ヒンモク</t>
    </rPh>
    <rPh sb="6" eb="7">
      <t>ムギ</t>
    </rPh>
    <rPh sb="34" eb="35">
      <t>キ</t>
    </rPh>
    <phoneticPr fontId="6"/>
  </si>
  <si>
    <t>　入をお願いします。</t>
    <rPh sb="1" eb="2">
      <t>ニュウ</t>
    </rPh>
    <rPh sb="4" eb="5">
      <t>ネガ</t>
    </rPh>
    <phoneticPr fontId="6"/>
  </si>
  <si>
    <t>※１　小麦、二条大麦、六条大麦及びはだか麦とは</t>
    <rPh sb="3" eb="5">
      <t>コムギ</t>
    </rPh>
    <rPh sb="6" eb="8">
      <t>ニジョウ</t>
    </rPh>
    <rPh sb="8" eb="10">
      <t>オオムギ</t>
    </rPh>
    <rPh sb="11" eb="13">
      <t>ロクジョウ</t>
    </rPh>
    <rPh sb="13" eb="15">
      <t>オオムギ</t>
    </rPh>
    <rPh sb="15" eb="16">
      <t>オヨ</t>
    </rPh>
    <rPh sb="20" eb="21">
      <t>ムギ</t>
    </rPh>
    <phoneticPr fontId="6"/>
  </si>
  <si>
    <t xml:space="preserve">  　食用だけでなく、種子用の麦も該当します。（青刈目的で</t>
    <rPh sb="24" eb="26">
      <t>アオガ</t>
    </rPh>
    <rPh sb="26" eb="28">
      <t>モクテキ</t>
    </rPh>
    <phoneticPr fontId="6"/>
  </si>
  <si>
    <t>　　栽培している麦は含みません。）</t>
    <rPh sb="2" eb="4">
      <t>サイバイ</t>
    </rPh>
    <rPh sb="8" eb="9">
      <t>ムギ</t>
    </rPh>
    <rPh sb="10" eb="11">
      <t>フク</t>
    </rPh>
    <phoneticPr fontId="6"/>
  </si>
  <si>
    <r>
      <t>　　　また、</t>
    </r>
    <r>
      <rPr>
        <u/>
        <sz val="14"/>
        <color indexed="8"/>
        <rFont val="ＭＳ 明朝"/>
        <family val="1"/>
        <charset val="128"/>
      </rPr>
      <t>二条大麦についてはビール麦も含みます</t>
    </r>
    <r>
      <rPr>
        <sz val="14"/>
        <color indexed="8"/>
        <rFont val="ＭＳ 明朝"/>
        <family val="1"/>
        <charset val="128"/>
      </rPr>
      <t>。</t>
    </r>
    <rPh sb="6" eb="8">
      <t>ニジョウ</t>
    </rPh>
    <rPh sb="8" eb="10">
      <t>オオムギ</t>
    </rPh>
    <rPh sb="18" eb="19">
      <t>ムギ</t>
    </rPh>
    <rPh sb="20" eb="21">
      <t>フク</t>
    </rPh>
    <phoneticPr fontId="6"/>
  </si>
  <si>
    <t>※２　この調査での対象品目の麦の生産とは　</t>
    <rPh sb="5" eb="7">
      <t>チョウサ</t>
    </rPh>
    <rPh sb="9" eb="11">
      <t>タイショウ</t>
    </rPh>
    <rPh sb="11" eb="13">
      <t>ヒンモク</t>
    </rPh>
    <rPh sb="14" eb="15">
      <t>ムギ</t>
    </rPh>
    <rPh sb="16" eb="18">
      <t>セイサン</t>
    </rPh>
    <phoneticPr fontId="6"/>
  </si>
  <si>
    <t>　　自家生産のことをいい、受託による生産は含みません。</t>
    <phoneticPr fontId="6"/>
  </si>
  <si>
    <t>　【調査票の記入方法（対象品目が小麦の場合の負担割合について）】</t>
    <rPh sb="2" eb="5">
      <t>チョウサヒョウ</t>
    </rPh>
    <rPh sb="8" eb="10">
      <t>ホウホウ</t>
    </rPh>
    <rPh sb="11" eb="13">
      <t>タイショウ</t>
    </rPh>
    <rPh sb="13" eb="15">
      <t>ヒンモク</t>
    </rPh>
    <rPh sb="16" eb="18">
      <t>コムギ</t>
    </rPh>
    <rPh sb="19" eb="21">
      <t>バアイ</t>
    </rPh>
    <rPh sb="22" eb="24">
      <t>フタン</t>
    </rPh>
    <rPh sb="24" eb="26">
      <t>ワリアイ</t>
    </rPh>
    <phoneticPr fontId="6"/>
  </si>
  <si>
    <t>　　小麦を含めた複数の作物を作付けしている場合には、資材代金や料金等か　</t>
    <rPh sb="2" eb="4">
      <t>コムギ</t>
    </rPh>
    <rPh sb="5" eb="6">
      <t>フク</t>
    </rPh>
    <rPh sb="8" eb="10">
      <t>フクスウ</t>
    </rPh>
    <rPh sb="11" eb="13">
      <t>サクモツ</t>
    </rPh>
    <rPh sb="14" eb="16">
      <t>サクツ</t>
    </rPh>
    <rPh sb="21" eb="23">
      <t>バアイ</t>
    </rPh>
    <rPh sb="26" eb="28">
      <t>シザイ</t>
    </rPh>
    <rPh sb="28" eb="30">
      <t>ダイキン</t>
    </rPh>
    <rPh sb="31" eb="33">
      <t>リョウキン</t>
    </rPh>
    <rPh sb="33" eb="34">
      <t>トウ</t>
    </rPh>
    <phoneticPr fontId="6"/>
  </si>
  <si>
    <t>　ら小麦負担分の経費を分けて記入していただく必要があります。</t>
    <rPh sb="2" eb="4">
      <t>コムギ</t>
    </rPh>
    <rPh sb="22" eb="24">
      <t>ヒツヨウ</t>
    </rPh>
    <phoneticPr fontId="6"/>
  </si>
  <si>
    <t xml:space="preserve">  　小麦と水稲を作付けしている経営体を例に、記入方法を説明します。</t>
    <rPh sb="3" eb="5">
      <t>コムギ</t>
    </rPh>
    <rPh sb="6" eb="8">
      <t>スイトウ</t>
    </rPh>
    <rPh sb="9" eb="11">
      <t>サクツ</t>
    </rPh>
    <rPh sb="16" eb="19">
      <t>ケイエイタイ</t>
    </rPh>
    <rPh sb="20" eb="21">
      <t>レイ</t>
    </rPh>
    <phoneticPr fontId="6"/>
  </si>
  <si>
    <t>　（記入例）</t>
    <rPh sb="4" eb="5">
      <t>レイ</t>
    </rPh>
    <phoneticPr fontId="6"/>
  </si>
  <si>
    <t>　　「10万円」で購入した肥料「1,000㎏」を、小麦「２ha」、水稲「８ha」</t>
    <rPh sb="5" eb="7">
      <t>マンエン</t>
    </rPh>
    <rPh sb="9" eb="11">
      <t>コウニュウ</t>
    </rPh>
    <rPh sb="13" eb="15">
      <t>ヒリョウ</t>
    </rPh>
    <rPh sb="25" eb="27">
      <t>コムギ</t>
    </rPh>
    <rPh sb="33" eb="35">
      <t>スイトウ</t>
    </rPh>
    <phoneticPr fontId="6"/>
  </si>
  <si>
    <t>　の作付地に施肥した場合</t>
    <rPh sb="2" eb="4">
      <t>サクツ</t>
    </rPh>
    <rPh sb="4" eb="5">
      <t>チ</t>
    </rPh>
    <rPh sb="6" eb="8">
      <t>セヒ</t>
    </rPh>
    <rPh sb="10" eb="12">
      <t>バアイ</t>
    </rPh>
    <phoneticPr fontId="6"/>
  </si>
  <si>
    <t>例１　小麦に施肥した数量、金額を記入する方法</t>
    <rPh sb="0" eb="1">
      <t>レイ</t>
    </rPh>
    <rPh sb="3" eb="5">
      <t>コムギ</t>
    </rPh>
    <rPh sb="6" eb="8">
      <t>セヒ</t>
    </rPh>
    <rPh sb="10" eb="12">
      <t>スウリョウ</t>
    </rPh>
    <rPh sb="13" eb="15">
      <t>キンガク</t>
    </rPh>
    <rPh sb="20" eb="22">
      <t>ホウホウ</t>
    </rPh>
    <phoneticPr fontId="6"/>
  </si>
  <si>
    <t>区分</t>
    <rPh sb="0" eb="2">
      <t>クブン</t>
    </rPh>
    <phoneticPr fontId="6"/>
  </si>
  <si>
    <t>数　量（㎏）</t>
    <rPh sb="0" eb="1">
      <t>カズ</t>
    </rPh>
    <rPh sb="2" eb="3">
      <t>リョウ</t>
    </rPh>
    <phoneticPr fontId="6"/>
  </si>
  <si>
    <t>金　 額 （円）</t>
    <rPh sb="0" eb="1">
      <t>キン</t>
    </rPh>
    <rPh sb="3" eb="4">
      <t>ガク</t>
    </rPh>
    <rPh sb="6" eb="7">
      <t>エン</t>
    </rPh>
    <phoneticPr fontId="6"/>
  </si>
  <si>
    <t>対象品目
負担割合（％）</t>
    <rPh sb="0" eb="2">
      <t>タイショウ</t>
    </rPh>
    <rPh sb="2" eb="4">
      <t>ヒンモク</t>
    </rPh>
    <rPh sb="5" eb="7">
      <t>フタン</t>
    </rPh>
    <rPh sb="7" eb="9">
      <t>ワリアイ</t>
    </rPh>
    <phoneticPr fontId="6"/>
  </si>
  <si>
    <t>肥料（購入）計</t>
    <rPh sb="0" eb="2">
      <t>ヒリョウ</t>
    </rPh>
    <rPh sb="3" eb="5">
      <t>コウニュウ</t>
    </rPh>
    <rPh sb="6" eb="7">
      <t>ケイ</t>
    </rPh>
    <phoneticPr fontId="6"/>
  </si>
  <si>
    <t>200</t>
    <phoneticPr fontId="6"/>
  </si>
  <si>
    <t>100</t>
    <phoneticPr fontId="6"/>
  </si>
  <si>
    <t>例２　小麦、水稲に施肥した数量、金額の合計を記入する方法</t>
    <rPh sb="0" eb="1">
      <t>レイ</t>
    </rPh>
    <rPh sb="3" eb="5">
      <t>コムギ</t>
    </rPh>
    <rPh sb="6" eb="8">
      <t>スイトウ</t>
    </rPh>
    <rPh sb="9" eb="11">
      <t>セヒ</t>
    </rPh>
    <rPh sb="13" eb="15">
      <t>スウリョウ</t>
    </rPh>
    <rPh sb="16" eb="18">
      <t>キンガク</t>
    </rPh>
    <rPh sb="19" eb="21">
      <t>ゴウケイ</t>
    </rPh>
    <rPh sb="26" eb="28">
      <t>ホウホウ</t>
    </rPh>
    <phoneticPr fontId="6"/>
  </si>
  <si>
    <t xml:space="preserve">  　　小麦と水稲の作付面積割合「２：８」を目安に小麦負担割合を</t>
    <rPh sb="4" eb="6">
      <t>コムギ</t>
    </rPh>
    <rPh sb="7" eb="9">
      <t>スイトウ</t>
    </rPh>
    <rPh sb="25" eb="27">
      <t>コムギ</t>
    </rPh>
    <rPh sb="27" eb="29">
      <t>フタン</t>
    </rPh>
    <rPh sb="29" eb="31">
      <t>ワリアイ</t>
    </rPh>
    <phoneticPr fontId="6"/>
  </si>
  <si>
    <t>　  「２０％」と記入してください。</t>
  </si>
  <si>
    <t>20</t>
    <phoneticPr fontId="6"/>
  </si>
  <si>
    <t xml:space="preserve"> 【対象品目が小麦の場合の負担割合設定方法】</t>
    <rPh sb="2" eb="4">
      <t>タイショウ</t>
    </rPh>
    <rPh sb="4" eb="6">
      <t>ヒンモク</t>
    </rPh>
    <rPh sb="7" eb="9">
      <t>コムギ</t>
    </rPh>
    <rPh sb="10" eb="12">
      <t>バアイ</t>
    </rPh>
    <rPh sb="13" eb="15">
      <t>フタン</t>
    </rPh>
    <rPh sb="15" eb="17">
      <t>ワリアイ</t>
    </rPh>
    <rPh sb="17" eb="19">
      <t>セッテイ</t>
    </rPh>
    <rPh sb="19" eb="21">
      <t>ホウホウ</t>
    </rPh>
    <phoneticPr fontId="6"/>
  </si>
  <si>
    <t>小麦を含めた複数の作物を作付けしている場合の小麦負担割合を設定する</t>
    <rPh sb="0" eb="2">
      <t>コムギ</t>
    </rPh>
    <rPh sb="3" eb="4">
      <t>フク</t>
    </rPh>
    <rPh sb="6" eb="8">
      <t>フクスウ</t>
    </rPh>
    <rPh sb="9" eb="11">
      <t>サクモツ</t>
    </rPh>
    <rPh sb="12" eb="14">
      <t>サクツ</t>
    </rPh>
    <rPh sb="19" eb="21">
      <t>バアイ</t>
    </rPh>
    <rPh sb="22" eb="24">
      <t>コムギ</t>
    </rPh>
    <rPh sb="24" eb="26">
      <t>フタン</t>
    </rPh>
    <rPh sb="26" eb="28">
      <t>ワリアイ</t>
    </rPh>
    <rPh sb="29" eb="31">
      <t>セッテイ</t>
    </rPh>
    <phoneticPr fontId="6"/>
  </si>
  <si>
    <t>方法について説明します。</t>
    <rPh sb="0" eb="2">
      <t>ホウホウ</t>
    </rPh>
    <rPh sb="6" eb="8">
      <t>セツメイ</t>
    </rPh>
    <phoneticPr fontId="6"/>
  </si>
  <si>
    <t>（１）倉庫（建物）の場合</t>
    <rPh sb="3" eb="5">
      <t>ソウコ</t>
    </rPh>
    <rPh sb="6" eb="8">
      <t>タテモノ</t>
    </rPh>
    <rPh sb="10" eb="12">
      <t>バアイ</t>
    </rPh>
    <phoneticPr fontId="6"/>
  </si>
  <si>
    <t>倉庫の全面積のうち、小麦生産のために使用した面積の割合を「小麦負</t>
    <rPh sb="0" eb="2">
      <t>ソウコ</t>
    </rPh>
    <rPh sb="3" eb="4">
      <t>ゼン</t>
    </rPh>
    <rPh sb="4" eb="6">
      <t>メンセキ</t>
    </rPh>
    <rPh sb="10" eb="12">
      <t>コムギ</t>
    </rPh>
    <rPh sb="12" eb="14">
      <t>セイサン</t>
    </rPh>
    <rPh sb="18" eb="19">
      <t>ツカ</t>
    </rPh>
    <rPh sb="19" eb="20">
      <t>ヨウ</t>
    </rPh>
    <rPh sb="22" eb="24">
      <t>メンセキ</t>
    </rPh>
    <rPh sb="25" eb="27">
      <t>ワリアイ</t>
    </rPh>
    <rPh sb="29" eb="31">
      <t>コムギ</t>
    </rPh>
    <rPh sb="31" eb="32">
      <t>フ</t>
    </rPh>
    <phoneticPr fontId="6"/>
  </si>
  <si>
    <t>担割合」とします。</t>
    <phoneticPr fontId="6"/>
  </si>
  <si>
    <t>小麦負担割合 ＝</t>
    <rPh sb="0" eb="2">
      <t>コムギ</t>
    </rPh>
    <rPh sb="2" eb="4">
      <t>フタン</t>
    </rPh>
    <rPh sb="4" eb="6">
      <t>ワリアイ</t>
    </rPh>
    <phoneticPr fontId="6"/>
  </si>
  <si>
    <t>小麦に使用した倉庫の面積</t>
    <rPh sb="0" eb="2">
      <t>コムギ</t>
    </rPh>
    <rPh sb="3" eb="5">
      <t>シヨウ</t>
    </rPh>
    <rPh sb="7" eb="9">
      <t>ソウコ</t>
    </rPh>
    <rPh sb="10" eb="12">
      <t>メンセキ</t>
    </rPh>
    <phoneticPr fontId="6"/>
  </si>
  <si>
    <t>×100</t>
    <phoneticPr fontId="6"/>
  </si>
  <si>
    <t>倉庫の全面積</t>
    <rPh sb="0" eb="2">
      <t>ソウコ</t>
    </rPh>
    <rPh sb="3" eb="4">
      <t>ゼン</t>
    </rPh>
    <rPh sb="4" eb="6">
      <t>メンセキ</t>
    </rPh>
    <phoneticPr fontId="6"/>
  </si>
  <si>
    <t>○倉庫（300㎡）の負担割合のイメージ図</t>
    <rPh sb="1" eb="3">
      <t>ソウコ</t>
    </rPh>
    <rPh sb="10" eb="12">
      <t>フタン</t>
    </rPh>
    <rPh sb="12" eb="14">
      <t>ワリアイ</t>
    </rPh>
    <rPh sb="19" eb="20">
      <t>ズ</t>
    </rPh>
    <phoneticPr fontId="6"/>
  </si>
  <si>
    <t>倉庫全体（300㎡）</t>
    <rPh sb="0" eb="2">
      <t>ソウコ</t>
    </rPh>
    <rPh sb="2" eb="4">
      <t>ゼンタイ</t>
    </rPh>
    <phoneticPr fontId="6"/>
  </si>
  <si>
    <t>小麦に使用
(210㎡)</t>
    <rPh sb="0" eb="2">
      <t>コムギ</t>
    </rPh>
    <rPh sb="3" eb="5">
      <t>シヨウ</t>
    </rPh>
    <phoneticPr fontId="6"/>
  </si>
  <si>
    <t>小麦以外に使用
(90㎡)</t>
    <rPh sb="0" eb="2">
      <t>コムギ</t>
    </rPh>
    <rPh sb="2" eb="4">
      <t>イガイ</t>
    </rPh>
    <rPh sb="5" eb="7">
      <t>シヨウ</t>
    </rPh>
    <phoneticPr fontId="6"/>
  </si>
  <si>
    <r>
      <t>小麦負担割合：</t>
    </r>
    <r>
      <rPr>
        <sz val="14"/>
        <color indexed="10"/>
        <rFont val="ＭＳ 明朝"/>
        <family val="1"/>
        <charset val="128"/>
      </rPr>
      <t>７０％</t>
    </r>
    <rPh sb="0" eb="2">
      <t>コムギ</t>
    </rPh>
    <rPh sb="2" eb="4">
      <t>フタン</t>
    </rPh>
    <rPh sb="4" eb="6">
      <t>ワリアイ</t>
    </rPh>
    <phoneticPr fontId="6"/>
  </si>
  <si>
    <t>（２）農機具（トラクター）の場合</t>
    <rPh sb="3" eb="6">
      <t>ノウキグ</t>
    </rPh>
    <rPh sb="14" eb="16">
      <t>バアイ</t>
    </rPh>
    <phoneticPr fontId="6"/>
  </si>
  <si>
    <t>トラクターの全使用時間のうち、小麦生産のために使用した時間の割合</t>
    <rPh sb="6" eb="7">
      <t>ゼン</t>
    </rPh>
    <rPh sb="7" eb="9">
      <t>シヨウ</t>
    </rPh>
    <rPh sb="9" eb="11">
      <t>ジカン</t>
    </rPh>
    <rPh sb="15" eb="17">
      <t>コムギ</t>
    </rPh>
    <rPh sb="17" eb="19">
      <t>セイサン</t>
    </rPh>
    <rPh sb="23" eb="25">
      <t>シヨウ</t>
    </rPh>
    <rPh sb="27" eb="29">
      <t>ジカン</t>
    </rPh>
    <rPh sb="30" eb="32">
      <t>ワリアイ</t>
    </rPh>
    <phoneticPr fontId="6"/>
  </si>
  <si>
    <t>を「小麦負担割合」とします。</t>
    <rPh sb="5" eb="6">
      <t>カツ</t>
    </rPh>
    <rPh sb="6" eb="8">
      <t>ワリアイ</t>
    </rPh>
    <phoneticPr fontId="6"/>
  </si>
  <si>
    <t>小麦に使用したトラクターの使用時間</t>
    <rPh sb="0" eb="2">
      <t>コムギ</t>
    </rPh>
    <rPh sb="3" eb="5">
      <t>シヨウ</t>
    </rPh>
    <rPh sb="13" eb="16">
      <t>シヨウジ</t>
    </rPh>
    <rPh sb="16" eb="17">
      <t>カン</t>
    </rPh>
    <phoneticPr fontId="6"/>
  </si>
  <si>
    <t>×100</t>
    <phoneticPr fontId="6"/>
  </si>
  <si>
    <t>トラクターの全使用時間</t>
    <rPh sb="6" eb="7">
      <t>ゼン</t>
    </rPh>
    <rPh sb="7" eb="9">
      <t>シヨウ</t>
    </rPh>
    <rPh sb="9" eb="11">
      <t>ジカン</t>
    </rPh>
    <phoneticPr fontId="6"/>
  </si>
  <si>
    <t>調　　査　　事　　項</t>
    <rPh sb="0" eb="1">
      <t>チョウ</t>
    </rPh>
    <rPh sb="3" eb="4">
      <t>サ</t>
    </rPh>
    <rPh sb="6" eb="7">
      <t>コト</t>
    </rPh>
    <rPh sb="9" eb="10">
      <t>コウ</t>
    </rPh>
    <phoneticPr fontId="6"/>
  </si>
  <si>
    <t>【１】　経営の概況</t>
    <rPh sb="4" eb="6">
      <t>ケイエイ</t>
    </rPh>
    <rPh sb="7" eb="9">
      <t>ガイキョウ</t>
    </rPh>
    <phoneticPr fontId="6"/>
  </si>
  <si>
    <t>　　　　経営している耕地の状況、世帯員や農業就業者の人数、直近５か年の10ａ当たり収</t>
    <rPh sb="4" eb="6">
      <t>ケイエイ</t>
    </rPh>
    <rPh sb="10" eb="12">
      <t>コウチ</t>
    </rPh>
    <rPh sb="13" eb="15">
      <t>ジョウキョウ</t>
    </rPh>
    <rPh sb="16" eb="19">
      <t>セタイイン</t>
    </rPh>
    <rPh sb="20" eb="22">
      <t>ノウギョウ</t>
    </rPh>
    <rPh sb="22" eb="25">
      <t>シュウギョウシャ</t>
    </rPh>
    <rPh sb="26" eb="28">
      <t>ニンズウ</t>
    </rPh>
    <rPh sb="29" eb="31">
      <t>チョッキン</t>
    </rPh>
    <rPh sb="33" eb="34">
      <t>ネン</t>
    </rPh>
    <rPh sb="38" eb="39">
      <t>ア</t>
    </rPh>
    <rPh sb="41" eb="42">
      <t>オサム</t>
    </rPh>
    <phoneticPr fontId="6"/>
  </si>
  <si>
    <t>　　　量、品種別作付面積等について記入してください。</t>
    <rPh sb="3" eb="4">
      <t>リョウ</t>
    </rPh>
    <rPh sb="5" eb="7">
      <t>ヒンシュ</t>
    </rPh>
    <rPh sb="7" eb="8">
      <t>ベツ</t>
    </rPh>
    <rPh sb="8" eb="10">
      <t>サクツケ</t>
    </rPh>
    <rPh sb="10" eb="12">
      <t>メンセキ</t>
    </rPh>
    <rPh sb="12" eb="13">
      <t>トウ</t>
    </rPh>
    <phoneticPr fontId="6"/>
  </si>
  <si>
    <t>【２】　生産物の販売等の状況</t>
    <rPh sb="4" eb="7">
      <t>セイサンブツ</t>
    </rPh>
    <rPh sb="8" eb="10">
      <t>ハンバイ</t>
    </rPh>
    <rPh sb="10" eb="11">
      <t>トウ</t>
    </rPh>
    <rPh sb="12" eb="14">
      <t>ジョウキョウ</t>
    </rPh>
    <phoneticPr fontId="6"/>
  </si>
  <si>
    <t>　　　　生産物の販売状況等について記入してください。</t>
    <rPh sb="4" eb="7">
      <t>セイサンブツ</t>
    </rPh>
    <rPh sb="8" eb="10">
      <t>ハンバイ</t>
    </rPh>
    <rPh sb="10" eb="12">
      <t>ジョウキョウ</t>
    </rPh>
    <rPh sb="12" eb="13">
      <t>トウ</t>
    </rPh>
    <phoneticPr fontId="6"/>
  </si>
  <si>
    <t>【３】　対象品目の生産のために使用した資材等</t>
    <rPh sb="4" eb="6">
      <t>タイショウ</t>
    </rPh>
    <rPh sb="6" eb="8">
      <t>ヒンモク</t>
    </rPh>
    <rPh sb="9" eb="11">
      <t>セイサン</t>
    </rPh>
    <rPh sb="15" eb="17">
      <t>シヨウ</t>
    </rPh>
    <rPh sb="19" eb="21">
      <t>シザイ</t>
    </rPh>
    <rPh sb="21" eb="22">
      <t>トウ</t>
    </rPh>
    <phoneticPr fontId="6"/>
  </si>
  <si>
    <t>　　　　種苗費、肥料費等の資材、軽油、ガソリン、電力料等の光熱動力費、農機具借料、</t>
    <rPh sb="4" eb="6">
      <t>シュビョウ</t>
    </rPh>
    <rPh sb="6" eb="7">
      <t>ヒ</t>
    </rPh>
    <rPh sb="8" eb="10">
      <t>ヒリョウ</t>
    </rPh>
    <rPh sb="10" eb="11">
      <t>ヒ</t>
    </rPh>
    <rPh sb="11" eb="12">
      <t>トウ</t>
    </rPh>
    <rPh sb="13" eb="15">
      <t>シザイ</t>
    </rPh>
    <rPh sb="16" eb="18">
      <t>ケイユ</t>
    </rPh>
    <rPh sb="24" eb="26">
      <t>デンリョク</t>
    </rPh>
    <rPh sb="26" eb="27">
      <t>リョウ</t>
    </rPh>
    <rPh sb="27" eb="28">
      <t>トウ</t>
    </rPh>
    <rPh sb="29" eb="30">
      <t>ヒカリ</t>
    </rPh>
    <phoneticPr fontId="6"/>
  </si>
  <si>
    <t>　　　航空防除賃等の賃借料・料金等について記入してください。</t>
    <rPh sb="3" eb="5">
      <t>コウクウ</t>
    </rPh>
    <rPh sb="5" eb="7">
      <t>ボウジョ</t>
    </rPh>
    <rPh sb="7" eb="8">
      <t>チン</t>
    </rPh>
    <phoneticPr fontId="6"/>
  </si>
  <si>
    <t>【４】　物件税及び公課諸負担</t>
    <rPh sb="4" eb="6">
      <t>ブッケン</t>
    </rPh>
    <rPh sb="6" eb="7">
      <t>ゼイ</t>
    </rPh>
    <rPh sb="7" eb="8">
      <t>オヨ</t>
    </rPh>
    <rPh sb="9" eb="11">
      <t>コウカ</t>
    </rPh>
    <rPh sb="11" eb="12">
      <t>ショ</t>
    </rPh>
    <rPh sb="12" eb="14">
      <t>フタン</t>
    </rPh>
    <phoneticPr fontId="6"/>
  </si>
  <si>
    <t>　　　　固定資産税等の物件税、農業協同組合費や農業共済組合賦課金等の公課諸負担に</t>
    <rPh sb="4" eb="6">
      <t>コテイ</t>
    </rPh>
    <rPh sb="6" eb="9">
      <t>シサンゼイ</t>
    </rPh>
    <rPh sb="9" eb="10">
      <t>ナド</t>
    </rPh>
    <rPh sb="11" eb="13">
      <t>ブッケン</t>
    </rPh>
    <rPh sb="13" eb="14">
      <t>ゼイ</t>
    </rPh>
    <rPh sb="15" eb="17">
      <t>ノウギョウ</t>
    </rPh>
    <rPh sb="17" eb="19">
      <t>キョウドウ</t>
    </rPh>
    <rPh sb="19" eb="21">
      <t>クミアイ</t>
    </rPh>
    <rPh sb="21" eb="22">
      <t>ヒ</t>
    </rPh>
    <rPh sb="23" eb="25">
      <t>ノウギョウ</t>
    </rPh>
    <rPh sb="25" eb="27">
      <t>キョウサイ</t>
    </rPh>
    <rPh sb="27" eb="29">
      <t>クミアイ</t>
    </rPh>
    <rPh sb="29" eb="33">
      <t>フカキンナド</t>
    </rPh>
    <rPh sb="37" eb="39">
      <t>フタン</t>
    </rPh>
    <phoneticPr fontId="6"/>
  </si>
  <si>
    <t>　　　ついて記入してください。</t>
  </si>
  <si>
    <t>【５】　土地改良及び水利費</t>
    <rPh sb="4" eb="6">
      <t>トチ</t>
    </rPh>
    <rPh sb="6" eb="8">
      <t>カイリョウ</t>
    </rPh>
    <rPh sb="8" eb="9">
      <t>オヨ</t>
    </rPh>
    <rPh sb="10" eb="13">
      <t>スイリヒ</t>
    </rPh>
    <phoneticPr fontId="6"/>
  </si>
  <si>
    <t>　　　　土地改良区費、水利組合費等の負担金額について記入してください。</t>
    <rPh sb="4" eb="6">
      <t>トチ</t>
    </rPh>
    <rPh sb="6" eb="9">
      <t>カイリョウク</t>
    </rPh>
    <rPh sb="9" eb="10">
      <t>ヒ</t>
    </rPh>
    <rPh sb="11" eb="13">
      <t>スイリ</t>
    </rPh>
    <rPh sb="13" eb="16">
      <t>クミアイヒ</t>
    </rPh>
    <rPh sb="16" eb="17">
      <t>トウ</t>
    </rPh>
    <rPh sb="18" eb="21">
      <t>フタンキン</t>
    </rPh>
    <rPh sb="21" eb="22">
      <t>ガク</t>
    </rPh>
    <phoneticPr fontId="6"/>
  </si>
  <si>
    <t>【６】　借入金（買掛未払金を含む。）及び支払利子</t>
    <rPh sb="4" eb="7">
      <t>カリイレキン</t>
    </rPh>
    <rPh sb="8" eb="9">
      <t>カ</t>
    </rPh>
    <rPh sb="9" eb="10">
      <t>カ</t>
    </rPh>
    <rPh sb="10" eb="12">
      <t>ミバラ</t>
    </rPh>
    <rPh sb="12" eb="13">
      <t>キン</t>
    </rPh>
    <rPh sb="14" eb="15">
      <t>フク</t>
    </rPh>
    <rPh sb="18" eb="19">
      <t>オヨ</t>
    </rPh>
    <rPh sb="20" eb="22">
      <t>シハライ</t>
    </rPh>
    <rPh sb="22" eb="24">
      <t>リシ</t>
    </rPh>
    <phoneticPr fontId="6"/>
  </si>
  <si>
    <t>　　　　借入金残高、支払利子について記入してください。</t>
    <rPh sb="4" eb="7">
      <t>カリイレキン</t>
    </rPh>
    <rPh sb="7" eb="9">
      <t>ザンダカ</t>
    </rPh>
    <rPh sb="10" eb="12">
      <t>シハライ</t>
    </rPh>
    <rPh sb="12" eb="14">
      <t>リシ</t>
    </rPh>
    <phoneticPr fontId="6"/>
  </si>
  <si>
    <t>【７】　建物及び構築物（土地改良施設を含む。）の所有状況</t>
    <rPh sb="16" eb="18">
      <t>シセツ</t>
    </rPh>
    <phoneticPr fontId="6"/>
  </si>
  <si>
    <t>　　　　生産のために使用した建物及び構築物の所有状況について記入してください。</t>
    <rPh sb="4" eb="6">
      <t>セイサン</t>
    </rPh>
    <rPh sb="10" eb="12">
      <t>シヨウ</t>
    </rPh>
    <rPh sb="14" eb="16">
      <t>タテモノ</t>
    </rPh>
    <rPh sb="16" eb="17">
      <t>オヨ</t>
    </rPh>
    <rPh sb="18" eb="21">
      <t>コウチクブツ</t>
    </rPh>
    <rPh sb="22" eb="24">
      <t>ショユウ</t>
    </rPh>
    <rPh sb="24" eb="26">
      <t>ジョウキョウ</t>
    </rPh>
    <phoneticPr fontId="6"/>
  </si>
  <si>
    <t>　</t>
    <phoneticPr fontId="6"/>
  </si>
  <si>
    <t>【８】  自動車（自動二輪・三輪を含む。）の所有状況</t>
    <rPh sb="5" eb="8">
      <t>ジドウシャ</t>
    </rPh>
    <rPh sb="9" eb="11">
      <t>ジドウ</t>
    </rPh>
    <rPh sb="11" eb="13">
      <t>ニリン</t>
    </rPh>
    <rPh sb="14" eb="16">
      <t>ミワ</t>
    </rPh>
    <rPh sb="17" eb="18">
      <t>フク</t>
    </rPh>
    <rPh sb="22" eb="24">
      <t>ショユウ</t>
    </rPh>
    <rPh sb="24" eb="26">
      <t>ジョウキョウ</t>
    </rPh>
    <phoneticPr fontId="6"/>
  </si>
  <si>
    <t>　　　　生産のために使用した自動車等の所有状況について記入してください。</t>
  </si>
  <si>
    <t>【９】  農業機械（生産管理機器を含む。）の所有状況</t>
    <phoneticPr fontId="6"/>
  </si>
  <si>
    <t>　　　　生産のために使用した農業機械、パソコンやコピー機等の生産管理機器の所有状況</t>
    <phoneticPr fontId="6"/>
  </si>
  <si>
    <t>　　　について記入してください。</t>
  </si>
  <si>
    <t>【10】  農具の購入費等</t>
    <rPh sb="6" eb="8">
      <t>ノウグ</t>
    </rPh>
    <rPh sb="9" eb="12">
      <t>コウニュウヒ</t>
    </rPh>
    <rPh sb="12" eb="13">
      <t>トウ</t>
    </rPh>
    <phoneticPr fontId="6"/>
  </si>
  <si>
    <t>　    　生産のために使用したくわ類やかま類、コピー用紙等の購入費等について記入して</t>
  </si>
  <si>
    <t>　　　ください。</t>
    <phoneticPr fontId="6"/>
  </si>
  <si>
    <t>【11】　土地の面積及び地代</t>
    <rPh sb="5" eb="7">
      <t>トチ</t>
    </rPh>
    <rPh sb="8" eb="10">
      <t>メンセキ</t>
    </rPh>
    <rPh sb="10" eb="11">
      <t>オヨ</t>
    </rPh>
    <rPh sb="12" eb="14">
      <t>チダイ</t>
    </rPh>
    <phoneticPr fontId="6"/>
  </si>
  <si>
    <t>　    　所有地及び借入地の面積及び地代について記入してください。</t>
    <rPh sb="6" eb="9">
      <t>ショユウチ</t>
    </rPh>
    <rPh sb="9" eb="10">
      <t>オヨ</t>
    </rPh>
    <rPh sb="11" eb="13">
      <t>カリイレ</t>
    </rPh>
    <rPh sb="13" eb="14">
      <t>チ</t>
    </rPh>
    <rPh sb="15" eb="17">
      <t>メンセキ</t>
    </rPh>
    <rPh sb="17" eb="18">
      <t>オヨ</t>
    </rPh>
    <rPh sb="19" eb="21">
      <t>チダイ</t>
    </rPh>
    <phoneticPr fontId="6"/>
  </si>
  <si>
    <t>【12】　作業別労働時間</t>
    <rPh sb="5" eb="8">
      <t>サギョウベツ</t>
    </rPh>
    <rPh sb="8" eb="10">
      <t>ロウドウ</t>
    </rPh>
    <rPh sb="10" eb="12">
      <t>ジカン</t>
    </rPh>
    <phoneticPr fontId="6"/>
  </si>
  <si>
    <t xml:space="preserve">    　  家族、雇用別の作業労働時間、雇用者に支払った賃金について記入してください。</t>
    <rPh sb="7" eb="9">
      <t>カゾク</t>
    </rPh>
    <rPh sb="10" eb="12">
      <t>コヨウ</t>
    </rPh>
    <rPh sb="12" eb="13">
      <t>ベツ</t>
    </rPh>
    <rPh sb="14" eb="16">
      <t>サギョウ</t>
    </rPh>
    <rPh sb="16" eb="18">
      <t>ロウドウ</t>
    </rPh>
    <rPh sb="18" eb="20">
      <t>ジカン</t>
    </rPh>
    <rPh sb="21" eb="24">
      <t>コヨウシャ</t>
    </rPh>
    <rPh sb="25" eb="27">
      <t>シハラ</t>
    </rPh>
    <phoneticPr fontId="6"/>
  </si>
  <si>
    <t>【職員記入欄】</t>
  </si>
  <si>
    <t>【１】経営の概況</t>
    <rPh sb="3" eb="5">
      <t>ケイエイ</t>
    </rPh>
    <rPh sb="6" eb="8">
      <t>ガイキョウ</t>
    </rPh>
    <phoneticPr fontId="6"/>
  </si>
  <si>
    <t xml:space="preserve"> （１）経営土地</t>
    <rPh sb="4" eb="6">
      <t>ケイエイ</t>
    </rPh>
    <rPh sb="6" eb="8">
      <t>トチ</t>
    </rPh>
    <phoneticPr fontId="6"/>
  </si>
  <si>
    <t xml:space="preserve"> １　経営耕地</t>
    <rPh sb="3" eb="5">
      <t>ケイエイ</t>
    </rPh>
    <rPh sb="5" eb="7">
      <t>コウチ</t>
    </rPh>
    <phoneticPr fontId="6"/>
  </si>
  <si>
    <t xml:space="preserve"> 　農業経営に利用している耕地の状況を記入してください。</t>
    <rPh sb="2" eb="4">
      <t>ノウギョウ</t>
    </rPh>
    <rPh sb="4" eb="6">
      <t>ケイエイ</t>
    </rPh>
    <rPh sb="7" eb="9">
      <t>リヨウ</t>
    </rPh>
    <rPh sb="13" eb="15">
      <t>コウチ</t>
    </rPh>
    <rPh sb="16" eb="18">
      <t>ジョウキョウ</t>
    </rPh>
    <phoneticPr fontId="6"/>
  </si>
  <si>
    <t>所有地（ａ）</t>
    <rPh sb="0" eb="3">
      <t>ショユウチ</t>
    </rPh>
    <phoneticPr fontId="6"/>
  </si>
  <si>
    <t>借入地（ａ）</t>
    <rPh sb="0" eb="3">
      <t>カリイレチ</t>
    </rPh>
    <phoneticPr fontId="6"/>
  </si>
  <si>
    <t>田</t>
    <rPh sb="0" eb="1">
      <t>デン</t>
    </rPh>
    <phoneticPr fontId="6"/>
  </si>
  <si>
    <t>普通畑</t>
    <rPh sb="0" eb="2">
      <t>フツウ</t>
    </rPh>
    <rPh sb="2" eb="3">
      <t>ハタケ</t>
    </rPh>
    <phoneticPr fontId="6"/>
  </si>
  <si>
    <t>樹園地</t>
    <rPh sb="0" eb="1">
      <t>ジュ</t>
    </rPh>
    <rPh sb="1" eb="3">
      <t>エンチ</t>
    </rPh>
    <phoneticPr fontId="6"/>
  </si>
  <si>
    <t>牧草地</t>
    <rPh sb="0" eb="3">
      <t>ボクソウチ</t>
    </rPh>
    <phoneticPr fontId="6"/>
  </si>
  <si>
    <t xml:space="preserve"> ２　世帯員数と農業就業者数等</t>
    <rPh sb="3" eb="5">
      <t>セタイ</t>
    </rPh>
    <rPh sb="5" eb="7">
      <t>インスウ</t>
    </rPh>
    <rPh sb="8" eb="10">
      <t>ノウギョウ</t>
    </rPh>
    <rPh sb="10" eb="13">
      <t>シュウギョウシャ</t>
    </rPh>
    <rPh sb="13" eb="14">
      <t>スウ</t>
    </rPh>
    <rPh sb="14" eb="15">
      <t>トウ</t>
    </rPh>
    <phoneticPr fontId="6"/>
  </si>
  <si>
    <t>　 世帯員、農業就業者、農業年雇の人数について、男女別に記入してください。</t>
    <rPh sb="2" eb="5">
      <t>セタイイン</t>
    </rPh>
    <rPh sb="6" eb="8">
      <t>ノウギョウ</t>
    </rPh>
    <rPh sb="8" eb="11">
      <t>シュウギョウシャ</t>
    </rPh>
    <rPh sb="12" eb="14">
      <t>ノウギョウ</t>
    </rPh>
    <rPh sb="14" eb="15">
      <t>ネン</t>
    </rPh>
    <rPh sb="15" eb="16">
      <t>ヤトイ</t>
    </rPh>
    <rPh sb="17" eb="19">
      <t>ニンズウ</t>
    </rPh>
    <rPh sb="24" eb="26">
      <t>ダンジョ</t>
    </rPh>
    <rPh sb="26" eb="27">
      <t>ベツ</t>
    </rPh>
    <phoneticPr fontId="6"/>
  </si>
  <si>
    <t>用語の説明</t>
    <rPh sb="0" eb="2">
      <t>ヨウゴ</t>
    </rPh>
    <rPh sb="3" eb="5">
      <t>セツメイ</t>
    </rPh>
    <phoneticPr fontId="6"/>
  </si>
  <si>
    <t>男（人）</t>
    <rPh sb="0" eb="1">
      <t>オトコ</t>
    </rPh>
    <rPh sb="2" eb="3">
      <t>ニン</t>
    </rPh>
    <phoneticPr fontId="6"/>
  </si>
  <si>
    <t>女（人）</t>
    <rPh sb="0" eb="1">
      <t>オンナ</t>
    </rPh>
    <rPh sb="2" eb="3">
      <t>ニン</t>
    </rPh>
    <phoneticPr fontId="6"/>
  </si>
  <si>
    <t>世帯員</t>
    <rPh sb="0" eb="3">
      <t>セタイイン</t>
    </rPh>
    <phoneticPr fontId="6"/>
  </si>
  <si>
    <t>世帯主と血縁又は姻戚関係になくても一緒に住み、かつ生計をともにしている者（住み込みの年雇等を含む。）</t>
    <rPh sb="8" eb="10">
      <t>インセキ</t>
    </rPh>
    <rPh sb="37" eb="38">
      <t>ス</t>
    </rPh>
    <rPh sb="39" eb="40">
      <t>コ</t>
    </rPh>
    <rPh sb="42" eb="43">
      <t>ネン</t>
    </rPh>
    <rPh sb="43" eb="44">
      <t>ヤトイ</t>
    </rPh>
    <rPh sb="44" eb="45">
      <t>トウ</t>
    </rPh>
    <rPh sb="46" eb="47">
      <t>フク</t>
    </rPh>
    <phoneticPr fontId="6"/>
  </si>
  <si>
    <t>家族</t>
    <rPh sb="0" eb="2">
      <t>カゾク</t>
    </rPh>
    <phoneticPr fontId="6"/>
  </si>
  <si>
    <t>夫婦とその血縁関係者を中心に構成され、共同生活の単位となる集団（15歳未満を除く。）</t>
    <rPh sb="34" eb="35">
      <t>サイ</t>
    </rPh>
    <rPh sb="35" eb="37">
      <t>ミマン</t>
    </rPh>
    <rPh sb="38" eb="39">
      <t>ノゾ</t>
    </rPh>
    <phoneticPr fontId="6"/>
  </si>
  <si>
    <t>農業就業者</t>
    <rPh sb="0" eb="2">
      <t>ノウギョウ</t>
    </rPh>
    <rPh sb="2" eb="5">
      <t>シュウギョウシャ</t>
    </rPh>
    <phoneticPr fontId="6"/>
  </si>
  <si>
    <t>年間の農業労働日数が60日以上の者</t>
    <phoneticPr fontId="6"/>
  </si>
  <si>
    <t>150日以上</t>
    <rPh sb="3" eb="6">
      <t>ニチイジョウ</t>
    </rPh>
    <phoneticPr fontId="6"/>
  </si>
  <si>
    <t>年間の農業労働日数が150日以上の者</t>
    <phoneticPr fontId="6"/>
  </si>
  <si>
    <t>農業年雇</t>
    <rPh sb="0" eb="2">
      <t>ノウギョウ</t>
    </rPh>
    <rPh sb="2" eb="3">
      <t>ネン</t>
    </rPh>
    <rPh sb="3" eb="4">
      <t>コ</t>
    </rPh>
    <phoneticPr fontId="6"/>
  </si>
  <si>
    <t>農業経営のためにおおむね年間（７か月以上）を通じて雇った者</t>
    <rPh sb="0" eb="4">
      <t>ノウギョウケイエイ</t>
    </rPh>
    <rPh sb="17" eb="18">
      <t>ゲツ</t>
    </rPh>
    <rPh sb="18" eb="20">
      <t>イジョウ</t>
    </rPh>
    <rPh sb="25" eb="26">
      <t>ヤト</t>
    </rPh>
    <rPh sb="28" eb="29">
      <t>シャ</t>
    </rPh>
    <phoneticPr fontId="6"/>
  </si>
  <si>
    <t>注：農業労働日数は、１日＝８時間を目安にしてください。</t>
    <rPh sb="0" eb="1">
      <t>チュウ</t>
    </rPh>
    <rPh sb="2" eb="4">
      <t>ノウギョウ</t>
    </rPh>
    <rPh sb="4" eb="6">
      <t>ロウドウ</t>
    </rPh>
    <rPh sb="6" eb="8">
      <t>ニッスウ</t>
    </rPh>
    <rPh sb="11" eb="12">
      <t>ニチ</t>
    </rPh>
    <rPh sb="14" eb="16">
      <t>ジカン</t>
    </rPh>
    <rPh sb="17" eb="19">
      <t>メヤス</t>
    </rPh>
    <phoneticPr fontId="6"/>
  </si>
  <si>
    <t xml:space="preserve"> ３　認定農業者の状況</t>
    <rPh sb="3" eb="5">
      <t>ニンテイ</t>
    </rPh>
    <rPh sb="5" eb="8">
      <t>ノウギョウシャ</t>
    </rPh>
    <rPh sb="9" eb="11">
      <t>ジョウキョウ</t>
    </rPh>
    <phoneticPr fontId="6"/>
  </si>
  <si>
    <t xml:space="preserve"> 　認定農業者はいますか。
 　該当する回答を選択してください。</t>
    <rPh sb="2" eb="4">
      <t>ニンテイ</t>
    </rPh>
    <rPh sb="4" eb="7">
      <t>ノウギョウシャ</t>
    </rPh>
    <phoneticPr fontId="6"/>
  </si>
  <si>
    <t>認定農業者区分</t>
    <rPh sb="0" eb="2">
      <t>ニンテイ</t>
    </rPh>
    <rPh sb="2" eb="5">
      <t>ノウギョウシャ</t>
    </rPh>
    <rPh sb="5" eb="7">
      <t>クブン</t>
    </rPh>
    <phoneticPr fontId="6"/>
  </si>
  <si>
    <t xml:space="preserve"> ４　直近５か年の10ａ当たり収量</t>
    <rPh sb="3" eb="5">
      <t>チョッキン</t>
    </rPh>
    <rPh sb="7" eb="8">
      <t>ネン</t>
    </rPh>
    <rPh sb="12" eb="13">
      <t>ア</t>
    </rPh>
    <rPh sb="15" eb="17">
      <t>シュウリョウ</t>
    </rPh>
    <phoneticPr fontId="6"/>
  </si>
  <si>
    <t xml:space="preserve"> 　直近５か年における対象品目の10ａ当たり収量を記入してください。</t>
    <rPh sb="2" eb="4">
      <t>チョッキン</t>
    </rPh>
    <rPh sb="6" eb="7">
      <t>ネン</t>
    </rPh>
    <rPh sb="11" eb="13">
      <t>タイショウ</t>
    </rPh>
    <rPh sb="13" eb="15">
      <t>ヒンモク</t>
    </rPh>
    <rPh sb="19" eb="20">
      <t>ア</t>
    </rPh>
    <rPh sb="22" eb="24">
      <t>シュウリョウ</t>
    </rPh>
    <phoneticPr fontId="6"/>
  </si>
  <si>
    <t>１年前</t>
    <rPh sb="1" eb="3">
      <t>ネンマエ</t>
    </rPh>
    <phoneticPr fontId="6"/>
  </si>
  <si>
    <t>２年前</t>
    <rPh sb="1" eb="3">
      <t>ネンマエ</t>
    </rPh>
    <phoneticPr fontId="6"/>
  </si>
  <si>
    <t>３年前</t>
    <rPh sb="1" eb="3">
      <t>ネンマエ</t>
    </rPh>
    <phoneticPr fontId="6"/>
  </si>
  <si>
    <t>４年前</t>
    <rPh sb="1" eb="3">
      <t>ネンマエ</t>
    </rPh>
    <phoneticPr fontId="6"/>
  </si>
  <si>
    <t>５年前</t>
    <rPh sb="1" eb="3">
      <t>ネンマエ</t>
    </rPh>
    <phoneticPr fontId="6"/>
  </si>
  <si>
    <t>10ａ当たり平年収量</t>
    <rPh sb="3" eb="4">
      <t>ア</t>
    </rPh>
    <rPh sb="6" eb="8">
      <t>ヘイネン</t>
    </rPh>
    <rPh sb="8" eb="10">
      <t>シュウリョウ</t>
    </rPh>
    <phoneticPr fontId="6"/>
  </si>
  <si>
    <t>10ａ当たり収量（㎏）</t>
    <rPh sb="3" eb="4">
      <t>ア</t>
    </rPh>
    <rPh sb="6" eb="8">
      <t>シュウリョウ</t>
    </rPh>
    <phoneticPr fontId="6"/>
  </si>
  <si>
    <t xml:space="preserve">  ５　対象品目における作業委託の状況</t>
    <rPh sb="4" eb="6">
      <t>タイショウ</t>
    </rPh>
    <rPh sb="6" eb="8">
      <t>ヒンモク</t>
    </rPh>
    <rPh sb="12" eb="14">
      <t>サギョウ</t>
    </rPh>
    <rPh sb="14" eb="16">
      <t>イタク</t>
    </rPh>
    <rPh sb="17" eb="19">
      <t>ジョウキョウ</t>
    </rPh>
    <phoneticPr fontId="6"/>
  </si>
  <si>
    <t>　　耕うん・整地や防除などで、同一のほ場を複数回にわたって作業した場合は、延</t>
    <rPh sb="2" eb="3">
      <t>コウ</t>
    </rPh>
    <rPh sb="6" eb="8">
      <t>セイチ</t>
    </rPh>
    <rPh sb="9" eb="11">
      <t>ボウジョ</t>
    </rPh>
    <rPh sb="15" eb="17">
      <t>ドウイツ</t>
    </rPh>
    <rPh sb="19" eb="20">
      <t>ジョウ</t>
    </rPh>
    <rPh sb="21" eb="24">
      <t>フクスウカイ</t>
    </rPh>
    <rPh sb="29" eb="31">
      <t>サギョウ</t>
    </rPh>
    <rPh sb="33" eb="35">
      <t>バアイ</t>
    </rPh>
    <phoneticPr fontId="6"/>
  </si>
  <si>
    <t>　べ面積を記入してください。</t>
  </si>
  <si>
    <t>　　乾燥・調製は、玄麦・玄そば・乾燥子実の数量を記入してください。</t>
    <rPh sb="2" eb="4">
      <t>カンソウ</t>
    </rPh>
    <rPh sb="5" eb="7">
      <t>チョウセイ</t>
    </rPh>
    <rPh sb="9" eb="10">
      <t>ゲン</t>
    </rPh>
    <rPh sb="10" eb="11">
      <t>バク</t>
    </rPh>
    <rPh sb="12" eb="13">
      <t>ゲン</t>
    </rPh>
    <rPh sb="16" eb="18">
      <t>カンソウ</t>
    </rPh>
    <rPh sb="18" eb="20">
      <t>シジツ</t>
    </rPh>
    <rPh sb="21" eb="23">
      <t>スウリョウ</t>
    </rPh>
    <phoneticPr fontId="6"/>
  </si>
  <si>
    <t>数量</t>
    <rPh sb="0" eb="2">
      <t>スウリョウ</t>
    </rPh>
    <phoneticPr fontId="6"/>
  </si>
  <si>
    <t>単位</t>
    <rPh sb="0" eb="2">
      <t>タンイ</t>
    </rPh>
    <phoneticPr fontId="6"/>
  </si>
  <si>
    <t>耕うん・整地</t>
    <rPh sb="0" eb="1">
      <t>コウ</t>
    </rPh>
    <rPh sb="4" eb="6">
      <t>セイチ</t>
    </rPh>
    <phoneticPr fontId="6"/>
  </si>
  <si>
    <t>ａ</t>
    <phoneticPr fontId="6"/>
  </si>
  <si>
    <t>は　　　　　　　種</t>
    <rPh sb="8" eb="9">
      <t>シュ</t>
    </rPh>
    <phoneticPr fontId="6"/>
  </si>
  <si>
    <t>ａ</t>
    <phoneticPr fontId="6"/>
  </si>
  <si>
    <t>防　　　　　　　除</t>
    <rPh sb="0" eb="1">
      <t>ボウ</t>
    </rPh>
    <rPh sb="8" eb="9">
      <t>ジョ</t>
    </rPh>
    <phoneticPr fontId="6"/>
  </si>
  <si>
    <t>刈 取 ・ 脱 穀</t>
    <phoneticPr fontId="6"/>
  </si>
  <si>
    <t>ａ</t>
    <phoneticPr fontId="6"/>
  </si>
  <si>
    <t>乾 燥 ・ 調 製</t>
    <phoneticPr fontId="6"/>
  </si>
  <si>
    <t>kg</t>
    <phoneticPr fontId="6"/>
  </si>
  <si>
    <t>　６　対象品目の品種別作付面積</t>
    <rPh sb="3" eb="5">
      <t>タイショウ</t>
    </rPh>
    <rPh sb="5" eb="7">
      <t>ヒンモク</t>
    </rPh>
    <rPh sb="8" eb="10">
      <t>ヒンシュ</t>
    </rPh>
    <rPh sb="9" eb="10">
      <t>サクツケ</t>
    </rPh>
    <rPh sb="10" eb="11">
      <t>ベツ</t>
    </rPh>
    <rPh sb="11" eb="13">
      <t>サクツケ</t>
    </rPh>
    <rPh sb="13" eb="15">
      <t>メンセキ</t>
    </rPh>
    <phoneticPr fontId="6"/>
  </si>
  <si>
    <t>　　当年産に作付けした対象品目の品種名及びその作付面積を記入してください。</t>
    <rPh sb="2" eb="4">
      <t>トウネン</t>
    </rPh>
    <rPh sb="4" eb="5">
      <t>サン</t>
    </rPh>
    <rPh sb="6" eb="8">
      <t>サクツ</t>
    </rPh>
    <rPh sb="11" eb="13">
      <t>タイショウ</t>
    </rPh>
    <rPh sb="13" eb="15">
      <t>ヒンモク</t>
    </rPh>
    <rPh sb="16" eb="19">
      <t>ヒンシュメイ</t>
    </rPh>
    <rPh sb="19" eb="20">
      <t>オヨ</t>
    </rPh>
    <rPh sb="23" eb="25">
      <t>サクツケ</t>
    </rPh>
    <rPh sb="25" eb="27">
      <t>メンセキ</t>
    </rPh>
    <phoneticPr fontId="6"/>
  </si>
  <si>
    <t>品種名をリストから選択してください。</t>
    <rPh sb="0" eb="2">
      <t>ヒンシュ</t>
    </rPh>
    <rPh sb="2" eb="3">
      <t>メイ</t>
    </rPh>
    <rPh sb="9" eb="11">
      <t>センタク</t>
    </rPh>
    <phoneticPr fontId="6"/>
  </si>
  <si>
    <t>品種名</t>
    <rPh sb="0" eb="3">
      <t>ヒンシュメイ</t>
    </rPh>
    <phoneticPr fontId="6"/>
  </si>
  <si>
    <t>面　積（ａ）</t>
    <rPh sb="0" eb="1">
      <t>メン</t>
    </rPh>
    <rPh sb="2" eb="3">
      <t>セキ</t>
    </rPh>
    <phoneticPr fontId="6"/>
  </si>
  <si>
    <t>コード</t>
    <phoneticPr fontId="6"/>
  </si>
  <si>
    <t>品 種 １</t>
    <rPh sb="0" eb="1">
      <t>シナ</t>
    </rPh>
    <rPh sb="2" eb="3">
      <t>タネ</t>
    </rPh>
    <phoneticPr fontId="6"/>
  </si>
  <si>
    <t>品 種 １</t>
    <phoneticPr fontId="6"/>
  </si>
  <si>
    <t>品 種 ２</t>
    <rPh sb="0" eb="1">
      <t>シナ</t>
    </rPh>
    <rPh sb="2" eb="3">
      <t>タネ</t>
    </rPh>
    <phoneticPr fontId="6"/>
  </si>
  <si>
    <t>品 種 ２</t>
  </si>
  <si>
    <t>品 種 ３</t>
    <rPh sb="0" eb="1">
      <t>シナ</t>
    </rPh>
    <rPh sb="2" eb="3">
      <t>タネ</t>
    </rPh>
    <phoneticPr fontId="6"/>
  </si>
  <si>
    <t>品 種 ３</t>
  </si>
  <si>
    <t>品 種 ４</t>
    <rPh sb="0" eb="1">
      <t>シナ</t>
    </rPh>
    <rPh sb="2" eb="3">
      <t>タネ</t>
    </rPh>
    <phoneticPr fontId="6"/>
  </si>
  <si>
    <t>品 種 ４</t>
  </si>
  <si>
    <t>品 種 ５</t>
    <rPh sb="0" eb="1">
      <t>シナ</t>
    </rPh>
    <rPh sb="2" eb="3">
      <t>タネ</t>
    </rPh>
    <phoneticPr fontId="6"/>
  </si>
  <si>
    <t>品 種 ５</t>
  </si>
  <si>
    <t>注： 面積の合計が当年産の対象品目の作付面積です。</t>
    <rPh sb="0" eb="1">
      <t>チュウ</t>
    </rPh>
    <rPh sb="3" eb="5">
      <t>メンセキ</t>
    </rPh>
    <rPh sb="6" eb="8">
      <t>ゴウケイ</t>
    </rPh>
    <rPh sb="9" eb="10">
      <t>トウ</t>
    </rPh>
    <rPh sb="10" eb="12">
      <t>ネンサン</t>
    </rPh>
    <rPh sb="11" eb="12">
      <t>サン</t>
    </rPh>
    <rPh sb="13" eb="15">
      <t>タイショウ</t>
    </rPh>
    <rPh sb="15" eb="17">
      <t>ヒンモク</t>
    </rPh>
    <rPh sb="18" eb="20">
      <t>サクツケ</t>
    </rPh>
    <rPh sb="20" eb="21">
      <t>ヅラ</t>
    </rPh>
    <rPh sb="21" eb="22">
      <t>セキ</t>
    </rPh>
    <phoneticPr fontId="6"/>
  </si>
  <si>
    <t>　７　制度受取金等の状況</t>
    <rPh sb="3" eb="5">
      <t>セイド</t>
    </rPh>
    <rPh sb="5" eb="7">
      <t>ウケトリ</t>
    </rPh>
    <rPh sb="7" eb="8">
      <t>キン</t>
    </rPh>
    <rPh sb="8" eb="9">
      <t>トウ</t>
    </rPh>
    <rPh sb="10" eb="12">
      <t>ジョウキョウ</t>
    </rPh>
    <phoneticPr fontId="6"/>
  </si>
  <si>
    <t>　　当年産の対象品目に係る制度受取金等について記入してください。</t>
    <rPh sb="2" eb="4">
      <t>トウネン</t>
    </rPh>
    <rPh sb="4" eb="5">
      <t>サン</t>
    </rPh>
    <rPh sb="6" eb="8">
      <t>タイショウ</t>
    </rPh>
    <rPh sb="8" eb="10">
      <t>ヒンモク</t>
    </rPh>
    <rPh sb="11" eb="12">
      <t>カカ</t>
    </rPh>
    <rPh sb="13" eb="15">
      <t>セイド</t>
    </rPh>
    <rPh sb="15" eb="18">
      <t>ウケトリキン</t>
    </rPh>
    <rPh sb="18" eb="19">
      <t>トウ</t>
    </rPh>
    <phoneticPr fontId="6"/>
  </si>
  <si>
    <t>掛　金（円）</t>
    <rPh sb="0" eb="1">
      <t>カカリ</t>
    </rPh>
    <rPh sb="2" eb="3">
      <t>キン</t>
    </rPh>
    <rPh sb="4" eb="5">
      <t>エン</t>
    </rPh>
    <phoneticPr fontId="6"/>
  </si>
  <si>
    <t>受　取　金（円）</t>
    <rPh sb="0" eb="1">
      <t>ウケ</t>
    </rPh>
    <rPh sb="2" eb="3">
      <t>トリ</t>
    </rPh>
    <rPh sb="4" eb="5">
      <t>キン</t>
    </rPh>
    <rPh sb="6" eb="7">
      <t>エン</t>
    </rPh>
    <phoneticPr fontId="6"/>
  </si>
  <si>
    <t>農業共済</t>
    <phoneticPr fontId="6"/>
  </si>
  <si>
    <t>水田活用の直接支払交付金</t>
    <rPh sb="0" eb="2">
      <t>スイデン</t>
    </rPh>
    <rPh sb="2" eb="4">
      <t>カツヨウ</t>
    </rPh>
    <rPh sb="5" eb="7">
      <t>チョクセツ</t>
    </rPh>
    <rPh sb="7" eb="9">
      <t>シハライ</t>
    </rPh>
    <rPh sb="9" eb="12">
      <t>コウフキン</t>
    </rPh>
    <phoneticPr fontId="6"/>
  </si>
  <si>
    <t>戦略作物助成</t>
    <rPh sb="0" eb="2">
      <t>センリャク</t>
    </rPh>
    <rPh sb="2" eb="4">
      <t>サクモツ</t>
    </rPh>
    <rPh sb="4" eb="6">
      <t>ジョセイ</t>
    </rPh>
    <phoneticPr fontId="6"/>
  </si>
  <si>
    <t>産地交付金</t>
    <rPh sb="0" eb="2">
      <t>サンチ</t>
    </rPh>
    <rPh sb="2" eb="5">
      <t>コウフキン</t>
    </rPh>
    <phoneticPr fontId="6"/>
  </si>
  <si>
    <t>畑作物の直接支払交付金</t>
    <rPh sb="0" eb="2">
      <t>ハタサク</t>
    </rPh>
    <rPh sb="2" eb="3">
      <t>モツ</t>
    </rPh>
    <rPh sb="8" eb="11">
      <t>コウフキン</t>
    </rPh>
    <phoneticPr fontId="6"/>
  </si>
  <si>
    <t>面積払</t>
    <rPh sb="0" eb="2">
      <t>メンセキ</t>
    </rPh>
    <rPh sb="2" eb="3">
      <t>バライ</t>
    </rPh>
    <phoneticPr fontId="6"/>
  </si>
  <si>
    <t>数量払</t>
    <rPh sb="0" eb="2">
      <t>スウリョウ</t>
    </rPh>
    <rPh sb="2" eb="3">
      <t>ハライ</t>
    </rPh>
    <phoneticPr fontId="6"/>
  </si>
  <si>
    <t>【職員記入欄】</t>
    <phoneticPr fontId="6"/>
  </si>
  <si>
    <t>【２】生産物の販売等の状況</t>
    <rPh sb="3" eb="6">
      <t>セイサンブツ</t>
    </rPh>
    <rPh sb="7" eb="9">
      <t>ハンバイ</t>
    </rPh>
    <rPh sb="9" eb="10">
      <t>トウ</t>
    </rPh>
    <rPh sb="11" eb="13">
      <t>ジョウキョウ</t>
    </rPh>
    <phoneticPr fontId="6"/>
  </si>
  <si>
    <r>
      <t xml:space="preserve">  １　対象品目の麦（二条大麦のうち</t>
    </r>
    <r>
      <rPr>
        <b/>
        <u/>
        <sz val="11.5"/>
        <color indexed="8"/>
        <rFont val="ＭＳ ゴシック"/>
        <family val="3"/>
        <charset val="128"/>
      </rPr>
      <t>ビール麦を除く。</t>
    </r>
    <r>
      <rPr>
        <b/>
        <sz val="11.5"/>
        <color indexed="8"/>
        <rFont val="ＭＳ ゴシック"/>
        <family val="3"/>
        <charset val="128"/>
      </rPr>
      <t>）の品質・用途別の販売状況等（玄麦換算）</t>
    </r>
    <rPh sb="4" eb="6">
      <t>タイショウ</t>
    </rPh>
    <rPh sb="6" eb="8">
      <t>ヒンモク</t>
    </rPh>
    <rPh sb="9" eb="10">
      <t>ムギ</t>
    </rPh>
    <rPh sb="11" eb="13">
      <t>ニジョウ</t>
    </rPh>
    <rPh sb="13" eb="15">
      <t>オオムギ</t>
    </rPh>
    <rPh sb="21" eb="22">
      <t>ムギ</t>
    </rPh>
    <rPh sb="23" eb="24">
      <t>ノゾ</t>
    </rPh>
    <rPh sb="28" eb="30">
      <t>ヒンシツ</t>
    </rPh>
    <rPh sb="31" eb="34">
      <t>ヨウトベツ</t>
    </rPh>
    <rPh sb="35" eb="37">
      <t>ハンバイ</t>
    </rPh>
    <rPh sb="37" eb="39">
      <t>ジョウキョウ</t>
    </rPh>
    <rPh sb="39" eb="40">
      <t>ナド</t>
    </rPh>
    <rPh sb="41" eb="42">
      <t>ゲン</t>
    </rPh>
    <rPh sb="42" eb="43">
      <t>ムギ</t>
    </rPh>
    <rPh sb="43" eb="45">
      <t>カンザン</t>
    </rPh>
    <phoneticPr fontId="6"/>
  </si>
  <si>
    <t xml:space="preserve">    当年産の販売状況等について、黄色の欄に記入してください。</t>
    <rPh sb="4" eb="5">
      <t>トウ</t>
    </rPh>
    <rPh sb="5" eb="7">
      <t>ネンサン</t>
    </rPh>
    <rPh sb="6" eb="7">
      <t>サン</t>
    </rPh>
    <rPh sb="8" eb="10">
      <t>ハンバイ</t>
    </rPh>
    <rPh sb="10" eb="13">
      <t>ジョウキョウトウ</t>
    </rPh>
    <phoneticPr fontId="6"/>
  </si>
  <si>
    <t xml:space="preserve"> 　 なお、１等、２等、規格外Ａ及びＢについて、内訳欄を利用してそれぞれの「計」の内訳を記入する</t>
    <rPh sb="7" eb="8">
      <t>トウ</t>
    </rPh>
    <rPh sb="10" eb="11">
      <t>トウ</t>
    </rPh>
    <rPh sb="12" eb="15">
      <t>キカクガイ</t>
    </rPh>
    <rPh sb="16" eb="17">
      <t>オヨ</t>
    </rPh>
    <phoneticPr fontId="6"/>
  </si>
  <si>
    <t xml:space="preserve">  場合は、その合計が「計」となるよう記入してください。</t>
  </si>
  <si>
    <t xml:space="preserve"> 　 また、実際に販売したものは販売金額から搬出費、包装荷造り費等の出荷経費を除いた金額を記入し</t>
    <rPh sb="6" eb="8">
      <t>ジッサイ</t>
    </rPh>
    <rPh sb="9" eb="11">
      <t>ハンバイ</t>
    </rPh>
    <rPh sb="16" eb="18">
      <t>ハンバイ</t>
    </rPh>
    <rPh sb="18" eb="20">
      <t>キンガク</t>
    </rPh>
    <rPh sb="22" eb="25">
      <t>ハンシュツヒ</t>
    </rPh>
    <rPh sb="26" eb="28">
      <t>ホウソウ</t>
    </rPh>
    <rPh sb="28" eb="30">
      <t>ニヅク</t>
    </rPh>
    <rPh sb="31" eb="32">
      <t>ヒ</t>
    </rPh>
    <rPh sb="32" eb="33">
      <t>トウ</t>
    </rPh>
    <rPh sb="34" eb="36">
      <t>シュッカ</t>
    </rPh>
    <rPh sb="36" eb="38">
      <t>ケイヒ</t>
    </rPh>
    <rPh sb="39" eb="40">
      <t>ノゾ</t>
    </rPh>
    <rPh sb="42" eb="44">
      <t>キンガク</t>
    </rPh>
    <phoneticPr fontId="6"/>
  </si>
  <si>
    <t xml:space="preserve">  てください。</t>
    <phoneticPr fontId="6"/>
  </si>
  <si>
    <t>主産物</t>
    <rPh sb="0" eb="3">
      <t>シュサンブツ</t>
    </rPh>
    <phoneticPr fontId="6"/>
  </si>
  <si>
    <t>内容例示</t>
    <rPh sb="0" eb="2">
      <t>ナイヨウ</t>
    </rPh>
    <rPh sb="2" eb="4">
      <t>レイジ</t>
    </rPh>
    <phoneticPr fontId="6"/>
  </si>
  <si>
    <t>金額（円）</t>
    <rPh sb="0" eb="1">
      <t>キン</t>
    </rPh>
    <rPh sb="1" eb="2">
      <t>ガク</t>
    </rPh>
    <rPh sb="3" eb="4">
      <t>エン</t>
    </rPh>
    <phoneticPr fontId="6"/>
  </si>
  <si>
    <t>数量（kg）</t>
    <rPh sb="0" eb="2">
      <t>スウリョウ</t>
    </rPh>
    <phoneticPr fontId="6"/>
  </si>
  <si>
    <t>価額（円）</t>
    <rPh sb="0" eb="2">
      <t>カガク</t>
    </rPh>
    <rPh sb="3" eb="4">
      <t>エン</t>
    </rPh>
    <phoneticPr fontId="6"/>
  </si>
  <si>
    <t>販売用（予定を含む（ビール麦を除く。）。）</t>
    <rPh sb="0" eb="3">
      <t>ハンバイヨウ</t>
    </rPh>
    <rPh sb="4" eb="6">
      <t>ヨテイ</t>
    </rPh>
    <rPh sb="7" eb="8">
      <t>フク</t>
    </rPh>
    <rPh sb="13" eb="14">
      <t>ムギ</t>
    </rPh>
    <rPh sb="15" eb="16">
      <t>ノゾ</t>
    </rPh>
    <phoneticPr fontId="6"/>
  </si>
  <si>
    <t>１等（計）</t>
    <rPh sb="1" eb="2">
      <t>トウ</t>
    </rPh>
    <phoneticPr fontId="6"/>
  </si>
  <si>
    <t>農産物検査において「１等」と判定されたもの</t>
    <rPh sb="0" eb="3">
      <t>ノウサンブツ</t>
    </rPh>
    <rPh sb="3" eb="5">
      <t>ケンサ</t>
    </rPh>
    <rPh sb="11" eb="12">
      <t>トウ</t>
    </rPh>
    <rPh sb="14" eb="16">
      <t>ハンテイ</t>
    </rPh>
    <phoneticPr fontId="6"/>
  </si>
  <si>
    <t>販売用</t>
    <rPh sb="0" eb="3">
      <t>ハンバイヨウ</t>
    </rPh>
    <phoneticPr fontId="6"/>
  </si>
  <si>
    <t>１等</t>
    <rPh sb="1" eb="2">
      <t>トウ</t>
    </rPh>
    <phoneticPr fontId="6"/>
  </si>
  <si>
    <t>２等</t>
    <rPh sb="1" eb="2">
      <t>トウ</t>
    </rPh>
    <phoneticPr fontId="6"/>
  </si>
  <si>
    <t>規格外Ａ</t>
    <rPh sb="0" eb="3">
      <t>キカクガイ</t>
    </rPh>
    <phoneticPr fontId="6"/>
  </si>
  <si>
    <t>その他</t>
    <rPh sb="2" eb="3">
      <t>タ</t>
    </rPh>
    <phoneticPr fontId="6"/>
  </si>
  <si>
    <t>販売用計</t>
    <rPh sb="0" eb="3">
      <t>ハンバイヨウ</t>
    </rPh>
    <rPh sb="3" eb="4">
      <t>ケイ</t>
    </rPh>
    <phoneticPr fontId="6"/>
  </si>
  <si>
    <t>２等（計）</t>
    <rPh sb="1" eb="2">
      <t>トウ</t>
    </rPh>
    <phoneticPr fontId="6"/>
  </si>
  <si>
    <t>農産物検査において「２等」と判定されたもの</t>
    <rPh sb="0" eb="3">
      <t>ノウサンブツ</t>
    </rPh>
    <rPh sb="3" eb="5">
      <t>ケンサ</t>
    </rPh>
    <rPh sb="11" eb="12">
      <t>トウ</t>
    </rPh>
    <rPh sb="14" eb="16">
      <t>ハンテイ</t>
    </rPh>
    <phoneticPr fontId="6"/>
  </si>
  <si>
    <t>規格外Ａ（計）</t>
    <rPh sb="0" eb="3">
      <t>キカクガイ</t>
    </rPh>
    <phoneticPr fontId="6"/>
  </si>
  <si>
    <t>農産物検査において「規格外」と判定されたもののうち、Ａランクのもの</t>
    <rPh sb="0" eb="3">
      <t>ノウサンブツ</t>
    </rPh>
    <rPh sb="3" eb="5">
      <t>ケンサ</t>
    </rPh>
    <rPh sb="10" eb="13">
      <t>キカクガイ</t>
    </rPh>
    <rPh sb="15" eb="17">
      <t>ハンテイ</t>
    </rPh>
    <phoneticPr fontId="6"/>
  </si>
  <si>
    <t>規格外Ｂ（計）</t>
    <rPh sb="0" eb="3">
      <t>キカクガイ</t>
    </rPh>
    <phoneticPr fontId="6"/>
  </si>
  <si>
    <t>農産物検査において「規格外」と判定されたもののうち、Ｂランクのもの</t>
    <rPh sb="0" eb="3">
      <t>ノウサンブツ</t>
    </rPh>
    <rPh sb="3" eb="5">
      <t>ケンサ</t>
    </rPh>
    <rPh sb="10" eb="13">
      <t>キカクガイ</t>
    </rPh>
    <rPh sb="15" eb="17">
      <t>ハンテイ</t>
    </rPh>
    <phoneticPr fontId="6"/>
  </si>
  <si>
    <t>規格外Ｃ</t>
    <rPh sb="0" eb="3">
      <t>キカクガイ</t>
    </rPh>
    <phoneticPr fontId="6"/>
  </si>
  <si>
    <t>農産物検査において「規格外」と判定されたもののうち、Ｃランクのもの</t>
    <rPh sb="0" eb="3">
      <t>ノウサンブツ</t>
    </rPh>
    <rPh sb="3" eb="5">
      <t>ケンサ</t>
    </rPh>
    <rPh sb="10" eb="13">
      <t>キカクガイ</t>
    </rPh>
    <rPh sb="15" eb="17">
      <t>ハンテイ</t>
    </rPh>
    <phoneticPr fontId="6"/>
  </si>
  <si>
    <t>「自家用」の単価を記入してください。</t>
    <rPh sb="1" eb="3">
      <t>ジカ</t>
    </rPh>
    <rPh sb="3" eb="4">
      <t>ヨウ</t>
    </rPh>
    <rPh sb="6" eb="8">
      <t>タンカ</t>
    </rPh>
    <rPh sb="9" eb="11">
      <t>キニュウ</t>
    </rPh>
    <phoneticPr fontId="6"/>
  </si>
  <si>
    <t>種子用のほか、１・２等や規格外と同等の品質を有するもの</t>
    <rPh sb="0" eb="2">
      <t>シュシ</t>
    </rPh>
    <rPh sb="2" eb="3">
      <t>ヨウ</t>
    </rPh>
    <rPh sb="10" eb="11">
      <t>トウ</t>
    </rPh>
    <rPh sb="12" eb="15">
      <t>キカクガイ</t>
    </rPh>
    <rPh sb="16" eb="18">
      <t>ドウトウ</t>
    </rPh>
    <rPh sb="19" eb="21">
      <t>ヒンシツ</t>
    </rPh>
    <rPh sb="22" eb="23">
      <t>ユウ</t>
    </rPh>
    <phoneticPr fontId="6"/>
  </si>
  <si>
    <t>自　　家　　用_x000D_
（ビール麦を除く。）</t>
    <phoneticPr fontId="6"/>
  </si>
  <si>
    <t>食用</t>
    <rPh sb="0" eb="2">
      <t>ショクヨウ</t>
    </rPh>
    <phoneticPr fontId="6"/>
  </si>
  <si>
    <t>食用に仕向けた（予定を含む。）１・２等、規格外Ａのもの</t>
    <rPh sb="0" eb="1">
      <t>ショク</t>
    </rPh>
    <rPh sb="1" eb="2">
      <t>ヨウ</t>
    </rPh>
    <rPh sb="3" eb="5">
      <t>シム</t>
    </rPh>
    <rPh sb="8" eb="10">
      <t>ヨテイ</t>
    </rPh>
    <rPh sb="11" eb="12">
      <t>フク</t>
    </rPh>
    <rPh sb="18" eb="19">
      <t>トウ</t>
    </rPh>
    <rPh sb="20" eb="23">
      <t>キカクガイ</t>
    </rPh>
    <phoneticPr fontId="6"/>
  </si>
  <si>
    <t>自家用</t>
    <rPh sb="0" eb="3">
      <t>ジカヨウ</t>
    </rPh>
    <phoneticPr fontId="6"/>
  </si>
  <si>
    <t>種子用</t>
    <rPh sb="0" eb="2">
      <t>シュシ</t>
    </rPh>
    <rPh sb="2" eb="3">
      <t>ヨウ</t>
    </rPh>
    <phoneticPr fontId="6"/>
  </si>
  <si>
    <t>種子用に仕向けた（予定を含む。）もの</t>
    <rPh sb="0" eb="2">
      <t>シュシ</t>
    </rPh>
    <rPh sb="2" eb="3">
      <t>ヨウ</t>
    </rPh>
    <rPh sb="4" eb="6">
      <t>シム</t>
    </rPh>
    <rPh sb="9" eb="11">
      <t>ヨテイ</t>
    </rPh>
    <rPh sb="12" eb="13">
      <t>フク</t>
    </rPh>
    <phoneticPr fontId="6"/>
  </si>
  <si>
    <t>規格外Ｂ</t>
    <rPh sb="0" eb="3">
      <t>キカクガイ</t>
    </rPh>
    <phoneticPr fontId="6"/>
  </si>
  <si>
    <t>自家用に仕向けた（予定を含む。）規格外のうちＢランクのもの</t>
    <phoneticPr fontId="6"/>
  </si>
  <si>
    <t>自家用に仕向けた（予定を含む。）規格外のうちＣランクのもの</t>
    <phoneticPr fontId="6"/>
  </si>
  <si>
    <t>自家用計</t>
    <rPh sb="0" eb="2">
      <t>ジカ</t>
    </rPh>
    <rPh sb="2" eb="3">
      <t>ヨウ</t>
    </rPh>
    <rPh sb="3" eb="4">
      <t>ケイ</t>
    </rPh>
    <phoneticPr fontId="6"/>
  </si>
  <si>
    <t>食用、種子用、規格外Ｂ・Ｃ以外に仕向けた（予定を含む。）もの</t>
    <rPh sb="0" eb="2">
      <t>ショクヨウ</t>
    </rPh>
    <rPh sb="3" eb="5">
      <t>シュシ</t>
    </rPh>
    <rPh sb="5" eb="6">
      <t>ヨウ</t>
    </rPh>
    <rPh sb="7" eb="10">
      <t>キカクガイ</t>
    </rPh>
    <rPh sb="13" eb="15">
      <t>イガイ</t>
    </rPh>
    <rPh sb="16" eb="18">
      <t>シム</t>
    </rPh>
    <rPh sb="21" eb="23">
      <t>ヨテイ</t>
    </rPh>
    <rPh sb="24" eb="25">
      <t>フク</t>
    </rPh>
    <phoneticPr fontId="6"/>
  </si>
  <si>
    <t>【職員記入欄】</t>
    <phoneticPr fontId="6"/>
  </si>
  <si>
    <t>【２】生産物の販売等の状況（続き）</t>
    <rPh sb="3" eb="6">
      <t>セイサンブツ</t>
    </rPh>
    <rPh sb="7" eb="9">
      <t>ハンバイ</t>
    </rPh>
    <rPh sb="9" eb="10">
      <t>トウ</t>
    </rPh>
    <rPh sb="11" eb="13">
      <t>ジョウキョウ</t>
    </rPh>
    <rPh sb="14" eb="15">
      <t>ツヅ</t>
    </rPh>
    <phoneticPr fontId="6"/>
  </si>
  <si>
    <t>２　麦わら、くず麦の販売状況等</t>
    <phoneticPr fontId="6"/>
  </si>
  <si>
    <t>３　麦わら、くず麦の販売状況等</t>
    <rPh sb="2" eb="3">
      <t>ムギ</t>
    </rPh>
    <rPh sb="8" eb="9">
      <t>ムギ</t>
    </rPh>
    <rPh sb="10" eb="12">
      <t>ハンバイ</t>
    </rPh>
    <rPh sb="12" eb="14">
      <t>ジョウキョウ</t>
    </rPh>
    <rPh sb="14" eb="15">
      <t>トウ</t>
    </rPh>
    <phoneticPr fontId="6"/>
  </si>
  <si>
    <t>　当年産の対象品目の麦生産で発生した麦わら及びくず麦の状況について記入してください。</t>
    <rPh sb="1" eb="2">
      <t>トウ</t>
    </rPh>
    <rPh sb="2" eb="4">
      <t>ネンサン</t>
    </rPh>
    <rPh sb="3" eb="4">
      <t>サン</t>
    </rPh>
    <rPh sb="5" eb="7">
      <t>タイショウ</t>
    </rPh>
    <rPh sb="7" eb="9">
      <t>ヒンモク</t>
    </rPh>
    <rPh sb="10" eb="11">
      <t>ムギ</t>
    </rPh>
    <rPh sb="11" eb="13">
      <t>セイサン</t>
    </rPh>
    <rPh sb="14" eb="16">
      <t>ハッセイ</t>
    </rPh>
    <rPh sb="18" eb="19">
      <t>ムギ</t>
    </rPh>
    <rPh sb="21" eb="22">
      <t>オヨ</t>
    </rPh>
    <rPh sb="25" eb="26">
      <t>ムギ</t>
    </rPh>
    <rPh sb="27" eb="29">
      <t>ジョウキョウ</t>
    </rPh>
    <phoneticPr fontId="6"/>
  </si>
  <si>
    <t>　なお、実際に販売したものは販売金額から搬出費、包装荷造り費等出荷経費を除いた金額</t>
    <rPh sb="4" eb="6">
      <t>ジッサイ</t>
    </rPh>
    <rPh sb="7" eb="9">
      <t>ハンバイ</t>
    </rPh>
    <rPh sb="14" eb="16">
      <t>ハンバイ</t>
    </rPh>
    <rPh sb="16" eb="18">
      <t>キンガク</t>
    </rPh>
    <rPh sb="20" eb="23">
      <t>ハンシュツヒ</t>
    </rPh>
    <rPh sb="24" eb="26">
      <t>ホウソウ</t>
    </rPh>
    <rPh sb="26" eb="28">
      <t>ニヅク</t>
    </rPh>
    <rPh sb="29" eb="30">
      <t>ヒ</t>
    </rPh>
    <rPh sb="30" eb="31">
      <t>トウ</t>
    </rPh>
    <rPh sb="31" eb="33">
      <t>シュッカ</t>
    </rPh>
    <rPh sb="33" eb="35">
      <t>ケイヒ</t>
    </rPh>
    <rPh sb="36" eb="37">
      <t>ノゾ</t>
    </rPh>
    <phoneticPr fontId="6"/>
  </si>
  <si>
    <t>を記入してください。</t>
  </si>
  <si>
    <t>(1)　麦わら</t>
    <rPh sb="4" eb="5">
      <t>ムギ</t>
    </rPh>
    <phoneticPr fontId="6"/>
  </si>
  <si>
    <t>　</t>
    <phoneticPr fontId="6"/>
  </si>
  <si>
    <t>副産物</t>
    <rPh sb="0" eb="3">
      <t>フクサンブツ</t>
    </rPh>
    <phoneticPr fontId="6"/>
  </si>
  <si>
    <t>　 「数量の割合」欄には、全体の数量を100％とした場合のそれぞれの数量の割合を記入</t>
    <rPh sb="3" eb="5">
      <t>スウリョウ</t>
    </rPh>
    <rPh sb="6" eb="8">
      <t>ワリアイ</t>
    </rPh>
    <rPh sb="9" eb="10">
      <t>ラン</t>
    </rPh>
    <rPh sb="13" eb="15">
      <t>ゼンタイ</t>
    </rPh>
    <rPh sb="16" eb="18">
      <t>スウリョウ</t>
    </rPh>
    <rPh sb="26" eb="28">
      <t>バアイ</t>
    </rPh>
    <rPh sb="34" eb="36">
      <t>スウリョウ</t>
    </rPh>
    <rPh sb="37" eb="39">
      <t>ワリアイ</t>
    </rPh>
    <phoneticPr fontId="6"/>
  </si>
  <si>
    <t>「麦わら」数量を対象品目の麦数量から換算する係数を記入してください。</t>
    <rPh sb="1" eb="2">
      <t>ムギ</t>
    </rPh>
    <rPh sb="5" eb="7">
      <t>スウリョウ</t>
    </rPh>
    <rPh sb="13" eb="14">
      <t>ムギ</t>
    </rPh>
    <rPh sb="14" eb="16">
      <t>スウリョウ</t>
    </rPh>
    <rPh sb="18" eb="20">
      <t>カンサン</t>
    </rPh>
    <rPh sb="22" eb="24">
      <t>ケイスウ</t>
    </rPh>
    <rPh sb="25" eb="27">
      <t>キニュウ</t>
    </rPh>
    <phoneticPr fontId="6"/>
  </si>
  <si>
    <t>「自家用麦わら」、「自家用規格外Ｂ」、「自家用規格外Ｃ」及び「自家用くず麦」の単価を記入してください。</t>
    <rPh sb="1" eb="4">
      <t>ジカヨウ</t>
    </rPh>
    <rPh sb="4" eb="5">
      <t>ムギ</t>
    </rPh>
    <rPh sb="10" eb="13">
      <t>ジカヨウ</t>
    </rPh>
    <rPh sb="13" eb="16">
      <t>キカクガイ</t>
    </rPh>
    <rPh sb="28" eb="29">
      <t>オヨ</t>
    </rPh>
    <rPh sb="36" eb="37">
      <t>ムギ</t>
    </rPh>
    <rPh sb="39" eb="41">
      <t>タンカ</t>
    </rPh>
    <rPh sb="42" eb="44">
      <t>キニュウ</t>
    </rPh>
    <phoneticPr fontId="6"/>
  </si>
  <si>
    <t>　してください。</t>
    <phoneticPr fontId="6"/>
  </si>
  <si>
    <t>数量の割合
（％）</t>
    <rPh sb="0" eb="2">
      <t>スウリョウ</t>
    </rPh>
    <rPh sb="3" eb="4">
      <t>ワリ</t>
    </rPh>
    <rPh sb="4" eb="5">
      <t>ゴウ</t>
    </rPh>
    <phoneticPr fontId="6"/>
  </si>
  <si>
    <t>数量（kg）、係数</t>
    <rPh sb="0" eb="2">
      <t>スウリョウ</t>
    </rPh>
    <rPh sb="7" eb="9">
      <t>ケイスウ</t>
    </rPh>
    <phoneticPr fontId="6"/>
  </si>
  <si>
    <t>単価</t>
    <rPh sb="0" eb="2">
      <t>タンカ</t>
    </rPh>
    <phoneticPr fontId="6"/>
  </si>
  <si>
    <t>麦かん、麦わら加工品、麦ぬか、ふすま等</t>
    <rPh sb="0" eb="1">
      <t>ムギ</t>
    </rPh>
    <rPh sb="4" eb="5">
      <t>ムギ</t>
    </rPh>
    <rPh sb="7" eb="10">
      <t>カコウヒン</t>
    </rPh>
    <rPh sb="11" eb="12">
      <t>ムギ</t>
    </rPh>
    <rPh sb="18" eb="19">
      <t>トウ</t>
    </rPh>
    <phoneticPr fontId="6"/>
  </si>
  <si>
    <t>対象品目の麦数量</t>
    <rPh sb="0" eb="2">
      <t>タイショウ</t>
    </rPh>
    <rPh sb="2" eb="4">
      <t>ヒンモク</t>
    </rPh>
    <rPh sb="5" eb="6">
      <t>バク</t>
    </rPh>
    <rPh sb="6" eb="8">
      <t>スウリョウ</t>
    </rPh>
    <phoneticPr fontId="6"/>
  </si>
  <si>
    <t>販売用</t>
    <rPh sb="0" eb="2">
      <t>ハンバイ</t>
    </rPh>
    <rPh sb="2" eb="3">
      <t>ヨウ</t>
    </rPh>
    <phoneticPr fontId="6"/>
  </si>
  <si>
    <t>規格外Ｂ</t>
    <rPh sb="0" eb="2">
      <t>キカク</t>
    </rPh>
    <rPh sb="2" eb="3">
      <t>ガイ</t>
    </rPh>
    <phoneticPr fontId="62"/>
  </si>
  <si>
    <t>販売していない麦わら全般</t>
    <rPh sb="0" eb="2">
      <t>ハンバイ</t>
    </rPh>
    <rPh sb="7" eb="8">
      <t>ムギ</t>
    </rPh>
    <rPh sb="10" eb="12">
      <t>ゼンパン</t>
    </rPh>
    <phoneticPr fontId="6"/>
  </si>
  <si>
    <t>係数</t>
    <rPh sb="0" eb="2">
      <t>ケイスウ</t>
    </rPh>
    <phoneticPr fontId="6"/>
  </si>
  <si>
    <t>規格外Ｃ</t>
    <rPh sb="0" eb="3">
      <t>キカクガイ</t>
    </rPh>
    <phoneticPr fontId="62"/>
  </si>
  <si>
    <t>うち無評価分</t>
    <rPh sb="2" eb="5">
      <t>ムヒョウカ</t>
    </rPh>
    <rPh sb="5" eb="6">
      <t>ブン</t>
    </rPh>
    <phoneticPr fontId="6"/>
  </si>
  <si>
    <t>刈取機の切断わらや野積み等のわら</t>
    <rPh sb="0" eb="2">
      <t>カリト</t>
    </rPh>
    <rPh sb="2" eb="3">
      <t>キ</t>
    </rPh>
    <rPh sb="4" eb="6">
      <t>セツダン</t>
    </rPh>
    <rPh sb="9" eb="10">
      <t>ノ</t>
    </rPh>
    <rPh sb="10" eb="11">
      <t>ヅ</t>
    </rPh>
    <rPh sb="12" eb="13">
      <t>トウ</t>
    </rPh>
    <phoneticPr fontId="6"/>
  </si>
  <si>
    <t>麦わら数量</t>
    <rPh sb="0" eb="1">
      <t>ムギ</t>
    </rPh>
    <rPh sb="3" eb="5">
      <t>スウリョウ</t>
    </rPh>
    <phoneticPr fontId="6"/>
  </si>
  <si>
    <t>くず麦</t>
    <rPh sb="2" eb="3">
      <t>ムギ</t>
    </rPh>
    <phoneticPr fontId="62"/>
  </si>
  <si>
    <t>計</t>
    <rPh sb="0" eb="1">
      <t>ケイ</t>
    </rPh>
    <phoneticPr fontId="6"/>
  </si>
  <si>
    <t>麦わら</t>
    <rPh sb="0" eb="1">
      <t>ムギ</t>
    </rPh>
    <phoneticPr fontId="62"/>
  </si>
  <si>
    <t>(2)　くず麦</t>
    <rPh sb="6" eb="7">
      <t>ムギ</t>
    </rPh>
    <phoneticPr fontId="6"/>
  </si>
  <si>
    <t xml:space="preserve"> 　用途別に数量の割合を記入してください。</t>
    <rPh sb="2" eb="5">
      <t>ヨウトベツ</t>
    </rPh>
    <rPh sb="6" eb="8">
      <t>スウリョウ</t>
    </rPh>
    <rPh sb="9" eb="11">
      <t>ワリアイ</t>
    </rPh>
    <phoneticPr fontId="6"/>
  </si>
  <si>
    <t>「くず麦」数量を対象品目の麦数量から換算する係数を記入してください。</t>
    <rPh sb="3" eb="4">
      <t>ムギ</t>
    </rPh>
    <phoneticPr fontId="6"/>
  </si>
  <si>
    <t>評価分</t>
    <rPh sb="0" eb="2">
      <t>ヒョウカ</t>
    </rPh>
    <rPh sb="2" eb="3">
      <t>ブン</t>
    </rPh>
    <phoneticPr fontId="62"/>
  </si>
  <si>
    <t>数量の
割合
（％）</t>
    <rPh sb="0" eb="1">
      <t>カズ</t>
    </rPh>
    <rPh sb="1" eb="2">
      <t>リョウ</t>
    </rPh>
    <rPh sb="4" eb="6">
      <t>ワリア</t>
    </rPh>
    <phoneticPr fontId="6"/>
  </si>
  <si>
    <t>無評価分</t>
    <rPh sb="0" eb="1">
      <t>ム</t>
    </rPh>
    <rPh sb="1" eb="3">
      <t>ヒョウカ</t>
    </rPh>
    <rPh sb="3" eb="4">
      <t>ブン</t>
    </rPh>
    <phoneticPr fontId="62"/>
  </si>
  <si>
    <t>その他
（廃棄等）</t>
    <rPh sb="2" eb="3">
      <t>タ</t>
    </rPh>
    <rPh sb="5" eb="7">
      <t>ハイキ</t>
    </rPh>
    <rPh sb="7" eb="8">
      <t>トウ</t>
    </rPh>
    <phoneticPr fontId="6"/>
  </si>
  <si>
    <t>注：単価の単位は、麦わらは円/kg、規格外麦、くず麦は円/単位数量です。</t>
    <rPh sb="0" eb="1">
      <t>チュウ</t>
    </rPh>
    <rPh sb="2" eb="4">
      <t>タンカ</t>
    </rPh>
    <rPh sb="5" eb="7">
      <t>タンイ</t>
    </rPh>
    <rPh sb="9" eb="10">
      <t>ムギ</t>
    </rPh>
    <rPh sb="13" eb="14">
      <t>エン</t>
    </rPh>
    <rPh sb="18" eb="21">
      <t>キカクガイ</t>
    </rPh>
    <rPh sb="21" eb="22">
      <t>ムギ</t>
    </rPh>
    <rPh sb="25" eb="26">
      <t>ムギ</t>
    </rPh>
    <rPh sb="27" eb="28">
      <t>エン</t>
    </rPh>
    <rPh sb="29" eb="31">
      <t>タンイ</t>
    </rPh>
    <rPh sb="31" eb="33">
      <t>スウリョウ</t>
    </rPh>
    <phoneticPr fontId="6"/>
  </si>
  <si>
    <t>くず麦</t>
    <rPh sb="2" eb="3">
      <t>ムギ</t>
    </rPh>
    <phoneticPr fontId="6"/>
  </si>
  <si>
    <t>くず麦数量</t>
    <rPh sb="2" eb="3">
      <t>ムギ</t>
    </rPh>
    <rPh sb="3" eb="5">
      <t>スウリョウ</t>
    </rPh>
    <phoneticPr fontId="6"/>
  </si>
  <si>
    <t>販 売 金 額
 （円）</t>
    <rPh sb="0" eb="1">
      <t>ハン</t>
    </rPh>
    <rPh sb="2" eb="3">
      <t>バイ</t>
    </rPh>
    <rPh sb="4" eb="5">
      <t>キン</t>
    </rPh>
    <rPh sb="6" eb="7">
      <t>ガク</t>
    </rPh>
    <phoneticPr fontId="6"/>
  </si>
  <si>
    <t>１　作柄概況</t>
    <rPh sb="2" eb="4">
      <t>サクガラ</t>
    </rPh>
    <rPh sb="4" eb="6">
      <t>ガイキョウ</t>
    </rPh>
    <phoneticPr fontId="6"/>
  </si>
  <si>
    <t>２　被害の状況や品質</t>
    <rPh sb="2" eb="4">
      <t>ヒガイ</t>
    </rPh>
    <rPh sb="5" eb="7">
      <t>ジョウキョウ</t>
    </rPh>
    <rPh sb="8" eb="10">
      <t>ヒンシツ</t>
    </rPh>
    <phoneticPr fontId="6"/>
  </si>
  <si>
    <t>３　栽培状況の変化</t>
    <rPh sb="2" eb="4">
      <t>サイバイ</t>
    </rPh>
    <rPh sb="4" eb="6">
      <t>ジョウキョウ</t>
    </rPh>
    <rPh sb="7" eb="9">
      <t>ヘンカ</t>
    </rPh>
    <phoneticPr fontId="6"/>
  </si>
  <si>
    <t xml:space="preserve"> (1)　新たな品種の導入</t>
    <rPh sb="5" eb="6">
      <t>アラ</t>
    </rPh>
    <rPh sb="8" eb="10">
      <t>ヒンシュ</t>
    </rPh>
    <rPh sb="11" eb="13">
      <t>ドウニュウ</t>
    </rPh>
    <phoneticPr fontId="6"/>
  </si>
  <si>
    <t xml:space="preserve"> (2)　新たな設備・機械の導入</t>
    <rPh sb="5" eb="6">
      <t>アラ</t>
    </rPh>
    <rPh sb="8" eb="10">
      <t>セツビ</t>
    </rPh>
    <rPh sb="11" eb="13">
      <t>キカイ</t>
    </rPh>
    <rPh sb="14" eb="16">
      <t>ドウニュウ</t>
    </rPh>
    <phoneticPr fontId="6"/>
  </si>
  <si>
    <t xml:space="preserve"> (3)　その他（新たな栽培技術の導入）</t>
    <phoneticPr fontId="6"/>
  </si>
  <si>
    <t xml:space="preserve"> (4)　直まき栽培の導入</t>
    <phoneticPr fontId="6"/>
  </si>
  <si>
    <t>【３】対象品目の生産のために使用した資材等</t>
    <rPh sb="3" eb="5">
      <t>タイショウ</t>
    </rPh>
    <rPh sb="5" eb="7">
      <t>ヒンモク</t>
    </rPh>
    <rPh sb="8" eb="10">
      <t>セイサン</t>
    </rPh>
    <rPh sb="14" eb="16">
      <t>シヨウ</t>
    </rPh>
    <rPh sb="18" eb="20">
      <t>シザイ</t>
    </rPh>
    <rPh sb="20" eb="21">
      <t>トウ</t>
    </rPh>
    <phoneticPr fontId="6"/>
  </si>
  <si>
    <t xml:space="preserve">  １　種苗費</t>
    <rPh sb="4" eb="7">
      <t>シュビョウヒ</t>
    </rPh>
    <phoneticPr fontId="6"/>
  </si>
  <si>
    <t>　　当年産の対象品目生産のために使用した種子及び苗について、黄色の欄に記入してください。</t>
    <rPh sb="2" eb="4">
      <t>トウネン</t>
    </rPh>
    <rPh sb="4" eb="5">
      <t>サン</t>
    </rPh>
    <rPh sb="10" eb="12">
      <t>セイサン</t>
    </rPh>
    <rPh sb="16" eb="18">
      <t>シヨウ</t>
    </rPh>
    <rPh sb="20" eb="22">
      <t>シュシ</t>
    </rPh>
    <rPh sb="22" eb="23">
      <t>オヨ</t>
    </rPh>
    <rPh sb="24" eb="25">
      <t>ナエ</t>
    </rPh>
    <phoneticPr fontId="6"/>
  </si>
  <si>
    <t xml:space="preserve"> 　 なお、内訳欄を利用してそれぞれの「計」の内訳を記入する場合は、その合計が「計」となるよ</t>
    <rPh sb="6" eb="8">
      <t>ウチワケ</t>
    </rPh>
    <rPh sb="8" eb="9">
      <t>ラン</t>
    </rPh>
    <rPh sb="10" eb="12">
      <t>リヨウ</t>
    </rPh>
    <rPh sb="20" eb="21">
      <t>ケイ</t>
    </rPh>
    <rPh sb="23" eb="25">
      <t>ウチワケ</t>
    </rPh>
    <rPh sb="30" eb="32">
      <t>バアイ</t>
    </rPh>
    <phoneticPr fontId="6"/>
  </si>
  <si>
    <t>　う記入してください。</t>
  </si>
  <si>
    <t>　(1)　種子</t>
    <phoneticPr fontId="6"/>
  </si>
  <si>
    <r>
      <t>　(1)　種子</t>
    </r>
    <r>
      <rPr>
        <sz val="12"/>
        <color rgb="FF000000"/>
        <rFont val="ＭＳ ゴシック"/>
        <family val="3"/>
        <charset val="128"/>
      </rPr>
      <t>（種いも）</t>
    </r>
    <rPh sb="5" eb="7">
      <t>シュシ</t>
    </rPh>
    <rPh sb="8" eb="9">
      <t>タネ</t>
    </rPh>
    <phoneticPr fontId="6"/>
  </si>
  <si>
    <t>品種名等</t>
    <rPh sb="0" eb="2">
      <t>ヒンシュ</t>
    </rPh>
    <rPh sb="2" eb="3">
      <t>メイ</t>
    </rPh>
    <rPh sb="3" eb="4">
      <t>トウ</t>
    </rPh>
    <phoneticPr fontId="6"/>
  </si>
  <si>
    <t>金　　額　（円）</t>
    <rPh sb="0" eb="1">
      <t>キン</t>
    </rPh>
    <rPh sb="3" eb="4">
      <t>ガク</t>
    </rPh>
    <rPh sb="6" eb="7">
      <t>エン</t>
    </rPh>
    <phoneticPr fontId="6"/>
  </si>
  <si>
    <t>購入</t>
    <rPh sb="0" eb="2">
      <t>コウニュウ</t>
    </rPh>
    <phoneticPr fontId="6"/>
  </si>
  <si>
    <t>（計）</t>
    <rPh sb="1" eb="2">
      <t>ケイ</t>
    </rPh>
    <phoneticPr fontId="6"/>
  </si>
  <si>
    <t>－</t>
    <phoneticPr fontId="6"/>
  </si>
  <si>
    <t>品種名等</t>
    <phoneticPr fontId="6"/>
  </si>
  <si>
    <t>種子（購入）計</t>
    <rPh sb="0" eb="2">
      <t>シュシ</t>
    </rPh>
    <rPh sb="3" eb="5">
      <t>コウニュウ</t>
    </rPh>
    <rPh sb="6" eb="7">
      <t>ケイ</t>
    </rPh>
    <phoneticPr fontId="6"/>
  </si>
  <si>
    <t>「自給」の単価を記入してください。</t>
    <rPh sb="1" eb="3">
      <t>ジキュウ</t>
    </rPh>
    <rPh sb="5" eb="7">
      <t>タンカ</t>
    </rPh>
    <rPh sb="8" eb="10">
      <t>キニュウ</t>
    </rPh>
    <phoneticPr fontId="6"/>
  </si>
  <si>
    <t>自給</t>
    <rPh sb="0" eb="2">
      <t>ジキュウ</t>
    </rPh>
    <phoneticPr fontId="6"/>
  </si>
  <si>
    <t>　(2)　苗</t>
    <phoneticPr fontId="6"/>
  </si>
  <si>
    <t>種子（自給）計</t>
    <rPh sb="0" eb="2">
      <t>シュシ</t>
    </rPh>
    <rPh sb="3" eb="5">
      <t>ジキュウ</t>
    </rPh>
    <rPh sb="6" eb="7">
      <t>ケイ</t>
    </rPh>
    <phoneticPr fontId="6"/>
  </si>
  <si>
    <t>　(2)　苗</t>
    <phoneticPr fontId="6"/>
  </si>
  <si>
    <t>　(2)　苗</t>
    <rPh sb="5" eb="6">
      <t>ナエ</t>
    </rPh>
    <phoneticPr fontId="6"/>
  </si>
  <si>
    <t>－</t>
    <phoneticPr fontId="6"/>
  </si>
  <si>
    <t>苗（購入）計</t>
    <rPh sb="0" eb="1">
      <t>ナエ</t>
    </rPh>
    <rPh sb="2" eb="4">
      <t>コウニュウ</t>
    </rPh>
    <rPh sb="5" eb="6">
      <t>ケイ</t>
    </rPh>
    <phoneticPr fontId="6"/>
  </si>
  <si>
    <t>「自給」の単価を記入してください。</t>
    <phoneticPr fontId="6"/>
  </si>
  <si>
    <t>品種名等</t>
    <phoneticPr fontId="6"/>
  </si>
  <si>
    <t>数量</t>
    <phoneticPr fontId="6"/>
  </si>
  <si>
    <t>単価</t>
    <phoneticPr fontId="6"/>
  </si>
  <si>
    <t>価額（円）</t>
    <phoneticPr fontId="6"/>
  </si>
  <si>
    <t>苗（自給）計</t>
    <rPh sb="0" eb="1">
      <t>ナエ</t>
    </rPh>
    <rPh sb="2" eb="4">
      <t>ジキュウ</t>
    </rPh>
    <rPh sb="5" eb="6">
      <t>ケイ</t>
    </rPh>
    <phoneticPr fontId="6"/>
  </si>
  <si>
    <t>種苗費（購入）計</t>
    <rPh sb="0" eb="2">
      <t>シュビョウ</t>
    </rPh>
    <rPh sb="2" eb="3">
      <t>ヒ</t>
    </rPh>
    <rPh sb="4" eb="6">
      <t>コウニュウ</t>
    </rPh>
    <rPh sb="7" eb="8">
      <t>ケイ</t>
    </rPh>
    <phoneticPr fontId="6"/>
  </si>
  <si>
    <t>種苗費（自給）計</t>
    <rPh sb="0" eb="2">
      <t>シュビョウ</t>
    </rPh>
    <rPh sb="4" eb="6">
      <t>ジキュウ</t>
    </rPh>
    <rPh sb="7" eb="8">
      <t>ケイ</t>
    </rPh>
    <phoneticPr fontId="6"/>
  </si>
  <si>
    <t>２　肥料費</t>
    <rPh sb="2" eb="5">
      <t>ヒリョウヒ</t>
    </rPh>
    <phoneticPr fontId="6"/>
  </si>
  <si>
    <t xml:space="preserve">    当年産の対象品目生産のために使用した肥料について、黄色の欄に記</t>
    <rPh sb="4" eb="6">
      <t>トウネン</t>
    </rPh>
    <rPh sb="6" eb="7">
      <t>サン</t>
    </rPh>
    <rPh sb="8" eb="10">
      <t>タイショウ</t>
    </rPh>
    <rPh sb="10" eb="12">
      <t>ヒンモク</t>
    </rPh>
    <rPh sb="12" eb="14">
      <t>セイサン</t>
    </rPh>
    <rPh sb="18" eb="20">
      <t>シヨウ</t>
    </rPh>
    <rPh sb="22" eb="24">
      <t>ヒリョウ</t>
    </rPh>
    <phoneticPr fontId="6"/>
  </si>
  <si>
    <t>　入してください。</t>
    <phoneticPr fontId="6"/>
  </si>
  <si>
    <t xml:space="preserve"> 　 なお、内訳欄を利用して「計」の内訳を記入する場合は、その合計が</t>
    <rPh sb="6" eb="8">
      <t>ウチワケ</t>
    </rPh>
    <rPh sb="8" eb="9">
      <t>ラン</t>
    </rPh>
    <rPh sb="10" eb="12">
      <t>リヨウ</t>
    </rPh>
    <rPh sb="15" eb="16">
      <t>ケイ</t>
    </rPh>
    <rPh sb="18" eb="20">
      <t>ウチワケ</t>
    </rPh>
    <rPh sb="25" eb="27">
      <t>バアイ</t>
    </rPh>
    <phoneticPr fontId="6"/>
  </si>
  <si>
    <t>　「計」となるよう記入してください。</t>
    <phoneticPr fontId="6"/>
  </si>
  <si>
    <t>資材名等</t>
    <rPh sb="0" eb="3">
      <t>シザイメイ</t>
    </rPh>
    <rPh sb="3" eb="4">
      <t>トウ</t>
    </rPh>
    <phoneticPr fontId="6"/>
  </si>
  <si>
    <t>数　量</t>
    <rPh sb="0" eb="1">
      <t>カズ</t>
    </rPh>
    <rPh sb="2" eb="3">
      <t>リョウ</t>
    </rPh>
    <phoneticPr fontId="6"/>
  </si>
  <si>
    <t>金　 額　（円）</t>
    <rPh sb="0" eb="1">
      <t>キン</t>
    </rPh>
    <rPh sb="3" eb="4">
      <t>ガク</t>
    </rPh>
    <rPh sb="6" eb="7">
      <t>エン</t>
    </rPh>
    <phoneticPr fontId="6"/>
  </si>
  <si>
    <t>対象品目
負担割合
（％）</t>
    <rPh sb="5" eb="7">
      <t>フタン</t>
    </rPh>
    <rPh sb="7" eb="9">
      <t>ワリアイ</t>
    </rPh>
    <phoneticPr fontId="6"/>
  </si>
  <si>
    <t>備考欄</t>
    <rPh sb="0" eb="2">
      <t>ビコウ</t>
    </rPh>
    <rPh sb="2" eb="3">
      <t>ラン</t>
    </rPh>
    <phoneticPr fontId="6"/>
  </si>
  <si>
    <t>資材名等</t>
    <rPh sb="0" eb="2">
      <t>シザイ</t>
    </rPh>
    <phoneticPr fontId="6"/>
  </si>
  <si>
    <t>数量（㎏）</t>
    <rPh sb="0" eb="2">
      <t>スウリョウ</t>
    </rPh>
    <phoneticPr fontId="6"/>
  </si>
  <si>
    <t>単価
（円/kg）</t>
    <rPh sb="0" eb="2">
      <t>タンカ</t>
    </rPh>
    <phoneticPr fontId="6"/>
  </si>
  <si>
    <t>－</t>
    <phoneticPr fontId="6"/>
  </si>
  <si>
    <t>肥料費（購入）計</t>
    <rPh sb="0" eb="2">
      <t>ヒリョウ</t>
    </rPh>
    <rPh sb="2" eb="3">
      <t>ヒ</t>
    </rPh>
    <rPh sb="4" eb="6">
      <t>コウニュウ</t>
    </rPh>
    <rPh sb="7" eb="8">
      <t>ケイ</t>
    </rPh>
    <phoneticPr fontId="6"/>
  </si>
  <si>
    <t>窒素質肥料</t>
    <rPh sb="0" eb="3">
      <t>チッソシツ</t>
    </rPh>
    <rPh sb="3" eb="5">
      <t>ヒリョウ</t>
    </rPh>
    <phoneticPr fontId="6"/>
  </si>
  <si>
    <t>窒素質肥料（計）</t>
    <phoneticPr fontId="6"/>
  </si>
  <si>
    <t>りん酸質肥料（計）</t>
    <rPh sb="2" eb="3">
      <t>サン</t>
    </rPh>
    <rPh sb="3" eb="4">
      <t>シツ</t>
    </rPh>
    <rPh sb="4" eb="6">
      <t>ヒリョウ</t>
    </rPh>
    <rPh sb="7" eb="8">
      <t>ケイ</t>
    </rPh>
    <phoneticPr fontId="6"/>
  </si>
  <si>
    <t>カリ質肥料（計）</t>
    <phoneticPr fontId="6"/>
  </si>
  <si>
    <t>けい酸質肥料（計）</t>
    <rPh sb="2" eb="3">
      <t>サン</t>
    </rPh>
    <rPh sb="3" eb="4">
      <t>シツ</t>
    </rPh>
    <rPh sb="4" eb="6">
      <t>ヒリョウ</t>
    </rPh>
    <rPh sb="7" eb="8">
      <t>ケイ</t>
    </rPh>
    <phoneticPr fontId="6"/>
  </si>
  <si>
    <t>炭酸カルシウム（計）</t>
    <rPh sb="0" eb="2">
      <t>タンサン</t>
    </rPh>
    <rPh sb="8" eb="9">
      <t>ケイ</t>
    </rPh>
    <phoneticPr fontId="6"/>
  </si>
  <si>
    <t>りん酸質肥料</t>
    <rPh sb="2" eb="4">
      <t>サンシツ</t>
    </rPh>
    <rPh sb="4" eb="6">
      <t>ヒリョウ</t>
    </rPh>
    <phoneticPr fontId="6"/>
  </si>
  <si>
    <t>複合肥料（計）</t>
    <rPh sb="0" eb="2">
      <t>フクゴウ</t>
    </rPh>
    <rPh sb="2" eb="4">
      <t>ヒリョウ</t>
    </rPh>
    <rPh sb="5" eb="6">
      <t>ケイ</t>
    </rPh>
    <phoneticPr fontId="6"/>
  </si>
  <si>
    <t>土壌改良資材</t>
    <rPh sb="0" eb="2">
      <t>ドジョウ</t>
    </rPh>
    <rPh sb="2" eb="4">
      <t>カイリョウ</t>
    </rPh>
    <rPh sb="4" eb="6">
      <t>シザイ</t>
    </rPh>
    <phoneticPr fontId="6"/>
  </si>
  <si>
    <t>たい肥・きゅう肥</t>
    <phoneticPr fontId="6"/>
  </si>
  <si>
    <t>その他</t>
    <rPh sb="2" eb="3">
      <t>ホカ</t>
    </rPh>
    <phoneticPr fontId="6"/>
  </si>
  <si>
    <t>カリ質肥料</t>
    <rPh sb="2" eb="3">
      <t>シツ</t>
    </rPh>
    <rPh sb="3" eb="5">
      <t>ヒリョウ</t>
    </rPh>
    <phoneticPr fontId="6"/>
  </si>
  <si>
    <t>けい酸質肥料</t>
    <rPh sb="2" eb="3">
      <t>サン</t>
    </rPh>
    <rPh sb="3" eb="4">
      <t>シツ</t>
    </rPh>
    <rPh sb="4" eb="6">
      <t>ヒリョウ</t>
    </rPh>
    <phoneticPr fontId="6"/>
  </si>
  <si>
    <t>炭酸カルシウム</t>
    <rPh sb="0" eb="2">
      <t>タンサン</t>
    </rPh>
    <phoneticPr fontId="6"/>
  </si>
  <si>
    <t>炭酸カルシウムには石灰を含みます。
なお、融雪剤として使用した分は「５諸材料費」に記入してください。</t>
    <rPh sb="21" eb="23">
      <t>ユウセツ</t>
    </rPh>
    <rPh sb="23" eb="24">
      <t>ザイ</t>
    </rPh>
    <rPh sb="27" eb="28">
      <t>シ</t>
    </rPh>
    <rPh sb="28" eb="29">
      <t>ヨウ</t>
    </rPh>
    <rPh sb="31" eb="32">
      <t>ブン</t>
    </rPh>
    <rPh sb="35" eb="36">
      <t>ショ</t>
    </rPh>
    <rPh sb="36" eb="37">
      <t>ザイ</t>
    </rPh>
    <rPh sb="37" eb="38">
      <t>リョウ</t>
    </rPh>
    <rPh sb="38" eb="39">
      <t>ヒ</t>
    </rPh>
    <phoneticPr fontId="6"/>
  </si>
  <si>
    <t>複合肥料</t>
    <rPh sb="0" eb="2">
      <t>フクゴウ</t>
    </rPh>
    <rPh sb="2" eb="4">
      <t>ヒリョウ</t>
    </rPh>
    <phoneticPr fontId="6"/>
  </si>
  <si>
    <t>微生物資材、液肥、農薬入り肥料、ペースト肥料、苦土質肥料、微量要素肥料、有機質肥料など</t>
    <phoneticPr fontId="6"/>
  </si>
  <si>
    <t>たい肥・きゅう肥</t>
    <rPh sb="2" eb="3">
      <t>ヒ</t>
    </rPh>
    <rPh sb="7" eb="8">
      <t>ヒ</t>
    </rPh>
    <phoneticPr fontId="6"/>
  </si>
  <si>
    <t xml:space="preserve">  　当年産の対象品目生産のために使用した肥料のうち、自家で生産した肥料について記入して</t>
    <phoneticPr fontId="6"/>
  </si>
  <si>
    <t xml:space="preserve">  ください。</t>
    <phoneticPr fontId="6"/>
  </si>
  <si>
    <t xml:space="preserve"> ２肥料費のうち、「自給」の単価を記入してください。</t>
    <rPh sb="2" eb="5">
      <t>ヒリョウヒ</t>
    </rPh>
    <rPh sb="10" eb="12">
      <t>ジキュウ</t>
    </rPh>
    <rPh sb="14" eb="16">
      <t>タンカ</t>
    </rPh>
    <rPh sb="17" eb="19">
      <t>キニュウ</t>
    </rPh>
    <phoneticPr fontId="6"/>
  </si>
  <si>
    <t>単価（円/kg）</t>
    <rPh sb="0" eb="2">
      <t>タンカ</t>
    </rPh>
    <phoneticPr fontId="6"/>
  </si>
  <si>
    <t>たい肥</t>
    <rPh sb="2" eb="3">
      <t>ヒ</t>
    </rPh>
    <phoneticPr fontId="6"/>
  </si>
  <si>
    <t>きゅう肥</t>
    <rPh sb="3" eb="4">
      <t>ヒ</t>
    </rPh>
    <phoneticPr fontId="6"/>
  </si>
  <si>
    <t>kg</t>
    <phoneticPr fontId="6"/>
  </si>
  <si>
    <t>稲・麦わら</t>
    <rPh sb="0" eb="1">
      <t>イネ</t>
    </rPh>
    <rPh sb="2" eb="3">
      <t>ムギ</t>
    </rPh>
    <phoneticPr fontId="6"/>
  </si>
  <si>
    <t>注：稲・麦わらは、前作の収穫後にほ場に放置し、そのまま
　すき込んだ分を除いて記入してください。</t>
    <rPh sb="0" eb="1">
      <t>チュウ</t>
    </rPh>
    <rPh sb="2" eb="3">
      <t>イナ</t>
    </rPh>
    <rPh sb="4" eb="5">
      <t>ムギ</t>
    </rPh>
    <rPh sb="9" eb="11">
      <t>ゼンサク</t>
    </rPh>
    <rPh sb="12" eb="14">
      <t>シュウカク</t>
    </rPh>
    <rPh sb="14" eb="15">
      <t>ゴ</t>
    </rPh>
    <rPh sb="17" eb="18">
      <t>ジョウ</t>
    </rPh>
    <rPh sb="19" eb="21">
      <t>ホウチ</t>
    </rPh>
    <phoneticPr fontId="6"/>
  </si>
  <si>
    <t>肥料費（自給）計</t>
    <rPh sb="0" eb="2">
      <t>ヒリョウ</t>
    </rPh>
    <rPh sb="2" eb="3">
      <t>ヒ</t>
    </rPh>
    <rPh sb="4" eb="6">
      <t>ジキュウ</t>
    </rPh>
    <rPh sb="7" eb="8">
      <t>ケイ</t>
    </rPh>
    <phoneticPr fontId="6"/>
  </si>
  <si>
    <t>３　農業薬剤費</t>
    <rPh sb="2" eb="4">
      <t>ノウギョウ</t>
    </rPh>
    <rPh sb="4" eb="7">
      <t>ヤクザイヒ</t>
    </rPh>
    <phoneticPr fontId="6"/>
  </si>
  <si>
    <t>　  当年産の対象品目生産のために使用した農業薬剤について、黄色の「計」の欄に
　記入してください。
 　 なお、内訳欄を利用して「計」の内訳を記入する場合は、その合計が「計」とな
　るよう記入してください。</t>
    <rPh sb="3" eb="5">
      <t>トウネン</t>
    </rPh>
    <rPh sb="5" eb="6">
      <t>サン</t>
    </rPh>
    <rPh sb="7" eb="9">
      <t>タイショウ</t>
    </rPh>
    <rPh sb="9" eb="11">
      <t>ヒンモク</t>
    </rPh>
    <rPh sb="11" eb="13">
      <t>セイサン</t>
    </rPh>
    <rPh sb="17" eb="19">
      <t>シヨウ</t>
    </rPh>
    <rPh sb="21" eb="23">
      <t>ノウギョウ</t>
    </rPh>
    <rPh sb="23" eb="25">
      <t>ヤクザイ</t>
    </rPh>
    <rPh sb="30" eb="32">
      <t>キイロ</t>
    </rPh>
    <rPh sb="34" eb="35">
      <t>ケイ</t>
    </rPh>
    <rPh sb="61" eb="63">
      <t>リヨウ</t>
    </rPh>
    <rPh sb="66" eb="67">
      <t>ケイ</t>
    </rPh>
    <rPh sb="69" eb="71">
      <t>ウチワケ</t>
    </rPh>
    <rPh sb="76" eb="78">
      <t>バアイ</t>
    </rPh>
    <rPh sb="82" eb="84">
      <t>ゴウケイ</t>
    </rPh>
    <phoneticPr fontId="6"/>
  </si>
  <si>
    <t>金　　額 （円）</t>
    <rPh sb="0" eb="1">
      <t>キン</t>
    </rPh>
    <rPh sb="3" eb="4">
      <t>ガク</t>
    </rPh>
    <rPh sb="6" eb="7">
      <t>エン</t>
    </rPh>
    <phoneticPr fontId="6"/>
  </si>
  <si>
    <t>対象品目
負担割合
（％）</t>
    <rPh sb="0" eb="2">
      <t>タイショウ</t>
    </rPh>
    <rPh sb="2" eb="4">
      <t>ヒンモク</t>
    </rPh>
    <rPh sb="5" eb="7">
      <t>フタン</t>
    </rPh>
    <rPh sb="7" eb="9">
      <t>ワリアイ</t>
    </rPh>
    <phoneticPr fontId="6"/>
  </si>
  <si>
    <t>備考欄</t>
    <rPh sb="0" eb="3">
      <t>ビコウラン</t>
    </rPh>
    <phoneticPr fontId="6"/>
  </si>
  <si>
    <t>価額 （円）</t>
    <rPh sb="0" eb="2">
      <t>カガク</t>
    </rPh>
    <rPh sb="4" eb="5">
      <t>エン</t>
    </rPh>
    <phoneticPr fontId="6"/>
  </si>
  <si>
    <t>農業薬剤費計</t>
    <rPh sb="0" eb="2">
      <t>ノウギョウ</t>
    </rPh>
    <rPh sb="2" eb="5">
      <t>ヤクザイヒ</t>
    </rPh>
    <rPh sb="5" eb="6">
      <t>ケイ</t>
    </rPh>
    <phoneticPr fontId="6"/>
  </si>
  <si>
    <t>殺虫剤</t>
    <rPh sb="0" eb="3">
      <t>サッチュウザイ</t>
    </rPh>
    <phoneticPr fontId="6"/>
  </si>
  <si>
    <t>殺虫剤</t>
    <phoneticPr fontId="6"/>
  </si>
  <si>
    <t>殺菌剤</t>
    <rPh sb="0" eb="2">
      <t>サッキン</t>
    </rPh>
    <phoneticPr fontId="6"/>
  </si>
  <si>
    <t>殺虫殺菌剤</t>
    <rPh sb="2" eb="4">
      <t>サッキン</t>
    </rPh>
    <phoneticPr fontId="6"/>
  </si>
  <si>
    <t>除草剤</t>
    <rPh sb="0" eb="2">
      <t>ジョソウ</t>
    </rPh>
    <phoneticPr fontId="6"/>
  </si>
  <si>
    <t>殺菌剤</t>
    <rPh sb="0" eb="3">
      <t>サッキンザイ</t>
    </rPh>
    <phoneticPr fontId="6"/>
  </si>
  <si>
    <t>殺虫殺菌剤</t>
    <rPh sb="0" eb="2">
      <t>サッチュウ</t>
    </rPh>
    <rPh sb="2" eb="4">
      <t>サッキン</t>
    </rPh>
    <rPh sb="4" eb="5">
      <t>ザイ</t>
    </rPh>
    <phoneticPr fontId="6"/>
  </si>
  <si>
    <t>除草剤</t>
    <rPh sb="0" eb="3">
      <t>ジョソウザイ</t>
    </rPh>
    <phoneticPr fontId="6"/>
  </si>
  <si>
    <t>殺鼠剤、植物成長調整剤、展着剤、生産に使用する農具及び資材（育苗箱など）の殺菌・消毒剤など</t>
    <phoneticPr fontId="6"/>
  </si>
  <si>
    <t>注１：共同負担金（薬剤散布）及び航空防除賃は、農薬代も含め「６　賃借料及び料金」に記入
　　してください。
　２：除草剤等農薬入りの肥料は「２　肥料費（内訳欄に記入する場合は「その他」。）」に記
　　入してください。</t>
    <rPh sb="0" eb="1">
      <t>チュウ</t>
    </rPh>
    <rPh sb="3" eb="5">
      <t>キョウドウ</t>
    </rPh>
    <rPh sb="5" eb="8">
      <t>フタンキン</t>
    </rPh>
    <rPh sb="9" eb="11">
      <t>ヤクザイ</t>
    </rPh>
    <rPh sb="11" eb="13">
      <t>サンプ</t>
    </rPh>
    <rPh sb="14" eb="15">
      <t>オヨ</t>
    </rPh>
    <rPh sb="16" eb="18">
      <t>コウクウ</t>
    </rPh>
    <rPh sb="18" eb="20">
      <t>ボウジョ</t>
    </rPh>
    <rPh sb="20" eb="21">
      <t>チン</t>
    </rPh>
    <rPh sb="23" eb="26">
      <t>ノウヤクダイ</t>
    </rPh>
    <rPh sb="27" eb="28">
      <t>フク</t>
    </rPh>
    <rPh sb="32" eb="35">
      <t>チンシャクリョウ</t>
    </rPh>
    <rPh sb="35" eb="36">
      <t>オヨ</t>
    </rPh>
    <rPh sb="37" eb="39">
      <t>リョウキン</t>
    </rPh>
    <rPh sb="76" eb="79">
      <t>ウチワケラン</t>
    </rPh>
    <rPh sb="80" eb="82">
      <t>キニュウ</t>
    </rPh>
    <rPh sb="84" eb="86">
      <t>バアイ</t>
    </rPh>
    <rPh sb="90" eb="91">
      <t>タ</t>
    </rPh>
    <phoneticPr fontId="6"/>
  </si>
  <si>
    <t>４　光熱動力費</t>
    <rPh sb="2" eb="4">
      <t>コウネツ</t>
    </rPh>
    <rPh sb="4" eb="7">
      <t>ドウリョクヒ</t>
    </rPh>
    <phoneticPr fontId="6"/>
  </si>
  <si>
    <t xml:space="preserve">  　当年産の対象品目生産のために使用した光熱動力について、黄色の欄に記入してください。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3">
      <t>コウネツ</t>
    </rPh>
    <rPh sb="23" eb="25">
      <t>ドウリョク</t>
    </rPh>
    <rPh sb="30" eb="32">
      <t>キイロ</t>
    </rPh>
    <rPh sb="33" eb="34">
      <t>ラン</t>
    </rPh>
    <phoneticPr fontId="6"/>
  </si>
  <si>
    <t>数量</t>
    <rPh sb="0" eb="1">
      <t>カズ</t>
    </rPh>
    <rPh sb="1" eb="2">
      <t>リョウ</t>
    </rPh>
    <phoneticPr fontId="6"/>
  </si>
  <si>
    <t>金　額 （円）</t>
    <rPh sb="0" eb="1">
      <t>キン</t>
    </rPh>
    <rPh sb="2" eb="3">
      <t>ガク</t>
    </rPh>
    <rPh sb="5" eb="6">
      <t>エン</t>
    </rPh>
    <phoneticPr fontId="6"/>
  </si>
  <si>
    <t>購入（計）</t>
    <rPh sb="0" eb="2">
      <t>コウニュウ</t>
    </rPh>
    <rPh sb="3" eb="4">
      <t>ケイ</t>
    </rPh>
    <phoneticPr fontId="6"/>
  </si>
  <si>
    <t>-</t>
    <phoneticPr fontId="6"/>
  </si>
  <si>
    <t>光熱動力費（購入）計</t>
    <rPh sb="0" eb="2">
      <t>コウネツ</t>
    </rPh>
    <rPh sb="2" eb="5">
      <t>ドウリョクヒ</t>
    </rPh>
    <rPh sb="6" eb="8">
      <t>コウニュウ</t>
    </rPh>
    <rPh sb="9" eb="10">
      <t>ケイ</t>
    </rPh>
    <phoneticPr fontId="6"/>
  </si>
  <si>
    <t>動力燃料</t>
    <rPh sb="0" eb="2">
      <t>ドウリョク</t>
    </rPh>
    <rPh sb="2" eb="4">
      <t>ネンリョウ</t>
    </rPh>
    <phoneticPr fontId="6"/>
  </si>
  <si>
    <t>重油</t>
    <rPh sb="0" eb="2">
      <t>ジュウユ</t>
    </rPh>
    <phoneticPr fontId="6"/>
  </si>
  <si>
    <t>L</t>
    <phoneticPr fontId="6"/>
  </si>
  <si>
    <t>L</t>
  </si>
  <si>
    <t>円/L</t>
    <rPh sb="0" eb="1">
      <t>エン</t>
    </rPh>
    <phoneticPr fontId="6"/>
  </si>
  <si>
    <t>軽油</t>
    <rPh sb="0" eb="2">
      <t>ケイユ</t>
    </rPh>
    <phoneticPr fontId="6"/>
  </si>
  <si>
    <t>L</t>
    <phoneticPr fontId="6"/>
  </si>
  <si>
    <t>灯油</t>
    <rPh sb="0" eb="2">
      <t>トウユ</t>
    </rPh>
    <phoneticPr fontId="6"/>
  </si>
  <si>
    <t>L</t>
    <phoneticPr fontId="6"/>
  </si>
  <si>
    <t>ガソリン</t>
    <phoneticPr fontId="6"/>
  </si>
  <si>
    <t>L</t>
    <phoneticPr fontId="6"/>
  </si>
  <si>
    <t>潤滑油</t>
    <rPh sb="0" eb="3">
      <t>ジュンカツユ</t>
    </rPh>
    <phoneticPr fontId="6"/>
  </si>
  <si>
    <t>混合油</t>
    <rPh sb="0" eb="3">
      <t>コンゴウユ</t>
    </rPh>
    <phoneticPr fontId="6"/>
  </si>
  <si>
    <t>電力料</t>
    <rPh sb="0" eb="3">
      <t>デンリョクリョウ</t>
    </rPh>
    <phoneticPr fontId="6"/>
  </si>
  <si>
    <t>-</t>
    <phoneticPr fontId="6"/>
  </si>
  <si>
    <t>電力料</t>
    <phoneticPr fontId="6"/>
  </si>
  <si>
    <r>
      <t xml:space="preserve">その他
</t>
    </r>
    <r>
      <rPr>
        <sz val="9"/>
        <rFont val="ＭＳ ゴシック"/>
        <family val="3"/>
        <charset val="128"/>
      </rPr>
      <t>（水道料、木炭などの燃料）</t>
    </r>
    <rPh sb="2" eb="3">
      <t>タ</t>
    </rPh>
    <rPh sb="5" eb="8">
      <t>スイドウリョウ</t>
    </rPh>
    <rPh sb="9" eb="11">
      <t>モクタン</t>
    </rPh>
    <rPh sb="14" eb="16">
      <t>ネンリョウ</t>
    </rPh>
    <phoneticPr fontId="6"/>
  </si>
  <si>
    <r>
      <t xml:space="preserve">その他
</t>
    </r>
    <r>
      <rPr>
        <sz val="9"/>
        <rFont val="ＭＳ ゴシック"/>
        <family val="3"/>
        <charset val="128"/>
      </rPr>
      <t>（水道料、木炭などの燃料）</t>
    </r>
    <phoneticPr fontId="6"/>
  </si>
  <si>
    <t>光熱動力費（自給）計</t>
    <rPh sb="0" eb="2">
      <t>コウネツ</t>
    </rPh>
    <rPh sb="2" eb="5">
      <t>ドウリョクヒ</t>
    </rPh>
    <rPh sb="6" eb="8">
      <t>ジキュウ</t>
    </rPh>
    <rPh sb="9" eb="10">
      <t>ケイ</t>
    </rPh>
    <phoneticPr fontId="6"/>
  </si>
  <si>
    <t>【職員記入欄】</t>
    <rPh sb="3" eb="5">
      <t>キニュウ</t>
    </rPh>
    <phoneticPr fontId="6"/>
  </si>
  <si>
    <t>５　諸材料費</t>
    <rPh sb="2" eb="5">
      <t>ショザイリョウ</t>
    </rPh>
    <rPh sb="5" eb="6">
      <t>ヒ</t>
    </rPh>
    <phoneticPr fontId="6"/>
  </si>
  <si>
    <t>　  当年産の対象品目生産のために使用した諸材料について、黄色の欄に記入してください。
 　 なお、内訳欄を利用して「計」の内訳を記入する場合は、その合計が「計」となるよう記
　入してください。</t>
    <rPh sb="3" eb="5">
      <t>トウネン</t>
    </rPh>
    <rPh sb="5" eb="6">
      <t>サン</t>
    </rPh>
    <rPh sb="7" eb="9">
      <t>タイショウ</t>
    </rPh>
    <rPh sb="9" eb="11">
      <t>ヒンモク</t>
    </rPh>
    <rPh sb="11" eb="13">
      <t>セイサン</t>
    </rPh>
    <rPh sb="17" eb="19">
      <t>シヨウ</t>
    </rPh>
    <rPh sb="21" eb="22">
      <t>ショ</t>
    </rPh>
    <rPh sb="22" eb="24">
      <t>ザイリョウ</t>
    </rPh>
    <rPh sb="29" eb="31">
      <t>キイロ</t>
    </rPh>
    <rPh sb="32" eb="33">
      <t>ラン</t>
    </rPh>
    <rPh sb="54" eb="56">
      <t>リヨウ</t>
    </rPh>
    <rPh sb="59" eb="60">
      <t>ケイ</t>
    </rPh>
    <rPh sb="62" eb="64">
      <t>ウチワケ</t>
    </rPh>
    <rPh sb="69" eb="71">
      <t>バアイ</t>
    </rPh>
    <rPh sb="75" eb="77">
      <t>ゴウケイ</t>
    </rPh>
    <rPh sb="79" eb="80">
      <t>ケイ</t>
    </rPh>
    <rPh sb="86" eb="87">
      <t>キ</t>
    </rPh>
    <rPh sb="89" eb="90">
      <t>ニュウ</t>
    </rPh>
    <phoneticPr fontId="6"/>
  </si>
  <si>
    <t>-</t>
    <phoneticPr fontId="6"/>
  </si>
  <si>
    <t>諸材料費（購入）計</t>
    <rPh sb="0" eb="1">
      <t>ショ</t>
    </rPh>
    <rPh sb="1" eb="4">
      <t>ザイリョウヒ</t>
    </rPh>
    <rPh sb="5" eb="7">
      <t>コウニュウ</t>
    </rPh>
    <rPh sb="8" eb="9">
      <t>ケイ</t>
    </rPh>
    <phoneticPr fontId="6"/>
  </si>
  <si>
    <t>育苗用土（素土含む。）</t>
    <rPh sb="0" eb="2">
      <t>イクビョウ</t>
    </rPh>
    <rPh sb="2" eb="4">
      <t>ヨウド</t>
    </rPh>
    <rPh sb="5" eb="6">
      <t>モト</t>
    </rPh>
    <rPh sb="6" eb="7">
      <t>ツチ</t>
    </rPh>
    <rPh sb="7" eb="8">
      <t>フク</t>
    </rPh>
    <phoneticPr fontId="6"/>
  </si>
  <si>
    <t>育苗用土（素土含む。）</t>
    <rPh sb="0" eb="2">
      <t>イクビョウ</t>
    </rPh>
    <rPh sb="2" eb="4">
      <t>ヨウド</t>
    </rPh>
    <rPh sb="5" eb="6">
      <t>ス</t>
    </rPh>
    <rPh sb="6" eb="7">
      <t>ツチ</t>
    </rPh>
    <rPh sb="7" eb="8">
      <t>フク</t>
    </rPh>
    <phoneticPr fontId="6"/>
  </si>
  <si>
    <t>kg</t>
    <phoneticPr fontId="6"/>
  </si>
  <si>
    <t>円/kg</t>
    <rPh sb="0" eb="1">
      <t>エン</t>
    </rPh>
    <phoneticPr fontId="6"/>
  </si>
  <si>
    <t>諸材料費（自給）計</t>
    <rPh sb="0" eb="1">
      <t>ショ</t>
    </rPh>
    <rPh sb="1" eb="4">
      <t>ザイリョウヒ</t>
    </rPh>
    <rPh sb="4" eb="6">
      <t>ジキュウ</t>
    </rPh>
    <rPh sb="8" eb="9">
      <t>ケイ</t>
    </rPh>
    <phoneticPr fontId="6"/>
  </si>
  <si>
    <t>６　賃借料及び料金</t>
    <rPh sb="2" eb="5">
      <t>チンシャクリョウ</t>
    </rPh>
    <rPh sb="5" eb="6">
      <t>オヨ</t>
    </rPh>
    <rPh sb="7" eb="9">
      <t>リョウキン</t>
    </rPh>
    <phoneticPr fontId="6"/>
  </si>
  <si>
    <t>　  当年産の対象品目生産のために支払った賃借料や料金について、黄色の「計」の欄に記入して
　ください。
　　なお、内訳欄を利用して「計」の内訳を記入する場合は、その合計が「計」となるよう記入し
　てください。</t>
    <phoneticPr fontId="6"/>
  </si>
  <si>
    <t>料金名等</t>
    <rPh sb="0" eb="2">
      <t>リョウキン</t>
    </rPh>
    <rPh sb="2" eb="3">
      <t>メイ</t>
    </rPh>
    <rPh sb="3" eb="4">
      <t>トウ</t>
    </rPh>
    <phoneticPr fontId="6"/>
  </si>
  <si>
    <t>料金名等</t>
    <phoneticPr fontId="6"/>
  </si>
  <si>
    <t>価額（円）</t>
    <phoneticPr fontId="6"/>
  </si>
  <si>
    <t>－</t>
    <phoneticPr fontId="6"/>
  </si>
  <si>
    <t>賃借料及び料金計</t>
    <rPh sb="7" eb="8">
      <t>ケイ</t>
    </rPh>
    <phoneticPr fontId="6"/>
  </si>
  <si>
    <t>共同負担金</t>
    <rPh sb="0" eb="2">
      <t>キョウドウ</t>
    </rPh>
    <rPh sb="2" eb="5">
      <t>フタンキン</t>
    </rPh>
    <phoneticPr fontId="6"/>
  </si>
  <si>
    <t>薬剤散布</t>
    <rPh sb="0" eb="2">
      <t>ヤクザイ</t>
    </rPh>
    <rPh sb="2" eb="4">
      <t>サンプ</t>
    </rPh>
    <phoneticPr fontId="6"/>
  </si>
  <si>
    <t>共同負担金</t>
    <rPh sb="0" eb="2">
      <t>キョウドウ</t>
    </rPh>
    <rPh sb="2" eb="4">
      <t>フタン</t>
    </rPh>
    <rPh sb="4" eb="5">
      <t>キン</t>
    </rPh>
    <phoneticPr fontId="6"/>
  </si>
  <si>
    <t>共同施設</t>
    <rPh sb="0" eb="2">
      <t>キョウドウ</t>
    </rPh>
    <rPh sb="2" eb="4">
      <t>シセツ</t>
    </rPh>
    <phoneticPr fontId="6"/>
  </si>
  <si>
    <t>共同苗代</t>
    <rPh sb="0" eb="2">
      <t>キョウドウ</t>
    </rPh>
    <rPh sb="2" eb="3">
      <t>ナエ</t>
    </rPh>
    <rPh sb="3" eb="4">
      <t>ダイ</t>
    </rPh>
    <phoneticPr fontId="6"/>
  </si>
  <si>
    <t>農機具借料</t>
    <rPh sb="0" eb="3">
      <t>ノウキグ</t>
    </rPh>
    <rPh sb="3" eb="5">
      <t>シャクリョウ</t>
    </rPh>
    <phoneticPr fontId="6"/>
  </si>
  <si>
    <t>航空防除賃</t>
    <rPh sb="0" eb="2">
      <t>コウクウ</t>
    </rPh>
    <rPh sb="2" eb="4">
      <t>ボウジョ</t>
    </rPh>
    <rPh sb="4" eb="5">
      <t>チン</t>
    </rPh>
    <phoneticPr fontId="6"/>
  </si>
  <si>
    <t>ａ</t>
    <phoneticPr fontId="6"/>
  </si>
  <si>
    <t>ａ</t>
    <phoneticPr fontId="6"/>
  </si>
  <si>
    <t>円/ａ</t>
    <rPh sb="0" eb="1">
      <t>エン</t>
    </rPh>
    <phoneticPr fontId="6"/>
  </si>
  <si>
    <t>賃耕料</t>
    <rPh sb="0" eb="1">
      <t>チン</t>
    </rPh>
    <rPh sb="1" eb="2">
      <t>コウ</t>
    </rPh>
    <rPh sb="2" eb="3">
      <t>リョウ</t>
    </rPh>
    <phoneticPr fontId="6"/>
  </si>
  <si>
    <t>ａ</t>
  </si>
  <si>
    <t>は種・定植料</t>
    <rPh sb="1" eb="2">
      <t>シュ</t>
    </rPh>
    <rPh sb="3" eb="5">
      <t>テイショク</t>
    </rPh>
    <rPh sb="5" eb="6">
      <t>リョウ</t>
    </rPh>
    <phoneticPr fontId="6"/>
  </si>
  <si>
    <t>は種・定植料（田植賃）</t>
    <rPh sb="1" eb="2">
      <t>シュ</t>
    </rPh>
    <rPh sb="3" eb="5">
      <t>テイショク</t>
    </rPh>
    <rPh sb="5" eb="6">
      <t>リョウ</t>
    </rPh>
    <rPh sb="7" eb="9">
      <t>タウエ</t>
    </rPh>
    <rPh sb="9" eb="10">
      <t>チン</t>
    </rPh>
    <phoneticPr fontId="6"/>
  </si>
  <si>
    <t>収穫請負わせ賃</t>
    <rPh sb="0" eb="2">
      <t>シュウカク</t>
    </rPh>
    <rPh sb="2" eb="3">
      <t>ウ</t>
    </rPh>
    <rPh sb="3" eb="4">
      <t>オ</t>
    </rPh>
    <rPh sb="6" eb="7">
      <t>チン</t>
    </rPh>
    <phoneticPr fontId="6"/>
  </si>
  <si>
    <t>乾燥調製料</t>
    <rPh sb="0" eb="2">
      <t>カンソウ</t>
    </rPh>
    <rPh sb="2" eb="5">
      <t>チョウセイリョウ</t>
    </rPh>
    <phoneticPr fontId="6"/>
  </si>
  <si>
    <t>kg</t>
    <phoneticPr fontId="6"/>
  </si>
  <si>
    <t>乾燥調製料</t>
    <phoneticPr fontId="6"/>
  </si>
  <si>
    <t>kg</t>
  </si>
  <si>
    <t>もみすり・脱穀賃</t>
    <rPh sb="5" eb="7">
      <t>ダッコク</t>
    </rPh>
    <rPh sb="7" eb="8">
      <t>チン</t>
    </rPh>
    <phoneticPr fontId="6"/>
  </si>
  <si>
    <t>ライスセンター費</t>
    <rPh sb="7" eb="8">
      <t>ヒ</t>
    </rPh>
    <phoneticPr fontId="6"/>
  </si>
  <si>
    <t>カントリーエレベーター費</t>
    <rPh sb="11" eb="12">
      <t>ヒ</t>
    </rPh>
    <phoneticPr fontId="6"/>
  </si>
  <si>
    <t>貯蔵</t>
    <rPh sb="0" eb="2">
      <t>チョゾウ</t>
    </rPh>
    <phoneticPr fontId="6"/>
  </si>
  <si>
    <t>その他</t>
    <phoneticPr fontId="6"/>
  </si>
  <si>
    <t>その他</t>
    <phoneticPr fontId="6"/>
  </si>
  <si>
    <t>注１：　共同負担金（薬剤散布）及び航空防除賃は、農薬代も含めて記入してください。</t>
    <rPh sb="0" eb="1">
      <t>チュウ</t>
    </rPh>
    <rPh sb="4" eb="6">
      <t>キョウドウ</t>
    </rPh>
    <rPh sb="6" eb="9">
      <t>フタンキン</t>
    </rPh>
    <rPh sb="10" eb="12">
      <t>ヤクザイ</t>
    </rPh>
    <rPh sb="12" eb="14">
      <t>サンプ</t>
    </rPh>
    <rPh sb="15" eb="16">
      <t>オヨ</t>
    </rPh>
    <rPh sb="17" eb="19">
      <t>コウクウ</t>
    </rPh>
    <rPh sb="19" eb="21">
      <t>ボウジョ</t>
    </rPh>
    <rPh sb="21" eb="22">
      <t>チン</t>
    </rPh>
    <rPh sb="24" eb="27">
      <t>ノウヤクダイ</t>
    </rPh>
    <rPh sb="28" eb="29">
      <t>フク</t>
    </rPh>
    <phoneticPr fontId="6"/>
  </si>
  <si>
    <t xml:space="preserve">  ２：　乾燥調製施設等に委託しており、その委託料金に包装荷造り費が含まれる場合は、包装荷造り費
　　　を除いて記入してください。</t>
    <rPh sb="5" eb="7">
      <t>カンソウ</t>
    </rPh>
    <rPh sb="7" eb="9">
      <t>チョウセイ</t>
    </rPh>
    <rPh sb="9" eb="11">
      <t>シセツ</t>
    </rPh>
    <phoneticPr fontId="6"/>
  </si>
  <si>
    <t>【４】物件税及び公課諸負担</t>
    <rPh sb="3" eb="5">
      <t>ブッケン</t>
    </rPh>
    <rPh sb="5" eb="6">
      <t>ゼイ</t>
    </rPh>
    <rPh sb="6" eb="7">
      <t>オヨ</t>
    </rPh>
    <rPh sb="8" eb="10">
      <t>コウカ</t>
    </rPh>
    <rPh sb="10" eb="11">
      <t>ショ</t>
    </rPh>
    <rPh sb="11" eb="13">
      <t>フタン</t>
    </rPh>
    <phoneticPr fontId="6"/>
  </si>
  <si>
    <t>１　物件税</t>
    <rPh sb="2" eb="4">
      <t>ブッケン</t>
    </rPh>
    <rPh sb="4" eb="5">
      <t>ゼイ</t>
    </rPh>
    <phoneticPr fontId="6"/>
  </si>
  <si>
    <t>　　１年間に負担した対象品目生産に関係する物件税について、黄色の「計」の欄に記入してください。</t>
    <rPh sb="3" eb="5">
      <t>ネンカン</t>
    </rPh>
    <rPh sb="6" eb="8">
      <t>フタン</t>
    </rPh>
    <rPh sb="17" eb="19">
      <t>カンケイ</t>
    </rPh>
    <rPh sb="29" eb="31">
      <t>キイロ</t>
    </rPh>
    <rPh sb="33" eb="34">
      <t>ケイ</t>
    </rPh>
    <rPh sb="36" eb="37">
      <t>ラン</t>
    </rPh>
    <phoneticPr fontId="6"/>
  </si>
  <si>
    <t>　　なお、内訳欄を利用して「計」の内訳を記入する場合は、その合計が「計」となるよう記入してくださ</t>
    <phoneticPr fontId="6"/>
  </si>
  <si>
    <t>　い。</t>
    <phoneticPr fontId="6"/>
  </si>
  <si>
    <t>価額（円）</t>
    <phoneticPr fontId="6"/>
  </si>
  <si>
    <t>物件税計</t>
    <rPh sb="0" eb="2">
      <t>ブッケン</t>
    </rPh>
    <rPh sb="2" eb="3">
      <t>ゼイ</t>
    </rPh>
    <rPh sb="3" eb="4">
      <t>ケイ</t>
    </rPh>
    <phoneticPr fontId="6"/>
  </si>
  <si>
    <t>固定資産税（建物）</t>
    <rPh sb="0" eb="5">
      <t>コテイシサンゼイ</t>
    </rPh>
    <rPh sb="6" eb="8">
      <t>タテモノ</t>
    </rPh>
    <phoneticPr fontId="6"/>
  </si>
  <si>
    <t>固定資産税（農機具）</t>
    <rPh sb="0" eb="5">
      <t>コテイシサンゼイ</t>
    </rPh>
    <rPh sb="6" eb="9">
      <t>ノウキグ</t>
    </rPh>
    <phoneticPr fontId="6"/>
  </si>
  <si>
    <t>不動産取得税
（土地以外）</t>
    <rPh sb="0" eb="3">
      <t>フドウサン</t>
    </rPh>
    <rPh sb="3" eb="6">
      <t>シュトクゼイ</t>
    </rPh>
    <rPh sb="8" eb="10">
      <t>トチ</t>
    </rPh>
    <rPh sb="10" eb="12">
      <t>イガイ</t>
    </rPh>
    <phoneticPr fontId="6"/>
  </si>
  <si>
    <t>自動車取得税</t>
    <rPh sb="0" eb="3">
      <t>ジドウシャ</t>
    </rPh>
    <rPh sb="3" eb="6">
      <t>シュトクゼイ</t>
    </rPh>
    <phoneticPr fontId="6"/>
  </si>
  <si>
    <t>水利地益税</t>
    <rPh sb="0" eb="2">
      <t>スイリ</t>
    </rPh>
    <rPh sb="2" eb="4">
      <t>チエキ</t>
    </rPh>
    <rPh sb="4" eb="5">
      <t>ゼイ</t>
    </rPh>
    <phoneticPr fontId="6"/>
  </si>
  <si>
    <t>都市計画税
（土地以外）</t>
    <rPh sb="0" eb="2">
      <t>トシ</t>
    </rPh>
    <rPh sb="2" eb="4">
      <t>ケイカク</t>
    </rPh>
    <rPh sb="4" eb="5">
      <t>ゼイ</t>
    </rPh>
    <rPh sb="7" eb="9">
      <t>トチ</t>
    </rPh>
    <rPh sb="9" eb="11">
      <t>イガイ</t>
    </rPh>
    <phoneticPr fontId="6"/>
  </si>
  <si>
    <t>共同施設税</t>
    <rPh sb="0" eb="2">
      <t>キョウドウ</t>
    </rPh>
    <rPh sb="2" eb="4">
      <t>シセツ</t>
    </rPh>
    <rPh sb="4" eb="5">
      <t>ゼイ</t>
    </rPh>
    <phoneticPr fontId="6"/>
  </si>
  <si>
    <t>注：固定資産税、不動産取得税及び都市計画税は土地に係るもの
　を除いて記入してください。</t>
    <rPh sb="0" eb="1">
      <t>チュウ</t>
    </rPh>
    <phoneticPr fontId="6"/>
  </si>
  <si>
    <t>自動車重量税</t>
    <rPh sb="0" eb="3">
      <t>ジドウシャ</t>
    </rPh>
    <rPh sb="3" eb="6">
      <t>ジュウリョウゼイ</t>
    </rPh>
    <phoneticPr fontId="6"/>
  </si>
  <si>
    <t>自動車税</t>
    <rPh sb="0" eb="4">
      <t>ジドウシャゼイ</t>
    </rPh>
    <phoneticPr fontId="6"/>
  </si>
  <si>
    <t>軽自動車税</t>
    <rPh sb="0" eb="4">
      <t>ケイジドウシャ</t>
    </rPh>
    <rPh sb="4" eb="5">
      <t>ゼイ</t>
    </rPh>
    <phoneticPr fontId="6"/>
  </si>
  <si>
    <t>２　公課諸負担</t>
    <rPh sb="2" eb="4">
      <t>コウカ</t>
    </rPh>
    <rPh sb="4" eb="5">
      <t>ショ</t>
    </rPh>
    <rPh sb="5" eb="7">
      <t>フタン</t>
    </rPh>
    <phoneticPr fontId="6"/>
  </si>
  <si>
    <t xml:space="preserve"> 　 １年間に負担した対象品目生産に関係する公課諸負担について、黄色の「計」の欄に記入してください。</t>
    <rPh sb="4" eb="6">
      <t>ネンカン</t>
    </rPh>
    <rPh sb="7" eb="9">
      <t>フタン</t>
    </rPh>
    <rPh sb="18" eb="20">
      <t>カンケイ</t>
    </rPh>
    <rPh sb="22" eb="24">
      <t>コウカ</t>
    </rPh>
    <rPh sb="24" eb="25">
      <t>ショ</t>
    </rPh>
    <rPh sb="25" eb="27">
      <t>フタン</t>
    </rPh>
    <phoneticPr fontId="6"/>
  </si>
  <si>
    <t>　　なお、内訳欄を利用して「計」の内訳を記入する場合は、その合計が「計」となるよう記入してくださ</t>
    <phoneticPr fontId="6"/>
  </si>
  <si>
    <t xml:space="preserve">　い。
</t>
    <phoneticPr fontId="6"/>
  </si>
  <si>
    <t xml:space="preserve"> （２）公課諸負担</t>
    <rPh sb="4" eb="9">
      <t>コウカショフタン</t>
    </rPh>
    <phoneticPr fontId="6"/>
  </si>
  <si>
    <t>公課諸負担計</t>
    <rPh sb="0" eb="2">
      <t>コウカ</t>
    </rPh>
    <rPh sb="2" eb="3">
      <t>ショ</t>
    </rPh>
    <rPh sb="3" eb="5">
      <t>フタン</t>
    </rPh>
    <rPh sb="5" eb="6">
      <t>ケイ</t>
    </rPh>
    <phoneticPr fontId="6"/>
  </si>
  <si>
    <r>
      <t xml:space="preserve">集落協議会費
</t>
    </r>
    <r>
      <rPr>
        <sz val="10"/>
        <rFont val="ＭＳ ゴシック"/>
        <family val="3"/>
        <charset val="128"/>
      </rPr>
      <t>（地域集落等の会費）</t>
    </r>
    <rPh sb="0" eb="2">
      <t>シュウラク</t>
    </rPh>
    <rPh sb="2" eb="4">
      <t>キョウギ</t>
    </rPh>
    <rPh sb="4" eb="6">
      <t>カイヒ</t>
    </rPh>
    <rPh sb="8" eb="10">
      <t>チイキ</t>
    </rPh>
    <rPh sb="10" eb="12">
      <t>シュウラク</t>
    </rPh>
    <rPh sb="12" eb="13">
      <t>トウ</t>
    </rPh>
    <rPh sb="14" eb="16">
      <t>カイヒ</t>
    </rPh>
    <phoneticPr fontId="6"/>
  </si>
  <si>
    <t>集落協議会費
（地域集落等の会費）</t>
    <rPh sb="0" eb="2">
      <t>シュウラク</t>
    </rPh>
    <rPh sb="2" eb="4">
      <t>キョウギ</t>
    </rPh>
    <rPh sb="4" eb="6">
      <t>カイヒ</t>
    </rPh>
    <rPh sb="8" eb="10">
      <t>チイキ</t>
    </rPh>
    <rPh sb="10" eb="12">
      <t>シュウラク</t>
    </rPh>
    <rPh sb="12" eb="13">
      <t>トウ</t>
    </rPh>
    <rPh sb="14" eb="16">
      <t>カイヒ</t>
    </rPh>
    <phoneticPr fontId="6"/>
  </si>
  <si>
    <t>農業協同組合費</t>
    <rPh sb="0" eb="2">
      <t>ノウギョウ</t>
    </rPh>
    <rPh sb="2" eb="4">
      <t>キョウドウ</t>
    </rPh>
    <rPh sb="4" eb="7">
      <t>クミアイヒ</t>
    </rPh>
    <phoneticPr fontId="6"/>
  </si>
  <si>
    <r>
      <t xml:space="preserve">農事実行組合費
</t>
    </r>
    <r>
      <rPr>
        <sz val="10"/>
        <rFont val="ＭＳ ゴシック"/>
        <family val="3"/>
        <charset val="128"/>
      </rPr>
      <t>（各種部会費）</t>
    </r>
    <rPh sb="0" eb="2">
      <t>ノウジ</t>
    </rPh>
    <rPh sb="2" eb="4">
      <t>ジッコウ</t>
    </rPh>
    <rPh sb="4" eb="7">
      <t>クミアイヒ</t>
    </rPh>
    <rPh sb="9" eb="11">
      <t>カクシュ</t>
    </rPh>
    <rPh sb="11" eb="13">
      <t>ブカイ</t>
    </rPh>
    <rPh sb="13" eb="14">
      <t>ヒ</t>
    </rPh>
    <phoneticPr fontId="6"/>
  </si>
  <si>
    <t>農事実行組合費
（各種部会費）</t>
    <rPh sb="0" eb="2">
      <t>ノウジ</t>
    </rPh>
    <rPh sb="2" eb="4">
      <t>ジッコウ</t>
    </rPh>
    <rPh sb="4" eb="7">
      <t>クミアイヒ</t>
    </rPh>
    <rPh sb="9" eb="11">
      <t>カクシュ</t>
    </rPh>
    <rPh sb="11" eb="13">
      <t>ブカイ</t>
    </rPh>
    <rPh sb="13" eb="14">
      <t>ヒ</t>
    </rPh>
    <phoneticPr fontId="6"/>
  </si>
  <si>
    <t>農業共済組合賦課金</t>
    <rPh sb="0" eb="2">
      <t>ノウギョウ</t>
    </rPh>
    <rPh sb="2" eb="4">
      <t>キョウサイ</t>
    </rPh>
    <rPh sb="4" eb="6">
      <t>クミアイ</t>
    </rPh>
    <rPh sb="6" eb="9">
      <t>フカキン</t>
    </rPh>
    <phoneticPr fontId="6"/>
  </si>
  <si>
    <t>自賠責保険</t>
    <rPh sb="0" eb="3">
      <t>ジバイセキ</t>
    </rPh>
    <rPh sb="3" eb="5">
      <t>ホケン</t>
    </rPh>
    <phoneticPr fontId="6"/>
  </si>
  <si>
    <t>物件税及び公課諸負担計</t>
    <rPh sb="0" eb="2">
      <t>ブッケン</t>
    </rPh>
    <rPh sb="2" eb="3">
      <t>ゼイ</t>
    </rPh>
    <rPh sb="3" eb="4">
      <t>オヨ</t>
    </rPh>
    <rPh sb="5" eb="7">
      <t>コウカ</t>
    </rPh>
    <rPh sb="7" eb="8">
      <t>ショ</t>
    </rPh>
    <rPh sb="8" eb="10">
      <t>フタン</t>
    </rPh>
    <rPh sb="10" eb="11">
      <t>ケイ</t>
    </rPh>
    <phoneticPr fontId="6"/>
  </si>
  <si>
    <t>【５】土地改良及び水利費</t>
    <rPh sb="3" eb="5">
      <t>トチ</t>
    </rPh>
    <rPh sb="5" eb="7">
      <t>カイリョウ</t>
    </rPh>
    <rPh sb="7" eb="8">
      <t>オヨ</t>
    </rPh>
    <rPh sb="9" eb="11">
      <t>スイリ</t>
    </rPh>
    <rPh sb="11" eb="12">
      <t>ヒ</t>
    </rPh>
    <phoneticPr fontId="6"/>
  </si>
  <si>
    <t xml:space="preserve"> 　 当年産の対象品目生産のために負担した土地改良区費及び水利費等について、黄色の欄に記入してください。</t>
    <rPh sb="3" eb="5">
      <t>トウネン</t>
    </rPh>
    <rPh sb="5" eb="6">
      <t>サン</t>
    </rPh>
    <rPh sb="17" eb="19">
      <t>フタン</t>
    </rPh>
    <rPh sb="21" eb="23">
      <t>トチ</t>
    </rPh>
    <rPh sb="23" eb="25">
      <t>カイリョウ</t>
    </rPh>
    <rPh sb="25" eb="27">
      <t>クヒ</t>
    </rPh>
    <rPh sb="27" eb="28">
      <t>オヨ</t>
    </rPh>
    <rPh sb="29" eb="31">
      <t>スイリ</t>
    </rPh>
    <rPh sb="31" eb="32">
      <t>ヒ</t>
    </rPh>
    <rPh sb="32" eb="33">
      <t>トウ</t>
    </rPh>
    <rPh sb="38" eb="40">
      <t>キイロ</t>
    </rPh>
    <rPh sb="41" eb="42">
      <t>ラン</t>
    </rPh>
    <phoneticPr fontId="6"/>
  </si>
  <si>
    <t>　　なお、内訳欄を利用して「計」の内訳を記入する場合は、その合計が「計」となるよう記入してください。</t>
    <phoneticPr fontId="6"/>
  </si>
  <si>
    <t>　  また、土地改良区費については、事業種類別の負担金額を記入してください。</t>
    <rPh sb="6" eb="8">
      <t>トチ</t>
    </rPh>
    <rPh sb="8" eb="10">
      <t>カイリョウ</t>
    </rPh>
    <rPh sb="10" eb="12">
      <t>クヒ</t>
    </rPh>
    <rPh sb="18" eb="20">
      <t>ジギョウ</t>
    </rPh>
    <rPh sb="20" eb="22">
      <t>シュルイ</t>
    </rPh>
    <rPh sb="22" eb="23">
      <t>ベツ</t>
    </rPh>
    <rPh sb="24" eb="27">
      <t>フタンキン</t>
    </rPh>
    <rPh sb="27" eb="28">
      <t>ガク</t>
    </rPh>
    <phoneticPr fontId="6"/>
  </si>
  <si>
    <t>１　土地改良区費</t>
    <rPh sb="2" eb="4">
      <t>トチ</t>
    </rPh>
    <rPh sb="4" eb="6">
      <t>カイリョウ</t>
    </rPh>
    <rPh sb="6" eb="8">
      <t>クヒ</t>
    </rPh>
    <phoneticPr fontId="6"/>
  </si>
  <si>
    <t>事業種類</t>
    <rPh sb="0" eb="2">
      <t>ジギョウ</t>
    </rPh>
    <rPh sb="2" eb="4">
      <t>シュルイ</t>
    </rPh>
    <phoneticPr fontId="6"/>
  </si>
  <si>
    <t>対象品目作付ほ場負担金額（円）</t>
    <rPh sb="4" eb="6">
      <t>サクツケ</t>
    </rPh>
    <rPh sb="7" eb="8">
      <t>ジョウ</t>
    </rPh>
    <rPh sb="8" eb="10">
      <t>フタン</t>
    </rPh>
    <rPh sb="10" eb="12">
      <t>キンガク</t>
    </rPh>
    <rPh sb="13" eb="14">
      <t>エン</t>
    </rPh>
    <phoneticPr fontId="6"/>
  </si>
  <si>
    <t>価額（円）</t>
    <rPh sb="0" eb="2">
      <t>カガク</t>
    </rPh>
    <phoneticPr fontId="6"/>
  </si>
  <si>
    <t>維持負担金</t>
    <phoneticPr fontId="6"/>
  </si>
  <si>
    <t>償還金</t>
    <phoneticPr fontId="6"/>
  </si>
  <si>
    <t>維持負担金</t>
    <phoneticPr fontId="6"/>
  </si>
  <si>
    <t>ほ場整備事業</t>
    <rPh sb="1" eb="2">
      <t>ジョウ</t>
    </rPh>
    <rPh sb="2" eb="4">
      <t>セイビ</t>
    </rPh>
    <rPh sb="4" eb="6">
      <t>ジギョウ</t>
    </rPh>
    <phoneticPr fontId="6"/>
  </si>
  <si>
    <t>農地開発事業</t>
    <rPh sb="0" eb="2">
      <t>ノウチ</t>
    </rPh>
    <rPh sb="2" eb="4">
      <t>カイハツ</t>
    </rPh>
    <rPh sb="4" eb="6">
      <t>ジギョウ</t>
    </rPh>
    <phoneticPr fontId="6"/>
  </si>
  <si>
    <t>かんがい排水事業</t>
    <rPh sb="4" eb="6">
      <t>ハイスイ</t>
    </rPh>
    <rPh sb="6" eb="8">
      <t>ジギョウ</t>
    </rPh>
    <phoneticPr fontId="6"/>
  </si>
  <si>
    <t>農道整備事業</t>
    <rPh sb="0" eb="2">
      <t>ノウドウ</t>
    </rPh>
    <rPh sb="2" eb="4">
      <t>セイビ</t>
    </rPh>
    <rPh sb="4" eb="6">
      <t>ジギョウ</t>
    </rPh>
    <phoneticPr fontId="6"/>
  </si>
  <si>
    <t>その他（整地、表土
扱いのない事業）</t>
    <rPh sb="2" eb="3">
      <t>タ</t>
    </rPh>
    <rPh sb="4" eb="6">
      <t>セイチ</t>
    </rPh>
    <rPh sb="7" eb="9">
      <t>ヒョウド</t>
    </rPh>
    <rPh sb="10" eb="11">
      <t>アツカ</t>
    </rPh>
    <rPh sb="15" eb="17">
      <t>ジギョウ</t>
    </rPh>
    <phoneticPr fontId="6"/>
  </si>
  <si>
    <t>２　水利費等</t>
    <rPh sb="2" eb="5">
      <t>スイリヒ</t>
    </rPh>
    <rPh sb="5" eb="6">
      <t>トウ</t>
    </rPh>
    <phoneticPr fontId="6"/>
  </si>
  <si>
    <t>費用名</t>
    <rPh sb="0" eb="2">
      <t>ヒヨウ</t>
    </rPh>
    <rPh sb="2" eb="3">
      <t>メイ</t>
    </rPh>
    <phoneticPr fontId="6"/>
  </si>
  <si>
    <t>対象品目作付ほ場
負担金額（円）</t>
    <rPh sb="4" eb="6">
      <t>サクツケ</t>
    </rPh>
    <rPh sb="7" eb="8">
      <t>ジョウ</t>
    </rPh>
    <rPh sb="9" eb="11">
      <t>フタン</t>
    </rPh>
    <rPh sb="11" eb="12">
      <t>キン</t>
    </rPh>
    <rPh sb="12" eb="13">
      <t>ガク</t>
    </rPh>
    <rPh sb="14" eb="15">
      <t>エン</t>
    </rPh>
    <phoneticPr fontId="6"/>
  </si>
  <si>
    <t>水利に係る費用計</t>
    <rPh sb="0" eb="2">
      <t>スイリ</t>
    </rPh>
    <rPh sb="3" eb="4">
      <t>カカ</t>
    </rPh>
    <rPh sb="5" eb="7">
      <t>ヒヨウ</t>
    </rPh>
    <rPh sb="7" eb="8">
      <t>ケイ</t>
    </rPh>
    <phoneticPr fontId="6"/>
  </si>
  <si>
    <t>水利組合費</t>
    <rPh sb="0" eb="2">
      <t>スイリ</t>
    </rPh>
    <rPh sb="2" eb="4">
      <t>クミアイ</t>
    </rPh>
    <rPh sb="4" eb="5">
      <t>ヒ</t>
    </rPh>
    <phoneticPr fontId="6"/>
  </si>
  <si>
    <t>揚水ポンプ組合費</t>
    <rPh sb="0" eb="2">
      <t>ヨウスイ</t>
    </rPh>
    <rPh sb="5" eb="7">
      <t>クミアイ</t>
    </rPh>
    <rPh sb="7" eb="8">
      <t>ヒ</t>
    </rPh>
    <phoneticPr fontId="6"/>
  </si>
  <si>
    <t>土地改良及び水利費計</t>
    <rPh sb="0" eb="2">
      <t>トチ</t>
    </rPh>
    <rPh sb="2" eb="4">
      <t>カイリョウ</t>
    </rPh>
    <rPh sb="4" eb="5">
      <t>オヨ</t>
    </rPh>
    <rPh sb="6" eb="8">
      <t>スイリ</t>
    </rPh>
    <rPh sb="8" eb="9">
      <t>ヒ</t>
    </rPh>
    <rPh sb="9" eb="10">
      <t>ケイ</t>
    </rPh>
    <phoneticPr fontId="6"/>
  </si>
  <si>
    <t>【６】借入金（買掛未払金を含む。）及び支払利子</t>
    <rPh sb="3" eb="6">
      <t>カリイレキン</t>
    </rPh>
    <rPh sb="7" eb="8">
      <t>カ</t>
    </rPh>
    <rPh sb="8" eb="9">
      <t>カ</t>
    </rPh>
    <rPh sb="9" eb="11">
      <t>ミバラ</t>
    </rPh>
    <rPh sb="11" eb="12">
      <t>キン</t>
    </rPh>
    <rPh sb="13" eb="14">
      <t>フク</t>
    </rPh>
    <rPh sb="17" eb="18">
      <t>オヨ</t>
    </rPh>
    <rPh sb="19" eb="21">
      <t>シハライ</t>
    </rPh>
    <rPh sb="21" eb="23">
      <t>リシ</t>
    </rPh>
    <phoneticPr fontId="6"/>
  </si>
  <si>
    <t>　  当年産の対象品目生産のための借入金及び支払利子につ</t>
    <rPh sb="3" eb="5">
      <t>トウネン</t>
    </rPh>
    <rPh sb="5" eb="6">
      <t>サン</t>
    </rPh>
    <rPh sb="11" eb="13">
      <t>セイサン</t>
    </rPh>
    <rPh sb="17" eb="19">
      <t>カリイレ</t>
    </rPh>
    <rPh sb="19" eb="20">
      <t>キン</t>
    </rPh>
    <rPh sb="20" eb="21">
      <t>オヨ</t>
    </rPh>
    <rPh sb="22" eb="24">
      <t>シハライ</t>
    </rPh>
    <rPh sb="24" eb="26">
      <t>リシ</t>
    </rPh>
    <phoneticPr fontId="6"/>
  </si>
  <si>
    <t>　いて、黄色の「計」の欄に記入してください。</t>
    <rPh sb="8" eb="9">
      <t>ケイ</t>
    </rPh>
    <phoneticPr fontId="6"/>
  </si>
  <si>
    <t xml:space="preserve"> 　 なお、内訳欄を利用して「計」の内訳を記入する場合は、その合計が「計」とな</t>
    <rPh sb="6" eb="8">
      <t>ウチワケ</t>
    </rPh>
    <rPh sb="8" eb="9">
      <t>ラン</t>
    </rPh>
    <rPh sb="10" eb="12">
      <t>リヨウ</t>
    </rPh>
    <rPh sb="15" eb="16">
      <t>ケイ</t>
    </rPh>
    <rPh sb="18" eb="20">
      <t>ウチワケ</t>
    </rPh>
    <rPh sb="25" eb="27">
      <t>バアイ</t>
    </rPh>
    <phoneticPr fontId="6"/>
  </si>
  <si>
    <t>　るよう記入してください。</t>
    <phoneticPr fontId="6"/>
  </si>
  <si>
    <t>資金名（用途）</t>
    <rPh sb="0" eb="1">
      <t>シ</t>
    </rPh>
    <rPh sb="1" eb="2">
      <t>キン</t>
    </rPh>
    <rPh sb="2" eb="3">
      <t>メイ</t>
    </rPh>
    <rPh sb="4" eb="6">
      <t>ヨウト</t>
    </rPh>
    <phoneticPr fontId="6"/>
  </si>
  <si>
    <t>調査開始時
未償還残高（円）</t>
    <rPh sb="0" eb="2">
      <t>チョウサ</t>
    </rPh>
    <rPh sb="2" eb="5">
      <t>カイシジ</t>
    </rPh>
    <rPh sb="6" eb="9">
      <t>ミショウカン</t>
    </rPh>
    <rPh sb="9" eb="11">
      <t>ザンダカ</t>
    </rPh>
    <rPh sb="12" eb="13">
      <t>エン</t>
    </rPh>
    <phoneticPr fontId="6"/>
  </si>
  <si>
    <t>支払利子額（円）</t>
    <rPh sb="0" eb="2">
      <t>シハライ</t>
    </rPh>
    <rPh sb="2" eb="4">
      <t>リシ</t>
    </rPh>
    <rPh sb="4" eb="5">
      <t>ガク</t>
    </rPh>
    <rPh sb="6" eb="7">
      <t>エン</t>
    </rPh>
    <phoneticPr fontId="6"/>
  </si>
  <si>
    <t>短期借入金</t>
    <rPh sb="0" eb="2">
      <t>タンキ</t>
    </rPh>
    <rPh sb="2" eb="4">
      <t>カリイレ</t>
    </rPh>
    <rPh sb="4" eb="5">
      <t>キン</t>
    </rPh>
    <phoneticPr fontId="6"/>
  </si>
  <si>
    <t>長期借入金</t>
    <rPh sb="0" eb="2">
      <t>チョウキ</t>
    </rPh>
    <rPh sb="2" eb="4">
      <t>カリイレ</t>
    </rPh>
    <rPh sb="4" eb="5">
      <t>キン</t>
    </rPh>
    <phoneticPr fontId="6"/>
  </si>
  <si>
    <t>買掛未払金</t>
    <rPh sb="0" eb="2">
      <t>カイカケ</t>
    </rPh>
    <rPh sb="2" eb="5">
      <t>ミバライキン</t>
    </rPh>
    <phoneticPr fontId="6"/>
  </si>
  <si>
    <t>長期借入金</t>
    <rPh sb="0" eb="2">
      <t>チョウキ</t>
    </rPh>
    <rPh sb="2" eb="5">
      <t>カリイレキン</t>
    </rPh>
    <phoneticPr fontId="6"/>
  </si>
  <si>
    <t>注：土地の取得に関する借入金を除いて記入してください。</t>
    <rPh sb="0" eb="1">
      <t>チュウ</t>
    </rPh>
    <rPh sb="2" eb="4">
      <t>トチ</t>
    </rPh>
    <rPh sb="5" eb="7">
      <t>シュトク</t>
    </rPh>
    <rPh sb="8" eb="9">
      <t>カン</t>
    </rPh>
    <rPh sb="11" eb="14">
      <t>カリイレキン</t>
    </rPh>
    <rPh sb="15" eb="16">
      <t>ノゾ</t>
    </rPh>
    <phoneticPr fontId="6"/>
  </si>
  <si>
    <t>【７】建物及び構築物（土地改良施設を含む。）の所有状況</t>
    <rPh sb="3" eb="5">
      <t>タテモノ</t>
    </rPh>
    <rPh sb="5" eb="6">
      <t>オヨ</t>
    </rPh>
    <rPh sb="7" eb="10">
      <t>コウチクブツ</t>
    </rPh>
    <rPh sb="11" eb="13">
      <t>トチ</t>
    </rPh>
    <rPh sb="13" eb="15">
      <t>カイリョウ</t>
    </rPh>
    <rPh sb="15" eb="17">
      <t>シセツ</t>
    </rPh>
    <rPh sb="18" eb="19">
      <t>フク</t>
    </rPh>
    <rPh sb="23" eb="25">
      <t>ショユウ</t>
    </rPh>
    <rPh sb="25" eb="27">
      <t>ジョウキョウ</t>
    </rPh>
    <phoneticPr fontId="6"/>
  </si>
  <si>
    <t>　（１）建物及び構築物（土地改良設備を含む。）</t>
    <rPh sb="4" eb="6">
      <t>タテモノ</t>
    </rPh>
    <rPh sb="6" eb="7">
      <t>オヨ</t>
    </rPh>
    <rPh sb="8" eb="11">
      <t>コウチクブツ</t>
    </rPh>
    <rPh sb="12" eb="14">
      <t>トチ</t>
    </rPh>
    <rPh sb="14" eb="16">
      <t>カイリョウ</t>
    </rPh>
    <rPh sb="16" eb="18">
      <t>セツビ</t>
    </rPh>
    <rPh sb="19" eb="20">
      <t>フク</t>
    </rPh>
    <phoneticPr fontId="6"/>
  </si>
  <si>
    <t xml:space="preserve"> 　対象品目生産のために使用した建物及び構築物の所有状況について記入してください。</t>
    <rPh sb="12" eb="14">
      <t>シヨウ</t>
    </rPh>
    <rPh sb="16" eb="18">
      <t>タテモノ</t>
    </rPh>
    <rPh sb="18" eb="19">
      <t>オヨ</t>
    </rPh>
    <rPh sb="20" eb="23">
      <t>コウチクブツ</t>
    </rPh>
    <rPh sb="24" eb="26">
      <t>ショユウ</t>
    </rPh>
    <rPh sb="26" eb="28">
      <t>ジョウキョウ</t>
    </rPh>
    <phoneticPr fontId="6"/>
  </si>
  <si>
    <t>　 なお、１年間で新たに取得（新築）した場合は、該当建物等の「名称等」欄～「対象品目負担割合」欄に</t>
    <rPh sb="6" eb="8">
      <t>ネンカン</t>
    </rPh>
    <rPh sb="9" eb="10">
      <t>アラ</t>
    </rPh>
    <rPh sb="12" eb="14">
      <t>シュトク</t>
    </rPh>
    <rPh sb="15" eb="17">
      <t>シンチク</t>
    </rPh>
    <rPh sb="20" eb="22">
      <t>バアイ</t>
    </rPh>
    <rPh sb="24" eb="26">
      <t>ガイトウ</t>
    </rPh>
    <rPh sb="26" eb="28">
      <t>タテモノ</t>
    </rPh>
    <rPh sb="28" eb="29">
      <t>トウ</t>
    </rPh>
    <rPh sb="31" eb="33">
      <t>メイショウ</t>
    </rPh>
    <rPh sb="33" eb="34">
      <t>トウ</t>
    </rPh>
    <rPh sb="35" eb="36">
      <t>ラン</t>
    </rPh>
    <rPh sb="42" eb="44">
      <t>フタン</t>
    </rPh>
    <rPh sb="44" eb="46">
      <t>ワリアイ</t>
    </rPh>
    <rPh sb="47" eb="48">
      <t>ラン</t>
    </rPh>
    <phoneticPr fontId="92"/>
  </si>
  <si>
    <t xml:space="preserve"> 記入してください。</t>
  </si>
  <si>
    <t>部分取り壊しをした面積割合（％）を記入してください。</t>
    <rPh sb="0" eb="2">
      <t>ブブン</t>
    </rPh>
    <rPh sb="2" eb="3">
      <t>ト</t>
    </rPh>
    <rPh sb="4" eb="5">
      <t>コワ</t>
    </rPh>
    <rPh sb="9" eb="11">
      <t>メンセキ</t>
    </rPh>
    <rPh sb="11" eb="13">
      <t>ワリアイ</t>
    </rPh>
    <rPh sb="17" eb="19">
      <t>キニュウ</t>
    </rPh>
    <phoneticPr fontId="38"/>
  </si>
  <si>
    <t>部分取り壊しをした面積割合（％）</t>
    <rPh sb="0" eb="2">
      <t>ブブン</t>
    </rPh>
    <rPh sb="2" eb="3">
      <t>ト</t>
    </rPh>
    <rPh sb="4" eb="5">
      <t>コワ</t>
    </rPh>
    <rPh sb="9" eb="11">
      <t>メンセキ</t>
    </rPh>
    <rPh sb="11" eb="13">
      <t>ワリアイ</t>
    </rPh>
    <phoneticPr fontId="38"/>
  </si>
  <si>
    <t>基本</t>
    <rPh sb="0" eb="2">
      <t>キホン</t>
    </rPh>
    <phoneticPr fontId="1"/>
  </si>
  <si>
    <t>減価償却</t>
    <rPh sb="0" eb="2">
      <t>ゲンカ</t>
    </rPh>
    <rPh sb="2" eb="4">
      <t>ショウキャク</t>
    </rPh>
    <phoneticPr fontId="6"/>
  </si>
  <si>
    <t>農業経営基盤強化準備金</t>
    <rPh sb="0" eb="2">
      <t>ノウギョウ</t>
    </rPh>
    <rPh sb="2" eb="4">
      <t>ケイエイ</t>
    </rPh>
    <rPh sb="4" eb="6">
      <t>キバン</t>
    </rPh>
    <rPh sb="6" eb="8">
      <t>キョウカ</t>
    </rPh>
    <rPh sb="8" eb="11">
      <t>ジュンビキン</t>
    </rPh>
    <phoneticPr fontId="6"/>
  </si>
  <si>
    <t>年末</t>
    <rPh sb="0" eb="2">
      <t>ネンマツ</t>
    </rPh>
    <phoneticPr fontId="6"/>
  </si>
  <si>
    <t>調査対象品目負担分</t>
    <rPh sb="0" eb="2">
      <t>チョウサ</t>
    </rPh>
    <rPh sb="2" eb="4">
      <t>タイショウ</t>
    </rPh>
    <rPh sb="4" eb="6">
      <t>ヒンモク</t>
    </rPh>
    <rPh sb="6" eb="9">
      <t>フタンブン</t>
    </rPh>
    <phoneticPr fontId="6"/>
  </si>
  <si>
    <t>番号</t>
    <rPh sb="0" eb="2">
      <t>バンゴウ</t>
    </rPh>
    <phoneticPr fontId="38"/>
  </si>
  <si>
    <t>名　　称　　等</t>
    <rPh sb="0" eb="1">
      <t>メイ</t>
    </rPh>
    <rPh sb="3" eb="4">
      <t>ショウ</t>
    </rPh>
    <rPh sb="6" eb="7">
      <t>トウ</t>
    </rPh>
    <phoneticPr fontId="6"/>
  </si>
  <si>
    <t>種類コード</t>
  </si>
  <si>
    <t>構造コード</t>
    <phoneticPr fontId="38"/>
  </si>
  <si>
    <t>新古
区分</t>
    <rPh sb="0" eb="1">
      <t>シン</t>
    </rPh>
    <rPh sb="1" eb="2">
      <t>コ</t>
    </rPh>
    <rPh sb="3" eb="5">
      <t>クブン</t>
    </rPh>
    <phoneticPr fontId="38"/>
  </si>
  <si>
    <t>耐用年数(年)</t>
    <rPh sb="0" eb="2">
      <t>タイヨウ</t>
    </rPh>
    <rPh sb="2" eb="4">
      <t>ネンスウ</t>
    </rPh>
    <rPh sb="5" eb="6">
      <t>ネン</t>
    </rPh>
    <phoneticPr fontId="38"/>
  </si>
  <si>
    <t>取得年月</t>
    <rPh sb="2" eb="4">
      <t>ネンゲツ</t>
    </rPh>
    <phoneticPr fontId="38"/>
  </si>
  <si>
    <t>取得価額</t>
    <rPh sb="0" eb="2">
      <t>シュトク</t>
    </rPh>
    <rPh sb="2" eb="4">
      <t>カガク</t>
    </rPh>
    <phoneticPr fontId="6"/>
  </si>
  <si>
    <t>農業経営基盤
強化準備金</t>
    <rPh sb="0" eb="2">
      <t>ノウギョウ</t>
    </rPh>
    <rPh sb="2" eb="4">
      <t>ケイエイ</t>
    </rPh>
    <rPh sb="4" eb="6">
      <t>キバン</t>
    </rPh>
    <rPh sb="7" eb="9">
      <t>キョウカ</t>
    </rPh>
    <rPh sb="9" eb="12">
      <t>ジュンビキン</t>
    </rPh>
    <phoneticPr fontId="6"/>
  </si>
  <si>
    <t>修繕費</t>
    <rPh sb="0" eb="2">
      <t>シュウゼン</t>
    </rPh>
    <rPh sb="2" eb="3">
      <t>ヒ</t>
    </rPh>
    <phoneticPr fontId="6"/>
  </si>
  <si>
    <t>保険料</t>
    <rPh sb="0" eb="3">
      <t>ホケンリョウ</t>
    </rPh>
    <phoneticPr fontId="6"/>
  </si>
  <si>
    <t>対象品目負担
割合
（％）</t>
    <rPh sb="4" eb="6">
      <t>フタン</t>
    </rPh>
    <rPh sb="7" eb="9">
      <t>ワリアイ</t>
    </rPh>
    <phoneticPr fontId="38"/>
  </si>
  <si>
    <t>夏植え使用</t>
    <rPh sb="0" eb="1">
      <t>ナツ</t>
    </rPh>
    <rPh sb="1" eb="2">
      <t>ウ</t>
    </rPh>
    <rPh sb="3" eb="5">
      <t>シヨウ</t>
    </rPh>
    <phoneticPr fontId="6"/>
  </si>
  <si>
    <t>年内異動状況</t>
    <rPh sb="0" eb="2">
      <t>ネンナイ</t>
    </rPh>
    <rPh sb="2" eb="4">
      <t>イドウ</t>
    </rPh>
    <rPh sb="4" eb="6">
      <t>ジョウキョウ</t>
    </rPh>
    <phoneticPr fontId="6"/>
  </si>
  <si>
    <t>種類＋構造</t>
    <rPh sb="0" eb="2">
      <t>シュルイ</t>
    </rPh>
    <rPh sb="3" eb="5">
      <t>コウゾウ</t>
    </rPh>
    <phoneticPr fontId="6"/>
  </si>
  <si>
    <t>10万円未満なら[1]</t>
    <rPh sb="2" eb="4">
      <t>マンエン</t>
    </rPh>
    <rPh sb="4" eb="6">
      <t>ミマン</t>
    </rPh>
    <phoneticPr fontId="6"/>
  </si>
  <si>
    <t>少額資産なら[1]</t>
    <rPh sb="0" eb="2">
      <t>ショウガク</t>
    </rPh>
    <rPh sb="2" eb="4">
      <t>シサン</t>
    </rPh>
    <phoneticPr fontId="6"/>
  </si>
  <si>
    <t>耐用年数（資産Codeから抽出）</t>
    <rPh sb="0" eb="2">
      <t>タイヨウ</t>
    </rPh>
    <rPh sb="2" eb="4">
      <t>ネンスウ</t>
    </rPh>
    <rPh sb="5" eb="7">
      <t>シサン</t>
    </rPh>
    <rPh sb="13" eb="15">
      <t>チュウシュツ</t>
    </rPh>
    <phoneticPr fontId="6"/>
  </si>
  <si>
    <t>耐用年数（少額資産、中古を修正）</t>
    <rPh sb="0" eb="2">
      <t>タイヨウ</t>
    </rPh>
    <rPh sb="2" eb="4">
      <t>ネンスウ</t>
    </rPh>
    <rPh sb="5" eb="7">
      <t>ショウガク</t>
    </rPh>
    <rPh sb="7" eb="9">
      <t>シサン</t>
    </rPh>
    <rPh sb="10" eb="12">
      <t>チュウコ</t>
    </rPh>
    <rPh sb="13" eb="15">
      <t>シュウセイ</t>
    </rPh>
    <rPh sb="14" eb="15">
      <t>カイシュウ</t>
    </rPh>
    <phoneticPr fontId="6"/>
  </si>
  <si>
    <t>償却率</t>
    <rPh sb="0" eb="2">
      <t>ショウキャク</t>
    </rPh>
    <rPh sb="2" eb="3">
      <t>リツ</t>
    </rPh>
    <phoneticPr fontId="6"/>
  </si>
  <si>
    <t>経過年数</t>
    <rPh sb="0" eb="2">
      <t>ケイカ</t>
    </rPh>
    <rPh sb="2" eb="4">
      <t>ネンスウ</t>
    </rPh>
    <phoneticPr fontId="6"/>
  </si>
  <si>
    <t>１年当たりの償却額</t>
    <rPh sb="1" eb="2">
      <t>ネン</t>
    </rPh>
    <rPh sb="2" eb="3">
      <t>ア</t>
    </rPh>
    <rPh sb="6" eb="8">
      <t>ショウキャク</t>
    </rPh>
    <rPh sb="8" eb="9">
      <t>ガク</t>
    </rPh>
    <phoneticPr fontId="6"/>
  </si>
  <si>
    <t>調査始現在価
又は
取得価額</t>
    <rPh sb="3" eb="5">
      <t>ゲンザイ</t>
    </rPh>
    <rPh sb="5" eb="6">
      <t>カ</t>
    </rPh>
    <rPh sb="7" eb="8">
      <t>マタ</t>
    </rPh>
    <rPh sb="10" eb="12">
      <t>シュトク</t>
    </rPh>
    <rPh sb="12" eb="14">
      <t>カガク</t>
    </rPh>
    <phoneticPr fontId="6"/>
  </si>
  <si>
    <t>減価償却額（処分差込）</t>
    <rPh sb="0" eb="2">
      <t>ゲンカ</t>
    </rPh>
    <rPh sb="2" eb="5">
      <t>ショウキャクガク</t>
    </rPh>
    <rPh sb="6" eb="8">
      <t>ショブン</t>
    </rPh>
    <rPh sb="8" eb="9">
      <t>サ</t>
    </rPh>
    <rPh sb="9" eb="10">
      <t>コ</t>
    </rPh>
    <phoneticPr fontId="6"/>
  </si>
  <si>
    <t>調査始現在価</t>
    <rPh sb="3" eb="5">
      <t>ゲンザイ</t>
    </rPh>
    <rPh sb="5" eb="6">
      <t>カ</t>
    </rPh>
    <phoneticPr fontId="6"/>
  </si>
  <si>
    <t>当年修繕費相当額</t>
    <rPh sb="0" eb="2">
      <t>トウネン</t>
    </rPh>
    <rPh sb="2" eb="5">
      <t>シュウゼンヒ</t>
    </rPh>
    <rPh sb="5" eb="7">
      <t>ソウトウ</t>
    </rPh>
    <rPh sb="7" eb="8">
      <t>ガク</t>
    </rPh>
    <phoneticPr fontId="6"/>
  </si>
  <si>
    <t>部分取り壊し後の
取得価額</t>
    <rPh sb="0" eb="3">
      <t>ブブント</t>
    </rPh>
    <rPh sb="4" eb="5">
      <t>コワ</t>
    </rPh>
    <rPh sb="6" eb="7">
      <t>ゴ</t>
    </rPh>
    <rPh sb="9" eb="13">
      <t>シュトクカガク</t>
    </rPh>
    <phoneticPr fontId="6"/>
  </si>
  <si>
    <t>部分取り壊し後の
農業経営基盤強化準備金</t>
    <rPh sb="0" eb="3">
      <t>ブブント</t>
    </rPh>
    <rPh sb="4" eb="5">
      <t>コワ</t>
    </rPh>
    <rPh sb="6" eb="7">
      <t>ゴ</t>
    </rPh>
    <rPh sb="9" eb="11">
      <t>ノウギョウ</t>
    </rPh>
    <rPh sb="11" eb="13">
      <t>ケイエイ</t>
    </rPh>
    <rPh sb="13" eb="15">
      <t>キバン</t>
    </rPh>
    <rPh sb="15" eb="17">
      <t>キョウカ</t>
    </rPh>
    <rPh sb="17" eb="20">
      <t>ジュンビキン</t>
    </rPh>
    <phoneticPr fontId="6"/>
  </si>
  <si>
    <t>減価償却額</t>
    <rPh sb="0" eb="2">
      <t>ゲンカ</t>
    </rPh>
    <rPh sb="2" eb="5">
      <t>ショウキャクガク</t>
    </rPh>
    <phoneticPr fontId="6"/>
  </si>
  <si>
    <t>資産計</t>
    <rPh sb="0" eb="2">
      <t>シサン</t>
    </rPh>
    <rPh sb="2" eb="3">
      <t>ケイ</t>
    </rPh>
    <phoneticPr fontId="6"/>
  </si>
  <si>
    <t>修繕費</t>
    <rPh sb="0" eb="3">
      <t>シュウゼンヒ</t>
    </rPh>
    <phoneticPr fontId="6"/>
  </si>
  <si>
    <t>修繕費
＋
保険料</t>
    <rPh sb="0" eb="3">
      <t>シュウゼンヒ</t>
    </rPh>
    <rPh sb="6" eb="9">
      <t>ホケンリョウ</t>
    </rPh>
    <phoneticPr fontId="6"/>
  </si>
  <si>
    <t>新築</t>
    <rPh sb="1" eb="2">
      <t>チク</t>
    </rPh>
    <phoneticPr fontId="38"/>
  </si>
  <si>
    <t>中古</t>
    <rPh sb="0" eb="2">
      <t>チュウコ</t>
    </rPh>
    <phoneticPr fontId="38"/>
  </si>
  <si>
    <t>年
（西暦）</t>
    <rPh sb="0" eb="1">
      <t>ネン</t>
    </rPh>
    <rPh sb="3" eb="5">
      <t>セイレキ</t>
    </rPh>
    <phoneticPr fontId="6"/>
  </si>
  <si>
    <t>月</t>
    <rPh sb="0" eb="1">
      <t>ツキ</t>
    </rPh>
    <phoneticPr fontId="6"/>
  </si>
  <si>
    <t>（円）</t>
    <rPh sb="1" eb="2">
      <t>エン</t>
    </rPh>
    <phoneticPr fontId="6"/>
  </si>
  <si>
    <t>異動コード</t>
    <rPh sb="0" eb="2">
      <t>イドウ</t>
    </rPh>
    <phoneticPr fontId="6"/>
  </si>
  <si>
    <t xml:space="preserve">異動に伴う発生金額（円）
</t>
    <rPh sb="0" eb="2">
      <t>イドウ</t>
    </rPh>
    <rPh sb="3" eb="4">
      <t>トモナ</t>
    </rPh>
    <rPh sb="5" eb="7">
      <t>ハッセイ</t>
    </rPh>
    <rPh sb="7" eb="8">
      <t>キン</t>
    </rPh>
    <rPh sb="8" eb="9">
      <t>ガク</t>
    </rPh>
    <rPh sb="10" eb="11">
      <t>エン</t>
    </rPh>
    <phoneticPr fontId="38"/>
  </si>
  <si>
    <t xml:space="preserve"> </t>
    <phoneticPr fontId="6"/>
  </si>
  <si>
    <t xml:space="preserve"> </t>
    <phoneticPr fontId="6"/>
  </si>
  <si>
    <t>うち処分差損失</t>
    <rPh sb="2" eb="4">
      <t>ショブン</t>
    </rPh>
    <rPh sb="4" eb="5">
      <t>サ</t>
    </rPh>
    <rPh sb="5" eb="7">
      <t>ソンシツ</t>
    </rPh>
    <phoneticPr fontId="6"/>
  </si>
  <si>
    <t>建物・構築物</t>
    <rPh sb="0" eb="2">
      <t>タテモノ</t>
    </rPh>
    <rPh sb="3" eb="6">
      <t>コウチクブツ</t>
    </rPh>
    <phoneticPr fontId="6"/>
  </si>
  <si>
    <t>土地改良設備</t>
    <rPh sb="0" eb="2">
      <t>トチ</t>
    </rPh>
    <rPh sb="2" eb="4">
      <t>カイリョウ</t>
    </rPh>
    <rPh sb="4" eb="6">
      <t>セツビ</t>
    </rPh>
    <phoneticPr fontId="6"/>
  </si>
  <si>
    <t>【８】自動車（自動二輪・三輪を含む。）の所有状況</t>
    <rPh sb="3" eb="6">
      <t>ジドウシャ</t>
    </rPh>
    <rPh sb="7" eb="10">
      <t>ジドウニ</t>
    </rPh>
    <rPh sb="10" eb="11">
      <t>リン</t>
    </rPh>
    <rPh sb="12" eb="14">
      <t>サンリン</t>
    </rPh>
    <rPh sb="15" eb="16">
      <t>フク</t>
    </rPh>
    <rPh sb="20" eb="22">
      <t>ショユウ</t>
    </rPh>
    <rPh sb="22" eb="24">
      <t>ジョウキョウ</t>
    </rPh>
    <phoneticPr fontId="6"/>
  </si>
  <si>
    <t>　（２）自動車（自動二輪・三輪を含む。）</t>
    <rPh sb="4" eb="7">
      <t>ジドウシャ</t>
    </rPh>
    <rPh sb="8" eb="10">
      <t>ジドウ</t>
    </rPh>
    <rPh sb="10" eb="12">
      <t>ニリン</t>
    </rPh>
    <rPh sb="13" eb="15">
      <t>サンリン</t>
    </rPh>
    <rPh sb="16" eb="17">
      <t>フク</t>
    </rPh>
    <phoneticPr fontId="6"/>
  </si>
  <si>
    <t xml:space="preserve"> 　対象品目生産のために使用した自動車等の所有状況について記入してくだ</t>
    <rPh sb="12" eb="14">
      <t>シヨウ</t>
    </rPh>
    <rPh sb="16" eb="19">
      <t>ジドウシャ</t>
    </rPh>
    <rPh sb="19" eb="20">
      <t>トウ</t>
    </rPh>
    <rPh sb="21" eb="23">
      <t>ショユウ</t>
    </rPh>
    <rPh sb="23" eb="25">
      <t>ジョウキョウ</t>
    </rPh>
    <phoneticPr fontId="6"/>
  </si>
  <si>
    <t>さい。</t>
    <phoneticPr fontId="6"/>
  </si>
  <si>
    <t>　 なお、１年間で新たに取得した場合は、該当自動車等の「名称等」欄～</t>
    <rPh sb="6" eb="8">
      <t>ネンカン</t>
    </rPh>
    <rPh sb="9" eb="10">
      <t>アラ</t>
    </rPh>
    <rPh sb="12" eb="14">
      <t>シュトク</t>
    </rPh>
    <rPh sb="16" eb="18">
      <t>バアイ</t>
    </rPh>
    <rPh sb="20" eb="22">
      <t>ガイトウ</t>
    </rPh>
    <rPh sb="22" eb="25">
      <t>ジドウシャ</t>
    </rPh>
    <rPh sb="25" eb="26">
      <t>トウ</t>
    </rPh>
    <rPh sb="28" eb="30">
      <t>メイショウ</t>
    </rPh>
    <rPh sb="30" eb="31">
      <t>トウ</t>
    </rPh>
    <rPh sb="32" eb="33">
      <t>ラン</t>
    </rPh>
    <phoneticPr fontId="92"/>
  </si>
  <si>
    <t xml:space="preserve"> 「対象品目負担割合」欄に記入してください。</t>
    <rPh sb="6" eb="8">
      <t>フタン</t>
    </rPh>
    <rPh sb="8" eb="10">
      <t>ワリアイ</t>
    </rPh>
    <rPh sb="11" eb="12">
      <t>ラン</t>
    </rPh>
    <phoneticPr fontId="6"/>
  </si>
  <si>
    <t>共同所有している経営体数を記入してください。所有台数の計算にのみ使用します。</t>
    <rPh sb="0" eb="2">
      <t>キョウドウ</t>
    </rPh>
    <rPh sb="2" eb="4">
      <t>ショユウ</t>
    </rPh>
    <rPh sb="8" eb="11">
      <t>ケイエイタイ</t>
    </rPh>
    <rPh sb="11" eb="12">
      <t>スウ</t>
    </rPh>
    <rPh sb="13" eb="15">
      <t>キニュウ</t>
    </rPh>
    <rPh sb="22" eb="24">
      <t>ショユウ</t>
    </rPh>
    <rPh sb="24" eb="26">
      <t>ダイスウ</t>
    </rPh>
    <rPh sb="27" eb="29">
      <t>ケイサン</t>
    </rPh>
    <rPh sb="32" eb="34">
      <t>シヨウ</t>
    </rPh>
    <phoneticPr fontId="38"/>
  </si>
  <si>
    <t>20万円以上の修繕で修繕費を償却するために起こした資産は「○」を選択してください。所有台数には計上しません。</t>
    <rPh sb="2" eb="3">
      <t>マン</t>
    </rPh>
    <rPh sb="3" eb="6">
      <t>エンイジョウ</t>
    </rPh>
    <rPh sb="7" eb="9">
      <t>シュウゼン</t>
    </rPh>
    <rPh sb="10" eb="13">
      <t>シュウゼンヒ</t>
    </rPh>
    <rPh sb="14" eb="16">
      <t>ショウキャク</t>
    </rPh>
    <rPh sb="21" eb="22">
      <t>オ</t>
    </rPh>
    <rPh sb="25" eb="27">
      <t>シサン</t>
    </rPh>
    <rPh sb="32" eb="34">
      <t>センタク</t>
    </rPh>
    <rPh sb="41" eb="43">
      <t>ショユウ</t>
    </rPh>
    <rPh sb="43" eb="45">
      <t>ダイスウ</t>
    </rPh>
    <rPh sb="47" eb="49">
      <t>ケイジョウ</t>
    </rPh>
    <phoneticPr fontId="38"/>
  </si>
  <si>
    <t>共同所有経営体数</t>
    <rPh sb="0" eb="2">
      <t>キョウドウ</t>
    </rPh>
    <rPh sb="2" eb="4">
      <t>ショユウ</t>
    </rPh>
    <rPh sb="4" eb="7">
      <t>ケイエイタイ</t>
    </rPh>
    <rPh sb="7" eb="8">
      <t>スウ</t>
    </rPh>
    <phoneticPr fontId="38"/>
  </si>
  <si>
    <t>20万円以上の修繕資産</t>
    <rPh sb="2" eb="4">
      <t>マンエン</t>
    </rPh>
    <rPh sb="4" eb="6">
      <t>イジョウ</t>
    </rPh>
    <rPh sb="7" eb="9">
      <t>シュウゼン</t>
    </rPh>
    <rPh sb="9" eb="11">
      <t>シサン</t>
    </rPh>
    <phoneticPr fontId="38"/>
  </si>
  <si>
    <t>種類コード</t>
    <rPh sb="0" eb="2">
      <t>シュルイ</t>
    </rPh>
    <phoneticPr fontId="6"/>
  </si>
  <si>
    <t>型式コード</t>
    <rPh sb="0" eb="2">
      <t>カタシキ</t>
    </rPh>
    <phoneticPr fontId="6"/>
  </si>
  <si>
    <t>自動車保険料</t>
    <rPh sb="0" eb="3">
      <t>ジドウシャ</t>
    </rPh>
    <rPh sb="3" eb="6">
      <t>ホケンリョウ</t>
    </rPh>
    <phoneticPr fontId="6"/>
  </si>
  <si>
    <t>自動車・
軽自動車税</t>
    <rPh sb="0" eb="3">
      <t>ジドウシャ</t>
    </rPh>
    <rPh sb="5" eb="9">
      <t>ケイジドウシャ</t>
    </rPh>
    <rPh sb="9" eb="10">
      <t>ゼイ</t>
    </rPh>
    <phoneticPr fontId="6"/>
  </si>
  <si>
    <t>当年、車検を受けた自動車等
について記入してください。</t>
    <rPh sb="0" eb="2">
      <t>トウネン</t>
    </rPh>
    <rPh sb="3" eb="5">
      <t>シャケン</t>
    </rPh>
    <rPh sb="6" eb="7">
      <t>ウ</t>
    </rPh>
    <rPh sb="9" eb="12">
      <t>ジドウシャ</t>
    </rPh>
    <rPh sb="12" eb="13">
      <t>トウ</t>
    </rPh>
    <phoneticPr fontId="6"/>
  </si>
  <si>
    <t>対象品目
負担
割合
（％）</t>
    <rPh sb="5" eb="7">
      <t>フタン</t>
    </rPh>
    <rPh sb="8" eb="10">
      <t>ワリアイ</t>
    </rPh>
    <phoneticPr fontId="38"/>
  </si>
  <si>
    <t>自動車保険料</t>
    <rPh sb="0" eb="2">
      <t>ジドウ</t>
    </rPh>
    <rPh sb="2" eb="3">
      <t>シャ</t>
    </rPh>
    <rPh sb="3" eb="6">
      <t>ホケンリョウ</t>
    </rPh>
    <phoneticPr fontId="6"/>
  </si>
  <si>
    <t>修繕費＋
自動車保険料</t>
    <rPh sb="0" eb="3">
      <t>シュウゼンヒ</t>
    </rPh>
    <rPh sb="8" eb="11">
      <t>ホケンリョウ</t>
    </rPh>
    <phoneticPr fontId="6"/>
  </si>
  <si>
    <t>自動車税</t>
    <rPh sb="3" eb="4">
      <t>ゼイ</t>
    </rPh>
    <phoneticPr fontId="6"/>
  </si>
  <si>
    <t>軽自動車税</t>
    <phoneticPr fontId="6"/>
  </si>
  <si>
    <t>自動車
重量税</t>
    <phoneticPr fontId="6"/>
  </si>
  <si>
    <t>所有台数</t>
    <rPh sb="0" eb="2">
      <t>ショユウ</t>
    </rPh>
    <rPh sb="2" eb="4">
      <t>ダイスウ</t>
    </rPh>
    <phoneticPr fontId="6"/>
  </si>
  <si>
    <t>新品</t>
    <rPh sb="1" eb="2">
      <t>ヒン</t>
    </rPh>
    <phoneticPr fontId="38"/>
  </si>
  <si>
    <t>売　却　金　額
（円）</t>
    <rPh sb="0" eb="1">
      <t>バイ</t>
    </rPh>
    <rPh sb="2" eb="3">
      <t>キャク</t>
    </rPh>
    <rPh sb="4" eb="5">
      <t>キン</t>
    </rPh>
    <rPh sb="6" eb="7">
      <t>ガク</t>
    </rPh>
    <rPh sb="9" eb="10">
      <t>エン</t>
    </rPh>
    <phoneticPr fontId="6"/>
  </si>
  <si>
    <t xml:space="preserve"> </t>
    <phoneticPr fontId="6"/>
  </si>
  <si>
    <t xml:space="preserve"> </t>
    <phoneticPr fontId="6"/>
  </si>
  <si>
    <t>自動車重量税</t>
    <rPh sb="0" eb="3">
      <t>ジドウシャ</t>
    </rPh>
    <rPh sb="3" eb="5">
      <t>ジュウリョウ</t>
    </rPh>
    <rPh sb="5" eb="6">
      <t>ゼイ</t>
    </rPh>
    <phoneticPr fontId="6"/>
  </si>
  <si>
    <t>自動車計</t>
    <rPh sb="0" eb="3">
      <t>ジドウシャ</t>
    </rPh>
    <rPh sb="3" eb="4">
      <t>ケイ</t>
    </rPh>
    <phoneticPr fontId="6"/>
  </si>
  <si>
    <t>【９】農業機械（生産管理機器を含む。）の所有状況</t>
    <rPh sb="3" eb="5">
      <t>ノウギョウ</t>
    </rPh>
    <rPh sb="5" eb="7">
      <t>キカイ</t>
    </rPh>
    <rPh sb="8" eb="10">
      <t>セイサン</t>
    </rPh>
    <rPh sb="10" eb="12">
      <t>カンリ</t>
    </rPh>
    <rPh sb="12" eb="14">
      <t>キキ</t>
    </rPh>
    <rPh sb="15" eb="16">
      <t>フク</t>
    </rPh>
    <rPh sb="20" eb="22">
      <t>ショユウ</t>
    </rPh>
    <rPh sb="22" eb="24">
      <t>ジョウキョウ</t>
    </rPh>
    <phoneticPr fontId="6"/>
  </si>
  <si>
    <t>　 対象品目生産のために使用した農業機械、パソコンやコピー機等の生産管理機器の所有状況について記入してください。</t>
    <rPh sb="12" eb="14">
      <t>シヨウ</t>
    </rPh>
    <rPh sb="16" eb="18">
      <t>ノウギョウ</t>
    </rPh>
    <rPh sb="18" eb="20">
      <t>キカイ</t>
    </rPh>
    <rPh sb="29" eb="30">
      <t>キ</t>
    </rPh>
    <rPh sb="30" eb="31">
      <t>トウ</t>
    </rPh>
    <rPh sb="32" eb="34">
      <t>セイサン</t>
    </rPh>
    <rPh sb="34" eb="36">
      <t>カンリ</t>
    </rPh>
    <rPh sb="36" eb="38">
      <t>キキ</t>
    </rPh>
    <phoneticPr fontId="6"/>
  </si>
  <si>
    <t>　 なお、１年間で新たに取得した場合は、当該機械や機器の「名称等」欄～「対象品目負担割合」欄に記入してください。</t>
    <rPh sb="6" eb="8">
      <t>ネンカン</t>
    </rPh>
    <rPh sb="9" eb="10">
      <t>アラ</t>
    </rPh>
    <rPh sb="12" eb="14">
      <t>シュトク</t>
    </rPh>
    <rPh sb="16" eb="18">
      <t>バアイ</t>
    </rPh>
    <rPh sb="20" eb="22">
      <t>トウガイ</t>
    </rPh>
    <rPh sb="22" eb="24">
      <t>キカイ</t>
    </rPh>
    <rPh sb="25" eb="27">
      <t>キキ</t>
    </rPh>
    <rPh sb="29" eb="31">
      <t>メイショウ</t>
    </rPh>
    <rPh sb="31" eb="32">
      <t>トウ</t>
    </rPh>
    <rPh sb="33" eb="34">
      <t>ラン</t>
    </rPh>
    <rPh sb="40" eb="42">
      <t>フタン</t>
    </rPh>
    <rPh sb="42" eb="44">
      <t>ワリアイ</t>
    </rPh>
    <rPh sb="45" eb="46">
      <t>ラン</t>
    </rPh>
    <phoneticPr fontId="92"/>
  </si>
  <si>
    <t xml:space="preserve"> </t>
    <phoneticPr fontId="6"/>
  </si>
  <si>
    <t>20万円以上の修繕資産</t>
    <rPh sb="2" eb="6">
      <t>マンエンイジョウ</t>
    </rPh>
    <rPh sb="7" eb="9">
      <t>シュウゼン</t>
    </rPh>
    <rPh sb="9" eb="11">
      <t>シサン</t>
    </rPh>
    <phoneticPr fontId="38"/>
  </si>
  <si>
    <t>種類コード</t>
    <rPh sb="0" eb="2">
      <t>シュルイ</t>
    </rPh>
    <phoneticPr fontId="38"/>
  </si>
  <si>
    <t>型式コード</t>
    <rPh sb="0" eb="2">
      <t>カタシキ</t>
    </rPh>
    <phoneticPr fontId="38"/>
  </si>
  <si>
    <t>軽自動車税</t>
    <phoneticPr fontId="6"/>
  </si>
  <si>
    <t xml:space="preserve"> </t>
    <phoneticPr fontId="6"/>
  </si>
  <si>
    <t>農業機械計</t>
    <rPh sb="0" eb="2">
      <t>ノウギョウ</t>
    </rPh>
    <rPh sb="2" eb="4">
      <t>キカイ</t>
    </rPh>
    <rPh sb="4" eb="5">
      <t>ケイ</t>
    </rPh>
    <phoneticPr fontId="6"/>
  </si>
  <si>
    <t>生産管理
機器計</t>
    <rPh sb="0" eb="2">
      <t>セイサン</t>
    </rPh>
    <rPh sb="2" eb="4">
      <t>カンリ</t>
    </rPh>
    <rPh sb="5" eb="7">
      <t>キキ</t>
    </rPh>
    <rPh sb="7" eb="8">
      <t>ケイ</t>
    </rPh>
    <phoneticPr fontId="6"/>
  </si>
  <si>
    <t>12　減価償却費（円）</t>
    <rPh sb="3" eb="5">
      <t>ゲンカ</t>
    </rPh>
    <rPh sb="5" eb="8">
      <t>ショウキャクヒ</t>
    </rPh>
    <rPh sb="9" eb="10">
      <t>エン</t>
    </rPh>
    <phoneticPr fontId="38"/>
  </si>
  <si>
    <t>所有台数（台）</t>
    <rPh sb="0" eb="2">
      <t>ショユウ</t>
    </rPh>
    <rPh sb="2" eb="4">
      <t>ダイスウ</t>
    </rPh>
    <rPh sb="5" eb="6">
      <t>ダイ</t>
    </rPh>
    <phoneticPr fontId="100"/>
  </si>
  <si>
    <t>対象品目負担分</t>
    <rPh sb="0" eb="2">
      <t>タイショウ</t>
    </rPh>
    <rPh sb="2" eb="4">
      <t>ヒンモク</t>
    </rPh>
    <rPh sb="4" eb="7">
      <t>フタンブン</t>
    </rPh>
    <phoneticPr fontId="38"/>
  </si>
  <si>
    <t>建物・構築物</t>
    <rPh sb="0" eb="2">
      <t>タテモノ</t>
    </rPh>
    <rPh sb="3" eb="6">
      <t>コウチクブツ</t>
    </rPh>
    <phoneticPr fontId="38"/>
  </si>
  <si>
    <t>住宅</t>
    <rPh sb="0" eb="1">
      <t>ジュウ</t>
    </rPh>
    <rPh sb="1" eb="2">
      <t>タク</t>
    </rPh>
    <phoneticPr fontId="38"/>
  </si>
  <si>
    <t>納屋・倉庫</t>
    <rPh sb="0" eb="2">
      <t>ナヤ</t>
    </rPh>
    <rPh sb="3" eb="5">
      <t>ソウコ</t>
    </rPh>
    <phoneticPr fontId="38"/>
  </si>
  <si>
    <t>用水路</t>
    <rPh sb="0" eb="3">
      <t>ヨウスイロ</t>
    </rPh>
    <phoneticPr fontId="38"/>
  </si>
  <si>
    <t>暗きょ排水施設</t>
    <rPh sb="0" eb="1">
      <t>アン</t>
    </rPh>
    <rPh sb="3" eb="5">
      <t>ハイスイ</t>
    </rPh>
    <rPh sb="5" eb="7">
      <t>シセツ</t>
    </rPh>
    <phoneticPr fontId="38"/>
  </si>
  <si>
    <t>コンクリートけい畔</t>
    <rPh sb="8" eb="9">
      <t>ハン</t>
    </rPh>
    <phoneticPr fontId="38"/>
  </si>
  <si>
    <t>客土</t>
    <rPh sb="0" eb="2">
      <t>キャクド</t>
    </rPh>
    <phoneticPr fontId="38"/>
  </si>
  <si>
    <t>たい肥盤</t>
    <rPh sb="2" eb="3">
      <t>ヒ</t>
    </rPh>
    <rPh sb="3" eb="4">
      <t>バン</t>
    </rPh>
    <phoneticPr fontId="38"/>
  </si>
  <si>
    <t>その他</t>
    <rPh sb="2" eb="3">
      <t>タ</t>
    </rPh>
    <phoneticPr fontId="38"/>
  </si>
  <si>
    <t>計</t>
    <rPh sb="0" eb="1">
      <t>ケイ</t>
    </rPh>
    <phoneticPr fontId="38"/>
  </si>
  <si>
    <t>処分差損失</t>
    <phoneticPr fontId="38"/>
  </si>
  <si>
    <t>自動車</t>
    <rPh sb="0" eb="3">
      <t>ジドウシャ</t>
    </rPh>
    <phoneticPr fontId="38"/>
  </si>
  <si>
    <t>貨物自動車</t>
    <rPh sb="0" eb="2">
      <t>カモツ</t>
    </rPh>
    <rPh sb="2" eb="5">
      <t>ジドウシャ</t>
    </rPh>
    <phoneticPr fontId="38"/>
  </si>
  <si>
    <t>農機具</t>
    <rPh sb="0" eb="3">
      <t>ノウキグ</t>
    </rPh>
    <phoneticPr fontId="38"/>
  </si>
  <si>
    <t>電動機</t>
    <rPh sb="0" eb="3">
      <t>デンドウキ</t>
    </rPh>
    <phoneticPr fontId="38"/>
  </si>
  <si>
    <t>発動機</t>
    <rPh sb="0" eb="3">
      <t>ハツドウキ</t>
    </rPh>
    <phoneticPr fontId="38"/>
  </si>
  <si>
    <t>揚水ポンプ</t>
    <rPh sb="0" eb="1">
      <t>ア</t>
    </rPh>
    <rPh sb="1" eb="2">
      <t>ミズ</t>
    </rPh>
    <phoneticPr fontId="38"/>
  </si>
  <si>
    <t>乗用トラクター</t>
    <rPh sb="0" eb="2">
      <t>ジョウヨウ</t>
    </rPh>
    <phoneticPr fontId="38"/>
  </si>
  <si>
    <t>20馬力未満</t>
    <rPh sb="2" eb="4">
      <t>バリキ</t>
    </rPh>
    <rPh sb="4" eb="6">
      <t>ミマン</t>
    </rPh>
    <phoneticPr fontId="38"/>
  </si>
  <si>
    <t>20～50馬力未満</t>
    <rPh sb="5" eb="7">
      <t>バリキ</t>
    </rPh>
    <rPh sb="7" eb="9">
      <t>ミマン</t>
    </rPh>
    <phoneticPr fontId="38"/>
  </si>
  <si>
    <t>50馬力以上</t>
    <rPh sb="2" eb="4">
      <t>バリキ</t>
    </rPh>
    <rPh sb="4" eb="6">
      <t>イジョウ</t>
    </rPh>
    <phoneticPr fontId="38"/>
  </si>
  <si>
    <t>歩行用トラクター</t>
    <rPh sb="0" eb="2">
      <t>ホコウ</t>
    </rPh>
    <rPh sb="2" eb="3">
      <t>ヨウ</t>
    </rPh>
    <phoneticPr fontId="38"/>
  </si>
  <si>
    <t>電熱育苗機</t>
    <rPh sb="0" eb="2">
      <t>デンネツ</t>
    </rPh>
    <rPh sb="2" eb="4">
      <t>イクビョウ</t>
    </rPh>
    <rPh sb="4" eb="5">
      <t>キ</t>
    </rPh>
    <phoneticPr fontId="38"/>
  </si>
  <si>
    <t>田植機</t>
    <rPh sb="0" eb="3">
      <t>タウエキ</t>
    </rPh>
    <phoneticPr fontId="38"/>
  </si>
  <si>
    <t>２条植</t>
    <rPh sb="1" eb="2">
      <t>ジョウ</t>
    </rPh>
    <rPh sb="2" eb="3">
      <t>ウエ</t>
    </rPh>
    <phoneticPr fontId="38"/>
  </si>
  <si>
    <t>３～５条植</t>
    <rPh sb="3" eb="4">
      <t>ジョウ</t>
    </rPh>
    <rPh sb="4" eb="5">
      <t>ウエ</t>
    </rPh>
    <phoneticPr fontId="38"/>
  </si>
  <si>
    <t>６条植以上</t>
    <rPh sb="1" eb="2">
      <t>ジョウ</t>
    </rPh>
    <rPh sb="2" eb="3">
      <t>ウエ</t>
    </rPh>
    <rPh sb="3" eb="5">
      <t>イジョウ</t>
    </rPh>
    <phoneticPr fontId="38"/>
  </si>
  <si>
    <t>たい肥等散布機</t>
    <rPh sb="2" eb="3">
      <t>ヒ</t>
    </rPh>
    <rPh sb="3" eb="4">
      <t>トウ</t>
    </rPh>
    <rPh sb="4" eb="6">
      <t>サンプ</t>
    </rPh>
    <rPh sb="6" eb="7">
      <t>キ</t>
    </rPh>
    <phoneticPr fontId="38"/>
  </si>
  <si>
    <t>総合は種機</t>
    <rPh sb="0" eb="2">
      <t>ソウゴウ</t>
    </rPh>
    <rPh sb="3" eb="5">
      <t>シュキ</t>
    </rPh>
    <phoneticPr fontId="38"/>
  </si>
  <si>
    <t>移植機</t>
    <rPh sb="0" eb="2">
      <t>イショク</t>
    </rPh>
    <rPh sb="2" eb="3">
      <t>キ</t>
    </rPh>
    <phoneticPr fontId="38"/>
  </si>
  <si>
    <t>中耕除草機</t>
    <rPh sb="0" eb="2">
      <t>チュウコウ</t>
    </rPh>
    <rPh sb="2" eb="5">
      <t>ジョソウキ</t>
    </rPh>
    <phoneticPr fontId="38"/>
  </si>
  <si>
    <t>肥料散布機</t>
    <rPh sb="0" eb="2">
      <t>ヒリョウ</t>
    </rPh>
    <rPh sb="2" eb="4">
      <t>サンプ</t>
    </rPh>
    <rPh sb="4" eb="5">
      <t>キ</t>
    </rPh>
    <phoneticPr fontId="38"/>
  </si>
  <si>
    <t>動力噴霧機</t>
    <rPh sb="0" eb="2">
      <t>ドウリョク</t>
    </rPh>
    <rPh sb="2" eb="5">
      <t>フンムキ</t>
    </rPh>
    <phoneticPr fontId="38"/>
  </si>
  <si>
    <t>動力散粉機</t>
    <rPh sb="0" eb="2">
      <t>ドウリョク</t>
    </rPh>
    <rPh sb="2" eb="3">
      <t>サン</t>
    </rPh>
    <rPh sb="3" eb="4">
      <t>フン</t>
    </rPh>
    <rPh sb="4" eb="5">
      <t>キ</t>
    </rPh>
    <phoneticPr fontId="38"/>
  </si>
  <si>
    <t>バインダー</t>
    <phoneticPr fontId="38"/>
  </si>
  <si>
    <t>自脱型
コンバイン</t>
    <rPh sb="0" eb="1">
      <t>ジ</t>
    </rPh>
    <rPh sb="1" eb="2">
      <t>ダツ</t>
    </rPh>
    <rPh sb="2" eb="3">
      <t>ガタ</t>
    </rPh>
    <phoneticPr fontId="38"/>
  </si>
  <si>
    <t>３条以下</t>
    <rPh sb="1" eb="2">
      <t>ジョウ</t>
    </rPh>
    <rPh sb="2" eb="4">
      <t>イカ</t>
    </rPh>
    <phoneticPr fontId="38"/>
  </si>
  <si>
    <t>４条以上</t>
    <rPh sb="1" eb="2">
      <t>ジョウ</t>
    </rPh>
    <rPh sb="2" eb="4">
      <t>イジョウ</t>
    </rPh>
    <phoneticPr fontId="38"/>
  </si>
  <si>
    <t>普通型コンバイン</t>
    <rPh sb="0" eb="2">
      <t>フツウ</t>
    </rPh>
    <rPh sb="2" eb="3">
      <t>ガタ</t>
    </rPh>
    <phoneticPr fontId="38"/>
  </si>
  <si>
    <t>調査作物収穫機</t>
    <rPh sb="0" eb="2">
      <t>チョウサ</t>
    </rPh>
    <rPh sb="2" eb="4">
      <t>サクモツ</t>
    </rPh>
    <rPh sb="4" eb="6">
      <t>シュウカク</t>
    </rPh>
    <rPh sb="6" eb="7">
      <t>キ</t>
    </rPh>
    <phoneticPr fontId="38"/>
  </si>
  <si>
    <t>脱穀機</t>
    <rPh sb="0" eb="3">
      <t>ダッコクキ</t>
    </rPh>
    <phoneticPr fontId="38"/>
  </si>
  <si>
    <t>きび脱葉機</t>
    <rPh sb="2" eb="4">
      <t>ダツヨウ</t>
    </rPh>
    <rPh sb="4" eb="5">
      <t>キ</t>
    </rPh>
    <phoneticPr fontId="38"/>
  </si>
  <si>
    <t>もみすり機</t>
    <rPh sb="4" eb="5">
      <t>キ</t>
    </rPh>
    <phoneticPr fontId="38"/>
  </si>
  <si>
    <t>乾燥機</t>
    <rPh sb="0" eb="3">
      <t>カンソウキ</t>
    </rPh>
    <phoneticPr fontId="38"/>
  </si>
  <si>
    <t>静置式</t>
    <rPh sb="0" eb="1">
      <t>セイ</t>
    </rPh>
    <rPh sb="1" eb="2">
      <t>チ</t>
    </rPh>
    <rPh sb="2" eb="3">
      <t>シキ</t>
    </rPh>
    <phoneticPr fontId="38"/>
  </si>
  <si>
    <t>循環式</t>
    <rPh sb="0" eb="2">
      <t>ジュンカン</t>
    </rPh>
    <rPh sb="2" eb="3">
      <t>シキ</t>
    </rPh>
    <phoneticPr fontId="38"/>
  </si>
  <si>
    <t>トレーラー</t>
    <phoneticPr fontId="38"/>
  </si>
  <si>
    <t>処分差損失</t>
    <phoneticPr fontId="38"/>
  </si>
  <si>
    <t>生産管理機器</t>
    <rPh sb="0" eb="2">
      <t>セイサン</t>
    </rPh>
    <rPh sb="2" eb="4">
      <t>カンリ</t>
    </rPh>
    <rPh sb="4" eb="6">
      <t>キキ</t>
    </rPh>
    <phoneticPr fontId="38"/>
  </si>
  <si>
    <t>処分差損失</t>
    <phoneticPr fontId="38"/>
  </si>
  <si>
    <t>【10】農具の購入費等</t>
    <rPh sb="4" eb="6">
      <t>ノウグ</t>
    </rPh>
    <rPh sb="7" eb="9">
      <t>コウニュウ</t>
    </rPh>
    <rPh sb="9" eb="10">
      <t>ヒ</t>
    </rPh>
    <rPh sb="10" eb="11">
      <t>トウ</t>
    </rPh>
    <phoneticPr fontId="6"/>
  </si>
  <si>
    <t xml:space="preserve">    当年産の対象品目生産のために使用したくわ類やかま類、コピー用紙等の購入費等について、黄色の「計」の欄に記入してください。</t>
    <rPh sb="4" eb="6">
      <t>トウネン</t>
    </rPh>
    <rPh sb="6" eb="7">
      <t>サン</t>
    </rPh>
    <rPh sb="12" eb="14">
      <t>セイサン</t>
    </rPh>
    <rPh sb="18" eb="20">
      <t>シヨウ</t>
    </rPh>
    <rPh sb="24" eb="25">
      <t>ルイ</t>
    </rPh>
    <rPh sb="28" eb="29">
      <t>ルイ</t>
    </rPh>
    <rPh sb="33" eb="35">
      <t>ヨウシ</t>
    </rPh>
    <rPh sb="35" eb="36">
      <t>トウ</t>
    </rPh>
    <rPh sb="37" eb="39">
      <t>コウニュウ</t>
    </rPh>
    <rPh sb="40" eb="41">
      <t>トウ</t>
    </rPh>
    <phoneticPr fontId="6"/>
  </si>
  <si>
    <t xml:space="preserve"> 　 なお、内訳欄を利用してそれぞれの「計」の内訳を記入する場合は、その合計が「計」となるよう記入してください。</t>
    <rPh sb="6" eb="8">
      <t>ウチワケ</t>
    </rPh>
    <rPh sb="8" eb="9">
      <t>ラン</t>
    </rPh>
    <rPh sb="10" eb="12">
      <t>リヨウ</t>
    </rPh>
    <rPh sb="20" eb="21">
      <t>ケイ</t>
    </rPh>
    <rPh sb="23" eb="25">
      <t>ウチワケ</t>
    </rPh>
    <rPh sb="30" eb="32">
      <t>バアイ</t>
    </rPh>
    <phoneticPr fontId="6"/>
  </si>
  <si>
    <t>名称等</t>
    <rPh sb="0" eb="2">
      <t>メイショウ</t>
    </rPh>
    <rPh sb="2" eb="3">
      <t>トウ</t>
    </rPh>
    <phoneticPr fontId="6"/>
  </si>
  <si>
    <t>農具・農業被服等の購入費</t>
    <rPh sb="0" eb="2">
      <t>ノウグ</t>
    </rPh>
    <rPh sb="3" eb="5">
      <t>ノウギョウ</t>
    </rPh>
    <rPh sb="5" eb="7">
      <t>ヒフク</t>
    </rPh>
    <rPh sb="7" eb="8">
      <t>トウ</t>
    </rPh>
    <rPh sb="9" eb="12">
      <t>コウニュウヒ</t>
    </rPh>
    <phoneticPr fontId="6"/>
  </si>
  <si>
    <t>【農具の購入費】
・くわ類、かま類、シャベ
　ル類、ホース、じょう
　ろ、防除ネット、防鳥
　ネット等の購入費
【農業被服の購入費】
・作業着、軍手、ゴム長靴
　等の農作業用の衣類の購
　入費</t>
    <rPh sb="24" eb="25">
      <t>ルイ</t>
    </rPh>
    <rPh sb="37" eb="39">
      <t>ボウジョ</t>
    </rPh>
    <rPh sb="43" eb="45">
      <t>ボウチョウ</t>
    </rPh>
    <rPh sb="58" eb="60">
      <t>ノウギョウ</t>
    </rPh>
    <rPh sb="60" eb="62">
      <t>ヒフク</t>
    </rPh>
    <rPh sb="63" eb="65">
      <t>コウニュウ</t>
    </rPh>
    <phoneticPr fontId="6"/>
  </si>
  <si>
    <t>生産管理関係の費用</t>
    <rPh sb="0" eb="2">
      <t>セイサン</t>
    </rPh>
    <rPh sb="2" eb="4">
      <t>カンリ</t>
    </rPh>
    <rPh sb="4" eb="6">
      <t>カンケイ</t>
    </rPh>
    <rPh sb="7" eb="9">
      <t>ヒヨウ</t>
    </rPh>
    <phoneticPr fontId="6"/>
  </si>
  <si>
    <t>【購入費】
・コピー用紙、プリンター
　トナー等の消耗品の購入
　費
・農業経営に係る事務用
　机、消耗品（筆記用具、
　帳簿、ノート、電卓等）
　の購入費
【技術習得に係る費用】
・研修、集会等への参加料
　（受講料）、交通費
・営農、技術習得等に関す
　る専門書の購入費
【電話代・通信費】
・スマートフォンの通信料</t>
    <rPh sb="36" eb="38">
      <t>ノウギョウ</t>
    </rPh>
    <rPh sb="38" eb="40">
      <t>ケイエイ</t>
    </rPh>
    <rPh sb="41" eb="42">
      <t>カカ</t>
    </rPh>
    <rPh sb="43" eb="46">
      <t>ジムヨウ</t>
    </rPh>
    <rPh sb="48" eb="49">
      <t>ツクエ</t>
    </rPh>
    <rPh sb="50" eb="53">
      <t>ショウモウヒン</t>
    </rPh>
    <rPh sb="54" eb="56">
      <t>ヒッキ</t>
    </rPh>
    <rPh sb="56" eb="58">
      <t>ヨウグ</t>
    </rPh>
    <rPh sb="61" eb="63">
      <t>チョウボ</t>
    </rPh>
    <rPh sb="68" eb="70">
      <t>デンタク</t>
    </rPh>
    <rPh sb="70" eb="71">
      <t>トウ</t>
    </rPh>
    <rPh sb="75" eb="78">
      <t>コウニュウヒ</t>
    </rPh>
    <phoneticPr fontId="6"/>
  </si>
  <si>
    <t>農具・農業被服等の購入費計</t>
    <rPh sb="12" eb="13">
      <t>ケイ</t>
    </rPh>
    <phoneticPr fontId="6"/>
  </si>
  <si>
    <t>生産管理関係の費用計</t>
    <phoneticPr fontId="6"/>
  </si>
  <si>
    <t>【職員記入欄】</t>
    <phoneticPr fontId="6"/>
  </si>
  <si>
    <t>【11】土地の面積及び地代</t>
    <rPh sb="4" eb="6">
      <t>トチ</t>
    </rPh>
    <rPh sb="7" eb="9">
      <t>メンセキ</t>
    </rPh>
    <rPh sb="9" eb="10">
      <t>オヨ</t>
    </rPh>
    <rPh sb="11" eb="13">
      <t>チダイ</t>
    </rPh>
    <phoneticPr fontId="6"/>
  </si>
  <si>
    <t xml:space="preserve"> １　所有地</t>
    <rPh sb="3" eb="5">
      <t>ショユウ</t>
    </rPh>
    <rPh sb="5" eb="6">
      <t>チ</t>
    </rPh>
    <phoneticPr fontId="6"/>
  </si>
  <si>
    <t>(1)　作付地</t>
    <rPh sb="4" eb="6">
      <t>サクツケ</t>
    </rPh>
    <rPh sb="6" eb="7">
      <t>チ</t>
    </rPh>
    <phoneticPr fontId="6"/>
  </si>
  <si>
    <t>対象品目負担分</t>
    <rPh sb="0" eb="2">
      <t>タイショウ</t>
    </rPh>
    <rPh sb="2" eb="4">
      <t>ヒンモク</t>
    </rPh>
    <rPh sb="4" eb="7">
      <t>フタンブン</t>
    </rPh>
    <phoneticPr fontId="6"/>
  </si>
  <si>
    <t xml:space="preserve">   当年産の対象品目生産のために作付けした所有地について記入してください。</t>
    <rPh sb="3" eb="5">
      <t>トウネン</t>
    </rPh>
    <rPh sb="5" eb="6">
      <t>サン</t>
    </rPh>
    <rPh sb="17" eb="19">
      <t>サクツ</t>
    </rPh>
    <rPh sb="22" eb="24">
      <t>ショユウ</t>
    </rPh>
    <rPh sb="24" eb="25">
      <t>チ</t>
    </rPh>
    <phoneticPr fontId="6"/>
  </si>
  <si>
    <t>所有地（作付地）の近傍類地地代を記入してください。</t>
    <rPh sb="0" eb="3">
      <t>ショユウチ</t>
    </rPh>
    <rPh sb="4" eb="6">
      <t>サクツケ</t>
    </rPh>
    <rPh sb="6" eb="7">
      <t>チ</t>
    </rPh>
    <rPh sb="9" eb="11">
      <t>キンボウ</t>
    </rPh>
    <rPh sb="11" eb="13">
      <t>ルイチ</t>
    </rPh>
    <rPh sb="13" eb="15">
      <t>チダイ</t>
    </rPh>
    <rPh sb="16" eb="18">
      <t>キニュウ</t>
    </rPh>
    <phoneticPr fontId="6"/>
  </si>
  <si>
    <t>作付地
作付実面積（ａ）</t>
    <rPh sb="0" eb="2">
      <t>サクツケ</t>
    </rPh>
    <rPh sb="2" eb="3">
      <t>チ</t>
    </rPh>
    <rPh sb="4" eb="6">
      <t>サクツケ</t>
    </rPh>
    <phoneticPr fontId="6"/>
  </si>
  <si>
    <t>　 なお、団地（ほ場）ごとに田畑のどちらかを選択してください。</t>
    <phoneticPr fontId="6"/>
  </si>
  <si>
    <t>番号</t>
    <rPh sb="0" eb="2">
      <t>バンゴウ</t>
    </rPh>
    <phoneticPr fontId="6"/>
  </si>
  <si>
    <t>団地（ほ場）名</t>
    <rPh sb="0" eb="2">
      <t>ダンチ</t>
    </rPh>
    <rPh sb="4" eb="5">
      <t>ジョウ</t>
    </rPh>
    <rPh sb="6" eb="7">
      <t>メイ</t>
    </rPh>
    <phoneticPr fontId="6"/>
  </si>
  <si>
    <t>土地台帳面積（ａ）</t>
    <rPh sb="0" eb="2">
      <t>トチ</t>
    </rPh>
    <rPh sb="2" eb="4">
      <t>ダイチョウ</t>
    </rPh>
    <rPh sb="4" eb="6">
      <t>メンセキ</t>
    </rPh>
    <phoneticPr fontId="6"/>
  </si>
  <si>
    <t>作付実面積（ａ）</t>
    <rPh sb="0" eb="2">
      <t>サクツ</t>
    </rPh>
    <rPh sb="2" eb="3">
      <t>ジツ</t>
    </rPh>
    <rPh sb="3" eb="5">
      <t>メンセキ</t>
    </rPh>
    <phoneticPr fontId="6"/>
  </si>
  <si>
    <t>地目
（田畑）</t>
    <rPh sb="0" eb="2">
      <t>チモク</t>
    </rPh>
    <rPh sb="4" eb="5">
      <t>デン</t>
    </rPh>
    <rPh sb="5" eb="6">
      <t>ハタ</t>
    </rPh>
    <phoneticPr fontId="6"/>
  </si>
  <si>
    <t>夏植え</t>
    <rPh sb="0" eb="1">
      <t>ナツ</t>
    </rPh>
    <rPh sb="1" eb="2">
      <t>ウ</t>
    </rPh>
    <phoneticPr fontId="6"/>
  </si>
  <si>
    <t>所有地　作付地
土地台帳面積（ａ）</t>
    <rPh sb="4" eb="6">
      <t>サクツケ</t>
    </rPh>
    <rPh sb="6" eb="7">
      <t>チ</t>
    </rPh>
    <rPh sb="8" eb="10">
      <t>トチ</t>
    </rPh>
    <rPh sb="10" eb="12">
      <t>ダイチョウ</t>
    </rPh>
    <rPh sb="12" eb="14">
      <t>メンセキ</t>
    </rPh>
    <phoneticPr fontId="6"/>
  </si>
  <si>
    <t>所有地　作付地
作付実面積（ａ）</t>
    <rPh sb="8" eb="10">
      <t>サクツケ</t>
    </rPh>
    <rPh sb="10" eb="11">
      <t>ジツ</t>
    </rPh>
    <rPh sb="11" eb="13">
      <t>メンセキ</t>
    </rPh>
    <phoneticPr fontId="6"/>
  </si>
  <si>
    <t>作付地
近傍類地地代
（円/10a）</t>
    <rPh sb="4" eb="6">
      <t>キンボウ</t>
    </rPh>
    <rPh sb="6" eb="8">
      <t>ルイチ</t>
    </rPh>
    <rPh sb="8" eb="10">
      <t>チダイ</t>
    </rPh>
    <rPh sb="12" eb="13">
      <t>エン</t>
    </rPh>
    <phoneticPr fontId="6"/>
  </si>
  <si>
    <t>所有地　作付地
地代総額（円）</t>
    <rPh sb="8" eb="10">
      <t>チダイ</t>
    </rPh>
    <rPh sb="10" eb="12">
      <t>ソウガク</t>
    </rPh>
    <rPh sb="13" eb="14">
      <t>エン</t>
    </rPh>
    <phoneticPr fontId="6"/>
  </si>
  <si>
    <t>所有地　作付地
負担地代（円）</t>
    <rPh sb="8" eb="10">
      <t>フタン</t>
    </rPh>
    <rPh sb="10" eb="12">
      <t>チダイ</t>
    </rPh>
    <phoneticPr fontId="6"/>
  </si>
  <si>
    <t>田</t>
    <rPh sb="0" eb="1">
      <t>タ</t>
    </rPh>
    <phoneticPr fontId="6"/>
  </si>
  <si>
    <t>畑</t>
    <rPh sb="0" eb="1">
      <t>ハタ</t>
    </rPh>
    <phoneticPr fontId="6"/>
  </si>
  <si>
    <t>注：途中で廃耕があった場合は、廃耕分も含めた当初の作付実面積を記入してください。</t>
    <rPh sb="0" eb="1">
      <t>チュウ</t>
    </rPh>
    <rPh sb="2" eb="4">
      <t>トチュウ</t>
    </rPh>
    <rPh sb="5" eb="6">
      <t>ハイ</t>
    </rPh>
    <rPh sb="6" eb="7">
      <t>コウ</t>
    </rPh>
    <rPh sb="11" eb="13">
      <t>バアイ</t>
    </rPh>
    <rPh sb="15" eb="16">
      <t>ハイ</t>
    </rPh>
    <rPh sb="16" eb="17">
      <t>コウ</t>
    </rPh>
    <rPh sb="17" eb="18">
      <t>ブン</t>
    </rPh>
    <rPh sb="19" eb="20">
      <t>フク</t>
    </rPh>
    <rPh sb="22" eb="24">
      <t>トウショ</t>
    </rPh>
    <rPh sb="25" eb="27">
      <t>サクツケ</t>
    </rPh>
    <rPh sb="27" eb="28">
      <t>ジツ</t>
    </rPh>
    <rPh sb="28" eb="30">
      <t>メンセキ</t>
    </rPh>
    <phoneticPr fontId="6"/>
  </si>
  <si>
    <t>(2)　建物敷地等</t>
    <rPh sb="4" eb="6">
      <t>タテモノ</t>
    </rPh>
    <rPh sb="6" eb="8">
      <t>シキチ</t>
    </rPh>
    <rPh sb="8" eb="9">
      <t>トウ</t>
    </rPh>
    <phoneticPr fontId="6"/>
  </si>
  <si>
    <t xml:space="preserve">   当年産の対象品目生産のために使用した作付地以外の建物敷地等の</t>
    <rPh sb="3" eb="5">
      <t>トウネン</t>
    </rPh>
    <rPh sb="5" eb="6">
      <t>サン</t>
    </rPh>
    <rPh sb="17" eb="19">
      <t>シヨウ</t>
    </rPh>
    <rPh sb="21" eb="23">
      <t>サクツケ</t>
    </rPh>
    <rPh sb="23" eb="24">
      <t>チ</t>
    </rPh>
    <rPh sb="24" eb="26">
      <t>イガイ</t>
    </rPh>
    <rPh sb="31" eb="32">
      <t>トウ</t>
    </rPh>
    <phoneticPr fontId="6"/>
  </si>
  <si>
    <t>所有地（作付地以外）の近傍類地地代を記入してください。</t>
    <rPh sb="0" eb="3">
      <t>ショユウチ</t>
    </rPh>
    <rPh sb="4" eb="6">
      <t>サクツケ</t>
    </rPh>
    <rPh sb="6" eb="7">
      <t>チ</t>
    </rPh>
    <rPh sb="7" eb="9">
      <t>イガイ</t>
    </rPh>
    <rPh sb="11" eb="13">
      <t>キンボウ</t>
    </rPh>
    <rPh sb="13" eb="15">
      <t>ルイチ</t>
    </rPh>
    <rPh sb="15" eb="17">
      <t>チダイ</t>
    </rPh>
    <rPh sb="18" eb="20">
      <t>キニュウ</t>
    </rPh>
    <phoneticPr fontId="6"/>
  </si>
  <si>
    <t xml:space="preserve">   　所有地について記入してください。</t>
    <phoneticPr fontId="6"/>
  </si>
  <si>
    <t>使用地名</t>
    <rPh sb="0" eb="2">
      <t>シヨウ</t>
    </rPh>
    <rPh sb="2" eb="4">
      <t>チメイ</t>
    </rPh>
    <phoneticPr fontId="6"/>
  </si>
  <si>
    <t>総 面 積
（ａ）</t>
    <rPh sb="0" eb="1">
      <t>フサ</t>
    </rPh>
    <rPh sb="2" eb="3">
      <t>メン</t>
    </rPh>
    <rPh sb="4" eb="5">
      <t>セキ</t>
    </rPh>
    <phoneticPr fontId="6"/>
  </si>
  <si>
    <t>使用面積
（ａ）</t>
    <rPh sb="0" eb="1">
      <t>シ</t>
    </rPh>
    <rPh sb="1" eb="2">
      <t>ヨウ</t>
    </rPh>
    <phoneticPr fontId="6"/>
  </si>
  <si>
    <t>所有地
作付地以外
総面積（ａ）</t>
    <rPh sb="10" eb="11">
      <t>ソウ</t>
    </rPh>
    <rPh sb="11" eb="13">
      <t>メンセキ</t>
    </rPh>
    <phoneticPr fontId="6"/>
  </si>
  <si>
    <t>所有地
作付地以外
使用面積（ａ）</t>
    <rPh sb="10" eb="12">
      <t>シヨウ</t>
    </rPh>
    <rPh sb="12" eb="14">
      <t>メンセキ</t>
    </rPh>
    <phoneticPr fontId="6"/>
  </si>
  <si>
    <t>作付地以外
近傍類地地代
（円/10a）</t>
    <rPh sb="3" eb="5">
      <t>イガイ</t>
    </rPh>
    <rPh sb="6" eb="8">
      <t>キンボウ</t>
    </rPh>
    <rPh sb="8" eb="10">
      <t>ルイチ</t>
    </rPh>
    <rPh sb="10" eb="12">
      <t>チダイ</t>
    </rPh>
    <rPh sb="14" eb="15">
      <t>エン</t>
    </rPh>
    <phoneticPr fontId="6"/>
  </si>
  <si>
    <t>所有地
作付地以外
賃借料総額（円）</t>
    <rPh sb="7" eb="9">
      <t>イガイ</t>
    </rPh>
    <rPh sb="10" eb="11">
      <t>シャク</t>
    </rPh>
    <rPh sb="11" eb="12">
      <t>リョウ</t>
    </rPh>
    <rPh sb="13" eb="15">
      <t>ソウガク</t>
    </rPh>
    <phoneticPr fontId="6"/>
  </si>
  <si>
    <t>所有地
作付地以外
負担地代（円）</t>
    <rPh sb="7" eb="9">
      <t>イガイ</t>
    </rPh>
    <rPh sb="10" eb="12">
      <t>フタン</t>
    </rPh>
    <rPh sb="12" eb="14">
      <t>チダイ</t>
    </rPh>
    <phoneticPr fontId="6"/>
  </si>
  <si>
    <t xml:space="preserve"> ２　借入地</t>
    <rPh sb="3" eb="5">
      <t>カリイレ</t>
    </rPh>
    <rPh sb="5" eb="6">
      <t>チ</t>
    </rPh>
    <phoneticPr fontId="6"/>
  </si>
  <si>
    <t xml:space="preserve">   当年産の対象品目生産のために作付けした借入地について記入してください。</t>
    <rPh sb="3" eb="5">
      <t>トウネン</t>
    </rPh>
    <rPh sb="5" eb="6">
      <t>サン</t>
    </rPh>
    <rPh sb="17" eb="19">
      <t>サクツ</t>
    </rPh>
    <rPh sb="22" eb="24">
      <t>カリイレ</t>
    </rPh>
    <rPh sb="24" eb="25">
      <t>チ</t>
    </rPh>
    <phoneticPr fontId="6"/>
  </si>
  <si>
    <t>作付実面積
（ａ）</t>
    <rPh sb="0" eb="2">
      <t>サクツ</t>
    </rPh>
    <rPh sb="2" eb="3">
      <t>ジツ</t>
    </rPh>
    <rPh sb="3" eb="5">
      <t>メンセキ</t>
    </rPh>
    <phoneticPr fontId="6"/>
  </si>
  <si>
    <t>支  払  地  代
（円）</t>
    <rPh sb="0" eb="1">
      <t>シ</t>
    </rPh>
    <rPh sb="3" eb="4">
      <t>バライ</t>
    </rPh>
    <rPh sb="6" eb="7">
      <t>チ</t>
    </rPh>
    <rPh sb="9" eb="10">
      <t>ダイ</t>
    </rPh>
    <rPh sb="12" eb="13">
      <t>エン</t>
    </rPh>
    <phoneticPr fontId="6"/>
  </si>
  <si>
    <t>借入地　作付地
土地台帳面積（ａ）</t>
    <rPh sb="8" eb="10">
      <t>トチ</t>
    </rPh>
    <rPh sb="10" eb="12">
      <t>ダイチョウ</t>
    </rPh>
    <rPh sb="12" eb="14">
      <t>メンセキ</t>
    </rPh>
    <phoneticPr fontId="6"/>
  </si>
  <si>
    <t>借入地　作付地
作付実面積（ａ）</t>
    <rPh sb="8" eb="10">
      <t>サクツケ</t>
    </rPh>
    <rPh sb="10" eb="11">
      <t>ジツ</t>
    </rPh>
    <rPh sb="11" eb="13">
      <t>メンセキ</t>
    </rPh>
    <phoneticPr fontId="6"/>
  </si>
  <si>
    <t>借入地　作付地
地代総額
（円）</t>
    <rPh sb="8" eb="10">
      <t>チダイ</t>
    </rPh>
    <rPh sb="10" eb="12">
      <t>ソウガク</t>
    </rPh>
    <rPh sb="14" eb="15">
      <t>エン</t>
    </rPh>
    <phoneticPr fontId="6"/>
  </si>
  <si>
    <t>借入地　作付地
負担地代
（円）</t>
    <rPh sb="8" eb="9">
      <t>フ</t>
    </rPh>
    <rPh sb="9" eb="10">
      <t>タン</t>
    </rPh>
    <rPh sb="10" eb="11">
      <t>チ</t>
    </rPh>
    <rPh sb="11" eb="12">
      <t>ダイ</t>
    </rPh>
    <rPh sb="14" eb="15">
      <t>エン</t>
    </rPh>
    <phoneticPr fontId="6"/>
  </si>
  <si>
    <t xml:space="preserve">   当年産の対象品目生産のために使用した作付地以外の建物敷地等の借入地について</t>
    <rPh sb="3" eb="5">
      <t>トウネン</t>
    </rPh>
    <rPh sb="5" eb="6">
      <t>サン</t>
    </rPh>
    <rPh sb="17" eb="19">
      <t>シヨウ</t>
    </rPh>
    <rPh sb="21" eb="23">
      <t>サクツケ</t>
    </rPh>
    <rPh sb="23" eb="24">
      <t>チ</t>
    </rPh>
    <rPh sb="24" eb="26">
      <t>イガイ</t>
    </rPh>
    <rPh sb="27" eb="29">
      <t>タテモノ</t>
    </rPh>
    <rPh sb="29" eb="31">
      <t>シキチ</t>
    </rPh>
    <rPh sb="31" eb="32">
      <t>トウ</t>
    </rPh>
    <rPh sb="33" eb="35">
      <t>カリイレ</t>
    </rPh>
    <rPh sb="35" eb="36">
      <t>チ</t>
    </rPh>
    <phoneticPr fontId="6"/>
  </si>
  <si>
    <t>　   記入してください。</t>
    <phoneticPr fontId="6"/>
  </si>
  <si>
    <t>使 用 面 積（ａ）</t>
    <rPh sb="0" eb="1">
      <t>シ</t>
    </rPh>
    <rPh sb="2" eb="3">
      <t>ヨウ</t>
    </rPh>
    <rPh sb="4" eb="5">
      <t>メン</t>
    </rPh>
    <rPh sb="6" eb="7">
      <t>セキ</t>
    </rPh>
    <phoneticPr fontId="6"/>
  </si>
  <si>
    <t>支 払 賃 借 料
（円）</t>
    <rPh sb="0" eb="1">
      <t>シ</t>
    </rPh>
    <rPh sb="2" eb="3">
      <t>バライ</t>
    </rPh>
    <rPh sb="4" eb="5">
      <t>チン</t>
    </rPh>
    <rPh sb="6" eb="7">
      <t>シャク</t>
    </rPh>
    <rPh sb="8" eb="9">
      <t>リョウ</t>
    </rPh>
    <rPh sb="11" eb="12">
      <t>エン</t>
    </rPh>
    <phoneticPr fontId="6"/>
  </si>
  <si>
    <t>借入地
作付地以外
総面積（ａ）</t>
    <rPh sb="10" eb="11">
      <t>ソウ</t>
    </rPh>
    <rPh sb="11" eb="13">
      <t>メンセキ</t>
    </rPh>
    <phoneticPr fontId="6"/>
  </si>
  <si>
    <t>借入地
作付地以外
使用面積（ａ）</t>
    <rPh sb="10" eb="12">
      <t>シヨウ</t>
    </rPh>
    <rPh sb="12" eb="14">
      <t>メンセキ</t>
    </rPh>
    <phoneticPr fontId="6"/>
  </si>
  <si>
    <t>借入地
作付地以外
賃借料総額（円）</t>
    <rPh sb="7" eb="9">
      <t>イガイ</t>
    </rPh>
    <rPh sb="10" eb="11">
      <t>シャク</t>
    </rPh>
    <rPh sb="11" eb="12">
      <t>リョウ</t>
    </rPh>
    <rPh sb="13" eb="15">
      <t>ソウガク</t>
    </rPh>
    <phoneticPr fontId="6"/>
  </si>
  <si>
    <t>借入地
作付地以外
負担地代（円）</t>
    <rPh sb="7" eb="9">
      <t>イガイ</t>
    </rPh>
    <rPh sb="10" eb="12">
      <t>フタン</t>
    </rPh>
    <rPh sb="12" eb="14">
      <t>チダイ</t>
    </rPh>
    <phoneticPr fontId="6"/>
  </si>
  <si>
    <t>【12】作業別労働時間</t>
    <rPh sb="4" eb="7">
      <t>サギョウベツ</t>
    </rPh>
    <rPh sb="7" eb="9">
      <t>ロウドウ</t>
    </rPh>
    <rPh sb="9" eb="11">
      <t>ジカン</t>
    </rPh>
    <phoneticPr fontId="6"/>
  </si>
  <si>
    <t xml:space="preserve"> 　当年産の対象品目生産における作業時間（時間）について記入してください。</t>
    <rPh sb="2" eb="3">
      <t>トウ</t>
    </rPh>
    <rPh sb="3" eb="5">
      <t>ネンサン</t>
    </rPh>
    <rPh sb="10" eb="12">
      <t>セイサン</t>
    </rPh>
    <rPh sb="16" eb="18">
      <t>サギョウ</t>
    </rPh>
    <rPh sb="18" eb="20">
      <t>ジカン</t>
    </rPh>
    <phoneticPr fontId="6"/>
  </si>
  <si>
    <t xml:space="preserve"> 　作業時間は食事などを除いた実労働時間とし、最初の作業までの準備から農具の片付けまでの時間やほ場への往復時間も含めてください。</t>
    <rPh sb="44" eb="46">
      <t>ジカン</t>
    </rPh>
    <phoneticPr fontId="6"/>
  </si>
  <si>
    <t xml:space="preserve"> 　また、複数の作業を同時に行った場合は、要した時間を作業数で等分し、それぞれの作業へ等分した時間を記入してください。</t>
    <rPh sb="11" eb="13">
      <t>ドウジ</t>
    </rPh>
    <phoneticPr fontId="6"/>
  </si>
  <si>
    <t>　　</t>
    <phoneticPr fontId="6"/>
  </si>
  <si>
    <t>作業別労働時間</t>
    <rPh sb="0" eb="3">
      <t>サギョウベツ</t>
    </rPh>
    <rPh sb="3" eb="5">
      <t>ロウドウ</t>
    </rPh>
    <rPh sb="5" eb="7">
      <t>ジカン</t>
    </rPh>
    <phoneticPr fontId="86"/>
  </si>
  <si>
    <t>　１　家族労働時間</t>
    <rPh sb="3" eb="5">
      <t>カゾク</t>
    </rPh>
    <rPh sb="5" eb="7">
      <t>ロウドウ</t>
    </rPh>
    <rPh sb="7" eb="9">
      <t>ジカン</t>
    </rPh>
    <phoneticPr fontId="6"/>
  </si>
  <si>
    <t>２　雇用労働時間</t>
    <rPh sb="2" eb="4">
      <t>コヨウ</t>
    </rPh>
    <rPh sb="4" eb="6">
      <t>ロウドウ</t>
    </rPh>
    <rPh sb="6" eb="8">
      <t>ジカン</t>
    </rPh>
    <phoneticPr fontId="6"/>
  </si>
  <si>
    <t xml:space="preserve"> 　人別・作業別に労働時間を記入してください。</t>
    <rPh sb="2" eb="3">
      <t>ヒト</t>
    </rPh>
    <rPh sb="3" eb="4">
      <t>ベツ</t>
    </rPh>
    <rPh sb="5" eb="8">
      <t>サギョウベツ</t>
    </rPh>
    <rPh sb="9" eb="11">
      <t>ロウドウ</t>
    </rPh>
    <rPh sb="11" eb="13">
      <t>ジカン</t>
    </rPh>
    <phoneticPr fontId="6"/>
  </si>
  <si>
    <t xml:space="preserve">  　雇用者の男女別・作業別に労働時間を記入してください。</t>
    <rPh sb="3" eb="6">
      <t>コヨウシャ</t>
    </rPh>
    <rPh sb="7" eb="9">
      <t>ダンジョ</t>
    </rPh>
    <rPh sb="9" eb="10">
      <t>ベツ</t>
    </rPh>
    <rPh sb="11" eb="14">
      <t>サギョウベツ</t>
    </rPh>
    <rPh sb="15" eb="17">
      <t>ロウドウ</t>
    </rPh>
    <rPh sb="17" eb="19">
      <t>ジカン</t>
    </rPh>
    <phoneticPr fontId="6"/>
  </si>
  <si>
    <t>単位：時間</t>
    <rPh sb="0" eb="2">
      <t>タンイ</t>
    </rPh>
    <rPh sb="3" eb="5">
      <t>ジカン</t>
    </rPh>
    <phoneticPr fontId="86"/>
  </si>
  <si>
    <t>作業
種類</t>
    <rPh sb="0" eb="2">
      <t>サギョウ</t>
    </rPh>
    <rPh sb="3" eb="5">
      <t>シュルイ</t>
    </rPh>
    <phoneticPr fontId="6"/>
  </si>
  <si>
    <t>雇用労働
時間
男</t>
    <rPh sb="0" eb="2">
      <t>コヨウ</t>
    </rPh>
    <rPh sb="2" eb="4">
      <t>ロウドウ</t>
    </rPh>
    <rPh sb="5" eb="7">
      <t>ジカン</t>
    </rPh>
    <rPh sb="9" eb="10">
      <t>オトコ</t>
    </rPh>
    <phoneticPr fontId="6"/>
  </si>
  <si>
    <t>雇用労働
時間
女</t>
    <rPh sb="0" eb="2">
      <t>コヨウ</t>
    </rPh>
    <rPh sb="2" eb="4">
      <t>ロウドウ</t>
    </rPh>
    <rPh sb="5" eb="7">
      <t>ジカン</t>
    </rPh>
    <rPh sb="9" eb="10">
      <t>オンナ</t>
    </rPh>
    <phoneticPr fontId="6"/>
  </si>
  <si>
    <t>家族</t>
    <rPh sb="0" eb="2">
      <t>カゾク</t>
    </rPh>
    <phoneticPr fontId="86"/>
  </si>
  <si>
    <t>雇用</t>
    <rPh sb="0" eb="2">
      <t>コヨウ</t>
    </rPh>
    <phoneticPr fontId="38"/>
  </si>
  <si>
    <t>氏名</t>
    <rPh sb="0" eb="2">
      <t>シメイ</t>
    </rPh>
    <phoneticPr fontId="6"/>
  </si>
  <si>
    <t>男</t>
    <rPh sb="0" eb="1">
      <t>オトコ</t>
    </rPh>
    <phoneticPr fontId="86"/>
  </si>
  <si>
    <t>女</t>
    <rPh sb="0" eb="1">
      <t>オンナ</t>
    </rPh>
    <phoneticPr fontId="86"/>
  </si>
  <si>
    <t>小計</t>
    <rPh sb="0" eb="2">
      <t>ショウケイ</t>
    </rPh>
    <phoneticPr fontId="86"/>
  </si>
  <si>
    <t>男</t>
    <rPh sb="0" eb="1">
      <t>オトコ</t>
    </rPh>
    <phoneticPr fontId="38"/>
  </si>
  <si>
    <t>女</t>
    <phoneticPr fontId="86"/>
  </si>
  <si>
    <t>小　　計</t>
    <phoneticPr fontId="86"/>
  </si>
  <si>
    <t>性別</t>
    <rPh sb="0" eb="2">
      <t>セイベツ</t>
    </rPh>
    <phoneticPr fontId="6"/>
  </si>
  <si>
    <t>雇用</t>
    <rPh sb="0" eb="2">
      <t>コヨウ</t>
    </rPh>
    <phoneticPr fontId="86"/>
  </si>
  <si>
    <t>同居人、手伝い・共同作業受け</t>
    <phoneticPr fontId="86"/>
  </si>
  <si>
    <t>計</t>
    <rPh sb="0" eb="1">
      <t>ケイ</t>
    </rPh>
    <phoneticPr fontId="86"/>
  </si>
  <si>
    <t>年齢（歳）</t>
    <rPh sb="0" eb="2">
      <t>ネンレイ</t>
    </rPh>
    <rPh sb="3" eb="4">
      <t>サイ</t>
    </rPh>
    <phoneticPr fontId="6"/>
  </si>
  <si>
    <t>該当する人別区分を
選択してください。</t>
    <rPh sb="0" eb="2">
      <t>ガイトウ</t>
    </rPh>
    <rPh sb="4" eb="5">
      <t>ヒト</t>
    </rPh>
    <rPh sb="5" eb="6">
      <t>ベツ</t>
    </rPh>
    <rPh sb="6" eb="8">
      <t>クブン</t>
    </rPh>
    <rPh sb="10" eb="12">
      <t>センタク</t>
    </rPh>
    <phoneticPr fontId="6"/>
  </si>
  <si>
    <t>人別区分</t>
    <rPh sb="0" eb="1">
      <t>ヒト</t>
    </rPh>
    <rPh sb="1" eb="2">
      <t>ベツ</t>
    </rPh>
    <rPh sb="2" eb="4">
      <t>クブン</t>
    </rPh>
    <phoneticPr fontId="6"/>
  </si>
  <si>
    <t>種子
予措</t>
    <rPh sb="0" eb="2">
      <t>シュシ</t>
    </rPh>
    <rPh sb="3" eb="5">
      <t>ヨソ</t>
    </rPh>
    <phoneticPr fontId="1"/>
  </si>
  <si>
    <t>選種、浸種、種子消毒、催芽</t>
    <phoneticPr fontId="6"/>
  </si>
  <si>
    <t>選種、浸種、種子消毒、催芽</t>
    <phoneticPr fontId="6"/>
  </si>
  <si>
    <t>直接労働時間</t>
    <rPh sb="0" eb="2">
      <t>チョクセツ</t>
    </rPh>
    <rPh sb="2" eb="4">
      <t>ロウドウ</t>
    </rPh>
    <rPh sb="4" eb="6">
      <t>ジカン</t>
    </rPh>
    <phoneticPr fontId="38"/>
  </si>
  <si>
    <t>種子予措</t>
    <rPh sb="0" eb="2">
      <t>シュシ</t>
    </rPh>
    <rPh sb="2" eb="3">
      <t>ヨ</t>
    </rPh>
    <rPh sb="3" eb="4">
      <t>ソチ</t>
    </rPh>
    <phoneticPr fontId="38"/>
  </si>
  <si>
    <t>育苗</t>
    <rPh sb="0" eb="2">
      <t>イクビョウ</t>
    </rPh>
    <phoneticPr fontId="1"/>
  </si>
  <si>
    <t>育苗用の選種、消毒、土壌消毒、苗床の作業一切、育苗ハウスの設置・解体等</t>
    <phoneticPr fontId="6"/>
  </si>
  <si>
    <t>育苗</t>
    <rPh sb="0" eb="2">
      <t>イクビョウ</t>
    </rPh>
    <phoneticPr fontId="38"/>
  </si>
  <si>
    <t>耕起
整地</t>
    <rPh sb="0" eb="2">
      <t>コウキ</t>
    </rPh>
    <rPh sb="3" eb="5">
      <t>セイチ</t>
    </rPh>
    <phoneticPr fontId="1"/>
  </si>
  <si>
    <t>耕起、整地、畝立て、融雪剤散布（秋まき小麦以外）</t>
    <phoneticPr fontId="1"/>
  </si>
  <si>
    <t>耕起整地</t>
    <rPh sb="0" eb="2">
      <t>コウキ</t>
    </rPh>
    <rPh sb="2" eb="4">
      <t>セイチ</t>
    </rPh>
    <phoneticPr fontId="38"/>
  </si>
  <si>
    <t>基肥</t>
    <rPh sb="0" eb="2">
      <t>モトゴエ</t>
    </rPh>
    <phoneticPr fontId="1"/>
  </si>
  <si>
    <t>基肥の配合、運搬、施肥</t>
    <phoneticPr fontId="6"/>
  </si>
  <si>
    <t>基肥</t>
    <rPh sb="0" eb="1">
      <t>モト</t>
    </rPh>
    <rPh sb="1" eb="2">
      <t>ヒ</t>
    </rPh>
    <phoneticPr fontId="38"/>
  </si>
  <si>
    <t>は種</t>
    <phoneticPr fontId="1"/>
  </si>
  <si>
    <t>種子予措、選種、種子消毒、種まき、覆土</t>
    <phoneticPr fontId="6"/>
  </si>
  <si>
    <t>直まき／は種</t>
    <rPh sb="0" eb="1">
      <t>チョク</t>
    </rPh>
    <rPh sb="5" eb="6">
      <t>タネ</t>
    </rPh>
    <phoneticPr fontId="38"/>
  </si>
  <si>
    <t>定植</t>
    <phoneticPr fontId="1"/>
  </si>
  <si>
    <t>苗取り、植穴堀り、苗運搬、定植、補植</t>
    <phoneticPr fontId="1"/>
  </si>
  <si>
    <t>定植</t>
    <phoneticPr fontId="1"/>
  </si>
  <si>
    <t>苗取り、植穴堀り、苗運搬、定植、補植</t>
    <phoneticPr fontId="1"/>
  </si>
  <si>
    <t>田植／定植</t>
    <rPh sb="0" eb="2">
      <t>タウ</t>
    </rPh>
    <rPh sb="3" eb="5">
      <t>テイショク</t>
    </rPh>
    <phoneticPr fontId="38"/>
  </si>
  <si>
    <t>株分け</t>
    <rPh sb="0" eb="2">
      <t>カブワ</t>
    </rPh>
    <phoneticPr fontId="6"/>
  </si>
  <si>
    <t>苗の消毒、調苗、株の切断</t>
    <phoneticPr fontId="6"/>
  </si>
  <si>
    <t>苗の消毒、調苗、株の切断</t>
  </si>
  <si>
    <t>株分け</t>
    <rPh sb="0" eb="2">
      <t>カブワ</t>
    </rPh>
    <phoneticPr fontId="86"/>
  </si>
  <si>
    <t>追肥</t>
    <rPh sb="0" eb="2">
      <t>ツイヒ</t>
    </rPh>
    <phoneticPr fontId="6"/>
  </si>
  <si>
    <t>追肥の配合、運搬、施肥</t>
    <phoneticPr fontId="6"/>
  </si>
  <si>
    <t>追肥</t>
    <rPh sb="0" eb="2">
      <t>ツイヒ</t>
    </rPh>
    <phoneticPr fontId="38"/>
  </si>
  <si>
    <t>中耕
除草</t>
    <phoneticPr fontId="6"/>
  </si>
  <si>
    <t>ほ場内の中耕、土入れ、土寄せ、除草、除草剤散布</t>
    <phoneticPr fontId="6"/>
  </si>
  <si>
    <t>中耕
除草</t>
    <phoneticPr fontId="6"/>
  </si>
  <si>
    <t>ほ場内の中耕、土入れ、土寄せ、除草、除草剤散布</t>
    <phoneticPr fontId="6"/>
  </si>
  <si>
    <t>除草／中耕除草</t>
    <rPh sb="0" eb="2">
      <t>ジョソウ</t>
    </rPh>
    <rPh sb="3" eb="5">
      <t>チュウコウ</t>
    </rPh>
    <rPh sb="5" eb="7">
      <t>ジョソウ</t>
    </rPh>
    <phoneticPr fontId="38"/>
  </si>
  <si>
    <t>麦踏み</t>
    <rPh sb="0" eb="2">
      <t>ムギフ</t>
    </rPh>
    <phoneticPr fontId="6"/>
  </si>
  <si>
    <t>麦踏み（ローラー等による鎮圧を含む。）</t>
    <phoneticPr fontId="86"/>
  </si>
  <si>
    <t>麦踏み（ローラー等による鎮圧を含む。）</t>
  </si>
  <si>
    <t>麦踏み</t>
    <rPh sb="0" eb="2">
      <t>ムギフ</t>
    </rPh>
    <phoneticPr fontId="86"/>
  </si>
  <si>
    <t>管理</t>
    <rPh sb="0" eb="2">
      <t>カンリ</t>
    </rPh>
    <phoneticPr fontId="6"/>
  </si>
  <si>
    <t>かん排水、けい畔の草刈り、けい畔の除草剤散布、融雪剤散布（秋まき小麦）、心土破砕、麦なで、ほ場見回り</t>
    <phoneticPr fontId="6"/>
  </si>
  <si>
    <t>管理</t>
    <rPh sb="0" eb="2">
      <t>カンリ</t>
    </rPh>
    <phoneticPr fontId="38"/>
  </si>
  <si>
    <t>防除</t>
    <rPh sb="0" eb="2">
      <t>ボウジョ</t>
    </rPh>
    <phoneticPr fontId="6"/>
  </si>
  <si>
    <t>農薬散布（除草剤除く。）による防除、鳥獣害対策</t>
    <phoneticPr fontId="6"/>
  </si>
  <si>
    <t>農薬散布（除草剤除く。）による防除、鳥獣害対策</t>
  </si>
  <si>
    <t>防除</t>
    <rPh sb="0" eb="2">
      <t>ボウジョ</t>
    </rPh>
    <phoneticPr fontId="38"/>
  </si>
  <si>
    <t>はく葉</t>
    <rPh sb="2" eb="3">
      <t>ヨウ</t>
    </rPh>
    <phoneticPr fontId="6"/>
  </si>
  <si>
    <t>はく葉</t>
    <phoneticPr fontId="6"/>
  </si>
  <si>
    <t>はく葉</t>
  </si>
  <si>
    <t>はく葉</t>
    <rPh sb="2" eb="3">
      <t>ヨウ</t>
    </rPh>
    <phoneticPr fontId="86"/>
  </si>
  <si>
    <t>刈取
脱穀</t>
    <phoneticPr fontId="1"/>
  </si>
  <si>
    <t>麦刈り、運搬、脱穀、稲架作り（取り壊し含む。）、麦稈の処理</t>
    <phoneticPr fontId="6"/>
  </si>
  <si>
    <t>刈取
脱穀</t>
    <phoneticPr fontId="1"/>
  </si>
  <si>
    <t>麦刈り、運搬、脱穀、稲架作り（取り壊し含む。）、麦稈の処理</t>
    <phoneticPr fontId="6"/>
  </si>
  <si>
    <t>刈取脱穀</t>
    <rPh sb="0" eb="4">
      <t>カリトリダッコク</t>
    </rPh>
    <phoneticPr fontId="38"/>
  </si>
  <si>
    <t>乾燥</t>
    <rPh sb="0" eb="2">
      <t>カンソウ</t>
    </rPh>
    <phoneticPr fontId="6"/>
  </si>
  <si>
    <t>乾燥、調製</t>
    <phoneticPr fontId="6"/>
  </si>
  <si>
    <t>乾燥</t>
    <phoneticPr fontId="1"/>
  </si>
  <si>
    <t>乾燥、調製</t>
    <phoneticPr fontId="6"/>
  </si>
  <si>
    <t>乾燥</t>
    <rPh sb="0" eb="2">
      <t>カンソウ</t>
    </rPh>
    <phoneticPr fontId="38"/>
  </si>
  <si>
    <t>生産
管理</t>
    <rPh sb="0" eb="2">
      <t>セイサン</t>
    </rPh>
    <rPh sb="3" eb="5">
      <t>カンリ</t>
    </rPh>
    <phoneticPr fontId="6"/>
  </si>
  <si>
    <t>共同作業打合せ、技術習得、簿記記帳（税務申告は含まない。）</t>
    <rPh sb="18" eb="20">
      <t>ゼイム</t>
    </rPh>
    <rPh sb="20" eb="22">
      <t>シンコク</t>
    </rPh>
    <rPh sb="23" eb="24">
      <t>フク</t>
    </rPh>
    <phoneticPr fontId="6"/>
  </si>
  <si>
    <t>生産管理</t>
    <rPh sb="0" eb="2">
      <t>セイサン</t>
    </rPh>
    <rPh sb="2" eb="4">
      <t>カンリ</t>
    </rPh>
    <phoneticPr fontId="38"/>
  </si>
  <si>
    <t>労賃単価を入力してください。</t>
    <rPh sb="0" eb="2">
      <t>ロウチン</t>
    </rPh>
    <rPh sb="2" eb="4">
      <t>タンカ</t>
    </rPh>
    <rPh sb="5" eb="7">
      <t>ニュウリョク</t>
    </rPh>
    <phoneticPr fontId="6"/>
  </si>
  <si>
    <t>間接
労働</t>
    <rPh sb="0" eb="2">
      <t>カンセツ</t>
    </rPh>
    <rPh sb="3" eb="5">
      <t>ロウドウ</t>
    </rPh>
    <phoneticPr fontId="6"/>
  </si>
  <si>
    <t>建物、農機具等の修繕、購入資材の調達等</t>
    <rPh sb="0" eb="2">
      <t>タテモノ</t>
    </rPh>
    <rPh sb="3" eb="6">
      <t>ノウキグ</t>
    </rPh>
    <rPh sb="6" eb="7">
      <t>トウ</t>
    </rPh>
    <rPh sb="8" eb="10">
      <t>シュウゼン</t>
    </rPh>
    <rPh sb="11" eb="13">
      <t>コウニュウ</t>
    </rPh>
    <rPh sb="13" eb="15">
      <t>シザイ</t>
    </rPh>
    <rPh sb="16" eb="18">
      <t>チョウタツ</t>
    </rPh>
    <rPh sb="18" eb="19">
      <t>トウ</t>
    </rPh>
    <phoneticPr fontId="6"/>
  </si>
  <si>
    <t>間接労働時間</t>
    <rPh sb="0" eb="2">
      <t>カンセツ</t>
    </rPh>
    <rPh sb="2" eb="4">
      <t>ロウドウ</t>
    </rPh>
    <rPh sb="4" eb="6">
      <t>ジカン</t>
    </rPh>
    <phoneticPr fontId="38"/>
  </si>
  <si>
    <t>労賃単価（円）</t>
    <rPh sb="0" eb="2">
      <t>ロウチン</t>
    </rPh>
    <rPh sb="2" eb="4">
      <t>タンカ</t>
    </rPh>
    <rPh sb="5" eb="6">
      <t>エン</t>
    </rPh>
    <phoneticPr fontId="6"/>
  </si>
  <si>
    <t>労働時間合計</t>
    <rPh sb="0" eb="2">
      <t>ロウドウ</t>
    </rPh>
    <rPh sb="2" eb="4">
      <t>ジカン</t>
    </rPh>
    <rPh sb="4" eb="6">
      <t>ゴウケイ</t>
    </rPh>
    <phoneticPr fontId="38"/>
  </si>
  <si>
    <t>　３　支払賃金</t>
    <rPh sb="3" eb="5">
      <t>シハライ</t>
    </rPh>
    <rPh sb="5" eb="7">
      <t>チンギン</t>
    </rPh>
    <phoneticPr fontId="6"/>
  </si>
  <si>
    <t xml:space="preserve">   当年産の対象品目生産のために雇用者に支払った労賃（現物支給も含む。）を記入してください。</t>
    <rPh sb="3" eb="5">
      <t>トウネン</t>
    </rPh>
    <rPh sb="5" eb="6">
      <t>サン</t>
    </rPh>
    <rPh sb="11" eb="13">
      <t>セイサン</t>
    </rPh>
    <rPh sb="17" eb="20">
      <t>コヨウシャ</t>
    </rPh>
    <rPh sb="21" eb="23">
      <t>シハラ</t>
    </rPh>
    <rPh sb="25" eb="27">
      <t>ロウチン</t>
    </rPh>
    <rPh sb="28" eb="30">
      <t>ゲンブツ</t>
    </rPh>
    <rPh sb="30" eb="32">
      <t>シキュウ</t>
    </rPh>
    <rPh sb="33" eb="34">
      <t>フク</t>
    </rPh>
    <phoneticPr fontId="6"/>
  </si>
  <si>
    <t>年齢階層別労働時間・労働評価額</t>
    <rPh sb="0" eb="2">
      <t>ネンレイ</t>
    </rPh>
    <rPh sb="2" eb="5">
      <t>カイソウベツ</t>
    </rPh>
    <rPh sb="5" eb="7">
      <t>ロウドウ</t>
    </rPh>
    <rPh sb="7" eb="9">
      <t>ジカン</t>
    </rPh>
    <rPh sb="10" eb="12">
      <t>ロウドウ</t>
    </rPh>
    <rPh sb="12" eb="15">
      <t>ヒョウカガク</t>
    </rPh>
    <phoneticPr fontId="86"/>
  </si>
  <si>
    <t>支払賃金（円）</t>
    <rPh sb="0" eb="2">
      <t>シハライ</t>
    </rPh>
    <rPh sb="2" eb="4">
      <t>チンギン</t>
    </rPh>
    <rPh sb="5" eb="6">
      <t>エン</t>
    </rPh>
    <phoneticPr fontId="6"/>
  </si>
  <si>
    <t>対象品目
負担割合（％）</t>
    <rPh sb="5" eb="7">
      <t>フタン</t>
    </rPh>
    <rPh sb="7" eb="9">
      <t>ワリアイ</t>
    </rPh>
    <phoneticPr fontId="6"/>
  </si>
  <si>
    <t>単位：時間、円</t>
    <rPh sb="0" eb="2">
      <t>タンイ</t>
    </rPh>
    <rPh sb="3" eb="5">
      <t>ジカン</t>
    </rPh>
    <rPh sb="6" eb="7">
      <t>エン</t>
    </rPh>
    <phoneticPr fontId="86"/>
  </si>
  <si>
    <t>家族</t>
    <rPh sb="0" eb="2">
      <t>カゾク</t>
    </rPh>
    <phoneticPr fontId="38"/>
  </si>
  <si>
    <t>男</t>
    <rPh sb="0" eb="1">
      <t>オトコ</t>
    </rPh>
    <phoneticPr fontId="6"/>
  </si>
  <si>
    <t>女</t>
    <rPh sb="0" eb="1">
      <t>オンナ</t>
    </rPh>
    <phoneticPr fontId="38"/>
  </si>
  <si>
    <t>小　　計</t>
    <rPh sb="0" eb="4">
      <t>ショウケイ</t>
    </rPh>
    <phoneticPr fontId="38"/>
  </si>
  <si>
    <t>女</t>
    <rPh sb="0" eb="1">
      <t>オンナ</t>
    </rPh>
    <phoneticPr fontId="6"/>
  </si>
  <si>
    <t>６５歳未満</t>
    <rPh sb="2" eb="3">
      <t>サイ</t>
    </rPh>
    <rPh sb="3" eb="5">
      <t>ミマン</t>
    </rPh>
    <phoneticPr fontId="86"/>
  </si>
  <si>
    <t>６５～７０</t>
  </si>
  <si>
    <t>７０～７５</t>
  </si>
  <si>
    <t>７５歳以上</t>
    <rPh sb="2" eb="5">
      <t>サイイジョウ</t>
    </rPh>
    <phoneticPr fontId="86"/>
  </si>
  <si>
    <t>労働時間</t>
    <rPh sb="0" eb="2">
      <t>ロウドウ</t>
    </rPh>
    <rPh sb="2" eb="4">
      <t>ジカン</t>
    </rPh>
    <phoneticPr fontId="86"/>
  </si>
  <si>
    <t>直接労働</t>
    <rPh sb="0" eb="2">
      <t>チョクセツ</t>
    </rPh>
    <rPh sb="2" eb="4">
      <t>ロウドウ</t>
    </rPh>
    <phoneticPr fontId="86"/>
  </si>
  <si>
    <t>間接労働</t>
    <rPh sb="0" eb="2">
      <t>カンセツ</t>
    </rPh>
    <rPh sb="2" eb="4">
      <t>ロウドウ</t>
    </rPh>
    <phoneticPr fontId="86"/>
  </si>
  <si>
    <t>労働評価額</t>
    <rPh sb="0" eb="2">
      <t>ロウドウ</t>
    </rPh>
    <rPh sb="2" eb="5">
      <t>ヒョウカガク</t>
    </rPh>
    <phoneticPr fontId="86"/>
  </si>
  <si>
    <t>小　　計</t>
    <phoneticPr fontId="86"/>
  </si>
  <si>
    <t>同居人、手伝い・共同作業受け</t>
    <rPh sb="0" eb="3">
      <t>ドウキョニン</t>
    </rPh>
    <rPh sb="4" eb="6">
      <t>テツダ</t>
    </rPh>
    <rPh sb="8" eb="10">
      <t>キョウドウ</t>
    </rPh>
    <rPh sb="10" eb="12">
      <t>サギョウ</t>
    </rPh>
    <rPh sb="12" eb="13">
      <t>ウ</t>
    </rPh>
    <phoneticPr fontId="86"/>
  </si>
  <si>
    <t>任意項目</t>
    <rPh sb="0" eb="2">
      <t>ニンイ</t>
    </rPh>
    <rPh sb="2" eb="4">
      <t>コウモク</t>
    </rPh>
    <phoneticPr fontId="38"/>
  </si>
  <si>
    <t>項目名称</t>
    <rPh sb="0" eb="2">
      <t>コウモク</t>
    </rPh>
    <rPh sb="2" eb="4">
      <t>メイショウ</t>
    </rPh>
    <phoneticPr fontId="6"/>
  </si>
  <si>
    <t>数値</t>
    <rPh sb="0" eb="2">
      <t>スウチ</t>
    </rPh>
    <phoneticPr fontId="100"/>
  </si>
  <si>
    <t>シート名</t>
    <rPh sb="3" eb="4">
      <t>メイ</t>
    </rPh>
    <phoneticPr fontId="6"/>
  </si>
  <si>
    <t>表紙</t>
    <rPh sb="0" eb="2">
      <t>ヒョウシ</t>
    </rPh>
    <phoneticPr fontId="6"/>
  </si>
  <si>
    <t>3_目次・経営概要①</t>
    <phoneticPr fontId="6"/>
  </si>
  <si>
    <t>3_目次・経営概要①</t>
    <phoneticPr fontId="6"/>
  </si>
  <si>
    <t>3_目次・経営概要①</t>
    <phoneticPr fontId="6"/>
  </si>
  <si>
    <t>4_経営概要②</t>
  </si>
  <si>
    <t>4_経営概要②</t>
    <phoneticPr fontId="6"/>
  </si>
  <si>
    <t>7_建物</t>
    <phoneticPr fontId="6"/>
  </si>
  <si>
    <t>7_建物</t>
    <phoneticPr fontId="6"/>
  </si>
  <si>
    <t>7_建物</t>
    <phoneticPr fontId="6"/>
  </si>
  <si>
    <t>7_建物</t>
    <phoneticPr fontId="6"/>
  </si>
  <si>
    <t>7、8、9、10、11</t>
    <phoneticPr fontId="6"/>
  </si>
  <si>
    <t>8_自動車</t>
    <phoneticPr fontId="6"/>
  </si>
  <si>
    <t>8_自動車</t>
  </si>
  <si>
    <t>8_自動車</t>
    <phoneticPr fontId="6"/>
  </si>
  <si>
    <t>9_農機・PC</t>
    <phoneticPr fontId="6"/>
  </si>
  <si>
    <t>9_農機・PC</t>
    <phoneticPr fontId="6"/>
  </si>
  <si>
    <t>9_農機・PC</t>
    <phoneticPr fontId="6"/>
  </si>
  <si>
    <t>9_農機・PC</t>
    <phoneticPr fontId="6"/>
  </si>
  <si>
    <t>9_農機・PC</t>
    <phoneticPr fontId="6"/>
  </si>
  <si>
    <t>9_農機・PC</t>
  </si>
  <si>
    <t>11_土地・地代</t>
    <rPh sb="3" eb="5">
      <t>トチ</t>
    </rPh>
    <rPh sb="6" eb="8">
      <t>チダイ</t>
    </rPh>
    <phoneticPr fontId="6"/>
  </si>
  <si>
    <t>12_労働</t>
    <phoneticPr fontId="6"/>
  </si>
  <si>
    <t>12_労働</t>
    <phoneticPr fontId="6"/>
  </si>
  <si>
    <t>13_飼料用米</t>
    <phoneticPr fontId="6"/>
  </si>
  <si>
    <t>13_飼料用米</t>
    <phoneticPr fontId="6"/>
  </si>
  <si>
    <t>耐用年数</t>
    <rPh sb="0" eb="2">
      <t>タイヨウ</t>
    </rPh>
    <rPh sb="2" eb="4">
      <t>ネンスウ</t>
    </rPh>
    <phoneticPr fontId="6"/>
  </si>
  <si>
    <t>償却率</t>
    <rPh sb="0" eb="2">
      <t>ショウキャク</t>
    </rPh>
    <rPh sb="2" eb="3">
      <t>リツ</t>
    </rPh>
    <phoneticPr fontId="5"/>
  </si>
  <si>
    <t>11_自動車、12_農業機械</t>
    <rPh sb="10" eb="12">
      <t>ノウギョウ</t>
    </rPh>
    <rPh sb="12" eb="14">
      <t>キカイ</t>
    </rPh>
    <phoneticPr fontId="6"/>
  </si>
  <si>
    <t>項目名</t>
    <rPh sb="0" eb="3">
      <t>コウモクメイ</t>
    </rPh>
    <phoneticPr fontId="6"/>
  </si>
  <si>
    <t>【１】経営の概況</t>
    <phoneticPr fontId="6"/>
  </si>
  <si>
    <t>【１】経営の概況</t>
    <phoneticPr fontId="6"/>
  </si>
  <si>
    <t>【１】経営の概況</t>
  </si>
  <si>
    <t>【11】土地の面積及び地代</t>
  </si>
  <si>
    <t>【13】飼料用米の作付状況、費用及び労働時間</t>
  </si>
  <si>
    <t>自動車</t>
    <rPh sb="0" eb="3">
      <t>ジドウシャ</t>
    </rPh>
    <phoneticPr fontId="6"/>
  </si>
  <si>
    <t>農機具</t>
    <rPh sb="0" eb="3">
      <t>ノウキグ</t>
    </rPh>
    <phoneticPr fontId="6"/>
  </si>
  <si>
    <t>３　認定農業者の状況</t>
    <rPh sb="2" eb="4">
      <t>ニンテイ</t>
    </rPh>
    <rPh sb="4" eb="7">
      <t>ノウギョウシャ</t>
    </rPh>
    <rPh sb="8" eb="10">
      <t>ジョウキョウ</t>
    </rPh>
    <phoneticPr fontId="6"/>
  </si>
  <si>
    <t>４　稲作主体の経営</t>
    <rPh sb="2" eb="4">
      <t>イナサク</t>
    </rPh>
    <rPh sb="4" eb="6">
      <t>シュタイ</t>
    </rPh>
    <rPh sb="7" eb="9">
      <t>ケイエイ</t>
    </rPh>
    <phoneticPr fontId="6"/>
  </si>
  <si>
    <t>７　田の状況</t>
    <rPh sb="2" eb="3">
      <t>タ</t>
    </rPh>
    <rPh sb="4" eb="6">
      <t>ジョウキョウ</t>
    </rPh>
    <phoneticPr fontId="6"/>
  </si>
  <si>
    <t>10　食用米（うるち米）の品種別作付面積</t>
    <rPh sb="3" eb="5">
      <t>ショクヨウ</t>
    </rPh>
    <rPh sb="5" eb="6">
      <t>コメ</t>
    </rPh>
    <rPh sb="10" eb="11">
      <t>マイ</t>
    </rPh>
    <rPh sb="13" eb="15">
      <t>ヒンシュ</t>
    </rPh>
    <rPh sb="15" eb="16">
      <t>ベツ</t>
    </rPh>
    <rPh sb="16" eb="18">
      <t>サクツケ</t>
    </rPh>
    <rPh sb="18" eb="20">
      <t>メンセキ</t>
    </rPh>
    <phoneticPr fontId="6"/>
  </si>
  <si>
    <t>６　対象品目の品種別作付面積</t>
    <rPh sb="2" eb="4">
      <t>タイショウ</t>
    </rPh>
    <rPh sb="4" eb="6">
      <t>ヒンモク</t>
    </rPh>
    <rPh sb="7" eb="9">
      <t>ヒンシュ</t>
    </rPh>
    <rPh sb="9" eb="10">
      <t>ベツ</t>
    </rPh>
    <rPh sb="10" eb="12">
      <t>サクツケ</t>
    </rPh>
    <rPh sb="12" eb="14">
      <t>メンセキ</t>
    </rPh>
    <phoneticPr fontId="6"/>
  </si>
  <si>
    <t>１　家族労働時間</t>
  </si>
  <si>
    <t>３　飼料用米と食用米の10a当たり費用及び労働時間の違いの有無</t>
  </si>
  <si>
    <t>　４　食用米生産に対して飼料用米生産にかかる費用（10ａ当たり）</t>
    <rPh sb="3" eb="5">
      <t>ショクヨウ</t>
    </rPh>
    <rPh sb="5" eb="6">
      <t>コメ</t>
    </rPh>
    <rPh sb="6" eb="8">
      <t>セイサン</t>
    </rPh>
    <rPh sb="9" eb="10">
      <t>タイ</t>
    </rPh>
    <rPh sb="12" eb="14">
      <t>シリョウ</t>
    </rPh>
    <rPh sb="14" eb="16">
      <t>ヨウマイ</t>
    </rPh>
    <rPh sb="16" eb="18">
      <t>セイサン</t>
    </rPh>
    <rPh sb="22" eb="24">
      <t>ヒヨウ</t>
    </rPh>
    <rPh sb="28" eb="29">
      <t>ア</t>
    </rPh>
    <phoneticPr fontId="6"/>
  </si>
  <si>
    <t>リスト名</t>
    <rPh sb="3" eb="4">
      <t>メイ</t>
    </rPh>
    <phoneticPr fontId="6"/>
  </si>
  <si>
    <t>単位数量</t>
    <rPh sb="0" eb="2">
      <t>タンイ</t>
    </rPh>
    <rPh sb="2" eb="4">
      <t>スウリョウ</t>
    </rPh>
    <phoneticPr fontId="6"/>
  </si>
  <si>
    <t>名称</t>
    <rPh sb="0" eb="2">
      <t>メイショウ</t>
    </rPh>
    <phoneticPr fontId="6"/>
  </si>
  <si>
    <t>認定農業者の状況
（個別）</t>
    <rPh sb="0" eb="2">
      <t>ニンテイ</t>
    </rPh>
    <rPh sb="2" eb="5">
      <t>ノウギョウシャ</t>
    </rPh>
    <rPh sb="6" eb="8">
      <t>ジョウキョウ</t>
    </rPh>
    <rPh sb="10" eb="12">
      <t>コベツ</t>
    </rPh>
    <phoneticPr fontId="6"/>
  </si>
  <si>
    <t>認定農業者の状況
（組織）</t>
    <rPh sb="0" eb="2">
      <t>ニンテイ</t>
    </rPh>
    <rPh sb="2" eb="5">
      <t>ノウギョウシャ</t>
    </rPh>
    <rPh sb="6" eb="8">
      <t>ジョウキョウ</t>
    </rPh>
    <rPh sb="10" eb="12">
      <t>ソシキ</t>
    </rPh>
    <phoneticPr fontId="6"/>
  </si>
  <si>
    <t>稲作主体の経営
（組織）米</t>
    <rPh sb="0" eb="2">
      <t>イナサク</t>
    </rPh>
    <rPh sb="2" eb="4">
      <t>シュタイ</t>
    </rPh>
    <rPh sb="5" eb="7">
      <t>ケイエイ</t>
    </rPh>
    <rPh sb="9" eb="11">
      <t>ソシキ</t>
    </rPh>
    <rPh sb="12" eb="13">
      <t>コメ</t>
    </rPh>
    <phoneticPr fontId="6"/>
  </si>
  <si>
    <t>区画整理済み面積割合</t>
    <rPh sb="0" eb="2">
      <t>クカク</t>
    </rPh>
    <rPh sb="2" eb="4">
      <t>セイリ</t>
    </rPh>
    <rPh sb="4" eb="5">
      <t>ズ</t>
    </rPh>
    <rPh sb="6" eb="8">
      <t>メンセキ</t>
    </rPh>
    <rPh sb="8" eb="10">
      <t>ワリアイ</t>
    </rPh>
    <phoneticPr fontId="5"/>
  </si>
  <si>
    <t>食用米（うるち米）品種名称</t>
    <rPh sb="0" eb="3">
      <t>ショクヨウマイ</t>
    </rPh>
    <rPh sb="7" eb="8">
      <t>マイ</t>
    </rPh>
    <rPh sb="9" eb="11">
      <t>ヒンシュ</t>
    </rPh>
    <rPh sb="11" eb="13">
      <t>メイショウ</t>
    </rPh>
    <phoneticPr fontId="5"/>
  </si>
  <si>
    <t>[81]小麦品種名称</t>
    <rPh sb="4" eb="6">
      <t>コムギ</t>
    </rPh>
    <rPh sb="6" eb="8">
      <t>ヒンシュ</t>
    </rPh>
    <rPh sb="8" eb="10">
      <t>メイショウ</t>
    </rPh>
    <phoneticPr fontId="5"/>
  </si>
  <si>
    <t>[77]二条大麦品種名称</t>
    <rPh sb="4" eb="6">
      <t>ニジョウ</t>
    </rPh>
    <rPh sb="6" eb="8">
      <t>オオムギ</t>
    </rPh>
    <rPh sb="8" eb="10">
      <t>ヒンシュ</t>
    </rPh>
    <rPh sb="10" eb="12">
      <t>メイショウ</t>
    </rPh>
    <phoneticPr fontId="5"/>
  </si>
  <si>
    <t>[78]六条大麦品種名称</t>
    <rPh sb="4" eb="6">
      <t>ロクジョウ</t>
    </rPh>
    <rPh sb="6" eb="8">
      <t>オオムギ</t>
    </rPh>
    <rPh sb="8" eb="10">
      <t>ヒンシュ</t>
    </rPh>
    <rPh sb="10" eb="12">
      <t>メイショウ</t>
    </rPh>
    <phoneticPr fontId="5"/>
  </si>
  <si>
    <t>[79]はだか麦品種名称</t>
    <rPh sb="7" eb="8">
      <t>ムギ</t>
    </rPh>
    <rPh sb="8" eb="10">
      <t>ヒンシュ</t>
    </rPh>
    <rPh sb="10" eb="12">
      <t>メイショウ</t>
    </rPh>
    <phoneticPr fontId="5"/>
  </si>
  <si>
    <t>[76]そば品種名称</t>
    <rPh sb="6" eb="8">
      <t>ヒンシュ</t>
    </rPh>
    <rPh sb="8" eb="10">
      <t>メイショウ</t>
    </rPh>
    <phoneticPr fontId="5"/>
  </si>
  <si>
    <t>[82]大豆品種名称</t>
    <rPh sb="4" eb="6">
      <t>ダイズ</t>
    </rPh>
    <rPh sb="6" eb="8">
      <t>ヒンシュ</t>
    </rPh>
    <rPh sb="8" eb="10">
      <t>メイショウ</t>
    </rPh>
    <phoneticPr fontId="5"/>
  </si>
  <si>
    <t>[83]原料用かんしょ品種名称</t>
    <rPh sb="4" eb="7">
      <t>ゲンリョウヨウ</t>
    </rPh>
    <rPh sb="11" eb="13">
      <t>ヒンシュ</t>
    </rPh>
    <rPh sb="13" eb="15">
      <t>メイショウ</t>
    </rPh>
    <phoneticPr fontId="5"/>
  </si>
  <si>
    <t>[84]原料用ばれいしょ品種名称</t>
    <rPh sb="4" eb="7">
      <t>ゲンリョウヨウ</t>
    </rPh>
    <rPh sb="12" eb="14">
      <t>ヒンシュ</t>
    </rPh>
    <rPh sb="14" eb="16">
      <t>メイショウ</t>
    </rPh>
    <phoneticPr fontId="5"/>
  </si>
  <si>
    <t>[75]なたね品種名称</t>
    <rPh sb="7" eb="9">
      <t>ヒンシュ</t>
    </rPh>
    <rPh sb="9" eb="11">
      <t>メイショウ</t>
    </rPh>
    <phoneticPr fontId="5"/>
  </si>
  <si>
    <t>[86]てんさい品種名称</t>
    <rPh sb="8" eb="10">
      <t>ヒンシュ</t>
    </rPh>
    <rPh sb="10" eb="12">
      <t>メイショウ</t>
    </rPh>
    <phoneticPr fontId="5"/>
  </si>
  <si>
    <t>[85]さとうきび品種名称</t>
    <rPh sb="9" eb="11">
      <t>ヒンシュ</t>
    </rPh>
    <rPh sb="11" eb="13">
      <t>メイショウ</t>
    </rPh>
    <phoneticPr fontId="5"/>
  </si>
  <si>
    <t>種類コード</t>
    <phoneticPr fontId="6"/>
  </si>
  <si>
    <t>構造コード</t>
    <rPh sb="0" eb="2">
      <t>コウゾウ</t>
    </rPh>
    <phoneticPr fontId="6"/>
  </si>
  <si>
    <t>新築・中古区分</t>
    <rPh sb="0" eb="2">
      <t>シンチク</t>
    </rPh>
    <rPh sb="3" eb="5">
      <t>チュウコ</t>
    </rPh>
    <rPh sb="5" eb="7">
      <t>クブン</t>
    </rPh>
    <phoneticPr fontId="6"/>
  </si>
  <si>
    <t>型式コード</t>
    <rPh sb="0" eb="2">
      <t>カタシキ</t>
    </rPh>
    <phoneticPr fontId="5"/>
  </si>
  <si>
    <t>新品・中古区分</t>
    <rPh sb="0" eb="2">
      <t>シンピン</t>
    </rPh>
    <rPh sb="3" eb="5">
      <t>チュウコ</t>
    </rPh>
    <rPh sb="5" eb="7">
      <t>クブン</t>
    </rPh>
    <phoneticPr fontId="5"/>
  </si>
  <si>
    <t>種類コード
（米）</t>
    <rPh sb="7" eb="8">
      <t>コメ</t>
    </rPh>
    <phoneticPr fontId="6"/>
  </si>
  <si>
    <t>種類コード
（麦類）</t>
    <rPh sb="7" eb="9">
      <t>ムギルイ</t>
    </rPh>
    <phoneticPr fontId="6"/>
  </si>
  <si>
    <t>種類コード
（そば）</t>
    <phoneticPr fontId="6"/>
  </si>
  <si>
    <t>種類コード
（大豆）</t>
    <rPh sb="7" eb="9">
      <t>ダイズ</t>
    </rPh>
    <phoneticPr fontId="6"/>
  </si>
  <si>
    <t>種類コード
（原料用かんしょ）</t>
    <phoneticPr fontId="6"/>
  </si>
  <si>
    <t>種類コード
（原料用ばれいしょ）</t>
    <phoneticPr fontId="6"/>
  </si>
  <si>
    <t>種類コード
（なたね）</t>
    <phoneticPr fontId="6"/>
  </si>
  <si>
    <t>種類コード
（てんさい）</t>
    <phoneticPr fontId="6"/>
  </si>
  <si>
    <t>種類コード
（さとうきび）</t>
    <phoneticPr fontId="6"/>
  </si>
  <si>
    <t>型式コード
（全品目）</t>
    <rPh sb="0" eb="2">
      <t>カタシキ</t>
    </rPh>
    <rPh sb="7" eb="10">
      <t>ゼンヒンモク</t>
    </rPh>
    <phoneticPr fontId="5"/>
  </si>
  <si>
    <t>地目</t>
    <rPh sb="0" eb="2">
      <t>チモク</t>
    </rPh>
    <phoneticPr fontId="5"/>
  </si>
  <si>
    <t>性別</t>
    <rPh sb="0" eb="2">
      <t>セイベツ</t>
    </rPh>
    <phoneticPr fontId="5"/>
  </si>
  <si>
    <t>続柄</t>
    <rPh sb="0" eb="2">
      <t>ゾクガラ</t>
    </rPh>
    <phoneticPr fontId="5"/>
  </si>
  <si>
    <t>飼料用米と食用米の10a当たり費用及び労働時間の違いの有無</t>
    <phoneticPr fontId="6"/>
  </si>
  <si>
    <t>費用の種類
その他</t>
    <rPh sb="0" eb="2">
      <t>ヒヨウ</t>
    </rPh>
    <rPh sb="3" eb="5">
      <t>シュルイ</t>
    </rPh>
    <rPh sb="8" eb="9">
      <t>タ</t>
    </rPh>
    <phoneticPr fontId="6"/>
  </si>
  <si>
    <t>コード</t>
    <phoneticPr fontId="6"/>
  </si>
  <si>
    <t>耐用年数</t>
    <rPh sb="0" eb="2">
      <t>タイヨウ</t>
    </rPh>
    <rPh sb="2" eb="4">
      <t>ネンスウ</t>
    </rPh>
    <phoneticPr fontId="1"/>
  </si>
  <si>
    <t>償却率</t>
    <rPh sb="0" eb="3">
      <t>ショウキャクリツ</t>
    </rPh>
    <phoneticPr fontId="1"/>
  </si>
  <si>
    <t>自動車・農業機械
20万円以上の修繕資産</t>
    <rPh sb="0" eb="3">
      <t>ジドウシャ</t>
    </rPh>
    <rPh sb="4" eb="6">
      <t>ノウギョウ</t>
    </rPh>
    <rPh sb="6" eb="8">
      <t>キカイ</t>
    </rPh>
    <rPh sb="11" eb="15">
      <t>マンエンイジョウ</t>
    </rPh>
    <rPh sb="16" eb="20">
      <t>シュウゼンシサン</t>
    </rPh>
    <phoneticPr fontId="6"/>
  </si>
  <si>
    <t>[75]なたね</t>
    <phoneticPr fontId="6"/>
  </si>
  <si>
    <t>なたね</t>
  </si>
  <si>
    <t>[1]集落営農</t>
    <rPh sb="3" eb="5">
      <t>シュウラク</t>
    </rPh>
    <rPh sb="5" eb="7">
      <t>エイノウ</t>
    </rPh>
    <phoneticPr fontId="6"/>
  </si>
  <si>
    <t>[1]農事組合法人</t>
    <rPh sb="3" eb="5">
      <t>ノウジ</t>
    </rPh>
    <rPh sb="5" eb="7">
      <t>クミアイ</t>
    </rPh>
    <rPh sb="7" eb="9">
      <t>ホウジン</t>
    </rPh>
    <phoneticPr fontId="6"/>
  </si>
  <si>
    <t>いる</t>
    <phoneticPr fontId="6"/>
  </si>
  <si>
    <t>はい</t>
    <phoneticPr fontId="6"/>
  </si>
  <si>
    <t>はい</t>
    <phoneticPr fontId="6"/>
  </si>
  <si>
    <t>50％未満</t>
    <phoneticPr fontId="5"/>
  </si>
  <si>
    <t>[01]コシヒカリ</t>
    <phoneticPr fontId="6"/>
  </si>
  <si>
    <t>[01]きたほなみ</t>
  </si>
  <si>
    <t>[01]サチホゴールデン</t>
  </si>
  <si>
    <t>[01]ファイバースノウ</t>
  </si>
  <si>
    <t>[01]イチバンボシ</t>
  </si>
  <si>
    <t>[01]キタワセソバ</t>
    <phoneticPr fontId="6"/>
  </si>
  <si>
    <t>[01]とよまさり</t>
    <phoneticPr fontId="6"/>
  </si>
  <si>
    <t>[01]シロユタカ</t>
    <phoneticPr fontId="6"/>
  </si>
  <si>
    <t>[01]コナフブキ</t>
    <phoneticPr fontId="6"/>
  </si>
  <si>
    <t>[01]キザキノナタネ</t>
    <phoneticPr fontId="6"/>
  </si>
  <si>
    <t xml:space="preserve">[01]パピリカ </t>
    <phoneticPr fontId="6"/>
  </si>
  <si>
    <t>[01]ＮｉＦ８</t>
    <phoneticPr fontId="6"/>
  </si>
  <si>
    <t>建築物</t>
    <rPh sb="0" eb="3">
      <t>ケンチクブツ</t>
    </rPh>
    <phoneticPr fontId="5"/>
  </si>
  <si>
    <t>[01]住宅</t>
  </si>
  <si>
    <t>[01]住宅</t>
    <rPh sb="4" eb="5">
      <t>スミ</t>
    </rPh>
    <rPh sb="5" eb="6">
      <t>タク</t>
    </rPh>
    <phoneticPr fontId="5"/>
  </si>
  <si>
    <t>[1]木造</t>
    <rPh sb="3" eb="5">
      <t>モクゾウ</t>
    </rPh>
    <phoneticPr fontId="101"/>
  </si>
  <si>
    <t>[1]新築</t>
    <rPh sb="3" eb="5">
      <t>シンチク</t>
    </rPh>
    <phoneticPr fontId="101"/>
  </si>
  <si>
    <t>[1]取り壊し</t>
  </si>
  <si>
    <t>[1]有</t>
    <rPh sb="3" eb="4">
      <t>ア</t>
    </rPh>
    <phoneticPr fontId="5"/>
  </si>
  <si>
    <t>[1]貨物自動車</t>
    <rPh sb="3" eb="5">
      <t>カモツ</t>
    </rPh>
    <rPh sb="5" eb="8">
      <t>ジドウシャ</t>
    </rPh>
    <phoneticPr fontId="6"/>
  </si>
  <si>
    <t>[1]貨物自動車</t>
    <phoneticPr fontId="5"/>
  </si>
  <si>
    <t>[1]軽自動車</t>
    <rPh sb="3" eb="7">
      <t>ケイジドウシャ</t>
    </rPh>
    <phoneticPr fontId="67"/>
  </si>
  <si>
    <t>[1]新品</t>
    <rPh sb="3" eb="5">
      <t>シンピン</t>
    </rPh>
    <phoneticPr fontId="101"/>
  </si>
  <si>
    <t>[1]売却</t>
    <rPh sb="3" eb="5">
      <t>バイキャク</t>
    </rPh>
    <phoneticPr fontId="1"/>
  </si>
  <si>
    <t>[01]電動機</t>
    <rPh sb="4" eb="7">
      <t>デンドウキ</t>
    </rPh>
    <phoneticPr fontId="67"/>
  </si>
  <si>
    <t>[03]歩行用トラクター</t>
  </si>
  <si>
    <t>[04]乗用トラクター</t>
    <phoneticPr fontId="67"/>
  </si>
  <si>
    <t>[1]２０馬力未満</t>
  </si>
  <si>
    <t>[1]田</t>
    <rPh sb="3" eb="4">
      <t>タ</t>
    </rPh>
    <phoneticPr fontId="5"/>
  </si>
  <si>
    <t>[1]男</t>
    <rPh sb="3" eb="4">
      <t>オトコ</t>
    </rPh>
    <phoneticPr fontId="101"/>
  </si>
  <si>
    <t>[1]家族</t>
    <rPh sb="3" eb="5">
      <t>カゾク</t>
    </rPh>
    <phoneticPr fontId="101"/>
  </si>
  <si>
    <t>[1]有</t>
    <rPh sb="3" eb="4">
      <t>ア</t>
    </rPh>
    <phoneticPr fontId="6"/>
  </si>
  <si>
    <t>[1]土地改良及び水利費</t>
    <rPh sb="3" eb="5">
      <t>トチ</t>
    </rPh>
    <rPh sb="5" eb="7">
      <t>カイリョウ</t>
    </rPh>
    <rPh sb="7" eb="8">
      <t>オヨ</t>
    </rPh>
    <rPh sb="9" eb="11">
      <t>スイリ</t>
    </rPh>
    <rPh sb="11" eb="12">
      <t>ヒ</t>
    </rPh>
    <phoneticPr fontId="6"/>
  </si>
  <si>
    <t>[01]住　宅</t>
    <phoneticPr fontId="6"/>
  </si>
  <si>
    <t>[1]木造</t>
    <rPh sb="3" eb="5">
      <t>モクゾウ</t>
    </rPh>
    <phoneticPr fontId="5"/>
  </si>
  <si>
    <t>[1]貨物自動車</t>
    <phoneticPr fontId="5"/>
  </si>
  <si>
    <t>[11]</t>
    <phoneticPr fontId="6"/>
  </si>
  <si>
    <t>[01]電動機</t>
    <rPh sb="4" eb="7">
      <t>デンドウキ</t>
    </rPh>
    <phoneticPr fontId="26"/>
  </si>
  <si>
    <t>[6]その他</t>
  </si>
  <si>
    <t>○</t>
    <phoneticPr fontId="6"/>
  </si>
  <si>
    <t>[76]そば</t>
    <phoneticPr fontId="6"/>
  </si>
  <si>
    <t>そば</t>
  </si>
  <si>
    <t>組織法人経営体</t>
    <rPh sb="0" eb="2">
      <t>ソシキ</t>
    </rPh>
    <rPh sb="2" eb="4">
      <t>ホウジン</t>
    </rPh>
    <rPh sb="4" eb="6">
      <t>ケイエイ</t>
    </rPh>
    <phoneticPr fontId="6"/>
  </si>
  <si>
    <t>[2]集落営農以外</t>
    <rPh sb="3" eb="5">
      <t>シュウラク</t>
    </rPh>
    <rPh sb="5" eb="7">
      <t>エイノウ</t>
    </rPh>
    <rPh sb="7" eb="9">
      <t>イガイ</t>
    </rPh>
    <phoneticPr fontId="6"/>
  </si>
  <si>
    <t>[2]株式会社</t>
    <rPh sb="3" eb="7">
      <t>カブシキガイシャ</t>
    </rPh>
    <phoneticPr fontId="6"/>
  </si>
  <si>
    <t>いない</t>
    <phoneticPr fontId="6"/>
  </si>
  <si>
    <t>いいえ</t>
    <phoneticPr fontId="6"/>
  </si>
  <si>
    <t>いいえ</t>
    <phoneticPr fontId="6"/>
  </si>
  <si>
    <t>50～80％</t>
    <phoneticPr fontId="5"/>
  </si>
  <si>
    <t>[02]ひとめぼれ</t>
    <phoneticPr fontId="6"/>
  </si>
  <si>
    <t>[02]ゆめちから</t>
  </si>
  <si>
    <t>[02]はるしずく</t>
  </si>
  <si>
    <t>[02]シュンライ</t>
  </si>
  <si>
    <t>[02]マンネンボシ</t>
  </si>
  <si>
    <t>[02]階上早生</t>
    <rPh sb="4" eb="6">
      <t>カイジョウ</t>
    </rPh>
    <rPh sb="6" eb="8">
      <t>ワセ</t>
    </rPh>
    <phoneticPr fontId="6"/>
  </si>
  <si>
    <t>[02]フクユタカ</t>
  </si>
  <si>
    <t>[02]コガネセンガン</t>
  </si>
  <si>
    <t>[02]紅丸</t>
    <rPh sb="4" eb="5">
      <t>ベニ</t>
    </rPh>
    <rPh sb="5" eb="6">
      <t>マル</t>
    </rPh>
    <phoneticPr fontId="6"/>
  </si>
  <si>
    <t>[02]アサカノナタネ</t>
    <phoneticPr fontId="6"/>
  </si>
  <si>
    <t>[02]リッカ</t>
  </si>
  <si>
    <t>[02]Ｎｉ２７</t>
  </si>
  <si>
    <t>[02]事務所</t>
    <rPh sb="4" eb="7">
      <t>ジムショ</t>
    </rPh>
    <phoneticPr fontId="92"/>
  </si>
  <si>
    <t>[2]合成樹脂造</t>
    <rPh sb="3" eb="5">
      <t>ゴウセイ</t>
    </rPh>
    <rPh sb="5" eb="7">
      <t>ジュシ</t>
    </rPh>
    <rPh sb="7" eb="8">
      <t>ツク</t>
    </rPh>
    <phoneticPr fontId="101"/>
  </si>
  <si>
    <t>[2]中古</t>
    <rPh sb="3" eb="5">
      <t>チュウコ</t>
    </rPh>
    <phoneticPr fontId="101"/>
  </si>
  <si>
    <t>[2]部分取り壊し</t>
  </si>
  <si>
    <t>[2]無</t>
    <rPh sb="3" eb="4">
      <t>ナ</t>
    </rPh>
    <phoneticPr fontId="5"/>
  </si>
  <si>
    <t>[2]その他の自動車</t>
    <rPh sb="5" eb="6">
      <t>タ</t>
    </rPh>
    <rPh sb="7" eb="10">
      <t>ジドウシャ</t>
    </rPh>
    <phoneticPr fontId="6"/>
  </si>
  <si>
    <t>[2]普通自動車（ダンプ式）</t>
    <rPh sb="3" eb="5">
      <t>フツウ</t>
    </rPh>
    <rPh sb="5" eb="8">
      <t>ジドウシャ</t>
    </rPh>
    <rPh sb="12" eb="13">
      <t>シキ</t>
    </rPh>
    <phoneticPr fontId="67"/>
  </si>
  <si>
    <t>[2]廃棄等</t>
    <rPh sb="3" eb="5">
      <t>ハイキ</t>
    </rPh>
    <rPh sb="5" eb="6">
      <t>ナド</t>
    </rPh>
    <phoneticPr fontId="1"/>
  </si>
  <si>
    <t>[02]発動機</t>
    <rPh sb="4" eb="7">
      <t>ハツドウキ</t>
    </rPh>
    <phoneticPr fontId="67"/>
  </si>
  <si>
    <t>[04]乗用トラクター</t>
  </si>
  <si>
    <t>[2]２０～５０馬力未満</t>
    <rPh sb="10" eb="12">
      <t>ミマン</t>
    </rPh>
    <phoneticPr fontId="84"/>
  </si>
  <si>
    <t>[2]畑</t>
    <rPh sb="3" eb="4">
      <t>ハタ</t>
    </rPh>
    <phoneticPr fontId="5"/>
  </si>
  <si>
    <t>[2]女</t>
    <rPh sb="3" eb="4">
      <t>オンナ</t>
    </rPh>
    <phoneticPr fontId="101"/>
  </si>
  <si>
    <t>[2]同居人</t>
    <rPh sb="3" eb="6">
      <t>ドウキョニン</t>
    </rPh>
    <phoneticPr fontId="101"/>
  </si>
  <si>
    <t>[2]無</t>
    <rPh sb="3" eb="4">
      <t>ナ</t>
    </rPh>
    <phoneticPr fontId="6"/>
  </si>
  <si>
    <t>[2]物件税及び公課諸負担</t>
    <rPh sb="3" eb="5">
      <t>ブッケン</t>
    </rPh>
    <rPh sb="5" eb="6">
      <t>ゼイ</t>
    </rPh>
    <rPh sb="6" eb="7">
      <t>オヨ</t>
    </rPh>
    <rPh sb="8" eb="10">
      <t>コウカ</t>
    </rPh>
    <rPh sb="10" eb="11">
      <t>ショ</t>
    </rPh>
    <rPh sb="11" eb="13">
      <t>フタン</t>
    </rPh>
    <phoneticPr fontId="6"/>
  </si>
  <si>
    <t>[2]合成樹脂造</t>
    <rPh sb="3" eb="5">
      <t>ゴウセイ</t>
    </rPh>
    <rPh sb="5" eb="7">
      <t>ジュシ</t>
    </rPh>
    <rPh sb="7" eb="8">
      <t>ツク</t>
    </rPh>
    <phoneticPr fontId="5"/>
  </si>
  <si>
    <t>[12]</t>
    <phoneticPr fontId="6"/>
  </si>
  <si>
    <t>[02]発動機</t>
    <rPh sb="4" eb="7">
      <t>ハツドウキ</t>
    </rPh>
    <phoneticPr fontId="26"/>
  </si>
  <si>
    <t>[77]二条大麦</t>
    <rPh sb="4" eb="6">
      <t>ニジョウ</t>
    </rPh>
    <rPh sb="6" eb="8">
      <t>オオムギ</t>
    </rPh>
    <phoneticPr fontId="6"/>
  </si>
  <si>
    <t>二条大麦</t>
    <rPh sb="0" eb="2">
      <t>ニジョウ</t>
    </rPh>
    <rPh sb="2" eb="4">
      <t>オオムギ</t>
    </rPh>
    <phoneticPr fontId="6"/>
  </si>
  <si>
    <t>[3]特例有限会社</t>
    <rPh sb="3" eb="5">
      <t>トクレイ</t>
    </rPh>
    <rPh sb="5" eb="9">
      <t>ユウゲンガイシャ</t>
    </rPh>
    <phoneticPr fontId="6"/>
  </si>
  <si>
    <t>80％以上</t>
    <rPh sb="3" eb="5">
      <t>イジョウ</t>
    </rPh>
    <phoneticPr fontId="5"/>
  </si>
  <si>
    <t>[03]ヒノヒカリ</t>
    <phoneticPr fontId="6"/>
  </si>
  <si>
    <t>[03]さとのそら</t>
  </si>
  <si>
    <t>[03]ニシノホシ</t>
  </si>
  <si>
    <t>[03]カシマゴール</t>
  </si>
  <si>
    <t>[03]トヨノカゼ</t>
  </si>
  <si>
    <t>[03]信濃１号</t>
    <rPh sb="4" eb="6">
      <t>シナノ</t>
    </rPh>
    <rPh sb="7" eb="8">
      <t>ゴウ</t>
    </rPh>
    <phoneticPr fontId="6"/>
  </si>
  <si>
    <t>[03]エンレイ</t>
  </si>
  <si>
    <t>[03]ダイチノユメ</t>
  </si>
  <si>
    <t>[03]アスタルテ</t>
  </si>
  <si>
    <t>[03]ななしきぶ</t>
    <phoneticPr fontId="6"/>
  </si>
  <si>
    <t>[03]アンジー</t>
  </si>
  <si>
    <t>[03]Ｎｉ２２</t>
  </si>
  <si>
    <t>[03]納屋・倉庫</t>
    <rPh sb="4" eb="6">
      <t>ナヤ</t>
    </rPh>
    <rPh sb="7" eb="8">
      <t>クラ</t>
    </rPh>
    <rPh sb="8" eb="9">
      <t>コ</t>
    </rPh>
    <phoneticPr fontId="92"/>
  </si>
  <si>
    <t>[3]鉄筋コンクリート</t>
    <rPh sb="3" eb="5">
      <t>テッキン</t>
    </rPh>
    <phoneticPr fontId="101"/>
  </si>
  <si>
    <t>[3]売　却</t>
  </si>
  <si>
    <t>[3]普通自動車（ダンプ式以外）</t>
    <rPh sb="3" eb="5">
      <t>フツウ</t>
    </rPh>
    <rPh sb="5" eb="8">
      <t>ジドウシャ</t>
    </rPh>
    <rPh sb="12" eb="13">
      <t>シキ</t>
    </rPh>
    <rPh sb="13" eb="15">
      <t>イガイ</t>
    </rPh>
    <phoneticPr fontId="67"/>
  </si>
  <si>
    <t>[03]歩行用トラクター</t>
    <rPh sb="4" eb="7">
      <t>ホコウヨウ</t>
    </rPh>
    <phoneticPr fontId="67"/>
  </si>
  <si>
    <t>[08]たい肥等散布機</t>
  </si>
  <si>
    <t>[3]５０馬力以上</t>
  </si>
  <si>
    <t>[3]ゆい・手間替え受け</t>
    <rPh sb="6" eb="8">
      <t>テマ</t>
    </rPh>
    <rPh sb="8" eb="9">
      <t>タイ</t>
    </rPh>
    <rPh sb="10" eb="11">
      <t>ウケ</t>
    </rPh>
    <phoneticPr fontId="101"/>
  </si>
  <si>
    <t>[3]建物費</t>
    <rPh sb="3" eb="5">
      <t>タテモノ</t>
    </rPh>
    <rPh sb="5" eb="6">
      <t>ヒ</t>
    </rPh>
    <phoneticPr fontId="6"/>
  </si>
  <si>
    <t>[3]鉄筋コンクリート</t>
    <rPh sb="3" eb="5">
      <t>テッキン</t>
    </rPh>
    <phoneticPr fontId="5"/>
  </si>
  <si>
    <t>[13]</t>
    <phoneticPr fontId="6"/>
  </si>
  <si>
    <t>[03]歩行用トラクター</t>
    <rPh sb="4" eb="7">
      <t>ホコウヨウ</t>
    </rPh>
    <phoneticPr fontId="26"/>
  </si>
  <si>
    <t>六条大麦</t>
    <rPh sb="0" eb="2">
      <t>ロクジョウ</t>
    </rPh>
    <rPh sb="2" eb="4">
      <t>オオムギ</t>
    </rPh>
    <phoneticPr fontId="6"/>
  </si>
  <si>
    <t>[4]合同・合名・合資会社</t>
    <rPh sb="3" eb="5">
      <t>ゴウドウ</t>
    </rPh>
    <rPh sb="6" eb="8">
      <t>ゴウメイ</t>
    </rPh>
    <rPh sb="9" eb="11">
      <t>ゴウシ</t>
    </rPh>
    <rPh sb="11" eb="13">
      <t>ガイシャ</t>
    </rPh>
    <phoneticPr fontId="6"/>
  </si>
  <si>
    <t>[04]あきたこまち</t>
    <phoneticPr fontId="6"/>
  </si>
  <si>
    <t>[04]春よ恋</t>
    <rPh sb="4" eb="5">
      <t>ハル</t>
    </rPh>
    <rPh sb="6" eb="7">
      <t>コイ</t>
    </rPh>
    <phoneticPr fontId="54"/>
  </si>
  <si>
    <t>[04]ミカモゴールデン</t>
  </si>
  <si>
    <t>[04]ミノリノムギ</t>
  </si>
  <si>
    <t>[04]ハルヒメボシ</t>
  </si>
  <si>
    <t>[04]牡丹そば</t>
    <rPh sb="4" eb="6">
      <t>ボタン</t>
    </rPh>
    <phoneticPr fontId="6"/>
  </si>
  <si>
    <t>[04]リュウホウ</t>
  </si>
  <si>
    <t>[04]シロサツマ</t>
  </si>
  <si>
    <t>[04]エニワ</t>
  </si>
  <si>
    <t>[04]オオミナタネ</t>
    <phoneticPr fontId="6"/>
  </si>
  <si>
    <t>[04]リボルタ</t>
  </si>
  <si>
    <t>[04]Ｎｉ２３</t>
  </si>
  <si>
    <t>[04]作業場</t>
    <rPh sb="4" eb="7">
      <t>サギョウバ</t>
    </rPh>
    <phoneticPr fontId="92"/>
  </si>
  <si>
    <t>[4]コンクリートブロック</t>
  </si>
  <si>
    <t>[2]その他の自動車</t>
    <phoneticPr fontId="5"/>
  </si>
  <si>
    <t>[04]乗用トラクター</t>
    <rPh sb="4" eb="6">
      <t>ジョウヨウ</t>
    </rPh>
    <phoneticPr fontId="67"/>
  </si>
  <si>
    <t>[09]肥料散布機</t>
  </si>
  <si>
    <t>[13]田植機</t>
    <phoneticPr fontId="67"/>
  </si>
  <si>
    <t>[1]２条植</t>
    <rPh sb="5" eb="6">
      <t>ウ</t>
    </rPh>
    <phoneticPr fontId="67"/>
  </si>
  <si>
    <t>[4]手伝い・共同作業受け</t>
    <rPh sb="3" eb="4">
      <t>テ</t>
    </rPh>
    <rPh sb="4" eb="5">
      <t>デン</t>
    </rPh>
    <rPh sb="7" eb="9">
      <t>キョウドウ</t>
    </rPh>
    <rPh sb="9" eb="11">
      <t>サギョウ</t>
    </rPh>
    <rPh sb="11" eb="12">
      <t>ウケ</t>
    </rPh>
    <phoneticPr fontId="101"/>
  </si>
  <si>
    <t>[4]自動車費</t>
    <rPh sb="3" eb="6">
      <t>ジドウシャ</t>
    </rPh>
    <rPh sb="6" eb="7">
      <t>ヒ</t>
    </rPh>
    <phoneticPr fontId="6"/>
  </si>
  <si>
    <t>[2]その他の自動車</t>
    <phoneticPr fontId="5"/>
  </si>
  <si>
    <t>[21]</t>
    <phoneticPr fontId="6"/>
  </si>
  <si>
    <t>[04]乗用トラクター</t>
    <rPh sb="4" eb="6">
      <t>ジョウヨウ</t>
    </rPh>
    <phoneticPr fontId="26"/>
  </si>
  <si>
    <t>[1]２０馬力未満</t>
    <phoneticPr fontId="26"/>
  </si>
  <si>
    <t>[79]はだか麦</t>
    <rPh sb="7" eb="8">
      <t>ムギ</t>
    </rPh>
    <phoneticPr fontId="6"/>
  </si>
  <si>
    <t>はだか麦</t>
    <rPh sb="3" eb="4">
      <t>ムギ</t>
    </rPh>
    <phoneticPr fontId="6"/>
  </si>
  <si>
    <t>[05]ななつぼし</t>
    <phoneticPr fontId="6"/>
  </si>
  <si>
    <t>[05]シロガネコムギ</t>
  </si>
  <si>
    <t>[05]スカイゴールデン</t>
  </si>
  <si>
    <t>[05]カシマムギ</t>
  </si>
  <si>
    <t>[05]ユメサキボシ</t>
  </si>
  <si>
    <t>[05]マンカン</t>
    <phoneticPr fontId="6"/>
  </si>
  <si>
    <t>[05]ユキシズカ</t>
  </si>
  <si>
    <t>[05]こなみずき</t>
  </si>
  <si>
    <t>[05]サクラフブキ</t>
  </si>
  <si>
    <t>[05]キラリボシ</t>
    <phoneticPr fontId="6"/>
  </si>
  <si>
    <t>[05]あままる</t>
  </si>
  <si>
    <t>[05]Ｎｉ２１</t>
  </si>
  <si>
    <t>[08]車庫</t>
    <rPh sb="4" eb="5">
      <t>クルマ</t>
    </rPh>
    <rPh sb="5" eb="6">
      <t>コ</t>
    </rPh>
    <phoneticPr fontId="6"/>
  </si>
  <si>
    <t>[2]普通自動車</t>
    <rPh sb="3" eb="5">
      <t>フツウ</t>
    </rPh>
    <rPh sb="5" eb="8">
      <t>ジドウシャ</t>
    </rPh>
    <phoneticPr fontId="67"/>
  </si>
  <si>
    <t>[12]電熱育苗機</t>
    <rPh sb="4" eb="6">
      <t>デンネツ</t>
    </rPh>
    <rPh sb="6" eb="8">
      <t>イクビョウ</t>
    </rPh>
    <rPh sb="8" eb="9">
      <t>キ</t>
    </rPh>
    <phoneticPr fontId="67"/>
  </si>
  <si>
    <t>[10]総合は種機</t>
  </si>
  <si>
    <t>[14]移植機</t>
    <rPh sb="4" eb="6">
      <t>イショク</t>
    </rPh>
    <phoneticPr fontId="6"/>
  </si>
  <si>
    <t>[2]３～５条植</t>
    <rPh sb="7" eb="8">
      <t>ウエ</t>
    </rPh>
    <phoneticPr fontId="67"/>
  </si>
  <si>
    <t>[5]生産管理費</t>
    <rPh sb="3" eb="5">
      <t>セイサン</t>
    </rPh>
    <rPh sb="5" eb="7">
      <t>カンリ</t>
    </rPh>
    <rPh sb="7" eb="8">
      <t>ヒ</t>
    </rPh>
    <phoneticPr fontId="6"/>
  </si>
  <si>
    <t>[5]鉄骨造</t>
    <rPh sb="3" eb="5">
      <t>テッコツ</t>
    </rPh>
    <phoneticPr fontId="5"/>
  </si>
  <si>
    <t>[22]</t>
    <phoneticPr fontId="6"/>
  </si>
  <si>
    <t>[2]２０～５０馬力未満</t>
    <rPh sb="10" eb="12">
      <t>ミマン</t>
    </rPh>
    <phoneticPr fontId="26"/>
  </si>
  <si>
    <t>[80]米</t>
    <rPh sb="4" eb="5">
      <t>コメ</t>
    </rPh>
    <phoneticPr fontId="6"/>
  </si>
  <si>
    <t>米</t>
    <rPh sb="0" eb="1">
      <t>コメ</t>
    </rPh>
    <phoneticPr fontId="6"/>
  </si>
  <si>
    <t>[06]はえぬき</t>
    <phoneticPr fontId="6"/>
  </si>
  <si>
    <t>[06]チクゴイズミ</t>
  </si>
  <si>
    <t>[06]りょうふう</t>
  </si>
  <si>
    <t>[06]すずかぜ</t>
  </si>
  <si>
    <t>[06]御島裸</t>
    <rPh sb="4" eb="6">
      <t>ミシマ</t>
    </rPh>
    <rPh sb="6" eb="7">
      <t>ハダカ</t>
    </rPh>
    <phoneticPr fontId="54"/>
  </si>
  <si>
    <t>[06]でわかおり</t>
    <phoneticPr fontId="6"/>
  </si>
  <si>
    <t>[06]里のほほえみ</t>
    <phoneticPr fontId="6"/>
  </si>
  <si>
    <t>[06]コナホマレ</t>
    <phoneticPr fontId="6"/>
  </si>
  <si>
    <t>[06]アーリースターチ</t>
    <phoneticPr fontId="6"/>
  </si>
  <si>
    <t>[51]その他１</t>
    <rPh sb="6" eb="7">
      <t>タ</t>
    </rPh>
    <phoneticPr fontId="6"/>
  </si>
  <si>
    <t>[06]かちまる</t>
    <phoneticPr fontId="6"/>
  </si>
  <si>
    <t>[06]ＮｉＨ２５</t>
    <phoneticPr fontId="6"/>
  </si>
  <si>
    <t>[11]ライスセンター</t>
    <phoneticPr fontId="6"/>
  </si>
  <si>
    <t>[6]木造モルタル</t>
    <rPh sb="3" eb="5">
      <t>モクゾウ</t>
    </rPh>
    <phoneticPr fontId="101"/>
  </si>
  <si>
    <t>[3]自動二輪・三輪</t>
    <rPh sb="3" eb="5">
      <t>ジドウ</t>
    </rPh>
    <rPh sb="5" eb="7">
      <t>ニリン</t>
    </rPh>
    <rPh sb="8" eb="10">
      <t>サンリン</t>
    </rPh>
    <phoneticPr fontId="67"/>
  </si>
  <si>
    <t>[13]田植機</t>
    <rPh sb="4" eb="7">
      <t>タウエキ</t>
    </rPh>
    <phoneticPr fontId="67"/>
  </si>
  <si>
    <t>[16]中耕除草機</t>
  </si>
  <si>
    <t>[14]移植機</t>
    <rPh sb="4" eb="6">
      <t>イショク</t>
    </rPh>
    <rPh sb="6" eb="7">
      <t>キ</t>
    </rPh>
    <phoneticPr fontId="6"/>
  </si>
  <si>
    <t>[3]６条植以上</t>
    <rPh sb="5" eb="6">
      <t>ウエ</t>
    </rPh>
    <rPh sb="6" eb="8">
      <t>イジョウ</t>
    </rPh>
    <phoneticPr fontId="67"/>
  </si>
  <si>
    <t>[6]木造モルタル</t>
    <rPh sb="3" eb="5">
      <t>モクゾウ</t>
    </rPh>
    <phoneticPr fontId="5"/>
  </si>
  <si>
    <t>[23]</t>
    <phoneticPr fontId="6"/>
  </si>
  <si>
    <t>[3]５０馬力以上</t>
    <phoneticPr fontId="26"/>
  </si>
  <si>
    <t>[81]小麦</t>
    <rPh sb="4" eb="6">
      <t>コムギ</t>
    </rPh>
    <phoneticPr fontId="6"/>
  </si>
  <si>
    <t>小麦</t>
    <rPh sb="0" eb="2">
      <t>コムギ</t>
    </rPh>
    <phoneticPr fontId="6"/>
  </si>
  <si>
    <t>[07]キヌヒカリ</t>
    <phoneticPr fontId="6"/>
  </si>
  <si>
    <t>[07]農林６１号</t>
    <rPh sb="4" eb="6">
      <t>ノウリン</t>
    </rPh>
    <rPh sb="8" eb="9">
      <t>ゴウ</t>
    </rPh>
    <phoneticPr fontId="54"/>
  </si>
  <si>
    <t>[07]ミハルゴールデン</t>
  </si>
  <si>
    <t>[07]さやかぜ</t>
  </si>
  <si>
    <t>[07]ヒノデハダカ</t>
  </si>
  <si>
    <t>[07]常陸秋そば</t>
    <rPh sb="4" eb="6">
      <t>ヒタチ</t>
    </rPh>
    <rPh sb="6" eb="7">
      <t>アキ</t>
    </rPh>
    <phoneticPr fontId="6"/>
  </si>
  <si>
    <t>[07]タチナガハ</t>
  </si>
  <si>
    <t>[07]ミナミユタカ</t>
  </si>
  <si>
    <t>[07]ムサマル</t>
  </si>
  <si>
    <t>[52]その他２</t>
    <rPh sb="6" eb="7">
      <t>タ</t>
    </rPh>
    <phoneticPr fontId="6"/>
  </si>
  <si>
    <t>[07]ラテール</t>
  </si>
  <si>
    <t>[07]Ｎｉ２８</t>
  </si>
  <si>
    <t>[12]育苗ハウス</t>
    <rPh sb="4" eb="6">
      <t>イクビョウ</t>
    </rPh>
    <phoneticPr fontId="6"/>
  </si>
  <si>
    <t>[8]その他</t>
    <rPh sb="5" eb="6">
      <t>タ</t>
    </rPh>
    <phoneticPr fontId="101"/>
  </si>
  <si>
    <t>[15]揚水ポンプ</t>
    <rPh sb="4" eb="6">
      <t>ヨウスイ</t>
    </rPh>
    <phoneticPr fontId="67"/>
  </si>
  <si>
    <t>[17]動力噴霧機</t>
  </si>
  <si>
    <t>[20]自脱型コンバイン</t>
    <phoneticPr fontId="6"/>
  </si>
  <si>
    <t>[1]３条刈以下</t>
    <phoneticPr fontId="6"/>
  </si>
  <si>
    <t>[01]住　宅</t>
  </si>
  <si>
    <t>[8]その他</t>
    <rPh sb="5" eb="6">
      <t>タ</t>
    </rPh>
    <phoneticPr fontId="6"/>
  </si>
  <si>
    <t>[82]大豆</t>
    <rPh sb="4" eb="6">
      <t>ダイズ</t>
    </rPh>
    <phoneticPr fontId="6"/>
  </si>
  <si>
    <t>大豆</t>
    <rPh sb="0" eb="2">
      <t>ダイズ</t>
    </rPh>
    <phoneticPr fontId="6"/>
  </si>
  <si>
    <t>[08]まっしぐら</t>
    <phoneticPr fontId="6"/>
  </si>
  <si>
    <t>[08]きぬあかり</t>
  </si>
  <si>
    <t>[08]アサカゴールド</t>
  </si>
  <si>
    <t>[08]セツゲンモチ</t>
  </si>
  <si>
    <t>[08]もっちりぼし</t>
  </si>
  <si>
    <t>[08]信州大そば</t>
    <rPh sb="4" eb="6">
      <t>シンシュウ</t>
    </rPh>
    <rPh sb="6" eb="7">
      <t>オオ</t>
    </rPh>
    <phoneticPr fontId="6"/>
  </si>
  <si>
    <t>[08]おおすず</t>
  </si>
  <si>
    <t>[08]アリアケイモ</t>
  </si>
  <si>
    <t>[08]農林１号</t>
    <rPh sb="4" eb="6">
      <t>ノウリン</t>
    </rPh>
    <rPh sb="7" eb="8">
      <t>ゴウ</t>
    </rPh>
    <phoneticPr fontId="6"/>
  </si>
  <si>
    <t>[53]その他３</t>
    <rPh sb="6" eb="7">
      <t>タ</t>
    </rPh>
    <phoneticPr fontId="6"/>
  </si>
  <si>
    <t>[08]クリスター</t>
  </si>
  <si>
    <t>[08]Ｎｉ１７</t>
  </si>
  <si>
    <t>[13]その他の建築物</t>
    <rPh sb="6" eb="7">
      <t>タ</t>
    </rPh>
    <rPh sb="8" eb="11">
      <t>ケンチクブツ</t>
    </rPh>
    <phoneticPr fontId="6"/>
  </si>
  <si>
    <t>[02]事務所</t>
    <phoneticPr fontId="5"/>
  </si>
  <si>
    <t>[17]動力噴霧機</t>
    <rPh sb="4" eb="6">
      <t>ドウリョク</t>
    </rPh>
    <rPh sb="6" eb="9">
      <t>フンムキ</t>
    </rPh>
    <phoneticPr fontId="67"/>
  </si>
  <si>
    <t>[18]動力散粉機</t>
  </si>
  <si>
    <t>[2]４条刈以上</t>
    <phoneticPr fontId="6"/>
  </si>
  <si>
    <t>[83]原料用かんしょ</t>
    <rPh sb="4" eb="7">
      <t>ゲンリョウヨウ</t>
    </rPh>
    <phoneticPr fontId="6"/>
  </si>
  <si>
    <t>原料用かんしょ</t>
    <rPh sb="0" eb="3">
      <t>ゲンリョウヨウ</t>
    </rPh>
    <phoneticPr fontId="6"/>
  </si>
  <si>
    <t>[09]あさひの夢</t>
    <phoneticPr fontId="6"/>
  </si>
  <si>
    <t>[09]キタノカオリ</t>
  </si>
  <si>
    <t>[09]とちのいぶき</t>
  </si>
  <si>
    <t>[09]べんけいむぎ</t>
  </si>
  <si>
    <t>[09]ダイシモチ</t>
  </si>
  <si>
    <t>[09]最上早生</t>
    <rPh sb="4" eb="6">
      <t>モガミ</t>
    </rPh>
    <rPh sb="6" eb="8">
      <t>ワセ</t>
    </rPh>
    <phoneticPr fontId="6"/>
  </si>
  <si>
    <t>[09]ミヤギシロメ</t>
  </si>
  <si>
    <t>[09]ベニアカリ</t>
  </si>
  <si>
    <t>[54]その他４</t>
    <rPh sb="6" eb="7">
      <t>タ</t>
    </rPh>
    <phoneticPr fontId="6"/>
  </si>
  <si>
    <t>[09]ゆきまる</t>
  </si>
  <si>
    <t>[09]Ｎｉ１５</t>
  </si>
  <si>
    <t>構築物</t>
    <rPh sb="0" eb="3">
      <t>コウチクブツ</t>
    </rPh>
    <phoneticPr fontId="5"/>
  </si>
  <si>
    <t>[14]稲架</t>
    <rPh sb="4" eb="5">
      <t>イナ</t>
    </rPh>
    <phoneticPr fontId="6"/>
  </si>
  <si>
    <t>[18]動力散粉機</t>
    <rPh sb="4" eb="6">
      <t>ドウリョク</t>
    </rPh>
    <rPh sb="6" eb="7">
      <t>サン</t>
    </rPh>
    <rPh sb="7" eb="8">
      <t>プン</t>
    </rPh>
    <rPh sb="8" eb="9">
      <t>キ</t>
    </rPh>
    <phoneticPr fontId="67"/>
  </si>
  <si>
    <t>[20]自脱型コンバイン</t>
  </si>
  <si>
    <t>[24]かんしょ収穫機</t>
    <rPh sb="8" eb="11">
      <t>シュウカクキ</t>
    </rPh>
    <phoneticPr fontId="6"/>
  </si>
  <si>
    <t>[25]ばれいしょ収穫機</t>
    <rPh sb="9" eb="12">
      <t>シュウカクキ</t>
    </rPh>
    <phoneticPr fontId="6"/>
  </si>
  <si>
    <t>[31]乾燥機米</t>
    <rPh sb="7" eb="8">
      <t>コメ</t>
    </rPh>
    <phoneticPr fontId="67"/>
  </si>
  <si>
    <t>[1]静置式</t>
    <rPh sb="3" eb="4">
      <t>シズカ</t>
    </rPh>
    <rPh sb="4" eb="5">
      <t>オ</t>
    </rPh>
    <rPh sb="5" eb="6">
      <t>シキ</t>
    </rPh>
    <phoneticPr fontId="67"/>
  </si>
  <si>
    <t>[84]原料用ばれいしょ</t>
    <phoneticPr fontId="6"/>
  </si>
  <si>
    <t>原料用ばれいしょ</t>
  </si>
  <si>
    <t>[10]ゆめぴりか</t>
    <phoneticPr fontId="6"/>
  </si>
  <si>
    <t>[10]あやひかり</t>
  </si>
  <si>
    <t>[10]はるか二条</t>
    <rPh sb="7" eb="9">
      <t>ニジョウ</t>
    </rPh>
    <phoneticPr fontId="54"/>
  </si>
  <si>
    <t>[10]マサカドムギ</t>
  </si>
  <si>
    <t>[10]サヌキハダカ</t>
  </si>
  <si>
    <t>[10]鹿屋在来</t>
    <rPh sb="4" eb="6">
      <t>カノヤ</t>
    </rPh>
    <rPh sb="6" eb="8">
      <t>ザイライ</t>
    </rPh>
    <phoneticPr fontId="6"/>
  </si>
  <si>
    <t>[10]タンレイ</t>
  </si>
  <si>
    <t>[10]ホッカイコガネ</t>
  </si>
  <si>
    <t>[55]その他５</t>
    <rPh sb="6" eb="7">
      <t>タ</t>
    </rPh>
    <phoneticPr fontId="6"/>
  </si>
  <si>
    <t>[10]きたさやか</t>
  </si>
  <si>
    <t>[10]Ｎｉ２６</t>
  </si>
  <si>
    <t>[15]コンクリートけい畔</t>
    <rPh sb="12" eb="13">
      <t>ハン</t>
    </rPh>
    <phoneticPr fontId="6"/>
  </si>
  <si>
    <t>[19]バインダー</t>
    <phoneticPr fontId="6"/>
  </si>
  <si>
    <t>[21]普通型コンバイン</t>
  </si>
  <si>
    <t>[54]トレーラー</t>
  </si>
  <si>
    <t>[27]てんさい収穫機</t>
    <rPh sb="8" eb="10">
      <t>シュウカク</t>
    </rPh>
    <rPh sb="10" eb="11">
      <t>キ</t>
    </rPh>
    <phoneticPr fontId="6"/>
  </si>
  <si>
    <t>[28]さとうきび収穫機</t>
    <rPh sb="9" eb="11">
      <t>シュウカク</t>
    </rPh>
    <rPh sb="11" eb="12">
      <t>キ</t>
    </rPh>
    <phoneticPr fontId="6"/>
  </si>
  <si>
    <t>[2]循環式</t>
    <rPh sb="3" eb="6">
      <t>ジュンカンシキ</t>
    </rPh>
    <phoneticPr fontId="67"/>
  </si>
  <si>
    <t>[12]電熱育苗機</t>
    <rPh sb="4" eb="6">
      <t>デンネツ</t>
    </rPh>
    <rPh sb="6" eb="8">
      <t>イクビョウ</t>
    </rPh>
    <rPh sb="8" eb="9">
      <t>キ</t>
    </rPh>
    <phoneticPr fontId="26"/>
  </si>
  <si>
    <t>[85]さとうきび</t>
    <phoneticPr fontId="6"/>
  </si>
  <si>
    <t>さとうきび</t>
  </si>
  <si>
    <t>[11]こしいぶき</t>
    <phoneticPr fontId="6"/>
  </si>
  <si>
    <t>[11]ミナミノカオリ</t>
  </si>
  <si>
    <t>[51]その他１</t>
    <rPh sb="6" eb="7">
      <t>タ</t>
    </rPh>
    <phoneticPr fontId="54"/>
  </si>
  <si>
    <t>[11]トヨアカリ</t>
  </si>
  <si>
    <t>[11]みつぼし</t>
  </si>
  <si>
    <t>[11]ＮｉＴｎ２０</t>
    <phoneticPr fontId="6"/>
  </si>
  <si>
    <t>[16]暗きょ排水施設</t>
    <rPh sb="4" eb="5">
      <t>アン</t>
    </rPh>
    <rPh sb="7" eb="9">
      <t>ハイスイ</t>
    </rPh>
    <rPh sb="9" eb="11">
      <t>シセツ</t>
    </rPh>
    <phoneticPr fontId="6"/>
  </si>
  <si>
    <t>[20]自脱型コンバイン</t>
    <rPh sb="4" eb="5">
      <t>ジ</t>
    </rPh>
    <rPh sb="5" eb="6">
      <t>ダツ</t>
    </rPh>
    <rPh sb="6" eb="7">
      <t>ガタ</t>
    </rPh>
    <phoneticPr fontId="67"/>
  </si>
  <si>
    <t>[29]脱穀機</t>
  </si>
  <si>
    <t>[22]そば収穫機</t>
    <rPh sb="6" eb="9">
      <t>シュウカクキ</t>
    </rPh>
    <phoneticPr fontId="6"/>
  </si>
  <si>
    <t>[23]大豆収穫機</t>
    <rPh sb="4" eb="6">
      <t>ダイズ</t>
    </rPh>
    <rPh sb="6" eb="9">
      <t>シュウカクキ</t>
    </rPh>
    <phoneticPr fontId="6"/>
  </si>
  <si>
    <t>[56]その他の農機具</t>
  </si>
  <si>
    <t>[26]なたね収穫機</t>
    <rPh sb="7" eb="10">
      <t>シュウカクキ</t>
    </rPh>
    <phoneticPr fontId="6"/>
  </si>
  <si>
    <t>[30]きび脱葉機</t>
    <rPh sb="6" eb="7">
      <t>ダツ</t>
    </rPh>
    <rPh sb="7" eb="8">
      <t>ヨウ</t>
    </rPh>
    <rPh sb="8" eb="9">
      <t>キ</t>
    </rPh>
    <phoneticPr fontId="6"/>
  </si>
  <si>
    <t>[56]その他の農機具</t>
    <phoneticPr fontId="67"/>
  </si>
  <si>
    <t>[1]その他・耐用年数３年</t>
    <rPh sb="5" eb="6">
      <t>タ</t>
    </rPh>
    <rPh sb="7" eb="9">
      <t>タイヨウ</t>
    </rPh>
    <rPh sb="9" eb="11">
      <t>ネンスウ</t>
    </rPh>
    <rPh sb="12" eb="13">
      <t>ネン</t>
    </rPh>
    <phoneticPr fontId="84"/>
  </si>
  <si>
    <t>[13]田植機</t>
    <rPh sb="4" eb="7">
      <t>タウエキ</t>
    </rPh>
    <phoneticPr fontId="26"/>
  </si>
  <si>
    <t>[1]２条植</t>
    <rPh sb="5" eb="6">
      <t>ウ</t>
    </rPh>
    <phoneticPr fontId="26"/>
  </si>
  <si>
    <t>[86]てんさい</t>
    <phoneticPr fontId="6"/>
  </si>
  <si>
    <t>てんさい</t>
  </si>
  <si>
    <t>[12]つや姫</t>
    <phoneticPr fontId="6"/>
  </si>
  <si>
    <t>[12]イワイノダイチ</t>
  </si>
  <si>
    <t>[52]その他２</t>
    <rPh sb="6" eb="7">
      <t>タ</t>
    </rPh>
    <phoneticPr fontId="54"/>
  </si>
  <si>
    <t>[12]ナツフブキ</t>
  </si>
  <si>
    <t>[12]えぞまる</t>
  </si>
  <si>
    <t>[12]Ｆ１６１</t>
    <phoneticPr fontId="6"/>
  </si>
  <si>
    <t>[17]客土</t>
    <rPh sb="4" eb="5">
      <t>キャク</t>
    </rPh>
    <rPh sb="5" eb="6">
      <t>ツチ</t>
    </rPh>
    <phoneticPr fontId="6"/>
  </si>
  <si>
    <t>[21]普通型コンバイン</t>
    <rPh sb="4" eb="7">
      <t>フツウガタ</t>
    </rPh>
    <phoneticPr fontId="67"/>
  </si>
  <si>
    <t>[31]乾燥機</t>
  </si>
  <si>
    <t>[57]パソコン</t>
  </si>
  <si>
    <t>[2]その他・耐用年数４年</t>
    <rPh sb="5" eb="6">
      <t>タ</t>
    </rPh>
    <rPh sb="7" eb="9">
      <t>タイヨウ</t>
    </rPh>
    <rPh sb="9" eb="11">
      <t>ネンスウ</t>
    </rPh>
    <rPh sb="12" eb="13">
      <t>ネン</t>
    </rPh>
    <phoneticPr fontId="84"/>
  </si>
  <si>
    <t>[2]３～５条植</t>
    <rPh sb="7" eb="8">
      <t>ウエ</t>
    </rPh>
    <phoneticPr fontId="26"/>
  </si>
  <si>
    <t>[13]めんこいな</t>
    <phoneticPr fontId="6"/>
  </si>
  <si>
    <t>[13]はるきらり</t>
  </si>
  <si>
    <t>[53]その他３</t>
    <rPh sb="6" eb="7">
      <t>タ</t>
    </rPh>
    <phoneticPr fontId="54"/>
  </si>
  <si>
    <t>[13]ＫＮ００－１１４</t>
    <phoneticPr fontId="6"/>
  </si>
  <si>
    <t>[18]作業道</t>
    <rPh sb="4" eb="7">
      <t>サギョウドウ</t>
    </rPh>
    <phoneticPr fontId="6"/>
  </si>
  <si>
    <t>[29]脱穀機</t>
    <rPh sb="4" eb="7">
      <t>ダッコクキ</t>
    </rPh>
    <phoneticPr fontId="6"/>
  </si>
  <si>
    <t>[58]その他の生産管理機器</t>
  </si>
  <si>
    <t>[3]その他・耐用年数５年</t>
    <rPh sb="5" eb="6">
      <t>タ</t>
    </rPh>
    <rPh sb="7" eb="9">
      <t>タイヨウ</t>
    </rPh>
    <rPh sb="9" eb="11">
      <t>ネンスウ</t>
    </rPh>
    <rPh sb="12" eb="13">
      <t>ネン</t>
    </rPh>
    <phoneticPr fontId="84"/>
  </si>
  <si>
    <t>[3]６条植以上</t>
    <rPh sb="5" eb="6">
      <t>ウエ</t>
    </rPh>
    <rPh sb="6" eb="8">
      <t>イジョウ</t>
    </rPh>
    <phoneticPr fontId="26"/>
  </si>
  <si>
    <t>[14]にこまる</t>
    <phoneticPr fontId="6"/>
  </si>
  <si>
    <t>[14]ニシノカオリ</t>
  </si>
  <si>
    <t>[54]その他４</t>
    <rPh sb="6" eb="7">
      <t>タ</t>
    </rPh>
    <phoneticPr fontId="54"/>
  </si>
  <si>
    <t>[19]用水路</t>
    <rPh sb="4" eb="7">
      <t>ヨウスイロ</t>
    </rPh>
    <phoneticPr fontId="6"/>
  </si>
  <si>
    <t>[31]乾燥機</t>
    <rPh sb="4" eb="7">
      <t>カンソウキ</t>
    </rPh>
    <phoneticPr fontId="6"/>
  </si>
  <si>
    <t>[4]その他・耐用年数６年</t>
    <rPh sb="5" eb="6">
      <t>タ</t>
    </rPh>
    <rPh sb="7" eb="9">
      <t>タイヨウ</t>
    </rPh>
    <rPh sb="9" eb="11">
      <t>ネンスウ</t>
    </rPh>
    <rPh sb="12" eb="13">
      <t>ネン</t>
    </rPh>
    <phoneticPr fontId="84"/>
  </si>
  <si>
    <t>[15]日本晴</t>
    <phoneticPr fontId="6"/>
  </si>
  <si>
    <t>[15]ゆきちから</t>
  </si>
  <si>
    <t>[55]その他５</t>
    <rPh sb="6" eb="7">
      <t>タ</t>
    </rPh>
    <phoneticPr fontId="54"/>
  </si>
  <si>
    <t>[25]たい肥盤</t>
    <rPh sb="6" eb="7">
      <t>ヒ</t>
    </rPh>
    <rPh sb="7" eb="8">
      <t>バン</t>
    </rPh>
    <phoneticPr fontId="6"/>
  </si>
  <si>
    <t>[03]納屋・倉庫</t>
    <rPh sb="4" eb="6">
      <t>ナヤ</t>
    </rPh>
    <rPh sb="7" eb="9">
      <t>ソウコ</t>
    </rPh>
    <phoneticPr fontId="5"/>
  </si>
  <si>
    <t>[32]もみすり機</t>
    <rPh sb="8" eb="9">
      <t>キ</t>
    </rPh>
    <phoneticPr fontId="6"/>
  </si>
  <si>
    <t>[5]その他・耐用年数７年</t>
    <rPh sb="5" eb="6">
      <t>タ</t>
    </rPh>
    <rPh sb="7" eb="9">
      <t>タイヨウ</t>
    </rPh>
    <rPh sb="9" eb="11">
      <t>ネンスウ</t>
    </rPh>
    <rPh sb="12" eb="13">
      <t>ネン</t>
    </rPh>
    <phoneticPr fontId="84"/>
  </si>
  <si>
    <t>[15]揚水ポンプ</t>
    <rPh sb="4" eb="6">
      <t>ヨウスイ</t>
    </rPh>
    <phoneticPr fontId="26"/>
  </si>
  <si>
    <t>[16]ゆきん子舞</t>
    <phoneticPr fontId="6"/>
  </si>
  <si>
    <t>[16]ふくさやか</t>
  </si>
  <si>
    <t>[31]その他の構築物</t>
    <phoneticPr fontId="6"/>
  </si>
  <si>
    <t>[56]その他の農機具</t>
    <rPh sb="6" eb="7">
      <t>タ</t>
    </rPh>
    <rPh sb="8" eb="11">
      <t>ノウキグ</t>
    </rPh>
    <phoneticPr fontId="6"/>
  </si>
  <si>
    <t>表紙等で参照する対象品目名</t>
    <rPh sb="0" eb="2">
      <t>ヒョウシ</t>
    </rPh>
    <rPh sb="2" eb="3">
      <t>トウ</t>
    </rPh>
    <rPh sb="4" eb="6">
      <t>サンショウ</t>
    </rPh>
    <rPh sb="8" eb="10">
      <t>タイショウ</t>
    </rPh>
    <rPh sb="10" eb="12">
      <t>ヒンモク</t>
    </rPh>
    <rPh sb="12" eb="13">
      <t>メイ</t>
    </rPh>
    <phoneticPr fontId="6"/>
  </si>
  <si>
    <t>[17]ゆめおばこ</t>
    <phoneticPr fontId="6"/>
  </si>
  <si>
    <t>[17]さぬきの夢2009</t>
    <rPh sb="8" eb="9">
      <t>ユメ</t>
    </rPh>
    <phoneticPr fontId="54"/>
  </si>
  <si>
    <t>[57]パソコン</t>
    <phoneticPr fontId="6"/>
  </si>
  <si>
    <t>[17]動力噴霧機</t>
    <rPh sb="4" eb="6">
      <t>ドウリョク</t>
    </rPh>
    <rPh sb="6" eb="9">
      <t>フンムキ</t>
    </rPh>
    <phoneticPr fontId="26"/>
  </si>
  <si>
    <t>[18]あきさかり</t>
    <phoneticPr fontId="6"/>
  </si>
  <si>
    <t>[18]つるぴかり</t>
  </si>
  <si>
    <t>[58]その他の生産管理機器</t>
    <rPh sb="6" eb="7">
      <t>タ</t>
    </rPh>
    <rPh sb="8" eb="10">
      <t>セイサン</t>
    </rPh>
    <rPh sb="10" eb="12">
      <t>カンリ</t>
    </rPh>
    <rPh sb="12" eb="14">
      <t>キキ</t>
    </rPh>
    <phoneticPr fontId="6"/>
  </si>
  <si>
    <t>[18]動力散粉機</t>
    <rPh sb="4" eb="6">
      <t>ドウリョク</t>
    </rPh>
    <rPh sb="6" eb="7">
      <t>サン</t>
    </rPh>
    <rPh sb="7" eb="8">
      <t>プン</t>
    </rPh>
    <rPh sb="8" eb="9">
      <t>キ</t>
    </rPh>
    <phoneticPr fontId="26"/>
  </si>
  <si>
    <t>主産物単位数量（kg）</t>
    <rPh sb="0" eb="3">
      <t>シュサンブツ</t>
    </rPh>
    <rPh sb="3" eb="5">
      <t>タンイ</t>
    </rPh>
    <rPh sb="5" eb="7">
      <t>スウリョウ</t>
    </rPh>
    <phoneticPr fontId="6"/>
  </si>
  <si>
    <t>[19]秋の詩</t>
    <phoneticPr fontId="6"/>
  </si>
  <si>
    <t>[19]きぬの波</t>
    <rPh sb="7" eb="8">
      <t>ナミ</t>
    </rPh>
    <phoneticPr fontId="54"/>
  </si>
  <si>
    <t>[08]たい肥等散布機</t>
    <phoneticPr fontId="6"/>
  </si>
  <si>
    <t>[19]バインダー</t>
  </si>
  <si>
    <t>[20]あきだわら</t>
    <phoneticPr fontId="6"/>
  </si>
  <si>
    <t>[20]シラネコムギ</t>
  </si>
  <si>
    <t>[09]肥料散布機</t>
    <phoneticPr fontId="6"/>
  </si>
  <si>
    <t>[20]自脱型コンバイン</t>
    <rPh sb="4" eb="5">
      <t>ジ</t>
    </rPh>
    <rPh sb="5" eb="6">
      <t>ダツ</t>
    </rPh>
    <rPh sb="6" eb="7">
      <t>ガタ</t>
    </rPh>
    <phoneticPr fontId="26"/>
  </si>
  <si>
    <t>[1]３条刈以下</t>
  </si>
  <si>
    <t>[21]萌えみのり</t>
    <phoneticPr fontId="6"/>
  </si>
  <si>
    <t>[21]ハルユタカ</t>
  </si>
  <si>
    <t>[10]総合は種機</t>
    <phoneticPr fontId="6"/>
  </si>
  <si>
    <t>[2]４条刈以上</t>
  </si>
  <si>
    <t>[22]みつひかり</t>
    <phoneticPr fontId="6"/>
  </si>
  <si>
    <t>[22]タマイズミ</t>
  </si>
  <si>
    <t>[04]作業場</t>
    <phoneticPr fontId="5"/>
  </si>
  <si>
    <t>[21]普通型コンバイン</t>
    <rPh sb="4" eb="7">
      <t>フツウガタ</t>
    </rPh>
    <phoneticPr fontId="26"/>
  </si>
  <si>
    <t>[23]どんぴしゃり</t>
    <phoneticPr fontId="6"/>
  </si>
  <si>
    <t>[24]ふくまる</t>
    <phoneticPr fontId="6"/>
  </si>
  <si>
    <t>[23]大豆収穫機</t>
    <rPh sb="4" eb="6">
      <t>ダイズ</t>
    </rPh>
    <rPh sb="6" eb="8">
      <t>シュウカク</t>
    </rPh>
    <rPh sb="8" eb="9">
      <t>キ</t>
    </rPh>
    <phoneticPr fontId="3"/>
  </si>
  <si>
    <t>[25]ゆめひたち</t>
    <phoneticPr fontId="6"/>
  </si>
  <si>
    <t>[16]中耕除草機</t>
    <phoneticPr fontId="6"/>
  </si>
  <si>
    <t>[26]どんとこい</t>
    <phoneticPr fontId="6"/>
  </si>
  <si>
    <t>[27]ほしまる</t>
    <phoneticPr fontId="6"/>
  </si>
  <si>
    <t>[28]大地の星</t>
    <phoneticPr fontId="6"/>
  </si>
  <si>
    <t>[19]バインダー</t>
    <phoneticPr fontId="6"/>
  </si>
  <si>
    <t>[29]そらゆき</t>
    <phoneticPr fontId="6"/>
  </si>
  <si>
    <t>[08]車庫</t>
    <phoneticPr fontId="6"/>
  </si>
  <si>
    <t>[08]車　庫</t>
    <rPh sb="4" eb="5">
      <t>クルマ</t>
    </rPh>
    <rPh sb="6" eb="7">
      <t>コ</t>
    </rPh>
    <phoneticPr fontId="6"/>
  </si>
  <si>
    <t>[30]つくばＳＤシリーズ</t>
    <phoneticPr fontId="6"/>
  </si>
  <si>
    <t>[29]脱穀機</t>
    <rPh sb="4" eb="7">
      <t>ダッコクキ</t>
    </rPh>
    <phoneticPr fontId="54"/>
  </si>
  <si>
    <t>[31]こいもみじ</t>
    <phoneticPr fontId="6"/>
  </si>
  <si>
    <t>[32]出羽きらり</t>
    <phoneticPr fontId="6"/>
  </si>
  <si>
    <t>[31]乾燥機</t>
    <rPh sb="4" eb="7">
      <t>カンソウキ</t>
    </rPh>
    <phoneticPr fontId="54"/>
  </si>
  <si>
    <t>[1]静置式</t>
    <rPh sb="3" eb="4">
      <t>シズカ</t>
    </rPh>
    <rPh sb="4" eb="5">
      <t>オ</t>
    </rPh>
    <rPh sb="5" eb="6">
      <t>シキ</t>
    </rPh>
    <phoneticPr fontId="26"/>
  </si>
  <si>
    <t>[33]ほしじるし</t>
    <phoneticPr fontId="6"/>
  </si>
  <si>
    <t>[2]循環式</t>
    <rPh sb="3" eb="6">
      <t>ジュンカンシキ</t>
    </rPh>
    <phoneticPr fontId="26"/>
  </si>
  <si>
    <t>[34]やまだわら</t>
    <phoneticPr fontId="6"/>
  </si>
  <si>
    <t>[35]トドロキワセ</t>
    <phoneticPr fontId="6"/>
  </si>
  <si>
    <t>[32]もみすり機</t>
    <rPh sb="8" eb="9">
      <t>キ</t>
    </rPh>
    <phoneticPr fontId="54"/>
  </si>
  <si>
    <t>[36]げんきまる</t>
    <phoneticPr fontId="6"/>
  </si>
  <si>
    <t>[11]ライスセンター</t>
    <phoneticPr fontId="5"/>
  </si>
  <si>
    <t>[11]ライスセンター</t>
  </si>
  <si>
    <t>[37]ぎんさん</t>
    <phoneticPr fontId="6"/>
  </si>
  <si>
    <t>[1]耐用年数３年</t>
    <rPh sb="3" eb="5">
      <t>タイヨウ</t>
    </rPh>
    <rPh sb="5" eb="7">
      <t>ネンスウ</t>
    </rPh>
    <rPh sb="8" eb="9">
      <t>ネン</t>
    </rPh>
    <phoneticPr fontId="67"/>
  </si>
  <si>
    <t>[38]ちほみのり</t>
    <phoneticPr fontId="6"/>
  </si>
  <si>
    <t>[2]耐用年数４年</t>
    <rPh sb="3" eb="5">
      <t>タイヨウ</t>
    </rPh>
    <rPh sb="5" eb="7">
      <t>ネンスウ</t>
    </rPh>
    <rPh sb="8" eb="9">
      <t>ネン</t>
    </rPh>
    <phoneticPr fontId="67"/>
  </si>
  <si>
    <t>[39]秋田６３号</t>
    <phoneticPr fontId="6"/>
  </si>
  <si>
    <t>[31]乾燥機</t>
    <phoneticPr fontId="6"/>
  </si>
  <si>
    <t>[4]コンクリートブロック</t>
    <phoneticPr fontId="6"/>
  </si>
  <si>
    <t>[3]耐用年数５年</t>
    <rPh sb="3" eb="5">
      <t>タイヨウ</t>
    </rPh>
    <rPh sb="5" eb="7">
      <t>ネンスウ</t>
    </rPh>
    <rPh sb="8" eb="9">
      <t>ネン</t>
    </rPh>
    <phoneticPr fontId="67"/>
  </si>
  <si>
    <t>[40]ミズホチカラ</t>
    <phoneticPr fontId="6"/>
  </si>
  <si>
    <t>[4]耐用年数６年</t>
    <rPh sb="3" eb="5">
      <t>タイヨウ</t>
    </rPh>
    <rPh sb="5" eb="7">
      <t>ネンスウ</t>
    </rPh>
    <rPh sb="8" eb="9">
      <t>ネン</t>
    </rPh>
    <phoneticPr fontId="67"/>
  </si>
  <si>
    <t>[41]はるみ</t>
    <phoneticPr fontId="6"/>
  </si>
  <si>
    <t>[5]耐用年数７年</t>
    <rPh sb="3" eb="5">
      <t>タイヨウ</t>
    </rPh>
    <rPh sb="5" eb="7">
      <t>ネンスウ</t>
    </rPh>
    <rPh sb="8" eb="9">
      <t>ネン</t>
    </rPh>
    <phoneticPr fontId="67"/>
  </si>
  <si>
    <t>[42]夢ごこち</t>
    <phoneticPr fontId="6"/>
  </si>
  <si>
    <t>[57]パソコン</t>
    <phoneticPr fontId="6"/>
  </si>
  <si>
    <t>[43]しきゆたか
（ハイブリッドとうごうシリーズ）</t>
    <phoneticPr fontId="6"/>
  </si>
  <si>
    <t>[12]育苗ハウス</t>
    <rPh sb="4" eb="6">
      <t>イクビョウ</t>
    </rPh>
    <phoneticPr fontId="54"/>
  </si>
  <si>
    <t>[44]つきあかり</t>
    <phoneticPr fontId="6"/>
  </si>
  <si>
    <t>注：乾燥機は米のみ静置式・循環式に分類。麦類・そば・大豆・なたねは「その他」とする。</t>
    <rPh sb="0" eb="1">
      <t>チュウ</t>
    </rPh>
    <rPh sb="2" eb="5">
      <t>カンソウキ</t>
    </rPh>
    <rPh sb="6" eb="7">
      <t>コメ</t>
    </rPh>
    <rPh sb="9" eb="11">
      <t>セイチ</t>
    </rPh>
    <rPh sb="11" eb="12">
      <t>シキ</t>
    </rPh>
    <rPh sb="13" eb="15">
      <t>ジュンカン</t>
    </rPh>
    <rPh sb="15" eb="16">
      <t>シキ</t>
    </rPh>
    <rPh sb="17" eb="19">
      <t>ブンルイ</t>
    </rPh>
    <rPh sb="20" eb="21">
      <t>ムギ</t>
    </rPh>
    <rPh sb="21" eb="22">
      <t>ルイ</t>
    </rPh>
    <rPh sb="26" eb="28">
      <t>ダイズ</t>
    </rPh>
    <rPh sb="36" eb="37">
      <t>タ</t>
    </rPh>
    <phoneticPr fontId="6"/>
  </si>
  <si>
    <t>[45]みずほの輝き</t>
    <phoneticPr fontId="6"/>
  </si>
  <si>
    <t>[7]金属</t>
    <rPh sb="3" eb="5">
      <t>キンゾク</t>
    </rPh>
    <phoneticPr fontId="101"/>
  </si>
  <si>
    <t>[7]金属</t>
    <rPh sb="3" eb="5">
      <t>キンゾク</t>
    </rPh>
    <phoneticPr fontId="5"/>
  </si>
  <si>
    <t>[13]その他の建築物</t>
    <rPh sb="6" eb="7">
      <t>タ</t>
    </rPh>
    <rPh sb="8" eb="11">
      <t>ケンチクブツ</t>
    </rPh>
    <phoneticPr fontId="5"/>
  </si>
  <si>
    <t>[56]その他６</t>
    <rPh sb="6" eb="7">
      <t>タ</t>
    </rPh>
    <phoneticPr fontId="6"/>
  </si>
  <si>
    <t>[57]その他７</t>
    <rPh sb="6" eb="7">
      <t>タ</t>
    </rPh>
    <phoneticPr fontId="6"/>
  </si>
  <si>
    <t>[58]その他８</t>
    <rPh sb="6" eb="7">
      <t>タ</t>
    </rPh>
    <phoneticPr fontId="6"/>
  </si>
  <si>
    <t>[14]稲架</t>
    <rPh sb="4" eb="5">
      <t>イネ</t>
    </rPh>
    <rPh sb="5" eb="6">
      <t>カ</t>
    </rPh>
    <phoneticPr fontId="5"/>
  </si>
  <si>
    <t>[2]金属</t>
    <rPh sb="3" eb="5">
      <t>キンゾク</t>
    </rPh>
    <phoneticPr fontId="101"/>
  </si>
  <si>
    <t>[14]稲　架</t>
    <rPh sb="4" eb="5">
      <t>イナ</t>
    </rPh>
    <phoneticPr fontId="54"/>
  </si>
  <si>
    <t>[2]金属</t>
    <rPh sb="3" eb="5">
      <t>キンゾク</t>
    </rPh>
    <phoneticPr fontId="5"/>
  </si>
  <si>
    <t>[59]その他９</t>
    <rPh sb="6" eb="7">
      <t>タ</t>
    </rPh>
    <phoneticPr fontId="6"/>
  </si>
  <si>
    <t>[3]木造</t>
    <rPh sb="3" eb="5">
      <t>モクゾウ</t>
    </rPh>
    <phoneticPr fontId="1"/>
  </si>
  <si>
    <t>[3]木造</t>
    <rPh sb="3" eb="5">
      <t>モクゾウ</t>
    </rPh>
    <phoneticPr fontId="5"/>
  </si>
  <si>
    <t>[60]その他１０</t>
    <rPh sb="6" eb="7">
      <t>タ</t>
    </rPh>
    <phoneticPr fontId="6"/>
  </si>
  <si>
    <t>[7]その他</t>
    <rPh sb="5" eb="6">
      <t>タ</t>
    </rPh>
    <phoneticPr fontId="1"/>
  </si>
  <si>
    <t>[7]その他</t>
    <rPh sb="5" eb="6">
      <t>タ</t>
    </rPh>
    <phoneticPr fontId="5"/>
  </si>
  <si>
    <t>[15]コンクリートけい畔</t>
    <rPh sb="12" eb="13">
      <t>アゼ</t>
    </rPh>
    <phoneticPr fontId="6"/>
  </si>
  <si>
    <t>[1]コンクリート、れんが、石、ブロック</t>
    <rPh sb="14" eb="15">
      <t>イシ</t>
    </rPh>
    <phoneticPr fontId="1"/>
  </si>
  <si>
    <t>[15]コンクリートけい畔</t>
    <rPh sb="12" eb="13">
      <t>ハン</t>
    </rPh>
    <phoneticPr fontId="54"/>
  </si>
  <si>
    <t>[1]コンクリート、れんが、石、ブロック</t>
    <rPh sb="14" eb="15">
      <t>イシ</t>
    </rPh>
    <phoneticPr fontId="5"/>
  </si>
  <si>
    <t>[4]土管</t>
    <rPh sb="3" eb="5">
      <t>ドカン</t>
    </rPh>
    <phoneticPr fontId="1"/>
  </si>
  <si>
    <t>[16]暗きょ排水施設</t>
    <rPh sb="4" eb="5">
      <t>アン</t>
    </rPh>
    <rPh sb="7" eb="9">
      <t>ハイスイ</t>
    </rPh>
    <rPh sb="9" eb="11">
      <t>シセツ</t>
    </rPh>
    <phoneticPr fontId="54"/>
  </si>
  <si>
    <t>[4]土管</t>
    <rPh sb="3" eb="5">
      <t>ドカン</t>
    </rPh>
    <phoneticPr fontId="6"/>
  </si>
  <si>
    <t>[6]塩化ビニール</t>
    <rPh sb="3" eb="5">
      <t>エンカ</t>
    </rPh>
    <phoneticPr fontId="1"/>
  </si>
  <si>
    <t>[6]塩化ビニール</t>
    <rPh sb="3" eb="5">
      <t>エンカ</t>
    </rPh>
    <phoneticPr fontId="5"/>
  </si>
  <si>
    <t>[17]客土</t>
    <rPh sb="4" eb="5">
      <t>キャク</t>
    </rPh>
    <rPh sb="5" eb="6">
      <t>ツチ</t>
    </rPh>
    <phoneticPr fontId="54"/>
  </si>
  <si>
    <t>[18]作業道</t>
    <phoneticPr fontId="6"/>
  </si>
  <si>
    <t>[18]作業道</t>
    <rPh sb="4" eb="7">
      <t>サギョウドウ</t>
    </rPh>
    <phoneticPr fontId="54"/>
  </si>
  <si>
    <t>[19]用水路</t>
    <rPh sb="4" eb="7">
      <t>ヨウスイロ</t>
    </rPh>
    <phoneticPr fontId="54"/>
  </si>
  <si>
    <t>[25]たい肥盤</t>
    <rPh sb="6" eb="7">
      <t>ヒ</t>
    </rPh>
    <rPh sb="7" eb="8">
      <t>バン</t>
    </rPh>
    <phoneticPr fontId="54"/>
  </si>
  <si>
    <t>[31]その他の構築物</t>
  </si>
  <si>
    <t>[5]合成樹脂</t>
    <rPh sb="3" eb="5">
      <t>ゴウセイ</t>
    </rPh>
    <rPh sb="5" eb="7">
      <t>ジュシ</t>
    </rPh>
    <phoneticPr fontId="1"/>
  </si>
  <si>
    <t>[5]合成樹脂</t>
    <rPh sb="3" eb="5">
      <t>ゴウセイ</t>
    </rPh>
    <rPh sb="5" eb="7">
      <t>ジュシ</t>
    </rPh>
    <phoneticPr fontId="5"/>
  </si>
  <si>
    <t>注：黄色セルの資産は耐用年数欄の年数を使用し、この年数を上限とする。</t>
    <rPh sb="0" eb="1">
      <t>チュウ</t>
    </rPh>
    <rPh sb="2" eb="4">
      <t>キイロ</t>
    </rPh>
    <rPh sb="7" eb="9">
      <t>シサン</t>
    </rPh>
    <rPh sb="10" eb="12">
      <t>タイヨウ</t>
    </rPh>
    <rPh sb="12" eb="14">
      <t>ネンスウ</t>
    </rPh>
    <rPh sb="14" eb="15">
      <t>ラン</t>
    </rPh>
    <rPh sb="16" eb="18">
      <t>ネンスウ</t>
    </rPh>
    <rPh sb="19" eb="21">
      <t>シヨウ</t>
    </rPh>
    <rPh sb="25" eb="27">
      <t>ネンスウ</t>
    </rPh>
    <rPh sb="28" eb="30">
      <t>ジョウゲン</t>
    </rPh>
    <phoneticPr fontId="6"/>
  </si>
  <si>
    <t>当年、車検を受けた自動車等について入力してください。</t>
    <rPh sb="0" eb="2">
      <t>トウネン</t>
    </rPh>
    <rPh sb="3" eb="5">
      <t>シャケン</t>
    </rPh>
    <rPh sb="6" eb="7">
      <t>ウ</t>
    </rPh>
    <rPh sb="9" eb="12">
      <t>ジドウシャ</t>
    </rPh>
    <rPh sb="12" eb="13">
      <t>トウ</t>
    </rPh>
    <phoneticPr fontId="6"/>
  </si>
  <si>
    <t>自賠責保険</t>
    <phoneticPr fontId="6"/>
  </si>
  <si>
    <t>[9]鉄骨造(3mm以下)</t>
    <phoneticPr fontId="101"/>
  </si>
  <si>
    <t>[10]鉄骨造(3～4mm)</t>
    <phoneticPr fontId="101"/>
  </si>
  <si>
    <t>[11]鉄骨造(4mm以上)</t>
    <rPh sb="4" eb="7">
      <t>テッコツゾウ</t>
    </rPh>
    <rPh sb="11" eb="13">
      <t>イジョウ</t>
    </rPh>
    <phoneticPr fontId="101"/>
  </si>
  <si>
    <t>[9]鉄骨造(3mm以下)</t>
    <rPh sb="3" eb="6">
      <t>テッコツゾウ</t>
    </rPh>
    <rPh sb="10" eb="12">
      <t>イカ</t>
    </rPh>
    <phoneticPr fontId="5"/>
  </si>
  <si>
    <t>[10]鉄骨造(3～4mm)</t>
    <rPh sb="4" eb="7">
      <t>テッコツゾウ</t>
    </rPh>
    <phoneticPr fontId="5"/>
  </si>
  <si>
    <t>[11]鉄骨造(4mm以上)</t>
    <rPh sb="4" eb="7">
      <t>テッコツゾウ</t>
    </rPh>
    <rPh sb="11" eb="13">
      <t>イジョウ</t>
    </rPh>
    <phoneticPr fontId="5"/>
  </si>
  <si>
    <r>
      <t>[</t>
    </r>
    <r>
      <rPr>
        <sz val="11"/>
        <rFont val="ＭＳ Ｐゴシック"/>
        <family val="2"/>
        <charset val="128"/>
        <scheme val="minor"/>
      </rPr>
      <t>08]たい肥等散布機</t>
    </r>
    <rPh sb="6" eb="7">
      <t>ヒ</t>
    </rPh>
    <rPh sb="7" eb="8">
      <t>トウ</t>
    </rPh>
    <rPh sb="8" eb="10">
      <t>サンプ</t>
    </rPh>
    <rPh sb="10" eb="11">
      <t>キ</t>
    </rPh>
    <phoneticPr fontId="3"/>
  </si>
  <si>
    <r>
      <t>[</t>
    </r>
    <r>
      <rPr>
        <sz val="11"/>
        <rFont val="ＭＳ Ｐゴシック"/>
        <family val="2"/>
        <charset val="128"/>
        <scheme val="minor"/>
      </rPr>
      <t>09]肥料散布機</t>
    </r>
    <rPh sb="4" eb="6">
      <t>ヒリョウ</t>
    </rPh>
    <rPh sb="6" eb="8">
      <t>サンプ</t>
    </rPh>
    <rPh sb="8" eb="9">
      <t>キ</t>
    </rPh>
    <phoneticPr fontId="3"/>
  </si>
  <si>
    <r>
      <t>[10</t>
    </r>
    <r>
      <rPr>
        <sz val="11"/>
        <rFont val="ＭＳ Ｐゴシック"/>
        <family val="2"/>
        <charset val="128"/>
        <scheme val="minor"/>
      </rPr>
      <t>]総合は種機</t>
    </r>
    <rPh sb="4" eb="6">
      <t>ソウゴウ</t>
    </rPh>
    <rPh sb="7" eb="9">
      <t>シュキ</t>
    </rPh>
    <phoneticPr fontId="3"/>
  </si>
  <si>
    <r>
      <t>[</t>
    </r>
    <r>
      <rPr>
        <sz val="11"/>
        <rFont val="ＭＳ Ｐゴシック"/>
        <family val="2"/>
        <charset val="128"/>
        <scheme val="minor"/>
      </rPr>
      <t>14]移植機</t>
    </r>
    <rPh sb="4" eb="6">
      <t>イショク</t>
    </rPh>
    <rPh sb="6" eb="7">
      <t>キ</t>
    </rPh>
    <phoneticPr fontId="3"/>
  </si>
  <si>
    <r>
      <t>[</t>
    </r>
    <r>
      <rPr>
        <sz val="11"/>
        <rFont val="ＭＳ Ｐゴシック"/>
        <family val="2"/>
        <charset val="128"/>
        <scheme val="minor"/>
      </rPr>
      <t>16]中耕除草機</t>
    </r>
    <rPh sb="4" eb="6">
      <t>チュウコウ</t>
    </rPh>
    <rPh sb="6" eb="9">
      <t>ジョソウキ</t>
    </rPh>
    <phoneticPr fontId="3"/>
  </si>
  <si>
    <r>
      <t>[</t>
    </r>
    <r>
      <rPr>
        <sz val="11"/>
        <rFont val="ＭＳ Ｐゴシック"/>
        <family val="2"/>
        <charset val="128"/>
        <scheme val="minor"/>
      </rPr>
      <t>22]そば収穫機</t>
    </r>
    <rPh sb="6" eb="9">
      <t>シュウカクキ</t>
    </rPh>
    <phoneticPr fontId="3"/>
  </si>
  <si>
    <r>
      <t>[</t>
    </r>
    <r>
      <rPr>
        <sz val="11"/>
        <rFont val="ＭＳ Ｐゴシック"/>
        <family val="2"/>
        <charset val="128"/>
        <scheme val="minor"/>
      </rPr>
      <t>24]かんしょ収穫機</t>
    </r>
    <rPh sb="8" eb="10">
      <t>シュウカク</t>
    </rPh>
    <rPh sb="10" eb="11">
      <t>キ</t>
    </rPh>
    <phoneticPr fontId="3"/>
  </si>
  <si>
    <r>
      <t>[25</t>
    </r>
    <r>
      <rPr>
        <sz val="11"/>
        <rFont val="ＭＳ Ｐゴシック"/>
        <family val="2"/>
        <charset val="128"/>
        <scheme val="minor"/>
      </rPr>
      <t>]ばれいしょ収穫機</t>
    </r>
    <rPh sb="9" eb="11">
      <t>シュウカク</t>
    </rPh>
    <rPh sb="11" eb="12">
      <t>キ</t>
    </rPh>
    <phoneticPr fontId="3"/>
  </si>
  <si>
    <r>
      <t>[26</t>
    </r>
    <r>
      <rPr>
        <sz val="11"/>
        <rFont val="ＭＳ Ｐゴシック"/>
        <family val="2"/>
        <charset val="128"/>
        <scheme val="minor"/>
      </rPr>
      <t>]なたね収穫機</t>
    </r>
    <rPh sb="7" eb="9">
      <t>シュウカク</t>
    </rPh>
    <rPh sb="9" eb="10">
      <t>キ</t>
    </rPh>
    <phoneticPr fontId="3"/>
  </si>
  <si>
    <r>
      <t>[</t>
    </r>
    <r>
      <rPr>
        <sz val="11"/>
        <rFont val="ＭＳ Ｐゴシック"/>
        <family val="2"/>
        <charset val="128"/>
        <scheme val="minor"/>
      </rPr>
      <t>27]てんさい収穫機</t>
    </r>
    <rPh sb="8" eb="11">
      <t>シュウカクキ</t>
    </rPh>
    <phoneticPr fontId="3"/>
  </si>
  <si>
    <r>
      <t>[</t>
    </r>
    <r>
      <rPr>
        <sz val="11"/>
        <rFont val="ＭＳ Ｐゴシック"/>
        <family val="2"/>
        <charset val="128"/>
        <scheme val="minor"/>
      </rPr>
      <t>28]さとうきび収穫機</t>
    </r>
    <rPh sb="9" eb="12">
      <t>シュウカクキ</t>
    </rPh>
    <phoneticPr fontId="3"/>
  </si>
  <si>
    <r>
      <t>[</t>
    </r>
    <r>
      <rPr>
        <sz val="11"/>
        <rFont val="ＭＳ Ｐゴシック"/>
        <family val="2"/>
        <charset val="128"/>
        <scheme val="minor"/>
      </rPr>
      <t>30]きび脱葉機</t>
    </r>
    <rPh sb="6" eb="8">
      <t>ダツヨウ</t>
    </rPh>
    <rPh sb="8" eb="9">
      <t>キ</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</si>
</sst>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176" formatCode="0000"/>
    <numFmt numFmtId="177" formatCode="00"/>
    <numFmt numFmtId="178" formatCode="000"/>
    <numFmt numFmtId="179" formatCode="0_ "/>
    <numFmt numFmtId="180" formatCode="#,##0;[Red]\-#,##0;&quot;&quot;"/>
    <numFmt numFmtId="181" formatCode="#,##0.0"/>
    <numFmt numFmtId="182" formatCode="#,##0\ \ "/>
    <numFmt numFmtId="183" formatCode="000000"/>
    <numFmt numFmtId="184" formatCode="#,##0.0;[Red]\-#,##0.0;&quot;&quot;"/>
    <numFmt numFmtId="185" formatCode="#,##0.00;[Red]\-#,##0.00;&quot;&quot;"/>
    <numFmt numFmtId="186" formatCode="#,##0;;&quot;&quot;"/>
    <numFmt numFmtId="187" formatCode="##0"/>
    <numFmt numFmtId="188" formatCode="#,##0\ \ ;;&quot;&quot;"/>
    <numFmt numFmtId="189" formatCode="#0"/>
    <numFmt numFmtId="190" formatCode="#,##0.000;[Red]\-#,##0.000;&quot;&quot;"/>
    <numFmt numFmtId="191" formatCode="#,##0.0_ "/>
  </numFmts>
  <fonts count="104">
    <font>
      <sz val="11"/>
      <color theme="1"/>
      <name val="ＭＳ Ｐゴシック"/>
      <family val="2"/>
      <charset val="128"/>
      <scheme val="minor"/>
    </font>
    <font>
      <sz val="11"/>
      <color theme="1"/>
      <name val="ＭＳ Ｐゴシック"/>
      <family val="2"/>
      <charset val="128"/>
      <scheme val="minor"/>
    </font>
    <font>
      <sz val="11"/>
      <color rgb="FF000000"/>
      <name val="ＭＳ Ｐゴシック"/>
      <family val="3"/>
      <charset val="128"/>
    </font>
    <font>
      <sz val="11"/>
      <name val="ＭＳ Ｐゴシック"/>
      <family val="3"/>
      <charset val="128"/>
    </font>
    <font>
      <sz val="14"/>
      <name val="ＭＳ Ｐゴシック"/>
      <family val="3"/>
      <charset val="128"/>
    </font>
    <font>
      <sz val="6"/>
      <name val="ＭＳ Ｐゴシック"/>
      <family val="2"/>
      <charset val="128"/>
      <scheme val="minor"/>
    </font>
    <font>
      <sz val="6"/>
      <name val="ＭＳ Ｐゴシック"/>
      <family val="3"/>
      <charset val="128"/>
    </font>
    <font>
      <sz val="16"/>
      <name val="ＭＳ ゴシック"/>
      <family val="3"/>
      <charset val="128"/>
    </font>
    <font>
      <sz val="16"/>
      <name val="ＭＳ Ｐゴシック"/>
      <family val="3"/>
      <charset val="128"/>
    </font>
    <font>
      <sz val="11"/>
      <name val="ＭＳ ゴシック"/>
      <family val="3"/>
      <charset val="128"/>
    </font>
    <font>
      <sz val="14"/>
      <color indexed="8"/>
      <name val="ＭＳ 明朝"/>
      <family val="1"/>
      <charset val="128"/>
    </font>
    <font>
      <sz val="14"/>
      <color indexed="8"/>
      <name val="ＭＳ ゴシック"/>
      <family val="3"/>
      <charset val="128"/>
    </font>
    <font>
      <sz val="10"/>
      <color indexed="8"/>
      <name val="ＭＳ 明朝"/>
      <family val="1"/>
      <charset val="128"/>
    </font>
    <font>
      <sz val="8"/>
      <color indexed="8"/>
      <name val="ＭＳ 明朝"/>
      <family val="1"/>
      <charset val="128"/>
    </font>
    <font>
      <sz val="13"/>
      <color indexed="8"/>
      <name val="ＭＳ ゴシック"/>
      <family val="3"/>
      <charset val="128"/>
    </font>
    <font>
      <sz val="9"/>
      <color indexed="8"/>
      <name val="ＭＳ 明朝"/>
      <family val="1"/>
      <charset val="128"/>
    </font>
    <font>
      <sz val="26"/>
      <color indexed="8"/>
      <name val="ＭＳ 明朝"/>
      <family val="1"/>
      <charset val="128"/>
    </font>
    <font>
      <sz val="28"/>
      <name val="ＭＳ ゴシック"/>
      <family val="3"/>
      <charset val="128"/>
    </font>
    <font>
      <sz val="24"/>
      <name val="ＭＳ ゴシック"/>
      <family val="3"/>
      <charset val="128"/>
    </font>
    <font>
      <sz val="28"/>
      <color theme="1"/>
      <name val="ＭＳ ゴシック"/>
      <family val="3"/>
      <charset val="128"/>
    </font>
    <font>
      <sz val="24"/>
      <color theme="1"/>
      <name val="ＭＳ ゴシック"/>
      <family val="3"/>
      <charset val="128"/>
    </font>
    <font>
      <sz val="28"/>
      <color indexed="8"/>
      <name val="ＭＳ 明朝"/>
      <family val="1"/>
      <charset val="128"/>
    </font>
    <font>
      <sz val="28"/>
      <color indexed="8"/>
      <name val="ＭＳ ゴシック"/>
      <family val="3"/>
      <charset val="128"/>
    </font>
    <font>
      <sz val="24"/>
      <color indexed="8"/>
      <name val="ＭＳ ゴシック"/>
      <family val="3"/>
      <charset val="128"/>
    </font>
    <font>
      <sz val="9"/>
      <name val="ＭＳ Ｐゴシック"/>
      <family val="3"/>
      <charset val="128"/>
    </font>
    <font>
      <sz val="10"/>
      <name val="ＭＳ Ｐゴシック"/>
      <family val="3"/>
      <charset val="128"/>
    </font>
    <font>
      <sz val="8"/>
      <name val="ＭＳ Ｐゴシック"/>
      <family val="3"/>
      <charset val="128"/>
    </font>
    <font>
      <sz val="14"/>
      <color rgb="FF000000"/>
      <name val="ＭＳ 明朝"/>
      <family val="1"/>
      <charset val="128"/>
    </font>
    <font>
      <sz val="14"/>
      <name val="ＭＳ 明朝"/>
      <family val="1"/>
      <charset val="128"/>
    </font>
    <font>
      <b/>
      <sz val="14"/>
      <name val="ＭＳ ゴシック"/>
      <family val="3"/>
      <charset val="128"/>
    </font>
    <font>
      <sz val="12"/>
      <name val="ＭＳ 明朝"/>
      <family val="1"/>
      <charset val="128"/>
    </font>
    <font>
      <sz val="8"/>
      <name val="ＭＳ ゴシック"/>
      <family val="3"/>
      <charset val="128"/>
    </font>
    <font>
      <sz val="20"/>
      <name val="ＭＳ ゴシック"/>
      <family val="3"/>
      <charset val="128"/>
    </font>
    <font>
      <sz val="11"/>
      <name val="ＭＳ 明朝"/>
      <family val="1"/>
      <charset val="128"/>
    </font>
    <font>
      <sz val="11"/>
      <color indexed="8"/>
      <name val="ＭＳ 明朝"/>
      <family val="1"/>
      <charset val="128"/>
    </font>
    <font>
      <sz val="24"/>
      <name val="ＭＳ 明朝"/>
      <family val="1"/>
      <charset val="128"/>
    </font>
    <font>
      <sz val="10"/>
      <name val="ＭＳ 明朝"/>
      <family val="1"/>
      <charset val="128"/>
    </font>
    <font>
      <b/>
      <sz val="11"/>
      <name val="ＭＳ 明朝"/>
      <family val="1"/>
      <charset val="128"/>
    </font>
    <font>
      <sz val="6"/>
      <name val="ＭＳ 明朝"/>
      <family val="1"/>
      <charset val="128"/>
    </font>
    <font>
      <sz val="18"/>
      <color indexed="8"/>
      <name val="ＭＳ 明朝"/>
      <family val="1"/>
      <charset val="128"/>
    </font>
    <font>
      <u/>
      <sz val="14"/>
      <name val="ＭＳ 明朝"/>
      <family val="1"/>
      <charset val="128"/>
    </font>
    <font>
      <u/>
      <sz val="14"/>
      <color indexed="8"/>
      <name val="ＭＳ 明朝"/>
      <family val="1"/>
      <charset val="128"/>
    </font>
    <font>
      <b/>
      <sz val="14"/>
      <name val="ＭＳ 明朝"/>
      <family val="1"/>
      <charset val="128"/>
    </font>
    <font>
      <b/>
      <sz val="12"/>
      <color indexed="8"/>
      <name val="ＭＳ 明朝"/>
      <family val="1"/>
      <charset val="128"/>
    </font>
    <font>
      <sz val="11"/>
      <color indexed="8"/>
      <name val="ＭＳ ゴシック"/>
      <family val="3"/>
      <charset val="128"/>
    </font>
    <font>
      <sz val="9"/>
      <name val="ＭＳ ゴシック"/>
      <family val="3"/>
      <charset val="128"/>
    </font>
    <font>
      <sz val="6"/>
      <name val="ＭＳ ゴシック"/>
      <family val="3"/>
      <charset val="128"/>
    </font>
    <font>
      <b/>
      <sz val="12"/>
      <name val="ＭＳ Ｐゴシック"/>
      <family val="3"/>
      <charset val="128"/>
    </font>
    <font>
      <b/>
      <sz val="12"/>
      <name val="ＭＳ ゴシック"/>
      <family val="3"/>
      <charset val="128"/>
    </font>
    <font>
      <b/>
      <sz val="11"/>
      <name val="ＭＳ ゴシック"/>
      <family val="3"/>
      <charset val="128"/>
    </font>
    <font>
      <sz val="12"/>
      <color indexed="8"/>
      <name val="ＭＳ 明朝"/>
      <family val="1"/>
      <charset val="128"/>
    </font>
    <font>
      <sz val="14"/>
      <color indexed="10"/>
      <name val="ＭＳ 明朝"/>
      <family val="1"/>
      <charset val="128"/>
    </font>
    <font>
      <sz val="18"/>
      <name val="ＭＳ ゴシック"/>
      <family val="3"/>
      <charset val="128"/>
    </font>
    <font>
      <b/>
      <sz val="12"/>
      <color indexed="8"/>
      <name val="ＭＳ ゴシック"/>
      <family val="3"/>
      <charset val="128"/>
    </font>
    <font>
      <sz val="14"/>
      <color indexed="8"/>
      <name val="ＭＳ Ｐゴシック"/>
      <family val="3"/>
      <charset val="128"/>
    </font>
    <font>
      <sz val="11"/>
      <color indexed="8"/>
      <name val="ＭＳ Ｐゴシック"/>
      <family val="3"/>
      <charset val="128"/>
    </font>
    <font>
      <sz val="16"/>
      <color indexed="8"/>
      <name val="ＭＳ ゴシック"/>
      <family val="3"/>
      <charset val="128"/>
    </font>
    <font>
      <sz val="9"/>
      <name val="ＭＳ 明朝"/>
      <family val="1"/>
      <charset val="128"/>
    </font>
    <font>
      <sz val="12"/>
      <color theme="1"/>
      <name val="ＭＳ ゴシック"/>
      <family val="3"/>
      <charset val="128"/>
    </font>
    <font>
      <sz val="12"/>
      <name val="ＭＳ Ｐゴシック"/>
      <family val="3"/>
      <charset val="128"/>
    </font>
    <font>
      <sz val="10"/>
      <name val="ＭＳ ゴシック"/>
      <family val="3"/>
      <charset val="128"/>
    </font>
    <font>
      <sz val="12"/>
      <color indexed="8"/>
      <name val="ＭＳ Ｐゴシック"/>
      <family val="3"/>
      <charset val="128"/>
    </font>
    <font>
      <sz val="24"/>
      <name val="ＭＳ Ｐゴシック"/>
      <family val="3"/>
      <charset val="128"/>
    </font>
    <font>
      <sz val="11"/>
      <color rgb="FFFF0000"/>
      <name val="ＭＳ ゴシック"/>
      <family val="3"/>
      <charset val="128"/>
    </font>
    <font>
      <sz val="11"/>
      <color theme="0"/>
      <name val="ＭＳ Ｐゴシック"/>
      <family val="3"/>
      <charset val="128"/>
    </font>
    <font>
      <sz val="12"/>
      <name val="ＭＳ ゴシック"/>
      <family val="3"/>
      <charset val="128"/>
    </font>
    <font>
      <sz val="10"/>
      <color theme="0"/>
      <name val="ＭＳ 明朝"/>
      <family val="1"/>
      <charset val="128"/>
    </font>
    <font>
      <sz val="8"/>
      <color indexed="8"/>
      <name val="ＭＳ ゴシック"/>
      <family val="3"/>
      <charset val="128"/>
    </font>
    <font>
      <b/>
      <sz val="11.5"/>
      <color indexed="8"/>
      <name val="ＭＳ ゴシック"/>
      <family val="3"/>
      <charset val="128"/>
    </font>
    <font>
      <b/>
      <u/>
      <sz val="11.5"/>
      <color indexed="8"/>
      <name val="ＭＳ ゴシック"/>
      <family val="3"/>
      <charset val="128"/>
    </font>
    <font>
      <b/>
      <sz val="11"/>
      <color indexed="8"/>
      <name val="ＭＳ Ｐゴシック"/>
      <family val="3"/>
      <charset val="128"/>
    </font>
    <font>
      <b/>
      <sz val="12"/>
      <color indexed="8"/>
      <name val="ＭＳ Ｐゴシック"/>
      <family val="3"/>
      <charset val="128"/>
    </font>
    <font>
      <sz val="10"/>
      <name val="ＭＳ Ｐ明朝"/>
      <family val="1"/>
      <charset val="128"/>
    </font>
    <font>
      <sz val="9"/>
      <color theme="0"/>
      <name val="ＭＳ Ｐゴシック"/>
      <family val="3"/>
      <charset val="128"/>
    </font>
    <font>
      <sz val="11"/>
      <color theme="1"/>
      <name val="ＭＳ 明朝"/>
      <family val="1"/>
      <charset val="128"/>
    </font>
    <font>
      <sz val="12"/>
      <color rgb="FF000000"/>
      <name val="ＭＳ ゴシック"/>
      <family val="3"/>
      <charset val="128"/>
    </font>
    <font>
      <sz val="12"/>
      <color rgb="FFFF0000"/>
      <name val="ＭＳ ゴシック"/>
      <family val="3"/>
      <charset val="128"/>
    </font>
    <font>
      <sz val="9"/>
      <color theme="0"/>
      <name val="ＭＳ ゴシック"/>
      <family val="3"/>
      <charset val="128"/>
    </font>
    <font>
      <sz val="11"/>
      <color theme="0"/>
      <name val="ＭＳ 明朝"/>
      <family val="1"/>
      <charset val="128"/>
    </font>
    <font>
      <sz val="11"/>
      <color rgb="FFFF0000"/>
      <name val="ＭＳ 明朝"/>
      <family val="1"/>
      <charset val="128"/>
    </font>
    <font>
      <b/>
      <sz val="11"/>
      <name val="ＭＳ Ｐゴシック"/>
      <family val="3"/>
      <charset val="128"/>
    </font>
    <font>
      <b/>
      <sz val="9"/>
      <name val="ＭＳ 明朝"/>
      <family val="1"/>
      <charset val="128"/>
    </font>
    <font>
      <b/>
      <sz val="11"/>
      <color theme="0"/>
      <name val="ＭＳ Ｐゴシック"/>
      <family val="3"/>
      <charset val="128"/>
    </font>
    <font>
      <sz val="12"/>
      <color theme="0"/>
      <name val="ＭＳ Ｐゴシック"/>
      <family val="3"/>
      <charset val="128"/>
    </font>
    <font>
      <sz val="12"/>
      <color indexed="8"/>
      <name val="ＭＳ ゴシック"/>
      <family val="3"/>
      <charset val="128"/>
    </font>
    <font>
      <sz val="11"/>
      <color theme="0"/>
      <name val="ＭＳ ゴシック"/>
      <family val="3"/>
      <charset val="128"/>
    </font>
    <font>
      <vertAlign val="superscript"/>
      <sz val="11"/>
      <name val="ＭＳ Ｐゴシック"/>
      <family val="3"/>
      <charset val="128"/>
    </font>
    <font>
      <sz val="9"/>
      <color theme="0"/>
      <name val="ＭＳ 明朝"/>
      <family val="1"/>
      <charset val="128"/>
    </font>
    <font>
      <sz val="8"/>
      <color theme="0"/>
      <name val="ＭＳ 明朝"/>
      <family val="1"/>
      <charset val="128"/>
    </font>
    <font>
      <b/>
      <sz val="12"/>
      <color theme="0"/>
      <name val="ＭＳ Ｐゴシック"/>
      <family val="3"/>
      <charset val="128"/>
    </font>
    <font>
      <sz val="6"/>
      <color theme="0"/>
      <name val="ＭＳ Ｐゴシック"/>
      <family val="3"/>
      <charset val="128"/>
    </font>
    <font>
      <sz val="8"/>
      <color theme="0"/>
      <name val="ＭＳ Ｐゴシック"/>
      <family val="3"/>
      <charset val="128"/>
    </font>
    <font>
      <sz val="26"/>
      <name val="ＭＳ ゴシック"/>
      <family val="3"/>
      <charset val="128"/>
    </font>
    <font>
      <sz val="11"/>
      <color theme="1"/>
      <name val="ＭＳ ゴシック"/>
      <family val="3"/>
      <charset val="128"/>
    </font>
    <font>
      <sz val="11"/>
      <color theme="1"/>
      <name val="ＭＳ Ｐゴシック"/>
      <family val="3"/>
      <charset val="128"/>
    </font>
    <font>
      <sz val="16"/>
      <color rgb="FFFF0000"/>
      <name val="ＭＳ ゴシック"/>
      <family val="3"/>
      <charset val="128"/>
    </font>
    <font>
      <sz val="16"/>
      <color theme="1"/>
      <name val="ＭＳ ゴシック"/>
      <family val="3"/>
      <charset val="128"/>
    </font>
    <font>
      <sz val="16"/>
      <color theme="0"/>
      <name val="ＭＳ ゴシック"/>
      <family val="3"/>
      <charset val="128"/>
    </font>
    <font>
      <b/>
      <sz val="12"/>
      <color theme="1"/>
      <name val="ＭＳ ゴシック"/>
      <family val="3"/>
      <charset val="128"/>
    </font>
    <font>
      <sz val="16"/>
      <name val="ＭＳ 明朝"/>
      <family val="1"/>
      <charset val="128"/>
    </font>
    <font>
      <sz val="6"/>
      <name val="明朝"/>
      <family val="1"/>
      <charset val="128"/>
    </font>
    <font>
      <sz val="12"/>
      <color rgb="FFFF0000"/>
      <name val="ＭＳ Ｐゴシック"/>
      <family val="3"/>
      <charset val="128"/>
    </font>
    <font>
      <b/>
      <sz val="9"/>
      <color indexed="81"/>
      <name val="MS P ゴシック"/>
      <family val="3"/>
      <charset val="128"/>
    </font>
    <font>
      <sz val="11"/>
      <name val="ＭＳ Ｐゴシック"/>
      <family val="2"/>
      <charset val="128"/>
      <scheme val="minor"/>
    </font>
  </fonts>
  <fills count="13">
    <fill>
      <patternFill patternType="none"/>
    </fill>
    <fill>
      <patternFill patternType="gray125"/>
    </fill>
    <fill>
      <patternFill patternType="solid">
        <fgColor theme="5" tint="0.79998168889431442"/>
        <bgColor indexed="64"/>
      </patternFill>
    </fill>
    <fill>
      <patternFill patternType="solid">
        <fgColor rgb="FFFFFF99"/>
        <bgColor indexed="64"/>
      </patternFill>
    </fill>
    <fill>
      <patternFill patternType="solid">
        <fgColor rgb="FFCCFFCC"/>
        <bgColor indexed="64"/>
      </patternFill>
    </fill>
    <fill>
      <patternFill patternType="solid">
        <fgColor theme="0"/>
        <bgColor indexed="64"/>
      </patternFill>
    </fill>
    <fill>
      <patternFill patternType="solid">
        <fgColor indexed="43"/>
        <bgColor indexed="64"/>
      </patternFill>
    </fill>
    <fill>
      <patternFill patternType="solid">
        <fgColor rgb="FFFFCF80"/>
        <bgColor indexed="64"/>
      </patternFill>
    </fill>
    <fill>
      <patternFill patternType="solid">
        <fgColor rgb="FFC0C0C0"/>
        <bgColor indexed="64"/>
      </patternFill>
    </fill>
    <fill>
      <patternFill patternType="solid">
        <fgColor theme="3" tint="0.79998168889431442"/>
        <bgColor indexed="64"/>
      </patternFill>
    </fill>
    <fill>
      <patternFill patternType="solid">
        <fgColor rgb="FFF2DCDB"/>
        <bgColor indexed="64"/>
      </patternFill>
    </fill>
    <fill>
      <patternFill patternType="solid">
        <fgColor rgb="FFFFCCFF"/>
        <bgColor indexed="64"/>
      </patternFill>
    </fill>
    <fill>
      <patternFill patternType="solid">
        <fgColor theme="6" tint="0.79998168889431442"/>
        <bgColor indexed="64"/>
      </patternFill>
    </fill>
  </fills>
  <borders count="548">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double">
        <color indexed="64"/>
      </left>
      <right style="double">
        <color auto="1"/>
      </right>
      <top style="double">
        <color indexed="64"/>
      </top>
      <bottom style="double">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double">
        <color indexed="64"/>
      </left>
      <right style="double">
        <color indexed="64"/>
      </right>
      <top style="double">
        <color indexed="64"/>
      </top>
      <bottom style="thin">
        <color indexed="64"/>
      </bottom>
      <diagonal/>
    </border>
    <border>
      <left style="double">
        <color indexed="64"/>
      </left>
      <right style="double">
        <color indexed="64"/>
      </right>
      <top style="thin">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bottom style="double">
        <color indexed="57"/>
      </bottom>
      <diagonal/>
    </border>
    <border>
      <left/>
      <right/>
      <top/>
      <bottom style="double">
        <color rgb="FF35A16B"/>
      </bottom>
      <diagonal/>
    </border>
    <border>
      <left style="thin">
        <color indexed="64"/>
      </left>
      <right/>
      <top/>
      <bottom style="double">
        <color rgb="FF35A16B"/>
      </bottom>
      <diagonal/>
    </border>
    <border>
      <left/>
      <right style="thin">
        <color indexed="64"/>
      </right>
      <top/>
      <bottom style="double">
        <color rgb="FF35A16B"/>
      </bottom>
      <diagonal/>
    </border>
    <border>
      <left style="thin">
        <color indexed="64"/>
      </left>
      <right/>
      <top/>
      <bottom style="double">
        <color indexed="57"/>
      </bottom>
      <diagonal/>
    </border>
    <border>
      <left/>
      <right/>
      <top/>
      <bottom style="double">
        <color indexed="57"/>
      </bottom>
      <diagonal/>
    </border>
    <border>
      <left/>
      <right style="medium">
        <color indexed="64"/>
      </right>
      <top/>
      <bottom style="double">
        <color indexed="57"/>
      </bottom>
      <diagonal/>
    </border>
    <border>
      <left style="medium">
        <color indexed="64"/>
      </left>
      <right/>
      <top/>
      <bottom/>
      <diagonal/>
    </border>
    <border>
      <left/>
      <right style="double">
        <color indexed="57"/>
      </right>
      <top/>
      <bottom/>
      <diagonal/>
    </border>
    <border>
      <left style="double">
        <color indexed="57"/>
      </left>
      <right/>
      <top style="double">
        <color indexed="57"/>
      </top>
      <bottom/>
      <diagonal/>
    </border>
    <border>
      <left/>
      <right/>
      <top style="double">
        <color indexed="57"/>
      </top>
      <bottom/>
      <diagonal/>
    </border>
    <border>
      <left/>
      <right style="thin">
        <color indexed="64"/>
      </right>
      <top style="double">
        <color indexed="57"/>
      </top>
      <bottom/>
      <diagonal/>
    </border>
    <border>
      <left style="thin">
        <color indexed="64"/>
      </left>
      <right/>
      <top style="double">
        <color indexed="57"/>
      </top>
      <bottom/>
      <diagonal/>
    </border>
    <border>
      <left/>
      <right style="double">
        <color indexed="57"/>
      </right>
      <top style="double">
        <color indexed="57"/>
      </top>
      <bottom/>
      <diagonal/>
    </border>
    <border>
      <left/>
      <right style="double">
        <color indexed="57"/>
      </right>
      <top/>
      <bottom style="medium">
        <color indexed="64"/>
      </bottom>
      <diagonal/>
    </border>
    <border>
      <left style="double">
        <color indexed="57"/>
      </left>
      <right/>
      <top/>
      <bottom style="double">
        <color indexed="57"/>
      </bottom>
      <diagonal/>
    </border>
    <border>
      <left/>
      <right style="thin">
        <color indexed="64"/>
      </right>
      <top/>
      <bottom style="double">
        <color indexed="57"/>
      </bottom>
      <diagonal/>
    </border>
    <border>
      <left/>
      <right style="double">
        <color indexed="57"/>
      </right>
      <top/>
      <bottom style="double">
        <color indexed="57"/>
      </bottom>
      <diagonal/>
    </border>
    <border>
      <left style="thin">
        <color indexed="64"/>
      </left>
      <right style="medium">
        <color indexed="64"/>
      </right>
      <top style="medium">
        <color indexed="64"/>
      </top>
      <bottom/>
      <diagonal/>
    </border>
    <border>
      <left style="thin">
        <color indexed="64"/>
      </left>
      <right style="medium">
        <color indexed="64"/>
      </right>
      <top/>
      <bottom style="double">
        <color rgb="FF35A16B"/>
      </bottom>
      <diagonal/>
    </border>
    <border>
      <left/>
      <right style="double">
        <color rgb="FF35A16B"/>
      </right>
      <top style="medium">
        <color indexed="64"/>
      </top>
      <bottom/>
      <diagonal/>
    </border>
    <border>
      <left style="double">
        <color rgb="FF35A16B"/>
      </left>
      <right/>
      <top style="double">
        <color rgb="FF35A16B"/>
      </top>
      <bottom/>
      <diagonal/>
    </border>
    <border>
      <left style="thin">
        <color indexed="64"/>
      </left>
      <right style="double">
        <color rgb="FF35A36B"/>
      </right>
      <top style="double">
        <color rgb="FF35A16B"/>
      </top>
      <bottom/>
      <diagonal/>
    </border>
    <border>
      <left style="medium">
        <color indexed="64"/>
      </left>
      <right/>
      <top style="thin">
        <color indexed="64"/>
      </top>
      <bottom style="thin">
        <color indexed="64"/>
      </bottom>
      <diagonal/>
    </border>
    <border>
      <left/>
      <right style="double">
        <color rgb="FF35A16B"/>
      </right>
      <top style="thin">
        <color indexed="64"/>
      </top>
      <bottom style="thin">
        <color indexed="64"/>
      </bottom>
      <diagonal/>
    </border>
    <border>
      <left style="double">
        <color rgb="FF35A16B"/>
      </left>
      <right/>
      <top style="thin">
        <color indexed="64"/>
      </top>
      <bottom style="thin">
        <color indexed="64"/>
      </bottom>
      <diagonal/>
    </border>
    <border>
      <left style="thin">
        <color indexed="64"/>
      </left>
      <right style="double">
        <color rgb="FF35A36B"/>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double">
        <color rgb="FF35A16B"/>
      </right>
      <top style="thin">
        <color indexed="64"/>
      </top>
      <bottom style="medium">
        <color indexed="64"/>
      </bottom>
      <diagonal/>
    </border>
    <border>
      <left style="double">
        <color rgb="FF35A16B"/>
      </left>
      <right/>
      <top style="thin">
        <color indexed="64"/>
      </top>
      <bottom style="double">
        <color rgb="FF35A16B"/>
      </bottom>
      <diagonal/>
    </border>
    <border>
      <left style="thin">
        <color indexed="64"/>
      </left>
      <right style="double">
        <color rgb="FF35A36B"/>
      </right>
      <top style="thin">
        <color indexed="64"/>
      </top>
      <bottom style="double">
        <color rgb="FF35A16B"/>
      </bottom>
      <diagonal/>
    </border>
    <border>
      <left style="thin">
        <color indexed="64"/>
      </left>
      <right style="thin">
        <color indexed="64"/>
      </right>
      <top style="medium">
        <color indexed="64"/>
      </top>
      <bottom/>
      <diagonal/>
    </border>
    <border>
      <left/>
      <right style="thin">
        <color indexed="64"/>
      </right>
      <top/>
      <bottom style="medium">
        <color indexed="64"/>
      </bottom>
      <diagonal/>
    </border>
    <border>
      <left style="thin">
        <color indexed="64"/>
      </left>
      <right style="thin">
        <color indexed="64"/>
      </right>
      <top/>
      <bottom style="double">
        <color rgb="FF35A16B"/>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double">
        <color rgb="FF35A16B"/>
      </right>
      <top style="medium">
        <color indexed="64"/>
      </top>
      <bottom style="thin">
        <color indexed="64"/>
      </bottom>
      <diagonal/>
    </border>
    <border>
      <left style="double">
        <color rgb="FF35A16B"/>
      </left>
      <right/>
      <top style="double">
        <color rgb="FF35A16B"/>
      </top>
      <bottom style="thin">
        <color indexed="64"/>
      </bottom>
      <diagonal/>
    </border>
    <border>
      <left style="thin">
        <color indexed="64"/>
      </left>
      <right style="double">
        <color rgb="FF35A36B"/>
      </right>
      <top style="double">
        <color rgb="FF35A16B"/>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double">
        <color rgb="FF35A16B"/>
      </left>
      <right style="double">
        <color rgb="FF35A16B"/>
      </right>
      <top style="double">
        <color rgb="FF35A16B"/>
      </top>
      <bottom style="double">
        <color rgb="FF35A16B"/>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style="double">
        <color rgb="FF35A16B"/>
      </bottom>
      <diagonal/>
    </border>
    <border>
      <left style="double">
        <color rgb="FF35A16B"/>
      </left>
      <right/>
      <top style="double">
        <color rgb="FF35A16B"/>
      </top>
      <bottom style="double">
        <color rgb="FF35A16B"/>
      </bottom>
      <diagonal/>
    </border>
    <border>
      <left style="thin">
        <color indexed="64"/>
      </left>
      <right/>
      <top style="double">
        <color rgb="FF35A16B"/>
      </top>
      <bottom style="double">
        <color rgb="FF35A16B"/>
      </bottom>
      <diagonal/>
    </border>
    <border>
      <left style="thin">
        <color indexed="64"/>
      </left>
      <right style="double">
        <color rgb="FF35A36B"/>
      </right>
      <top style="double">
        <color rgb="FF35A16B"/>
      </top>
      <bottom style="double">
        <color rgb="FF35A16B"/>
      </bottom>
      <diagonal/>
    </border>
    <border>
      <left/>
      <right style="medium">
        <color indexed="64"/>
      </right>
      <top/>
      <bottom/>
      <diagonal/>
    </border>
    <border>
      <left style="medium">
        <color theme="1"/>
      </left>
      <right style="medium">
        <color theme="1"/>
      </right>
      <top style="medium">
        <color indexed="64"/>
      </top>
      <bottom/>
      <diagonal/>
    </border>
    <border>
      <left style="medium">
        <color theme="1"/>
      </left>
      <right style="medium">
        <color theme="1"/>
      </right>
      <top/>
      <bottom/>
      <diagonal/>
    </border>
    <border>
      <left style="medium">
        <color theme="1"/>
      </left>
      <right style="medium">
        <color theme="1"/>
      </right>
      <top/>
      <bottom style="double">
        <color rgb="FF35A16B"/>
      </bottom>
      <diagonal/>
    </border>
    <border>
      <left style="thin">
        <color theme="1"/>
      </left>
      <right style="double">
        <color rgb="FF35A16B"/>
      </right>
      <top style="medium">
        <color theme="1"/>
      </top>
      <bottom/>
      <diagonal/>
    </border>
    <border>
      <left style="double">
        <color rgb="FF35A16B"/>
      </left>
      <right style="double">
        <color rgb="FF35A16B"/>
      </right>
      <top style="double">
        <color rgb="FF35A16B"/>
      </top>
      <bottom style="thin">
        <color theme="1"/>
      </bottom>
      <diagonal/>
    </border>
    <border>
      <left style="thin">
        <color theme="1"/>
      </left>
      <right style="double">
        <color rgb="FF35A16B"/>
      </right>
      <top style="thin">
        <color indexed="64"/>
      </top>
      <bottom/>
      <diagonal/>
    </border>
    <border>
      <left style="double">
        <color rgb="FF35A16B"/>
      </left>
      <right style="double">
        <color rgb="FF35A16B"/>
      </right>
      <top style="thin">
        <color theme="1"/>
      </top>
      <bottom style="thin">
        <color theme="1"/>
      </bottom>
      <diagonal/>
    </border>
    <border>
      <left style="medium">
        <color indexed="64"/>
      </left>
      <right/>
      <top style="thin">
        <color indexed="64"/>
      </top>
      <bottom style="double">
        <color indexed="64"/>
      </bottom>
      <diagonal/>
    </border>
    <border>
      <left/>
      <right/>
      <top style="thin">
        <color indexed="64"/>
      </top>
      <bottom style="double">
        <color indexed="64"/>
      </bottom>
      <diagonal/>
    </border>
    <border>
      <left style="thin">
        <color theme="1"/>
      </left>
      <right style="double">
        <color rgb="FF35A16B"/>
      </right>
      <top style="double">
        <color theme="1"/>
      </top>
      <bottom style="medium">
        <color theme="1"/>
      </bottom>
      <diagonal/>
    </border>
    <border>
      <left style="double">
        <color rgb="FF35A16B"/>
      </left>
      <right style="double">
        <color rgb="FF35A16B"/>
      </right>
      <top style="double">
        <color theme="1"/>
      </top>
      <bottom style="double">
        <color rgb="FF35A16B"/>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double">
        <color rgb="FF35A36B"/>
      </bottom>
      <diagonal/>
    </border>
    <border>
      <left style="thin">
        <color indexed="64"/>
      </left>
      <right/>
      <top/>
      <bottom style="double">
        <color theme="1"/>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rgb="FF35A36B"/>
      </right>
      <top style="double">
        <color rgb="FF35A36B"/>
      </top>
      <bottom/>
      <diagonal/>
    </border>
    <border>
      <left style="double">
        <color theme="1"/>
      </left>
      <right style="double">
        <color theme="1"/>
      </right>
      <top style="double">
        <color theme="1"/>
      </top>
      <bottom style="thin">
        <color theme="1"/>
      </bottom>
      <diagonal/>
    </border>
    <border>
      <left style="medium">
        <color indexed="64"/>
      </left>
      <right style="thin">
        <color indexed="64"/>
      </right>
      <top style="thin">
        <color indexed="64"/>
      </top>
      <bottom style="thin">
        <color indexed="64"/>
      </bottom>
      <diagonal/>
    </border>
    <border>
      <left style="double">
        <color rgb="FF35A16B"/>
      </left>
      <right/>
      <top style="thin">
        <color indexed="64"/>
      </top>
      <bottom/>
      <diagonal/>
    </border>
    <border>
      <left style="thin">
        <color indexed="64"/>
      </left>
      <right style="double">
        <color rgb="FF35A36B"/>
      </right>
      <top style="thin">
        <color indexed="64"/>
      </top>
      <bottom/>
      <diagonal/>
    </border>
    <border>
      <left style="double">
        <color theme="1"/>
      </left>
      <right style="double">
        <color theme="1"/>
      </right>
      <top style="thin">
        <color theme="1"/>
      </top>
      <bottom style="thin">
        <color theme="1"/>
      </bottom>
      <diagonal/>
    </border>
    <border>
      <left style="thin">
        <color indexed="64"/>
      </left>
      <right/>
      <top style="thin">
        <color indexed="64"/>
      </top>
      <bottom style="medium">
        <color indexed="64"/>
      </bottom>
      <diagonal/>
    </border>
    <border>
      <left style="thin">
        <color indexed="64"/>
      </left>
      <right style="double">
        <color rgb="FF35A36B"/>
      </right>
      <top style="thin">
        <color indexed="64"/>
      </top>
      <bottom style="double">
        <color rgb="FF35A36B"/>
      </bottom>
      <diagonal/>
    </border>
    <border>
      <left style="double">
        <color theme="1"/>
      </left>
      <right style="double">
        <color theme="1"/>
      </right>
      <top style="thin">
        <color theme="1"/>
      </top>
      <bottom style="double">
        <color theme="1"/>
      </bottom>
      <diagonal/>
    </border>
    <border>
      <left style="medium">
        <color indexed="64"/>
      </left>
      <right style="thin">
        <color indexed="64"/>
      </right>
      <top/>
      <bottom style="double">
        <color rgb="FF35A16B"/>
      </bottom>
      <diagonal/>
    </border>
    <border>
      <left style="double">
        <color rgb="FF35A36B"/>
      </left>
      <right style="thin">
        <color indexed="64"/>
      </right>
      <top style="double">
        <color rgb="FF35A16B"/>
      </top>
      <bottom style="double">
        <color rgb="FF35A16B"/>
      </bottom>
      <diagonal/>
    </border>
    <border>
      <left style="thin">
        <color indexed="64"/>
      </left>
      <right style="double">
        <color rgb="FF35A16B"/>
      </right>
      <top style="double">
        <color rgb="FF35A16B"/>
      </top>
      <bottom style="thin">
        <color theme="1"/>
      </bottom>
      <diagonal/>
    </border>
    <border>
      <left style="thin">
        <color indexed="64"/>
      </left>
      <right style="medium">
        <color indexed="64"/>
      </right>
      <top style="thin">
        <color indexed="64"/>
      </top>
      <bottom style="thin">
        <color indexed="64"/>
      </bottom>
      <diagonal/>
    </border>
    <border diagonalDown="1">
      <left/>
      <right style="double">
        <color rgb="FF35A16B"/>
      </right>
      <top style="double">
        <color rgb="FF35A16B"/>
      </top>
      <bottom/>
      <diagonal style="thin">
        <color theme="1"/>
      </diagonal>
    </border>
    <border>
      <left style="double">
        <color rgb="FF35A16B"/>
      </left>
      <right style="double">
        <color rgb="FF35A16B"/>
      </right>
      <top style="thin">
        <color theme="1"/>
      </top>
      <bottom/>
      <diagonal/>
    </border>
    <border diagonalDown="1">
      <left/>
      <right style="double">
        <color rgb="FF35A16B"/>
      </right>
      <top/>
      <bottom/>
      <diagonal style="thin">
        <color theme="1"/>
      </diagonal>
    </border>
    <border diagonalDown="1">
      <left/>
      <right style="double">
        <color rgb="FF35A16B"/>
      </right>
      <top/>
      <bottom style="thin">
        <color indexed="64"/>
      </bottom>
      <diagonal style="thin">
        <color theme="1"/>
      </diagonal>
    </border>
    <border>
      <left style="double">
        <color rgb="FF35A16B"/>
      </left>
      <right style="double">
        <color rgb="FF35A16B"/>
      </right>
      <top style="thin">
        <color indexed="64"/>
      </top>
      <bottom style="double">
        <color rgb="FF35A16B"/>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double">
        <color rgb="FF35A36B"/>
      </bottom>
      <diagonal/>
    </border>
    <border>
      <left style="double">
        <color rgb="FF35A36B"/>
      </left>
      <right/>
      <top style="double">
        <color rgb="FF35A36B"/>
      </top>
      <bottom/>
      <diagonal/>
    </border>
    <border>
      <left style="thin">
        <color indexed="64"/>
      </left>
      <right style="double">
        <color rgb="FF35A36B"/>
      </right>
      <top style="double">
        <color rgb="FF35A36B"/>
      </top>
      <bottom style="double">
        <color rgb="FF35A36B"/>
      </bottom>
      <diagonal/>
    </border>
    <border>
      <left style="thin">
        <color indexed="64"/>
      </left>
      <right/>
      <top style="double">
        <color rgb="FF35A36B"/>
      </top>
      <bottom/>
      <diagonal/>
    </border>
    <border>
      <left style="thin">
        <color indexed="64"/>
      </left>
      <right style="medium">
        <color auto="1"/>
      </right>
      <top style="double">
        <color rgb="FF35A36B"/>
      </top>
      <bottom/>
      <diagonal/>
    </border>
    <border>
      <left style="thin">
        <color indexed="64"/>
      </left>
      <right/>
      <top style="thin">
        <color indexed="64"/>
      </top>
      <bottom style="double">
        <color rgb="FF35A36B"/>
      </bottom>
      <diagonal/>
    </border>
    <border>
      <left style="thin">
        <color indexed="64"/>
      </left>
      <right style="medium">
        <color indexed="64"/>
      </right>
      <top style="thin">
        <color indexed="64"/>
      </top>
      <bottom style="double">
        <color rgb="FF35A36B"/>
      </bottom>
      <diagonal/>
    </border>
    <border>
      <left style="double">
        <color rgb="FF35A36B"/>
      </left>
      <right style="thin">
        <color indexed="64"/>
      </right>
      <top style="double">
        <color rgb="FF35A36B"/>
      </top>
      <bottom style="double">
        <color rgb="FF35A36B"/>
      </bottom>
      <diagonal/>
    </border>
    <border>
      <left style="thin">
        <color indexed="64"/>
      </left>
      <right style="medium">
        <color indexed="64"/>
      </right>
      <top style="double">
        <color rgb="FF35A36B"/>
      </top>
      <bottom style="thin">
        <color indexed="64"/>
      </bottom>
      <diagonal/>
    </border>
    <border>
      <left style="thin">
        <color indexed="64"/>
      </left>
      <right style="medium">
        <color indexed="64"/>
      </right>
      <top style="thin">
        <color indexed="64"/>
      </top>
      <bottom style="double">
        <color rgb="FF35A16B"/>
      </bottom>
      <diagonal/>
    </border>
    <border>
      <left style="thin">
        <color indexed="64"/>
      </left>
      <right style="double">
        <color rgb="FF35A36B"/>
      </right>
      <top style="thin">
        <color indexed="64"/>
      </top>
      <bottom style="double">
        <color rgb="FF339966"/>
      </bottom>
      <diagonal/>
    </border>
    <border>
      <left style="double">
        <color rgb="FF35A16B"/>
      </left>
      <right/>
      <top/>
      <bottom style="thin">
        <color indexed="64"/>
      </bottom>
      <diagonal/>
    </border>
    <border diagonalDown="1">
      <left style="double">
        <color rgb="FF339966"/>
      </left>
      <right style="medium">
        <color auto="1"/>
      </right>
      <top style="double">
        <color rgb="FF339966"/>
      </top>
      <bottom/>
      <diagonal style="hair">
        <color auto="1"/>
      </diagonal>
    </border>
    <border diagonalDown="1">
      <left style="double">
        <color rgb="FF339966"/>
      </left>
      <right style="medium">
        <color auto="1"/>
      </right>
      <top/>
      <bottom/>
      <diagonal style="hair">
        <color auto="1"/>
      </diagonal>
    </border>
    <border diagonalDown="1">
      <left style="double">
        <color rgb="FF339966"/>
      </left>
      <right style="medium">
        <color auto="1"/>
      </right>
      <top/>
      <bottom style="medium">
        <color indexed="64"/>
      </bottom>
      <diagonal style="hair">
        <color auto="1"/>
      </diagonal>
    </border>
    <border>
      <left style="thin">
        <color indexed="64"/>
      </left>
      <right style="medium">
        <color indexed="64"/>
      </right>
      <top/>
      <bottom/>
      <diagonal/>
    </border>
    <border>
      <left style="thin">
        <color indexed="64"/>
      </left>
      <right style="medium">
        <color indexed="64"/>
      </right>
      <top/>
      <bottom style="double">
        <color rgb="FF339966"/>
      </bottom>
      <diagonal/>
    </border>
    <border>
      <left/>
      <right style="medium">
        <color indexed="64"/>
      </right>
      <top style="medium">
        <color indexed="64"/>
      </top>
      <bottom style="thin">
        <color indexed="64"/>
      </bottom>
      <diagonal/>
    </border>
    <border>
      <left style="double">
        <color rgb="FF35A16B"/>
      </left>
      <right/>
      <top style="double">
        <color rgb="FF35A16B"/>
      </top>
      <bottom style="thin">
        <color theme="1"/>
      </bottom>
      <diagonal/>
    </border>
    <border>
      <left style="double">
        <color rgb="FF35A16B"/>
      </left>
      <right style="double">
        <color rgb="FF35A16B"/>
      </right>
      <top style="double">
        <color rgb="FF339966"/>
      </top>
      <bottom style="double">
        <color rgb="FF35A16B"/>
      </bottom>
      <diagonal/>
    </border>
    <border diagonalDown="1">
      <left/>
      <right style="medium">
        <color auto="1"/>
      </right>
      <top style="double">
        <color rgb="FF35A16B"/>
      </top>
      <bottom/>
      <diagonal style="hair">
        <color theme="1"/>
      </diagonal>
    </border>
    <border diagonalDown="1">
      <left/>
      <right style="medium">
        <color auto="1"/>
      </right>
      <top/>
      <bottom/>
      <diagonal style="hair">
        <color theme="1"/>
      </diagonal>
    </border>
    <border diagonalDown="1">
      <left style="medium">
        <color indexed="64"/>
      </left>
      <right/>
      <top style="thin">
        <color indexed="64"/>
      </top>
      <bottom style="medium">
        <color indexed="64"/>
      </bottom>
      <diagonal style="hair">
        <color indexed="64"/>
      </diagonal>
    </border>
    <border diagonalDown="1">
      <left/>
      <right style="thin">
        <color indexed="64"/>
      </right>
      <top style="thin">
        <color indexed="64"/>
      </top>
      <bottom style="medium">
        <color indexed="64"/>
      </bottom>
      <diagonal style="hair">
        <color indexed="64"/>
      </diagonal>
    </border>
    <border>
      <left style="thin">
        <color indexed="64"/>
      </left>
      <right style="thin">
        <color indexed="64"/>
      </right>
      <top style="double">
        <color rgb="FF35A16B"/>
      </top>
      <bottom style="medium">
        <color indexed="64"/>
      </bottom>
      <diagonal/>
    </border>
    <border diagonalDown="1">
      <left/>
      <right style="medium">
        <color auto="1"/>
      </right>
      <top/>
      <bottom style="medium">
        <color indexed="64"/>
      </bottom>
      <diagonal style="hair">
        <color theme="1"/>
      </diagonal>
    </border>
    <border diagonalDown="1">
      <left style="thin">
        <color auto="1"/>
      </left>
      <right style="thin">
        <color auto="1"/>
      </right>
      <top/>
      <bottom style="thin">
        <color auto="1"/>
      </bottom>
      <diagonal style="hair">
        <color auto="1"/>
      </diagonal>
    </border>
    <border diagonalDown="1">
      <left style="thin">
        <color indexed="64"/>
      </left>
      <right style="thin">
        <color indexed="64"/>
      </right>
      <top style="thin">
        <color indexed="64"/>
      </top>
      <bottom style="thin">
        <color indexed="64"/>
      </bottom>
      <diagonal style="hair">
        <color auto="1"/>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double">
        <color rgb="FF35A16B"/>
      </bottom>
      <diagonal/>
    </border>
    <border>
      <left/>
      <right style="double">
        <color rgb="FF35A16B"/>
      </right>
      <top style="medium">
        <color indexed="64"/>
      </top>
      <bottom style="medium">
        <color indexed="64"/>
      </bottom>
      <diagonal/>
    </border>
    <border>
      <left style="thick">
        <color rgb="FF35A16B"/>
      </left>
      <right/>
      <top style="thick">
        <color rgb="FF35A16B"/>
      </top>
      <bottom/>
      <diagonal/>
    </border>
    <border>
      <left/>
      <right/>
      <top style="thick">
        <color rgb="FF35A16B"/>
      </top>
      <bottom/>
      <diagonal/>
    </border>
    <border>
      <left/>
      <right style="thick">
        <color rgb="FF35A16B"/>
      </right>
      <top style="thick">
        <color rgb="FF35A16B"/>
      </top>
      <bottom/>
      <diagonal/>
    </border>
    <border>
      <left style="thick">
        <color rgb="FF35A16B"/>
      </left>
      <right/>
      <top/>
      <bottom/>
      <diagonal/>
    </border>
    <border>
      <left/>
      <right style="thick">
        <color rgb="FF35A16B"/>
      </right>
      <top/>
      <bottom/>
      <diagonal/>
    </border>
    <border>
      <left style="thick">
        <color rgb="FF33A36B"/>
      </left>
      <right/>
      <top style="thick">
        <color rgb="FF33A36B"/>
      </top>
      <bottom/>
      <diagonal/>
    </border>
    <border>
      <left/>
      <right/>
      <top style="thick">
        <color rgb="FF33A36B"/>
      </top>
      <bottom/>
      <diagonal/>
    </border>
    <border>
      <left/>
      <right style="thick">
        <color rgb="FF33A36B"/>
      </right>
      <top style="thick">
        <color rgb="FF33A36B"/>
      </top>
      <bottom/>
      <diagonal/>
    </border>
    <border>
      <left style="thick">
        <color rgb="FF33A36B"/>
      </left>
      <right/>
      <top/>
      <bottom/>
      <diagonal/>
    </border>
    <border>
      <left/>
      <right style="thick">
        <color rgb="FF33A36B"/>
      </right>
      <top/>
      <bottom/>
      <diagonal/>
    </border>
    <border>
      <left style="thick">
        <color rgb="FF33A36B"/>
      </left>
      <right/>
      <top/>
      <bottom style="thick">
        <color rgb="FF33A36B"/>
      </bottom>
      <diagonal/>
    </border>
    <border>
      <left/>
      <right/>
      <top/>
      <bottom style="thick">
        <color rgb="FF35A36B"/>
      </bottom>
      <diagonal/>
    </border>
    <border>
      <left/>
      <right style="thick">
        <color rgb="FF33A36B"/>
      </right>
      <top/>
      <bottom style="thick">
        <color rgb="FF33A36B"/>
      </bottom>
      <diagonal/>
    </border>
    <border>
      <left style="thin">
        <color theme="1"/>
      </left>
      <right style="thin">
        <color indexed="64"/>
      </right>
      <top style="thin">
        <color theme="1"/>
      </top>
      <bottom/>
      <diagonal/>
    </border>
    <border>
      <left style="thin">
        <color theme="1"/>
      </left>
      <right style="thin">
        <color indexed="64"/>
      </right>
      <top/>
      <bottom style="medium">
        <color theme="1"/>
      </bottom>
      <diagonal/>
    </border>
    <border diagonalDown="1">
      <left style="medium">
        <color auto="1"/>
      </left>
      <right style="thin">
        <color theme="1"/>
      </right>
      <top style="medium">
        <color auto="1"/>
      </top>
      <bottom style="thin">
        <color auto="1"/>
      </bottom>
      <diagonal style="hair">
        <color auto="1"/>
      </diagonal>
    </border>
    <border>
      <left style="thin">
        <color theme="1"/>
      </left>
      <right/>
      <top style="medium">
        <color theme="1"/>
      </top>
      <bottom style="thin">
        <color indexed="64"/>
      </bottom>
      <diagonal/>
    </border>
    <border>
      <left style="double">
        <color rgb="FF35A36B"/>
      </left>
      <right style="double">
        <color rgb="FF35A36B"/>
      </right>
      <top style="double">
        <color rgb="FF35A16B"/>
      </top>
      <bottom style="double">
        <color rgb="FF35A16B"/>
      </bottom>
      <diagonal/>
    </border>
    <border>
      <left style="double">
        <color rgb="FF35A36B"/>
      </left>
      <right/>
      <top/>
      <bottom/>
      <diagonal/>
    </border>
    <border diagonalDown="1">
      <left style="thin">
        <color auto="1"/>
      </left>
      <right/>
      <top style="thin">
        <color auto="1"/>
      </top>
      <bottom style="thin">
        <color auto="1"/>
      </bottom>
      <diagonal style="hair">
        <color auto="1"/>
      </diagonal>
    </border>
    <border diagonalDown="1">
      <left/>
      <right style="thin">
        <color auto="1"/>
      </right>
      <top style="thin">
        <color indexed="64"/>
      </top>
      <bottom style="thin">
        <color indexed="64"/>
      </bottom>
      <diagonal style="hair">
        <color auto="1"/>
      </diagonal>
    </border>
    <border>
      <left style="thin">
        <color theme="1"/>
      </left>
      <right/>
      <top style="thin">
        <color indexed="64"/>
      </top>
      <bottom/>
      <diagonal/>
    </border>
    <border>
      <left style="thin">
        <color indexed="64"/>
      </left>
      <right style="thin">
        <color theme="1"/>
      </right>
      <top/>
      <bottom style="thin">
        <color indexed="64"/>
      </bottom>
      <diagonal/>
    </border>
    <border>
      <left style="thin">
        <color indexed="64"/>
      </left>
      <right/>
      <top style="double">
        <color rgb="FF35A16B"/>
      </top>
      <bottom/>
      <diagonal/>
    </border>
    <border>
      <left style="thin">
        <color theme="1"/>
      </left>
      <right style="medium">
        <color theme="1"/>
      </right>
      <top style="thin">
        <color indexed="64"/>
      </top>
      <bottom style="thin">
        <color indexed="64"/>
      </bottom>
      <diagonal/>
    </border>
    <border>
      <left style="medium">
        <color indexed="64"/>
      </left>
      <right/>
      <top/>
      <bottom style="double">
        <color indexed="64"/>
      </bottom>
      <diagonal/>
    </border>
    <border>
      <left/>
      <right/>
      <top/>
      <bottom style="double">
        <color indexed="64"/>
      </bottom>
      <diagonal/>
    </border>
    <border>
      <left style="thin">
        <color indexed="64"/>
      </left>
      <right style="thin">
        <color theme="1"/>
      </right>
      <top style="thin">
        <color indexed="64"/>
      </top>
      <bottom/>
      <diagonal/>
    </border>
    <border>
      <left style="thin">
        <color theme="1"/>
      </left>
      <right style="medium">
        <color theme="1"/>
      </right>
      <top style="thin">
        <color indexed="64"/>
      </top>
      <bottom style="double">
        <color theme="1"/>
      </bottom>
      <diagonal/>
    </border>
    <border>
      <left style="medium">
        <color indexed="64"/>
      </left>
      <right/>
      <top style="double">
        <color indexed="64"/>
      </top>
      <bottom/>
      <diagonal/>
    </border>
    <border>
      <left/>
      <right style="double">
        <color rgb="FF35A36B"/>
      </right>
      <top style="double">
        <color indexed="64"/>
      </top>
      <bottom/>
      <diagonal/>
    </border>
    <border>
      <left style="double">
        <color rgb="FF35A36B"/>
      </left>
      <right style="medium">
        <color theme="1"/>
      </right>
      <top style="double">
        <color rgb="FF35A36B"/>
      </top>
      <bottom style="thin">
        <color indexed="64"/>
      </bottom>
      <diagonal/>
    </border>
    <border>
      <left/>
      <right/>
      <top style="double">
        <color rgb="FF35A16B"/>
      </top>
      <bottom style="thin">
        <color indexed="64"/>
      </bottom>
      <diagonal/>
    </border>
    <border>
      <left style="thin">
        <color indexed="64"/>
      </left>
      <right style="double">
        <color rgb="FF35A16B"/>
      </right>
      <top style="double">
        <color rgb="FF35A36B"/>
      </top>
      <bottom style="thin">
        <color auto="1"/>
      </bottom>
      <diagonal/>
    </border>
    <border diagonalDown="1">
      <left style="double">
        <color rgb="FF35A16B"/>
      </left>
      <right style="medium">
        <color theme="1"/>
      </right>
      <top style="double">
        <color theme="1"/>
      </top>
      <bottom/>
      <diagonal style="thin">
        <color theme="1"/>
      </diagonal>
    </border>
    <border>
      <left/>
      <right style="double">
        <color rgb="FF35A36B"/>
      </right>
      <top/>
      <bottom/>
      <diagonal/>
    </border>
    <border>
      <left style="double">
        <color rgb="FF35A36B"/>
      </left>
      <right style="medium">
        <color theme="1"/>
      </right>
      <top style="thin">
        <color indexed="64"/>
      </top>
      <bottom style="thin">
        <color indexed="64"/>
      </bottom>
      <diagonal/>
    </border>
    <border>
      <left style="thin">
        <color indexed="64"/>
      </left>
      <right style="double">
        <color rgb="FF35A16B"/>
      </right>
      <top style="thin">
        <color auto="1"/>
      </top>
      <bottom style="thin">
        <color auto="1"/>
      </bottom>
      <diagonal/>
    </border>
    <border diagonalDown="1">
      <left style="double">
        <color rgb="FF35A16B"/>
      </left>
      <right style="medium">
        <color theme="1"/>
      </right>
      <top/>
      <bottom/>
      <diagonal style="thin">
        <color theme="1"/>
      </diagonal>
    </border>
    <border>
      <left style="double">
        <color rgb="FF35A36B"/>
      </left>
      <right style="medium">
        <color theme="1"/>
      </right>
      <top style="thin">
        <color indexed="64"/>
      </top>
      <bottom/>
      <diagonal/>
    </border>
    <border>
      <left style="thin">
        <color indexed="64"/>
      </left>
      <right style="double">
        <color rgb="FF35A16B"/>
      </right>
      <top style="thin">
        <color indexed="64"/>
      </top>
      <bottom/>
      <diagonal/>
    </border>
    <border>
      <left style="double">
        <color indexed="64"/>
      </left>
      <right style="double">
        <color indexed="64"/>
      </right>
      <top style="thin">
        <color indexed="64"/>
      </top>
      <bottom/>
      <diagonal/>
    </border>
    <border>
      <left style="double">
        <color indexed="64"/>
      </left>
      <right style="thin">
        <color indexed="64"/>
      </right>
      <top style="thin">
        <color indexed="64"/>
      </top>
      <bottom style="thin">
        <color indexed="64"/>
      </bottom>
      <diagonal/>
    </border>
    <border>
      <left/>
      <right/>
      <top style="double">
        <color rgb="FF35A36B"/>
      </top>
      <bottom/>
      <diagonal/>
    </border>
    <border diagonalDown="1">
      <left style="thin">
        <color auto="1"/>
      </left>
      <right/>
      <top style="double">
        <color auto="1"/>
      </top>
      <bottom style="thin">
        <color indexed="64"/>
      </bottom>
      <diagonal style="hair">
        <color auto="1"/>
      </diagonal>
    </border>
    <border diagonalDown="1">
      <left/>
      <right style="thin">
        <color auto="1"/>
      </right>
      <top/>
      <bottom style="thin">
        <color indexed="64"/>
      </bottom>
      <diagonal style="hair">
        <color auto="1"/>
      </diagonal>
    </border>
    <border>
      <left style="medium">
        <color indexed="64"/>
      </left>
      <right/>
      <top/>
      <bottom style="medium">
        <color theme="1"/>
      </bottom>
      <diagonal/>
    </border>
    <border diagonalDown="1">
      <left style="medium">
        <color theme="1"/>
      </left>
      <right style="thin">
        <color theme="1"/>
      </right>
      <top style="medium">
        <color theme="1"/>
      </top>
      <bottom style="thin">
        <color indexed="64"/>
      </bottom>
      <diagonal style="hair">
        <color theme="1"/>
      </diagonal>
    </border>
    <border>
      <left style="double">
        <color rgb="FF35A36B"/>
      </left>
      <right style="double">
        <color rgb="FF35A36B"/>
      </right>
      <top style="double">
        <color rgb="FF35A36B"/>
      </top>
      <bottom style="double">
        <color rgb="FF35A36B"/>
      </bottom>
      <diagonal/>
    </border>
    <border>
      <left style="thin">
        <color theme="1"/>
      </left>
      <right/>
      <top style="thin">
        <color indexed="64"/>
      </top>
      <bottom style="thin">
        <color indexed="64"/>
      </bottom>
      <diagonal/>
    </border>
    <border>
      <left style="thin">
        <color indexed="64"/>
      </left>
      <right style="thin">
        <color theme="1"/>
      </right>
      <top style="thin">
        <color indexed="64"/>
      </top>
      <bottom style="thin">
        <color indexed="64"/>
      </bottom>
      <diagonal/>
    </border>
    <border>
      <left style="thin">
        <color theme="1"/>
      </left>
      <right style="medium">
        <color theme="1"/>
      </right>
      <top/>
      <bottom style="thin">
        <color indexed="64"/>
      </bottom>
      <diagonal/>
    </border>
    <border>
      <left style="thin">
        <color theme="1"/>
      </left>
      <right style="medium">
        <color theme="1"/>
      </right>
      <top style="thin">
        <color indexed="64"/>
      </top>
      <bottom/>
      <diagonal/>
    </border>
    <border>
      <left/>
      <right/>
      <top style="double">
        <color rgb="FF35A36B"/>
      </top>
      <bottom style="thin">
        <color indexed="64"/>
      </bottom>
      <diagonal/>
    </border>
    <border diagonalDown="1">
      <left style="double">
        <color rgb="FF35A16B"/>
      </left>
      <right style="medium">
        <color theme="1"/>
      </right>
      <top style="double">
        <color auto="1"/>
      </top>
      <bottom/>
      <diagonal style="thin">
        <color theme="1"/>
      </diagonal>
    </border>
    <border>
      <left/>
      <right style="double">
        <color rgb="FF35A36B"/>
      </right>
      <top/>
      <bottom style="medium">
        <color indexed="64"/>
      </bottom>
      <diagonal/>
    </border>
    <border>
      <left style="double">
        <color rgb="FF35A36B"/>
      </left>
      <right style="medium">
        <color theme="1"/>
      </right>
      <top style="thin">
        <color indexed="64"/>
      </top>
      <bottom style="double">
        <color rgb="FF35A36B"/>
      </bottom>
      <diagonal/>
    </border>
    <border>
      <left/>
      <right/>
      <top style="thin">
        <color indexed="64"/>
      </top>
      <bottom style="double">
        <color rgb="FF35A36B"/>
      </bottom>
      <diagonal/>
    </border>
    <border>
      <left style="thin">
        <color indexed="64"/>
      </left>
      <right style="double">
        <color rgb="FF35A16B"/>
      </right>
      <top style="thin">
        <color indexed="64"/>
      </top>
      <bottom style="double">
        <color rgb="FF35A36B"/>
      </bottom>
      <diagonal/>
    </border>
    <border diagonalDown="1">
      <left style="double">
        <color rgb="FF35A16B"/>
      </left>
      <right style="medium">
        <color theme="1"/>
      </right>
      <top/>
      <bottom style="medium">
        <color indexed="64"/>
      </bottom>
      <diagonal style="thin">
        <color theme="1"/>
      </diagonal>
    </border>
    <border>
      <left style="thin">
        <color indexed="64"/>
      </left>
      <right/>
      <top/>
      <bottom style="medium">
        <color indexed="64"/>
      </bottom>
      <diagonal/>
    </border>
    <border>
      <left style="thin">
        <color indexed="64"/>
      </left>
      <right style="thin">
        <color indexed="64"/>
      </right>
      <top/>
      <bottom style="medium">
        <color indexed="64"/>
      </bottom>
      <diagonal/>
    </border>
    <border diagonalDown="1">
      <left style="medium">
        <color auto="1"/>
      </left>
      <right style="thin">
        <color indexed="64"/>
      </right>
      <top style="medium">
        <color auto="1"/>
      </top>
      <bottom/>
      <diagonal style="hair">
        <color auto="1"/>
      </diagonal>
    </border>
    <border>
      <left style="thin">
        <color indexed="64"/>
      </left>
      <right/>
      <top style="medium">
        <color theme="1"/>
      </top>
      <bottom/>
      <diagonal/>
    </border>
    <border>
      <left style="double">
        <color rgb="FF35A36B"/>
      </left>
      <right style="double">
        <color rgb="FF35A36B"/>
      </right>
      <top style="double">
        <color rgb="FF35A16B"/>
      </top>
      <bottom style="double">
        <color rgb="FF35A36B"/>
      </bottom>
      <diagonal/>
    </border>
    <border diagonalDown="1">
      <left style="medium">
        <color auto="1"/>
      </left>
      <right/>
      <top style="thin">
        <color auto="1"/>
      </top>
      <bottom style="thin">
        <color indexed="64"/>
      </bottom>
      <diagonal style="hair">
        <color auto="1"/>
      </diagonal>
    </border>
    <border diagonalDown="1">
      <left/>
      <right/>
      <top style="thin">
        <color indexed="64"/>
      </top>
      <bottom style="thin">
        <color indexed="64"/>
      </bottom>
      <diagonal style="hair">
        <color indexed="64"/>
      </diagonal>
    </border>
    <border diagonalDown="1">
      <left/>
      <right/>
      <top/>
      <bottom style="thin">
        <color indexed="64"/>
      </bottom>
      <diagonal style="hair">
        <color indexed="64"/>
      </diagonal>
    </border>
    <border>
      <left style="thin">
        <color theme="1"/>
      </left>
      <right/>
      <top style="thin">
        <color theme="1"/>
      </top>
      <bottom style="thin">
        <color indexed="64"/>
      </bottom>
      <diagonal/>
    </border>
    <border>
      <left style="double">
        <color auto="1"/>
      </left>
      <right style="thin">
        <color auto="1"/>
      </right>
      <top/>
      <bottom style="thin">
        <color indexed="64"/>
      </bottom>
      <diagonal/>
    </border>
    <border>
      <left style="medium">
        <color indexed="64"/>
      </left>
      <right style="thin">
        <color indexed="64"/>
      </right>
      <top style="thin">
        <color indexed="64"/>
      </top>
      <bottom/>
      <diagonal/>
    </border>
    <border>
      <left style="double">
        <color indexed="64"/>
      </left>
      <right style="thin">
        <color indexed="64"/>
      </right>
      <top style="thin">
        <color indexed="64"/>
      </top>
      <bottom/>
      <diagonal/>
    </border>
    <border diagonalUp="1">
      <left/>
      <right/>
      <top/>
      <bottom/>
      <diagonal style="thin">
        <color auto="1"/>
      </diagonal>
    </border>
    <border diagonalDown="1">
      <left style="medium">
        <color indexed="64"/>
      </left>
      <right style="thin">
        <color indexed="64"/>
      </right>
      <top style="thin">
        <color indexed="64"/>
      </top>
      <bottom style="medium">
        <color indexed="64"/>
      </bottom>
      <diagonal style="thin">
        <color indexed="64"/>
      </diagonal>
    </border>
    <border>
      <left style="thin">
        <color indexed="64"/>
      </left>
      <right style="thin">
        <color theme="1"/>
      </right>
      <top style="thin">
        <color indexed="64"/>
      </top>
      <bottom style="medium">
        <color indexed="64"/>
      </bottom>
      <diagonal/>
    </border>
    <border>
      <left style="double">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double">
        <color rgb="FF35A36B"/>
      </left>
      <right style="double">
        <color rgb="FF35A36B"/>
      </right>
      <top style="medium">
        <color theme="1"/>
      </top>
      <bottom style="thin">
        <color auto="1"/>
      </bottom>
      <diagonal/>
    </border>
    <border>
      <left style="double">
        <color rgb="FF35A36B"/>
      </left>
      <right style="double">
        <color rgb="FF35A36B"/>
      </right>
      <top style="double">
        <color rgb="FF35A16B"/>
      </top>
      <bottom style="thin">
        <color indexed="64"/>
      </bottom>
      <diagonal/>
    </border>
    <border>
      <left style="double">
        <color auto="1"/>
      </left>
      <right style="double">
        <color auto="1"/>
      </right>
      <top style="double">
        <color auto="1"/>
      </top>
      <bottom/>
      <diagonal/>
    </border>
    <border>
      <left style="double">
        <color rgb="FF35A36B"/>
      </left>
      <right style="double">
        <color rgb="FF35A36B"/>
      </right>
      <top style="thin">
        <color indexed="64"/>
      </top>
      <bottom style="thin">
        <color indexed="64"/>
      </bottom>
      <diagonal/>
    </border>
    <border>
      <left style="double">
        <color rgb="FF35A36B"/>
      </left>
      <right style="double">
        <color rgb="FF35A36B"/>
      </right>
      <top style="thin">
        <color auto="1"/>
      </top>
      <bottom style="medium">
        <color auto="1"/>
      </bottom>
      <diagonal/>
    </border>
    <border>
      <left style="double">
        <color rgb="FF35A36B"/>
      </left>
      <right style="double">
        <color rgb="FF35A36B"/>
      </right>
      <top style="thin">
        <color indexed="64"/>
      </top>
      <bottom style="double">
        <color rgb="FF35A16B"/>
      </bottom>
      <diagonal/>
    </border>
    <border diagonalDown="1">
      <left style="thin">
        <color auto="1"/>
      </left>
      <right/>
      <top/>
      <bottom style="thin">
        <color auto="1"/>
      </bottom>
      <diagonal style="hair">
        <color auto="1"/>
      </diagonal>
    </border>
    <border>
      <left style="double">
        <color rgb="FF35A36B"/>
      </left>
      <right/>
      <top style="double">
        <color rgb="FF35A36B"/>
      </top>
      <bottom style="double">
        <color rgb="FF35A36B"/>
      </bottom>
      <diagonal/>
    </border>
    <border>
      <left style="double">
        <color rgb="FF35A36B"/>
      </left>
      <right/>
      <top style="medium">
        <color indexed="64"/>
      </top>
      <bottom/>
      <diagonal/>
    </border>
    <border>
      <left style="medium">
        <color indexed="64"/>
      </left>
      <right style="thin">
        <color indexed="64"/>
      </right>
      <top/>
      <bottom/>
      <diagonal/>
    </border>
    <border diagonalDown="1">
      <left style="medium">
        <color auto="1"/>
      </left>
      <right/>
      <top style="double">
        <color rgb="FF35A36B"/>
      </top>
      <bottom/>
      <diagonal style="thin">
        <color auto="1"/>
      </diagonal>
    </border>
    <border diagonalDown="1">
      <left/>
      <right style="thin">
        <color indexed="64"/>
      </right>
      <top style="double">
        <color rgb="FF35A36B"/>
      </top>
      <bottom/>
      <diagonal style="thin">
        <color auto="1"/>
      </diagonal>
    </border>
    <border>
      <left style="double">
        <color indexed="64"/>
      </left>
      <right/>
      <top style="thin">
        <color indexed="64"/>
      </top>
      <bottom style="thin">
        <color indexed="64"/>
      </bottom>
      <diagonal/>
    </border>
    <border>
      <left style="double">
        <color indexed="64"/>
      </left>
      <right/>
      <top/>
      <bottom style="thin">
        <color indexed="64"/>
      </bottom>
      <diagonal/>
    </border>
    <border>
      <left style="thin">
        <color indexed="64"/>
      </left>
      <right style="thin">
        <color theme="1"/>
      </right>
      <top/>
      <bottom/>
      <diagonal/>
    </border>
    <border diagonalDown="1">
      <left style="medium">
        <color indexed="64"/>
      </left>
      <right/>
      <top style="thin">
        <color indexed="64"/>
      </top>
      <bottom/>
      <diagonal style="thin">
        <color indexed="64"/>
      </diagonal>
    </border>
    <border diagonalDown="1">
      <left/>
      <right style="thin">
        <color indexed="64"/>
      </right>
      <top style="thin">
        <color indexed="64"/>
      </top>
      <bottom/>
      <diagonal style="thin">
        <color indexed="64"/>
      </diagonal>
    </border>
    <border>
      <left style="double">
        <color indexed="64"/>
      </left>
      <right/>
      <top/>
      <bottom/>
      <diagonal/>
    </border>
    <border diagonalUp="1">
      <left style="thin">
        <color indexed="64"/>
      </left>
      <right/>
      <top/>
      <bottom/>
      <diagonal style="thin">
        <color indexed="64"/>
      </diagonal>
    </border>
    <border>
      <left style="medium">
        <color indexed="64"/>
      </left>
      <right style="thin">
        <color indexed="64"/>
      </right>
      <top/>
      <bottom style="medium">
        <color indexed="64"/>
      </bottom>
      <diagonal/>
    </border>
    <border>
      <left style="medium">
        <color auto="1"/>
      </left>
      <right style="double">
        <color auto="1"/>
      </right>
      <top style="thin">
        <color indexed="64"/>
      </top>
      <bottom style="medium">
        <color auto="1"/>
      </bottom>
      <diagonal/>
    </border>
    <border diagonalDown="1">
      <left style="medium">
        <color auto="1"/>
      </left>
      <right/>
      <top/>
      <bottom/>
      <diagonal style="thin">
        <color auto="1"/>
      </diagonal>
    </border>
    <border>
      <left style="thin">
        <color indexed="64"/>
      </left>
      <right style="double">
        <color rgb="FF35A16B"/>
      </right>
      <top style="medium">
        <color indexed="64"/>
      </top>
      <bottom style="thin">
        <color indexed="64"/>
      </bottom>
      <diagonal/>
    </border>
    <border>
      <left/>
      <right/>
      <top style="double">
        <color rgb="FF35A16B"/>
      </top>
      <bottom/>
      <diagonal/>
    </border>
    <border>
      <left/>
      <right style="double">
        <color rgb="FF35A16B"/>
      </right>
      <top style="double">
        <color rgb="FF35A16B"/>
      </top>
      <bottom/>
      <diagonal/>
    </border>
    <border>
      <left style="thin">
        <color auto="1"/>
      </left>
      <right style="double">
        <color auto="1"/>
      </right>
      <top style="double">
        <color rgb="FF35A16B"/>
      </top>
      <bottom/>
      <diagonal/>
    </border>
    <border>
      <left style="double">
        <color auto="1"/>
      </left>
      <right style="thin">
        <color rgb="FFFF0000"/>
      </right>
      <top style="double">
        <color rgb="FF35A16B"/>
      </top>
      <bottom/>
      <diagonal/>
    </border>
    <border>
      <left style="thin">
        <color rgb="FFFF0000"/>
      </left>
      <right style="thin">
        <color rgb="FFFF0000"/>
      </right>
      <top style="double">
        <color rgb="FF35A16B"/>
      </top>
      <bottom/>
      <diagonal/>
    </border>
    <border>
      <left style="thin">
        <color rgb="FFFF0000"/>
      </left>
      <right style="medium">
        <color auto="1"/>
      </right>
      <top style="double">
        <color rgb="FF35A16B"/>
      </top>
      <bottom/>
      <diagonal/>
    </border>
    <border>
      <left style="medium">
        <color auto="1"/>
      </left>
      <right style="thin">
        <color auto="1"/>
      </right>
      <top style="thin">
        <color theme="1"/>
      </top>
      <bottom/>
      <diagonal/>
    </border>
    <border>
      <left style="thin">
        <color auto="1"/>
      </left>
      <right style="double">
        <color auto="1"/>
      </right>
      <top style="thin">
        <color theme="1"/>
      </top>
      <bottom style="thin">
        <color theme="1"/>
      </bottom>
      <diagonal/>
    </border>
    <border>
      <left style="double">
        <color auto="1"/>
      </left>
      <right style="thin">
        <color rgb="FFFF0000"/>
      </right>
      <top style="thin">
        <color theme="1"/>
      </top>
      <bottom style="thin">
        <color theme="1"/>
      </bottom>
      <diagonal/>
    </border>
    <border>
      <left style="thin">
        <color rgb="FFFF0000"/>
      </left>
      <right style="thin">
        <color rgb="FFFF0000"/>
      </right>
      <top style="thin">
        <color theme="1"/>
      </top>
      <bottom style="thin">
        <color theme="1"/>
      </bottom>
      <diagonal/>
    </border>
    <border>
      <left style="thin">
        <color rgb="FFFF0000"/>
      </left>
      <right style="medium">
        <color auto="1"/>
      </right>
      <top style="thin">
        <color theme="1"/>
      </top>
      <bottom style="thin">
        <color theme="1"/>
      </bottom>
      <diagonal/>
    </border>
    <border>
      <left style="medium">
        <color auto="1"/>
      </left>
      <right style="thin">
        <color auto="1"/>
      </right>
      <top style="thin">
        <color theme="1"/>
      </top>
      <bottom style="thin">
        <color auto="1"/>
      </bottom>
      <diagonal/>
    </border>
    <border diagonalDown="1">
      <left style="medium">
        <color indexed="64"/>
      </left>
      <right style="thin">
        <color indexed="64"/>
      </right>
      <top style="thin">
        <color indexed="64"/>
      </top>
      <bottom/>
      <diagonal style="thin">
        <color indexed="64"/>
      </diagonal>
    </border>
    <border>
      <left style="thin">
        <color auto="1"/>
      </left>
      <right style="double">
        <color auto="1"/>
      </right>
      <top style="thin">
        <color theme="1"/>
      </top>
      <bottom style="double">
        <color auto="1"/>
      </bottom>
      <diagonal/>
    </border>
    <border>
      <left style="double">
        <color auto="1"/>
      </left>
      <right style="thin">
        <color rgb="FFFF0000"/>
      </right>
      <top style="thin">
        <color theme="1"/>
      </top>
      <bottom style="double">
        <color rgb="FF35A36B"/>
      </bottom>
      <diagonal/>
    </border>
    <border>
      <left style="thin">
        <color rgb="FFFF0000"/>
      </left>
      <right style="thin">
        <color rgb="FFFF0000"/>
      </right>
      <top style="thin">
        <color theme="1"/>
      </top>
      <bottom style="double">
        <color rgb="FF35A36B"/>
      </bottom>
      <diagonal/>
    </border>
    <border>
      <left style="thin">
        <color rgb="FFFF0000"/>
      </left>
      <right style="medium">
        <color auto="1"/>
      </right>
      <top style="thin">
        <color theme="1"/>
      </top>
      <bottom style="double">
        <color rgb="FF35A36B"/>
      </bottom>
      <diagonal/>
    </border>
    <border diagonalDown="1">
      <left style="thin">
        <color auto="1"/>
      </left>
      <right style="thin">
        <color auto="1"/>
      </right>
      <top style="thin">
        <color indexed="64"/>
      </top>
      <bottom/>
      <diagonal style="hair">
        <color auto="1"/>
      </diagonal>
    </border>
    <border>
      <left style="medium">
        <color indexed="64"/>
      </left>
      <right/>
      <top style="double">
        <color indexed="64"/>
      </top>
      <bottom/>
      <diagonal/>
    </border>
    <border>
      <left/>
      <right style="double">
        <color rgb="FF35A16B"/>
      </right>
      <top style="double">
        <color indexed="64"/>
      </top>
      <bottom/>
      <diagonal/>
    </border>
    <border>
      <left/>
      <right style="medium">
        <color theme="1"/>
      </right>
      <top style="double">
        <color rgb="FF35A16B"/>
      </top>
      <bottom/>
      <diagonal/>
    </border>
    <border>
      <left/>
      <right style="thin">
        <color theme="1"/>
      </right>
      <top style="double">
        <color rgb="FF35A16B"/>
      </top>
      <bottom/>
      <diagonal/>
    </border>
    <border>
      <left style="thin">
        <color theme="1"/>
      </left>
      <right style="double">
        <color rgb="FF35A16B"/>
      </right>
      <top style="double">
        <color rgb="FF35A16B"/>
      </top>
      <bottom style="thin">
        <color theme="1"/>
      </bottom>
      <diagonal/>
    </border>
    <border diagonalDown="1">
      <left style="double">
        <color rgb="FF35A16B"/>
      </left>
      <right style="double">
        <color rgb="FF35A16B"/>
      </right>
      <top style="double">
        <color auto="1"/>
      </top>
      <bottom/>
      <diagonal style="thin">
        <color theme="1"/>
      </diagonal>
    </border>
    <border>
      <left style="double">
        <color rgb="FF35A16B"/>
      </left>
      <right/>
      <top style="double">
        <color rgb="FF35A36B"/>
      </top>
      <bottom style="thin">
        <color theme="1"/>
      </bottom>
      <diagonal/>
    </border>
    <border>
      <left/>
      <right/>
      <top style="double">
        <color rgb="FF35A36B"/>
      </top>
      <bottom style="thin">
        <color theme="1"/>
      </bottom>
      <diagonal/>
    </border>
    <border>
      <left/>
      <right style="double">
        <color rgb="FF35A16B"/>
      </right>
      <top style="double">
        <color rgb="FF35A36B"/>
      </top>
      <bottom style="thin">
        <color theme="1"/>
      </bottom>
      <diagonal/>
    </border>
    <border>
      <left style="double">
        <color rgb="FF35A16B"/>
      </left>
      <right/>
      <top/>
      <bottom/>
      <diagonal/>
    </border>
    <border>
      <left/>
      <right style="double">
        <color rgb="FF35A16B"/>
      </right>
      <top/>
      <bottom/>
      <diagonal/>
    </border>
    <border>
      <left style="double">
        <color rgb="FF35A16B"/>
      </left>
      <right/>
      <top style="thin">
        <color theme="1"/>
      </top>
      <bottom style="thin">
        <color auto="1"/>
      </bottom>
      <diagonal/>
    </border>
    <border>
      <left/>
      <right/>
      <top style="thin">
        <color theme="1"/>
      </top>
      <bottom style="thin">
        <color auto="1"/>
      </bottom>
      <diagonal/>
    </border>
    <border>
      <left/>
      <right style="medium">
        <color theme="1"/>
      </right>
      <top style="thin">
        <color theme="1"/>
      </top>
      <bottom style="thin">
        <color auto="1"/>
      </bottom>
      <diagonal/>
    </border>
    <border>
      <left/>
      <right style="thin">
        <color theme="1"/>
      </right>
      <top style="thin">
        <color theme="1"/>
      </top>
      <bottom style="thin">
        <color auto="1"/>
      </bottom>
      <diagonal/>
    </border>
    <border>
      <left style="thin">
        <color theme="1"/>
      </left>
      <right style="double">
        <color rgb="FF35A16B"/>
      </right>
      <top style="thin">
        <color theme="1"/>
      </top>
      <bottom style="thin">
        <color auto="1"/>
      </bottom>
      <diagonal/>
    </border>
    <border diagonalDown="1">
      <left style="double">
        <color rgb="FF35A16B"/>
      </left>
      <right style="double">
        <color rgb="FF35A16B"/>
      </right>
      <top/>
      <bottom/>
      <diagonal style="thin">
        <color theme="1"/>
      </diagonal>
    </border>
    <border>
      <left style="double">
        <color rgb="FF35A16B"/>
      </left>
      <right/>
      <top style="thin">
        <color theme="1"/>
      </top>
      <bottom style="thin">
        <color theme="1"/>
      </bottom>
      <diagonal/>
    </border>
    <border>
      <left/>
      <right/>
      <top style="thin">
        <color theme="1"/>
      </top>
      <bottom style="thin">
        <color theme="1"/>
      </bottom>
      <diagonal/>
    </border>
    <border>
      <left/>
      <right style="double">
        <color rgb="FF35A16B"/>
      </right>
      <top style="thin">
        <color theme="1"/>
      </top>
      <bottom style="thin">
        <color theme="1"/>
      </bottom>
      <diagonal/>
    </border>
    <border>
      <left/>
      <right style="medium">
        <color theme="1"/>
      </right>
      <top style="thin">
        <color auto="1"/>
      </top>
      <bottom style="thin">
        <color auto="1"/>
      </bottom>
      <diagonal/>
    </border>
    <border>
      <left/>
      <right style="thin">
        <color theme="1"/>
      </right>
      <top style="thin">
        <color auto="1"/>
      </top>
      <bottom style="thin">
        <color auto="1"/>
      </bottom>
      <diagonal/>
    </border>
    <border>
      <left style="thin">
        <color theme="1"/>
      </left>
      <right style="double">
        <color rgb="FF35A16B"/>
      </right>
      <top style="thin">
        <color auto="1"/>
      </top>
      <bottom style="thin">
        <color auto="1"/>
      </bottom>
      <diagonal/>
    </border>
    <border>
      <left/>
      <right style="medium">
        <color theme="1"/>
      </right>
      <top/>
      <bottom/>
      <diagonal/>
    </border>
    <border>
      <left/>
      <right style="thin">
        <color theme="1"/>
      </right>
      <top/>
      <bottom/>
      <diagonal/>
    </border>
    <border>
      <left style="thin">
        <color theme="1"/>
      </left>
      <right style="double">
        <color rgb="FF35A16B"/>
      </right>
      <top/>
      <bottom/>
      <diagonal/>
    </border>
    <border>
      <left style="double">
        <color rgb="FF35A16B"/>
      </left>
      <right/>
      <top style="thin">
        <color theme="1"/>
      </top>
      <bottom/>
      <diagonal/>
    </border>
    <border>
      <left/>
      <right/>
      <top style="thin">
        <color theme="1"/>
      </top>
      <bottom/>
      <diagonal/>
    </border>
    <border>
      <left/>
      <right style="double">
        <color rgb="FF35A16B"/>
      </right>
      <top style="thin">
        <color theme="1"/>
      </top>
      <bottom/>
      <diagonal/>
    </border>
    <border diagonalDown="1">
      <left style="thin">
        <color indexed="64"/>
      </left>
      <right style="thin">
        <color indexed="64"/>
      </right>
      <top style="double">
        <color indexed="64"/>
      </top>
      <bottom style="thin">
        <color indexed="64"/>
      </bottom>
      <diagonal style="hair">
        <color indexed="64"/>
      </diagonal>
    </border>
    <border>
      <left style="thin">
        <color auto="1"/>
      </left>
      <right style="double">
        <color auto="1"/>
      </right>
      <top style="double">
        <color rgb="FF35A36B"/>
      </top>
      <bottom style="thin">
        <color auto="1"/>
      </bottom>
      <diagonal/>
    </border>
    <border>
      <left/>
      <right style="medium">
        <color auto="1"/>
      </right>
      <top style="double">
        <color rgb="FF35A36B"/>
      </top>
      <bottom/>
      <diagonal/>
    </border>
    <border diagonalDown="1">
      <left style="medium">
        <color auto="1"/>
      </left>
      <right/>
      <top style="thin">
        <color auto="1"/>
      </top>
      <bottom style="thin">
        <color auto="1"/>
      </bottom>
      <diagonal style="thin">
        <color auto="1"/>
      </diagonal>
    </border>
    <border diagonalDown="1">
      <left/>
      <right/>
      <top style="thin">
        <color auto="1"/>
      </top>
      <bottom style="thin">
        <color auto="1"/>
      </bottom>
      <diagonal style="thin">
        <color auto="1"/>
      </diagonal>
    </border>
    <border diagonalDown="1">
      <left/>
      <right style="medium">
        <color auto="1"/>
      </right>
      <top style="thin">
        <color auto="1"/>
      </top>
      <bottom style="thin">
        <color auto="1"/>
      </bottom>
      <diagonal style="thin">
        <color auto="1"/>
      </diagonal>
    </border>
    <border>
      <left style="thin">
        <color indexed="64"/>
      </left>
      <right/>
      <top style="thin">
        <color indexed="64"/>
      </top>
      <bottom style="double">
        <color rgb="FF35A16B"/>
      </bottom>
      <diagonal/>
    </border>
    <border>
      <left/>
      <right/>
      <top style="thin">
        <color indexed="64"/>
      </top>
      <bottom style="double">
        <color rgb="FF35A16B"/>
      </bottom>
      <diagonal/>
    </border>
    <border>
      <left/>
      <right style="medium">
        <color indexed="64"/>
      </right>
      <top style="thin">
        <color indexed="64"/>
      </top>
      <bottom style="double">
        <color rgb="FF35A16B"/>
      </bottom>
      <diagonal/>
    </border>
    <border>
      <left style="thin">
        <color indexed="64"/>
      </left>
      <right style="double">
        <color auto="1"/>
      </right>
      <top style="thin">
        <color indexed="64"/>
      </top>
      <bottom/>
      <diagonal/>
    </border>
    <border>
      <left style="double">
        <color indexed="64"/>
      </left>
      <right/>
      <top style="thin">
        <color indexed="64"/>
      </top>
      <bottom style="double">
        <color rgb="FF35A16B"/>
      </bottom>
      <diagonal/>
    </border>
    <border>
      <left/>
      <right/>
      <top style="double">
        <color rgb="FF35A16B"/>
      </top>
      <bottom style="thin">
        <color theme="1"/>
      </bottom>
      <diagonal/>
    </border>
    <border>
      <left/>
      <right style="medium">
        <color indexed="64"/>
      </right>
      <top style="double">
        <color rgb="FF35A16B"/>
      </top>
      <bottom style="thin">
        <color theme="1"/>
      </bottom>
      <diagonal/>
    </border>
    <border>
      <left style="medium">
        <color indexed="64"/>
      </left>
      <right/>
      <top style="double">
        <color rgb="FF35A16B"/>
      </top>
      <bottom/>
      <diagonal/>
    </border>
    <border>
      <left style="thin">
        <color indexed="64"/>
      </left>
      <right style="double">
        <color rgb="FF35A16B"/>
      </right>
      <top style="double">
        <color rgb="FF35A16B"/>
      </top>
      <bottom/>
      <diagonal/>
    </border>
    <border>
      <left/>
      <right style="double">
        <color rgb="FF35A16B"/>
      </right>
      <top style="double">
        <color rgb="FF35A16B"/>
      </top>
      <bottom style="thin">
        <color indexed="64"/>
      </bottom>
      <diagonal/>
    </border>
    <border>
      <left/>
      <right style="medium">
        <color indexed="64"/>
      </right>
      <top style="thin">
        <color theme="1"/>
      </top>
      <bottom style="thin">
        <color auto="1"/>
      </bottom>
      <diagonal/>
    </border>
    <border>
      <left style="medium">
        <color indexed="64"/>
      </left>
      <right/>
      <top style="thin">
        <color theme="1"/>
      </top>
      <bottom style="thin">
        <color auto="1"/>
      </bottom>
      <diagonal/>
    </border>
    <border>
      <left style="thin">
        <color auto="1"/>
      </left>
      <right style="double">
        <color rgb="FF35A16B"/>
      </right>
      <top style="thin">
        <color theme="1"/>
      </top>
      <bottom style="thin">
        <color auto="1"/>
      </bottom>
      <diagonal/>
    </border>
    <border>
      <left style="thin">
        <color indexed="64"/>
      </left>
      <right style="double">
        <color rgb="FF35A16B"/>
      </right>
      <top/>
      <bottom/>
      <diagonal/>
    </border>
    <border>
      <left/>
      <right style="double">
        <color rgb="FF35A16B"/>
      </right>
      <top style="thin">
        <color indexed="64"/>
      </top>
      <bottom/>
      <diagonal/>
    </border>
    <border>
      <left/>
      <right style="medium">
        <color indexed="64"/>
      </right>
      <top style="thin">
        <color theme="1"/>
      </top>
      <bottom/>
      <diagonal/>
    </border>
    <border>
      <left style="medium">
        <color indexed="64"/>
      </left>
      <right/>
      <top style="thin">
        <color theme="1"/>
      </top>
      <bottom/>
      <diagonal/>
    </border>
    <border>
      <left style="thin">
        <color auto="1"/>
      </left>
      <right style="double">
        <color rgb="FF35A16B"/>
      </right>
      <top style="thin">
        <color theme="1"/>
      </top>
      <bottom/>
      <diagonal/>
    </border>
    <border diagonalDown="1">
      <left style="double">
        <color rgb="FF35A16B"/>
      </left>
      <right style="double">
        <color rgb="FF35A16B"/>
      </right>
      <top/>
      <bottom style="medium">
        <color indexed="64"/>
      </bottom>
      <diagonal style="thin">
        <color theme="1"/>
      </diagonal>
    </border>
    <border>
      <left style="double">
        <color indexed="64"/>
      </left>
      <right style="double">
        <color indexed="64"/>
      </right>
      <top/>
      <bottom style="double">
        <color indexed="64"/>
      </bottom>
      <diagonal/>
    </border>
    <border diagonalDown="1">
      <left style="medium">
        <color indexed="64"/>
      </left>
      <right/>
      <top style="medium">
        <color indexed="64"/>
      </top>
      <bottom style="thin">
        <color indexed="64"/>
      </bottom>
      <diagonal style="thin">
        <color indexed="64"/>
      </diagonal>
    </border>
    <border diagonalDown="1">
      <left/>
      <right/>
      <top style="medium">
        <color indexed="64"/>
      </top>
      <bottom style="thin">
        <color indexed="64"/>
      </bottom>
      <diagonal style="thin">
        <color indexed="64"/>
      </diagonal>
    </border>
    <border diagonalDown="1">
      <left/>
      <right style="thin">
        <color indexed="64"/>
      </right>
      <top style="medium">
        <color indexed="64"/>
      </top>
      <bottom style="thin">
        <color indexed="64"/>
      </bottom>
      <diagonal style="thin">
        <color indexed="64"/>
      </diagonal>
    </border>
    <border>
      <left/>
      <right style="double">
        <color rgb="FF35A36B"/>
      </right>
      <top style="double">
        <color rgb="FF35A16B"/>
      </top>
      <bottom style="thin">
        <color theme="1"/>
      </bottom>
      <diagonal/>
    </border>
    <border>
      <left style="double">
        <color rgb="FF35A36B"/>
      </left>
      <right/>
      <top style="double">
        <color rgb="FF35A16B"/>
      </top>
      <bottom style="thin">
        <color theme="1"/>
      </bottom>
      <diagonal/>
    </border>
    <border diagonalDown="1">
      <left/>
      <right/>
      <top/>
      <bottom/>
      <diagonal style="thin">
        <color auto="1"/>
      </diagonal>
    </border>
    <border diagonalDown="1">
      <left/>
      <right style="thin">
        <color indexed="64"/>
      </right>
      <top/>
      <bottom/>
      <diagonal style="thin">
        <color auto="1"/>
      </diagonal>
    </border>
    <border>
      <left style="thin">
        <color auto="1"/>
      </left>
      <right/>
      <top style="double">
        <color rgb="FF35A16B"/>
      </top>
      <bottom style="thin">
        <color theme="1"/>
      </bottom>
      <diagonal/>
    </border>
    <border>
      <left/>
      <right style="double">
        <color auto="1"/>
      </right>
      <top style="double">
        <color rgb="FF35A16B"/>
      </top>
      <bottom style="thin">
        <color theme="1"/>
      </bottom>
      <diagonal/>
    </border>
    <border diagonalDown="1">
      <left/>
      <right/>
      <top style="thin">
        <color indexed="64"/>
      </top>
      <bottom/>
      <diagonal style="thin">
        <color indexed="64"/>
      </diagonal>
    </border>
    <border>
      <left style="thin">
        <color indexed="64"/>
      </left>
      <right/>
      <top style="thin">
        <color theme="1"/>
      </top>
      <bottom style="thin">
        <color theme="1"/>
      </bottom>
      <diagonal/>
    </border>
    <border>
      <left/>
      <right style="double">
        <color auto="1"/>
      </right>
      <top style="thin">
        <color theme="1"/>
      </top>
      <bottom style="thin">
        <color theme="1"/>
      </bottom>
      <diagonal/>
    </border>
    <border>
      <left/>
      <right style="medium">
        <color auto="1"/>
      </right>
      <top style="thin">
        <color theme="1"/>
      </top>
      <bottom style="thin">
        <color theme="1"/>
      </bottom>
      <diagonal/>
    </border>
    <border diagonalDown="1">
      <left style="medium">
        <color indexed="64"/>
      </left>
      <right/>
      <top style="thin">
        <color theme="1"/>
      </top>
      <bottom/>
      <diagonal style="thin">
        <color indexed="64"/>
      </diagonal>
    </border>
    <border diagonalDown="1">
      <left/>
      <right/>
      <top style="thin">
        <color theme="1"/>
      </top>
      <bottom/>
      <diagonal style="thin">
        <color indexed="64"/>
      </diagonal>
    </border>
    <border diagonalDown="1">
      <left/>
      <right style="thin">
        <color indexed="64"/>
      </right>
      <top style="thin">
        <color theme="1"/>
      </top>
      <bottom/>
      <diagonal style="thin">
        <color indexed="64"/>
      </diagonal>
    </border>
    <border>
      <left style="medium">
        <color auto="1"/>
      </left>
      <right/>
      <top style="thin">
        <color auto="1"/>
      </top>
      <bottom style="thin">
        <color theme="1"/>
      </bottom>
      <diagonal/>
    </border>
    <border>
      <left/>
      <right/>
      <top style="thin">
        <color indexed="64"/>
      </top>
      <bottom style="thin">
        <color theme="1"/>
      </bottom>
      <diagonal/>
    </border>
    <border>
      <left/>
      <right style="thin">
        <color auto="1"/>
      </right>
      <top style="thin">
        <color auto="1"/>
      </top>
      <bottom style="thin">
        <color theme="1"/>
      </bottom>
      <diagonal/>
    </border>
    <border>
      <left style="medium">
        <color auto="1"/>
      </left>
      <right/>
      <top style="thin">
        <color theme="1"/>
      </top>
      <bottom style="thin">
        <color theme="1"/>
      </bottom>
      <diagonal/>
    </border>
    <border>
      <left/>
      <right style="thin">
        <color auto="1"/>
      </right>
      <top style="thin">
        <color theme="1"/>
      </top>
      <bottom style="thin">
        <color theme="1"/>
      </bottom>
      <diagonal/>
    </border>
    <border>
      <left/>
      <right style="thin">
        <color auto="1"/>
      </right>
      <top style="thin">
        <color theme="1"/>
      </top>
      <bottom style="thin">
        <color auto="1"/>
      </bottom>
      <diagonal/>
    </border>
    <border>
      <left style="thin">
        <color auto="1"/>
      </left>
      <right/>
      <top style="thin">
        <color theme="1"/>
      </top>
      <bottom style="thin">
        <color indexed="64"/>
      </bottom>
      <diagonal/>
    </border>
    <border>
      <left/>
      <right style="double">
        <color auto="1"/>
      </right>
      <top style="thin">
        <color theme="1"/>
      </top>
      <bottom style="thin">
        <color indexed="64"/>
      </bottom>
      <diagonal/>
    </border>
    <border>
      <left style="thin">
        <color auto="1"/>
      </left>
      <right/>
      <top/>
      <bottom style="thin">
        <color theme="1"/>
      </bottom>
      <diagonal/>
    </border>
    <border>
      <left/>
      <right/>
      <top/>
      <bottom style="thin">
        <color theme="1"/>
      </bottom>
      <diagonal/>
    </border>
    <border>
      <left/>
      <right style="double">
        <color auto="1"/>
      </right>
      <top/>
      <bottom style="thin">
        <color theme="1"/>
      </bottom>
      <diagonal/>
    </border>
    <border>
      <left/>
      <right style="medium">
        <color auto="1"/>
      </right>
      <top/>
      <bottom style="thin">
        <color theme="1"/>
      </bottom>
      <diagonal/>
    </border>
    <border>
      <left style="thin">
        <color indexed="64"/>
      </left>
      <right/>
      <top style="double">
        <color indexed="64"/>
      </top>
      <bottom/>
      <diagonal/>
    </border>
    <border>
      <left/>
      <right style="thin">
        <color indexed="64"/>
      </right>
      <top style="double">
        <color indexed="64"/>
      </top>
      <bottom/>
      <diagonal/>
    </border>
    <border>
      <left style="medium">
        <color auto="1"/>
      </left>
      <right/>
      <top/>
      <bottom style="thin">
        <color theme="1"/>
      </bottom>
      <diagonal/>
    </border>
    <border>
      <left/>
      <right style="thin">
        <color auto="1"/>
      </right>
      <top/>
      <bottom style="thin">
        <color theme="1"/>
      </bottom>
      <diagonal/>
    </border>
    <border diagonalDown="1">
      <left style="medium">
        <color indexed="64"/>
      </left>
      <right/>
      <top/>
      <bottom style="medium">
        <color indexed="64"/>
      </bottom>
      <diagonal style="thin">
        <color indexed="64"/>
      </diagonal>
    </border>
    <border diagonalDown="1">
      <left/>
      <right/>
      <top/>
      <bottom style="medium">
        <color indexed="64"/>
      </bottom>
      <diagonal style="thin">
        <color indexed="64"/>
      </diagonal>
    </border>
    <border diagonalDown="1">
      <left/>
      <right style="thin">
        <color indexed="64"/>
      </right>
      <top/>
      <bottom style="medium">
        <color indexed="64"/>
      </bottom>
      <diagonal style="thin">
        <color auto="1"/>
      </diagonal>
    </border>
    <border>
      <left style="thin">
        <color auto="1"/>
      </left>
      <right/>
      <top style="thin">
        <color theme="1"/>
      </top>
      <bottom style="medium">
        <color auto="1"/>
      </bottom>
      <diagonal/>
    </border>
    <border>
      <left/>
      <right/>
      <top style="thin">
        <color theme="1"/>
      </top>
      <bottom style="medium">
        <color auto="1"/>
      </bottom>
      <diagonal/>
    </border>
    <border>
      <left/>
      <right style="double">
        <color auto="1"/>
      </right>
      <top style="thin">
        <color theme="1"/>
      </top>
      <bottom style="medium">
        <color auto="1"/>
      </bottom>
      <diagonal/>
    </border>
    <border>
      <left/>
      <right style="medium">
        <color auto="1"/>
      </right>
      <top style="thin">
        <color theme="1"/>
      </top>
      <bottom style="medium">
        <color auto="1"/>
      </bottom>
      <diagonal/>
    </border>
    <border>
      <left/>
      <right style="double">
        <color rgb="FF35A36B"/>
      </right>
      <top style="double">
        <color rgb="FF35A16B"/>
      </top>
      <bottom/>
      <diagonal/>
    </border>
    <border>
      <left/>
      <right style="double">
        <color rgb="FF35A36B"/>
      </right>
      <top style="double">
        <color rgb="FF35A36B"/>
      </top>
      <bottom/>
      <diagonal/>
    </border>
    <border>
      <left style="medium">
        <color auto="1"/>
      </left>
      <right style="double">
        <color auto="1"/>
      </right>
      <top style="double">
        <color rgb="FF35A16B"/>
      </top>
      <bottom/>
      <diagonal/>
    </border>
    <border>
      <left style="double">
        <color auto="1"/>
      </left>
      <right style="double">
        <color auto="1"/>
      </right>
      <top style="double">
        <color rgb="FF35A16B"/>
      </top>
      <bottom/>
      <diagonal/>
    </border>
    <border>
      <left style="double">
        <color auto="1"/>
      </left>
      <right style="double">
        <color auto="1"/>
      </right>
      <top style="double">
        <color rgb="FF35A36B"/>
      </top>
      <bottom/>
      <diagonal/>
    </border>
    <border>
      <left style="double">
        <color auto="1"/>
      </left>
      <right style="medium">
        <color auto="1"/>
      </right>
      <top style="double">
        <color rgb="FF35A36B"/>
      </top>
      <bottom/>
      <diagonal/>
    </border>
    <border>
      <left style="medium">
        <color auto="1"/>
      </left>
      <right style="double">
        <color auto="1"/>
      </right>
      <top style="thin">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auto="1"/>
      </left>
      <right style="double">
        <color auto="1"/>
      </right>
      <top/>
      <bottom/>
      <diagonal/>
    </border>
    <border>
      <left style="double">
        <color auto="1"/>
      </left>
      <right style="double">
        <color auto="1"/>
      </right>
      <top/>
      <bottom/>
      <diagonal/>
    </border>
    <border>
      <left style="double">
        <color auto="1"/>
      </left>
      <right style="medium">
        <color auto="1"/>
      </right>
      <top/>
      <bottom/>
      <diagonal/>
    </border>
    <border>
      <left style="double">
        <color auto="1"/>
      </left>
      <right style="double">
        <color auto="1"/>
      </right>
      <top style="thin">
        <color indexed="64"/>
      </top>
      <bottom style="medium">
        <color auto="1"/>
      </bottom>
      <diagonal/>
    </border>
    <border>
      <left style="double">
        <color auto="1"/>
      </left>
      <right style="medium">
        <color auto="1"/>
      </right>
      <top style="thin">
        <color indexed="64"/>
      </top>
      <bottom style="medium">
        <color auto="1"/>
      </bottom>
      <diagonal/>
    </border>
    <border>
      <left/>
      <right style="double">
        <color rgb="FF35A36B"/>
      </right>
      <top style="double">
        <color rgb="FF35A16B"/>
      </top>
      <bottom style="thin">
        <color indexed="64"/>
      </bottom>
      <diagonal/>
    </border>
    <border>
      <left style="double">
        <color rgb="FF35A36B"/>
      </left>
      <right/>
      <top style="double">
        <color rgb="FF35A16B"/>
      </top>
      <bottom style="thin">
        <color indexed="64"/>
      </bottom>
      <diagonal/>
    </border>
    <border>
      <left style="medium">
        <color auto="1"/>
      </left>
      <right style="double">
        <color auto="1"/>
      </right>
      <top style="double">
        <color rgb="FF35A16B"/>
      </top>
      <bottom style="thin">
        <color indexed="64"/>
      </bottom>
      <diagonal/>
    </border>
    <border>
      <left style="double">
        <color auto="1"/>
      </left>
      <right style="double">
        <color auto="1"/>
      </right>
      <top style="double">
        <color rgb="FF35A16B"/>
      </top>
      <bottom style="thin">
        <color indexed="64"/>
      </bottom>
      <diagonal/>
    </border>
    <border>
      <left style="double">
        <color auto="1"/>
      </left>
      <right style="medium">
        <color auto="1"/>
      </right>
      <top style="double">
        <color rgb="FF35A16B"/>
      </top>
      <bottom style="thin">
        <color indexed="64"/>
      </bottom>
      <diagonal/>
    </border>
    <border>
      <left style="double">
        <color rgb="FF35A36B"/>
      </left>
      <right style="double">
        <color rgb="FF35A36B"/>
      </right>
      <top style="double">
        <color rgb="FF35A36B"/>
      </top>
      <bottom style="thin">
        <color indexed="64"/>
      </bottom>
      <diagonal/>
    </border>
    <border>
      <left/>
      <right style="double">
        <color rgb="FF35A16B"/>
      </right>
      <top/>
      <bottom style="thin">
        <color indexed="64"/>
      </bottom>
      <diagonal/>
    </border>
    <border>
      <left style="thin">
        <color indexed="64"/>
      </left>
      <right style="double">
        <color rgb="FF35A36B"/>
      </right>
      <top/>
      <bottom/>
      <diagonal/>
    </border>
    <border>
      <left style="double">
        <color rgb="FF35A16B"/>
      </left>
      <right/>
      <top style="thin">
        <color theme="1"/>
      </top>
      <bottom style="double">
        <color rgb="FF35A16B"/>
      </bottom>
      <diagonal/>
    </border>
    <border>
      <left style="thin">
        <color indexed="64"/>
      </left>
      <right style="double">
        <color rgb="FF35A36B"/>
      </right>
      <top style="thin">
        <color theme="1"/>
      </top>
      <bottom style="double">
        <color rgb="FF35A16B"/>
      </bottom>
      <diagonal/>
    </border>
    <border>
      <left style="double">
        <color rgb="FF35A36B"/>
      </left>
      <right style="double">
        <color rgb="FF35A36B"/>
      </right>
      <top style="thin">
        <color indexed="64"/>
      </top>
      <bottom style="double">
        <color rgb="FF35A36B"/>
      </bottom>
      <diagonal/>
    </border>
    <border>
      <left style="medium">
        <color indexed="64"/>
      </left>
      <right/>
      <top/>
      <bottom style="double">
        <color rgb="FF35A16B"/>
      </bottom>
      <diagonal/>
    </border>
    <border>
      <left style="double">
        <color rgb="FF35A36B"/>
      </left>
      <right style="double">
        <color rgb="FF35A36B"/>
      </right>
      <top style="double">
        <color rgb="FF35A36B"/>
      </top>
      <bottom/>
      <diagonal/>
    </border>
    <border>
      <left style="medium">
        <color auto="1"/>
      </left>
      <right style="double">
        <color auto="1"/>
      </right>
      <top style="thin">
        <color indexed="64"/>
      </top>
      <bottom/>
      <diagonal/>
    </border>
    <border>
      <left style="double">
        <color indexed="64"/>
      </left>
      <right style="medium">
        <color indexed="64"/>
      </right>
      <top style="thin">
        <color indexed="64"/>
      </top>
      <bottom/>
      <diagonal/>
    </border>
    <border>
      <left style="medium">
        <color theme="1"/>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rgb="FF35A36B"/>
      </right>
      <top style="medium">
        <color indexed="64"/>
      </top>
      <bottom style="thin">
        <color indexed="64"/>
      </bottom>
      <diagonal/>
    </border>
    <border>
      <left style="thin">
        <color indexed="64"/>
      </left>
      <right/>
      <top style="double">
        <color rgb="FF35A36B"/>
      </top>
      <bottom style="double">
        <color rgb="FF35A36B"/>
      </bottom>
      <diagonal/>
    </border>
    <border diagonalDown="1">
      <left style="medium">
        <color auto="1"/>
      </left>
      <right/>
      <top style="double">
        <color rgb="FF35A36B"/>
      </top>
      <bottom style="thin">
        <color auto="1"/>
      </bottom>
      <diagonal style="thin">
        <color auto="1"/>
      </diagonal>
    </border>
    <border diagonalDown="1">
      <left/>
      <right/>
      <top style="double">
        <color rgb="FF35A36B"/>
      </top>
      <bottom style="thin">
        <color auto="1"/>
      </bottom>
      <diagonal style="thin">
        <color auto="1"/>
      </diagonal>
    </border>
    <border diagonalDown="1">
      <left/>
      <right style="medium">
        <color auto="1"/>
      </right>
      <top style="double">
        <color rgb="FF35A36B"/>
      </top>
      <bottom style="thin">
        <color auto="1"/>
      </bottom>
      <diagonal style="thin">
        <color auto="1"/>
      </diagonal>
    </border>
    <border>
      <left style="double">
        <color indexed="64"/>
      </left>
      <right style="medium">
        <color indexed="64"/>
      </right>
      <top/>
      <bottom style="thin">
        <color indexed="64"/>
      </bottom>
      <diagonal/>
    </border>
    <border>
      <left style="thin">
        <color indexed="64"/>
      </left>
      <right style="double">
        <color indexed="64"/>
      </right>
      <top style="thin">
        <color indexed="64"/>
      </top>
      <bottom style="medium">
        <color indexed="64"/>
      </bottom>
      <diagonal/>
    </border>
    <border diagonalDown="1">
      <left style="thin">
        <color auto="1"/>
      </left>
      <right style="thin">
        <color auto="1"/>
      </right>
      <top/>
      <bottom/>
      <diagonal style="hair">
        <color auto="1"/>
      </diagonal>
    </border>
    <border>
      <left style="thin">
        <color indexed="64"/>
      </left>
      <right style="thin">
        <color indexed="64"/>
      </right>
      <top/>
      <bottom style="double">
        <color rgb="FF35A36B"/>
      </bottom>
      <diagonal/>
    </border>
    <border diagonalDown="1">
      <left style="thin">
        <color indexed="64"/>
      </left>
      <right style="thin">
        <color indexed="64"/>
      </right>
      <top style="thin">
        <color indexed="64"/>
      </top>
      <bottom style="double">
        <color indexed="64"/>
      </bottom>
      <diagonal style="hair">
        <color indexed="64"/>
      </diagonal>
    </border>
    <border diagonalDown="1">
      <left style="thin">
        <color indexed="64"/>
      </left>
      <right style="thin">
        <color indexed="64"/>
      </right>
      <top/>
      <bottom style="double">
        <color indexed="64"/>
      </bottom>
      <diagonal style="hair">
        <color indexed="64"/>
      </diagonal>
    </border>
    <border>
      <left style="double">
        <color rgb="FF35A16B"/>
      </left>
      <right style="thin">
        <color indexed="64"/>
      </right>
      <top style="double">
        <color rgb="FF35A16B"/>
      </top>
      <bottom/>
      <diagonal/>
    </border>
    <border>
      <left style="thin">
        <color indexed="64"/>
      </left>
      <right style="thin">
        <color indexed="64"/>
      </right>
      <top style="double">
        <color rgb="FF35A16B"/>
      </top>
      <bottom/>
      <diagonal/>
    </border>
    <border>
      <left/>
      <right style="thin">
        <color indexed="64"/>
      </right>
      <top style="double">
        <color rgb="FF35A16B"/>
      </top>
      <bottom/>
      <diagonal/>
    </border>
    <border>
      <left style="thin">
        <color indexed="64"/>
      </left>
      <right/>
      <top style="double">
        <color rgb="FF35A16B"/>
      </top>
      <bottom style="thin">
        <color indexed="64"/>
      </bottom>
      <diagonal/>
    </border>
    <border>
      <left style="double">
        <color rgb="FF35A36B"/>
      </left>
      <right style="thin">
        <color indexed="64"/>
      </right>
      <top style="double">
        <color rgb="FF35A36B"/>
      </top>
      <bottom/>
      <diagonal/>
    </border>
    <border>
      <left style="double">
        <color indexed="64"/>
      </left>
      <right style="double">
        <color indexed="64"/>
      </right>
      <top style="double">
        <color indexed="64"/>
      </top>
      <bottom style="thin">
        <color theme="1"/>
      </bottom>
      <diagonal/>
    </border>
    <border>
      <left style="thin">
        <color indexed="64"/>
      </left>
      <right style="thin">
        <color indexed="64"/>
      </right>
      <top style="double">
        <color indexed="64"/>
      </top>
      <bottom style="thin">
        <color indexed="64"/>
      </bottom>
      <diagonal/>
    </border>
    <border>
      <left style="double">
        <color rgb="FF35A16B"/>
      </left>
      <right style="thin">
        <color indexed="64"/>
      </right>
      <top style="thin">
        <color indexed="64"/>
      </top>
      <bottom style="thin">
        <color indexed="64"/>
      </bottom>
      <diagonal/>
    </border>
    <border>
      <left style="thin">
        <color indexed="64"/>
      </left>
      <right style="dotted">
        <color rgb="FF7F878F"/>
      </right>
      <top style="thin">
        <color indexed="64"/>
      </top>
      <bottom style="thin">
        <color indexed="64"/>
      </bottom>
      <diagonal/>
    </border>
    <border>
      <left style="double">
        <color rgb="FF35A36B"/>
      </left>
      <right style="thin">
        <color indexed="64"/>
      </right>
      <top style="thin">
        <color indexed="64"/>
      </top>
      <bottom style="thin">
        <color indexed="64"/>
      </bottom>
      <diagonal/>
    </border>
    <border>
      <left style="double">
        <color indexed="64"/>
      </left>
      <right style="double">
        <color indexed="64"/>
      </right>
      <top style="thin">
        <color theme="1"/>
      </top>
      <bottom style="thin">
        <color theme="1"/>
      </bottom>
      <diagonal/>
    </border>
    <border>
      <left style="double">
        <color rgb="FF35A16B"/>
      </left>
      <right style="thin">
        <color auto="1"/>
      </right>
      <top style="thin">
        <color indexed="64"/>
      </top>
      <bottom/>
      <diagonal/>
    </border>
    <border>
      <left style="thin">
        <color indexed="64"/>
      </left>
      <right style="dotted">
        <color rgb="FF7F878F"/>
      </right>
      <top style="thin">
        <color indexed="64"/>
      </top>
      <bottom/>
      <diagonal/>
    </border>
    <border>
      <left style="double">
        <color rgb="FF35A36B"/>
      </left>
      <right style="thin">
        <color indexed="64"/>
      </right>
      <top style="thin">
        <color indexed="64"/>
      </top>
      <bottom style="double">
        <color rgb="FF35A36B"/>
      </bottom>
      <diagonal/>
    </border>
    <border>
      <left style="double">
        <color indexed="64"/>
      </left>
      <right style="double">
        <color indexed="64"/>
      </right>
      <top style="thin">
        <color theme="1"/>
      </top>
      <bottom/>
      <diagonal/>
    </border>
    <border>
      <left/>
      <right/>
      <top style="double">
        <color auto="1"/>
      </top>
      <bottom/>
      <diagonal/>
    </border>
    <border>
      <left style="double">
        <color rgb="FF35A16B"/>
      </left>
      <right style="dotted">
        <color rgb="FF7F878F"/>
      </right>
      <top style="double">
        <color rgb="FF35A16B"/>
      </top>
      <bottom/>
      <diagonal/>
    </border>
    <border>
      <left style="thin">
        <color indexed="64"/>
      </left>
      <right style="dotted">
        <color rgb="FF7F878F"/>
      </right>
      <top style="double">
        <color rgb="FF35A16B"/>
      </top>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style="double">
        <color indexed="64"/>
      </top>
      <bottom style="thin">
        <color indexed="64"/>
      </bottom>
      <diagonal/>
    </border>
    <border diagonalDown="1">
      <left style="thin">
        <color indexed="64"/>
      </left>
      <right style="thin">
        <color indexed="64"/>
      </right>
      <top style="double">
        <color indexed="64"/>
      </top>
      <bottom/>
      <diagonal style="hair">
        <color indexed="64"/>
      </diagonal>
    </border>
    <border>
      <left style="double">
        <color rgb="FF35A16B"/>
      </left>
      <right style="dotted">
        <color rgb="FF7F878F"/>
      </right>
      <top style="thin">
        <color indexed="64"/>
      </top>
      <bottom style="thin">
        <color indexed="64"/>
      </bottom>
      <diagonal/>
    </border>
    <border>
      <left style="double">
        <color rgb="FF35A16B"/>
      </left>
      <right style="dotted">
        <color rgb="FF7F878F"/>
      </right>
      <top/>
      <bottom style="thin">
        <color indexed="64"/>
      </bottom>
      <diagonal/>
    </border>
    <border>
      <left style="thin">
        <color indexed="64"/>
      </left>
      <right style="dotted">
        <color rgb="FF7F878F"/>
      </right>
      <top/>
      <bottom style="thin">
        <color indexed="64"/>
      </bottom>
      <diagonal/>
    </border>
    <border>
      <left style="double">
        <color rgb="FF35A36B"/>
      </left>
      <right style="thin">
        <color indexed="64"/>
      </right>
      <top/>
      <bottom style="thin">
        <color indexed="64"/>
      </bottom>
      <diagonal/>
    </border>
    <border>
      <left style="thin">
        <color indexed="64"/>
      </left>
      <right style="double">
        <color rgb="FF35A36B"/>
      </right>
      <top/>
      <bottom style="thin">
        <color indexed="64"/>
      </bottom>
      <diagonal/>
    </border>
    <border>
      <left style="double">
        <color rgb="FF35A16B"/>
      </left>
      <right style="dotted">
        <color rgb="FF7F878F"/>
      </right>
      <top style="thin">
        <color indexed="64"/>
      </top>
      <bottom/>
      <diagonal/>
    </border>
    <border>
      <left style="double">
        <color indexed="64"/>
      </left>
      <right style="thin">
        <color indexed="64"/>
      </right>
      <top style="thin">
        <color theme="1"/>
      </top>
      <bottom/>
      <diagonal/>
    </border>
    <border>
      <left style="thin">
        <color indexed="64"/>
      </left>
      <right style="double">
        <color indexed="64"/>
      </right>
      <top style="thin">
        <color theme="1"/>
      </top>
      <bottom/>
      <diagonal/>
    </border>
    <border>
      <left/>
      <right style="thin">
        <color indexed="64"/>
      </right>
      <top style="thin">
        <color indexed="64"/>
      </top>
      <bottom style="double">
        <color indexed="64"/>
      </bottom>
      <diagonal/>
    </border>
    <border>
      <left style="double">
        <color rgb="FF35A16B"/>
      </left>
      <right style="thin">
        <color indexed="64"/>
      </right>
      <top style="thin">
        <color theme="1"/>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bottom style="thin">
        <color theme="1"/>
      </bottom>
      <diagonal/>
    </border>
    <border>
      <left style="double">
        <color auto="1"/>
      </left>
      <right style="thin">
        <color auto="1"/>
      </right>
      <top style="thin">
        <color indexed="64"/>
      </top>
      <bottom style="thin">
        <color theme="1"/>
      </bottom>
      <diagonal/>
    </border>
    <border>
      <left style="thin">
        <color indexed="64"/>
      </left>
      <right style="double">
        <color indexed="64"/>
      </right>
      <top style="thin">
        <color indexed="64"/>
      </top>
      <bottom style="thin">
        <color theme="1"/>
      </bottom>
      <diagonal/>
    </border>
    <border>
      <left style="thin">
        <color indexed="64"/>
      </left>
      <right style="thin">
        <color indexed="64"/>
      </right>
      <top style="thin">
        <color theme="1"/>
      </top>
      <bottom/>
      <diagonal/>
    </border>
    <border diagonalDown="1">
      <left style="thin">
        <color indexed="64"/>
      </left>
      <right style="hair">
        <color indexed="64"/>
      </right>
      <top/>
      <bottom style="thin">
        <color indexed="64"/>
      </bottom>
      <diagonal style="hair">
        <color auto="1"/>
      </diagonal>
    </border>
    <border diagonalDown="1">
      <left style="hair">
        <color indexed="64"/>
      </left>
      <right style="hair">
        <color indexed="64"/>
      </right>
      <top/>
      <bottom style="thin">
        <color indexed="64"/>
      </bottom>
      <diagonal style="hair">
        <color auto="1"/>
      </diagonal>
    </border>
    <border diagonalDown="1">
      <left style="hair">
        <color indexed="64"/>
      </left>
      <right/>
      <top/>
      <bottom style="thin">
        <color indexed="64"/>
      </bottom>
      <diagonal style="hair">
        <color auto="1"/>
      </diagonal>
    </border>
    <border>
      <left/>
      <right style="hair">
        <color auto="1"/>
      </right>
      <top/>
      <bottom/>
      <diagonal/>
    </border>
    <border>
      <left style="hair">
        <color auto="1"/>
      </left>
      <right style="hair">
        <color auto="1"/>
      </right>
      <top/>
      <bottom/>
      <diagonal/>
    </border>
    <border>
      <left style="hair">
        <color auto="1"/>
      </left>
      <right/>
      <top/>
      <bottom/>
      <diagonal/>
    </border>
    <border>
      <left style="thin">
        <color auto="1"/>
      </left>
      <right style="hair">
        <color auto="1"/>
      </right>
      <top style="thin">
        <color auto="1"/>
      </top>
      <bottom style="thin">
        <color auto="1"/>
      </bottom>
      <diagonal/>
    </border>
    <border>
      <left style="hair">
        <color auto="1"/>
      </left>
      <right style="hair">
        <color auto="1"/>
      </right>
      <top style="thin">
        <color auto="1"/>
      </top>
      <bottom style="thin">
        <color auto="1"/>
      </bottom>
      <diagonal/>
    </border>
    <border>
      <left style="hair">
        <color auto="1"/>
      </left>
      <right style="thin">
        <color auto="1"/>
      </right>
      <top style="thin">
        <color auto="1"/>
      </top>
      <bottom style="thin">
        <color auto="1"/>
      </bottom>
      <diagonal/>
    </border>
    <border>
      <left style="hair">
        <color auto="1"/>
      </left>
      <right/>
      <top style="thin">
        <color auto="1"/>
      </top>
      <bottom style="thin">
        <color auto="1"/>
      </bottom>
      <diagonal/>
    </border>
    <border>
      <left style="thin">
        <color indexed="64"/>
      </left>
      <right style="hair">
        <color auto="1"/>
      </right>
      <top style="thin">
        <color indexed="64"/>
      </top>
      <bottom/>
      <diagonal/>
    </border>
    <border>
      <left style="hair">
        <color auto="1"/>
      </left>
      <right style="hair">
        <color auto="1"/>
      </right>
      <top style="thin">
        <color auto="1"/>
      </top>
      <bottom/>
      <diagonal/>
    </border>
    <border>
      <left style="hair">
        <color auto="1"/>
      </left>
      <right/>
      <top style="thin">
        <color auto="1"/>
      </top>
      <bottom/>
      <diagonal/>
    </border>
    <border>
      <left style="thin">
        <color indexed="64"/>
      </left>
      <right/>
      <top/>
      <bottom style="double">
        <color rgb="FF35A36B"/>
      </bottom>
      <diagonal/>
    </border>
    <border>
      <left/>
      <right/>
      <top/>
      <bottom style="double">
        <color rgb="FF35A36B"/>
      </bottom>
      <diagonal/>
    </border>
    <border>
      <left/>
      <right style="medium">
        <color indexed="64"/>
      </right>
      <top/>
      <bottom style="double">
        <color rgb="FF35A36B"/>
      </bottom>
      <diagonal/>
    </border>
    <border>
      <left style="medium">
        <color indexed="64"/>
      </left>
      <right/>
      <top style="double">
        <color rgb="FF35A16B"/>
      </top>
      <bottom style="thin">
        <color indexed="64"/>
      </bottom>
      <diagonal/>
    </border>
    <border>
      <left/>
      <right style="double">
        <color auto="1"/>
      </right>
      <top style="double">
        <color rgb="FF35A16B"/>
      </top>
      <bottom style="thin">
        <color indexed="64"/>
      </bottom>
      <diagonal/>
    </border>
    <border>
      <left style="double">
        <color auto="1"/>
      </left>
      <right/>
      <top style="double">
        <color rgb="FF35A36B"/>
      </top>
      <bottom style="thin">
        <color indexed="64"/>
      </bottom>
      <diagonal/>
    </border>
    <border>
      <left/>
      <right style="medium">
        <color auto="1"/>
      </right>
      <top style="double">
        <color rgb="FF35A36B"/>
      </top>
      <bottom style="thin">
        <color indexed="64"/>
      </bottom>
      <diagonal/>
    </border>
    <border>
      <left/>
      <right style="double">
        <color auto="1"/>
      </right>
      <top style="thin">
        <color indexed="64"/>
      </top>
      <bottom style="thin">
        <color indexed="64"/>
      </bottom>
      <diagonal/>
    </border>
    <border>
      <left/>
      <right style="double">
        <color auto="1"/>
      </right>
      <top/>
      <bottom style="thin">
        <color indexed="64"/>
      </bottom>
      <diagonal/>
    </border>
    <border>
      <left/>
      <right style="double">
        <color auto="1"/>
      </right>
      <top style="thin">
        <color indexed="64"/>
      </top>
      <bottom/>
      <diagonal/>
    </border>
    <border>
      <left style="double">
        <color indexed="64"/>
      </left>
      <right/>
      <top style="thin">
        <color indexed="64"/>
      </top>
      <bottom style="medium">
        <color indexed="64"/>
      </bottom>
      <diagonal/>
    </border>
    <border>
      <left/>
      <right style="mediumDashed">
        <color indexed="55"/>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medium">
        <color indexed="64"/>
      </right>
      <top/>
      <bottom style="double">
        <color indexed="57"/>
      </bottom>
      <diagonal/>
    </border>
    <border>
      <left style="double">
        <color rgb="FF35A36B"/>
      </left>
      <right style="double">
        <color rgb="FF35A36B"/>
      </right>
      <top style="double">
        <color indexed="57"/>
      </top>
      <bottom/>
      <diagonal/>
    </border>
    <border>
      <left style="double">
        <color rgb="FF35A36B"/>
      </left>
      <right style="double">
        <color indexed="57"/>
      </right>
      <top style="double">
        <color indexed="57"/>
      </top>
      <bottom style="thin">
        <color theme="1"/>
      </bottom>
      <diagonal/>
    </border>
    <border>
      <left style="double">
        <color indexed="64"/>
      </left>
      <right style="double">
        <color indexed="64"/>
      </right>
      <top/>
      <bottom style="thin">
        <color indexed="64"/>
      </bottom>
      <diagonal/>
    </border>
    <border>
      <left style="double">
        <color rgb="FF35A36B"/>
      </left>
      <right/>
      <top style="thin">
        <color indexed="64"/>
      </top>
      <bottom style="thin">
        <color indexed="64"/>
      </bottom>
      <diagonal/>
    </border>
    <border>
      <left style="double">
        <color rgb="FF35A36B"/>
      </left>
      <right style="double">
        <color indexed="57"/>
      </right>
      <top style="thin">
        <color theme="1"/>
      </top>
      <bottom style="thin">
        <color theme="1"/>
      </bottom>
      <diagonal/>
    </border>
    <border>
      <left style="medium">
        <color indexed="64"/>
      </left>
      <right style="double">
        <color rgb="FF35A16B"/>
      </right>
      <top style="thin">
        <color indexed="64"/>
      </top>
      <bottom/>
      <diagonal/>
    </border>
    <border>
      <left style="double">
        <color rgb="FF35A36B"/>
      </left>
      <right/>
      <top style="thin">
        <color indexed="64"/>
      </top>
      <bottom/>
      <diagonal/>
    </border>
    <border>
      <left style="double">
        <color rgb="FF35A36B"/>
      </left>
      <right style="double">
        <color rgb="FF35A36B"/>
      </right>
      <top style="thin">
        <color indexed="64"/>
      </top>
      <bottom/>
      <diagonal/>
    </border>
    <border>
      <left style="double">
        <color rgb="FF35A36B"/>
      </left>
      <right style="double">
        <color indexed="57"/>
      </right>
      <top style="thin">
        <color theme="1"/>
      </top>
      <bottom style="double">
        <color rgb="FF35A16B"/>
      </bottom>
      <diagonal/>
    </border>
    <border>
      <left/>
      <right style="double">
        <color indexed="57"/>
      </right>
      <top style="double">
        <color indexed="57"/>
      </top>
      <bottom style="thin">
        <color theme="1"/>
      </bottom>
      <diagonal/>
    </border>
    <border>
      <left/>
      <right style="double">
        <color indexed="57"/>
      </right>
      <top style="thin">
        <color theme="1"/>
      </top>
      <bottom style="thin">
        <color theme="1"/>
      </bottom>
      <diagonal/>
    </border>
    <border>
      <left style="double">
        <color indexed="57"/>
      </left>
      <right style="double">
        <color indexed="57"/>
      </right>
      <top style="thin">
        <color theme="1"/>
      </top>
      <bottom style="thin">
        <color theme="1"/>
      </bottom>
      <diagonal/>
    </border>
    <border>
      <left style="double">
        <color indexed="57"/>
      </left>
      <right/>
      <top/>
      <bottom/>
      <diagonal/>
    </border>
    <border>
      <left style="double">
        <color rgb="FF35A36B"/>
      </left>
      <right style="double">
        <color indexed="57"/>
      </right>
      <top style="thin">
        <color indexed="64"/>
      </top>
      <bottom/>
      <diagonal/>
    </border>
    <border>
      <left style="double">
        <color indexed="57"/>
      </left>
      <right style="double">
        <color indexed="57"/>
      </right>
      <top style="thin">
        <color theme="1"/>
      </top>
      <bottom style="double">
        <color rgb="FF35A16B"/>
      </bottom>
      <diagonal/>
    </border>
    <border>
      <left style="thin">
        <color indexed="64"/>
      </left>
      <right style="double">
        <color indexed="64"/>
      </right>
      <top style="medium">
        <color indexed="64"/>
      </top>
      <bottom style="double">
        <color rgb="FF35A36B"/>
      </bottom>
      <diagonal/>
    </border>
    <border>
      <left style="double">
        <color rgb="FF35A36B"/>
      </left>
      <right style="thin">
        <color indexed="64"/>
      </right>
      <top style="double">
        <color rgb="FF35A36B"/>
      </top>
      <bottom style="thin">
        <color indexed="64"/>
      </bottom>
      <diagonal/>
    </border>
    <border>
      <left style="thin">
        <color indexed="64"/>
      </left>
      <right style="thin">
        <color indexed="64"/>
      </right>
      <top style="double">
        <color rgb="FF35A36B"/>
      </top>
      <bottom style="thin">
        <color indexed="64"/>
      </bottom>
      <diagonal/>
    </border>
    <border>
      <left style="thin">
        <color indexed="64"/>
      </left>
      <right/>
      <top style="double">
        <color rgb="FF35A36B"/>
      </top>
      <bottom style="thin">
        <color indexed="64"/>
      </bottom>
      <diagonal/>
    </border>
    <border>
      <left style="double">
        <color rgb="FF35A36B"/>
      </left>
      <right style="thin">
        <color indexed="64"/>
      </right>
      <top/>
      <bottom/>
      <diagonal/>
    </border>
    <border>
      <left/>
      <right style="double">
        <color rgb="FF35A36B"/>
      </right>
      <top style="thin">
        <color indexed="64"/>
      </top>
      <bottom style="medium">
        <color indexed="64"/>
      </bottom>
      <diagonal/>
    </border>
    <border>
      <left style="thin">
        <color indexed="64"/>
      </left>
      <right style="thin">
        <color indexed="64"/>
      </right>
      <top style="thin">
        <color indexed="64"/>
      </top>
      <bottom style="double">
        <color rgb="FF35A36B"/>
      </bottom>
      <diagonal/>
    </border>
    <border>
      <left style="double">
        <color rgb="FF35A36B"/>
      </left>
      <right style="thin">
        <color indexed="64"/>
      </right>
      <top/>
      <bottom style="double">
        <color rgb="FF35A36B"/>
      </bottom>
      <diagonal/>
    </border>
    <border>
      <left/>
      <right style="thin">
        <color auto="1"/>
      </right>
      <top style="medium">
        <color indexed="64"/>
      </top>
      <bottom style="medium">
        <color indexed="64"/>
      </bottom>
      <diagonal/>
    </border>
    <border>
      <left style="thin">
        <color auto="1"/>
      </left>
      <right/>
      <top style="medium">
        <color auto="1"/>
      </top>
      <bottom style="medium">
        <color auto="1"/>
      </bottom>
      <diagonal/>
    </border>
    <border>
      <left/>
      <right style="double">
        <color theme="1"/>
      </right>
      <top style="medium">
        <color indexed="64"/>
      </top>
      <bottom style="medium">
        <color indexed="64"/>
      </bottom>
      <diagonal/>
    </border>
    <border>
      <left style="double">
        <color theme="1"/>
      </left>
      <right style="thin">
        <color theme="1"/>
      </right>
      <top style="double">
        <color rgb="FF35A36B"/>
      </top>
      <bottom style="double">
        <color rgb="FF35A36B"/>
      </bottom>
      <diagonal/>
    </border>
    <border>
      <left style="thin">
        <color theme="1"/>
      </left>
      <right style="thin">
        <color theme="1"/>
      </right>
      <top style="double">
        <color rgb="FF35A36B"/>
      </top>
      <bottom style="double">
        <color rgb="FF35A36B"/>
      </bottom>
      <diagonal/>
    </border>
    <border>
      <left style="thin">
        <color theme="1"/>
      </left>
      <right style="double">
        <color theme="1"/>
      </right>
      <top style="double">
        <color rgb="FF35A36B"/>
      </top>
      <bottom style="double">
        <color rgb="FF35A36B"/>
      </bottom>
      <diagonal/>
    </border>
    <border>
      <left style="double">
        <color theme="1"/>
      </left>
      <right/>
      <top/>
      <bottom/>
      <diagonal/>
    </border>
    <border>
      <left/>
      <right style="thin">
        <color indexed="64"/>
      </right>
      <top style="medium">
        <color indexed="64"/>
      </top>
      <bottom style="thin">
        <color indexed="64"/>
      </bottom>
      <diagonal/>
    </border>
    <border>
      <left style="double">
        <color rgb="FF35A16B"/>
      </left>
      <right style="thin">
        <color auto="1"/>
      </right>
      <top style="double">
        <color rgb="FF35A36B"/>
      </top>
      <bottom style="thin">
        <color auto="1"/>
      </bottom>
      <diagonal/>
    </border>
    <border>
      <left style="thin">
        <color indexed="64"/>
      </left>
      <right style="double">
        <color rgb="FF35A36B"/>
      </right>
      <top style="double">
        <color rgb="FF35A36B"/>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double">
        <color rgb="FF35A36B"/>
      </right>
      <top style="thin">
        <color indexed="64"/>
      </top>
      <bottom style="thin">
        <color indexed="64"/>
      </bottom>
      <diagonal/>
    </border>
    <border>
      <left style="double">
        <color rgb="FF35A36B"/>
      </left>
      <right/>
      <top style="thin">
        <color indexed="64"/>
      </top>
      <bottom style="double">
        <color rgb="FF35A36B"/>
      </bottom>
      <diagonal/>
    </border>
    <border>
      <left style="medium">
        <color indexed="64"/>
      </left>
      <right style="medium">
        <color indexed="64"/>
      </right>
      <top style="thin">
        <color indexed="64"/>
      </top>
      <bottom style="medium">
        <color indexed="64"/>
      </bottom>
      <diagonal/>
    </border>
    <border>
      <left style="double">
        <color rgb="FF35A16B"/>
      </left>
      <right style="thin">
        <color auto="1"/>
      </right>
      <top style="thin">
        <color auto="1"/>
      </top>
      <bottom style="double">
        <color indexed="64"/>
      </bottom>
      <diagonal/>
    </border>
    <border>
      <left style="thin">
        <color auto="1"/>
      </left>
      <right style="thin">
        <color theme="1"/>
      </right>
      <top style="thin">
        <color auto="1"/>
      </top>
      <bottom style="double">
        <color indexed="64"/>
      </bottom>
      <diagonal/>
    </border>
    <border>
      <left style="thin">
        <color theme="1"/>
      </left>
      <right style="thin">
        <color theme="1"/>
      </right>
      <top style="thin">
        <color indexed="64"/>
      </top>
      <bottom style="double">
        <color indexed="64"/>
      </bottom>
      <diagonal/>
    </border>
    <border>
      <left style="thin">
        <color theme="1"/>
      </left>
      <right style="double">
        <color rgb="FF35A36B"/>
      </right>
      <top style="thin">
        <color indexed="64"/>
      </top>
      <bottom style="double">
        <color indexed="64"/>
      </bottom>
      <diagonal/>
    </border>
    <border diagonalDown="1">
      <left style="double">
        <color rgb="FF35A36B"/>
      </left>
      <right/>
      <top style="double">
        <color rgb="FF35A36B"/>
      </top>
      <bottom style="double">
        <color rgb="FF35A36B"/>
      </bottom>
      <diagonal style="hair">
        <color auto="1"/>
      </diagonal>
    </border>
    <border diagonalDown="1">
      <left style="thin">
        <color indexed="64"/>
      </left>
      <right/>
      <top style="double">
        <color rgb="FF35A36B"/>
      </top>
      <bottom style="double">
        <color rgb="FF35A36B"/>
      </bottom>
      <diagonal style="hair">
        <color auto="1"/>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double">
        <color indexed="64"/>
      </top>
      <bottom style="medium">
        <color indexed="64"/>
      </bottom>
      <diagonal/>
    </border>
    <border>
      <left style="double">
        <color rgb="FF35A16B"/>
      </left>
      <right style="thin">
        <color theme="1"/>
      </right>
      <top style="double">
        <color indexed="64"/>
      </top>
      <bottom style="double">
        <color rgb="FF35A16B"/>
      </bottom>
      <diagonal/>
    </border>
    <border>
      <left style="thin">
        <color theme="1"/>
      </left>
      <right style="thin">
        <color theme="1"/>
      </right>
      <top style="double">
        <color indexed="64"/>
      </top>
      <bottom style="double">
        <color rgb="FF35A16B"/>
      </bottom>
      <diagonal/>
    </border>
    <border>
      <left style="thin">
        <color theme="1"/>
      </left>
      <right style="double">
        <color rgb="FF35A36B"/>
      </right>
      <top style="double">
        <color indexed="64"/>
      </top>
      <bottom style="double">
        <color rgb="FF35A16B"/>
      </bottom>
      <diagonal/>
    </border>
    <border>
      <left style="double">
        <color rgb="FF35A36B"/>
      </left>
      <right/>
      <top style="double">
        <color rgb="FF35A36B"/>
      </top>
      <bottom style="double">
        <color rgb="FF35A16B"/>
      </bottom>
      <diagonal/>
    </border>
    <border>
      <left style="thin">
        <color indexed="64"/>
      </left>
      <right style="double">
        <color rgb="FF35A36B"/>
      </right>
      <top style="double">
        <color rgb="FF35A36B"/>
      </top>
      <bottom style="double">
        <color rgb="FF35A16B"/>
      </bottom>
      <diagonal/>
    </border>
    <border>
      <left/>
      <right style="medium">
        <color indexed="64"/>
      </right>
      <top style="double">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double">
        <color indexed="64"/>
      </bottom>
      <diagonal/>
    </border>
    <border>
      <left style="double">
        <color indexed="64"/>
      </left>
      <right/>
      <top style="double">
        <color indexed="64"/>
      </top>
      <bottom style="double">
        <color indexed="64"/>
      </bottom>
      <diagonal/>
    </border>
    <border>
      <left/>
      <right style="double">
        <color indexed="64"/>
      </right>
      <top style="double">
        <color indexed="64"/>
      </top>
      <bottom style="double">
        <color indexed="64"/>
      </bottom>
      <diagonal/>
    </border>
    <border diagonalDown="1">
      <left style="thin">
        <color indexed="64"/>
      </left>
      <right/>
      <top style="thin">
        <color indexed="64"/>
      </top>
      <bottom/>
      <diagonal style="hair">
        <color indexed="64"/>
      </diagonal>
    </border>
    <border diagonalDown="1">
      <left/>
      <right style="thin">
        <color indexed="64"/>
      </right>
      <top style="thin">
        <color indexed="64"/>
      </top>
      <bottom/>
      <diagonal style="hair">
        <color indexed="64"/>
      </diagonal>
    </border>
    <border diagonalDown="1">
      <left style="thin">
        <color indexed="64"/>
      </left>
      <right/>
      <top/>
      <bottom/>
      <diagonal style="hair">
        <color auto="1"/>
      </diagonal>
    </border>
    <border diagonalDown="1">
      <left/>
      <right style="thin">
        <color indexed="64"/>
      </right>
      <top/>
      <bottom/>
      <diagonal style="hair">
        <color auto="1"/>
      </diagonal>
    </border>
    <border>
      <left style="double">
        <color rgb="FF35A36B"/>
      </left>
      <right style="double">
        <color rgb="FF35A36B"/>
      </right>
      <top style="thin">
        <color theme="1"/>
      </top>
      <bottom style="double">
        <color rgb="FF35A36B"/>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thin">
        <color indexed="64"/>
      </right>
      <top style="double">
        <color indexed="64"/>
      </top>
      <bottom/>
      <diagonal/>
    </border>
  </borders>
  <cellStyleXfs count="10">
    <xf numFmtId="0" fontId="0" fillId="0" borderId="0">
      <alignment vertical="center"/>
    </xf>
    <xf numFmtId="0" fontId="3" fillId="0" borderId="0"/>
    <xf numFmtId="38" fontId="3" fillId="0" borderId="0" applyFont="0" applyFill="0" applyBorder="0" applyAlignment="0" applyProtection="0">
      <alignment vertical="center"/>
    </xf>
    <xf numFmtId="0" fontId="3" fillId="0" borderId="0"/>
    <xf numFmtId="0" fontId="36" fillId="0" borderId="0">
      <alignment vertical="center"/>
    </xf>
    <xf numFmtId="0" fontId="36" fillId="0" borderId="0"/>
    <xf numFmtId="0" fontId="3" fillId="0" borderId="0">
      <alignment vertical="center"/>
    </xf>
    <xf numFmtId="0" fontId="1" fillId="0" borderId="0">
      <alignment vertical="center"/>
    </xf>
    <xf numFmtId="0" fontId="1" fillId="0" borderId="0">
      <alignment vertical="center"/>
    </xf>
    <xf numFmtId="0" fontId="60" fillId="0" borderId="0"/>
  </cellStyleXfs>
  <cellXfs count="2550">
    <xf numFmtId="0" fontId="0" fillId="0" borderId="0" xfId="0">
      <alignment vertical="center"/>
    </xf>
    <xf numFmtId="0" fontId="4" fillId="0" borderId="0" xfId="1" applyFont="1" applyBorder="1" applyAlignment="1" applyProtection="1">
      <alignment horizontal="left" vertical="center"/>
    </xf>
    <xf numFmtId="0" fontId="3" fillId="0" borderId="0" xfId="1" applyProtection="1"/>
    <xf numFmtId="0" fontId="4" fillId="0" borderId="0" xfId="1" applyFont="1" applyFill="1" applyAlignment="1" applyProtection="1">
      <alignment vertical="top"/>
    </xf>
    <xf numFmtId="0" fontId="4" fillId="0" borderId="0" xfId="1" applyFont="1" applyFill="1" applyProtection="1"/>
    <xf numFmtId="0" fontId="4" fillId="0" borderId="0" xfId="1" applyFont="1" applyProtection="1"/>
    <xf numFmtId="176" fontId="7" fillId="2" borderId="9" xfId="1" applyNumberFormat="1" applyFont="1" applyFill="1" applyBorder="1" applyAlignment="1" applyProtection="1">
      <alignment horizontal="center" vertical="center"/>
      <protection locked="0"/>
    </xf>
    <xf numFmtId="0" fontId="8" fillId="0" borderId="0" xfId="1" applyFont="1" applyFill="1" applyAlignment="1" applyProtection="1">
      <alignment horizontal="center"/>
    </xf>
    <xf numFmtId="177" fontId="8" fillId="2" borderId="10" xfId="1" applyNumberFormat="1" applyFont="1" applyFill="1" applyBorder="1" applyAlignment="1" applyProtection="1">
      <alignment horizontal="center" vertical="center" wrapText="1"/>
      <protection locked="0"/>
    </xf>
    <xf numFmtId="178" fontId="8" fillId="2" borderId="11" xfId="1" applyNumberFormat="1" applyFont="1" applyFill="1" applyBorder="1" applyAlignment="1" applyProtection="1">
      <alignment horizontal="center" vertical="center" wrapText="1"/>
      <protection locked="0"/>
    </xf>
    <xf numFmtId="177" fontId="8" fillId="2" borderId="11" xfId="1" applyNumberFormat="1" applyFont="1" applyFill="1" applyBorder="1" applyAlignment="1" applyProtection="1">
      <alignment horizontal="center" vertical="center" wrapText="1"/>
      <protection locked="0"/>
    </xf>
    <xf numFmtId="0" fontId="4" fillId="0" borderId="12" xfId="1" applyFont="1" applyFill="1" applyBorder="1" applyAlignment="1" applyProtection="1">
      <alignment horizontal="center" vertical="center"/>
    </xf>
    <xf numFmtId="0" fontId="3" fillId="2" borderId="13" xfId="1" applyFill="1" applyBorder="1" applyAlignment="1" applyProtection="1">
      <alignment horizontal="center" vertical="center"/>
    </xf>
    <xf numFmtId="0" fontId="4" fillId="0" borderId="2" xfId="1" applyFont="1" applyFill="1" applyBorder="1" applyAlignment="1" applyProtection="1">
      <alignment horizontal="center" vertical="center"/>
    </xf>
    <xf numFmtId="0" fontId="4" fillId="0" borderId="12" xfId="1" applyFont="1" applyFill="1" applyBorder="1" applyAlignment="1" applyProtection="1">
      <alignment horizontal="center" vertical="center" wrapText="1"/>
    </xf>
    <xf numFmtId="0" fontId="3" fillId="2" borderId="14" xfId="1" applyFill="1" applyBorder="1" applyAlignment="1" applyProtection="1">
      <alignment horizontal="center" vertical="center"/>
    </xf>
    <xf numFmtId="179" fontId="3" fillId="2" borderId="15" xfId="1" applyNumberFormat="1" applyFill="1" applyBorder="1" applyAlignment="1" applyProtection="1">
      <alignment horizontal="center" vertical="center"/>
      <protection locked="0"/>
    </xf>
    <xf numFmtId="0" fontId="4" fillId="0" borderId="16" xfId="1" applyFont="1" applyFill="1" applyBorder="1" applyAlignment="1" applyProtection="1">
      <alignment horizontal="center" vertical="center"/>
    </xf>
    <xf numFmtId="0" fontId="3" fillId="2" borderId="13" xfId="1" applyFill="1" applyBorder="1" applyAlignment="1" applyProtection="1">
      <alignment horizontal="center" vertical="center"/>
      <protection locked="0"/>
    </xf>
    <xf numFmtId="0" fontId="3" fillId="2" borderId="14" xfId="1" applyFill="1" applyBorder="1" applyAlignment="1" applyProtection="1">
      <alignment horizontal="center" vertical="center"/>
      <protection locked="0"/>
    </xf>
    <xf numFmtId="0" fontId="3" fillId="2" borderId="15" xfId="1" applyFill="1" applyBorder="1" applyAlignment="1" applyProtection="1">
      <alignment horizontal="center" vertical="center"/>
      <protection locked="0"/>
    </xf>
    <xf numFmtId="0" fontId="3" fillId="0" borderId="0" xfId="1" applyFill="1" applyProtection="1"/>
    <xf numFmtId="0" fontId="3" fillId="0" borderId="0" xfId="1" applyFill="1" applyAlignment="1" applyProtection="1">
      <alignment horizontal="center" vertical="center"/>
    </xf>
    <xf numFmtId="0" fontId="10" fillId="0" borderId="0" xfId="1" applyFont="1" applyFill="1" applyAlignment="1" applyProtection="1">
      <alignment horizontal="center" vertical="center"/>
    </xf>
    <xf numFmtId="0" fontId="12" fillId="0" borderId="0" xfId="1" applyFont="1" applyFill="1" applyBorder="1" applyAlignment="1" applyProtection="1">
      <alignment horizontal="distributed" vertical="center"/>
    </xf>
    <xf numFmtId="0" fontId="13" fillId="0" borderId="0" xfId="1" applyFont="1" applyFill="1" applyBorder="1" applyAlignment="1" applyProtection="1">
      <alignment horizontal="right" vertical="top"/>
    </xf>
    <xf numFmtId="0" fontId="15" fillId="0" borderId="0" xfId="1" applyFont="1" applyFill="1" applyBorder="1" applyAlignment="1" applyProtection="1">
      <alignment horizontal="distributed" vertical="center"/>
    </xf>
    <xf numFmtId="0" fontId="16" fillId="0" borderId="0" xfId="1" applyFont="1" applyFill="1" applyAlignment="1" applyProtection="1">
      <alignment vertical="center"/>
    </xf>
    <xf numFmtId="177" fontId="16" fillId="0" borderId="0" xfId="1" applyNumberFormat="1" applyFont="1" applyFill="1" applyAlignment="1" applyProtection="1">
      <alignment vertical="center"/>
    </xf>
    <xf numFmtId="0" fontId="18" fillId="0" borderId="0" xfId="1" applyFont="1" applyFill="1" applyAlignment="1" applyProtection="1">
      <alignment horizontal="center" vertical="center"/>
    </xf>
    <xf numFmtId="0" fontId="17" fillId="0" borderId="0" xfId="1" applyFont="1" applyFill="1" applyAlignment="1" applyProtection="1">
      <alignment horizontal="center" vertical="center"/>
    </xf>
    <xf numFmtId="0" fontId="20" fillId="0" borderId="0" xfId="1" applyFont="1" applyFill="1" applyAlignment="1" applyProtection="1">
      <alignment horizontal="center" vertical="center"/>
    </xf>
    <xf numFmtId="0" fontId="3" fillId="0" borderId="0" xfId="1" applyFill="1" applyAlignment="1" applyProtection="1">
      <alignment vertical="center"/>
    </xf>
    <xf numFmtId="0" fontId="21" fillId="0" borderId="0" xfId="1" applyFont="1" applyFill="1" applyAlignment="1" applyProtection="1">
      <alignment vertical="center" shrinkToFit="1"/>
    </xf>
    <xf numFmtId="0" fontId="19" fillId="0" borderId="0" xfId="1" applyFont="1" applyFill="1" applyAlignment="1" applyProtection="1">
      <alignment horizontal="center" vertical="center"/>
    </xf>
    <xf numFmtId="0" fontId="23" fillId="0" borderId="0" xfId="1" applyFont="1" applyFill="1" applyAlignment="1" applyProtection="1">
      <alignment horizontal="center" vertical="center" shrinkToFit="1"/>
    </xf>
    <xf numFmtId="0" fontId="3" fillId="0" borderId="0" xfId="1" applyFill="1" applyBorder="1" applyAlignment="1" applyProtection="1">
      <alignment horizontal="center" vertical="center"/>
    </xf>
    <xf numFmtId="0" fontId="3" fillId="0" borderId="0" xfId="1" applyFill="1" applyBorder="1" applyAlignment="1" applyProtection="1">
      <alignment horizontal="center"/>
    </xf>
    <xf numFmtId="0" fontId="24" fillId="0" borderId="0" xfId="1" applyFont="1" applyFill="1" applyBorder="1" applyAlignment="1" applyProtection="1">
      <alignment horizontal="center" vertical="center" wrapText="1"/>
    </xf>
    <xf numFmtId="0" fontId="25" fillId="0" borderId="0" xfId="1" applyFont="1" applyFill="1" applyBorder="1" applyAlignment="1" applyProtection="1">
      <alignment horizontal="center" vertical="center" wrapText="1"/>
    </xf>
    <xf numFmtId="0" fontId="26" fillId="0" borderId="0" xfId="1" applyFont="1" applyFill="1" applyBorder="1" applyAlignment="1" applyProtection="1">
      <alignment horizontal="left"/>
    </xf>
    <xf numFmtId="0" fontId="3" fillId="0" borderId="0" xfId="1" applyFill="1" applyBorder="1" applyProtection="1"/>
    <xf numFmtId="0" fontId="27" fillId="0" borderId="0" xfId="1" applyFont="1" applyAlignment="1" applyProtection="1">
      <alignment horizontal="left" vertical="center"/>
    </xf>
    <xf numFmtId="0" fontId="3" fillId="0" borderId="0" xfId="1" applyFill="1" applyAlignment="1" applyProtection="1">
      <alignment vertical="top"/>
    </xf>
    <xf numFmtId="0" fontId="28" fillId="0" borderId="0" xfId="1" applyFont="1" applyFill="1" applyAlignment="1" applyProtection="1">
      <alignment horizontal="left" vertical="top" wrapText="1"/>
    </xf>
    <xf numFmtId="0" fontId="28" fillId="0" borderId="0" xfId="1" applyFont="1" applyFill="1" applyAlignment="1" applyProtection="1">
      <alignment vertical="top"/>
    </xf>
    <xf numFmtId="0" fontId="3" fillId="0" borderId="0" xfId="1" applyFill="1" applyBorder="1" applyAlignment="1" applyProtection="1">
      <alignment vertical="top"/>
    </xf>
    <xf numFmtId="0" fontId="28" fillId="0" borderId="0" xfId="1" applyFont="1" applyFill="1" applyProtection="1"/>
    <xf numFmtId="0" fontId="29" fillId="0" borderId="0" xfId="1" applyFont="1" applyFill="1" applyProtection="1"/>
    <xf numFmtId="0" fontId="9" fillId="0" borderId="0" xfId="1" applyFont="1" applyFill="1" applyBorder="1" applyAlignment="1" applyProtection="1">
      <alignment vertical="center" wrapText="1"/>
    </xf>
    <xf numFmtId="0" fontId="3" fillId="0" borderId="0" xfId="1" applyFill="1" applyBorder="1" applyAlignment="1" applyProtection="1"/>
    <xf numFmtId="0" fontId="9" fillId="0" borderId="0" xfId="1" applyFont="1" applyFill="1" applyBorder="1" applyAlignment="1" applyProtection="1">
      <alignment horizontal="center" vertical="center" wrapText="1"/>
    </xf>
    <xf numFmtId="0" fontId="33" fillId="0" borderId="0" xfId="1" applyFont="1" applyBorder="1" applyAlignment="1"/>
    <xf numFmtId="0" fontId="10" fillId="0" borderId="0" xfId="1" applyFont="1" applyBorder="1" applyAlignment="1"/>
    <xf numFmtId="0" fontId="34" fillId="0" borderId="0" xfId="1" applyFont="1" applyBorder="1" applyAlignment="1"/>
    <xf numFmtId="0" fontId="33" fillId="0" borderId="0" xfId="1" applyFont="1" applyBorder="1" applyAlignment="1" applyProtection="1"/>
    <xf numFmtId="0" fontId="33" fillId="0" borderId="0" xfId="1" applyFont="1" applyBorder="1" applyAlignment="1" applyProtection="1">
      <alignment horizontal="right"/>
    </xf>
    <xf numFmtId="0" fontId="33" fillId="0" borderId="0" xfId="1" applyFont="1" applyBorder="1" applyAlignment="1">
      <alignment horizontal="distributed" vertical="center"/>
    </xf>
    <xf numFmtId="0" fontId="33" fillId="0" borderId="0" xfId="1" applyFont="1" applyBorder="1" applyAlignment="1">
      <alignment vertical="center"/>
    </xf>
    <xf numFmtId="0" fontId="35" fillId="0" borderId="0" xfId="1" applyFont="1" applyBorder="1" applyAlignment="1">
      <alignment horizontal="left"/>
    </xf>
    <xf numFmtId="0" fontId="36" fillId="0" borderId="0" xfId="1" applyFont="1" applyBorder="1" applyAlignment="1">
      <alignment horizontal="center"/>
    </xf>
    <xf numFmtId="0" fontId="28" fillId="0" borderId="0" xfId="1" applyFont="1" applyBorder="1" applyAlignment="1">
      <alignment vertical="center"/>
    </xf>
    <xf numFmtId="0" fontId="37" fillId="0" borderId="0" xfId="1" applyFont="1" applyFill="1" applyBorder="1" applyAlignment="1">
      <alignment vertical="center"/>
    </xf>
    <xf numFmtId="0" fontId="37" fillId="0" borderId="0" xfId="1" applyFont="1" applyFill="1" applyBorder="1" applyAlignment="1">
      <alignment vertical="center" textRotation="255"/>
    </xf>
    <xf numFmtId="0" fontId="37" fillId="0" borderId="0" xfId="1" applyFont="1" applyFill="1" applyBorder="1" applyAlignment="1">
      <alignment horizontal="center" vertical="center"/>
    </xf>
    <xf numFmtId="0" fontId="33" fillId="0" borderId="0" xfId="1" applyFont="1" applyBorder="1" applyAlignment="1" applyProtection="1">
      <alignment vertical="center"/>
    </xf>
    <xf numFmtId="0" fontId="34" fillId="0" borderId="0" xfId="1" applyFont="1" applyBorder="1" applyAlignment="1">
      <alignment vertical="center"/>
    </xf>
    <xf numFmtId="0" fontId="38" fillId="0" borderId="0" xfId="1" applyFont="1" applyBorder="1" applyAlignment="1">
      <alignment horizontal="right" vertical="center"/>
    </xf>
    <xf numFmtId="0" fontId="33" fillId="0" borderId="0" xfId="1" applyFont="1" applyBorder="1" applyAlignment="1" applyProtection="1">
      <alignment horizontal="distributed" vertical="center"/>
    </xf>
    <xf numFmtId="0" fontId="38" fillId="0" borderId="0" xfId="1" applyFont="1" applyBorder="1" applyAlignment="1" applyProtection="1">
      <alignment horizontal="right" vertical="center"/>
    </xf>
    <xf numFmtId="0" fontId="39" fillId="0" borderId="0" xfId="1" applyFont="1" applyBorder="1" applyAlignment="1">
      <alignment vertical="center"/>
    </xf>
    <xf numFmtId="0" fontId="33" fillId="0" borderId="0" xfId="1" applyFont="1" applyBorder="1" applyAlignment="1">
      <alignment vertical="center" textRotation="255"/>
    </xf>
    <xf numFmtId="0" fontId="33" fillId="0" borderId="0" xfId="1" applyFont="1" applyBorder="1" applyAlignment="1">
      <alignment horizontal="center" vertical="center"/>
    </xf>
    <xf numFmtId="0" fontId="10" fillId="0" borderId="0" xfId="1" applyFont="1" applyBorder="1" applyAlignment="1">
      <alignment vertical="center"/>
    </xf>
    <xf numFmtId="0" fontId="28" fillId="0" borderId="0" xfId="1" applyFont="1" applyFill="1" applyBorder="1" applyAlignment="1">
      <alignment vertical="center"/>
    </xf>
    <xf numFmtId="0" fontId="34" fillId="0" borderId="0" xfId="1" applyFont="1" applyBorder="1" applyAlignment="1">
      <alignment horizontal="distributed" vertical="center"/>
    </xf>
    <xf numFmtId="0" fontId="10" fillId="0" borderId="0" xfId="1" applyFont="1" applyAlignment="1">
      <alignment horizontal="left" vertical="center"/>
    </xf>
    <xf numFmtId="0" fontId="10" fillId="0" borderId="0" xfId="1" applyFont="1"/>
    <xf numFmtId="0" fontId="42" fillId="0" borderId="0" xfId="1" applyFont="1" applyBorder="1" applyAlignment="1">
      <alignment vertical="center"/>
    </xf>
    <xf numFmtId="0" fontId="28" fillId="0" borderId="0" xfId="1" applyFont="1" applyBorder="1" applyAlignment="1"/>
    <xf numFmtId="0" fontId="43" fillId="0" borderId="0" xfId="1" applyFont="1" applyBorder="1" applyAlignment="1">
      <alignment vertical="center"/>
    </xf>
    <xf numFmtId="0" fontId="9" fillId="0" borderId="39" xfId="1" applyFont="1" applyBorder="1" applyAlignment="1">
      <alignment vertical="center"/>
    </xf>
    <xf numFmtId="0" fontId="3" fillId="0" borderId="40" xfId="1" applyFont="1" applyBorder="1" applyAlignment="1">
      <alignment vertical="center"/>
    </xf>
    <xf numFmtId="0" fontId="3" fillId="0" borderId="20" xfId="1" applyFont="1" applyBorder="1" applyAlignment="1">
      <alignment vertical="center"/>
    </xf>
    <xf numFmtId="0" fontId="3" fillId="0" borderId="46" xfId="1" applyFont="1" applyBorder="1" applyAlignment="1">
      <alignment vertical="center"/>
    </xf>
    <xf numFmtId="0" fontId="33" fillId="0" borderId="0" xfId="1" applyFont="1" applyFill="1" applyBorder="1" applyAlignment="1">
      <alignment vertical="center"/>
    </xf>
    <xf numFmtId="0" fontId="3" fillId="0" borderId="0" xfId="1" applyFont="1" applyFill="1" applyBorder="1" applyAlignment="1">
      <alignment horizontal="distributed" vertical="center"/>
    </xf>
    <xf numFmtId="0" fontId="26" fillId="0" borderId="0" xfId="1" applyFont="1" applyFill="1" applyBorder="1" applyAlignment="1" applyProtection="1">
      <alignment horizontal="left" vertical="center" wrapText="1"/>
    </xf>
    <xf numFmtId="0" fontId="46" fillId="0" borderId="0" xfId="1" applyFont="1" applyFill="1" applyBorder="1" applyAlignment="1">
      <alignment horizontal="right" vertical="center"/>
    </xf>
    <xf numFmtId="0" fontId="47" fillId="0" borderId="0" xfId="1" applyFont="1" applyFill="1" applyBorder="1" applyAlignment="1">
      <alignment horizontal="left" vertical="center" wrapText="1"/>
    </xf>
    <xf numFmtId="0" fontId="3" fillId="0" borderId="0" xfId="1" applyFill="1" applyBorder="1" applyAlignment="1">
      <alignment horizontal="center" vertical="center"/>
    </xf>
    <xf numFmtId="0" fontId="48" fillId="0" borderId="0" xfId="1" applyFont="1" applyFill="1" applyBorder="1" applyAlignment="1">
      <alignment horizontal="center" vertical="center"/>
    </xf>
    <xf numFmtId="0" fontId="49" fillId="0" borderId="0" xfId="1" applyFont="1" applyFill="1" applyBorder="1" applyAlignment="1">
      <alignment horizontal="center" vertical="center"/>
    </xf>
    <xf numFmtId="0" fontId="31" fillId="0" borderId="0" xfId="1" applyFont="1" applyFill="1" applyBorder="1" applyAlignment="1">
      <alignment horizontal="center" vertical="center" wrapText="1"/>
    </xf>
    <xf numFmtId="0" fontId="48" fillId="0" borderId="0" xfId="1" quotePrefix="1" applyFont="1" applyFill="1" applyBorder="1" applyAlignment="1">
      <alignment horizontal="center" vertical="center"/>
    </xf>
    <xf numFmtId="0" fontId="3" fillId="0" borderId="0" xfId="1" applyBorder="1" applyAlignment="1">
      <alignment horizontal="center" vertical="center"/>
    </xf>
    <xf numFmtId="0" fontId="3" fillId="0" borderId="0" xfId="1" applyAlignment="1">
      <alignment horizontal="center" vertical="center"/>
    </xf>
    <xf numFmtId="0" fontId="33" fillId="0" borderId="0" xfId="1" applyFont="1" applyBorder="1" applyAlignment="1">
      <alignment horizontal="right" vertical="center"/>
    </xf>
    <xf numFmtId="0" fontId="30" fillId="0" borderId="0" xfId="1" applyFont="1" applyFill="1" applyProtection="1">
      <protection hidden="1"/>
    </xf>
    <xf numFmtId="0" fontId="42" fillId="0" borderId="0" xfId="1" applyFont="1" applyBorder="1" applyAlignment="1"/>
    <xf numFmtId="0" fontId="30" fillId="0" borderId="0" xfId="1" applyFont="1" applyBorder="1" applyAlignment="1">
      <alignment vertical="center"/>
    </xf>
    <xf numFmtId="0" fontId="50" fillId="0" borderId="0" xfId="1" applyFont="1" applyBorder="1" applyAlignment="1">
      <alignment vertical="center"/>
    </xf>
    <xf numFmtId="0" fontId="30" fillId="0" borderId="0" xfId="1" applyFont="1" applyFill="1" applyAlignment="1" applyProtection="1">
      <alignment vertical="center"/>
      <protection hidden="1"/>
    </xf>
    <xf numFmtId="0" fontId="30" fillId="0" borderId="0" xfId="1" applyFont="1" applyBorder="1" applyAlignment="1" applyProtection="1">
      <alignment vertical="center"/>
    </xf>
    <xf numFmtId="0" fontId="28" fillId="0" borderId="0" xfId="1" applyFont="1" applyFill="1" applyAlignment="1" applyProtection="1">
      <alignment vertical="center"/>
      <protection hidden="1"/>
    </xf>
    <xf numFmtId="0" fontId="30" fillId="0" borderId="0" xfId="1" applyFont="1" applyBorder="1" applyAlignment="1" applyProtection="1"/>
    <xf numFmtId="0" fontId="40" fillId="0" borderId="0" xfId="1" applyFont="1" applyBorder="1" applyAlignment="1" applyProtection="1"/>
    <xf numFmtId="0" fontId="28" fillId="0" borderId="0" xfId="1" applyFont="1" applyFill="1" applyBorder="1" applyProtection="1">
      <protection hidden="1"/>
    </xf>
    <xf numFmtId="0" fontId="40" fillId="0" borderId="0" xfId="1" applyFont="1" applyFill="1" applyBorder="1" applyProtection="1">
      <protection hidden="1"/>
    </xf>
    <xf numFmtId="0" fontId="28" fillId="0" borderId="0" xfId="1" applyFont="1" applyFill="1" applyProtection="1">
      <protection hidden="1"/>
    </xf>
    <xf numFmtId="0" fontId="28" fillId="0" borderId="0" xfId="1" applyFont="1" applyBorder="1" applyAlignment="1" applyProtection="1"/>
    <xf numFmtId="0" fontId="28" fillId="0" borderId="0" xfId="1" applyFont="1" applyFill="1" applyAlignment="1" applyProtection="1">
      <alignment horizontal="center" vertical="center"/>
      <protection hidden="1"/>
    </xf>
    <xf numFmtId="0" fontId="28" fillId="0" borderId="0" xfId="1" applyFont="1" applyFill="1" applyBorder="1" applyAlignment="1" applyProtection="1">
      <alignment horizontal="center"/>
      <protection hidden="1"/>
    </xf>
    <xf numFmtId="0" fontId="30" fillId="0" borderId="0" xfId="1" applyFont="1" applyFill="1" applyAlignment="1" applyProtection="1">
      <alignment horizontal="center" vertical="center"/>
      <protection hidden="1"/>
    </xf>
    <xf numFmtId="0" fontId="30" fillId="0" borderId="0" xfId="1" applyFont="1" applyFill="1" applyBorder="1" applyAlignment="1" applyProtection="1">
      <alignment horizontal="center"/>
      <protection hidden="1"/>
    </xf>
    <xf numFmtId="0" fontId="28" fillId="0" borderId="0" xfId="1" applyFont="1" applyFill="1" applyBorder="1" applyAlignment="1" applyProtection="1">
      <alignment horizontal="center" vertical="center" wrapText="1"/>
      <protection hidden="1"/>
    </xf>
    <xf numFmtId="0" fontId="40" fillId="0" borderId="0" xfId="1" applyFont="1" applyFill="1" applyProtection="1">
      <protection hidden="1"/>
    </xf>
    <xf numFmtId="0" fontId="28" fillId="0" borderId="0" xfId="1" applyFont="1" applyFill="1" applyBorder="1" applyAlignment="1" applyProtection="1">
      <alignment horizontal="left"/>
      <protection hidden="1"/>
    </xf>
    <xf numFmtId="0" fontId="38" fillId="0" borderId="0" xfId="1" applyFont="1" applyBorder="1" applyAlignment="1">
      <alignment horizontal="right" vertical="top"/>
    </xf>
    <xf numFmtId="0" fontId="30" fillId="0" borderId="0" xfId="1" applyNumberFormat="1" applyFont="1" applyFill="1" applyAlignment="1" applyProtection="1">
      <protection hidden="1"/>
    </xf>
    <xf numFmtId="0" fontId="52" fillId="5" borderId="0" xfId="1" applyFont="1" applyFill="1" applyAlignment="1"/>
    <xf numFmtId="0" fontId="9" fillId="5" borderId="0" xfId="1" applyFont="1" applyFill="1"/>
    <xf numFmtId="0" fontId="52" fillId="5" borderId="0" xfId="1" applyFont="1" applyFill="1" applyAlignment="1">
      <alignment horizontal="center"/>
    </xf>
    <xf numFmtId="0" fontId="9" fillId="5" borderId="0" xfId="1" applyFont="1" applyFill="1" applyAlignment="1">
      <alignment horizontal="right"/>
    </xf>
    <xf numFmtId="0" fontId="9" fillId="5" borderId="0" xfId="1" applyFont="1" applyFill="1" applyAlignment="1">
      <alignment horizontal="center"/>
    </xf>
    <xf numFmtId="0" fontId="33" fillId="5" borderId="0" xfId="1" applyFont="1" applyFill="1"/>
    <xf numFmtId="0" fontId="33" fillId="5" borderId="0" xfId="1" applyFont="1" applyFill="1" applyAlignment="1"/>
    <xf numFmtId="0" fontId="3" fillId="5" borderId="0" xfId="1" applyFill="1"/>
    <xf numFmtId="0" fontId="3" fillId="0" borderId="0" xfId="1" applyFont="1" applyBorder="1" applyAlignment="1" applyProtection="1"/>
    <xf numFmtId="0" fontId="48" fillId="0" borderId="0" xfId="1" applyFont="1" applyBorder="1" applyAlignment="1" applyProtection="1"/>
    <xf numFmtId="0" fontId="53" fillId="0" borderId="0" xfId="1" applyFont="1" applyBorder="1" applyAlignment="1" applyProtection="1">
      <alignment vertical="center"/>
    </xf>
    <xf numFmtId="0" fontId="3" fillId="0" borderId="0" xfId="1" applyFont="1" applyBorder="1" applyAlignment="1" applyProtection="1">
      <alignment vertical="center"/>
    </xf>
    <xf numFmtId="0" fontId="54" fillId="0" borderId="0" xfId="1" applyFont="1" applyBorder="1" applyAlignment="1" applyProtection="1">
      <alignment vertical="center"/>
    </xf>
    <xf numFmtId="0" fontId="55" fillId="0" borderId="0" xfId="1" applyFont="1" applyBorder="1" applyAlignment="1" applyProtection="1">
      <alignment vertical="center"/>
    </xf>
    <xf numFmtId="0" fontId="34" fillId="0" borderId="0" xfId="1" applyFont="1" applyBorder="1" applyAlignment="1" applyProtection="1">
      <alignment vertical="center"/>
    </xf>
    <xf numFmtId="3" fontId="7" fillId="3" borderId="53" xfId="1" applyNumberFormat="1" applyFont="1" applyFill="1" applyBorder="1" applyAlignment="1" applyProtection="1">
      <alignment vertical="center" shrinkToFit="1"/>
      <protection locked="0"/>
    </xf>
    <xf numFmtId="3" fontId="7" fillId="3" borderId="54" xfId="1" applyNumberFormat="1" applyFont="1" applyFill="1" applyBorder="1" applyAlignment="1" applyProtection="1">
      <alignment vertical="center" shrinkToFit="1"/>
      <protection locked="0"/>
    </xf>
    <xf numFmtId="3" fontId="7" fillId="3" borderId="57" xfId="1" applyNumberFormat="1" applyFont="1" applyFill="1" applyBorder="1" applyAlignment="1" applyProtection="1">
      <alignment vertical="center" shrinkToFit="1"/>
      <protection locked="0"/>
    </xf>
    <xf numFmtId="3" fontId="56" fillId="3" borderId="58" xfId="1" applyNumberFormat="1" applyFont="1" applyFill="1" applyBorder="1" applyAlignment="1" applyProtection="1">
      <alignment vertical="center" shrinkToFit="1"/>
      <protection locked="0"/>
    </xf>
    <xf numFmtId="3" fontId="7" fillId="3" borderId="62" xfId="1" applyNumberFormat="1" applyFont="1" applyFill="1" applyBorder="1" applyAlignment="1" applyProtection="1">
      <alignment vertical="center" shrinkToFit="1"/>
      <protection locked="0"/>
    </xf>
    <xf numFmtId="3" fontId="56" fillId="3" borderId="63" xfId="1" applyNumberFormat="1" applyFont="1" applyFill="1" applyBorder="1" applyAlignment="1" applyProtection="1">
      <alignment vertical="center" shrinkToFit="1"/>
      <protection locked="0"/>
    </xf>
    <xf numFmtId="0" fontId="44" fillId="0" borderId="0" xfId="1" applyFont="1" applyFill="1" applyBorder="1" applyAlignment="1" applyProtection="1">
      <alignment vertical="center" wrapText="1" justifyLastLine="1"/>
    </xf>
    <xf numFmtId="0" fontId="3" fillId="0" borderId="23" xfId="1" applyFont="1" applyFill="1" applyBorder="1" applyAlignment="1" applyProtection="1"/>
    <xf numFmtId="0" fontId="55" fillId="0" borderId="23" xfId="1" applyFont="1" applyFill="1" applyBorder="1" applyAlignment="1" applyProtection="1"/>
    <xf numFmtId="0" fontId="3" fillId="0" borderId="0" xfId="1" applyFont="1" applyFill="1" applyBorder="1" applyAlignment="1" applyProtection="1"/>
    <xf numFmtId="0" fontId="3" fillId="0" borderId="0" xfId="1" applyFont="1" applyBorder="1" applyAlignment="1" applyProtection="1">
      <alignment horizontal="distributed" vertical="center" justifyLastLine="1"/>
    </xf>
    <xf numFmtId="0" fontId="3" fillId="0" borderId="0" xfId="1" applyFont="1" applyBorder="1" applyAlignment="1" applyProtection="1">
      <alignment horizontal="right" vertical="center"/>
    </xf>
    <xf numFmtId="3" fontId="7" fillId="3" borderId="70" xfId="1" applyNumberFormat="1" applyFont="1" applyFill="1" applyBorder="1" applyAlignment="1" applyProtection="1">
      <alignment vertical="center" shrinkToFit="1"/>
      <protection locked="0"/>
    </xf>
    <xf numFmtId="3" fontId="7" fillId="3" borderId="71" xfId="1" applyNumberFormat="1" applyFont="1" applyFill="1" applyBorder="1" applyAlignment="1" applyProtection="1">
      <alignment vertical="center" shrinkToFit="1"/>
      <protection locked="0"/>
    </xf>
    <xf numFmtId="0" fontId="9" fillId="0" borderId="39" xfId="1" applyFont="1" applyBorder="1" applyAlignment="1" applyProtection="1"/>
    <xf numFmtId="0" fontId="9" fillId="0" borderId="26" xfId="1" applyFont="1" applyBorder="1" applyAlignment="1" applyProtection="1"/>
    <xf numFmtId="3" fontId="7" fillId="3" borderId="58" xfId="1" applyNumberFormat="1" applyFont="1" applyFill="1" applyBorder="1" applyAlignment="1" applyProtection="1">
      <alignment vertical="center" shrinkToFit="1"/>
      <protection locked="0"/>
    </xf>
    <xf numFmtId="3" fontId="7" fillId="3" borderId="63" xfId="1" applyNumberFormat="1" applyFont="1" applyFill="1" applyBorder="1" applyAlignment="1" applyProtection="1">
      <alignment vertical="center" shrinkToFit="1"/>
      <protection locked="0"/>
    </xf>
    <xf numFmtId="0" fontId="53" fillId="0" borderId="0" xfId="1" applyFont="1" applyBorder="1" applyAlignment="1" applyProtection="1"/>
    <xf numFmtId="0" fontId="54" fillId="0" borderId="0" xfId="1" applyFont="1" applyBorder="1" applyAlignment="1" applyProtection="1"/>
    <xf numFmtId="0" fontId="55" fillId="0" borderId="0" xfId="1" applyFont="1" applyBorder="1" applyAlignment="1" applyProtection="1"/>
    <xf numFmtId="0" fontId="58" fillId="3" borderId="76" xfId="1" applyFont="1" applyFill="1" applyBorder="1" applyAlignment="1" applyProtection="1">
      <alignment horizontal="center" vertical="center" shrinkToFit="1"/>
      <protection locked="0"/>
    </xf>
    <xf numFmtId="0" fontId="59" fillId="0" borderId="6" xfId="1" applyFont="1" applyBorder="1" applyAlignment="1" applyProtection="1">
      <alignment horizontal="center" vertical="center"/>
    </xf>
    <xf numFmtId="0" fontId="8" fillId="0" borderId="6" xfId="1" applyFont="1" applyBorder="1" applyAlignment="1" applyProtection="1">
      <alignment horizontal="center" vertical="center"/>
    </xf>
    <xf numFmtId="0" fontId="34" fillId="0" borderId="0" xfId="1" applyFont="1" applyBorder="1" applyAlignment="1" applyProtection="1">
      <alignment horizontal="left" vertical="center" wrapText="1"/>
    </xf>
    <xf numFmtId="0" fontId="49" fillId="0" borderId="0" xfId="1" applyFont="1" applyFill="1" applyBorder="1" applyAlignment="1" applyProtection="1">
      <alignment vertical="center"/>
    </xf>
    <xf numFmtId="0" fontId="34" fillId="0" borderId="0" xfId="1" applyFont="1" applyBorder="1" applyAlignment="1" applyProtection="1"/>
    <xf numFmtId="0" fontId="9" fillId="0" borderId="18" xfId="1" applyFont="1" applyBorder="1" applyAlignment="1" applyProtection="1">
      <alignment horizontal="center" vertical="center"/>
    </xf>
    <xf numFmtId="0" fontId="9" fillId="0" borderId="30" xfId="1" applyFont="1" applyBorder="1" applyAlignment="1" applyProtection="1">
      <alignment horizontal="center" vertical="center"/>
    </xf>
    <xf numFmtId="0" fontId="9" fillId="0" borderId="80" xfId="1" applyFont="1" applyBorder="1" applyAlignment="1" applyProtection="1">
      <alignment horizontal="center" vertical="center"/>
    </xf>
    <xf numFmtId="0" fontId="59" fillId="0" borderId="6" xfId="1" applyFont="1" applyBorder="1" applyAlignment="1" applyProtection="1">
      <alignment horizontal="center" vertical="center" shrinkToFit="1"/>
    </xf>
    <xf numFmtId="3" fontId="56" fillId="3" borderId="81" xfId="1" applyNumberFormat="1" applyFont="1" applyFill="1" applyBorder="1" applyAlignment="1" applyProtection="1">
      <alignment vertical="center" shrinkToFit="1"/>
      <protection locked="0"/>
    </xf>
    <xf numFmtId="3" fontId="7" fillId="3" borderId="82" xfId="1" applyNumberFormat="1" applyFont="1" applyFill="1" applyBorder="1" applyAlignment="1" applyProtection="1">
      <alignment vertical="center" shrinkToFit="1"/>
      <protection locked="0"/>
    </xf>
    <xf numFmtId="3" fontId="7" fillId="3" borderId="83" xfId="1" applyNumberFormat="1" applyFont="1" applyFill="1" applyBorder="1" applyAlignment="1" applyProtection="1">
      <alignment vertical="center" shrinkToFit="1"/>
      <protection locked="0"/>
    </xf>
    <xf numFmtId="180" fontId="8" fillId="0" borderId="6" xfId="2" applyNumberFormat="1" applyFont="1" applyFill="1" applyBorder="1" applyAlignment="1" applyProtection="1">
      <alignment horizontal="right" vertical="center" shrinkToFit="1"/>
    </xf>
    <xf numFmtId="0" fontId="3" fillId="0" borderId="0" xfId="1" applyFont="1" applyBorder="1" applyAlignment="1" applyProtection="1">
      <alignment horizontal="center" vertical="center"/>
    </xf>
    <xf numFmtId="0" fontId="53" fillId="0" borderId="0" xfId="1" applyFont="1" applyFill="1" applyBorder="1" applyAlignment="1" applyProtection="1"/>
    <xf numFmtId="0" fontId="54" fillId="0" borderId="0" xfId="1" applyFont="1" applyFill="1" applyBorder="1" applyAlignment="1" applyProtection="1"/>
    <xf numFmtId="0" fontId="55" fillId="0" borderId="0" xfId="1" applyFont="1" applyFill="1" applyBorder="1" applyAlignment="1" applyProtection="1"/>
    <xf numFmtId="0" fontId="33" fillId="0" borderId="0" xfId="1" applyFont="1" applyFill="1" applyBorder="1" applyAlignment="1" applyProtection="1"/>
    <xf numFmtId="0" fontId="3" fillId="0" borderId="0" xfId="1" applyFont="1" applyFill="1" applyBorder="1" applyAlignment="1" applyProtection="1">
      <alignment horizontal="right"/>
    </xf>
    <xf numFmtId="0" fontId="9" fillId="0" borderId="0" xfId="1" applyFont="1" applyFill="1" applyBorder="1" applyAlignment="1" applyProtection="1"/>
    <xf numFmtId="0" fontId="9" fillId="0" borderId="0" xfId="1" applyFont="1" applyFill="1" applyBorder="1" applyAlignment="1" applyProtection="1">
      <alignment vertical="center" justifyLastLine="1"/>
    </xf>
    <xf numFmtId="0" fontId="9" fillId="0" borderId="0" xfId="1" applyFont="1" applyFill="1" applyBorder="1" applyAlignment="1" applyProtection="1">
      <alignment vertical="center"/>
    </xf>
    <xf numFmtId="0" fontId="9" fillId="0" borderId="0" xfId="1" applyFont="1" applyFill="1" applyBorder="1" applyAlignment="1" applyProtection="1">
      <alignment horizontal="distributed" vertical="center" justifyLastLine="1"/>
    </xf>
    <xf numFmtId="0" fontId="60" fillId="0" borderId="0" xfId="1" applyFont="1" applyFill="1" applyBorder="1" applyAlignment="1" applyProtection="1"/>
    <xf numFmtId="0" fontId="3" fillId="0" borderId="0" xfId="1" applyFont="1" applyFill="1" applyBorder="1" applyAlignment="1" applyProtection="1">
      <alignment horizontal="distributed" vertical="center" justifyLastLine="1"/>
    </xf>
    <xf numFmtId="0" fontId="60" fillId="0" borderId="0" xfId="1" applyFont="1" applyFill="1" applyBorder="1" applyAlignment="1" applyProtection="1">
      <alignment horizontal="center"/>
    </xf>
    <xf numFmtId="0" fontId="3" fillId="0" borderId="0" xfId="1" applyFont="1" applyFill="1" applyBorder="1" applyAlignment="1" applyProtection="1">
      <alignment horizontal="center" vertical="center"/>
    </xf>
    <xf numFmtId="0" fontId="36" fillId="0" borderId="0" xfId="1" applyFont="1" applyFill="1" applyBorder="1" applyAlignment="1" applyProtection="1">
      <alignment vertical="top"/>
    </xf>
    <xf numFmtId="0" fontId="36" fillId="0" borderId="0" xfId="1" applyFont="1" applyBorder="1" applyAlignment="1" applyProtection="1">
      <alignment vertical="top"/>
    </xf>
    <xf numFmtId="0" fontId="59" fillId="0" borderId="0" xfId="1" applyFont="1" applyBorder="1" applyAlignment="1" applyProtection="1">
      <alignment vertical="center"/>
    </xf>
    <xf numFmtId="0" fontId="48" fillId="0" borderId="0" xfId="1" applyFont="1" applyBorder="1" applyAlignment="1" applyProtection="1">
      <alignment vertical="center"/>
    </xf>
    <xf numFmtId="0" fontId="61" fillId="0" borderId="0" xfId="1" applyFont="1" applyBorder="1" applyAlignment="1" applyProtection="1">
      <alignment vertical="center"/>
    </xf>
    <xf numFmtId="0" fontId="62" fillId="0" borderId="0" xfId="1" applyFont="1" applyBorder="1" applyAlignment="1" applyProtection="1">
      <alignment horizontal="left"/>
    </xf>
    <xf numFmtId="0" fontId="53" fillId="0" borderId="0" xfId="1" applyFont="1" applyFill="1" applyBorder="1" applyAlignment="1" applyProtection="1">
      <alignment vertical="center"/>
    </xf>
    <xf numFmtId="0" fontId="3" fillId="0" borderId="0" xfId="1" applyFont="1" applyFill="1" applyBorder="1" applyAlignment="1" applyProtection="1">
      <alignment vertical="center"/>
    </xf>
    <xf numFmtId="0" fontId="34" fillId="0" borderId="0" xfId="1" applyFont="1" applyFill="1" applyBorder="1" applyAlignment="1" applyProtection="1"/>
    <xf numFmtId="0" fontId="33" fillId="0" borderId="0" xfId="1" applyFont="1" applyFill="1" applyBorder="1" applyAlignment="1" applyProtection="1">
      <alignment horizontal="right"/>
    </xf>
    <xf numFmtId="0" fontId="9" fillId="0" borderId="0" xfId="1" applyFont="1" applyBorder="1" applyAlignment="1" applyProtection="1"/>
    <xf numFmtId="0" fontId="34" fillId="0" borderId="21" xfId="1" applyFont="1" applyBorder="1" applyAlignment="1" applyProtection="1"/>
    <xf numFmtId="0" fontId="3" fillId="0" borderId="84" xfId="1" applyFont="1" applyBorder="1" applyAlignment="1" applyProtection="1"/>
    <xf numFmtId="0" fontId="9" fillId="0" borderId="0" xfId="1" applyFont="1" applyBorder="1" applyAlignment="1" applyProtection="1">
      <alignment vertical="center"/>
    </xf>
    <xf numFmtId="0" fontId="9" fillId="0" borderId="0" xfId="1" applyFont="1" applyFill="1" applyBorder="1" applyAlignment="1" applyProtection="1">
      <alignment justifyLastLine="1"/>
    </xf>
    <xf numFmtId="0" fontId="9" fillId="0" borderId="88" xfId="1" applyFont="1" applyFill="1" applyBorder="1" applyAlignment="1" applyProtection="1">
      <alignment horizontal="center" vertical="center"/>
    </xf>
    <xf numFmtId="181" fontId="7" fillId="3" borderId="89" xfId="1" applyNumberFormat="1" applyFont="1" applyFill="1" applyBorder="1" applyAlignment="1" applyProtection="1">
      <alignment vertical="center" shrinkToFit="1"/>
      <protection locked="0"/>
    </xf>
    <xf numFmtId="0" fontId="9" fillId="0" borderId="90" xfId="1" applyFont="1" applyFill="1" applyBorder="1" applyAlignment="1" applyProtection="1">
      <alignment horizontal="center" vertical="center"/>
    </xf>
    <xf numFmtId="181" fontId="7" fillId="3" borderId="91" xfId="1" applyNumberFormat="1" applyFont="1" applyFill="1" applyBorder="1" applyAlignment="1" applyProtection="1">
      <alignment vertical="center" shrinkToFit="1"/>
      <protection locked="0"/>
    </xf>
    <xf numFmtId="0" fontId="9" fillId="0" borderId="0" xfId="1" applyFont="1" applyFill="1" applyBorder="1" applyAlignment="1" applyProtection="1">
      <alignment vertical="distributed"/>
    </xf>
    <xf numFmtId="0" fontId="36" fillId="0" borderId="84" xfId="1" applyFont="1" applyBorder="1" applyAlignment="1" applyProtection="1"/>
    <xf numFmtId="0" fontId="45" fillId="0" borderId="94" xfId="1" applyFont="1" applyBorder="1" applyAlignment="1" applyProtection="1">
      <alignment horizontal="center" vertical="center" wrapText="1"/>
    </xf>
    <xf numFmtId="182" fontId="7" fillId="3" borderId="95" xfId="1" applyNumberFormat="1" applyFont="1" applyFill="1" applyBorder="1" applyAlignment="1" applyProtection="1">
      <alignment vertical="center" shrinkToFit="1"/>
      <protection locked="0"/>
    </xf>
    <xf numFmtId="0" fontId="36" fillId="0" borderId="0" xfId="1" applyFont="1" applyBorder="1" applyAlignment="1" applyProtection="1"/>
    <xf numFmtId="0" fontId="3" fillId="0" borderId="18" xfId="1" applyBorder="1" applyAlignment="1" applyProtection="1">
      <alignment horizontal="center"/>
    </xf>
    <xf numFmtId="0" fontId="3" fillId="0" borderId="0" xfId="1" applyBorder="1" applyAlignment="1" applyProtection="1">
      <alignment horizontal="center"/>
    </xf>
    <xf numFmtId="0" fontId="63" fillId="0" borderId="0" xfId="1" applyNumberFormat="1" applyFont="1" applyBorder="1" applyAlignment="1" applyProtection="1">
      <alignment horizontal="center" vertical="center"/>
    </xf>
    <xf numFmtId="0" fontId="9" fillId="0" borderId="4" xfId="1" applyFont="1" applyFill="1" applyBorder="1" applyAlignment="1" applyProtection="1">
      <alignment horizontal="center" vertical="center"/>
    </xf>
    <xf numFmtId="0" fontId="9" fillId="0" borderId="6" xfId="1" applyFont="1" applyFill="1" applyBorder="1" applyAlignment="1" applyProtection="1">
      <alignment horizontal="center" vertical="center"/>
    </xf>
    <xf numFmtId="49" fontId="9" fillId="3" borderId="53" xfId="1" applyNumberFormat="1" applyFont="1" applyFill="1" applyBorder="1" applyAlignment="1" applyProtection="1">
      <alignment horizontal="center" vertical="center" wrapText="1"/>
      <protection locked="0"/>
    </xf>
    <xf numFmtId="181" fontId="7" fillId="3" borderId="107" xfId="1" applyNumberFormat="1" applyFont="1" applyFill="1" applyBorder="1" applyAlignment="1" applyProtection="1">
      <alignment vertical="center" shrinkToFit="1"/>
      <protection locked="0"/>
    </xf>
    <xf numFmtId="0" fontId="64" fillId="0" borderId="0" xfId="1" applyFont="1" applyProtection="1"/>
    <xf numFmtId="0" fontId="9" fillId="0" borderId="2" xfId="1" applyNumberFormat="1" applyFont="1" applyFill="1" applyBorder="1" applyAlignment="1" applyProtection="1">
      <alignment horizontal="center" vertical="center" shrinkToFit="1"/>
    </xf>
    <xf numFmtId="183" fontId="65" fillId="7" borderId="108" xfId="1" applyNumberFormat="1" applyFont="1" applyFill="1" applyBorder="1" applyAlignment="1" applyProtection="1">
      <alignment horizontal="center" vertical="center" shrinkToFit="1"/>
      <protection locked="0"/>
    </xf>
    <xf numFmtId="177" fontId="7" fillId="0" borderId="4" xfId="1" applyNumberFormat="1" applyFont="1" applyFill="1" applyBorder="1" applyAlignment="1" applyProtection="1">
      <alignment horizontal="center" vertical="center" shrinkToFit="1"/>
    </xf>
    <xf numFmtId="184" fontId="7" fillId="0" borderId="4" xfId="1" applyNumberFormat="1" applyFont="1" applyFill="1" applyBorder="1" applyAlignment="1" applyProtection="1">
      <alignment vertical="center" shrinkToFit="1"/>
    </xf>
    <xf numFmtId="49" fontId="9" fillId="3" borderId="110" xfId="1" applyNumberFormat="1" applyFont="1" applyFill="1" applyBorder="1" applyAlignment="1" applyProtection="1">
      <alignment horizontal="center" vertical="center" wrapText="1"/>
      <protection locked="0"/>
    </xf>
    <xf numFmtId="181" fontId="7" fillId="3" borderId="111" xfId="1" applyNumberFormat="1" applyFont="1" applyFill="1" applyBorder="1" applyAlignment="1" applyProtection="1">
      <alignment vertical="center" shrinkToFit="1"/>
      <protection locked="0"/>
    </xf>
    <xf numFmtId="183" fontId="65" fillId="7" borderId="112" xfId="1" applyNumberFormat="1" applyFont="1" applyFill="1" applyBorder="1" applyAlignment="1" applyProtection="1">
      <alignment horizontal="center" vertical="center" shrinkToFit="1"/>
      <protection locked="0"/>
    </xf>
    <xf numFmtId="49" fontId="9" fillId="3" borderId="62" xfId="1" applyNumberFormat="1" applyFont="1" applyFill="1" applyBorder="1" applyAlignment="1" applyProtection="1">
      <alignment horizontal="center" vertical="center" wrapText="1"/>
      <protection locked="0"/>
    </xf>
    <xf numFmtId="181" fontId="7" fillId="3" borderId="114" xfId="1" applyNumberFormat="1" applyFont="1" applyFill="1" applyBorder="1" applyAlignment="1" applyProtection="1">
      <alignment vertical="center" shrinkToFit="1"/>
      <protection locked="0"/>
    </xf>
    <xf numFmtId="183" fontId="65" fillId="7" borderId="115" xfId="1" applyNumberFormat="1" applyFont="1" applyFill="1" applyBorder="1" applyAlignment="1" applyProtection="1">
      <alignment horizontal="center" vertical="center" shrinkToFit="1"/>
      <protection locked="0"/>
    </xf>
    <xf numFmtId="0" fontId="64" fillId="0" borderId="0" xfId="1" applyFont="1" applyBorder="1" applyAlignment="1" applyProtection="1"/>
    <xf numFmtId="0" fontId="64" fillId="0" borderId="0" xfId="1" applyFont="1" applyBorder="1" applyAlignment="1" applyProtection="1">
      <alignment vertical="center"/>
    </xf>
    <xf numFmtId="0" fontId="66" fillId="0" borderId="0" xfId="1" applyFont="1" applyBorder="1" applyAlignment="1" applyProtection="1"/>
    <xf numFmtId="0" fontId="36" fillId="0" borderId="0" xfId="1" applyFont="1" applyBorder="1" applyAlignment="1" applyProtection="1">
      <alignment vertical="center"/>
    </xf>
    <xf numFmtId="3" fontId="7" fillId="3" borderId="117" xfId="1" applyNumberFormat="1" applyFont="1" applyFill="1" applyBorder="1" applyAlignment="1" applyProtection="1">
      <alignment vertical="center" shrinkToFit="1"/>
      <protection locked="0"/>
    </xf>
    <xf numFmtId="3" fontId="7" fillId="3" borderId="118" xfId="1" applyNumberFormat="1" applyFont="1" applyFill="1" applyBorder="1" applyAlignment="1" applyProtection="1">
      <alignment vertical="center" shrinkToFit="1"/>
      <protection locked="0"/>
    </xf>
    <xf numFmtId="3" fontId="56" fillId="3" borderId="121" xfId="1" applyNumberFormat="1" applyFont="1" applyFill="1" applyBorder="1" applyAlignment="1" applyProtection="1">
      <alignment vertical="center" shrinkToFit="1"/>
      <protection locked="0"/>
    </xf>
    <xf numFmtId="3" fontId="56" fillId="3" borderId="124" xfId="1" applyNumberFormat="1" applyFont="1" applyFill="1" applyBorder="1" applyAlignment="1" applyProtection="1">
      <alignment vertical="center" shrinkToFit="1"/>
      <protection locked="0"/>
    </xf>
    <xf numFmtId="3" fontId="7" fillId="0" borderId="29" xfId="1" applyNumberFormat="1" applyFont="1" applyFill="1" applyBorder="1" applyAlignment="1" applyProtection="1">
      <alignment vertical="center" shrinkToFit="1"/>
      <protection locked="0"/>
    </xf>
    <xf numFmtId="3" fontId="7" fillId="0" borderId="127" xfId="1" applyNumberFormat="1" applyFont="1" applyFill="1" applyBorder="1" applyAlignment="1" applyProtection="1">
      <alignment vertical="center" shrinkToFit="1"/>
      <protection locked="0"/>
    </xf>
    <xf numFmtId="3" fontId="7" fillId="0" borderId="4" xfId="1" applyNumberFormat="1" applyFont="1" applyFill="1" applyBorder="1" applyAlignment="1" applyProtection="1">
      <alignment vertical="center" shrinkToFit="1"/>
      <protection locked="0"/>
    </xf>
    <xf numFmtId="3" fontId="7" fillId="0" borderId="119" xfId="1" applyNumberFormat="1" applyFont="1" applyFill="1" applyBorder="1" applyAlignment="1" applyProtection="1">
      <alignment vertical="center" shrinkToFit="1"/>
      <protection locked="0"/>
    </xf>
    <xf numFmtId="3" fontId="7" fillId="0" borderId="128" xfId="1" applyNumberFormat="1" applyFont="1" applyFill="1" applyBorder="1" applyAlignment="1" applyProtection="1">
      <alignment vertical="center" shrinkToFit="1"/>
      <protection locked="0"/>
    </xf>
    <xf numFmtId="3" fontId="7" fillId="0" borderId="102" xfId="1" applyNumberFormat="1" applyFont="1" applyFill="1" applyBorder="1" applyAlignment="1" applyProtection="1">
      <alignment vertical="center" shrinkToFit="1"/>
      <protection locked="0"/>
    </xf>
    <xf numFmtId="0" fontId="48" fillId="0" borderId="0" xfId="1" applyFont="1" applyFill="1" applyBorder="1" applyAlignment="1" applyProtection="1">
      <alignment vertical="center"/>
    </xf>
    <xf numFmtId="0" fontId="25" fillId="0" borderId="0" xfId="1" applyFont="1" applyFill="1" applyBorder="1" applyAlignment="1" applyProtection="1">
      <alignment horizontal="distributed" vertical="center"/>
    </xf>
    <xf numFmtId="0" fontId="68" fillId="0" borderId="0" xfId="1" applyFont="1" applyFill="1" applyBorder="1" applyAlignment="1" applyProtection="1">
      <alignment vertical="center"/>
    </xf>
    <xf numFmtId="0" fontId="70" fillId="0" borderId="0" xfId="1" applyFont="1" applyFill="1" applyBorder="1" applyAlignment="1" applyProtection="1">
      <alignment vertical="center"/>
    </xf>
    <xf numFmtId="0" fontId="55" fillId="0" borderId="0" xfId="1" applyFont="1" applyFill="1" applyBorder="1" applyAlignment="1" applyProtection="1">
      <alignment vertical="center"/>
    </xf>
    <xf numFmtId="0" fontId="71" fillId="0" borderId="0" xfId="1" applyFont="1" applyFill="1" applyBorder="1" applyAlignment="1" applyProtection="1">
      <alignment vertical="center"/>
    </xf>
    <xf numFmtId="0" fontId="34" fillId="0" borderId="0" xfId="1" applyFont="1" applyFill="1" applyBorder="1" applyAlignment="1" applyProtection="1">
      <alignment vertical="center"/>
    </xf>
    <xf numFmtId="0" fontId="33" fillId="0" borderId="0" xfId="1" applyFont="1" applyFill="1" applyBorder="1" applyAlignment="1" applyProtection="1">
      <alignment vertical="center"/>
    </xf>
    <xf numFmtId="0" fontId="59" fillId="0" borderId="0" xfId="1" applyFont="1" applyAlignment="1" applyProtection="1">
      <alignment vertical="top"/>
    </xf>
    <xf numFmtId="3" fontId="7" fillId="6" borderId="130" xfId="1" applyNumberFormat="1" applyFont="1" applyFill="1" applyBorder="1" applyAlignment="1" applyProtection="1">
      <alignment horizontal="right" vertical="center" shrinkToFit="1"/>
      <protection locked="0"/>
    </xf>
    <xf numFmtId="3" fontId="7" fillId="6" borderId="131" xfId="1" applyNumberFormat="1" applyFont="1" applyFill="1" applyBorder="1" applyAlignment="1" applyProtection="1">
      <alignment horizontal="right" vertical="center" shrinkToFit="1"/>
      <protection locked="0"/>
    </xf>
    <xf numFmtId="180" fontId="7" fillId="0" borderId="6" xfId="1" applyNumberFormat="1" applyFont="1" applyFill="1" applyBorder="1" applyAlignment="1" applyProtection="1">
      <alignment horizontal="right" vertical="center" shrinkToFit="1"/>
    </xf>
    <xf numFmtId="185" fontId="7" fillId="0" borderId="6" xfId="2" applyNumberFormat="1" applyFont="1" applyFill="1" applyBorder="1" applyAlignment="1" applyProtection="1">
      <alignment horizontal="right" vertical="center" shrinkToFit="1"/>
    </xf>
    <xf numFmtId="0" fontId="9" fillId="0" borderId="25" xfId="1" applyFont="1" applyFill="1" applyBorder="1" applyAlignment="1" applyProtection="1">
      <alignment vertical="distributed"/>
    </xf>
    <xf numFmtId="49" fontId="9" fillId="4" borderId="16" xfId="1" applyNumberFormat="1" applyFont="1" applyFill="1" applyBorder="1" applyAlignment="1" applyProtection="1">
      <alignment horizontal="center" vertical="center" wrapText="1"/>
      <protection locked="0"/>
    </xf>
    <xf numFmtId="3" fontId="7" fillId="4" borderId="132" xfId="1" applyNumberFormat="1" applyFont="1" applyFill="1" applyBorder="1" applyAlignment="1" applyProtection="1">
      <alignment horizontal="right" vertical="center" shrinkToFit="1"/>
      <protection locked="0"/>
    </xf>
    <xf numFmtId="3" fontId="7" fillId="4" borderId="133" xfId="1" applyNumberFormat="1" applyFont="1" applyFill="1" applyBorder="1" applyAlignment="1" applyProtection="1">
      <alignment horizontal="right" vertical="center" shrinkToFit="1"/>
      <protection locked="0"/>
    </xf>
    <xf numFmtId="3" fontId="7" fillId="4" borderId="2" xfId="1" applyNumberFormat="1" applyFont="1" applyFill="1" applyBorder="1" applyAlignment="1" applyProtection="1">
      <alignment horizontal="right" vertical="center" shrinkToFit="1"/>
      <protection locked="0"/>
    </xf>
    <xf numFmtId="3" fontId="7" fillId="4" borderId="119" xfId="1" applyNumberFormat="1" applyFont="1" applyFill="1" applyBorder="1" applyAlignment="1" applyProtection="1">
      <alignment horizontal="right" vertical="center" shrinkToFit="1"/>
      <protection locked="0"/>
    </xf>
    <xf numFmtId="180" fontId="7" fillId="0" borderId="6" xfId="1" applyNumberFormat="1" applyFont="1" applyBorder="1" applyAlignment="1" applyProtection="1">
      <alignment horizontal="right" vertical="center" shrinkToFit="1"/>
    </xf>
    <xf numFmtId="0" fontId="59" fillId="0" borderId="0" xfId="1" applyFont="1" applyBorder="1" applyAlignment="1" applyProtection="1"/>
    <xf numFmtId="0" fontId="47" fillId="0" borderId="0" xfId="1" applyFont="1" applyBorder="1" applyAlignment="1" applyProtection="1">
      <alignment vertical="center"/>
    </xf>
    <xf numFmtId="0" fontId="24" fillId="0" borderId="0" xfId="1" applyFont="1" applyBorder="1" applyAlignment="1" applyProtection="1">
      <alignment horizontal="left" vertical="center"/>
    </xf>
    <xf numFmtId="0" fontId="65" fillId="0" borderId="0" xfId="1" applyFont="1" applyBorder="1" applyAlignment="1" applyProtection="1">
      <alignment horizontal="center" vertical="center"/>
    </xf>
    <xf numFmtId="0" fontId="59" fillId="0" borderId="0" xfId="1" applyFont="1" applyBorder="1" applyAlignment="1" applyProtection="1">
      <alignment horizontal="center" vertical="center"/>
    </xf>
    <xf numFmtId="0" fontId="9" fillId="0" borderId="27" xfId="1" applyFont="1" applyFill="1" applyBorder="1" applyAlignment="1" applyProtection="1">
      <alignment vertical="distributed"/>
    </xf>
    <xf numFmtId="3" fontId="7" fillId="4" borderId="134" xfId="1" applyNumberFormat="1" applyFont="1" applyFill="1" applyBorder="1" applyAlignment="1" applyProtection="1">
      <alignment horizontal="right" vertical="center" shrinkToFit="1"/>
      <protection locked="0"/>
    </xf>
    <xf numFmtId="3" fontId="7" fillId="4" borderId="135" xfId="1" applyNumberFormat="1" applyFont="1" applyFill="1" applyBorder="1" applyAlignment="1" applyProtection="1">
      <alignment horizontal="right" vertical="center" shrinkToFit="1"/>
      <protection locked="0"/>
    </xf>
    <xf numFmtId="0" fontId="9" fillId="0" borderId="5" xfId="1" applyFont="1" applyFill="1" applyBorder="1" applyAlignment="1" applyProtection="1">
      <alignment vertical="distributed"/>
    </xf>
    <xf numFmtId="3" fontId="7" fillId="6" borderId="136" xfId="1" applyNumberFormat="1" applyFont="1" applyFill="1" applyBorder="1" applyAlignment="1" applyProtection="1">
      <alignment horizontal="right" vertical="center" shrinkToFit="1"/>
      <protection locked="0"/>
    </xf>
    <xf numFmtId="3" fontId="7" fillId="4" borderId="27" xfId="1" applyNumberFormat="1" applyFont="1" applyFill="1" applyBorder="1" applyAlignment="1" applyProtection="1">
      <alignment horizontal="right" vertical="center" shrinkToFit="1"/>
      <protection locked="0"/>
    </xf>
    <xf numFmtId="3" fontId="7" fillId="4" borderId="137" xfId="1" applyNumberFormat="1" applyFont="1" applyFill="1" applyBorder="1" applyAlignment="1" applyProtection="1">
      <alignment horizontal="right" vertical="center" shrinkToFit="1"/>
      <protection locked="0"/>
    </xf>
    <xf numFmtId="3" fontId="7" fillId="4" borderId="16" xfId="1" applyNumberFormat="1" applyFont="1" applyFill="1" applyBorder="1" applyAlignment="1" applyProtection="1">
      <alignment horizontal="right" vertical="center" shrinkToFit="1"/>
      <protection locked="0"/>
    </xf>
    <xf numFmtId="3" fontId="7" fillId="4" borderId="138" xfId="1" applyNumberFormat="1" applyFont="1" applyFill="1" applyBorder="1" applyAlignment="1" applyProtection="1">
      <alignment horizontal="right" vertical="center" shrinkToFit="1"/>
      <protection locked="0"/>
    </xf>
    <xf numFmtId="3" fontId="7" fillId="3" borderId="70" xfId="1" applyNumberFormat="1" applyFont="1" applyFill="1" applyBorder="1" applyAlignment="1" applyProtection="1">
      <alignment horizontal="right" vertical="center" shrinkToFit="1"/>
      <protection locked="0"/>
    </xf>
    <xf numFmtId="3" fontId="7" fillId="3" borderId="71" xfId="1" applyNumberFormat="1" applyFont="1" applyFill="1" applyBorder="1" applyAlignment="1" applyProtection="1">
      <alignment horizontal="right" vertical="center" shrinkToFit="1"/>
      <protection locked="0"/>
    </xf>
    <xf numFmtId="3" fontId="7" fillId="3" borderId="57" xfId="1" applyNumberFormat="1" applyFont="1" applyFill="1" applyBorder="1" applyAlignment="1" applyProtection="1">
      <alignment horizontal="right" vertical="center" shrinkToFit="1"/>
      <protection locked="0"/>
    </xf>
    <xf numFmtId="3" fontId="7" fillId="3" borderId="139" xfId="1" applyNumberFormat="1" applyFont="1" applyFill="1" applyBorder="1" applyAlignment="1" applyProtection="1">
      <alignment horizontal="right" vertical="center" shrinkToFit="1"/>
      <protection locked="0"/>
    </xf>
    <xf numFmtId="0" fontId="65" fillId="0" borderId="6" xfId="1" applyFont="1" applyBorder="1" applyAlignment="1" applyProtection="1">
      <alignment horizontal="center" vertical="center"/>
    </xf>
    <xf numFmtId="3" fontId="7" fillId="3" borderId="140" xfId="1" applyNumberFormat="1" applyFont="1" applyFill="1" applyBorder="1" applyAlignment="1" applyProtection="1">
      <alignment horizontal="right" vertical="center" shrinkToFit="1"/>
      <protection locked="0"/>
    </xf>
    <xf numFmtId="186" fontId="7" fillId="0" borderId="2" xfId="1" applyNumberFormat="1" applyFont="1" applyFill="1" applyBorder="1" applyAlignment="1" applyProtection="1">
      <alignment horizontal="right" vertical="center" shrinkToFit="1"/>
    </xf>
    <xf numFmtId="4" fontId="7" fillId="7" borderId="13" xfId="1" applyNumberFormat="1" applyFont="1" applyFill="1" applyBorder="1" applyAlignment="1" applyProtection="1">
      <alignment horizontal="right" vertical="center" shrinkToFit="1"/>
      <protection locked="0"/>
    </xf>
    <xf numFmtId="186" fontId="7" fillId="0" borderId="4" xfId="1" applyNumberFormat="1" applyFont="1" applyBorder="1" applyAlignment="1" applyProtection="1">
      <alignment horizontal="right" vertical="center" shrinkToFit="1"/>
    </xf>
    <xf numFmtId="4" fontId="7" fillId="7" borderId="14" xfId="1" applyNumberFormat="1" applyFont="1" applyFill="1" applyBorder="1" applyAlignment="1" applyProtection="1">
      <alignment horizontal="right" vertical="center" shrinkToFit="1"/>
      <protection locked="0"/>
    </xf>
    <xf numFmtId="4" fontId="7" fillId="7" borderId="15" xfId="1" applyNumberFormat="1" applyFont="1" applyFill="1" applyBorder="1" applyAlignment="1" applyProtection="1">
      <alignment horizontal="right" vertical="center" shrinkToFit="1"/>
      <protection locked="0"/>
    </xf>
    <xf numFmtId="3" fontId="7" fillId="3" borderId="62" xfId="1" applyNumberFormat="1" applyFont="1" applyFill="1" applyBorder="1" applyAlignment="1" applyProtection="1">
      <alignment horizontal="right" vertical="center" shrinkToFit="1"/>
      <protection locked="0"/>
    </xf>
    <xf numFmtId="0" fontId="9" fillId="0" borderId="0" xfId="1" applyFont="1" applyFill="1" applyBorder="1" applyAlignment="1" applyProtection="1">
      <alignment horizontal="center" vertical="center" textRotation="255" justifyLastLine="1"/>
    </xf>
    <xf numFmtId="0" fontId="9" fillId="0" borderId="0" xfId="1" applyFont="1" applyFill="1" applyBorder="1" applyAlignment="1" applyProtection="1">
      <alignment horizontal="distributed" vertical="distributed"/>
    </xf>
    <xf numFmtId="0" fontId="36" fillId="0" borderId="0" xfId="1" applyFont="1" applyFill="1" applyBorder="1" applyAlignment="1" applyProtection="1">
      <alignment horizontal="left" vertical="center" wrapText="1"/>
    </xf>
    <xf numFmtId="0" fontId="6" fillId="0" borderId="0" xfId="1" applyFont="1" applyFill="1" applyBorder="1" applyAlignment="1" applyProtection="1">
      <alignment horizontal="center" vertical="top"/>
    </xf>
    <xf numFmtId="0" fontId="36" fillId="0" borderId="0" xfId="1" applyFont="1" applyFill="1" applyBorder="1" applyAlignment="1" applyProtection="1">
      <alignment vertical="center"/>
    </xf>
    <xf numFmtId="0" fontId="36" fillId="0" borderId="0" xfId="1" applyFont="1" applyFill="1" applyBorder="1" applyAlignment="1" applyProtection="1"/>
    <xf numFmtId="0" fontId="3" fillId="0" borderId="0" xfId="1" applyFont="1" applyBorder="1" applyAlignment="1" applyProtection="1">
      <alignment shrinkToFit="1"/>
    </xf>
    <xf numFmtId="0" fontId="26" fillId="0" borderId="0" xfId="1" applyFont="1" applyBorder="1" applyAlignment="1" applyProtection="1">
      <alignment horizontal="left" vertical="center" wrapText="1"/>
    </xf>
    <xf numFmtId="0" fontId="3" fillId="0" borderId="0" xfId="1" applyFont="1" applyBorder="1" applyAlignment="1" applyProtection="1">
      <alignment horizontal="left" vertical="center" wrapText="1"/>
    </xf>
    <xf numFmtId="0" fontId="3" fillId="0" borderId="0" xfId="1" applyBorder="1" applyAlignment="1" applyProtection="1"/>
    <xf numFmtId="180" fontId="3" fillId="0" borderId="0" xfId="1" applyNumberFormat="1" applyFont="1" applyBorder="1" applyAlignment="1" applyProtection="1"/>
    <xf numFmtId="0" fontId="3" fillId="0" borderId="0" xfId="1" applyBorder="1" applyAlignment="1" applyProtection="1">
      <alignment vertical="center"/>
    </xf>
    <xf numFmtId="180" fontId="26" fillId="0" borderId="0" xfId="1" applyNumberFormat="1" applyFont="1" applyBorder="1" applyAlignment="1" applyProtection="1">
      <alignment horizontal="left" vertical="center" wrapText="1"/>
    </xf>
    <xf numFmtId="0" fontId="59" fillId="0" borderId="0" xfId="1" applyFont="1" applyProtection="1"/>
    <xf numFmtId="0" fontId="46" fillId="0" borderId="0" xfId="1" applyFont="1" applyFill="1" applyBorder="1" applyAlignment="1" applyProtection="1">
      <alignment horizontal="right" vertical="top"/>
    </xf>
    <xf numFmtId="0" fontId="46" fillId="0" borderId="0" xfId="1" applyFont="1" applyFill="1" applyBorder="1" applyAlignment="1" applyProtection="1">
      <alignment horizontal="center" vertical="center"/>
    </xf>
    <xf numFmtId="0" fontId="24" fillId="0" borderId="0" xfId="1" applyFont="1" applyBorder="1" applyAlignment="1" applyProtection="1">
      <alignment horizontal="center" vertical="center"/>
    </xf>
    <xf numFmtId="0" fontId="3" fillId="0" borderId="0" xfId="1" applyFont="1" applyBorder="1" applyAlignment="1" applyProtection="1">
      <alignment horizontal="left" vertical="center"/>
    </xf>
    <xf numFmtId="3" fontId="7" fillId="3" borderId="148" xfId="1" applyNumberFormat="1" applyFont="1" applyFill="1" applyBorder="1" applyAlignment="1" applyProtection="1">
      <alignment horizontal="right" vertical="center" shrinkToFit="1"/>
      <protection locked="0"/>
    </xf>
    <xf numFmtId="186" fontId="7" fillId="0" borderId="24" xfId="2" applyNumberFormat="1" applyFont="1" applyBorder="1" applyAlignment="1" applyProtection="1">
      <alignment horizontal="right" vertical="center" shrinkToFit="1"/>
    </xf>
    <xf numFmtId="180" fontId="7" fillId="0" borderId="6" xfId="2" applyNumberFormat="1" applyFont="1" applyFill="1" applyBorder="1" applyAlignment="1" applyProtection="1">
      <alignment horizontal="right" vertical="center" shrinkToFit="1"/>
    </xf>
    <xf numFmtId="0" fontId="64" fillId="0" borderId="0" xfId="1" applyFont="1" applyBorder="1" applyAlignment="1" applyProtection="1">
      <alignment horizontal="left" vertical="center"/>
    </xf>
    <xf numFmtId="0" fontId="9" fillId="0" borderId="39" xfId="1" applyFont="1" applyFill="1" applyBorder="1" applyAlignment="1" applyProtection="1">
      <alignment horizontal="distributed" vertical="distributed" textRotation="255" justifyLastLine="1"/>
    </xf>
    <xf numFmtId="0" fontId="9" fillId="0" borderId="0" xfId="1" applyFont="1" applyFill="1" applyBorder="1" applyAlignment="1" applyProtection="1">
      <alignment horizontal="distributed" vertical="distributed" textRotation="255" justifyLastLine="1"/>
    </xf>
    <xf numFmtId="0" fontId="6" fillId="0" borderId="0" xfId="1" applyFont="1" applyFill="1" applyBorder="1" applyAlignment="1" applyProtection="1">
      <alignment vertical="top"/>
    </xf>
    <xf numFmtId="186" fontId="7" fillId="0" borderId="29" xfId="2" applyNumberFormat="1" applyFont="1" applyBorder="1" applyAlignment="1" applyProtection="1">
      <alignment horizontal="right" vertical="center" shrinkToFit="1"/>
    </xf>
    <xf numFmtId="180" fontId="7" fillId="0" borderId="6" xfId="2" applyNumberFormat="1" applyFont="1" applyBorder="1" applyAlignment="1" applyProtection="1">
      <alignment horizontal="right" vertical="center" shrinkToFit="1"/>
    </xf>
    <xf numFmtId="0" fontId="7" fillId="0" borderId="153" xfId="1" quotePrefix="1" applyFont="1" applyFill="1" applyBorder="1" applyAlignment="1" applyProtection="1">
      <alignment horizontal="center" vertical="center"/>
    </xf>
    <xf numFmtId="0" fontId="46" fillId="0" borderId="0" xfId="1" applyFont="1" applyFill="1" applyBorder="1" applyAlignment="1" applyProtection="1">
      <alignment vertical="top"/>
    </xf>
    <xf numFmtId="0" fontId="9" fillId="0" borderId="0" xfId="1" applyFont="1" applyFill="1" applyBorder="1" applyAlignment="1" applyProtection="1">
      <alignment horizontal="distributed" vertical="center"/>
    </xf>
    <xf numFmtId="0" fontId="57" fillId="0" borderId="0" xfId="1" applyFont="1" applyFill="1" applyBorder="1" applyAlignment="1" applyProtection="1">
      <alignment vertical="center" wrapText="1"/>
    </xf>
    <xf numFmtId="0" fontId="6" fillId="0" borderId="0" xfId="1" applyFont="1" applyFill="1" applyBorder="1" applyAlignment="1" applyProtection="1">
      <alignment horizontal="right" vertical="top"/>
    </xf>
    <xf numFmtId="0" fontId="3" fillId="0" borderId="0" xfId="1" applyFont="1" applyFill="1" applyBorder="1" applyAlignment="1" applyProtection="1">
      <alignment horizontal="left" vertical="center" wrapText="1"/>
    </xf>
    <xf numFmtId="0" fontId="46" fillId="0" borderId="0" xfId="1" applyFont="1" applyBorder="1" applyAlignment="1" applyProtection="1">
      <alignment horizontal="center" vertical="top"/>
    </xf>
    <xf numFmtId="185" fontId="7" fillId="7" borderId="13" xfId="2" applyNumberFormat="1" applyFont="1" applyFill="1" applyBorder="1" applyAlignment="1" applyProtection="1">
      <alignment horizontal="right" vertical="center" shrinkToFit="1"/>
      <protection locked="0"/>
    </xf>
    <xf numFmtId="180" fontId="7" fillId="0" borderId="6" xfId="1" applyNumberFormat="1" applyFont="1" applyFill="1" applyBorder="1" applyAlignment="1" applyProtection="1">
      <alignment vertical="center" shrinkToFit="1"/>
    </xf>
    <xf numFmtId="185" fontId="7" fillId="7" borderId="14" xfId="2" applyNumberFormat="1" applyFont="1" applyFill="1" applyBorder="1" applyAlignment="1" applyProtection="1">
      <alignment horizontal="right" vertical="center" shrinkToFit="1"/>
      <protection locked="0"/>
    </xf>
    <xf numFmtId="185" fontId="7" fillId="7" borderId="15" xfId="2" applyNumberFormat="1" applyFont="1" applyFill="1" applyBorder="1" applyAlignment="1" applyProtection="1">
      <alignment horizontal="right" vertical="center" shrinkToFit="1"/>
      <protection locked="0"/>
    </xf>
    <xf numFmtId="0" fontId="9" fillId="0" borderId="6" xfId="1" applyFont="1" applyBorder="1" applyAlignment="1" applyProtection="1">
      <alignment horizontal="center" vertical="center" wrapText="1"/>
    </xf>
    <xf numFmtId="180" fontId="7" fillId="0" borderId="6" xfId="1" applyNumberFormat="1" applyFont="1" applyBorder="1" applyAlignment="1" applyProtection="1">
      <alignment vertical="center" shrinkToFit="1"/>
    </xf>
    <xf numFmtId="0" fontId="33" fillId="0" borderId="0" xfId="1" applyFont="1" applyFill="1" applyBorder="1" applyAlignment="1" applyProtection="1">
      <alignment vertical="center" wrapText="1"/>
    </xf>
    <xf numFmtId="0" fontId="3" fillId="0" borderId="6" xfId="1" applyBorder="1" applyAlignment="1" applyProtection="1">
      <alignment horizontal="center" vertical="center"/>
    </xf>
    <xf numFmtId="185" fontId="7" fillId="7" borderId="9" xfId="2" applyNumberFormat="1" applyFont="1" applyFill="1" applyBorder="1" applyAlignment="1" applyProtection="1">
      <alignment horizontal="right" vertical="center" shrinkToFit="1"/>
      <protection locked="0"/>
    </xf>
    <xf numFmtId="0" fontId="9" fillId="0" borderId="18" xfId="1" applyFont="1" applyFill="1" applyBorder="1" applyAlignment="1" applyProtection="1">
      <alignment vertical="center" justifyLastLine="1"/>
    </xf>
    <xf numFmtId="0" fontId="9" fillId="0" borderId="19" xfId="1" applyFont="1" applyFill="1" applyBorder="1" applyAlignment="1" applyProtection="1">
      <alignment vertical="center" justifyLastLine="1"/>
    </xf>
    <xf numFmtId="0" fontId="46" fillId="0" borderId="0" xfId="1" applyFont="1" applyFill="1" applyBorder="1" applyAlignment="1" applyProtection="1">
      <alignment horizontal="right" vertical="top" wrapText="1"/>
    </xf>
    <xf numFmtId="0" fontId="9" fillId="0" borderId="0" xfId="1" quotePrefix="1" applyFont="1" applyFill="1" applyBorder="1" applyAlignment="1" applyProtection="1">
      <alignment vertical="center"/>
    </xf>
    <xf numFmtId="180" fontId="7" fillId="0" borderId="155" xfId="2" applyNumberFormat="1" applyFont="1" applyBorder="1" applyAlignment="1" applyProtection="1">
      <alignment horizontal="right" vertical="center" shrinkToFit="1"/>
    </xf>
    <xf numFmtId="180" fontId="7" fillId="0" borderId="156" xfId="2" applyNumberFormat="1" applyFont="1" applyBorder="1" applyAlignment="1" applyProtection="1">
      <alignment horizontal="right" vertical="center" shrinkToFit="1"/>
    </xf>
    <xf numFmtId="0" fontId="7" fillId="0" borderId="77" xfId="1" quotePrefix="1" applyFont="1" applyFill="1" applyBorder="1" applyAlignment="1" applyProtection="1">
      <alignment horizontal="center" vertical="center" wrapText="1"/>
    </xf>
    <xf numFmtId="0" fontId="9" fillId="0" borderId="0" xfId="1" applyFont="1" applyBorder="1" applyAlignment="1" applyProtection="1">
      <alignment horizontal="center" vertical="distributed" textRotation="255" wrapText="1" justifyLastLine="1"/>
    </xf>
    <xf numFmtId="0" fontId="3" fillId="0" borderId="0" xfId="1" applyBorder="1" applyAlignment="1" applyProtection="1">
      <alignment horizontal="center" vertical="center"/>
    </xf>
    <xf numFmtId="180" fontId="7" fillId="0" borderId="0" xfId="2" applyNumberFormat="1" applyFont="1" applyBorder="1" applyAlignment="1" applyProtection="1">
      <alignment horizontal="right" vertical="center" shrinkToFit="1"/>
    </xf>
    <xf numFmtId="0" fontId="9" fillId="0" borderId="0" xfId="1" applyFont="1" applyFill="1" applyBorder="1" applyAlignment="1" applyProtection="1">
      <alignment horizontal="center" vertical="center" justifyLastLine="1"/>
    </xf>
    <xf numFmtId="0" fontId="3" fillId="0" borderId="0" xfId="1" applyFont="1" applyFill="1" applyBorder="1" applyAlignment="1" applyProtection="1">
      <alignment horizontal="center"/>
    </xf>
    <xf numFmtId="0" fontId="9" fillId="0" borderId="0" xfId="1" applyFont="1" applyFill="1" applyBorder="1" applyAlignment="1" applyProtection="1">
      <alignment horizontal="center" vertical="center"/>
    </xf>
    <xf numFmtId="0" fontId="9" fillId="0" borderId="0" xfId="1" applyFont="1" applyFill="1" applyBorder="1" applyAlignment="1" applyProtection="1">
      <alignment vertical="distributed" textRotation="255" justifyLastLine="1"/>
    </xf>
    <xf numFmtId="0" fontId="9" fillId="8" borderId="158" xfId="1" applyFont="1" applyFill="1" applyBorder="1" applyAlignment="1" applyProtection="1">
      <alignment horizontal="center" vertical="center" wrapText="1" justifyLastLine="1"/>
    </xf>
    <xf numFmtId="3" fontId="7" fillId="3" borderId="76" xfId="1" applyNumberFormat="1" applyFont="1" applyFill="1" applyBorder="1" applyAlignment="1" applyProtection="1">
      <alignment vertical="center" shrinkToFit="1"/>
      <protection locked="0"/>
    </xf>
    <xf numFmtId="0" fontId="3" fillId="0" borderId="0" xfId="1" applyAlignment="1" applyProtection="1">
      <alignment vertical="center"/>
    </xf>
    <xf numFmtId="0" fontId="9" fillId="0" borderId="0" xfId="1" applyFont="1" applyFill="1" applyBorder="1" applyAlignment="1" applyProtection="1">
      <alignment vertical="distributed" textRotation="255" wrapText="1" justifyLastLine="1"/>
    </xf>
    <xf numFmtId="0" fontId="3" fillId="0" borderId="0" xfId="1" applyFont="1" applyFill="1" applyBorder="1" applyAlignment="1" applyProtection="1">
      <alignment shrinkToFit="1"/>
    </xf>
    <xf numFmtId="0" fontId="48" fillId="0" borderId="0" xfId="1" applyFont="1" applyFill="1" applyBorder="1" applyAlignment="1" applyProtection="1"/>
    <xf numFmtId="0" fontId="25" fillId="0" borderId="160" xfId="1" applyFont="1" applyFill="1" applyBorder="1" applyAlignment="1" applyProtection="1">
      <alignment horizontal="distributed" vertical="center"/>
    </xf>
    <xf numFmtId="0" fontId="25" fillId="0" borderId="161" xfId="1" applyFont="1" applyFill="1" applyBorder="1" applyAlignment="1" applyProtection="1">
      <alignment horizontal="distributed" vertical="center"/>
    </xf>
    <xf numFmtId="0" fontId="3" fillId="0" borderId="162" xfId="1" applyFont="1" applyFill="1" applyBorder="1" applyAlignment="1" applyProtection="1">
      <alignment horizontal="center" vertical="center"/>
    </xf>
    <xf numFmtId="0" fontId="55" fillId="0" borderId="163" xfId="1" applyFont="1" applyFill="1" applyBorder="1" applyAlignment="1" applyProtection="1"/>
    <xf numFmtId="0" fontId="3" fillId="0" borderId="164" xfId="1" applyFont="1" applyFill="1" applyBorder="1" applyAlignment="1" applyProtection="1"/>
    <xf numFmtId="0" fontId="71" fillId="0" borderId="0" xfId="1" applyFont="1" applyFill="1" applyBorder="1" applyAlignment="1" applyProtection="1"/>
    <xf numFmtId="0" fontId="34" fillId="0" borderId="163" xfId="1" applyFont="1" applyFill="1" applyBorder="1" applyAlignment="1" applyProtection="1"/>
    <xf numFmtId="0" fontId="33" fillId="0" borderId="163" xfId="1" applyFont="1" applyFill="1" applyBorder="1" applyAlignment="1" applyProtection="1">
      <alignment vertical="center"/>
    </xf>
    <xf numFmtId="0" fontId="9" fillId="4" borderId="0" xfId="1" applyFont="1" applyFill="1" applyBorder="1" applyAlignment="1" applyProtection="1">
      <alignment horizontal="left" vertical="top" wrapText="1"/>
      <protection locked="0"/>
    </xf>
    <xf numFmtId="0" fontId="3" fillId="0" borderId="164" xfId="1" applyFont="1" applyFill="1" applyBorder="1" applyAlignment="1" applyProtection="1">
      <alignment horizontal="left"/>
    </xf>
    <xf numFmtId="0" fontId="3" fillId="0" borderId="0" xfId="1" applyFont="1" applyFill="1" applyBorder="1" applyAlignment="1" applyProtection="1">
      <alignment horizontal="left"/>
    </xf>
    <xf numFmtId="0" fontId="9" fillId="0" borderId="163" xfId="1" applyFont="1" applyFill="1" applyBorder="1" applyAlignment="1" applyProtection="1">
      <alignment vertical="center" justifyLastLine="1"/>
    </xf>
    <xf numFmtId="0" fontId="9" fillId="0" borderId="0" xfId="1" applyFont="1" applyFill="1" applyBorder="1" applyAlignment="1" applyProtection="1">
      <alignment vertical="center" textRotation="255"/>
    </xf>
    <xf numFmtId="0" fontId="9" fillId="0" borderId="164" xfId="1" applyFont="1" applyFill="1" applyBorder="1" applyAlignment="1" applyProtection="1">
      <alignment vertical="center"/>
    </xf>
    <xf numFmtId="0" fontId="24" fillId="0" borderId="0" xfId="1" applyFont="1" applyFill="1" applyBorder="1" applyAlignment="1" applyProtection="1">
      <alignment horizontal="center" vertical="center"/>
    </xf>
    <xf numFmtId="0" fontId="9" fillId="0" borderId="163" xfId="1" applyFont="1" applyFill="1" applyBorder="1" applyAlignment="1" applyProtection="1">
      <alignment vertical="distributed" textRotation="255" wrapText="1" justifyLastLine="1"/>
    </xf>
    <xf numFmtId="0" fontId="9" fillId="0" borderId="0" xfId="1" applyFont="1" applyFill="1" applyBorder="1" applyAlignment="1" applyProtection="1">
      <alignment horizontal="left" vertical="center"/>
    </xf>
    <xf numFmtId="0" fontId="46" fillId="0" borderId="164" xfId="1" applyFont="1" applyFill="1" applyBorder="1" applyAlignment="1" applyProtection="1">
      <alignment horizontal="right" vertical="top" wrapText="1"/>
    </xf>
    <xf numFmtId="0" fontId="3" fillId="0" borderId="0" xfId="1" applyFont="1" applyFill="1" applyBorder="1" applyAlignment="1" applyProtection="1">
      <alignment horizontal="left" vertical="center"/>
    </xf>
    <xf numFmtId="0" fontId="24" fillId="0" borderId="0" xfId="1" applyFont="1" applyFill="1" applyBorder="1" applyAlignment="1" applyProtection="1">
      <alignment horizontal="left" vertical="center"/>
    </xf>
    <xf numFmtId="0" fontId="9" fillId="0" borderId="163" xfId="1" applyFont="1" applyFill="1" applyBorder="1" applyAlignment="1" applyProtection="1">
      <alignment vertical="distributed" textRotation="255" justifyLastLine="1"/>
    </xf>
    <xf numFmtId="0" fontId="3" fillId="0" borderId="164" xfId="1" applyFont="1" applyFill="1" applyBorder="1" applyAlignment="1" applyProtection="1">
      <alignment horizontal="center" vertical="center"/>
    </xf>
    <xf numFmtId="49" fontId="9" fillId="0" borderId="0" xfId="1" applyNumberFormat="1" applyFont="1" applyFill="1" applyBorder="1" applyAlignment="1" applyProtection="1">
      <alignment horizontal="left" vertical="center"/>
    </xf>
    <xf numFmtId="0" fontId="64" fillId="0" borderId="0" xfId="1" applyFont="1" applyFill="1" applyBorder="1" applyAlignment="1" applyProtection="1">
      <alignment horizontal="left" vertical="center"/>
    </xf>
    <xf numFmtId="0" fontId="73" fillId="0" borderId="0" xfId="1" applyFont="1" applyFill="1" applyBorder="1" applyAlignment="1" applyProtection="1">
      <alignment horizontal="left" vertical="center"/>
    </xf>
    <xf numFmtId="0" fontId="44" fillId="0" borderId="0" xfId="1" applyFont="1" applyFill="1" applyBorder="1" applyAlignment="1" applyProtection="1">
      <alignment horizontal="center" vertical="center"/>
    </xf>
    <xf numFmtId="0" fontId="44" fillId="0" borderId="0" xfId="1" applyFont="1" applyFill="1" applyBorder="1" applyAlignment="1" applyProtection="1">
      <alignment vertical="center"/>
    </xf>
    <xf numFmtId="0" fontId="6" fillId="0" borderId="164" xfId="1" applyFont="1" applyFill="1" applyBorder="1" applyAlignment="1" applyProtection="1">
      <alignment horizontal="center" vertical="top"/>
    </xf>
    <xf numFmtId="0" fontId="6" fillId="0" borderId="164" xfId="1" applyFont="1" applyFill="1" applyBorder="1" applyAlignment="1" applyProtection="1">
      <alignment vertical="top"/>
    </xf>
    <xf numFmtId="49" fontId="9" fillId="0" borderId="0" xfId="1" applyNumberFormat="1" applyFont="1" applyFill="1" applyBorder="1" applyAlignment="1" applyProtection="1">
      <alignment horizontal="left"/>
    </xf>
    <xf numFmtId="0" fontId="3" fillId="0" borderId="163" xfId="1" applyFont="1" applyFill="1" applyBorder="1" applyAlignment="1" applyProtection="1"/>
    <xf numFmtId="0" fontId="3" fillId="0" borderId="161" xfId="1" applyFont="1" applyFill="1" applyBorder="1" applyAlignment="1" applyProtection="1"/>
    <xf numFmtId="0" fontId="9" fillId="0" borderId="161" xfId="1" applyFont="1" applyFill="1" applyBorder="1" applyAlignment="1" applyProtection="1"/>
    <xf numFmtId="0" fontId="3" fillId="0" borderId="165" xfId="1" applyFont="1" applyFill="1" applyBorder="1" applyAlignment="1" applyProtection="1"/>
    <xf numFmtId="0" fontId="9" fillId="0" borderId="166" xfId="1" applyFont="1" applyFill="1" applyBorder="1" applyAlignment="1" applyProtection="1"/>
    <xf numFmtId="0" fontId="3" fillId="0" borderId="167" xfId="1" applyFont="1" applyFill="1" applyBorder="1" applyAlignment="1" applyProtection="1"/>
    <xf numFmtId="0" fontId="3" fillId="0" borderId="168" xfId="1" applyFont="1" applyFill="1" applyBorder="1" applyAlignment="1" applyProtection="1"/>
    <xf numFmtId="0" fontId="3" fillId="0" borderId="169" xfId="1" applyFont="1" applyFill="1" applyBorder="1" applyAlignment="1" applyProtection="1"/>
    <xf numFmtId="0" fontId="64" fillId="0" borderId="0" xfId="1" applyFont="1" applyFill="1" applyBorder="1" applyAlignment="1" applyProtection="1"/>
    <xf numFmtId="0" fontId="3" fillId="0" borderId="170" xfId="1" applyFont="1" applyFill="1" applyBorder="1" applyAlignment="1" applyProtection="1"/>
    <xf numFmtId="0" fontId="9" fillId="0" borderId="171" xfId="1" applyFont="1" applyFill="1" applyBorder="1" applyAlignment="1" applyProtection="1">
      <alignment vertical="top" wrapText="1"/>
    </xf>
    <xf numFmtId="0" fontId="3" fillId="0" borderId="172" xfId="1" applyFont="1" applyFill="1" applyBorder="1" applyAlignment="1" applyProtection="1"/>
    <xf numFmtId="0" fontId="57" fillId="0" borderId="0" xfId="1" applyFont="1" applyFill="1" applyBorder="1" applyAlignment="1" applyProtection="1">
      <alignment vertical="center"/>
    </xf>
    <xf numFmtId="0" fontId="3" fillId="0" borderId="0" xfId="1" applyFill="1" applyBorder="1" applyAlignment="1" applyProtection="1">
      <alignment horizontal="center" vertical="distributed" textRotation="255"/>
    </xf>
    <xf numFmtId="0" fontId="65" fillId="0" borderId="0" xfId="1" applyFont="1" applyBorder="1" applyAlignment="1" applyProtection="1">
      <alignment vertical="center"/>
    </xf>
    <xf numFmtId="0" fontId="43" fillId="0" borderId="0" xfId="1" applyFont="1" applyBorder="1" applyAlignment="1" applyProtection="1">
      <alignment vertical="center"/>
    </xf>
    <xf numFmtId="0" fontId="3" fillId="0" borderId="0" xfId="1" applyFill="1" applyBorder="1" applyAlignment="1" applyProtection="1">
      <alignment vertical="center"/>
    </xf>
    <xf numFmtId="0" fontId="74" fillId="0" borderId="0" xfId="1" applyFont="1" applyFill="1" applyBorder="1" applyAlignment="1" applyProtection="1">
      <alignment vertical="center"/>
    </xf>
    <xf numFmtId="0" fontId="45" fillId="0" borderId="0" xfId="1" applyFont="1" applyFill="1" applyBorder="1" applyAlignment="1" applyProtection="1">
      <alignment horizontal="left" vertical="center"/>
    </xf>
    <xf numFmtId="0" fontId="43" fillId="0" borderId="0" xfId="1" applyFont="1" applyBorder="1" applyAlignment="1" applyProtection="1"/>
    <xf numFmtId="0" fontId="9" fillId="0" borderId="18" xfId="1" applyFont="1" applyBorder="1" applyAlignment="1" applyProtection="1">
      <alignment horizontal="distributed" vertical="center" justifyLastLine="1"/>
    </xf>
    <xf numFmtId="0" fontId="9" fillId="0" borderId="18" xfId="1" applyFont="1" applyFill="1" applyBorder="1" applyAlignment="1" applyProtection="1">
      <alignment horizontal="center" vertical="center" justifyLastLine="1"/>
    </xf>
    <xf numFmtId="3" fontId="7" fillId="0" borderId="175" xfId="1" applyNumberFormat="1" applyFont="1" applyFill="1" applyBorder="1" applyAlignment="1" applyProtection="1">
      <alignment horizontal="right" vertical="center" shrinkToFit="1"/>
    </xf>
    <xf numFmtId="49" fontId="9" fillId="0" borderId="176" xfId="1" applyNumberFormat="1" applyFont="1" applyFill="1" applyBorder="1" applyAlignment="1" applyProtection="1">
      <alignment horizontal="center" vertical="center" shrinkToFit="1"/>
    </xf>
    <xf numFmtId="3" fontId="7" fillId="3" borderId="177" xfId="1" applyNumberFormat="1" applyFont="1" applyFill="1" applyBorder="1" applyAlignment="1" applyProtection="1">
      <alignment horizontal="right" vertical="center" shrinkToFit="1"/>
      <protection locked="0"/>
    </xf>
    <xf numFmtId="0" fontId="64" fillId="0" borderId="178" xfId="1" applyFont="1" applyBorder="1" applyAlignment="1" applyProtection="1">
      <alignment horizontal="center" vertical="center"/>
    </xf>
    <xf numFmtId="49" fontId="9" fillId="4" borderId="181" xfId="1" applyNumberFormat="1" applyFont="1" applyFill="1" applyBorder="1" applyAlignment="1" applyProtection="1">
      <alignment horizontal="center" vertical="center" wrapText="1"/>
      <protection locked="0"/>
    </xf>
    <xf numFmtId="3" fontId="7" fillId="4" borderId="39" xfId="1" applyNumberFormat="1" applyFont="1" applyFill="1" applyBorder="1" applyAlignment="1" applyProtection="1">
      <alignment horizontal="right" vertical="center" shrinkToFit="1"/>
      <protection locked="0"/>
    </xf>
    <xf numFmtId="49" fontId="9" fillId="4" borderId="182" xfId="1" applyNumberFormat="1" applyFont="1" applyFill="1" applyBorder="1" applyAlignment="1" applyProtection="1">
      <alignment horizontal="center" vertical="center" shrinkToFit="1"/>
      <protection locked="0"/>
    </xf>
    <xf numFmtId="3" fontId="7" fillId="4" borderId="183" xfId="1" applyNumberFormat="1" applyFont="1" applyFill="1" applyBorder="1" applyAlignment="1" applyProtection="1">
      <alignment horizontal="right" vertical="center" shrinkToFit="1"/>
      <protection locked="0"/>
    </xf>
    <xf numFmtId="0" fontId="64" fillId="0" borderId="39" xfId="1" applyFont="1" applyBorder="1" applyAlignment="1" applyProtection="1">
      <alignment horizontal="center" vertical="center"/>
    </xf>
    <xf numFmtId="186" fontId="7" fillId="0" borderId="6" xfId="1" applyNumberFormat="1" applyFont="1" applyFill="1" applyBorder="1" applyAlignment="1" applyProtection="1">
      <alignment horizontal="right" vertical="center" shrinkToFit="1"/>
    </xf>
    <xf numFmtId="3" fontId="7" fillId="4" borderId="55" xfId="1" applyNumberFormat="1" applyFont="1" applyFill="1" applyBorder="1" applyAlignment="1" applyProtection="1">
      <alignment horizontal="right" vertical="center" shrinkToFit="1"/>
      <protection locked="0"/>
    </xf>
    <xf numFmtId="3" fontId="7" fillId="4" borderId="184" xfId="1" applyNumberFormat="1" applyFont="1" applyFill="1" applyBorder="1" applyAlignment="1" applyProtection="1">
      <alignment horizontal="right" vertical="center" shrinkToFit="1"/>
      <protection locked="0"/>
    </xf>
    <xf numFmtId="0" fontId="64" fillId="0" borderId="0" xfId="1" applyFont="1" applyBorder="1" applyAlignment="1" applyProtection="1">
      <alignment horizontal="center" vertical="center"/>
    </xf>
    <xf numFmtId="0" fontId="9" fillId="0" borderId="0" xfId="1" applyFont="1" applyProtection="1"/>
    <xf numFmtId="49" fontId="9" fillId="4" borderId="187" xfId="1" applyNumberFormat="1" applyFont="1" applyFill="1" applyBorder="1" applyAlignment="1" applyProtection="1">
      <alignment horizontal="center" vertical="center" shrinkToFit="1"/>
      <protection locked="0"/>
    </xf>
    <xf numFmtId="3" fontId="7" fillId="4" borderId="188" xfId="1" applyNumberFormat="1" applyFont="1" applyFill="1" applyBorder="1" applyAlignment="1" applyProtection="1">
      <alignment horizontal="right" vertical="center" shrinkToFit="1"/>
      <protection locked="0"/>
    </xf>
    <xf numFmtId="49" fontId="9" fillId="3" borderId="191" xfId="1" applyNumberFormat="1" applyFont="1" applyFill="1" applyBorder="1" applyAlignment="1" applyProtection="1">
      <alignment horizontal="center" vertical="center" wrapText="1"/>
      <protection locked="0"/>
    </xf>
    <xf numFmtId="3" fontId="7" fillId="3" borderId="192" xfId="1" applyNumberFormat="1" applyFont="1" applyFill="1" applyBorder="1" applyAlignment="1" applyProtection="1">
      <alignment horizontal="right" vertical="center" shrinkToFit="1"/>
      <protection locked="0"/>
    </xf>
    <xf numFmtId="49" fontId="9" fillId="3" borderId="193" xfId="1" applyNumberFormat="1" applyFont="1" applyFill="1" applyBorder="1" applyAlignment="1" applyProtection="1">
      <alignment horizontal="center" vertical="center" shrinkToFit="1"/>
      <protection locked="0"/>
    </xf>
    <xf numFmtId="186" fontId="9" fillId="0" borderId="6" xfId="1" applyNumberFormat="1" applyFont="1" applyBorder="1" applyAlignment="1" applyProtection="1">
      <alignment horizontal="center" vertical="center" wrapText="1"/>
    </xf>
    <xf numFmtId="186" fontId="7" fillId="0" borderId="6" xfId="2" applyNumberFormat="1" applyFont="1" applyFill="1" applyBorder="1" applyAlignment="1" applyProtection="1">
      <alignment horizontal="right" vertical="center" shrinkToFit="1"/>
    </xf>
    <xf numFmtId="186" fontId="31" fillId="0" borderId="2" xfId="1" applyNumberFormat="1" applyFont="1" applyFill="1" applyBorder="1" applyAlignment="1" applyProtection="1">
      <alignment horizontal="center" vertical="center" shrinkToFit="1"/>
    </xf>
    <xf numFmtId="0" fontId="45" fillId="0" borderId="4" xfId="1" applyNumberFormat="1" applyFont="1" applyFill="1" applyBorder="1" applyAlignment="1" applyProtection="1">
      <alignment horizontal="center" vertical="center" shrinkToFit="1"/>
    </xf>
    <xf numFmtId="186" fontId="7" fillId="0" borderId="6" xfId="1" applyNumberFormat="1" applyFont="1" applyBorder="1" applyAlignment="1" applyProtection="1">
      <alignment horizontal="right" vertical="center" shrinkToFit="1"/>
    </xf>
    <xf numFmtId="49" fontId="9" fillId="3" borderId="196" xfId="1" applyNumberFormat="1" applyFont="1" applyFill="1" applyBorder="1" applyAlignment="1" applyProtection="1">
      <alignment horizontal="center" vertical="center" wrapText="1"/>
      <protection locked="0"/>
    </xf>
    <xf numFmtId="3" fontId="7" fillId="3" borderId="3" xfId="1" applyNumberFormat="1" applyFont="1" applyFill="1" applyBorder="1" applyAlignment="1" applyProtection="1">
      <alignment horizontal="right" vertical="center" shrinkToFit="1"/>
      <protection locked="0"/>
    </xf>
    <xf numFmtId="49" fontId="9" fillId="3" borderId="197" xfId="1" applyNumberFormat="1" applyFont="1" applyFill="1" applyBorder="1" applyAlignment="1" applyProtection="1">
      <alignment horizontal="center" vertical="center" shrinkToFit="1"/>
      <protection locked="0"/>
    </xf>
    <xf numFmtId="3" fontId="45" fillId="0" borderId="4" xfId="1" applyNumberFormat="1" applyFont="1" applyFill="1" applyBorder="1" applyAlignment="1" applyProtection="1">
      <alignment horizontal="center" vertical="center" shrinkToFit="1"/>
    </xf>
    <xf numFmtId="49" fontId="9" fillId="3" borderId="199" xfId="1" applyNumberFormat="1" applyFont="1" applyFill="1" applyBorder="1" applyAlignment="1" applyProtection="1">
      <alignment horizontal="center" vertical="center" wrapText="1"/>
      <protection locked="0"/>
    </xf>
    <xf numFmtId="3" fontId="7" fillId="3" borderId="23" xfId="1" applyNumberFormat="1" applyFont="1" applyFill="1" applyBorder="1" applyAlignment="1" applyProtection="1">
      <alignment horizontal="right" vertical="center" shrinkToFit="1"/>
      <protection locked="0"/>
    </xf>
    <xf numFmtId="49" fontId="9" fillId="3" borderId="200" xfId="1" applyNumberFormat="1" applyFont="1" applyFill="1" applyBorder="1" applyAlignment="1" applyProtection="1">
      <alignment horizontal="center" vertical="center" shrinkToFit="1"/>
      <protection locked="0"/>
    </xf>
    <xf numFmtId="4" fontId="7" fillId="7" borderId="201" xfId="1" applyNumberFormat="1" applyFont="1" applyFill="1" applyBorder="1" applyAlignment="1" applyProtection="1">
      <alignment horizontal="right" vertical="center" shrinkToFit="1"/>
      <protection locked="0"/>
    </xf>
    <xf numFmtId="3" fontId="45" fillId="0" borderId="202" xfId="1" applyNumberFormat="1" applyFont="1" applyFill="1" applyBorder="1" applyAlignment="1" applyProtection="1">
      <alignment horizontal="center" vertical="center" shrinkToFit="1"/>
    </xf>
    <xf numFmtId="0" fontId="9" fillId="0" borderId="0" xfId="1" applyFont="1" applyFill="1" applyBorder="1" applyAlignment="1" applyProtection="1">
      <alignment horizontal="distributed" vertical="center" textRotation="255"/>
    </xf>
    <xf numFmtId="0" fontId="9" fillId="0" borderId="18" xfId="1" applyFont="1" applyFill="1" applyBorder="1" applyAlignment="1" applyProtection="1">
      <alignment horizontal="distributed" vertical="center" textRotation="255"/>
    </xf>
    <xf numFmtId="0" fontId="3" fillId="0" borderId="18" xfId="1" applyFont="1" applyFill="1" applyBorder="1" applyAlignment="1" applyProtection="1">
      <alignment horizontal="distributed" vertical="center"/>
    </xf>
    <xf numFmtId="0" fontId="3" fillId="0" borderId="203" xfId="1" applyFont="1" applyFill="1" applyBorder="1" applyAlignment="1" applyProtection="1">
      <alignment horizontal="distributed" vertical="center"/>
    </xf>
    <xf numFmtId="0" fontId="24" fillId="0" borderId="203" xfId="1" applyFont="1" applyFill="1" applyBorder="1" applyAlignment="1" applyProtection="1">
      <alignment horizontal="left" vertical="center" wrapText="1"/>
    </xf>
    <xf numFmtId="0" fontId="3" fillId="0" borderId="18" xfId="1" applyFont="1" applyFill="1" applyBorder="1" applyAlignment="1" applyProtection="1">
      <alignment horizontal="center" vertical="center"/>
    </xf>
    <xf numFmtId="0" fontId="3" fillId="0" borderId="0" xfId="1" applyFont="1" applyFill="1" applyBorder="1" applyAlignment="1" applyProtection="1">
      <alignment horizontal="distributed" vertical="center"/>
    </xf>
    <xf numFmtId="0" fontId="24" fillId="0" borderId="0" xfId="1" applyFont="1" applyFill="1" applyBorder="1" applyAlignment="1" applyProtection="1">
      <alignment horizontal="left" vertical="center" wrapText="1"/>
    </xf>
    <xf numFmtId="0" fontId="77" fillId="0" borderId="0" xfId="1" applyFont="1" applyFill="1" applyBorder="1" applyAlignment="1" applyProtection="1">
      <alignment horizontal="left" vertical="center"/>
    </xf>
    <xf numFmtId="0" fontId="9" fillId="0" borderId="18" xfId="1" applyFont="1" applyBorder="1" applyAlignment="1" applyProtection="1">
      <alignment horizontal="center" vertical="center" wrapText="1"/>
    </xf>
    <xf numFmtId="181" fontId="7" fillId="0" borderId="207" xfId="1" applyNumberFormat="1" applyFont="1" applyFill="1" applyBorder="1" applyAlignment="1" applyProtection="1">
      <alignment horizontal="right" vertical="center" shrinkToFit="1"/>
    </xf>
    <xf numFmtId="3" fontId="7" fillId="3" borderId="208" xfId="1" applyNumberFormat="1" applyFont="1" applyFill="1" applyBorder="1" applyAlignment="1" applyProtection="1">
      <alignment horizontal="right" vertical="center" shrinkToFit="1"/>
      <protection locked="0"/>
    </xf>
    <xf numFmtId="49" fontId="9" fillId="4" borderId="209" xfId="1" applyNumberFormat="1" applyFont="1" applyFill="1" applyBorder="1" applyAlignment="1" applyProtection="1">
      <alignment horizontal="center" vertical="center" wrapText="1"/>
      <protection locked="0"/>
    </xf>
    <xf numFmtId="186" fontId="7" fillId="4" borderId="55" xfId="1" applyNumberFormat="1" applyFont="1" applyFill="1" applyBorder="1" applyAlignment="1" applyProtection="1">
      <alignment horizontal="right" vertical="center" shrinkToFit="1"/>
      <protection locked="0"/>
    </xf>
    <xf numFmtId="49" fontId="9" fillId="4" borderId="210" xfId="1" applyNumberFormat="1" applyFont="1" applyFill="1" applyBorder="1" applyAlignment="1" applyProtection="1">
      <alignment horizontal="center" vertical="center" shrinkToFit="1"/>
      <protection locked="0"/>
    </xf>
    <xf numFmtId="3" fontId="7" fillId="4" borderId="211" xfId="1" applyNumberFormat="1" applyFont="1" applyFill="1" applyBorder="1" applyAlignment="1" applyProtection="1">
      <alignment horizontal="right" vertical="center" shrinkToFit="1"/>
      <protection locked="0"/>
    </xf>
    <xf numFmtId="186" fontId="7" fillId="4" borderId="73" xfId="1" applyNumberFormat="1" applyFont="1" applyFill="1" applyBorder="1" applyAlignment="1" applyProtection="1">
      <alignment horizontal="right" vertical="center" shrinkToFit="1"/>
      <protection locked="0"/>
    </xf>
    <xf numFmtId="3" fontId="7" fillId="4" borderId="212" xfId="1" applyNumberFormat="1" applyFont="1" applyFill="1" applyBorder="1" applyAlignment="1" applyProtection="1">
      <alignment horizontal="right" vertical="center" shrinkToFit="1"/>
      <protection locked="0"/>
    </xf>
    <xf numFmtId="0" fontId="65" fillId="0" borderId="1" xfId="1" applyFont="1" applyBorder="1" applyAlignment="1" applyProtection="1">
      <alignment horizontal="center" vertical="center"/>
    </xf>
    <xf numFmtId="3" fontId="7" fillId="3" borderId="213" xfId="1" applyNumberFormat="1" applyFont="1" applyFill="1" applyBorder="1" applyAlignment="1" applyProtection="1">
      <alignment horizontal="right" vertical="center" shrinkToFit="1"/>
      <protection locked="0"/>
    </xf>
    <xf numFmtId="186" fontId="9" fillId="0" borderId="6" xfId="1" applyNumberFormat="1" applyFont="1" applyFill="1" applyBorder="1" applyAlignment="1" applyProtection="1">
      <alignment horizontal="center" vertical="center" wrapText="1"/>
    </xf>
    <xf numFmtId="186" fontId="65" fillId="0" borderId="12" xfId="1" applyNumberFormat="1" applyFont="1" applyFill="1" applyBorder="1" applyAlignment="1" applyProtection="1">
      <alignment horizontal="center" vertical="center" shrinkToFit="1"/>
    </xf>
    <xf numFmtId="186" fontId="65" fillId="0" borderId="2" xfId="1" applyNumberFormat="1" applyFont="1" applyFill="1" applyBorder="1" applyAlignment="1" applyProtection="1">
      <alignment horizontal="center" vertical="center" shrinkToFit="1"/>
    </xf>
    <xf numFmtId="49" fontId="9" fillId="3" borderId="216" xfId="1" applyNumberFormat="1" applyFont="1" applyFill="1" applyBorder="1" applyAlignment="1" applyProtection="1">
      <alignment horizontal="center" vertical="center" wrapText="1"/>
      <protection locked="0"/>
    </xf>
    <xf numFmtId="3" fontId="7" fillId="3" borderId="217" xfId="1" applyNumberFormat="1" applyFont="1" applyFill="1" applyBorder="1" applyAlignment="1" applyProtection="1">
      <alignment horizontal="right" vertical="center" shrinkToFit="1"/>
      <protection locked="0"/>
    </xf>
    <xf numFmtId="49" fontId="9" fillId="3" borderId="218" xfId="1" applyNumberFormat="1" applyFont="1" applyFill="1" applyBorder="1" applyAlignment="1" applyProtection="1">
      <alignment horizontal="center" vertical="center" shrinkToFit="1"/>
      <protection locked="0"/>
    </xf>
    <xf numFmtId="0" fontId="36" fillId="0" borderId="18" xfId="1" applyFont="1" applyFill="1" applyBorder="1" applyAlignment="1" applyProtection="1">
      <alignment vertical="center"/>
    </xf>
    <xf numFmtId="0" fontId="3" fillId="0" borderId="18" xfId="1" applyFont="1" applyFill="1" applyBorder="1" applyAlignment="1" applyProtection="1"/>
    <xf numFmtId="0" fontId="3" fillId="0" borderId="203" xfId="1" applyFont="1" applyFill="1" applyBorder="1" applyAlignment="1" applyProtection="1"/>
    <xf numFmtId="0" fontId="65" fillId="0" borderId="0" xfId="1" applyFont="1" applyFill="1" applyBorder="1" applyAlignment="1" applyProtection="1">
      <alignment horizontal="center" vertical="center"/>
    </xf>
    <xf numFmtId="38" fontId="7" fillId="0" borderId="0" xfId="2" applyFont="1" applyFill="1" applyBorder="1" applyAlignment="1" applyProtection="1">
      <alignment horizontal="right" vertical="center"/>
    </xf>
    <xf numFmtId="3" fontId="7" fillId="0" borderId="0" xfId="1" applyNumberFormat="1" applyFont="1" applyBorder="1" applyAlignment="1" applyProtection="1">
      <alignment horizontal="right" vertical="center" shrinkToFit="1"/>
    </xf>
    <xf numFmtId="0" fontId="78" fillId="0" borderId="0" xfId="1" applyFont="1" applyBorder="1" applyAlignment="1" applyProtection="1">
      <alignment horizontal="center"/>
    </xf>
    <xf numFmtId="0" fontId="25" fillId="0" borderId="0" xfId="1" applyFont="1" applyBorder="1" applyAlignment="1" applyProtection="1"/>
    <xf numFmtId="0" fontId="25" fillId="0" borderId="0" xfId="1" applyFont="1" applyBorder="1" applyAlignment="1" applyProtection="1">
      <alignment horizontal="center"/>
    </xf>
    <xf numFmtId="0" fontId="79" fillId="0" borderId="0" xfId="1" applyFont="1" applyFill="1" applyBorder="1" applyAlignment="1" applyProtection="1">
      <alignment vertical="center"/>
    </xf>
    <xf numFmtId="0" fontId="74" fillId="0" borderId="0" xfId="1" applyFont="1" applyBorder="1" applyAlignment="1" applyProtection="1">
      <alignment vertical="center"/>
    </xf>
    <xf numFmtId="0" fontId="79" fillId="0" borderId="0" xfId="1" applyFont="1" applyBorder="1" applyAlignment="1" applyProtection="1">
      <alignment vertical="center"/>
    </xf>
    <xf numFmtId="3" fontId="7" fillId="0" borderId="222" xfId="1" applyNumberFormat="1" applyFont="1" applyFill="1" applyBorder="1" applyAlignment="1" applyProtection="1">
      <alignment horizontal="right" vertical="center" shrinkToFit="1"/>
    </xf>
    <xf numFmtId="49" fontId="9" fillId="0" borderId="223" xfId="1" applyNumberFormat="1" applyFont="1" applyFill="1" applyBorder="1" applyAlignment="1" applyProtection="1">
      <alignment horizontal="center" vertical="center" shrinkToFit="1"/>
    </xf>
    <xf numFmtId="3" fontId="7" fillId="3" borderId="224" xfId="1" applyNumberFormat="1" applyFont="1" applyFill="1" applyBorder="1" applyAlignment="1" applyProtection="1">
      <alignment horizontal="right" vertical="center" shrinkToFit="1"/>
      <protection locked="0"/>
    </xf>
    <xf numFmtId="0" fontId="9" fillId="0" borderId="0" xfId="1" applyFont="1" applyBorder="1" applyAlignment="1" applyProtection="1">
      <alignment horizontal="distributed" vertical="center" justifyLastLine="1"/>
    </xf>
    <xf numFmtId="0" fontId="9" fillId="0" borderId="84" xfId="1" applyFont="1" applyBorder="1" applyAlignment="1" applyProtection="1">
      <alignment horizontal="distributed" vertical="center" justifyLastLine="1"/>
    </xf>
    <xf numFmtId="38" fontId="7" fillId="0" borderId="156" xfId="2" applyFont="1" applyFill="1" applyBorder="1" applyAlignment="1" applyProtection="1">
      <alignment horizontal="right" vertical="center" shrinkToFit="1"/>
    </xf>
    <xf numFmtId="0" fontId="57" fillId="0" borderId="0" xfId="1" applyFont="1" applyBorder="1" applyAlignment="1" applyProtection="1">
      <alignment vertical="center" wrapText="1"/>
    </xf>
    <xf numFmtId="0" fontId="57" fillId="0" borderId="84" xfId="1" applyFont="1" applyBorder="1" applyAlignment="1" applyProtection="1">
      <alignment vertical="center" wrapText="1"/>
    </xf>
    <xf numFmtId="0" fontId="9" fillId="0" borderId="25" xfId="1" applyFont="1" applyBorder="1" applyAlignment="1" applyProtection="1">
      <alignment horizontal="distributed" vertical="center" textRotation="255"/>
    </xf>
    <xf numFmtId="49" fontId="9" fillId="4" borderId="228" xfId="1" applyNumberFormat="1" applyFont="1" applyFill="1" applyBorder="1" applyAlignment="1" applyProtection="1">
      <alignment horizontal="center" vertical="center" wrapText="1"/>
      <protection locked="0"/>
    </xf>
    <xf numFmtId="3" fontId="7" fillId="4" borderId="105"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230"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109"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185" fontId="7" fillId="0" borderId="0" xfId="2" applyNumberFormat="1" applyFont="1" applyFill="1" applyBorder="1" applyAlignment="1" applyProtection="1">
      <alignment horizontal="right" vertical="center"/>
    </xf>
    <xf numFmtId="3" fontId="7" fillId="0" borderId="0" xfId="1" applyNumberFormat="1" applyFont="1" applyFill="1" applyBorder="1" applyAlignment="1" applyProtection="1">
      <alignment horizontal="right" vertical="center" shrinkToFit="1"/>
    </xf>
    <xf numFmtId="185" fontId="3" fillId="0" borderId="0" xfId="1" applyNumberFormat="1" applyBorder="1" applyAlignment="1" applyProtection="1"/>
    <xf numFmtId="180" fontId="7" fillId="0" borderId="0" xfId="2" applyNumberFormat="1" applyFont="1" applyFill="1" applyBorder="1" applyAlignment="1" applyProtection="1">
      <alignment horizontal="right" vertical="center"/>
    </xf>
    <xf numFmtId="0" fontId="80" fillId="0" borderId="0" xfId="1" applyFont="1" applyBorder="1" applyAlignment="1" applyProtection="1"/>
    <xf numFmtId="0" fontId="49" fillId="0" borderId="25" xfId="1" applyFont="1" applyBorder="1" applyAlignment="1" applyProtection="1">
      <alignment horizontal="distributed" vertical="center" textRotation="255"/>
    </xf>
    <xf numFmtId="0" fontId="81" fillId="0" borderId="0" xfId="1" applyFont="1" applyBorder="1" applyAlignment="1" applyProtection="1">
      <alignment vertical="center" wrapText="1"/>
    </xf>
    <xf numFmtId="0" fontId="81" fillId="0" borderId="84" xfId="1" applyFont="1" applyBorder="1" applyAlignment="1" applyProtection="1">
      <alignment vertical="center" wrapText="1"/>
    </xf>
    <xf numFmtId="0" fontId="82" fillId="0" borderId="0" xfId="1" applyFont="1" applyBorder="1" applyAlignment="1" applyProtection="1"/>
    <xf numFmtId="0" fontId="25" fillId="0" borderId="0" xfId="1" applyFont="1" applyFill="1" applyBorder="1" applyAlignment="1" applyProtection="1"/>
    <xf numFmtId="0" fontId="57" fillId="0" borderId="25" xfId="1" applyFont="1" applyBorder="1" applyAlignment="1" applyProtection="1">
      <alignment horizontal="center" vertical="center" wrapText="1"/>
    </xf>
    <xf numFmtId="0" fontId="36" fillId="0" borderId="28" xfId="1" applyFont="1" applyBorder="1" applyAlignment="1" applyProtection="1">
      <alignment horizontal="left" vertical="top" wrapText="1"/>
    </xf>
    <xf numFmtId="0" fontId="36" fillId="0" borderId="126" xfId="1" applyFont="1" applyBorder="1" applyAlignment="1" applyProtection="1">
      <alignment horizontal="left" vertical="top" wrapText="1"/>
    </xf>
    <xf numFmtId="3" fontId="7" fillId="0" borderId="233" xfId="1" applyNumberFormat="1" applyFont="1" applyFill="1" applyBorder="1" applyAlignment="1" applyProtection="1">
      <alignment horizontal="right" vertical="center" shrinkToFit="1"/>
    </xf>
    <xf numFmtId="49" fontId="9" fillId="0" borderId="234" xfId="1" applyNumberFormat="1" applyFont="1" applyFill="1" applyBorder="1" applyAlignment="1" applyProtection="1">
      <alignment horizontal="center" vertical="center" shrinkToFit="1"/>
    </xf>
    <xf numFmtId="3" fontId="7" fillId="4" borderId="60" xfId="1" applyNumberFormat="1" applyFont="1" applyFill="1" applyBorder="1" applyAlignment="1" applyProtection="1">
      <alignment horizontal="right" vertical="center" shrinkToFit="1"/>
      <protection locked="0"/>
    </xf>
    <xf numFmtId="0" fontId="3" fillId="0" borderId="21" xfId="1" applyBorder="1" applyAlignment="1" applyProtection="1"/>
    <xf numFmtId="0" fontId="3" fillId="0" borderId="0" xfId="1" applyBorder="1" applyAlignment="1" applyProtection="1">
      <alignment vertical="center" justifyLastLine="1"/>
    </xf>
    <xf numFmtId="0" fontId="64" fillId="0" borderId="0" xfId="1" applyFont="1" applyBorder="1" applyAlignment="1" applyProtection="1">
      <alignment horizontal="center"/>
    </xf>
    <xf numFmtId="49" fontId="9" fillId="0" borderId="237" xfId="1" applyNumberFormat="1" applyFont="1" applyFill="1" applyBorder="1" applyAlignment="1" applyProtection="1">
      <alignment horizontal="center" vertical="center" shrinkToFit="1"/>
    </xf>
    <xf numFmtId="0" fontId="65" fillId="0" borderId="2" xfId="1" applyFont="1" applyBorder="1" applyAlignment="1" applyProtection="1">
      <alignment horizontal="center" vertical="center"/>
    </xf>
    <xf numFmtId="186" fontId="7" fillId="0" borderId="12" xfId="1" applyNumberFormat="1" applyFont="1" applyFill="1" applyBorder="1" applyAlignment="1" applyProtection="1">
      <alignment horizontal="right" vertical="center" shrinkToFit="1"/>
    </xf>
    <xf numFmtId="4" fontId="7" fillId="7" borderId="239" xfId="1" applyNumberFormat="1" applyFont="1" applyFill="1" applyBorder="1" applyAlignment="1" applyProtection="1">
      <alignment horizontal="right" vertical="center" shrinkToFit="1"/>
      <protection locked="0"/>
    </xf>
    <xf numFmtId="49" fontId="9" fillId="0" borderId="240" xfId="1" applyNumberFormat="1" applyFont="1" applyFill="1" applyBorder="1" applyAlignment="1" applyProtection="1">
      <alignment horizontal="center" vertical="center" shrinkToFit="1"/>
    </xf>
    <xf numFmtId="49" fontId="9" fillId="0" borderId="241" xfId="1" applyNumberFormat="1" applyFont="1" applyFill="1" applyBorder="1" applyAlignment="1" applyProtection="1">
      <alignment horizontal="center" vertical="center" shrinkToFit="1"/>
    </xf>
    <xf numFmtId="186" fontId="7" fillId="0" borderId="202" xfId="1" applyNumberFormat="1" applyFont="1" applyBorder="1" applyAlignment="1" applyProtection="1">
      <alignment horizontal="right" vertical="center" shrinkToFit="1"/>
    </xf>
    <xf numFmtId="0" fontId="60" fillId="0" borderId="243" xfId="1" applyFont="1" applyFill="1" applyBorder="1" applyAlignment="1" applyProtection="1">
      <alignment horizontal="center" shrinkToFit="1"/>
    </xf>
    <xf numFmtId="186" fontId="7" fillId="0" borderId="106" xfId="1" applyNumberFormat="1" applyFont="1" applyBorder="1" applyAlignment="1" applyProtection="1">
      <alignment horizontal="right" vertical="center" shrinkToFit="1"/>
    </xf>
    <xf numFmtId="0" fontId="34" fillId="0" borderId="0" xfId="1" applyFont="1" applyFill="1" applyBorder="1" applyAlignment="1" applyProtection="1">
      <alignment vertical="center" wrapText="1"/>
    </xf>
    <xf numFmtId="0" fontId="34" fillId="0" borderId="0" xfId="1" applyFont="1" applyBorder="1" applyAlignment="1" applyProtection="1">
      <alignment vertical="top"/>
    </xf>
    <xf numFmtId="0" fontId="80" fillId="0" borderId="0" xfId="1" applyFont="1" applyBorder="1" applyAlignment="1" applyProtection="1">
      <alignment horizontal="center"/>
    </xf>
    <xf numFmtId="3" fontId="7" fillId="3" borderId="244" xfId="1" applyNumberFormat="1" applyFont="1" applyFill="1" applyBorder="1" applyAlignment="1" applyProtection="1">
      <alignment horizontal="right" vertical="center" shrinkToFit="1"/>
      <protection locked="0"/>
    </xf>
    <xf numFmtId="0" fontId="9" fillId="0" borderId="245" xfId="1" applyFont="1" applyBorder="1" applyAlignment="1" applyProtection="1">
      <alignment horizontal="distributed" vertical="center" justifyLastLine="1"/>
    </xf>
    <xf numFmtId="0" fontId="9" fillId="0" borderId="19" xfId="1" applyFont="1" applyBorder="1" applyAlignment="1" applyProtection="1">
      <alignment horizontal="distributed" vertical="center" justifyLastLine="1"/>
    </xf>
    <xf numFmtId="186" fontId="7" fillId="0" borderId="6" xfId="2" applyNumberFormat="1" applyFont="1" applyBorder="1" applyAlignment="1" applyProtection="1">
      <alignment vertical="center" shrinkToFit="1"/>
    </xf>
    <xf numFmtId="0" fontId="9" fillId="0" borderId="246" xfId="1" applyFont="1" applyBorder="1" applyAlignment="1" applyProtection="1">
      <alignment vertical="center"/>
    </xf>
    <xf numFmtId="186" fontId="7" fillId="0" borderId="6" xfId="2" applyNumberFormat="1" applyFont="1" applyFill="1" applyBorder="1" applyAlignment="1" applyProtection="1">
      <alignment vertical="center" shrinkToFit="1"/>
    </xf>
    <xf numFmtId="0" fontId="9" fillId="0" borderId="246" xfId="1" applyFont="1" applyBorder="1" applyAlignment="1" applyProtection="1">
      <alignment horizontal="distributed" vertical="center" textRotation="255"/>
    </xf>
    <xf numFmtId="0" fontId="9" fillId="0" borderId="0" xfId="1" applyFont="1" applyBorder="1" applyAlignment="1" applyProtection="1">
      <alignment horizontal="distributed" vertical="center" textRotation="255"/>
    </xf>
    <xf numFmtId="0" fontId="57" fillId="0" borderId="25" xfId="1" applyFont="1" applyBorder="1" applyAlignment="1" applyProtection="1">
      <alignment vertical="center" wrapText="1"/>
    </xf>
    <xf numFmtId="3" fontId="7" fillId="4" borderId="125" xfId="1" applyNumberFormat="1" applyFont="1" applyFill="1" applyBorder="1" applyAlignment="1" applyProtection="1">
      <alignment horizontal="right" vertical="center" shrinkToFit="1"/>
      <protection locked="0"/>
    </xf>
    <xf numFmtId="0" fontId="65" fillId="0" borderId="23" xfId="1" applyFont="1" applyFill="1" applyBorder="1" applyAlignment="1" applyProtection="1">
      <alignment horizontal="center" vertical="center"/>
    </xf>
    <xf numFmtId="38" fontId="7" fillId="0" borderId="23" xfId="2" applyFont="1" applyFill="1" applyBorder="1" applyAlignment="1" applyProtection="1">
      <alignment vertical="center"/>
    </xf>
    <xf numFmtId="0" fontId="9" fillId="0" borderId="251" xfId="1" applyFont="1" applyBorder="1" applyAlignment="1" applyProtection="1">
      <alignment horizontal="distributed" vertical="center" textRotation="255"/>
    </xf>
    <xf numFmtId="38" fontId="7" fillId="0" borderId="0" xfId="2" applyFont="1" applyFill="1" applyBorder="1" applyAlignment="1" applyProtection="1">
      <alignment vertical="center"/>
    </xf>
    <xf numFmtId="3" fontId="7" fillId="4" borderId="73" xfId="1" applyNumberFormat="1" applyFont="1" applyFill="1" applyBorder="1" applyAlignment="1" applyProtection="1">
      <alignment horizontal="right" vertical="center" shrinkToFit="1"/>
      <protection locked="0"/>
    </xf>
    <xf numFmtId="0" fontId="36" fillId="0" borderId="0" xfId="1" applyFont="1" applyBorder="1" applyAlignment="1" applyProtection="1">
      <alignment horizontal="left" vertical="top" wrapText="1"/>
    </xf>
    <xf numFmtId="0" fontId="3" fillId="0" borderId="0" xfId="1" applyAlignment="1" applyProtection="1">
      <alignment wrapText="1"/>
    </xf>
    <xf numFmtId="0" fontId="3" fillId="0" borderId="84" xfId="1" applyBorder="1" applyAlignment="1" applyProtection="1">
      <alignment wrapText="1"/>
    </xf>
    <xf numFmtId="0" fontId="9" fillId="0" borderId="256" xfId="1" applyFont="1" applyBorder="1" applyAlignment="1" applyProtection="1">
      <alignment vertical="center"/>
    </xf>
    <xf numFmtId="3" fontId="7" fillId="4" borderId="257" xfId="1" applyNumberFormat="1" applyFont="1" applyFill="1" applyBorder="1" applyAlignment="1" applyProtection="1">
      <alignment horizontal="right" vertical="center" shrinkToFit="1"/>
      <protection locked="0"/>
    </xf>
    <xf numFmtId="0" fontId="36" fillId="0" borderId="21" xfId="1" applyFont="1" applyBorder="1" applyAlignment="1" applyProtection="1">
      <alignment vertical="top" wrapText="1"/>
    </xf>
    <xf numFmtId="0" fontId="3" fillId="0" borderId="21" xfId="1" applyBorder="1" applyAlignment="1" applyProtection="1">
      <alignment wrapText="1"/>
    </xf>
    <xf numFmtId="0" fontId="3" fillId="0" borderId="22" xfId="1" applyBorder="1" applyAlignment="1" applyProtection="1">
      <alignment wrapText="1"/>
    </xf>
    <xf numFmtId="0" fontId="9" fillId="0" borderId="31" xfId="1" applyFont="1" applyBorder="1" applyAlignment="1" applyProtection="1">
      <alignment horizontal="center" vertical="center"/>
    </xf>
    <xf numFmtId="0" fontId="24" fillId="0" borderId="258" xfId="1" applyFont="1" applyBorder="1" applyAlignment="1" applyProtection="1">
      <alignment horizontal="center" vertical="center" shrinkToFit="1"/>
    </xf>
    <xf numFmtId="49" fontId="9" fillId="0" borderId="259" xfId="1" applyNumberFormat="1" applyFont="1" applyFill="1" applyBorder="1" applyAlignment="1" applyProtection="1">
      <alignment horizontal="center" vertical="center" shrinkToFit="1"/>
    </xf>
    <xf numFmtId="3" fontId="7" fillId="3" borderId="260" xfId="1" applyNumberFormat="1" applyFont="1" applyFill="1" applyBorder="1" applyAlignment="1" applyProtection="1">
      <alignment horizontal="right" vertical="center" shrinkToFit="1"/>
      <protection locked="0"/>
    </xf>
    <xf numFmtId="38" fontId="65" fillId="0" borderId="156" xfId="2" applyFont="1" applyFill="1" applyBorder="1" applyAlignment="1" applyProtection="1">
      <alignment horizontal="right" vertical="center" shrinkToFit="1"/>
    </xf>
    <xf numFmtId="0" fontId="9" fillId="0" borderId="39" xfId="1" applyFont="1" applyBorder="1" applyAlignment="1" applyProtection="1">
      <alignment vertical="distributed" textRotation="255" wrapText="1" justifyLastLine="1"/>
    </xf>
    <xf numFmtId="0" fontId="9" fillId="0" borderId="16" xfId="1" applyFont="1" applyBorder="1" applyAlignment="1" applyProtection="1">
      <alignment horizontal="distributed" vertical="center" justifyLastLine="1"/>
    </xf>
    <xf numFmtId="0" fontId="9" fillId="0" borderId="23" xfId="1" applyFont="1" applyBorder="1" applyAlignment="1" applyProtection="1">
      <alignment horizontal="distributed" vertical="center" justifyLastLine="1"/>
    </xf>
    <xf numFmtId="49" fontId="9" fillId="0" borderId="28" xfId="1" applyNumberFormat="1" applyFont="1" applyFill="1" applyBorder="1" applyAlignment="1" applyProtection="1">
      <alignment horizontal="center" vertical="center" shrinkToFit="1"/>
    </xf>
    <xf numFmtId="3" fontId="7" fillId="4" borderId="262" xfId="1" applyNumberFormat="1" applyFont="1" applyFill="1" applyBorder="1" applyAlignment="1" applyProtection="1">
      <alignment horizontal="right" vertical="center" shrinkToFit="1"/>
      <protection locked="0"/>
    </xf>
    <xf numFmtId="0" fontId="83" fillId="0" borderId="0" xfId="1" applyFont="1" applyBorder="1" applyAlignment="1" applyProtection="1">
      <alignment horizontal="center" vertical="center"/>
    </xf>
    <xf numFmtId="0" fontId="3" fillId="0" borderId="5" xfId="1" applyBorder="1" applyAlignment="1" applyProtection="1"/>
    <xf numFmtId="3" fontId="65" fillId="0" borderId="6" xfId="1" applyNumberFormat="1" applyFont="1" applyFill="1" applyBorder="1" applyAlignment="1" applyProtection="1">
      <alignment horizontal="center" vertical="center" shrinkToFit="1"/>
    </xf>
    <xf numFmtId="185" fontId="7" fillId="0" borderId="106" xfId="2" applyNumberFormat="1" applyFont="1" applyFill="1" applyBorder="1" applyAlignment="1" applyProtection="1">
      <alignment horizontal="right" vertical="center" shrinkToFit="1"/>
    </xf>
    <xf numFmtId="3" fontId="7" fillId="4" borderId="266" xfId="1" applyNumberFormat="1" applyFont="1" applyFill="1" applyBorder="1" applyAlignment="1" applyProtection="1">
      <alignment horizontal="right" vertical="center" shrinkToFit="1"/>
      <protection locked="0"/>
    </xf>
    <xf numFmtId="49" fontId="9" fillId="0" borderId="3" xfId="1" applyNumberFormat="1" applyFont="1" applyFill="1" applyBorder="1" applyAlignment="1" applyProtection="1">
      <alignment horizontal="center" vertical="center" shrinkToFit="1"/>
    </xf>
    <xf numFmtId="3" fontId="7" fillId="4" borderId="267" xfId="1" applyNumberFormat="1" applyFont="1" applyFill="1" applyBorder="1" applyAlignment="1" applyProtection="1">
      <alignment horizontal="right" vertical="center" shrinkToFit="1"/>
      <protection locked="0"/>
    </xf>
    <xf numFmtId="0" fontId="9" fillId="0" borderId="2" xfId="1" applyFont="1" applyBorder="1" applyAlignment="1" applyProtection="1">
      <alignment horizontal="distributed" vertical="center" justifyLastLine="1"/>
    </xf>
    <xf numFmtId="0" fontId="9" fillId="0" borderId="3" xfId="1" applyFont="1" applyBorder="1" applyAlignment="1" applyProtection="1">
      <alignment horizontal="distributed" vertical="center" justifyLastLine="1"/>
    </xf>
    <xf numFmtId="3" fontId="7" fillId="4" borderId="271" xfId="1" applyNumberFormat="1" applyFont="1" applyFill="1" applyBorder="1" applyAlignment="1" applyProtection="1">
      <alignment horizontal="right" vertical="center" shrinkToFit="1"/>
      <protection locked="0"/>
    </xf>
    <xf numFmtId="0" fontId="9" fillId="0" borderId="39" xfId="1" applyFont="1" applyBorder="1" applyAlignment="1" applyProtection="1">
      <alignment horizontal="distributed" vertical="center" wrapText="1"/>
    </xf>
    <xf numFmtId="49" fontId="9" fillId="0" borderId="27" xfId="1" applyNumberFormat="1" applyFont="1" applyFill="1" applyBorder="1" applyAlignment="1" applyProtection="1">
      <alignment horizontal="center" vertical="center" shrinkToFit="1"/>
    </xf>
    <xf numFmtId="0" fontId="9" fillId="0" borderId="185" xfId="1" applyFont="1" applyBorder="1" applyAlignment="1" applyProtection="1">
      <alignment horizontal="distributed" vertical="center"/>
    </xf>
    <xf numFmtId="0" fontId="24" fillId="0" borderId="272" xfId="1" applyFont="1" applyBorder="1" applyAlignment="1" applyProtection="1">
      <alignment horizontal="center" vertical="center" shrinkToFit="1"/>
    </xf>
    <xf numFmtId="49" fontId="9" fillId="0" borderId="16" xfId="1" applyNumberFormat="1" applyFont="1" applyFill="1" applyBorder="1" applyAlignment="1" applyProtection="1">
      <alignment horizontal="center" vertical="center" shrinkToFit="1"/>
    </xf>
    <xf numFmtId="3" fontId="7" fillId="4" borderId="273" xfId="1" applyNumberFormat="1" applyFont="1" applyFill="1" applyBorder="1" applyAlignment="1" applyProtection="1">
      <alignment horizontal="right" vertical="center" shrinkToFit="1"/>
      <protection locked="0"/>
    </xf>
    <xf numFmtId="38" fontId="65" fillId="0" borderId="277" xfId="2" applyFont="1" applyFill="1" applyBorder="1" applyAlignment="1" applyProtection="1">
      <alignment horizontal="right" vertical="center" shrinkToFit="1"/>
    </xf>
    <xf numFmtId="186" fontId="7" fillId="0" borderId="1" xfId="1" applyNumberFormat="1" applyFont="1" applyFill="1" applyBorder="1" applyAlignment="1" applyProtection="1">
      <alignment horizontal="right" vertical="center" shrinkToFit="1"/>
    </xf>
    <xf numFmtId="3" fontId="7" fillId="3" borderId="281" xfId="1" applyNumberFormat="1" applyFont="1" applyFill="1" applyBorder="1" applyAlignment="1" applyProtection="1">
      <alignment horizontal="right" vertical="center" shrinkToFit="1"/>
      <protection locked="0"/>
    </xf>
    <xf numFmtId="49" fontId="9" fillId="3" borderId="282" xfId="1" applyNumberFormat="1" applyFont="1" applyFill="1" applyBorder="1" applyAlignment="1" applyProtection="1">
      <alignment horizontal="center" vertical="center" shrinkToFit="1"/>
      <protection locked="0"/>
    </xf>
    <xf numFmtId="0" fontId="83" fillId="0" borderId="287" xfId="1" applyFont="1" applyBorder="1" applyAlignment="1" applyProtection="1">
      <alignment horizontal="center" vertical="center"/>
    </xf>
    <xf numFmtId="40" fontId="7" fillId="7" borderId="13" xfId="2" applyNumberFormat="1" applyFont="1" applyFill="1" applyBorder="1" applyAlignment="1" applyProtection="1">
      <alignment vertical="center" shrinkToFit="1"/>
      <protection locked="0"/>
    </xf>
    <xf numFmtId="3" fontId="65" fillId="0" borderId="4" xfId="1" applyNumberFormat="1" applyFont="1" applyFill="1" applyBorder="1" applyAlignment="1" applyProtection="1">
      <alignment horizontal="center" vertical="center" shrinkToFit="1"/>
    </xf>
    <xf numFmtId="3" fontId="7" fillId="3" borderId="292" xfId="1" applyNumberFormat="1" applyFont="1" applyFill="1" applyBorder="1" applyAlignment="1" applyProtection="1">
      <alignment horizontal="right" vertical="center" shrinkToFit="1"/>
      <protection locked="0"/>
    </xf>
    <xf numFmtId="49" fontId="9" fillId="3" borderId="293"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shrinkToFit="1"/>
      <protection locked="0"/>
    </xf>
    <xf numFmtId="3" fontId="7" fillId="3" borderId="299" xfId="1" applyNumberFormat="1" applyFont="1" applyFill="1" applyBorder="1" applyAlignment="1" applyProtection="1">
      <alignment horizontal="right" vertical="center" shrinkToFit="1"/>
      <protection locked="0"/>
    </xf>
    <xf numFmtId="49" fontId="9" fillId="3" borderId="300" xfId="1" applyNumberFormat="1" applyFont="1" applyFill="1" applyBorder="1" applyAlignment="1" applyProtection="1">
      <alignment horizontal="center" vertical="center" shrinkToFit="1"/>
      <protection locked="0"/>
    </xf>
    <xf numFmtId="3" fontId="7" fillId="3" borderId="302" xfId="1" applyNumberFormat="1" applyFont="1" applyFill="1" applyBorder="1" applyAlignment="1" applyProtection="1">
      <alignment horizontal="right" vertical="center" shrinkToFit="1"/>
      <protection locked="0"/>
    </xf>
    <xf numFmtId="49" fontId="9" fillId="3" borderId="303" xfId="1" applyNumberFormat="1" applyFont="1" applyFill="1" applyBorder="1" applyAlignment="1" applyProtection="1">
      <alignment horizontal="center" vertical="center" shrinkToFit="1"/>
      <protection locked="0"/>
    </xf>
    <xf numFmtId="40" fontId="7" fillId="7" borderId="201" xfId="2" applyNumberFormat="1" applyFont="1" applyFill="1" applyBorder="1" applyAlignment="1" applyProtection="1">
      <alignment vertical="center" shrinkToFit="1"/>
      <protection locked="0"/>
    </xf>
    <xf numFmtId="0" fontId="3" fillId="0" borderId="18" xfId="1" applyBorder="1" applyProtection="1"/>
    <xf numFmtId="0" fontId="3" fillId="0" borderId="203" xfId="1" applyBorder="1" applyProtection="1"/>
    <xf numFmtId="38" fontId="65" fillId="0" borderId="307" xfId="2" applyFont="1" applyFill="1" applyBorder="1" applyAlignment="1" applyProtection="1">
      <alignment horizontal="right" vertical="center" shrinkToFit="1"/>
    </xf>
    <xf numFmtId="0" fontId="43" fillId="0" borderId="0" xfId="1" applyFont="1" applyFill="1" applyBorder="1" applyAlignment="1" applyProtection="1">
      <alignment vertical="center"/>
    </xf>
    <xf numFmtId="3" fontId="7" fillId="3" borderId="284" xfId="1" applyNumberFormat="1" applyFont="1" applyFill="1" applyBorder="1" applyAlignment="1" applyProtection="1">
      <alignment horizontal="right" vertical="center" shrinkToFit="1"/>
      <protection locked="0"/>
    </xf>
    <xf numFmtId="0" fontId="9" fillId="0" borderId="39" xfId="1" applyFont="1" applyBorder="1" applyAlignment="1" applyProtection="1">
      <alignment vertical="distributed" textRotation="255" justifyLastLine="1"/>
    </xf>
    <xf numFmtId="49" fontId="9" fillId="5" borderId="23" xfId="1" applyNumberFormat="1" applyFont="1" applyFill="1" applyBorder="1" applyAlignment="1" applyProtection="1">
      <alignment horizontal="center" vertical="center" shrinkToFit="1"/>
    </xf>
    <xf numFmtId="3" fontId="7" fillId="4" borderId="308" xfId="1" applyNumberFormat="1" applyFont="1" applyFill="1" applyBorder="1" applyAlignment="1" applyProtection="1">
      <alignment horizontal="right" vertical="center" shrinkToFit="1"/>
      <protection locked="0"/>
    </xf>
    <xf numFmtId="49" fontId="9" fillId="4" borderId="106" xfId="1" applyNumberFormat="1" applyFont="1" applyFill="1" applyBorder="1" applyAlignment="1" applyProtection="1">
      <alignment horizontal="center" vertical="center" shrinkToFit="1"/>
      <protection locked="0"/>
    </xf>
    <xf numFmtId="0" fontId="65" fillId="0" borderId="23" xfId="1" applyFont="1" applyBorder="1" applyAlignment="1" applyProtection="1">
      <alignment horizontal="center" vertical="center" justifyLastLine="1"/>
    </xf>
    <xf numFmtId="38" fontId="65" fillId="0" borderId="23" xfId="2" applyFont="1" applyFill="1" applyBorder="1" applyAlignment="1" applyProtection="1">
      <alignment horizontal="right" vertical="center"/>
    </xf>
    <xf numFmtId="3" fontId="7" fillId="0" borderId="23" xfId="1" applyNumberFormat="1" applyFont="1" applyFill="1" applyBorder="1" applyAlignment="1" applyProtection="1">
      <alignment horizontal="right" vertical="center" shrinkToFit="1"/>
    </xf>
    <xf numFmtId="0" fontId="9" fillId="0" borderId="5" xfId="1" applyFont="1" applyFill="1" applyBorder="1" applyAlignment="1" applyProtection="1">
      <alignment vertical="center" justifyLastLine="1"/>
    </xf>
    <xf numFmtId="49" fontId="9" fillId="4" borderId="6" xfId="1" applyNumberFormat="1" applyFont="1" applyFill="1" applyBorder="1" applyAlignment="1" applyProtection="1">
      <alignment horizontal="center" vertical="center" shrinkToFit="1"/>
      <protection locked="0"/>
    </xf>
    <xf numFmtId="0" fontId="65" fillId="0" borderId="0" xfId="1" applyFont="1" applyBorder="1" applyAlignment="1" applyProtection="1">
      <alignment horizontal="center" vertical="center" justifyLastLine="1"/>
    </xf>
    <xf numFmtId="38" fontId="65" fillId="0" borderId="0" xfId="2" applyFont="1" applyFill="1" applyBorder="1" applyAlignment="1" applyProtection="1">
      <alignment horizontal="right" vertical="center"/>
    </xf>
    <xf numFmtId="0" fontId="9" fillId="0" borderId="5" xfId="1" applyFont="1" applyFill="1" applyBorder="1" applyAlignment="1" applyProtection="1">
      <alignment horizontal="distributed" vertical="center" justifyLastLine="1"/>
    </xf>
    <xf numFmtId="0" fontId="9" fillId="0" borderId="185" xfId="1" applyFont="1" applyBorder="1" applyAlignment="1" applyProtection="1">
      <alignment vertical="distributed" textRotation="255" justifyLastLine="1"/>
    </xf>
    <xf numFmtId="3" fontId="7" fillId="4" borderId="316" xfId="1" applyNumberFormat="1" applyFont="1" applyFill="1" applyBorder="1" applyAlignment="1" applyProtection="1">
      <alignment horizontal="right" vertical="center" shrinkToFit="1"/>
      <protection locked="0"/>
    </xf>
    <xf numFmtId="0" fontId="65" fillId="0" borderId="28" xfId="1" applyFont="1" applyBorder="1" applyAlignment="1" applyProtection="1">
      <alignment horizontal="center" vertical="center" justifyLastLine="1"/>
    </xf>
    <xf numFmtId="38" fontId="65" fillId="0" borderId="28" xfId="2" applyFont="1" applyFill="1" applyBorder="1" applyAlignment="1" applyProtection="1">
      <alignment horizontal="right" vertical="center"/>
    </xf>
    <xf numFmtId="3" fontId="7" fillId="0" borderId="28" xfId="1" applyNumberFormat="1" applyFont="1" applyFill="1" applyBorder="1" applyAlignment="1" applyProtection="1">
      <alignment horizontal="right" vertical="center" shrinkToFit="1"/>
    </xf>
    <xf numFmtId="3" fontId="7" fillId="3" borderId="320" xfId="1" applyNumberFormat="1" applyFont="1" applyFill="1" applyBorder="1" applyAlignment="1" applyProtection="1">
      <alignment horizontal="right" vertical="center" shrinkToFit="1"/>
      <protection locked="0"/>
    </xf>
    <xf numFmtId="49" fontId="9" fillId="3" borderId="321" xfId="1" applyNumberFormat="1" applyFont="1" applyFill="1" applyBorder="1" applyAlignment="1" applyProtection="1">
      <alignment horizontal="center" vertical="center" shrinkToFit="1"/>
      <protection locked="0"/>
    </xf>
    <xf numFmtId="180" fontId="65" fillId="0" borderId="2" xfId="1" applyNumberFormat="1" applyFont="1" applyFill="1" applyBorder="1" applyAlignment="1" applyProtection="1">
      <alignment horizontal="center" vertical="center" shrinkToFit="1"/>
    </xf>
    <xf numFmtId="40" fontId="7" fillId="7" borderId="13" xfId="2" applyNumberFormat="1" applyFont="1" applyFill="1" applyBorder="1" applyAlignment="1" applyProtection="1">
      <alignment vertical="center"/>
      <protection locked="0"/>
    </xf>
    <xf numFmtId="3" fontId="7" fillId="3" borderId="324" xfId="1" applyNumberFormat="1" applyFont="1" applyFill="1" applyBorder="1" applyAlignment="1" applyProtection="1">
      <alignment horizontal="right" vertical="center" shrinkToFit="1"/>
      <protection locked="0"/>
    </xf>
    <xf numFmtId="49" fontId="9" fillId="3" borderId="325" xfId="1" applyNumberFormat="1" applyFont="1" applyFill="1" applyBorder="1" applyAlignment="1" applyProtection="1">
      <alignment horizontal="center" vertical="center" shrinkToFit="1"/>
      <protection locked="0"/>
    </xf>
    <xf numFmtId="40" fontId="7" fillId="7" borderId="14" xfId="2" applyNumberFormat="1" applyFont="1" applyFill="1" applyBorder="1" applyAlignment="1" applyProtection="1">
      <alignment vertical="center"/>
      <protection locked="0"/>
    </xf>
    <xf numFmtId="3" fontId="7" fillId="3" borderId="39" xfId="1" applyNumberFormat="1" applyFont="1" applyFill="1" applyBorder="1" applyAlignment="1" applyProtection="1">
      <alignment horizontal="right" vertical="center" shrinkToFit="1"/>
      <protection locked="0"/>
    </xf>
    <xf numFmtId="49" fontId="9" fillId="3" borderId="326" xfId="1" applyNumberFormat="1" applyFont="1" applyFill="1" applyBorder="1" applyAlignment="1" applyProtection="1">
      <alignment horizontal="center" vertical="center" shrinkToFit="1"/>
      <protection locked="0"/>
    </xf>
    <xf numFmtId="3" fontId="7" fillId="3" borderId="329" xfId="1" applyNumberFormat="1" applyFont="1" applyFill="1" applyBorder="1" applyAlignment="1" applyProtection="1">
      <alignment horizontal="right" vertical="center" shrinkToFit="1"/>
      <protection locked="0"/>
    </xf>
    <xf numFmtId="49" fontId="9" fillId="3" borderId="330" xfId="1" applyNumberFormat="1" applyFont="1" applyFill="1" applyBorder="1" applyAlignment="1" applyProtection="1">
      <alignment horizontal="center" vertical="center" shrinkToFit="1"/>
      <protection locked="0"/>
    </xf>
    <xf numFmtId="3" fontId="7" fillId="3" borderId="73" xfId="1" applyNumberFormat="1" applyFont="1" applyFill="1" applyBorder="1" applyAlignment="1" applyProtection="1">
      <alignment horizontal="right" vertical="center" shrinkToFit="1"/>
      <protection locked="0"/>
    </xf>
    <xf numFmtId="186" fontId="7" fillId="0" borderId="106" xfId="1" applyNumberFormat="1" applyFont="1" applyFill="1" applyBorder="1" applyAlignment="1" applyProtection="1">
      <alignment horizontal="right" vertical="center" shrinkToFit="1"/>
    </xf>
    <xf numFmtId="180" fontId="65" fillId="0" borderId="27" xfId="1" applyNumberFormat="1" applyFont="1" applyFill="1" applyBorder="1" applyAlignment="1" applyProtection="1">
      <alignment horizontal="center" vertical="center" shrinkToFit="1"/>
    </xf>
    <xf numFmtId="40" fontId="7" fillId="7" borderId="332" xfId="2" applyNumberFormat="1" applyFont="1" applyFill="1" applyBorder="1" applyAlignment="1" applyProtection="1">
      <alignment vertical="center"/>
      <protection locked="0"/>
    </xf>
    <xf numFmtId="3" fontId="65" fillId="0" borderId="29" xfId="1" applyNumberFormat="1" applyFont="1" applyFill="1" applyBorder="1" applyAlignment="1" applyProtection="1">
      <alignment horizontal="center" vertical="center" shrinkToFit="1"/>
    </xf>
    <xf numFmtId="180" fontId="7" fillId="0" borderId="106" xfId="1" applyNumberFormat="1" applyFont="1" applyBorder="1" applyAlignment="1" applyProtection="1">
      <alignment horizontal="right" vertical="center" shrinkToFit="1"/>
    </xf>
    <xf numFmtId="0" fontId="24" fillId="0" borderId="18" xfId="1" applyFont="1" applyBorder="1" applyAlignment="1" applyProtection="1"/>
    <xf numFmtId="0" fontId="3" fillId="0" borderId="18" xfId="1" applyBorder="1" applyAlignment="1" applyProtection="1"/>
    <xf numFmtId="0" fontId="3" fillId="0" borderId="203" xfId="1" applyBorder="1" applyAlignment="1" applyProtection="1"/>
    <xf numFmtId="38" fontId="65" fillId="0" borderId="156" xfId="2" applyFont="1" applyFill="1" applyBorder="1" applyAlignment="1" applyProtection="1">
      <alignment horizontal="right" vertical="center"/>
    </xf>
    <xf numFmtId="38" fontId="65" fillId="0" borderId="307" xfId="2" applyFont="1" applyFill="1" applyBorder="1" applyAlignment="1" applyProtection="1">
      <alignment horizontal="right" vertical="center"/>
    </xf>
    <xf numFmtId="0" fontId="10" fillId="0" borderId="0" xfId="1" applyFont="1" applyBorder="1" applyAlignment="1" applyProtection="1"/>
    <xf numFmtId="49" fontId="9" fillId="0" borderId="259" xfId="1" applyNumberFormat="1" applyFont="1" applyBorder="1" applyAlignment="1" applyProtection="1">
      <alignment horizontal="center" vertical="center" shrinkToFit="1"/>
    </xf>
    <xf numFmtId="3" fontId="7" fillId="0" borderId="155" xfId="1" applyNumberFormat="1" applyFont="1" applyFill="1" applyBorder="1" applyAlignment="1" applyProtection="1">
      <alignment horizontal="right" vertical="center" shrinkToFit="1"/>
    </xf>
    <xf numFmtId="0" fontId="43" fillId="0" borderId="246" xfId="1" applyFont="1" applyBorder="1" applyAlignment="1" applyProtection="1"/>
    <xf numFmtId="0" fontId="9" fillId="0" borderId="25" xfId="1" applyFont="1" applyBorder="1" applyAlignment="1" applyProtection="1">
      <alignment vertical="center" justifyLastLine="1"/>
    </xf>
    <xf numFmtId="0" fontId="9" fillId="0" borderId="84" xfId="1" applyFont="1" applyBorder="1" applyAlignment="1" applyProtection="1">
      <alignment vertical="center" justifyLastLine="1"/>
    </xf>
    <xf numFmtId="49" fontId="9" fillId="0" borderId="25" xfId="1" applyNumberFormat="1" applyFont="1" applyBorder="1" applyAlignment="1" applyProtection="1">
      <alignment horizontal="center" vertical="center" shrinkToFit="1"/>
    </xf>
    <xf numFmtId="0" fontId="65" fillId="0" borderId="2" xfId="1" applyFont="1" applyBorder="1" applyAlignment="1" applyProtection="1">
      <alignment horizontal="center" vertical="distributed" wrapText="1" justifyLastLine="1"/>
    </xf>
    <xf numFmtId="3" fontId="7" fillId="0" borderId="156" xfId="1" applyNumberFormat="1" applyFont="1" applyFill="1" applyBorder="1" applyAlignment="1" applyProtection="1">
      <alignment horizontal="right" vertical="center" shrinkToFit="1"/>
    </xf>
    <xf numFmtId="3" fontId="65" fillId="0" borderId="156" xfId="1" applyNumberFormat="1" applyFont="1" applyFill="1" applyBorder="1" applyAlignment="1" applyProtection="1">
      <alignment horizontal="center" vertical="center" shrinkToFit="1"/>
    </xf>
    <xf numFmtId="180" fontId="7" fillId="0" borderId="156" xfId="2" applyNumberFormat="1" applyFont="1" applyFill="1" applyBorder="1" applyAlignment="1" applyProtection="1">
      <alignment horizontal="right" vertical="center" shrinkToFit="1"/>
    </xf>
    <xf numFmtId="0" fontId="3" fillId="0" borderId="246" xfId="1" applyBorder="1" applyAlignment="1" applyProtection="1"/>
    <xf numFmtId="0" fontId="9" fillId="0" borderId="74" xfId="1" applyFont="1" applyBorder="1" applyAlignment="1" applyProtection="1">
      <alignment horizontal="distributed" vertical="center" justifyLastLine="1"/>
    </xf>
    <xf numFmtId="49" fontId="9" fillId="0" borderId="16" xfId="1" applyNumberFormat="1" applyFont="1" applyBorder="1" applyAlignment="1" applyProtection="1">
      <alignment horizontal="center" vertical="center" shrinkToFit="1"/>
    </xf>
    <xf numFmtId="180" fontId="7" fillId="0" borderId="155" xfId="2" applyNumberFormat="1" applyFont="1" applyFill="1" applyBorder="1" applyAlignment="1" applyProtection="1">
      <alignment horizontal="right" vertical="center" shrinkToFit="1"/>
    </xf>
    <xf numFmtId="0" fontId="9" fillId="0" borderId="23" xfId="1" applyFont="1" applyBorder="1" applyAlignment="1" applyProtection="1">
      <alignment vertical="distributed" textRotation="255" wrapText="1" justifyLastLine="1"/>
    </xf>
    <xf numFmtId="49" fontId="9" fillId="0" borderId="23" xfId="1" applyNumberFormat="1" applyFont="1" applyBorder="1" applyAlignment="1" applyProtection="1">
      <alignment horizontal="center" vertical="center" shrinkToFit="1"/>
    </xf>
    <xf numFmtId="184" fontId="7" fillId="0" borderId="6" xfId="1" applyNumberFormat="1" applyFont="1" applyFill="1" applyBorder="1" applyAlignment="1" applyProtection="1">
      <alignment horizontal="right" vertical="center" shrinkToFit="1"/>
    </xf>
    <xf numFmtId="0" fontId="9" fillId="0" borderId="2" xfId="1" applyFont="1" applyBorder="1" applyAlignment="1" applyProtection="1">
      <alignment vertical="distributed" textRotation="255" wrapText="1" justifyLastLine="1"/>
    </xf>
    <xf numFmtId="49" fontId="9" fillId="0" borderId="3" xfId="1" applyNumberFormat="1" applyFont="1" applyBorder="1" applyAlignment="1" applyProtection="1">
      <alignment horizontal="center" vertical="center" shrinkToFit="1"/>
    </xf>
    <xf numFmtId="184" fontId="7" fillId="0" borderId="8" xfId="1" applyNumberFormat="1" applyFont="1" applyFill="1" applyBorder="1" applyAlignment="1" applyProtection="1">
      <alignment horizontal="right" vertical="center" shrinkToFit="1"/>
    </xf>
    <xf numFmtId="3" fontId="65" fillId="0" borderId="8" xfId="1" applyNumberFormat="1" applyFont="1" applyFill="1" applyBorder="1" applyAlignment="1" applyProtection="1">
      <alignment horizontal="center" vertical="center" shrinkToFit="1"/>
    </xf>
    <xf numFmtId="185" fontId="7" fillId="0" borderId="8" xfId="2" applyNumberFormat="1" applyFont="1" applyFill="1" applyBorder="1" applyAlignment="1" applyProtection="1">
      <alignment horizontal="right" vertical="center" shrinkToFit="1"/>
    </xf>
    <xf numFmtId="186" fontId="7" fillId="0" borderId="8" xfId="1" applyNumberFormat="1" applyFont="1" applyFill="1" applyBorder="1" applyAlignment="1" applyProtection="1">
      <alignment horizontal="right" vertical="center" shrinkToFit="1"/>
    </xf>
    <xf numFmtId="0" fontId="9" fillId="0" borderId="27" xfId="1" applyFont="1" applyBorder="1" applyAlignment="1" applyProtection="1">
      <alignment vertical="distributed" textRotation="255" wrapText="1" justifyLastLine="1"/>
    </xf>
    <xf numFmtId="0" fontId="9" fillId="0" borderId="28" xfId="1" applyFont="1" applyBorder="1" applyAlignment="1" applyProtection="1">
      <alignment horizontal="distributed" vertical="center" justifyLastLine="1"/>
    </xf>
    <xf numFmtId="49" fontId="9" fillId="0" borderId="28" xfId="1" applyNumberFormat="1" applyFont="1" applyBorder="1" applyAlignment="1" applyProtection="1">
      <alignment horizontal="center" vertical="center" shrinkToFit="1"/>
    </xf>
    <xf numFmtId="188" fontId="7" fillId="0" borderId="6" xfId="1" applyNumberFormat="1" applyFont="1" applyFill="1" applyBorder="1" applyAlignment="1" applyProtection="1">
      <alignment horizontal="right" vertical="center" shrinkToFit="1"/>
    </xf>
    <xf numFmtId="0" fontId="9" fillId="0" borderId="0" xfId="1" applyFont="1" applyBorder="1" applyAlignment="1" applyProtection="1">
      <alignment horizontal="center" vertical="distributed" textRotation="255" justifyLastLine="1"/>
    </xf>
    <xf numFmtId="0" fontId="9" fillId="0" borderId="28" xfId="1" applyFont="1" applyBorder="1" applyAlignment="1" applyProtection="1">
      <alignment horizontal="center" vertical="center" justifyLastLine="1"/>
    </xf>
    <xf numFmtId="49" fontId="9" fillId="0" borderId="0" xfId="1" applyNumberFormat="1" applyFont="1" applyBorder="1" applyAlignment="1" applyProtection="1">
      <alignment horizontal="center" vertical="center" shrinkToFit="1"/>
    </xf>
    <xf numFmtId="0" fontId="59" fillId="0" borderId="5" xfId="1" applyFont="1" applyBorder="1" applyAlignment="1" applyProtection="1">
      <alignment vertical="center"/>
    </xf>
    <xf numFmtId="0" fontId="9" fillId="0" borderId="0" xfId="1" applyFont="1" applyBorder="1" applyAlignment="1" applyProtection="1">
      <alignment horizontal="distributed" vertical="distributed" textRotation="255" justifyLastLine="1"/>
    </xf>
    <xf numFmtId="0" fontId="9" fillId="0" borderId="28" xfId="1" applyFont="1" applyBorder="1" applyAlignment="1" applyProtection="1">
      <alignment horizontal="distributed" vertical="distributed" textRotation="255" justifyLastLine="1"/>
    </xf>
    <xf numFmtId="0" fontId="59" fillId="0" borderId="106" xfId="1" applyFont="1" applyBorder="1" applyAlignment="1" applyProtection="1">
      <alignment vertical="center" shrinkToFit="1"/>
    </xf>
    <xf numFmtId="0" fontId="3" fillId="0" borderId="256" xfId="1" applyBorder="1" applyAlignment="1" applyProtection="1"/>
    <xf numFmtId="0" fontId="9" fillId="0" borderId="60" xfId="1" applyFont="1" applyBorder="1" applyAlignment="1" applyProtection="1">
      <alignment vertical="distributed" textRotation="255" justifyLastLine="1"/>
    </xf>
    <xf numFmtId="0" fontId="9" fillId="0" borderId="75" xfId="1" applyFont="1" applyFill="1" applyBorder="1" applyAlignment="1" applyProtection="1">
      <alignment vertical="center"/>
    </xf>
    <xf numFmtId="49" fontId="9" fillId="0" borderId="113" xfId="1" applyNumberFormat="1" applyFont="1" applyBorder="1" applyAlignment="1" applyProtection="1">
      <alignment horizontal="center" vertical="center" shrinkToFit="1"/>
    </xf>
    <xf numFmtId="0" fontId="36" fillId="0" borderId="0" xfId="1" applyFont="1" applyFill="1" applyBorder="1" applyAlignment="1" applyProtection="1">
      <alignment vertical="center" wrapText="1"/>
    </xf>
    <xf numFmtId="0" fontId="36" fillId="0" borderId="0" xfId="1" applyFont="1" applyFill="1" applyBorder="1" applyAlignment="1" applyProtection="1">
      <alignment horizontal="left" vertical="top"/>
    </xf>
    <xf numFmtId="0" fontId="66" fillId="0" borderId="0" xfId="1" applyFont="1" applyFill="1" applyBorder="1" applyAlignment="1" applyProtection="1">
      <alignment vertical="center" wrapText="1"/>
    </xf>
    <xf numFmtId="0" fontId="66" fillId="0" borderId="0" xfId="1" applyFont="1" applyFill="1" applyBorder="1" applyAlignment="1" applyProtection="1">
      <alignment horizontal="left" vertical="top"/>
    </xf>
    <xf numFmtId="0" fontId="85" fillId="0" borderId="0" xfId="1" applyFont="1" applyBorder="1" applyAlignment="1" applyProtection="1">
      <alignment vertical="center" justifyLastLine="1"/>
    </xf>
    <xf numFmtId="0" fontId="85" fillId="0" borderId="0" xfId="1" applyFont="1" applyBorder="1" applyAlignment="1" applyProtection="1">
      <alignment vertical="center"/>
    </xf>
    <xf numFmtId="0" fontId="9" fillId="0" borderId="0" xfId="1" applyFont="1" applyBorder="1" applyAlignment="1" applyProtection="1">
      <alignment vertical="center" wrapText="1" justifyLastLine="1"/>
    </xf>
    <xf numFmtId="0" fontId="9" fillId="0" borderId="0" xfId="1" applyFont="1" applyBorder="1" applyAlignment="1" applyProtection="1">
      <alignment vertical="center" justifyLastLine="1"/>
    </xf>
    <xf numFmtId="0" fontId="9" fillId="0" borderId="0" xfId="1" applyFont="1" applyBorder="1" applyAlignment="1" applyProtection="1">
      <alignment vertical="center" wrapText="1"/>
    </xf>
    <xf numFmtId="0" fontId="86" fillId="0" borderId="0" xfId="1" applyFont="1" applyBorder="1" applyAlignment="1" applyProtection="1">
      <alignment horizontal="right" vertical="center" wrapText="1"/>
    </xf>
    <xf numFmtId="0" fontId="3" fillId="0" borderId="0" xfId="1" applyFont="1" applyBorder="1" applyAlignment="1" applyProtection="1">
      <alignment vertical="top"/>
    </xf>
    <xf numFmtId="0" fontId="3" fillId="0" borderId="0" xfId="1" applyFont="1" applyBorder="1" applyAlignment="1" applyProtection="1">
      <alignment vertical="center" wrapText="1"/>
    </xf>
    <xf numFmtId="0" fontId="86" fillId="0" borderId="0" xfId="1" applyFont="1" applyBorder="1" applyAlignment="1" applyProtection="1">
      <alignment vertical="center" wrapText="1"/>
    </xf>
    <xf numFmtId="0" fontId="85" fillId="0" borderId="0" xfId="1" quotePrefix="1" applyFont="1" applyBorder="1" applyAlignment="1" applyProtection="1">
      <alignment vertical="center"/>
    </xf>
    <xf numFmtId="0" fontId="3" fillId="0" borderId="0" xfId="1" applyFont="1" applyBorder="1" applyAlignment="1" applyProtection="1">
      <alignment horizontal="center" vertical="top"/>
    </xf>
    <xf numFmtId="0" fontId="3" fillId="0" borderId="0" xfId="1" applyFont="1" applyBorder="1" applyAlignment="1" applyProtection="1">
      <alignment horizontal="distributed" vertical="center"/>
    </xf>
    <xf numFmtId="0" fontId="49" fillId="0" borderId="0" xfId="1" applyFont="1" applyBorder="1" applyAlignment="1" applyProtection="1">
      <alignment vertical="center" justifyLastLine="1"/>
    </xf>
    <xf numFmtId="0" fontId="49" fillId="0" borderId="0" xfId="1" applyFont="1" applyBorder="1" applyAlignment="1" applyProtection="1">
      <alignment vertical="center"/>
    </xf>
    <xf numFmtId="0" fontId="43" fillId="0" borderId="0" xfId="1" applyFont="1" applyBorder="1" applyAlignment="1" applyProtection="1">
      <alignment horizontal="left" vertical="center" wrapText="1"/>
    </xf>
    <xf numFmtId="0" fontId="43" fillId="0" borderId="0" xfId="1" applyFont="1" applyBorder="1" applyAlignment="1" applyProtection="1">
      <alignment vertical="center" wrapText="1"/>
    </xf>
    <xf numFmtId="0" fontId="85" fillId="0" borderId="0" xfId="1" applyFont="1" applyBorder="1" applyAlignment="1" applyProtection="1">
      <alignment horizontal="distributed" vertical="center" wrapText="1"/>
    </xf>
    <xf numFmtId="0" fontId="85" fillId="0" borderId="0" xfId="1" applyFont="1" applyBorder="1" applyAlignment="1" applyProtection="1">
      <alignment horizontal="distributed" vertical="center"/>
    </xf>
    <xf numFmtId="0" fontId="9" fillId="0" borderId="0" xfId="1" applyFont="1" applyBorder="1" applyAlignment="1" applyProtection="1">
      <alignment horizontal="distributed" vertical="center"/>
    </xf>
    <xf numFmtId="0" fontId="65" fillId="0" borderId="106" xfId="1" applyFont="1" applyBorder="1" applyAlignment="1" applyProtection="1">
      <alignment horizontal="center" vertical="center"/>
    </xf>
    <xf numFmtId="0" fontId="9" fillId="0" borderId="246" xfId="1" applyFont="1" applyFill="1" applyBorder="1" applyAlignment="1" applyProtection="1">
      <alignment horizontal="distributed" vertical="center" justifyLastLine="1"/>
    </xf>
    <xf numFmtId="0" fontId="77" fillId="0" borderId="0" xfId="1" applyFont="1" applyBorder="1" applyAlignment="1" applyProtection="1">
      <alignment horizontal="left" vertical="center" wrapText="1"/>
    </xf>
    <xf numFmtId="0" fontId="45" fillId="0" borderId="0" xfId="1" applyFont="1" applyBorder="1" applyAlignment="1" applyProtection="1">
      <alignment horizontal="left" vertical="center" wrapText="1"/>
    </xf>
    <xf numFmtId="0" fontId="65" fillId="0" borderId="6" xfId="1" applyFont="1" applyFill="1" applyBorder="1" applyAlignment="1" applyProtection="1">
      <alignment horizontal="center" vertical="center"/>
    </xf>
    <xf numFmtId="0" fontId="9" fillId="0" borderId="246" xfId="1" applyFont="1" applyBorder="1" applyAlignment="1" applyProtection="1">
      <alignment horizontal="distributed" vertical="center" wrapText="1" justifyLastLine="1"/>
    </xf>
    <xf numFmtId="0" fontId="65" fillId="0" borderId="6" xfId="1" applyFont="1" applyBorder="1" applyAlignment="1" applyProtection="1">
      <alignment horizontal="center" vertical="center" wrapText="1"/>
    </xf>
    <xf numFmtId="0" fontId="9" fillId="0" borderId="246" xfId="1" applyFont="1" applyBorder="1" applyAlignment="1" applyProtection="1">
      <alignment horizontal="distributed" vertical="center" justifyLastLine="1"/>
    </xf>
    <xf numFmtId="0" fontId="77" fillId="0" borderId="0" xfId="1" applyFont="1" applyBorder="1" applyAlignment="1" applyProtection="1">
      <alignment horizontal="left" vertical="center"/>
    </xf>
    <xf numFmtId="0" fontId="45" fillId="0" borderId="0" xfId="1" applyFont="1" applyBorder="1" applyAlignment="1" applyProtection="1">
      <alignment horizontal="left" vertical="center"/>
    </xf>
    <xf numFmtId="0" fontId="60" fillId="0" borderId="246" xfId="1" applyFont="1" applyBorder="1" applyAlignment="1" applyProtection="1">
      <alignment horizontal="distributed" vertical="center" justifyLastLine="1"/>
    </xf>
    <xf numFmtId="0" fontId="60" fillId="0" borderId="256" xfId="1" applyFont="1" applyBorder="1" applyAlignment="1" applyProtection="1">
      <alignment horizontal="distributed" vertical="center" justifyLastLine="1"/>
    </xf>
    <xf numFmtId="0" fontId="57" fillId="0" borderId="0" xfId="1" applyFont="1" applyBorder="1" applyAlignment="1" applyProtection="1">
      <alignment vertical="top"/>
    </xf>
    <xf numFmtId="0" fontId="25" fillId="0" borderId="246" xfId="1" applyFont="1" applyBorder="1" applyAlignment="1" applyProtection="1">
      <alignment horizontal="distributed" vertical="center" justifyLastLine="1"/>
    </xf>
    <xf numFmtId="0" fontId="3" fillId="0" borderId="3" xfId="1" applyFont="1" applyBorder="1" applyAlignment="1" applyProtection="1">
      <alignment horizontal="distributed" vertical="center" justifyLastLine="1"/>
    </xf>
    <xf numFmtId="0" fontId="3" fillId="0" borderId="246" xfId="1" applyFont="1" applyBorder="1" applyAlignment="1" applyProtection="1">
      <alignment horizontal="distributed" vertical="center" justifyLastLine="1"/>
    </xf>
    <xf numFmtId="0" fontId="87" fillId="0" borderId="0" xfId="1" applyFont="1" applyBorder="1" applyAlignment="1" applyProtection="1">
      <alignment horizontal="left" vertical="center" wrapText="1"/>
    </xf>
    <xf numFmtId="0" fontId="3" fillId="0" borderId="256" xfId="1" applyFont="1" applyBorder="1" applyAlignment="1" applyProtection="1">
      <alignment horizontal="distributed" vertical="center" wrapText="1" justifyLastLine="1"/>
    </xf>
    <xf numFmtId="0" fontId="3" fillId="0" borderId="60" xfId="1" applyFont="1" applyBorder="1" applyAlignment="1" applyProtection="1">
      <alignment horizontal="distributed" vertical="center" justifyLastLine="1"/>
    </xf>
    <xf numFmtId="0" fontId="25" fillId="0" borderId="0" xfId="1" applyFont="1" applyBorder="1" applyAlignment="1" applyProtection="1">
      <alignment horizontal="distributed" vertical="center" justifyLastLine="1"/>
    </xf>
    <xf numFmtId="0" fontId="88" fillId="0" borderId="0" xfId="1" applyFont="1" applyFill="1" applyBorder="1" applyAlignment="1" applyProtection="1">
      <alignment horizontal="left" vertical="center"/>
    </xf>
    <xf numFmtId="0" fontId="65" fillId="0" borderId="6" xfId="1" applyFont="1" applyFill="1" applyBorder="1" applyAlignment="1" applyProtection="1">
      <alignment vertical="center" shrinkToFit="1"/>
    </xf>
    <xf numFmtId="0" fontId="33" fillId="0" borderId="0" xfId="1" applyFont="1" applyBorder="1" applyAlignment="1" applyProtection="1">
      <alignment horizontal="left" vertical="center"/>
    </xf>
    <xf numFmtId="0" fontId="34" fillId="0" borderId="0" xfId="1" applyFont="1" applyBorder="1" applyAlignment="1" applyProtection="1">
      <alignment horizontal="left" vertical="center"/>
    </xf>
    <xf numFmtId="0" fontId="71" fillId="0" borderId="0" xfId="1" applyFont="1" applyBorder="1" applyAlignment="1" applyProtection="1">
      <alignment horizontal="left" vertical="center" wrapText="1"/>
    </xf>
    <xf numFmtId="0" fontId="89" fillId="0" borderId="0" xfId="1" applyFont="1" applyBorder="1" applyAlignment="1" applyProtection="1">
      <alignment horizontal="left" vertical="center" wrapText="1"/>
    </xf>
    <xf numFmtId="3" fontId="7" fillId="3" borderId="53" xfId="1" applyNumberFormat="1" applyFont="1" applyFill="1" applyBorder="1" applyAlignment="1" applyProtection="1">
      <alignment horizontal="right" vertical="center" shrinkToFit="1"/>
      <protection locked="0"/>
    </xf>
    <xf numFmtId="3" fontId="7" fillId="3" borderId="287" xfId="1" applyNumberFormat="1" applyFont="1" applyFill="1" applyBorder="1" applyAlignment="1" applyProtection="1">
      <alignment horizontal="right" vertical="center" shrinkToFit="1"/>
      <protection locked="0"/>
    </xf>
    <xf numFmtId="3" fontId="7" fillId="3" borderId="392" xfId="1" applyNumberFormat="1" applyFont="1" applyFill="1" applyBorder="1" applyAlignment="1" applyProtection="1">
      <alignment vertical="center" shrinkToFit="1"/>
      <protection locked="0"/>
    </xf>
    <xf numFmtId="3" fontId="7" fillId="3" borderId="110" xfId="1" applyNumberFormat="1" applyFont="1" applyFill="1" applyBorder="1" applyAlignment="1" applyProtection="1">
      <alignment horizontal="right" vertical="center" shrinkToFit="1"/>
      <protection locked="0"/>
    </xf>
    <xf numFmtId="3" fontId="7" fillId="3" borderId="111" xfId="1" applyNumberFormat="1" applyFont="1" applyFill="1" applyBorder="1" applyAlignment="1" applyProtection="1">
      <alignment vertical="center" shrinkToFit="1"/>
      <protection locked="0"/>
    </xf>
    <xf numFmtId="3" fontId="7" fillId="3" borderId="393" xfId="1" applyNumberFormat="1" applyFont="1" applyFill="1" applyBorder="1" applyAlignment="1" applyProtection="1">
      <alignment horizontal="right" vertical="center" shrinkToFit="1"/>
      <protection locked="0"/>
    </xf>
    <xf numFmtId="3" fontId="7" fillId="3" borderId="394" xfId="1" applyNumberFormat="1" applyFont="1" applyFill="1" applyBorder="1" applyAlignment="1" applyProtection="1">
      <alignment vertical="center" shrinkToFit="1"/>
      <protection locked="0"/>
    </xf>
    <xf numFmtId="0" fontId="49" fillId="0" borderId="0" xfId="1" applyFont="1" applyBorder="1" applyAlignment="1" applyProtection="1">
      <alignment vertical="distributed" textRotation="255" justifyLastLine="1"/>
    </xf>
    <xf numFmtId="0" fontId="6" fillId="0" borderId="0" xfId="1" applyFont="1" applyBorder="1" applyAlignment="1" applyProtection="1">
      <alignment horizontal="center" vertical="top"/>
    </xf>
    <xf numFmtId="0" fontId="24" fillId="0" borderId="0" xfId="1" applyFont="1" applyBorder="1" applyAlignment="1" applyProtection="1">
      <alignment vertical="center" wrapText="1"/>
    </xf>
    <xf numFmtId="0" fontId="90" fillId="0" borderId="0" xfId="1" applyFont="1" applyBorder="1" applyAlignment="1" applyProtection="1">
      <alignment horizontal="center" vertical="top"/>
    </xf>
    <xf numFmtId="0" fontId="24" fillId="0" borderId="0" xfId="1" applyFont="1" applyBorder="1" applyAlignment="1" applyProtection="1">
      <alignment horizontal="left" vertical="center" wrapText="1"/>
    </xf>
    <xf numFmtId="0" fontId="26" fillId="0" borderId="0" xfId="1" applyFont="1" applyBorder="1" applyAlignment="1" applyProtection="1">
      <alignment horizontal="left" vertical="center"/>
    </xf>
    <xf numFmtId="0" fontId="73" fillId="0" borderId="0" xfId="1" applyFont="1" applyBorder="1" applyAlignment="1" applyProtection="1">
      <alignment horizontal="left" vertical="center"/>
    </xf>
    <xf numFmtId="0" fontId="65" fillId="0" borderId="28" xfId="1" applyFont="1" applyFill="1" applyBorder="1" applyAlignment="1" applyProtection="1">
      <alignment horizontal="center" vertical="center" shrinkToFit="1"/>
    </xf>
    <xf numFmtId="0" fontId="9" fillId="0" borderId="246" xfId="1" applyFont="1" applyBorder="1" applyAlignment="1" applyProtection="1">
      <alignment horizontal="distributed" vertical="center" indent="1" shrinkToFit="1"/>
    </xf>
    <xf numFmtId="3" fontId="7" fillId="4" borderId="374" xfId="1" applyNumberFormat="1" applyFont="1" applyFill="1" applyBorder="1" applyAlignment="1" applyProtection="1">
      <alignment horizontal="right" vertical="center" shrinkToFit="1"/>
      <protection locked="0"/>
    </xf>
    <xf numFmtId="0" fontId="3" fillId="0" borderId="6" xfId="1" applyFill="1" applyBorder="1" applyAlignment="1" applyProtection="1">
      <alignment horizontal="center" vertical="center"/>
    </xf>
    <xf numFmtId="0" fontId="9" fillId="0" borderId="246" xfId="1" applyFont="1" applyBorder="1" applyAlignment="1" applyProtection="1">
      <alignment horizontal="distributed" vertical="center" indent="1"/>
    </xf>
    <xf numFmtId="3" fontId="7" fillId="4" borderId="398" xfId="1" applyNumberFormat="1" applyFont="1" applyFill="1" applyBorder="1" applyAlignment="1" applyProtection="1">
      <alignment horizontal="right" vertical="center" shrinkToFit="1"/>
      <protection locked="0"/>
    </xf>
    <xf numFmtId="0" fontId="65" fillId="0" borderId="6" xfId="1" applyFont="1" applyFill="1" applyBorder="1" applyAlignment="1" applyProtection="1">
      <alignment horizontal="center" vertical="center" shrinkToFit="1"/>
    </xf>
    <xf numFmtId="0" fontId="3" fillId="0" borderId="400" xfId="1" applyFont="1" applyFill="1" applyBorder="1" applyAlignment="1" applyProtection="1">
      <alignment horizontal="distributed" vertical="center" indent="1"/>
    </xf>
    <xf numFmtId="0" fontId="71" fillId="0" borderId="0" xfId="1" applyFont="1" applyFill="1" applyBorder="1" applyAlignment="1" applyProtection="1">
      <alignment horizontal="left" vertical="center" wrapText="1"/>
    </xf>
    <xf numFmtId="0" fontId="89" fillId="0" borderId="0" xfId="1" applyFont="1" applyFill="1" applyBorder="1" applyAlignment="1" applyProtection="1">
      <alignment horizontal="left" vertical="center" wrapText="1"/>
    </xf>
    <xf numFmtId="3" fontId="7" fillId="3" borderId="403" xfId="1" applyNumberFormat="1" applyFont="1" applyFill="1" applyBorder="1" applyAlignment="1" applyProtection="1">
      <alignment horizontal="right" vertical="center" shrinkToFit="1"/>
      <protection locked="0"/>
    </xf>
    <xf numFmtId="0" fontId="3" fillId="0" borderId="39" xfId="1" applyBorder="1" applyAlignment="1" applyProtection="1"/>
    <xf numFmtId="0" fontId="9" fillId="0" borderId="28" xfId="1" applyFont="1" applyFill="1" applyBorder="1" applyAlignment="1" applyProtection="1">
      <alignment horizontal="center" vertical="center" justifyLastLine="1"/>
    </xf>
    <xf numFmtId="49" fontId="9" fillId="4" borderId="27" xfId="1" applyNumberFormat="1" applyFont="1" applyFill="1" applyBorder="1" applyAlignment="1" applyProtection="1">
      <alignment horizontal="center" vertical="center" wrapText="1" justifyLastLine="1"/>
      <protection locked="0"/>
    </xf>
    <xf numFmtId="3" fontId="7" fillId="4" borderId="25" xfId="1" applyNumberFormat="1" applyFont="1" applyFill="1" applyBorder="1" applyAlignment="1" applyProtection="1">
      <alignment horizontal="right" vertical="center" shrinkToFit="1"/>
      <protection locked="0"/>
    </xf>
    <xf numFmtId="186" fontId="7" fillId="0" borderId="6" xfId="1" applyNumberFormat="1" applyFont="1" applyFill="1" applyBorder="1" applyAlignment="1" applyProtection="1">
      <alignment vertical="center" shrinkToFit="1"/>
    </xf>
    <xf numFmtId="0" fontId="9" fillId="0" borderId="3" xfId="1" applyFont="1" applyFill="1" applyBorder="1" applyAlignment="1" applyProtection="1">
      <alignment horizontal="center" vertical="center" justifyLastLine="1"/>
    </xf>
    <xf numFmtId="0" fontId="9" fillId="0" borderId="256" xfId="1" applyFont="1" applyFill="1" applyBorder="1" applyAlignment="1" applyProtection="1">
      <alignment vertical="center" justifyLastLine="1"/>
    </xf>
    <xf numFmtId="3" fontId="7" fillId="4" borderId="59" xfId="1" applyNumberFormat="1" applyFont="1" applyFill="1" applyBorder="1" applyAlignment="1" applyProtection="1">
      <alignment horizontal="right" vertical="center" shrinkToFit="1"/>
      <protection locked="0"/>
    </xf>
    <xf numFmtId="3" fontId="7" fillId="4" borderId="408" xfId="1" applyNumberFormat="1" applyFont="1" applyFill="1" applyBorder="1" applyAlignment="1" applyProtection="1">
      <alignment horizontal="right" vertical="center" shrinkToFit="1"/>
      <protection locked="0"/>
    </xf>
    <xf numFmtId="0" fontId="25" fillId="0" borderId="0" xfId="1" applyFont="1" applyBorder="1" applyAlignment="1" applyProtection="1">
      <alignment horizontal="distributed" vertical="center"/>
    </xf>
    <xf numFmtId="0" fontId="91" fillId="0" borderId="0" xfId="1" applyFont="1" applyBorder="1" applyAlignment="1" applyProtection="1">
      <alignment horizontal="left" vertical="center" wrapText="1"/>
    </xf>
    <xf numFmtId="0" fontId="65" fillId="0" borderId="0" xfId="1" applyFont="1" applyFill="1" applyBorder="1" applyAlignment="1" applyProtection="1"/>
    <xf numFmtId="0" fontId="33" fillId="0" borderId="0" xfId="1" applyFont="1" applyFill="1" applyBorder="1" applyAlignment="1" applyProtection="1">
      <alignment vertical="center" shrinkToFit="1"/>
    </xf>
    <xf numFmtId="0" fontId="3" fillId="0" borderId="0" xfId="1" applyFill="1" applyBorder="1" applyAlignment="1" applyProtection="1">
      <alignment vertical="center" shrinkToFit="1"/>
    </xf>
    <xf numFmtId="0" fontId="33" fillId="0" borderId="0" xfId="1" applyFont="1" applyFill="1" applyBorder="1" applyAlignment="1" applyProtection="1">
      <alignment horizontal="center" vertical="center" shrinkToFit="1"/>
    </xf>
    <xf numFmtId="0" fontId="9" fillId="0" borderId="0" xfId="1" applyFont="1" applyFill="1" applyBorder="1" applyAlignment="1" applyProtection="1">
      <alignment vertical="center" shrinkToFit="1"/>
    </xf>
    <xf numFmtId="0" fontId="64" fillId="0" borderId="0" xfId="1" applyFont="1" applyFill="1" applyBorder="1" applyProtection="1"/>
    <xf numFmtId="0" fontId="94" fillId="0" borderId="4" xfId="1" applyFont="1" applyBorder="1" applyAlignment="1" applyProtection="1">
      <alignment vertical="center" wrapText="1"/>
    </xf>
    <xf numFmtId="0" fontId="33" fillId="0" borderId="4" xfId="1" applyFont="1" applyFill="1" applyBorder="1" applyAlignment="1" applyProtection="1"/>
    <xf numFmtId="0" fontId="9" fillId="0" borderId="25" xfId="4" applyFont="1" applyFill="1" applyBorder="1" applyAlignment="1" applyProtection="1">
      <alignment horizontal="center" vertical="center" wrapText="1"/>
    </xf>
    <xf numFmtId="0" fontId="9" fillId="0" borderId="25" xfId="4" applyFont="1" applyFill="1" applyBorder="1" applyAlignment="1" applyProtection="1">
      <alignment horizontal="center" vertical="center" wrapText="1" justifyLastLine="1"/>
    </xf>
    <xf numFmtId="0" fontId="9" fillId="0" borderId="25" xfId="1" applyFont="1" applyFill="1" applyBorder="1" applyAlignment="1" applyProtection="1">
      <alignment vertical="center" wrapText="1"/>
    </xf>
    <xf numFmtId="0" fontId="9" fillId="0" borderId="25" xfId="4" applyFont="1" applyFill="1" applyBorder="1" applyAlignment="1" applyProtection="1">
      <alignment vertical="center" wrapText="1" justifyLastLine="1"/>
    </xf>
    <xf numFmtId="0" fontId="60" fillId="0" borderId="25" xfId="4" applyFont="1" applyFill="1" applyBorder="1" applyAlignment="1" applyProtection="1">
      <alignment vertical="top" wrapText="1"/>
    </xf>
    <xf numFmtId="0" fontId="60" fillId="0" borderId="25" xfId="4" applyFont="1" applyFill="1" applyBorder="1" applyAlignment="1" applyProtection="1">
      <alignment vertical="center" wrapText="1"/>
    </xf>
    <xf numFmtId="180" fontId="7" fillId="0" borderId="6" xfId="2" applyNumberFormat="1" applyFont="1" applyFill="1" applyBorder="1" applyAlignment="1" applyProtection="1">
      <alignment vertical="center" shrinkToFit="1"/>
    </xf>
    <xf numFmtId="0" fontId="65" fillId="0" borderId="106" xfId="1" applyFont="1" applyFill="1" applyBorder="1" applyAlignment="1" applyProtection="1">
      <alignment vertical="center" shrinkToFit="1"/>
    </xf>
    <xf numFmtId="180" fontId="7" fillId="0" borderId="156" xfId="2" applyNumberFormat="1" applyFont="1" applyFill="1" applyBorder="1" applyAlignment="1" applyProtection="1">
      <alignment vertical="center" shrinkToFit="1"/>
    </xf>
    <xf numFmtId="0" fontId="33" fillId="0" borderId="411" xfId="1" applyFont="1" applyFill="1" applyBorder="1" applyAlignment="1" applyProtection="1"/>
    <xf numFmtId="0" fontId="33" fillId="0" borderId="8" xfId="1" applyFont="1" applyFill="1" applyBorder="1" applyAlignment="1" applyProtection="1">
      <alignment horizontal="center" vertical="center" shrinkToFit="1"/>
    </xf>
    <xf numFmtId="180" fontId="7" fillId="0" borderId="7" xfId="2" applyNumberFormat="1" applyFont="1" applyFill="1" applyBorder="1" applyAlignment="1" applyProtection="1">
      <alignment horizontal="right" vertical="center" shrinkToFit="1"/>
    </xf>
    <xf numFmtId="180" fontId="7" fillId="0" borderId="412" xfId="2" applyNumberFormat="1" applyFont="1" applyFill="1" applyBorder="1" applyAlignment="1" applyProtection="1">
      <alignment horizontal="right" vertical="center" shrinkToFit="1"/>
    </xf>
    <xf numFmtId="0" fontId="9" fillId="0" borderId="39" xfId="4" applyNumberFormat="1" applyFont="1" applyFill="1" applyBorder="1" applyAlignment="1" applyProtection="1">
      <alignment horizontal="center" vertical="center"/>
    </xf>
    <xf numFmtId="49" fontId="9" fillId="4" borderId="236" xfId="4" applyNumberFormat="1" applyFont="1" applyFill="1" applyBorder="1" applyAlignment="1" applyProtection="1">
      <alignment horizontal="center" vertical="center" wrapText="1"/>
      <protection locked="0"/>
    </xf>
    <xf numFmtId="0" fontId="9" fillId="3" borderId="413" xfId="1" applyFont="1" applyFill="1" applyBorder="1" applyAlignment="1" applyProtection="1">
      <alignment horizontal="center" vertical="center" shrinkToFit="1"/>
      <protection locked="0"/>
    </xf>
    <xf numFmtId="0" fontId="9" fillId="3" borderId="414" xfId="4" applyFont="1" applyFill="1" applyBorder="1" applyAlignment="1" applyProtection="1">
      <alignment horizontal="center" vertical="center" shrinkToFit="1"/>
      <protection locked="0"/>
    </xf>
    <xf numFmtId="189" fontId="7" fillId="3" borderId="183" xfId="4" applyNumberFormat="1" applyFont="1" applyFill="1" applyBorder="1" applyAlignment="1" applyProtection="1">
      <alignment horizontal="center" vertical="center" shrinkToFit="1"/>
      <protection locked="0"/>
    </xf>
    <xf numFmtId="0" fontId="7" fillId="3" borderId="183" xfId="4" applyNumberFormat="1" applyFont="1" applyFill="1" applyBorder="1" applyAlignment="1" applyProtection="1">
      <alignment horizontal="center" vertical="center" shrinkToFit="1"/>
      <protection locked="0"/>
    </xf>
    <xf numFmtId="177" fontId="7" fillId="3" borderId="183" xfId="4" applyNumberFormat="1" applyFont="1" applyFill="1" applyBorder="1" applyAlignment="1" applyProtection="1">
      <alignment horizontal="center" vertical="center" shrinkToFit="1"/>
      <protection locked="0"/>
    </xf>
    <xf numFmtId="3" fontId="7" fillId="3" borderId="416" xfId="4" applyNumberFormat="1" applyFont="1" applyFill="1" applyBorder="1" applyAlignment="1" applyProtection="1">
      <alignment horizontal="right" vertical="center" shrinkToFit="1"/>
      <protection locked="0"/>
    </xf>
    <xf numFmtId="3" fontId="7" fillId="3" borderId="416" xfId="1" applyNumberFormat="1" applyFont="1" applyFill="1" applyBorder="1" applyAlignment="1" applyProtection="1">
      <alignment horizontal="right" vertical="center" shrinkToFit="1"/>
      <protection locked="0"/>
    </xf>
    <xf numFmtId="3" fontId="7" fillId="3" borderId="183" xfId="1" applyNumberFormat="1" applyFont="1" applyFill="1" applyBorder="1" applyAlignment="1" applyProtection="1">
      <alignment horizontal="right" vertical="center" shrinkToFit="1"/>
      <protection locked="0"/>
    </xf>
    <xf numFmtId="0" fontId="9" fillId="3" borderId="417" xfId="4" applyFont="1" applyFill="1" applyBorder="1" applyAlignment="1" applyProtection="1">
      <alignment horizontal="center" vertical="center" shrinkToFit="1"/>
      <protection locked="0"/>
    </xf>
    <xf numFmtId="0" fontId="60" fillId="3" borderId="414" xfId="4" applyFont="1" applyFill="1" applyBorder="1" applyAlignment="1" applyProtection="1">
      <alignment horizontal="center" vertical="center" shrinkToFit="1"/>
      <protection locked="0"/>
    </xf>
    <xf numFmtId="0" fontId="95" fillId="0" borderId="287" xfId="1" applyNumberFormat="1" applyFont="1" applyBorder="1" applyAlignment="1" applyProtection="1">
      <alignment horizontal="center" vertical="center" shrinkToFit="1"/>
    </xf>
    <xf numFmtId="3" fontId="95" fillId="0" borderId="0" xfId="1" applyNumberFormat="1" applyFont="1" applyBorder="1" applyAlignment="1" applyProtection="1">
      <alignment horizontal="center" vertical="center" shrinkToFit="1"/>
    </xf>
    <xf numFmtId="180" fontId="7" fillId="0" borderId="106" xfId="1" applyNumberFormat="1" applyFont="1" applyFill="1" applyBorder="1" applyAlignment="1" applyProtection="1">
      <alignment horizontal="center" vertical="center" shrinkToFit="1"/>
    </xf>
    <xf numFmtId="190" fontId="7" fillId="0" borderId="106" xfId="1" applyNumberFormat="1" applyFont="1" applyFill="1" applyBorder="1" applyAlignment="1" applyProtection="1">
      <alignment horizontal="center" vertical="center" shrinkToFit="1"/>
    </xf>
    <xf numFmtId="180" fontId="7" fillId="0" borderId="106" xfId="2" applyNumberFormat="1" applyFont="1" applyFill="1" applyBorder="1" applyAlignment="1" applyProtection="1">
      <alignment horizontal="right" vertical="center" shrinkToFit="1"/>
    </xf>
    <xf numFmtId="38" fontId="7" fillId="0" borderId="307" xfId="2" applyFont="1" applyFill="1" applyBorder="1" applyAlignment="1" applyProtection="1">
      <alignment horizontal="right" vertical="center" shrinkToFit="1"/>
    </xf>
    <xf numFmtId="0" fontId="9" fillId="0" borderId="73" xfId="4" applyNumberFormat="1" applyFont="1" applyFill="1" applyBorder="1" applyAlignment="1" applyProtection="1">
      <alignment horizontal="center" vertical="center"/>
    </xf>
    <xf numFmtId="49" fontId="9" fillId="4" borderId="27" xfId="4" applyNumberFormat="1" applyFont="1" applyFill="1" applyBorder="1" applyAlignment="1" applyProtection="1">
      <alignment horizontal="center" vertical="center" wrapText="1"/>
      <protection locked="0"/>
    </xf>
    <xf numFmtId="0" fontId="9" fillId="3" borderId="420" xfId="1" applyFont="1" applyFill="1" applyBorder="1" applyAlignment="1" applyProtection="1">
      <alignment horizontal="center" vertical="center" shrinkToFit="1"/>
      <protection locked="0"/>
    </xf>
    <xf numFmtId="0" fontId="9" fillId="3" borderId="421" xfId="4" applyFont="1" applyFill="1" applyBorder="1" applyAlignment="1" applyProtection="1">
      <alignment horizontal="center" vertical="center" shrinkToFit="1"/>
      <protection locked="0"/>
    </xf>
    <xf numFmtId="189" fontId="7" fillId="3" borderId="2" xfId="4" applyNumberFormat="1" applyFont="1" applyFill="1" applyBorder="1" applyAlignment="1" applyProtection="1">
      <alignment horizontal="center" vertical="center" shrinkToFit="1"/>
      <protection locked="0"/>
    </xf>
    <xf numFmtId="0" fontId="7" fillId="3" borderId="2" xfId="4" applyNumberFormat="1" applyFont="1" applyFill="1" applyBorder="1" applyAlignment="1" applyProtection="1">
      <alignment horizontal="center" vertical="center" shrinkToFit="1"/>
      <protection locked="0"/>
    </xf>
    <xf numFmtId="177" fontId="96" fillId="3" borderId="2" xfId="4" applyNumberFormat="1" applyFont="1" applyFill="1" applyBorder="1" applyAlignment="1" applyProtection="1">
      <alignment horizontal="center" vertical="center" shrinkToFit="1"/>
      <protection locked="0"/>
    </xf>
    <xf numFmtId="3" fontId="7" fillId="3" borderId="2" xfId="4" applyNumberFormat="1" applyFont="1" applyFill="1" applyBorder="1" applyAlignment="1" applyProtection="1">
      <alignment horizontal="right" vertical="center" shrinkToFit="1"/>
      <protection locked="0"/>
    </xf>
    <xf numFmtId="0" fontId="9" fillId="3" borderId="422" xfId="4" applyFont="1" applyFill="1" applyBorder="1" applyAlignment="1" applyProtection="1">
      <alignment horizontal="center" vertical="center" shrinkToFit="1"/>
      <protection locked="0"/>
    </xf>
    <xf numFmtId="0" fontId="60" fillId="3" borderId="6" xfId="4" applyFont="1" applyFill="1" applyBorder="1" applyAlignment="1" applyProtection="1">
      <alignment horizontal="center" vertical="center" shrinkToFit="1"/>
      <protection locked="0"/>
    </xf>
    <xf numFmtId="180" fontId="7" fillId="0" borderId="6" xfId="1" applyNumberFormat="1" applyFont="1" applyFill="1" applyBorder="1" applyAlignment="1" applyProtection="1">
      <alignment horizontal="center" vertical="center" shrinkToFit="1"/>
    </xf>
    <xf numFmtId="190" fontId="7" fillId="0" borderId="6" xfId="1" applyNumberFormat="1" applyFont="1" applyFill="1" applyBorder="1" applyAlignment="1" applyProtection="1">
      <alignment horizontal="center" vertical="center" shrinkToFit="1"/>
    </xf>
    <xf numFmtId="0" fontId="78" fillId="0" borderId="0" xfId="1" applyFont="1" applyFill="1" applyBorder="1" applyAlignment="1" applyProtection="1"/>
    <xf numFmtId="49" fontId="9" fillId="4" borderId="2" xfId="4" applyNumberFormat="1" applyFont="1" applyFill="1" applyBorder="1" applyAlignment="1" applyProtection="1">
      <alignment horizontal="center" vertical="center" wrapText="1"/>
      <protection locked="0"/>
    </xf>
    <xf numFmtId="0" fontId="9" fillId="0" borderId="109" xfId="4" applyNumberFormat="1" applyFont="1" applyFill="1" applyBorder="1" applyAlignment="1" applyProtection="1">
      <alignment horizontal="center" vertical="center"/>
    </xf>
    <xf numFmtId="49" fontId="9" fillId="4" borderId="16" xfId="4" applyNumberFormat="1" applyFont="1" applyFill="1" applyBorder="1" applyAlignment="1" applyProtection="1">
      <alignment horizontal="center" vertical="center" wrapText="1"/>
      <protection locked="0"/>
    </xf>
    <xf numFmtId="0" fontId="9" fillId="3" borderId="424" xfId="1" applyFont="1" applyFill="1" applyBorder="1" applyAlignment="1" applyProtection="1">
      <alignment horizontal="center" vertical="center" shrinkToFit="1"/>
      <protection locked="0"/>
    </xf>
    <xf numFmtId="0" fontId="9" fillId="3" borderId="425" xfId="4" applyFont="1" applyFill="1" applyBorder="1" applyAlignment="1" applyProtection="1">
      <alignment horizontal="center" vertical="center" shrinkToFit="1"/>
      <protection locked="0"/>
    </xf>
    <xf numFmtId="189" fontId="7" fillId="3" borderId="16" xfId="4" applyNumberFormat="1" applyFont="1" applyFill="1" applyBorder="1" applyAlignment="1" applyProtection="1">
      <alignment horizontal="center" vertical="center" shrinkToFit="1"/>
      <protection locked="0"/>
    </xf>
    <xf numFmtId="0" fontId="7" fillId="3" borderId="16" xfId="4" applyNumberFormat="1" applyFont="1" applyFill="1" applyBorder="1" applyAlignment="1" applyProtection="1">
      <alignment horizontal="center" vertical="center" shrinkToFit="1"/>
      <protection locked="0"/>
    </xf>
    <xf numFmtId="177" fontId="96" fillId="3" borderId="16" xfId="4" applyNumberFormat="1" applyFont="1" applyFill="1" applyBorder="1" applyAlignment="1" applyProtection="1">
      <alignment horizontal="center" vertical="center" shrinkToFit="1"/>
      <protection locked="0"/>
    </xf>
    <xf numFmtId="3" fontId="7" fillId="3" borderId="16" xfId="4" applyNumberFormat="1" applyFont="1" applyFill="1" applyBorder="1" applyAlignment="1" applyProtection="1">
      <alignment horizontal="right" vertical="center" shrinkToFit="1"/>
      <protection locked="0"/>
    </xf>
    <xf numFmtId="0" fontId="9" fillId="3" borderId="426" xfId="4" applyFont="1" applyFill="1" applyBorder="1" applyAlignment="1" applyProtection="1">
      <alignment horizontal="center" vertical="center" shrinkToFit="1"/>
      <protection locked="0"/>
    </xf>
    <xf numFmtId="0" fontId="60" fillId="3" borderId="1" xfId="4" applyFont="1" applyFill="1" applyBorder="1" applyAlignment="1" applyProtection="1">
      <alignment horizontal="center" vertical="center" shrinkToFit="1"/>
      <protection locked="0"/>
    </xf>
    <xf numFmtId="3" fontId="7" fillId="3" borderId="200" xfId="4" applyNumberFormat="1" applyFont="1" applyFill="1" applyBorder="1" applyAlignment="1" applyProtection="1">
      <alignment horizontal="right" vertical="center" shrinkToFit="1"/>
      <protection locked="0"/>
    </xf>
    <xf numFmtId="0" fontId="3" fillId="0" borderId="18" xfId="1" applyFill="1" applyBorder="1" applyAlignment="1" applyProtection="1"/>
    <xf numFmtId="0" fontId="3" fillId="0" borderId="203" xfId="1" applyFill="1" applyBorder="1" applyAlignment="1" applyProtection="1"/>
    <xf numFmtId="0" fontId="3" fillId="0" borderId="428" xfId="1" applyFill="1" applyBorder="1" applyAlignment="1" applyProtection="1"/>
    <xf numFmtId="0" fontId="3" fillId="0" borderId="0" xfId="1" applyFont="1" applyFill="1" applyBorder="1" applyAlignment="1" applyProtection="1">
      <alignment vertical="top"/>
    </xf>
    <xf numFmtId="0" fontId="9" fillId="0" borderId="5" xfId="4" applyFont="1" applyFill="1" applyBorder="1" applyAlignment="1" applyProtection="1">
      <alignment horizontal="center" vertical="center" wrapText="1"/>
    </xf>
    <xf numFmtId="0" fontId="9" fillId="0" borderId="0" xfId="4" applyFont="1" applyFill="1" applyBorder="1" applyAlignment="1" applyProtection="1">
      <alignment horizontal="center" vertical="top" wrapText="1"/>
    </xf>
    <xf numFmtId="0" fontId="9" fillId="0" borderId="25" xfId="4" applyFont="1" applyFill="1" applyBorder="1" applyAlignment="1" applyProtection="1">
      <alignment horizontal="center" vertical="top" wrapText="1"/>
    </xf>
    <xf numFmtId="0" fontId="9" fillId="0" borderId="5" xfId="4" applyFont="1" applyFill="1" applyBorder="1" applyAlignment="1" applyProtection="1">
      <alignment vertical="center" wrapText="1"/>
    </xf>
    <xf numFmtId="0" fontId="60" fillId="0" borderId="0" xfId="4" applyFont="1" applyFill="1" applyBorder="1" applyAlignment="1" applyProtection="1">
      <alignment vertical="top" wrapText="1"/>
    </xf>
    <xf numFmtId="0" fontId="60" fillId="0" borderId="25" xfId="4" applyFont="1" applyFill="1" applyBorder="1" applyAlignment="1" applyProtection="1">
      <alignment vertical="center" wrapText="1" justifyLastLine="1"/>
    </xf>
    <xf numFmtId="0" fontId="9" fillId="0" borderId="144" xfId="4" applyFont="1" applyFill="1" applyBorder="1" applyAlignment="1" applyProtection="1">
      <alignment vertical="center" wrapText="1"/>
    </xf>
    <xf numFmtId="0" fontId="9" fillId="0" borderId="66" xfId="4" applyFont="1" applyFill="1" applyBorder="1" applyAlignment="1" applyProtection="1">
      <alignment vertical="center" wrapText="1"/>
    </xf>
    <xf numFmtId="0" fontId="9" fillId="0" borderId="34" xfId="4" applyFont="1" applyFill="1" applyBorder="1" applyAlignment="1" applyProtection="1">
      <alignment vertical="center" wrapText="1"/>
    </xf>
    <xf numFmtId="0" fontId="9" fillId="0" borderId="51" xfId="1" applyFont="1" applyBorder="1" applyAlignment="1" applyProtection="1">
      <alignment vertical="center" wrapText="1"/>
    </xf>
    <xf numFmtId="0" fontId="33" fillId="0" borderId="411" xfId="1" applyFont="1" applyBorder="1" applyAlignment="1" applyProtection="1"/>
    <xf numFmtId="0" fontId="33" fillId="0" borderId="8" xfId="1" applyFont="1" applyFill="1" applyBorder="1" applyAlignment="1" applyProtection="1">
      <alignment horizontal="center" vertical="center" wrapText="1" shrinkToFit="1"/>
    </xf>
    <xf numFmtId="180" fontId="7" fillId="0" borderId="8" xfId="2" applyNumberFormat="1" applyFont="1" applyFill="1" applyBorder="1" applyAlignment="1" applyProtection="1">
      <alignment horizontal="right" vertical="center" shrinkToFit="1"/>
    </xf>
    <xf numFmtId="0" fontId="60" fillId="0" borderId="39" xfId="4" applyNumberFormat="1" applyFont="1" applyFill="1" applyBorder="1" applyAlignment="1" applyProtection="1">
      <alignment horizontal="center" vertical="center"/>
    </xf>
    <xf numFmtId="0" fontId="60" fillId="3" borderId="429" xfId="4" applyFont="1" applyFill="1" applyBorder="1" applyAlignment="1" applyProtection="1">
      <alignment horizontal="center" vertical="center" shrinkToFit="1"/>
      <protection locked="0"/>
    </xf>
    <xf numFmtId="0" fontId="60" fillId="3" borderId="430" xfId="4" applyFont="1" applyFill="1" applyBorder="1" applyAlignment="1" applyProtection="1">
      <alignment horizontal="center" vertical="center" shrinkToFit="1"/>
      <protection locked="0"/>
    </xf>
    <xf numFmtId="0" fontId="60" fillId="3" borderId="260" xfId="4" applyFont="1" applyFill="1" applyBorder="1" applyAlignment="1" applyProtection="1">
      <alignment horizontal="center" vertical="center" shrinkToFit="1"/>
      <protection locked="0"/>
    </xf>
    <xf numFmtId="3" fontId="7" fillId="3" borderId="54" xfId="1" applyNumberFormat="1" applyFont="1" applyFill="1" applyBorder="1" applyAlignment="1" applyProtection="1">
      <alignment horizontal="right" vertical="center" shrinkToFit="1"/>
      <protection locked="0"/>
    </xf>
    <xf numFmtId="3" fontId="97" fillId="0" borderId="0" xfId="1" applyNumberFormat="1" applyFont="1" applyFill="1" applyBorder="1" applyAlignment="1" applyProtection="1">
      <alignment horizontal="center" vertical="center" shrinkToFit="1"/>
    </xf>
    <xf numFmtId="187" fontId="7" fillId="7" borderId="431" xfId="4" applyNumberFormat="1" applyFont="1" applyFill="1" applyBorder="1" applyAlignment="1" applyProtection="1">
      <alignment horizontal="center" vertical="center" shrinkToFit="1"/>
      <protection locked="0"/>
    </xf>
    <xf numFmtId="187" fontId="7" fillId="7" borderId="432" xfId="4" applyNumberFormat="1" applyFont="1" applyFill="1" applyBorder="1" applyAlignment="1" applyProtection="1">
      <alignment horizontal="center" vertical="center" shrinkToFit="1"/>
      <protection locked="0"/>
    </xf>
    <xf numFmtId="38" fontId="7" fillId="0" borderId="433" xfId="2" applyFont="1" applyFill="1" applyBorder="1" applyAlignment="1" applyProtection="1">
      <alignment horizontal="right" vertical="center" shrinkToFit="1"/>
    </xf>
    <xf numFmtId="184" fontId="7" fillId="0" borderId="106" xfId="2" applyNumberFormat="1" applyFont="1" applyFill="1" applyBorder="1" applyAlignment="1" applyProtection="1">
      <alignment horizontal="right" vertical="center" shrinkToFit="1"/>
    </xf>
    <xf numFmtId="0" fontId="78" fillId="0" borderId="0" xfId="1" applyFont="1" applyBorder="1" applyAlignment="1" applyProtection="1"/>
    <xf numFmtId="0" fontId="60" fillId="0" borderId="73" xfId="4" applyNumberFormat="1" applyFont="1" applyFill="1" applyBorder="1" applyAlignment="1" applyProtection="1">
      <alignment horizontal="center" vertical="center"/>
    </xf>
    <xf numFmtId="0" fontId="60" fillId="3" borderId="434" xfId="4" applyFont="1" applyFill="1" applyBorder="1" applyAlignment="1" applyProtection="1">
      <alignment horizontal="center" vertical="center" shrinkToFit="1"/>
      <protection locked="0"/>
    </xf>
    <xf numFmtId="0" fontId="60" fillId="3" borderId="421" xfId="4" applyFont="1" applyFill="1" applyBorder="1" applyAlignment="1" applyProtection="1">
      <alignment horizontal="center" vertical="center" shrinkToFit="1"/>
      <protection locked="0"/>
    </xf>
    <xf numFmtId="0" fontId="96" fillId="3" borderId="2" xfId="4" applyNumberFormat="1" applyFont="1" applyFill="1" applyBorder="1" applyAlignment="1" applyProtection="1">
      <alignment horizontal="center" vertical="center" shrinkToFit="1"/>
      <protection locked="0"/>
    </xf>
    <xf numFmtId="0" fontId="60" fillId="3" borderId="3" xfId="4" applyFont="1" applyFill="1" applyBorder="1" applyAlignment="1" applyProtection="1">
      <alignment horizontal="center" vertical="center" shrinkToFit="1"/>
      <protection locked="0"/>
    </xf>
    <xf numFmtId="3" fontId="7" fillId="3" borderId="58" xfId="4" applyNumberFormat="1" applyFont="1" applyFill="1" applyBorder="1" applyAlignment="1" applyProtection="1">
      <alignment horizontal="right" vertical="center" shrinkToFit="1"/>
      <protection locked="0"/>
    </xf>
    <xf numFmtId="187" fontId="7" fillId="7" borderId="202" xfId="4" applyNumberFormat="1" applyFont="1" applyFill="1" applyBorder="1" applyAlignment="1" applyProtection="1">
      <alignment horizontal="center" vertical="center" shrinkToFit="1"/>
      <protection locked="0"/>
    </xf>
    <xf numFmtId="187" fontId="7" fillId="7" borderId="12" xfId="4" applyNumberFormat="1" applyFont="1" applyFill="1" applyBorder="1" applyAlignment="1" applyProtection="1">
      <alignment horizontal="center" vertical="center" shrinkToFit="1"/>
      <protection locked="0"/>
    </xf>
    <xf numFmtId="0" fontId="7" fillId="3" borderId="2" xfId="4" applyFont="1" applyFill="1" applyBorder="1" applyAlignment="1" applyProtection="1">
      <alignment horizontal="center" vertical="center" shrinkToFit="1"/>
      <protection locked="0"/>
    </xf>
    <xf numFmtId="0" fontId="60" fillId="0" borderId="55" xfId="4" applyNumberFormat="1" applyFont="1" applyFill="1" applyBorder="1" applyAlignment="1" applyProtection="1">
      <alignment horizontal="center" vertical="center"/>
    </xf>
    <xf numFmtId="0" fontId="60" fillId="3" borderId="435" xfId="4" applyFont="1" applyFill="1" applyBorder="1" applyAlignment="1" applyProtection="1">
      <alignment horizontal="center" vertical="center" shrinkToFit="1"/>
      <protection locked="0"/>
    </xf>
    <xf numFmtId="0" fontId="60" fillId="3" borderId="436" xfId="4" applyFont="1" applyFill="1" applyBorder="1" applyAlignment="1" applyProtection="1">
      <alignment horizontal="center" vertical="center" shrinkToFit="1"/>
      <protection locked="0"/>
    </xf>
    <xf numFmtId="0" fontId="7" fillId="3" borderId="27" xfId="4" applyFont="1" applyFill="1" applyBorder="1" applyAlignment="1" applyProtection="1">
      <alignment horizontal="center" vertical="center" shrinkToFit="1"/>
      <protection locked="0"/>
    </xf>
    <xf numFmtId="0" fontId="96" fillId="3" borderId="27" xfId="4" applyNumberFormat="1" applyFont="1" applyFill="1" applyBorder="1" applyAlignment="1" applyProtection="1">
      <alignment horizontal="center" vertical="center" shrinkToFit="1"/>
      <protection locked="0"/>
    </xf>
    <xf numFmtId="177" fontId="96" fillId="3" borderId="27" xfId="4" applyNumberFormat="1" applyFont="1" applyFill="1" applyBorder="1" applyAlignment="1" applyProtection="1">
      <alignment horizontal="center" vertical="center" shrinkToFit="1"/>
      <protection locked="0"/>
    </xf>
    <xf numFmtId="3" fontId="7" fillId="3" borderId="27" xfId="4" applyNumberFormat="1" applyFont="1" applyFill="1" applyBorder="1" applyAlignment="1" applyProtection="1">
      <alignment horizontal="right" vertical="center" shrinkToFit="1"/>
      <protection locked="0"/>
    </xf>
    <xf numFmtId="0" fontId="9" fillId="3" borderId="437" xfId="4" applyFont="1" applyFill="1" applyBorder="1" applyAlignment="1" applyProtection="1">
      <alignment horizontal="center" vertical="center" shrinkToFit="1"/>
      <protection locked="0"/>
    </xf>
    <xf numFmtId="0" fontId="60" fillId="3" borderId="28" xfId="4" applyFont="1" applyFill="1" applyBorder="1" applyAlignment="1" applyProtection="1">
      <alignment horizontal="center" vertical="center" shrinkToFit="1"/>
      <protection locked="0"/>
    </xf>
    <xf numFmtId="3" fontId="7" fillId="3" borderId="438" xfId="4" applyNumberFormat="1" applyFont="1" applyFill="1" applyBorder="1" applyAlignment="1" applyProtection="1">
      <alignment horizontal="right" vertical="center" shrinkToFit="1"/>
      <protection locked="0"/>
    </xf>
    <xf numFmtId="0" fontId="60" fillId="0" borderId="73" xfId="4" applyNumberFormat="1" applyFont="1" applyFill="1" applyBorder="1" applyAlignment="1" applyProtection="1">
      <alignment horizontal="center" vertical="center" shrinkToFit="1"/>
    </xf>
    <xf numFmtId="0" fontId="60" fillId="3" borderId="439" xfId="4" applyFont="1" applyFill="1" applyBorder="1" applyAlignment="1" applyProtection="1">
      <alignment horizontal="center" vertical="center" shrinkToFit="1"/>
      <protection locked="0"/>
    </xf>
    <xf numFmtId="0" fontId="60" fillId="3" borderId="425" xfId="4" applyFont="1" applyFill="1" applyBorder="1" applyAlignment="1" applyProtection="1">
      <alignment horizontal="center" vertical="center" shrinkToFit="1"/>
      <protection locked="0"/>
    </xf>
    <xf numFmtId="0" fontId="7" fillId="3" borderId="16" xfId="4" applyFont="1" applyFill="1" applyBorder="1" applyAlignment="1" applyProtection="1">
      <alignment horizontal="center" vertical="center" shrinkToFit="1"/>
      <protection locked="0"/>
    </xf>
    <xf numFmtId="0" fontId="96" fillId="3" borderId="16" xfId="4" applyNumberFormat="1" applyFont="1" applyFill="1" applyBorder="1" applyAlignment="1" applyProtection="1">
      <alignment horizontal="center" vertical="center" shrinkToFit="1"/>
      <protection locked="0"/>
    </xf>
    <xf numFmtId="0" fontId="60" fillId="3" borderId="23" xfId="4" applyFont="1" applyFill="1" applyBorder="1" applyAlignment="1" applyProtection="1">
      <alignment horizontal="center" vertical="center" shrinkToFit="1"/>
      <protection locked="0"/>
    </xf>
    <xf numFmtId="3" fontId="7" fillId="3" borderId="111" xfId="4" applyNumberFormat="1" applyFont="1" applyFill="1" applyBorder="1" applyAlignment="1" applyProtection="1">
      <alignment horizontal="right" vertical="center" shrinkToFit="1"/>
      <protection locked="0"/>
    </xf>
    <xf numFmtId="187" fontId="7" fillId="7" borderId="440" xfId="4" applyNumberFormat="1" applyFont="1" applyFill="1" applyBorder="1" applyAlignment="1" applyProtection="1">
      <alignment horizontal="center" vertical="center" shrinkToFit="1"/>
      <protection locked="0"/>
    </xf>
    <xf numFmtId="187" fontId="7" fillId="7" borderId="441" xfId="4" applyNumberFormat="1" applyFont="1" applyFill="1" applyBorder="1" applyAlignment="1" applyProtection="1">
      <alignment horizontal="center" vertical="center" shrinkToFit="1"/>
      <protection locked="0"/>
    </xf>
    <xf numFmtId="0" fontId="3" fillId="0" borderId="428" xfId="1" applyBorder="1" applyProtection="1"/>
    <xf numFmtId="0" fontId="53" fillId="0" borderId="0" xfId="1" applyFont="1" applyBorder="1" applyAlignment="1" applyProtection="1">
      <alignment horizontal="left" vertical="center"/>
    </xf>
    <xf numFmtId="0" fontId="98" fillId="0" borderId="0" xfId="1" applyFont="1" applyFill="1" applyBorder="1" applyAlignment="1" applyProtection="1"/>
    <xf numFmtId="0" fontId="3" fillId="0" borderId="0" xfId="1" applyBorder="1" applyAlignment="1" applyProtection="1">
      <alignment vertical="top"/>
    </xf>
    <xf numFmtId="0" fontId="9" fillId="0" borderId="0" xfId="4" applyFont="1" applyFill="1" applyBorder="1" applyAlignment="1" applyProtection="1">
      <alignment horizontal="center" vertical="center" wrapText="1" justifyLastLine="1"/>
    </xf>
    <xf numFmtId="0" fontId="9" fillId="0" borderId="5" xfId="4" applyFont="1" applyFill="1" applyBorder="1" applyAlignment="1" applyProtection="1">
      <alignment horizontal="center" vertical="top" wrapText="1"/>
    </xf>
    <xf numFmtId="0" fontId="9" fillId="0" borderId="0" xfId="4" applyFont="1" applyFill="1" applyBorder="1" applyAlignment="1" applyProtection="1">
      <alignment horizontal="center" vertical="center" wrapText="1"/>
    </xf>
    <xf numFmtId="0" fontId="9" fillId="0" borderId="0" xfId="4" applyFont="1" applyFill="1" applyBorder="1" applyAlignment="1" applyProtection="1">
      <alignment vertical="center" wrapText="1" justifyLastLine="1"/>
    </xf>
    <xf numFmtId="0" fontId="60" fillId="0" borderId="5" xfId="4" applyFont="1" applyFill="1" applyBorder="1" applyAlignment="1" applyProtection="1">
      <alignment vertical="top" wrapText="1"/>
    </xf>
    <xf numFmtId="0" fontId="65" fillId="0" borderId="6" xfId="1" applyFont="1" applyFill="1" applyBorder="1" applyAlignment="1" applyProtection="1">
      <alignment horizontal="center" vertical="center" wrapText="1"/>
    </xf>
    <xf numFmtId="0" fontId="33" fillId="0" borderId="156" xfId="1" applyFont="1" applyBorder="1" applyAlignment="1" applyProtection="1"/>
    <xf numFmtId="0" fontId="33" fillId="0" borderId="4" xfId="1" applyFont="1" applyBorder="1" applyAlignment="1" applyProtection="1">
      <alignment horizontal="center" vertical="center" shrinkToFit="1"/>
    </xf>
    <xf numFmtId="0" fontId="60" fillId="0" borderId="66" xfId="4" applyFont="1" applyFill="1" applyBorder="1" applyAlignment="1" applyProtection="1">
      <alignment vertical="top" wrapText="1"/>
    </xf>
    <xf numFmtId="0" fontId="33" fillId="0" borderId="442" xfId="1" applyFont="1" applyBorder="1" applyAlignment="1" applyProtection="1">
      <alignment horizontal="center" vertical="center" wrapText="1" shrinkToFit="1"/>
    </xf>
    <xf numFmtId="180" fontId="7" fillId="0" borderId="1" xfId="2" applyNumberFormat="1" applyFont="1" applyFill="1" applyBorder="1" applyAlignment="1" applyProtection="1">
      <alignment horizontal="right" vertical="center" shrinkToFit="1"/>
    </xf>
    <xf numFmtId="180" fontId="7" fillId="0" borderId="1" xfId="1" applyNumberFormat="1" applyFont="1" applyFill="1" applyBorder="1" applyAlignment="1" applyProtection="1">
      <alignment horizontal="right" vertical="center" shrinkToFit="1"/>
    </xf>
    <xf numFmtId="38" fontId="7" fillId="0" borderId="411" xfId="2" applyFont="1" applyFill="1" applyBorder="1" applyAlignment="1" applyProtection="1">
      <alignment horizontal="right" vertical="center" shrinkToFit="1"/>
    </xf>
    <xf numFmtId="38" fontId="99" fillId="0" borderId="411" xfId="2" applyFont="1" applyFill="1" applyBorder="1" applyAlignment="1" applyProtection="1">
      <alignment horizontal="right" vertical="center" shrinkToFit="1"/>
    </xf>
    <xf numFmtId="0" fontId="60" fillId="0" borderId="39" xfId="4" applyNumberFormat="1" applyFont="1" applyFill="1" applyBorder="1" applyAlignment="1" applyProtection="1">
      <alignment horizontal="center" vertical="center" shrinkToFit="1"/>
    </xf>
    <xf numFmtId="0" fontId="60" fillId="3" borderId="53" xfId="4" applyFont="1" applyFill="1" applyBorder="1" applyAlignment="1" applyProtection="1">
      <alignment horizontal="center" vertical="center" shrinkToFit="1"/>
      <protection locked="0"/>
    </xf>
    <xf numFmtId="0" fontId="7" fillId="3" borderId="183" xfId="4" applyFont="1" applyFill="1" applyBorder="1" applyAlignment="1" applyProtection="1">
      <alignment horizontal="center" vertical="center" shrinkToFit="1"/>
      <protection locked="0"/>
    </xf>
    <xf numFmtId="3" fontId="97" fillId="0" borderId="0" xfId="1" applyNumberFormat="1" applyFont="1" applyBorder="1" applyAlignment="1" applyProtection="1">
      <alignment horizontal="center" vertical="center" shrinkToFit="1"/>
    </xf>
    <xf numFmtId="180" fontId="7" fillId="0" borderId="5" xfId="1" applyNumberFormat="1" applyFont="1" applyFill="1" applyBorder="1" applyAlignment="1" applyProtection="1">
      <alignment horizontal="center" vertical="center" shrinkToFit="1"/>
    </xf>
    <xf numFmtId="190" fontId="7" fillId="0" borderId="5" xfId="1" applyNumberFormat="1" applyFont="1" applyFill="1" applyBorder="1" applyAlignment="1" applyProtection="1">
      <alignment horizontal="center" vertical="center" shrinkToFit="1"/>
    </xf>
    <xf numFmtId="180" fontId="7" fillId="0" borderId="5" xfId="2" applyNumberFormat="1" applyFont="1" applyFill="1" applyBorder="1" applyAlignment="1" applyProtection="1">
      <alignment horizontal="right" vertical="center" shrinkToFit="1"/>
    </xf>
    <xf numFmtId="180" fontId="7" fillId="0" borderId="419" xfId="2" applyNumberFormat="1" applyFont="1" applyFill="1" applyBorder="1" applyAlignment="1" applyProtection="1">
      <alignment horizontal="right" vertical="center" shrinkToFit="1"/>
    </xf>
    <xf numFmtId="0" fontId="60" fillId="3" borderId="443" xfId="4" applyFont="1" applyFill="1" applyBorder="1" applyAlignment="1" applyProtection="1">
      <alignment horizontal="center" vertical="center" shrinkToFit="1"/>
      <protection locked="0"/>
    </xf>
    <xf numFmtId="0" fontId="60" fillId="3" borderId="444" xfId="4" applyFont="1" applyFill="1" applyBorder="1" applyAlignment="1" applyProtection="1">
      <alignment horizontal="center" vertical="center" shrinkToFit="1"/>
      <protection locked="0"/>
    </xf>
    <xf numFmtId="0" fontId="60" fillId="3" borderId="287" xfId="4" applyFont="1" applyFill="1" applyBorder="1" applyAlignment="1" applyProtection="1">
      <alignment horizontal="center" vertical="center" shrinkToFit="1"/>
      <protection locked="0"/>
    </xf>
    <xf numFmtId="0" fontId="60" fillId="3" borderId="445" xfId="4" applyFont="1" applyFill="1" applyBorder="1" applyAlignment="1" applyProtection="1">
      <alignment horizontal="center" vertical="center" shrinkToFit="1"/>
      <protection locked="0"/>
    </xf>
    <xf numFmtId="0" fontId="33" fillId="0" borderId="0" xfId="1" applyFont="1" applyFill="1" applyBorder="1" applyAlignment="1" applyProtection="1">
      <alignment vertical="center" justifyLastLine="1" shrinkToFit="1"/>
    </xf>
    <xf numFmtId="0" fontId="60" fillId="3" borderId="57" xfId="4" applyFont="1" applyFill="1" applyBorder="1" applyAlignment="1" applyProtection="1">
      <alignment horizontal="center" vertical="center" shrinkToFit="1"/>
      <protection locked="0"/>
    </xf>
    <xf numFmtId="0" fontId="60" fillId="0" borderId="109" xfId="4" applyNumberFormat="1" applyFont="1" applyFill="1" applyBorder="1" applyAlignment="1" applyProtection="1">
      <alignment horizontal="center" vertical="center" shrinkToFit="1"/>
    </xf>
    <xf numFmtId="187" fontId="7" fillId="7" borderId="446" xfId="4" applyNumberFormat="1" applyFont="1" applyFill="1" applyBorder="1" applyAlignment="1" applyProtection="1">
      <alignment horizontal="center" vertical="center" shrinkToFit="1"/>
      <protection locked="0"/>
    </xf>
    <xf numFmtId="187" fontId="7" fillId="7" borderId="447" xfId="4" applyNumberFormat="1" applyFont="1" applyFill="1" applyBorder="1" applyAlignment="1" applyProtection="1">
      <alignment horizontal="center" vertical="center" shrinkToFit="1"/>
      <protection locked="0"/>
    </xf>
    <xf numFmtId="0" fontId="60" fillId="3" borderId="110" xfId="4" applyFont="1" applyFill="1" applyBorder="1" applyAlignment="1" applyProtection="1">
      <alignment horizontal="center" vertical="center" shrinkToFit="1"/>
      <protection locked="0"/>
    </xf>
    <xf numFmtId="0" fontId="60" fillId="3" borderId="448" xfId="4" applyFont="1" applyFill="1" applyBorder="1" applyAlignment="1" applyProtection="1">
      <alignment horizontal="center" vertical="center" shrinkToFit="1"/>
      <protection locked="0"/>
    </xf>
    <xf numFmtId="0" fontId="33" fillId="0" borderId="0" xfId="1" applyFont="1" applyBorder="1" applyAlignment="1" applyProtection="1">
      <alignment horizontal="centerContinuous" vertical="center"/>
    </xf>
    <xf numFmtId="0" fontId="3" fillId="0" borderId="0" xfId="1" applyBorder="1" applyAlignment="1" applyProtection="1">
      <alignment horizontal="centerContinuous"/>
    </xf>
    <xf numFmtId="0" fontId="65" fillId="0" borderId="0" xfId="1" applyFont="1" applyFill="1" applyAlignment="1" applyProtection="1">
      <alignment vertical="top"/>
    </xf>
    <xf numFmtId="0" fontId="65" fillId="0" borderId="0" xfId="1" applyFont="1" applyFill="1" applyProtection="1"/>
    <xf numFmtId="0" fontId="9" fillId="0" borderId="0" xfId="1" applyFont="1" applyFill="1" applyProtection="1"/>
    <xf numFmtId="0" fontId="65" fillId="0" borderId="0" xfId="1" applyFont="1" applyProtection="1"/>
    <xf numFmtId="0" fontId="65" fillId="0" borderId="27" xfId="5" applyFont="1" applyFill="1" applyBorder="1" applyAlignment="1" applyProtection="1">
      <alignment horizontal="center" vertical="center"/>
    </xf>
    <xf numFmtId="0" fontId="65" fillId="0" borderId="6" xfId="5" applyFont="1" applyFill="1" applyBorder="1" applyAlignment="1" applyProtection="1">
      <alignment horizontal="center" vertical="center"/>
    </xf>
    <xf numFmtId="180" fontId="7" fillId="0" borderId="156" xfId="6" applyNumberFormat="1" applyFont="1" applyFill="1" applyBorder="1" applyAlignment="1" applyProtection="1">
      <alignment horizontal="right" vertical="center" shrinkToFit="1"/>
    </xf>
    <xf numFmtId="180" fontId="7" fillId="0" borderId="6" xfId="6" applyNumberFormat="1" applyFont="1" applyFill="1" applyBorder="1" applyAlignment="1" applyProtection="1">
      <alignment horizontal="right" vertical="center" shrinkToFit="1"/>
    </xf>
    <xf numFmtId="0" fontId="65" fillId="0" borderId="0" xfId="5" applyFont="1" applyFill="1" applyBorder="1" applyAlignment="1" applyProtection="1">
      <alignment vertical="center"/>
    </xf>
    <xf numFmtId="184" fontId="7" fillId="0" borderId="6" xfId="6" applyNumberFormat="1" applyFont="1" applyFill="1" applyBorder="1" applyAlignment="1" applyProtection="1">
      <alignment horizontal="right" vertical="center" shrinkToFit="1"/>
    </xf>
    <xf numFmtId="0" fontId="65" fillId="0" borderId="27" xfId="5" applyFont="1" applyFill="1" applyBorder="1" applyAlignment="1" applyProtection="1">
      <alignment vertical="center"/>
    </xf>
    <xf numFmtId="0" fontId="65" fillId="0" borderId="28" xfId="5" applyFont="1" applyFill="1" applyBorder="1" applyAlignment="1" applyProtection="1">
      <alignment vertical="center"/>
    </xf>
    <xf numFmtId="0" fontId="34" fillId="0" borderId="0" xfId="1" applyFont="1" applyFill="1" applyBorder="1" applyAlignment="1" applyProtection="1">
      <alignment horizontal="left"/>
    </xf>
    <xf numFmtId="0" fontId="53" fillId="0" borderId="0" xfId="1" applyFont="1" applyFill="1" applyBorder="1" applyAlignment="1" applyProtection="1">
      <alignment horizontal="left" vertical="center"/>
    </xf>
    <xf numFmtId="0" fontId="9" fillId="0" borderId="17" xfId="1" applyFont="1" applyFill="1" applyBorder="1" applyAlignment="1" applyProtection="1">
      <alignment vertical="center" wrapText="1" justifyLastLine="1"/>
    </xf>
    <xf numFmtId="0" fontId="9" fillId="0" borderId="18" xfId="1" applyFont="1" applyFill="1" applyBorder="1" applyAlignment="1" applyProtection="1">
      <alignment vertical="center" wrapText="1" justifyLastLine="1"/>
    </xf>
    <xf numFmtId="0" fontId="9" fillId="0" borderId="18" xfId="1" applyFont="1" applyBorder="1" applyAlignment="1" applyProtection="1">
      <alignment vertical="center"/>
    </xf>
    <xf numFmtId="0" fontId="9" fillId="0" borderId="31" xfId="1" applyFont="1" applyBorder="1" applyAlignment="1" applyProtection="1">
      <alignment vertical="center"/>
    </xf>
    <xf numFmtId="0" fontId="85" fillId="0" borderId="0" xfId="1" applyFont="1" applyFill="1" applyBorder="1" applyAlignment="1" applyProtection="1">
      <alignment horizontal="distributed" vertical="center" justifyLastLine="1"/>
    </xf>
    <xf numFmtId="0" fontId="9" fillId="0" borderId="39" xfId="1" applyFont="1" applyFill="1" applyBorder="1" applyAlignment="1" applyProtection="1">
      <alignment vertical="center" justifyLastLine="1"/>
    </xf>
    <xf numFmtId="0" fontId="9" fillId="0" borderId="84" xfId="1" applyFont="1" applyFill="1" applyBorder="1" applyAlignment="1" applyProtection="1">
      <alignment vertical="center" justifyLastLine="1"/>
    </xf>
    <xf numFmtId="0" fontId="9" fillId="0" borderId="26" xfId="1" applyFont="1" applyBorder="1" applyAlignment="1" applyProtection="1">
      <alignment vertical="center"/>
    </xf>
    <xf numFmtId="0" fontId="9" fillId="0" borderId="20" xfId="1" applyFont="1" applyFill="1" applyBorder="1" applyAlignment="1" applyProtection="1">
      <alignment vertical="center" justifyLastLine="1"/>
    </xf>
    <xf numFmtId="0" fontId="9" fillId="0" borderId="21" xfId="1" applyFont="1" applyFill="1" applyBorder="1" applyAlignment="1" applyProtection="1">
      <alignment vertical="center" justifyLastLine="1"/>
    </xf>
    <xf numFmtId="0" fontId="9" fillId="0" borderId="22" xfId="1" applyFont="1" applyFill="1" applyBorder="1" applyAlignment="1" applyProtection="1">
      <alignment vertical="center" justifyLastLine="1"/>
    </xf>
    <xf numFmtId="0" fontId="9" fillId="0" borderId="18" xfId="1" applyFont="1" applyFill="1" applyBorder="1" applyAlignment="1" applyProtection="1">
      <alignment vertical="distributed" textRotation="255" justifyLastLine="1"/>
    </xf>
    <xf numFmtId="0" fontId="9" fillId="0" borderId="18" xfId="1" applyFont="1" applyFill="1" applyBorder="1" applyAlignment="1" applyProtection="1">
      <alignment vertical="center"/>
    </xf>
    <xf numFmtId="0" fontId="83" fillId="0" borderId="39" xfId="1" applyFont="1" applyBorder="1" applyAlignment="1" applyProtection="1">
      <alignment horizontal="center" vertical="center"/>
    </xf>
    <xf numFmtId="0" fontId="57" fillId="0" borderId="0" xfId="1" applyFont="1" applyFill="1" applyBorder="1" applyAlignment="1" applyProtection="1">
      <alignment horizontal="left" vertical="center" wrapText="1"/>
    </xf>
    <xf numFmtId="0" fontId="9" fillId="0" borderId="84" xfId="1" applyFont="1" applyFill="1" applyBorder="1" applyAlignment="1" applyProtection="1">
      <alignment vertical="center"/>
    </xf>
    <xf numFmtId="0" fontId="9" fillId="0" borderId="6" xfId="1" applyFont="1" applyFill="1" applyBorder="1" applyAlignment="1" applyProtection="1">
      <alignment horizontal="center" vertical="distributed" justifyLastLine="1"/>
    </xf>
    <xf numFmtId="0" fontId="98" fillId="0" borderId="0" xfId="1" applyFont="1" applyFill="1" applyBorder="1" applyAlignment="1" applyProtection="1">
      <alignment vertical="center"/>
    </xf>
    <xf numFmtId="0" fontId="9" fillId="0" borderId="18" xfId="1" applyFont="1" applyFill="1" applyBorder="1" applyAlignment="1" applyProtection="1">
      <alignment vertical="distributed"/>
    </xf>
    <xf numFmtId="0" fontId="46" fillId="0" borderId="18" xfId="1" applyFont="1" applyFill="1" applyBorder="1" applyAlignment="1" applyProtection="1">
      <alignment horizontal="center" vertical="top"/>
    </xf>
    <xf numFmtId="0" fontId="9" fillId="0" borderId="18" xfId="1" applyFont="1" applyFill="1" applyBorder="1" applyAlignment="1" applyProtection="1">
      <alignment horizontal="distributed" vertical="center" justifyLastLine="1"/>
    </xf>
    <xf numFmtId="0" fontId="45" fillId="0" borderId="18" xfId="1" applyFont="1" applyFill="1" applyBorder="1" applyAlignment="1" applyProtection="1">
      <alignment horizontal="left" vertical="center" wrapText="1"/>
    </xf>
    <xf numFmtId="0" fontId="57" fillId="0" borderId="18" xfId="1" applyFont="1" applyFill="1" applyBorder="1" applyAlignment="1" applyProtection="1">
      <alignment vertical="center" wrapText="1"/>
    </xf>
    <xf numFmtId="0" fontId="46" fillId="0" borderId="0" xfId="1" applyFont="1" applyFill="1" applyBorder="1" applyAlignment="1" applyProtection="1">
      <alignment horizontal="center" vertical="top"/>
    </xf>
    <xf numFmtId="0" fontId="45" fillId="0" borderId="0" xfId="1" applyFont="1" applyFill="1" applyBorder="1" applyAlignment="1" applyProtection="1">
      <alignment horizontal="left" vertical="center" wrapText="1"/>
    </xf>
    <xf numFmtId="0" fontId="3" fillId="0" borderId="0" xfId="1" applyFont="1" applyBorder="1" applyAlignment="1" applyProtection="1">
      <alignment horizontal="center"/>
    </xf>
    <xf numFmtId="0" fontId="33" fillId="0" borderId="473" xfId="1" applyFont="1" applyBorder="1" applyAlignment="1" applyProtection="1"/>
    <xf numFmtId="0" fontId="33" fillId="0" borderId="473" xfId="1" applyFont="1" applyBorder="1" applyAlignment="1" applyProtection="1">
      <alignment vertical="center"/>
    </xf>
    <xf numFmtId="0" fontId="71" fillId="0" borderId="0" xfId="1" applyFont="1" applyBorder="1" applyAlignment="1" applyProtection="1">
      <alignment horizontal="left" vertical="center"/>
    </xf>
    <xf numFmtId="0" fontId="34" fillId="0" borderId="0" xfId="1" applyFont="1" applyBorder="1" applyAlignment="1" applyProtection="1">
      <alignment horizontal="center" vertical="center"/>
    </xf>
    <xf numFmtId="0" fontId="3" fillId="0" borderId="6" xfId="1" applyFont="1" applyBorder="1" applyAlignment="1" applyProtection="1">
      <alignment horizontal="center" vertical="center" wrapText="1"/>
    </xf>
    <xf numFmtId="184" fontId="7" fillId="0" borderId="106" xfId="1" applyNumberFormat="1" applyFont="1" applyFill="1" applyBorder="1" applyAlignment="1" applyProtection="1">
      <alignment vertical="center" shrinkToFit="1"/>
    </xf>
    <xf numFmtId="184" fontId="7" fillId="0" borderId="6" xfId="1" applyNumberFormat="1" applyFont="1" applyFill="1" applyBorder="1" applyAlignment="1" applyProtection="1">
      <alignment vertical="center" shrinkToFit="1"/>
    </xf>
    <xf numFmtId="184" fontId="7" fillId="0" borderId="8" xfId="1" applyNumberFormat="1" applyFont="1" applyFill="1" applyBorder="1" applyAlignment="1" applyProtection="1">
      <alignment vertical="center" shrinkToFit="1"/>
    </xf>
    <xf numFmtId="0" fontId="3" fillId="0" borderId="411" xfId="1" applyFont="1" applyBorder="1" applyAlignment="1" applyProtection="1">
      <alignment shrinkToFit="1"/>
    </xf>
    <xf numFmtId="180" fontId="7" fillId="0" borderId="8" xfId="1" applyNumberFormat="1" applyFont="1" applyFill="1" applyBorder="1" applyAlignment="1" applyProtection="1">
      <alignment vertical="center" shrinkToFit="1"/>
    </xf>
    <xf numFmtId="0" fontId="9" fillId="0" borderId="39" xfId="1" applyFont="1" applyFill="1" applyBorder="1" applyAlignment="1" applyProtection="1">
      <alignment horizontal="center" vertical="center" shrinkToFit="1"/>
    </xf>
    <xf numFmtId="49" fontId="9" fillId="3" borderId="53" xfId="1" applyNumberFormat="1" applyFont="1" applyFill="1" applyBorder="1" applyAlignment="1" applyProtection="1">
      <alignment horizontal="center" vertical="center" wrapText="1" justifyLastLine="1"/>
      <protection locked="0"/>
    </xf>
    <xf numFmtId="181" fontId="7" fillId="3" borderId="183" xfId="1" applyNumberFormat="1" applyFont="1" applyFill="1" applyBorder="1" applyAlignment="1" applyProtection="1">
      <alignment horizontal="right" vertical="center" shrinkToFit="1"/>
      <protection locked="0"/>
    </xf>
    <xf numFmtId="0" fontId="7" fillId="6" borderId="478" xfId="1" applyFont="1" applyFill="1" applyBorder="1" applyAlignment="1" applyProtection="1">
      <alignment horizontal="center" vertical="center" shrinkToFit="1"/>
      <protection locked="0"/>
    </xf>
    <xf numFmtId="0" fontId="7" fillId="6" borderId="479" xfId="1" applyFont="1" applyFill="1" applyBorder="1" applyAlignment="1" applyProtection="1">
      <alignment horizontal="center" vertical="center" shrinkToFit="1"/>
    </xf>
    <xf numFmtId="180" fontId="7" fillId="7" borderId="480" xfId="1" applyNumberFormat="1" applyFont="1" applyFill="1" applyBorder="1" applyAlignment="1" applyProtection="1">
      <alignment vertical="center" shrinkToFit="1"/>
      <protection locked="0"/>
    </xf>
    <xf numFmtId="180" fontId="7" fillId="0" borderId="29" xfId="1" applyNumberFormat="1" applyFont="1" applyFill="1" applyBorder="1" applyAlignment="1" applyProtection="1">
      <alignment vertical="center" shrinkToFit="1"/>
    </xf>
    <xf numFmtId="180" fontId="7" fillId="0" borderId="106" xfId="1" applyNumberFormat="1" applyFont="1" applyFill="1" applyBorder="1" applyAlignment="1" applyProtection="1">
      <alignment vertical="center" shrinkToFit="1"/>
    </xf>
    <xf numFmtId="0" fontId="9" fillId="0" borderId="55" xfId="1" applyFont="1" applyFill="1" applyBorder="1" applyAlignment="1" applyProtection="1">
      <alignment horizontal="center" vertical="center" shrinkToFit="1"/>
    </xf>
    <xf numFmtId="49" fontId="9" fillId="3" borderId="57" xfId="1" applyNumberFormat="1" applyFont="1" applyFill="1" applyBorder="1" applyAlignment="1" applyProtection="1">
      <alignment horizontal="center" vertical="center" wrapText="1" justifyLastLine="1"/>
      <protection locked="0"/>
    </xf>
    <xf numFmtId="181" fontId="7" fillId="3" borderId="2" xfId="1" applyNumberFormat="1" applyFont="1" applyFill="1" applyBorder="1" applyAlignment="1" applyProtection="1">
      <alignment horizontal="right" vertical="center" shrinkToFit="1"/>
      <protection locked="0"/>
    </xf>
    <xf numFmtId="0" fontId="7" fillId="6" borderId="240" xfId="1" applyFont="1" applyFill="1" applyBorder="1" applyAlignment="1" applyProtection="1">
      <alignment horizontal="center" vertical="center" shrinkToFit="1"/>
      <protection locked="0"/>
    </xf>
    <xf numFmtId="0" fontId="7" fillId="6" borderId="482" xfId="1" applyFont="1" applyFill="1" applyBorder="1" applyAlignment="1" applyProtection="1">
      <alignment horizontal="center" vertical="center" shrinkToFit="1"/>
    </xf>
    <xf numFmtId="184" fontId="7" fillId="0" borderId="2" xfId="1" applyNumberFormat="1" applyFont="1" applyFill="1" applyBorder="1" applyAlignment="1" applyProtection="1">
      <alignment vertical="center" shrinkToFit="1"/>
    </xf>
    <xf numFmtId="180" fontId="7" fillId="7" borderId="14" xfId="1" applyNumberFormat="1" applyFont="1" applyFill="1" applyBorder="1" applyAlignment="1" applyProtection="1">
      <alignment vertical="center" shrinkToFit="1"/>
      <protection locked="0"/>
    </xf>
    <xf numFmtId="180" fontId="7" fillId="0" borderId="4" xfId="1" applyNumberFormat="1" applyFont="1" applyFill="1" applyBorder="1" applyAlignment="1" applyProtection="1">
      <alignment vertical="center" shrinkToFit="1"/>
    </xf>
    <xf numFmtId="0" fontId="9" fillId="0" borderId="483" xfId="1" applyFont="1" applyFill="1" applyBorder="1" applyAlignment="1" applyProtection="1">
      <alignment horizontal="center" vertical="center" shrinkToFit="1"/>
    </xf>
    <xf numFmtId="49" fontId="9" fillId="3" borderId="110" xfId="1" applyNumberFormat="1" applyFont="1" applyFill="1" applyBorder="1" applyAlignment="1" applyProtection="1">
      <alignment horizontal="center" vertical="center" wrapText="1" justifyLastLine="1"/>
      <protection locked="0"/>
    </xf>
    <xf numFmtId="181" fontId="7" fillId="3" borderId="16" xfId="1" applyNumberFormat="1" applyFont="1" applyFill="1" applyBorder="1" applyAlignment="1" applyProtection="1">
      <alignment horizontal="right" vertical="center" shrinkToFit="1"/>
      <protection locked="0"/>
    </xf>
    <xf numFmtId="0" fontId="7" fillId="6" borderId="485" xfId="1" applyFont="1" applyFill="1" applyBorder="1" applyAlignment="1" applyProtection="1">
      <alignment horizontal="center" vertical="center" shrinkToFit="1"/>
      <protection locked="0"/>
    </xf>
    <xf numFmtId="0" fontId="7" fillId="6" borderId="486" xfId="1" applyFont="1" applyFill="1" applyBorder="1" applyAlignment="1" applyProtection="1">
      <alignment horizontal="center" vertical="center" shrinkToFit="1"/>
    </xf>
    <xf numFmtId="180" fontId="7" fillId="7" borderId="201" xfId="1" applyNumberFormat="1" applyFont="1" applyFill="1" applyBorder="1" applyAlignment="1" applyProtection="1">
      <alignment vertical="center" shrinkToFit="1"/>
      <protection locked="0"/>
    </xf>
    <xf numFmtId="0" fontId="36" fillId="0" borderId="18" xfId="1" applyFont="1" applyFill="1" applyBorder="1" applyAlignment="1" applyProtection="1">
      <alignment horizontal="left" vertical="top"/>
    </xf>
    <xf numFmtId="0" fontId="36" fillId="0" borderId="203" xfId="1" applyFont="1" applyFill="1" applyBorder="1" applyAlignment="1" applyProtection="1">
      <alignment vertical="top" shrinkToFit="1"/>
    </xf>
    <xf numFmtId="0" fontId="36" fillId="0" borderId="0" xfId="1" applyFont="1" applyFill="1" applyBorder="1" applyAlignment="1" applyProtection="1">
      <alignment vertical="top" shrinkToFit="1"/>
    </xf>
    <xf numFmtId="0" fontId="36" fillId="0" borderId="428" xfId="1" applyFont="1" applyFill="1" applyBorder="1" applyAlignment="1" applyProtection="1">
      <alignment vertical="top" shrinkToFit="1"/>
    </xf>
    <xf numFmtId="0" fontId="36" fillId="0" borderId="473" xfId="1" applyFont="1" applyFill="1" applyBorder="1" applyAlignment="1" applyProtection="1">
      <alignment vertical="top" shrinkToFit="1"/>
    </xf>
    <xf numFmtId="0" fontId="33" fillId="0" borderId="0" xfId="1" applyFont="1" applyBorder="1" applyAlignment="1" applyProtection="1">
      <alignment vertical="top"/>
    </xf>
    <xf numFmtId="0" fontId="3" fillId="0" borderId="5" xfId="1" applyFont="1" applyBorder="1" applyAlignment="1" applyProtection="1">
      <alignment horizontal="center" vertical="center" wrapText="1"/>
    </xf>
    <xf numFmtId="0" fontId="3" fillId="0" borderId="1" xfId="1" applyFont="1" applyBorder="1" applyAlignment="1" applyProtection="1">
      <alignment horizontal="center" vertical="center" wrapText="1"/>
    </xf>
    <xf numFmtId="0" fontId="9" fillId="0" borderId="411" xfId="1" applyFont="1" applyBorder="1" applyAlignment="1" applyProtection="1">
      <alignment shrinkToFit="1"/>
    </xf>
    <xf numFmtId="0" fontId="3" fillId="0" borderId="18" xfId="1" applyFont="1" applyBorder="1" applyAlignment="1" applyProtection="1">
      <alignment horizontal="center"/>
    </xf>
    <xf numFmtId="0" fontId="3" fillId="0" borderId="203" xfId="1" applyFont="1" applyBorder="1" applyAlignment="1" applyProtection="1"/>
    <xf numFmtId="0" fontId="3" fillId="0" borderId="428" xfId="1" applyFont="1" applyBorder="1" applyAlignment="1" applyProtection="1"/>
    <xf numFmtId="0" fontId="3" fillId="0" borderId="0" xfId="1" applyAlignment="1" applyProtection="1">
      <alignment horizontal="center"/>
    </xf>
    <xf numFmtId="0" fontId="9" fillId="0" borderId="28" xfId="1" applyFont="1" applyBorder="1" applyAlignment="1" applyProtection="1">
      <alignment vertical="center" wrapText="1"/>
    </xf>
    <xf numFmtId="0" fontId="7" fillId="6" borderId="487" xfId="1" applyFont="1" applyFill="1" applyBorder="1" applyAlignment="1" applyProtection="1">
      <alignment horizontal="center" vertical="center" shrinkToFit="1"/>
    </xf>
    <xf numFmtId="3" fontId="7" fillId="3" borderId="2" xfId="1" applyNumberFormat="1" applyFont="1" applyFill="1" applyBorder="1" applyAlignment="1" applyProtection="1">
      <alignment horizontal="right" vertical="center" shrinkToFit="1"/>
      <protection locked="0"/>
    </xf>
    <xf numFmtId="0" fontId="7" fillId="6" borderId="488" xfId="1" applyFont="1" applyFill="1" applyBorder="1" applyAlignment="1" applyProtection="1">
      <alignment horizontal="center" vertical="center" shrinkToFit="1"/>
    </xf>
    <xf numFmtId="0" fontId="7" fillId="6" borderId="481" xfId="1" applyFont="1" applyFill="1" applyBorder="1" applyAlignment="1" applyProtection="1">
      <alignment horizontal="center" vertical="center" shrinkToFit="1"/>
      <protection locked="0"/>
    </xf>
    <xf numFmtId="0" fontId="7" fillId="6" borderId="489" xfId="1" applyFont="1" applyFill="1" applyBorder="1" applyAlignment="1" applyProtection="1">
      <alignment horizontal="center" vertical="center" shrinkToFit="1"/>
    </xf>
    <xf numFmtId="0" fontId="83" fillId="0" borderId="490" xfId="1" applyFont="1" applyBorder="1" applyAlignment="1" applyProtection="1">
      <alignment horizontal="center" vertical="center"/>
    </xf>
    <xf numFmtId="3" fontId="7" fillId="3" borderId="16" xfId="1" applyNumberFormat="1" applyFont="1" applyFill="1" applyBorder="1" applyAlignment="1" applyProtection="1">
      <alignment horizontal="right" vertical="center" shrinkToFit="1"/>
      <protection locked="0"/>
    </xf>
    <xf numFmtId="0" fontId="7" fillId="6" borderId="491" xfId="1" applyFont="1" applyFill="1" applyBorder="1" applyAlignment="1" applyProtection="1">
      <alignment horizontal="center" vertical="center" shrinkToFit="1"/>
      <protection locked="0"/>
    </xf>
    <xf numFmtId="0" fontId="7" fillId="6" borderId="492" xfId="1" applyFont="1" applyFill="1" applyBorder="1" applyAlignment="1" applyProtection="1">
      <alignment horizontal="center" vertical="center" shrinkToFit="1"/>
    </xf>
    <xf numFmtId="0" fontId="66" fillId="0" borderId="0" xfId="1" applyFont="1" applyFill="1" applyBorder="1" applyAlignment="1" applyProtection="1">
      <alignment vertical="top" shrinkToFit="1"/>
    </xf>
    <xf numFmtId="0" fontId="3" fillId="0" borderId="5" xfId="1" applyFont="1" applyBorder="1" applyAlignment="1" applyProtection="1">
      <alignment horizontal="center" vertical="center"/>
    </xf>
    <xf numFmtId="0" fontId="9" fillId="0" borderId="17" xfId="1" applyFont="1" applyFill="1" applyBorder="1" applyAlignment="1" applyProtection="1">
      <alignment horizontal="center" vertical="center" shrinkToFit="1"/>
    </xf>
    <xf numFmtId="0" fontId="7" fillId="0" borderId="490" xfId="1" applyFont="1" applyFill="1" applyBorder="1" applyAlignment="1" applyProtection="1">
      <alignment horizontal="center" vertical="center" shrinkToFit="1"/>
    </xf>
    <xf numFmtId="0" fontId="3" fillId="0" borderId="178" xfId="1" applyBorder="1" applyProtection="1"/>
    <xf numFmtId="0" fontId="3" fillId="0" borderId="18" xfId="1" applyFont="1" applyBorder="1" applyAlignment="1" applyProtection="1"/>
    <xf numFmtId="0" fontId="33" fillId="0" borderId="0" xfId="1" applyFont="1" applyBorder="1" applyAlignment="1" applyProtection="1">
      <alignment horizontal="center" vertical="center"/>
    </xf>
    <xf numFmtId="0" fontId="53" fillId="0" borderId="0" xfId="1" applyFont="1" applyBorder="1" applyAlignment="1" applyProtection="1">
      <alignment vertical="top"/>
    </xf>
    <xf numFmtId="0" fontId="74" fillId="0" borderId="0" xfId="1" applyFont="1" applyFill="1" applyBorder="1" applyAlignment="1" applyProtection="1">
      <alignment vertical="top"/>
    </xf>
    <xf numFmtId="0" fontId="55" fillId="0" borderId="0" xfId="1" applyFont="1" applyBorder="1" applyAlignment="1" applyProtection="1">
      <alignment vertical="top"/>
    </xf>
    <xf numFmtId="0" fontId="3" fillId="0" borderId="0" xfId="1" applyFont="1" applyBorder="1" applyAlignment="1" applyProtection="1">
      <alignment horizontal="right" vertical="top"/>
    </xf>
    <xf numFmtId="0" fontId="3" fillId="0" borderId="0" xfId="1" applyBorder="1" applyProtection="1"/>
    <xf numFmtId="0" fontId="3" fillId="0" borderId="68" xfId="1" applyFont="1" applyBorder="1" applyAlignment="1" applyProtection="1"/>
    <xf numFmtId="0" fontId="3" fillId="0" borderId="99" xfId="1" applyBorder="1" applyAlignment="1" applyProtection="1">
      <alignment horizontal="center" vertical="center"/>
    </xf>
    <xf numFmtId="0" fontId="3" fillId="0" borderId="64" xfId="1" applyBorder="1" applyAlignment="1" applyProtection="1">
      <alignment horizontal="center" vertical="center"/>
    </xf>
    <xf numFmtId="0" fontId="3" fillId="0" borderId="493" xfId="1" applyBorder="1" applyAlignment="1" applyProtection="1">
      <alignment horizontal="center" vertical="center"/>
    </xf>
    <xf numFmtId="0" fontId="65" fillId="0" borderId="0" xfId="1" applyFont="1" applyBorder="1" applyAlignment="1" applyProtection="1">
      <alignment horizontal="center"/>
    </xf>
    <xf numFmtId="0" fontId="65" fillId="0" borderId="0" xfId="5" applyFont="1" applyFill="1" applyBorder="1" applyAlignment="1" applyProtection="1">
      <alignment horizontal="center" vertical="center"/>
    </xf>
    <xf numFmtId="49" fontId="9" fillId="3" borderId="494" xfId="1" applyNumberFormat="1" applyFont="1" applyFill="1" applyBorder="1" applyAlignment="1" applyProtection="1">
      <alignment horizontal="center" vertical="center" wrapText="1"/>
      <protection locked="0"/>
    </xf>
    <xf numFmtId="49" fontId="9" fillId="3" borderId="495" xfId="1" applyNumberFormat="1" applyFont="1" applyFill="1" applyBorder="1" applyAlignment="1" applyProtection="1">
      <alignment horizontal="center" vertical="center" wrapText="1"/>
      <protection locked="0"/>
    </xf>
    <xf numFmtId="49" fontId="9" fillId="3" borderId="496" xfId="1" applyNumberFormat="1" applyFont="1" applyFill="1" applyBorder="1" applyAlignment="1" applyProtection="1">
      <alignment horizontal="center" vertical="center" wrapText="1"/>
      <protection locked="0"/>
    </xf>
    <xf numFmtId="0" fontId="65" fillId="3" borderId="422" xfId="1" applyFont="1" applyFill="1" applyBorder="1" applyAlignment="1" applyProtection="1">
      <alignment horizontal="center" vertical="center" shrinkToFit="1"/>
      <protection locked="0"/>
    </xf>
    <xf numFmtId="0" fontId="65" fillId="3" borderId="6" xfId="1" applyFont="1" applyFill="1" applyBorder="1" applyAlignment="1" applyProtection="1">
      <alignment horizontal="center" vertical="center" shrinkToFit="1"/>
      <protection locked="0"/>
    </xf>
    <xf numFmtId="0" fontId="65" fillId="3" borderId="2" xfId="1" applyFont="1" applyFill="1" applyBorder="1" applyAlignment="1" applyProtection="1">
      <alignment horizontal="center" vertical="center" shrinkToFit="1"/>
      <protection locked="0"/>
    </xf>
    <xf numFmtId="0" fontId="65" fillId="3" borderId="426" xfId="1" applyFont="1" applyFill="1" applyBorder="1" applyAlignment="1" applyProtection="1">
      <alignment horizontal="center" vertical="center" shrinkToFit="1"/>
      <protection locked="0"/>
    </xf>
    <xf numFmtId="0" fontId="65" fillId="3" borderId="499" xfId="1" applyFont="1" applyFill="1" applyBorder="1" applyAlignment="1" applyProtection="1">
      <alignment horizontal="center" vertical="center" shrinkToFit="1"/>
      <protection locked="0"/>
    </xf>
    <xf numFmtId="0" fontId="65" fillId="3" borderId="134" xfId="1" applyFont="1" applyFill="1" applyBorder="1" applyAlignment="1" applyProtection="1">
      <alignment horizontal="center" vertical="center" shrinkToFit="1"/>
      <protection locked="0"/>
    </xf>
    <xf numFmtId="0" fontId="26" fillId="0" borderId="0" xfId="1" applyFont="1" applyBorder="1" applyAlignment="1" applyProtection="1">
      <alignment vertical="center"/>
    </xf>
    <xf numFmtId="0" fontId="60" fillId="0" borderId="0" xfId="1" applyFont="1" applyBorder="1" applyAlignment="1" applyProtection="1">
      <alignment vertical="center" wrapText="1" justifyLastLine="1"/>
    </xf>
    <xf numFmtId="0" fontId="60" fillId="0" borderId="78" xfId="1" applyFont="1" applyBorder="1" applyAlignment="1" applyProtection="1">
      <alignment vertical="center" wrapText="1" justifyLastLine="1"/>
    </xf>
    <xf numFmtId="0" fontId="65" fillId="7" borderId="504" xfId="1" applyFont="1" applyFill="1" applyBorder="1" applyAlignment="1" applyProtection="1">
      <alignment horizontal="center" vertical="center" shrinkToFit="1"/>
      <protection locked="0"/>
    </xf>
    <xf numFmtId="0" fontId="65" fillId="7" borderId="505" xfId="1" applyFont="1" applyFill="1" applyBorder="1" applyAlignment="1" applyProtection="1">
      <alignment horizontal="center" vertical="center" shrinkToFit="1"/>
      <protection locked="0"/>
    </xf>
    <xf numFmtId="0" fontId="65" fillId="7" borderId="506" xfId="1" applyFont="1" applyFill="1" applyBorder="1" applyAlignment="1" applyProtection="1">
      <alignment horizontal="center" vertical="center" shrinkToFit="1"/>
      <protection locked="0"/>
    </xf>
    <xf numFmtId="0" fontId="9" fillId="0" borderId="507" xfId="1" applyFont="1" applyBorder="1" applyAlignment="1" applyProtection="1">
      <alignment horizontal="center" vertical="center" wrapText="1"/>
    </xf>
    <xf numFmtId="0" fontId="9" fillId="0" borderId="0" xfId="1" applyFont="1" applyBorder="1" applyAlignment="1" applyProtection="1">
      <alignment horizontal="center" vertical="center"/>
    </xf>
    <xf numFmtId="0" fontId="65" fillId="0" borderId="0" xfId="1" applyFont="1" applyFill="1" applyBorder="1" applyAlignment="1" applyProtection="1">
      <alignment horizontal="center" vertical="center" textRotation="255"/>
    </xf>
    <xf numFmtId="180" fontId="7" fillId="0" borderId="0" xfId="1" applyNumberFormat="1" applyFont="1" applyFill="1" applyBorder="1" applyAlignment="1" applyProtection="1">
      <alignment vertical="center"/>
    </xf>
    <xf numFmtId="0" fontId="65" fillId="0" borderId="2" xfId="5" applyFont="1" applyFill="1" applyBorder="1" applyAlignment="1" applyProtection="1">
      <alignment horizontal="center" vertical="center" shrinkToFit="1"/>
    </xf>
    <xf numFmtId="0" fontId="65" fillId="0" borderId="0" xfId="1" applyFont="1" applyFill="1" applyBorder="1" applyAlignment="1" applyProtection="1">
      <alignment horizontal="center"/>
    </xf>
    <xf numFmtId="0" fontId="36" fillId="0" borderId="0" xfId="1" applyFont="1" applyBorder="1" applyAlignment="1" applyProtection="1">
      <alignment horizontal="left" vertical="center"/>
    </xf>
    <xf numFmtId="0" fontId="36" fillId="0" borderId="0" xfId="1" applyFont="1" applyBorder="1" applyAlignment="1" applyProtection="1">
      <alignment vertical="center" textRotation="255"/>
    </xf>
    <xf numFmtId="3" fontId="7" fillId="6" borderId="397" xfId="1" applyNumberFormat="1" applyFont="1" applyFill="1" applyBorder="1" applyAlignment="1" applyProtection="1">
      <alignment horizontal="right" vertical="center"/>
      <protection locked="0"/>
    </xf>
    <xf numFmtId="3" fontId="7" fillId="3" borderId="395" xfId="1" applyNumberFormat="1" applyFont="1" applyFill="1" applyBorder="1" applyAlignment="1" applyProtection="1">
      <alignment horizontal="right" vertical="center"/>
      <protection locked="0"/>
    </xf>
    <xf numFmtId="0" fontId="65" fillId="0" borderId="4" xfId="1" applyFont="1" applyFill="1" applyBorder="1" applyAlignment="1" applyProtection="1">
      <alignment horizontal="center" vertical="center" shrinkToFit="1"/>
    </xf>
    <xf numFmtId="0" fontId="65" fillId="0" borderId="6" xfId="5" applyFont="1" applyFill="1" applyBorder="1" applyAlignment="1" applyProtection="1">
      <alignment horizontal="center" vertical="center" shrinkToFit="1"/>
    </xf>
    <xf numFmtId="0" fontId="65" fillId="0" borderId="27" xfId="1" applyFont="1" applyFill="1" applyBorder="1" applyAlignment="1" applyProtection="1">
      <alignment horizontal="center" vertical="center"/>
    </xf>
    <xf numFmtId="0" fontId="65" fillId="0" borderId="2" xfId="1" applyFont="1" applyFill="1" applyBorder="1" applyAlignment="1" applyProtection="1">
      <alignment horizontal="center" vertical="center"/>
    </xf>
    <xf numFmtId="180" fontId="7" fillId="0" borderId="1" xfId="1" applyNumberFormat="1" applyFont="1" applyFill="1" applyBorder="1" applyAlignment="1" applyProtection="1">
      <alignment vertical="center" shrinkToFit="1"/>
    </xf>
    <xf numFmtId="180" fontId="7" fillId="0" borderId="542" xfId="1" applyNumberFormat="1" applyFont="1" applyFill="1" applyBorder="1" applyAlignment="1" applyProtection="1">
      <alignment vertical="center" shrinkToFit="1"/>
    </xf>
    <xf numFmtId="180" fontId="7" fillId="0" borderId="543" xfId="1" applyNumberFormat="1" applyFont="1" applyFill="1" applyBorder="1" applyAlignment="1" applyProtection="1">
      <alignment vertical="center" shrinkToFit="1"/>
    </xf>
    <xf numFmtId="180" fontId="7" fillId="0" borderId="544" xfId="1" applyNumberFormat="1" applyFont="1" applyFill="1" applyBorder="1" applyAlignment="1" applyProtection="1">
      <alignment vertical="center" shrinkToFit="1"/>
    </xf>
    <xf numFmtId="180" fontId="7" fillId="0" borderId="3" xfId="1" applyNumberFormat="1" applyFont="1" applyFill="1" applyBorder="1" applyAlignment="1" applyProtection="1">
      <alignment vertical="center" shrinkToFit="1"/>
    </xf>
    <xf numFmtId="180" fontId="7" fillId="0" borderId="2" xfId="1" applyNumberFormat="1" applyFont="1" applyFill="1" applyBorder="1" applyAlignment="1" applyProtection="1">
      <alignment vertical="center" shrinkToFit="1"/>
    </xf>
    <xf numFmtId="180" fontId="7" fillId="0" borderId="511" xfId="1" applyNumberFormat="1" applyFont="1" applyFill="1" applyBorder="1" applyAlignment="1" applyProtection="1">
      <alignment vertical="center" shrinkToFit="1"/>
    </xf>
    <xf numFmtId="180" fontId="7" fillId="0" borderId="516" xfId="1" applyNumberFormat="1" applyFont="1" applyFill="1" applyBorder="1" applyAlignment="1" applyProtection="1">
      <alignment vertical="center" shrinkToFit="1"/>
    </xf>
    <xf numFmtId="0" fontId="65" fillId="0" borderId="106" xfId="1" applyFont="1" applyFill="1" applyBorder="1" applyAlignment="1" applyProtection="1">
      <alignment horizontal="center" vertical="center" shrinkToFit="1"/>
    </xf>
    <xf numFmtId="0" fontId="65" fillId="0" borderId="106" xfId="5" applyFont="1" applyFill="1" applyBorder="1" applyAlignment="1" applyProtection="1">
      <alignment horizontal="center" vertical="center" shrinkToFit="1"/>
    </xf>
    <xf numFmtId="0" fontId="65" fillId="0" borderId="106" xfId="1" applyFont="1" applyFill="1" applyBorder="1" applyAlignment="1" applyProtection="1">
      <alignment horizontal="center" vertical="center"/>
    </xf>
    <xf numFmtId="180" fontId="7" fillId="0" borderId="16" xfId="1" applyNumberFormat="1" applyFont="1" applyFill="1" applyBorder="1" applyAlignment="1" applyProtection="1">
      <alignment vertical="center" shrinkToFit="1"/>
    </xf>
    <xf numFmtId="180" fontId="7" fillId="0" borderId="533" xfId="1" applyNumberFormat="1" applyFont="1" applyFill="1" applyBorder="1" applyAlignment="1" applyProtection="1">
      <alignment vertical="center" shrinkToFit="1"/>
    </xf>
    <xf numFmtId="0" fontId="65" fillId="0" borderId="0" xfId="1" applyFont="1" applyAlignment="1" applyProtection="1">
      <alignment vertical="top"/>
    </xf>
    <xf numFmtId="0" fontId="65" fillId="0" borderId="1" xfId="5" applyFont="1" applyFill="1" applyBorder="1" applyAlignment="1" applyProtection="1">
      <alignment horizontal="center" vertical="center"/>
    </xf>
    <xf numFmtId="0" fontId="9" fillId="7" borderId="431" xfId="5" applyFont="1" applyFill="1" applyBorder="1" applyAlignment="1" applyProtection="1">
      <alignment horizontal="center" vertical="center" wrapText="1"/>
      <protection locked="0"/>
    </xf>
    <xf numFmtId="180" fontId="7" fillId="7" borderId="432" xfId="6" applyNumberFormat="1" applyFont="1" applyFill="1" applyBorder="1" applyAlignment="1" applyProtection="1">
      <alignment horizontal="right" vertical="center" shrinkToFit="1"/>
      <protection locked="0"/>
    </xf>
    <xf numFmtId="0" fontId="9" fillId="7" borderId="202" xfId="5" applyFont="1" applyFill="1" applyBorder="1" applyAlignment="1" applyProtection="1">
      <alignment horizontal="center" vertical="center" wrapText="1"/>
      <protection locked="0"/>
    </xf>
    <xf numFmtId="180" fontId="7" fillId="7" borderId="12" xfId="6" applyNumberFormat="1" applyFont="1" applyFill="1" applyBorder="1" applyAlignment="1" applyProtection="1">
      <alignment horizontal="right" vertical="center" shrinkToFit="1"/>
      <protection locked="0"/>
    </xf>
    <xf numFmtId="0" fontId="9" fillId="7" borderId="545" xfId="5" applyFont="1" applyFill="1" applyBorder="1" applyAlignment="1" applyProtection="1">
      <alignment horizontal="center" vertical="center" wrapText="1"/>
      <protection locked="0"/>
    </xf>
    <xf numFmtId="180" fontId="7" fillId="7" borderId="546" xfId="6" applyNumberFormat="1" applyFont="1" applyFill="1" applyBorder="1" applyAlignment="1" applyProtection="1">
      <alignment horizontal="right" vertical="center" shrinkToFit="1"/>
      <protection locked="0"/>
    </xf>
    <xf numFmtId="0" fontId="9" fillId="0" borderId="0" xfId="1" applyFont="1" applyAlignment="1">
      <alignment vertical="center" shrinkToFit="1"/>
    </xf>
    <xf numFmtId="0" fontId="9" fillId="0" borderId="0" xfId="1" applyFont="1" applyAlignment="1">
      <alignment horizontal="center" vertical="center" wrapText="1"/>
    </xf>
    <xf numFmtId="0" fontId="9" fillId="0" borderId="0" xfId="1" applyFont="1" applyAlignment="1">
      <alignment horizontal="center" vertical="center"/>
    </xf>
    <xf numFmtId="0" fontId="9" fillId="0" borderId="24" xfId="1" applyFont="1" applyBorder="1" applyAlignment="1">
      <alignment vertical="center" shrinkToFit="1"/>
    </xf>
    <xf numFmtId="0" fontId="9" fillId="0" borderId="0" xfId="1" applyFont="1" applyAlignment="1">
      <alignment vertical="center"/>
    </xf>
    <xf numFmtId="0" fontId="9" fillId="0" borderId="1" xfId="7" applyFont="1" applyBorder="1" applyAlignment="1">
      <alignment vertical="center"/>
    </xf>
    <xf numFmtId="0" fontId="9" fillId="0" borderId="6" xfId="1" applyFont="1" applyBorder="1" applyAlignment="1">
      <alignment vertical="top" wrapText="1" shrinkToFit="1"/>
    </xf>
    <xf numFmtId="0" fontId="9" fillId="0" borderId="6" xfId="1" applyFont="1" applyBorder="1" applyAlignment="1">
      <alignment horizontal="center" vertical="center" shrinkToFit="1"/>
    </xf>
    <xf numFmtId="0" fontId="9" fillId="0" borderId="26" xfId="1" applyFont="1" applyBorder="1" applyAlignment="1">
      <alignment vertical="center" shrinkToFit="1"/>
    </xf>
    <xf numFmtId="0" fontId="9" fillId="0" borderId="5" xfId="7" applyFont="1" applyBorder="1" applyAlignment="1">
      <alignment vertical="center"/>
    </xf>
    <xf numFmtId="0" fontId="9" fillId="0" borderId="29" xfId="1" applyFont="1" applyBorder="1" applyAlignment="1">
      <alignment vertical="center" shrinkToFit="1"/>
    </xf>
    <xf numFmtId="0" fontId="9" fillId="0" borderId="106" xfId="7" applyFont="1" applyBorder="1" applyAlignment="1">
      <alignment vertical="center"/>
    </xf>
    <xf numFmtId="0" fontId="9" fillId="0" borderId="6" xfId="1" applyFont="1" applyFill="1" applyBorder="1" applyAlignment="1">
      <alignment horizontal="center" vertical="center" shrinkToFit="1"/>
    </xf>
    <xf numFmtId="0" fontId="9" fillId="0" borderId="5" xfId="1" applyFont="1" applyBorder="1" applyAlignment="1">
      <alignment vertical="center" shrinkToFit="1"/>
    </xf>
    <xf numFmtId="0" fontId="9" fillId="0" borderId="5" xfId="1" applyFont="1" applyBorder="1" applyAlignment="1">
      <alignment vertical="center" wrapText="1" shrinkToFit="1"/>
    </xf>
    <xf numFmtId="0" fontId="9" fillId="0" borderId="5" xfId="1" applyNumberFormat="1" applyFont="1" applyFill="1" applyBorder="1" applyAlignment="1">
      <alignment vertical="center" shrinkToFit="1"/>
    </xf>
    <xf numFmtId="0" fontId="9" fillId="0" borderId="5" xfId="1" applyFont="1" applyFill="1" applyBorder="1" applyAlignment="1">
      <alignment vertical="center" shrinkToFit="1"/>
    </xf>
    <xf numFmtId="0" fontId="9" fillId="0" borderId="106" xfId="1" applyNumberFormat="1" applyFont="1" applyFill="1" applyBorder="1" applyAlignment="1">
      <alignment vertical="center" shrinkToFit="1"/>
    </xf>
    <xf numFmtId="0" fontId="9" fillId="0" borderId="1" xfId="1" applyNumberFormat="1" applyFont="1" applyBorder="1" applyAlignment="1">
      <alignment vertical="center" shrinkToFit="1"/>
    </xf>
    <xf numFmtId="0" fontId="9" fillId="0" borderId="5" xfId="1" applyNumberFormat="1" applyFont="1" applyBorder="1" applyAlignment="1">
      <alignment vertical="center" shrinkToFit="1"/>
    </xf>
    <xf numFmtId="0" fontId="9" fillId="0" borderId="1" xfId="1" applyFont="1" applyBorder="1" applyAlignment="1">
      <alignment vertical="center" shrinkToFit="1"/>
    </xf>
    <xf numFmtId="0" fontId="9" fillId="0" borderId="106" xfId="1" applyFont="1" applyBorder="1" applyAlignment="1">
      <alignment vertical="center" shrinkToFit="1"/>
    </xf>
    <xf numFmtId="0" fontId="9" fillId="0" borderId="0" xfId="1" applyFont="1" applyBorder="1" applyAlignment="1">
      <alignment vertical="center" shrinkToFit="1"/>
    </xf>
    <xf numFmtId="0" fontId="9" fillId="0" borderId="23" xfId="1" applyFont="1" applyBorder="1" applyAlignment="1">
      <alignment vertical="center" shrinkToFit="1"/>
    </xf>
    <xf numFmtId="0" fontId="9" fillId="0" borderId="6" xfId="1" applyFont="1" applyBorder="1" applyAlignment="1">
      <alignment vertical="center" wrapText="1"/>
    </xf>
    <xf numFmtId="0" fontId="9" fillId="0" borderId="1" xfId="1" applyFont="1" applyBorder="1" applyAlignment="1">
      <alignment vertical="center" wrapText="1"/>
    </xf>
    <xf numFmtId="0" fontId="9" fillId="0" borderId="5" xfId="1" applyFont="1" applyBorder="1" applyAlignment="1">
      <alignment vertical="center" wrapText="1"/>
    </xf>
    <xf numFmtId="0" fontId="9" fillId="0" borderId="106" xfId="1" applyFont="1" applyFill="1" applyBorder="1" applyAlignment="1">
      <alignment vertical="center" wrapText="1"/>
    </xf>
    <xf numFmtId="0" fontId="9" fillId="0" borderId="6" xfId="8" applyFont="1" applyFill="1" applyBorder="1" applyAlignment="1">
      <alignment vertical="center" wrapText="1" shrinkToFit="1"/>
    </xf>
    <xf numFmtId="0" fontId="9" fillId="0" borderId="106" xfId="8" applyFont="1" applyFill="1" applyBorder="1" applyAlignment="1">
      <alignment vertical="center" shrinkToFit="1"/>
    </xf>
    <xf numFmtId="0" fontId="9" fillId="0" borderId="6" xfId="1" applyFont="1" applyBorder="1" applyAlignment="1">
      <alignment vertical="center" wrapText="1" shrinkToFit="1"/>
    </xf>
    <xf numFmtId="0" fontId="9" fillId="0" borderId="1" xfId="1" applyNumberFormat="1" applyFont="1" applyFill="1" applyBorder="1" applyAlignment="1">
      <alignment vertical="center" shrinkToFit="1"/>
    </xf>
    <xf numFmtId="0" fontId="9" fillId="0" borderId="6" xfId="1" applyNumberFormat="1" applyFont="1" applyFill="1" applyBorder="1" applyAlignment="1">
      <alignment horizontal="center" vertical="center" shrinkToFit="1"/>
    </xf>
    <xf numFmtId="0" fontId="9" fillId="0" borderId="6" xfId="1" applyNumberFormat="1" applyFont="1" applyFill="1" applyBorder="1" applyAlignment="1">
      <alignment vertical="center" shrinkToFit="1"/>
    </xf>
    <xf numFmtId="0" fontId="3" fillId="0" borderId="28" xfId="1" applyFont="1" applyFill="1" applyBorder="1" applyAlignment="1">
      <alignment vertical="center" wrapText="1"/>
    </xf>
    <xf numFmtId="0" fontId="3" fillId="0" borderId="6" xfId="1" applyFont="1" applyFill="1" applyBorder="1" applyAlignment="1">
      <alignment horizontal="center" vertical="center" wrapText="1"/>
    </xf>
    <xf numFmtId="0" fontId="3" fillId="0" borderId="6" xfId="1" applyFont="1" applyFill="1" applyBorder="1" applyAlignment="1">
      <alignment vertical="center" wrapText="1"/>
    </xf>
    <xf numFmtId="0" fontId="9" fillId="0" borderId="6" xfId="9" applyNumberFormat="1" applyFont="1" applyFill="1" applyBorder="1" applyAlignment="1">
      <alignment horizontal="center" vertical="center" shrinkToFit="1"/>
    </xf>
    <xf numFmtId="0" fontId="9" fillId="0" borderId="0" xfId="7" applyFont="1" applyAlignment="1">
      <alignment vertical="center" shrinkToFit="1"/>
    </xf>
    <xf numFmtId="0" fontId="3" fillId="0" borderId="0" xfId="1" applyFont="1"/>
    <xf numFmtId="0" fontId="9" fillId="0" borderId="0" xfId="8" applyFont="1" applyAlignment="1">
      <alignment vertical="center" shrinkToFit="1"/>
    </xf>
    <xf numFmtId="0" fontId="3" fillId="0" borderId="0" xfId="1" applyFont="1" applyAlignment="1">
      <alignment vertical="center" shrinkToFit="1"/>
    </xf>
    <xf numFmtId="0" fontId="3" fillId="0" borderId="0" xfId="1" applyFont="1" applyAlignment="1">
      <alignment shrinkToFit="1"/>
    </xf>
    <xf numFmtId="0" fontId="3" fillId="0" borderId="0" xfId="1" applyFont="1" applyAlignment="1">
      <alignment horizontal="center" vertical="center" shrinkToFit="1"/>
    </xf>
    <xf numFmtId="0" fontId="9" fillId="0" borderId="0" xfId="3" applyFont="1" applyAlignment="1">
      <alignment vertical="center" shrinkToFit="1"/>
    </xf>
    <xf numFmtId="0" fontId="3" fillId="0" borderId="0" xfId="1" applyFont="1" applyAlignment="1">
      <alignment horizontal="center" shrinkToFit="1"/>
    </xf>
    <xf numFmtId="0" fontId="9" fillId="0" borderId="0" xfId="7" applyFont="1" applyAlignment="1">
      <alignment horizontal="left" vertical="center" wrapText="1"/>
    </xf>
    <xf numFmtId="0" fontId="9" fillId="9" borderId="0" xfId="7" applyFont="1" applyFill="1" applyAlignment="1">
      <alignment horizontal="center" vertical="center" wrapText="1"/>
    </xf>
    <xf numFmtId="0" fontId="9" fillId="3" borderId="0" xfId="7" applyFont="1" applyFill="1" applyAlignment="1">
      <alignment horizontal="center" vertical="center" wrapText="1"/>
    </xf>
    <xf numFmtId="0" fontId="9" fillId="0" borderId="0" xfId="7" applyFont="1" applyAlignment="1">
      <alignment horizontal="center" vertical="center" wrapText="1"/>
    </xf>
    <xf numFmtId="0" fontId="9" fillId="0" borderId="0" xfId="3" applyFont="1" applyAlignment="1">
      <alignment horizontal="center" vertical="center" wrapText="1"/>
    </xf>
    <xf numFmtId="0" fontId="9" fillId="9" borderId="0" xfId="8" applyFont="1" applyFill="1" applyAlignment="1">
      <alignment horizontal="center" vertical="center" wrapText="1"/>
    </xf>
    <xf numFmtId="0" fontId="9" fillId="0" borderId="0" xfId="8" applyFont="1" applyAlignment="1">
      <alignment horizontal="center" vertical="center" wrapText="1"/>
    </xf>
    <xf numFmtId="0" fontId="3" fillId="0" borderId="0" xfId="1" applyFont="1" applyAlignment="1">
      <alignment horizontal="center" vertical="center"/>
    </xf>
    <xf numFmtId="0" fontId="9" fillId="0" borderId="0" xfId="7" applyFont="1" applyFill="1" applyBorder="1" applyAlignment="1">
      <alignment horizontal="center" vertical="center" wrapText="1"/>
    </xf>
    <xf numFmtId="0" fontId="3" fillId="0" borderId="0" xfId="1" applyFont="1" applyAlignment="1">
      <alignment horizontal="center"/>
    </xf>
    <xf numFmtId="0" fontId="3" fillId="2" borderId="28" xfId="1" applyFont="1" applyFill="1" applyBorder="1" applyAlignment="1">
      <alignment vertical="center"/>
    </xf>
    <xf numFmtId="0" fontId="3" fillId="2" borderId="28" xfId="1" applyFont="1" applyFill="1" applyBorder="1" applyAlignment="1">
      <alignment horizontal="center" vertical="center"/>
    </xf>
    <xf numFmtId="0" fontId="3" fillId="2" borderId="0" xfId="1" applyFont="1" applyFill="1" applyAlignment="1">
      <alignment horizontal="center" vertical="center"/>
    </xf>
    <xf numFmtId="0" fontId="9" fillId="10" borderId="0" xfId="7" applyFont="1" applyFill="1" applyAlignment="1">
      <alignment horizontal="center" vertical="center" wrapText="1"/>
    </xf>
    <xf numFmtId="0" fontId="9" fillId="0" borderId="0" xfId="7" applyFont="1" applyAlignment="1">
      <alignment vertical="center"/>
    </xf>
    <xf numFmtId="0" fontId="9" fillId="0" borderId="16" xfId="7" applyFont="1" applyBorder="1" applyAlignment="1">
      <alignment vertical="center" shrinkToFit="1"/>
    </xf>
    <xf numFmtId="0" fontId="9" fillId="0" borderId="23" xfId="7" applyFont="1" applyBorder="1" applyAlignment="1">
      <alignment horizontal="center" vertical="center"/>
    </xf>
    <xf numFmtId="0" fontId="9" fillId="0" borderId="24" xfId="7" applyFont="1" applyBorder="1" applyAlignment="1">
      <alignment horizontal="center" vertical="center"/>
    </xf>
    <xf numFmtId="0" fontId="9" fillId="0" borderId="1" xfId="7" applyFont="1" applyBorder="1" applyAlignment="1">
      <alignment vertical="center" shrinkToFit="1"/>
    </xf>
    <xf numFmtId="0" fontId="9" fillId="0" borderId="1" xfId="8" applyFont="1" applyBorder="1" applyAlignment="1">
      <alignment vertical="center" shrinkToFit="1"/>
    </xf>
    <xf numFmtId="0" fontId="9" fillId="0" borderId="1" xfId="8" applyFont="1" applyBorder="1" applyAlignment="1">
      <alignment vertical="center" wrapText="1" shrinkToFit="1"/>
    </xf>
    <xf numFmtId="0" fontId="9" fillId="0" borderId="1" xfId="7" applyNumberFormat="1" applyFont="1" applyFill="1" applyBorder="1" applyAlignment="1">
      <alignment vertical="center" shrinkToFit="1"/>
    </xf>
    <xf numFmtId="0" fontId="9" fillId="0" borderId="0" xfId="7" applyFont="1" applyFill="1" applyAlignment="1">
      <alignment vertical="center"/>
    </xf>
    <xf numFmtId="0" fontId="9" fillId="0" borderId="1" xfId="7" applyFont="1" applyFill="1" applyBorder="1" applyAlignment="1">
      <alignment vertical="center" shrinkToFit="1"/>
    </xf>
    <xf numFmtId="0" fontId="9" fillId="0" borderId="0" xfId="3" applyFont="1" applyAlignment="1">
      <alignment vertical="center"/>
    </xf>
    <xf numFmtId="0" fontId="9" fillId="0" borderId="0" xfId="7" applyFont="1" applyBorder="1" applyAlignment="1">
      <alignment vertical="center"/>
    </xf>
    <xf numFmtId="0" fontId="9" fillId="0" borderId="0" xfId="8" applyFont="1" applyAlignment="1">
      <alignment vertical="center"/>
    </xf>
    <xf numFmtId="0" fontId="9" fillId="0" borderId="1" xfId="8" applyFont="1" applyBorder="1" applyAlignment="1">
      <alignment vertical="center"/>
    </xf>
    <xf numFmtId="0" fontId="3" fillId="0" borderId="0" xfId="1" applyFont="1" applyAlignment="1">
      <alignment vertical="center"/>
    </xf>
    <xf numFmtId="0" fontId="9" fillId="0" borderId="1" xfId="9" applyNumberFormat="1" applyFont="1" applyFill="1" applyBorder="1" applyAlignment="1">
      <alignment vertical="center" shrinkToFit="1"/>
    </xf>
    <xf numFmtId="0" fontId="3" fillId="0" borderId="6" xfId="1" applyFont="1" applyBorder="1" applyAlignment="1">
      <alignment horizontal="center" vertical="center"/>
    </xf>
    <xf numFmtId="0" fontId="9" fillId="0" borderId="6" xfId="7" applyFont="1" applyBorder="1" applyAlignment="1">
      <alignment vertical="center" wrapText="1"/>
    </xf>
    <xf numFmtId="0" fontId="9" fillId="0" borderId="6" xfId="7" applyFont="1" applyBorder="1" applyAlignment="1">
      <alignment vertical="center"/>
    </xf>
    <xf numFmtId="0" fontId="9" fillId="0" borderId="6" xfId="7" applyFont="1" applyBorder="1" applyAlignment="1">
      <alignment horizontal="center" vertical="center"/>
    </xf>
    <xf numFmtId="0" fontId="9" fillId="0" borderId="25" xfId="7" applyFont="1" applyBorder="1" applyAlignment="1">
      <alignment vertical="center" shrinkToFit="1"/>
    </xf>
    <xf numFmtId="0" fontId="9" fillId="0" borderId="0" xfId="7" applyFont="1" applyBorder="1" applyAlignment="1">
      <alignment horizontal="center" vertical="center"/>
    </xf>
    <xf numFmtId="0" fontId="9" fillId="0" borderId="26" xfId="7" applyFont="1" applyBorder="1" applyAlignment="1">
      <alignment horizontal="center" vertical="center"/>
    </xf>
    <xf numFmtId="0" fontId="9" fillId="0" borderId="106" xfId="7" applyFont="1" applyBorder="1" applyAlignment="1">
      <alignment vertical="center" shrinkToFit="1"/>
    </xf>
    <xf numFmtId="0" fontId="9" fillId="0" borderId="5" xfId="7" applyFont="1" applyBorder="1" applyAlignment="1">
      <alignment vertical="center" shrinkToFit="1"/>
    </xf>
    <xf numFmtId="0" fontId="9" fillId="0" borderId="5" xfId="8" applyFont="1" applyBorder="1" applyAlignment="1">
      <alignment vertical="center" shrinkToFit="1"/>
    </xf>
    <xf numFmtId="0" fontId="9" fillId="0" borderId="5" xfId="7" applyNumberFormat="1" applyFont="1" applyFill="1" applyBorder="1" applyAlignment="1">
      <alignment vertical="center" shrinkToFit="1"/>
    </xf>
    <xf numFmtId="0" fontId="9" fillId="0" borderId="5" xfId="7" applyFont="1" applyFill="1" applyBorder="1" applyAlignment="1">
      <alignment vertical="center" shrinkToFit="1"/>
    </xf>
    <xf numFmtId="0" fontId="9" fillId="0" borderId="106" xfId="8" applyFont="1" applyBorder="1" applyAlignment="1">
      <alignment vertical="center" shrinkToFit="1"/>
    </xf>
    <xf numFmtId="0" fontId="9" fillId="0" borderId="5" xfId="8" applyFont="1" applyBorder="1" applyAlignment="1">
      <alignment vertical="center"/>
    </xf>
    <xf numFmtId="0" fontId="9" fillId="0" borderId="106" xfId="8" applyFont="1" applyBorder="1" applyAlignment="1">
      <alignment vertical="center"/>
    </xf>
    <xf numFmtId="0" fontId="9" fillId="0" borderId="5" xfId="9" applyNumberFormat="1" applyFont="1" applyFill="1" applyBorder="1" applyAlignment="1">
      <alignment vertical="center" shrinkToFit="1"/>
    </xf>
    <xf numFmtId="0" fontId="9" fillId="0" borderId="5" xfId="8" applyFont="1" applyBorder="1" applyAlignment="1">
      <alignment vertical="center" wrapText="1" shrinkToFit="1"/>
    </xf>
    <xf numFmtId="0" fontId="9" fillId="0" borderId="23" xfId="8" applyFont="1" applyBorder="1" applyAlignment="1">
      <alignment vertical="center"/>
    </xf>
    <xf numFmtId="0" fontId="24" fillId="0" borderId="28" xfId="1" applyFont="1" applyFill="1" applyBorder="1" applyAlignment="1">
      <alignment vertical="center" wrapText="1"/>
    </xf>
    <xf numFmtId="0" fontId="9" fillId="0" borderId="0" xfId="8" applyFont="1" applyBorder="1" applyAlignment="1">
      <alignment vertical="center"/>
    </xf>
    <xf numFmtId="0" fontId="9" fillId="0" borderId="5" xfId="7" applyFont="1" applyFill="1" applyBorder="1" applyAlignment="1">
      <alignment vertical="center"/>
    </xf>
    <xf numFmtId="0" fontId="9" fillId="0" borderId="5" xfId="8" applyFont="1" applyFill="1" applyBorder="1" applyAlignment="1">
      <alignment vertical="center"/>
    </xf>
    <xf numFmtId="0" fontId="9" fillId="0" borderId="1" xfId="7" applyFont="1" applyBorder="1" applyAlignment="1">
      <alignment vertical="center" wrapText="1"/>
    </xf>
    <xf numFmtId="0" fontId="9" fillId="0" borderId="0" xfId="7" applyFont="1" applyFill="1" applyBorder="1" applyAlignment="1">
      <alignment vertical="center"/>
    </xf>
    <xf numFmtId="0" fontId="9" fillId="0" borderId="5" xfId="7" applyFont="1" applyBorder="1" applyAlignment="1">
      <alignment vertical="center" wrapText="1"/>
    </xf>
    <xf numFmtId="0" fontId="9" fillId="0" borderId="106" xfId="7" applyFont="1" applyBorder="1" applyAlignment="1">
      <alignment vertical="center" wrapText="1"/>
    </xf>
    <xf numFmtId="0" fontId="3" fillId="0" borderId="28" xfId="0" applyFont="1" applyFill="1" applyBorder="1" applyAlignment="1">
      <alignment vertical="center" wrapText="1"/>
    </xf>
    <xf numFmtId="0" fontId="3" fillId="0" borderId="6" xfId="0" applyFont="1" applyFill="1" applyBorder="1" applyAlignment="1">
      <alignment horizontal="center" vertical="center" wrapText="1"/>
    </xf>
    <xf numFmtId="0" fontId="9" fillId="0" borderId="6" xfId="0" applyFont="1" applyBorder="1" applyAlignment="1">
      <alignment horizontal="center" vertical="center" shrinkToFit="1"/>
    </xf>
    <xf numFmtId="0" fontId="9" fillId="0" borderId="106" xfId="1" applyFont="1" applyFill="1" applyBorder="1" applyAlignment="1">
      <alignment vertical="center" shrinkToFit="1"/>
    </xf>
    <xf numFmtId="0" fontId="9" fillId="0" borderId="106" xfId="9" applyNumberFormat="1" applyFont="1" applyFill="1" applyBorder="1" applyAlignment="1">
      <alignment vertical="center" shrinkToFit="1"/>
    </xf>
    <xf numFmtId="0" fontId="9" fillId="0" borderId="27" xfId="7" applyFont="1" applyBorder="1" applyAlignment="1">
      <alignment vertical="center" shrinkToFit="1"/>
    </xf>
    <xf numFmtId="0" fontId="9" fillId="0" borderId="28" xfId="7" applyFont="1" applyBorder="1" applyAlignment="1">
      <alignment horizontal="center" vertical="center"/>
    </xf>
    <xf numFmtId="0" fontId="9" fillId="0" borderId="29" xfId="7" applyFont="1" applyBorder="1" applyAlignment="1">
      <alignment horizontal="center" vertical="center"/>
    </xf>
    <xf numFmtId="0" fontId="9" fillId="0" borderId="5" xfId="7" applyNumberFormat="1" applyFont="1" applyBorder="1" applyAlignment="1">
      <alignment vertical="center" shrinkToFit="1"/>
    </xf>
    <xf numFmtId="0" fontId="9" fillId="0" borderId="106" xfId="8" applyFont="1" applyFill="1" applyBorder="1" applyAlignment="1">
      <alignment vertical="center"/>
    </xf>
    <xf numFmtId="0" fontId="24" fillId="0" borderId="6" xfId="1" applyFont="1" applyFill="1" applyBorder="1" applyAlignment="1">
      <alignment vertical="center" wrapText="1"/>
    </xf>
    <xf numFmtId="0" fontId="9" fillId="3" borderId="0" xfId="7" applyFont="1" applyFill="1" applyBorder="1" applyAlignment="1">
      <alignment horizontal="center" vertical="center"/>
    </xf>
    <xf numFmtId="0" fontId="9" fillId="0" borderId="106" xfId="7" applyNumberFormat="1" applyFont="1" applyBorder="1" applyAlignment="1">
      <alignment vertical="center" shrinkToFit="1"/>
    </xf>
    <xf numFmtId="0" fontId="9" fillId="0" borderId="106" xfId="7" applyFont="1" applyBorder="1" applyAlignment="1">
      <alignment vertical="center" wrapText="1" shrinkToFit="1"/>
    </xf>
    <xf numFmtId="0" fontId="9" fillId="11" borderId="0" xfId="7" applyFont="1" applyFill="1" applyAlignment="1">
      <alignment vertical="center"/>
    </xf>
    <xf numFmtId="0" fontId="9" fillId="0" borderId="533" xfId="7" quotePrefix="1" applyFont="1" applyBorder="1" applyAlignment="1">
      <alignment horizontal="center" vertical="center"/>
    </xf>
    <xf numFmtId="0" fontId="9" fillId="0" borderId="6" xfId="7" applyFont="1" applyBorder="1" applyAlignment="1">
      <alignment vertical="center" wrapText="1" shrinkToFit="1"/>
    </xf>
    <xf numFmtId="0" fontId="9" fillId="0" borderId="106" xfId="7" applyFont="1" applyFill="1" applyBorder="1" applyAlignment="1">
      <alignment vertical="center"/>
    </xf>
    <xf numFmtId="0" fontId="9" fillId="0" borderId="533" xfId="7" applyFont="1" applyBorder="1" applyAlignment="1">
      <alignment horizontal="center" vertical="center"/>
    </xf>
    <xf numFmtId="0" fontId="9" fillId="0" borderId="0" xfId="7" applyFont="1" applyBorder="1" applyAlignment="1">
      <alignment vertical="center" shrinkToFit="1"/>
    </xf>
    <xf numFmtId="0" fontId="9" fillId="0" borderId="6" xfId="7" applyFont="1" applyFill="1" applyBorder="1" applyAlignment="1">
      <alignment vertical="center" wrapText="1" shrinkToFit="1"/>
    </xf>
    <xf numFmtId="0" fontId="9" fillId="0" borderId="6" xfId="8" applyFont="1" applyFill="1" applyBorder="1" applyAlignment="1">
      <alignment vertical="center"/>
    </xf>
    <xf numFmtId="0" fontId="9" fillId="0" borderId="6" xfId="0" applyNumberFormat="1" applyFont="1" applyFill="1" applyBorder="1" applyAlignment="1">
      <alignment horizontal="center" vertical="center" shrinkToFit="1"/>
    </xf>
    <xf numFmtId="0" fontId="9" fillId="12" borderId="6" xfId="7" applyFont="1" applyFill="1" applyBorder="1" applyAlignment="1">
      <alignment vertical="center"/>
    </xf>
    <xf numFmtId="0" fontId="9" fillId="0" borderId="6" xfId="7" applyFont="1" applyFill="1" applyBorder="1" applyAlignment="1">
      <alignment horizontal="center" vertical="center"/>
    </xf>
    <xf numFmtId="0" fontId="31" fillId="0" borderId="5" xfId="7" applyFont="1" applyBorder="1" applyAlignment="1">
      <alignment vertical="center" wrapText="1" shrinkToFit="1"/>
    </xf>
    <xf numFmtId="0" fontId="9" fillId="0" borderId="0" xfId="7" applyFont="1" applyBorder="1" applyAlignment="1">
      <alignment vertical="center" wrapText="1" shrinkToFit="1"/>
    </xf>
    <xf numFmtId="0" fontId="9" fillId="0" borderId="6" xfId="7" applyFont="1" applyBorder="1" applyAlignment="1">
      <alignment vertical="center" shrinkToFit="1"/>
    </xf>
    <xf numFmtId="0" fontId="9" fillId="0" borderId="23" xfId="9" applyNumberFormat="1" applyFont="1" applyFill="1" applyBorder="1" applyAlignment="1">
      <alignment vertical="center"/>
    </xf>
    <xf numFmtId="0" fontId="3" fillId="0" borderId="0" xfId="1" applyFont="1" applyFill="1"/>
    <xf numFmtId="191" fontId="7" fillId="3" borderId="509" xfId="1" applyNumberFormat="1" applyFont="1" applyFill="1" applyBorder="1" applyAlignment="1" applyProtection="1">
      <alignment horizontal="right" vertical="center" shrinkToFit="1"/>
      <protection locked="0"/>
    </xf>
    <xf numFmtId="191" fontId="7" fillId="3" borderId="495" xfId="1" applyNumberFormat="1" applyFont="1" applyFill="1" applyBorder="1" applyAlignment="1" applyProtection="1">
      <alignment horizontal="right" vertical="center" shrinkToFit="1"/>
      <protection locked="0"/>
    </xf>
    <xf numFmtId="191" fontId="7" fillId="3" borderId="496" xfId="1" applyNumberFormat="1" applyFont="1" applyFill="1" applyBorder="1" applyAlignment="1" applyProtection="1">
      <alignment horizontal="right" vertical="center" shrinkToFit="1"/>
      <protection locked="0"/>
    </xf>
    <xf numFmtId="191" fontId="7" fillId="3" borderId="494" xfId="1" applyNumberFormat="1" applyFont="1" applyFill="1" applyBorder="1" applyAlignment="1" applyProtection="1">
      <alignment horizontal="right" vertical="center" shrinkToFit="1"/>
      <protection locked="0"/>
    </xf>
    <xf numFmtId="191" fontId="7" fillId="3" borderId="510" xfId="1" applyNumberFormat="1" applyFont="1" applyFill="1" applyBorder="1" applyAlignment="1" applyProtection="1">
      <alignment horizontal="right" vertical="center" shrinkToFit="1"/>
      <protection locked="0"/>
    </xf>
    <xf numFmtId="191" fontId="7" fillId="3" borderId="420" xfId="1" applyNumberFormat="1" applyFont="1" applyFill="1" applyBorder="1" applyAlignment="1" applyProtection="1">
      <alignment horizontal="right" vertical="center" shrinkToFit="1"/>
      <protection locked="0"/>
    </xf>
    <xf numFmtId="191" fontId="7" fillId="3" borderId="6" xfId="1" applyNumberFormat="1" applyFont="1" applyFill="1" applyBorder="1" applyAlignment="1" applyProtection="1">
      <alignment horizontal="right" vertical="center" shrinkToFit="1"/>
      <protection locked="0"/>
    </xf>
    <xf numFmtId="191" fontId="7" fillId="3" borderId="2" xfId="1" applyNumberFormat="1" applyFont="1" applyFill="1" applyBorder="1" applyAlignment="1" applyProtection="1">
      <alignment horizontal="right" vertical="center" shrinkToFit="1"/>
      <protection locked="0"/>
    </xf>
    <xf numFmtId="191" fontId="7" fillId="3" borderId="422" xfId="1" applyNumberFormat="1" applyFont="1" applyFill="1" applyBorder="1" applyAlignment="1" applyProtection="1">
      <alignment horizontal="right" vertical="center" shrinkToFit="1"/>
      <protection locked="0"/>
    </xf>
    <xf numFmtId="191" fontId="7" fillId="3" borderId="58" xfId="1" applyNumberFormat="1" applyFont="1" applyFill="1" applyBorder="1" applyAlignment="1" applyProtection="1">
      <alignment horizontal="right" vertical="center" shrinkToFit="1"/>
      <protection locked="0"/>
    </xf>
    <xf numFmtId="191" fontId="7" fillId="3" borderId="210" xfId="1" applyNumberFormat="1" applyFont="1" applyFill="1" applyBorder="1" applyAlignment="1" applyProtection="1">
      <alignment horizontal="right" vertical="center" shrinkToFit="1"/>
      <protection locked="0"/>
    </xf>
    <xf numFmtId="191" fontId="7" fillId="3" borderId="513" xfId="1" applyNumberFormat="1" applyFont="1" applyFill="1" applyBorder="1" applyAlignment="1" applyProtection="1">
      <alignment horizontal="right" vertical="center" shrinkToFit="1"/>
      <protection locked="0"/>
    </xf>
    <xf numFmtId="191" fontId="7" fillId="3" borderId="514" xfId="1" applyNumberFormat="1" applyFont="1" applyFill="1" applyBorder="1" applyAlignment="1" applyProtection="1">
      <alignment horizontal="right" vertical="center" shrinkToFit="1"/>
      <protection locked="0"/>
    </xf>
    <xf numFmtId="191" fontId="7" fillId="3" borderId="481" xfId="1" applyNumberFormat="1" applyFont="1" applyFill="1" applyBorder="1" applyAlignment="1" applyProtection="1">
      <alignment horizontal="right" vertical="center" shrinkToFit="1"/>
      <protection locked="0"/>
    </xf>
    <xf numFmtId="191" fontId="7" fillId="3" borderId="515" xfId="1" applyNumberFormat="1" applyFont="1" applyFill="1" applyBorder="1" applyAlignment="1" applyProtection="1">
      <alignment horizontal="right" vertical="center" shrinkToFit="1"/>
      <protection locked="0"/>
    </xf>
    <xf numFmtId="191" fontId="7" fillId="3" borderId="114" xfId="1" applyNumberFormat="1" applyFont="1" applyFill="1" applyBorder="1" applyAlignment="1" applyProtection="1">
      <alignment horizontal="right" vertical="center" shrinkToFit="1"/>
      <protection locked="0"/>
    </xf>
    <xf numFmtId="191" fontId="7" fillId="3" borderId="517" xfId="1" applyNumberFormat="1" applyFont="1" applyFill="1" applyBorder="1" applyAlignment="1" applyProtection="1">
      <alignment horizontal="right" vertical="center" shrinkToFit="1"/>
      <protection locked="0"/>
    </xf>
    <xf numFmtId="191" fontId="7" fillId="3" borderId="8" xfId="1" applyNumberFormat="1" applyFont="1" applyFill="1" applyBorder="1" applyAlignment="1" applyProtection="1">
      <alignment horizontal="right" vertical="center" shrinkToFit="1"/>
      <protection locked="0"/>
    </xf>
    <xf numFmtId="191" fontId="7" fillId="3" borderId="518" xfId="1" applyNumberFormat="1" applyFont="1" applyFill="1" applyBorder="1" applyAlignment="1" applyProtection="1">
      <alignment horizontal="right" vertical="center" shrinkToFit="1"/>
      <protection locked="0"/>
    </xf>
    <xf numFmtId="191" fontId="7" fillId="3" borderId="519" xfId="1" applyNumberFormat="1" applyFont="1" applyFill="1" applyBorder="1" applyAlignment="1" applyProtection="1">
      <alignment horizontal="right" vertical="center" shrinkToFit="1"/>
      <protection locked="0"/>
    </xf>
    <xf numFmtId="191" fontId="7" fillId="3" borderId="520" xfId="1" applyNumberFormat="1" applyFont="1" applyFill="1" applyBorder="1" applyAlignment="1" applyProtection="1">
      <alignment horizontal="right" vertical="center" shrinkToFit="1"/>
      <protection locked="0"/>
    </xf>
    <xf numFmtId="191" fontId="8" fillId="0" borderId="521" xfId="1" applyNumberFormat="1" applyFont="1" applyFill="1" applyBorder="1" applyAlignment="1" applyProtection="1">
      <alignment horizontal="center" vertical="center" shrinkToFit="1"/>
      <protection locked="0"/>
    </xf>
    <xf numFmtId="191" fontId="8" fillId="0" borderId="522" xfId="1" applyNumberFormat="1" applyFont="1" applyFill="1" applyBorder="1" applyAlignment="1" applyProtection="1">
      <alignment horizontal="center" vertical="center" shrinkToFit="1"/>
      <protection locked="0"/>
    </xf>
    <xf numFmtId="191" fontId="7" fillId="3" borderId="527" xfId="1" applyNumberFormat="1" applyFont="1" applyFill="1" applyBorder="1" applyAlignment="1" applyProtection="1">
      <alignment horizontal="right" vertical="center" shrinkToFit="1"/>
      <protection locked="0"/>
    </xf>
    <xf numFmtId="191" fontId="7" fillId="3" borderId="528" xfId="1" applyNumberFormat="1" applyFont="1" applyFill="1" applyBorder="1" applyAlignment="1" applyProtection="1">
      <alignment horizontal="right" vertical="center" shrinkToFit="1"/>
      <protection locked="0"/>
    </xf>
    <xf numFmtId="191" fontId="7" fillId="3" borderId="529" xfId="1" applyNumberFormat="1" applyFont="1" applyFill="1" applyBorder="1" applyAlignment="1" applyProtection="1">
      <alignment horizontal="right" vertical="center" shrinkToFit="1"/>
      <protection locked="0"/>
    </xf>
    <xf numFmtId="191" fontId="7" fillId="3" borderId="530" xfId="1" applyNumberFormat="1" applyFont="1" applyFill="1" applyBorder="1" applyAlignment="1" applyProtection="1">
      <alignment horizontal="right" vertical="center" shrinkToFit="1"/>
      <protection locked="0"/>
    </xf>
    <xf numFmtId="191" fontId="7" fillId="3" borderId="531" xfId="1" applyNumberFormat="1" applyFont="1" applyFill="1" applyBorder="1" applyAlignment="1" applyProtection="1">
      <alignment horizontal="right" vertical="center" shrinkToFit="1"/>
      <protection locked="0"/>
    </xf>
    <xf numFmtId="184" fontId="7" fillId="0" borderId="1" xfId="2" applyNumberFormat="1" applyFont="1" applyFill="1" applyBorder="1" applyAlignment="1" applyProtection="1">
      <alignment horizontal="right" vertical="center" shrinkToFit="1"/>
    </xf>
    <xf numFmtId="184" fontId="7" fillId="0" borderId="6" xfId="2" applyNumberFormat="1" applyFont="1" applyFill="1" applyBorder="1" applyAlignment="1" applyProtection="1">
      <alignment horizontal="right" vertical="center" shrinkToFit="1"/>
    </xf>
    <xf numFmtId="184" fontId="7" fillId="0" borderId="96" xfId="2" applyNumberFormat="1" applyFont="1" applyFill="1" applyBorder="1" applyAlignment="1" applyProtection="1">
      <alignment horizontal="right" vertical="center" shrinkToFit="1"/>
    </xf>
    <xf numFmtId="184" fontId="7" fillId="0" borderId="98" xfId="2" applyNumberFormat="1" applyFont="1" applyFill="1" applyBorder="1" applyAlignment="1" applyProtection="1">
      <alignment horizontal="right" vertical="center" shrinkToFit="1"/>
    </xf>
    <xf numFmtId="184" fontId="7" fillId="0" borderId="4" xfId="2" applyNumberFormat="1" applyFont="1" applyFill="1" applyBorder="1" applyAlignment="1" applyProtection="1">
      <alignment horizontal="right" vertical="center" shrinkToFit="1"/>
    </xf>
    <xf numFmtId="184" fontId="7" fillId="0" borderId="2" xfId="2" applyNumberFormat="1" applyFont="1" applyFill="1" applyBorder="1" applyAlignment="1" applyProtection="1">
      <alignment horizontal="right" vertical="center" shrinkToFit="1"/>
    </xf>
    <xf numFmtId="184" fontId="7" fillId="0" borderId="511" xfId="2" applyNumberFormat="1" applyFont="1" applyFill="1" applyBorder="1" applyAlignment="1" applyProtection="1">
      <alignment horizontal="right" vertical="center" shrinkToFit="1"/>
    </xf>
    <xf numFmtId="184" fontId="7" fillId="0" borderId="3" xfId="2" applyNumberFormat="1" applyFont="1" applyFill="1" applyBorder="1" applyAlignment="1" applyProtection="1">
      <alignment horizontal="right" vertical="center" shrinkToFit="1"/>
    </xf>
    <xf numFmtId="184" fontId="7" fillId="0" borderId="512" xfId="2" applyNumberFormat="1" applyFont="1" applyFill="1" applyBorder="1" applyAlignment="1" applyProtection="1">
      <alignment horizontal="right" vertical="center" shrinkToFit="1"/>
    </xf>
    <xf numFmtId="184" fontId="7" fillId="0" borderId="109" xfId="2" applyNumberFormat="1" applyFont="1" applyFill="1" applyBorder="1" applyAlignment="1" applyProtection="1">
      <alignment horizontal="right" vertical="center" shrinkToFit="1"/>
    </xf>
    <xf numFmtId="184" fontId="7" fillId="0" borderId="119" xfId="2" applyNumberFormat="1" applyFont="1" applyFill="1" applyBorder="1" applyAlignment="1" applyProtection="1">
      <alignment horizontal="right" vertical="center" shrinkToFit="1"/>
    </xf>
    <xf numFmtId="184" fontId="7" fillId="0" borderId="516" xfId="2" applyNumberFormat="1" applyFont="1" applyFill="1" applyBorder="1" applyAlignment="1" applyProtection="1">
      <alignment horizontal="right" vertical="center" shrinkToFit="1"/>
    </xf>
    <xf numFmtId="184" fontId="7" fillId="0" borderId="156" xfId="2" applyNumberFormat="1" applyFont="1" applyFill="1" applyBorder="1" applyAlignment="1" applyProtection="1">
      <alignment horizontal="right" vertical="center" shrinkToFit="1"/>
    </xf>
    <xf numFmtId="184" fontId="7" fillId="0" borderId="409" xfId="2" applyNumberFormat="1" applyFont="1" applyFill="1" applyBorder="1" applyAlignment="1" applyProtection="1">
      <alignment horizontal="right" vertical="center" shrinkToFit="1"/>
    </xf>
    <xf numFmtId="184" fontId="7" fillId="0" borderId="100" xfId="2" applyNumberFormat="1" applyFont="1" applyFill="1" applyBorder="1" applyAlignment="1" applyProtection="1">
      <alignment horizontal="right" vertical="center" shrinkToFit="1"/>
    </xf>
    <xf numFmtId="184" fontId="7" fillId="0" borderId="102" xfId="2" applyNumberFormat="1" applyFont="1" applyFill="1" applyBorder="1" applyAlignment="1" applyProtection="1">
      <alignment horizontal="right" vertical="center" shrinkToFit="1"/>
    </xf>
    <xf numFmtId="184" fontId="7" fillId="0" borderId="533" xfId="2" applyNumberFormat="1" applyFont="1" applyFill="1" applyBorder="1" applyAlignment="1" applyProtection="1">
      <alignment horizontal="right" vertical="center" shrinkToFit="1"/>
    </xf>
    <xf numFmtId="184" fontId="7" fillId="0" borderId="1" xfId="1" applyNumberFormat="1" applyFont="1" applyFill="1" applyBorder="1" applyAlignment="1" applyProtection="1">
      <alignment vertical="center" shrinkToFit="1"/>
    </xf>
    <xf numFmtId="184" fontId="7" fillId="0" borderId="542" xfId="1" applyNumberFormat="1" applyFont="1" applyFill="1" applyBorder="1" applyAlignment="1" applyProtection="1">
      <alignment vertical="center" shrinkToFit="1"/>
    </xf>
    <xf numFmtId="184" fontId="7" fillId="0" borderId="543" xfId="1" applyNumberFormat="1" applyFont="1" applyFill="1" applyBorder="1" applyAlignment="1" applyProtection="1">
      <alignment vertical="center" shrinkToFit="1"/>
    </xf>
    <xf numFmtId="184" fontId="7" fillId="0" borderId="544" xfId="1" applyNumberFormat="1" applyFont="1" applyFill="1" applyBorder="1" applyAlignment="1" applyProtection="1">
      <alignment vertical="center" shrinkToFit="1"/>
    </xf>
    <xf numFmtId="184" fontId="7" fillId="0" borderId="3" xfId="1" applyNumberFormat="1" applyFont="1" applyFill="1" applyBorder="1" applyAlignment="1" applyProtection="1">
      <alignment vertical="center" shrinkToFit="1"/>
    </xf>
    <xf numFmtId="3" fontId="7" fillId="3" borderId="58" xfId="1" applyNumberFormat="1" applyFont="1" applyFill="1" applyBorder="1" applyAlignment="1" applyProtection="1">
      <alignment horizontal="right" vertical="center" shrinkToFit="1"/>
      <protection locked="0"/>
    </xf>
    <xf numFmtId="180" fontId="7" fillId="0" borderId="547" xfId="1" applyNumberFormat="1" applyFont="1" applyFill="1" applyBorder="1" applyAlignment="1" applyProtection="1">
      <alignment horizontal="center" vertical="center" shrinkToFit="1"/>
    </xf>
    <xf numFmtId="0" fontId="7" fillId="3" borderId="147" xfId="1" applyNumberFormat="1" applyFont="1" applyFill="1" applyBorder="1" applyAlignment="1" applyProtection="1">
      <alignment horizontal="center" vertical="center" shrinkToFit="1"/>
      <protection locked="0"/>
    </xf>
    <xf numFmtId="0" fontId="7" fillId="3" borderId="91" xfId="1" applyNumberFormat="1" applyFont="1" applyFill="1" applyBorder="1" applyAlignment="1" applyProtection="1">
      <alignment horizontal="center" vertical="center" shrinkToFit="1"/>
      <protection locked="0"/>
    </xf>
    <xf numFmtId="0" fontId="7" fillId="3" borderId="81" xfId="1" applyNumberFormat="1" applyFont="1" applyFill="1" applyBorder="1" applyAlignment="1" applyProtection="1">
      <alignment horizontal="center" vertical="center" shrinkToFit="1"/>
      <protection locked="0"/>
    </xf>
    <xf numFmtId="0" fontId="7" fillId="3" borderId="82" xfId="1" applyNumberFormat="1" applyFont="1" applyFill="1" applyBorder="1" applyAlignment="1" applyProtection="1">
      <alignment horizontal="center" vertical="center" shrinkToFit="1"/>
      <protection locked="0"/>
    </xf>
    <xf numFmtId="0" fontId="7" fillId="3" borderId="83" xfId="1" applyNumberFormat="1" applyFont="1" applyFill="1" applyBorder="1" applyAlignment="1" applyProtection="1">
      <alignment horizontal="center" vertical="center" shrinkToFit="1"/>
      <protection locked="0"/>
    </xf>
    <xf numFmtId="0" fontId="7" fillId="3" borderId="208" xfId="1" applyNumberFormat="1" applyFont="1" applyFill="1" applyBorder="1" applyAlignment="1" applyProtection="1">
      <alignment horizontal="center" vertical="center" shrinkToFit="1"/>
      <protection locked="0"/>
    </xf>
    <xf numFmtId="0" fontId="7" fillId="4" borderId="229" xfId="1" applyNumberFormat="1" applyFont="1" applyFill="1" applyBorder="1" applyAlignment="1" applyProtection="1">
      <alignment horizontal="center" vertical="center" shrinkToFit="1"/>
      <protection locked="0"/>
    </xf>
    <xf numFmtId="0" fontId="7" fillId="4" borderId="231" xfId="1" applyNumberFormat="1" applyFont="1" applyFill="1" applyBorder="1" applyAlignment="1" applyProtection="1">
      <alignment horizontal="center" vertical="center" shrinkToFit="1"/>
      <protection locked="0"/>
    </xf>
    <xf numFmtId="0" fontId="7" fillId="4" borderId="202" xfId="1" applyNumberFormat="1" applyFont="1" applyFill="1" applyBorder="1" applyAlignment="1" applyProtection="1">
      <alignment horizontal="center" vertical="center" shrinkToFit="1"/>
      <protection locked="0"/>
    </xf>
    <xf numFmtId="0" fontId="7" fillId="4" borderId="235" xfId="1" applyNumberFormat="1" applyFont="1" applyFill="1" applyBorder="1" applyAlignment="1" applyProtection="1">
      <alignment horizontal="center" vertical="center" shrinkToFit="1"/>
      <protection locked="0"/>
    </xf>
    <xf numFmtId="0" fontId="7" fillId="3" borderId="238" xfId="1" applyNumberFormat="1" applyFont="1" applyFill="1" applyBorder="1" applyAlignment="1" applyProtection="1">
      <alignment horizontal="center" vertical="center"/>
      <protection locked="0"/>
    </xf>
    <xf numFmtId="0" fontId="7" fillId="3" borderId="240" xfId="1" applyNumberFormat="1" applyFont="1" applyFill="1" applyBorder="1" applyAlignment="1" applyProtection="1">
      <alignment horizontal="center" vertical="center"/>
      <protection locked="0"/>
    </xf>
    <xf numFmtId="0" fontId="7" fillId="3" borderId="242" xfId="1" applyNumberFormat="1" applyFont="1" applyFill="1" applyBorder="1" applyAlignment="1" applyProtection="1">
      <alignment horizontal="center" vertical="center"/>
      <protection locked="0"/>
    </xf>
    <xf numFmtId="0" fontId="7" fillId="4" borderId="249" xfId="1" applyNumberFormat="1" applyFont="1" applyFill="1" applyBorder="1" applyAlignment="1" applyProtection="1">
      <alignment horizontal="center" vertical="center" shrinkToFit="1"/>
      <protection locked="0"/>
    </xf>
    <xf numFmtId="0" fontId="7" fillId="4" borderId="250" xfId="1" applyNumberFormat="1" applyFont="1" applyFill="1" applyBorder="1" applyAlignment="1" applyProtection="1">
      <alignment horizontal="center" vertical="center" shrinkToFit="1"/>
      <protection locked="0"/>
    </xf>
    <xf numFmtId="0" fontId="7" fillId="4" borderId="254" xfId="1" applyNumberFormat="1" applyFont="1" applyFill="1" applyBorder="1" applyAlignment="1" applyProtection="1">
      <alignment horizontal="center" vertical="center" shrinkToFit="1"/>
      <protection locked="0"/>
    </xf>
    <xf numFmtId="0" fontId="7" fillId="3" borderId="390" xfId="1" applyNumberFormat="1" applyFont="1" applyFill="1" applyBorder="1" applyAlignment="1" applyProtection="1">
      <alignment horizontal="center" vertical="center" shrinkToFit="1"/>
      <protection locked="0"/>
    </xf>
    <xf numFmtId="0" fontId="7" fillId="3" borderId="240" xfId="1" applyNumberFormat="1" applyFont="1" applyFill="1" applyBorder="1" applyAlignment="1" applyProtection="1">
      <alignment horizontal="center" vertical="center" shrinkToFit="1"/>
      <protection locked="0"/>
    </xf>
    <xf numFmtId="0" fontId="7" fillId="3" borderId="395" xfId="1" applyNumberFormat="1" applyFont="1" applyFill="1" applyBorder="1" applyAlignment="1" applyProtection="1">
      <alignment horizontal="center" vertical="center" shrinkToFit="1"/>
      <protection locked="0"/>
    </xf>
    <xf numFmtId="0" fontId="7" fillId="3" borderId="397" xfId="1" applyNumberFormat="1" applyFont="1" applyFill="1" applyBorder="1" applyAlignment="1" applyProtection="1">
      <alignment horizontal="center" vertical="center" shrinkToFit="1"/>
      <protection locked="0"/>
    </xf>
    <xf numFmtId="0" fontId="7" fillId="4" borderId="377" xfId="1" applyNumberFormat="1" applyFont="1" applyFill="1" applyBorder="1" applyAlignment="1" applyProtection="1">
      <alignment horizontal="center" vertical="center" shrinkToFit="1"/>
      <protection locked="0"/>
    </xf>
    <xf numFmtId="0" fontId="7" fillId="4" borderId="399" xfId="1" applyNumberFormat="1" applyFont="1" applyFill="1" applyBorder="1" applyAlignment="1" applyProtection="1">
      <alignment horizontal="center" vertical="center" shrinkToFit="1"/>
      <protection locked="0"/>
    </xf>
    <xf numFmtId="0" fontId="7" fillId="4" borderId="384" xfId="1" applyNumberFormat="1" applyFont="1" applyFill="1" applyBorder="1" applyAlignment="1" applyProtection="1">
      <alignment horizontal="center" vertical="center" shrinkToFit="1"/>
      <protection locked="0"/>
    </xf>
    <xf numFmtId="0" fontId="7" fillId="4" borderId="407" xfId="1" applyNumberFormat="1" applyFont="1" applyFill="1" applyBorder="1" applyAlignment="1" applyProtection="1">
      <alignment horizontal="center" vertical="center" shrinkToFit="1"/>
      <protection locked="0"/>
    </xf>
    <xf numFmtId="0" fontId="7" fillId="4" borderId="379" xfId="1" applyNumberFormat="1" applyFont="1" applyFill="1" applyBorder="1" applyAlignment="1" applyProtection="1">
      <alignment horizontal="center" vertical="center" shrinkToFit="1"/>
      <protection locked="0"/>
    </xf>
    <xf numFmtId="0" fontId="7" fillId="4" borderId="75" xfId="1" applyNumberFormat="1" applyFont="1" applyFill="1" applyBorder="1" applyAlignment="1" applyProtection="1">
      <alignment horizontal="center" vertical="center" shrinkToFit="1"/>
      <protection locked="0"/>
    </xf>
    <xf numFmtId="0" fontId="7" fillId="3" borderId="238" xfId="4" applyNumberFormat="1" applyFont="1" applyFill="1" applyBorder="1" applyAlignment="1" applyProtection="1">
      <alignment horizontal="center" vertical="center" shrinkToFit="1"/>
      <protection locked="0"/>
    </xf>
    <xf numFmtId="0" fontId="7" fillId="3" borderId="240" xfId="4" applyNumberFormat="1" applyFont="1" applyFill="1" applyBorder="1" applyAlignment="1" applyProtection="1">
      <alignment horizontal="center" vertical="center" shrinkToFit="1"/>
      <protection locked="0"/>
    </xf>
    <xf numFmtId="0" fontId="7" fillId="3" borderId="395" xfId="4" applyNumberFormat="1" applyFont="1" applyFill="1" applyBorder="1" applyAlignment="1" applyProtection="1">
      <alignment horizontal="center" vertical="center" shrinkToFit="1"/>
      <protection locked="0"/>
    </xf>
    <xf numFmtId="0" fontId="7" fillId="3" borderId="397" xfId="4" applyNumberFormat="1" applyFont="1" applyFill="1" applyBorder="1" applyAlignment="1" applyProtection="1">
      <alignment horizontal="center" vertical="center" shrinkToFit="1"/>
      <protection locked="0"/>
    </xf>
    <xf numFmtId="0" fontId="7" fillId="3" borderId="130" xfId="1" applyNumberFormat="1" applyFont="1" applyFill="1" applyBorder="1" applyAlignment="1" applyProtection="1">
      <alignment horizontal="center" vertical="center" shrinkToFit="1"/>
      <protection locked="0"/>
    </xf>
    <xf numFmtId="0" fontId="7" fillId="3" borderId="481" xfId="1" applyNumberFormat="1" applyFont="1" applyFill="1" applyBorder="1" applyAlignment="1" applyProtection="1">
      <alignment horizontal="center" vertical="center" shrinkToFit="1"/>
      <protection locked="0"/>
    </xf>
    <xf numFmtId="0" fontId="7" fillId="3" borderId="484" xfId="1" applyNumberFormat="1" applyFont="1" applyFill="1" applyBorder="1" applyAlignment="1" applyProtection="1">
      <alignment horizontal="center" vertical="center" shrinkToFit="1"/>
      <protection locked="0"/>
    </xf>
    <xf numFmtId="0" fontId="7" fillId="3" borderId="485" xfId="1" applyNumberFormat="1" applyFont="1" applyFill="1" applyBorder="1" applyAlignment="1" applyProtection="1">
      <alignment horizontal="center" vertical="center" shrinkToFit="1"/>
      <protection locked="0"/>
    </xf>
    <xf numFmtId="0" fontId="7" fillId="3" borderId="397" xfId="1" applyNumberFormat="1" applyFont="1" applyFill="1" applyBorder="1" applyAlignment="1" applyProtection="1">
      <alignment horizontal="center" vertical="center"/>
      <protection locked="0"/>
    </xf>
    <xf numFmtId="0" fontId="7" fillId="3" borderId="541" xfId="1" applyNumberFormat="1" applyFont="1" applyFill="1" applyBorder="1" applyAlignment="1" applyProtection="1">
      <alignment horizontal="center" vertical="center"/>
      <protection locked="0"/>
    </xf>
    <xf numFmtId="0" fontId="7" fillId="7" borderId="9" xfId="1" applyNumberFormat="1" applyFont="1" applyFill="1" applyBorder="1" applyAlignment="1" applyProtection="1">
      <alignment vertical="center" shrinkToFit="1"/>
      <protection locked="0"/>
    </xf>
    <xf numFmtId="0" fontId="7" fillId="7" borderId="418" xfId="4" applyNumberFormat="1" applyFont="1" applyFill="1" applyBorder="1" applyAlignment="1" applyProtection="1">
      <alignment horizontal="center" vertical="center" shrinkToFit="1"/>
      <protection locked="0"/>
    </xf>
    <xf numFmtId="0" fontId="7" fillId="7" borderId="423" xfId="4" applyNumberFormat="1" applyFont="1" applyFill="1" applyBorder="1" applyAlignment="1" applyProtection="1">
      <alignment horizontal="center" vertical="center" shrinkToFit="1"/>
      <protection locked="0"/>
    </xf>
    <xf numFmtId="0" fontId="7" fillId="7" borderId="427" xfId="4" applyNumberFormat="1" applyFont="1" applyFill="1" applyBorder="1" applyAlignment="1" applyProtection="1">
      <alignment horizontal="center" vertical="center" shrinkToFit="1"/>
      <protection locked="0"/>
    </xf>
    <xf numFmtId="0" fontId="0" fillId="0" borderId="2" xfId="1" applyFont="1" applyBorder="1" applyAlignment="1" applyProtection="1">
      <alignment horizontal="center" vertical="center" wrapText="1"/>
    </xf>
    <xf numFmtId="0" fontId="3" fillId="0" borderId="3" xfId="1" applyBorder="1" applyAlignment="1" applyProtection="1">
      <alignment horizontal="center" vertical="center"/>
    </xf>
    <xf numFmtId="0" fontId="3" fillId="0" borderId="4" xfId="1" applyBorder="1" applyAlignment="1" applyProtection="1">
      <alignment horizontal="center" vertical="center"/>
    </xf>
    <xf numFmtId="0" fontId="4" fillId="0" borderId="1" xfId="1" applyFont="1" applyFill="1" applyBorder="1" applyAlignment="1" applyProtection="1">
      <alignment horizontal="center" vertical="center" wrapText="1"/>
    </xf>
    <xf numFmtId="0" fontId="4" fillId="0" borderId="5" xfId="1" applyFont="1" applyFill="1" applyBorder="1" applyAlignment="1" applyProtection="1">
      <alignment horizontal="center" vertical="center" wrapText="1"/>
    </xf>
    <xf numFmtId="0" fontId="4" fillId="0" borderId="7" xfId="1" applyFont="1" applyFill="1" applyBorder="1" applyAlignment="1" applyProtection="1">
      <alignment horizontal="center" vertical="center" wrapText="1"/>
    </xf>
    <xf numFmtId="0" fontId="4" fillId="0" borderId="2" xfId="1" applyFont="1" applyBorder="1" applyAlignment="1" applyProtection="1">
      <alignment horizontal="center" vertical="center"/>
    </xf>
    <xf numFmtId="0" fontId="4" fillId="0" borderId="3" xfId="1" applyFont="1" applyBorder="1" applyAlignment="1" applyProtection="1">
      <alignment horizontal="center" vertical="center"/>
    </xf>
    <xf numFmtId="0" fontId="4" fillId="0" borderId="4" xfId="1" applyFont="1" applyBorder="1" applyAlignment="1" applyProtection="1">
      <alignment horizontal="center" vertical="center"/>
    </xf>
    <xf numFmtId="0" fontId="4" fillId="0" borderId="6" xfId="1" applyFont="1" applyBorder="1" applyAlignment="1" applyProtection="1">
      <alignment horizontal="center" vertical="center" wrapText="1"/>
    </xf>
    <xf numFmtId="0" fontId="4" fillId="0" borderId="8" xfId="1" applyFont="1" applyBorder="1" applyAlignment="1" applyProtection="1">
      <alignment horizontal="center" vertical="center" wrapText="1"/>
    </xf>
    <xf numFmtId="0" fontId="22" fillId="0" borderId="0" xfId="1" applyFont="1" applyFill="1" applyAlignment="1" applyProtection="1">
      <alignment horizontal="center" vertical="center" shrinkToFit="1"/>
    </xf>
    <xf numFmtId="0" fontId="9" fillId="0" borderId="0" xfId="1" applyFont="1" applyFill="1" applyAlignment="1" applyProtection="1">
      <alignment horizontal="distributed" vertical="center"/>
    </xf>
    <xf numFmtId="0" fontId="11" fillId="0" borderId="17" xfId="1" applyFont="1" applyFill="1" applyBorder="1" applyAlignment="1" applyProtection="1">
      <alignment horizontal="center" vertical="center"/>
    </xf>
    <xf numFmtId="0" fontId="11" fillId="0" borderId="18" xfId="1" applyFont="1" applyFill="1" applyBorder="1" applyAlignment="1" applyProtection="1">
      <alignment horizontal="center" vertical="center"/>
    </xf>
    <xf numFmtId="0" fontId="11" fillId="0" borderId="19" xfId="1" applyFont="1" applyFill="1" applyBorder="1" applyAlignment="1" applyProtection="1">
      <alignment horizontal="center" vertical="center"/>
    </xf>
    <xf numFmtId="0" fontId="11" fillId="0" borderId="20" xfId="1" applyFont="1" applyFill="1" applyBorder="1" applyAlignment="1" applyProtection="1">
      <alignment horizontal="center" vertical="center"/>
    </xf>
    <xf numFmtId="0" fontId="11" fillId="0" borderId="21" xfId="1" applyFont="1" applyFill="1" applyBorder="1" applyAlignment="1" applyProtection="1">
      <alignment horizontal="center" vertical="center"/>
    </xf>
    <xf numFmtId="0" fontId="11" fillId="0" borderId="22" xfId="1" applyFont="1" applyFill="1" applyBorder="1" applyAlignment="1" applyProtection="1">
      <alignment horizontal="center" vertical="center"/>
    </xf>
    <xf numFmtId="0" fontId="14" fillId="0" borderId="17" xfId="1" applyFont="1" applyFill="1" applyBorder="1" applyAlignment="1" applyProtection="1">
      <alignment horizontal="center" vertical="center"/>
    </xf>
    <xf numFmtId="0" fontId="14" fillId="0" borderId="18" xfId="1" applyFont="1" applyFill="1" applyBorder="1" applyAlignment="1" applyProtection="1">
      <alignment horizontal="center" vertical="center"/>
    </xf>
    <xf numFmtId="0" fontId="14" fillId="0" borderId="19" xfId="1" applyFont="1" applyFill="1" applyBorder="1" applyAlignment="1" applyProtection="1">
      <alignment horizontal="center" vertical="center"/>
    </xf>
    <xf numFmtId="0" fontId="14" fillId="0" borderId="20" xfId="1" applyFont="1" applyFill="1" applyBorder="1" applyAlignment="1" applyProtection="1">
      <alignment horizontal="center" vertical="center"/>
    </xf>
    <xf numFmtId="0" fontId="14" fillId="0" borderId="21" xfId="1" applyFont="1" applyFill="1" applyBorder="1" applyAlignment="1" applyProtection="1">
      <alignment horizontal="center" vertical="center"/>
    </xf>
    <xf numFmtId="0" fontId="14" fillId="0" borderId="22" xfId="1" applyFont="1" applyFill="1" applyBorder="1" applyAlignment="1" applyProtection="1">
      <alignment horizontal="center" vertical="center"/>
    </xf>
    <xf numFmtId="0" fontId="17" fillId="0" borderId="0" xfId="1" applyFont="1" applyFill="1" applyAlignment="1" applyProtection="1">
      <alignment horizontal="center" vertical="center"/>
    </xf>
    <xf numFmtId="0" fontId="19" fillId="0" borderId="0" xfId="1" applyFont="1" applyFill="1" applyAlignment="1" applyProtection="1">
      <alignment horizontal="center" vertical="center"/>
    </xf>
    <xf numFmtId="0" fontId="31" fillId="5" borderId="16" xfId="1" applyFont="1" applyFill="1" applyBorder="1" applyAlignment="1" applyProtection="1">
      <alignment horizontal="center" vertical="center" wrapText="1"/>
    </xf>
    <xf numFmtId="0" fontId="31" fillId="5" borderId="23" xfId="1" applyFont="1" applyFill="1" applyBorder="1" applyAlignment="1" applyProtection="1">
      <alignment horizontal="center" vertical="center" wrapText="1"/>
    </xf>
    <xf numFmtId="0" fontId="31" fillId="5" borderId="27" xfId="1" applyFont="1" applyFill="1" applyBorder="1" applyAlignment="1" applyProtection="1">
      <alignment horizontal="center" vertical="center" wrapText="1"/>
    </xf>
    <xf numFmtId="0" fontId="31" fillId="5" borderId="28" xfId="1" applyFont="1" applyFill="1" applyBorder="1" applyAlignment="1" applyProtection="1">
      <alignment horizontal="center" vertical="center" wrapText="1"/>
    </xf>
    <xf numFmtId="0" fontId="32" fillId="5" borderId="16" xfId="1" applyNumberFormat="1" applyFont="1" applyFill="1" applyBorder="1" applyAlignment="1" applyProtection="1">
      <alignment horizontal="center" vertical="center"/>
    </xf>
    <xf numFmtId="0" fontId="32" fillId="0" borderId="23" xfId="1" applyNumberFormat="1" applyFont="1" applyBorder="1" applyAlignment="1" applyProtection="1">
      <alignment horizontal="center" vertical="center"/>
    </xf>
    <xf numFmtId="0" fontId="32" fillId="0" borderId="24" xfId="1" applyNumberFormat="1" applyFont="1" applyBorder="1" applyAlignment="1" applyProtection="1">
      <alignment horizontal="center" vertical="center"/>
    </xf>
    <xf numFmtId="0" fontId="32" fillId="0" borderId="27" xfId="1" applyNumberFormat="1" applyFont="1" applyBorder="1" applyAlignment="1" applyProtection="1">
      <alignment horizontal="center" vertical="center"/>
    </xf>
    <xf numFmtId="0" fontId="32" fillId="0" borderId="28" xfId="1" applyNumberFormat="1" applyFont="1" applyBorder="1" applyAlignment="1" applyProtection="1">
      <alignment horizontal="center" vertical="center"/>
    </xf>
    <xf numFmtId="0" fontId="32" fillId="0" borderId="29" xfId="1" applyNumberFormat="1" applyFont="1" applyBorder="1" applyAlignment="1" applyProtection="1">
      <alignment horizontal="center" vertical="center"/>
    </xf>
    <xf numFmtId="0" fontId="28" fillId="0" borderId="0" xfId="1" quotePrefix="1" applyFont="1" applyFill="1" applyAlignment="1" applyProtection="1">
      <alignment horizontal="left" vertical="top"/>
    </xf>
    <xf numFmtId="0" fontId="3" fillId="0" borderId="0" xfId="1" applyAlignment="1" applyProtection="1">
      <alignment horizontal="left" vertical="top"/>
    </xf>
    <xf numFmtId="0" fontId="3" fillId="0" borderId="0" xfId="1" applyAlignment="1" applyProtection="1">
      <alignment vertical="top"/>
    </xf>
    <xf numFmtId="0" fontId="3" fillId="0" borderId="0" xfId="1" applyAlignment="1" applyProtection="1"/>
    <xf numFmtId="0" fontId="3" fillId="3" borderId="2" xfId="1" applyFill="1" applyBorder="1" applyAlignment="1" applyProtection="1">
      <alignment vertical="top"/>
    </xf>
    <xf numFmtId="0" fontId="3" fillId="3" borderId="3" xfId="1" applyFill="1" applyBorder="1" applyAlignment="1" applyProtection="1">
      <alignment vertical="top"/>
    </xf>
    <xf numFmtId="0" fontId="3" fillId="3" borderId="4" xfId="1" applyFill="1" applyBorder="1" applyAlignment="1" applyProtection="1">
      <alignment vertical="top"/>
    </xf>
    <xf numFmtId="0" fontId="3" fillId="4" borderId="2" xfId="1" applyFill="1" applyBorder="1" applyAlignment="1" applyProtection="1">
      <alignment vertical="top"/>
    </xf>
    <xf numFmtId="0" fontId="3" fillId="4" borderId="3" xfId="1" applyFill="1" applyBorder="1" applyAlignment="1" applyProtection="1">
      <alignment vertical="top"/>
    </xf>
    <xf numFmtId="0" fontId="3" fillId="4" borderId="4" xfId="1" applyFill="1" applyBorder="1" applyAlignment="1" applyProtection="1">
      <alignment vertical="top"/>
    </xf>
    <xf numFmtId="0" fontId="30" fillId="0" borderId="16" xfId="1" applyFont="1" applyFill="1" applyBorder="1" applyAlignment="1" applyProtection="1">
      <alignment vertical="center"/>
    </xf>
    <xf numFmtId="0" fontId="3" fillId="0" borderId="23" xfId="1" applyBorder="1" applyAlignment="1" applyProtection="1"/>
    <xf numFmtId="0" fontId="3" fillId="0" borderId="24" xfId="1" applyBorder="1" applyAlignment="1" applyProtection="1"/>
    <xf numFmtId="0" fontId="28" fillId="0" borderId="25" xfId="1" applyFont="1" applyFill="1" applyBorder="1" applyAlignment="1" applyProtection="1">
      <alignment horizontal="left" vertical="top" wrapText="1"/>
      <protection locked="0"/>
    </xf>
    <xf numFmtId="0" fontId="28" fillId="0" borderId="0" xfId="1" applyFont="1" applyBorder="1" applyAlignment="1" applyProtection="1">
      <alignment horizontal="left" vertical="top" wrapText="1"/>
      <protection locked="0"/>
    </xf>
    <xf numFmtId="0" fontId="28" fillId="0" borderId="26" xfId="1" applyFont="1" applyBorder="1" applyAlignment="1" applyProtection="1">
      <alignment horizontal="left" vertical="top" wrapText="1"/>
      <protection locked="0"/>
    </xf>
    <xf numFmtId="0" fontId="28" fillId="0" borderId="25" xfId="1" applyFont="1" applyBorder="1" applyAlignment="1" applyProtection="1">
      <alignment horizontal="left" vertical="top" wrapText="1"/>
      <protection locked="0"/>
    </xf>
    <xf numFmtId="0" fontId="28" fillId="0" borderId="27" xfId="1" applyFont="1" applyBorder="1" applyAlignment="1" applyProtection="1">
      <alignment horizontal="left" vertical="top" wrapText="1"/>
      <protection locked="0"/>
    </xf>
    <xf numFmtId="0" fontId="28" fillId="0" borderId="28" xfId="1" applyFont="1" applyBorder="1" applyAlignment="1" applyProtection="1">
      <alignment horizontal="left" vertical="top" wrapText="1"/>
      <protection locked="0"/>
    </xf>
    <xf numFmtId="0" fontId="28" fillId="0" borderId="29" xfId="1" applyFont="1" applyBorder="1" applyAlignment="1" applyProtection="1">
      <alignment horizontal="left" vertical="top" wrapText="1"/>
      <protection locked="0"/>
    </xf>
    <xf numFmtId="0" fontId="44" fillId="0" borderId="17" xfId="1" applyFont="1" applyBorder="1" applyAlignment="1">
      <alignment horizontal="distributed" vertical="center" justifyLastLine="1"/>
    </xf>
    <xf numFmtId="0" fontId="44" fillId="0" borderId="18" xfId="1" applyFont="1" applyBorder="1" applyAlignment="1">
      <alignment horizontal="distributed" vertical="center" justifyLastLine="1"/>
    </xf>
    <xf numFmtId="0" fontId="44" fillId="0" borderId="19" xfId="1" applyFont="1" applyBorder="1" applyAlignment="1">
      <alignment horizontal="distributed" vertical="center" justifyLastLine="1"/>
    </xf>
    <xf numFmtId="0" fontId="44" fillId="0" borderId="20" xfId="1" applyFont="1" applyBorder="1" applyAlignment="1">
      <alignment horizontal="distributed" vertical="center" justifyLastLine="1"/>
    </xf>
    <xf numFmtId="0" fontId="44" fillId="0" borderId="21" xfId="1" applyFont="1" applyBorder="1" applyAlignment="1">
      <alignment horizontal="distributed" vertical="center" justifyLastLine="1"/>
    </xf>
    <xf numFmtId="0" fontId="44" fillId="0" borderId="22" xfId="1" applyFont="1" applyBorder="1" applyAlignment="1">
      <alignment horizontal="distributed" vertical="center" justifyLastLine="1"/>
    </xf>
    <xf numFmtId="0" fontId="9" fillId="0" borderId="17" xfId="1" applyFont="1" applyBorder="1" applyAlignment="1">
      <alignment horizontal="center" vertical="center"/>
    </xf>
    <xf numFmtId="0" fontId="9" fillId="0" borderId="18" xfId="1" applyFont="1" applyBorder="1" applyAlignment="1">
      <alignment horizontal="center" vertical="center"/>
    </xf>
    <xf numFmtId="0" fontId="9" fillId="0" borderId="32" xfId="1" applyFont="1" applyBorder="1" applyAlignment="1">
      <alignment horizontal="center" vertical="center"/>
    </xf>
    <xf numFmtId="0" fontId="9" fillId="0" borderId="33" xfId="1" applyFont="1" applyBorder="1" applyAlignment="1">
      <alignment horizontal="center" vertical="center"/>
    </xf>
    <xf numFmtId="0" fontId="9" fillId="0" borderId="30" xfId="1" applyFont="1" applyBorder="1" applyAlignment="1">
      <alignment horizontal="center" vertical="center"/>
    </xf>
    <xf numFmtId="0" fontId="9" fillId="0" borderId="31" xfId="1" applyFont="1" applyBorder="1" applyAlignment="1">
      <alignment horizontal="center" vertical="center"/>
    </xf>
    <xf numFmtId="0" fontId="9" fillId="0" borderId="34" xfId="1" applyFont="1" applyBorder="1" applyAlignment="1">
      <alignment horizontal="center" vertical="center"/>
    </xf>
    <xf numFmtId="0" fontId="9" fillId="0" borderId="35" xfId="1" applyFont="1" applyBorder="1" applyAlignment="1">
      <alignment horizontal="center" vertical="center"/>
    </xf>
    <xf numFmtId="0" fontId="45" fillId="0" borderId="30" xfId="1" applyFont="1" applyBorder="1" applyAlignment="1">
      <alignment horizontal="center" vertical="center" wrapText="1"/>
    </xf>
    <xf numFmtId="0" fontId="45" fillId="0" borderId="18" xfId="1" applyFont="1" applyBorder="1" applyAlignment="1">
      <alignment horizontal="center" vertical="center" wrapText="1"/>
    </xf>
    <xf numFmtId="0" fontId="45" fillId="0" borderId="19" xfId="1" applyFont="1" applyBorder="1" applyAlignment="1">
      <alignment horizontal="center" vertical="center" wrapText="1"/>
    </xf>
    <xf numFmtId="0" fontId="45" fillId="0" borderId="36" xfId="1" applyFont="1" applyBorder="1" applyAlignment="1">
      <alignment horizontal="center" vertical="center" wrapText="1"/>
    </xf>
    <xf numFmtId="0" fontId="45" fillId="0" borderId="37" xfId="1" applyFont="1" applyBorder="1" applyAlignment="1">
      <alignment horizontal="center" vertical="center" wrapText="1"/>
    </xf>
    <xf numFmtId="0" fontId="45" fillId="0" borderId="38" xfId="1" applyFont="1" applyBorder="1" applyAlignment="1">
      <alignment horizontal="center" vertical="center" wrapText="1"/>
    </xf>
    <xf numFmtId="0" fontId="3" fillId="0" borderId="0" xfId="1" applyFont="1" applyBorder="1" applyAlignment="1">
      <alignment horizontal="distributed" vertical="center"/>
    </xf>
    <xf numFmtId="0" fontId="3" fillId="0" borderId="21" xfId="1" applyFont="1" applyBorder="1" applyAlignment="1">
      <alignment horizontal="distributed" vertical="center"/>
    </xf>
    <xf numFmtId="49" fontId="7" fillId="6" borderId="41" xfId="1" applyNumberFormat="1" applyFont="1" applyFill="1" applyBorder="1" applyAlignment="1" applyProtection="1">
      <alignment horizontal="right" vertical="center" wrapText="1"/>
    </xf>
    <xf numFmtId="49" fontId="7" fillId="6" borderId="42" xfId="1" applyNumberFormat="1" applyFont="1" applyFill="1" applyBorder="1" applyAlignment="1" applyProtection="1">
      <alignment horizontal="right" vertical="center" wrapText="1"/>
    </xf>
    <xf numFmtId="49" fontId="7" fillId="6" borderId="43" xfId="1" applyNumberFormat="1" applyFont="1" applyFill="1" applyBorder="1" applyAlignment="1" applyProtection="1">
      <alignment horizontal="right" vertical="center" wrapText="1"/>
    </xf>
    <xf numFmtId="49" fontId="7" fillId="6" borderId="47" xfId="1" applyNumberFormat="1" applyFont="1" applyFill="1" applyBorder="1" applyAlignment="1" applyProtection="1">
      <alignment horizontal="right" vertical="center" wrapText="1"/>
    </xf>
    <xf numFmtId="49" fontId="7" fillId="6" borderId="37" xfId="1" applyNumberFormat="1" applyFont="1" applyFill="1" applyBorder="1" applyAlignment="1" applyProtection="1">
      <alignment horizontal="right" vertical="center" wrapText="1"/>
    </xf>
    <xf numFmtId="49" fontId="7" fillId="6" borderId="48" xfId="1" applyNumberFormat="1" applyFont="1" applyFill="1" applyBorder="1" applyAlignment="1" applyProtection="1">
      <alignment horizontal="right" vertical="center" wrapText="1"/>
    </xf>
    <xf numFmtId="3" fontId="7" fillId="6" borderId="44" xfId="2" applyNumberFormat="1" applyFont="1" applyFill="1" applyBorder="1" applyAlignment="1">
      <alignment horizontal="right" vertical="center"/>
    </xf>
    <xf numFmtId="3" fontId="7" fillId="6" borderId="42" xfId="2" applyNumberFormat="1" applyFont="1" applyFill="1" applyBorder="1" applyAlignment="1">
      <alignment horizontal="right" vertical="center"/>
    </xf>
    <xf numFmtId="3" fontId="7" fillId="6" borderId="45" xfId="2" applyNumberFormat="1" applyFont="1" applyFill="1" applyBorder="1" applyAlignment="1">
      <alignment horizontal="right" vertical="center"/>
    </xf>
    <xf numFmtId="3" fontId="7" fillId="6" borderId="36" xfId="2" applyNumberFormat="1" applyFont="1" applyFill="1" applyBorder="1" applyAlignment="1">
      <alignment horizontal="right" vertical="center"/>
    </xf>
    <xf numFmtId="3" fontId="7" fillId="6" borderId="37" xfId="2" applyNumberFormat="1" applyFont="1" applyFill="1" applyBorder="1" applyAlignment="1">
      <alignment horizontal="right" vertical="center"/>
    </xf>
    <xf numFmtId="3" fontId="7" fillId="6" borderId="49" xfId="2" applyNumberFormat="1" applyFont="1" applyFill="1" applyBorder="1" applyAlignment="1">
      <alignment horizontal="right" vertical="center"/>
    </xf>
    <xf numFmtId="49" fontId="7" fillId="6" borderId="41" xfId="1" quotePrefix="1" applyNumberFormat="1" applyFont="1" applyFill="1" applyBorder="1" applyAlignment="1" applyProtection="1">
      <alignment horizontal="center" vertical="center"/>
    </xf>
    <xf numFmtId="49" fontId="7" fillId="6" borderId="42" xfId="1" quotePrefix="1" applyNumberFormat="1" applyFont="1" applyFill="1" applyBorder="1" applyAlignment="1" applyProtection="1">
      <alignment horizontal="center" vertical="center"/>
    </xf>
    <xf numFmtId="49" fontId="7" fillId="6" borderId="45" xfId="1" quotePrefix="1" applyNumberFormat="1" applyFont="1" applyFill="1" applyBorder="1" applyAlignment="1" applyProtection="1">
      <alignment horizontal="center" vertical="center"/>
    </xf>
    <xf numFmtId="49" fontId="7" fillId="6" borderId="47" xfId="1" quotePrefix="1" applyNumberFormat="1" applyFont="1" applyFill="1" applyBorder="1" applyAlignment="1" applyProtection="1">
      <alignment horizontal="center" vertical="center"/>
    </xf>
    <xf numFmtId="49" fontId="7" fillId="6" borderId="37" xfId="1" quotePrefix="1" applyNumberFormat="1" applyFont="1" applyFill="1" applyBorder="1" applyAlignment="1" applyProtection="1">
      <alignment horizontal="center" vertical="center"/>
    </xf>
    <xf numFmtId="49" fontId="7" fillId="6" borderId="49" xfId="1" quotePrefix="1" applyNumberFormat="1" applyFont="1" applyFill="1" applyBorder="1" applyAlignment="1" applyProtection="1">
      <alignment horizontal="center" vertical="center"/>
    </xf>
    <xf numFmtId="0" fontId="28" fillId="0" borderId="16" xfId="1" applyFont="1" applyFill="1" applyBorder="1" applyAlignment="1" applyProtection="1">
      <alignment horizontal="center" vertical="center" wrapText="1"/>
      <protection hidden="1"/>
    </xf>
    <xf numFmtId="0" fontId="28" fillId="0" borderId="23" xfId="1" applyFont="1" applyFill="1" applyBorder="1" applyAlignment="1" applyProtection="1">
      <alignment horizontal="center" vertical="center" wrapText="1"/>
      <protection hidden="1"/>
    </xf>
    <xf numFmtId="0" fontId="28" fillId="0" borderId="24" xfId="1" applyFont="1" applyFill="1" applyBorder="1" applyAlignment="1" applyProtection="1">
      <alignment horizontal="center" vertical="center" wrapText="1"/>
      <protection hidden="1"/>
    </xf>
    <xf numFmtId="0" fontId="28" fillId="0" borderId="27" xfId="1" applyFont="1" applyFill="1" applyBorder="1" applyAlignment="1" applyProtection="1">
      <alignment horizontal="center" vertical="center" wrapText="1"/>
      <protection hidden="1"/>
    </xf>
    <xf numFmtId="0" fontId="28" fillId="0" borderId="28" xfId="1" applyFont="1" applyFill="1" applyBorder="1" applyAlignment="1" applyProtection="1">
      <alignment horizontal="center" vertical="center" wrapText="1"/>
      <protection hidden="1"/>
    </xf>
    <xf numFmtId="0" fontId="28" fillId="0" borderId="29" xfId="1" applyFont="1" applyFill="1" applyBorder="1" applyAlignment="1" applyProtection="1">
      <alignment horizontal="center" vertical="center" wrapText="1"/>
      <protection hidden="1"/>
    </xf>
    <xf numFmtId="38" fontId="7" fillId="6" borderId="41" xfId="2" applyFont="1" applyFill="1" applyBorder="1" applyAlignment="1" applyProtection="1">
      <alignment horizontal="right" vertical="center" wrapText="1"/>
    </xf>
    <xf numFmtId="38" fontId="7" fillId="6" borderId="42" xfId="2" applyFont="1" applyFill="1" applyBorder="1" applyAlignment="1" applyProtection="1">
      <alignment horizontal="right" vertical="center" wrapText="1"/>
    </xf>
    <xf numFmtId="38" fontId="7" fillId="6" borderId="43" xfId="2" applyFont="1" applyFill="1" applyBorder="1" applyAlignment="1" applyProtection="1">
      <alignment horizontal="right" vertical="center" wrapText="1"/>
    </xf>
    <xf numFmtId="38" fontId="7" fillId="6" borderId="47" xfId="2" applyFont="1" applyFill="1" applyBorder="1" applyAlignment="1" applyProtection="1">
      <alignment horizontal="right" vertical="center" wrapText="1"/>
    </xf>
    <xf numFmtId="38" fontId="7" fillId="6" borderId="37" xfId="2" applyFont="1" applyFill="1" applyBorder="1" applyAlignment="1" applyProtection="1">
      <alignment horizontal="right" vertical="center" wrapText="1"/>
    </xf>
    <xf numFmtId="38" fontId="7" fillId="6" borderId="48" xfId="2" applyFont="1" applyFill="1" applyBorder="1" applyAlignment="1" applyProtection="1">
      <alignment horizontal="right" vertical="center" wrapText="1"/>
    </xf>
    <xf numFmtId="38" fontId="7" fillId="6" borderId="44" xfId="2" applyFont="1" applyFill="1" applyBorder="1" applyAlignment="1">
      <alignment horizontal="right" vertical="center"/>
    </xf>
    <xf numFmtId="38" fontId="7" fillId="6" borderId="42" xfId="2" applyFont="1" applyFill="1" applyBorder="1" applyAlignment="1">
      <alignment horizontal="right" vertical="center"/>
    </xf>
    <xf numFmtId="38" fontId="7" fillId="6" borderId="45" xfId="2" applyFont="1" applyFill="1" applyBorder="1" applyAlignment="1">
      <alignment horizontal="right" vertical="center"/>
    </xf>
    <xf numFmtId="38" fontId="7" fillId="6" borderId="36" xfId="2" applyFont="1" applyFill="1" applyBorder="1" applyAlignment="1">
      <alignment horizontal="right" vertical="center"/>
    </xf>
    <xf numFmtId="38" fontId="7" fillId="6" borderId="37" xfId="2" applyFont="1" applyFill="1" applyBorder="1" applyAlignment="1">
      <alignment horizontal="right" vertical="center"/>
    </xf>
    <xf numFmtId="38" fontId="7" fillId="6" borderId="49" xfId="2" applyFont="1" applyFill="1" applyBorder="1" applyAlignment="1">
      <alignment horizontal="right" vertical="center"/>
    </xf>
    <xf numFmtId="0" fontId="28" fillId="0" borderId="0" xfId="1" applyFont="1" applyFill="1" applyAlignment="1" applyProtection="1">
      <alignment horizontal="center" vertical="center"/>
      <protection hidden="1"/>
    </xf>
    <xf numFmtId="0" fontId="28" fillId="0" borderId="0" xfId="1" applyFont="1" applyFill="1" applyBorder="1" applyAlignment="1" applyProtection="1">
      <alignment horizontal="center"/>
      <protection hidden="1"/>
    </xf>
    <xf numFmtId="0" fontId="28" fillId="0" borderId="23" xfId="1" applyFont="1" applyFill="1" applyBorder="1" applyAlignment="1" applyProtection="1">
      <alignment horizontal="center"/>
      <protection hidden="1"/>
    </xf>
    <xf numFmtId="0" fontId="28" fillId="0" borderId="0" xfId="1" applyFont="1" applyFill="1" applyAlignment="1" applyProtection="1">
      <alignment horizontal="center"/>
      <protection hidden="1"/>
    </xf>
    <xf numFmtId="0" fontId="28" fillId="0" borderId="28" xfId="1" applyFont="1" applyFill="1" applyBorder="1" applyAlignment="1" applyProtection="1">
      <alignment horizontal="center"/>
      <protection hidden="1"/>
    </xf>
    <xf numFmtId="0" fontId="52" fillId="5" borderId="0" xfId="1" applyFont="1" applyFill="1" applyAlignment="1">
      <alignment horizontal="center"/>
    </xf>
    <xf numFmtId="0" fontId="44" fillId="0" borderId="55" xfId="1" applyFont="1" applyBorder="1" applyAlignment="1" applyProtection="1">
      <alignment horizontal="distributed" vertical="center" justifyLastLine="1"/>
    </xf>
    <xf numFmtId="0" fontId="3" fillId="0" borderId="3" xfId="1" applyBorder="1" applyAlignment="1" applyProtection="1">
      <alignment horizontal="distributed" vertical="center" justifyLastLine="1"/>
    </xf>
    <xf numFmtId="0" fontId="3" fillId="0" borderId="56" xfId="1" applyBorder="1" applyAlignment="1" applyProtection="1">
      <alignment horizontal="distributed" vertical="center" justifyLastLine="1"/>
    </xf>
    <xf numFmtId="0" fontId="44" fillId="0" borderId="59" xfId="1" applyFont="1" applyBorder="1" applyAlignment="1" applyProtection="1">
      <alignment horizontal="distributed" vertical="center" justifyLastLine="1"/>
    </xf>
    <xf numFmtId="0" fontId="44" fillId="0" borderId="60" xfId="1" applyFont="1" applyBorder="1" applyAlignment="1" applyProtection="1">
      <alignment horizontal="distributed" vertical="center" justifyLastLine="1"/>
    </xf>
    <xf numFmtId="0" fontId="44" fillId="0" borderId="61" xfId="1" applyFont="1" applyBorder="1" applyAlignment="1" applyProtection="1">
      <alignment horizontal="distributed" vertical="center" justifyLastLine="1"/>
    </xf>
    <xf numFmtId="0" fontId="55" fillId="0" borderId="17" xfId="1" applyFont="1" applyBorder="1" applyAlignment="1" applyProtection="1">
      <alignment horizontal="distributed" vertical="center" justifyLastLine="1"/>
    </xf>
    <xf numFmtId="0" fontId="55" fillId="0" borderId="18" xfId="1" applyFont="1" applyBorder="1" applyAlignment="1" applyProtection="1">
      <alignment horizontal="distributed" vertical="center" justifyLastLine="1"/>
    </xf>
    <xf numFmtId="0" fontId="55" fillId="0" borderId="19" xfId="1" applyFont="1" applyBorder="1" applyAlignment="1" applyProtection="1">
      <alignment horizontal="distributed" vertical="center" justifyLastLine="1"/>
    </xf>
    <xf numFmtId="0" fontId="55" fillId="0" borderId="20" xfId="1" applyFont="1" applyBorder="1" applyAlignment="1" applyProtection="1">
      <alignment horizontal="distributed" vertical="center" justifyLastLine="1"/>
    </xf>
    <xf numFmtId="0" fontId="55" fillId="0" borderId="21" xfId="1" applyFont="1" applyBorder="1" applyAlignment="1" applyProtection="1">
      <alignment horizontal="distributed" vertical="center" justifyLastLine="1"/>
    </xf>
    <xf numFmtId="0" fontId="55" fillId="0" borderId="22" xfId="1" applyFont="1" applyBorder="1" applyAlignment="1" applyProtection="1">
      <alignment horizontal="distributed" vertical="center" justifyLastLine="1"/>
    </xf>
    <xf numFmtId="0" fontId="9" fillId="0" borderId="17" xfId="1" applyFont="1" applyBorder="1" applyAlignment="1" applyProtection="1">
      <alignment horizontal="distributed" vertical="center" justifyLastLine="1"/>
    </xf>
    <xf numFmtId="0" fontId="9" fillId="0" borderId="18" xfId="1" applyFont="1" applyBorder="1" applyAlignment="1" applyProtection="1">
      <alignment horizontal="distributed" vertical="center" justifyLastLine="1"/>
    </xf>
    <xf numFmtId="0" fontId="9" fillId="0" borderId="31" xfId="1" applyFont="1" applyBorder="1" applyAlignment="1" applyProtection="1">
      <alignment horizontal="distributed" vertical="center" justifyLastLine="1"/>
    </xf>
    <xf numFmtId="0" fontId="9" fillId="0" borderId="20" xfId="1" applyFont="1" applyBorder="1" applyAlignment="1" applyProtection="1">
      <alignment horizontal="distributed" vertical="center" justifyLastLine="1"/>
    </xf>
    <xf numFmtId="0" fontId="9" fillId="0" borderId="21" xfId="1" applyFont="1" applyBorder="1" applyAlignment="1" applyProtection="1">
      <alignment horizontal="distributed" vertical="center" justifyLastLine="1"/>
    </xf>
    <xf numFmtId="0" fontId="9" fillId="0" borderId="65" xfId="1" applyFont="1" applyBorder="1" applyAlignment="1" applyProtection="1">
      <alignment horizontal="distributed" vertical="center" justifyLastLine="1"/>
    </xf>
    <xf numFmtId="0" fontId="44" fillId="0" borderId="31" xfId="1" applyFont="1" applyBorder="1" applyAlignment="1" applyProtection="1">
      <alignment horizontal="center" vertical="center" justifyLastLine="1"/>
    </xf>
    <xf numFmtId="0" fontId="44" fillId="0" borderId="35" xfId="1" applyFont="1" applyBorder="1" applyAlignment="1" applyProtection="1">
      <alignment horizontal="center" vertical="center" justifyLastLine="1"/>
    </xf>
    <xf numFmtId="0" fontId="44" fillId="0" borderId="50" xfId="1" applyFont="1" applyBorder="1" applyAlignment="1" applyProtection="1">
      <alignment horizontal="center" vertical="center" justifyLastLine="1"/>
    </xf>
    <xf numFmtId="0" fontId="44" fillId="0" borderId="51" xfId="1" applyFont="1" applyBorder="1" applyAlignment="1" applyProtection="1">
      <alignment horizontal="center" vertical="center" justifyLastLine="1"/>
    </xf>
    <xf numFmtId="0" fontId="44" fillId="0" borderId="17" xfId="1" applyFont="1" applyBorder="1" applyAlignment="1" applyProtection="1">
      <alignment horizontal="center" vertical="center"/>
    </xf>
    <xf numFmtId="0" fontId="44" fillId="0" borderId="18" xfId="1" applyFont="1" applyBorder="1" applyAlignment="1" applyProtection="1">
      <alignment horizontal="center" vertical="center"/>
    </xf>
    <xf numFmtId="0" fontId="44" fillId="0" borderId="52" xfId="1" applyFont="1" applyBorder="1" applyAlignment="1" applyProtection="1">
      <alignment horizontal="center" vertical="center"/>
    </xf>
    <xf numFmtId="0" fontId="44" fillId="0" borderId="64" xfId="1" applyFont="1" applyBorder="1" applyAlignment="1" applyProtection="1">
      <alignment horizontal="center" vertical="center" justifyLastLine="1"/>
    </xf>
    <xf numFmtId="0" fontId="44" fillId="0" borderId="66" xfId="1" applyFont="1" applyBorder="1" applyAlignment="1" applyProtection="1">
      <alignment horizontal="center" vertical="center" justifyLastLine="1"/>
    </xf>
    <xf numFmtId="0" fontId="9" fillId="0" borderId="2" xfId="1" applyFont="1" applyBorder="1" applyAlignment="1" applyProtection="1">
      <alignment horizontal="distributed" vertical="center" justifyLastLine="1"/>
    </xf>
    <xf numFmtId="0" fontId="9" fillId="0" borderId="3" xfId="1" applyFont="1" applyBorder="1" applyAlignment="1" applyProtection="1">
      <alignment horizontal="distributed" vertical="center" justifyLastLine="1"/>
    </xf>
    <xf numFmtId="0" fontId="9" fillId="0" borderId="72" xfId="1" applyFont="1" applyBorder="1" applyAlignment="1" applyProtection="1">
      <alignment horizontal="distributed" vertical="center" justifyLastLine="1"/>
    </xf>
    <xf numFmtId="0" fontId="57" fillId="0" borderId="55" xfId="1" applyFont="1" applyBorder="1" applyAlignment="1" applyProtection="1">
      <alignment horizontal="left" vertical="center" wrapText="1"/>
    </xf>
    <xf numFmtId="0" fontId="57" fillId="0" borderId="3" xfId="1" applyFont="1" applyBorder="1" applyAlignment="1" applyProtection="1">
      <alignment horizontal="left" vertical="center" wrapText="1"/>
    </xf>
    <xf numFmtId="0" fontId="57" fillId="0" borderId="56" xfId="1" applyFont="1" applyBorder="1" applyAlignment="1" applyProtection="1">
      <alignment horizontal="left" vertical="center" wrapText="1"/>
    </xf>
    <xf numFmtId="0" fontId="9" fillId="0" borderId="73" xfId="1" applyFont="1" applyBorder="1" applyAlignment="1" applyProtection="1">
      <alignment horizontal="distributed" vertical="center" justifyLastLine="1"/>
    </xf>
    <xf numFmtId="0" fontId="9" fillId="0" borderId="23" xfId="1" applyFont="1" applyBorder="1" applyAlignment="1" applyProtection="1">
      <alignment horizontal="distributed" vertical="center" justifyLastLine="1"/>
    </xf>
    <xf numFmtId="0" fontId="9" fillId="0" borderId="74" xfId="1" applyFont="1" applyBorder="1" applyAlignment="1" applyProtection="1">
      <alignment horizontal="distributed" vertical="center" justifyLastLine="1"/>
    </xf>
    <xf numFmtId="0" fontId="9" fillId="0" borderId="19" xfId="1" applyFont="1" applyBorder="1" applyAlignment="1" applyProtection="1">
      <alignment horizontal="distributed" vertical="center" justifyLastLine="1"/>
    </xf>
    <xf numFmtId="0" fontId="57" fillId="0" borderId="67" xfId="1" applyFont="1" applyBorder="1" applyAlignment="1" applyProtection="1">
      <alignment horizontal="left" vertical="center" wrapText="1"/>
    </xf>
    <xf numFmtId="0" fontId="57" fillId="0" borderId="68" xfId="1" applyFont="1" applyBorder="1" applyAlignment="1" applyProtection="1">
      <alignment horizontal="left" vertical="center" wrapText="1"/>
    </xf>
    <xf numFmtId="0" fontId="57" fillId="0" borderId="69" xfId="1" applyFont="1" applyBorder="1" applyAlignment="1" applyProtection="1">
      <alignment horizontal="left" vertical="center" wrapText="1"/>
    </xf>
    <xf numFmtId="0" fontId="55" fillId="0" borderId="77" xfId="1" applyFont="1" applyBorder="1" applyAlignment="1" applyProtection="1">
      <alignment horizontal="distributed" vertical="center" justifyLastLine="1"/>
    </xf>
    <xf numFmtId="0" fontId="55" fillId="0" borderId="78" xfId="1" applyFont="1" applyBorder="1" applyAlignment="1" applyProtection="1">
      <alignment horizontal="distributed" vertical="center" justifyLastLine="1"/>
    </xf>
    <xf numFmtId="0" fontId="55" fillId="0" borderId="79" xfId="1" applyFont="1" applyBorder="1" applyAlignment="1" applyProtection="1">
      <alignment horizontal="distributed" vertical="center" justifyLastLine="1"/>
    </xf>
    <xf numFmtId="0" fontId="44" fillId="0" borderId="20" xfId="1" applyFont="1" applyBorder="1" applyAlignment="1" applyProtection="1">
      <alignment horizontal="center" vertical="center" shrinkToFit="1"/>
    </xf>
    <xf numFmtId="0" fontId="44" fillId="0" borderId="21" xfId="1" applyFont="1" applyBorder="1" applyAlignment="1" applyProtection="1">
      <alignment horizontal="center" vertical="center" shrinkToFit="1"/>
    </xf>
    <xf numFmtId="0" fontId="9" fillId="0" borderId="59" xfId="1" applyFont="1" applyBorder="1" applyAlignment="1" applyProtection="1">
      <alignment horizontal="distributed" vertical="center" justifyLastLine="1"/>
    </xf>
    <xf numFmtId="0" fontId="9" fillId="0" borderId="60" xfId="1" applyFont="1" applyBorder="1" applyAlignment="1" applyProtection="1">
      <alignment horizontal="distributed" vertical="center" justifyLastLine="1"/>
    </xf>
    <xf numFmtId="0" fontId="9" fillId="0" borderId="75" xfId="1" applyFont="1" applyBorder="1" applyAlignment="1" applyProtection="1">
      <alignment horizontal="distributed" vertical="center" justifyLastLine="1"/>
    </xf>
    <xf numFmtId="0" fontId="57" fillId="0" borderId="59" xfId="1" applyFont="1" applyBorder="1" applyAlignment="1" applyProtection="1">
      <alignment horizontal="left" vertical="center" wrapText="1"/>
    </xf>
    <xf numFmtId="0" fontId="57" fillId="0" borderId="60" xfId="1" applyFont="1" applyBorder="1" applyAlignment="1" applyProtection="1">
      <alignment horizontal="left" vertical="center" wrapText="1"/>
    </xf>
    <xf numFmtId="0" fontId="57" fillId="0" borderId="61" xfId="1" applyFont="1" applyBorder="1" applyAlignment="1" applyProtection="1">
      <alignment horizontal="left" vertical="center" wrapText="1"/>
    </xf>
    <xf numFmtId="0" fontId="34" fillId="0" borderId="0" xfId="1" applyFont="1" applyBorder="1" applyAlignment="1" applyProtection="1">
      <alignment horizontal="left" vertical="center" wrapText="1"/>
    </xf>
    <xf numFmtId="0" fontId="44" fillId="0" borderId="73" xfId="1" applyFont="1" applyBorder="1" applyAlignment="1" applyProtection="1">
      <alignment horizontal="distributed" vertical="center" justifyLastLine="1"/>
    </xf>
    <xf numFmtId="0" fontId="44" fillId="0" borderId="23" xfId="1" applyFont="1" applyBorder="1" applyAlignment="1" applyProtection="1">
      <alignment horizontal="distributed" vertical="center" justifyLastLine="1"/>
    </xf>
    <xf numFmtId="0" fontId="44" fillId="0" borderId="17" xfId="1" applyFont="1" applyBorder="1" applyAlignment="1" applyProtection="1">
      <alignment horizontal="distributed" vertical="center" wrapText="1" justifyLastLine="1"/>
    </xf>
    <xf numFmtId="0" fontId="44" fillId="0" borderId="18" xfId="1" applyFont="1" applyBorder="1" applyAlignment="1" applyProtection="1">
      <alignment horizontal="distributed" vertical="center" wrapText="1" justifyLastLine="1"/>
    </xf>
    <xf numFmtId="0" fontId="44" fillId="0" borderId="39" xfId="1" applyFont="1" applyBorder="1" applyAlignment="1" applyProtection="1">
      <alignment horizontal="distributed" vertical="center" wrapText="1" justifyLastLine="1"/>
    </xf>
    <xf numFmtId="0" fontId="44" fillId="0" borderId="0" xfId="1" applyFont="1" applyBorder="1" applyAlignment="1" applyProtection="1">
      <alignment horizontal="distributed" vertical="center" wrapText="1" justifyLastLine="1"/>
    </xf>
    <xf numFmtId="0" fontId="44" fillId="0" borderId="20" xfId="1" applyFont="1" applyBorder="1" applyAlignment="1" applyProtection="1">
      <alignment horizontal="distributed" vertical="center" wrapText="1" justifyLastLine="1"/>
    </xf>
    <xf numFmtId="0" fontId="44" fillId="0" borderId="21" xfId="1" applyFont="1" applyBorder="1" applyAlignment="1" applyProtection="1">
      <alignment horizontal="distributed" vertical="center" wrapText="1" justifyLastLine="1"/>
    </xf>
    <xf numFmtId="0" fontId="9" fillId="0" borderId="85" xfId="1" applyFont="1" applyBorder="1" applyAlignment="1" applyProtection="1">
      <alignment horizontal="distributed" vertical="center" wrapText="1" justifyLastLine="1"/>
    </xf>
    <xf numFmtId="0" fontId="9" fillId="0" borderId="86" xfId="1" applyFont="1" applyBorder="1" applyAlignment="1" applyProtection="1">
      <alignment horizontal="distributed" vertical="center" wrapText="1" justifyLastLine="1"/>
    </xf>
    <xf numFmtId="0" fontId="9" fillId="0" borderId="87" xfId="1" applyFont="1" applyBorder="1" applyAlignment="1" applyProtection="1">
      <alignment horizontal="distributed" vertical="center" wrapText="1" justifyLastLine="1"/>
    </xf>
    <xf numFmtId="0" fontId="60" fillId="0" borderId="16" xfId="3" applyFont="1" applyBorder="1" applyAlignment="1" applyProtection="1">
      <alignment horizontal="center" vertical="center" textRotation="255"/>
    </xf>
    <xf numFmtId="0" fontId="60" fillId="0" borderId="25" xfId="3" applyFont="1" applyBorder="1" applyAlignment="1" applyProtection="1">
      <alignment horizontal="center" vertical="center" textRotation="255"/>
    </xf>
    <xf numFmtId="0" fontId="9" fillId="0" borderId="109" xfId="1" applyFont="1" applyBorder="1" applyAlignment="1" applyProtection="1">
      <alignment horizontal="distributed" vertical="center" justifyLastLine="1"/>
    </xf>
    <xf numFmtId="0" fontId="9" fillId="0" borderId="6" xfId="1" applyFont="1" applyBorder="1" applyAlignment="1" applyProtection="1">
      <alignment horizontal="distributed" vertical="center" justifyLastLine="1"/>
    </xf>
    <xf numFmtId="0" fontId="3" fillId="0" borderId="92" xfId="1" applyBorder="1" applyAlignment="1" applyProtection="1">
      <alignment horizontal="distributed" vertical="center" justifyLastLine="1"/>
    </xf>
    <xf numFmtId="0" fontId="3" fillId="0" borderId="93" xfId="1" applyBorder="1" applyAlignment="1" applyProtection="1">
      <alignment horizontal="distributed" vertical="center" justifyLastLine="1"/>
    </xf>
    <xf numFmtId="0" fontId="3" fillId="0" borderId="0" xfId="1" applyBorder="1" applyAlignment="1" applyProtection="1">
      <alignment horizontal="distributed" vertical="center" justifyLastLine="1"/>
    </xf>
    <xf numFmtId="0" fontId="9" fillId="0" borderId="96" xfId="1" applyFont="1" applyBorder="1" applyAlignment="1" applyProtection="1">
      <alignment horizontal="distributed" vertical="center" justifyLastLine="1"/>
    </xf>
    <xf numFmtId="0" fontId="9" fillId="0" borderId="97" xfId="1" applyFont="1" applyBorder="1" applyAlignment="1" applyProtection="1">
      <alignment horizontal="distributed" vertical="center" justifyLastLine="1"/>
    </xf>
    <xf numFmtId="0" fontId="9" fillId="0" borderId="98" xfId="1" applyFont="1" applyBorder="1" applyAlignment="1" applyProtection="1">
      <alignment horizontal="distributed" vertical="center" justifyLastLine="1"/>
    </xf>
    <xf numFmtId="0" fontId="9" fillId="0" borderId="100" xfId="1" applyFont="1" applyBorder="1" applyAlignment="1" applyProtection="1">
      <alignment horizontal="distributed" vertical="center" justifyLastLine="1"/>
    </xf>
    <xf numFmtId="0" fontId="9" fillId="0" borderId="101" xfId="1" applyFont="1" applyBorder="1" applyAlignment="1" applyProtection="1">
      <alignment horizontal="distributed" vertical="center" justifyLastLine="1"/>
    </xf>
    <xf numFmtId="0" fontId="9" fillId="0" borderId="102" xfId="1" applyFont="1" applyBorder="1" applyAlignment="1" applyProtection="1">
      <alignment horizontal="distributed" vertical="center" justifyLastLine="1"/>
    </xf>
    <xf numFmtId="0" fontId="9" fillId="0" borderId="99" xfId="1" applyFont="1" applyBorder="1" applyAlignment="1" applyProtection="1">
      <alignment horizontal="distributed" vertical="center" justifyLastLine="1"/>
    </xf>
    <xf numFmtId="0" fontId="9" fillId="0" borderId="103" xfId="1" applyFont="1" applyBorder="1" applyAlignment="1" applyProtection="1">
      <alignment horizontal="distributed" justifyLastLine="1"/>
    </xf>
    <xf numFmtId="0" fontId="9" fillId="0" borderId="16" xfId="1" applyFont="1" applyFill="1" applyBorder="1" applyAlignment="1" applyProtection="1">
      <alignment horizontal="center" vertical="center"/>
    </xf>
    <xf numFmtId="0" fontId="9" fillId="0" borderId="104" xfId="1" applyFont="1" applyFill="1" applyBorder="1" applyAlignment="1" applyProtection="1">
      <alignment horizontal="center" vertical="center"/>
    </xf>
    <xf numFmtId="0" fontId="9" fillId="0" borderId="1" xfId="1" applyFont="1" applyBorder="1" applyAlignment="1" applyProtection="1">
      <alignment horizontal="center" vertical="center"/>
    </xf>
    <xf numFmtId="0" fontId="9" fillId="0" borderId="5" xfId="1" applyFont="1" applyBorder="1" applyAlignment="1" applyProtection="1">
      <alignment horizontal="center" vertical="center"/>
    </xf>
    <xf numFmtId="0" fontId="9" fillId="0" borderId="105" xfId="1" applyFont="1" applyBorder="1" applyAlignment="1" applyProtection="1">
      <alignment horizontal="distributed" vertical="center" justifyLastLine="1"/>
    </xf>
    <xf numFmtId="0" fontId="9" fillId="0" borderId="106" xfId="1" applyFont="1" applyBorder="1" applyAlignment="1" applyProtection="1">
      <alignment horizontal="distributed" vertical="center" justifyLastLine="1"/>
    </xf>
    <xf numFmtId="0" fontId="9" fillId="0" borderId="27" xfId="1" applyFont="1" applyBorder="1" applyAlignment="1" applyProtection="1">
      <alignment horizontal="distributed" vertical="center" justifyLastLine="1"/>
    </xf>
    <xf numFmtId="0" fontId="9" fillId="0" borderId="19" xfId="1" applyFont="1" applyBorder="1" applyAlignment="1" applyProtection="1">
      <alignment horizontal="center" vertical="center"/>
    </xf>
    <xf numFmtId="0" fontId="9" fillId="0" borderId="84" xfId="1" applyFont="1" applyBorder="1" applyAlignment="1" applyProtection="1">
      <alignment horizontal="center" vertical="center"/>
    </xf>
    <xf numFmtId="0" fontId="9" fillId="0" borderId="1" xfId="1" applyFont="1" applyFill="1" applyBorder="1" applyAlignment="1" applyProtection="1">
      <alignment horizontal="center" vertical="center"/>
    </xf>
    <xf numFmtId="0" fontId="9" fillId="0" borderId="5" xfId="1" applyFont="1" applyFill="1" applyBorder="1" applyAlignment="1" applyProtection="1">
      <alignment horizontal="center" vertical="center"/>
    </xf>
    <xf numFmtId="0" fontId="9" fillId="0" borderId="99" xfId="1" applyFont="1" applyBorder="1" applyAlignment="1" applyProtection="1">
      <alignment horizontal="center" vertical="center"/>
    </xf>
    <xf numFmtId="0" fontId="9" fillId="0" borderId="116" xfId="1" applyFont="1" applyBorder="1" applyAlignment="1" applyProtection="1">
      <alignment horizontal="center" vertical="center"/>
    </xf>
    <xf numFmtId="0" fontId="9" fillId="0" borderId="50" xfId="1" applyFont="1" applyBorder="1" applyAlignment="1" applyProtection="1">
      <alignment horizontal="center" vertical="center" justifyLastLine="1"/>
    </xf>
    <xf numFmtId="0" fontId="9" fillId="0" borderId="51" xfId="1" applyFont="1" applyBorder="1" applyAlignment="1" applyProtection="1">
      <alignment horizontal="center" vertical="center" justifyLastLine="1"/>
    </xf>
    <xf numFmtId="0" fontId="67" fillId="0" borderId="109" xfId="1" applyFont="1" applyFill="1" applyBorder="1" applyAlignment="1" applyProtection="1">
      <alignment horizontal="center" vertical="center" wrapText="1" justifyLastLine="1"/>
    </xf>
    <xf numFmtId="0" fontId="67" fillId="0" borderId="6" xfId="1" applyFont="1" applyFill="1" applyBorder="1" applyAlignment="1" applyProtection="1">
      <alignment horizontal="center" vertical="center" wrapText="1" justifyLastLine="1"/>
    </xf>
    <xf numFmtId="0" fontId="44" fillId="0" borderId="6" xfId="1" applyFont="1" applyFill="1" applyBorder="1" applyAlignment="1" applyProtection="1">
      <alignment horizontal="distributed" vertical="center" justifyLastLine="1"/>
    </xf>
    <xf numFmtId="0" fontId="44" fillId="0" borderId="119" xfId="1" applyFont="1" applyFill="1" applyBorder="1" applyAlignment="1" applyProtection="1">
      <alignment horizontal="distributed" vertical="center" justifyLastLine="1"/>
    </xf>
    <xf numFmtId="0" fontId="46" fillId="0" borderId="120" xfId="1" applyFont="1" applyFill="1" applyBorder="1" applyAlignment="1" applyProtection="1">
      <alignment horizontal="center" vertical="top" shrinkToFit="1"/>
    </xf>
    <xf numFmtId="0" fontId="46" fillId="0" borderId="122" xfId="1" applyFont="1" applyFill="1" applyBorder="1" applyAlignment="1" applyProtection="1">
      <alignment horizontal="center" vertical="top" shrinkToFit="1"/>
    </xf>
    <xf numFmtId="0" fontId="46" fillId="0" borderId="123" xfId="1" applyFont="1" applyFill="1" applyBorder="1" applyAlignment="1" applyProtection="1">
      <alignment horizontal="center" vertical="top" shrinkToFit="1"/>
    </xf>
    <xf numFmtId="0" fontId="44" fillId="0" borderId="125" xfId="1" applyFont="1" applyBorder="1" applyAlignment="1" applyProtection="1">
      <alignment horizontal="distributed" vertical="center" wrapText="1" indent="1"/>
      <protection locked="0"/>
    </xf>
    <xf numFmtId="0" fontId="44" fillId="0" borderId="28" xfId="1" applyFont="1" applyBorder="1" applyAlignment="1" applyProtection="1">
      <alignment horizontal="distributed" vertical="center" wrapText="1" indent="1"/>
      <protection locked="0"/>
    </xf>
    <xf numFmtId="0" fontId="44" fillId="0" borderId="126" xfId="1" applyFont="1" applyBorder="1" applyAlignment="1" applyProtection="1">
      <alignment horizontal="distributed" vertical="center" wrapText="1" indent="1"/>
      <protection locked="0"/>
    </xf>
    <xf numFmtId="0" fontId="44" fillId="0" borderId="55" xfId="1" applyFont="1" applyBorder="1" applyAlignment="1" applyProtection="1">
      <alignment horizontal="distributed" vertical="center" wrapText="1" indent="1"/>
      <protection locked="0"/>
    </xf>
    <xf numFmtId="0" fontId="44" fillId="0" borderId="3" xfId="1" applyFont="1" applyBorder="1" applyAlignment="1" applyProtection="1">
      <alignment horizontal="distributed" vertical="center" wrapText="1" indent="1"/>
      <protection locked="0"/>
    </xf>
    <xf numFmtId="0" fontId="44" fillId="0" borderId="72" xfId="1" applyFont="1" applyBorder="1" applyAlignment="1" applyProtection="1">
      <alignment horizontal="distributed" vertical="center" wrapText="1" indent="1"/>
      <protection locked="0"/>
    </xf>
    <xf numFmtId="0" fontId="44" fillId="0" borderId="59" xfId="1" applyFont="1" applyBorder="1" applyAlignment="1" applyProtection="1">
      <alignment horizontal="distributed" vertical="center" wrapText="1" indent="1"/>
      <protection locked="0"/>
    </xf>
    <xf numFmtId="0" fontId="44" fillId="0" borderId="60" xfId="1" applyFont="1" applyBorder="1" applyAlignment="1" applyProtection="1">
      <alignment horizontal="distributed" vertical="center" wrapText="1" indent="1"/>
      <protection locked="0"/>
    </xf>
    <xf numFmtId="0" fontId="44" fillId="0" borderId="75" xfId="1" applyFont="1" applyBorder="1" applyAlignment="1" applyProtection="1">
      <alignment horizontal="distributed" vertical="center" wrapText="1" indent="1"/>
      <protection locked="0"/>
    </xf>
    <xf numFmtId="0" fontId="9" fillId="0" borderId="113" xfId="1" applyFont="1" applyBorder="1" applyAlignment="1" applyProtection="1">
      <alignment horizontal="distributed" vertical="center" justifyLastLine="1"/>
    </xf>
    <xf numFmtId="0" fontId="44" fillId="0" borderId="96" xfId="1" applyFont="1" applyBorder="1" applyAlignment="1" applyProtection="1">
      <alignment horizontal="distributed" vertical="center" justifyLastLine="1"/>
    </xf>
    <xf numFmtId="0" fontId="44" fillId="0" borderId="97" xfId="1" applyFont="1" applyBorder="1" applyAlignment="1" applyProtection="1">
      <alignment horizontal="distributed" vertical="center" justifyLastLine="1"/>
    </xf>
    <xf numFmtId="0" fontId="44" fillId="0" borderId="98" xfId="1" applyFont="1" applyBorder="1" applyAlignment="1" applyProtection="1">
      <alignment horizontal="distributed" vertical="center" justifyLastLine="1"/>
    </xf>
    <xf numFmtId="0" fontId="44" fillId="0" borderId="100" xfId="1" applyFont="1" applyBorder="1" applyAlignment="1" applyProtection="1">
      <alignment horizontal="distributed" vertical="center" justifyLastLine="1"/>
    </xf>
    <xf numFmtId="0" fontId="44" fillId="0" borderId="101" xfId="1" applyFont="1" applyBorder="1" applyAlignment="1" applyProtection="1">
      <alignment horizontal="distributed" vertical="center" justifyLastLine="1"/>
    </xf>
    <xf numFmtId="0" fontId="44" fillId="0" borderId="102" xfId="1" applyFont="1" applyBorder="1" applyAlignment="1" applyProtection="1">
      <alignment horizontal="distributed" vertical="center" justifyLastLine="1"/>
    </xf>
    <xf numFmtId="0" fontId="65" fillId="0" borderId="6" xfId="1" applyFont="1" applyBorder="1" applyAlignment="1" applyProtection="1">
      <alignment horizontal="center" vertical="center"/>
    </xf>
    <xf numFmtId="0" fontId="3" fillId="0" borderId="6" xfId="1" applyBorder="1" applyAlignment="1" applyProtection="1"/>
    <xf numFmtId="0" fontId="9" fillId="0" borderId="17" xfId="1" applyFont="1" applyFill="1" applyBorder="1" applyAlignment="1" applyProtection="1">
      <alignment horizontal="center" vertical="distributed" textRotation="255" justifyLastLine="1"/>
    </xf>
    <xf numFmtId="0" fontId="3" fillId="0" borderId="31" xfId="1" applyBorder="1" applyAlignment="1" applyProtection="1">
      <alignment vertical="distributed" textRotation="255" justifyLastLine="1"/>
    </xf>
    <xf numFmtId="0" fontId="3" fillId="0" borderId="39" xfId="1" applyBorder="1" applyAlignment="1" applyProtection="1">
      <alignment vertical="distributed" textRotation="255" justifyLastLine="1"/>
    </xf>
    <xf numFmtId="0" fontId="3" fillId="0" borderId="26" xfId="1" applyBorder="1" applyAlignment="1" applyProtection="1">
      <alignment vertical="distributed" textRotation="255" justifyLastLine="1"/>
    </xf>
    <xf numFmtId="0" fontId="3" fillId="0" borderId="125" xfId="1" applyBorder="1" applyAlignment="1" applyProtection="1">
      <alignment vertical="distributed" textRotation="255" justifyLastLine="1"/>
    </xf>
    <xf numFmtId="0" fontId="3" fillId="0" borderId="29" xfId="1" applyBorder="1" applyAlignment="1" applyProtection="1">
      <alignment vertical="distributed" textRotation="255" justifyLastLine="1"/>
    </xf>
    <xf numFmtId="0" fontId="9" fillId="0" borderId="30" xfId="1" applyFont="1" applyFill="1" applyBorder="1" applyAlignment="1" applyProtection="1">
      <alignment horizontal="distributed" vertical="distributed" justifyLastLine="1"/>
    </xf>
    <xf numFmtId="0" fontId="9" fillId="0" borderId="19" xfId="1" applyFont="1" applyFill="1" applyBorder="1" applyAlignment="1" applyProtection="1">
      <alignment horizontal="distributed" vertical="distributed" justifyLastLine="1"/>
    </xf>
    <xf numFmtId="0" fontId="36" fillId="0" borderId="17" xfId="1" applyFont="1" applyFill="1" applyBorder="1" applyAlignment="1" applyProtection="1">
      <alignment horizontal="left" vertical="center" wrapText="1"/>
    </xf>
    <xf numFmtId="0" fontId="36" fillId="0" borderId="18" xfId="1" applyFont="1" applyFill="1" applyBorder="1" applyAlignment="1" applyProtection="1">
      <alignment horizontal="left" vertical="center" wrapText="1"/>
    </xf>
    <xf numFmtId="0" fontId="36" fillId="0" borderId="39" xfId="1" applyFont="1" applyFill="1" applyBorder="1" applyAlignment="1" applyProtection="1">
      <alignment horizontal="left" vertical="center" wrapText="1"/>
    </xf>
    <xf numFmtId="0" fontId="36" fillId="0" borderId="0" xfId="1" applyFont="1" applyFill="1" applyBorder="1" applyAlignment="1" applyProtection="1">
      <alignment horizontal="left" vertical="center" wrapText="1"/>
    </xf>
    <xf numFmtId="0" fontId="36" fillId="0" borderId="125" xfId="1" applyFont="1" applyFill="1" applyBorder="1" applyAlignment="1" applyProtection="1">
      <alignment horizontal="left" vertical="center" wrapText="1"/>
    </xf>
    <xf numFmtId="0" fontId="36" fillId="0" borderId="28" xfId="1" applyFont="1" applyFill="1" applyBorder="1" applyAlignment="1" applyProtection="1">
      <alignment horizontal="left" vertical="center" wrapText="1"/>
    </xf>
    <xf numFmtId="0" fontId="65" fillId="0" borderId="1" xfId="1" applyFont="1" applyBorder="1" applyAlignment="1" applyProtection="1">
      <alignment horizontal="center" vertical="center" textRotation="255"/>
    </xf>
    <xf numFmtId="0" fontId="65" fillId="0" borderId="5" xfId="1" applyFont="1" applyBorder="1" applyAlignment="1" applyProtection="1">
      <alignment horizontal="center" vertical="center" textRotation="255"/>
    </xf>
    <xf numFmtId="0" fontId="65" fillId="0" borderId="106" xfId="1" applyFont="1" applyBorder="1" applyAlignment="1" applyProtection="1">
      <alignment horizontal="center" vertical="center" textRotation="255"/>
    </xf>
    <xf numFmtId="0" fontId="65" fillId="0" borderId="2" xfId="1" applyFont="1" applyBorder="1" applyAlignment="1" applyProtection="1">
      <alignment horizontal="center" vertical="center"/>
    </xf>
    <xf numFmtId="0" fontId="65" fillId="0" borderId="4" xfId="1" applyFont="1" applyBorder="1" applyAlignment="1" applyProtection="1">
      <alignment horizontal="center" vertical="center"/>
    </xf>
    <xf numFmtId="0" fontId="44" fillId="0" borderId="17" xfId="1" applyFont="1" applyFill="1" applyBorder="1" applyAlignment="1" applyProtection="1">
      <alignment horizontal="distributed" vertical="center" justifyLastLine="1"/>
    </xf>
    <xf numFmtId="0" fontId="44" fillId="0" borderId="18" xfId="1" applyFont="1" applyFill="1" applyBorder="1" applyAlignment="1" applyProtection="1">
      <alignment horizontal="distributed" vertical="center" justifyLastLine="1"/>
    </xf>
    <xf numFmtId="0" fontId="44" fillId="0" borderId="20" xfId="1" applyFont="1" applyFill="1" applyBorder="1" applyAlignment="1" applyProtection="1">
      <alignment horizontal="distributed" vertical="center" justifyLastLine="1"/>
    </xf>
    <xf numFmtId="0" fontId="44" fillId="0" borderId="21" xfId="1" applyFont="1" applyFill="1" applyBorder="1" applyAlignment="1" applyProtection="1">
      <alignment horizontal="distributed" vertical="center" justifyLastLine="1"/>
    </xf>
    <xf numFmtId="0" fontId="9" fillId="0" borderId="17" xfId="1" applyFont="1" applyFill="1" applyBorder="1" applyAlignment="1" applyProtection="1">
      <alignment horizontal="distributed" vertical="center" justifyLastLine="1"/>
    </xf>
    <xf numFmtId="0" fontId="9" fillId="0" borderId="18" xfId="1" applyFont="1" applyFill="1" applyBorder="1" applyAlignment="1" applyProtection="1">
      <alignment horizontal="distributed" vertical="center" justifyLastLine="1"/>
    </xf>
    <xf numFmtId="0" fontId="9" fillId="0" borderId="31" xfId="1" applyFont="1" applyFill="1" applyBorder="1" applyAlignment="1" applyProtection="1">
      <alignment horizontal="distributed" vertical="center" justifyLastLine="1"/>
    </xf>
    <xf numFmtId="0" fontId="9" fillId="0" borderId="20" xfId="1" applyFont="1" applyFill="1" applyBorder="1" applyAlignment="1" applyProtection="1">
      <alignment horizontal="distributed" vertical="center" justifyLastLine="1"/>
    </xf>
    <xf numFmtId="0" fontId="9" fillId="0" borderId="21" xfId="1" applyFont="1" applyFill="1" applyBorder="1" applyAlignment="1" applyProtection="1">
      <alignment horizontal="distributed" vertical="center" justifyLastLine="1"/>
    </xf>
    <xf numFmtId="0" fontId="9" fillId="0" borderId="65" xfId="1" applyFont="1" applyFill="1" applyBorder="1" applyAlignment="1" applyProtection="1">
      <alignment horizontal="distributed" vertical="center" justifyLastLine="1"/>
    </xf>
    <xf numFmtId="0" fontId="9" fillId="0" borderId="18" xfId="1" applyFont="1" applyFill="1" applyBorder="1" applyAlignment="1" applyProtection="1">
      <alignment horizontal="center" vertical="center"/>
    </xf>
    <xf numFmtId="0" fontId="9" fillId="0" borderId="0" xfId="1" applyFont="1" applyFill="1" applyBorder="1" applyAlignment="1" applyProtection="1">
      <alignment horizontal="center" vertical="center"/>
    </xf>
    <xf numFmtId="0" fontId="9" fillId="0" borderId="50" xfId="1" applyFont="1" applyFill="1" applyBorder="1" applyAlignment="1" applyProtection="1">
      <alignment horizontal="distributed" vertical="center" justifyLastLine="1"/>
    </xf>
    <xf numFmtId="0" fontId="9" fillId="0" borderId="129" xfId="1" applyFont="1" applyFill="1" applyBorder="1" applyAlignment="1" applyProtection="1">
      <alignment horizontal="distributed" vertical="center" justifyLastLine="1"/>
    </xf>
    <xf numFmtId="0" fontId="65" fillId="0" borderId="3" xfId="1" applyFont="1" applyBorder="1" applyAlignment="1" applyProtection="1">
      <alignment horizontal="center" vertical="center"/>
    </xf>
    <xf numFmtId="0" fontId="9" fillId="0" borderId="16" xfId="1" applyFont="1" applyFill="1" applyBorder="1" applyAlignment="1" applyProtection="1">
      <alignment horizontal="distributed" vertical="distributed" justifyLastLine="1"/>
    </xf>
    <xf numFmtId="0" fontId="9" fillId="0" borderId="74" xfId="1" applyFont="1" applyFill="1" applyBorder="1" applyAlignment="1" applyProtection="1">
      <alignment horizontal="distributed" vertical="distributed" justifyLastLine="1"/>
    </xf>
    <xf numFmtId="0" fontId="36" fillId="0" borderId="73" xfId="1" applyFont="1" applyFill="1" applyBorder="1" applyAlignment="1" applyProtection="1">
      <alignment horizontal="left" vertical="center" wrapText="1"/>
    </xf>
    <xf numFmtId="0" fontId="36" fillId="0" borderId="23" xfId="1" applyFont="1" applyFill="1" applyBorder="1" applyAlignment="1" applyProtection="1">
      <alignment horizontal="left" vertical="center" wrapText="1"/>
    </xf>
    <xf numFmtId="0" fontId="65" fillId="0" borderId="0" xfId="1" applyFont="1" applyBorder="1" applyAlignment="1" applyProtection="1">
      <alignment horizontal="center" vertical="center"/>
    </xf>
    <xf numFmtId="0" fontId="36" fillId="0" borderId="26" xfId="1" applyFont="1" applyFill="1" applyBorder="1" applyAlignment="1" applyProtection="1">
      <alignment horizontal="left" vertical="center" wrapText="1"/>
    </xf>
    <xf numFmtId="0" fontId="36" fillId="0" borderId="29" xfId="1" applyFont="1" applyFill="1" applyBorder="1" applyAlignment="1" applyProtection="1">
      <alignment horizontal="left" vertical="center" wrapText="1"/>
    </xf>
    <xf numFmtId="0" fontId="9" fillId="0" borderId="2" xfId="1" applyFont="1" applyFill="1" applyBorder="1" applyAlignment="1" applyProtection="1">
      <alignment horizontal="distributed" vertical="center" justifyLastLine="1"/>
    </xf>
    <xf numFmtId="0" fontId="9" fillId="0" borderId="72" xfId="1" applyFont="1" applyFill="1" applyBorder="1" applyAlignment="1" applyProtection="1">
      <alignment horizontal="distributed" vertical="center" justifyLastLine="1"/>
    </xf>
    <xf numFmtId="0" fontId="72" fillId="0" borderId="55" xfId="1" applyFont="1" applyFill="1" applyBorder="1" applyAlignment="1" applyProtection="1">
      <alignment horizontal="left" vertical="center" wrapText="1"/>
    </xf>
    <xf numFmtId="0" fontId="72" fillId="0" borderId="3" xfId="1" applyFont="1" applyFill="1" applyBorder="1" applyAlignment="1" applyProtection="1">
      <alignment horizontal="left" vertical="center" wrapText="1"/>
    </xf>
    <xf numFmtId="0" fontId="9" fillId="0" borderId="39" xfId="1" applyFont="1" applyFill="1" applyBorder="1" applyAlignment="1" applyProtection="1">
      <alignment horizontal="center" vertical="center" textRotation="255" wrapText="1" justifyLastLine="1"/>
    </xf>
    <xf numFmtId="0" fontId="9" fillId="0" borderId="26" xfId="1" applyFont="1" applyFill="1" applyBorder="1" applyAlignment="1" applyProtection="1">
      <alignment horizontal="center" vertical="center" textRotation="255" justifyLastLine="1"/>
    </xf>
    <xf numFmtId="0" fontId="9" fillId="0" borderId="39" xfId="1" applyFont="1" applyFill="1" applyBorder="1" applyAlignment="1" applyProtection="1">
      <alignment horizontal="center" vertical="center" textRotation="255" justifyLastLine="1"/>
    </xf>
    <xf numFmtId="0" fontId="9" fillId="0" borderId="20" xfId="1" applyFont="1" applyFill="1" applyBorder="1" applyAlignment="1" applyProtection="1">
      <alignment horizontal="center" vertical="center" textRotation="255" justifyLastLine="1"/>
    </xf>
    <xf numFmtId="0" fontId="9" fillId="0" borderId="65" xfId="1" applyFont="1" applyFill="1" applyBorder="1" applyAlignment="1" applyProtection="1">
      <alignment horizontal="center" vertical="center" textRotation="255" justifyLastLine="1"/>
    </xf>
    <xf numFmtId="0" fontId="6" fillId="0" borderId="141" xfId="1" applyFont="1" applyFill="1" applyBorder="1" applyAlignment="1" applyProtection="1">
      <alignment horizontal="center" vertical="top"/>
    </xf>
    <xf numFmtId="0" fontId="6" fillId="0" borderId="142" xfId="1" applyFont="1" applyFill="1" applyBorder="1" applyAlignment="1" applyProtection="1">
      <alignment horizontal="center" vertical="top"/>
    </xf>
    <xf numFmtId="0" fontId="6" fillId="0" borderId="143" xfId="1" applyFont="1" applyFill="1" applyBorder="1" applyAlignment="1" applyProtection="1">
      <alignment horizontal="center" vertical="top"/>
    </xf>
    <xf numFmtId="0" fontId="59" fillId="0" borderId="1" xfId="1" applyFont="1" applyBorder="1" applyAlignment="1" applyProtection="1">
      <alignment horizontal="center" vertical="center" textRotation="255"/>
    </xf>
    <xf numFmtId="0" fontId="59" fillId="0" borderId="5" xfId="1" applyFont="1" applyBorder="1" applyAlignment="1" applyProtection="1">
      <alignment horizontal="center" vertical="center" textRotation="255"/>
    </xf>
    <xf numFmtId="0" fontId="59" fillId="0" borderId="106" xfId="1" applyFont="1" applyBorder="1" applyAlignment="1" applyProtection="1">
      <alignment horizontal="center" vertical="center" textRotation="255"/>
    </xf>
    <xf numFmtId="0" fontId="9" fillId="0" borderId="113" xfId="1" applyFont="1" applyFill="1" applyBorder="1" applyAlignment="1" applyProtection="1">
      <alignment horizontal="distributed" vertical="center" justifyLastLine="1"/>
    </xf>
    <xf numFmtId="0" fontId="9" fillId="0" borderId="75" xfId="1" applyFont="1" applyFill="1" applyBorder="1" applyAlignment="1" applyProtection="1">
      <alignment horizontal="distributed" vertical="center" justifyLastLine="1"/>
    </xf>
    <xf numFmtId="0" fontId="36" fillId="0" borderId="59" xfId="1" applyFont="1" applyFill="1" applyBorder="1" applyAlignment="1" applyProtection="1">
      <alignment horizontal="left" vertical="center" wrapText="1"/>
    </xf>
    <xf numFmtId="0" fontId="36" fillId="0" borderId="60" xfId="1" applyFont="1" applyFill="1" applyBorder="1" applyAlignment="1" applyProtection="1">
      <alignment horizontal="left" vertical="center" wrapText="1"/>
    </xf>
    <xf numFmtId="0" fontId="36" fillId="0" borderId="55" xfId="1" applyFont="1" applyFill="1" applyBorder="1" applyAlignment="1" applyProtection="1">
      <alignment horizontal="left" vertical="center" wrapText="1"/>
    </xf>
    <xf numFmtId="0" fontId="36" fillId="0" borderId="3" xfId="1" applyFont="1" applyFill="1" applyBorder="1" applyAlignment="1" applyProtection="1">
      <alignment horizontal="left" vertical="center" wrapText="1"/>
    </xf>
    <xf numFmtId="0" fontId="59" fillId="0" borderId="2" xfId="1" applyFont="1" applyBorder="1" applyAlignment="1" applyProtection="1">
      <alignment horizontal="center" vertical="center"/>
    </xf>
    <xf numFmtId="0" fontId="59" fillId="0" borderId="4" xfId="1" applyFont="1" applyBorder="1" applyAlignment="1" applyProtection="1">
      <alignment horizontal="center" vertical="center"/>
    </xf>
    <xf numFmtId="0" fontId="59" fillId="0" borderId="6" xfId="1" applyFont="1" applyBorder="1" applyAlignment="1" applyProtection="1">
      <alignment horizontal="center" vertical="center"/>
    </xf>
    <xf numFmtId="0" fontId="59" fillId="0" borderId="0" xfId="1" applyFont="1" applyBorder="1" applyAlignment="1" applyProtection="1">
      <alignment horizontal="left" vertical="top" wrapText="1"/>
    </xf>
    <xf numFmtId="0" fontId="59" fillId="0" borderId="28" xfId="1" applyFont="1" applyBorder="1" applyAlignment="1" applyProtection="1">
      <alignment horizontal="left" vertical="top" wrapText="1"/>
    </xf>
    <xf numFmtId="0" fontId="9" fillId="0" borderId="19" xfId="1" applyFont="1" applyFill="1" applyBorder="1" applyAlignment="1" applyProtection="1">
      <alignment horizontal="distributed" vertical="center" justifyLastLine="1"/>
    </xf>
    <xf numFmtId="0" fontId="9" fillId="0" borderId="39" xfId="1" applyFont="1" applyFill="1" applyBorder="1" applyAlignment="1" applyProtection="1">
      <alignment horizontal="distributed" vertical="center" justifyLastLine="1"/>
    </xf>
    <xf numFmtId="0" fontId="9" fillId="0" borderId="0" xfId="1" applyFont="1" applyFill="1" applyBorder="1" applyAlignment="1" applyProtection="1">
      <alignment horizontal="distributed" vertical="center" justifyLastLine="1"/>
    </xf>
    <xf numFmtId="0" fontId="9" fillId="0" borderId="84" xfId="1" applyFont="1" applyFill="1" applyBorder="1" applyAlignment="1" applyProtection="1">
      <alignment horizontal="distributed" vertical="center" justifyLastLine="1"/>
    </xf>
    <xf numFmtId="0" fontId="9" fillId="0" borderId="22" xfId="1" applyFont="1" applyFill="1" applyBorder="1" applyAlignment="1" applyProtection="1">
      <alignment horizontal="distributed" vertical="center" justifyLastLine="1"/>
    </xf>
    <xf numFmtId="0" fontId="9" fillId="0" borderId="26" xfId="1" applyFont="1" applyFill="1" applyBorder="1" applyAlignment="1" applyProtection="1">
      <alignment horizontal="distributed" vertical="center" justifyLastLine="1"/>
    </xf>
    <xf numFmtId="0" fontId="9" fillId="0" borderId="18" xfId="1" applyFont="1" applyFill="1" applyBorder="1" applyAlignment="1" applyProtection="1">
      <alignment horizontal="center" vertical="center" wrapText="1"/>
    </xf>
    <xf numFmtId="0" fontId="9" fillId="0" borderId="50" xfId="1" applyFont="1" applyFill="1" applyBorder="1" applyAlignment="1" applyProtection="1">
      <alignment horizontal="center" vertical="center" justifyLastLine="1"/>
    </xf>
    <xf numFmtId="0" fontId="9" fillId="0" borderId="144" xfId="1" applyFont="1" applyFill="1" applyBorder="1" applyAlignment="1" applyProtection="1">
      <alignment horizontal="center" vertical="center" justifyLastLine="1"/>
    </xf>
    <xf numFmtId="0" fontId="9" fillId="0" borderId="145" xfId="1" applyFont="1" applyFill="1" applyBorder="1" applyAlignment="1" applyProtection="1">
      <alignment horizontal="center" vertical="center" justifyLastLine="1"/>
    </xf>
    <xf numFmtId="0" fontId="9" fillId="0" borderId="6" xfId="1" applyFont="1" applyBorder="1" applyAlignment="1" applyProtection="1">
      <alignment horizontal="center" vertical="center"/>
    </xf>
    <xf numFmtId="0" fontId="9" fillId="0" borderId="24" xfId="1" applyFont="1" applyBorder="1" applyAlignment="1" applyProtection="1">
      <alignment horizontal="center" vertical="center" shrinkToFit="1"/>
    </xf>
    <xf numFmtId="0" fontId="9" fillId="0" borderId="29" xfId="1" applyFont="1" applyBorder="1" applyAlignment="1" applyProtection="1">
      <alignment horizontal="center" vertical="center" shrinkToFit="1"/>
    </xf>
    <xf numFmtId="0" fontId="9" fillId="0" borderId="16" xfId="1" applyFont="1" applyBorder="1" applyAlignment="1" applyProtection="1">
      <alignment horizontal="center" vertical="center"/>
    </xf>
    <xf numFmtId="0" fontId="9" fillId="0" borderId="23" xfId="1" applyFont="1" applyBorder="1" applyAlignment="1" applyProtection="1">
      <alignment horizontal="center" vertical="center"/>
    </xf>
    <xf numFmtId="0" fontId="9" fillId="0" borderId="24" xfId="1" applyFont="1" applyBorder="1" applyAlignment="1" applyProtection="1">
      <alignment horizontal="center" vertical="center"/>
    </xf>
    <xf numFmtId="0" fontId="9" fillId="0" borderId="27" xfId="1" applyFont="1" applyBorder="1" applyAlignment="1" applyProtection="1">
      <alignment horizontal="center" vertical="center"/>
    </xf>
    <xf numFmtId="0" fontId="9" fillId="0" borderId="28" xfId="1" applyFont="1" applyBorder="1" applyAlignment="1" applyProtection="1">
      <alignment horizontal="center" vertical="center"/>
    </xf>
    <xf numFmtId="0" fontId="9" fillId="0" borderId="29" xfId="1" applyFont="1" applyBorder="1" applyAlignment="1" applyProtection="1">
      <alignment horizontal="center" vertical="center"/>
    </xf>
    <xf numFmtId="0" fontId="9" fillId="0" borderId="106" xfId="1" applyFont="1" applyBorder="1" applyAlignment="1" applyProtection="1">
      <alignment horizontal="center" vertical="center"/>
    </xf>
    <xf numFmtId="0" fontId="65" fillId="0" borderId="1" xfId="1" applyFont="1" applyBorder="1" applyAlignment="1" applyProtection="1">
      <alignment horizontal="center" vertical="center" shrinkToFit="1"/>
    </xf>
    <xf numFmtId="0" fontId="65" fillId="0" borderId="106" xfId="1" applyFont="1" applyBorder="1" applyAlignment="1" applyProtection="1">
      <alignment horizontal="center" vertical="center" shrinkToFit="1"/>
    </xf>
    <xf numFmtId="0" fontId="9" fillId="0" borderId="67" xfId="1" applyFont="1" applyFill="1" applyBorder="1" applyAlignment="1" applyProtection="1">
      <alignment horizontal="distributed" vertical="distributed" justifyLastLine="1"/>
    </xf>
    <xf numFmtId="0" fontId="9" fillId="0" borderId="68" xfId="1" applyFont="1" applyFill="1" applyBorder="1" applyAlignment="1" applyProtection="1">
      <alignment horizontal="distributed" vertical="distributed" justifyLastLine="1"/>
    </xf>
    <xf numFmtId="0" fontId="9" fillId="0" borderId="146" xfId="1" applyFont="1" applyFill="1" applyBorder="1" applyAlignment="1" applyProtection="1">
      <alignment horizontal="distributed" vertical="distributed" justifyLastLine="1"/>
    </xf>
    <xf numFmtId="0" fontId="9" fillId="0" borderId="6" xfId="1" applyFont="1" applyBorder="1" applyAlignment="1" applyProtection="1">
      <alignment horizontal="center" vertical="distributed" textRotation="255" justifyLastLine="1"/>
    </xf>
    <xf numFmtId="0" fontId="9" fillId="0" borderId="2" xfId="1" applyFont="1" applyBorder="1" applyAlignment="1" applyProtection="1">
      <alignment horizontal="center" vertical="center" wrapText="1"/>
    </xf>
    <xf numFmtId="0" fontId="9" fillId="0" borderId="4" xfId="1" applyFont="1" applyBorder="1" applyAlignment="1" applyProtection="1">
      <alignment horizontal="center" vertical="center" wrapText="1"/>
    </xf>
    <xf numFmtId="0" fontId="9" fillId="0" borderId="73" xfId="1" applyFont="1" applyFill="1" applyBorder="1" applyAlignment="1" applyProtection="1">
      <alignment horizontal="distributed" vertical="distributed" justifyLastLine="1"/>
    </xf>
    <xf numFmtId="0" fontId="9" fillId="0" borderId="23" xfId="1" applyFont="1" applyFill="1" applyBorder="1" applyAlignment="1" applyProtection="1">
      <alignment horizontal="distributed" vertical="distributed" justifyLastLine="1"/>
    </xf>
    <xf numFmtId="3" fontId="7" fillId="0" borderId="149" xfId="1" applyNumberFormat="1" applyFont="1" applyFill="1" applyBorder="1" applyAlignment="1" applyProtection="1">
      <alignment horizontal="center" vertical="center" shrinkToFit="1"/>
    </xf>
    <xf numFmtId="3" fontId="7" fillId="0" borderId="150" xfId="1" applyNumberFormat="1" applyFont="1" applyFill="1" applyBorder="1" applyAlignment="1" applyProtection="1">
      <alignment horizontal="center" vertical="center" shrinkToFit="1"/>
    </xf>
    <xf numFmtId="3" fontId="7" fillId="0" borderId="154" xfId="1" applyNumberFormat="1" applyFont="1" applyFill="1" applyBorder="1" applyAlignment="1" applyProtection="1">
      <alignment horizontal="center" vertical="center" shrinkToFit="1"/>
    </xf>
    <xf numFmtId="0" fontId="9" fillId="0" borderId="3" xfId="1" applyFont="1" applyFill="1" applyBorder="1" applyAlignment="1" applyProtection="1">
      <alignment horizontal="distributed" vertical="center" justifyLastLine="1"/>
    </xf>
    <xf numFmtId="0" fontId="3" fillId="0" borderId="59" xfId="1" applyBorder="1" applyAlignment="1" applyProtection="1">
      <alignment horizontal="center" vertical="center"/>
    </xf>
    <xf numFmtId="0" fontId="3" fillId="0" borderId="60" xfId="1" applyBorder="1" applyAlignment="1" applyProtection="1">
      <alignment horizontal="center" vertical="center"/>
    </xf>
    <xf numFmtId="0" fontId="3" fillId="0" borderId="75" xfId="1" applyBorder="1" applyAlignment="1" applyProtection="1">
      <alignment horizontal="center" vertical="center"/>
    </xf>
    <xf numFmtId="0" fontId="3" fillId="0" borderId="151" xfId="1" applyBorder="1" applyAlignment="1" applyProtection="1">
      <alignment horizontal="center"/>
    </xf>
    <xf numFmtId="0" fontId="3" fillId="0" borderId="152" xfId="1" applyBorder="1" applyAlignment="1" applyProtection="1">
      <alignment horizontal="center"/>
    </xf>
    <xf numFmtId="0" fontId="9" fillId="0" borderId="6" xfId="1" applyFont="1" applyBorder="1" applyAlignment="1" applyProtection="1">
      <alignment horizontal="center" vertical="distributed" textRotation="255" wrapText="1" justifyLastLine="1"/>
    </xf>
    <xf numFmtId="0" fontId="9" fillId="0" borderId="3" xfId="1" applyFont="1" applyBorder="1" applyAlignment="1" applyProtection="1">
      <alignment horizontal="center" vertical="center" wrapText="1"/>
    </xf>
    <xf numFmtId="0" fontId="9" fillId="0" borderId="16" xfId="1" applyFont="1" applyBorder="1" applyAlignment="1" applyProtection="1">
      <alignment horizontal="center" vertical="center" textRotation="255" wrapText="1"/>
    </xf>
    <xf numFmtId="0" fontId="9" fillId="0" borderId="25" xfId="1" applyFont="1" applyBorder="1" applyAlignment="1" applyProtection="1">
      <alignment horizontal="center" vertical="center" textRotation="255" wrapText="1"/>
    </xf>
    <xf numFmtId="0" fontId="9" fillId="0" borderId="27" xfId="1" applyFont="1" applyBorder="1" applyAlignment="1" applyProtection="1">
      <alignment horizontal="center" vertical="center" textRotation="255" wrapText="1"/>
    </xf>
    <xf numFmtId="0" fontId="65" fillId="0" borderId="0" xfId="1" applyFont="1" applyBorder="1" applyAlignment="1" applyProtection="1">
      <alignment horizontal="left" vertical="center" wrapText="1"/>
    </xf>
    <xf numFmtId="0" fontId="3" fillId="0" borderId="0" xfId="1" applyAlignment="1" applyProtection="1">
      <alignment horizontal="left" vertical="center" wrapText="1"/>
    </xf>
    <xf numFmtId="0" fontId="3" fillId="0" borderId="0" xfId="1" applyAlignment="1" applyProtection="1">
      <alignment vertical="center" wrapText="1"/>
    </xf>
    <xf numFmtId="0" fontId="44" fillId="0" borderId="17" xfId="1" applyFont="1" applyBorder="1" applyAlignment="1" applyProtection="1">
      <alignment horizontal="distributed" vertical="center" justifyLastLine="1"/>
    </xf>
    <xf numFmtId="0" fontId="44" fillId="0" borderId="18" xfId="1" applyFont="1" applyBorder="1" applyAlignment="1" applyProtection="1">
      <alignment horizontal="distributed" vertical="center" justifyLastLine="1"/>
    </xf>
    <xf numFmtId="0" fontId="44" fillId="0" borderId="19" xfId="1" applyFont="1" applyBorder="1" applyAlignment="1" applyProtection="1">
      <alignment horizontal="distributed" vertical="center" justifyLastLine="1"/>
    </xf>
    <xf numFmtId="0" fontId="44" fillId="0" borderId="39" xfId="1" applyFont="1" applyBorder="1" applyAlignment="1" applyProtection="1">
      <alignment horizontal="distributed" vertical="center" justifyLastLine="1"/>
    </xf>
    <xf numFmtId="0" fontId="44" fillId="0" borderId="0" xfId="1" applyFont="1" applyBorder="1" applyAlignment="1" applyProtection="1">
      <alignment horizontal="distributed" vertical="center" justifyLastLine="1"/>
    </xf>
    <xf numFmtId="0" fontId="44" fillId="0" borderId="84" xfId="1" applyFont="1" applyBorder="1" applyAlignment="1" applyProtection="1">
      <alignment horizontal="distributed" vertical="center" justifyLastLine="1"/>
    </xf>
    <xf numFmtId="0" fontId="44" fillId="0" borderId="20" xfId="1" applyFont="1" applyBorder="1" applyAlignment="1" applyProtection="1">
      <alignment horizontal="distributed" vertical="center" justifyLastLine="1"/>
    </xf>
    <xf numFmtId="0" fontId="44" fillId="0" borderId="21" xfId="1" applyFont="1" applyBorder="1" applyAlignment="1" applyProtection="1">
      <alignment horizontal="distributed" vertical="center" justifyLastLine="1"/>
    </xf>
    <xf numFmtId="0" fontId="44" fillId="0" borderId="22" xfId="1" applyFont="1" applyBorder="1" applyAlignment="1" applyProtection="1">
      <alignment horizontal="distributed" vertical="center" justifyLastLine="1"/>
    </xf>
    <xf numFmtId="0" fontId="44" fillId="0" borderId="77" xfId="1" applyFont="1" applyFill="1" applyBorder="1" applyAlignment="1" applyProtection="1">
      <alignment horizontal="distributed" vertical="center" justifyLastLine="1"/>
    </xf>
    <xf numFmtId="0" fontId="44" fillId="0" borderId="78" xfId="1" applyFont="1" applyFill="1" applyBorder="1" applyAlignment="1" applyProtection="1">
      <alignment horizontal="distributed" vertical="center" justifyLastLine="1"/>
    </xf>
    <xf numFmtId="0" fontId="44" fillId="0" borderId="159" xfId="1" applyFont="1" applyFill="1" applyBorder="1" applyAlignment="1" applyProtection="1">
      <alignment horizontal="distributed" vertical="center" justifyLastLine="1"/>
    </xf>
    <xf numFmtId="0" fontId="9" fillId="0" borderId="23" xfId="1" applyFont="1" applyBorder="1" applyAlignment="1" applyProtection="1">
      <alignment vertical="top" wrapText="1" justifyLastLine="1"/>
    </xf>
    <xf numFmtId="0" fontId="9" fillId="0" borderId="0" xfId="1" applyFont="1" applyBorder="1" applyAlignment="1" applyProtection="1">
      <alignment vertical="top" wrapText="1" justifyLastLine="1"/>
    </xf>
    <xf numFmtId="0" fontId="9" fillId="0" borderId="77" xfId="1" applyFont="1" applyBorder="1" applyAlignment="1" applyProtection="1">
      <alignment horizontal="distributed" vertical="center" justifyLastLine="1"/>
    </xf>
    <xf numFmtId="0" fontId="9" fillId="0" borderId="78" xfId="1" applyFont="1" applyBorder="1" applyAlignment="1" applyProtection="1">
      <alignment horizontal="distributed" vertical="center" justifyLastLine="1"/>
    </xf>
    <xf numFmtId="0" fontId="9" fillId="0" borderId="79" xfId="1" applyFont="1" applyBorder="1" applyAlignment="1" applyProtection="1">
      <alignment horizontal="distributed" vertical="center" justifyLastLine="1"/>
    </xf>
    <xf numFmtId="0" fontId="9" fillId="0" borderId="77" xfId="1" applyFont="1" applyFill="1" applyBorder="1" applyAlignment="1" applyProtection="1">
      <alignment horizontal="distributed" vertical="center" justifyLastLine="1"/>
    </xf>
    <xf numFmtId="0" fontId="9" fillId="0" borderId="78" xfId="1" applyFont="1" applyFill="1" applyBorder="1" applyAlignment="1" applyProtection="1">
      <alignment horizontal="distributed" vertical="center" justifyLastLine="1"/>
    </xf>
    <xf numFmtId="0" fontId="9" fillId="0" borderId="79" xfId="1" applyFont="1" applyFill="1" applyBorder="1" applyAlignment="1" applyProtection="1">
      <alignment horizontal="distributed" vertical="center" justifyLastLine="1"/>
    </xf>
    <xf numFmtId="0" fontId="9" fillId="0" borderId="17" xfId="1" applyFont="1" applyFill="1" applyBorder="1" applyAlignment="1" applyProtection="1">
      <alignment horizontal="center" vertical="center" wrapText="1" justifyLastLine="1"/>
    </xf>
    <xf numFmtId="0" fontId="9" fillId="0" borderId="39" xfId="1" applyFont="1" applyFill="1" applyBorder="1" applyAlignment="1" applyProtection="1">
      <alignment horizontal="center" vertical="center" wrapText="1" justifyLastLine="1"/>
    </xf>
    <xf numFmtId="0" fontId="9" fillId="0" borderId="20" xfId="1" applyFont="1" applyFill="1" applyBorder="1" applyAlignment="1" applyProtection="1">
      <alignment horizontal="center" vertical="center" wrapText="1" justifyLastLine="1"/>
    </xf>
    <xf numFmtId="0" fontId="9" fillId="8" borderId="1" xfId="1" applyFont="1" applyFill="1" applyBorder="1" applyAlignment="1" applyProtection="1">
      <alignment horizontal="center" vertical="center" wrapText="1" justifyLastLine="1"/>
    </xf>
    <xf numFmtId="0" fontId="9" fillId="8" borderId="66" xfId="1" applyFont="1" applyFill="1" applyBorder="1" applyAlignment="1" applyProtection="1">
      <alignment horizontal="center" vertical="center" wrapText="1" justifyLastLine="1"/>
    </xf>
    <xf numFmtId="0" fontId="9" fillId="0" borderId="1" xfId="1" applyFont="1" applyFill="1" applyBorder="1" applyAlignment="1" applyProtection="1">
      <alignment horizontal="center" vertical="center" justifyLastLine="1"/>
    </xf>
    <xf numFmtId="0" fontId="9" fillId="0" borderId="66" xfId="1" applyFont="1" applyFill="1" applyBorder="1" applyAlignment="1" applyProtection="1">
      <alignment horizontal="center" vertical="center" justifyLastLine="1"/>
    </xf>
    <xf numFmtId="0" fontId="31" fillId="0" borderId="157" xfId="1" applyFont="1" applyFill="1" applyBorder="1" applyAlignment="1" applyProtection="1">
      <alignment horizontal="center" vertical="center" wrapText="1" justifyLastLine="1"/>
    </xf>
    <xf numFmtId="0" fontId="31" fillId="0" borderId="51" xfId="1" applyFont="1" applyFill="1" applyBorder="1" applyAlignment="1" applyProtection="1">
      <alignment horizontal="center" vertical="center" wrapText="1" justifyLastLine="1"/>
    </xf>
    <xf numFmtId="0" fontId="3" fillId="0" borderId="24" xfId="1" applyBorder="1" applyAlignment="1" applyProtection="1">
      <alignment horizontal="center" vertical="center"/>
    </xf>
    <xf numFmtId="0" fontId="3" fillId="0" borderId="27" xfId="1" applyBorder="1" applyAlignment="1" applyProtection="1">
      <alignment horizontal="center" vertical="center"/>
    </xf>
    <xf numFmtId="0" fontId="3" fillId="0" borderId="29" xfId="1" applyBorder="1" applyAlignment="1" applyProtection="1">
      <alignment horizontal="center" vertical="center"/>
    </xf>
    <xf numFmtId="0" fontId="3" fillId="0" borderId="106" xfId="1" applyBorder="1" applyAlignment="1" applyProtection="1">
      <alignment horizontal="center" vertical="center"/>
    </xf>
    <xf numFmtId="0" fontId="9" fillId="0" borderId="39" xfId="1" applyFont="1" applyBorder="1" applyAlignment="1" applyProtection="1">
      <alignment horizontal="distributed" vertical="center" justifyLastLine="1"/>
    </xf>
    <xf numFmtId="0" fontId="9" fillId="0" borderId="0" xfId="1" applyFont="1" applyBorder="1" applyAlignment="1" applyProtection="1">
      <alignment horizontal="distributed" vertical="center" justifyLastLine="1"/>
    </xf>
    <xf numFmtId="0" fontId="9" fillId="0" borderId="84" xfId="1" applyFont="1" applyBorder="1" applyAlignment="1" applyProtection="1">
      <alignment horizontal="distributed" vertical="center" justifyLastLine="1"/>
    </xf>
    <xf numFmtId="0" fontId="9" fillId="0" borderId="22" xfId="1" applyFont="1" applyBorder="1" applyAlignment="1" applyProtection="1">
      <alignment horizontal="distributed" vertical="center" justifyLastLine="1"/>
    </xf>
    <xf numFmtId="0" fontId="9" fillId="0" borderId="50" xfId="1" applyFont="1" applyBorder="1" applyAlignment="1" applyProtection="1">
      <alignment horizontal="center" vertical="center"/>
    </xf>
    <xf numFmtId="0" fontId="9" fillId="0" borderId="144" xfId="1" applyFont="1" applyBorder="1" applyAlignment="1" applyProtection="1">
      <alignment horizontal="center" vertical="center"/>
    </xf>
    <xf numFmtId="0" fontId="9" fillId="0" borderId="51" xfId="1" applyFont="1" applyBorder="1" applyAlignment="1" applyProtection="1">
      <alignment horizontal="center" vertical="center"/>
    </xf>
    <xf numFmtId="0" fontId="3" fillId="0" borderId="173" xfId="1" applyBorder="1" applyAlignment="1" applyProtection="1">
      <alignment horizontal="center" vertical="center"/>
    </xf>
    <xf numFmtId="0" fontId="3" fillId="0" borderId="174" xfId="1" applyBorder="1" applyAlignment="1" applyProtection="1">
      <alignment horizontal="center" vertical="center"/>
    </xf>
    <xf numFmtId="0" fontId="9" fillId="0" borderId="17" xfId="1" applyFont="1" applyBorder="1" applyAlignment="1" applyProtection="1">
      <alignment horizontal="distributed" vertical="distributed" textRotation="255" wrapText="1" justifyLastLine="1"/>
    </xf>
    <xf numFmtId="0" fontId="9" fillId="0" borderId="18" xfId="1" applyFont="1" applyBorder="1" applyAlignment="1" applyProtection="1">
      <alignment horizontal="distributed" vertical="distributed" textRotation="255" justifyLastLine="1"/>
    </xf>
    <xf numFmtId="0" fontId="9" fillId="0" borderId="39" xfId="1" applyFont="1" applyBorder="1" applyAlignment="1" applyProtection="1">
      <alignment horizontal="distributed" vertical="distributed" textRotation="255" justifyLastLine="1"/>
    </xf>
    <xf numFmtId="0" fontId="9" fillId="0" borderId="0" xfId="1" applyFont="1" applyBorder="1" applyAlignment="1" applyProtection="1">
      <alignment horizontal="distributed" vertical="distributed" textRotation="255" justifyLastLine="1"/>
    </xf>
    <xf numFmtId="0" fontId="9" fillId="0" borderId="185" xfId="1" applyFont="1" applyBorder="1" applyAlignment="1" applyProtection="1">
      <alignment horizontal="distributed" vertical="distributed" textRotation="255" justifyLastLine="1"/>
    </xf>
    <xf numFmtId="0" fontId="9" fillId="0" borderId="186" xfId="1" applyFont="1" applyBorder="1" applyAlignment="1" applyProtection="1">
      <alignment horizontal="distributed" vertical="distributed" textRotation="255" justifyLastLine="1"/>
    </xf>
    <xf numFmtId="0" fontId="76" fillId="0" borderId="204" xfId="1" applyFont="1" applyFill="1" applyBorder="1" applyAlignment="1" applyProtection="1">
      <alignment horizontal="center" vertical="center" shrinkToFit="1"/>
    </xf>
    <xf numFmtId="0" fontId="76" fillId="0" borderId="205" xfId="1" applyFont="1" applyFill="1" applyBorder="1" applyAlignment="1" applyProtection="1">
      <alignment horizontal="center" vertical="center" shrinkToFit="1"/>
    </xf>
    <xf numFmtId="0" fontId="76" fillId="0" borderId="179" xfId="1" applyFont="1" applyFill="1" applyBorder="1" applyAlignment="1" applyProtection="1">
      <alignment horizontal="center" vertical="center"/>
    </xf>
    <xf numFmtId="0" fontId="76" fillId="0" borderId="180" xfId="1" applyFont="1" applyFill="1" applyBorder="1" applyAlignment="1" applyProtection="1">
      <alignment horizontal="center" vertical="center"/>
    </xf>
    <xf numFmtId="0" fontId="65" fillId="0" borderId="6" xfId="1" applyFont="1" applyFill="1" applyBorder="1" applyAlignment="1" applyProtection="1">
      <alignment horizontal="center" vertical="center"/>
    </xf>
    <xf numFmtId="0" fontId="65" fillId="0" borderId="6" xfId="1" applyFont="1" applyBorder="1" applyAlignment="1" applyProtection="1">
      <alignment horizontal="center" vertical="center" shrinkToFit="1"/>
    </xf>
    <xf numFmtId="0" fontId="9" fillId="0" borderId="189" xfId="1" applyFont="1" applyBorder="1" applyAlignment="1" applyProtection="1">
      <alignment horizontal="center" vertical="distributed" textRotation="255" wrapText="1" justifyLastLine="1"/>
    </xf>
    <xf numFmtId="0" fontId="9" fillId="0" borderId="190" xfId="1" applyFont="1" applyBorder="1" applyAlignment="1" applyProtection="1">
      <alignment horizontal="center" vertical="distributed" textRotation="255" wrapText="1" justifyLastLine="1"/>
    </xf>
    <xf numFmtId="0" fontId="9" fillId="0" borderId="39" xfId="1" applyFont="1" applyBorder="1" applyAlignment="1" applyProtection="1">
      <alignment horizontal="center" vertical="distributed" textRotation="255" wrapText="1" justifyLastLine="1"/>
    </xf>
    <xf numFmtId="0" fontId="9" fillId="0" borderId="195" xfId="1" applyFont="1" applyBorder="1" applyAlignment="1" applyProtection="1">
      <alignment horizontal="center" vertical="distributed" textRotation="255" wrapText="1" justifyLastLine="1"/>
    </xf>
    <xf numFmtId="0" fontId="3" fillId="0" borderId="194" xfId="1" applyFont="1" applyBorder="1" applyAlignment="1" applyProtection="1">
      <alignment horizontal="center" vertical="center"/>
    </xf>
    <xf numFmtId="0" fontId="3" fillId="0" borderId="198" xfId="1" applyFont="1" applyBorder="1" applyAlignment="1" applyProtection="1">
      <alignment horizontal="center" vertical="center"/>
    </xf>
    <xf numFmtId="0" fontId="9" fillId="0" borderId="6" xfId="1" applyFont="1" applyFill="1" applyBorder="1" applyAlignment="1" applyProtection="1">
      <alignment horizontal="center" vertical="center" textRotation="255"/>
    </xf>
    <xf numFmtId="0" fontId="76" fillId="0" borderId="179" xfId="1" applyFont="1" applyFill="1" applyBorder="1" applyAlignment="1" applyProtection="1">
      <alignment horizontal="center" vertical="center" shrinkToFit="1"/>
    </xf>
    <xf numFmtId="0" fontId="76" fillId="0" borderId="180" xfId="1" applyFont="1" applyFill="1" applyBorder="1" applyAlignment="1" applyProtection="1">
      <alignment horizontal="center" vertical="center" shrinkToFit="1"/>
    </xf>
    <xf numFmtId="0" fontId="9" fillId="0" borderId="17" xfId="1" applyFont="1" applyBorder="1" applyAlignment="1" applyProtection="1">
      <alignment horizontal="distributed" vertical="center" wrapText="1" justifyLastLine="1"/>
    </xf>
    <xf numFmtId="0" fontId="9" fillId="0" borderId="39" xfId="1" applyFont="1" applyBorder="1" applyAlignment="1" applyProtection="1">
      <alignment horizontal="distributed" vertical="center" wrapText="1" justifyLastLine="1"/>
    </xf>
    <xf numFmtId="0" fontId="9" fillId="0" borderId="206" xfId="1" applyFont="1" applyBorder="1" applyAlignment="1" applyProtection="1">
      <alignment horizontal="distributed" vertical="center" wrapText="1" justifyLastLine="1"/>
    </xf>
    <xf numFmtId="0" fontId="9" fillId="0" borderId="129" xfId="1" applyFont="1" applyBorder="1" applyAlignment="1" applyProtection="1">
      <alignment horizontal="center" vertical="center"/>
    </xf>
    <xf numFmtId="0" fontId="9" fillId="0" borderId="17" xfId="1" applyFont="1" applyBorder="1" applyAlignment="1" applyProtection="1">
      <alignment horizontal="distributed" vertical="distributed" textRotation="255" justifyLastLine="1"/>
    </xf>
    <xf numFmtId="0" fontId="65" fillId="0" borderId="2" xfId="1" applyFont="1" applyFill="1" applyBorder="1" applyAlignment="1" applyProtection="1">
      <alignment horizontal="center" vertical="center"/>
    </xf>
    <xf numFmtId="0" fontId="65" fillId="0" borderId="4" xfId="1" applyFont="1" applyFill="1" applyBorder="1" applyAlignment="1" applyProtection="1">
      <alignment horizontal="center" vertical="center"/>
    </xf>
    <xf numFmtId="0" fontId="65" fillId="0" borderId="1" xfId="1" applyFont="1" applyBorder="1" applyAlignment="1" applyProtection="1">
      <alignment horizontal="center" vertical="center"/>
    </xf>
    <xf numFmtId="0" fontId="60" fillId="0" borderId="179" xfId="1" applyFont="1" applyFill="1" applyBorder="1" applyAlignment="1" applyProtection="1">
      <alignment horizontal="center"/>
    </xf>
    <xf numFmtId="0" fontId="60" fillId="0" borderId="180" xfId="1" applyFont="1" applyFill="1" applyBorder="1" applyAlignment="1" applyProtection="1">
      <alignment horizontal="center"/>
    </xf>
    <xf numFmtId="0" fontId="9" fillId="0" borderId="20" xfId="1" applyFont="1" applyBorder="1" applyAlignment="1" applyProtection="1">
      <alignment horizontal="center" vertical="distributed" textRotation="255" wrapText="1" justifyLastLine="1"/>
    </xf>
    <xf numFmtId="0" fontId="9" fillId="0" borderId="215" xfId="1" applyFont="1" applyBorder="1" applyAlignment="1" applyProtection="1">
      <alignment horizontal="center" vertical="distributed" textRotation="255" wrapText="1" justifyLastLine="1"/>
    </xf>
    <xf numFmtId="0" fontId="3" fillId="0" borderId="214" xfId="1" applyFont="1" applyBorder="1" applyAlignment="1" applyProtection="1">
      <alignment horizontal="center" vertical="center"/>
    </xf>
    <xf numFmtId="0" fontId="3" fillId="0" borderId="219" xfId="1" applyFont="1" applyBorder="1" applyAlignment="1" applyProtection="1">
      <alignment horizontal="center" vertical="center"/>
    </xf>
    <xf numFmtId="0" fontId="9" fillId="0" borderId="1" xfId="1" applyFont="1" applyFill="1" applyBorder="1" applyAlignment="1" applyProtection="1">
      <alignment horizontal="center" vertical="center" textRotation="255"/>
    </xf>
    <xf numFmtId="0" fontId="9" fillId="0" borderId="5" xfId="1" applyFont="1" applyFill="1" applyBorder="1" applyAlignment="1" applyProtection="1">
      <alignment horizontal="center" vertical="center" textRotation="255"/>
    </xf>
    <xf numFmtId="0" fontId="9" fillId="0" borderId="106" xfId="1" applyFont="1" applyFill="1" applyBorder="1" applyAlignment="1" applyProtection="1">
      <alignment horizontal="center" vertical="center" textRotation="255"/>
    </xf>
    <xf numFmtId="0" fontId="65" fillId="0" borderId="6" xfId="1" applyFont="1" applyBorder="1" applyAlignment="1" applyProtection="1">
      <alignment horizontal="center" vertical="center" wrapText="1"/>
    </xf>
    <xf numFmtId="0" fontId="9" fillId="0" borderId="17" xfId="1" applyFont="1" applyBorder="1" applyAlignment="1" applyProtection="1">
      <alignment horizontal="center" vertical="center" justifyLastLine="1"/>
    </xf>
    <xf numFmtId="0" fontId="9" fillId="0" borderId="18" xfId="1" applyFont="1" applyBorder="1" applyAlignment="1" applyProtection="1">
      <alignment horizontal="center" vertical="center" justifyLastLine="1"/>
    </xf>
    <xf numFmtId="0" fontId="65" fillId="0" borderId="6" xfId="1" applyFont="1" applyFill="1" applyBorder="1" applyAlignment="1" applyProtection="1">
      <alignment horizontal="center" vertical="center" shrinkToFit="1"/>
    </xf>
    <xf numFmtId="0" fontId="9" fillId="0" borderId="67" xfId="1" applyFont="1" applyBorder="1" applyAlignment="1" applyProtection="1">
      <alignment horizontal="distributed" vertical="center" justifyLastLine="1"/>
    </xf>
    <xf numFmtId="0" fontId="9" fillId="0" borderId="68" xfId="1" applyFont="1" applyBorder="1" applyAlignment="1" applyProtection="1">
      <alignment horizontal="distributed" vertical="center" justifyLastLine="1"/>
    </xf>
    <xf numFmtId="0" fontId="9" fillId="0" borderId="146" xfId="1" applyFont="1" applyBorder="1" applyAlignment="1" applyProtection="1">
      <alignment horizontal="distributed" vertical="center" justifyLastLine="1"/>
    </xf>
    <xf numFmtId="0" fontId="9" fillId="0" borderId="55" xfId="1" applyFont="1" applyBorder="1" applyAlignment="1" applyProtection="1">
      <alignment horizontal="distributed" vertical="center" justifyLastLine="1"/>
    </xf>
    <xf numFmtId="0" fontId="9" fillId="0" borderId="30" xfId="1" applyFont="1" applyBorder="1" applyAlignment="1" applyProtection="1">
      <alignment horizontal="center" vertical="center"/>
    </xf>
    <xf numFmtId="0" fontId="9" fillId="0" borderId="25" xfId="1" applyFont="1" applyBorder="1" applyAlignment="1" applyProtection="1">
      <alignment horizontal="center" vertical="center"/>
    </xf>
    <xf numFmtId="0" fontId="9" fillId="0" borderId="220" xfId="1" applyFont="1" applyBorder="1" applyAlignment="1" applyProtection="1">
      <alignment horizontal="center" vertical="center"/>
    </xf>
    <xf numFmtId="0" fontId="45" fillId="0" borderId="64" xfId="1" applyFont="1" applyBorder="1" applyAlignment="1" applyProtection="1">
      <alignment horizontal="center" vertical="center" wrapText="1"/>
    </xf>
    <xf numFmtId="0" fontId="45" fillId="0" borderId="5" xfId="1" applyFont="1" applyBorder="1" applyAlignment="1" applyProtection="1">
      <alignment horizontal="center" vertical="center" wrapText="1"/>
    </xf>
    <xf numFmtId="0" fontId="45" fillId="0" borderId="221" xfId="1" applyFont="1" applyBorder="1" applyAlignment="1" applyProtection="1">
      <alignment horizontal="center" vertical="center"/>
    </xf>
    <xf numFmtId="0" fontId="9" fillId="0" borderId="30" xfId="1" applyFont="1" applyBorder="1" applyAlignment="1" applyProtection="1">
      <alignment horizontal="distributed" vertical="center" justifyLastLine="1"/>
    </xf>
    <xf numFmtId="0" fontId="9" fillId="0" borderId="25" xfId="1" applyFont="1" applyBorder="1" applyAlignment="1" applyProtection="1">
      <alignment horizontal="distributed" vertical="center" justifyLastLine="1"/>
    </xf>
    <xf numFmtId="0" fontId="9" fillId="0" borderId="220" xfId="1" applyFont="1" applyBorder="1" applyAlignment="1" applyProtection="1">
      <alignment horizontal="distributed" vertical="center" justifyLastLine="1"/>
    </xf>
    <xf numFmtId="0" fontId="65" fillId="0" borderId="0" xfId="1" applyFont="1" applyFill="1" applyBorder="1" applyAlignment="1" applyProtection="1">
      <alignment horizontal="center" vertical="center" shrinkToFit="1"/>
    </xf>
    <xf numFmtId="0" fontId="9" fillId="0" borderId="16" xfId="1" applyFont="1" applyBorder="1" applyAlignment="1" applyProtection="1">
      <alignment horizontal="distributed" vertical="center"/>
    </xf>
    <xf numFmtId="0" fontId="9" fillId="0" borderId="23" xfId="1" applyFont="1" applyBorder="1" applyAlignment="1" applyProtection="1">
      <alignment horizontal="distributed" vertical="center"/>
    </xf>
    <xf numFmtId="3" fontId="7" fillId="0" borderId="225" xfId="1" applyNumberFormat="1" applyFont="1" applyFill="1" applyBorder="1" applyAlignment="1" applyProtection="1">
      <alignment horizontal="right" vertical="center" shrinkToFit="1"/>
    </xf>
    <xf numFmtId="0" fontId="3" fillId="0" borderId="226" xfId="1" applyBorder="1" applyAlignment="1" applyProtection="1">
      <alignment horizontal="right" vertical="center" shrinkToFit="1"/>
    </xf>
    <xf numFmtId="0" fontId="3" fillId="0" borderId="180" xfId="1" applyBorder="1" applyAlignment="1" applyProtection="1">
      <alignment horizontal="right" vertical="center" shrinkToFit="1"/>
    </xf>
    <xf numFmtId="0" fontId="9" fillId="0" borderId="26" xfId="1" applyFont="1" applyBorder="1" applyAlignment="1" applyProtection="1">
      <alignment horizontal="center" vertical="distributed" textRotation="255" wrapText="1" justifyLastLine="1"/>
    </xf>
    <xf numFmtId="0" fontId="9" fillId="0" borderId="65" xfId="1" applyFont="1" applyBorder="1" applyAlignment="1" applyProtection="1">
      <alignment horizontal="center" vertical="distributed" textRotation="255" wrapText="1" justifyLastLine="1"/>
    </xf>
    <xf numFmtId="0" fontId="3" fillId="0" borderId="227" xfId="1" applyBorder="1" applyAlignment="1" applyProtection="1">
      <alignment horizontal="right" vertical="center" shrinkToFit="1"/>
    </xf>
    <xf numFmtId="0" fontId="3" fillId="0" borderId="205" xfId="1" applyBorder="1" applyAlignment="1" applyProtection="1">
      <alignment horizontal="right" vertical="center" shrinkToFit="1"/>
    </xf>
    <xf numFmtId="0" fontId="36" fillId="0" borderId="0" xfId="1" applyFont="1" applyBorder="1" applyAlignment="1" applyProtection="1">
      <alignment horizontal="left" vertical="top" wrapText="1"/>
    </xf>
    <xf numFmtId="0" fontId="36" fillId="0" borderId="84" xfId="1" applyFont="1" applyBorder="1" applyAlignment="1" applyProtection="1">
      <alignment horizontal="left" vertical="top" wrapText="1"/>
    </xf>
    <xf numFmtId="0" fontId="9" fillId="0" borderId="2" xfId="1" applyFont="1" applyBorder="1" applyAlignment="1" applyProtection="1">
      <alignment horizontal="distributed" vertical="center"/>
    </xf>
    <xf numFmtId="0" fontId="9" fillId="0" borderId="3" xfId="1" applyFont="1" applyBorder="1" applyAlignment="1" applyProtection="1">
      <alignment horizontal="distributed" vertical="center"/>
    </xf>
    <xf numFmtId="0" fontId="57" fillId="0" borderId="232" xfId="1" applyFont="1" applyBorder="1" applyAlignment="1" applyProtection="1">
      <alignment horizontal="center" vertical="center" wrapText="1"/>
    </xf>
    <xf numFmtId="0" fontId="3" fillId="0" borderId="232" xfId="1" applyBorder="1" applyAlignment="1" applyProtection="1">
      <alignment horizontal="center" vertical="center" wrapText="1"/>
    </xf>
    <xf numFmtId="0" fontId="36" fillId="0" borderId="23" xfId="1" applyFont="1" applyBorder="1" applyAlignment="1" applyProtection="1">
      <alignment horizontal="left" vertical="top" wrapText="1"/>
    </xf>
    <xf numFmtId="0" fontId="3" fillId="0" borderId="23" xfId="1" applyBorder="1" applyAlignment="1" applyProtection="1">
      <alignment horizontal="left" vertical="top" wrapText="1"/>
    </xf>
    <xf numFmtId="0" fontId="3" fillId="0" borderId="74" xfId="1" applyBorder="1" applyAlignment="1" applyProtection="1">
      <alignment horizontal="left" vertical="top" wrapText="1"/>
    </xf>
    <xf numFmtId="0" fontId="3" fillId="0" borderId="0" xfId="1" applyBorder="1" applyAlignment="1" applyProtection="1">
      <alignment horizontal="left" vertical="top" wrapText="1"/>
    </xf>
    <xf numFmtId="0" fontId="3" fillId="0" borderId="84" xfId="1" applyBorder="1" applyAlignment="1" applyProtection="1">
      <alignment horizontal="left" vertical="top" wrapText="1"/>
    </xf>
    <xf numFmtId="0" fontId="3" fillId="0" borderId="21" xfId="1" applyBorder="1" applyAlignment="1" applyProtection="1">
      <alignment horizontal="left" vertical="top" wrapText="1"/>
    </xf>
    <xf numFmtId="0" fontId="3" fillId="0" borderId="22" xfId="1" applyBorder="1" applyAlignment="1" applyProtection="1">
      <alignment horizontal="left" vertical="top" wrapText="1"/>
    </xf>
    <xf numFmtId="0" fontId="9" fillId="0" borderId="220" xfId="1" applyFont="1" applyBorder="1" applyAlignment="1" applyProtection="1">
      <alignment horizontal="distributed" vertical="center"/>
    </xf>
    <xf numFmtId="0" fontId="9" fillId="0" borderId="21" xfId="1" applyFont="1" applyBorder="1" applyAlignment="1" applyProtection="1">
      <alignment horizontal="distributed" vertical="center"/>
    </xf>
    <xf numFmtId="0" fontId="65" fillId="0" borderId="106" xfId="1" applyFont="1" applyFill="1" applyBorder="1" applyAlignment="1" applyProtection="1">
      <alignment horizontal="center" vertical="center"/>
    </xf>
    <xf numFmtId="0" fontId="65" fillId="0" borderId="106" xfId="1" applyFont="1" applyBorder="1" applyAlignment="1" applyProtection="1">
      <alignment horizontal="center" vertical="center"/>
    </xf>
    <xf numFmtId="0" fontId="9" fillId="0" borderId="17" xfId="1" applyFont="1" applyBorder="1" applyAlignment="1" applyProtection="1">
      <alignment horizontal="center" vertical="distributed" textRotation="255" wrapText="1" justifyLastLine="1"/>
    </xf>
    <xf numFmtId="0" fontId="9" fillId="0" borderId="31" xfId="1" applyFont="1" applyBorder="1" applyAlignment="1" applyProtection="1">
      <alignment horizontal="center" vertical="distributed" textRotation="255" wrapText="1" justifyLastLine="1"/>
    </xf>
    <xf numFmtId="0" fontId="9" fillId="0" borderId="236" xfId="1" applyFont="1" applyBorder="1" applyAlignment="1" applyProtection="1">
      <alignment horizontal="distributed" vertical="center" indent="1"/>
    </xf>
    <xf numFmtId="0" fontId="9" fillId="0" borderId="69" xfId="1" applyFont="1" applyBorder="1" applyAlignment="1" applyProtection="1">
      <alignment horizontal="distributed" vertical="center" indent="1"/>
    </xf>
    <xf numFmtId="0" fontId="65" fillId="0" borderId="6" xfId="1" applyFont="1" applyBorder="1" applyAlignment="1" applyProtection="1">
      <alignment horizontal="center" vertical="center" textRotation="255"/>
    </xf>
    <xf numFmtId="0" fontId="9" fillId="0" borderId="2" xfId="1" applyFont="1" applyBorder="1" applyAlignment="1" applyProtection="1">
      <alignment horizontal="distributed" vertical="center" indent="1"/>
    </xf>
    <xf numFmtId="0" fontId="9" fillId="0" borderId="56" xfId="1" applyFont="1" applyBorder="1" applyAlignment="1" applyProtection="1">
      <alignment horizontal="distributed" vertical="center" indent="1"/>
    </xf>
    <xf numFmtId="0" fontId="9" fillId="0" borderId="113" xfId="1" applyFont="1" applyBorder="1" applyAlignment="1" applyProtection="1">
      <alignment horizontal="distributed" vertical="center" indent="1"/>
    </xf>
    <xf numFmtId="0" fontId="9" fillId="0" borderId="61" xfId="1" applyFont="1" applyBorder="1" applyAlignment="1" applyProtection="1">
      <alignment horizontal="distributed" vertical="center" indent="1"/>
    </xf>
    <xf numFmtId="0" fontId="45" fillId="0" borderId="50" xfId="1" applyFont="1" applyBorder="1" applyAlignment="1" applyProtection="1">
      <alignment horizontal="center" vertical="center" wrapText="1"/>
    </xf>
    <xf numFmtId="0" fontId="45" fillId="0" borderId="144" xfId="1" applyFont="1" applyBorder="1" applyAlignment="1" applyProtection="1">
      <alignment horizontal="center" vertical="center" wrapText="1"/>
    </xf>
    <xf numFmtId="0" fontId="45" fillId="0" borderId="51" xfId="1" applyFont="1" applyBorder="1" applyAlignment="1" applyProtection="1">
      <alignment horizontal="center" vertical="center"/>
    </xf>
    <xf numFmtId="0" fontId="33" fillId="0" borderId="0" xfId="1" applyFont="1" applyFill="1" applyBorder="1" applyAlignment="1" applyProtection="1">
      <alignment horizontal="left" vertical="top" wrapText="1"/>
    </xf>
    <xf numFmtId="0" fontId="9" fillId="0" borderId="17" xfId="1" applyFont="1" applyBorder="1" applyAlignment="1" applyProtection="1">
      <alignment horizontal="center" vertical="center"/>
    </xf>
    <xf numFmtId="0" fontId="9" fillId="0" borderId="20" xfId="1" applyFont="1" applyBorder="1" applyAlignment="1" applyProtection="1">
      <alignment horizontal="center" vertical="center"/>
    </xf>
    <xf numFmtId="0" fontId="45" fillId="0" borderId="221" xfId="1" applyFont="1" applyBorder="1" applyAlignment="1" applyProtection="1">
      <alignment horizontal="center" vertical="center" wrapText="1"/>
    </xf>
    <xf numFmtId="3" fontId="7" fillId="0" borderId="247" xfId="1" applyNumberFormat="1" applyFont="1" applyFill="1" applyBorder="1" applyAlignment="1" applyProtection="1">
      <alignment horizontal="right" vertical="center" shrinkToFit="1"/>
    </xf>
    <xf numFmtId="0" fontId="3" fillId="0" borderId="248" xfId="1" applyFill="1" applyBorder="1" applyAlignment="1" applyProtection="1">
      <alignment vertical="center" shrinkToFit="1"/>
    </xf>
    <xf numFmtId="0" fontId="9" fillId="0" borderId="74" xfId="1" applyFont="1" applyBorder="1" applyAlignment="1" applyProtection="1">
      <alignment horizontal="distributed" vertical="center"/>
    </xf>
    <xf numFmtId="3" fontId="7" fillId="0" borderId="252" xfId="1" applyNumberFormat="1" applyFont="1" applyFill="1" applyBorder="1" applyAlignment="1" applyProtection="1">
      <alignment horizontal="right" vertical="center" shrinkToFit="1"/>
    </xf>
    <xf numFmtId="0" fontId="3" fillId="0" borderId="253" xfId="1" applyFill="1" applyBorder="1" applyAlignment="1" applyProtection="1">
      <alignment vertical="center" shrinkToFit="1"/>
    </xf>
    <xf numFmtId="0" fontId="65" fillId="0" borderId="6" xfId="1" applyFont="1" applyBorder="1" applyAlignment="1" applyProtection="1">
      <alignment horizontal="center" vertical="center" justifyLastLine="1"/>
    </xf>
    <xf numFmtId="0" fontId="9" fillId="0" borderId="60" xfId="1" applyFont="1" applyBorder="1" applyAlignment="1" applyProtection="1">
      <alignment horizontal="distributed" vertical="center"/>
    </xf>
    <xf numFmtId="0" fontId="36" fillId="0" borderId="18" xfId="1" applyFont="1" applyBorder="1" applyAlignment="1" applyProtection="1">
      <alignment vertical="top" wrapText="1"/>
    </xf>
    <xf numFmtId="0" fontId="36" fillId="0" borderId="0" xfId="1" applyFont="1" applyBorder="1" applyAlignment="1" applyProtection="1">
      <alignment vertical="top" wrapText="1"/>
    </xf>
    <xf numFmtId="0" fontId="57" fillId="0" borderId="255" xfId="1" applyFont="1" applyBorder="1" applyAlignment="1" applyProtection="1">
      <alignment vertical="center" wrapText="1"/>
    </xf>
    <xf numFmtId="0" fontId="3" fillId="0" borderId="255" xfId="1" applyBorder="1" applyAlignment="1" applyProtection="1">
      <alignment vertical="center" wrapText="1"/>
    </xf>
    <xf numFmtId="0" fontId="33" fillId="0" borderId="23" xfId="1" applyFont="1" applyBorder="1" applyAlignment="1" applyProtection="1">
      <alignment vertical="top" wrapText="1"/>
    </xf>
    <xf numFmtId="0" fontId="3" fillId="0" borderId="23" xfId="1" applyBorder="1" applyAlignment="1" applyProtection="1">
      <alignment wrapText="1"/>
    </xf>
    <xf numFmtId="0" fontId="3" fillId="0" borderId="74" xfId="1" applyBorder="1" applyAlignment="1" applyProtection="1">
      <alignment wrapText="1"/>
    </xf>
    <xf numFmtId="0" fontId="3" fillId="0" borderId="0" xfId="1" applyBorder="1" applyAlignment="1" applyProtection="1">
      <alignment wrapText="1"/>
    </xf>
    <xf numFmtId="0" fontId="3" fillId="0" borderId="84" xfId="1" applyBorder="1" applyAlignment="1" applyProtection="1">
      <alignment wrapText="1"/>
    </xf>
    <xf numFmtId="0" fontId="65" fillId="0" borderId="16" xfId="1" applyFont="1" applyBorder="1" applyAlignment="1" applyProtection="1">
      <alignment horizontal="center" vertical="center" wrapText="1" justifyLastLine="1"/>
    </xf>
    <xf numFmtId="0" fontId="65" fillId="0" borderId="24" xfId="1" applyFont="1" applyBorder="1" applyAlignment="1" applyProtection="1">
      <alignment horizontal="center" vertical="center" wrapText="1" justifyLastLine="1"/>
    </xf>
    <xf numFmtId="0" fontId="65" fillId="0" borderId="25" xfId="1" applyFont="1" applyBorder="1" applyAlignment="1" applyProtection="1">
      <alignment horizontal="center" vertical="center" wrapText="1" justifyLastLine="1"/>
    </xf>
    <xf numFmtId="0" fontId="65" fillId="0" borderId="26" xfId="1" applyFont="1" applyBorder="1" applyAlignment="1" applyProtection="1">
      <alignment horizontal="center" vertical="center" wrapText="1" justifyLastLine="1"/>
    </xf>
    <xf numFmtId="0" fontId="65" fillId="0" borderId="27" xfId="1" applyFont="1" applyBorder="1" applyAlignment="1" applyProtection="1">
      <alignment horizontal="center" vertical="center" wrapText="1" justifyLastLine="1"/>
    </xf>
    <xf numFmtId="0" fontId="65" fillId="0" borderId="29" xfId="1" applyFont="1" applyBorder="1" applyAlignment="1" applyProtection="1">
      <alignment horizontal="center" vertical="center" wrapText="1" justifyLastLine="1"/>
    </xf>
    <xf numFmtId="0" fontId="65" fillId="0" borderId="1" xfId="1" applyFont="1" applyFill="1" applyBorder="1" applyAlignment="1" applyProtection="1">
      <alignment horizontal="center" vertical="center" justifyLastLine="1"/>
    </xf>
    <xf numFmtId="0" fontId="65" fillId="0" borderId="5" xfId="1" applyFont="1" applyFill="1" applyBorder="1" applyAlignment="1" applyProtection="1">
      <alignment horizontal="center" vertical="center" justifyLastLine="1"/>
    </xf>
    <xf numFmtId="0" fontId="65" fillId="0" borderId="106" xfId="1" applyFont="1" applyFill="1" applyBorder="1" applyAlignment="1" applyProtection="1">
      <alignment horizontal="center" vertical="center" justifyLastLine="1"/>
    </xf>
    <xf numFmtId="0" fontId="60" fillId="0" borderId="1" xfId="1" applyFont="1" applyBorder="1" applyAlignment="1" applyProtection="1">
      <alignment horizontal="center" vertical="center" textRotation="255"/>
    </xf>
    <xf numFmtId="0" fontId="60" fillId="0" borderId="221" xfId="1" applyFont="1" applyBorder="1" applyAlignment="1" applyProtection="1">
      <alignment horizontal="center" vertical="center" textRotation="255"/>
    </xf>
    <xf numFmtId="0" fontId="9" fillId="0" borderId="17" xfId="1" applyFont="1" applyBorder="1" applyAlignment="1" applyProtection="1">
      <alignment horizontal="distributed" vertical="center" indent="1"/>
    </xf>
    <xf numFmtId="0" fontId="9" fillId="0" borderId="18" xfId="1" applyFont="1" applyBorder="1" applyAlignment="1" applyProtection="1">
      <alignment horizontal="distributed" vertical="center" indent="1"/>
    </xf>
    <xf numFmtId="0" fontId="9" fillId="0" borderId="19" xfId="1" applyFont="1" applyBorder="1" applyAlignment="1" applyProtection="1">
      <alignment horizontal="distributed" vertical="center" indent="1"/>
    </xf>
    <xf numFmtId="0" fontId="7" fillId="3" borderId="53" xfId="1" applyNumberFormat="1" applyFont="1" applyFill="1" applyBorder="1" applyAlignment="1" applyProtection="1">
      <alignment horizontal="center" vertical="center" shrinkToFit="1"/>
      <protection locked="0"/>
    </xf>
    <xf numFmtId="0" fontId="7" fillId="0" borderId="260" xfId="1" applyNumberFormat="1" applyFont="1" applyBorder="1" applyAlignment="1" applyProtection="1">
      <alignment horizontal="center" vertical="center" shrinkToFit="1"/>
      <protection locked="0"/>
    </xf>
    <xf numFmtId="0" fontId="7" fillId="0" borderId="261" xfId="1" applyNumberFormat="1" applyFont="1" applyBorder="1" applyAlignment="1" applyProtection="1">
      <alignment horizontal="center" vertical="center" shrinkToFit="1"/>
      <protection locked="0"/>
    </xf>
    <xf numFmtId="0" fontId="65" fillId="0" borderId="16" xfId="1" applyFont="1" applyBorder="1" applyAlignment="1" applyProtection="1">
      <alignment horizontal="center" vertical="center" justifyLastLine="1"/>
    </xf>
    <xf numFmtId="0" fontId="65" fillId="0" borderId="23" xfId="1" applyFont="1" applyBorder="1" applyAlignment="1" applyProtection="1">
      <alignment horizontal="center" vertical="center" justifyLastLine="1"/>
    </xf>
    <xf numFmtId="0" fontId="65" fillId="0" borderId="24" xfId="1" applyFont="1" applyBorder="1" applyAlignment="1" applyProtection="1">
      <alignment horizontal="center" vertical="center" justifyLastLine="1"/>
    </xf>
    <xf numFmtId="0" fontId="33" fillId="0" borderId="0" xfId="1" applyFont="1" applyBorder="1" applyAlignment="1" applyProtection="1">
      <alignment vertical="center" wrapText="1"/>
    </xf>
    <xf numFmtId="0" fontId="9" fillId="0" borderId="20" xfId="1" applyFont="1" applyBorder="1" applyAlignment="1" applyProtection="1">
      <alignment horizontal="distributed" vertical="center" wrapText="1" justifyLastLine="1"/>
    </xf>
    <xf numFmtId="0" fontId="9" fillId="0" borderId="34" xfId="1" applyFont="1" applyBorder="1" applyAlignment="1" applyProtection="1">
      <alignment horizontal="center" vertical="center"/>
    </xf>
    <xf numFmtId="0" fontId="45" fillId="0" borderId="30" xfId="1" applyFont="1" applyBorder="1" applyAlignment="1" applyProtection="1">
      <alignment horizontal="center" vertical="center" wrapText="1"/>
    </xf>
    <xf numFmtId="0" fontId="45" fillId="0" borderId="18" xfId="1" applyFont="1" applyBorder="1" applyAlignment="1" applyProtection="1">
      <alignment horizontal="center" vertical="center"/>
    </xf>
    <xf numFmtId="0" fontId="45" fillId="0" borderId="19" xfId="1" applyFont="1" applyBorder="1" applyAlignment="1" applyProtection="1">
      <alignment horizontal="center" vertical="center"/>
    </xf>
    <xf numFmtId="0" fontId="45" fillId="0" borderId="25" xfId="1" applyFont="1" applyBorder="1" applyAlignment="1" applyProtection="1">
      <alignment horizontal="center" vertical="center" wrapText="1"/>
    </xf>
    <xf numFmtId="0" fontId="45" fillId="0" borderId="0" xfId="1" applyFont="1" applyBorder="1" applyAlignment="1" applyProtection="1">
      <alignment horizontal="center" vertical="center"/>
    </xf>
    <xf numFmtId="0" fontId="45" fillId="0" borderId="84" xfId="1" applyFont="1" applyBorder="1" applyAlignment="1" applyProtection="1">
      <alignment horizontal="center" vertical="center"/>
    </xf>
    <xf numFmtId="0" fontId="45" fillId="0" borderId="25" xfId="1" applyFont="1" applyBorder="1" applyAlignment="1" applyProtection="1">
      <alignment horizontal="center" vertical="center"/>
    </xf>
    <xf numFmtId="0" fontId="7" fillId="4" borderId="268" xfId="1" applyNumberFormat="1" applyFont="1" applyFill="1" applyBorder="1" applyAlignment="1" applyProtection="1">
      <alignment horizontal="center" vertical="center" shrinkToFit="1"/>
      <protection locked="0"/>
    </xf>
    <xf numFmtId="0" fontId="7" fillId="4" borderId="269" xfId="1" applyNumberFormat="1" applyFont="1" applyFill="1" applyBorder="1" applyAlignment="1" applyProtection="1">
      <alignment horizontal="center" vertical="center" shrinkToFit="1"/>
      <protection locked="0"/>
    </xf>
    <xf numFmtId="0" fontId="7" fillId="4" borderId="270" xfId="1" applyNumberFormat="1" applyFont="1" applyFill="1" applyBorder="1" applyAlignment="1" applyProtection="1">
      <alignment horizontal="center" vertical="center" shrinkToFit="1"/>
      <protection locked="0"/>
    </xf>
    <xf numFmtId="0" fontId="65" fillId="0" borderId="2" xfId="1" applyFont="1" applyBorder="1" applyAlignment="1" applyProtection="1">
      <alignment horizontal="center" vertical="distributed" wrapText="1" justifyLastLine="1"/>
    </xf>
    <xf numFmtId="0" fontId="65" fillId="0" borderId="4" xfId="1" applyFont="1" applyBorder="1" applyAlignment="1" applyProtection="1">
      <alignment horizontal="center" vertical="distributed" wrapText="1" justifyLastLine="1"/>
    </xf>
    <xf numFmtId="0" fontId="9" fillId="0" borderId="3" xfId="1" applyFont="1" applyBorder="1" applyAlignment="1" applyProtection="1">
      <alignment horizontal="distributed" vertical="center" indent="1"/>
    </xf>
    <xf numFmtId="0" fontId="9" fillId="0" borderId="72" xfId="1" applyFont="1" applyBorder="1" applyAlignment="1" applyProtection="1">
      <alignment horizontal="distributed" vertical="center" indent="1"/>
    </xf>
    <xf numFmtId="0" fontId="9" fillId="0" borderId="1" xfId="1" applyFont="1" applyBorder="1" applyAlignment="1" applyProtection="1">
      <alignment horizontal="center" vertical="distributed" textRotation="255" wrapText="1" justifyLastLine="1"/>
    </xf>
    <xf numFmtId="0" fontId="9" fillId="0" borderId="5" xfId="1" applyFont="1" applyBorder="1" applyAlignment="1" applyProtection="1">
      <alignment horizontal="center" vertical="distributed" textRotation="255" wrapText="1" justifyLastLine="1"/>
    </xf>
    <xf numFmtId="0" fontId="9" fillId="0" borderId="106" xfId="1" applyFont="1" applyBorder="1" applyAlignment="1" applyProtection="1">
      <alignment horizontal="center" vertical="distributed" textRotation="255" wrapText="1" justifyLastLine="1"/>
    </xf>
    <xf numFmtId="0" fontId="7" fillId="4" borderId="263" xfId="1" applyNumberFormat="1" applyFont="1" applyFill="1" applyBorder="1" applyAlignment="1" applyProtection="1">
      <alignment horizontal="center" vertical="center" shrinkToFit="1"/>
      <protection locked="0"/>
    </xf>
    <xf numFmtId="0" fontId="7" fillId="4" borderId="264" xfId="1" applyNumberFormat="1" applyFont="1" applyFill="1" applyBorder="1" applyAlignment="1" applyProtection="1">
      <alignment horizontal="center" vertical="center" shrinkToFit="1"/>
      <protection locked="0"/>
    </xf>
    <xf numFmtId="0" fontId="7" fillId="4" borderId="265" xfId="1" applyNumberFormat="1" applyFont="1" applyFill="1" applyBorder="1" applyAlignment="1" applyProtection="1">
      <alignment horizontal="center" vertical="center" shrinkToFit="1"/>
      <protection locked="0"/>
    </xf>
    <xf numFmtId="0" fontId="65" fillId="0" borderId="6" xfId="1" applyFont="1" applyBorder="1" applyAlignment="1" applyProtection="1">
      <alignment horizontal="center" vertical="distributed" textRotation="255" wrapText="1" justifyLastLine="1"/>
    </xf>
    <xf numFmtId="0" fontId="9" fillId="0" borderId="16" xfId="1" applyFont="1" applyBorder="1" applyAlignment="1" applyProtection="1">
      <alignment horizontal="distributed" vertical="center" wrapText="1" indent="1"/>
    </xf>
    <xf numFmtId="0" fontId="9" fillId="0" borderId="23" xfId="1" applyFont="1" applyBorder="1" applyAlignment="1" applyProtection="1">
      <alignment horizontal="distributed" vertical="center" wrapText="1" indent="1"/>
    </xf>
    <xf numFmtId="0" fontId="9" fillId="0" borderId="74" xfId="1" applyFont="1" applyBorder="1" applyAlignment="1" applyProtection="1">
      <alignment horizontal="distributed" vertical="center" wrapText="1" indent="1"/>
    </xf>
    <xf numFmtId="0" fontId="7" fillId="4" borderId="274" xfId="1" applyNumberFormat="1" applyFont="1" applyFill="1" applyBorder="1" applyAlignment="1" applyProtection="1">
      <alignment horizontal="center" vertical="center" shrinkToFit="1"/>
      <protection locked="0"/>
    </xf>
    <xf numFmtId="0" fontId="7" fillId="4" borderId="275" xfId="1" applyNumberFormat="1" applyFont="1" applyFill="1" applyBorder="1" applyAlignment="1" applyProtection="1">
      <alignment horizontal="center" vertical="center" shrinkToFit="1"/>
      <protection locked="0"/>
    </xf>
    <xf numFmtId="0" fontId="7" fillId="4" borderId="276" xfId="1" applyNumberFormat="1" applyFont="1" applyFill="1" applyBorder="1" applyAlignment="1" applyProtection="1">
      <alignment horizontal="center" vertical="center" shrinkToFit="1"/>
      <protection locked="0"/>
    </xf>
    <xf numFmtId="0" fontId="65" fillId="0" borderId="16" xfId="1" applyFont="1" applyBorder="1" applyAlignment="1" applyProtection="1">
      <alignment horizontal="center" vertical="center" wrapText="1"/>
    </xf>
    <xf numFmtId="0" fontId="65" fillId="0" borderId="23" xfId="1" applyFont="1" applyBorder="1" applyAlignment="1" applyProtection="1">
      <alignment horizontal="center" vertical="center" wrapText="1"/>
    </xf>
    <xf numFmtId="0" fontId="65" fillId="0" borderId="24" xfId="1" applyFont="1" applyBorder="1" applyAlignment="1" applyProtection="1">
      <alignment horizontal="center" vertical="center" wrapText="1"/>
    </xf>
    <xf numFmtId="0" fontId="9" fillId="0" borderId="278" xfId="1" applyFont="1" applyBorder="1" applyAlignment="1" applyProtection="1">
      <alignment horizontal="center" vertical="distributed" textRotation="255" wrapText="1" justifyLastLine="1"/>
    </xf>
    <xf numFmtId="0" fontId="9" fillId="0" borderId="279" xfId="1" applyFont="1" applyBorder="1" applyAlignment="1" applyProtection="1">
      <alignment horizontal="center" vertical="distributed" textRotation="255" wrapText="1" justifyLastLine="1"/>
    </xf>
    <xf numFmtId="0" fontId="9" fillId="0" borderId="288" xfId="1" applyFont="1" applyBorder="1" applyAlignment="1" applyProtection="1">
      <alignment horizontal="center" vertical="distributed" textRotation="255" wrapText="1" justifyLastLine="1"/>
    </xf>
    <xf numFmtId="49" fontId="9" fillId="3" borderId="53" xfId="1" applyNumberFormat="1" applyFont="1" applyFill="1" applyBorder="1" applyAlignment="1" applyProtection="1">
      <alignment horizontal="center" vertical="center" wrapText="1"/>
      <protection locked="0"/>
    </xf>
    <xf numFmtId="49" fontId="9" fillId="3" borderId="260" xfId="1" applyNumberFormat="1" applyFont="1" applyFill="1" applyBorder="1" applyAlignment="1" applyProtection="1">
      <alignment horizontal="center" vertical="center" wrapText="1"/>
      <protection locked="0"/>
    </xf>
    <xf numFmtId="49" fontId="9" fillId="3" borderId="280" xfId="1" applyNumberFormat="1" applyFont="1" applyFill="1" applyBorder="1" applyAlignment="1" applyProtection="1">
      <alignment horizontal="center" vertical="center" wrapText="1"/>
      <protection locked="0"/>
    </xf>
    <xf numFmtId="0" fontId="46" fillId="0" borderId="283" xfId="1" applyFont="1" applyFill="1" applyBorder="1" applyAlignment="1" applyProtection="1">
      <alignment horizontal="center" vertical="top" shrinkToFit="1"/>
    </xf>
    <xf numFmtId="0" fontId="46" fillId="0" borderId="294" xfId="1" applyFont="1" applyFill="1" applyBorder="1" applyAlignment="1" applyProtection="1">
      <alignment horizontal="center" vertical="top" shrinkToFit="1"/>
    </xf>
    <xf numFmtId="0" fontId="7" fillId="3" borderId="284" xfId="1" applyNumberFormat="1" applyFont="1" applyFill="1" applyBorder="1" applyAlignment="1" applyProtection="1">
      <alignment horizontal="center" vertical="center" shrinkToFit="1"/>
      <protection locked="0"/>
    </xf>
    <xf numFmtId="0" fontId="7" fillId="0" borderId="285" xfId="1" applyNumberFormat="1" applyFont="1" applyBorder="1" applyAlignment="1" applyProtection="1">
      <alignment horizontal="center" vertical="center" shrinkToFit="1"/>
      <protection locked="0"/>
    </xf>
    <xf numFmtId="0" fontId="7" fillId="0" borderId="286" xfId="1" applyNumberFormat="1" applyFont="1" applyBorder="1" applyAlignment="1" applyProtection="1">
      <alignment horizontal="center" vertical="center" shrinkToFit="1"/>
      <protection locked="0"/>
    </xf>
    <xf numFmtId="0" fontId="65" fillId="0" borderId="16" xfId="1" applyFont="1" applyBorder="1" applyAlignment="1" applyProtection="1">
      <alignment horizontal="center" vertical="center" textRotation="255"/>
    </xf>
    <xf numFmtId="0" fontId="65" fillId="0" borderId="24" xfId="1" applyFont="1" applyBorder="1" applyAlignment="1" applyProtection="1">
      <alignment horizontal="center" vertical="center" textRotation="255"/>
    </xf>
    <xf numFmtId="0" fontId="65" fillId="0" borderId="25" xfId="1" applyFont="1" applyBorder="1" applyAlignment="1" applyProtection="1">
      <alignment horizontal="center" vertical="center" textRotation="255"/>
    </xf>
    <xf numFmtId="0" fontId="65" fillId="0" borderId="26" xfId="1" applyFont="1" applyBorder="1" applyAlignment="1" applyProtection="1">
      <alignment horizontal="center" vertical="center" textRotation="255"/>
    </xf>
    <xf numFmtId="0" fontId="65" fillId="0" borderId="27" xfId="1" applyFont="1" applyBorder="1" applyAlignment="1" applyProtection="1">
      <alignment horizontal="center" vertical="center" textRotation="255"/>
    </xf>
    <xf numFmtId="0" fontId="65" fillId="0" borderId="29" xfId="1" applyFont="1" applyBorder="1" applyAlignment="1" applyProtection="1">
      <alignment horizontal="center" vertical="center" textRotation="255"/>
    </xf>
    <xf numFmtId="186" fontId="65" fillId="0" borderId="6" xfId="1" applyNumberFormat="1" applyFont="1" applyBorder="1" applyAlignment="1" applyProtection="1">
      <alignment horizontal="center" vertical="center" wrapText="1"/>
    </xf>
    <xf numFmtId="49" fontId="9" fillId="3" borderId="289" xfId="1" applyNumberFormat="1" applyFont="1" applyFill="1" applyBorder="1" applyAlignment="1" applyProtection="1">
      <alignment horizontal="center" vertical="center" wrapText="1"/>
      <protection locked="0"/>
    </xf>
    <xf numFmtId="49" fontId="9" fillId="3" borderId="290" xfId="1" applyNumberFormat="1" applyFont="1" applyFill="1" applyBorder="1" applyAlignment="1" applyProtection="1">
      <alignment horizontal="center" vertical="center" wrapText="1"/>
      <protection locked="0"/>
    </xf>
    <xf numFmtId="49" fontId="9" fillId="3" borderId="291" xfId="1" applyNumberFormat="1" applyFont="1" applyFill="1" applyBorder="1" applyAlignment="1" applyProtection="1">
      <alignment horizontal="center" vertical="center" wrapText="1"/>
      <protection locked="0"/>
    </xf>
    <xf numFmtId="0" fontId="7" fillId="3" borderId="295" xfId="1" applyNumberFormat="1" applyFont="1" applyFill="1" applyBorder="1" applyAlignment="1" applyProtection="1">
      <alignment horizontal="center" vertical="center" shrinkToFit="1"/>
      <protection locked="0"/>
    </xf>
    <xf numFmtId="0" fontId="7" fillId="0" borderId="296" xfId="1" applyNumberFormat="1" applyFont="1" applyBorder="1" applyAlignment="1" applyProtection="1">
      <alignment horizontal="center" vertical="center" shrinkToFit="1"/>
      <protection locked="0"/>
    </xf>
    <xf numFmtId="0" fontId="7" fillId="0" borderId="297" xfId="1" applyNumberFormat="1" applyFont="1" applyBorder="1" applyAlignment="1" applyProtection="1">
      <alignment horizontal="center" vertical="center" shrinkToFit="1"/>
      <protection locked="0"/>
    </xf>
    <xf numFmtId="49" fontId="9" fillId="3" borderId="57" xfId="1" applyNumberFormat="1" applyFont="1" applyFill="1" applyBorder="1" applyAlignment="1" applyProtection="1">
      <alignment horizontal="center" vertical="center" wrapText="1"/>
      <protection locked="0"/>
    </xf>
    <xf numFmtId="49" fontId="9" fillId="3" borderId="3" xfId="1" applyNumberFormat="1" applyFont="1" applyFill="1" applyBorder="1" applyAlignment="1" applyProtection="1">
      <alignment horizontal="center" vertical="center" wrapText="1"/>
      <protection locked="0"/>
    </xf>
    <xf numFmtId="49" fontId="9" fillId="3" borderId="298" xfId="1" applyNumberFormat="1" applyFont="1" applyFill="1" applyBorder="1" applyAlignment="1" applyProtection="1">
      <alignment horizontal="center" vertical="center" wrapText="1"/>
      <protection locked="0"/>
    </xf>
    <xf numFmtId="49" fontId="9" fillId="3" borderId="287" xfId="1" applyNumberFormat="1" applyFont="1" applyFill="1" applyBorder="1" applyAlignment="1" applyProtection="1">
      <alignment horizontal="center" vertical="center" wrapText="1"/>
      <protection locked="0"/>
    </xf>
    <xf numFmtId="49" fontId="9" fillId="3" borderId="0" xfId="1" applyNumberFormat="1" applyFont="1" applyFill="1" applyBorder="1" applyAlignment="1" applyProtection="1">
      <alignment horizontal="center" vertical="center" wrapText="1"/>
      <protection locked="0"/>
    </xf>
    <xf numFmtId="49" fontId="9" fillId="3" borderId="301" xfId="1" applyNumberFormat="1" applyFont="1" applyFill="1" applyBorder="1" applyAlignment="1" applyProtection="1">
      <alignment horizontal="center" vertical="center" wrapText="1"/>
      <protection locked="0"/>
    </xf>
    <xf numFmtId="0" fontId="7" fillId="3" borderId="304" xfId="1" applyNumberFormat="1" applyFont="1" applyFill="1" applyBorder="1" applyAlignment="1" applyProtection="1">
      <alignment horizontal="center" vertical="center" shrinkToFit="1"/>
      <protection locked="0"/>
    </xf>
    <xf numFmtId="0" fontId="7" fillId="0" borderId="305" xfId="1" applyNumberFormat="1" applyFont="1" applyBorder="1" applyAlignment="1" applyProtection="1">
      <alignment horizontal="center" vertical="center" shrinkToFit="1"/>
      <protection locked="0"/>
    </xf>
    <xf numFmtId="0" fontId="7" fillId="0" borderId="306" xfId="1" applyNumberFormat="1" applyFont="1" applyBorder="1" applyAlignment="1" applyProtection="1">
      <alignment horizontal="center" vertical="center" shrinkToFit="1"/>
      <protection locked="0"/>
    </xf>
    <xf numFmtId="0" fontId="65" fillId="0" borderId="106" xfId="1" applyFont="1" applyBorder="1" applyAlignment="1" applyProtection="1">
      <alignment horizontal="center" vertical="center" justifyLastLine="1"/>
    </xf>
    <xf numFmtId="0" fontId="34" fillId="0" borderId="0" xfId="1" applyFont="1" applyFill="1" applyBorder="1" applyAlignment="1" applyProtection="1">
      <alignment horizontal="left" vertical="top" wrapText="1"/>
    </xf>
    <xf numFmtId="0" fontId="9" fillId="5" borderId="16" xfId="1" applyFont="1" applyFill="1" applyBorder="1" applyAlignment="1" applyProtection="1">
      <alignment horizontal="distributed" vertical="center" indent="1" shrinkToFit="1"/>
    </xf>
    <xf numFmtId="0" fontId="9" fillId="5" borderId="23" xfId="1" applyFont="1" applyFill="1" applyBorder="1" applyAlignment="1" applyProtection="1">
      <alignment horizontal="distributed" vertical="center" indent="1" shrinkToFit="1"/>
    </xf>
    <xf numFmtId="0" fontId="7" fillId="4" borderId="203" xfId="1" applyNumberFormat="1" applyFont="1" applyFill="1" applyBorder="1" applyAlignment="1" applyProtection="1">
      <alignment horizontal="center" vertical="center" shrinkToFit="1"/>
      <protection locked="0"/>
    </xf>
    <xf numFmtId="0" fontId="7" fillId="4" borderId="309" xfId="1" applyNumberFormat="1" applyFont="1" applyFill="1" applyBorder="1" applyAlignment="1" applyProtection="1">
      <alignment horizontal="center" vertical="center" shrinkToFit="1"/>
      <protection locked="0"/>
    </xf>
    <xf numFmtId="0" fontId="65" fillId="0" borderId="2" xfId="1" applyFont="1" applyBorder="1" applyAlignment="1" applyProtection="1">
      <alignment horizontal="center" vertical="center" justifyLastLine="1"/>
    </xf>
    <xf numFmtId="0" fontId="65" fillId="0" borderId="3" xfId="1" applyFont="1" applyBorder="1" applyAlignment="1" applyProtection="1">
      <alignment horizontal="center" vertical="center" justifyLastLine="1"/>
    </xf>
    <xf numFmtId="0" fontId="65" fillId="0" borderId="4" xfId="1" applyFont="1" applyBorder="1" applyAlignment="1" applyProtection="1">
      <alignment horizontal="center" vertical="center" justifyLastLine="1"/>
    </xf>
    <xf numFmtId="3" fontId="7" fillId="0" borderId="310" xfId="1" applyNumberFormat="1" applyFont="1" applyFill="1" applyBorder="1" applyAlignment="1" applyProtection="1">
      <alignment horizontal="right" vertical="center" shrinkToFit="1"/>
    </xf>
    <xf numFmtId="0" fontId="3" fillId="0" borderId="311" xfId="1" applyFill="1" applyBorder="1" applyAlignment="1" applyProtection="1">
      <alignment vertical="center" shrinkToFit="1"/>
    </xf>
    <xf numFmtId="0" fontId="3" fillId="0" borderId="312" xfId="1" applyFill="1" applyBorder="1" applyAlignment="1" applyProtection="1">
      <alignment vertical="center" shrinkToFit="1"/>
    </xf>
    <xf numFmtId="49" fontId="9" fillId="4" borderId="2" xfId="1" applyNumberFormat="1" applyFont="1" applyFill="1" applyBorder="1" applyAlignment="1" applyProtection="1">
      <alignment horizontal="center" vertical="center" wrapText="1"/>
      <protection locked="0"/>
    </xf>
    <xf numFmtId="49" fontId="9" fillId="4" borderId="3" xfId="1" applyNumberFormat="1" applyFont="1" applyFill="1" applyBorder="1" applyAlignment="1" applyProtection="1">
      <alignment horizontal="center" vertical="center" wrapText="1"/>
      <protection locked="0"/>
    </xf>
    <xf numFmtId="49" fontId="9" fillId="4" borderId="72" xfId="1" applyNumberFormat="1" applyFont="1" applyFill="1" applyBorder="1" applyAlignment="1" applyProtection="1">
      <alignment horizontal="center" vertical="center" wrapText="1"/>
      <protection locked="0"/>
    </xf>
    <xf numFmtId="0" fontId="7" fillId="4" borderId="249" xfId="1" applyNumberFormat="1" applyFont="1" applyFill="1" applyBorder="1" applyAlignment="1" applyProtection="1">
      <alignment horizontal="center" vertical="center" shrinkToFit="1"/>
      <protection locked="0"/>
    </xf>
    <xf numFmtId="0" fontId="7" fillId="4" borderId="3" xfId="1" applyNumberFormat="1" applyFont="1" applyFill="1" applyBorder="1" applyAlignment="1" applyProtection="1">
      <alignment horizontal="center" vertical="center" shrinkToFit="1"/>
      <protection locked="0"/>
    </xf>
    <xf numFmtId="0" fontId="7" fillId="4" borderId="72" xfId="1" applyNumberFormat="1" applyFont="1" applyFill="1" applyBorder="1" applyAlignment="1" applyProtection="1">
      <alignment horizontal="center" vertical="center" shrinkToFit="1"/>
      <protection locked="0"/>
    </xf>
    <xf numFmtId="0" fontId="7" fillId="4" borderId="250" xfId="1" applyNumberFormat="1" applyFont="1" applyFill="1" applyBorder="1" applyAlignment="1" applyProtection="1">
      <alignment horizontal="center" vertical="center" shrinkToFit="1"/>
      <protection locked="0"/>
    </xf>
    <xf numFmtId="0" fontId="7" fillId="4" borderId="28" xfId="1" applyNumberFormat="1" applyFont="1" applyFill="1" applyBorder="1" applyAlignment="1" applyProtection="1">
      <alignment horizontal="center" vertical="center" shrinkToFit="1"/>
      <protection locked="0"/>
    </xf>
    <xf numFmtId="0" fontId="7" fillId="4" borderId="126" xfId="1" applyNumberFormat="1" applyFont="1" applyFill="1" applyBorder="1" applyAlignment="1" applyProtection="1">
      <alignment horizontal="center" vertical="center" shrinkToFit="1"/>
      <protection locked="0"/>
    </xf>
    <xf numFmtId="49" fontId="9" fillId="4" borderId="313" xfId="1" applyNumberFormat="1" applyFont="1" applyFill="1" applyBorder="1" applyAlignment="1" applyProtection="1">
      <alignment horizontal="center" vertical="center" wrapText="1"/>
      <protection locked="0"/>
    </xf>
    <xf numFmtId="49" fontId="9" fillId="4" borderId="314" xfId="1" applyNumberFormat="1" applyFont="1" applyFill="1" applyBorder="1" applyAlignment="1" applyProtection="1">
      <alignment horizontal="center" vertical="center" wrapText="1"/>
      <protection locked="0"/>
    </xf>
    <xf numFmtId="49" fontId="9" fillId="4" borderId="315" xfId="1" applyNumberFormat="1" applyFont="1" applyFill="1" applyBorder="1" applyAlignment="1" applyProtection="1">
      <alignment horizontal="center" vertical="center" wrapText="1"/>
      <protection locked="0"/>
    </xf>
    <xf numFmtId="0" fontId="7" fillId="4" borderId="317" xfId="1" applyNumberFormat="1" applyFont="1" applyFill="1" applyBorder="1" applyAlignment="1" applyProtection="1">
      <alignment horizontal="center" vertical="center" shrinkToFit="1"/>
      <protection locked="0"/>
    </xf>
    <xf numFmtId="0" fontId="7" fillId="4" borderId="314" xfId="1" applyNumberFormat="1" applyFont="1" applyFill="1" applyBorder="1" applyAlignment="1" applyProtection="1">
      <alignment horizontal="center" vertical="center" shrinkToFit="1"/>
      <protection locked="0"/>
    </xf>
    <xf numFmtId="0" fontId="7" fillId="4" borderId="315" xfId="1" applyNumberFormat="1" applyFont="1" applyFill="1" applyBorder="1" applyAlignment="1" applyProtection="1">
      <alignment horizontal="center" vertical="center" shrinkToFit="1"/>
      <protection locked="0"/>
    </xf>
    <xf numFmtId="49" fontId="9" fillId="3" borderId="147" xfId="1" applyNumberFormat="1" applyFont="1" applyFill="1" applyBorder="1" applyAlignment="1" applyProtection="1">
      <alignment horizontal="center" vertical="center" wrapText="1"/>
      <protection locked="0"/>
    </xf>
    <xf numFmtId="49" fontId="9" fillId="3" borderId="318" xfId="1" applyNumberFormat="1" applyFont="1" applyFill="1" applyBorder="1" applyAlignment="1" applyProtection="1">
      <alignment horizontal="center" vertical="center" wrapText="1"/>
      <protection locked="0"/>
    </xf>
    <xf numFmtId="49" fontId="9" fillId="3" borderId="319" xfId="1" applyNumberFormat="1" applyFont="1" applyFill="1" applyBorder="1" applyAlignment="1" applyProtection="1">
      <alignment horizontal="center" vertical="center" wrapText="1"/>
      <protection locked="0"/>
    </xf>
    <xf numFmtId="0" fontId="46" fillId="0" borderId="331" xfId="1" applyFont="1" applyFill="1" applyBorder="1" applyAlignment="1" applyProtection="1">
      <alignment horizontal="center" vertical="top" shrinkToFit="1"/>
    </xf>
    <xf numFmtId="0" fontId="7" fillId="3" borderId="70" xfId="1" applyNumberFormat="1" applyFont="1" applyFill="1" applyBorder="1" applyAlignment="1" applyProtection="1">
      <alignment horizontal="center" vertical="center" shrinkToFit="1"/>
      <protection locked="0"/>
    </xf>
    <xf numFmtId="0" fontId="7" fillId="0" borderId="192" xfId="1" applyNumberFormat="1" applyFont="1" applyBorder="1" applyAlignment="1" applyProtection="1">
      <alignment horizontal="center" vertical="center" shrinkToFit="1"/>
      <protection locked="0"/>
    </xf>
    <xf numFmtId="0" fontId="7" fillId="0" borderId="322" xfId="1" applyNumberFormat="1" applyFont="1" applyBorder="1" applyAlignment="1" applyProtection="1">
      <alignment horizontal="center" vertical="center" shrinkToFit="1"/>
      <protection locked="0"/>
    </xf>
    <xf numFmtId="180" fontId="65" fillId="0" borderId="6" xfId="1" applyNumberFormat="1" applyFont="1" applyBorder="1" applyAlignment="1" applyProtection="1">
      <alignment horizontal="center" vertical="center" shrinkToFit="1"/>
    </xf>
    <xf numFmtId="49" fontId="9" fillId="3" borderId="323" xfId="1" applyNumberFormat="1" applyFont="1" applyFill="1" applyBorder="1" applyAlignment="1" applyProtection="1">
      <alignment horizontal="center" vertical="center" wrapText="1"/>
      <protection locked="0"/>
    </xf>
    <xf numFmtId="0" fontId="7" fillId="3" borderId="57" xfId="1" applyNumberFormat="1" applyFont="1" applyFill="1" applyBorder="1" applyAlignment="1" applyProtection="1">
      <alignment horizontal="center" vertical="center" shrinkToFit="1"/>
      <protection locked="0"/>
    </xf>
    <xf numFmtId="0" fontId="7" fillId="0" borderId="3" xfId="1" applyNumberFormat="1" applyFont="1" applyBorder="1" applyAlignment="1" applyProtection="1">
      <alignment horizontal="center" vertical="center" shrinkToFit="1"/>
      <protection locked="0"/>
    </xf>
    <xf numFmtId="0" fontId="7" fillId="0" borderId="56" xfId="1" applyNumberFormat="1" applyFont="1" applyBorder="1" applyAlignment="1" applyProtection="1">
      <alignment horizontal="center" vertical="center" shrinkToFit="1"/>
      <protection locked="0"/>
    </xf>
    <xf numFmtId="49" fontId="9" fillId="3" borderId="84" xfId="1" applyNumberFormat="1" applyFont="1" applyFill="1" applyBorder="1" applyAlignment="1" applyProtection="1">
      <alignment horizontal="center" vertical="center" wrapText="1"/>
      <protection locked="0"/>
    </xf>
    <xf numFmtId="49" fontId="9" fillId="3" borderId="304" xfId="1" applyNumberFormat="1" applyFont="1" applyFill="1" applyBorder="1" applyAlignment="1" applyProtection="1">
      <alignment horizontal="center" vertical="center" wrapText="1"/>
      <protection locked="0"/>
    </xf>
    <xf numFmtId="49" fontId="9" fillId="3" borderId="305" xfId="1" applyNumberFormat="1" applyFont="1" applyFill="1" applyBorder="1" applyAlignment="1" applyProtection="1">
      <alignment horizontal="center" vertical="center" wrapText="1"/>
      <protection locked="0"/>
    </xf>
    <xf numFmtId="49" fontId="9" fillId="3" borderId="328" xfId="1" applyNumberFormat="1" applyFont="1" applyFill="1" applyBorder="1" applyAlignment="1" applyProtection="1">
      <alignment horizontal="center" vertical="center" wrapText="1"/>
      <protection locked="0"/>
    </xf>
    <xf numFmtId="0" fontId="7" fillId="3" borderId="110" xfId="1" applyNumberFormat="1" applyFont="1" applyFill="1" applyBorder="1" applyAlignment="1" applyProtection="1">
      <alignment horizontal="center" vertical="center" shrinkToFit="1"/>
      <protection locked="0"/>
    </xf>
    <xf numFmtId="0" fontId="7" fillId="0" borderId="23" xfId="1" applyNumberFormat="1" applyFont="1" applyBorder="1" applyAlignment="1" applyProtection="1">
      <alignment horizontal="center" vertical="center" shrinkToFit="1"/>
      <protection locked="0"/>
    </xf>
    <xf numFmtId="0" fontId="7" fillId="0" borderId="327" xfId="1" applyNumberFormat="1" applyFont="1" applyBorder="1" applyAlignment="1" applyProtection="1">
      <alignment horizontal="center" vertical="center" shrinkToFit="1"/>
      <protection locked="0"/>
    </xf>
    <xf numFmtId="49" fontId="9" fillId="3" borderId="110" xfId="1" applyNumberFormat="1" applyFont="1" applyFill="1" applyBorder="1" applyAlignment="1" applyProtection="1">
      <alignment horizontal="center" vertical="center" wrapText="1"/>
      <protection locked="0"/>
    </xf>
    <xf numFmtId="49" fontId="9" fillId="3" borderId="23" xfId="1" applyNumberFormat="1" applyFont="1" applyFill="1" applyBorder="1" applyAlignment="1" applyProtection="1">
      <alignment horizontal="center" vertical="center" wrapText="1"/>
      <protection locked="0"/>
    </xf>
    <xf numFmtId="49" fontId="9" fillId="3" borderId="74" xfId="1" applyNumberFormat="1" applyFont="1" applyFill="1" applyBorder="1" applyAlignment="1" applyProtection="1">
      <alignment horizontal="center" vertical="center" wrapText="1"/>
      <protection locked="0"/>
    </xf>
    <xf numFmtId="180" fontId="65" fillId="0" borderId="106" xfId="1" applyNumberFormat="1" applyFont="1" applyBorder="1" applyAlignment="1" applyProtection="1">
      <alignment horizontal="center" vertical="center" shrinkToFit="1"/>
    </xf>
    <xf numFmtId="0" fontId="33" fillId="0" borderId="0" xfId="1" applyFont="1" applyFill="1" applyBorder="1" applyAlignment="1" applyProtection="1">
      <alignment vertical="center" wrapText="1"/>
    </xf>
    <xf numFmtId="0" fontId="33" fillId="0" borderId="21" xfId="1" applyFont="1" applyFill="1" applyBorder="1" applyAlignment="1" applyProtection="1">
      <alignment vertical="center" wrapText="1"/>
    </xf>
    <xf numFmtId="0" fontId="9" fillId="0" borderId="18" xfId="1" applyFont="1" applyBorder="1" applyAlignment="1" applyProtection="1">
      <alignment horizontal="distributed" vertical="center" wrapText="1" justifyLastLine="1"/>
    </xf>
    <xf numFmtId="0" fontId="9" fillId="0" borderId="0" xfId="1" applyFont="1" applyBorder="1" applyAlignment="1" applyProtection="1">
      <alignment horizontal="distributed" vertical="center" wrapText="1" justifyLastLine="1"/>
    </xf>
    <xf numFmtId="0" fontId="9" fillId="0" borderId="21" xfId="1" applyFont="1" applyBorder="1" applyAlignment="1" applyProtection="1">
      <alignment horizontal="distributed" vertical="center" wrapText="1" justifyLastLine="1"/>
    </xf>
    <xf numFmtId="0" fontId="9" fillId="0" borderId="18" xfId="1" applyFont="1" applyBorder="1" applyAlignment="1" applyProtection="1">
      <alignment horizontal="center" vertical="center"/>
    </xf>
    <xf numFmtId="0" fontId="9" fillId="0" borderId="31" xfId="1" applyFont="1" applyBorder="1" applyAlignment="1" applyProtection="1">
      <alignment horizontal="center" vertical="center"/>
    </xf>
    <xf numFmtId="0" fontId="9" fillId="0" borderId="0" xfId="1" applyFont="1" applyBorder="1" applyAlignment="1" applyProtection="1">
      <alignment horizontal="center" vertical="center"/>
    </xf>
    <xf numFmtId="0" fontId="9" fillId="0" borderId="26" xfId="1" applyFont="1" applyBorder="1" applyAlignment="1" applyProtection="1">
      <alignment horizontal="center" vertical="center"/>
    </xf>
    <xf numFmtId="0" fontId="9" fillId="0" borderId="21" xfId="1" applyFont="1" applyBorder="1" applyAlignment="1" applyProtection="1">
      <alignment horizontal="center" vertical="center"/>
    </xf>
    <xf numFmtId="0" fontId="9" fillId="0" borderId="65" xfId="1" applyFont="1" applyBorder="1" applyAlignment="1" applyProtection="1">
      <alignment horizontal="center" vertical="center"/>
    </xf>
    <xf numFmtId="0" fontId="45" fillId="0" borderId="18" xfId="1" applyFont="1" applyBorder="1" applyAlignment="1" applyProtection="1">
      <alignment horizontal="center" vertical="center" wrapText="1"/>
    </xf>
    <xf numFmtId="0" fontId="45" fillId="0" borderId="19" xfId="1" applyFont="1" applyBorder="1" applyAlignment="1" applyProtection="1">
      <alignment horizontal="center" vertical="center" wrapText="1"/>
    </xf>
    <xf numFmtId="0" fontId="45" fillId="0" borderId="0" xfId="1" applyFont="1" applyBorder="1" applyAlignment="1" applyProtection="1">
      <alignment horizontal="center" vertical="center" wrapText="1"/>
    </xf>
    <xf numFmtId="0" fontId="45" fillId="0" borderId="84" xfId="1" applyFont="1" applyBorder="1" applyAlignment="1" applyProtection="1">
      <alignment horizontal="center" vertical="center" wrapText="1"/>
    </xf>
    <xf numFmtId="0" fontId="45" fillId="0" borderId="220" xfId="1" applyFont="1" applyBorder="1" applyAlignment="1" applyProtection="1">
      <alignment horizontal="center" vertical="center" wrapText="1"/>
    </xf>
    <xf numFmtId="0" fontId="45" fillId="0" borderId="21" xfId="1" applyFont="1" applyBorder="1" applyAlignment="1" applyProtection="1">
      <alignment horizontal="center" vertical="center" wrapText="1"/>
    </xf>
    <xf numFmtId="0" fontId="45" fillId="0" borderId="22" xfId="1" applyFont="1" applyBorder="1" applyAlignment="1" applyProtection="1">
      <alignment horizontal="center" vertical="center" wrapText="1"/>
    </xf>
    <xf numFmtId="0" fontId="84" fillId="0" borderId="17" xfId="1" applyFont="1" applyBorder="1" applyAlignment="1" applyProtection="1">
      <alignment horizontal="center" vertical="center"/>
    </xf>
    <xf numFmtId="0" fontId="84" fillId="0" borderId="68" xfId="1" applyFont="1" applyBorder="1" applyAlignment="1" applyProtection="1">
      <alignment horizontal="center" vertical="center"/>
    </xf>
    <xf numFmtId="0" fontId="84" fillId="0" borderId="146" xfId="1" applyFont="1" applyBorder="1" applyAlignment="1" applyProtection="1">
      <alignment horizontal="center" vertical="center"/>
    </xf>
    <xf numFmtId="0" fontId="24" fillId="0" borderId="333" xfId="1" applyFont="1" applyBorder="1" applyAlignment="1" applyProtection="1">
      <alignment horizontal="center" vertical="center" shrinkToFit="1"/>
    </xf>
    <xf numFmtId="0" fontId="24" fillId="0" borderId="334" xfId="1" applyFont="1" applyBorder="1" applyAlignment="1" applyProtection="1">
      <alignment horizontal="center" vertical="center" shrinkToFit="1"/>
    </xf>
    <xf numFmtId="0" fontId="24" fillId="0" borderId="335" xfId="1" applyFont="1" applyBorder="1" applyAlignment="1" applyProtection="1">
      <alignment horizontal="center" vertical="center" shrinkToFit="1"/>
    </xf>
    <xf numFmtId="3" fontId="7" fillId="3" borderId="147" xfId="1" applyNumberFormat="1" applyFont="1" applyFill="1" applyBorder="1" applyAlignment="1" applyProtection="1">
      <alignment horizontal="right" vertical="center" shrinkToFit="1"/>
      <protection locked="0"/>
    </xf>
    <xf numFmtId="3" fontId="7" fillId="0" borderId="318" xfId="1" applyNumberFormat="1" applyFont="1" applyBorder="1" applyAlignment="1" applyProtection="1">
      <alignment horizontal="right" vertical="center" shrinkToFit="1"/>
      <protection locked="0"/>
    </xf>
    <xf numFmtId="3" fontId="7" fillId="0" borderId="336" xfId="1" applyNumberFormat="1" applyFont="1" applyBorder="1" applyAlignment="1" applyProtection="1">
      <alignment horizontal="right" vertical="center" shrinkToFit="1"/>
      <protection locked="0"/>
    </xf>
    <xf numFmtId="0" fontId="7" fillId="3" borderId="337" xfId="1" applyNumberFormat="1" applyFont="1" applyFill="1" applyBorder="1" applyAlignment="1" applyProtection="1">
      <alignment horizontal="center" vertical="center" shrinkToFit="1"/>
      <protection locked="0"/>
    </xf>
    <xf numFmtId="0" fontId="7" fillId="0" borderId="318" xfId="1" applyNumberFormat="1" applyFont="1" applyBorder="1" applyAlignment="1" applyProtection="1">
      <alignment horizontal="center" vertical="center" shrinkToFit="1"/>
      <protection locked="0"/>
    </xf>
    <xf numFmtId="0" fontId="7" fillId="0" borderId="336" xfId="1" applyNumberFormat="1" applyFont="1" applyBorder="1" applyAlignment="1" applyProtection="1">
      <alignment horizontal="center" vertical="center" shrinkToFit="1"/>
      <protection locked="0"/>
    </xf>
    <xf numFmtId="0" fontId="59" fillId="0" borderId="106" xfId="1" applyFont="1" applyBorder="1" applyAlignment="1" applyProtection="1">
      <alignment horizontal="center" vertical="center"/>
    </xf>
    <xf numFmtId="0" fontId="65" fillId="0" borderId="1" xfId="1" applyFont="1" applyBorder="1" applyAlignment="1" applyProtection="1">
      <alignment horizontal="center" vertical="distributed" textRotation="255" wrapText="1" justifyLastLine="1"/>
    </xf>
    <xf numFmtId="0" fontId="65" fillId="0" borderId="5" xfId="1" applyFont="1" applyBorder="1" applyAlignment="1" applyProtection="1">
      <alignment horizontal="center" vertical="distributed" textRotation="255" wrapText="1" justifyLastLine="1"/>
    </xf>
    <xf numFmtId="0" fontId="65" fillId="0" borderId="106" xfId="1" applyFont="1" applyBorder="1" applyAlignment="1" applyProtection="1">
      <alignment horizontal="center" vertical="distributed" textRotation="255" wrapText="1" justifyLastLine="1"/>
    </xf>
    <xf numFmtId="0" fontId="24" fillId="0" borderId="252" xfId="1" applyFont="1" applyBorder="1" applyAlignment="1" applyProtection="1">
      <alignment horizontal="center" vertical="center" shrinkToFit="1"/>
    </xf>
    <xf numFmtId="0" fontId="24" fillId="0" borderId="342" xfId="1" applyFont="1" applyBorder="1" applyAlignment="1" applyProtection="1">
      <alignment horizontal="center" vertical="center" shrinkToFit="1"/>
    </xf>
    <xf numFmtId="0" fontId="24" fillId="0" borderId="253" xfId="1" applyFont="1" applyBorder="1" applyAlignment="1" applyProtection="1">
      <alignment horizontal="center" vertical="center" shrinkToFit="1"/>
    </xf>
    <xf numFmtId="3" fontId="7" fillId="4" borderId="343" xfId="1" applyNumberFormat="1" applyFont="1" applyFill="1" applyBorder="1" applyAlignment="1" applyProtection="1">
      <alignment horizontal="right" vertical="center" shrinkToFit="1"/>
      <protection locked="0"/>
    </xf>
    <xf numFmtId="3" fontId="7" fillId="4" borderId="296" xfId="1" applyNumberFormat="1" applyFont="1" applyFill="1" applyBorder="1" applyAlignment="1" applyProtection="1">
      <alignment horizontal="right" vertical="center" shrinkToFit="1"/>
      <protection locked="0"/>
    </xf>
    <xf numFmtId="3" fontId="7" fillId="4" borderId="344" xfId="1" applyNumberFormat="1" applyFont="1" applyFill="1" applyBorder="1" applyAlignment="1" applyProtection="1">
      <alignment horizontal="right" vertical="center" shrinkToFit="1"/>
      <protection locked="0"/>
    </xf>
    <xf numFmtId="0" fontId="7" fillId="4" borderId="296" xfId="1" applyNumberFormat="1" applyFont="1" applyFill="1" applyBorder="1" applyAlignment="1" applyProtection="1">
      <alignment horizontal="center" vertical="center" shrinkToFit="1"/>
      <protection locked="0"/>
    </xf>
    <xf numFmtId="0" fontId="7" fillId="4" borderId="345" xfId="1" applyNumberFormat="1" applyFont="1" applyFill="1" applyBorder="1" applyAlignment="1" applyProtection="1">
      <alignment horizontal="center" vertical="center" shrinkToFit="1"/>
      <protection locked="0"/>
    </xf>
    <xf numFmtId="0" fontId="9" fillId="0" borderId="0" xfId="1" applyFont="1" applyBorder="1" applyAlignment="1" applyProtection="1">
      <alignment horizontal="center" vertical="distributed" textRotation="255" wrapText="1" justifyLastLine="1"/>
    </xf>
    <xf numFmtId="0" fontId="9" fillId="0" borderId="0" xfId="1" applyFont="1" applyBorder="1" applyAlignment="1" applyProtection="1">
      <alignment horizontal="distributed" vertical="center"/>
    </xf>
    <xf numFmtId="0" fontId="24" fillId="0" borderId="258" xfId="1" applyFont="1" applyBorder="1" applyAlignment="1" applyProtection="1">
      <alignment horizontal="center" vertical="center" shrinkToFit="1"/>
    </xf>
    <xf numFmtId="0" fontId="24" fillId="0" borderId="338" xfId="1" applyFont="1" applyBorder="1" applyAlignment="1" applyProtection="1">
      <alignment horizontal="center" vertical="center" shrinkToFit="1"/>
    </xf>
    <xf numFmtId="0" fontId="24" fillId="0" borderId="339" xfId="1" applyFont="1" applyBorder="1" applyAlignment="1" applyProtection="1">
      <alignment horizontal="center" vertical="center" shrinkToFit="1"/>
    </xf>
    <xf numFmtId="3" fontId="7" fillId="4" borderId="340" xfId="1" applyNumberFormat="1" applyFont="1" applyFill="1" applyBorder="1" applyAlignment="1" applyProtection="1">
      <alignment horizontal="right" vertical="center" shrinkToFit="1"/>
      <protection locked="0"/>
    </xf>
    <xf numFmtId="3" fontId="7" fillId="4" borderId="318" xfId="1" applyNumberFormat="1" applyFont="1" applyFill="1" applyBorder="1" applyAlignment="1" applyProtection="1">
      <alignment horizontal="right" vertical="center" shrinkToFit="1"/>
      <protection locked="0"/>
    </xf>
    <xf numFmtId="3" fontId="7" fillId="4" borderId="341" xfId="1" applyNumberFormat="1" applyFont="1" applyFill="1" applyBorder="1" applyAlignment="1" applyProtection="1">
      <alignment horizontal="right" vertical="center" shrinkToFit="1"/>
      <protection locked="0"/>
    </xf>
    <xf numFmtId="0" fontId="7" fillId="4" borderId="318" xfId="1" applyNumberFormat="1" applyFont="1" applyFill="1" applyBorder="1" applyAlignment="1" applyProtection="1">
      <alignment horizontal="center" vertical="center" shrinkToFit="1"/>
      <protection locked="0"/>
    </xf>
    <xf numFmtId="0" fontId="7" fillId="4" borderId="319" xfId="1" applyNumberFormat="1" applyFont="1" applyFill="1" applyBorder="1" applyAlignment="1" applyProtection="1">
      <alignment horizontal="center" vertical="center" shrinkToFit="1"/>
      <protection locked="0"/>
    </xf>
    <xf numFmtId="0" fontId="9" fillId="0" borderId="23" xfId="1" applyFont="1" applyBorder="1" applyAlignment="1" applyProtection="1">
      <alignment horizontal="distributed" vertical="distributed"/>
    </xf>
    <xf numFmtId="181" fontId="7" fillId="4" borderId="349" xfId="1" applyNumberFormat="1" applyFont="1" applyFill="1" applyBorder="1" applyAlignment="1" applyProtection="1">
      <alignment horizontal="right" vertical="center" shrinkToFit="1"/>
      <protection locked="0"/>
    </xf>
    <xf numFmtId="181" fontId="7" fillId="4" borderId="350" xfId="1" applyNumberFormat="1" applyFont="1" applyFill="1" applyBorder="1" applyAlignment="1" applyProtection="1">
      <alignment horizontal="right" vertical="center" shrinkToFit="1"/>
      <protection locked="0"/>
    </xf>
    <xf numFmtId="181" fontId="7" fillId="4" borderId="351" xfId="1" applyNumberFormat="1" applyFont="1" applyFill="1" applyBorder="1" applyAlignment="1" applyProtection="1">
      <alignment horizontal="right" vertical="center" shrinkToFit="1"/>
      <protection locked="0"/>
    </xf>
    <xf numFmtId="0" fontId="24" fillId="0" borderId="346" xfId="1" applyFont="1" applyBorder="1" applyAlignment="1" applyProtection="1">
      <alignment horizontal="center" vertical="center" shrinkToFit="1"/>
    </xf>
    <xf numFmtId="0" fontId="24" fillId="0" borderId="347" xfId="1" applyFont="1" applyBorder="1" applyAlignment="1" applyProtection="1">
      <alignment horizontal="center" vertical="center" shrinkToFit="1"/>
    </xf>
    <xf numFmtId="0" fontId="24" fillId="0" borderId="348" xfId="1" applyFont="1" applyBorder="1" applyAlignment="1" applyProtection="1">
      <alignment horizontal="center" vertical="center" shrinkToFit="1"/>
    </xf>
    <xf numFmtId="181" fontId="7" fillId="4" borderId="352" xfId="1" applyNumberFormat="1" applyFont="1" applyFill="1" applyBorder="1" applyAlignment="1" applyProtection="1">
      <alignment horizontal="right" vertical="center" shrinkToFit="1"/>
      <protection locked="0"/>
    </xf>
    <xf numFmtId="181" fontId="7" fillId="4" borderId="296" xfId="1" applyNumberFormat="1" applyFont="1" applyFill="1" applyBorder="1" applyAlignment="1" applyProtection="1">
      <alignment horizontal="right" vertical="center" shrinkToFit="1"/>
      <protection locked="0"/>
    </xf>
    <xf numFmtId="181" fontId="7" fillId="4" borderId="353" xfId="1" applyNumberFormat="1" applyFont="1" applyFill="1" applyBorder="1" applyAlignment="1" applyProtection="1">
      <alignment horizontal="right" vertical="center" shrinkToFit="1"/>
      <protection locked="0"/>
    </xf>
    <xf numFmtId="0" fontId="9" fillId="0" borderId="28" xfId="1" applyFont="1" applyBorder="1" applyAlignment="1" applyProtection="1">
      <alignment horizontal="distributed" vertical="distributed"/>
    </xf>
    <xf numFmtId="182" fontId="7" fillId="4" borderId="125" xfId="1" applyNumberFormat="1" applyFont="1" applyFill="1" applyBorder="1" applyAlignment="1" applyProtection="1">
      <alignment horizontal="right" vertical="center" shrinkToFit="1"/>
      <protection locked="0"/>
    </xf>
    <xf numFmtId="182" fontId="7" fillId="4" borderId="28" xfId="1" applyNumberFormat="1" applyFont="1" applyFill="1" applyBorder="1" applyAlignment="1" applyProtection="1">
      <alignment horizontal="right" vertical="center" shrinkToFit="1"/>
      <protection locked="0"/>
    </xf>
    <xf numFmtId="182" fontId="7" fillId="4" borderId="29" xfId="1" applyNumberFormat="1" applyFont="1" applyFill="1" applyBorder="1" applyAlignment="1" applyProtection="1">
      <alignment horizontal="right" vertical="center" shrinkToFit="1"/>
      <protection locked="0"/>
    </xf>
    <xf numFmtId="3" fontId="7" fillId="4" borderId="357" xfId="1" applyNumberFormat="1" applyFont="1" applyFill="1" applyBorder="1" applyAlignment="1" applyProtection="1">
      <alignment horizontal="right" vertical="center" shrinkToFit="1"/>
      <protection locked="0"/>
    </xf>
    <xf numFmtId="3" fontId="7" fillId="4" borderId="358" xfId="1" applyNumberFormat="1" applyFont="1" applyFill="1" applyBorder="1" applyAlignment="1" applyProtection="1">
      <alignment horizontal="right" vertical="center" shrinkToFit="1"/>
      <protection locked="0"/>
    </xf>
    <xf numFmtId="3" fontId="7" fillId="4" borderId="359" xfId="1" applyNumberFormat="1" applyFont="1" applyFill="1" applyBorder="1" applyAlignment="1" applyProtection="1">
      <alignment horizontal="right" vertical="center" shrinkToFit="1"/>
      <protection locked="0"/>
    </xf>
    <xf numFmtId="0" fontId="7" fillId="4" borderId="358" xfId="1" applyNumberFormat="1" applyFont="1" applyFill="1" applyBorder="1" applyAlignment="1" applyProtection="1">
      <alignment horizontal="center" vertical="center" shrinkToFit="1"/>
      <protection locked="0"/>
    </xf>
    <xf numFmtId="0" fontId="7" fillId="4" borderId="360" xfId="1" applyNumberFormat="1" applyFont="1" applyFill="1" applyBorder="1" applyAlignment="1" applyProtection="1">
      <alignment horizontal="center" vertical="center" shrinkToFit="1"/>
      <protection locked="0"/>
    </xf>
    <xf numFmtId="0" fontId="59" fillId="0" borderId="361" xfId="1" applyFont="1" applyBorder="1" applyAlignment="1" applyProtection="1">
      <alignment horizontal="center" vertical="center"/>
    </xf>
    <xf numFmtId="0" fontId="59" fillId="0" borderId="362" xfId="1" applyFont="1" applyBorder="1" applyAlignment="1" applyProtection="1">
      <alignment horizontal="center" vertical="center"/>
    </xf>
    <xf numFmtId="0" fontId="9" fillId="0" borderId="3" xfId="1" applyFont="1" applyBorder="1" applyAlignment="1" applyProtection="1">
      <alignment horizontal="distributed" vertical="distributed"/>
    </xf>
    <xf numFmtId="181" fontId="7" fillId="4" borderId="324" xfId="1" applyNumberFormat="1" applyFont="1" applyFill="1" applyBorder="1" applyAlignment="1" applyProtection="1">
      <alignment horizontal="right" vertical="center" shrinkToFit="1"/>
      <protection locked="0"/>
    </xf>
    <xf numFmtId="181" fontId="7" fillId="4" borderId="290" xfId="1" applyNumberFormat="1" applyFont="1" applyFill="1" applyBorder="1" applyAlignment="1" applyProtection="1">
      <alignment horizontal="right" vertical="center" shrinkToFit="1"/>
      <protection locked="0"/>
    </xf>
    <xf numFmtId="181" fontId="7" fillId="4" borderId="354" xfId="1" applyNumberFormat="1" applyFont="1" applyFill="1" applyBorder="1" applyAlignment="1" applyProtection="1">
      <alignment horizontal="right" vertical="center" shrinkToFit="1"/>
      <protection locked="0"/>
    </xf>
    <xf numFmtId="3" fontId="7" fillId="4" borderId="355" xfId="1" applyNumberFormat="1" applyFont="1" applyFill="1" applyBorder="1" applyAlignment="1" applyProtection="1">
      <alignment horizontal="right" vertical="center" shrinkToFit="1"/>
      <protection locked="0"/>
    </xf>
    <xf numFmtId="3" fontId="7" fillId="4" borderId="290" xfId="1" applyNumberFormat="1" applyFont="1" applyFill="1" applyBorder="1" applyAlignment="1" applyProtection="1">
      <alignment horizontal="right" vertical="center" shrinkToFit="1"/>
      <protection locked="0"/>
    </xf>
    <xf numFmtId="3" fontId="7" fillId="4" borderId="356" xfId="1" applyNumberFormat="1" applyFont="1" applyFill="1" applyBorder="1" applyAlignment="1" applyProtection="1">
      <alignment horizontal="right" vertical="center" shrinkToFit="1"/>
      <protection locked="0"/>
    </xf>
    <xf numFmtId="0" fontId="7" fillId="4" borderId="290" xfId="1" applyNumberFormat="1" applyFont="1" applyFill="1" applyBorder="1" applyAlignment="1" applyProtection="1">
      <alignment horizontal="center" vertical="center" shrinkToFit="1"/>
      <protection locked="0"/>
    </xf>
    <xf numFmtId="0" fontId="7" fillId="4" borderId="323" xfId="1" applyNumberFormat="1" applyFont="1" applyFill="1" applyBorder="1" applyAlignment="1" applyProtection="1">
      <alignment horizontal="center" vertical="center" shrinkToFit="1"/>
      <protection locked="0"/>
    </xf>
    <xf numFmtId="0" fontId="59" fillId="0" borderId="8" xfId="1" applyFont="1" applyBorder="1" applyAlignment="1" applyProtection="1">
      <alignment horizontal="center" vertical="center"/>
    </xf>
    <xf numFmtId="0" fontId="9" fillId="0" borderId="27" xfId="1" applyFont="1" applyBorder="1" applyAlignment="1" applyProtection="1">
      <alignment horizontal="distributed" vertical="distributed"/>
    </xf>
    <xf numFmtId="182" fontId="7" fillId="4" borderId="363" xfId="1" applyNumberFormat="1" applyFont="1" applyFill="1" applyBorder="1" applyAlignment="1" applyProtection="1">
      <alignment horizontal="right" vertical="center" shrinkToFit="1"/>
      <protection locked="0"/>
    </xf>
    <xf numFmtId="182" fontId="7" fillId="4" borderId="358" xfId="1" applyNumberFormat="1" applyFont="1" applyFill="1" applyBorder="1" applyAlignment="1" applyProtection="1">
      <alignment horizontal="right" vertical="center" shrinkToFit="1"/>
      <protection locked="0"/>
    </xf>
    <xf numFmtId="182" fontId="7" fillId="4" borderId="364" xfId="1" applyNumberFormat="1" applyFont="1" applyFill="1" applyBorder="1" applyAlignment="1" applyProtection="1">
      <alignment horizontal="right" vertical="center" shrinkToFit="1"/>
      <protection locked="0"/>
    </xf>
    <xf numFmtId="0" fontId="9" fillId="0" borderId="25" xfId="1" applyFont="1" applyBorder="1" applyAlignment="1" applyProtection="1">
      <alignment horizontal="distributed" vertical="distributed"/>
    </xf>
    <xf numFmtId="0" fontId="9" fillId="0" borderId="0" xfId="1" applyFont="1" applyBorder="1" applyAlignment="1" applyProtection="1">
      <alignment horizontal="distributed" vertical="distributed"/>
    </xf>
    <xf numFmtId="182" fontId="7" fillId="4" borderId="352" xfId="1" applyNumberFormat="1" applyFont="1" applyFill="1" applyBorder="1" applyAlignment="1" applyProtection="1">
      <alignment horizontal="right" vertical="center" shrinkToFit="1"/>
      <protection locked="0"/>
    </xf>
    <xf numFmtId="182" fontId="7" fillId="4" borderId="296" xfId="1" applyNumberFormat="1" applyFont="1" applyFill="1" applyBorder="1" applyAlignment="1" applyProtection="1">
      <alignment horizontal="right" vertical="center" shrinkToFit="1"/>
      <protection locked="0"/>
    </xf>
    <xf numFmtId="182" fontId="7" fillId="4" borderId="353" xfId="1" applyNumberFormat="1" applyFont="1" applyFill="1" applyBorder="1" applyAlignment="1" applyProtection="1">
      <alignment horizontal="right" vertical="center" shrinkToFit="1"/>
      <protection locked="0"/>
    </xf>
    <xf numFmtId="0" fontId="60" fillId="0" borderId="2" xfId="1" applyFont="1" applyBorder="1" applyAlignment="1" applyProtection="1">
      <alignment horizontal="distributed" vertical="center" shrinkToFit="1"/>
    </xf>
    <xf numFmtId="0" fontId="60" fillId="0" borderId="3" xfId="1" applyFont="1" applyBorder="1" applyAlignment="1" applyProtection="1">
      <alignment horizontal="distributed" vertical="center" shrinkToFit="1"/>
    </xf>
    <xf numFmtId="182" fontId="7" fillId="4" borderId="324" xfId="1" applyNumberFormat="1" applyFont="1" applyFill="1" applyBorder="1" applyAlignment="1" applyProtection="1">
      <alignment horizontal="right" vertical="center" shrinkToFit="1"/>
      <protection locked="0"/>
    </xf>
    <xf numFmtId="182" fontId="7" fillId="4" borderId="290" xfId="1" applyNumberFormat="1" applyFont="1" applyFill="1" applyBorder="1" applyAlignment="1" applyProtection="1">
      <alignment horizontal="right" vertical="center" shrinkToFit="1"/>
      <protection locked="0"/>
    </xf>
    <xf numFmtId="182" fontId="7" fillId="4" borderId="354" xfId="1" applyNumberFormat="1" applyFont="1" applyFill="1" applyBorder="1" applyAlignment="1" applyProtection="1">
      <alignment horizontal="right" vertical="center" shrinkToFit="1"/>
      <protection locked="0"/>
    </xf>
    <xf numFmtId="0" fontId="36" fillId="0" borderId="0" xfId="1" applyFont="1" applyBorder="1" applyAlignment="1" applyProtection="1">
      <alignment horizontal="left" vertical="center" wrapText="1"/>
    </xf>
    <xf numFmtId="0" fontId="3" fillId="0" borderId="0" xfId="1" applyFont="1" applyAlignment="1" applyProtection="1">
      <alignment wrapText="1"/>
    </xf>
    <xf numFmtId="0" fontId="9" fillId="0" borderId="60" xfId="1" applyFont="1" applyFill="1" applyBorder="1" applyAlignment="1" applyProtection="1">
      <alignment horizontal="distributed" vertical="center"/>
    </xf>
    <xf numFmtId="0" fontId="24" fillId="0" borderId="365" xfId="1" applyFont="1" applyBorder="1" applyAlignment="1" applyProtection="1">
      <alignment horizontal="center" vertical="center" shrinkToFit="1"/>
    </xf>
    <xf numFmtId="0" fontId="24" fillId="0" borderId="366" xfId="1" applyFont="1" applyBorder="1" applyAlignment="1" applyProtection="1">
      <alignment horizontal="center" vertical="center" shrinkToFit="1"/>
    </xf>
    <xf numFmtId="0" fontId="24" fillId="0" borderId="367" xfId="1" applyFont="1" applyBorder="1" applyAlignment="1" applyProtection="1">
      <alignment horizontal="center" vertical="center" shrinkToFit="1"/>
    </xf>
    <xf numFmtId="3" fontId="7" fillId="4" borderId="368" xfId="1" applyNumberFormat="1" applyFont="1" applyFill="1" applyBorder="1" applyAlignment="1" applyProtection="1">
      <alignment horizontal="right" vertical="center" shrinkToFit="1"/>
      <protection locked="0"/>
    </xf>
    <xf numFmtId="3" fontId="7" fillId="4" borderId="369" xfId="1" applyNumberFormat="1" applyFont="1" applyFill="1" applyBorder="1" applyAlignment="1" applyProtection="1">
      <alignment horizontal="right" vertical="center" shrinkToFit="1"/>
      <protection locked="0"/>
    </xf>
    <xf numFmtId="3" fontId="7" fillId="4" borderId="370" xfId="1" applyNumberFormat="1" applyFont="1" applyFill="1" applyBorder="1" applyAlignment="1" applyProtection="1">
      <alignment horizontal="right" vertical="center" shrinkToFit="1"/>
      <protection locked="0"/>
    </xf>
    <xf numFmtId="0" fontId="7" fillId="4" borderId="369" xfId="1" applyNumberFormat="1" applyFont="1" applyFill="1" applyBorder="1" applyAlignment="1" applyProtection="1">
      <alignment horizontal="center" vertical="center" shrinkToFit="1"/>
      <protection locked="0"/>
    </xf>
    <xf numFmtId="0" fontId="7" fillId="4" borderId="371" xfId="1" applyNumberFormat="1" applyFont="1" applyFill="1" applyBorder="1" applyAlignment="1" applyProtection="1">
      <alignment horizontal="center" vertical="center" shrinkToFit="1"/>
      <protection locked="0"/>
    </xf>
    <xf numFmtId="3" fontId="7" fillId="4" borderId="374" xfId="1" applyNumberFormat="1" applyFont="1" applyFill="1" applyBorder="1" applyAlignment="1" applyProtection="1">
      <alignment horizontal="right" vertical="center" shrinkToFit="1"/>
      <protection locked="0"/>
    </xf>
    <xf numFmtId="3" fontId="7" fillId="4" borderId="375" xfId="1" applyNumberFormat="1" applyFont="1" applyFill="1" applyBorder="1" applyAlignment="1" applyProtection="1">
      <alignment horizontal="right" vertical="center" shrinkToFit="1"/>
      <protection locked="0"/>
    </xf>
    <xf numFmtId="0" fontId="7" fillId="4" borderId="376" xfId="1" applyNumberFormat="1" applyFont="1" applyFill="1" applyBorder="1" applyAlignment="1" applyProtection="1">
      <alignment horizontal="center" vertical="center" shrinkToFit="1"/>
      <protection locked="0"/>
    </xf>
    <xf numFmtId="0" fontId="7" fillId="4" borderId="377" xfId="1" applyNumberFormat="1" applyFont="1" applyFill="1" applyBorder="1" applyAlignment="1" applyProtection="1">
      <alignment horizontal="center" vertical="center" shrinkToFit="1"/>
      <protection locked="0"/>
    </xf>
    <xf numFmtId="0" fontId="9" fillId="0" borderId="52" xfId="1" applyFont="1" applyBorder="1" applyAlignment="1" applyProtection="1">
      <alignment horizontal="center" vertical="center" justifyLastLine="1"/>
    </xf>
    <xf numFmtId="3" fontId="7" fillId="3" borderId="53" xfId="1" applyNumberFormat="1" applyFont="1" applyFill="1" applyBorder="1" applyAlignment="1" applyProtection="1">
      <alignment horizontal="right" vertical="center" shrinkToFit="1"/>
      <protection locked="0"/>
    </xf>
    <xf numFmtId="3" fontId="7" fillId="0" borderId="260" xfId="1" applyNumberFormat="1" applyFont="1" applyBorder="1" applyAlignment="1" applyProtection="1">
      <alignment horizontal="right" vertical="center" shrinkToFit="1"/>
      <protection locked="0"/>
    </xf>
    <xf numFmtId="3" fontId="7" fillId="0" borderId="372" xfId="1" applyNumberFormat="1" applyFont="1" applyBorder="1" applyAlignment="1" applyProtection="1">
      <alignment horizontal="right" vertical="center" shrinkToFit="1"/>
      <protection locked="0"/>
    </xf>
    <xf numFmtId="0" fontId="7" fillId="3" borderId="130" xfId="1" applyNumberFormat="1" applyFont="1" applyFill="1" applyBorder="1" applyAlignment="1" applyProtection="1">
      <alignment horizontal="center" vertical="center" shrinkToFit="1"/>
      <protection locked="0"/>
    </xf>
    <xf numFmtId="0" fontId="7" fillId="0" borderId="203" xfId="1" applyNumberFormat="1" applyFont="1" applyBorder="1" applyAlignment="1" applyProtection="1">
      <alignment horizontal="center" vertical="center" shrinkToFit="1"/>
      <protection locked="0"/>
    </xf>
    <xf numFmtId="0" fontId="7" fillId="0" borderId="373" xfId="1" applyNumberFormat="1" applyFont="1" applyBorder="1" applyAlignment="1" applyProtection="1">
      <alignment horizontal="center" vertical="center" shrinkToFit="1"/>
      <protection locked="0"/>
    </xf>
    <xf numFmtId="0" fontId="9" fillId="0" borderId="39" xfId="1" applyFont="1" applyBorder="1" applyAlignment="1" applyProtection="1">
      <alignment horizontal="center" vertical="center"/>
    </xf>
    <xf numFmtId="0" fontId="45" fillId="0" borderId="220" xfId="1" applyFont="1" applyBorder="1" applyAlignment="1" applyProtection="1">
      <alignment horizontal="center" vertical="center"/>
    </xf>
    <xf numFmtId="0" fontId="45" fillId="0" borderId="21" xfId="1" applyFont="1" applyBorder="1" applyAlignment="1" applyProtection="1">
      <alignment horizontal="center" vertical="center"/>
    </xf>
    <xf numFmtId="0" fontId="45" fillId="0" borderId="22" xfId="1" applyFont="1" applyBorder="1" applyAlignment="1" applyProtection="1">
      <alignment horizontal="center" vertical="center"/>
    </xf>
    <xf numFmtId="3" fontId="7" fillId="4" borderId="378" xfId="1" applyNumberFormat="1" applyFont="1" applyFill="1" applyBorder="1" applyAlignment="1" applyProtection="1">
      <alignment horizontal="right" vertical="center" shrinkToFit="1"/>
      <protection locked="0"/>
    </xf>
    <xf numFmtId="3" fontId="7" fillId="4" borderId="14" xfId="1" applyNumberFormat="1" applyFont="1" applyFill="1" applyBorder="1" applyAlignment="1" applyProtection="1">
      <alignment horizontal="right" vertical="center" shrinkToFit="1"/>
      <protection locked="0"/>
    </xf>
    <xf numFmtId="0" fontId="7" fillId="4" borderId="14" xfId="1" applyNumberFormat="1" applyFont="1" applyFill="1" applyBorder="1" applyAlignment="1" applyProtection="1">
      <alignment horizontal="center" vertical="center" shrinkToFit="1"/>
      <protection locked="0"/>
    </xf>
    <xf numFmtId="0" fontId="7" fillId="4" borderId="379" xfId="1" applyNumberFormat="1" applyFont="1" applyFill="1" applyBorder="1" applyAlignment="1" applyProtection="1">
      <alignment horizontal="center" vertical="center" shrinkToFit="1"/>
      <protection locked="0"/>
    </xf>
    <xf numFmtId="3" fontId="7" fillId="4" borderId="380" xfId="1" applyNumberFormat="1" applyFont="1" applyFill="1" applyBorder="1" applyAlignment="1" applyProtection="1">
      <alignment horizontal="right" vertical="center" shrinkToFit="1"/>
      <protection locked="0"/>
    </xf>
    <xf numFmtId="3" fontId="7" fillId="4" borderId="381" xfId="1" applyNumberFormat="1" applyFont="1" applyFill="1" applyBorder="1" applyAlignment="1" applyProtection="1">
      <alignment horizontal="right" vertical="center" shrinkToFit="1"/>
      <protection locked="0"/>
    </xf>
    <xf numFmtId="0" fontId="7" fillId="4" borderId="381" xfId="1" applyNumberFormat="1" applyFont="1" applyFill="1" applyBorder="1" applyAlignment="1" applyProtection="1">
      <alignment horizontal="center" vertical="center" shrinkToFit="1"/>
      <protection locked="0"/>
    </xf>
    <xf numFmtId="0" fontId="7" fillId="4" borderId="382" xfId="1" applyNumberFormat="1" applyFont="1" applyFill="1" applyBorder="1" applyAlignment="1" applyProtection="1">
      <alignment horizontal="center" vertical="center" shrinkToFit="1"/>
      <protection locked="0"/>
    </xf>
    <xf numFmtId="0" fontId="9" fillId="0" borderId="2" xfId="1" applyFont="1" applyBorder="1" applyAlignment="1" applyProtection="1">
      <alignment horizontal="distributed" vertical="center" wrapText="1"/>
    </xf>
    <xf numFmtId="0" fontId="9" fillId="0" borderId="3" xfId="1" applyFont="1" applyBorder="1" applyAlignment="1" applyProtection="1">
      <alignment horizontal="distributed" vertical="center" wrapText="1"/>
    </xf>
    <xf numFmtId="3" fontId="7" fillId="4" borderId="387" xfId="1" applyNumberFormat="1" applyFont="1" applyFill="1" applyBorder="1" applyAlignment="1" applyProtection="1">
      <alignment horizontal="right" vertical="center" shrinkToFit="1"/>
      <protection locked="0"/>
    </xf>
    <xf numFmtId="3" fontId="7" fillId="4" borderId="388" xfId="1" applyNumberFormat="1" applyFont="1" applyFill="1" applyBorder="1" applyAlignment="1" applyProtection="1">
      <alignment horizontal="right" vertical="center" shrinkToFit="1"/>
      <protection locked="0"/>
    </xf>
    <xf numFmtId="0" fontId="7" fillId="4" borderId="388" xfId="1" applyNumberFormat="1" applyFont="1" applyFill="1" applyBorder="1" applyAlignment="1" applyProtection="1">
      <alignment horizontal="center" vertical="center" shrinkToFit="1"/>
      <protection locked="0"/>
    </xf>
    <xf numFmtId="0" fontId="7" fillId="4" borderId="389" xfId="1" applyNumberFormat="1" applyFont="1" applyFill="1" applyBorder="1" applyAlignment="1" applyProtection="1">
      <alignment horizontal="center" vertical="center" shrinkToFit="1"/>
      <protection locked="0"/>
    </xf>
    <xf numFmtId="0" fontId="9" fillId="0" borderId="60" xfId="1" applyFont="1" applyFill="1" applyBorder="1" applyAlignment="1" applyProtection="1">
      <alignment horizontal="distributed" vertical="center" justifyLastLine="1"/>
    </xf>
    <xf numFmtId="3" fontId="7" fillId="4" borderId="257" xfId="1" applyNumberFormat="1" applyFont="1" applyFill="1" applyBorder="1" applyAlignment="1" applyProtection="1">
      <alignment horizontal="right" vertical="center" shrinkToFit="1"/>
      <protection locked="0"/>
    </xf>
    <xf numFmtId="3" fontId="7" fillId="4" borderId="383" xfId="1" applyNumberFormat="1" applyFont="1" applyFill="1" applyBorder="1" applyAlignment="1" applyProtection="1">
      <alignment horizontal="right" vertical="center" shrinkToFit="1"/>
      <protection locked="0"/>
    </xf>
    <xf numFmtId="0" fontId="7" fillId="4" borderId="383" xfId="1" applyNumberFormat="1" applyFont="1" applyFill="1" applyBorder="1" applyAlignment="1" applyProtection="1">
      <alignment horizontal="center" vertical="center" shrinkToFit="1"/>
      <protection locked="0"/>
    </xf>
    <xf numFmtId="0" fontId="7" fillId="4" borderId="384" xfId="1" applyNumberFormat="1" applyFont="1" applyFill="1" applyBorder="1" applyAlignment="1" applyProtection="1">
      <alignment horizontal="center" vertical="center" shrinkToFit="1"/>
      <protection locked="0"/>
    </xf>
    <xf numFmtId="0" fontId="36" fillId="0" borderId="0" xfId="1" applyFont="1" applyBorder="1" applyAlignment="1" applyProtection="1">
      <alignment horizontal="left" wrapText="1"/>
    </xf>
    <xf numFmtId="0" fontId="9" fillId="0" borderId="39" xfId="1" applyFont="1" applyBorder="1" applyAlignment="1" applyProtection="1">
      <alignment horizontal="center" vertical="center" justifyLastLine="1"/>
    </xf>
    <xf numFmtId="0" fontId="9" fillId="0" borderId="0" xfId="1" applyFont="1" applyBorder="1" applyAlignment="1" applyProtection="1">
      <alignment horizontal="center" vertical="center" justifyLastLine="1"/>
    </xf>
    <xf numFmtId="3" fontId="7" fillId="3" borderId="70" xfId="1" applyNumberFormat="1" applyFont="1" applyFill="1" applyBorder="1" applyAlignment="1" applyProtection="1">
      <alignment horizontal="right" vertical="center" shrinkToFit="1"/>
      <protection locked="0"/>
    </xf>
    <xf numFmtId="3" fontId="7" fillId="0" borderId="192" xfId="1" applyNumberFormat="1" applyFont="1" applyBorder="1" applyAlignment="1" applyProtection="1">
      <alignment horizontal="right" vertical="center" shrinkToFit="1"/>
      <protection locked="0"/>
    </xf>
    <xf numFmtId="3" fontId="7" fillId="0" borderId="385" xfId="1" applyNumberFormat="1" applyFont="1" applyBorder="1" applyAlignment="1" applyProtection="1">
      <alignment horizontal="right" vertical="center" shrinkToFit="1"/>
      <protection locked="0"/>
    </xf>
    <xf numFmtId="0" fontId="7" fillId="3" borderId="386" xfId="1" applyNumberFormat="1" applyFont="1" applyFill="1" applyBorder="1" applyAlignment="1" applyProtection="1">
      <alignment horizontal="center" vertical="center" shrinkToFit="1"/>
      <protection locked="0"/>
    </xf>
    <xf numFmtId="0" fontId="7" fillId="0" borderId="385" xfId="1" applyNumberFormat="1" applyFont="1" applyBorder="1" applyAlignment="1" applyProtection="1">
      <alignment horizontal="center" vertical="center" shrinkToFit="1"/>
      <protection locked="0"/>
    </xf>
    <xf numFmtId="0" fontId="9" fillId="0" borderId="28" xfId="1" applyFont="1" applyBorder="1" applyAlignment="1" applyProtection="1">
      <alignment horizontal="center" vertical="center" justifyLastLine="1"/>
    </xf>
    <xf numFmtId="0" fontId="45" fillId="0" borderId="98" xfId="1" applyFont="1" applyBorder="1" applyAlignment="1" applyProtection="1">
      <alignment horizontal="center" vertical="center" wrapText="1"/>
    </xf>
    <xf numFmtId="0" fontId="45" fillId="0" borderId="119" xfId="1" applyFont="1" applyBorder="1" applyAlignment="1" applyProtection="1">
      <alignment horizontal="center" vertical="center" wrapText="1"/>
    </xf>
    <xf numFmtId="0" fontId="45" fillId="0" borderId="157" xfId="1" applyFont="1" applyBorder="1" applyAlignment="1" applyProtection="1">
      <alignment horizontal="center" vertical="center" wrapText="1"/>
    </xf>
    <xf numFmtId="0" fontId="65" fillId="0" borderId="25" xfId="1" applyFont="1" applyBorder="1" applyAlignment="1" applyProtection="1">
      <alignment horizontal="center" vertical="center" justifyLastLine="1"/>
    </xf>
    <xf numFmtId="0" fontId="65" fillId="0" borderId="0" xfId="1" applyFont="1" applyBorder="1" applyAlignment="1" applyProtection="1">
      <alignment horizontal="center" vertical="center" justifyLastLine="1"/>
    </xf>
    <xf numFmtId="0" fontId="65" fillId="0" borderId="26" xfId="1" applyFont="1" applyBorder="1" applyAlignment="1" applyProtection="1">
      <alignment horizontal="center" vertical="center" justifyLastLine="1"/>
    </xf>
    <xf numFmtId="0" fontId="65" fillId="0" borderId="27" xfId="1" applyFont="1" applyBorder="1" applyAlignment="1" applyProtection="1">
      <alignment horizontal="center" vertical="center" justifyLastLine="1"/>
    </xf>
    <xf numFmtId="0" fontId="65" fillId="0" borderId="28" xfId="1" applyFont="1" applyBorder="1" applyAlignment="1" applyProtection="1">
      <alignment horizontal="center" vertical="center" justifyLastLine="1"/>
    </xf>
    <xf numFmtId="0" fontId="65" fillId="0" borderId="29" xfId="1" applyFont="1" applyBorder="1" applyAlignment="1" applyProtection="1">
      <alignment horizontal="center" vertical="center" justifyLastLine="1"/>
    </xf>
    <xf numFmtId="0" fontId="9" fillId="0" borderId="4" xfId="1" applyFont="1" applyBorder="1" applyAlignment="1" applyProtection="1">
      <alignment horizontal="center" vertical="center" justifyLastLine="1"/>
    </xf>
    <xf numFmtId="0" fontId="9" fillId="0" borderId="6" xfId="1" applyFont="1" applyBorder="1" applyAlignment="1" applyProtection="1">
      <alignment horizontal="center" vertical="center" justifyLastLine="1"/>
    </xf>
    <xf numFmtId="0" fontId="9" fillId="0" borderId="67" xfId="1" applyFont="1" applyBorder="1" applyAlignment="1" applyProtection="1">
      <alignment horizontal="distributed" vertical="center" indent="1"/>
    </xf>
    <xf numFmtId="0" fontId="9" fillId="0" borderId="68" xfId="1" applyFont="1" applyBorder="1" applyAlignment="1" applyProtection="1">
      <alignment horizontal="distributed" vertical="center" indent="1"/>
    </xf>
    <xf numFmtId="0" fontId="65" fillId="0" borderId="3" xfId="1" applyFont="1" applyFill="1" applyBorder="1" applyAlignment="1" applyProtection="1">
      <alignment horizontal="center" vertical="center"/>
    </xf>
    <xf numFmtId="0" fontId="9" fillId="0" borderId="125" xfId="1" applyFont="1" applyBorder="1" applyAlignment="1" applyProtection="1">
      <alignment horizontal="distributed" vertical="center" indent="1"/>
    </xf>
    <xf numFmtId="0" fontId="9" fillId="0" borderId="28" xfId="1" applyFont="1" applyBorder="1" applyAlignment="1" applyProtection="1">
      <alignment horizontal="distributed" vertical="center" indent="1"/>
    </xf>
    <xf numFmtId="0" fontId="9" fillId="0" borderId="391" xfId="1" applyFont="1" applyBorder="1" applyAlignment="1" applyProtection="1">
      <alignment horizontal="distributed" vertical="center" indent="1"/>
    </xf>
    <xf numFmtId="0" fontId="9" fillId="0" borderId="55" xfId="1" applyFont="1" applyBorder="1" applyAlignment="1" applyProtection="1">
      <alignment horizontal="distributed" vertical="center" indent="1"/>
    </xf>
    <xf numFmtId="0" fontId="9" fillId="0" borderId="2" xfId="1" applyFont="1" applyBorder="1" applyAlignment="1" applyProtection="1">
      <alignment horizontal="distributed" vertical="center" indent="1" shrinkToFit="1"/>
    </xf>
    <xf numFmtId="0" fontId="9" fillId="0" borderId="3" xfId="1" applyFont="1" applyBorder="1" applyAlignment="1" applyProtection="1">
      <alignment horizontal="distributed" vertical="center" indent="1" shrinkToFit="1"/>
    </xf>
    <xf numFmtId="0" fontId="9" fillId="0" borderId="59" xfId="1" applyFont="1" applyBorder="1" applyAlignment="1" applyProtection="1">
      <alignment horizontal="distributed" vertical="center" indent="1"/>
    </xf>
    <xf numFmtId="0" fontId="9" fillId="0" borderId="60" xfId="1" applyFont="1" applyBorder="1" applyAlignment="1" applyProtection="1">
      <alignment horizontal="distributed" vertical="center" indent="1"/>
    </xf>
    <xf numFmtId="0" fontId="45" fillId="0" borderId="2" xfId="1" applyFont="1" applyFill="1" applyBorder="1" applyAlignment="1" applyProtection="1">
      <alignment horizontal="center" vertical="center" wrapText="1"/>
    </xf>
    <xf numFmtId="0" fontId="45" fillId="0" borderId="3" xfId="1" applyFont="1" applyFill="1" applyBorder="1" applyAlignment="1" applyProtection="1">
      <alignment horizontal="center" vertical="center" wrapText="1"/>
    </xf>
    <xf numFmtId="0" fontId="45" fillId="0" borderId="4" xfId="1" applyFont="1" applyFill="1" applyBorder="1" applyAlignment="1" applyProtection="1">
      <alignment horizontal="center" vertical="center"/>
    </xf>
    <xf numFmtId="0" fontId="9" fillId="0" borderId="17" xfId="1" applyFont="1" applyBorder="1" applyAlignment="1" applyProtection="1">
      <alignment horizontal="distributed" vertical="center" wrapText="1"/>
    </xf>
    <xf numFmtId="0" fontId="9" fillId="0" borderId="39" xfId="1" applyFont="1" applyBorder="1" applyAlignment="1" applyProtection="1">
      <alignment horizontal="distributed" vertical="center" wrapText="1"/>
    </xf>
    <xf numFmtId="0" fontId="9" fillId="0" borderId="396" xfId="1" applyFont="1" applyBorder="1" applyAlignment="1" applyProtection="1">
      <alignment horizontal="distributed" vertical="center" wrapText="1"/>
    </xf>
    <xf numFmtId="0" fontId="45" fillId="0" borderId="129" xfId="1" applyFont="1" applyBorder="1" applyAlignment="1" applyProtection="1">
      <alignment horizontal="center" vertical="center" wrapText="1"/>
    </xf>
    <xf numFmtId="0" fontId="65" fillId="0" borderId="0" xfId="1" applyFont="1" applyFill="1" applyBorder="1" applyAlignment="1" applyProtection="1">
      <alignment horizontal="center" vertical="center" justifyLastLine="1"/>
    </xf>
    <xf numFmtId="0" fontId="9" fillId="0" borderId="17" xfId="1" applyFont="1" applyBorder="1" applyAlignment="1" applyProtection="1">
      <alignment horizontal="distributed" vertical="center" indent="1" shrinkToFit="1"/>
    </xf>
    <xf numFmtId="0" fontId="9" fillId="0" borderId="18" xfId="1" applyFont="1" applyBorder="1" applyAlignment="1" applyProtection="1">
      <alignment horizontal="distributed" vertical="center" indent="1" shrinkToFit="1"/>
    </xf>
    <xf numFmtId="0" fontId="9" fillId="0" borderId="52" xfId="1" applyFont="1" applyBorder="1" applyAlignment="1" applyProtection="1">
      <alignment horizontal="distributed" vertical="center" indent="1" shrinkToFit="1"/>
    </xf>
    <xf numFmtId="0" fontId="3" fillId="0" borderId="113" xfId="1" applyFont="1" applyFill="1" applyBorder="1" applyAlignment="1" applyProtection="1">
      <alignment horizontal="distributed" vertical="center" indent="1"/>
    </xf>
    <xf numFmtId="0" fontId="3" fillId="0" borderId="60" xfId="1" applyFont="1" applyFill="1" applyBorder="1" applyAlignment="1" applyProtection="1">
      <alignment horizontal="distributed" vertical="center" indent="1"/>
    </xf>
    <xf numFmtId="0" fontId="9" fillId="0" borderId="17" xfId="1" applyFont="1" applyBorder="1" applyAlignment="1" applyProtection="1">
      <alignment horizontal="distributed" vertical="center" wrapText="1" indent="1"/>
    </xf>
    <xf numFmtId="0" fontId="9" fillId="0" borderId="18" xfId="1" applyFont="1" applyBorder="1" applyAlignment="1" applyProtection="1">
      <alignment horizontal="distributed" vertical="center" wrapText="1" indent="1"/>
    </xf>
    <xf numFmtId="0" fontId="9" fillId="0" borderId="19" xfId="1" applyFont="1" applyBorder="1" applyAlignment="1" applyProtection="1">
      <alignment horizontal="distributed" vertical="center" wrapText="1" indent="1"/>
    </xf>
    <xf numFmtId="0" fontId="9" fillId="0" borderId="39" xfId="1" applyFont="1" applyBorder="1" applyAlignment="1" applyProtection="1">
      <alignment horizontal="distributed" vertical="center" wrapText="1" indent="1"/>
    </xf>
    <xf numFmtId="0" fontId="9" fillId="0" borderId="0" xfId="1" applyFont="1" applyBorder="1" applyAlignment="1" applyProtection="1">
      <alignment horizontal="distributed" vertical="center" wrapText="1" indent="1"/>
    </xf>
    <xf numFmtId="0" fontId="9" fillId="0" borderId="84" xfId="1" applyFont="1" applyBorder="1" applyAlignment="1" applyProtection="1">
      <alignment horizontal="distributed" vertical="center" wrapText="1" indent="1"/>
    </xf>
    <xf numFmtId="0" fontId="9" fillId="0" borderId="20" xfId="1" applyFont="1" applyBorder="1" applyAlignment="1" applyProtection="1">
      <alignment horizontal="distributed" vertical="center" wrapText="1" indent="1"/>
    </xf>
    <xf numFmtId="0" fontId="9" fillId="0" borderId="21" xfId="1" applyFont="1" applyBorder="1" applyAlignment="1" applyProtection="1">
      <alignment horizontal="distributed" vertical="center" wrapText="1" indent="1"/>
    </xf>
    <xf numFmtId="0" fontId="9" fillId="0" borderId="22" xfId="1" applyFont="1" applyBorder="1" applyAlignment="1" applyProtection="1">
      <alignment horizontal="distributed" vertical="center" wrapText="1" indent="1"/>
    </xf>
    <xf numFmtId="0" fontId="9" fillId="0" borderId="30" xfId="1" applyFont="1" applyBorder="1" applyAlignment="1" applyProtection="1">
      <alignment horizontal="center" vertical="center" wrapText="1" justifyLastLine="1"/>
    </xf>
    <xf numFmtId="0" fontId="9" fillId="0" borderId="25" xfId="1" applyFont="1" applyBorder="1" applyAlignment="1" applyProtection="1">
      <alignment horizontal="center" vertical="center" wrapText="1" justifyLastLine="1"/>
    </xf>
    <xf numFmtId="0" fontId="9" fillId="0" borderId="220" xfId="1" applyFont="1" applyBorder="1" applyAlignment="1" applyProtection="1">
      <alignment horizontal="center" vertical="center" wrapText="1" justifyLastLine="1"/>
    </xf>
    <xf numFmtId="0" fontId="45" fillId="0" borderId="401" xfId="1" applyFont="1" applyBorder="1" applyAlignment="1" applyProtection="1">
      <alignment horizontal="center" vertical="center" wrapText="1"/>
    </xf>
    <xf numFmtId="0" fontId="65" fillId="0" borderId="16" xfId="1" applyFont="1" applyFill="1" applyBorder="1" applyAlignment="1" applyProtection="1">
      <alignment horizontal="center" vertical="center" wrapText="1"/>
    </xf>
    <xf numFmtId="0" fontId="65" fillId="0" borderId="23" xfId="1" applyFont="1" applyFill="1" applyBorder="1" applyAlignment="1" applyProtection="1">
      <alignment horizontal="center" vertical="center" wrapText="1"/>
    </xf>
    <xf numFmtId="0" fontId="65" fillId="0" borderId="24" xfId="1" applyFont="1" applyFill="1" applyBorder="1" applyAlignment="1" applyProtection="1">
      <alignment horizontal="center" vertical="center" wrapText="1"/>
    </xf>
    <xf numFmtId="0" fontId="65" fillId="0" borderId="27" xfId="1" applyFont="1" applyFill="1" applyBorder="1" applyAlignment="1" applyProtection="1">
      <alignment horizontal="center" vertical="center" wrapText="1"/>
    </xf>
    <xf numFmtId="0" fontId="65" fillId="0" borderId="28" xfId="1" applyFont="1" applyFill="1" applyBorder="1" applyAlignment="1" applyProtection="1">
      <alignment horizontal="center" vertical="center" wrapText="1"/>
    </xf>
    <xf numFmtId="0" fontId="65" fillId="0" borderId="29" xfId="1" applyFont="1" applyFill="1" applyBorder="1" applyAlignment="1" applyProtection="1">
      <alignment horizontal="center" vertical="center" wrapText="1"/>
    </xf>
    <xf numFmtId="0" fontId="9" fillId="0" borderId="16" xfId="1" applyFont="1" applyFill="1" applyBorder="1" applyAlignment="1" applyProtection="1">
      <alignment horizontal="center" vertical="distributed" textRotation="255" justifyLastLine="1"/>
    </xf>
    <xf numFmtId="0" fontId="9" fillId="0" borderId="5" xfId="1" applyFont="1" applyFill="1" applyBorder="1" applyAlignment="1" applyProtection="1">
      <alignment horizontal="center" vertical="distributed" textRotation="255" justifyLastLine="1"/>
    </xf>
    <xf numFmtId="0" fontId="9" fillId="0" borderId="106" xfId="1" applyFont="1" applyFill="1" applyBorder="1" applyAlignment="1" applyProtection="1">
      <alignment horizontal="center" vertical="distributed" textRotation="255" justifyLastLine="1"/>
    </xf>
    <xf numFmtId="0" fontId="9" fillId="0" borderId="113" xfId="1" applyFont="1" applyFill="1" applyBorder="1" applyAlignment="1" applyProtection="1">
      <alignment horizontal="distributed" vertical="center" indent="1"/>
    </xf>
    <xf numFmtId="0" fontId="9" fillId="0" borderId="60" xfId="1" applyFont="1" applyFill="1" applyBorder="1" applyAlignment="1" applyProtection="1">
      <alignment horizontal="distributed" vertical="center" indent="1"/>
    </xf>
    <xf numFmtId="0" fontId="9" fillId="0" borderId="1" xfId="1" applyFont="1" applyFill="1" applyBorder="1" applyAlignment="1" applyProtection="1">
      <alignment horizontal="center" vertical="center" wrapText="1" justifyLastLine="1"/>
    </xf>
    <xf numFmtId="0" fontId="9" fillId="0" borderId="106" xfId="1" applyFont="1" applyFill="1" applyBorder="1" applyAlignment="1" applyProtection="1">
      <alignment horizontal="center" vertical="center" wrapText="1" justifyLastLine="1"/>
    </xf>
    <xf numFmtId="0" fontId="65" fillId="0" borderId="1" xfId="1" applyFont="1" applyFill="1" applyBorder="1" applyAlignment="1" applyProtection="1">
      <alignment horizontal="center" vertical="center" wrapText="1" justifyLastLine="1"/>
    </xf>
    <xf numFmtId="0" fontId="65" fillId="0" borderId="106" xfId="1" applyFont="1" applyFill="1" applyBorder="1" applyAlignment="1" applyProtection="1">
      <alignment horizontal="center" vertical="center" wrapText="1" justifyLastLine="1"/>
    </xf>
    <xf numFmtId="0" fontId="9" fillId="0" borderId="17" xfId="1" applyFont="1" applyBorder="1" applyAlignment="1" applyProtection="1">
      <alignment horizontal="center" vertical="center" wrapText="1"/>
    </xf>
    <xf numFmtId="0" fontId="9" fillId="0" borderId="68" xfId="1" applyFont="1" applyBorder="1" applyAlignment="1" applyProtection="1">
      <alignment horizontal="center" vertical="center" wrapText="1"/>
    </xf>
    <xf numFmtId="0" fontId="9" fillId="0" borderId="402" xfId="1" applyFont="1" applyBorder="1" applyAlignment="1" applyProtection="1">
      <alignment horizontal="center" vertical="center" wrapText="1"/>
    </xf>
    <xf numFmtId="0" fontId="9" fillId="0" borderId="25" xfId="1" applyFont="1" applyFill="1" applyBorder="1" applyAlignment="1" applyProtection="1">
      <alignment horizontal="center" vertical="distributed" textRotation="255" justifyLastLine="1"/>
    </xf>
    <xf numFmtId="3" fontId="7" fillId="0" borderId="404" xfId="1" applyNumberFormat="1" applyFont="1" applyFill="1" applyBorder="1" applyAlignment="1" applyProtection="1">
      <alignment horizontal="right" vertical="center" shrinkToFit="1"/>
    </xf>
    <xf numFmtId="0" fontId="3" fillId="0" borderId="405" xfId="1" applyFill="1" applyBorder="1" applyAlignment="1" applyProtection="1">
      <alignment vertical="center"/>
    </xf>
    <xf numFmtId="0" fontId="3" fillId="0" borderId="406" xfId="1" applyFill="1" applyBorder="1" applyAlignment="1" applyProtection="1">
      <alignment vertical="center"/>
    </xf>
    <xf numFmtId="0" fontId="65" fillId="0" borderId="2" xfId="1" applyFont="1" applyBorder="1" applyAlignment="1" applyProtection="1">
      <alignment horizontal="center" vertical="center" shrinkToFit="1"/>
    </xf>
    <xf numFmtId="0" fontId="65" fillId="0" borderId="3" xfId="1" applyFont="1" applyBorder="1" applyAlignment="1" applyProtection="1">
      <alignment horizontal="center" vertical="center" shrinkToFit="1"/>
    </xf>
    <xf numFmtId="0" fontId="65" fillId="0" borderId="4" xfId="1" applyFont="1" applyBorder="1" applyAlignment="1" applyProtection="1">
      <alignment horizontal="center" vertical="center" shrinkToFit="1"/>
    </xf>
    <xf numFmtId="0" fontId="65" fillId="0" borderId="16" xfId="1" applyFont="1" applyFill="1" applyBorder="1" applyAlignment="1" applyProtection="1">
      <alignment horizontal="center" vertical="center"/>
    </xf>
    <xf numFmtId="0" fontId="65" fillId="0" borderId="23" xfId="1" applyFont="1" applyFill="1" applyBorder="1" applyAlignment="1" applyProtection="1">
      <alignment horizontal="center" vertical="center"/>
    </xf>
    <xf numFmtId="0" fontId="65" fillId="0" borderId="24" xfId="1" applyFont="1" applyFill="1" applyBorder="1" applyAlignment="1" applyProtection="1">
      <alignment horizontal="center" vertical="center"/>
    </xf>
    <xf numFmtId="0" fontId="65" fillId="0" borderId="27" xfId="1" applyFont="1" applyFill="1" applyBorder="1" applyAlignment="1" applyProtection="1">
      <alignment horizontal="center" vertical="center"/>
    </xf>
    <xf numFmtId="0" fontId="65" fillId="0" borderId="28" xfId="1" applyFont="1" applyFill="1" applyBorder="1" applyAlignment="1" applyProtection="1">
      <alignment horizontal="center" vertical="center"/>
    </xf>
    <xf numFmtId="0" fontId="65" fillId="0" borderId="29" xfId="1" applyFont="1" applyFill="1" applyBorder="1" applyAlignment="1" applyProtection="1">
      <alignment horizontal="center" vertical="center"/>
    </xf>
    <xf numFmtId="0" fontId="9" fillId="0" borderId="17" xfId="4" applyFont="1" applyFill="1" applyBorder="1" applyAlignment="1" applyProtection="1">
      <alignment horizontal="distributed" vertical="center"/>
    </xf>
    <xf numFmtId="0" fontId="9" fillId="0" borderId="39" xfId="4" applyFont="1" applyFill="1" applyBorder="1" applyAlignment="1" applyProtection="1">
      <alignment horizontal="distributed" vertical="center"/>
    </xf>
    <xf numFmtId="0" fontId="9" fillId="0" borderId="20" xfId="4" applyFont="1" applyFill="1" applyBorder="1" applyAlignment="1" applyProtection="1">
      <alignment horizontal="distributed" vertical="center"/>
    </xf>
    <xf numFmtId="0" fontId="9" fillId="0" borderId="50" xfId="1" applyFont="1" applyFill="1" applyBorder="1" applyAlignment="1" applyProtection="1">
      <alignment horizontal="center" vertical="center" wrapText="1"/>
    </xf>
    <xf numFmtId="0" fontId="9" fillId="0" borderId="144" xfId="1" applyFont="1" applyFill="1" applyBorder="1" applyAlignment="1" applyProtection="1">
      <alignment horizontal="center" vertical="center" wrapText="1"/>
    </xf>
    <xf numFmtId="0" fontId="9" fillId="0" borderId="401" xfId="1" applyFont="1" applyFill="1" applyBorder="1" applyAlignment="1" applyProtection="1">
      <alignment horizontal="center" vertical="center" wrapText="1"/>
    </xf>
    <xf numFmtId="0" fontId="9" fillId="0" borderId="31" xfId="4" applyFont="1" applyFill="1" applyBorder="1" applyAlignment="1" applyProtection="1">
      <alignment horizontal="center" vertical="distributed" textRotation="255" justifyLastLine="1"/>
    </xf>
    <xf numFmtId="0" fontId="9" fillId="0" borderId="26" xfId="4" applyFont="1" applyFill="1" applyBorder="1" applyAlignment="1" applyProtection="1">
      <alignment horizontal="center" vertical="distributed" textRotation="255" justifyLastLine="1"/>
    </xf>
    <xf numFmtId="0" fontId="9" fillId="0" borderId="35" xfId="4" applyFont="1" applyFill="1" applyBorder="1" applyAlignment="1" applyProtection="1">
      <alignment horizontal="center" vertical="distributed" textRotation="255" justifyLastLine="1"/>
    </xf>
    <xf numFmtId="0" fontId="9" fillId="0" borderId="64" xfId="4" applyFont="1" applyFill="1" applyBorder="1" applyAlignment="1" applyProtection="1">
      <alignment horizontal="center" vertical="distributed" textRotation="255" justifyLastLine="1"/>
    </xf>
    <xf numFmtId="0" fontId="9" fillId="0" borderId="5" xfId="4" applyFont="1" applyFill="1" applyBorder="1" applyAlignment="1" applyProtection="1">
      <alignment horizontal="center" vertical="distributed" textRotation="255" justifyLastLine="1"/>
    </xf>
    <xf numFmtId="0" fontId="9" fillId="0" borderId="66" xfId="4" applyFont="1" applyFill="1" applyBorder="1" applyAlignment="1" applyProtection="1">
      <alignment horizontal="center" vertical="distributed" textRotation="255" justifyLastLine="1"/>
    </xf>
    <xf numFmtId="0" fontId="9" fillId="0" borderId="30" xfId="4" applyFont="1" applyFill="1" applyBorder="1" applyAlignment="1" applyProtection="1">
      <alignment horizontal="distributed" vertical="center" wrapText="1" justifyLastLine="1"/>
    </xf>
    <xf numFmtId="0" fontId="9" fillId="0" borderId="31" xfId="4" applyFont="1" applyFill="1" applyBorder="1" applyAlignment="1" applyProtection="1">
      <alignment horizontal="distributed" vertical="center" justifyLastLine="1"/>
    </xf>
    <xf numFmtId="0" fontId="9" fillId="0" borderId="25" xfId="4" applyFont="1" applyFill="1" applyBorder="1" applyAlignment="1" applyProtection="1">
      <alignment horizontal="distributed" vertical="center" justifyLastLine="1"/>
    </xf>
    <xf numFmtId="0" fontId="9" fillId="0" borderId="26" xfId="4" applyFont="1" applyFill="1" applyBorder="1" applyAlignment="1" applyProtection="1">
      <alignment horizontal="distributed" vertical="center" justifyLastLine="1"/>
    </xf>
    <xf numFmtId="0" fontId="9" fillId="0" borderId="30" xfId="4" applyFont="1" applyFill="1" applyBorder="1" applyAlignment="1" applyProtection="1">
      <alignment horizontal="center" vertical="center" textRotation="255" wrapText="1"/>
    </xf>
    <xf numFmtId="0" fontId="9" fillId="0" borderId="25" xfId="4" applyFont="1" applyFill="1" applyBorder="1" applyAlignment="1" applyProtection="1">
      <alignment horizontal="center" vertical="center" textRotation="255" wrapText="1"/>
    </xf>
    <xf numFmtId="0" fontId="9" fillId="0" borderId="34" xfId="4" applyFont="1" applyFill="1" applyBorder="1" applyAlignment="1" applyProtection="1">
      <alignment horizontal="center" vertical="center" textRotation="255" wrapText="1"/>
    </xf>
    <xf numFmtId="0" fontId="9" fillId="0" borderId="30" xfId="4" applyFont="1" applyFill="1" applyBorder="1" applyAlignment="1" applyProtection="1">
      <alignment horizontal="center" vertical="center" wrapText="1" justifyLastLine="1"/>
    </xf>
    <xf numFmtId="0" fontId="9" fillId="0" borderId="18" xfId="4" applyFont="1" applyFill="1" applyBorder="1" applyAlignment="1" applyProtection="1">
      <alignment horizontal="center" vertical="center" wrapText="1" justifyLastLine="1"/>
    </xf>
    <xf numFmtId="0" fontId="9" fillId="0" borderId="27" xfId="4" applyFont="1" applyFill="1" applyBorder="1" applyAlignment="1" applyProtection="1">
      <alignment horizontal="center" vertical="center" wrapText="1" justifyLastLine="1"/>
    </xf>
    <xf numFmtId="0" fontId="9" fillId="0" borderId="28" xfId="4" applyFont="1" applyFill="1" applyBorder="1" applyAlignment="1" applyProtection="1">
      <alignment horizontal="center" vertical="center" wrapText="1" justifyLastLine="1"/>
    </xf>
    <xf numFmtId="0" fontId="9" fillId="0" borderId="30" xfId="4" applyFont="1" applyFill="1" applyBorder="1" applyAlignment="1" applyProtection="1">
      <alignment horizontal="distributed" vertical="center" wrapText="1" indent="1"/>
    </xf>
    <xf numFmtId="0" fontId="9" fillId="0" borderId="25" xfId="4" applyFont="1" applyFill="1" applyBorder="1" applyAlignment="1" applyProtection="1">
      <alignment horizontal="distributed" vertical="center" wrapText="1" indent="1"/>
    </xf>
    <xf numFmtId="0" fontId="9" fillId="0" borderId="30" xfId="4" applyFont="1" applyFill="1" applyBorder="1" applyAlignment="1" applyProtection="1">
      <alignment horizontal="distributed" vertical="center" wrapText="1" indent="1" shrinkToFit="1"/>
    </xf>
    <xf numFmtId="0" fontId="9" fillId="0" borderId="25" xfId="4" applyFont="1" applyFill="1" applyBorder="1" applyAlignment="1" applyProtection="1">
      <alignment horizontal="distributed" vertical="center" wrapText="1" indent="1" shrinkToFit="1"/>
    </xf>
    <xf numFmtId="0" fontId="93" fillId="0" borderId="1" xfId="4" applyFont="1" applyFill="1" applyBorder="1" applyAlignment="1" applyProtection="1">
      <alignment horizontal="center" vertical="center" wrapText="1"/>
    </xf>
    <xf numFmtId="0" fontId="93" fillId="0" borderId="5" xfId="4" applyFont="1" applyFill="1" applyBorder="1" applyAlignment="1" applyProtection="1">
      <alignment horizontal="center" vertical="center" wrapText="1"/>
    </xf>
    <xf numFmtId="0" fontId="93" fillId="0" borderId="7" xfId="4" applyFont="1" applyFill="1" applyBorder="1" applyAlignment="1" applyProtection="1">
      <alignment horizontal="center" vertical="center" wrapText="1"/>
    </xf>
    <xf numFmtId="0" fontId="65" fillId="0" borderId="1" xfId="1" applyFont="1" applyFill="1" applyBorder="1" applyAlignment="1" applyProtection="1">
      <alignment horizontal="center" vertical="center"/>
    </xf>
    <xf numFmtId="0" fontId="60" fillId="0" borderId="16" xfId="1" applyFont="1" applyFill="1" applyBorder="1" applyAlignment="1" applyProtection="1">
      <alignment horizontal="center" vertical="center" wrapText="1"/>
    </xf>
    <xf numFmtId="0" fontId="60" fillId="0" borderId="23" xfId="1" applyFont="1" applyFill="1" applyBorder="1" applyAlignment="1" applyProtection="1">
      <alignment horizontal="center" vertical="center" wrapText="1"/>
    </xf>
    <xf numFmtId="0" fontId="60" fillId="0" borderId="27" xfId="1" applyFont="1" applyFill="1" applyBorder="1" applyAlignment="1" applyProtection="1">
      <alignment horizontal="center" vertical="center" wrapText="1"/>
    </xf>
    <xf numFmtId="0" fontId="60" fillId="0" borderId="28" xfId="1" applyFont="1" applyFill="1" applyBorder="1" applyAlignment="1" applyProtection="1">
      <alignment horizontal="center" vertical="center" wrapText="1"/>
    </xf>
    <xf numFmtId="0" fontId="65" fillId="0" borderId="277" xfId="1" applyFont="1" applyFill="1" applyBorder="1" applyAlignment="1" applyProtection="1">
      <alignment horizontal="center" vertical="center" wrapText="1"/>
    </xf>
    <xf numFmtId="0" fontId="65" fillId="0" borderId="409" xfId="1" applyFont="1" applyFill="1" applyBorder="1" applyAlignment="1" applyProtection="1">
      <alignment horizontal="center" vertical="center" wrapText="1"/>
    </xf>
    <xf numFmtId="0" fontId="65" fillId="0" borderId="155" xfId="1" applyFont="1" applyFill="1" applyBorder="1" applyAlignment="1" applyProtection="1">
      <alignment horizontal="center" vertical="center" wrapText="1"/>
    </xf>
    <xf numFmtId="0" fontId="94" fillId="0" borderId="1" xfId="1" applyFont="1" applyBorder="1" applyAlignment="1" applyProtection="1">
      <alignment horizontal="center" vertical="center" wrapText="1"/>
    </xf>
    <xf numFmtId="0" fontId="94" fillId="0" borderId="5" xfId="1" applyFont="1" applyBorder="1" applyAlignment="1" applyProtection="1">
      <alignment horizontal="center" vertical="center" wrapText="1"/>
    </xf>
    <xf numFmtId="0" fontId="94" fillId="0" borderId="106" xfId="1" applyFont="1" applyBorder="1" applyAlignment="1" applyProtection="1">
      <alignment horizontal="center" vertical="center" wrapText="1"/>
    </xf>
    <xf numFmtId="0" fontId="94" fillId="0" borderId="16" xfId="1" applyFont="1" applyBorder="1" applyAlignment="1" applyProtection="1">
      <alignment horizontal="center" vertical="center" wrapText="1"/>
    </xf>
    <xf numFmtId="0" fontId="9" fillId="3" borderId="2" xfId="4" applyNumberFormat="1" applyFont="1" applyFill="1" applyBorder="1" applyAlignment="1" applyProtection="1">
      <alignment horizontal="center" vertical="center" shrinkToFit="1"/>
      <protection locked="0"/>
    </xf>
    <xf numFmtId="0" fontId="9" fillId="0" borderId="4" xfId="1" applyFont="1" applyBorder="1" applyAlignment="1" applyProtection="1">
      <alignment horizontal="center" vertical="center" shrinkToFit="1"/>
      <protection locked="0"/>
    </xf>
    <xf numFmtId="0" fontId="9" fillId="0" borderId="64" xfId="4" applyFont="1" applyFill="1" applyBorder="1" applyAlignment="1" applyProtection="1">
      <alignment horizontal="distributed" vertical="center" wrapText="1" indent="1"/>
    </xf>
    <xf numFmtId="0" fontId="9" fillId="0" borderId="5" xfId="4" applyFont="1" applyFill="1" applyBorder="1" applyAlignment="1" applyProtection="1">
      <alignment horizontal="distributed" vertical="center" wrapText="1" indent="1"/>
    </xf>
    <xf numFmtId="0" fontId="9" fillId="0" borderId="64" xfId="4" applyFont="1" applyFill="1" applyBorder="1" applyAlignment="1" applyProtection="1">
      <alignment horizontal="center" vertical="center" wrapText="1"/>
    </xf>
    <xf numFmtId="0" fontId="9" fillId="0" borderId="5" xfId="1" applyFont="1" applyFill="1" applyBorder="1" applyAlignment="1" applyProtection="1">
      <alignment horizontal="center" vertical="center" wrapText="1"/>
    </xf>
    <xf numFmtId="0" fontId="9" fillId="0" borderId="66" xfId="1" applyFont="1" applyFill="1" applyBorder="1" applyAlignment="1" applyProtection="1">
      <alignment horizontal="center" vertical="center" wrapText="1"/>
    </xf>
    <xf numFmtId="0" fontId="9" fillId="0" borderId="64" xfId="1" applyFont="1" applyFill="1" applyBorder="1" applyAlignment="1" applyProtection="1">
      <alignment horizontal="center" vertical="distributed" textRotation="255" wrapText="1" justifyLastLine="1"/>
    </xf>
    <xf numFmtId="0" fontId="9" fillId="0" borderId="5" xfId="1" applyFont="1" applyFill="1" applyBorder="1" applyAlignment="1" applyProtection="1">
      <alignment horizontal="center" vertical="distributed" textRotation="255" wrapText="1" justifyLastLine="1"/>
    </xf>
    <xf numFmtId="0" fontId="9" fillId="0" borderId="410" xfId="1" applyFont="1" applyFill="1" applyBorder="1" applyAlignment="1" applyProtection="1">
      <alignment horizontal="center" vertical="distributed" textRotation="255" wrapText="1" justifyLastLine="1"/>
    </xf>
    <xf numFmtId="0" fontId="9" fillId="0" borderId="30" xfId="4" applyFont="1" applyFill="1" applyBorder="1" applyAlignment="1" applyProtection="1">
      <alignment horizontal="distributed" vertical="center" justifyLastLine="1"/>
    </xf>
    <xf numFmtId="0" fontId="9" fillId="0" borderId="19" xfId="4" applyFont="1" applyFill="1" applyBorder="1" applyAlignment="1" applyProtection="1">
      <alignment horizontal="distributed" vertical="center" justifyLastLine="1"/>
    </xf>
    <xf numFmtId="0" fontId="9" fillId="0" borderId="27" xfId="4" applyFont="1" applyFill="1" applyBorder="1" applyAlignment="1" applyProtection="1">
      <alignment horizontal="distributed" vertical="center" justifyLastLine="1"/>
    </xf>
    <xf numFmtId="0" fontId="9" fillId="0" borderId="126" xfId="4" applyFont="1" applyFill="1" applyBorder="1" applyAlignment="1" applyProtection="1">
      <alignment horizontal="distributed" vertical="center" justifyLastLine="1"/>
    </xf>
    <xf numFmtId="0" fontId="9" fillId="3" borderId="183" xfId="4" applyNumberFormat="1" applyFont="1" applyFill="1" applyBorder="1" applyAlignment="1" applyProtection="1">
      <alignment horizontal="center" vertical="center" shrinkToFit="1"/>
      <protection locked="0"/>
    </xf>
    <xf numFmtId="0" fontId="9" fillId="0" borderId="415" xfId="1" applyFont="1" applyBorder="1" applyAlignment="1" applyProtection="1">
      <alignment horizontal="center" vertical="center" shrinkToFit="1"/>
      <protection locked="0"/>
    </xf>
    <xf numFmtId="0" fontId="9" fillId="0" borderId="1" xfId="1" applyFont="1" applyFill="1" applyBorder="1" applyAlignment="1" applyProtection="1">
      <alignment horizontal="center" vertical="center" wrapText="1"/>
    </xf>
    <xf numFmtId="0" fontId="9" fillId="0" borderId="106" xfId="1" applyFont="1" applyFill="1" applyBorder="1" applyAlignment="1" applyProtection="1">
      <alignment horizontal="center" vertical="center" wrapText="1"/>
    </xf>
    <xf numFmtId="0" fontId="9" fillId="0" borderId="6" xfId="4" applyFont="1" applyFill="1" applyBorder="1" applyAlignment="1" applyProtection="1">
      <alignment horizontal="center" vertical="center" textRotation="255"/>
    </xf>
    <xf numFmtId="0" fontId="9" fillId="0" borderId="1" xfId="4" applyFont="1" applyFill="1" applyBorder="1" applyAlignment="1" applyProtection="1">
      <alignment horizontal="center" vertical="center" textRotation="255"/>
    </xf>
    <xf numFmtId="0" fontId="9" fillId="0" borderId="16" xfId="4" applyFont="1" applyFill="1" applyBorder="1" applyAlignment="1" applyProtection="1">
      <alignment horizontal="center" vertical="center" wrapText="1" shrinkToFit="1"/>
    </xf>
    <xf numFmtId="0" fontId="9" fillId="0" borderId="25" xfId="4" applyFont="1" applyFill="1" applyBorder="1" applyAlignment="1" applyProtection="1">
      <alignment horizontal="center" vertical="center" wrapText="1" shrinkToFit="1"/>
    </xf>
    <xf numFmtId="0" fontId="9" fillId="0" borderId="25" xfId="4" applyFont="1" applyFill="1" applyBorder="1" applyAlignment="1" applyProtection="1">
      <alignment horizontal="center" vertical="center" shrinkToFit="1"/>
    </xf>
    <xf numFmtId="0" fontId="9" fillId="0" borderId="16" xfId="4" applyFont="1" applyFill="1" applyBorder="1" applyAlignment="1" applyProtection="1">
      <alignment horizontal="center" vertical="center" wrapText="1"/>
    </xf>
    <xf numFmtId="0" fontId="9" fillId="0" borderId="25" xfId="4" applyFont="1" applyFill="1" applyBorder="1" applyAlignment="1" applyProtection="1">
      <alignment horizontal="center" vertical="center" wrapText="1"/>
    </xf>
    <xf numFmtId="0" fontId="9" fillId="0" borderId="1" xfId="4" applyFont="1" applyFill="1" applyBorder="1" applyAlignment="1" applyProtection="1">
      <alignment horizontal="center" vertical="center" textRotation="255" wrapText="1"/>
    </xf>
    <xf numFmtId="0" fontId="9" fillId="0" borderId="5" xfId="4" applyFont="1" applyFill="1" applyBorder="1" applyAlignment="1" applyProtection="1">
      <alignment horizontal="center" vertical="center" textRotation="255" wrapText="1"/>
    </xf>
    <xf numFmtId="0" fontId="9" fillId="0" borderId="5" xfId="1" applyFont="1" applyFill="1" applyBorder="1" applyAlignment="1" applyProtection="1">
      <alignment horizontal="center" vertical="center" textRotation="255" wrapText="1"/>
    </xf>
    <xf numFmtId="0" fontId="9" fillId="0" borderId="66" xfId="1" applyFont="1" applyFill="1" applyBorder="1" applyAlignment="1" applyProtection="1">
      <alignment horizontal="center" vertical="center" textRotation="255" wrapText="1"/>
    </xf>
    <xf numFmtId="0" fontId="9" fillId="0" borderId="157" xfId="4" applyFont="1" applyFill="1" applyBorder="1" applyAlignment="1" applyProtection="1">
      <alignment horizontal="center" vertical="center" wrapText="1"/>
    </xf>
    <xf numFmtId="0" fontId="9" fillId="0" borderId="144" xfId="4" applyFont="1" applyFill="1" applyBorder="1" applyAlignment="1" applyProtection="1">
      <alignment horizontal="center" vertical="center" wrapText="1"/>
    </xf>
    <xf numFmtId="0" fontId="9" fillId="0" borderId="51" xfId="1" applyFont="1" applyFill="1" applyBorder="1" applyAlignment="1" applyProtection="1">
      <alignment horizontal="center" vertical="center" wrapText="1"/>
    </xf>
    <xf numFmtId="0" fontId="94" fillId="0" borderId="1" xfId="1" applyFont="1" applyFill="1" applyBorder="1" applyAlignment="1" applyProtection="1">
      <alignment horizontal="center" vertical="center" wrapText="1"/>
    </xf>
    <xf numFmtId="0" fontId="94" fillId="0" borderId="5" xfId="1" applyFont="1" applyFill="1" applyBorder="1" applyAlignment="1" applyProtection="1">
      <alignment horizontal="center" vertical="center" wrapText="1"/>
    </xf>
    <xf numFmtId="0" fontId="94" fillId="0" borderId="106" xfId="1" applyFont="1" applyFill="1" applyBorder="1" applyAlignment="1" applyProtection="1">
      <alignment horizontal="center" vertical="center" wrapText="1"/>
    </xf>
    <xf numFmtId="0" fontId="9" fillId="0" borderId="16" xfId="1" applyFont="1" applyFill="1" applyBorder="1" applyAlignment="1" applyProtection="1">
      <alignment horizontal="center" vertical="center" wrapText="1"/>
    </xf>
    <xf numFmtId="0" fontId="9" fillId="3" borderId="16" xfId="4" applyNumberFormat="1" applyFont="1" applyFill="1" applyBorder="1" applyAlignment="1" applyProtection="1">
      <alignment horizontal="center" vertical="center" shrinkToFit="1"/>
      <protection locked="0"/>
    </xf>
    <xf numFmtId="0" fontId="9" fillId="0" borderId="24" xfId="1" applyFont="1" applyBorder="1" applyAlignment="1" applyProtection="1">
      <alignment horizontal="center" vertical="center" shrinkToFit="1"/>
      <protection locked="0"/>
    </xf>
    <xf numFmtId="0" fontId="9" fillId="0" borderId="30" xfId="1" applyFont="1" applyFill="1" applyBorder="1" applyAlignment="1" applyProtection="1">
      <alignment horizontal="center" vertical="center" wrapText="1"/>
    </xf>
    <xf numFmtId="0" fontId="9" fillId="0" borderId="25" xfId="1" applyFont="1" applyFill="1" applyBorder="1" applyAlignment="1" applyProtection="1">
      <alignment vertical="center"/>
    </xf>
    <xf numFmtId="0" fontId="9" fillId="0" borderId="220" xfId="1" applyFont="1" applyFill="1" applyBorder="1" applyAlignment="1" applyProtection="1">
      <alignment vertical="center"/>
    </xf>
    <xf numFmtId="0" fontId="9" fillId="0" borderId="99" xfId="4" applyFont="1" applyFill="1" applyBorder="1" applyAlignment="1" applyProtection="1">
      <alignment horizontal="center" vertical="distributed" textRotation="255" wrapText="1" justifyLastLine="1"/>
    </xf>
    <xf numFmtId="0" fontId="9" fillId="0" borderId="246" xfId="4" applyFont="1" applyFill="1" applyBorder="1" applyAlignment="1" applyProtection="1">
      <alignment horizontal="center" vertical="distributed" textRotation="255" wrapText="1" justifyLastLine="1"/>
    </xf>
    <xf numFmtId="0" fontId="9" fillId="0" borderId="116" xfId="4" applyFont="1" applyFill="1" applyBorder="1" applyAlignment="1" applyProtection="1">
      <alignment horizontal="center" vertical="distributed" textRotation="255" wrapText="1" justifyLastLine="1"/>
    </xf>
    <xf numFmtId="0" fontId="9" fillId="0" borderId="64" xfId="4" applyFont="1" applyFill="1" applyBorder="1" applyAlignment="1" applyProtection="1">
      <alignment horizontal="center" vertical="distributed" textRotation="255" wrapText="1" justifyLastLine="1"/>
    </xf>
    <xf numFmtId="0" fontId="9" fillId="0" borderId="5" xfId="4" applyFont="1" applyFill="1" applyBorder="1" applyAlignment="1" applyProtection="1">
      <alignment horizontal="center" vertical="distributed" textRotation="255" wrapText="1" justifyLastLine="1"/>
    </xf>
    <xf numFmtId="0" fontId="9" fillId="0" borderId="66" xfId="4" applyFont="1" applyFill="1" applyBorder="1" applyAlignment="1" applyProtection="1">
      <alignment horizontal="center" vertical="distributed" textRotation="255" wrapText="1" justifyLastLine="1"/>
    </xf>
    <xf numFmtId="0" fontId="9" fillId="0" borderId="16" xfId="4" applyFont="1" applyFill="1" applyBorder="1" applyAlignment="1" applyProtection="1">
      <alignment horizontal="distributed" vertical="center" wrapText="1" justifyLastLine="1"/>
    </xf>
    <xf numFmtId="0" fontId="9" fillId="0" borderId="25" xfId="4" applyFont="1" applyFill="1" applyBorder="1" applyAlignment="1" applyProtection="1">
      <alignment horizontal="distributed" vertical="center" wrapText="1" justifyLastLine="1"/>
    </xf>
    <xf numFmtId="0" fontId="9" fillId="0" borderId="5" xfId="4" applyFont="1" applyFill="1" applyBorder="1" applyAlignment="1" applyProtection="1">
      <alignment horizontal="center" vertical="center" wrapText="1" justifyLastLine="1"/>
    </xf>
    <xf numFmtId="0" fontId="9" fillId="0" borderId="66" xfId="4" applyFont="1" applyFill="1" applyBorder="1" applyAlignment="1" applyProtection="1">
      <alignment horizontal="center" vertical="center" wrapText="1" justifyLastLine="1"/>
    </xf>
    <xf numFmtId="0" fontId="9" fillId="0" borderId="25" xfId="4" applyFont="1" applyFill="1" applyBorder="1" applyAlignment="1" applyProtection="1">
      <alignment horizontal="center" vertical="center" wrapText="1" justifyLastLine="1"/>
    </xf>
    <xf numFmtId="0" fontId="9" fillId="0" borderId="34" xfId="4" applyFont="1" applyFill="1" applyBorder="1" applyAlignment="1" applyProtection="1">
      <alignment horizontal="center" vertical="center" wrapText="1" justifyLastLine="1"/>
    </xf>
    <xf numFmtId="0" fontId="9" fillId="0" borderId="30" xfId="4" applyFont="1" applyFill="1" applyBorder="1" applyAlignment="1" applyProtection="1">
      <alignment horizontal="center" vertical="center" wrapText="1"/>
    </xf>
    <xf numFmtId="0" fontId="9" fillId="0" borderId="18" xfId="4" applyFont="1" applyFill="1" applyBorder="1" applyAlignment="1" applyProtection="1">
      <alignment horizontal="center" vertical="center" wrapText="1"/>
    </xf>
    <xf numFmtId="0" fontId="9" fillId="0" borderId="27" xfId="4" applyFont="1" applyFill="1" applyBorder="1" applyAlignment="1" applyProtection="1">
      <alignment horizontal="center" vertical="center" wrapText="1"/>
    </xf>
    <xf numFmtId="0" fontId="9" fillId="0" borderId="28" xfId="4" applyFont="1" applyFill="1" applyBorder="1" applyAlignment="1" applyProtection="1">
      <alignment horizontal="center" vertical="center" wrapText="1"/>
    </xf>
    <xf numFmtId="0" fontId="45" fillId="0" borderId="30" xfId="4" applyFont="1" applyFill="1" applyBorder="1" applyAlignment="1" applyProtection="1">
      <alignment horizontal="distributed" vertical="center" wrapText="1" justifyLastLine="1"/>
    </xf>
    <xf numFmtId="0" fontId="45" fillId="0" borderId="18" xfId="4" applyFont="1" applyFill="1" applyBorder="1" applyAlignment="1" applyProtection="1">
      <alignment horizontal="distributed" vertical="center" wrapText="1" justifyLastLine="1"/>
    </xf>
    <xf numFmtId="0" fontId="45" fillId="0" borderId="25" xfId="4" applyFont="1" applyFill="1" applyBorder="1" applyAlignment="1" applyProtection="1">
      <alignment horizontal="distributed" vertical="center" wrapText="1" justifyLastLine="1"/>
    </xf>
    <xf numFmtId="0" fontId="45" fillId="0" borderId="0" xfId="4" applyFont="1" applyFill="1" applyBorder="1" applyAlignment="1" applyProtection="1">
      <alignment horizontal="distributed" vertical="center" wrapText="1" justifyLastLine="1"/>
    </xf>
    <xf numFmtId="0" fontId="45" fillId="0" borderId="27" xfId="4" applyFont="1" applyFill="1" applyBorder="1" applyAlignment="1" applyProtection="1">
      <alignment horizontal="distributed" vertical="center" wrapText="1" justifyLastLine="1"/>
    </xf>
    <xf numFmtId="0" fontId="45" fillId="0" borderId="28" xfId="4" applyFont="1" applyFill="1" applyBorder="1" applyAlignment="1" applyProtection="1">
      <alignment horizontal="distributed" vertical="center" wrapText="1" justifyLastLine="1"/>
    </xf>
    <xf numFmtId="0" fontId="9" fillId="0" borderId="5" xfId="1" applyFont="1" applyBorder="1" applyAlignment="1" applyProtection="1">
      <alignment horizontal="center" vertical="center" wrapText="1"/>
    </xf>
    <xf numFmtId="0" fontId="9" fillId="0" borderId="410" xfId="1" applyFont="1" applyBorder="1" applyAlignment="1" applyProtection="1">
      <alignment horizontal="center" vertical="center" wrapText="1"/>
    </xf>
    <xf numFmtId="0" fontId="60" fillId="3" borderId="183" xfId="4" applyNumberFormat="1" applyFont="1" applyFill="1" applyBorder="1" applyAlignment="1" applyProtection="1">
      <alignment horizontal="center" vertical="center" shrinkToFit="1"/>
      <protection locked="0"/>
    </xf>
    <xf numFmtId="0" fontId="60" fillId="0" borderId="415" xfId="1" applyFont="1" applyBorder="1" applyAlignment="1" applyProtection="1">
      <alignment horizontal="center" vertical="center" shrinkToFit="1"/>
      <protection locked="0"/>
    </xf>
    <xf numFmtId="0" fontId="60" fillId="3" borderId="2" xfId="4" applyNumberFormat="1" applyFont="1" applyFill="1" applyBorder="1" applyAlignment="1" applyProtection="1">
      <alignment horizontal="center" vertical="center" shrinkToFit="1"/>
      <protection locked="0"/>
    </xf>
    <xf numFmtId="0" fontId="60" fillId="0" borderId="4" xfId="1" applyFont="1" applyBorder="1" applyAlignment="1" applyProtection="1">
      <alignment horizontal="center" vertical="center" shrinkToFit="1"/>
      <protection locked="0"/>
    </xf>
    <xf numFmtId="0" fontId="9" fillId="0" borderId="5" xfId="1" applyFont="1" applyBorder="1" applyAlignment="1" applyProtection="1">
      <alignment horizontal="center" vertical="center" textRotation="255" wrapText="1"/>
    </xf>
    <xf numFmtId="0" fontId="9" fillId="0" borderId="66" xfId="1" applyFont="1" applyBorder="1" applyAlignment="1" applyProtection="1">
      <alignment horizontal="center" vertical="center" textRotation="255" wrapText="1"/>
    </xf>
    <xf numFmtId="0" fontId="9" fillId="0" borderId="25" xfId="1" applyFont="1" applyFill="1" applyBorder="1" applyAlignment="1" applyProtection="1">
      <alignment horizontal="center" vertical="center" wrapText="1"/>
    </xf>
    <xf numFmtId="0" fontId="9" fillId="0" borderId="27" xfId="1" applyFont="1" applyFill="1" applyBorder="1" applyAlignment="1" applyProtection="1">
      <alignment horizontal="center" vertical="center" wrapText="1"/>
    </xf>
    <xf numFmtId="0" fontId="60" fillId="3" borderId="27" xfId="4" applyNumberFormat="1" applyFont="1" applyFill="1" applyBorder="1" applyAlignment="1" applyProtection="1">
      <alignment horizontal="center" vertical="center" shrinkToFit="1"/>
      <protection locked="0"/>
    </xf>
    <xf numFmtId="0" fontId="60" fillId="0" borderId="29" xfId="1" applyFont="1" applyBorder="1" applyAlignment="1" applyProtection="1">
      <alignment horizontal="center" vertical="center" shrinkToFit="1"/>
      <protection locked="0"/>
    </xf>
    <xf numFmtId="0" fontId="60" fillId="3" borderId="16" xfId="4" applyNumberFormat="1" applyFont="1" applyFill="1" applyBorder="1" applyAlignment="1" applyProtection="1">
      <alignment horizontal="center" vertical="center" shrinkToFit="1"/>
      <protection locked="0"/>
    </xf>
    <xf numFmtId="0" fontId="60" fillId="0" borderId="24" xfId="1" applyFont="1" applyBorder="1" applyAlignment="1" applyProtection="1">
      <alignment horizontal="center" vertical="center" shrinkToFit="1"/>
      <protection locked="0"/>
    </xf>
    <xf numFmtId="0" fontId="60" fillId="0" borderId="16" xfId="4" applyFont="1" applyFill="1" applyBorder="1" applyAlignment="1" applyProtection="1">
      <alignment horizontal="distributed" vertical="center" wrapText="1" justifyLastLine="1"/>
    </xf>
    <xf numFmtId="0" fontId="60" fillId="0" borderId="25" xfId="4" applyFont="1" applyFill="1" applyBorder="1" applyAlignment="1" applyProtection="1">
      <alignment horizontal="distributed" vertical="center" wrapText="1" justifyLastLine="1"/>
    </xf>
    <xf numFmtId="0" fontId="60" fillId="0" borderId="5" xfId="4" applyFont="1" applyFill="1" applyBorder="1" applyAlignment="1" applyProtection="1">
      <alignment horizontal="center" vertical="center" wrapText="1" justifyLastLine="1"/>
    </xf>
    <xf numFmtId="0" fontId="60" fillId="0" borderId="66" xfId="4" applyFont="1" applyFill="1" applyBorder="1" applyAlignment="1" applyProtection="1">
      <alignment horizontal="center" vertical="center" wrapText="1" justifyLastLine="1"/>
    </xf>
    <xf numFmtId="0" fontId="9" fillId="0" borderId="144" xfId="1" applyFont="1" applyFill="1" applyBorder="1" applyAlignment="1" applyProtection="1">
      <alignment vertical="center"/>
    </xf>
    <xf numFmtId="0" fontId="9" fillId="0" borderId="401" xfId="1" applyFont="1" applyFill="1" applyBorder="1" applyAlignment="1" applyProtection="1">
      <alignment vertical="center"/>
    </xf>
    <xf numFmtId="0" fontId="9" fillId="0" borderId="18" xfId="4" applyFont="1" applyFill="1" applyBorder="1" applyAlignment="1" applyProtection="1">
      <alignment horizontal="center" vertical="center" textRotation="255" wrapText="1"/>
    </xf>
    <xf numFmtId="0" fontId="9" fillId="0" borderId="0" xfId="4" applyFont="1" applyFill="1" applyBorder="1" applyAlignment="1" applyProtection="1">
      <alignment horizontal="center" vertical="center" textRotation="255"/>
    </xf>
    <xf numFmtId="0" fontId="9" fillId="0" borderId="25" xfId="4" applyFont="1" applyFill="1" applyBorder="1" applyAlignment="1" applyProtection="1">
      <alignment horizontal="center" vertical="center" textRotation="255"/>
    </xf>
    <xf numFmtId="0" fontId="9" fillId="0" borderId="64" xfId="4" applyFont="1" applyFill="1" applyBorder="1" applyAlignment="1" applyProtection="1">
      <alignment horizontal="distributed" vertical="center" wrapText="1" indent="1" shrinkToFit="1"/>
    </xf>
    <xf numFmtId="0" fontId="9" fillId="0" borderId="5" xfId="4" applyFont="1" applyFill="1" applyBorder="1" applyAlignment="1" applyProtection="1">
      <alignment horizontal="distributed" vertical="center" wrapText="1" indent="1" shrinkToFit="1"/>
    </xf>
    <xf numFmtId="0" fontId="60" fillId="0" borderId="30" xfId="4" applyFont="1" applyFill="1" applyBorder="1" applyAlignment="1" applyProtection="1">
      <alignment horizontal="center" vertical="center" wrapText="1"/>
    </xf>
    <xf numFmtId="0" fontId="60" fillId="0" borderId="18" xfId="4" applyFont="1" applyFill="1" applyBorder="1" applyAlignment="1" applyProtection="1">
      <alignment horizontal="center" vertical="center" wrapText="1"/>
    </xf>
    <xf numFmtId="0" fontId="60" fillId="0" borderId="25" xfId="4" applyFont="1" applyFill="1" applyBorder="1" applyAlignment="1" applyProtection="1">
      <alignment horizontal="center" vertical="center" wrapText="1"/>
    </xf>
    <xf numFmtId="0" fontId="60" fillId="0" borderId="0" xfId="4" applyFont="1" applyFill="1" applyBorder="1" applyAlignment="1" applyProtection="1">
      <alignment horizontal="center" vertical="center" wrapText="1"/>
    </xf>
    <xf numFmtId="0" fontId="60" fillId="0" borderId="27" xfId="4" applyFont="1" applyFill="1" applyBorder="1" applyAlignment="1" applyProtection="1">
      <alignment horizontal="center" vertical="center" wrapText="1"/>
    </xf>
    <xf numFmtId="0" fontId="60" fillId="0" borderId="28" xfId="4" applyFont="1" applyFill="1" applyBorder="1" applyAlignment="1" applyProtection="1">
      <alignment horizontal="center" vertical="center" wrapText="1"/>
    </xf>
    <xf numFmtId="0" fontId="9" fillId="0" borderId="16" xfId="4" applyFont="1" applyFill="1" applyBorder="1" applyAlignment="1" applyProtection="1">
      <alignment horizontal="center" vertical="center" textRotation="255" wrapText="1"/>
    </xf>
    <xf numFmtId="0" fontId="9" fillId="0" borderId="34" xfId="1" applyFont="1" applyBorder="1" applyAlignment="1" applyProtection="1">
      <alignment horizontal="center" vertical="center" textRotation="255" wrapText="1"/>
    </xf>
    <xf numFmtId="0" fontId="9" fillId="0" borderId="64" xfId="4" applyFont="1" applyFill="1" applyBorder="1" applyAlignment="1" applyProtection="1">
      <alignment horizontal="distributed" vertical="center" wrapText="1" justifyLastLine="1"/>
    </xf>
    <xf numFmtId="0" fontId="9" fillId="0" borderId="5" xfId="4" applyFont="1" applyFill="1" applyBorder="1" applyAlignment="1" applyProtection="1">
      <alignment horizontal="distributed" vertical="center" wrapText="1" justifyLastLine="1"/>
    </xf>
    <xf numFmtId="0" fontId="60" fillId="0" borderId="18" xfId="4" applyFont="1" applyFill="1" applyBorder="1" applyAlignment="1" applyProtection="1">
      <alignment horizontal="distributed" vertical="center" wrapText="1" justifyLastLine="1"/>
    </xf>
    <xf numFmtId="0" fontId="60" fillId="0" borderId="0" xfId="4" applyFont="1" applyFill="1" applyBorder="1" applyAlignment="1" applyProtection="1">
      <alignment horizontal="distributed" vertical="center" wrapText="1" justifyLastLine="1"/>
    </xf>
    <xf numFmtId="0" fontId="65" fillId="0" borderId="6" xfId="5" applyFont="1" applyFill="1" applyBorder="1" applyAlignment="1" applyProtection="1">
      <alignment vertical="center"/>
    </xf>
    <xf numFmtId="0" fontId="65" fillId="0" borderId="449" xfId="5" applyFont="1" applyFill="1" applyBorder="1" applyAlignment="1" applyProtection="1">
      <alignment vertical="center"/>
    </xf>
    <xf numFmtId="0" fontId="65" fillId="0" borderId="450" xfId="5" applyFont="1" applyFill="1" applyBorder="1" applyAlignment="1" applyProtection="1">
      <alignment vertical="center"/>
    </xf>
    <xf numFmtId="0" fontId="65" fillId="0" borderId="451" xfId="5" applyFont="1" applyFill="1" applyBorder="1" applyAlignment="1" applyProtection="1">
      <alignment vertical="center"/>
    </xf>
    <xf numFmtId="0" fontId="65" fillId="0" borderId="6" xfId="5" applyFont="1" applyFill="1" applyBorder="1" applyAlignment="1" applyProtection="1">
      <alignment horizontal="center" vertical="distributed" textRotation="255" justifyLastLine="1"/>
    </xf>
    <xf numFmtId="0" fontId="65" fillId="0" borderId="6" xfId="5" applyFont="1" applyFill="1" applyBorder="1" applyAlignment="1" applyProtection="1">
      <alignment horizontal="distributed" vertical="center"/>
    </xf>
    <xf numFmtId="0" fontId="65" fillId="0" borderId="452" xfId="5" applyFont="1" applyFill="1" applyBorder="1" applyAlignment="1" applyProtection="1">
      <alignment horizontal="distributed" vertical="center"/>
    </xf>
    <xf numFmtId="0" fontId="65" fillId="0" borderId="453" xfId="5" applyFont="1" applyFill="1" applyBorder="1" applyAlignment="1" applyProtection="1">
      <alignment horizontal="distributed" vertical="center"/>
    </xf>
    <xf numFmtId="0" fontId="65" fillId="0" borderId="454" xfId="5" applyFont="1" applyFill="1" applyBorder="1" applyAlignment="1" applyProtection="1">
      <alignment horizontal="distributed" vertical="center"/>
    </xf>
    <xf numFmtId="0" fontId="65" fillId="0" borderId="455" xfId="5" applyFont="1" applyFill="1" applyBorder="1" applyAlignment="1" applyProtection="1">
      <alignment horizontal="distributed" vertical="center"/>
    </xf>
    <xf numFmtId="0" fontId="65" fillId="0" borderId="456" xfId="5" applyFont="1" applyFill="1" applyBorder="1" applyAlignment="1" applyProtection="1">
      <alignment horizontal="distributed" vertical="center"/>
    </xf>
    <xf numFmtId="0" fontId="65" fillId="0" borderId="457" xfId="5" applyFont="1" applyFill="1" applyBorder="1" applyAlignment="1" applyProtection="1">
      <alignment horizontal="distributed" vertical="center"/>
    </xf>
    <xf numFmtId="0" fontId="65" fillId="0" borderId="2" xfId="5" applyFont="1" applyFill="1" applyBorder="1" applyAlignment="1" applyProtection="1">
      <alignment horizontal="distributed" vertical="center"/>
    </xf>
    <xf numFmtId="0" fontId="65" fillId="0" borderId="3" xfId="5" applyFont="1" applyFill="1" applyBorder="1" applyAlignment="1" applyProtection="1">
      <alignment horizontal="distributed" vertical="center"/>
    </xf>
    <xf numFmtId="0" fontId="65" fillId="0" borderId="4" xfId="5" applyFont="1" applyFill="1" applyBorder="1" applyAlignment="1" applyProtection="1">
      <alignment horizontal="distributed" vertical="center"/>
    </xf>
    <xf numFmtId="0" fontId="65" fillId="0" borderId="1" xfId="5" applyFont="1" applyFill="1" applyBorder="1" applyAlignment="1" applyProtection="1">
      <alignment horizontal="center" vertical="distributed" textRotation="255" justifyLastLine="1"/>
    </xf>
    <xf numFmtId="0" fontId="65" fillId="0" borderId="6" xfId="5" applyFont="1" applyFill="1" applyBorder="1" applyAlignment="1" applyProtection="1">
      <alignment horizontal="distributed" vertical="center" wrapText="1"/>
    </xf>
    <xf numFmtId="0" fontId="65" fillId="0" borderId="6" xfId="5" applyFont="1" applyFill="1" applyBorder="1" applyAlignment="1" applyProtection="1">
      <alignment horizontal="center" vertical="center" wrapText="1" shrinkToFit="1"/>
    </xf>
    <xf numFmtId="0" fontId="65" fillId="0" borderId="6" xfId="5" applyFont="1" applyFill="1" applyBorder="1" applyAlignment="1" applyProtection="1">
      <alignment horizontal="center" vertical="center" shrinkToFit="1"/>
    </xf>
    <xf numFmtId="0" fontId="65" fillId="0" borderId="458" xfId="5" applyFont="1" applyFill="1" applyBorder="1" applyAlignment="1" applyProtection="1">
      <alignment horizontal="distributed" vertical="center"/>
    </xf>
    <xf numFmtId="0" fontId="65" fillId="0" borderId="459" xfId="5" applyFont="1" applyFill="1" applyBorder="1" applyAlignment="1" applyProtection="1">
      <alignment horizontal="distributed" vertical="center"/>
    </xf>
    <xf numFmtId="0" fontId="65" fillId="0" borderId="460" xfId="5" applyFont="1" applyFill="1" applyBorder="1" applyAlignment="1" applyProtection="1">
      <alignment horizontal="distributed" vertical="center"/>
    </xf>
    <xf numFmtId="0" fontId="65" fillId="0" borderId="461" xfId="5" applyFont="1" applyFill="1" applyBorder="1" applyAlignment="1" applyProtection="1">
      <alignment horizontal="distributed" vertical="center"/>
    </xf>
    <xf numFmtId="0" fontId="9" fillId="0" borderId="6" xfId="1" applyFont="1" applyFill="1" applyBorder="1" applyAlignment="1" applyProtection="1">
      <alignment horizontal="center" vertical="center" wrapText="1" justifyLastLine="1"/>
    </xf>
    <xf numFmtId="0" fontId="9" fillId="0" borderId="6" xfId="1" applyFont="1" applyFill="1" applyBorder="1" applyAlignment="1" applyProtection="1">
      <alignment horizontal="center" vertical="center"/>
    </xf>
    <xf numFmtId="0" fontId="9" fillId="0" borderId="18" xfId="1" applyFont="1" applyFill="1" applyBorder="1" applyAlignment="1" applyProtection="1">
      <alignment horizontal="center" vertical="distributed" textRotation="255" justifyLastLine="1"/>
    </xf>
    <xf numFmtId="0" fontId="9" fillId="0" borderId="39" xfId="1" applyFont="1" applyFill="1" applyBorder="1" applyAlignment="1" applyProtection="1">
      <alignment horizontal="center" vertical="distributed" textRotation="255" justifyLastLine="1"/>
    </xf>
    <xf numFmtId="0" fontId="9" fillId="0" borderId="0" xfId="1" applyFont="1" applyFill="1" applyBorder="1" applyAlignment="1" applyProtection="1">
      <alignment horizontal="center" vertical="distributed" textRotation="255" justifyLastLine="1"/>
    </xf>
    <xf numFmtId="0" fontId="9" fillId="0" borderId="20" xfId="1" applyFont="1" applyFill="1" applyBorder="1" applyAlignment="1" applyProtection="1">
      <alignment horizontal="center" vertical="distributed" textRotation="255" justifyLastLine="1"/>
    </xf>
    <xf numFmtId="0" fontId="9" fillId="0" borderId="21" xfId="1" applyFont="1" applyFill="1" applyBorder="1" applyAlignment="1" applyProtection="1">
      <alignment horizontal="center" vertical="distributed" textRotation="255" justifyLastLine="1"/>
    </xf>
    <xf numFmtId="0" fontId="33" fillId="0" borderId="18" xfId="1" applyFont="1" applyFill="1" applyBorder="1" applyAlignment="1" applyProtection="1">
      <alignment vertical="center" wrapText="1"/>
    </xf>
    <xf numFmtId="0" fontId="33" fillId="0" borderId="19" xfId="1" applyFont="1" applyFill="1" applyBorder="1" applyAlignment="1" applyProtection="1">
      <alignment vertical="center" wrapText="1"/>
    </xf>
    <xf numFmtId="0" fontId="33" fillId="0" borderId="84" xfId="1" applyFont="1" applyFill="1" applyBorder="1" applyAlignment="1" applyProtection="1">
      <alignment vertical="center" wrapText="1"/>
    </xf>
    <xf numFmtId="0" fontId="33" fillId="0" borderId="22" xfId="1" applyFont="1" applyFill="1" applyBorder="1" applyAlignment="1" applyProtection="1">
      <alignment vertical="center" wrapText="1"/>
    </xf>
    <xf numFmtId="0" fontId="9" fillId="0" borderId="18" xfId="1" applyFont="1" applyFill="1" applyBorder="1" applyAlignment="1" applyProtection="1">
      <alignment horizontal="distributed" vertical="center" wrapText="1" justifyLastLine="1"/>
    </xf>
    <xf numFmtId="0" fontId="9" fillId="0" borderId="0" xfId="1" applyFont="1" applyFill="1" applyBorder="1" applyAlignment="1" applyProtection="1">
      <alignment horizontal="distributed" vertical="center" wrapText="1" justifyLastLine="1"/>
    </xf>
    <xf numFmtId="0" fontId="9" fillId="0" borderId="21" xfId="1" applyFont="1" applyFill="1" applyBorder="1" applyAlignment="1" applyProtection="1">
      <alignment horizontal="distributed" vertical="center" wrapText="1" justifyLastLine="1"/>
    </xf>
    <xf numFmtId="0" fontId="9" fillId="0" borderId="18" xfId="1" applyFont="1" applyBorder="1" applyAlignment="1" applyProtection="1">
      <alignment horizontal="distributed" vertical="center"/>
    </xf>
    <xf numFmtId="0" fontId="45" fillId="0" borderId="30" xfId="1" applyFont="1" applyFill="1" applyBorder="1" applyAlignment="1" applyProtection="1">
      <alignment horizontal="center" vertical="center" wrapText="1"/>
    </xf>
    <xf numFmtId="0" fontId="45" fillId="0" borderId="18" xfId="1" applyFont="1" applyFill="1" applyBorder="1" applyAlignment="1" applyProtection="1">
      <alignment horizontal="center" vertical="center"/>
    </xf>
    <xf numFmtId="0" fontId="45" fillId="0" borderId="19" xfId="1" applyFont="1" applyFill="1" applyBorder="1" applyAlignment="1" applyProtection="1">
      <alignment horizontal="center" vertical="center"/>
    </xf>
    <xf numFmtId="0" fontId="45" fillId="0" borderId="25" xfId="1" applyFont="1" applyFill="1" applyBorder="1" applyAlignment="1" applyProtection="1">
      <alignment horizontal="center" vertical="center" wrapText="1"/>
    </xf>
    <xf numFmtId="0" fontId="45" fillId="0" borderId="0" xfId="1" applyFont="1" applyFill="1" applyBorder="1" applyAlignment="1" applyProtection="1">
      <alignment horizontal="center" vertical="center"/>
    </xf>
    <xf numFmtId="0" fontId="45" fillId="0" borderId="84" xfId="1" applyFont="1" applyFill="1" applyBorder="1" applyAlignment="1" applyProtection="1">
      <alignment horizontal="center" vertical="center"/>
    </xf>
    <xf numFmtId="0" fontId="45" fillId="0" borderId="462" xfId="1" applyFont="1" applyFill="1" applyBorder="1" applyAlignment="1" applyProtection="1">
      <alignment horizontal="center" vertical="center"/>
    </xf>
    <xf numFmtId="0" fontId="45" fillId="0" borderId="463" xfId="1" applyFont="1" applyFill="1" applyBorder="1" applyAlignment="1" applyProtection="1">
      <alignment horizontal="center" vertical="center"/>
    </xf>
    <xf numFmtId="0" fontId="45" fillId="0" borderId="464" xfId="1" applyFont="1" applyFill="1" applyBorder="1" applyAlignment="1" applyProtection="1">
      <alignment horizontal="center" vertical="center"/>
    </xf>
    <xf numFmtId="3" fontId="7" fillId="4" borderId="465" xfId="1" applyNumberFormat="1" applyFont="1" applyFill="1" applyBorder="1" applyAlignment="1" applyProtection="1">
      <alignment horizontal="right" vertical="center" shrinkToFit="1"/>
      <protection locked="0"/>
    </xf>
    <xf numFmtId="3" fontId="7" fillId="4" borderId="192" xfId="1" applyNumberFormat="1" applyFont="1" applyFill="1" applyBorder="1" applyAlignment="1" applyProtection="1">
      <alignment horizontal="right" vertical="center" shrinkToFit="1"/>
      <protection locked="0"/>
    </xf>
    <xf numFmtId="3" fontId="7" fillId="4" borderId="466" xfId="1" applyNumberFormat="1" applyFont="1" applyFill="1" applyBorder="1" applyAlignment="1" applyProtection="1">
      <alignment horizontal="right" vertical="center" shrinkToFit="1"/>
      <protection locked="0"/>
    </xf>
    <xf numFmtId="0" fontId="7" fillId="4" borderId="467" xfId="1" applyNumberFormat="1" applyFont="1" applyFill="1" applyBorder="1" applyAlignment="1" applyProtection="1">
      <alignment horizontal="center" vertical="center" shrinkToFit="1"/>
      <protection locked="0"/>
    </xf>
    <xf numFmtId="0" fontId="7" fillId="4" borderId="213" xfId="1" applyNumberFormat="1" applyFont="1" applyFill="1" applyBorder="1" applyAlignment="1" applyProtection="1">
      <alignment horizontal="center" vertical="center" shrinkToFit="1"/>
      <protection locked="0"/>
    </xf>
    <xf numFmtId="0" fontId="7" fillId="4" borderId="468" xfId="1" applyNumberFormat="1" applyFont="1" applyFill="1" applyBorder="1" applyAlignment="1" applyProtection="1">
      <alignment horizontal="center" vertical="center" shrinkToFit="1"/>
      <protection locked="0"/>
    </xf>
    <xf numFmtId="3" fontId="7" fillId="4" borderId="55" xfId="1" applyNumberFormat="1" applyFont="1" applyFill="1" applyBorder="1" applyAlignment="1" applyProtection="1">
      <alignment horizontal="right" vertical="center" shrinkToFit="1"/>
      <protection locked="0"/>
    </xf>
    <xf numFmtId="3" fontId="7" fillId="4" borderId="3" xfId="1" applyNumberFormat="1" applyFont="1" applyFill="1" applyBorder="1" applyAlignment="1" applyProtection="1">
      <alignment horizontal="right" vertical="center" shrinkToFit="1"/>
      <protection locked="0"/>
    </xf>
    <xf numFmtId="3" fontId="7" fillId="4" borderId="469" xfId="1" applyNumberFormat="1" applyFont="1" applyFill="1" applyBorder="1" applyAlignment="1" applyProtection="1">
      <alignment horizontal="right" vertical="center" shrinkToFit="1"/>
      <protection locked="0"/>
    </xf>
    <xf numFmtId="3" fontId="7" fillId="4" borderId="125" xfId="1" applyNumberFormat="1" applyFont="1" applyFill="1" applyBorder="1" applyAlignment="1" applyProtection="1">
      <alignment horizontal="right" vertical="center" shrinkToFit="1"/>
      <protection locked="0"/>
    </xf>
    <xf numFmtId="3" fontId="7" fillId="4" borderId="28" xfId="1" applyNumberFormat="1" applyFont="1" applyFill="1" applyBorder="1" applyAlignment="1" applyProtection="1">
      <alignment horizontal="right" vertical="center" shrinkToFit="1"/>
      <protection locked="0"/>
    </xf>
    <xf numFmtId="3" fontId="7" fillId="4" borderId="470" xfId="1" applyNumberFormat="1" applyFont="1" applyFill="1" applyBorder="1" applyAlignment="1" applyProtection="1">
      <alignment horizontal="right" vertical="center" shrinkToFit="1"/>
      <protection locked="0"/>
    </xf>
    <xf numFmtId="49" fontId="9" fillId="4" borderId="27" xfId="1" applyNumberFormat="1" applyFont="1" applyFill="1" applyBorder="1" applyAlignment="1" applyProtection="1">
      <alignment horizontal="center" vertical="center" wrapText="1"/>
      <protection locked="0"/>
    </xf>
    <xf numFmtId="49" fontId="9" fillId="4" borderId="28" xfId="1" applyNumberFormat="1" applyFont="1" applyFill="1" applyBorder="1" applyAlignment="1" applyProtection="1">
      <alignment horizontal="center" vertical="center" wrapText="1"/>
      <protection locked="0"/>
    </xf>
    <xf numFmtId="49" fontId="9" fillId="4" borderId="126" xfId="1" applyNumberFormat="1" applyFont="1" applyFill="1" applyBorder="1" applyAlignment="1" applyProtection="1">
      <alignment horizontal="center" vertical="center" wrapText="1"/>
      <protection locked="0"/>
    </xf>
    <xf numFmtId="49" fontId="9" fillId="4" borderId="16" xfId="1" applyNumberFormat="1" applyFont="1" applyFill="1" applyBorder="1" applyAlignment="1" applyProtection="1">
      <alignment horizontal="center" vertical="center" wrapText="1"/>
      <protection locked="0"/>
    </xf>
    <xf numFmtId="49" fontId="9" fillId="4" borderId="23" xfId="1" applyNumberFormat="1" applyFont="1" applyFill="1" applyBorder="1" applyAlignment="1" applyProtection="1">
      <alignment horizontal="center" vertical="center" wrapText="1"/>
      <protection locked="0"/>
    </xf>
    <xf numFmtId="49" fontId="9" fillId="4" borderId="74" xfId="1" applyNumberFormat="1" applyFont="1" applyFill="1" applyBorder="1" applyAlignment="1" applyProtection="1">
      <alignment horizontal="center" vertical="center" wrapText="1"/>
      <protection locked="0"/>
    </xf>
    <xf numFmtId="3" fontId="7" fillId="4" borderId="73" xfId="1" applyNumberFormat="1" applyFont="1" applyFill="1" applyBorder="1" applyAlignment="1" applyProtection="1">
      <alignment horizontal="right" vertical="center" shrinkToFit="1"/>
      <protection locked="0"/>
    </xf>
    <xf numFmtId="3" fontId="7" fillId="4" borderId="23" xfId="1" applyNumberFormat="1" applyFont="1" applyFill="1" applyBorder="1" applyAlignment="1" applyProtection="1">
      <alignment horizontal="right" vertical="center" shrinkToFit="1"/>
      <protection locked="0"/>
    </xf>
    <xf numFmtId="3" fontId="7" fillId="4" borderId="471" xfId="1" applyNumberFormat="1" applyFont="1" applyFill="1" applyBorder="1" applyAlignment="1" applyProtection="1">
      <alignment horizontal="right" vertical="center" shrinkToFit="1"/>
      <protection locked="0"/>
    </xf>
    <xf numFmtId="0" fontId="7" fillId="4" borderId="472" xfId="1" applyNumberFormat="1" applyFont="1" applyFill="1" applyBorder="1" applyAlignment="1" applyProtection="1">
      <alignment horizontal="center" vertical="center" shrinkToFit="1"/>
      <protection locked="0"/>
    </xf>
    <xf numFmtId="0" fontId="7" fillId="4" borderId="60" xfId="1" applyNumberFormat="1" applyFont="1" applyFill="1" applyBorder="1" applyAlignment="1" applyProtection="1">
      <alignment horizontal="center" vertical="center" shrinkToFit="1"/>
      <protection locked="0"/>
    </xf>
    <xf numFmtId="0" fontId="7" fillId="4" borderId="75" xfId="1" applyNumberFormat="1" applyFont="1" applyFill="1" applyBorder="1" applyAlignment="1" applyProtection="1">
      <alignment horizontal="center" vertical="center" shrinkToFit="1"/>
      <protection locked="0"/>
    </xf>
    <xf numFmtId="0" fontId="45" fillId="0" borderId="462" xfId="1" applyFont="1" applyBorder="1" applyAlignment="1" applyProtection="1">
      <alignment horizontal="center" vertical="center"/>
    </xf>
    <xf numFmtId="0" fontId="3" fillId="0" borderId="156" xfId="1" applyBorder="1" applyAlignment="1" applyProtection="1">
      <alignment horizontal="center"/>
    </xf>
    <xf numFmtId="0" fontId="9" fillId="0" borderId="50" xfId="1" applyFont="1" applyBorder="1" applyAlignment="1" applyProtection="1">
      <alignment horizontal="center" vertical="center" wrapText="1"/>
    </xf>
    <xf numFmtId="0" fontId="9" fillId="0" borderId="144" xfId="1" applyFont="1" applyBorder="1" applyAlignment="1" applyProtection="1">
      <alignment horizontal="center" vertical="center" wrapText="1"/>
    </xf>
    <xf numFmtId="0" fontId="9" fillId="0" borderId="477" xfId="1" applyFont="1" applyBorder="1" applyAlignment="1" applyProtection="1">
      <alignment horizontal="center" vertical="center"/>
    </xf>
    <xf numFmtId="0" fontId="9" fillId="0" borderId="19" xfId="1" applyFont="1" applyFill="1" applyBorder="1" applyAlignment="1" applyProtection="1">
      <alignment horizontal="center" vertical="center" wrapText="1" justifyLastLine="1"/>
    </xf>
    <xf numFmtId="0" fontId="9" fillId="0" borderId="84" xfId="1" applyFont="1" applyFill="1" applyBorder="1" applyAlignment="1" applyProtection="1">
      <alignment horizontal="center" vertical="center" wrapText="1" justifyLastLine="1"/>
    </xf>
    <xf numFmtId="0" fontId="9" fillId="0" borderId="38" xfId="1" applyFont="1" applyFill="1" applyBorder="1" applyAlignment="1" applyProtection="1">
      <alignment horizontal="center" vertical="center" wrapText="1" justifyLastLine="1"/>
    </xf>
    <xf numFmtId="0" fontId="3" fillId="0" borderId="1" xfId="1" applyFont="1" applyBorder="1" applyAlignment="1" applyProtection="1">
      <alignment horizontal="center" vertical="center" wrapText="1"/>
    </xf>
    <xf numFmtId="0" fontId="3" fillId="0" borderId="5" xfId="1" applyFont="1" applyBorder="1" applyAlignment="1" applyProtection="1">
      <alignment horizontal="center" vertical="center" wrapText="1"/>
    </xf>
    <xf numFmtId="0" fontId="3" fillId="0" borderId="106" xfId="1" applyFont="1" applyBorder="1" applyAlignment="1" applyProtection="1">
      <alignment horizontal="center" vertical="center" wrapText="1"/>
    </xf>
    <xf numFmtId="0" fontId="3" fillId="0" borderId="6" xfId="1" applyFont="1" applyBorder="1" applyAlignment="1" applyProtection="1">
      <alignment horizontal="center" vertical="center" wrapText="1"/>
    </xf>
    <xf numFmtId="0" fontId="25" fillId="0" borderId="5" xfId="1" applyFont="1" applyBorder="1" applyAlignment="1" applyProtection="1">
      <alignment horizontal="center" vertical="center" wrapText="1"/>
    </xf>
    <xf numFmtId="0" fontId="25" fillId="0" borderId="106" xfId="1" applyFont="1" applyBorder="1" applyAlignment="1" applyProtection="1">
      <alignment horizontal="center" vertical="center" wrapText="1"/>
    </xf>
    <xf numFmtId="0" fontId="9" fillId="0" borderId="474" xfId="1" applyFont="1" applyFill="1" applyBorder="1" applyAlignment="1" applyProtection="1">
      <alignment horizontal="center" vertical="distributed" textRotation="255" justifyLastLine="1"/>
    </xf>
    <xf numFmtId="0" fontId="9" fillId="0" borderId="475" xfId="1" applyFont="1" applyFill="1" applyBorder="1" applyAlignment="1" applyProtection="1">
      <alignment horizontal="center" vertical="distributed" textRotation="255" justifyLastLine="1"/>
    </xf>
    <xf numFmtId="0" fontId="9" fillId="0" borderId="476" xfId="1" applyFont="1" applyFill="1" applyBorder="1" applyAlignment="1" applyProtection="1">
      <alignment horizontal="center" vertical="distributed" textRotation="255" justifyLastLine="1"/>
    </xf>
    <xf numFmtId="0" fontId="25" fillId="0" borderId="1" xfId="1" applyFont="1" applyBorder="1" applyAlignment="1" applyProtection="1">
      <alignment horizontal="center" vertical="center" wrapText="1"/>
    </xf>
    <xf numFmtId="0" fontId="9" fillId="0" borderId="30" xfId="1" applyFont="1" applyBorder="1" applyAlignment="1" applyProtection="1">
      <alignment horizontal="center" vertical="center" wrapText="1"/>
    </xf>
    <xf numFmtId="0" fontId="9" fillId="0" borderId="25" xfId="1" applyFont="1" applyBorder="1" applyAlignment="1" applyProtection="1">
      <alignment horizontal="center" vertical="center" wrapText="1"/>
    </xf>
    <xf numFmtId="0" fontId="9" fillId="0" borderId="34" xfId="1" applyFont="1" applyBorder="1" applyAlignment="1" applyProtection="1">
      <alignment horizontal="center" vertical="center" wrapText="1"/>
    </xf>
    <xf numFmtId="0" fontId="45" fillId="0" borderId="129" xfId="1" applyFont="1" applyBorder="1" applyAlignment="1" applyProtection="1">
      <alignment horizontal="center" vertical="center"/>
    </xf>
    <xf numFmtId="0" fontId="9" fillId="0" borderId="0" xfId="1" applyFont="1" applyFill="1" applyBorder="1" applyAlignment="1" applyProtection="1">
      <alignment horizontal="center" vertical="center" wrapText="1" justifyLastLine="1"/>
    </xf>
    <xf numFmtId="0" fontId="3" fillId="0" borderId="6" xfId="1" applyFont="1" applyBorder="1" applyAlignment="1" applyProtection="1">
      <alignment horizontal="center" vertical="center"/>
    </xf>
    <xf numFmtId="0" fontId="45" fillId="0" borderId="410" xfId="1" applyFont="1" applyBorder="1" applyAlignment="1" applyProtection="1">
      <alignment horizontal="center" vertical="center"/>
    </xf>
    <xf numFmtId="0" fontId="9" fillId="0" borderId="34" xfId="1" applyFont="1" applyBorder="1" applyAlignment="1" applyProtection="1">
      <alignment horizontal="center" vertical="center" justifyLastLine="1"/>
    </xf>
    <xf numFmtId="49" fontId="64" fillId="0" borderId="0" xfId="1" applyNumberFormat="1" applyFont="1" applyFill="1" applyBorder="1" applyAlignment="1" applyProtection="1">
      <alignment horizontal="center" vertical="center"/>
    </xf>
    <xf numFmtId="0" fontId="64" fillId="0" borderId="0" xfId="1" applyFont="1" applyFill="1" applyBorder="1" applyAlignment="1" applyProtection="1">
      <alignment horizontal="center" vertical="center"/>
    </xf>
    <xf numFmtId="0" fontId="9" fillId="0" borderId="2" xfId="1" applyFont="1" applyBorder="1" applyAlignment="1" applyProtection="1">
      <alignment horizontal="center" vertical="center" justifyLastLine="1"/>
    </xf>
    <xf numFmtId="0" fontId="9" fillId="0" borderId="3" xfId="1" applyFont="1" applyBorder="1" applyAlignment="1" applyProtection="1">
      <alignment horizontal="center" vertical="center" justifyLastLine="1"/>
    </xf>
    <xf numFmtId="0" fontId="65" fillId="0" borderId="1" xfId="5" applyFont="1" applyFill="1" applyBorder="1" applyAlignment="1" applyProtection="1">
      <alignment horizontal="center" vertical="center"/>
    </xf>
    <xf numFmtId="0" fontId="65" fillId="0" borderId="5" xfId="5" applyFont="1" applyFill="1" applyBorder="1" applyAlignment="1" applyProtection="1">
      <alignment horizontal="center" vertical="center"/>
    </xf>
    <xf numFmtId="0" fontId="65" fillId="0" borderId="106" xfId="5" applyFont="1" applyFill="1" applyBorder="1" applyAlignment="1" applyProtection="1">
      <alignment horizontal="center" vertical="center"/>
    </xf>
    <xf numFmtId="0" fontId="65" fillId="0" borderId="2" xfId="5" applyFont="1" applyFill="1" applyBorder="1" applyAlignment="1" applyProtection="1">
      <alignment horizontal="center" vertical="center"/>
    </xf>
    <xf numFmtId="0" fontId="65" fillId="0" borderId="3" xfId="5" applyFont="1" applyFill="1" applyBorder="1" applyAlignment="1" applyProtection="1">
      <alignment horizontal="center" vertical="center"/>
    </xf>
    <xf numFmtId="0" fontId="65" fillId="0" borderId="4" xfId="5" applyFont="1" applyFill="1" applyBorder="1" applyAlignment="1" applyProtection="1">
      <alignment horizontal="center" vertical="center"/>
    </xf>
    <xf numFmtId="0" fontId="9" fillId="0" borderId="31" xfId="1" applyFont="1" applyBorder="1" applyAlignment="1" applyProtection="1">
      <alignment horizontal="center" vertical="center" wrapText="1"/>
    </xf>
    <xf numFmtId="0" fontId="9" fillId="0" borderId="497" xfId="1" applyFont="1" applyBorder="1" applyAlignment="1" applyProtection="1">
      <alignment horizontal="center" vertical="center" wrapText="1"/>
    </xf>
    <xf numFmtId="0" fontId="9" fillId="0" borderId="500" xfId="1" applyFont="1" applyBorder="1" applyAlignment="1" applyProtection="1">
      <alignment horizontal="center" vertical="center" wrapText="1"/>
    </xf>
    <xf numFmtId="0" fontId="9" fillId="0" borderId="462" xfId="1" applyFont="1" applyBorder="1" applyAlignment="1" applyProtection="1">
      <alignment horizontal="center" vertical="center"/>
    </xf>
    <xf numFmtId="0" fontId="9" fillId="0" borderId="113" xfId="1" applyFont="1" applyBorder="1" applyAlignment="1" applyProtection="1">
      <alignment horizontal="center" vertical="center" shrinkToFit="1"/>
    </xf>
    <xf numFmtId="0" fontId="9" fillId="0" borderId="60" xfId="1" applyFont="1" applyBorder="1" applyAlignment="1" applyProtection="1">
      <alignment horizontal="center" vertical="center" shrinkToFit="1"/>
    </xf>
    <xf numFmtId="0" fontId="9" fillId="0" borderId="498" xfId="1" applyFont="1" applyBorder="1" applyAlignment="1" applyProtection="1">
      <alignment horizontal="center" vertical="center" shrinkToFit="1"/>
    </xf>
    <xf numFmtId="0" fontId="45" fillId="0" borderId="1" xfId="5" applyFont="1" applyFill="1" applyBorder="1" applyAlignment="1" applyProtection="1">
      <alignment horizontal="center" vertical="center" wrapText="1" shrinkToFit="1"/>
    </xf>
    <xf numFmtId="0" fontId="45" fillId="0" borderId="106" xfId="5" applyFont="1" applyFill="1" applyBorder="1" applyAlignment="1" applyProtection="1">
      <alignment horizontal="center" vertical="center" wrapText="1" shrinkToFit="1"/>
    </xf>
    <xf numFmtId="0" fontId="65" fillId="0" borderId="1" xfId="5" applyFont="1" applyFill="1" applyBorder="1" applyAlignment="1" applyProtection="1">
      <alignment horizontal="center" vertical="center" wrapText="1" shrinkToFit="1"/>
    </xf>
    <xf numFmtId="0" fontId="65" fillId="0" borderId="106" xfId="5" applyFont="1" applyFill="1" applyBorder="1" applyAlignment="1" applyProtection="1">
      <alignment horizontal="center" vertical="center" wrapText="1" shrinkToFit="1"/>
    </xf>
    <xf numFmtId="0" fontId="9" fillId="0" borderId="156" xfId="1" applyFont="1" applyBorder="1" applyAlignment="1" applyProtection="1">
      <alignment horizontal="center" vertical="top"/>
    </xf>
    <xf numFmtId="0" fontId="65" fillId="0" borderId="3" xfId="5" applyFont="1" applyFill="1" applyBorder="1" applyAlignment="1" applyProtection="1">
      <alignment horizontal="center" vertical="center" justifyLastLine="1"/>
    </xf>
    <xf numFmtId="0" fontId="65" fillId="0" borderId="4" xfId="5" applyFont="1" applyFill="1" applyBorder="1" applyAlignment="1" applyProtection="1">
      <alignment horizontal="center" vertical="center" justifyLastLine="1"/>
    </xf>
    <xf numFmtId="0" fontId="65" fillId="0" borderId="2" xfId="5" applyFont="1" applyFill="1" applyBorder="1" applyAlignment="1" applyProtection="1">
      <alignment horizontal="center" vertical="center" justifyLastLine="1"/>
    </xf>
    <xf numFmtId="0" fontId="31" fillId="0" borderId="78" xfId="1" applyFont="1" applyBorder="1" applyAlignment="1" applyProtection="1">
      <alignment horizontal="center" vertical="center" wrapText="1" justifyLastLine="1"/>
    </xf>
    <xf numFmtId="0" fontId="31" fillId="0" borderId="501" xfId="1" applyFont="1" applyBorder="1" applyAlignment="1" applyProtection="1">
      <alignment horizontal="center" vertical="center" wrapText="1" justifyLastLine="1"/>
    </xf>
    <xf numFmtId="0" fontId="31" fillId="0" borderId="502" xfId="1" applyFont="1" applyBorder="1" applyAlignment="1" applyProtection="1">
      <alignment horizontal="center" vertical="center" justifyLastLine="1"/>
    </xf>
    <xf numFmtId="0" fontId="31" fillId="0" borderId="78" xfId="1" applyFont="1" applyBorder="1" applyAlignment="1" applyProtection="1">
      <alignment horizontal="center" vertical="center" justifyLastLine="1"/>
    </xf>
    <xf numFmtId="0" fontId="31" fillId="0" borderId="503" xfId="1" applyFont="1" applyBorder="1" applyAlignment="1" applyProtection="1">
      <alignment horizontal="center" vertical="center" justifyLastLine="1"/>
    </xf>
    <xf numFmtId="0" fontId="65" fillId="0" borderId="16" xfId="5" applyFont="1" applyFill="1" applyBorder="1" applyAlignment="1" applyProtection="1">
      <alignment horizontal="center" vertical="center"/>
    </xf>
    <xf numFmtId="0" fontId="9" fillId="0" borderId="67" xfId="1" applyFont="1" applyFill="1" applyBorder="1" applyAlignment="1" applyProtection="1">
      <alignment horizontal="distributed" vertical="center" wrapText="1" justifyLastLine="1"/>
    </xf>
    <xf numFmtId="0" fontId="9" fillId="0" borderId="68" xfId="1" applyFont="1" applyFill="1" applyBorder="1" applyAlignment="1" applyProtection="1">
      <alignment horizontal="distributed" vertical="center" wrapText="1" justifyLastLine="1"/>
    </xf>
    <xf numFmtId="0" fontId="9" fillId="0" borderId="508" xfId="1" applyFont="1" applyFill="1" applyBorder="1" applyAlignment="1" applyProtection="1">
      <alignment horizontal="distributed" vertical="center" wrapText="1" justifyLastLine="1"/>
    </xf>
    <xf numFmtId="0" fontId="57" fillId="0" borderId="25" xfId="1" applyFont="1" applyFill="1" applyBorder="1" applyAlignment="1" applyProtection="1">
      <alignment horizontal="left" vertical="center" wrapText="1"/>
    </xf>
    <xf numFmtId="0" fontId="57" fillId="0" borderId="0" xfId="1" applyFont="1" applyFill="1" applyBorder="1" applyAlignment="1" applyProtection="1">
      <alignment horizontal="left" vertical="center" wrapText="1"/>
    </xf>
    <xf numFmtId="0" fontId="9" fillId="0" borderId="31" xfId="1" applyFont="1" applyBorder="1" applyAlignment="1" applyProtection="1">
      <alignment horizontal="distributed" vertical="center" wrapText="1" justifyLastLine="1"/>
    </xf>
    <xf numFmtId="0" fontId="57" fillId="0" borderId="30" xfId="1" applyFont="1" applyBorder="1" applyAlignment="1" applyProtection="1">
      <alignment horizontal="left" vertical="center" wrapText="1"/>
    </xf>
    <xf numFmtId="0" fontId="57" fillId="0" borderId="18" xfId="1" applyFont="1" applyBorder="1" applyAlignment="1" applyProtection="1">
      <alignment horizontal="left" vertical="center" wrapText="1"/>
    </xf>
    <xf numFmtId="0" fontId="57" fillId="0" borderId="19" xfId="1" applyFont="1" applyBorder="1" applyAlignment="1" applyProtection="1">
      <alignment horizontal="left" vertical="center" wrapText="1"/>
    </xf>
    <xf numFmtId="0" fontId="65" fillId="0" borderId="106" xfId="5" applyFont="1" applyFill="1" applyBorder="1" applyAlignment="1" applyProtection="1">
      <alignment horizontal="center" vertical="distributed" textRotation="255" justifyLastLine="1"/>
    </xf>
    <xf numFmtId="0" fontId="9" fillId="0" borderId="55" xfId="1" applyFont="1" applyFill="1" applyBorder="1" applyAlignment="1" applyProtection="1">
      <alignment horizontal="distributed" vertical="center" wrapText="1" justifyLastLine="1"/>
    </xf>
    <xf numFmtId="0" fontId="9" fillId="0" borderId="3" xfId="1" applyFont="1" applyFill="1" applyBorder="1" applyAlignment="1" applyProtection="1">
      <alignment horizontal="distributed" vertical="center" wrapText="1" justifyLastLine="1"/>
    </xf>
    <xf numFmtId="0" fontId="9" fillId="0" borderId="4" xfId="1" applyFont="1" applyFill="1" applyBorder="1" applyAlignment="1" applyProtection="1">
      <alignment horizontal="distributed" vertical="center" wrapText="1" justifyLastLine="1"/>
    </xf>
    <xf numFmtId="0" fontId="57" fillId="0" borderId="16" xfId="1" applyFont="1" applyFill="1" applyBorder="1" applyAlignment="1" applyProtection="1">
      <alignment horizontal="left" vertical="center" wrapText="1"/>
    </xf>
    <xf numFmtId="0" fontId="57" fillId="0" borderId="23" xfId="1" applyFont="1" applyFill="1" applyBorder="1" applyAlignment="1" applyProtection="1">
      <alignment horizontal="left" vertical="center" wrapText="1"/>
    </xf>
    <xf numFmtId="0" fontId="9" fillId="0" borderId="23" xfId="1" applyFont="1" applyBorder="1" applyAlignment="1" applyProtection="1">
      <alignment horizontal="distributed" vertical="center" wrapText="1" justifyLastLine="1"/>
    </xf>
    <xf numFmtId="0" fontId="9" fillId="0" borderId="24" xfId="1" applyFont="1" applyBorder="1" applyAlignment="1" applyProtection="1">
      <alignment horizontal="distributed" vertical="center" justifyLastLine="1"/>
    </xf>
    <xf numFmtId="0" fontId="57" fillId="0" borderId="16" xfId="1" applyFont="1" applyBorder="1" applyAlignment="1" applyProtection="1">
      <alignment horizontal="left" vertical="center" wrapText="1"/>
    </xf>
    <xf numFmtId="0" fontId="57" fillId="0" borderId="23" xfId="1" applyFont="1" applyBorder="1" applyAlignment="1" applyProtection="1">
      <alignment horizontal="left" vertical="center" wrapText="1"/>
    </xf>
    <xf numFmtId="0" fontId="57" fillId="0" borderId="74" xfId="1" applyFont="1" applyBorder="1" applyAlignment="1" applyProtection="1">
      <alignment horizontal="left" vertical="center" wrapText="1"/>
    </xf>
    <xf numFmtId="0" fontId="9" fillId="0" borderId="73" xfId="1" applyFont="1" applyFill="1" applyBorder="1" applyAlignment="1" applyProtection="1">
      <alignment horizontal="distributed" vertical="center" wrapText="1" justifyLastLine="1"/>
    </xf>
    <xf numFmtId="0" fontId="9" fillId="0" borderId="23" xfId="1" applyFont="1" applyFill="1" applyBorder="1" applyAlignment="1" applyProtection="1">
      <alignment horizontal="distributed" vertical="center" justifyLastLine="1"/>
    </xf>
    <xf numFmtId="0" fontId="9" fillId="0" borderId="24" xfId="1" applyFont="1" applyFill="1" applyBorder="1" applyAlignment="1" applyProtection="1">
      <alignment horizontal="distributed" vertical="center" justifyLastLine="1"/>
    </xf>
    <xf numFmtId="0" fontId="57" fillId="0" borderId="6" xfId="1" applyFont="1" applyBorder="1" applyAlignment="1" applyProtection="1">
      <alignment horizontal="left" vertical="center" wrapText="1"/>
    </xf>
    <xf numFmtId="0" fontId="57" fillId="0" borderId="119" xfId="1" applyFont="1" applyBorder="1" applyAlignment="1" applyProtection="1">
      <alignment horizontal="left" vertical="center" wrapText="1"/>
    </xf>
    <xf numFmtId="0" fontId="57" fillId="0" borderId="74" xfId="1" applyFont="1" applyFill="1" applyBorder="1" applyAlignment="1" applyProtection="1">
      <alignment horizontal="left" vertical="center" wrapText="1"/>
    </xf>
    <xf numFmtId="0" fontId="9" fillId="0" borderId="23" xfId="1" applyFont="1" applyFill="1" applyBorder="1" applyAlignment="1" applyProtection="1">
      <alignment horizontal="distributed" vertical="center" wrapText="1" justifyLastLine="1"/>
    </xf>
    <xf numFmtId="0" fontId="9" fillId="0" borderId="24" xfId="1" applyFont="1" applyFill="1" applyBorder="1" applyAlignment="1" applyProtection="1">
      <alignment horizontal="distributed" vertical="center" wrapText="1" justifyLastLine="1"/>
    </xf>
    <xf numFmtId="0" fontId="9" fillId="0" borderId="24" xfId="1" applyFont="1" applyBorder="1" applyAlignment="1" applyProtection="1">
      <alignment horizontal="distributed" vertical="center" wrapText="1" justifyLastLine="1"/>
    </xf>
    <xf numFmtId="0" fontId="9" fillId="0" borderId="92" xfId="1" applyFont="1" applyBorder="1" applyAlignment="1" applyProtection="1">
      <alignment horizontal="distributed" vertical="center" wrapText="1" justifyLastLine="1"/>
    </xf>
    <xf numFmtId="0" fontId="9" fillId="0" borderId="93" xfId="1" applyFont="1" applyBorder="1" applyAlignment="1" applyProtection="1">
      <alignment horizontal="distributed" vertical="center" justifyLastLine="1"/>
    </xf>
    <xf numFmtId="0" fontId="9" fillId="0" borderId="442" xfId="1" applyFont="1" applyBorder="1" applyAlignment="1" applyProtection="1">
      <alignment horizontal="distributed" vertical="center" justifyLastLine="1"/>
    </xf>
    <xf numFmtId="0" fontId="9" fillId="0" borderId="523" xfId="1" applyFont="1" applyFill="1" applyBorder="1" applyAlignment="1" applyProtection="1">
      <alignment horizontal="distributed" vertical="center" wrapText="1" justifyLastLine="1"/>
    </xf>
    <xf numFmtId="0" fontId="9" fillId="0" borderId="524" xfId="1" applyFont="1" applyFill="1" applyBorder="1" applyAlignment="1" applyProtection="1">
      <alignment horizontal="distributed" vertical="center" justifyLastLine="1"/>
    </xf>
    <xf numFmtId="0" fontId="9" fillId="0" borderId="525" xfId="1" applyFont="1" applyFill="1" applyBorder="1" applyAlignment="1" applyProtection="1">
      <alignment horizontal="distributed" vertical="center" justifyLastLine="1"/>
    </xf>
    <xf numFmtId="0" fontId="57" fillId="0" borderId="526" xfId="1" applyFont="1" applyFill="1" applyBorder="1" applyAlignment="1" applyProtection="1">
      <alignment horizontal="left" vertical="center" wrapText="1"/>
    </xf>
    <xf numFmtId="0" fontId="57" fillId="0" borderId="524" xfId="1" applyFont="1" applyFill="1" applyBorder="1" applyAlignment="1" applyProtection="1">
      <alignment horizontal="left" vertical="center" wrapText="1"/>
    </xf>
    <xf numFmtId="0" fontId="9" fillId="0" borderId="524" xfId="1" applyFont="1" applyBorder="1" applyAlignment="1" applyProtection="1">
      <alignment horizontal="distributed" vertical="center" wrapText="1" justifyLastLine="1"/>
    </xf>
    <xf numFmtId="0" fontId="9" fillId="0" borderId="524" xfId="1" applyFont="1" applyBorder="1" applyAlignment="1" applyProtection="1">
      <alignment horizontal="distributed" vertical="center" justifyLastLine="1"/>
    </xf>
    <xf numFmtId="0" fontId="9" fillId="0" borderId="525" xfId="1" applyFont="1" applyBorder="1" applyAlignment="1" applyProtection="1">
      <alignment horizontal="distributed" vertical="center" justifyLastLine="1"/>
    </xf>
    <xf numFmtId="0" fontId="57" fillId="0" borderId="526" xfId="1" applyFont="1" applyBorder="1" applyAlignment="1" applyProtection="1">
      <alignment horizontal="left" vertical="center" wrapText="1"/>
    </xf>
    <xf numFmtId="0" fontId="57" fillId="0" borderId="524" xfId="1" applyFont="1" applyBorder="1" applyAlignment="1" applyProtection="1">
      <alignment horizontal="left" vertical="center" wrapText="1"/>
    </xf>
    <xf numFmtId="0" fontId="57" fillId="0" borderId="532" xfId="1" applyFont="1" applyBorder="1" applyAlignment="1" applyProtection="1">
      <alignment horizontal="left" vertical="center" wrapText="1"/>
    </xf>
    <xf numFmtId="0" fontId="3" fillId="0" borderId="3" xfId="1" applyFill="1" applyBorder="1" applyAlignment="1" applyProtection="1">
      <alignment horizontal="center" vertical="center"/>
    </xf>
    <xf numFmtId="0" fontId="3" fillId="0" borderId="4" xfId="1" applyFill="1" applyBorder="1" applyAlignment="1" applyProtection="1">
      <alignment horizontal="center" vertical="center"/>
    </xf>
    <xf numFmtId="0" fontId="3" fillId="0" borderId="20" xfId="1" applyFont="1" applyBorder="1" applyAlignment="1" applyProtection="1">
      <alignment horizontal="center" vertical="center" wrapText="1"/>
    </xf>
    <xf numFmtId="0" fontId="3" fillId="0" borderId="21" xfId="1" applyFont="1" applyBorder="1" applyAlignment="1" applyProtection="1">
      <alignment horizontal="center" vertical="center" wrapText="1"/>
    </xf>
    <xf numFmtId="0" fontId="65" fillId="0" borderId="6" xfId="1" applyFont="1" applyFill="1" applyBorder="1" applyAlignment="1" applyProtection="1">
      <alignment horizontal="center" vertical="center" textRotation="255"/>
    </xf>
    <xf numFmtId="0" fontId="59" fillId="0" borderId="534" xfId="1" applyFont="1" applyBorder="1" applyAlignment="1" applyProtection="1">
      <alignment horizontal="center" vertical="center"/>
    </xf>
    <xf numFmtId="0" fontId="3" fillId="0" borderId="442" xfId="1" applyBorder="1" applyAlignment="1" applyProtection="1"/>
    <xf numFmtId="0" fontId="65" fillId="0" borderId="6" xfId="5" applyFont="1" applyFill="1" applyBorder="1" applyAlignment="1" applyProtection="1">
      <alignment horizontal="center" vertical="center"/>
    </xf>
    <xf numFmtId="38" fontId="7" fillId="7" borderId="535" xfId="2" applyFont="1" applyFill="1" applyBorder="1" applyAlignment="1" applyProtection="1">
      <alignment horizontal="right" vertical="center" shrinkToFit="1"/>
      <protection locked="0"/>
    </xf>
    <xf numFmtId="0" fontId="3" fillId="0" borderId="536" xfId="1" applyBorder="1" applyAlignment="1" applyProtection="1">
      <alignment shrinkToFit="1"/>
      <protection locked="0"/>
    </xf>
    <xf numFmtId="0" fontId="3" fillId="0" borderId="17" xfId="1" applyFont="1" applyBorder="1" applyAlignment="1" applyProtection="1">
      <alignment horizontal="distributed" vertical="center" indent="1"/>
    </xf>
    <xf numFmtId="0" fontId="3" fillId="0" borderId="18" xfId="1" applyFont="1" applyBorder="1" applyAlignment="1" applyProtection="1">
      <alignment horizontal="distributed" vertical="center" indent="1"/>
    </xf>
    <xf numFmtId="0" fontId="3" fillId="0" borderId="19" xfId="1" applyFont="1" applyBorder="1" applyAlignment="1" applyProtection="1">
      <alignment horizontal="distributed" vertical="center" indent="1"/>
    </xf>
    <xf numFmtId="0" fontId="3" fillId="0" borderId="20" xfId="1" applyFont="1" applyBorder="1" applyAlignment="1" applyProtection="1">
      <alignment horizontal="distributed" vertical="center" indent="1"/>
    </xf>
    <xf numFmtId="0" fontId="3" fillId="0" borderId="21" xfId="1" applyFont="1" applyBorder="1" applyAlignment="1" applyProtection="1">
      <alignment horizontal="distributed" vertical="center" indent="1"/>
    </xf>
    <xf numFmtId="0" fontId="3" fillId="0" borderId="22" xfId="1" applyFont="1" applyBorder="1" applyAlignment="1" applyProtection="1">
      <alignment horizontal="distributed" vertical="center" indent="1"/>
    </xf>
    <xf numFmtId="0" fontId="45" fillId="0" borderId="50" xfId="1" applyFont="1" applyBorder="1" applyAlignment="1" applyProtection="1">
      <alignment horizontal="center" vertical="center" wrapText="1" justifyLastLine="1"/>
    </xf>
    <xf numFmtId="0" fontId="45" fillId="0" borderId="129" xfId="1" applyFont="1" applyBorder="1" applyAlignment="1" applyProtection="1">
      <alignment horizontal="center" vertical="center" wrapText="1" justifyLastLine="1"/>
    </xf>
    <xf numFmtId="0" fontId="65" fillId="0" borderId="537" xfId="1" applyFont="1" applyBorder="1" applyAlignment="1" applyProtection="1">
      <alignment horizontal="center"/>
    </xf>
    <xf numFmtId="0" fontId="3" fillId="0" borderId="538" xfId="1" applyBorder="1" applyAlignment="1" applyProtection="1">
      <alignment horizontal="center"/>
    </xf>
    <xf numFmtId="0" fontId="3" fillId="0" borderId="539" xfId="1" applyBorder="1" applyAlignment="1" applyProtection="1">
      <alignment horizontal="center"/>
    </xf>
    <xf numFmtId="0" fontId="3" fillId="0" borderId="540" xfId="1" applyBorder="1" applyAlignment="1" applyProtection="1">
      <alignment horizontal="center"/>
    </xf>
    <xf numFmtId="0" fontId="3" fillId="0" borderId="243" xfId="1" applyBorder="1" applyAlignment="1" applyProtection="1">
      <alignment horizontal="center"/>
    </xf>
    <xf numFmtId="0" fontId="3" fillId="0" borderId="205" xfId="1" applyBorder="1" applyAlignment="1" applyProtection="1">
      <alignment horizontal="center"/>
    </xf>
    <xf numFmtId="0" fontId="65" fillId="0" borderId="6" xfId="5" applyFont="1" applyFill="1" applyBorder="1" applyAlignment="1" applyProtection="1">
      <alignment horizontal="center" vertical="center" justifyLastLine="1"/>
    </xf>
    <xf numFmtId="0" fontId="3" fillId="0" borderId="67" xfId="1" applyFont="1" applyBorder="1" applyAlignment="1" applyProtection="1">
      <alignment horizontal="center" vertical="center"/>
    </xf>
    <xf numFmtId="0" fontId="3" fillId="0" borderId="68" xfId="1" applyFont="1" applyBorder="1" applyAlignment="1" applyProtection="1">
      <alignment horizontal="center" vertical="center"/>
    </xf>
    <xf numFmtId="0" fontId="65" fillId="0" borderId="5" xfId="5" applyFont="1" applyFill="1" applyBorder="1" applyAlignment="1" applyProtection="1">
      <alignment horizontal="center" vertical="center" shrinkToFit="1"/>
    </xf>
    <xf numFmtId="0" fontId="65" fillId="0" borderId="106" xfId="5" applyFont="1" applyFill="1" applyBorder="1" applyAlignment="1" applyProtection="1">
      <alignment horizontal="center" vertical="center" shrinkToFit="1"/>
    </xf>
    <xf numFmtId="0" fontId="65" fillId="0" borderId="156" xfId="1" applyFont="1" applyFill="1" applyBorder="1" applyAlignment="1" applyProtection="1">
      <alignment horizontal="center"/>
    </xf>
    <xf numFmtId="0" fontId="9" fillId="0" borderId="0" xfId="7" applyFont="1" applyAlignment="1">
      <alignment horizontal="left" vertical="center" shrinkToFit="1"/>
    </xf>
    <xf numFmtId="0" fontId="9" fillId="9" borderId="28" xfId="7" applyFont="1" applyFill="1" applyBorder="1" applyAlignment="1">
      <alignment horizontal="center" vertical="center" wrapText="1"/>
    </xf>
    <xf numFmtId="0" fontId="3" fillId="2" borderId="28" xfId="1" applyFont="1" applyFill="1" applyBorder="1" applyAlignment="1">
      <alignment horizontal="center" vertical="center"/>
    </xf>
    <xf numFmtId="0" fontId="3" fillId="2" borderId="0" xfId="1" applyFont="1" applyFill="1" applyBorder="1" applyAlignment="1">
      <alignment horizontal="center" vertical="center"/>
    </xf>
    <xf numFmtId="0" fontId="9" fillId="0" borderId="6" xfId="7" applyFont="1" applyFill="1" applyBorder="1" applyAlignment="1">
      <alignment horizontal="center" vertical="center" textRotation="255"/>
    </xf>
    <xf numFmtId="0" fontId="9" fillId="0" borderId="1" xfId="1" applyFont="1" applyBorder="1" applyAlignment="1">
      <alignment horizontal="center" vertical="center" textRotation="255" wrapText="1"/>
    </xf>
    <xf numFmtId="0" fontId="9" fillId="0" borderId="5" xfId="1" applyFont="1" applyBorder="1" applyAlignment="1">
      <alignment horizontal="center" vertical="center" textRotation="255" wrapText="1"/>
    </xf>
    <xf numFmtId="0" fontId="9" fillId="0" borderId="106" xfId="1" applyFont="1" applyBorder="1" applyAlignment="1">
      <alignment horizontal="center" vertical="center" textRotation="255" wrapText="1"/>
    </xf>
    <xf numFmtId="0" fontId="9" fillId="0" borderId="1" xfId="7" applyFont="1" applyBorder="1" applyAlignment="1">
      <alignment horizontal="left" vertical="center" wrapText="1" shrinkToFit="1"/>
    </xf>
    <xf numFmtId="0" fontId="9" fillId="0" borderId="5" xfId="7" applyFont="1" applyBorder="1" applyAlignment="1">
      <alignment horizontal="left" vertical="center" wrapText="1" shrinkToFit="1"/>
    </xf>
    <xf numFmtId="0" fontId="9" fillId="0" borderId="106" xfId="7" applyFont="1" applyBorder="1" applyAlignment="1">
      <alignment horizontal="left" vertical="center" wrapText="1" shrinkToFit="1"/>
    </xf>
    <xf numFmtId="0" fontId="9" fillId="0" borderId="23" xfId="9" applyNumberFormat="1" applyFont="1" applyFill="1" applyBorder="1" applyAlignment="1">
      <alignment horizontal="left" vertical="top" wrapText="1"/>
    </xf>
    <xf numFmtId="0" fontId="9" fillId="0" borderId="0" xfId="9" applyNumberFormat="1" applyFont="1" applyFill="1" applyBorder="1" applyAlignment="1">
      <alignment horizontal="left" vertical="top" wrapText="1"/>
    </xf>
    <xf numFmtId="0" fontId="9" fillId="0" borderId="6" xfId="7" applyFont="1" applyBorder="1" applyAlignment="1">
      <alignment horizontal="center" vertical="center" textRotation="255"/>
    </xf>
    <xf numFmtId="0" fontId="3" fillId="0" borderId="5" xfId="1" applyFont="1" applyBorder="1" applyAlignment="1">
      <alignment horizontal="left" vertical="center" wrapText="1" shrinkToFit="1"/>
    </xf>
    <xf numFmtId="0" fontId="3" fillId="0" borderId="106" xfId="1" applyFont="1" applyBorder="1" applyAlignment="1">
      <alignment horizontal="left" vertical="center" wrapText="1" shrinkToFit="1"/>
    </xf>
    <xf numFmtId="0" fontId="9" fillId="0" borderId="1" xfId="7" applyFont="1" applyFill="1" applyBorder="1" applyAlignment="1">
      <alignment horizontal="center" vertical="center"/>
    </xf>
    <xf numFmtId="0" fontId="9" fillId="0" borderId="5" xfId="7" applyFont="1" applyFill="1" applyBorder="1" applyAlignment="1">
      <alignment horizontal="center" vertical="center"/>
    </xf>
    <xf numFmtId="0" fontId="9" fillId="0" borderId="106" xfId="7" applyFont="1" applyFill="1" applyBorder="1" applyAlignment="1">
      <alignment horizontal="center" vertical="center"/>
    </xf>
    <xf numFmtId="0" fontId="9" fillId="0" borderId="1" xfId="1" applyFont="1" applyBorder="1" applyAlignment="1">
      <alignment horizontal="center" vertical="center" wrapText="1"/>
    </xf>
    <xf numFmtId="0" fontId="9" fillId="0" borderId="5" xfId="1" applyFont="1" applyBorder="1" applyAlignment="1">
      <alignment horizontal="center" vertical="center" wrapText="1"/>
    </xf>
    <xf numFmtId="0" fontId="9" fillId="0" borderId="106" xfId="1" applyFont="1" applyBorder="1" applyAlignment="1">
      <alignment horizontal="center" vertical="center" wrapText="1"/>
    </xf>
    <xf numFmtId="0" fontId="9" fillId="0" borderId="1" xfId="7" applyFont="1" applyFill="1" applyBorder="1" applyAlignment="1">
      <alignment horizontal="center" vertical="center" wrapText="1"/>
    </xf>
    <xf numFmtId="0" fontId="9" fillId="0" borderId="5" xfId="7" applyFont="1" applyFill="1" applyBorder="1" applyAlignment="1">
      <alignment horizontal="center" vertical="center" wrapText="1"/>
    </xf>
    <xf numFmtId="0" fontId="9" fillId="0" borderId="106" xfId="7" applyFont="1" applyFill="1" applyBorder="1" applyAlignment="1">
      <alignment horizontal="center" vertical="center" wrapText="1"/>
    </xf>
    <xf numFmtId="0" fontId="9" fillId="0" borderId="1" xfId="7" applyFont="1" applyBorder="1" applyAlignment="1">
      <alignment horizontal="center" vertical="center"/>
    </xf>
    <xf numFmtId="0" fontId="9" fillId="0" borderId="5" xfId="7" applyFont="1" applyBorder="1" applyAlignment="1">
      <alignment horizontal="center" vertical="center"/>
    </xf>
    <xf numFmtId="0" fontId="9" fillId="0" borderId="106" xfId="7" applyFont="1" applyBorder="1" applyAlignment="1">
      <alignment horizontal="center" vertical="center"/>
    </xf>
    <xf numFmtId="0" fontId="9" fillId="0" borderId="1" xfId="7" applyFont="1" applyBorder="1" applyAlignment="1">
      <alignment horizontal="center" vertical="center" wrapText="1" shrinkToFit="1"/>
    </xf>
    <xf numFmtId="0" fontId="9" fillId="0" borderId="106" xfId="7" applyFont="1" applyBorder="1" applyAlignment="1">
      <alignment horizontal="center" vertical="center" wrapText="1" shrinkToFit="1"/>
    </xf>
    <xf numFmtId="0" fontId="9" fillId="0" borderId="1" xfId="7" applyFont="1" applyBorder="1" applyAlignment="1">
      <alignment horizontal="center" vertical="center" wrapText="1"/>
    </xf>
    <xf numFmtId="0" fontId="9" fillId="0" borderId="5" xfId="7" applyFont="1" applyBorder="1" applyAlignment="1">
      <alignment horizontal="center" vertical="center" wrapText="1"/>
    </xf>
    <xf numFmtId="0" fontId="9" fillId="0" borderId="106" xfId="7" applyFont="1" applyBorder="1" applyAlignment="1">
      <alignment horizontal="center" vertical="center" wrapText="1"/>
    </xf>
    <xf numFmtId="0" fontId="9" fillId="0" borderId="1" xfId="7" applyFont="1" applyFill="1" applyBorder="1" applyAlignment="1">
      <alignment horizontal="center" vertical="center" wrapText="1" shrinkToFit="1"/>
    </xf>
    <xf numFmtId="0" fontId="9" fillId="0" borderId="106" xfId="7" applyFont="1" applyFill="1" applyBorder="1" applyAlignment="1">
      <alignment horizontal="center" vertical="center" wrapText="1" shrinkToFit="1"/>
    </xf>
  </cellXfs>
  <cellStyles count="10">
    <cellStyle name="Normal 4" xfId="6" xr:uid="{00000000-0005-0000-0000-000000000000}"/>
    <cellStyle name="桁区切り 2 2" xfId="2" xr:uid="{00000000-0005-0000-0000-000001000000}"/>
    <cellStyle name="標準" xfId="0" builtinId="0"/>
    <cellStyle name="標準 2" xfId="1" xr:uid="{00000000-0005-0000-0000-000003000000}"/>
    <cellStyle name="標準 5" xfId="4" xr:uid="{00000000-0005-0000-0000-000004000000}"/>
    <cellStyle name="標準 6" xfId="7" xr:uid="{00000000-0005-0000-0000-000005000000}"/>
    <cellStyle name="標準 6 2" xfId="9" xr:uid="{00000000-0005-0000-0000-000006000000}"/>
    <cellStyle name="標準 6 2 2" xfId="8" xr:uid="{00000000-0005-0000-0000-000007000000}"/>
    <cellStyle name="標準 6 3" xfId="3" xr:uid="{00000000-0005-0000-0000-000008000000}"/>
    <cellStyle name="標準_BDA1S0T05201" xfId="5" xr:uid="{00000000-0005-0000-0000-000009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activeX1.xml><?xml version="1.0" encoding="utf-8"?>
<ax:ocx xmlns:ax="http://schemas.microsoft.com/office/2006/activeX" xmlns:r="http://schemas.openxmlformats.org/officeDocument/2006/relationships" ax:classid="{8BD21D10-EC42-11CE-9E0D-00AA006002F3}" r:id="rId1"/>
</file>

<file path=xl/activeX/activeX2.xml><?xml version="1.0" encoding="utf-8"?>
<ax:ocx xmlns:ax="http://schemas.microsoft.com/office/2006/activeX" xmlns:r="http://schemas.openxmlformats.org/officeDocument/2006/relationships" ax:classid="{978C9E23-D4B0-11CE-BF2D-00AA003F40D0}" r:id="rId1"/>
</file>

<file path=xl/activeX/activeX3.xml><?xml version="1.0" encoding="utf-8"?>
<ax:ocx xmlns:ax="http://schemas.microsoft.com/office/2006/activeX" xmlns:r="http://schemas.openxmlformats.org/officeDocument/2006/relationships" ax:classid="{8BD21D10-EC42-11CE-9E0D-00AA006002F3}" r:id="rId1"/>
</file>

<file path=xl/activeX/activeX4.xml><?xml version="1.0" encoding="utf-8"?>
<ax:ocx xmlns:ax="http://schemas.microsoft.com/office/2006/activeX" xmlns:r="http://schemas.openxmlformats.org/officeDocument/2006/relationships" ax:classid="{978C9E23-D4B0-11CE-BF2D-00AA003F40D0}" r:id="rId1"/>
</file>

<file path=xl/activeX/activeX5.xml><?xml version="1.0" encoding="utf-8"?>
<ax:ocx xmlns:ax="http://schemas.microsoft.com/office/2006/activeX" xmlns:r="http://schemas.openxmlformats.org/officeDocument/2006/relationships" ax:classid="{8BD21D10-EC42-11CE-9E0D-00AA006002F3}" r:id="rId1"/>
</file>

<file path=xl/activeX/activeX6.xml><?xml version="1.0" encoding="utf-8"?>
<ax:ocx xmlns:ax="http://schemas.microsoft.com/office/2006/activeX" xmlns:r="http://schemas.openxmlformats.org/officeDocument/2006/relationships" ax:classid="{978C9E23-D4B0-11CE-BF2D-00AA003F40D0}" r:id="rId1"/>
</file>

<file path=xl/activeX/activeX7.xml><?xml version="1.0" encoding="utf-8"?>
<ax:ocx xmlns:ax="http://schemas.microsoft.com/office/2006/activeX" xmlns:r="http://schemas.openxmlformats.org/officeDocument/2006/relationships" ax:classid="{8BD21D60-EC42-11CE-9E0D-00AA006002F3}" r:id="rId1"/>
</file>

<file path=xl/activeX/activeX8.xml><?xml version="1.0" encoding="utf-8"?>
<ax:ocx xmlns:ax="http://schemas.microsoft.com/office/2006/activeX" xmlns:r="http://schemas.openxmlformats.org/officeDocument/2006/relationships" ax:classid="{8BD21D10-EC42-11CE-9E0D-00AA006002F3}" r:id="rId1"/>
</file>

<file path=xl/activeX/activeX9.xml><?xml version="1.0" encoding="utf-8"?>
<ax:ocx xmlns:ax="http://schemas.microsoft.com/office/2006/activeX" xmlns:r="http://schemas.openxmlformats.org/officeDocument/2006/relationships" ax:classid="{978C9E23-D4B0-11CE-BF2D-00AA003F40D0}" r:id="rId1"/>
</file>

<file path=xl/activeX/activeX10.xml><?xml version="1.0" encoding="utf-8"?>
<ax:ocx xmlns:ax="http://schemas.microsoft.com/office/2006/activeX" xmlns:r="http://schemas.openxmlformats.org/officeDocument/2006/relationships" ax:classid="{978C9E23-D4B0-11CE-BF2D-00AA003F40D0}" r:id="rId1"/>
</file>

<file path=xl/activeX/activeX11.xml><?xml version="1.0" encoding="utf-8"?>
<ax:ocx xmlns:ax="http://schemas.microsoft.com/office/2006/activeX" xmlns:r="http://schemas.openxmlformats.org/officeDocument/2006/relationships" ax:classid="{978C9E23-D4B0-11CE-BF2D-00AA003F40D0}" r:id="rId1"/>
</file>

<file path=xl/activeX/activeX12.xml><?xml version="1.0" encoding="utf-8"?>
<ax:ocx xmlns:ax="http://schemas.microsoft.com/office/2006/activeX" xmlns:r="http://schemas.openxmlformats.org/officeDocument/2006/relationships" ax:classid="{8BD21D60-EC42-11CE-9E0D-00AA006002F3}" r:id="rId1"/>
</file>

<file path=xl/activeX/activeX13.xml><?xml version="1.0" encoding="utf-8"?>
<ax:ocx xmlns:ax="http://schemas.microsoft.com/office/2006/activeX" xmlns:r="http://schemas.openxmlformats.org/officeDocument/2006/relationships" ax:classid="{8BD21D10-EC42-11CE-9E0D-00AA006002F3}" r:id="rId1"/>
</file>

<file path=xl/activeX/activeX14.xml><?xml version="1.0" encoding="utf-8"?>
<ax:ocx xmlns:ax="http://schemas.microsoft.com/office/2006/activeX" xmlns:r="http://schemas.openxmlformats.org/officeDocument/2006/relationships" ax:classid="{978C9E23-D4B0-11CE-BF2D-00AA003F40D0}" r:id="rId1"/>
</file>

<file path=xl/activeX/activeX15.xml><?xml version="1.0" encoding="utf-8"?>
<ax:ocx xmlns:ax="http://schemas.microsoft.com/office/2006/activeX" xmlns:r="http://schemas.openxmlformats.org/officeDocument/2006/relationships" ax:classid="{8BD21D10-EC42-11CE-9E0D-00AA006002F3}" r:id="rId1"/>
</file>

<file path=xl/activeX/activeX16.xml><?xml version="1.0" encoding="utf-8"?>
<ax:ocx xmlns:ax="http://schemas.microsoft.com/office/2006/activeX" xmlns:r="http://schemas.openxmlformats.org/officeDocument/2006/relationships" ax:classid="{978C9E23-D4B0-11CE-BF2D-00AA003F40D0}" r:id="rId1"/>
</file>

<file path=xl/activeX/activeX17.xml><?xml version="1.0" encoding="utf-8"?>
<ax:ocx xmlns:ax="http://schemas.microsoft.com/office/2006/activeX" xmlns:r="http://schemas.openxmlformats.org/officeDocument/2006/relationships" ax:classid="{978C9E23-D4B0-11CE-BF2D-00AA003F40D0}" r:id="rId1"/>
</file>

<file path=xl/activeX/activeX18.xml><?xml version="1.0" encoding="utf-8"?>
<ax:ocx xmlns:ax="http://schemas.microsoft.com/office/2006/activeX" xmlns:r="http://schemas.openxmlformats.org/officeDocument/2006/relationships" ax:classid="{978C9E23-D4B0-11CE-BF2D-00AA003F40D0}" r:id="rId1"/>
</file>

<file path=xl/activeX/activeX19.xml><?xml version="1.0" encoding="utf-8"?>
<ax:ocx xmlns:ax="http://schemas.microsoft.com/office/2006/activeX" xmlns:r="http://schemas.openxmlformats.org/officeDocument/2006/relationships" ax:classid="{8BD21D10-EC42-11CE-9E0D-00AA006002F3}" r:id="rId1"/>
</file>

<file path=xl/activeX/activeX20.xml><?xml version="1.0" encoding="utf-8"?>
<ax:ocx xmlns:ax="http://schemas.microsoft.com/office/2006/activeX" xmlns:r="http://schemas.openxmlformats.org/officeDocument/2006/relationships" ax:classid="{978C9E23-D4B0-11CE-BF2D-00AA003F40D0}" r:id="rId1"/>
</file>

<file path=xl/activeX/activeX21.xml><?xml version="1.0" encoding="utf-8"?>
<ax:ocx xmlns:ax="http://schemas.microsoft.com/office/2006/activeX" xmlns:r="http://schemas.openxmlformats.org/officeDocument/2006/relationships" ax:classid="{8BD21D10-EC42-11CE-9E0D-00AA006002F3}" r:id="rId1"/>
</file>

<file path=xl/activeX/activeX22.xml><?xml version="1.0" encoding="utf-8"?>
<ax:ocx xmlns:ax="http://schemas.microsoft.com/office/2006/activeX" xmlns:r="http://schemas.openxmlformats.org/officeDocument/2006/relationships" ax:classid="{978C9E23-D4B0-11CE-BF2D-00AA003F40D0}" r:id="rId1"/>
</file>

<file path=xl/activeX/activeX23.xml><?xml version="1.0" encoding="utf-8"?>
<ax:ocx xmlns:ax="http://schemas.microsoft.com/office/2006/activeX" xmlns:r="http://schemas.openxmlformats.org/officeDocument/2006/relationships" ax:classid="{8BD21D10-EC42-11CE-9E0D-00AA006002F3}" r:id="rId1"/>
</file>

<file path=xl/activeX/activeX24.xml><?xml version="1.0" encoding="utf-8"?>
<ax:ocx xmlns:ax="http://schemas.microsoft.com/office/2006/activeX" xmlns:r="http://schemas.openxmlformats.org/officeDocument/2006/relationships" ax:classid="{978C9E23-D4B0-11CE-BF2D-00AA003F40D0}" r:id="rId1"/>
</file>

<file path=xl/activeX/activeX25.xml><?xml version="1.0" encoding="utf-8"?>
<ax:ocx xmlns:ax="http://schemas.microsoft.com/office/2006/activeX" xmlns:r="http://schemas.openxmlformats.org/officeDocument/2006/relationships" ax:classid="{8BD21D10-EC42-11CE-9E0D-00AA006002F3}" r:id="rId1"/>
</file>

<file path=xl/activeX/activeX26.xml><?xml version="1.0" encoding="utf-8"?>
<ax:ocx xmlns:ax="http://schemas.microsoft.com/office/2006/activeX" xmlns:r="http://schemas.openxmlformats.org/officeDocument/2006/relationships" ax:classid="{978C9E23-D4B0-11CE-BF2D-00AA003F40D0}" r:id="rId1"/>
</file>

<file path=xl/activeX/activeX27.xml><?xml version="1.0" encoding="utf-8"?>
<ax:ocx xmlns:ax="http://schemas.microsoft.com/office/2006/activeX" xmlns:r="http://schemas.openxmlformats.org/officeDocument/2006/relationships" ax:classid="{8BD21D10-EC42-11CE-9E0D-00AA006002F3}" r:id="rId1"/>
</file>

<file path=xl/activeX/activeX28.xml><?xml version="1.0" encoding="utf-8"?>
<ax:ocx xmlns:ax="http://schemas.microsoft.com/office/2006/activeX" xmlns:r="http://schemas.openxmlformats.org/officeDocument/2006/relationships" ax:classid="{978C9E23-D4B0-11CE-BF2D-00AA003F40D0}" r:id="rId1"/>
</file>

<file path=xl/activeX/activeX29.xml><?xml version="1.0" encoding="utf-8"?>
<ax:ocx xmlns:ax="http://schemas.microsoft.com/office/2006/activeX" xmlns:r="http://schemas.openxmlformats.org/officeDocument/2006/relationships" ax:classid="{8BD21D60-EC42-11CE-9E0D-00AA006002F3}" r:id="rId1"/>
</file>

<file path=xl/activeX/activeX30.xml><?xml version="1.0" encoding="utf-8"?>
<ax:ocx xmlns:ax="http://schemas.microsoft.com/office/2006/activeX" xmlns:r="http://schemas.openxmlformats.org/officeDocument/2006/relationships" ax:classid="{8BD21D10-EC42-11CE-9E0D-00AA006002F3}" r:id="rId1"/>
</file>

<file path=xl/activeX/activeX31.xml><?xml version="1.0" encoding="utf-8"?>
<ax:ocx xmlns:ax="http://schemas.microsoft.com/office/2006/activeX" xmlns:r="http://schemas.openxmlformats.org/officeDocument/2006/relationships" ax:classid="{978C9E23-D4B0-11CE-BF2D-00AA003F40D0}" r:id="rId1"/>
</file>

<file path=xl/activeX/activeX32.xml><?xml version="1.0" encoding="utf-8"?>
<ax:ocx xmlns:ax="http://schemas.microsoft.com/office/2006/activeX" xmlns:r="http://schemas.openxmlformats.org/officeDocument/2006/relationships" ax:classid="{978C9E23-D4B0-11CE-BF2D-00AA003F40D0}" r:id="rId1"/>
</file>

<file path=xl/activeX/activeX33.xml><?xml version="1.0" encoding="utf-8"?>
<ax:ocx xmlns:ax="http://schemas.microsoft.com/office/2006/activeX" xmlns:r="http://schemas.openxmlformats.org/officeDocument/2006/relationships" ax:classid="{978C9E23-D4B0-11CE-BF2D-00AA003F40D0}" r:id="rId1"/>
</file>

<file path=xl/activeX/activeX34.xml><?xml version="1.0" encoding="utf-8"?>
<ax:ocx xmlns:ax="http://schemas.microsoft.com/office/2006/activeX" xmlns:r="http://schemas.openxmlformats.org/officeDocument/2006/relationships" ax:classid="{978C9E23-D4B0-11CE-BF2D-00AA003F40D0}" r:id="rId1"/>
</file>

<file path=xl/activeX/activeX35.xml><?xml version="1.0" encoding="utf-8"?>
<ax:ocx xmlns:ax="http://schemas.microsoft.com/office/2006/activeX" xmlns:r="http://schemas.openxmlformats.org/officeDocument/2006/relationships" ax:classid="{978C9E23-D4B0-11CE-BF2D-00AA003F40D0}" r:id="rId1"/>
</file>

<file path=xl/activeX/activeX36.xml><?xml version="1.0" encoding="utf-8"?>
<ax:ocx xmlns:ax="http://schemas.microsoft.com/office/2006/activeX" xmlns:r="http://schemas.openxmlformats.org/officeDocument/2006/relationships" ax:classid="{978C9E23-D4B0-11CE-BF2D-00AA003F40D0}" r:id="rId1"/>
</file>

<file path=xl/activeX/activeX37.xml><?xml version="1.0" encoding="utf-8"?>
<ax:ocx xmlns:ax="http://schemas.microsoft.com/office/2006/activeX" xmlns:r="http://schemas.openxmlformats.org/officeDocument/2006/relationships" ax:classid="{978C9E23-D4B0-11CE-BF2D-00AA003F40D0}" r:id="rId1"/>
</file>

<file path=xl/activeX/activeX38.xml><?xml version="1.0" encoding="utf-8"?>
<ax:ocx xmlns:ax="http://schemas.microsoft.com/office/2006/activeX" xmlns:r="http://schemas.openxmlformats.org/officeDocument/2006/relationships" ax:classid="{978C9E23-D4B0-11CE-BF2D-00AA003F40D0}" r:id="rId1"/>
</file>

<file path=xl/activeX/activeX39.xml><?xml version="1.0" encoding="utf-8"?>
<ax:ocx xmlns:ax="http://schemas.microsoft.com/office/2006/activeX" xmlns:r="http://schemas.openxmlformats.org/officeDocument/2006/relationships" ax:classid="{8BD21D10-EC42-11CE-9E0D-00AA006002F3}" r:id="rId1"/>
</file>

<file path=xl/activeX/activeX40.xml><?xml version="1.0" encoding="utf-8"?>
<ax:ocx xmlns:ax="http://schemas.microsoft.com/office/2006/activeX" xmlns:r="http://schemas.openxmlformats.org/officeDocument/2006/relationships" ax:classid="{978C9E23-D4B0-11CE-BF2D-00AA003F40D0}" r:id="rId1"/>
</file>

<file path=xl/activeX/activeX41.xml><?xml version="1.0" encoding="utf-8"?>
<ax:ocx xmlns:ax="http://schemas.microsoft.com/office/2006/activeX" xmlns:r="http://schemas.openxmlformats.org/officeDocument/2006/relationships" ax:classid="{8BD21D10-EC42-11CE-9E0D-00AA006002F3}" r:id="rId1"/>
</file>

<file path=xl/activeX/activeX42.xml><?xml version="1.0" encoding="utf-8"?>
<ax:ocx xmlns:ax="http://schemas.microsoft.com/office/2006/activeX" xmlns:r="http://schemas.openxmlformats.org/officeDocument/2006/relationships" ax:classid="{978C9E23-D4B0-11CE-BF2D-00AA003F40D0}" r:id="rId1"/>
</file>

<file path=xl/activeX/activeX43.xml><?xml version="1.0" encoding="utf-8"?>
<ax:ocx xmlns:ax="http://schemas.microsoft.com/office/2006/activeX" xmlns:r="http://schemas.openxmlformats.org/officeDocument/2006/relationships" ax:classid="{8BD21D10-EC42-11CE-9E0D-00AA006002F3}" r:id="rId1"/>
</file>

<file path=xl/activeX/activeX44.xml><?xml version="1.0" encoding="utf-8"?>
<ax:ocx xmlns:ax="http://schemas.microsoft.com/office/2006/activeX" xmlns:r="http://schemas.openxmlformats.org/officeDocument/2006/relationships" ax:classid="{978C9E23-D4B0-11CE-BF2D-00AA003F40D0}" r:id="rId1"/>
</file>

<file path=xl/activeX/activeX45.xml><?xml version="1.0" encoding="utf-8"?>
<ax:ocx xmlns:ax="http://schemas.microsoft.com/office/2006/activeX" xmlns:r="http://schemas.openxmlformats.org/officeDocument/2006/relationships" ax:classid="{8BD21D60-EC42-11CE-9E0D-00AA006002F3}" r:id="rId1"/>
</file>

<file path=xl/activeX/activeX46.xml><?xml version="1.0" encoding="utf-8"?>
<ax:ocx xmlns:ax="http://schemas.microsoft.com/office/2006/activeX" xmlns:r="http://schemas.openxmlformats.org/officeDocument/2006/relationships" ax:classid="{8BD21D10-EC42-11CE-9E0D-00AA006002F3}" r:id="rId1"/>
</file>

<file path=xl/activeX/activeX47.xml><?xml version="1.0" encoding="utf-8"?>
<ax:ocx xmlns:ax="http://schemas.microsoft.com/office/2006/activeX" xmlns:r="http://schemas.openxmlformats.org/officeDocument/2006/relationships" ax:classid="{978C9E23-D4B0-11CE-BF2D-00AA003F40D0}" r:id="rId1"/>
</file>

<file path=xl/activeX/activeX48.xml><?xml version="1.0" encoding="utf-8"?>
<ax:ocx xmlns:ax="http://schemas.microsoft.com/office/2006/activeX" xmlns:r="http://schemas.openxmlformats.org/officeDocument/2006/relationships" ax:classid="{978C9E23-D4B0-11CE-BF2D-00AA003F40D0}" r:id="rId1"/>
</file>

<file path=xl/activeX/activeX49.xml><?xml version="1.0" encoding="utf-8"?>
<ax:ocx xmlns:ax="http://schemas.microsoft.com/office/2006/activeX" xmlns:r="http://schemas.openxmlformats.org/officeDocument/2006/relationships" ax:classid="{8BD21D10-EC42-11CE-9E0D-00AA006002F3}" r:id="rId1"/>
</file>

<file path=xl/activeX/activeX50.xml><?xml version="1.0" encoding="utf-8"?>
<ax:ocx xmlns:ax="http://schemas.microsoft.com/office/2006/activeX" xmlns:r="http://schemas.openxmlformats.org/officeDocument/2006/relationships" ax:classid="{978C9E23-D4B0-11CE-BF2D-00AA003F40D0}" r:id="rId1"/>
</file>

<file path=xl/activeX/activeX51.xml><?xml version="1.0" encoding="utf-8"?>
<ax:ocx xmlns:ax="http://schemas.microsoft.com/office/2006/activeX" xmlns:r="http://schemas.openxmlformats.org/officeDocument/2006/relationships" ax:classid="{8BD21D60-EC42-11CE-9E0D-00AA006002F3}" r:id="rId1"/>
</file>

<file path=xl/activeX/activeX52.xml><?xml version="1.0" encoding="utf-8"?>
<ax:ocx xmlns:ax="http://schemas.microsoft.com/office/2006/activeX" xmlns:r="http://schemas.openxmlformats.org/officeDocument/2006/relationships" ax:classid="{8BD21D10-EC42-11CE-9E0D-00AA006002F3}" r:id="rId1"/>
</file>

<file path=xl/activeX/activeX53.xml><?xml version="1.0" encoding="utf-8"?>
<ax:ocx xmlns:ax="http://schemas.microsoft.com/office/2006/activeX" xmlns:r="http://schemas.openxmlformats.org/officeDocument/2006/relationships" ax:classid="{978C9E23-D4B0-11CE-BF2D-00AA003F40D0}" r:id="rId1"/>
</file>

<file path=xl/activeX/activeX54.xml><?xml version="1.0" encoding="utf-8"?>
<ax:ocx xmlns:ax="http://schemas.microsoft.com/office/2006/activeX" xmlns:r="http://schemas.openxmlformats.org/officeDocument/2006/relationships" ax:classid="{978C9E23-D4B0-11CE-BF2D-00AA003F40D0}" r:id="rId1"/>
</file>

<file path=xl/activeX/activeX55.xml><?xml version="1.0" encoding="utf-8"?>
<ax:ocx xmlns:ax="http://schemas.microsoft.com/office/2006/activeX" xmlns:r="http://schemas.openxmlformats.org/officeDocument/2006/relationships" ax:classid="{978C9E23-D4B0-11CE-BF2D-00AA003F40D0}" r:id="rId1"/>
</file>

<file path=xl/activeX/activeX56.xml><?xml version="1.0" encoding="utf-8"?>
<ax:ocx xmlns:ax="http://schemas.microsoft.com/office/2006/activeX" xmlns:r="http://schemas.openxmlformats.org/officeDocument/2006/relationships" ax:classid="{8BD21D60-EC42-11CE-9E0D-00AA006002F3}" r:id="rId1"/>
</file>

<file path=xl/activeX/activeX57.xml><?xml version="1.0" encoding="utf-8"?>
<ax:ocx xmlns:ax="http://schemas.microsoft.com/office/2006/activeX" xmlns:r="http://schemas.openxmlformats.org/officeDocument/2006/relationships" ax:classid="{8BD21D10-EC42-11CE-9E0D-00AA006002F3}" r:id="rId1"/>
</file>

<file path=xl/activeX/activeX58.xml><?xml version="1.0" encoding="utf-8"?>
<ax:ocx xmlns:ax="http://schemas.microsoft.com/office/2006/activeX" xmlns:r="http://schemas.openxmlformats.org/officeDocument/2006/relationships" ax:classid="{978C9E23-D4B0-11CE-BF2D-00AA003F40D0}" r:id="rId1"/>
</file>

<file path=xl/activeX/activeX59.xml><?xml version="1.0" encoding="utf-8"?>
<ax:ocx xmlns:ax="http://schemas.microsoft.com/office/2006/activeX" xmlns:r="http://schemas.openxmlformats.org/officeDocument/2006/relationships" ax:classid="{8BD21D10-EC42-11CE-9E0D-00AA006002F3}" r:id="rId1"/>
</file>

<file path=xl/activeX/activeX60.xml><?xml version="1.0" encoding="utf-8"?>
<ax:ocx xmlns:ax="http://schemas.microsoft.com/office/2006/activeX" xmlns:r="http://schemas.openxmlformats.org/officeDocument/2006/relationships" ax:classid="{978C9E23-D4B0-11CE-BF2D-00AA003F40D0}" r:id="rId1"/>
</file>

<file path=xl/activeX/activeX61.xml><?xml version="1.0" encoding="utf-8"?>
<ax:ocx xmlns:ax="http://schemas.microsoft.com/office/2006/activeX" xmlns:r="http://schemas.openxmlformats.org/officeDocument/2006/relationships" ax:classid="{8BD21D60-EC42-11CE-9E0D-00AA006002F3}" r:id="rId1"/>
</file>

<file path=xl/activeX/activeX62.xml><?xml version="1.0" encoding="utf-8"?>
<ax:ocx xmlns:ax="http://schemas.microsoft.com/office/2006/activeX" xmlns:r="http://schemas.openxmlformats.org/officeDocument/2006/relationships" ax:classid="{8BD21D10-EC42-11CE-9E0D-00AA006002F3}" r:id="rId1"/>
</file>

<file path=xl/activeX/activeX63.xml><?xml version="1.0" encoding="utf-8"?>
<ax:ocx xmlns:ax="http://schemas.microsoft.com/office/2006/activeX" xmlns:r="http://schemas.openxmlformats.org/officeDocument/2006/relationships" ax:classid="{978C9E23-D4B0-11CE-BF2D-00AA003F40D0}" r:id="rId1"/>
</file>

<file path=xl/activeX/activeX64.xml><?xml version="1.0" encoding="utf-8"?>
<ax:ocx xmlns:ax="http://schemas.microsoft.com/office/2006/activeX" xmlns:r="http://schemas.openxmlformats.org/officeDocument/2006/relationships" ax:classid="{978C9E23-D4B0-11CE-BF2D-00AA003F40D0}" r:id="rId1"/>
</file>

<file path=xl/activeX/activeX65.xml><?xml version="1.0" encoding="utf-8"?>
<ax:ocx xmlns:ax="http://schemas.microsoft.com/office/2006/activeX" xmlns:r="http://schemas.openxmlformats.org/officeDocument/2006/relationships" ax:classid="{978C9E23-D4B0-11CE-BF2D-00AA003F40D0}" r:id="rId1"/>
</file>

<file path=xl/activeX/activeX66.xml><?xml version="1.0" encoding="utf-8"?>
<ax:ocx xmlns:ax="http://schemas.microsoft.com/office/2006/activeX" xmlns:r="http://schemas.openxmlformats.org/officeDocument/2006/relationships" ax:classid="{8BD21D60-EC42-11CE-9E0D-00AA006002F3}" r:id="rId1"/>
</file>

<file path=xl/activeX/activeX67.xml><?xml version="1.0" encoding="utf-8"?>
<ax:ocx xmlns:ax="http://schemas.microsoft.com/office/2006/activeX" xmlns:r="http://schemas.openxmlformats.org/officeDocument/2006/relationships" ax:classid="{8BD21D10-EC42-11CE-9E0D-00AA006002F3}" r:id="rId1"/>
</file>

<file path=xl/activeX/activeX68.xml><?xml version="1.0" encoding="utf-8"?>
<ax:ocx xmlns:ax="http://schemas.microsoft.com/office/2006/activeX" xmlns:r="http://schemas.openxmlformats.org/officeDocument/2006/relationships" ax:classid="{978C9E23-D4B0-11CE-BF2D-00AA003F40D0}" r:id="rId1"/>
</file>

<file path=xl/activeX/activeX69.xml><?xml version="1.0" encoding="utf-8"?>
<ax:ocx xmlns:ax="http://schemas.microsoft.com/office/2006/activeX" xmlns:r="http://schemas.openxmlformats.org/officeDocument/2006/relationships" ax:classid="{8BD21D60-EC42-11CE-9E0D-00AA006002F3}" r:id="rId1"/>
</file>

<file path=xl/activeX/activeX70.xml><?xml version="1.0" encoding="utf-8"?>
<ax:ocx xmlns:ax="http://schemas.microsoft.com/office/2006/activeX" xmlns:r="http://schemas.openxmlformats.org/officeDocument/2006/relationships" ax:classid="{8BD21D10-EC42-11CE-9E0D-00AA006002F3}" r:id="rId1"/>
</file>

<file path=xl/activeX/activeX71.xml><?xml version="1.0" encoding="utf-8"?>
<ax:ocx xmlns:ax="http://schemas.microsoft.com/office/2006/activeX" xmlns:r="http://schemas.openxmlformats.org/officeDocument/2006/relationships" ax:classid="{978C9E23-D4B0-11CE-BF2D-00AA003F40D0}" r:id="rId1"/>
</file>

<file path=xl/activeX/activeX72.xml><?xml version="1.0" encoding="utf-8"?>
<ax:ocx xmlns:ax="http://schemas.microsoft.com/office/2006/activeX" xmlns:r="http://schemas.openxmlformats.org/officeDocument/2006/relationships" ax:classid="{8BD21D60-EC42-11CE-9E0D-00AA006002F3}" r:id="rId1"/>
</file>

<file path=xl/activeX/activeX73.xml><?xml version="1.0" encoding="utf-8"?>
<ax:ocx xmlns:ax="http://schemas.microsoft.com/office/2006/activeX" xmlns:r="http://schemas.openxmlformats.org/officeDocument/2006/relationships" ax:classid="{8BD21D10-EC42-11CE-9E0D-00AA006002F3}" r:id="rId1"/>
</file>

<file path=xl/activeX/activeX74.xml><?xml version="1.0" encoding="utf-8"?>
<ax:ocx xmlns:ax="http://schemas.microsoft.com/office/2006/activeX" xmlns:r="http://schemas.openxmlformats.org/officeDocument/2006/relationships" ax:classid="{978C9E23-D4B0-11CE-BF2D-00AA003F40D0}" r:id="rId1"/>
</file>

<file path=xl/activeX/activeX75.xml><?xml version="1.0" encoding="utf-8"?>
<ax:ocx xmlns:ax="http://schemas.microsoft.com/office/2006/activeX" xmlns:r="http://schemas.openxmlformats.org/officeDocument/2006/relationships" ax:classid="{8BD21D60-EC42-11CE-9E0D-00AA006002F3}" r:id="rId1"/>
</file>

<file path=xl/activeX/activeX76.xml><?xml version="1.0" encoding="utf-8"?>
<ax:ocx xmlns:ax="http://schemas.microsoft.com/office/2006/activeX" xmlns:r="http://schemas.openxmlformats.org/officeDocument/2006/relationships" ax:classid="{8BD21D10-EC42-11CE-9E0D-00AA006002F3}" r:id="rId1"/>
</file>

<file path=xl/activeX/activeX77.xml><?xml version="1.0" encoding="utf-8"?>
<ax:ocx xmlns:ax="http://schemas.microsoft.com/office/2006/activeX" xmlns:r="http://schemas.openxmlformats.org/officeDocument/2006/relationships" ax:classid="{978C9E23-D4B0-11CE-BF2D-00AA003F40D0}" r:id="rId1"/>
</file>

<file path=xl/activeX/activeX78.xml><?xml version="1.0" encoding="utf-8"?>
<ax:ocx xmlns:ax="http://schemas.microsoft.com/office/2006/activeX" xmlns:r="http://schemas.openxmlformats.org/officeDocument/2006/relationships" ax:classid="{8BD21D60-EC42-11CE-9E0D-00AA006002F3}" r:id="rId1"/>
</file>

<file path=xl/activeX/activeX79.xml><?xml version="1.0" encoding="utf-8"?>
<ax:ocx xmlns:ax="http://schemas.microsoft.com/office/2006/activeX" xmlns:r="http://schemas.openxmlformats.org/officeDocument/2006/relationships" ax:classid="{8BD21D10-EC42-11CE-9E0D-00AA006002F3}" r:id="rId1"/>
</file>

<file path=xl/activeX/activeX80.xml><?xml version="1.0" encoding="utf-8"?>
<ax:ocx xmlns:ax="http://schemas.microsoft.com/office/2006/activeX" xmlns:r="http://schemas.openxmlformats.org/officeDocument/2006/relationships" ax:classid="{978C9E23-D4B0-11CE-BF2D-00AA003F40D0}" r:id="rId1"/>
</file>

<file path=xl/activeX/activeX81.xml><?xml version="1.0" encoding="utf-8"?>
<ax:ocx xmlns:ax="http://schemas.microsoft.com/office/2006/activeX" xmlns:r="http://schemas.openxmlformats.org/officeDocument/2006/relationships" ax:classid="{8BD21D60-EC42-11CE-9E0D-00AA006002F3}" r:id="rId1"/>
</file>

<file path=xl/activeX/activeX82.xml><?xml version="1.0" encoding="utf-8"?>
<ax:ocx xmlns:ax="http://schemas.microsoft.com/office/2006/activeX" xmlns:r="http://schemas.openxmlformats.org/officeDocument/2006/relationships" ax:classid="{8BD21D10-EC42-11CE-9E0D-00AA006002F3}" r:id="rId1"/>
</file>

<file path=xl/activeX/activeX83.xml><?xml version="1.0" encoding="utf-8"?>
<ax:ocx xmlns:ax="http://schemas.microsoft.com/office/2006/activeX" xmlns:r="http://schemas.openxmlformats.org/officeDocument/2006/relationships" ax:classid="{978C9E23-D4B0-11CE-BF2D-00AA003F40D0}" r:id="rId1"/>
</file>

<file path=xl/activeX/activeX84.xml><?xml version="1.0" encoding="utf-8"?>
<ax:ocx xmlns:ax="http://schemas.microsoft.com/office/2006/activeX" xmlns:r="http://schemas.openxmlformats.org/officeDocument/2006/relationships" ax:classid="{8BD21D10-EC42-11CE-9E0D-00AA006002F3}" r:id="rId1"/>
</file>

<file path=xl/activeX/activeX85.xml><?xml version="1.0" encoding="utf-8"?>
<ax:ocx xmlns:ax="http://schemas.microsoft.com/office/2006/activeX" xmlns:r="http://schemas.openxmlformats.org/officeDocument/2006/relationships" ax:classid="{978C9E23-D4B0-11CE-BF2D-00AA003F40D0}" r:id="rId1"/>
</file>

<file path=xl/activeX/activeX86.xml><?xml version="1.0" encoding="utf-8"?>
<ax:ocx xmlns:ax="http://schemas.microsoft.com/office/2006/activeX" xmlns:r="http://schemas.openxmlformats.org/officeDocument/2006/relationships" ax:classid="{8BD21D60-EC42-11CE-9E0D-00AA006002F3}" r:id="rId1"/>
</file>

<file path=xl/activeX/activeX87.xml><?xml version="1.0" encoding="utf-8"?>
<ax:ocx xmlns:ax="http://schemas.microsoft.com/office/2006/activeX" xmlns:r="http://schemas.openxmlformats.org/officeDocument/2006/relationships" ax:classid="{8BD21D10-EC42-11CE-9E0D-00AA006002F3}" r:id="rId1"/>
</file>

<file path=xl/activeX/activeX88.xml><?xml version="1.0" encoding="utf-8"?>
<ax:ocx xmlns:ax="http://schemas.microsoft.com/office/2006/activeX" xmlns:r="http://schemas.openxmlformats.org/officeDocument/2006/relationships" ax:classid="{978C9E23-D4B0-11CE-BF2D-00AA003F40D0}" r:id="rId1"/>
</file>

<file path=xl/activeX/activeX89.xml><?xml version="1.0" encoding="utf-8"?>
<ax:ocx xmlns:ax="http://schemas.microsoft.com/office/2006/activeX" xmlns:r="http://schemas.openxmlformats.org/officeDocument/2006/relationships" ax:classid="{8BD21D60-EC42-11CE-9E0D-00AA006002F3}"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0.png"/><Relationship Id="rId1" Type="http://schemas.openxmlformats.org/officeDocument/2006/relationships/image" Target="../media/image69.emf"/></Relationships>
</file>

<file path=xl/drawings/_rels/drawing16.xml.rels><?xml version="1.0" encoding="UTF-8" standalone="yes"?>
<Relationships xmlns="http://schemas.openxmlformats.org/package/2006/relationships"><Relationship Id="rId3" Type="http://schemas.openxmlformats.org/officeDocument/2006/relationships/image" Target="../media/image78.emf"/><Relationship Id="rId2" Type="http://schemas.openxmlformats.org/officeDocument/2006/relationships/image" Target="../media/image77.emf"/><Relationship Id="rId1" Type="http://schemas.openxmlformats.org/officeDocument/2006/relationships/image" Target="../media/image76.emf"/></Relationships>
</file>

<file path=xl/drawings/_rels/drawing17.xml.rels><?xml version="1.0" encoding="UTF-8" standalone="yes"?>
<Relationships xmlns="http://schemas.openxmlformats.org/package/2006/relationships"><Relationship Id="rId8" Type="http://schemas.openxmlformats.org/officeDocument/2006/relationships/image" Target="../media/image90.emf"/><Relationship Id="rId13" Type="http://schemas.openxmlformats.org/officeDocument/2006/relationships/image" Target="../media/image95.emf"/><Relationship Id="rId18" Type="http://schemas.openxmlformats.org/officeDocument/2006/relationships/image" Target="../media/image100.emf"/><Relationship Id="rId3" Type="http://schemas.openxmlformats.org/officeDocument/2006/relationships/image" Target="../media/image85.emf"/><Relationship Id="rId7" Type="http://schemas.openxmlformats.org/officeDocument/2006/relationships/image" Target="../media/image89.emf"/><Relationship Id="rId12" Type="http://schemas.openxmlformats.org/officeDocument/2006/relationships/image" Target="../media/image94.emf"/><Relationship Id="rId17" Type="http://schemas.openxmlformats.org/officeDocument/2006/relationships/image" Target="../media/image99.emf"/><Relationship Id="rId2" Type="http://schemas.openxmlformats.org/officeDocument/2006/relationships/image" Target="../media/image84.emf"/><Relationship Id="rId16" Type="http://schemas.openxmlformats.org/officeDocument/2006/relationships/image" Target="../media/image98.emf"/><Relationship Id="rId1" Type="http://schemas.openxmlformats.org/officeDocument/2006/relationships/image" Target="../media/image83.emf"/><Relationship Id="rId6" Type="http://schemas.openxmlformats.org/officeDocument/2006/relationships/image" Target="../media/image88.emf"/><Relationship Id="rId11" Type="http://schemas.openxmlformats.org/officeDocument/2006/relationships/image" Target="../media/image93.emf"/><Relationship Id="rId5" Type="http://schemas.openxmlformats.org/officeDocument/2006/relationships/image" Target="../media/image87.emf"/><Relationship Id="rId15" Type="http://schemas.openxmlformats.org/officeDocument/2006/relationships/image" Target="../media/image97.emf"/><Relationship Id="rId10" Type="http://schemas.openxmlformats.org/officeDocument/2006/relationships/image" Target="../media/image92.emf"/><Relationship Id="rId19" Type="http://schemas.openxmlformats.org/officeDocument/2006/relationships/image" Target="../media/image101.emf"/><Relationship Id="rId4" Type="http://schemas.openxmlformats.org/officeDocument/2006/relationships/image" Target="../media/image86.emf"/><Relationship Id="rId9" Type="http://schemas.openxmlformats.org/officeDocument/2006/relationships/image" Target="../media/image91.emf"/><Relationship Id="rId14" Type="http://schemas.openxmlformats.org/officeDocument/2006/relationships/image" Target="../media/image96.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image" Target="../media/image11.emf"/><Relationship Id="rId7" Type="http://schemas.openxmlformats.org/officeDocument/2006/relationships/image" Target="../media/image7.emf"/><Relationship Id="rId2" Type="http://schemas.openxmlformats.org/officeDocument/2006/relationships/image" Target="../media/image12.emf"/><Relationship Id="rId1" Type="http://schemas.openxmlformats.org/officeDocument/2006/relationships/image" Target="../media/image13.emf"/><Relationship Id="rId6" Type="http://schemas.openxmlformats.org/officeDocument/2006/relationships/image" Target="../media/image8.emf"/><Relationship Id="rId11" Type="http://schemas.openxmlformats.org/officeDocument/2006/relationships/image" Target="../media/image3.emf"/><Relationship Id="rId5" Type="http://schemas.openxmlformats.org/officeDocument/2006/relationships/image" Target="../media/image9.emf"/><Relationship Id="rId10" Type="http://schemas.openxmlformats.org/officeDocument/2006/relationships/image" Target="../media/image4.emf"/><Relationship Id="rId4" Type="http://schemas.openxmlformats.org/officeDocument/2006/relationships/image" Target="../media/image10.emf"/><Relationship Id="rId9"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14.emf"/><Relationship Id="rId2" Type="http://schemas.openxmlformats.org/officeDocument/2006/relationships/image" Target="../media/image19.emf"/><Relationship Id="rId1" Type="http://schemas.openxmlformats.org/officeDocument/2006/relationships/image" Target="../media/image13.emf"/><Relationship Id="rId6" Type="http://schemas.openxmlformats.org/officeDocument/2006/relationships/image" Target="../media/image15.emf"/><Relationship Id="rId5" Type="http://schemas.openxmlformats.org/officeDocument/2006/relationships/image" Target="../media/image16.emf"/><Relationship Id="rId4"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7.emf"/><Relationship Id="rId13" Type="http://schemas.openxmlformats.org/officeDocument/2006/relationships/image" Target="../media/image22.emf"/><Relationship Id="rId3" Type="http://schemas.openxmlformats.org/officeDocument/2006/relationships/image" Target="../media/image32.emf"/><Relationship Id="rId7" Type="http://schemas.openxmlformats.org/officeDocument/2006/relationships/image" Target="../media/image28.emf"/><Relationship Id="rId12" Type="http://schemas.openxmlformats.org/officeDocument/2006/relationships/image" Target="../media/image23.emf"/><Relationship Id="rId2" Type="http://schemas.openxmlformats.org/officeDocument/2006/relationships/image" Target="../media/image33.emf"/><Relationship Id="rId1" Type="http://schemas.openxmlformats.org/officeDocument/2006/relationships/image" Target="../media/image34.emf"/><Relationship Id="rId6" Type="http://schemas.openxmlformats.org/officeDocument/2006/relationships/image" Target="../media/image29.emf"/><Relationship Id="rId11" Type="http://schemas.openxmlformats.org/officeDocument/2006/relationships/image" Target="../media/image24.emf"/><Relationship Id="rId5" Type="http://schemas.openxmlformats.org/officeDocument/2006/relationships/image" Target="../media/image30.emf"/><Relationship Id="rId1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31.emf"/><Relationship Id="rId9" Type="http://schemas.openxmlformats.org/officeDocument/2006/relationships/image" Target="../media/image26.emf"/><Relationship Id="rId14" Type="http://schemas.openxmlformats.org/officeDocument/2006/relationships/image" Target="../media/image2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41.emf"/><Relationship Id="rId13" Type="http://schemas.openxmlformats.org/officeDocument/2006/relationships/image" Target="../media/image36.emf"/><Relationship Id="rId3" Type="http://schemas.openxmlformats.org/officeDocument/2006/relationships/image" Target="../media/image47.emf"/><Relationship Id="rId7" Type="http://schemas.openxmlformats.org/officeDocument/2006/relationships/image" Target="../media/image42.emf"/><Relationship Id="rId12" Type="http://schemas.openxmlformats.org/officeDocument/2006/relationships/image" Target="../media/image37.emf"/><Relationship Id="rId2" Type="http://schemas.openxmlformats.org/officeDocument/2006/relationships/image" Target="../media/image45.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6.emf"/><Relationship Id="rId9" Type="http://schemas.openxmlformats.org/officeDocument/2006/relationships/image" Target="../media/image40.emf"/><Relationship Id="rId14" Type="http://schemas.openxmlformats.org/officeDocument/2006/relationships/image" Target="../media/image35.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51.emf"/><Relationship Id="rId3" Type="http://schemas.openxmlformats.org/officeDocument/2006/relationships/image" Target="../media/image56.emf"/><Relationship Id="rId7" Type="http://schemas.openxmlformats.org/officeDocument/2006/relationships/image" Target="../media/image52.emf"/><Relationship Id="rId2" Type="http://schemas.openxmlformats.org/officeDocument/2006/relationships/image" Target="../media/image57.emf"/><Relationship Id="rId1" Type="http://schemas.openxmlformats.org/officeDocument/2006/relationships/image" Target="../media/image58.emf"/><Relationship Id="rId6" Type="http://schemas.openxmlformats.org/officeDocument/2006/relationships/image" Target="../media/image53.emf"/><Relationship Id="rId5" Type="http://schemas.openxmlformats.org/officeDocument/2006/relationships/image" Target="../media/image54.emf"/><Relationship Id="rId10" Type="http://schemas.openxmlformats.org/officeDocument/2006/relationships/image" Target="../media/image49.emf"/><Relationship Id="rId4" Type="http://schemas.openxmlformats.org/officeDocument/2006/relationships/image" Target="../media/image55.emf"/><Relationship Id="rId9" Type="http://schemas.openxmlformats.org/officeDocument/2006/relationships/image" Target="../media/image5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3.emf"/><Relationship Id="rId7" Type="http://schemas.openxmlformats.org/officeDocument/2006/relationships/image" Target="../media/image59.emf"/><Relationship Id="rId2" Type="http://schemas.openxmlformats.org/officeDocument/2006/relationships/image" Target="../media/image64.emf"/><Relationship Id="rId1" Type="http://schemas.openxmlformats.org/officeDocument/2006/relationships/image" Target="../media/image65.emf"/><Relationship Id="rId6" Type="http://schemas.openxmlformats.org/officeDocument/2006/relationships/image" Target="../media/image60.emf"/><Relationship Id="rId5" Type="http://schemas.openxmlformats.org/officeDocument/2006/relationships/image" Target="../media/image61.emf"/><Relationship Id="rId4" Type="http://schemas.openxmlformats.org/officeDocument/2006/relationships/image" Target="../media/image62.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7.emf"/><Relationship Id="rId1" Type="http://schemas.openxmlformats.org/officeDocument/2006/relationships/image" Target="../media/image68.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9.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80.emf"/><Relationship Id="rId2" Type="http://schemas.openxmlformats.org/officeDocument/2006/relationships/image" Target="../media/image81.emf"/><Relationship Id="rId1" Type="http://schemas.openxmlformats.org/officeDocument/2006/relationships/image" Target="../media/image82.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2.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103.emf"/><Relationship Id="rId2" Type="http://schemas.openxmlformats.org/officeDocument/2006/relationships/image" Target="../media/image104.emf"/><Relationship Id="rId1" Type="http://schemas.openxmlformats.org/officeDocument/2006/relationships/image" Target="../media/image105.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109.emf"/><Relationship Id="rId2" Type="http://schemas.openxmlformats.org/officeDocument/2006/relationships/image" Target="../media/image110.emf"/><Relationship Id="rId1" Type="http://schemas.openxmlformats.org/officeDocument/2006/relationships/image" Target="../media/image111.emf"/><Relationship Id="rId6" Type="http://schemas.openxmlformats.org/officeDocument/2006/relationships/image" Target="../media/image106.emf"/><Relationship Id="rId5" Type="http://schemas.openxmlformats.org/officeDocument/2006/relationships/image" Target="../media/image107.emf"/><Relationship Id="rId4" Type="http://schemas.openxmlformats.org/officeDocument/2006/relationships/image" Target="../media/image10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2.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116.emf"/><Relationship Id="rId2" Type="http://schemas.openxmlformats.org/officeDocument/2006/relationships/image" Target="../media/image117.emf"/><Relationship Id="rId1" Type="http://schemas.openxmlformats.org/officeDocument/2006/relationships/image" Target="../media/image118.emf"/><Relationship Id="rId6" Type="http://schemas.openxmlformats.org/officeDocument/2006/relationships/image" Target="../media/image113.emf"/><Relationship Id="rId5" Type="http://schemas.openxmlformats.org/officeDocument/2006/relationships/image" Target="../media/image114.emf"/><Relationship Id="rId4" Type="http://schemas.openxmlformats.org/officeDocument/2006/relationships/image" Target="../media/image115.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1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581025</xdr:colOff>
          <xdr:row>20</xdr:row>
          <xdr:rowOff>57150</xdr:rowOff>
        </xdr:from>
        <xdr:to>
          <xdr:col>7</xdr:col>
          <xdr:colOff>628650</xdr:colOff>
          <xdr:row>22</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電子調査票作成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1057275</xdr:colOff>
          <xdr:row>20</xdr:row>
          <xdr:rowOff>57150</xdr:rowOff>
        </xdr:from>
        <xdr:to>
          <xdr:col>3</xdr:col>
          <xdr:colOff>352425</xdr:colOff>
          <xdr:row>22</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全シート表示</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51</xdr:col>
      <xdr:colOff>85725</xdr:colOff>
      <xdr:row>3</xdr:row>
      <xdr:rowOff>9525</xdr:rowOff>
    </xdr:from>
    <xdr:to>
      <xdr:col>55</xdr:col>
      <xdr:colOff>200025</xdr:colOff>
      <xdr:row>12</xdr:row>
      <xdr:rowOff>38100</xdr:rowOff>
    </xdr:to>
    <xdr:pic>
      <xdr:nvPicPr>
        <xdr:cNvPr id="2" name="図 4">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t="7298"/>
        <a:stretch>
          <a:fillRect/>
        </a:stretch>
      </xdr:blipFill>
      <xdr:spPr bwMode="auto">
        <a:xfrm>
          <a:off x="13154025" y="523875"/>
          <a:ext cx="1143000" cy="1504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66675</xdr:colOff>
      <xdr:row>9</xdr:row>
      <xdr:rowOff>38100</xdr:rowOff>
    </xdr:from>
    <xdr:to>
      <xdr:col>8</xdr:col>
      <xdr:colOff>238125</xdr:colOff>
      <xdr:row>11</xdr:row>
      <xdr:rowOff>0</xdr:rowOff>
    </xdr:to>
    <xdr:pic>
      <xdr:nvPicPr>
        <xdr:cNvPr id="3" name="図 17">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 y="1504950"/>
          <a:ext cx="1409700" cy="314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152400</xdr:colOff>
      <xdr:row>23</xdr:row>
      <xdr:rowOff>12700</xdr:rowOff>
    </xdr:from>
    <xdr:to>
      <xdr:col>55</xdr:col>
      <xdr:colOff>230500</xdr:colOff>
      <xdr:row>29</xdr:row>
      <xdr:rowOff>116084</xdr:rowOff>
    </xdr:to>
    <xdr:sp macro="" textlink="">
      <xdr:nvSpPr>
        <xdr:cNvPr id="4" name="大かっこ 3">
          <a:extLst>
            <a:ext uri="{FF2B5EF4-FFF2-40B4-BE49-F238E27FC236}">
              <a16:creationId xmlns:a16="http://schemas.microsoft.com/office/drawing/2014/main" id="{00000000-0008-0000-0100-000004000000}"/>
            </a:ext>
          </a:extLst>
        </xdr:cNvPr>
        <xdr:cNvSpPr/>
      </xdr:nvSpPr>
      <xdr:spPr>
        <a:xfrm>
          <a:off x="923925" y="3994150"/>
          <a:ext cx="13403575" cy="1132084"/>
        </a:xfrm>
        <a:prstGeom prst="bracketPair">
          <a:avLst>
            <a:gd name="adj" fmla="val 8875"/>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ctr"/>
        <a:lstStyle/>
        <a:p>
          <a:pPr algn="l">
            <a:lnSpc>
              <a:spcPts val="1400"/>
            </a:lnSpc>
          </a:pPr>
          <a:r>
            <a:rPr kumimoji="1" lang="ja-JP" altLang="en-US" sz="1400" baseline="0">
              <a:latin typeface="ＭＳ 明朝" panose="02020609040205080304" pitchFamily="17" charset="-128"/>
              <a:ea typeface="ＭＳ 明朝" panose="02020609040205080304" pitchFamily="17" charset="-128"/>
            </a:rPr>
            <a:t> 　</a:t>
          </a:r>
          <a:r>
            <a:rPr kumimoji="1" lang="ja-JP" altLang="en-US" sz="1400">
              <a:latin typeface="ＭＳ 明朝" panose="02020609040205080304" pitchFamily="17" charset="-128"/>
              <a:ea typeface="ＭＳ 明朝" panose="02020609040205080304" pitchFamily="17" charset="-128"/>
            </a:rPr>
            <a:t>この調査は、農林水産省が統計法に基づき基幹統計調査として実施するもので</a:t>
          </a:r>
          <a:r>
            <a:rPr kumimoji="1" lang="ja-JP" altLang="en-US" sz="1400" baseline="0">
              <a:solidFill>
                <a:schemeClr val="tx1"/>
              </a:solidFill>
              <a:latin typeface="ＭＳ 明朝" panose="02020609040205080304" pitchFamily="17" charset="-128"/>
              <a:ea typeface="ＭＳ 明朝" panose="02020609040205080304" pitchFamily="17" charset="-128"/>
            </a:rPr>
            <a:t>す。</a:t>
          </a:r>
          <a:endParaRPr kumimoji="1" lang="en-US" altLang="ja-JP" sz="1400" baseline="0">
            <a:solidFill>
              <a:schemeClr val="tx1"/>
            </a:solidFill>
            <a:latin typeface="ＭＳ 明朝" panose="02020609040205080304" pitchFamily="17" charset="-128"/>
            <a:ea typeface="ＭＳ 明朝" panose="02020609040205080304" pitchFamily="17" charset="-128"/>
          </a:endParaRPr>
        </a:p>
        <a:p>
          <a:pPr algn="l"/>
          <a:r>
            <a:rPr kumimoji="1" lang="ja-JP" altLang="en-US" sz="1400" baseline="0">
              <a:solidFill>
                <a:schemeClr val="tx1"/>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また、この調査票は</a:t>
          </a:r>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統計の目的のみに使用するもので、入力いただいた個別の結果を、外部への提供や課税のための資料に利用することはなく</a:t>
          </a:r>
          <a:r>
            <a:rPr kumimoji="1" lang="ja-JP" altLang="en-US" sz="1400">
              <a:solidFill>
                <a:sysClr val="windowText" lastClr="000000"/>
              </a:solidFill>
              <a:latin typeface="ＭＳ 明朝" panose="02020609040205080304" pitchFamily="17" charset="-128"/>
              <a:ea typeface="ＭＳ 明朝" panose="02020609040205080304" pitchFamily="17" charset="-128"/>
            </a:rPr>
            <a:t>、</a:t>
          </a:r>
          <a:endParaRPr kumimoji="1" lang="en-US" altLang="ja-JP" sz="1400">
            <a:solidFill>
              <a:sysClr val="windowText" lastClr="000000"/>
            </a:solidFill>
            <a:latin typeface="ＭＳ 明朝" panose="02020609040205080304" pitchFamily="17" charset="-128"/>
            <a:ea typeface="ＭＳ 明朝" panose="02020609040205080304" pitchFamily="17" charset="-128"/>
          </a:endParaRPr>
        </a:p>
        <a:p>
          <a:pPr algn="l"/>
          <a:r>
            <a:rPr kumimoji="1" lang="ja-JP" altLang="en-US" sz="1400" baseline="0">
              <a:solidFill>
                <a:sysClr val="windowText" lastClr="000000"/>
              </a:solidFill>
              <a:latin typeface="ＭＳ 明朝" panose="02020609040205080304" pitchFamily="17" charset="-128"/>
              <a:ea typeface="ＭＳ 明朝" panose="02020609040205080304" pitchFamily="17" charset="-128"/>
            </a:rPr>
            <a:t> </a:t>
          </a:r>
          <a:r>
            <a:rPr kumimoji="1" lang="ja-JP" altLang="en-US" sz="1400">
              <a:solidFill>
                <a:sysClr val="windowText" lastClr="000000"/>
              </a:solidFill>
              <a:latin typeface="ＭＳ 明朝" panose="02020609040205080304" pitchFamily="17" charset="-128"/>
              <a:ea typeface="ＭＳ 明朝" panose="02020609040205080304" pitchFamily="17" charset="-128"/>
            </a:rPr>
            <a:t>統計以外の目的には使用しません。</a:t>
          </a:r>
        </a:p>
      </xdr:txBody>
    </xdr:sp>
    <xdr:clientData/>
  </xdr:twoCellAnchor>
  <xdr:twoCellAnchor>
    <xdr:from>
      <xdr:col>3</xdr:col>
      <xdr:colOff>190500</xdr:colOff>
      <xdr:row>30</xdr:row>
      <xdr:rowOff>50800</xdr:rowOff>
    </xdr:from>
    <xdr:to>
      <xdr:col>56</xdr:col>
      <xdr:colOff>101600</xdr:colOff>
      <xdr:row>58</xdr:row>
      <xdr:rowOff>63499</xdr:rowOff>
    </xdr:to>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952500" y="5346700"/>
          <a:ext cx="13335000" cy="5499099"/>
          <a:chOff x="876299" y="5600705"/>
          <a:chExt cx="13388974" cy="4825996"/>
        </a:xfrm>
      </xdr:grpSpPr>
      <xdr:sp macro="" textlink="">
        <xdr:nvSpPr>
          <xdr:cNvPr id="6" name="角丸四角形 5">
            <a:extLst>
              <a:ext uri="{FF2B5EF4-FFF2-40B4-BE49-F238E27FC236}">
                <a16:creationId xmlns:a16="http://schemas.microsoft.com/office/drawing/2014/main" id="{00000000-0008-0000-0100-000006000000}"/>
              </a:ext>
            </a:extLst>
          </xdr:cNvPr>
          <xdr:cNvSpPr/>
        </xdr:nvSpPr>
        <xdr:spPr bwMode="auto">
          <a:xfrm>
            <a:off x="876299" y="5634063"/>
            <a:ext cx="13300969" cy="4792638"/>
          </a:xfrm>
          <a:prstGeom prst="roundRect">
            <a:avLst>
              <a:gd name="adj" fmla="val 2071"/>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ja-JP" altLang="en-US"/>
          </a:p>
        </xdr:txBody>
      </xdr:sp>
      <xdr:sp macro="" textlink="">
        <xdr:nvSpPr>
          <xdr:cNvPr id="7" name="角丸四角形 6">
            <a:extLst>
              <a:ext uri="{FF2B5EF4-FFF2-40B4-BE49-F238E27FC236}">
                <a16:creationId xmlns:a16="http://schemas.microsoft.com/office/drawing/2014/main" id="{00000000-0008-0000-0100-000007000000}"/>
              </a:ext>
            </a:extLst>
          </xdr:cNvPr>
          <xdr:cNvSpPr/>
        </xdr:nvSpPr>
        <xdr:spPr bwMode="auto">
          <a:xfrm>
            <a:off x="945478" y="5600705"/>
            <a:ext cx="13319795" cy="3169146"/>
          </a:xfrm>
          <a:prstGeom prst="roundRect">
            <a:avLst>
              <a:gd name="adj" fmla="val 2071"/>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lnSpc>
                <a:spcPts val="2500"/>
              </a:lnSpc>
            </a:pPr>
            <a:r>
              <a:rPr kumimoji="1" lang="ja-JP" altLang="en-US" sz="1400" b="1">
                <a:solidFill>
                  <a:sysClr val="windowText" lastClr="000000"/>
                </a:solidFill>
                <a:latin typeface="ＭＳ ゴシック" panose="020B0609070205080204" pitchFamily="49" charset="-128"/>
                <a:ea typeface="ＭＳ ゴシック" panose="020B0609070205080204" pitchFamily="49" charset="-128"/>
              </a:rPr>
              <a:t>　</a:t>
            </a:r>
            <a:endParaRPr kumimoji="1" lang="en-US" altLang="ja-JP" sz="1600" b="1">
              <a:solidFill>
                <a:sysClr val="windowText" lastClr="000000"/>
              </a:solidFill>
              <a:latin typeface="ＭＳ 明朝" panose="02020609040205080304" pitchFamily="17" charset="-128"/>
              <a:ea typeface="ＭＳ 明朝" panose="02020609040205080304" pitchFamily="17" charset="-128"/>
            </a:endParaRPr>
          </a:p>
          <a:p>
            <a:pPr algn="l">
              <a:lnSpc>
                <a:spcPts val="2500"/>
              </a:lnSpc>
            </a:pPr>
            <a:endParaRPr kumimoji="1" lang="en-US" altLang="ja-JP" sz="1400" b="0">
              <a:solidFill>
                <a:sysClr val="windowText" lastClr="000000"/>
              </a:solidFill>
              <a:latin typeface="ＭＳ 明朝" panose="02020609040205080304" pitchFamily="17" charset="-128"/>
              <a:ea typeface="ＭＳ 明朝" panose="02020609040205080304" pitchFamily="17" charset="-128"/>
            </a:endParaRP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14291</xdr:colOff>
      <xdr:row>66</xdr:row>
      <xdr:rowOff>19050</xdr:rowOff>
    </xdr:from>
    <xdr:to>
      <xdr:col>32</xdr:col>
      <xdr:colOff>190505</xdr:colOff>
      <xdr:row>66</xdr:row>
      <xdr:rowOff>190501</xdr:rowOff>
    </xdr:to>
    <xdr:sp macro="" textlink="">
      <xdr:nvSpPr>
        <xdr:cNvPr id="2" name="左中かっこ 1">
          <a:extLst>
            <a:ext uri="{FF2B5EF4-FFF2-40B4-BE49-F238E27FC236}">
              <a16:creationId xmlns:a16="http://schemas.microsoft.com/office/drawing/2014/main" id="{00000000-0008-0000-0200-000002000000}"/>
            </a:ext>
          </a:extLst>
        </xdr:cNvPr>
        <xdr:cNvSpPr/>
      </xdr:nvSpPr>
      <xdr:spPr>
        <a:xfrm rot="5400000" flipV="1">
          <a:off x="3788572" y="13427869"/>
          <a:ext cx="171451" cy="6043614"/>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xdr:col>
      <xdr:colOff>54429</xdr:colOff>
      <xdr:row>59</xdr:row>
      <xdr:rowOff>9525</xdr:rowOff>
    </xdr:from>
    <xdr:to>
      <xdr:col>36</xdr:col>
      <xdr:colOff>122464</xdr:colOff>
      <xdr:row>62</xdr:row>
      <xdr:rowOff>123150</xdr:rowOff>
    </xdr:to>
    <xdr:sp macro="" textlink="">
      <xdr:nvSpPr>
        <xdr:cNvPr id="3" name="角丸四角形 2">
          <a:extLst>
            <a:ext uri="{FF2B5EF4-FFF2-40B4-BE49-F238E27FC236}">
              <a16:creationId xmlns:a16="http://schemas.microsoft.com/office/drawing/2014/main" id="{00000000-0008-0000-0200-000003000000}"/>
            </a:ext>
          </a:extLst>
        </xdr:cNvPr>
        <xdr:cNvSpPr/>
      </xdr:nvSpPr>
      <xdr:spPr>
        <a:xfrm>
          <a:off x="263979" y="14620875"/>
          <a:ext cx="7402285" cy="856575"/>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倉庫全体の面積が</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㎡、小麦以外の作物に</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90</a:t>
          </a:r>
          <a:r>
            <a:rPr kumimoji="1" lang="ja-JP" altLang="en-US" sz="1200">
              <a:solidFill>
                <a:srgbClr val="0041FF"/>
              </a:solidFill>
              <a:latin typeface="ＭＳ 明朝" panose="02020609040205080304" pitchFamily="17" charset="-128"/>
              <a:ea typeface="ＭＳ 明朝" panose="02020609040205080304" pitchFamily="17" charset="-128"/>
            </a:rPr>
            <a:t>㎡を使用した場合の「小麦負担割合」は７０％（</a:t>
          </a:r>
          <a:r>
            <a:rPr kumimoji="1" lang="en-US" altLang="ja-JP" sz="1200">
              <a:solidFill>
                <a:srgbClr val="0041FF"/>
              </a:solidFill>
              <a:latin typeface="ＭＳ 明朝" panose="02020609040205080304" pitchFamily="17" charset="-128"/>
              <a:ea typeface="ＭＳ 明朝" panose="02020609040205080304" pitchFamily="17" charset="-128"/>
            </a:rPr>
            <a:t>210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÷300</a:t>
          </a:r>
          <a:r>
            <a:rPr kumimoji="1" lang="ja-JP" altLang="en-US" sz="1200">
              <a:solidFill>
                <a:srgbClr val="0041FF"/>
              </a:solidFill>
              <a:latin typeface="ＭＳ 明朝" panose="02020609040205080304" pitchFamily="17" charset="-128"/>
              <a:ea typeface="ＭＳ 明朝" panose="02020609040205080304" pitchFamily="17" charset="-128"/>
            </a:rPr>
            <a:t>㎡</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ます。</a:t>
          </a:r>
        </a:p>
      </xdr:txBody>
    </xdr:sp>
    <xdr:clientData/>
  </xdr:twoCellAnchor>
  <xdr:twoCellAnchor>
    <xdr:from>
      <xdr:col>3</xdr:col>
      <xdr:colOff>57150</xdr:colOff>
      <xdr:row>82</xdr:row>
      <xdr:rowOff>9525</xdr:rowOff>
    </xdr:from>
    <xdr:to>
      <xdr:col>35</xdr:col>
      <xdr:colOff>136071</xdr:colOff>
      <xdr:row>86</xdr:row>
      <xdr:rowOff>8732</xdr:rowOff>
    </xdr:to>
    <xdr:sp macro="" textlink="">
      <xdr:nvSpPr>
        <xdr:cNvPr id="4" name="角丸四角形 3">
          <a:extLst>
            <a:ext uri="{FF2B5EF4-FFF2-40B4-BE49-F238E27FC236}">
              <a16:creationId xmlns:a16="http://schemas.microsoft.com/office/drawing/2014/main" id="{00000000-0008-0000-0200-000004000000}"/>
            </a:ext>
          </a:extLst>
        </xdr:cNvPr>
        <xdr:cNvSpPr/>
      </xdr:nvSpPr>
      <xdr:spPr>
        <a:xfrm>
          <a:off x="685800" y="20316825"/>
          <a:ext cx="6784521" cy="989807"/>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例：　トラクター全体の使用時間が</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時間で、うち小麦生産のために</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小麦以外の作物に</a:t>
          </a:r>
          <a:r>
            <a:rPr kumimoji="1" lang="en-US" altLang="ja-JP" sz="1200">
              <a:solidFill>
                <a:srgbClr val="0041FF"/>
              </a:solidFill>
              <a:latin typeface="ＭＳ 明朝" panose="02020609040205080304" pitchFamily="17" charset="-128"/>
              <a:ea typeface="ＭＳ 明朝" panose="02020609040205080304" pitchFamily="17" charset="-128"/>
            </a:rPr>
            <a:t>120</a:t>
          </a:r>
          <a:r>
            <a:rPr kumimoji="1" lang="ja-JP" altLang="en-US" sz="1200">
              <a:solidFill>
                <a:srgbClr val="0041FF"/>
              </a:solidFill>
              <a:latin typeface="ＭＳ 明朝" panose="02020609040205080304" pitchFamily="17" charset="-128"/>
              <a:ea typeface="ＭＳ 明朝" panose="02020609040205080304" pitchFamily="17" charset="-128"/>
            </a:rPr>
            <a:t>時間使用した場合の「小麦負担割合」は４０％</a:t>
          </a:r>
          <a:endParaRPr kumimoji="1" lang="en-US" altLang="ja-JP" sz="1200">
            <a:solidFill>
              <a:srgbClr val="0041FF"/>
            </a:solidFill>
            <a:latin typeface="ＭＳ 明朝" panose="02020609040205080304" pitchFamily="17" charset="-128"/>
            <a:ea typeface="ＭＳ 明朝" panose="02020609040205080304" pitchFamily="17" charset="-128"/>
          </a:endParaRPr>
        </a:p>
        <a:p>
          <a:pPr algn="l">
            <a:lnSpc>
              <a:spcPts val="1200"/>
            </a:lnSpc>
          </a:pPr>
          <a:r>
            <a:rPr kumimoji="1" lang="ja-JP" altLang="en-US" sz="1200">
              <a:solidFill>
                <a:srgbClr val="0041FF"/>
              </a:solidFill>
              <a:latin typeface="ＭＳ 明朝" panose="02020609040205080304" pitchFamily="17" charset="-128"/>
              <a:ea typeface="ＭＳ 明朝" panose="02020609040205080304" pitchFamily="17" charset="-128"/>
            </a:rPr>
            <a:t>　　（</a:t>
          </a:r>
          <a:r>
            <a:rPr kumimoji="1" lang="en-US" altLang="ja-JP" sz="1200">
              <a:solidFill>
                <a:srgbClr val="0041FF"/>
              </a:solidFill>
              <a:latin typeface="ＭＳ 明朝" panose="02020609040205080304" pitchFamily="17" charset="-128"/>
              <a:ea typeface="ＭＳ 明朝" panose="02020609040205080304" pitchFamily="17" charset="-128"/>
            </a:rPr>
            <a:t>80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÷200</a:t>
          </a:r>
          <a:r>
            <a:rPr kumimoji="1" lang="ja-JP" altLang="en-US" sz="1200">
              <a:solidFill>
                <a:srgbClr val="0041FF"/>
              </a:solidFill>
              <a:latin typeface="ＭＳ 明朝" panose="02020609040205080304" pitchFamily="17" charset="-128"/>
              <a:ea typeface="ＭＳ 明朝" panose="02020609040205080304" pitchFamily="17" charset="-128"/>
            </a:rPr>
            <a:t>時間</a:t>
          </a:r>
          <a:r>
            <a:rPr kumimoji="1" lang="en-US" altLang="ja-JP" sz="1200">
              <a:solidFill>
                <a:srgbClr val="0041FF"/>
              </a:solidFill>
              <a:latin typeface="ＭＳ 明朝" panose="02020609040205080304" pitchFamily="17" charset="-128"/>
              <a:ea typeface="ＭＳ 明朝" panose="02020609040205080304" pitchFamily="17" charset="-128"/>
            </a:rPr>
            <a:t>×100</a:t>
          </a:r>
          <a:r>
            <a:rPr kumimoji="1" lang="ja-JP" altLang="en-US" sz="1200">
              <a:solidFill>
                <a:srgbClr val="0041FF"/>
              </a:solidFill>
              <a:latin typeface="ＭＳ 明朝" panose="02020609040205080304" pitchFamily="17" charset="-128"/>
              <a:ea typeface="ＭＳ 明朝" panose="02020609040205080304" pitchFamily="17" charset="-128"/>
            </a:rPr>
            <a:t>）になります</a:t>
          </a:r>
          <a:r>
            <a:rPr kumimoji="1" lang="ja-JP" altLang="en-US" sz="1000">
              <a:solidFill>
                <a:srgbClr val="0041FF"/>
              </a:solidFill>
              <a:latin typeface="ＭＳ 明朝" panose="02020609040205080304" pitchFamily="17" charset="-128"/>
              <a:ea typeface="ＭＳ 明朝" panose="02020609040205080304" pitchFamily="17" charset="-128"/>
            </a:rPr>
            <a:t>。</a:t>
          </a:r>
        </a:p>
      </xdr:txBody>
    </xdr:sp>
    <xdr:clientData/>
  </xdr:twoCellAnchor>
  <xdr:twoCellAnchor>
    <xdr:from>
      <xdr:col>4</xdr:col>
      <xdr:colOff>0</xdr:colOff>
      <xdr:row>68</xdr:row>
      <xdr:rowOff>219075</xdr:rowOff>
    </xdr:from>
    <xdr:to>
      <xdr:col>25</xdr:col>
      <xdr:colOff>19051</xdr:colOff>
      <xdr:row>70</xdr:row>
      <xdr:rowOff>3</xdr:rowOff>
    </xdr:to>
    <xdr:sp macro="" textlink="">
      <xdr:nvSpPr>
        <xdr:cNvPr id="5" name="左中かっこ 4">
          <a:extLst>
            <a:ext uri="{FF2B5EF4-FFF2-40B4-BE49-F238E27FC236}">
              <a16:creationId xmlns:a16="http://schemas.microsoft.com/office/drawing/2014/main" id="{00000000-0008-0000-0200-000005000000}"/>
            </a:ext>
          </a:extLst>
        </xdr:cNvPr>
        <xdr:cNvSpPr/>
      </xdr:nvSpPr>
      <xdr:spPr>
        <a:xfrm rot="5400000" flipH="1" flipV="1">
          <a:off x="2909887" y="14987588"/>
          <a:ext cx="276228" cy="4419601"/>
        </a:xfrm>
        <a:prstGeom prst="leftBrace">
          <a:avLst>
            <a:gd name="adj1" fmla="val 81771"/>
            <a:gd name="adj2" fmla="val 50000"/>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0</xdr:col>
      <xdr:colOff>200025</xdr:colOff>
      <xdr:row>9</xdr:row>
      <xdr:rowOff>161924</xdr:rowOff>
    </xdr:from>
    <xdr:to>
      <xdr:col>32</xdr:col>
      <xdr:colOff>118425</xdr:colOff>
      <xdr:row>17</xdr:row>
      <xdr:rowOff>114301</xdr:rowOff>
    </xdr:to>
    <xdr:sp macro="" textlink="">
      <xdr:nvSpPr>
        <xdr:cNvPr id="6" name="大かっこ 5">
          <a:extLst>
            <a:ext uri="{FF2B5EF4-FFF2-40B4-BE49-F238E27FC236}">
              <a16:creationId xmlns:a16="http://schemas.microsoft.com/office/drawing/2014/main" id="{00000000-0008-0000-0200-000006000000}"/>
            </a:ext>
          </a:extLst>
        </xdr:cNvPr>
        <xdr:cNvSpPr/>
      </xdr:nvSpPr>
      <xdr:spPr>
        <a:xfrm>
          <a:off x="200025" y="2390774"/>
          <a:ext cx="6624000" cy="1933577"/>
        </a:xfrm>
        <a:prstGeom prst="bracketPair">
          <a:avLst/>
        </a:prstGeom>
        <a:ln w="12700">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27</xdr:col>
      <xdr:colOff>76200</xdr:colOff>
      <xdr:row>31</xdr:row>
      <xdr:rowOff>171451</xdr:rowOff>
    </xdr:from>
    <xdr:to>
      <xdr:col>32</xdr:col>
      <xdr:colOff>114300</xdr:colOff>
      <xdr:row>35</xdr:row>
      <xdr:rowOff>0</xdr:rowOff>
    </xdr:to>
    <xdr:sp macro="" textlink="">
      <xdr:nvSpPr>
        <xdr:cNvPr id="7" name="角丸四角形 6">
          <a:extLst>
            <a:ext uri="{FF2B5EF4-FFF2-40B4-BE49-F238E27FC236}">
              <a16:creationId xmlns:a16="http://schemas.microsoft.com/office/drawing/2014/main" id="{00000000-0008-0000-0200-000007000000}"/>
            </a:ext>
          </a:extLst>
        </xdr:cNvPr>
        <xdr:cNvSpPr/>
      </xdr:nvSpPr>
      <xdr:spPr>
        <a:xfrm>
          <a:off x="5734050" y="7848601"/>
          <a:ext cx="1085850" cy="819149"/>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100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9525</xdr:colOff>
      <xdr:row>33</xdr:row>
      <xdr:rowOff>228600</xdr:rowOff>
    </xdr:from>
    <xdr:to>
      <xdr:col>27</xdr:col>
      <xdr:colOff>80963</xdr:colOff>
      <xdr:row>33</xdr:row>
      <xdr:rowOff>228600</xdr:rowOff>
    </xdr:to>
    <xdr:cxnSp macro="">
      <xdr:nvCxnSpPr>
        <xdr:cNvPr id="8" name="直線矢印コネクタ 7">
          <a:extLst>
            <a:ext uri="{FF2B5EF4-FFF2-40B4-BE49-F238E27FC236}">
              <a16:creationId xmlns:a16="http://schemas.microsoft.com/office/drawing/2014/main" id="{00000000-0008-0000-0200-000008000000}"/>
            </a:ext>
          </a:extLst>
        </xdr:cNvPr>
        <xdr:cNvCxnSpPr/>
      </xdr:nvCxnSpPr>
      <xdr:spPr bwMode="auto">
        <a:xfrm flipH="1">
          <a:off x="5457825" y="84010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40</xdr:row>
      <xdr:rowOff>209550</xdr:rowOff>
    </xdr:from>
    <xdr:to>
      <xdr:col>32</xdr:col>
      <xdr:colOff>114300</xdr:colOff>
      <xdr:row>43</xdr:row>
      <xdr:rowOff>209550</xdr:rowOff>
    </xdr:to>
    <xdr:sp macro="" textlink="">
      <xdr:nvSpPr>
        <xdr:cNvPr id="9" name="角丸四角形 8">
          <a:extLst>
            <a:ext uri="{FF2B5EF4-FFF2-40B4-BE49-F238E27FC236}">
              <a16:creationId xmlns:a16="http://schemas.microsoft.com/office/drawing/2014/main" id="{00000000-0008-0000-0200-000009000000}"/>
            </a:ext>
          </a:extLst>
        </xdr:cNvPr>
        <xdr:cNvSpPr/>
      </xdr:nvSpPr>
      <xdr:spPr>
        <a:xfrm>
          <a:off x="5734050" y="10115550"/>
          <a:ext cx="1085850" cy="742950"/>
        </a:xfrm>
        <a:prstGeom prst="roundRect">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lnSpc>
              <a:spcPts val="1200"/>
            </a:lnSpc>
          </a:pPr>
          <a:r>
            <a:rPr kumimoji="1" lang="ja-JP" altLang="en-US" sz="1000">
              <a:solidFill>
                <a:srgbClr val="0041FF"/>
              </a:solidFill>
              <a:latin typeface="ＭＳ 明朝" panose="02020609040205080304" pitchFamily="17" charset="-128"/>
              <a:ea typeface="ＭＳ 明朝" panose="02020609040205080304" pitchFamily="17" charset="-128"/>
            </a:rPr>
            <a:t>対象品目負担割合には</a:t>
          </a:r>
          <a:r>
            <a:rPr kumimoji="1" lang="en-US" altLang="ja-JP" sz="1000">
              <a:solidFill>
                <a:srgbClr val="0041FF"/>
              </a:solidFill>
              <a:latin typeface="ＭＳ 明朝" panose="02020609040205080304" pitchFamily="17" charset="-128"/>
              <a:ea typeface="ＭＳ 明朝" panose="02020609040205080304" pitchFamily="17" charset="-128"/>
            </a:rPr>
            <a:t>20</a:t>
          </a:r>
          <a:r>
            <a:rPr kumimoji="1" lang="ja-JP" altLang="en-US" sz="1000">
              <a:solidFill>
                <a:srgbClr val="0041FF"/>
              </a:solidFill>
              <a:latin typeface="ＭＳ 明朝" panose="02020609040205080304" pitchFamily="17" charset="-128"/>
              <a:ea typeface="ＭＳ 明朝" panose="02020609040205080304" pitchFamily="17" charset="-128"/>
            </a:rPr>
            <a:t>％と記入</a:t>
          </a:r>
        </a:p>
      </xdr:txBody>
    </xdr:sp>
    <xdr:clientData/>
  </xdr:twoCellAnchor>
  <xdr:twoCellAnchor>
    <xdr:from>
      <xdr:col>26</xdr:col>
      <xdr:colOff>19050</xdr:colOff>
      <xdr:row>43</xdr:row>
      <xdr:rowOff>0</xdr:rowOff>
    </xdr:from>
    <xdr:to>
      <xdr:col>27</xdr:col>
      <xdr:colOff>90488</xdr:colOff>
      <xdr:row>43</xdr:row>
      <xdr:rowOff>0</xdr:rowOff>
    </xdr:to>
    <xdr:cxnSp macro="">
      <xdr:nvCxnSpPr>
        <xdr:cNvPr id="10" name="直線矢印コネクタ 9">
          <a:extLst>
            <a:ext uri="{FF2B5EF4-FFF2-40B4-BE49-F238E27FC236}">
              <a16:creationId xmlns:a16="http://schemas.microsoft.com/office/drawing/2014/main" id="{00000000-0008-0000-0200-00000A000000}"/>
            </a:ext>
          </a:extLst>
        </xdr:cNvPr>
        <xdr:cNvCxnSpPr/>
      </xdr:nvCxnSpPr>
      <xdr:spPr bwMode="auto">
        <a:xfrm flipH="1">
          <a:off x="5467350" y="10648950"/>
          <a:ext cx="28098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500062</xdr:colOff>
      <xdr:row>38</xdr:row>
      <xdr:rowOff>35719</xdr:rowOff>
    </xdr:from>
    <xdr:to>
      <xdr:col>15</xdr:col>
      <xdr:colOff>589710</xdr:colOff>
      <xdr:row>43</xdr:row>
      <xdr:rowOff>165987</xdr:rowOff>
    </xdr:to>
    <xdr:sp macro="" textlink="">
      <xdr:nvSpPr>
        <xdr:cNvPr id="2" name="Comment_Daizu" hidden="1">
          <a:extLst>
            <a:ext uri="{FF2B5EF4-FFF2-40B4-BE49-F238E27FC236}">
              <a16:creationId xmlns:a16="http://schemas.microsoft.com/office/drawing/2014/main" id="{00000000-0008-0000-0400-000002000000}"/>
            </a:ext>
          </a:extLst>
        </xdr:cNvPr>
        <xdr:cNvSpPr/>
      </xdr:nvSpPr>
      <xdr:spPr>
        <a:xfrm>
          <a:off x="3719512" y="9808369"/>
          <a:ext cx="3518648" cy="987518"/>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本調査の対象作物は、普通大豆、特定加工用大豆、種子大豆です。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黒大豆は含めないでください。</a:t>
          </a:r>
        </a:p>
      </xdr:txBody>
    </xdr:sp>
    <xdr:clientData/>
  </xdr:twoCellAnchor>
  <xdr:twoCellAnchor>
    <xdr:from>
      <xdr:col>12</xdr:col>
      <xdr:colOff>496420</xdr:colOff>
      <xdr:row>38</xdr:row>
      <xdr:rowOff>35316</xdr:rowOff>
    </xdr:from>
    <xdr:to>
      <xdr:col>15</xdr:col>
      <xdr:colOff>541244</xdr:colOff>
      <xdr:row>42</xdr:row>
      <xdr:rowOff>40920</xdr:rowOff>
    </xdr:to>
    <xdr:sp macro="" textlink="">
      <xdr:nvSpPr>
        <xdr:cNvPr id="3" name="Comment_Soba" hidden="1">
          <a:extLst>
            <a:ext uri="{FF2B5EF4-FFF2-40B4-BE49-F238E27FC236}">
              <a16:creationId xmlns:a16="http://schemas.microsoft.com/office/drawing/2014/main" id="{00000000-0008-0000-0400-000003000000}"/>
            </a:ext>
          </a:extLst>
        </xdr:cNvPr>
        <xdr:cNvSpPr/>
      </xdr:nvSpPr>
      <xdr:spPr>
        <a:xfrm>
          <a:off x="3715870" y="9807966"/>
          <a:ext cx="3473824" cy="691404"/>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本調査の対象作物は、食用だけでなく、種子用も含めたそばです。</a:t>
          </a:r>
        </a:p>
      </xdr:txBody>
    </xdr:sp>
    <xdr:clientData/>
  </xdr:twoCellAnchor>
  <xdr:twoCellAnchor>
    <xdr:from>
      <xdr:col>12</xdr:col>
      <xdr:colOff>500064</xdr:colOff>
      <xdr:row>38</xdr:row>
      <xdr:rowOff>35721</xdr:rowOff>
    </xdr:from>
    <xdr:to>
      <xdr:col>15</xdr:col>
      <xdr:colOff>589711</xdr:colOff>
      <xdr:row>45</xdr:row>
      <xdr:rowOff>123967</xdr:rowOff>
    </xdr:to>
    <xdr:sp macro="" textlink="">
      <xdr:nvSpPr>
        <xdr:cNvPr id="4" name="Comment_Kansyo" hidden="1">
          <a:extLst>
            <a:ext uri="{FF2B5EF4-FFF2-40B4-BE49-F238E27FC236}">
              <a16:creationId xmlns:a16="http://schemas.microsoft.com/office/drawing/2014/main" id="{00000000-0008-0000-0400-000004000000}"/>
            </a:ext>
          </a:extLst>
        </xdr:cNvPr>
        <xdr:cNvSpPr/>
      </xdr:nvSpPr>
      <xdr:spPr>
        <a:xfrm>
          <a:off x="3719514" y="9808371"/>
          <a:ext cx="3518647" cy="1288396"/>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本調査の対象作物は、でん粉原料用とする目的で栽培しているかんしょです。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生食用、焼酎用、種子用とする目的で栽培しているかんしょや、規格外・余剰品ででん粉原料用に利用したかんしょは含めないでください。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xdr:txBody>
    </xdr:sp>
    <xdr:clientData/>
  </xdr:twoCellAnchor>
  <xdr:twoCellAnchor>
    <xdr:from>
      <xdr:col>12</xdr:col>
      <xdr:colOff>488158</xdr:colOff>
      <xdr:row>38</xdr:row>
      <xdr:rowOff>23816</xdr:rowOff>
    </xdr:from>
    <xdr:to>
      <xdr:col>15</xdr:col>
      <xdr:colOff>566600</xdr:colOff>
      <xdr:row>46</xdr:row>
      <xdr:rowOff>23816</xdr:rowOff>
    </xdr:to>
    <xdr:sp macro="" textlink="">
      <xdr:nvSpPr>
        <xdr:cNvPr id="5" name="Comment_Barei" hidden="1">
          <a:extLst>
            <a:ext uri="{FF2B5EF4-FFF2-40B4-BE49-F238E27FC236}">
              <a16:creationId xmlns:a16="http://schemas.microsoft.com/office/drawing/2014/main" id="{00000000-0008-0000-0400-000005000000}"/>
            </a:ext>
          </a:extLst>
        </xdr:cNvPr>
        <xdr:cNvSpPr/>
      </xdr:nvSpPr>
      <xdr:spPr>
        <a:xfrm>
          <a:off x="3707608" y="9796466"/>
          <a:ext cx="3507442" cy="137160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本調査の対象作物は、でん粉原料用とする目的で栽培しているばれいしょです。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ts val="12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生食用、加工用、種子用とする目的で栽培しているばれいしょや、規格外・余剰品ででん粉原料用として利用されるばれいしょ（でん原落ち分）は含めないでください。</a:t>
          </a:r>
        </a:p>
      </xdr:txBody>
    </xdr:sp>
    <xdr:clientData/>
  </xdr:twoCellAnchor>
  <xdr:twoCellAnchor>
    <xdr:from>
      <xdr:col>12</xdr:col>
      <xdr:colOff>488157</xdr:colOff>
      <xdr:row>38</xdr:row>
      <xdr:rowOff>23812</xdr:rowOff>
    </xdr:from>
    <xdr:to>
      <xdr:col>15</xdr:col>
      <xdr:colOff>544187</xdr:colOff>
      <xdr:row>42</xdr:row>
      <xdr:rowOff>119062</xdr:rowOff>
    </xdr:to>
    <xdr:sp macro="" textlink="">
      <xdr:nvSpPr>
        <xdr:cNvPr id="6" name="Comment_Natane" hidden="1">
          <a:extLst>
            <a:ext uri="{FF2B5EF4-FFF2-40B4-BE49-F238E27FC236}">
              <a16:creationId xmlns:a16="http://schemas.microsoft.com/office/drawing/2014/main" id="{00000000-0008-0000-0400-000006000000}"/>
            </a:ext>
          </a:extLst>
        </xdr:cNvPr>
        <xdr:cNvSpPr/>
      </xdr:nvSpPr>
      <xdr:spPr>
        <a:xfrm>
          <a:off x="3707607" y="9796462"/>
          <a:ext cx="3485030" cy="781050"/>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本調査の対象作物は、食用だけでなく、種子用も含めたなたねです。</a:t>
          </a:r>
        </a:p>
      </xdr:txBody>
    </xdr:sp>
    <xdr:clientData/>
  </xdr:twoCellAnchor>
  <xdr:twoCellAnchor>
    <xdr:from>
      <xdr:col>12</xdr:col>
      <xdr:colOff>488162</xdr:colOff>
      <xdr:row>38</xdr:row>
      <xdr:rowOff>23814</xdr:rowOff>
    </xdr:from>
    <xdr:to>
      <xdr:col>15</xdr:col>
      <xdr:colOff>555398</xdr:colOff>
      <xdr:row>44</xdr:row>
      <xdr:rowOff>99454</xdr:rowOff>
    </xdr:to>
    <xdr:sp macro="" textlink="">
      <xdr:nvSpPr>
        <xdr:cNvPr id="7" name="Comment_Satokibi" hidden="1">
          <a:extLst>
            <a:ext uri="{FF2B5EF4-FFF2-40B4-BE49-F238E27FC236}">
              <a16:creationId xmlns:a16="http://schemas.microsoft.com/office/drawing/2014/main" id="{00000000-0008-0000-0400-000007000000}"/>
            </a:ext>
          </a:extLst>
        </xdr:cNvPr>
        <xdr:cNvSpPr/>
      </xdr:nvSpPr>
      <xdr:spPr>
        <a:xfrm>
          <a:off x="3707612" y="9796464"/>
          <a:ext cx="3496236" cy="1104340"/>
        </a:xfrm>
        <a:prstGeom prst="roundRect">
          <a:avLst/>
        </a:prstGeom>
        <a:solidFill>
          <a:sysClr val="window" lastClr="FFFFFF"/>
        </a:solidFill>
        <a:ln w="12700" cap="flat" cmpd="sng" algn="ctr">
          <a:solidFill>
            <a:srgbClr val="0041FF"/>
          </a:solidFill>
          <a:prstDash val="solid"/>
        </a:ln>
        <a:effectLst/>
      </xdr:spPr>
      <xdr:txBody>
        <a:bodyPr vertOverflow="clip" horzOverflow="clip" lIns="72000" rIns="72000" rtlCol="0" anchor="ctr" anchorCtr="1"/>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本調査の対象作物は、砂糖原料用とする目的で栽培しているさとうきびです。</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苗取り用とする目的で栽培しているさとうきびは含めないでください。</a:t>
          </a:r>
        </a:p>
      </xdr:txBody>
    </xdr:sp>
    <xdr:clientData/>
  </xdr:twoCellAnchor>
  <xdr:twoCellAnchor>
    <xdr:from>
      <xdr:col>12</xdr:col>
      <xdr:colOff>515471</xdr:colOff>
      <xdr:row>38</xdr:row>
      <xdr:rowOff>32917</xdr:rowOff>
    </xdr:from>
    <xdr:to>
      <xdr:col>15</xdr:col>
      <xdr:colOff>638735</xdr:colOff>
      <xdr:row>44</xdr:row>
      <xdr:rowOff>154781</xdr:rowOff>
    </xdr:to>
    <xdr:sp macro="" textlink="">
      <xdr:nvSpPr>
        <xdr:cNvPr id="8" name="Comment_kome" hidden="1" title="TEST1">
          <a:extLst>
            <a:ext uri="{FF2B5EF4-FFF2-40B4-BE49-F238E27FC236}">
              <a16:creationId xmlns:a16="http://schemas.microsoft.com/office/drawing/2014/main" id="{00000000-0008-0000-0400-000008000000}"/>
            </a:ext>
          </a:extLst>
        </xdr:cNvPr>
        <xdr:cNvSpPr/>
      </xdr:nvSpPr>
      <xdr:spPr>
        <a:xfrm>
          <a:off x="3734921" y="9805567"/>
          <a:ext cx="3552264" cy="115056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rIns="7200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本調査の対象作物は、</a:t>
          </a:r>
          <a:r>
            <a:rPr kumimoji="1" lang="ja-JP" altLang="en-US" sz="1000" b="1">
              <a:solidFill>
                <a:srgbClr val="0041FF"/>
              </a:solidFill>
              <a:latin typeface="ＭＳ ゴシック" panose="020B0609070205080204" pitchFamily="49" charset="-128"/>
              <a:ea typeface="ＭＳ ゴシック" panose="020B0609070205080204" pitchFamily="49" charset="-128"/>
            </a:rPr>
            <a:t>食用米</a:t>
          </a:r>
          <a:r>
            <a:rPr kumimoji="1" lang="ja-JP" altLang="en-US" sz="1000">
              <a:solidFill>
                <a:srgbClr val="0041FF"/>
              </a:solidFill>
              <a:latin typeface="ＭＳ ゴシック" panose="020B0609070205080204" pitchFamily="49" charset="-128"/>
              <a:ea typeface="ＭＳ ゴシック" panose="020B0609070205080204" pitchFamily="49" charset="-128"/>
            </a:rPr>
            <a:t>（食用に供する水稲のことをいい、種子も含めた主食用米（政府備蓄米、新規需要米のうち酒造用米、輸出用米を含む。）、加工用米、米粉用米）です。</a:t>
          </a:r>
          <a:endParaRPr kumimoji="1" lang="en-US" altLang="ja-JP" sz="1000" b="1">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b="1">
              <a:solidFill>
                <a:srgbClr val="0041FF"/>
              </a:solidFill>
              <a:latin typeface="ＭＳ ゴシック" panose="020B0609070205080204" pitchFamily="49" charset="-128"/>
              <a:ea typeface="ＭＳ ゴシック" panose="020B0609070205080204" pitchFamily="49" charset="-128"/>
            </a:rPr>
            <a:t>　</a:t>
          </a:r>
          <a:r>
            <a:rPr kumimoji="1" lang="ja-JP" altLang="en-US" sz="1000" b="0">
              <a:solidFill>
                <a:srgbClr val="0041FF"/>
              </a:solidFill>
              <a:latin typeface="ＭＳ ゴシック" panose="020B0609070205080204" pitchFamily="49" charset="-128"/>
              <a:ea typeface="ＭＳ ゴシック" panose="020B0609070205080204" pitchFamily="49" charset="-128"/>
            </a:rPr>
            <a:t>食用以外の飼料用米、</a:t>
          </a:r>
          <a:r>
            <a:rPr kumimoji="1" lang="en-US" altLang="ja-JP" sz="1000" b="0">
              <a:solidFill>
                <a:srgbClr val="0041FF"/>
              </a:solidFill>
              <a:latin typeface="ＭＳ ゴシック" panose="020B0609070205080204" pitchFamily="49" charset="-128"/>
              <a:ea typeface="ＭＳ ゴシック" panose="020B0609070205080204" pitchFamily="49" charset="-128"/>
            </a:rPr>
            <a:t>WCS</a:t>
          </a:r>
          <a:r>
            <a:rPr kumimoji="1" lang="ja-JP" altLang="en-US" sz="1000" b="0">
              <a:solidFill>
                <a:srgbClr val="0041FF"/>
              </a:solidFill>
              <a:latin typeface="ＭＳ ゴシック" panose="020B0609070205080204" pitchFamily="49" charset="-128"/>
              <a:ea typeface="ＭＳ ゴシック" panose="020B0609070205080204" pitchFamily="49" charset="-128"/>
            </a:rPr>
            <a:t>用稲、バイオエタノール用等は含め</a:t>
          </a:r>
          <a:r>
            <a:rPr kumimoji="1" lang="ja-JP" altLang="en-US" sz="1000">
              <a:solidFill>
                <a:srgbClr val="0041FF"/>
              </a:solidFill>
              <a:latin typeface="ＭＳ ゴシック" panose="020B0609070205080204" pitchFamily="49" charset="-128"/>
              <a:ea typeface="ＭＳ ゴシック" panose="020B0609070205080204" pitchFamily="49" charset="-128"/>
            </a:rPr>
            <a:t>ないでください。</a:t>
          </a:r>
        </a:p>
      </xdr:txBody>
    </xdr:sp>
    <xdr:clientData/>
  </xdr:twoCellAnchor>
  <xdr:twoCellAnchor>
    <xdr:from>
      <xdr:col>13</xdr:col>
      <xdr:colOff>324971</xdr:colOff>
      <xdr:row>35</xdr:row>
      <xdr:rowOff>388970</xdr:rowOff>
    </xdr:from>
    <xdr:to>
      <xdr:col>13</xdr:col>
      <xdr:colOff>327093</xdr:colOff>
      <xdr:row>38</xdr:row>
      <xdr:rowOff>35314</xdr:rowOff>
    </xdr:to>
    <xdr:cxnSp macro="">
      <xdr:nvCxnSpPr>
        <xdr:cNvPr id="9" name="Uparrow">
          <a:extLst>
            <a:ext uri="{FF2B5EF4-FFF2-40B4-BE49-F238E27FC236}">
              <a16:creationId xmlns:a16="http://schemas.microsoft.com/office/drawing/2014/main" id="{00000000-0008-0000-0400-000009000000}"/>
            </a:ext>
          </a:extLst>
        </xdr:cNvPr>
        <xdr:cNvCxnSpPr/>
      </xdr:nvCxnSpPr>
      <xdr:spPr bwMode="auto">
        <a:xfrm>
          <a:off x="4687421" y="9428195"/>
          <a:ext cx="2122" cy="379769"/>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511969</xdr:colOff>
      <xdr:row>38</xdr:row>
      <xdr:rowOff>23813</xdr:rowOff>
    </xdr:from>
    <xdr:to>
      <xdr:col>15</xdr:col>
      <xdr:colOff>612823</xdr:colOff>
      <xdr:row>45</xdr:row>
      <xdr:rowOff>44826</xdr:rowOff>
    </xdr:to>
    <xdr:sp macro="" textlink="">
      <xdr:nvSpPr>
        <xdr:cNvPr id="10" name="Comment_Mugi">
          <a:extLst>
            <a:ext uri="{FF2B5EF4-FFF2-40B4-BE49-F238E27FC236}">
              <a16:creationId xmlns:a16="http://schemas.microsoft.com/office/drawing/2014/main" id="{00000000-0008-0000-0400-00000A000000}"/>
            </a:ext>
          </a:extLst>
        </xdr:cNvPr>
        <xdr:cNvSpPr/>
      </xdr:nvSpPr>
      <xdr:spPr>
        <a:xfrm>
          <a:off x="3731419" y="9796463"/>
          <a:ext cx="3529854" cy="1221163"/>
        </a:xfrm>
        <a:prstGeom prst="roundRect">
          <a:avLst/>
        </a:prstGeom>
        <a:solidFill>
          <a:sysClr val="window" lastClr="FFFFFF"/>
        </a:solidFill>
        <a:ln w="12700" cap="flat" cmpd="sng" algn="ctr">
          <a:solidFill>
            <a:srgbClr val="0037FF"/>
          </a:solidFill>
          <a:prstDash val="solid"/>
        </a:ln>
        <a:effectLst/>
      </xdr:spPr>
      <xdr:txBody>
        <a:bodyPr vertOverflow="clip" horzOverflow="clip" lIns="72000" rIns="72000" rtlCol="0" anchor="ctr" anchorCtr="0"/>
        <a:lstStyle/>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本調査の対象品目は、調査をお願いした、</a:t>
          </a:r>
          <a:r>
            <a:rPr kumimoji="1" lang="ja-JP" altLang="en-US"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小麦、二条大麦、六条大麦、はだか麦の</a:t>
          </a:r>
          <a:r>
            <a:rPr kumimoji="1" lang="ja-JP" altLang="en-US" sz="1000" b="1" i="0" u="sng"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いずれか</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です。</a:t>
          </a:r>
          <a:endParaRPr kumimoji="1" lang="en-US" altLang="ja-JP" sz="1000" b="1"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対象品目以外の麦を含めないでください。</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また、食用だけでなく、種子用の麦も含みます。（青刈り目的で栽培している麦は含みません。）</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85725</xdr:colOff>
          <xdr:row>0</xdr:row>
          <xdr:rowOff>114300</xdr:rowOff>
        </xdr:from>
        <xdr:to>
          <xdr:col>11</xdr:col>
          <xdr:colOff>95250</xdr:colOff>
          <xdr:row>2</xdr:row>
          <xdr:rowOff>123825</xdr:rowOff>
        </xdr:to>
        <xdr:sp macro="" textlink="">
          <xdr:nvSpPr>
            <xdr:cNvPr id="22540" name="Label1" hidden="1">
              <a:extLst>
                <a:ext uri="{63B3BB69-23CF-44E3-9099-C40C66FF867C}">
                  <a14:compatExt spid="_x0000_s22540"/>
                </a:ext>
                <a:ext uri="{FF2B5EF4-FFF2-40B4-BE49-F238E27FC236}">
                  <a16:creationId xmlns:a16="http://schemas.microsoft.com/office/drawing/2014/main" id="{00000000-0008-0000-06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xdr:row>
          <xdr:rowOff>57150</xdr:rowOff>
        </xdr:from>
        <xdr:to>
          <xdr:col>11</xdr:col>
          <xdr:colOff>76200</xdr:colOff>
          <xdr:row>2</xdr:row>
          <xdr:rowOff>9525</xdr:rowOff>
        </xdr:to>
        <xdr:sp macro="" textlink="">
          <xdr:nvSpPr>
            <xdr:cNvPr id="22541" name="Label2" hidden="1">
              <a:extLst>
                <a:ext uri="{63B3BB69-23CF-44E3-9099-C40C66FF867C}">
                  <a14:compatExt spid="_x0000_s22541"/>
                </a:ext>
                <a:ext uri="{FF2B5EF4-FFF2-40B4-BE49-F238E27FC236}">
                  <a16:creationId xmlns:a16="http://schemas.microsoft.com/office/drawing/2014/main" id="{00000000-0008-0000-06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0</xdr:row>
          <xdr:rowOff>114300</xdr:rowOff>
        </xdr:from>
        <xdr:to>
          <xdr:col>15</xdr:col>
          <xdr:colOff>9525</xdr:colOff>
          <xdr:row>1</xdr:row>
          <xdr:rowOff>142875</xdr:rowOff>
        </xdr:to>
        <xdr:sp macro="" textlink="">
          <xdr:nvSpPr>
            <xdr:cNvPr id="22542" name="Label3" hidden="1">
              <a:extLst>
                <a:ext uri="{63B3BB69-23CF-44E3-9099-C40C66FF867C}">
                  <a14:compatExt spid="_x0000_s22542"/>
                </a:ext>
                <a:ext uri="{FF2B5EF4-FFF2-40B4-BE49-F238E27FC236}">
                  <a16:creationId xmlns:a16="http://schemas.microsoft.com/office/drawing/2014/main" id="{00000000-0008-0000-06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1</xdr:row>
          <xdr:rowOff>142875</xdr:rowOff>
        </xdr:from>
        <xdr:to>
          <xdr:col>15</xdr:col>
          <xdr:colOff>9525</xdr:colOff>
          <xdr:row>2</xdr:row>
          <xdr:rowOff>123825</xdr:rowOff>
        </xdr:to>
        <xdr:sp macro="" textlink="">
          <xdr:nvSpPr>
            <xdr:cNvPr id="22543" name="txt_hyouji1" hidden="1">
              <a:extLst>
                <a:ext uri="{63B3BB69-23CF-44E3-9099-C40C66FF867C}">
                  <a14:compatExt spid="_x0000_s22543"/>
                </a:ext>
                <a:ext uri="{FF2B5EF4-FFF2-40B4-BE49-F238E27FC236}">
                  <a16:creationId xmlns:a16="http://schemas.microsoft.com/office/drawing/2014/main" id="{00000000-0008-0000-06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438150</xdr:colOff>
          <xdr:row>0</xdr:row>
          <xdr:rowOff>114300</xdr:rowOff>
        </xdr:from>
        <xdr:to>
          <xdr:col>20</xdr:col>
          <xdr:colOff>57150</xdr:colOff>
          <xdr:row>2</xdr:row>
          <xdr:rowOff>123825</xdr:rowOff>
        </xdr:to>
        <xdr:sp macro="" textlink="">
          <xdr:nvSpPr>
            <xdr:cNvPr id="22544" name="btnKoushin1" hidden="1">
              <a:extLst>
                <a:ext uri="{63B3BB69-23CF-44E3-9099-C40C66FF867C}">
                  <a14:compatExt spid="_x0000_s22544"/>
                </a:ext>
                <a:ext uri="{FF2B5EF4-FFF2-40B4-BE49-F238E27FC236}">
                  <a16:creationId xmlns:a16="http://schemas.microsoft.com/office/drawing/2014/main" id="{00000000-0008-0000-06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0</xdr:row>
          <xdr:rowOff>114300</xdr:rowOff>
        </xdr:from>
        <xdr:to>
          <xdr:col>18</xdr:col>
          <xdr:colOff>95250</xdr:colOff>
          <xdr:row>1</xdr:row>
          <xdr:rowOff>142875</xdr:rowOff>
        </xdr:to>
        <xdr:sp macro="" textlink="">
          <xdr:nvSpPr>
            <xdr:cNvPr id="22545" name="Label4" hidden="1">
              <a:extLst>
                <a:ext uri="{63B3BB69-23CF-44E3-9099-C40C66FF867C}">
                  <a14:compatExt spid="_x0000_s22545"/>
                </a:ext>
                <a:ext uri="{FF2B5EF4-FFF2-40B4-BE49-F238E27FC236}">
                  <a16:creationId xmlns:a16="http://schemas.microsoft.com/office/drawing/2014/main" id="{00000000-0008-0000-0600-00001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1</xdr:row>
          <xdr:rowOff>142875</xdr:rowOff>
        </xdr:from>
        <xdr:to>
          <xdr:col>18</xdr:col>
          <xdr:colOff>95250</xdr:colOff>
          <xdr:row>2</xdr:row>
          <xdr:rowOff>123825</xdr:rowOff>
        </xdr:to>
        <xdr:sp macro="" textlink="">
          <xdr:nvSpPr>
            <xdr:cNvPr id="22546" name="txt_hyouji2" hidden="1">
              <a:extLst>
                <a:ext uri="{63B3BB69-23CF-44E3-9099-C40C66FF867C}">
                  <a14:compatExt spid="_x0000_s22546"/>
                </a:ext>
                <a:ext uri="{FF2B5EF4-FFF2-40B4-BE49-F238E27FC236}">
                  <a16:creationId xmlns:a16="http://schemas.microsoft.com/office/drawing/2014/main" id="{00000000-0008-0000-06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85725</xdr:colOff>
          <xdr:row>0</xdr:row>
          <xdr:rowOff>114300</xdr:rowOff>
        </xdr:from>
        <xdr:to>
          <xdr:col>18</xdr:col>
          <xdr:colOff>809625</xdr:colOff>
          <xdr:row>1</xdr:row>
          <xdr:rowOff>142875</xdr:rowOff>
        </xdr:to>
        <xdr:sp macro="" textlink="">
          <xdr:nvSpPr>
            <xdr:cNvPr id="22547" name="Label5" hidden="1">
              <a:extLst>
                <a:ext uri="{63B3BB69-23CF-44E3-9099-C40C66FF867C}">
                  <a14:compatExt spid="_x0000_s22547"/>
                </a:ext>
                <a:ext uri="{FF2B5EF4-FFF2-40B4-BE49-F238E27FC236}">
                  <a16:creationId xmlns:a16="http://schemas.microsoft.com/office/drawing/2014/main" id="{00000000-0008-0000-0600-00001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85725</xdr:colOff>
          <xdr:row>1</xdr:row>
          <xdr:rowOff>142875</xdr:rowOff>
        </xdr:from>
        <xdr:to>
          <xdr:col>18</xdr:col>
          <xdr:colOff>809625</xdr:colOff>
          <xdr:row>2</xdr:row>
          <xdr:rowOff>123825</xdr:rowOff>
        </xdr:to>
        <xdr:sp macro="" textlink="">
          <xdr:nvSpPr>
            <xdr:cNvPr id="22548" name="txt_hyouji3" hidden="1">
              <a:extLst>
                <a:ext uri="{63B3BB69-23CF-44E3-9099-C40C66FF867C}">
                  <a14:compatExt spid="_x0000_s22548"/>
                </a:ext>
                <a:ext uri="{FF2B5EF4-FFF2-40B4-BE49-F238E27FC236}">
                  <a16:creationId xmlns:a16="http://schemas.microsoft.com/office/drawing/2014/main" id="{00000000-0008-0000-06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800100</xdr:colOff>
          <xdr:row>0</xdr:row>
          <xdr:rowOff>114300</xdr:rowOff>
        </xdr:from>
        <xdr:to>
          <xdr:col>19</xdr:col>
          <xdr:colOff>333375</xdr:colOff>
          <xdr:row>1</xdr:row>
          <xdr:rowOff>142875</xdr:rowOff>
        </xdr:to>
        <xdr:sp macro="" textlink="">
          <xdr:nvSpPr>
            <xdr:cNvPr id="22549" name="Label6" hidden="1">
              <a:extLst>
                <a:ext uri="{63B3BB69-23CF-44E3-9099-C40C66FF867C}">
                  <a14:compatExt spid="_x0000_s22549"/>
                </a:ext>
                <a:ext uri="{FF2B5EF4-FFF2-40B4-BE49-F238E27FC236}">
                  <a16:creationId xmlns:a16="http://schemas.microsoft.com/office/drawing/2014/main" id="{00000000-0008-0000-0600-00001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800100</xdr:colOff>
          <xdr:row>1</xdr:row>
          <xdr:rowOff>142875</xdr:rowOff>
        </xdr:from>
        <xdr:to>
          <xdr:col>19</xdr:col>
          <xdr:colOff>333375</xdr:colOff>
          <xdr:row>2</xdr:row>
          <xdr:rowOff>123825</xdr:rowOff>
        </xdr:to>
        <xdr:sp macro="" textlink="">
          <xdr:nvSpPr>
            <xdr:cNvPr id="22550" name="txt_hyouji4" hidden="1">
              <a:extLst>
                <a:ext uri="{63B3BB69-23CF-44E3-9099-C40C66FF867C}">
                  <a14:compatExt spid="_x0000_s22550"/>
                </a:ext>
                <a:ext uri="{FF2B5EF4-FFF2-40B4-BE49-F238E27FC236}">
                  <a16:creationId xmlns:a16="http://schemas.microsoft.com/office/drawing/2014/main" id="{00000000-0008-0000-0600-00001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8</xdr:col>
      <xdr:colOff>178616</xdr:colOff>
      <xdr:row>27</xdr:row>
      <xdr:rowOff>233363</xdr:rowOff>
    </xdr:from>
    <xdr:to>
      <xdr:col>8</xdr:col>
      <xdr:colOff>1226344</xdr:colOff>
      <xdr:row>28</xdr:row>
      <xdr:rowOff>304800</xdr:rowOff>
    </xdr:to>
    <xdr:sp macro="" textlink="">
      <xdr:nvSpPr>
        <xdr:cNvPr id="2" name="下矢印 18">
          <a:extLst>
            <a:ext uri="{FF2B5EF4-FFF2-40B4-BE49-F238E27FC236}">
              <a16:creationId xmlns:a16="http://schemas.microsoft.com/office/drawing/2014/main" id="{00000000-0008-0000-0700-000002000000}"/>
            </a:ext>
          </a:extLst>
        </xdr:cNvPr>
        <xdr:cNvSpPr/>
      </xdr:nvSpPr>
      <xdr:spPr>
        <a:xfrm>
          <a:off x="2445566" y="7396163"/>
          <a:ext cx="1047728" cy="452437"/>
        </a:xfrm>
        <a:prstGeom prst="downArrow">
          <a:avLst/>
        </a:prstGeom>
        <a:solidFill>
          <a:schemeClr val="bg1">
            <a:lumMod val="85000"/>
          </a:schemeClr>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6864</xdr:colOff>
      <xdr:row>27</xdr:row>
      <xdr:rowOff>19048</xdr:rowOff>
    </xdr:from>
    <xdr:to>
      <xdr:col>8</xdr:col>
      <xdr:colOff>1321593</xdr:colOff>
      <xdr:row>27</xdr:row>
      <xdr:rowOff>214315</xdr:rowOff>
    </xdr:to>
    <xdr:sp macro="" textlink="">
      <xdr:nvSpPr>
        <xdr:cNvPr id="3" name="右中かっこ 2">
          <a:extLst>
            <a:ext uri="{FF2B5EF4-FFF2-40B4-BE49-F238E27FC236}">
              <a16:creationId xmlns:a16="http://schemas.microsoft.com/office/drawing/2014/main" id="{00000000-0008-0000-0700-000003000000}"/>
            </a:ext>
          </a:extLst>
        </xdr:cNvPr>
        <xdr:cNvSpPr/>
      </xdr:nvSpPr>
      <xdr:spPr>
        <a:xfrm rot="5400000">
          <a:off x="2833545" y="6622117"/>
          <a:ext cx="195267" cy="1314729"/>
        </a:xfrm>
        <a:prstGeom prst="rightBrace">
          <a:avLst>
            <a:gd name="adj1" fmla="val 34791"/>
            <a:gd name="adj2" fmla="val 46923"/>
          </a:avLst>
        </a:prstGeom>
        <a:ln w="22225">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lientData/>
  </xdr:twoCellAnchor>
  <xdr:twoCellAnchor>
    <xdr:from>
      <xdr:col>11</xdr:col>
      <xdr:colOff>0</xdr:colOff>
      <xdr:row>26</xdr:row>
      <xdr:rowOff>180975</xdr:rowOff>
    </xdr:from>
    <xdr:to>
      <xdr:col>12</xdr:col>
      <xdr:colOff>0</xdr:colOff>
      <xdr:row>26</xdr:row>
      <xdr:rowOff>180975</xdr:rowOff>
    </xdr:to>
    <xdr:cxnSp macro="">
      <xdr:nvCxnSpPr>
        <xdr:cNvPr id="4" name="直線矢印コネクタ 3">
          <a:extLst>
            <a:ext uri="{FF2B5EF4-FFF2-40B4-BE49-F238E27FC236}">
              <a16:creationId xmlns:a16="http://schemas.microsoft.com/office/drawing/2014/main" id="{00000000-0008-0000-0700-000004000000}"/>
            </a:ext>
          </a:extLst>
        </xdr:cNvPr>
        <xdr:cNvCxnSpPr/>
      </xdr:nvCxnSpPr>
      <xdr:spPr bwMode="auto">
        <a:xfrm>
          <a:off x="6238875" y="6962775"/>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183356</xdr:colOff>
      <xdr:row>24</xdr:row>
      <xdr:rowOff>0</xdr:rowOff>
    </xdr:from>
    <xdr:to>
      <xdr:col>17</xdr:col>
      <xdr:colOff>96600</xdr:colOff>
      <xdr:row>27</xdr:row>
      <xdr:rowOff>321468</xdr:rowOff>
    </xdr:to>
    <xdr:sp macro="" textlink="">
      <xdr:nvSpPr>
        <xdr:cNvPr id="5" name="角丸四角形 21">
          <a:extLst>
            <a:ext uri="{FF2B5EF4-FFF2-40B4-BE49-F238E27FC236}">
              <a16:creationId xmlns:a16="http://schemas.microsoft.com/office/drawing/2014/main" id="{00000000-0008-0000-0700-000005000000}"/>
            </a:ext>
          </a:extLst>
        </xdr:cNvPr>
        <xdr:cNvSpPr/>
      </xdr:nvSpPr>
      <xdr:spPr>
        <a:xfrm>
          <a:off x="6422231" y="6419850"/>
          <a:ext cx="3361294" cy="1064418"/>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72000" rIns="36000" bIns="36000" rtlCol="0" anchor="ctr"/>
        <a:lstStyle/>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くず麦の総量を</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％とした場合の「販売用」、「自家用」、「その他（廃棄等）」の各割合を記入してください。</a:t>
          </a:r>
          <a:endParaRPr kumimoji="1" lang="en-US" altLang="ja-JP" sz="9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900">
              <a:solidFill>
                <a:srgbClr val="0041FF"/>
              </a:solidFill>
              <a:latin typeface="ＭＳ ゴシック" panose="020B0609070205080204" pitchFamily="49" charset="-128"/>
              <a:ea typeface="ＭＳ ゴシック" panose="020B0609070205080204" pitchFamily="49" charset="-128"/>
            </a:rPr>
            <a:t>　（販売用、自家用、その他（廃棄等）の合計が</a:t>
          </a:r>
          <a:r>
            <a:rPr kumimoji="1" lang="en-US" altLang="ja-JP" sz="900">
              <a:solidFill>
                <a:srgbClr val="0041FF"/>
              </a:solidFill>
              <a:latin typeface="ＭＳ ゴシック" panose="020B0609070205080204" pitchFamily="49" charset="-128"/>
              <a:ea typeface="ＭＳ ゴシック" panose="020B0609070205080204" pitchFamily="49" charset="-128"/>
            </a:rPr>
            <a:t>100</a:t>
          </a:r>
          <a:r>
            <a:rPr kumimoji="1" lang="ja-JP" altLang="en-US" sz="9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twoCellAnchor>
    <xdr:from>
      <xdr:col>10</xdr:col>
      <xdr:colOff>582082</xdr:colOff>
      <xdr:row>17</xdr:row>
      <xdr:rowOff>349250</xdr:rowOff>
    </xdr:from>
    <xdr:to>
      <xdr:col>10</xdr:col>
      <xdr:colOff>584765</xdr:colOff>
      <xdr:row>20</xdr:row>
      <xdr:rowOff>141816</xdr:rowOff>
    </xdr:to>
    <xdr:cxnSp macro="">
      <xdr:nvCxnSpPr>
        <xdr:cNvPr id="6" name="直線矢印コネクタ 5">
          <a:extLst>
            <a:ext uri="{FF2B5EF4-FFF2-40B4-BE49-F238E27FC236}">
              <a16:creationId xmlns:a16="http://schemas.microsoft.com/office/drawing/2014/main" id="{00000000-0008-0000-0700-000006000000}"/>
            </a:ext>
          </a:extLst>
        </xdr:cNvPr>
        <xdr:cNvCxnSpPr/>
      </xdr:nvCxnSpPr>
      <xdr:spPr bwMode="auto">
        <a:xfrm>
          <a:off x="5496982" y="4111625"/>
          <a:ext cx="2683" cy="926041"/>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67733</xdr:colOff>
      <xdr:row>19</xdr:row>
      <xdr:rowOff>55034</xdr:rowOff>
    </xdr:from>
    <xdr:to>
      <xdr:col>12</xdr:col>
      <xdr:colOff>151341</xdr:colOff>
      <xdr:row>20</xdr:row>
      <xdr:rowOff>296333</xdr:rowOff>
    </xdr:to>
    <xdr:sp macro="" textlink="">
      <xdr:nvSpPr>
        <xdr:cNvPr id="7" name="角丸四角形 17">
          <a:extLst>
            <a:ext uri="{FF2B5EF4-FFF2-40B4-BE49-F238E27FC236}">
              <a16:creationId xmlns:a16="http://schemas.microsoft.com/office/drawing/2014/main" id="{00000000-0008-0000-0700-000007000000}"/>
            </a:ext>
          </a:extLst>
        </xdr:cNvPr>
        <xdr:cNvSpPr/>
      </xdr:nvSpPr>
      <xdr:spPr>
        <a:xfrm>
          <a:off x="2334683" y="4569884"/>
          <a:ext cx="5379508" cy="622299"/>
        </a:xfrm>
        <a:prstGeom prst="roundRect">
          <a:avLst>
            <a:gd name="adj" fmla="val 14273"/>
          </a:avLst>
        </a:prstGeom>
        <a:solidFill>
          <a:schemeClr val="bg1"/>
        </a:solidFill>
        <a:ln w="12700">
          <a:solidFill>
            <a:srgbClr val="0041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36000" tIns="0" rIns="36000" bIns="0" rtlCol="0" anchor="ctr"/>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麦わらの総量を</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％とした場合の「販売用」、「自家用」の用途別に割合を記入してください。（用途別の合計が</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となります。）</a:t>
          </a:r>
        </a:p>
      </xdr:txBody>
    </xdr: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1840257</xdr:colOff>
      <xdr:row>1</xdr:row>
      <xdr:rowOff>31105</xdr:rowOff>
    </xdr:from>
    <xdr:ext cx="2532529" cy="323564"/>
    <xdr:sp macro="" textlink="">
      <xdr:nvSpPr>
        <xdr:cNvPr id="2" name="角丸四角形 1">
          <a:extLst>
            <a:ext uri="{FF2B5EF4-FFF2-40B4-BE49-F238E27FC236}">
              <a16:creationId xmlns:a16="http://schemas.microsoft.com/office/drawing/2014/main" id="{00000000-0008-0000-0800-000002000000}"/>
            </a:ext>
          </a:extLst>
        </xdr:cNvPr>
        <xdr:cNvSpPr/>
      </xdr:nvSpPr>
      <xdr:spPr>
        <a:xfrm>
          <a:off x="2421282" y="212080"/>
          <a:ext cx="2532529"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当年産の対象品目栽培の特徴</a:t>
          </a:r>
        </a:p>
      </xdr:txBody>
    </xdr:sp>
    <xdr:clientData/>
  </xdr:oneCellAnchor>
  <xdr:oneCellAnchor>
    <xdr:from>
      <xdr:col>5</xdr:col>
      <xdr:colOff>2169957</xdr:colOff>
      <xdr:row>24</xdr:row>
      <xdr:rowOff>7012</xdr:rowOff>
    </xdr:from>
    <xdr:ext cx="2196000" cy="323564"/>
    <xdr:sp macro="" textlink="">
      <xdr:nvSpPr>
        <xdr:cNvPr id="3" name="角丸四角形 2">
          <a:extLst>
            <a:ext uri="{FF2B5EF4-FFF2-40B4-BE49-F238E27FC236}">
              <a16:creationId xmlns:a16="http://schemas.microsoft.com/office/drawing/2014/main" id="{00000000-0008-0000-0800-000003000000}"/>
            </a:ext>
          </a:extLst>
        </xdr:cNvPr>
        <xdr:cNvSpPr/>
      </xdr:nvSpPr>
      <xdr:spPr>
        <a:xfrm>
          <a:off x="2750982" y="8350912"/>
          <a:ext cx="2196000" cy="323564"/>
        </a:xfrm>
        <a:prstGeom prst="roundRect">
          <a:avLst/>
        </a:prstGeom>
        <a:solidFill>
          <a:schemeClr val="bg1"/>
        </a:solidFill>
        <a:ln>
          <a:solidFill>
            <a:srgbClr val="35A16B"/>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spAutoFit/>
        </a:bodyPr>
        <a:lstStyle/>
        <a:p>
          <a:pPr algn="ctr"/>
          <a:r>
            <a:rPr kumimoji="1" lang="ja-JP" altLang="en-US" sz="1200" b="1">
              <a:solidFill>
                <a:sysClr val="windowText" lastClr="000000"/>
              </a:solidFill>
              <a:latin typeface="ＭＳ ゴシック" panose="020B0609070205080204" pitchFamily="49" charset="-128"/>
              <a:ea typeface="ＭＳ ゴシック" panose="020B0609070205080204" pitchFamily="49" charset="-128"/>
            </a:rPr>
            <a:t>通　　信　　欄</a:t>
          </a:r>
          <a:endParaRPr kumimoji="1" lang="en-US" altLang="ja-JP" sz="1200" b="1">
            <a:solidFill>
              <a:sysClr val="windowText" lastClr="000000"/>
            </a:solidFill>
            <a:latin typeface="ＭＳ ゴシック" panose="020B0609070205080204" pitchFamily="49" charset="-128"/>
            <a:ea typeface="ＭＳ ゴシック" panose="020B0609070205080204" pitchFamily="49" charset="-128"/>
          </a:endParaRPr>
        </a:p>
      </xdr:txBody>
    </xdr:sp>
    <xdr:clientData/>
  </xdr:oneCellAnchor>
</xdr:wsDr>
</file>

<file path=xl/drawings/drawing8.xml><?xml version="1.0" encoding="utf-8"?>
<xdr:wsDr xmlns:xdr="http://schemas.openxmlformats.org/drawingml/2006/spreadsheetDrawing" xmlns:a="http://schemas.openxmlformats.org/drawingml/2006/main">
  <xdr:twoCellAnchor>
    <xdr:from>
      <xdr:col>8</xdr:col>
      <xdr:colOff>0</xdr:colOff>
      <xdr:row>31</xdr:row>
      <xdr:rowOff>10583</xdr:rowOff>
    </xdr:from>
    <xdr:to>
      <xdr:col>8</xdr:col>
      <xdr:colOff>1084768</xdr:colOff>
      <xdr:row>46</xdr:row>
      <xdr:rowOff>85724</xdr:rowOff>
    </xdr:to>
    <xdr:grpSp>
      <xdr:nvGrpSpPr>
        <xdr:cNvPr id="2" name="グループ化 1">
          <a:extLst>
            <a:ext uri="{FF2B5EF4-FFF2-40B4-BE49-F238E27FC236}">
              <a16:creationId xmlns:a16="http://schemas.microsoft.com/office/drawing/2014/main" id="{00000000-0008-0000-0900-000002000000}"/>
            </a:ext>
          </a:extLst>
        </xdr:cNvPr>
        <xdr:cNvGrpSpPr/>
      </xdr:nvGrpSpPr>
      <xdr:grpSpPr>
        <a:xfrm>
          <a:off x="4048125" y="4606396"/>
          <a:ext cx="1084768" cy="1980141"/>
          <a:chOff x="4042833" y="4407958"/>
          <a:chExt cx="1084768" cy="1657350"/>
        </a:xfrm>
      </xdr:grpSpPr>
      <xdr:cxnSp macro="">
        <xdr:nvCxnSpPr>
          <xdr:cNvPr id="3" name="直線コネクタ 2">
            <a:extLst>
              <a:ext uri="{FF2B5EF4-FFF2-40B4-BE49-F238E27FC236}">
                <a16:creationId xmlns:a16="http://schemas.microsoft.com/office/drawing/2014/main" id="{00000000-0008-0000-0900-000003000000}"/>
              </a:ext>
            </a:extLst>
          </xdr:cNvPr>
          <xdr:cNvCxnSpPr/>
        </xdr:nvCxnSpPr>
        <xdr:spPr bwMode="auto">
          <a:xfrm>
            <a:off x="5120155" y="5205655"/>
            <a:ext cx="7446" cy="85965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4" name="右中かっこ 3">
            <a:extLst>
              <a:ext uri="{FF2B5EF4-FFF2-40B4-BE49-F238E27FC236}">
                <a16:creationId xmlns:a16="http://schemas.microsoft.com/office/drawing/2014/main" id="{00000000-0008-0000-0900-000004000000}"/>
              </a:ext>
            </a:extLst>
          </xdr:cNvPr>
          <xdr:cNvSpPr/>
        </xdr:nvSpPr>
        <xdr:spPr>
          <a:xfrm>
            <a:off x="4042833" y="4407958"/>
            <a:ext cx="180975" cy="1610882"/>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5" name="直線矢印コネクタ 4">
            <a:extLst>
              <a:ext uri="{FF2B5EF4-FFF2-40B4-BE49-F238E27FC236}">
                <a16:creationId xmlns:a16="http://schemas.microsoft.com/office/drawing/2014/main" id="{00000000-0008-0000-0900-000005000000}"/>
              </a:ext>
            </a:extLst>
          </xdr:cNvPr>
          <xdr:cNvCxnSpPr/>
        </xdr:nvCxnSpPr>
        <xdr:spPr bwMode="auto">
          <a:xfrm flipH="1">
            <a:off x="4185709" y="5208284"/>
            <a:ext cx="934446" cy="2"/>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1077322</xdr:colOff>
      <xdr:row>46</xdr:row>
      <xdr:rowOff>78497</xdr:rowOff>
    </xdr:from>
    <xdr:to>
      <xdr:col>12</xdr:col>
      <xdr:colOff>103876</xdr:colOff>
      <xdr:row>46</xdr:row>
      <xdr:rowOff>78497</xdr:rowOff>
    </xdr:to>
    <xdr:cxnSp macro="">
      <xdr:nvCxnSpPr>
        <xdr:cNvPr id="6" name="直線矢印コネクタ 5">
          <a:extLst>
            <a:ext uri="{FF2B5EF4-FFF2-40B4-BE49-F238E27FC236}">
              <a16:creationId xmlns:a16="http://schemas.microsoft.com/office/drawing/2014/main" id="{00000000-0008-0000-0900-000006000000}"/>
            </a:ext>
          </a:extLst>
        </xdr:cNvPr>
        <xdr:cNvCxnSpPr/>
      </xdr:nvCxnSpPr>
      <xdr:spPr bwMode="auto">
        <a:xfrm flipH="1">
          <a:off x="5115922" y="6612647"/>
          <a:ext cx="115062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108479</xdr:colOff>
      <xdr:row>33</xdr:row>
      <xdr:rowOff>148167</xdr:rowOff>
    </xdr:from>
    <xdr:to>
      <xdr:col>12</xdr:col>
      <xdr:colOff>108479</xdr:colOff>
      <xdr:row>46</xdr:row>
      <xdr:rowOff>83018</xdr:rowOff>
    </xdr:to>
    <xdr:cxnSp macro="">
      <xdr:nvCxnSpPr>
        <xdr:cNvPr id="7" name="直線コネクタ 6">
          <a:extLst>
            <a:ext uri="{FF2B5EF4-FFF2-40B4-BE49-F238E27FC236}">
              <a16:creationId xmlns:a16="http://schemas.microsoft.com/office/drawing/2014/main" id="{00000000-0008-0000-0900-000007000000}"/>
            </a:ext>
          </a:extLst>
        </xdr:cNvPr>
        <xdr:cNvCxnSpPr/>
      </xdr:nvCxnSpPr>
      <xdr:spPr bwMode="auto">
        <a:xfrm>
          <a:off x="6271154" y="5539317"/>
          <a:ext cx="0" cy="10778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158749</xdr:colOff>
      <xdr:row>31</xdr:row>
      <xdr:rowOff>345835</xdr:rowOff>
    </xdr:from>
    <xdr:to>
      <xdr:col>18</xdr:col>
      <xdr:colOff>201083</xdr:colOff>
      <xdr:row>33</xdr:row>
      <xdr:rowOff>179916</xdr:rowOff>
    </xdr:to>
    <xdr:sp macro="" textlink="">
      <xdr:nvSpPr>
        <xdr:cNvPr id="8" name="角丸四角形 12">
          <a:extLst>
            <a:ext uri="{FF2B5EF4-FFF2-40B4-BE49-F238E27FC236}">
              <a16:creationId xmlns:a16="http://schemas.microsoft.com/office/drawing/2014/main" id="{00000000-0008-0000-0900-000008000000}"/>
            </a:ext>
          </a:extLst>
        </xdr:cNvPr>
        <xdr:cNvSpPr/>
      </xdr:nvSpPr>
      <xdr:spPr>
        <a:xfrm>
          <a:off x="5721349" y="4974985"/>
          <a:ext cx="1842559" cy="59608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使用した自給の種子の品種名と数量を記入してください。　</a:t>
          </a:r>
        </a:p>
      </xdr:txBody>
    </xdr:sp>
    <xdr:clientData/>
  </xdr:twoCellAnchor>
  <xdr:twoCellAnchor>
    <xdr:from>
      <xdr:col>8</xdr:col>
      <xdr:colOff>0</xdr:colOff>
      <xdr:row>48</xdr:row>
      <xdr:rowOff>0</xdr:rowOff>
    </xdr:from>
    <xdr:to>
      <xdr:col>12</xdr:col>
      <xdr:colOff>2</xdr:colOff>
      <xdr:row>48</xdr:row>
      <xdr:rowOff>0</xdr:rowOff>
    </xdr:to>
    <xdr:grpSp>
      <xdr:nvGrpSpPr>
        <xdr:cNvPr id="9" name="ComemntNaeJikyu">
          <a:extLst>
            <a:ext uri="{FF2B5EF4-FFF2-40B4-BE49-F238E27FC236}">
              <a16:creationId xmlns:a16="http://schemas.microsoft.com/office/drawing/2014/main" id="{00000000-0008-0000-0900-000009000000}"/>
            </a:ext>
          </a:extLst>
        </xdr:cNvPr>
        <xdr:cNvGrpSpPr/>
      </xdr:nvGrpSpPr>
      <xdr:grpSpPr>
        <a:xfrm>
          <a:off x="4048125" y="7262813"/>
          <a:ext cx="2131221" cy="0"/>
          <a:chOff x="4042833" y="9948332"/>
          <a:chExt cx="2127252" cy="1912409"/>
        </a:xfrm>
      </xdr:grpSpPr>
      <xdr:sp macro="" textlink="">
        <xdr:nvSpPr>
          <xdr:cNvPr id="10" name="右中かっこ 9">
            <a:extLst>
              <a:ext uri="{FF2B5EF4-FFF2-40B4-BE49-F238E27FC236}">
                <a16:creationId xmlns:a16="http://schemas.microsoft.com/office/drawing/2014/main" id="{00000000-0008-0000-0900-00000A000000}"/>
              </a:ext>
            </a:extLst>
          </xdr:cNvPr>
          <xdr:cNvSpPr/>
        </xdr:nvSpPr>
        <xdr:spPr>
          <a:xfrm>
            <a:off x="4042833" y="9948332"/>
            <a:ext cx="190500" cy="1912409"/>
          </a:xfrm>
          <a:prstGeom prst="rightBrace">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sp macro="" textlink="">
        <xdr:nvSpPr>
          <xdr:cNvPr id="11" name="角丸四角形 12">
            <a:extLst>
              <a:ext uri="{FF2B5EF4-FFF2-40B4-BE49-F238E27FC236}">
                <a16:creationId xmlns:a16="http://schemas.microsoft.com/office/drawing/2014/main" id="{00000000-0008-0000-0900-00000B000000}"/>
              </a:ext>
            </a:extLst>
          </xdr:cNvPr>
          <xdr:cNvSpPr/>
        </xdr:nvSpPr>
        <xdr:spPr>
          <a:xfrm>
            <a:off x="4318001" y="10572750"/>
            <a:ext cx="1852084" cy="65193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使用した苗の品種名と数量を記入してください。　</a:t>
            </a:r>
          </a:p>
        </xdr:txBody>
      </xdr:sp>
    </xdr:grpSp>
    <xdr:clientData/>
  </xdr:twoCellAnchor>
  <xdr:twoCellAnchor>
    <xdr:from>
      <xdr:col>10</xdr:col>
      <xdr:colOff>198967</xdr:colOff>
      <xdr:row>15</xdr:row>
      <xdr:rowOff>201085</xdr:rowOff>
    </xdr:from>
    <xdr:to>
      <xdr:col>10</xdr:col>
      <xdr:colOff>198967</xdr:colOff>
      <xdr:row>31</xdr:row>
      <xdr:rowOff>193434</xdr:rowOff>
    </xdr:to>
    <xdr:cxnSp macro="">
      <xdr:nvCxnSpPr>
        <xdr:cNvPr id="12" name="直線コネクタ 11">
          <a:extLst>
            <a:ext uri="{FF2B5EF4-FFF2-40B4-BE49-F238E27FC236}">
              <a16:creationId xmlns:a16="http://schemas.microsoft.com/office/drawing/2014/main" id="{00000000-0008-0000-0900-00000C000000}"/>
            </a:ext>
          </a:extLst>
        </xdr:cNvPr>
        <xdr:cNvCxnSpPr/>
      </xdr:nvCxnSpPr>
      <xdr:spPr bwMode="auto">
        <a:xfrm>
          <a:off x="5961592" y="2925235"/>
          <a:ext cx="0" cy="189734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1512359</xdr:colOff>
      <xdr:row>31</xdr:row>
      <xdr:rowOff>180976</xdr:rowOff>
    </xdr:from>
    <xdr:to>
      <xdr:col>10</xdr:col>
      <xdr:colOff>189442</xdr:colOff>
      <xdr:row>31</xdr:row>
      <xdr:rowOff>180976</xdr:rowOff>
    </xdr:to>
    <xdr:cxnSp macro="">
      <xdr:nvCxnSpPr>
        <xdr:cNvPr id="13" name="直線矢印コネクタ 12">
          <a:extLst>
            <a:ext uri="{FF2B5EF4-FFF2-40B4-BE49-F238E27FC236}">
              <a16:creationId xmlns:a16="http://schemas.microsoft.com/office/drawing/2014/main" id="{00000000-0008-0000-0900-00000D000000}"/>
            </a:ext>
          </a:extLst>
        </xdr:cNvPr>
        <xdr:cNvCxnSpPr/>
      </xdr:nvCxnSpPr>
      <xdr:spPr bwMode="auto">
        <a:xfrm flipH="1">
          <a:off x="5550959" y="4810126"/>
          <a:ext cx="401108"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1502834</xdr:colOff>
      <xdr:row>15</xdr:row>
      <xdr:rowOff>190501</xdr:rowOff>
    </xdr:from>
    <xdr:to>
      <xdr:col>11</xdr:col>
      <xdr:colOff>11641</xdr:colOff>
      <xdr:row>15</xdr:row>
      <xdr:rowOff>191559</xdr:rowOff>
    </xdr:to>
    <xdr:cxnSp macro="">
      <xdr:nvCxnSpPr>
        <xdr:cNvPr id="14" name="直線矢印コネクタ 13">
          <a:extLst>
            <a:ext uri="{FF2B5EF4-FFF2-40B4-BE49-F238E27FC236}">
              <a16:creationId xmlns:a16="http://schemas.microsoft.com/office/drawing/2014/main" id="{00000000-0008-0000-0900-00000E000000}"/>
            </a:ext>
          </a:extLst>
        </xdr:cNvPr>
        <xdr:cNvCxnSpPr/>
      </xdr:nvCxnSpPr>
      <xdr:spPr bwMode="auto">
        <a:xfrm flipH="1">
          <a:off x="5541434" y="2914651"/>
          <a:ext cx="432857" cy="105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87841</xdr:colOff>
      <xdr:row>16</xdr:row>
      <xdr:rowOff>137585</xdr:rowOff>
    </xdr:from>
    <xdr:to>
      <xdr:col>18</xdr:col>
      <xdr:colOff>164041</xdr:colOff>
      <xdr:row>18</xdr:row>
      <xdr:rowOff>203702</xdr:rowOff>
    </xdr:to>
    <xdr:sp macro="" textlink="">
      <xdr:nvSpPr>
        <xdr:cNvPr id="15" name="角丸四角形 5">
          <a:extLst>
            <a:ext uri="{FF2B5EF4-FFF2-40B4-BE49-F238E27FC236}">
              <a16:creationId xmlns:a16="http://schemas.microsoft.com/office/drawing/2014/main" id="{00000000-0008-0000-0900-00000F000000}"/>
            </a:ext>
          </a:extLst>
        </xdr:cNvPr>
        <xdr:cNvSpPr/>
      </xdr:nvSpPr>
      <xdr:spPr>
        <a:xfrm>
          <a:off x="5650441" y="3242735"/>
          <a:ext cx="1876425" cy="828117"/>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浸種の場合の減耗分や不発芽による二度まき分についても含めて記入してください。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1190625</xdr:colOff>
          <xdr:row>9</xdr:row>
          <xdr:rowOff>57150</xdr:rowOff>
        </xdr:from>
        <xdr:to>
          <xdr:col>6</xdr:col>
          <xdr:colOff>676275</xdr:colOff>
          <xdr:row>11</xdr:row>
          <xdr:rowOff>114300</xdr:rowOff>
        </xdr:to>
        <xdr:sp macro="" textlink="">
          <xdr:nvSpPr>
            <xdr:cNvPr id="7176" name="Label1" hidden="1">
              <a:extLst>
                <a:ext uri="{63B3BB69-23CF-44E3-9099-C40C66FF867C}">
                  <a14:compatExt spid="_x0000_s7176"/>
                </a:ext>
                <a:ext uri="{FF2B5EF4-FFF2-40B4-BE49-F238E27FC236}">
                  <a16:creationId xmlns:a16="http://schemas.microsoft.com/office/drawing/2014/main" id="{00000000-0008-0000-0900-000008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1181100</xdr:colOff>
          <xdr:row>10</xdr:row>
          <xdr:rowOff>0</xdr:rowOff>
        </xdr:from>
        <xdr:to>
          <xdr:col>6</xdr:col>
          <xdr:colOff>619125</xdr:colOff>
          <xdr:row>10</xdr:row>
          <xdr:rowOff>171450</xdr:rowOff>
        </xdr:to>
        <xdr:sp macro="" textlink="">
          <xdr:nvSpPr>
            <xdr:cNvPr id="7177" name="Label2" hidden="1">
              <a:extLst>
                <a:ext uri="{63B3BB69-23CF-44E3-9099-C40C66FF867C}">
                  <a14:compatExt spid="_x0000_s7177"/>
                </a:ext>
                <a:ext uri="{FF2B5EF4-FFF2-40B4-BE49-F238E27FC236}">
                  <a16:creationId xmlns:a16="http://schemas.microsoft.com/office/drawing/2014/main" id="{00000000-0008-0000-0900-000009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9</xdr:row>
          <xdr:rowOff>57150</xdr:rowOff>
        </xdr:from>
        <xdr:to>
          <xdr:col>7</xdr:col>
          <xdr:colOff>352425</xdr:colOff>
          <xdr:row>10</xdr:row>
          <xdr:rowOff>85725</xdr:rowOff>
        </xdr:to>
        <xdr:sp macro="" textlink="">
          <xdr:nvSpPr>
            <xdr:cNvPr id="7178" name="Label3" hidden="1">
              <a:extLst>
                <a:ext uri="{63B3BB69-23CF-44E3-9099-C40C66FF867C}">
                  <a14:compatExt spid="_x0000_s7178"/>
                </a:ext>
                <a:ext uri="{FF2B5EF4-FFF2-40B4-BE49-F238E27FC236}">
                  <a16:creationId xmlns:a16="http://schemas.microsoft.com/office/drawing/2014/main" id="{00000000-0008-0000-0900-00000A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10</xdr:row>
          <xdr:rowOff>85725</xdr:rowOff>
        </xdr:from>
        <xdr:to>
          <xdr:col>7</xdr:col>
          <xdr:colOff>352425</xdr:colOff>
          <xdr:row>11</xdr:row>
          <xdr:rowOff>114300</xdr:rowOff>
        </xdr:to>
        <xdr:sp macro="" textlink="">
          <xdr:nvSpPr>
            <xdr:cNvPr id="7179" name="txt_kounyu" hidden="1">
              <a:extLst>
                <a:ext uri="{63B3BB69-23CF-44E3-9099-C40C66FF867C}">
                  <a14:compatExt spid="_x0000_s7179"/>
                </a:ext>
                <a:ext uri="{FF2B5EF4-FFF2-40B4-BE49-F238E27FC236}">
                  <a16:creationId xmlns:a16="http://schemas.microsoft.com/office/drawing/2014/main" id="{00000000-0008-0000-0900-00000B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352425</xdr:colOff>
          <xdr:row>9</xdr:row>
          <xdr:rowOff>57150</xdr:rowOff>
        </xdr:from>
        <xdr:to>
          <xdr:col>8</xdr:col>
          <xdr:colOff>971550</xdr:colOff>
          <xdr:row>10</xdr:row>
          <xdr:rowOff>85725</xdr:rowOff>
        </xdr:to>
        <xdr:sp macro="" textlink="">
          <xdr:nvSpPr>
            <xdr:cNvPr id="7180" name="Label4" hidden="1">
              <a:extLst>
                <a:ext uri="{63B3BB69-23CF-44E3-9099-C40C66FF867C}">
                  <a14:compatExt spid="_x0000_s7180"/>
                </a:ext>
                <a:ext uri="{FF2B5EF4-FFF2-40B4-BE49-F238E27FC236}">
                  <a16:creationId xmlns:a16="http://schemas.microsoft.com/office/drawing/2014/main" id="{00000000-0008-0000-0900-00000C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352425</xdr:colOff>
          <xdr:row>10</xdr:row>
          <xdr:rowOff>85725</xdr:rowOff>
        </xdr:from>
        <xdr:to>
          <xdr:col>8</xdr:col>
          <xdr:colOff>971550</xdr:colOff>
          <xdr:row>11</xdr:row>
          <xdr:rowOff>114300</xdr:rowOff>
        </xdr:to>
        <xdr:sp macro="" textlink="">
          <xdr:nvSpPr>
            <xdr:cNvPr id="7181" name="txt_jikyu" hidden="1">
              <a:extLst>
                <a:ext uri="{63B3BB69-23CF-44E3-9099-C40C66FF867C}">
                  <a14:compatExt spid="_x0000_s7181"/>
                </a:ext>
                <a:ext uri="{FF2B5EF4-FFF2-40B4-BE49-F238E27FC236}">
                  <a16:creationId xmlns:a16="http://schemas.microsoft.com/office/drawing/2014/main" id="{00000000-0008-0000-0900-00000D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971550</xdr:colOff>
          <xdr:row>9</xdr:row>
          <xdr:rowOff>57150</xdr:rowOff>
        </xdr:from>
        <xdr:to>
          <xdr:col>12</xdr:col>
          <xdr:colOff>142875</xdr:colOff>
          <xdr:row>11</xdr:row>
          <xdr:rowOff>114300</xdr:rowOff>
        </xdr:to>
        <xdr:sp macro="" textlink="">
          <xdr:nvSpPr>
            <xdr:cNvPr id="7182" name="btnKoushin1" hidden="1">
              <a:extLst>
                <a:ext uri="{63B3BB69-23CF-44E3-9099-C40C66FF867C}">
                  <a14:compatExt spid="_x0000_s7182"/>
                </a:ext>
                <a:ext uri="{FF2B5EF4-FFF2-40B4-BE49-F238E27FC236}">
                  <a16:creationId xmlns:a16="http://schemas.microsoft.com/office/drawing/2014/main" id="{00000000-0008-0000-0900-00000E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8</xdr:col>
      <xdr:colOff>781050</xdr:colOff>
      <xdr:row>2</xdr:row>
      <xdr:rowOff>171450</xdr:rowOff>
    </xdr:from>
    <xdr:to>
      <xdr:col>8</xdr:col>
      <xdr:colOff>781050</xdr:colOff>
      <xdr:row>6</xdr:row>
      <xdr:rowOff>171749</xdr:rowOff>
    </xdr:to>
    <xdr:cxnSp macro="">
      <xdr:nvCxnSpPr>
        <xdr:cNvPr id="2" name="直線矢印コネクタ 1">
          <a:extLst>
            <a:ext uri="{FF2B5EF4-FFF2-40B4-BE49-F238E27FC236}">
              <a16:creationId xmlns:a16="http://schemas.microsoft.com/office/drawing/2014/main" id="{00000000-0008-0000-0A00-000002000000}"/>
            </a:ext>
          </a:extLst>
        </xdr:cNvPr>
        <xdr:cNvCxnSpPr/>
      </xdr:nvCxnSpPr>
      <xdr:spPr bwMode="auto">
        <a:xfrm>
          <a:off x="6686550" y="762000"/>
          <a:ext cx="0" cy="724199"/>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514350</xdr:colOff>
      <xdr:row>0</xdr:row>
      <xdr:rowOff>83344</xdr:rowOff>
    </xdr:from>
    <xdr:to>
      <xdr:col>21</xdr:col>
      <xdr:colOff>19051</xdr:colOff>
      <xdr:row>6</xdr:row>
      <xdr:rowOff>9525</xdr:rowOff>
    </xdr:to>
    <xdr:sp macro="" textlink="">
      <xdr:nvSpPr>
        <xdr:cNvPr id="3" name="角丸四角形 2">
          <a:extLst>
            <a:ext uri="{FF2B5EF4-FFF2-40B4-BE49-F238E27FC236}">
              <a16:creationId xmlns:a16="http://schemas.microsoft.com/office/drawing/2014/main" id="{00000000-0008-0000-0A00-000003000000}"/>
            </a:ext>
          </a:extLst>
        </xdr:cNvPr>
        <xdr:cNvSpPr/>
      </xdr:nvSpPr>
      <xdr:spPr>
        <a:xfrm>
          <a:off x="6419850" y="83344"/>
          <a:ext cx="2705101" cy="124063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記入する場合には、作付面積の割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合を目安に記入してください。</a:t>
          </a:r>
        </a:p>
      </xdr:txBody>
    </xdr:sp>
    <xdr:clientData/>
  </xdr:twoCellAnchor>
  <xdr:twoCellAnchor>
    <xdr:from>
      <xdr:col>8</xdr:col>
      <xdr:colOff>9525</xdr:colOff>
      <xdr:row>116</xdr:row>
      <xdr:rowOff>95250</xdr:rowOff>
    </xdr:from>
    <xdr:to>
      <xdr:col>8</xdr:col>
      <xdr:colOff>411691</xdr:colOff>
      <xdr:row>116</xdr:row>
      <xdr:rowOff>95250</xdr:rowOff>
    </xdr:to>
    <xdr:cxnSp macro="">
      <xdr:nvCxnSpPr>
        <xdr:cNvPr id="4" name="直線矢印コネクタ 3">
          <a:extLst>
            <a:ext uri="{FF2B5EF4-FFF2-40B4-BE49-F238E27FC236}">
              <a16:creationId xmlns:a16="http://schemas.microsoft.com/office/drawing/2014/main" id="{00000000-0008-0000-0A00-000004000000}"/>
            </a:ext>
          </a:extLst>
        </xdr:cNvPr>
        <xdr:cNvCxnSpPr/>
      </xdr:nvCxnSpPr>
      <xdr:spPr bwMode="auto">
        <a:xfrm flipH="1">
          <a:off x="5915025" y="16554450"/>
          <a:ext cx="402166"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209549</xdr:colOff>
      <xdr:row>114</xdr:row>
      <xdr:rowOff>47625</xdr:rowOff>
    </xdr:from>
    <xdr:to>
      <xdr:col>21</xdr:col>
      <xdr:colOff>38100</xdr:colOff>
      <xdr:row>119</xdr:row>
      <xdr:rowOff>19050</xdr:rowOff>
    </xdr:to>
    <xdr:sp macro="" textlink="">
      <xdr:nvSpPr>
        <xdr:cNvPr id="5" name="角丸四角形 9">
          <a:extLst>
            <a:ext uri="{FF2B5EF4-FFF2-40B4-BE49-F238E27FC236}">
              <a16:creationId xmlns:a16="http://schemas.microsoft.com/office/drawing/2014/main" id="{00000000-0008-0000-0A00-000005000000}"/>
            </a:ext>
          </a:extLst>
        </xdr:cNvPr>
        <xdr:cNvSpPr/>
      </xdr:nvSpPr>
      <xdr:spPr>
        <a:xfrm>
          <a:off x="6115049" y="16049625"/>
          <a:ext cx="3028951" cy="12192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4</xdr:col>
          <xdr:colOff>1362075</xdr:colOff>
          <xdr:row>0</xdr:row>
          <xdr:rowOff>38100</xdr:rowOff>
        </xdr:from>
        <xdr:to>
          <xdr:col>5</xdr:col>
          <xdr:colOff>295275</xdr:colOff>
          <xdr:row>1</xdr:row>
          <xdr:rowOff>209550</xdr:rowOff>
        </xdr:to>
        <xdr:sp macro="" textlink="">
          <xdr:nvSpPr>
            <xdr:cNvPr id="8267" name="Label1" hidden="1">
              <a:extLst>
                <a:ext uri="{63B3BB69-23CF-44E3-9099-C40C66FF867C}">
                  <a14:compatExt spid="_x0000_s8267"/>
                </a:ext>
                <a:ext uri="{FF2B5EF4-FFF2-40B4-BE49-F238E27FC236}">
                  <a16:creationId xmlns:a16="http://schemas.microsoft.com/office/drawing/2014/main" id="{00000000-0008-0000-0A00-00004B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1390650</xdr:colOff>
          <xdr:row>0</xdr:row>
          <xdr:rowOff>238125</xdr:rowOff>
        </xdr:from>
        <xdr:to>
          <xdr:col>5</xdr:col>
          <xdr:colOff>276225</xdr:colOff>
          <xdr:row>1</xdr:row>
          <xdr:rowOff>28575</xdr:rowOff>
        </xdr:to>
        <xdr:sp macro="" textlink="">
          <xdr:nvSpPr>
            <xdr:cNvPr id="8268" name="Label2" hidden="1">
              <a:extLst>
                <a:ext uri="{63B3BB69-23CF-44E3-9099-C40C66FF867C}">
                  <a14:compatExt spid="_x0000_s8268"/>
                </a:ext>
                <a:ext uri="{FF2B5EF4-FFF2-40B4-BE49-F238E27FC236}">
                  <a16:creationId xmlns:a16="http://schemas.microsoft.com/office/drawing/2014/main" id="{00000000-0008-0000-0A00-00004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0</xdr:row>
          <xdr:rowOff>38100</xdr:rowOff>
        </xdr:from>
        <xdr:to>
          <xdr:col>5</xdr:col>
          <xdr:colOff>885825</xdr:colOff>
          <xdr:row>1</xdr:row>
          <xdr:rowOff>0</xdr:rowOff>
        </xdr:to>
        <xdr:sp macro="" textlink="">
          <xdr:nvSpPr>
            <xdr:cNvPr id="8269" name="Label3" hidden="1">
              <a:extLst>
                <a:ext uri="{63B3BB69-23CF-44E3-9099-C40C66FF867C}">
                  <a14:compatExt spid="_x0000_s8269"/>
                </a:ext>
                <a:ext uri="{FF2B5EF4-FFF2-40B4-BE49-F238E27FC236}">
                  <a16:creationId xmlns:a16="http://schemas.microsoft.com/office/drawing/2014/main" id="{00000000-0008-0000-0A00-00004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276225</xdr:colOff>
          <xdr:row>1</xdr:row>
          <xdr:rowOff>0</xdr:rowOff>
        </xdr:from>
        <xdr:to>
          <xdr:col>5</xdr:col>
          <xdr:colOff>885825</xdr:colOff>
          <xdr:row>1</xdr:row>
          <xdr:rowOff>209550</xdr:rowOff>
        </xdr:to>
        <xdr:sp macro="" textlink="">
          <xdr:nvSpPr>
            <xdr:cNvPr id="8270" name="txt_chisso" hidden="1">
              <a:extLst>
                <a:ext uri="{63B3BB69-23CF-44E3-9099-C40C66FF867C}">
                  <a14:compatExt spid="_x0000_s8270"/>
                </a:ext>
                <a:ext uri="{FF2B5EF4-FFF2-40B4-BE49-F238E27FC236}">
                  <a16:creationId xmlns:a16="http://schemas.microsoft.com/office/drawing/2014/main" id="{00000000-0008-0000-0A00-00004E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1000125</xdr:colOff>
          <xdr:row>1</xdr:row>
          <xdr:rowOff>209550</xdr:rowOff>
        </xdr:from>
        <xdr:to>
          <xdr:col>8</xdr:col>
          <xdr:colOff>504825</xdr:colOff>
          <xdr:row>4</xdr:row>
          <xdr:rowOff>38100</xdr:rowOff>
        </xdr:to>
        <xdr:sp macro="" textlink="">
          <xdr:nvSpPr>
            <xdr:cNvPr id="8271" name="btnKoushin1" hidden="1">
              <a:extLst>
                <a:ext uri="{63B3BB69-23CF-44E3-9099-C40C66FF867C}">
                  <a14:compatExt spid="_x0000_s8271"/>
                </a:ext>
                <a:ext uri="{FF2B5EF4-FFF2-40B4-BE49-F238E27FC236}">
                  <a16:creationId xmlns:a16="http://schemas.microsoft.com/office/drawing/2014/main" id="{00000000-0008-0000-0A00-00004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876300</xdr:colOff>
          <xdr:row>0</xdr:row>
          <xdr:rowOff>38100</xdr:rowOff>
        </xdr:from>
        <xdr:to>
          <xdr:col>5</xdr:col>
          <xdr:colOff>1485900</xdr:colOff>
          <xdr:row>1</xdr:row>
          <xdr:rowOff>0</xdr:rowOff>
        </xdr:to>
        <xdr:sp macro="" textlink="">
          <xdr:nvSpPr>
            <xdr:cNvPr id="8272" name="Label4" hidden="1">
              <a:extLst>
                <a:ext uri="{63B3BB69-23CF-44E3-9099-C40C66FF867C}">
                  <a14:compatExt spid="_x0000_s8272"/>
                </a:ext>
                <a:ext uri="{FF2B5EF4-FFF2-40B4-BE49-F238E27FC236}">
                  <a16:creationId xmlns:a16="http://schemas.microsoft.com/office/drawing/2014/main" id="{00000000-0008-0000-0A00-00005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876300</xdr:colOff>
          <xdr:row>1</xdr:row>
          <xdr:rowOff>0</xdr:rowOff>
        </xdr:from>
        <xdr:to>
          <xdr:col>5</xdr:col>
          <xdr:colOff>1485900</xdr:colOff>
          <xdr:row>1</xdr:row>
          <xdr:rowOff>209550</xdr:rowOff>
        </xdr:to>
        <xdr:sp macro="" textlink="">
          <xdr:nvSpPr>
            <xdr:cNvPr id="8273" name="txt_rinsan" hidden="1">
              <a:extLst>
                <a:ext uri="{63B3BB69-23CF-44E3-9099-C40C66FF867C}">
                  <a14:compatExt spid="_x0000_s8273"/>
                </a:ext>
                <a:ext uri="{FF2B5EF4-FFF2-40B4-BE49-F238E27FC236}">
                  <a16:creationId xmlns:a16="http://schemas.microsoft.com/office/drawing/2014/main" id="{00000000-0008-0000-0A00-00005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1476375</xdr:colOff>
          <xdr:row>0</xdr:row>
          <xdr:rowOff>38100</xdr:rowOff>
        </xdr:from>
        <xdr:to>
          <xdr:col>7</xdr:col>
          <xdr:colOff>209550</xdr:colOff>
          <xdr:row>1</xdr:row>
          <xdr:rowOff>0</xdr:rowOff>
        </xdr:to>
        <xdr:sp macro="" textlink="">
          <xdr:nvSpPr>
            <xdr:cNvPr id="8274" name="Label5" hidden="1">
              <a:extLst>
                <a:ext uri="{63B3BB69-23CF-44E3-9099-C40C66FF867C}">
                  <a14:compatExt spid="_x0000_s8274"/>
                </a:ext>
                <a:ext uri="{FF2B5EF4-FFF2-40B4-BE49-F238E27FC236}">
                  <a16:creationId xmlns:a16="http://schemas.microsoft.com/office/drawing/2014/main" id="{00000000-0008-0000-0A00-000052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1476375</xdr:colOff>
          <xdr:row>1</xdr:row>
          <xdr:rowOff>0</xdr:rowOff>
        </xdr:from>
        <xdr:to>
          <xdr:col>7</xdr:col>
          <xdr:colOff>209550</xdr:colOff>
          <xdr:row>1</xdr:row>
          <xdr:rowOff>209550</xdr:rowOff>
        </xdr:to>
        <xdr:sp macro="" textlink="">
          <xdr:nvSpPr>
            <xdr:cNvPr id="8275" name="txt_kari" hidden="1">
              <a:extLst>
                <a:ext uri="{63B3BB69-23CF-44E3-9099-C40C66FF867C}">
                  <a14:compatExt spid="_x0000_s8275"/>
                </a:ext>
                <a:ext uri="{FF2B5EF4-FFF2-40B4-BE49-F238E27FC236}">
                  <a16:creationId xmlns:a16="http://schemas.microsoft.com/office/drawing/2014/main" id="{00000000-0008-0000-0A00-00005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0</xdr:row>
          <xdr:rowOff>38100</xdr:rowOff>
        </xdr:from>
        <xdr:to>
          <xdr:col>7</xdr:col>
          <xdr:colOff>819150</xdr:colOff>
          <xdr:row>1</xdr:row>
          <xdr:rowOff>0</xdr:rowOff>
        </xdr:to>
        <xdr:sp macro="" textlink="">
          <xdr:nvSpPr>
            <xdr:cNvPr id="8276" name="Label6" hidden="1">
              <a:extLst>
                <a:ext uri="{63B3BB69-23CF-44E3-9099-C40C66FF867C}">
                  <a14:compatExt spid="_x0000_s8276"/>
                </a:ext>
                <a:ext uri="{FF2B5EF4-FFF2-40B4-BE49-F238E27FC236}">
                  <a16:creationId xmlns:a16="http://schemas.microsoft.com/office/drawing/2014/main" id="{00000000-0008-0000-0A00-00005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1</xdr:row>
          <xdr:rowOff>0</xdr:rowOff>
        </xdr:from>
        <xdr:to>
          <xdr:col>7</xdr:col>
          <xdr:colOff>819150</xdr:colOff>
          <xdr:row>1</xdr:row>
          <xdr:rowOff>209550</xdr:rowOff>
        </xdr:to>
        <xdr:sp macro="" textlink="">
          <xdr:nvSpPr>
            <xdr:cNvPr id="8277" name="txt_keisan" hidden="1">
              <a:extLst>
                <a:ext uri="{63B3BB69-23CF-44E3-9099-C40C66FF867C}">
                  <a14:compatExt spid="_x0000_s8277"/>
                </a:ext>
                <a:ext uri="{FF2B5EF4-FFF2-40B4-BE49-F238E27FC236}">
                  <a16:creationId xmlns:a16="http://schemas.microsoft.com/office/drawing/2014/main" id="{00000000-0008-0000-0A00-00005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809625</xdr:colOff>
          <xdr:row>0</xdr:row>
          <xdr:rowOff>38100</xdr:rowOff>
        </xdr:from>
        <xdr:to>
          <xdr:col>7</xdr:col>
          <xdr:colOff>1419225</xdr:colOff>
          <xdr:row>1</xdr:row>
          <xdr:rowOff>0</xdr:rowOff>
        </xdr:to>
        <xdr:sp macro="" textlink="">
          <xdr:nvSpPr>
            <xdr:cNvPr id="8278" name="Label7" hidden="1">
              <a:extLst>
                <a:ext uri="{63B3BB69-23CF-44E3-9099-C40C66FF867C}">
                  <a14:compatExt spid="_x0000_s8278"/>
                </a:ext>
                <a:ext uri="{FF2B5EF4-FFF2-40B4-BE49-F238E27FC236}">
                  <a16:creationId xmlns:a16="http://schemas.microsoft.com/office/drawing/2014/main" id="{00000000-0008-0000-0A00-00005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809625</xdr:colOff>
          <xdr:row>1</xdr:row>
          <xdr:rowOff>0</xdr:rowOff>
        </xdr:from>
        <xdr:to>
          <xdr:col>7</xdr:col>
          <xdr:colOff>1419225</xdr:colOff>
          <xdr:row>1</xdr:row>
          <xdr:rowOff>209550</xdr:rowOff>
        </xdr:to>
        <xdr:sp macro="" textlink="">
          <xdr:nvSpPr>
            <xdr:cNvPr id="8279" name="txt_tansan" hidden="1">
              <a:extLst>
                <a:ext uri="{63B3BB69-23CF-44E3-9099-C40C66FF867C}">
                  <a14:compatExt spid="_x0000_s8279"/>
                </a:ext>
                <a:ext uri="{FF2B5EF4-FFF2-40B4-BE49-F238E27FC236}">
                  <a16:creationId xmlns:a16="http://schemas.microsoft.com/office/drawing/2014/main" id="{00000000-0008-0000-0A00-00005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1390650</xdr:colOff>
          <xdr:row>0</xdr:row>
          <xdr:rowOff>38100</xdr:rowOff>
        </xdr:from>
        <xdr:to>
          <xdr:col>8</xdr:col>
          <xdr:colOff>476250</xdr:colOff>
          <xdr:row>1</xdr:row>
          <xdr:rowOff>0</xdr:rowOff>
        </xdr:to>
        <xdr:sp macro="" textlink="">
          <xdr:nvSpPr>
            <xdr:cNvPr id="8280" name="Label8" hidden="1">
              <a:extLst>
                <a:ext uri="{63B3BB69-23CF-44E3-9099-C40C66FF867C}">
                  <a14:compatExt spid="_x0000_s8280"/>
                </a:ext>
                <a:ext uri="{FF2B5EF4-FFF2-40B4-BE49-F238E27FC236}">
                  <a16:creationId xmlns:a16="http://schemas.microsoft.com/office/drawing/2014/main" id="{00000000-0008-0000-0A00-00005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1390650</xdr:colOff>
          <xdr:row>1</xdr:row>
          <xdr:rowOff>0</xdr:rowOff>
        </xdr:from>
        <xdr:to>
          <xdr:col>8</xdr:col>
          <xdr:colOff>476250</xdr:colOff>
          <xdr:row>1</xdr:row>
          <xdr:rowOff>209550</xdr:rowOff>
        </xdr:to>
        <xdr:sp macro="" textlink="">
          <xdr:nvSpPr>
            <xdr:cNvPr id="8281" name="txt_fukugou" hidden="1">
              <a:extLst>
                <a:ext uri="{63B3BB69-23CF-44E3-9099-C40C66FF867C}">
                  <a14:compatExt spid="_x0000_s8281"/>
                </a:ext>
                <a:ext uri="{FF2B5EF4-FFF2-40B4-BE49-F238E27FC236}">
                  <a16:creationId xmlns:a16="http://schemas.microsoft.com/office/drawing/2014/main" id="{00000000-0008-0000-0A00-00005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6</xdr:col>
      <xdr:colOff>504826</xdr:colOff>
      <xdr:row>3</xdr:row>
      <xdr:rowOff>180974</xdr:rowOff>
    </xdr:from>
    <xdr:to>
      <xdr:col>18</xdr:col>
      <xdr:colOff>38101</xdr:colOff>
      <xdr:row>8</xdr:row>
      <xdr:rowOff>13949</xdr:rowOff>
    </xdr:to>
    <xdr:grpSp>
      <xdr:nvGrpSpPr>
        <xdr:cNvPr id="2" name="グループ化 1">
          <a:extLst>
            <a:ext uri="{FF2B5EF4-FFF2-40B4-BE49-F238E27FC236}">
              <a16:creationId xmlns:a16="http://schemas.microsoft.com/office/drawing/2014/main" id="{00000000-0008-0000-0B00-000002000000}"/>
            </a:ext>
          </a:extLst>
        </xdr:cNvPr>
        <xdr:cNvGrpSpPr/>
      </xdr:nvGrpSpPr>
      <xdr:grpSpPr>
        <a:xfrm>
          <a:off x="4552951" y="859630"/>
          <a:ext cx="2700338" cy="964069"/>
          <a:chOff x="12239135" y="3402536"/>
          <a:chExt cx="1215172" cy="1330414"/>
        </a:xfrm>
      </xdr:grpSpPr>
      <xdr:cxnSp macro="">
        <xdr:nvCxnSpPr>
          <xdr:cNvPr id="3" name="直線矢印コネクタ 2">
            <a:extLst>
              <a:ext uri="{FF2B5EF4-FFF2-40B4-BE49-F238E27FC236}">
                <a16:creationId xmlns:a16="http://schemas.microsoft.com/office/drawing/2014/main" id="{00000000-0008-0000-0B00-000003000000}"/>
              </a:ext>
            </a:extLst>
          </xdr:cNvPr>
          <xdr:cNvCxnSpPr/>
        </xdr:nvCxnSpPr>
        <xdr:spPr bwMode="auto">
          <a:xfrm flipH="1" flipV="1">
            <a:off x="12239135" y="4552658"/>
            <a:ext cx="1215172" cy="18452"/>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B00-000004000000}"/>
              </a:ext>
            </a:extLst>
          </xdr:cNvPr>
          <xdr:cNvCxnSpPr/>
        </xdr:nvCxnSpPr>
        <xdr:spPr bwMode="auto">
          <a:xfrm flipH="1">
            <a:off x="13449300" y="3402536"/>
            <a:ext cx="490" cy="1159939"/>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0B00-000005000000}"/>
              </a:ext>
            </a:extLst>
          </xdr:cNvPr>
          <xdr:cNvCxnSpPr/>
        </xdr:nvCxnSpPr>
        <xdr:spPr bwMode="auto">
          <a:xfrm>
            <a:off x="12239625" y="4552950"/>
            <a:ext cx="0" cy="18000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92869</xdr:colOff>
      <xdr:row>0</xdr:row>
      <xdr:rowOff>107156</xdr:rowOff>
    </xdr:from>
    <xdr:to>
      <xdr:col>18</xdr:col>
      <xdr:colOff>73069</xdr:colOff>
      <xdr:row>4</xdr:row>
      <xdr:rowOff>166687</xdr:rowOff>
    </xdr:to>
    <xdr:sp macro="" textlink="">
      <xdr:nvSpPr>
        <xdr:cNvPr id="6" name="角丸四角形 9">
          <a:extLst>
            <a:ext uri="{FF2B5EF4-FFF2-40B4-BE49-F238E27FC236}">
              <a16:creationId xmlns:a16="http://schemas.microsoft.com/office/drawing/2014/main" id="{00000000-0008-0000-0B00-000006000000}"/>
            </a:ext>
          </a:extLst>
        </xdr:cNvPr>
        <xdr:cNvSpPr/>
      </xdr:nvSpPr>
      <xdr:spPr>
        <a:xfrm>
          <a:off x="4131469" y="107156"/>
          <a:ext cx="3123450" cy="973931"/>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る場合には、作付面積の割合を目安に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1</xdr:col>
          <xdr:colOff>85725</xdr:colOff>
          <xdr:row>1</xdr:row>
          <xdr:rowOff>9525</xdr:rowOff>
        </xdr:from>
        <xdr:to>
          <xdr:col>4</xdr:col>
          <xdr:colOff>142875</xdr:colOff>
          <xdr:row>3</xdr:row>
          <xdr:rowOff>104775</xdr:rowOff>
        </xdr:to>
        <xdr:sp macro="" textlink="">
          <xdr:nvSpPr>
            <xdr:cNvPr id="9217" name="Label1" hidden="1">
              <a:extLst>
                <a:ext uri="{63B3BB69-23CF-44E3-9099-C40C66FF867C}">
                  <a14:compatExt spid="_x0000_s9217"/>
                </a:ext>
                <a:ext uri="{FF2B5EF4-FFF2-40B4-BE49-F238E27FC236}">
                  <a16:creationId xmlns:a16="http://schemas.microsoft.com/office/drawing/2014/main" id="{00000000-0008-0000-0B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1</xdr:row>
          <xdr:rowOff>9525</xdr:rowOff>
        </xdr:from>
        <xdr:to>
          <xdr:col>4</xdr:col>
          <xdr:colOff>666750</xdr:colOff>
          <xdr:row>2</xdr:row>
          <xdr:rowOff>123825</xdr:rowOff>
        </xdr:to>
        <xdr:sp macro="" textlink="">
          <xdr:nvSpPr>
            <xdr:cNvPr id="9218" name="Label2" hidden="1">
              <a:extLst>
                <a:ext uri="{63B3BB69-23CF-44E3-9099-C40C66FF867C}">
                  <a14:compatExt spid="_x0000_s9218"/>
                </a:ext>
                <a:ext uri="{FF2B5EF4-FFF2-40B4-BE49-F238E27FC236}">
                  <a16:creationId xmlns:a16="http://schemas.microsoft.com/office/drawing/2014/main" id="{00000000-0008-0000-0B00-000002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2</xdr:row>
          <xdr:rowOff>123825</xdr:rowOff>
        </xdr:from>
        <xdr:to>
          <xdr:col>4</xdr:col>
          <xdr:colOff>666750</xdr:colOff>
          <xdr:row>3</xdr:row>
          <xdr:rowOff>104775</xdr:rowOff>
        </xdr:to>
        <xdr:sp macro="" textlink="">
          <xdr:nvSpPr>
            <xdr:cNvPr id="9219" name="txt_sacchuuzai" hidden="1">
              <a:extLst>
                <a:ext uri="{63B3BB69-23CF-44E3-9099-C40C66FF867C}">
                  <a14:compatExt spid="_x0000_s9219"/>
                </a:ext>
                <a:ext uri="{FF2B5EF4-FFF2-40B4-BE49-F238E27FC236}">
                  <a16:creationId xmlns:a16="http://schemas.microsoft.com/office/drawing/2014/main" id="{00000000-0008-0000-0B00-000003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504825</xdr:colOff>
          <xdr:row>1</xdr:row>
          <xdr:rowOff>9525</xdr:rowOff>
        </xdr:from>
        <xdr:to>
          <xdr:col>5</xdr:col>
          <xdr:colOff>1495425</xdr:colOff>
          <xdr:row>3</xdr:row>
          <xdr:rowOff>104775</xdr:rowOff>
        </xdr:to>
        <xdr:sp macro="" textlink="">
          <xdr:nvSpPr>
            <xdr:cNvPr id="9220" name="btnKoushin1" hidden="1">
              <a:extLst>
                <a:ext uri="{63B3BB69-23CF-44E3-9099-C40C66FF867C}">
                  <a14:compatExt spid="_x0000_s9220"/>
                </a:ext>
                <a:ext uri="{FF2B5EF4-FFF2-40B4-BE49-F238E27FC236}">
                  <a16:creationId xmlns:a16="http://schemas.microsoft.com/office/drawing/2014/main" id="{00000000-0008-0000-0B00-000004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647700</xdr:colOff>
          <xdr:row>1</xdr:row>
          <xdr:rowOff>9525</xdr:rowOff>
        </xdr:from>
        <xdr:to>
          <xdr:col>4</xdr:col>
          <xdr:colOff>1181100</xdr:colOff>
          <xdr:row>2</xdr:row>
          <xdr:rowOff>123825</xdr:rowOff>
        </xdr:to>
        <xdr:sp macro="" textlink="">
          <xdr:nvSpPr>
            <xdr:cNvPr id="9221" name="Label3" hidden="1">
              <a:extLst>
                <a:ext uri="{63B3BB69-23CF-44E3-9099-C40C66FF867C}">
                  <a14:compatExt spid="_x0000_s9221"/>
                </a:ext>
                <a:ext uri="{FF2B5EF4-FFF2-40B4-BE49-F238E27FC236}">
                  <a16:creationId xmlns:a16="http://schemas.microsoft.com/office/drawing/2014/main" id="{00000000-0008-0000-0B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647700</xdr:colOff>
          <xdr:row>2</xdr:row>
          <xdr:rowOff>123825</xdr:rowOff>
        </xdr:from>
        <xdr:to>
          <xdr:col>4</xdr:col>
          <xdr:colOff>1181100</xdr:colOff>
          <xdr:row>3</xdr:row>
          <xdr:rowOff>104775</xdr:rowOff>
        </xdr:to>
        <xdr:sp macro="" textlink="">
          <xdr:nvSpPr>
            <xdr:cNvPr id="9222" name="txt_sakkinzai" hidden="1">
              <a:extLst>
                <a:ext uri="{63B3BB69-23CF-44E3-9099-C40C66FF867C}">
                  <a14:compatExt spid="_x0000_s9222"/>
                </a:ext>
                <a:ext uri="{FF2B5EF4-FFF2-40B4-BE49-F238E27FC236}">
                  <a16:creationId xmlns:a16="http://schemas.microsoft.com/office/drawing/2014/main" id="{00000000-0008-0000-0B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1171575</xdr:colOff>
          <xdr:row>1</xdr:row>
          <xdr:rowOff>9525</xdr:rowOff>
        </xdr:from>
        <xdr:to>
          <xdr:col>5</xdr:col>
          <xdr:colOff>9525</xdr:colOff>
          <xdr:row>2</xdr:row>
          <xdr:rowOff>123825</xdr:rowOff>
        </xdr:to>
        <xdr:sp macro="" textlink="">
          <xdr:nvSpPr>
            <xdr:cNvPr id="9223" name="Label4" hidden="1">
              <a:extLst>
                <a:ext uri="{63B3BB69-23CF-44E3-9099-C40C66FF867C}">
                  <a14:compatExt spid="_x0000_s9223"/>
                </a:ext>
                <a:ext uri="{FF2B5EF4-FFF2-40B4-BE49-F238E27FC236}">
                  <a16:creationId xmlns:a16="http://schemas.microsoft.com/office/drawing/2014/main" id="{00000000-0008-0000-0B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1171575</xdr:colOff>
          <xdr:row>2</xdr:row>
          <xdr:rowOff>123825</xdr:rowOff>
        </xdr:from>
        <xdr:to>
          <xdr:col>5</xdr:col>
          <xdr:colOff>9525</xdr:colOff>
          <xdr:row>3</xdr:row>
          <xdr:rowOff>104775</xdr:rowOff>
        </xdr:to>
        <xdr:sp macro="" textlink="">
          <xdr:nvSpPr>
            <xdr:cNvPr id="9224" name="txt_sachuukin" hidden="1">
              <a:extLst>
                <a:ext uri="{63B3BB69-23CF-44E3-9099-C40C66FF867C}">
                  <a14:compatExt spid="_x0000_s9224"/>
                </a:ext>
                <a:ext uri="{FF2B5EF4-FFF2-40B4-BE49-F238E27FC236}">
                  <a16:creationId xmlns:a16="http://schemas.microsoft.com/office/drawing/2014/main" id="{00000000-0008-0000-0B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9525</xdr:rowOff>
        </xdr:from>
        <xdr:to>
          <xdr:col>5</xdr:col>
          <xdr:colOff>495300</xdr:colOff>
          <xdr:row>2</xdr:row>
          <xdr:rowOff>123825</xdr:rowOff>
        </xdr:to>
        <xdr:sp macro="" textlink="">
          <xdr:nvSpPr>
            <xdr:cNvPr id="9225" name="Label5" hidden="1">
              <a:extLst>
                <a:ext uri="{63B3BB69-23CF-44E3-9099-C40C66FF867C}">
                  <a14:compatExt spid="_x0000_s9225"/>
                </a:ext>
                <a:ext uri="{FF2B5EF4-FFF2-40B4-BE49-F238E27FC236}">
                  <a16:creationId xmlns:a16="http://schemas.microsoft.com/office/drawing/2014/main" id="{00000000-0008-0000-0B00-000009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114300</xdr:rowOff>
        </xdr:from>
        <xdr:to>
          <xdr:col>5</xdr:col>
          <xdr:colOff>495300</xdr:colOff>
          <xdr:row>3</xdr:row>
          <xdr:rowOff>104775</xdr:rowOff>
        </xdr:to>
        <xdr:sp macro="" textlink="">
          <xdr:nvSpPr>
            <xdr:cNvPr id="9226" name="txt_josouzai" hidden="1">
              <a:extLst>
                <a:ext uri="{63B3BB69-23CF-44E3-9099-C40C66FF867C}">
                  <a14:compatExt spid="_x0000_s9226"/>
                </a:ext>
                <a:ext uri="{FF2B5EF4-FFF2-40B4-BE49-F238E27FC236}">
                  <a16:creationId xmlns:a16="http://schemas.microsoft.com/office/drawing/2014/main" id="{00000000-0008-0000-0B00-00000A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209550</xdr:colOff>
          <xdr:row>1</xdr:row>
          <xdr:rowOff>123825</xdr:rowOff>
        </xdr:from>
        <xdr:to>
          <xdr:col>4</xdr:col>
          <xdr:colOff>609600</xdr:colOff>
          <xdr:row>2</xdr:row>
          <xdr:rowOff>57150</xdr:rowOff>
        </xdr:to>
        <xdr:sp macro="" textlink="">
          <xdr:nvSpPr>
            <xdr:cNvPr id="9227" name="Label6" hidden="1">
              <a:extLst>
                <a:ext uri="{63B3BB69-23CF-44E3-9099-C40C66FF867C}">
                  <a14:compatExt spid="_x0000_s9227"/>
                </a:ext>
                <a:ext uri="{FF2B5EF4-FFF2-40B4-BE49-F238E27FC236}">
                  <a16:creationId xmlns:a16="http://schemas.microsoft.com/office/drawing/2014/main" id="{00000000-0008-0000-0B00-00000B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733425</xdr:colOff>
          <xdr:row>1</xdr:row>
          <xdr:rowOff>123825</xdr:rowOff>
        </xdr:from>
        <xdr:to>
          <xdr:col>4</xdr:col>
          <xdr:colOff>1133475</xdr:colOff>
          <xdr:row>2</xdr:row>
          <xdr:rowOff>57150</xdr:rowOff>
        </xdr:to>
        <xdr:sp macro="" textlink="">
          <xdr:nvSpPr>
            <xdr:cNvPr id="9228" name="Label7" hidden="1">
              <a:extLst>
                <a:ext uri="{63B3BB69-23CF-44E3-9099-C40C66FF867C}">
                  <a14:compatExt spid="_x0000_s9228"/>
                </a:ext>
                <a:ext uri="{FF2B5EF4-FFF2-40B4-BE49-F238E27FC236}">
                  <a16:creationId xmlns:a16="http://schemas.microsoft.com/office/drawing/2014/main" id="{00000000-0008-0000-0B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1257300</xdr:colOff>
          <xdr:row>1</xdr:row>
          <xdr:rowOff>66675</xdr:rowOff>
        </xdr:from>
        <xdr:to>
          <xdr:col>4</xdr:col>
          <xdr:colOff>1657350</xdr:colOff>
          <xdr:row>2</xdr:row>
          <xdr:rowOff>95250</xdr:rowOff>
        </xdr:to>
        <xdr:sp macro="" textlink="">
          <xdr:nvSpPr>
            <xdr:cNvPr id="9229" name="Label8" hidden="1">
              <a:extLst>
                <a:ext uri="{63B3BB69-23CF-44E3-9099-C40C66FF867C}">
                  <a14:compatExt spid="_x0000_s9229"/>
                </a:ext>
                <a:ext uri="{FF2B5EF4-FFF2-40B4-BE49-F238E27FC236}">
                  <a16:creationId xmlns:a16="http://schemas.microsoft.com/office/drawing/2014/main" id="{00000000-0008-0000-0B00-00000D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xdr:row>
          <xdr:rowOff>133350</xdr:rowOff>
        </xdr:from>
        <xdr:to>
          <xdr:col>5</xdr:col>
          <xdr:colOff>457200</xdr:colOff>
          <xdr:row>2</xdr:row>
          <xdr:rowOff>66675</xdr:rowOff>
        </xdr:to>
        <xdr:sp macro="" textlink="">
          <xdr:nvSpPr>
            <xdr:cNvPr id="9230" name="Label9" hidden="1">
              <a:extLst>
                <a:ext uri="{63B3BB69-23CF-44E3-9099-C40C66FF867C}">
                  <a14:compatExt spid="_x0000_s9230"/>
                </a:ext>
                <a:ext uri="{FF2B5EF4-FFF2-40B4-BE49-F238E27FC236}">
                  <a16:creationId xmlns:a16="http://schemas.microsoft.com/office/drawing/2014/main" id="{00000000-0008-0000-0B00-00000E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123825</xdr:colOff>
          <xdr:row>1</xdr:row>
          <xdr:rowOff>209550</xdr:rowOff>
        </xdr:from>
        <xdr:to>
          <xdr:col>4</xdr:col>
          <xdr:colOff>76200</xdr:colOff>
          <xdr:row>2</xdr:row>
          <xdr:rowOff>123825</xdr:rowOff>
        </xdr:to>
        <xdr:sp macro="" textlink="">
          <xdr:nvSpPr>
            <xdr:cNvPr id="9231" name="Label10" hidden="1">
              <a:extLst>
                <a:ext uri="{63B3BB69-23CF-44E3-9099-C40C66FF867C}">
                  <a14:compatExt spid="_x0000_s9231"/>
                </a:ext>
                <a:ext uri="{FF2B5EF4-FFF2-40B4-BE49-F238E27FC236}">
                  <a16:creationId xmlns:a16="http://schemas.microsoft.com/office/drawing/2014/main" id="{00000000-0008-0000-0B00-00000F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18</xdr:col>
      <xdr:colOff>0</xdr:colOff>
      <xdr:row>36</xdr:row>
      <xdr:rowOff>38100</xdr:rowOff>
    </xdr:from>
    <xdr:to>
      <xdr:col>26</xdr:col>
      <xdr:colOff>33618</xdr:colOff>
      <xdr:row>42</xdr:row>
      <xdr:rowOff>85725</xdr:rowOff>
    </xdr:to>
    <xdr:grpSp>
      <xdr:nvGrpSpPr>
        <xdr:cNvPr id="2" name="グループ化 1">
          <a:extLst>
            <a:ext uri="{FF2B5EF4-FFF2-40B4-BE49-F238E27FC236}">
              <a16:creationId xmlns:a16="http://schemas.microsoft.com/office/drawing/2014/main" id="{00000000-0008-0000-0C00-000002000000}"/>
            </a:ext>
          </a:extLst>
        </xdr:cNvPr>
        <xdr:cNvGrpSpPr/>
      </xdr:nvGrpSpPr>
      <xdr:grpSpPr>
        <a:xfrm>
          <a:off x="6286500" y="7579659"/>
          <a:ext cx="1378324" cy="1123390"/>
          <a:chOff x="5971054" y="6862482"/>
          <a:chExt cx="1380005" cy="1123390"/>
        </a:xfrm>
      </xdr:grpSpPr>
      <xdr:cxnSp macro="">
        <xdr:nvCxnSpPr>
          <xdr:cNvPr id="3" name="直線矢印コネクタ 2">
            <a:extLst>
              <a:ext uri="{FF2B5EF4-FFF2-40B4-BE49-F238E27FC236}">
                <a16:creationId xmlns:a16="http://schemas.microsoft.com/office/drawing/2014/main" id="{00000000-0008-0000-0C00-000003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C00-000004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3361</xdr:colOff>
      <xdr:row>33</xdr:row>
      <xdr:rowOff>369795</xdr:rowOff>
    </xdr:from>
    <xdr:to>
      <xdr:col>27</xdr:col>
      <xdr:colOff>114299</xdr:colOff>
      <xdr:row>36</xdr:row>
      <xdr:rowOff>47625</xdr:rowOff>
    </xdr:to>
    <xdr:sp macro="" textlink="">
      <xdr:nvSpPr>
        <xdr:cNvPr id="5" name="角丸四角形 4">
          <a:extLst>
            <a:ext uri="{FF2B5EF4-FFF2-40B4-BE49-F238E27FC236}">
              <a16:creationId xmlns:a16="http://schemas.microsoft.com/office/drawing/2014/main" id="{00000000-0008-0000-0C00-000005000000}"/>
            </a:ext>
          </a:extLst>
        </xdr:cNvPr>
        <xdr:cNvSpPr/>
      </xdr:nvSpPr>
      <xdr:spPr>
        <a:xfrm>
          <a:off x="1708336" y="6961095"/>
          <a:ext cx="6216463" cy="64938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・対象品目以外の使用分を含めて記入する場合には、作付面積の割合を目安に記入してください。</a:t>
          </a:r>
        </a:p>
      </xdr:txBody>
    </xdr:sp>
    <xdr:clientData/>
  </xdr:twoCellAnchor>
  <xdr:twoCellAnchor>
    <xdr:from>
      <xdr:col>18</xdr:col>
      <xdr:colOff>0</xdr:colOff>
      <xdr:row>0</xdr:row>
      <xdr:rowOff>428625</xdr:rowOff>
    </xdr:from>
    <xdr:to>
      <xdr:col>26</xdr:col>
      <xdr:colOff>33618</xdr:colOff>
      <xdr:row>6</xdr:row>
      <xdr:rowOff>66675</xdr:rowOff>
    </xdr:to>
    <xdr:grpSp>
      <xdr:nvGrpSpPr>
        <xdr:cNvPr id="6" name="グループ化 5">
          <a:extLst>
            <a:ext uri="{FF2B5EF4-FFF2-40B4-BE49-F238E27FC236}">
              <a16:creationId xmlns:a16="http://schemas.microsoft.com/office/drawing/2014/main" id="{00000000-0008-0000-0C00-000006000000}"/>
            </a:ext>
          </a:extLst>
        </xdr:cNvPr>
        <xdr:cNvGrpSpPr/>
      </xdr:nvGrpSpPr>
      <xdr:grpSpPr>
        <a:xfrm>
          <a:off x="6286500" y="428625"/>
          <a:ext cx="1378324" cy="1296521"/>
          <a:chOff x="5971054" y="6862482"/>
          <a:chExt cx="1380005" cy="1123390"/>
        </a:xfrm>
      </xdr:grpSpPr>
      <xdr:cxnSp macro="">
        <xdr:nvCxnSpPr>
          <xdr:cNvPr id="7" name="直線矢印コネクタ 6">
            <a:extLst>
              <a:ext uri="{FF2B5EF4-FFF2-40B4-BE49-F238E27FC236}">
                <a16:creationId xmlns:a16="http://schemas.microsoft.com/office/drawing/2014/main" id="{00000000-0008-0000-0C00-000007000000}"/>
              </a:ext>
            </a:extLst>
          </xdr:cNvPr>
          <xdr:cNvCxnSpPr/>
        </xdr:nvCxnSpPr>
        <xdr:spPr bwMode="auto">
          <a:xfrm flipH="1">
            <a:off x="5971054" y="7972809"/>
            <a:ext cx="138000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8" name="直線コネクタ 7">
            <a:extLst>
              <a:ext uri="{FF2B5EF4-FFF2-40B4-BE49-F238E27FC236}">
                <a16:creationId xmlns:a16="http://schemas.microsoft.com/office/drawing/2014/main" id="{00000000-0008-0000-0C00-000008000000}"/>
              </a:ext>
            </a:extLst>
          </xdr:cNvPr>
          <xdr:cNvCxnSpPr/>
        </xdr:nvCxnSpPr>
        <xdr:spPr bwMode="auto">
          <a:xfrm>
            <a:off x="7342217" y="6862482"/>
            <a:ext cx="0" cy="112339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7003</xdr:colOff>
      <xdr:row>0</xdr:row>
      <xdr:rowOff>71436</xdr:rowOff>
    </xdr:from>
    <xdr:to>
      <xdr:col>26</xdr:col>
      <xdr:colOff>153380</xdr:colOff>
      <xdr:row>1</xdr:row>
      <xdr:rowOff>190499</xdr:rowOff>
    </xdr:to>
    <xdr:sp macro="" textlink="">
      <xdr:nvSpPr>
        <xdr:cNvPr id="9" name="角丸四角形 8">
          <a:extLst>
            <a:ext uri="{FF2B5EF4-FFF2-40B4-BE49-F238E27FC236}">
              <a16:creationId xmlns:a16="http://schemas.microsoft.com/office/drawing/2014/main" id="{00000000-0008-0000-0C00-000009000000}"/>
            </a:ext>
          </a:extLst>
        </xdr:cNvPr>
        <xdr:cNvSpPr/>
      </xdr:nvSpPr>
      <xdr:spPr>
        <a:xfrm>
          <a:off x="2312053" y="71436"/>
          <a:ext cx="5451802" cy="852488"/>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・対象品目のみの使用分を記入する場合は、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・対象品目以外の使用分を含めて記入する場合には、機械等の使用時間</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a:solidFill>
                <a:srgbClr val="0041FF"/>
              </a:solidFill>
              <a:latin typeface="ＭＳ ゴシック" panose="020B0609070205080204" pitchFamily="49" charset="-128"/>
              <a:ea typeface="ＭＳ ゴシック" panose="020B0609070205080204" pitchFamily="49" charset="-128"/>
            </a:rPr>
            <a:t>  </a:t>
          </a:r>
          <a:r>
            <a:rPr kumimoji="1" lang="ja-JP" altLang="en-US" sz="1000">
              <a:solidFill>
                <a:srgbClr val="0041FF"/>
              </a:solidFill>
              <a:latin typeface="ＭＳ ゴシック" panose="020B0609070205080204" pitchFamily="49" charset="-128"/>
              <a:ea typeface="ＭＳ ゴシック" panose="020B0609070205080204" pitchFamily="49" charset="-128"/>
            </a:rPr>
            <a:t>や作付面積の割合を目安に記入してください。</a:t>
          </a:r>
        </a:p>
      </xdr:txBody>
    </xdr:sp>
    <xdr:clientData/>
  </xdr:twoCellAnchor>
  <xdr:twoCellAnchor>
    <xdr:from>
      <xdr:col>14</xdr:col>
      <xdr:colOff>35719</xdr:colOff>
      <xdr:row>77</xdr:row>
      <xdr:rowOff>11906</xdr:rowOff>
    </xdr:from>
    <xdr:to>
      <xdr:col>21</xdr:col>
      <xdr:colOff>74044</xdr:colOff>
      <xdr:row>92</xdr:row>
      <xdr:rowOff>47625</xdr:rowOff>
    </xdr:to>
    <xdr:grpSp>
      <xdr:nvGrpSpPr>
        <xdr:cNvPr id="10" name="グループ化 9">
          <a:extLst>
            <a:ext uri="{FF2B5EF4-FFF2-40B4-BE49-F238E27FC236}">
              <a16:creationId xmlns:a16="http://schemas.microsoft.com/office/drawing/2014/main" id="{00000000-0008-0000-0C00-00000A000000}"/>
            </a:ext>
          </a:extLst>
        </xdr:cNvPr>
        <xdr:cNvGrpSpPr/>
      </xdr:nvGrpSpPr>
      <xdr:grpSpPr>
        <a:xfrm>
          <a:off x="4226719" y="11688435"/>
          <a:ext cx="2738943" cy="797719"/>
          <a:chOff x="4053024" y="15454247"/>
          <a:chExt cx="2748946" cy="5794085"/>
        </a:xfrm>
      </xdr:grpSpPr>
      <xdr:sp macro="" textlink="">
        <xdr:nvSpPr>
          <xdr:cNvPr id="11" name="右中かっこ 10">
            <a:extLst>
              <a:ext uri="{FF2B5EF4-FFF2-40B4-BE49-F238E27FC236}">
                <a16:creationId xmlns:a16="http://schemas.microsoft.com/office/drawing/2014/main" id="{00000000-0008-0000-0C00-00000B000000}"/>
              </a:ext>
            </a:extLst>
          </xdr:cNvPr>
          <xdr:cNvSpPr/>
        </xdr:nvSpPr>
        <xdr:spPr>
          <a:xfrm>
            <a:off x="4053024" y="15454247"/>
            <a:ext cx="159901" cy="5778768"/>
          </a:xfrm>
          <a:prstGeom prst="rightBrace">
            <a:avLst>
              <a:gd name="adj1" fmla="val 21457"/>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2" name="直線矢印コネクタ 11">
            <a:extLst>
              <a:ext uri="{FF2B5EF4-FFF2-40B4-BE49-F238E27FC236}">
                <a16:creationId xmlns:a16="http://schemas.microsoft.com/office/drawing/2014/main" id="{00000000-0008-0000-0C00-00000C000000}"/>
              </a:ext>
            </a:extLst>
          </xdr:cNvPr>
          <xdr:cNvCxnSpPr>
            <a:endCxn id="11" idx="1"/>
          </xdr:cNvCxnSpPr>
        </xdr:nvCxnSpPr>
        <xdr:spPr bwMode="auto">
          <a:xfrm flipH="1" flipV="1">
            <a:off x="4212925" y="18343635"/>
            <a:ext cx="1061829" cy="6791"/>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3" name="直線コネクタ 12">
            <a:extLst>
              <a:ext uri="{FF2B5EF4-FFF2-40B4-BE49-F238E27FC236}">
                <a16:creationId xmlns:a16="http://schemas.microsoft.com/office/drawing/2014/main" id="{00000000-0008-0000-0C00-00000D000000}"/>
              </a:ext>
            </a:extLst>
          </xdr:cNvPr>
          <xdr:cNvCxnSpPr/>
        </xdr:nvCxnSpPr>
        <xdr:spPr bwMode="auto">
          <a:xfrm>
            <a:off x="5268133" y="18356295"/>
            <a:ext cx="0" cy="287620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14" name="直線矢印コネクタ 13">
            <a:extLst>
              <a:ext uri="{FF2B5EF4-FFF2-40B4-BE49-F238E27FC236}">
                <a16:creationId xmlns:a16="http://schemas.microsoft.com/office/drawing/2014/main" id="{00000000-0008-0000-0C00-00000E000000}"/>
              </a:ext>
            </a:extLst>
          </xdr:cNvPr>
          <xdr:cNvCxnSpPr/>
        </xdr:nvCxnSpPr>
        <xdr:spPr bwMode="auto">
          <a:xfrm flipH="1" flipV="1">
            <a:off x="5252289" y="21231902"/>
            <a:ext cx="1539201" cy="10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コネクタ 14">
            <a:extLst>
              <a:ext uri="{FF2B5EF4-FFF2-40B4-BE49-F238E27FC236}">
                <a16:creationId xmlns:a16="http://schemas.microsoft.com/office/drawing/2014/main" id="{00000000-0008-0000-0C00-00000F000000}"/>
              </a:ext>
            </a:extLst>
          </xdr:cNvPr>
          <xdr:cNvCxnSpPr/>
        </xdr:nvCxnSpPr>
        <xdr:spPr bwMode="auto">
          <a:xfrm>
            <a:off x="6801970" y="15914329"/>
            <a:ext cx="0" cy="5334003"/>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122190</xdr:colOff>
      <xdr:row>77</xdr:row>
      <xdr:rowOff>59531</xdr:rowOff>
    </xdr:from>
    <xdr:to>
      <xdr:col>26</xdr:col>
      <xdr:colOff>120690</xdr:colOff>
      <xdr:row>78</xdr:row>
      <xdr:rowOff>335053</xdr:rowOff>
    </xdr:to>
    <xdr:sp macro="" textlink="">
      <xdr:nvSpPr>
        <xdr:cNvPr id="16" name="角丸四角形 35">
          <a:extLst>
            <a:ext uri="{FF2B5EF4-FFF2-40B4-BE49-F238E27FC236}">
              <a16:creationId xmlns:a16="http://schemas.microsoft.com/office/drawing/2014/main" id="{00000000-0008-0000-0C00-000010000000}"/>
            </a:ext>
          </a:extLst>
        </xdr:cNvPr>
        <xdr:cNvSpPr/>
      </xdr:nvSpPr>
      <xdr:spPr>
        <a:xfrm>
          <a:off x="6399165" y="11775281"/>
          <a:ext cx="1332000" cy="65652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14</xdr:col>
      <xdr:colOff>23813</xdr:colOff>
      <xdr:row>16</xdr:row>
      <xdr:rowOff>379447</xdr:rowOff>
    </xdr:from>
    <xdr:to>
      <xdr:col>20</xdr:col>
      <xdr:colOff>158751</xdr:colOff>
      <xdr:row>32</xdr:row>
      <xdr:rowOff>56031</xdr:rowOff>
    </xdr:to>
    <xdr:grpSp>
      <xdr:nvGrpSpPr>
        <xdr:cNvPr id="17" name="グループ化 16">
          <a:extLst>
            <a:ext uri="{FF2B5EF4-FFF2-40B4-BE49-F238E27FC236}">
              <a16:creationId xmlns:a16="http://schemas.microsoft.com/office/drawing/2014/main" id="{00000000-0008-0000-0C00-000011000000}"/>
            </a:ext>
          </a:extLst>
        </xdr:cNvPr>
        <xdr:cNvGrpSpPr/>
      </xdr:nvGrpSpPr>
      <xdr:grpSpPr>
        <a:xfrm>
          <a:off x="4214813" y="5422094"/>
          <a:ext cx="2633850" cy="819584"/>
          <a:chOff x="4067734" y="4736725"/>
          <a:chExt cx="2643655" cy="5796804"/>
        </a:xfrm>
      </xdr:grpSpPr>
      <xdr:sp macro="" textlink="">
        <xdr:nvSpPr>
          <xdr:cNvPr id="18" name="右中かっこ 17">
            <a:extLst>
              <a:ext uri="{FF2B5EF4-FFF2-40B4-BE49-F238E27FC236}">
                <a16:creationId xmlns:a16="http://schemas.microsoft.com/office/drawing/2014/main" id="{00000000-0008-0000-0C00-000012000000}"/>
              </a:ext>
            </a:extLst>
          </xdr:cNvPr>
          <xdr:cNvSpPr/>
        </xdr:nvSpPr>
        <xdr:spPr>
          <a:xfrm>
            <a:off x="4067734" y="4736725"/>
            <a:ext cx="123265" cy="5651127"/>
          </a:xfrm>
          <a:prstGeom prst="rightBrace">
            <a:avLst>
              <a:gd name="adj1" fmla="val 55555"/>
              <a:gd name="adj2" fmla="val 50000"/>
            </a:avLst>
          </a:prstGeom>
          <a:ln w="22225">
            <a:solidFill>
              <a:srgbClr val="003CFF"/>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endParaRPr lang="ja-JP" altLang="en-US"/>
          </a:p>
        </xdr:txBody>
      </xdr:sp>
      <xdr:cxnSp macro="">
        <xdr:nvCxnSpPr>
          <xdr:cNvPr id="19" name="直線矢印コネクタ 18">
            <a:extLst>
              <a:ext uri="{FF2B5EF4-FFF2-40B4-BE49-F238E27FC236}">
                <a16:creationId xmlns:a16="http://schemas.microsoft.com/office/drawing/2014/main" id="{00000000-0008-0000-0C00-000013000000}"/>
              </a:ext>
            </a:extLst>
          </xdr:cNvPr>
          <xdr:cNvCxnSpPr/>
        </xdr:nvCxnSpPr>
        <xdr:spPr bwMode="auto">
          <a:xfrm flipH="1">
            <a:off x="4195765" y="7551273"/>
            <a:ext cx="1075542" cy="8"/>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0" name="直線コネクタ 19">
            <a:extLst>
              <a:ext uri="{FF2B5EF4-FFF2-40B4-BE49-F238E27FC236}">
                <a16:creationId xmlns:a16="http://schemas.microsoft.com/office/drawing/2014/main" id="{00000000-0008-0000-0C00-000014000000}"/>
              </a:ext>
            </a:extLst>
          </xdr:cNvPr>
          <xdr:cNvCxnSpPr/>
        </xdr:nvCxnSpPr>
        <xdr:spPr bwMode="auto">
          <a:xfrm>
            <a:off x="5258089" y="7563971"/>
            <a:ext cx="7368" cy="2969558"/>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cxnSp macro="">
        <xdr:nvCxnSpPr>
          <xdr:cNvPr id="21" name="直線矢印コネクタ 20">
            <a:extLst>
              <a:ext uri="{FF2B5EF4-FFF2-40B4-BE49-F238E27FC236}">
                <a16:creationId xmlns:a16="http://schemas.microsoft.com/office/drawing/2014/main" id="{00000000-0008-0000-0C00-000015000000}"/>
              </a:ext>
            </a:extLst>
          </xdr:cNvPr>
          <xdr:cNvCxnSpPr/>
        </xdr:nvCxnSpPr>
        <xdr:spPr bwMode="auto">
          <a:xfrm flipH="1">
            <a:off x="5255559" y="10517745"/>
            <a:ext cx="1455830"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22" name="直線コネクタ 21">
            <a:extLst>
              <a:ext uri="{FF2B5EF4-FFF2-40B4-BE49-F238E27FC236}">
                <a16:creationId xmlns:a16="http://schemas.microsoft.com/office/drawing/2014/main" id="{00000000-0008-0000-0C00-000016000000}"/>
              </a:ext>
            </a:extLst>
          </xdr:cNvPr>
          <xdr:cNvCxnSpPr/>
        </xdr:nvCxnSpPr>
        <xdr:spPr bwMode="auto">
          <a:xfrm>
            <a:off x="6703156" y="5188324"/>
            <a:ext cx="0" cy="5334000"/>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18</xdr:col>
      <xdr:colOff>54909</xdr:colOff>
      <xdr:row>16</xdr:row>
      <xdr:rowOff>345281</xdr:rowOff>
    </xdr:from>
    <xdr:to>
      <xdr:col>27</xdr:col>
      <xdr:colOff>81245</xdr:colOff>
      <xdr:row>18</xdr:row>
      <xdr:rowOff>278048</xdr:rowOff>
    </xdr:to>
    <xdr:sp macro="" textlink="">
      <xdr:nvSpPr>
        <xdr:cNvPr id="23" name="角丸四角形 22">
          <a:extLst>
            <a:ext uri="{FF2B5EF4-FFF2-40B4-BE49-F238E27FC236}">
              <a16:creationId xmlns:a16="http://schemas.microsoft.com/office/drawing/2014/main" id="{00000000-0008-0000-0C00-000017000000}"/>
            </a:ext>
          </a:extLst>
        </xdr:cNvPr>
        <xdr:cNvSpPr/>
      </xdr:nvSpPr>
      <xdr:spPr>
        <a:xfrm>
          <a:off x="6331884" y="5412581"/>
          <a:ext cx="1559861" cy="69476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vert="horz" lIns="36000" tIns="0" rIns="36000" bIns="0" rtlCol="0" anchor="ctr" anchorCtr="0"/>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使用した自給の資材名と数量を記入してください。　</a:t>
          </a:r>
        </a:p>
      </xdr:txBody>
    </xdr:sp>
    <xdr:clientData/>
  </xdr:twoCellAnchor>
  <xdr:twoCellAnchor>
    <xdr:from>
      <xdr:col>1</xdr:col>
      <xdr:colOff>23813</xdr:colOff>
      <xdr:row>92</xdr:row>
      <xdr:rowOff>271041</xdr:rowOff>
    </xdr:from>
    <xdr:to>
      <xdr:col>14</xdr:col>
      <xdr:colOff>1066272</xdr:colOff>
      <xdr:row>93</xdr:row>
      <xdr:rowOff>221300</xdr:rowOff>
    </xdr:to>
    <xdr:sp macro="" textlink="">
      <xdr:nvSpPr>
        <xdr:cNvPr id="24" name="Comment_Mugirui">
          <a:extLst>
            <a:ext uri="{FF2B5EF4-FFF2-40B4-BE49-F238E27FC236}">
              <a16:creationId xmlns:a16="http://schemas.microsoft.com/office/drawing/2014/main" id="{00000000-0008-0000-0C00-000018000000}"/>
            </a:ext>
          </a:extLst>
        </xdr:cNvPr>
        <xdr:cNvSpPr/>
      </xdr:nvSpPr>
      <xdr:spPr>
        <a:xfrm>
          <a:off x="223838" y="12748791"/>
          <a:ext cx="5023909" cy="331259"/>
        </a:xfrm>
        <a:prstGeom prst="roundRect">
          <a:avLst/>
        </a:prstGeom>
        <a:solidFill>
          <a:sysClr val="window" lastClr="FFFFFF"/>
        </a:solidFill>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融雪剤として使用した炭酸カルシウムは、諸材料に記入してください。</a:t>
          </a:r>
        </a:p>
      </xdr:txBody>
    </xdr:sp>
    <xdr:clientData/>
  </xdr:twoCellAnchor>
  <xdr:twoCellAnchor>
    <xdr:from>
      <xdr:col>1</xdr:col>
      <xdr:colOff>0</xdr:colOff>
      <xdr:row>92</xdr:row>
      <xdr:rowOff>268940</xdr:rowOff>
    </xdr:from>
    <xdr:to>
      <xdr:col>19</xdr:col>
      <xdr:colOff>78050</xdr:colOff>
      <xdr:row>94</xdr:row>
      <xdr:rowOff>17985</xdr:rowOff>
    </xdr:to>
    <xdr:sp macro="" textlink="">
      <xdr:nvSpPr>
        <xdr:cNvPr id="25" name="Comment_Kansyo" hidden="1">
          <a:extLst>
            <a:ext uri="{FF2B5EF4-FFF2-40B4-BE49-F238E27FC236}">
              <a16:creationId xmlns:a16="http://schemas.microsoft.com/office/drawing/2014/main" id="{00000000-0008-0000-0C00-000019000000}"/>
            </a:ext>
          </a:extLst>
        </xdr:cNvPr>
        <xdr:cNvSpPr/>
      </xdr:nvSpPr>
      <xdr:spPr>
        <a:xfrm>
          <a:off x="200025" y="12746690"/>
          <a:ext cx="6355025" cy="511045"/>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諸材料には、ビニール・シート（償却資産に属する建物（育苗ハウス等）のビニール張り替え費用については、建物費の修繕費に記入。）、マルチ張り用のポリエチレン等が入ります。</a:t>
          </a:r>
        </a:p>
      </xdr:txBody>
    </xdr:sp>
    <xdr:clientData/>
  </xdr:twoCellAnchor>
  <xdr:twoCellAnchor>
    <xdr:from>
      <xdr:col>1</xdr:col>
      <xdr:colOff>0</xdr:colOff>
      <xdr:row>92</xdr:row>
      <xdr:rowOff>268939</xdr:rowOff>
    </xdr:from>
    <xdr:to>
      <xdr:col>14</xdr:col>
      <xdr:colOff>1212429</xdr:colOff>
      <xdr:row>93</xdr:row>
      <xdr:rowOff>214000</xdr:rowOff>
    </xdr:to>
    <xdr:sp macro="" textlink="">
      <xdr:nvSpPr>
        <xdr:cNvPr id="26" name="Comment_Tensai" hidden="1">
          <a:extLst>
            <a:ext uri="{FF2B5EF4-FFF2-40B4-BE49-F238E27FC236}">
              <a16:creationId xmlns:a16="http://schemas.microsoft.com/office/drawing/2014/main" id="{00000000-0008-0000-0C00-00001A000000}"/>
            </a:ext>
          </a:extLst>
        </xdr:cNvPr>
        <xdr:cNvSpPr/>
      </xdr:nvSpPr>
      <xdr:spPr>
        <a:xfrm>
          <a:off x="200025" y="12746689"/>
          <a:ext cx="5193879" cy="32606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諸材料には、育苗用土、ペーパーポット、融雪剤等が入ります。</a:t>
          </a:r>
        </a:p>
      </xdr:txBody>
    </xdr:sp>
    <xdr:clientData/>
  </xdr:twoCellAnchor>
  <xdr:twoCellAnchor>
    <xdr:from>
      <xdr:col>1</xdr:col>
      <xdr:colOff>0</xdr:colOff>
      <xdr:row>92</xdr:row>
      <xdr:rowOff>268937</xdr:rowOff>
    </xdr:from>
    <xdr:to>
      <xdr:col>14</xdr:col>
      <xdr:colOff>1150716</xdr:colOff>
      <xdr:row>93</xdr:row>
      <xdr:rowOff>214178</xdr:rowOff>
    </xdr:to>
    <xdr:sp macro="" textlink="">
      <xdr:nvSpPr>
        <xdr:cNvPr id="27" name="Comment_Satokibi" hidden="1">
          <a:extLst>
            <a:ext uri="{FF2B5EF4-FFF2-40B4-BE49-F238E27FC236}">
              <a16:creationId xmlns:a16="http://schemas.microsoft.com/office/drawing/2014/main" id="{00000000-0008-0000-0C00-00001B000000}"/>
            </a:ext>
          </a:extLst>
        </xdr:cNvPr>
        <xdr:cNvSpPr/>
      </xdr:nvSpPr>
      <xdr:spPr>
        <a:xfrm>
          <a:off x="200025" y="12746687"/>
          <a:ext cx="5132166" cy="326241"/>
        </a:xfrm>
        <a:prstGeom prst="roundRect">
          <a:avLst/>
        </a:prstGeom>
        <a:solidFill>
          <a:sysClr val="window" lastClr="FFFFFF"/>
        </a:solidFill>
        <a:ln w="12700">
          <a:solidFill>
            <a:srgbClr val="0041FF"/>
          </a:solidFill>
        </a:ln>
        <a:effectLst/>
      </xdr:spPr>
      <xdr:style>
        <a:lnRef idx="1">
          <a:schemeClr val="accent3"/>
        </a:lnRef>
        <a:fillRef idx="2">
          <a:schemeClr val="accent3"/>
        </a:fillRef>
        <a:effectRef idx="1">
          <a:schemeClr val="accent3"/>
        </a:effectRef>
        <a:fontRef idx="minor">
          <a:schemeClr val="dk1"/>
        </a:fontRef>
      </xdr:style>
      <xdr:txBody>
        <a:bodyPr vertOverflow="clip" horzOverflow="clip" lIns="36000" rIns="3600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諸材料には、被覆用ポリエチレンや結束用のなわ等が入ります。</a:t>
          </a:r>
        </a:p>
      </xdr:txBody>
    </xdr:sp>
    <xdr:clientData/>
  </xdr:twoCellAnchor>
  <mc:AlternateContent xmlns:mc="http://schemas.openxmlformats.org/markup-compatibility/2006">
    <mc:Choice xmlns:a14="http://schemas.microsoft.com/office/drawing/2010/main" Requires="a14">
      <xdr:twoCellAnchor editAs="oneCell">
        <xdr:from>
          <xdr:col>19</xdr:col>
          <xdr:colOff>28575</xdr:colOff>
          <xdr:row>8</xdr:row>
          <xdr:rowOff>19050</xdr:rowOff>
        </xdr:from>
        <xdr:to>
          <xdr:col>26</xdr:col>
          <xdr:colOff>171450</xdr:colOff>
          <xdr:row>8</xdr:row>
          <xdr:rowOff>228600</xdr:rowOff>
        </xdr:to>
        <xdr:sp macro="" textlink="">
          <xdr:nvSpPr>
            <xdr:cNvPr id="10241" name="Label1" hidden="1">
              <a:extLst>
                <a:ext uri="{63B3BB69-23CF-44E3-9099-C40C66FF867C}">
                  <a14:compatExt spid="_x0000_s10241"/>
                </a:ext>
                <a:ext uri="{FF2B5EF4-FFF2-40B4-BE49-F238E27FC236}">
                  <a16:creationId xmlns:a16="http://schemas.microsoft.com/office/drawing/2014/main" id="{00000000-0008-0000-0C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228600</xdr:rowOff>
        </xdr:from>
        <xdr:to>
          <xdr:col>26</xdr:col>
          <xdr:colOff>171450</xdr:colOff>
          <xdr:row>9</xdr:row>
          <xdr:rowOff>57150</xdr:rowOff>
        </xdr:to>
        <xdr:sp macro="" textlink="">
          <xdr:nvSpPr>
            <xdr:cNvPr id="10242" name="txt_hyouji" hidden="1">
              <a:extLst>
                <a:ext uri="{63B3BB69-23CF-44E3-9099-C40C66FF867C}">
                  <a14:compatExt spid="_x0000_s10242"/>
                </a:ext>
                <a:ext uri="{FF2B5EF4-FFF2-40B4-BE49-F238E27FC236}">
                  <a16:creationId xmlns:a16="http://schemas.microsoft.com/office/drawing/2014/main" id="{00000000-0008-0000-0C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57150</xdr:rowOff>
        </xdr:from>
        <xdr:to>
          <xdr:col>26</xdr:col>
          <xdr:colOff>171450</xdr:colOff>
          <xdr:row>10</xdr:row>
          <xdr:rowOff>95250</xdr:rowOff>
        </xdr:to>
        <xdr:sp macro="" textlink="">
          <xdr:nvSpPr>
            <xdr:cNvPr id="10243" name="btnKoushin1" hidden="1">
              <a:extLst>
                <a:ext uri="{63B3BB69-23CF-44E3-9099-C40C66FF867C}">
                  <a14:compatExt spid="_x0000_s10243"/>
                </a:ext>
                <a:ext uri="{FF2B5EF4-FFF2-40B4-BE49-F238E27FC236}">
                  <a16:creationId xmlns:a16="http://schemas.microsoft.com/office/drawing/2014/main" id="{00000000-0008-0000-0C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390525</xdr:colOff>
          <xdr:row>39</xdr:row>
          <xdr:rowOff>0</xdr:rowOff>
        </xdr:from>
        <xdr:to>
          <xdr:col>12</xdr:col>
          <xdr:colOff>1123950</xdr:colOff>
          <xdr:row>40</xdr:row>
          <xdr:rowOff>161925</xdr:rowOff>
        </xdr:to>
        <xdr:sp macro="" textlink="">
          <xdr:nvSpPr>
            <xdr:cNvPr id="10244" name="Label2" hidden="1">
              <a:extLst>
                <a:ext uri="{63B3BB69-23CF-44E3-9099-C40C66FF867C}">
                  <a14:compatExt spid="_x0000_s10244"/>
                </a:ext>
                <a:ext uri="{FF2B5EF4-FFF2-40B4-BE49-F238E27FC236}">
                  <a16:creationId xmlns:a16="http://schemas.microsoft.com/office/drawing/2014/main" id="{00000000-0008-0000-0C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428625</xdr:colOff>
          <xdr:row>39</xdr:row>
          <xdr:rowOff>114300</xdr:rowOff>
        </xdr:from>
        <xdr:to>
          <xdr:col>12</xdr:col>
          <xdr:colOff>1076325</xdr:colOff>
          <xdr:row>40</xdr:row>
          <xdr:rowOff>57150</xdr:rowOff>
        </xdr:to>
        <xdr:sp macro="" textlink="">
          <xdr:nvSpPr>
            <xdr:cNvPr id="10245" name="Label3" hidden="1">
              <a:extLst>
                <a:ext uri="{63B3BB69-23CF-44E3-9099-C40C66FF867C}">
                  <a14:compatExt spid="_x0000_s10245"/>
                </a:ext>
                <a:ext uri="{FF2B5EF4-FFF2-40B4-BE49-F238E27FC236}">
                  <a16:creationId xmlns:a16="http://schemas.microsoft.com/office/drawing/2014/main" id="{00000000-0008-0000-0C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1114425</xdr:colOff>
          <xdr:row>39</xdr:row>
          <xdr:rowOff>0</xdr:rowOff>
        </xdr:from>
        <xdr:to>
          <xdr:col>14</xdr:col>
          <xdr:colOff>171450</xdr:colOff>
          <xdr:row>39</xdr:row>
          <xdr:rowOff>171450</xdr:rowOff>
        </xdr:to>
        <xdr:sp macro="" textlink="">
          <xdr:nvSpPr>
            <xdr:cNvPr id="10246" name="Label4" hidden="1">
              <a:extLst>
                <a:ext uri="{63B3BB69-23CF-44E3-9099-C40C66FF867C}">
                  <a14:compatExt spid="_x0000_s10246"/>
                </a:ext>
                <a:ext uri="{FF2B5EF4-FFF2-40B4-BE49-F238E27FC236}">
                  <a16:creationId xmlns:a16="http://schemas.microsoft.com/office/drawing/2014/main" id="{00000000-0008-0000-0C00-000006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1114425</xdr:colOff>
          <xdr:row>40</xdr:row>
          <xdr:rowOff>0</xdr:rowOff>
        </xdr:from>
        <xdr:to>
          <xdr:col>14</xdr:col>
          <xdr:colOff>171450</xdr:colOff>
          <xdr:row>40</xdr:row>
          <xdr:rowOff>171450</xdr:rowOff>
        </xdr:to>
        <xdr:sp macro="" textlink="">
          <xdr:nvSpPr>
            <xdr:cNvPr id="10247" name="txt_kounyu" hidden="1">
              <a:extLst>
                <a:ext uri="{63B3BB69-23CF-44E3-9099-C40C66FF867C}">
                  <a14:compatExt spid="_x0000_s10247"/>
                </a:ext>
                <a:ext uri="{FF2B5EF4-FFF2-40B4-BE49-F238E27FC236}">
                  <a16:creationId xmlns:a16="http://schemas.microsoft.com/office/drawing/2014/main" id="{00000000-0008-0000-0C00-000007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904875</xdr:colOff>
          <xdr:row>39</xdr:row>
          <xdr:rowOff>0</xdr:rowOff>
        </xdr:from>
        <xdr:to>
          <xdr:col>18</xdr:col>
          <xdr:colOff>9525</xdr:colOff>
          <xdr:row>40</xdr:row>
          <xdr:rowOff>161925</xdr:rowOff>
        </xdr:to>
        <xdr:sp macro="" textlink="">
          <xdr:nvSpPr>
            <xdr:cNvPr id="10248" name="btnKoushin2" hidden="1">
              <a:extLst>
                <a:ext uri="{63B3BB69-23CF-44E3-9099-C40C66FF867C}">
                  <a14:compatExt spid="_x0000_s10248"/>
                </a:ext>
                <a:ext uri="{FF2B5EF4-FFF2-40B4-BE49-F238E27FC236}">
                  <a16:creationId xmlns:a16="http://schemas.microsoft.com/office/drawing/2014/main" id="{00000000-0008-0000-0C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39</xdr:row>
          <xdr:rowOff>0</xdr:rowOff>
        </xdr:from>
        <xdr:to>
          <xdr:col>14</xdr:col>
          <xdr:colOff>904875</xdr:colOff>
          <xdr:row>39</xdr:row>
          <xdr:rowOff>171450</xdr:rowOff>
        </xdr:to>
        <xdr:sp macro="" textlink="">
          <xdr:nvSpPr>
            <xdr:cNvPr id="10249" name="Label5" hidden="1">
              <a:extLst>
                <a:ext uri="{63B3BB69-23CF-44E3-9099-C40C66FF867C}">
                  <a14:compatExt spid="_x0000_s10249"/>
                </a:ext>
                <a:ext uri="{FF2B5EF4-FFF2-40B4-BE49-F238E27FC236}">
                  <a16:creationId xmlns:a16="http://schemas.microsoft.com/office/drawing/2014/main" id="{00000000-0008-0000-0C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40</xdr:row>
          <xdr:rowOff>0</xdr:rowOff>
        </xdr:from>
        <xdr:to>
          <xdr:col>14</xdr:col>
          <xdr:colOff>904875</xdr:colOff>
          <xdr:row>40</xdr:row>
          <xdr:rowOff>171450</xdr:rowOff>
        </xdr:to>
        <xdr:sp macro="" textlink="">
          <xdr:nvSpPr>
            <xdr:cNvPr id="10250" name="txt_jikyu" hidden="1">
              <a:extLst>
                <a:ext uri="{63B3BB69-23CF-44E3-9099-C40C66FF867C}">
                  <a14:compatExt spid="_x0000_s10250"/>
                </a:ext>
                <a:ext uri="{FF2B5EF4-FFF2-40B4-BE49-F238E27FC236}">
                  <a16:creationId xmlns:a16="http://schemas.microsoft.com/office/drawing/2014/main" id="{00000000-0008-0000-0C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34</xdr:col>
      <xdr:colOff>0</xdr:colOff>
      <xdr:row>2</xdr:row>
      <xdr:rowOff>27215</xdr:rowOff>
    </xdr:from>
    <xdr:to>
      <xdr:col>35</xdr:col>
      <xdr:colOff>136071</xdr:colOff>
      <xdr:row>9</xdr:row>
      <xdr:rowOff>47625</xdr:rowOff>
    </xdr:to>
    <xdr:grpSp>
      <xdr:nvGrpSpPr>
        <xdr:cNvPr id="2" name="グループ化 22">
          <a:extLst>
            <a:ext uri="{FF2B5EF4-FFF2-40B4-BE49-F238E27FC236}">
              <a16:creationId xmlns:a16="http://schemas.microsoft.com/office/drawing/2014/main" id="{00000000-0008-0000-0D00-000002000000}"/>
            </a:ext>
          </a:extLst>
        </xdr:cNvPr>
        <xdr:cNvGrpSpPr>
          <a:grpSpLocks/>
        </xdr:cNvGrpSpPr>
      </xdr:nvGrpSpPr>
      <xdr:grpSpPr bwMode="auto">
        <a:xfrm>
          <a:off x="7003676" y="744391"/>
          <a:ext cx="337777" cy="1342705"/>
          <a:chOff x="6210300" y="5819775"/>
          <a:chExt cx="295275" cy="857251"/>
        </a:xfrm>
      </xdr:grpSpPr>
      <xdr:cxnSp macro="">
        <xdr:nvCxnSpPr>
          <xdr:cNvPr id="3" name="直線矢印コネクタ 2">
            <a:extLst>
              <a:ext uri="{FF2B5EF4-FFF2-40B4-BE49-F238E27FC236}">
                <a16:creationId xmlns:a16="http://schemas.microsoft.com/office/drawing/2014/main" id="{00000000-0008-0000-0D00-000003000000}"/>
              </a:ext>
            </a:extLst>
          </xdr:cNvPr>
          <xdr:cNvCxnSpPr/>
        </xdr:nvCxnSpPr>
        <xdr:spPr bwMode="auto">
          <a:xfrm flipH="1">
            <a:off x="6210300" y="6667058"/>
            <a:ext cx="2952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D00-000004000000}"/>
              </a:ext>
            </a:extLst>
          </xdr:cNvPr>
          <xdr:cNvCxnSpPr/>
        </xdr:nvCxnSpPr>
        <xdr:spPr bwMode="auto">
          <a:xfrm>
            <a:off x="6496490" y="5819775"/>
            <a:ext cx="0" cy="85725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171451</xdr:colOff>
      <xdr:row>1</xdr:row>
      <xdr:rowOff>47625</xdr:rowOff>
    </xdr:from>
    <xdr:to>
      <xdr:col>38</xdr:col>
      <xdr:colOff>182657</xdr:colOff>
      <xdr:row>3</xdr:row>
      <xdr:rowOff>79725</xdr:rowOff>
    </xdr:to>
    <xdr:sp macro="" textlink="">
      <xdr:nvSpPr>
        <xdr:cNvPr id="5" name="角丸四角形 21">
          <a:extLst>
            <a:ext uri="{FF2B5EF4-FFF2-40B4-BE49-F238E27FC236}">
              <a16:creationId xmlns:a16="http://schemas.microsoft.com/office/drawing/2014/main" id="{00000000-0008-0000-0D00-000005000000}"/>
            </a:ext>
          </a:extLst>
        </xdr:cNvPr>
        <xdr:cNvSpPr/>
      </xdr:nvSpPr>
      <xdr:spPr>
        <a:xfrm>
          <a:off x="2571751" y="228600"/>
          <a:ext cx="5364256" cy="756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・対象品目のみの支払分を記入する場合は、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・対象品目以外の支払分を含めて記入する場合には、機械等の使用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時間</a:t>
          </a:r>
          <a:endPar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endParaRPr>
        </a:p>
        <a:p>
          <a:pPr algn="l">
            <a:lnSpc>
              <a:spcPts val="1300"/>
            </a:lnSpc>
          </a:pPr>
          <a:r>
            <a:rPr kumimoji="1" lang="en-US" altLang="ja-JP"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  </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や作付面積の割合を目安に記入してください。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23</xdr:col>
      <xdr:colOff>0</xdr:colOff>
      <xdr:row>29</xdr:row>
      <xdr:rowOff>9525</xdr:rowOff>
    </xdr:from>
    <xdr:to>
      <xdr:col>28</xdr:col>
      <xdr:colOff>171450</xdr:colOff>
      <xdr:row>32</xdr:row>
      <xdr:rowOff>133350</xdr:rowOff>
    </xdr:to>
    <xdr:grpSp>
      <xdr:nvGrpSpPr>
        <xdr:cNvPr id="2" name="グループ化 9">
          <a:extLst>
            <a:ext uri="{FF2B5EF4-FFF2-40B4-BE49-F238E27FC236}">
              <a16:creationId xmlns:a16="http://schemas.microsoft.com/office/drawing/2014/main" id="{00000000-0008-0000-0E00-000002000000}"/>
            </a:ext>
          </a:extLst>
        </xdr:cNvPr>
        <xdr:cNvGrpSpPr>
          <a:grpSpLocks/>
        </xdr:cNvGrpSpPr>
      </xdr:nvGrpSpPr>
      <xdr:grpSpPr bwMode="auto">
        <a:xfrm>
          <a:off x="4639235" y="8010525"/>
          <a:ext cx="1179980" cy="829796"/>
          <a:chOff x="4400551" y="6391275"/>
          <a:chExt cx="1171574" cy="333375"/>
        </a:xfrm>
      </xdr:grpSpPr>
      <xdr:cxnSp macro="">
        <xdr:nvCxnSpPr>
          <xdr:cNvPr id="3" name="直線矢印コネクタ 2">
            <a:extLst>
              <a:ext uri="{FF2B5EF4-FFF2-40B4-BE49-F238E27FC236}">
                <a16:creationId xmlns:a16="http://schemas.microsoft.com/office/drawing/2014/main" id="{00000000-0008-0000-0E00-000003000000}"/>
              </a:ext>
            </a:extLst>
          </xdr:cNvPr>
          <xdr:cNvCxnSpPr/>
        </xdr:nvCxnSpPr>
        <xdr:spPr bwMode="auto">
          <a:xfrm flipH="1">
            <a:off x="4400551" y="63912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E00-000004000000}"/>
              </a:ext>
            </a:extLst>
          </xdr:cNvPr>
          <xdr:cNvCxnSpPr/>
        </xdr:nvCxnSpPr>
        <xdr:spPr bwMode="auto">
          <a:xfrm flipV="1">
            <a:off x="5562600" y="639127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0</xdr:colOff>
      <xdr:row>9</xdr:row>
      <xdr:rowOff>57150</xdr:rowOff>
    </xdr:from>
    <xdr:to>
      <xdr:col>28</xdr:col>
      <xdr:colOff>180975</xdr:colOff>
      <xdr:row>10</xdr:row>
      <xdr:rowOff>171450</xdr:rowOff>
    </xdr:to>
    <xdr:grpSp>
      <xdr:nvGrpSpPr>
        <xdr:cNvPr id="5" name="グループ化 4">
          <a:extLst>
            <a:ext uri="{FF2B5EF4-FFF2-40B4-BE49-F238E27FC236}">
              <a16:creationId xmlns:a16="http://schemas.microsoft.com/office/drawing/2014/main" id="{00000000-0008-0000-0E00-000005000000}"/>
            </a:ext>
          </a:extLst>
        </xdr:cNvPr>
        <xdr:cNvGrpSpPr/>
      </xdr:nvGrpSpPr>
      <xdr:grpSpPr>
        <a:xfrm>
          <a:off x="4639235" y="1962150"/>
          <a:ext cx="1189505" cy="271182"/>
          <a:chOff x="4600575" y="1543050"/>
          <a:chExt cx="1181100" cy="276225"/>
        </a:xfrm>
      </xdr:grpSpPr>
      <xdr:cxnSp macro="">
        <xdr:nvCxnSpPr>
          <xdr:cNvPr id="6" name="直線矢印コネクタ 5">
            <a:extLst>
              <a:ext uri="{FF2B5EF4-FFF2-40B4-BE49-F238E27FC236}">
                <a16:creationId xmlns:a16="http://schemas.microsoft.com/office/drawing/2014/main" id="{00000000-0008-0000-0E00-000006000000}"/>
              </a:ext>
            </a:extLst>
          </xdr:cNvPr>
          <xdr:cNvCxnSpPr/>
        </xdr:nvCxnSpPr>
        <xdr:spPr bwMode="auto">
          <a:xfrm flipH="1">
            <a:off x="4600575" y="1552575"/>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7" name="直線コネクタ 6">
            <a:extLst>
              <a:ext uri="{FF2B5EF4-FFF2-40B4-BE49-F238E27FC236}">
                <a16:creationId xmlns:a16="http://schemas.microsoft.com/office/drawing/2014/main" id="{00000000-0008-0000-0E00-000007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23</xdr:col>
      <xdr:colOff>91888</xdr:colOff>
      <xdr:row>29</xdr:row>
      <xdr:rowOff>123265</xdr:rowOff>
    </xdr:from>
    <xdr:to>
      <xdr:col>39</xdr:col>
      <xdr:colOff>22411</xdr:colOff>
      <xdr:row>37</xdr:row>
      <xdr:rowOff>156882</xdr:rowOff>
    </xdr:to>
    <xdr:sp macro="" textlink="">
      <xdr:nvSpPr>
        <xdr:cNvPr id="8" name="角丸四角形 7">
          <a:extLst>
            <a:ext uri="{FF2B5EF4-FFF2-40B4-BE49-F238E27FC236}">
              <a16:creationId xmlns:a16="http://schemas.microsoft.com/office/drawing/2014/main" id="{00000000-0008-0000-0E00-000008000000}"/>
            </a:ext>
          </a:extLst>
        </xdr:cNvPr>
        <xdr:cNvSpPr/>
      </xdr:nvSpPr>
      <xdr:spPr>
        <a:xfrm>
          <a:off x="4692463" y="8190940"/>
          <a:ext cx="2864223" cy="265299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入する場合には、公課諸負担の種</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類に応じて次を目安に記入してく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集落協議会費、農業協同組合費、農事実行組合費：</a:t>
          </a:r>
          <a:r>
            <a:rPr kumimoji="1" lang="ja-JP" altLang="en-US" sz="1000" b="1" u="sng">
              <a:solidFill>
                <a:srgbClr val="0041FF"/>
              </a:solidFill>
              <a:latin typeface="ＭＳ ゴシック" panose="020B0609070205080204" pitchFamily="49" charset="-128"/>
              <a:ea typeface="ＭＳ ゴシック" panose="020B0609070205080204" pitchFamily="49" charset="-128"/>
            </a:rPr>
            <a:t>農業収入全体のうち、対象品目の収入が占める割合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農業共済組合賦課金：</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作付面積割合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23</xdr:col>
      <xdr:colOff>95248</xdr:colOff>
      <xdr:row>10</xdr:row>
      <xdr:rowOff>28575</xdr:rowOff>
    </xdr:from>
    <xdr:to>
      <xdr:col>38</xdr:col>
      <xdr:colOff>156883</xdr:colOff>
      <xdr:row>19</xdr:row>
      <xdr:rowOff>0</xdr:rowOff>
    </xdr:to>
    <xdr:sp macro="" textlink="">
      <xdr:nvSpPr>
        <xdr:cNvPr id="9" name="角丸四角形 8">
          <a:extLst>
            <a:ext uri="{FF2B5EF4-FFF2-40B4-BE49-F238E27FC236}">
              <a16:creationId xmlns:a16="http://schemas.microsoft.com/office/drawing/2014/main" id="{00000000-0008-0000-0E00-000009000000}"/>
            </a:ext>
          </a:extLst>
        </xdr:cNvPr>
        <xdr:cNvSpPr/>
      </xdr:nvSpPr>
      <xdr:spPr>
        <a:xfrm>
          <a:off x="4695823" y="2133600"/>
          <a:ext cx="2795310" cy="320040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入する場合には、物件税の種類に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応じて次を目安に記入してくださ</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固定資産税（建物）、不動産取得税、水利地益税及び都市計画税：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使用面積割合</a:t>
          </a:r>
          <a:endParaRPr kumimoji="1" lang="en-US" altLang="ja-JP" sz="1000" b="1" u="sng">
            <a:solidFill>
              <a:srgbClr val="0041FF"/>
            </a:solidFill>
            <a:latin typeface="ＭＳ ゴシック" panose="020B0609070205080204" pitchFamily="49" charset="-128"/>
            <a:ea typeface="ＭＳ ゴシック" panose="020B0609070205080204" pitchFamily="49" charset="-128"/>
          </a:endParaRPr>
        </a:p>
        <a:p>
          <a:pPr algn="l">
            <a:lnSpc>
              <a:spcPts val="12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固定資産税（農機具）、自動車取得税、共同施設税：</a:t>
          </a:r>
          <a:r>
            <a:rPr kumimoji="1" lang="ja-JP" altLang="en-US" sz="1000" b="1" u="sng">
              <a:solidFill>
                <a:srgbClr val="0041FF"/>
              </a:solidFill>
              <a:latin typeface="ＭＳ ゴシック" panose="020B0609070205080204" pitchFamily="49" charset="-128"/>
              <a:ea typeface="ＭＳ ゴシック" panose="020B0609070205080204" pitchFamily="49" charset="-128"/>
            </a:rPr>
            <a:t>機械等の使用時間割合</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11206</xdr:colOff>
      <xdr:row>8</xdr:row>
      <xdr:rowOff>141194</xdr:rowOff>
    </xdr:from>
    <xdr:to>
      <xdr:col>10</xdr:col>
      <xdr:colOff>30256</xdr:colOff>
      <xdr:row>18</xdr:row>
      <xdr:rowOff>188819</xdr:rowOff>
    </xdr:to>
    <xdr:grpSp>
      <xdr:nvGrpSpPr>
        <xdr:cNvPr id="2" name="グループ化 6">
          <a:extLst>
            <a:ext uri="{FF2B5EF4-FFF2-40B4-BE49-F238E27FC236}">
              <a16:creationId xmlns:a16="http://schemas.microsoft.com/office/drawing/2014/main" id="{00000000-0008-0000-0F00-000002000000}"/>
            </a:ext>
          </a:extLst>
        </xdr:cNvPr>
        <xdr:cNvGrpSpPr>
          <a:grpSpLocks/>
        </xdr:cNvGrpSpPr>
      </xdr:nvGrpSpPr>
      <xdr:grpSpPr bwMode="auto">
        <a:xfrm>
          <a:off x="6533030" y="1822076"/>
          <a:ext cx="422461" cy="3005978"/>
          <a:chOff x="4537982" y="1353911"/>
          <a:chExt cx="1232282" cy="336096"/>
        </a:xfrm>
      </xdr:grpSpPr>
      <xdr:cxnSp macro="">
        <xdr:nvCxnSpPr>
          <xdr:cNvPr id="3" name="直線矢印コネクタ 2">
            <a:extLst>
              <a:ext uri="{FF2B5EF4-FFF2-40B4-BE49-F238E27FC236}">
                <a16:creationId xmlns:a16="http://schemas.microsoft.com/office/drawing/2014/main" id="{00000000-0008-0000-0F00-000003000000}"/>
              </a:ext>
            </a:extLst>
          </xdr:cNvPr>
          <xdr:cNvCxnSpPr/>
        </xdr:nvCxnSpPr>
        <xdr:spPr>
          <a:xfrm>
            <a:off x="4537982" y="1356338"/>
            <a:ext cx="123228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コネクタ 3">
            <a:extLst>
              <a:ext uri="{FF2B5EF4-FFF2-40B4-BE49-F238E27FC236}">
                <a16:creationId xmlns:a16="http://schemas.microsoft.com/office/drawing/2014/main" id="{00000000-0008-0000-0F00-000004000000}"/>
              </a:ext>
            </a:extLst>
          </xdr:cNvPr>
          <xdr:cNvCxnSpPr/>
        </xdr:nvCxnSpPr>
        <xdr:spPr>
          <a:xfrm>
            <a:off x="5770264"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11205</xdr:colOff>
      <xdr:row>20</xdr:row>
      <xdr:rowOff>81803</xdr:rowOff>
    </xdr:from>
    <xdr:to>
      <xdr:col>8</xdr:col>
      <xdr:colOff>11205</xdr:colOff>
      <xdr:row>20</xdr:row>
      <xdr:rowOff>81803</xdr:rowOff>
    </xdr:to>
    <xdr:cxnSp macro="">
      <xdr:nvCxnSpPr>
        <xdr:cNvPr id="5" name="直線矢印コネクタ 4">
          <a:extLst>
            <a:ext uri="{FF2B5EF4-FFF2-40B4-BE49-F238E27FC236}">
              <a16:creationId xmlns:a16="http://schemas.microsoft.com/office/drawing/2014/main" id="{00000000-0008-0000-0F00-000005000000}"/>
            </a:ext>
          </a:extLst>
        </xdr:cNvPr>
        <xdr:cNvCxnSpPr/>
      </xdr:nvCxnSpPr>
      <xdr:spPr bwMode="auto">
        <a:xfrm flipV="1">
          <a:off x="5211855" y="5168153"/>
          <a:ext cx="1323975"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168088</xdr:colOff>
      <xdr:row>17</xdr:row>
      <xdr:rowOff>9524</xdr:rowOff>
    </xdr:from>
    <xdr:to>
      <xdr:col>18</xdr:col>
      <xdr:colOff>44824</xdr:colOff>
      <xdr:row>24</xdr:row>
      <xdr:rowOff>0</xdr:rowOff>
    </xdr:to>
    <xdr:sp macro="" textlink="">
      <xdr:nvSpPr>
        <xdr:cNvPr id="6" name="角丸四角形 12">
          <a:extLst>
            <a:ext uri="{FF2B5EF4-FFF2-40B4-BE49-F238E27FC236}">
              <a16:creationId xmlns:a16="http://schemas.microsoft.com/office/drawing/2014/main" id="{00000000-0008-0000-0F00-000006000000}"/>
            </a:ext>
          </a:extLst>
        </xdr:cNvPr>
        <xdr:cNvSpPr/>
      </xdr:nvSpPr>
      <xdr:spPr>
        <a:xfrm>
          <a:off x="5368738" y="4524374"/>
          <a:ext cx="3200961" cy="1676401"/>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・対象品目のみの負担分を記入する場合は、</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・対象品目以外の負担分を含めて記入する</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場合には、農業収入全体のうち、対象品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目の収入が占める割合を目安に記入して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ください。</a:t>
          </a:r>
        </a:p>
      </xdr:txBody>
    </xdr:sp>
    <xdr:clientData/>
  </xdr:twoCellAnchor>
  <xdr:twoCellAnchor>
    <xdr:from>
      <xdr:col>8</xdr:col>
      <xdr:colOff>0</xdr:colOff>
      <xdr:row>28</xdr:row>
      <xdr:rowOff>152400</xdr:rowOff>
    </xdr:from>
    <xdr:to>
      <xdr:col>12</xdr:col>
      <xdr:colOff>38100</xdr:colOff>
      <xdr:row>34</xdr:row>
      <xdr:rowOff>85726</xdr:rowOff>
    </xdr:to>
    <xdr:grpSp>
      <xdr:nvGrpSpPr>
        <xdr:cNvPr id="7" name="グループ化 6">
          <a:extLst>
            <a:ext uri="{FF2B5EF4-FFF2-40B4-BE49-F238E27FC236}">
              <a16:creationId xmlns:a16="http://schemas.microsoft.com/office/drawing/2014/main" id="{00000000-0008-0000-0F00-000007000000}"/>
            </a:ext>
          </a:extLst>
        </xdr:cNvPr>
        <xdr:cNvGrpSpPr/>
      </xdr:nvGrpSpPr>
      <xdr:grpSpPr>
        <a:xfrm flipV="1">
          <a:off x="6521824" y="7402606"/>
          <a:ext cx="844923" cy="1053914"/>
          <a:chOff x="4600575" y="1543050"/>
          <a:chExt cx="1181100" cy="276225"/>
        </a:xfrm>
      </xdr:grpSpPr>
      <xdr:cxnSp macro="">
        <xdr:nvCxnSpPr>
          <xdr:cNvPr id="8" name="直線矢印コネクタ 7">
            <a:extLst>
              <a:ext uri="{FF2B5EF4-FFF2-40B4-BE49-F238E27FC236}">
                <a16:creationId xmlns:a16="http://schemas.microsoft.com/office/drawing/2014/main" id="{00000000-0008-0000-0F00-000008000000}"/>
              </a:ext>
            </a:extLst>
          </xdr:cNvPr>
          <xdr:cNvCxnSpPr/>
        </xdr:nvCxnSpPr>
        <xdr:spPr bwMode="auto">
          <a:xfrm flipH="1">
            <a:off x="4600575" y="1546437"/>
            <a:ext cx="1171575"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9" name="直線コネクタ 8">
            <a:extLst>
              <a:ext uri="{FF2B5EF4-FFF2-40B4-BE49-F238E27FC236}">
                <a16:creationId xmlns:a16="http://schemas.microsoft.com/office/drawing/2014/main" id="{00000000-0008-0000-0F00-000009000000}"/>
              </a:ext>
            </a:extLst>
          </xdr:cNvPr>
          <xdr:cNvCxnSpPr/>
        </xdr:nvCxnSpPr>
        <xdr:spPr bwMode="auto">
          <a:xfrm flipV="1">
            <a:off x="5781675" y="1543050"/>
            <a:ext cx="0" cy="27622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78442</xdr:colOff>
      <xdr:row>25</xdr:row>
      <xdr:rowOff>156883</xdr:rowOff>
    </xdr:from>
    <xdr:to>
      <xdr:col>18</xdr:col>
      <xdr:colOff>67236</xdr:colOff>
      <xdr:row>30</xdr:row>
      <xdr:rowOff>113214</xdr:rowOff>
    </xdr:to>
    <xdr:sp macro="" textlink="">
      <xdr:nvSpPr>
        <xdr:cNvPr id="10" name="角丸四角形 14">
          <a:extLst>
            <a:ext uri="{FF2B5EF4-FFF2-40B4-BE49-F238E27FC236}">
              <a16:creationId xmlns:a16="http://schemas.microsoft.com/office/drawing/2014/main" id="{00000000-0008-0000-0F00-00000A000000}"/>
            </a:ext>
          </a:extLst>
        </xdr:cNvPr>
        <xdr:cNvSpPr/>
      </xdr:nvSpPr>
      <xdr:spPr>
        <a:xfrm>
          <a:off x="5279092" y="6738658"/>
          <a:ext cx="3313019" cy="1146956"/>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・対象品目のみの生産に関係する金額を記入</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する場合は、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・対象品目以外の金額を含めて記入する場合</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には、その使途に応じた使用割合を目安に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記入してください。</a:t>
          </a:r>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36</xdr:row>
          <xdr:rowOff>47625</xdr:rowOff>
        </xdr:from>
        <xdr:to>
          <xdr:col>12</xdr:col>
          <xdr:colOff>161925</xdr:colOff>
          <xdr:row>37</xdr:row>
          <xdr:rowOff>19050</xdr:rowOff>
        </xdr:to>
        <xdr:sp macro="" textlink="">
          <xdr:nvSpPr>
            <xdr:cNvPr id="13313" name="Label1" hidden="1">
              <a:extLst>
                <a:ext uri="{63B3BB69-23CF-44E3-9099-C40C66FF867C}">
                  <a14:compatExt spid="_x0000_s13313"/>
                </a:ext>
                <a:ext uri="{FF2B5EF4-FFF2-40B4-BE49-F238E27FC236}">
                  <a16:creationId xmlns:a16="http://schemas.microsoft.com/office/drawing/2014/main" id="{00000000-0008-0000-0F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85725</xdr:colOff>
          <xdr:row>36</xdr:row>
          <xdr:rowOff>152400</xdr:rowOff>
        </xdr:from>
        <xdr:to>
          <xdr:col>12</xdr:col>
          <xdr:colOff>123825</xdr:colOff>
          <xdr:row>36</xdr:row>
          <xdr:rowOff>285750</xdr:rowOff>
        </xdr:to>
        <xdr:sp macro="" textlink="">
          <xdr:nvSpPr>
            <xdr:cNvPr id="13314" name="Label2" hidden="1">
              <a:extLst>
                <a:ext uri="{63B3BB69-23CF-44E3-9099-C40C66FF867C}">
                  <a14:compatExt spid="_x0000_s13314"/>
                </a:ext>
                <a:ext uri="{FF2B5EF4-FFF2-40B4-BE49-F238E27FC236}">
                  <a16:creationId xmlns:a16="http://schemas.microsoft.com/office/drawing/2014/main" id="{00000000-0008-0000-0F00-000002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36</xdr:row>
          <xdr:rowOff>47625</xdr:rowOff>
        </xdr:from>
        <xdr:to>
          <xdr:col>15</xdr:col>
          <xdr:colOff>104775</xdr:colOff>
          <xdr:row>36</xdr:row>
          <xdr:rowOff>219075</xdr:rowOff>
        </xdr:to>
        <xdr:sp macro="" textlink="">
          <xdr:nvSpPr>
            <xdr:cNvPr id="13315" name="Label3" hidden="1">
              <a:extLst>
                <a:ext uri="{63B3BB69-23CF-44E3-9099-C40C66FF867C}">
                  <a14:compatExt spid="_x0000_s13315"/>
                </a:ext>
                <a:ext uri="{FF2B5EF4-FFF2-40B4-BE49-F238E27FC236}">
                  <a16:creationId xmlns:a16="http://schemas.microsoft.com/office/drawing/2014/main" id="{00000000-0008-0000-0F00-00000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36</xdr:row>
          <xdr:rowOff>219075</xdr:rowOff>
        </xdr:from>
        <xdr:to>
          <xdr:col>15</xdr:col>
          <xdr:colOff>104775</xdr:colOff>
          <xdr:row>37</xdr:row>
          <xdr:rowOff>9525</xdr:rowOff>
        </xdr:to>
        <xdr:sp macro="" textlink="">
          <xdr:nvSpPr>
            <xdr:cNvPr id="13316" name="txt_tanki" hidden="1">
              <a:extLst>
                <a:ext uri="{63B3BB69-23CF-44E3-9099-C40C66FF867C}">
                  <a14:compatExt spid="_x0000_s13316"/>
                </a:ext>
                <a:ext uri="{FF2B5EF4-FFF2-40B4-BE49-F238E27FC236}">
                  <a16:creationId xmlns:a16="http://schemas.microsoft.com/office/drawing/2014/main" id="{00000000-0008-0000-0F00-000004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37</xdr:row>
          <xdr:rowOff>19050</xdr:rowOff>
        </xdr:from>
        <xdr:to>
          <xdr:col>18</xdr:col>
          <xdr:colOff>9525</xdr:colOff>
          <xdr:row>37</xdr:row>
          <xdr:rowOff>361950</xdr:rowOff>
        </xdr:to>
        <xdr:sp macro="" textlink="">
          <xdr:nvSpPr>
            <xdr:cNvPr id="13317" name="btnKoushin1" hidden="1">
              <a:extLst>
                <a:ext uri="{63B3BB69-23CF-44E3-9099-C40C66FF867C}">
                  <a14:compatExt spid="_x0000_s13317"/>
                </a:ext>
                <a:ext uri="{FF2B5EF4-FFF2-40B4-BE49-F238E27FC236}">
                  <a16:creationId xmlns:a16="http://schemas.microsoft.com/office/drawing/2014/main" id="{00000000-0008-0000-0F00-00000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76200</xdr:colOff>
          <xdr:row>36</xdr:row>
          <xdr:rowOff>47625</xdr:rowOff>
        </xdr:from>
        <xdr:to>
          <xdr:col>18</xdr:col>
          <xdr:colOff>9525</xdr:colOff>
          <xdr:row>36</xdr:row>
          <xdr:rowOff>219075</xdr:rowOff>
        </xdr:to>
        <xdr:sp macro="" textlink="">
          <xdr:nvSpPr>
            <xdr:cNvPr id="13318" name="Label4" hidden="1">
              <a:extLst>
                <a:ext uri="{63B3BB69-23CF-44E3-9099-C40C66FF867C}">
                  <a14:compatExt spid="_x0000_s13318"/>
                </a:ext>
                <a:ext uri="{FF2B5EF4-FFF2-40B4-BE49-F238E27FC236}">
                  <a16:creationId xmlns:a16="http://schemas.microsoft.com/office/drawing/2014/main" id="{00000000-0008-0000-0F00-000006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76200</xdr:colOff>
          <xdr:row>36</xdr:row>
          <xdr:rowOff>219075</xdr:rowOff>
        </xdr:from>
        <xdr:to>
          <xdr:col>18</xdr:col>
          <xdr:colOff>9525</xdr:colOff>
          <xdr:row>37</xdr:row>
          <xdr:rowOff>9525</xdr:rowOff>
        </xdr:to>
        <xdr:sp macro="" textlink="">
          <xdr:nvSpPr>
            <xdr:cNvPr id="13319" name="txt_chouki" hidden="1">
              <a:extLst>
                <a:ext uri="{63B3BB69-23CF-44E3-9099-C40C66FF867C}">
                  <a14:compatExt spid="_x0000_s13319"/>
                </a:ext>
                <a:ext uri="{FF2B5EF4-FFF2-40B4-BE49-F238E27FC236}">
                  <a16:creationId xmlns:a16="http://schemas.microsoft.com/office/drawing/2014/main" id="{00000000-0008-0000-0F00-000007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11</xdr:col>
      <xdr:colOff>47625</xdr:colOff>
      <xdr:row>11</xdr:row>
      <xdr:rowOff>4766</xdr:rowOff>
    </xdr:from>
    <xdr:to>
      <xdr:col>11</xdr:col>
      <xdr:colOff>1788583</xdr:colOff>
      <xdr:row>14</xdr:row>
      <xdr:rowOff>145841</xdr:rowOff>
    </xdr:to>
    <xdr:sp macro="" textlink="">
      <xdr:nvSpPr>
        <xdr:cNvPr id="2" name="大かっこ 1">
          <a:extLst>
            <a:ext uri="{FF2B5EF4-FFF2-40B4-BE49-F238E27FC236}">
              <a16:creationId xmlns:a16="http://schemas.microsoft.com/office/drawing/2014/main" id="{00000000-0008-0000-1000-000002000000}"/>
            </a:ext>
          </a:extLst>
        </xdr:cNvPr>
        <xdr:cNvSpPr/>
      </xdr:nvSpPr>
      <xdr:spPr>
        <a:xfrm>
          <a:off x="7667625" y="2109791"/>
          <a:ext cx="1740958"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57150</xdr:colOff>
      <xdr:row>11</xdr:row>
      <xdr:rowOff>3179</xdr:rowOff>
    </xdr:from>
    <xdr:to>
      <xdr:col>12</xdr:col>
      <xdr:colOff>1755322</xdr:colOff>
      <xdr:row>14</xdr:row>
      <xdr:rowOff>145229</xdr:rowOff>
    </xdr:to>
    <xdr:sp macro="" textlink="">
      <xdr:nvSpPr>
        <xdr:cNvPr id="3" name="大かっこ 2">
          <a:extLst>
            <a:ext uri="{FF2B5EF4-FFF2-40B4-BE49-F238E27FC236}">
              <a16:creationId xmlns:a16="http://schemas.microsoft.com/office/drawing/2014/main" id="{00000000-0008-0000-1000-000003000000}"/>
            </a:ext>
          </a:extLst>
        </xdr:cNvPr>
        <xdr:cNvSpPr/>
      </xdr:nvSpPr>
      <xdr:spPr>
        <a:xfrm>
          <a:off x="9515475" y="2108204"/>
          <a:ext cx="1698172"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建物等の取得のために取り崩した準備金の額を記入してください。</a:t>
          </a:r>
        </a:p>
      </xdr:txBody>
    </xdr:sp>
    <xdr:clientData/>
  </xdr:twoCellAnchor>
  <xdr:twoCellAnchor>
    <xdr:from>
      <xdr:col>18</xdr:col>
      <xdr:colOff>47625</xdr:colOff>
      <xdr:row>13</xdr:row>
      <xdr:rowOff>21167</xdr:rowOff>
    </xdr:from>
    <xdr:to>
      <xdr:col>18</xdr:col>
      <xdr:colOff>1555750</xdr:colOff>
      <xdr:row>14</xdr:row>
      <xdr:rowOff>137583</xdr:rowOff>
    </xdr:to>
    <xdr:sp macro="" textlink="">
      <xdr:nvSpPr>
        <xdr:cNvPr id="4" name="大かっこ 3">
          <a:extLst>
            <a:ext uri="{FF2B5EF4-FFF2-40B4-BE49-F238E27FC236}">
              <a16:creationId xmlns:a16="http://schemas.microsoft.com/office/drawing/2014/main" id="{00000000-0008-0000-1000-000004000000}"/>
            </a:ext>
          </a:extLst>
        </xdr:cNvPr>
        <xdr:cNvSpPr/>
      </xdr:nvSpPr>
      <xdr:spPr>
        <a:xfrm>
          <a:off x="15687675" y="2726267"/>
          <a:ext cx="1508125" cy="4783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売却金額、取り壊しの金額</a:t>
          </a:r>
        </a:p>
      </xdr:txBody>
    </xdr:sp>
    <xdr:clientData/>
  </xdr:twoCellAnchor>
  <xdr:twoCellAnchor>
    <xdr:from>
      <xdr:col>13</xdr:col>
      <xdr:colOff>47625</xdr:colOff>
      <xdr:row>11</xdr:row>
      <xdr:rowOff>0</xdr:rowOff>
    </xdr:from>
    <xdr:to>
      <xdr:col>13</xdr:col>
      <xdr:colOff>1566334</xdr:colOff>
      <xdr:row>14</xdr:row>
      <xdr:rowOff>142050</xdr:rowOff>
    </xdr:to>
    <xdr:sp macro="" textlink="">
      <xdr:nvSpPr>
        <xdr:cNvPr id="5" name="大かっこ 4">
          <a:extLst>
            <a:ext uri="{FF2B5EF4-FFF2-40B4-BE49-F238E27FC236}">
              <a16:creationId xmlns:a16="http://schemas.microsoft.com/office/drawing/2014/main" id="{00000000-0008-0000-1000-000005000000}"/>
            </a:ext>
          </a:extLst>
        </xdr:cNvPr>
        <xdr:cNvSpPr/>
      </xdr:nvSpPr>
      <xdr:spPr>
        <a:xfrm>
          <a:off x="11344275" y="2105025"/>
          <a:ext cx="1518709" cy="1104075"/>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当年の当該建物等の修繕費を記入してください。</a:t>
          </a:r>
        </a:p>
      </xdr:txBody>
    </xdr:sp>
    <xdr:clientData/>
  </xdr:twoCellAnchor>
  <xdr:twoCellAnchor>
    <xdr:from>
      <xdr:col>14</xdr:col>
      <xdr:colOff>66674</xdr:colOff>
      <xdr:row>11</xdr:row>
      <xdr:rowOff>9525</xdr:rowOff>
    </xdr:from>
    <xdr:to>
      <xdr:col>14</xdr:col>
      <xdr:colOff>1365249</xdr:colOff>
      <xdr:row>14</xdr:row>
      <xdr:rowOff>150600</xdr:rowOff>
    </xdr:to>
    <xdr:sp macro="" textlink="">
      <xdr:nvSpPr>
        <xdr:cNvPr id="6" name="大かっこ 5">
          <a:extLst>
            <a:ext uri="{FF2B5EF4-FFF2-40B4-BE49-F238E27FC236}">
              <a16:creationId xmlns:a16="http://schemas.microsoft.com/office/drawing/2014/main" id="{00000000-0008-0000-1000-000006000000}"/>
            </a:ext>
          </a:extLst>
        </xdr:cNvPr>
        <xdr:cNvSpPr/>
      </xdr:nvSpPr>
      <xdr:spPr>
        <a:xfrm>
          <a:off x="12992099" y="2114550"/>
          <a:ext cx="1298575" cy="11031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当年の当該建物等の災害保険料を記入してください。</a:t>
          </a:r>
        </a:p>
      </xdr:txBody>
    </xdr:sp>
    <xdr:clientData/>
  </xdr:twoCellAnchor>
  <xdr:twoCellAnchor>
    <xdr:from>
      <xdr:col>15</xdr:col>
      <xdr:colOff>361541</xdr:colOff>
      <xdr:row>4</xdr:row>
      <xdr:rowOff>7373</xdr:rowOff>
    </xdr:from>
    <xdr:to>
      <xdr:col>15</xdr:col>
      <xdr:colOff>361542</xdr:colOff>
      <xdr:row>7</xdr:row>
      <xdr:rowOff>146498</xdr:rowOff>
    </xdr:to>
    <xdr:cxnSp macro="">
      <xdr:nvCxnSpPr>
        <xdr:cNvPr id="7" name="直線矢印コネクタ 6">
          <a:extLst>
            <a:ext uri="{FF2B5EF4-FFF2-40B4-BE49-F238E27FC236}">
              <a16:creationId xmlns:a16="http://schemas.microsoft.com/office/drawing/2014/main" id="{00000000-0008-0000-1000-000007000000}"/>
            </a:ext>
          </a:extLst>
        </xdr:cNvPr>
        <xdr:cNvCxnSpPr/>
      </xdr:nvCxnSpPr>
      <xdr:spPr>
        <a:xfrm>
          <a:off x="14715716" y="731273"/>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153629</xdr:colOff>
      <xdr:row>6</xdr:row>
      <xdr:rowOff>133351</xdr:rowOff>
    </xdr:from>
    <xdr:to>
      <xdr:col>9</xdr:col>
      <xdr:colOff>583791</xdr:colOff>
      <xdr:row>7</xdr:row>
      <xdr:rowOff>171451</xdr:rowOff>
    </xdr:to>
    <xdr:grpSp>
      <xdr:nvGrpSpPr>
        <xdr:cNvPr id="8" name="グループ化 9">
          <a:extLst>
            <a:ext uri="{FF2B5EF4-FFF2-40B4-BE49-F238E27FC236}">
              <a16:creationId xmlns:a16="http://schemas.microsoft.com/office/drawing/2014/main" id="{00000000-0008-0000-1000-000008000000}"/>
            </a:ext>
          </a:extLst>
        </xdr:cNvPr>
        <xdr:cNvGrpSpPr>
          <a:grpSpLocks/>
        </xdr:cNvGrpSpPr>
      </xdr:nvGrpSpPr>
      <xdr:grpSpPr bwMode="auto">
        <a:xfrm rot="-5400000">
          <a:off x="6457566" y="901727"/>
          <a:ext cx="216693" cy="823068"/>
          <a:chOff x="4400545" y="6383925"/>
          <a:chExt cx="1171574" cy="333375"/>
        </a:xfrm>
      </xdr:grpSpPr>
      <xdr:cxnSp macro="">
        <xdr:nvCxnSpPr>
          <xdr:cNvPr id="9" name="直線矢印コネクタ 8">
            <a:extLst>
              <a:ext uri="{FF2B5EF4-FFF2-40B4-BE49-F238E27FC236}">
                <a16:creationId xmlns:a16="http://schemas.microsoft.com/office/drawing/2014/main" id="{00000000-0008-0000-1000-000009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0" name="直線コネクタ 9">
            <a:extLst>
              <a:ext uri="{FF2B5EF4-FFF2-40B4-BE49-F238E27FC236}">
                <a16:creationId xmlns:a16="http://schemas.microsoft.com/office/drawing/2014/main" id="{00000000-0008-0000-1000-00000A000000}"/>
              </a:ext>
            </a:extLst>
          </xdr:cNvPr>
          <xdr:cNvCxnSpPr/>
        </xdr:nvCxnSpPr>
        <xdr:spPr bwMode="auto">
          <a:xfrm flipV="1">
            <a:off x="5521189"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286980</xdr:colOff>
      <xdr:row>5</xdr:row>
      <xdr:rowOff>114300</xdr:rowOff>
    </xdr:from>
    <xdr:to>
      <xdr:col>12</xdr:col>
      <xdr:colOff>675968</xdr:colOff>
      <xdr:row>7</xdr:row>
      <xdr:rowOff>87975</xdr:rowOff>
    </xdr:to>
    <xdr:sp macro="" textlink="">
      <xdr:nvSpPr>
        <xdr:cNvPr id="11" name="角丸四角形 10">
          <a:extLst>
            <a:ext uri="{FF2B5EF4-FFF2-40B4-BE49-F238E27FC236}">
              <a16:creationId xmlns:a16="http://schemas.microsoft.com/office/drawing/2014/main" id="{00000000-0008-0000-1000-00000B000000}"/>
            </a:ext>
          </a:extLst>
        </xdr:cNvPr>
        <xdr:cNvSpPr/>
      </xdr:nvSpPr>
      <xdr:spPr>
        <a:xfrm>
          <a:off x="6287730" y="1019175"/>
          <a:ext cx="3846563" cy="33562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耐用年数は、中古で取得した場合のみ記入してください。</a:t>
          </a:r>
        </a:p>
      </xdr:txBody>
    </xdr:sp>
    <xdr:clientData/>
  </xdr:twoCellAnchor>
  <xdr:twoCellAnchor editAs="oneCell">
    <xdr:from>
      <xdr:col>16</xdr:col>
      <xdr:colOff>0</xdr:colOff>
      <xdr:row>4</xdr:row>
      <xdr:rowOff>81936</xdr:rowOff>
    </xdr:from>
    <xdr:to>
      <xdr:col>22</xdr:col>
      <xdr:colOff>3524</xdr:colOff>
      <xdr:row>8</xdr:row>
      <xdr:rowOff>872</xdr:rowOff>
    </xdr:to>
    <xdr:grpSp>
      <xdr:nvGrpSpPr>
        <xdr:cNvPr id="12" name="CommentNatsuue" hidden="1">
          <a:extLst>
            <a:ext uri="{FF2B5EF4-FFF2-40B4-BE49-F238E27FC236}">
              <a16:creationId xmlns:a16="http://schemas.microsoft.com/office/drawing/2014/main" id="{00000000-0008-0000-1000-00000C000000}"/>
            </a:ext>
          </a:extLst>
        </xdr:cNvPr>
        <xdr:cNvGrpSpPr/>
      </xdr:nvGrpSpPr>
      <xdr:grpSpPr>
        <a:xfrm>
          <a:off x="14942344" y="796311"/>
          <a:ext cx="3372993" cy="633311"/>
          <a:chOff x="14822130" y="789507"/>
          <a:chExt cx="3234549" cy="621065"/>
        </a:xfrm>
      </xdr:grpSpPr>
      <xdr:cxnSp macro="">
        <xdr:nvCxnSpPr>
          <xdr:cNvPr id="13" name="直線矢印コネクタ 12" hidden="1">
            <a:extLst>
              <a:ext uri="{FF2B5EF4-FFF2-40B4-BE49-F238E27FC236}">
                <a16:creationId xmlns:a16="http://schemas.microsoft.com/office/drawing/2014/main" id="{00000000-0008-0000-1000-00000D000000}"/>
              </a:ext>
            </a:extLst>
          </xdr:cNvPr>
          <xdr:cNvCxnSpPr/>
        </xdr:nvCxnSpPr>
        <xdr:spPr bwMode="auto">
          <a:xfrm rot="16200000" flipH="1">
            <a:off x="14668678" y="1253526"/>
            <a:ext cx="314092"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4" name="直線コネクタ 13" hidden="1">
            <a:extLst>
              <a:ext uri="{FF2B5EF4-FFF2-40B4-BE49-F238E27FC236}">
                <a16:creationId xmlns:a16="http://schemas.microsoft.com/office/drawing/2014/main" id="{00000000-0008-0000-1000-00000E000000}"/>
              </a:ext>
            </a:extLst>
          </xdr:cNvPr>
          <xdr:cNvCxnSpPr/>
        </xdr:nvCxnSpPr>
        <xdr:spPr bwMode="auto">
          <a:xfrm flipH="1" flipV="1">
            <a:off x="14822130" y="1093965"/>
            <a:ext cx="3071264" cy="251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5" name="角丸四角形 68" hidden="1">
            <a:extLst>
              <a:ext uri="{FF2B5EF4-FFF2-40B4-BE49-F238E27FC236}">
                <a16:creationId xmlns:a16="http://schemas.microsoft.com/office/drawing/2014/main" id="{00000000-0008-0000-1000-00000F000000}"/>
              </a:ext>
            </a:extLst>
          </xdr:cNvPr>
          <xdr:cNvSpPr/>
        </xdr:nvSpPr>
        <xdr:spPr>
          <a:xfrm>
            <a:off x="14932667" y="789507"/>
            <a:ext cx="3124012" cy="57353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13</xdr:col>
      <xdr:colOff>800714</xdr:colOff>
      <xdr:row>4</xdr:row>
      <xdr:rowOff>16386</xdr:rowOff>
    </xdr:from>
    <xdr:to>
      <xdr:col>13</xdr:col>
      <xdr:colOff>800715</xdr:colOff>
      <xdr:row>7</xdr:row>
      <xdr:rowOff>155511</xdr:rowOff>
    </xdr:to>
    <xdr:cxnSp macro="">
      <xdr:nvCxnSpPr>
        <xdr:cNvPr id="16" name="直線矢印コネクタ 15">
          <a:extLst>
            <a:ext uri="{FF2B5EF4-FFF2-40B4-BE49-F238E27FC236}">
              <a16:creationId xmlns:a16="http://schemas.microsoft.com/office/drawing/2014/main" id="{00000000-0008-0000-1000-000010000000}"/>
            </a:ext>
          </a:extLst>
        </xdr:cNvPr>
        <xdr:cNvCxnSpPr/>
      </xdr:nvCxnSpPr>
      <xdr:spPr>
        <a:xfrm>
          <a:off x="12097364" y="740286"/>
          <a:ext cx="1" cy="68205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762000</xdr:colOff>
      <xdr:row>0</xdr:row>
      <xdr:rowOff>95968</xdr:rowOff>
    </xdr:from>
    <xdr:to>
      <xdr:col>14</xdr:col>
      <xdr:colOff>830035</xdr:colOff>
      <xdr:row>7</xdr:row>
      <xdr:rowOff>4275</xdr:rowOff>
    </xdr:to>
    <xdr:sp macro="" textlink="">
      <xdr:nvSpPr>
        <xdr:cNvPr id="17" name="角丸四角形 16">
          <a:extLst>
            <a:ext uri="{FF2B5EF4-FFF2-40B4-BE49-F238E27FC236}">
              <a16:creationId xmlns:a16="http://schemas.microsoft.com/office/drawing/2014/main" id="{00000000-0008-0000-1000-000011000000}"/>
            </a:ext>
          </a:extLst>
        </xdr:cNvPr>
        <xdr:cNvSpPr/>
      </xdr:nvSpPr>
      <xdr:spPr>
        <a:xfrm>
          <a:off x="10220325" y="95968"/>
          <a:ext cx="3535135" cy="117513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・倉庫の屋根の修理、壁の塗り替え費用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・育苗ハウスのビニールの張り替え費用</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・建物の電灯や電球の交換費用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・防風網や支柱の修繕費用　など</a:t>
          </a:r>
        </a:p>
      </xdr:txBody>
    </xdr:sp>
    <xdr:clientData/>
  </xdr:twoCellAnchor>
  <xdr:twoCellAnchor editAs="oneCell">
    <xdr:from>
      <xdr:col>3</xdr:col>
      <xdr:colOff>143387</xdr:colOff>
      <xdr:row>116</xdr:row>
      <xdr:rowOff>174114</xdr:rowOff>
    </xdr:from>
    <xdr:to>
      <xdr:col>4</xdr:col>
      <xdr:colOff>962537</xdr:colOff>
      <xdr:row>128</xdr:row>
      <xdr:rowOff>3721</xdr:rowOff>
    </xdr:to>
    <xdr:pic>
      <xdr:nvPicPr>
        <xdr:cNvPr id="18" name="図 17">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362" y="9508614"/>
          <a:ext cx="2828925" cy="2001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40967</xdr:colOff>
      <xdr:row>116</xdr:row>
      <xdr:rowOff>175166</xdr:rowOff>
    </xdr:from>
    <xdr:to>
      <xdr:col>11</xdr:col>
      <xdr:colOff>553999</xdr:colOff>
      <xdr:row>128</xdr:row>
      <xdr:rowOff>4841</xdr:rowOff>
    </xdr:to>
    <xdr:pic>
      <xdr:nvPicPr>
        <xdr:cNvPr id="19" name="図 18">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3779530" y="9473947"/>
          <a:ext cx="4394469" cy="1972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594032</xdr:colOff>
      <xdr:row>117</xdr:row>
      <xdr:rowOff>10242</xdr:rowOff>
    </xdr:from>
    <xdr:to>
      <xdr:col>18</xdr:col>
      <xdr:colOff>588978</xdr:colOff>
      <xdr:row>121</xdr:row>
      <xdr:rowOff>19766</xdr:rowOff>
    </xdr:to>
    <xdr:pic>
      <xdr:nvPicPr>
        <xdr:cNvPr id="20" name="図 19">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54250" y="9525717"/>
          <a:ext cx="1274778" cy="733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17</xdr:col>
      <xdr:colOff>307258</xdr:colOff>
      <xdr:row>115</xdr:row>
      <xdr:rowOff>10242</xdr:rowOff>
    </xdr:from>
    <xdr:to>
      <xdr:col>17</xdr:col>
      <xdr:colOff>307258</xdr:colOff>
      <xdr:row>117</xdr:row>
      <xdr:rowOff>4997</xdr:rowOff>
    </xdr:to>
    <xdr:cxnSp macro="">
      <xdr:nvCxnSpPr>
        <xdr:cNvPr id="21" name="直線矢印コネクタ 20">
          <a:extLst>
            <a:ext uri="{FF2B5EF4-FFF2-40B4-BE49-F238E27FC236}">
              <a16:creationId xmlns:a16="http://schemas.microsoft.com/office/drawing/2014/main" id="{00000000-0008-0000-1000-000015000000}"/>
            </a:ext>
          </a:extLst>
        </xdr:cNvPr>
        <xdr:cNvCxnSpPr/>
      </xdr:nvCxnSpPr>
      <xdr:spPr bwMode="auto">
        <a:xfrm flipV="1">
          <a:off x="15261508" y="9163767"/>
          <a:ext cx="0" cy="356705"/>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706693</xdr:colOff>
      <xdr:row>114</xdr:row>
      <xdr:rowOff>358469</xdr:rowOff>
    </xdr:from>
    <xdr:to>
      <xdr:col>5</xdr:col>
      <xdr:colOff>706693</xdr:colOff>
      <xdr:row>116</xdr:row>
      <xdr:rowOff>158843</xdr:rowOff>
    </xdr:to>
    <xdr:cxnSp macro="">
      <xdr:nvCxnSpPr>
        <xdr:cNvPr id="22" name="直線矢印コネクタ 21">
          <a:extLst>
            <a:ext uri="{FF2B5EF4-FFF2-40B4-BE49-F238E27FC236}">
              <a16:creationId xmlns:a16="http://schemas.microsoft.com/office/drawing/2014/main" id="{00000000-0008-0000-1000-000016000000}"/>
            </a:ext>
          </a:extLst>
        </xdr:cNvPr>
        <xdr:cNvCxnSpPr/>
      </xdr:nvCxnSpPr>
      <xdr:spPr>
        <a:xfrm flipV="1">
          <a:off x="4430968" y="9153525"/>
          <a:ext cx="0" cy="339818"/>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481371</xdr:colOff>
      <xdr:row>114</xdr:row>
      <xdr:rowOff>368711</xdr:rowOff>
    </xdr:from>
    <xdr:to>
      <xdr:col>4</xdr:col>
      <xdr:colOff>481371</xdr:colOff>
      <xdr:row>116</xdr:row>
      <xdr:rowOff>169085</xdr:rowOff>
    </xdr:to>
    <xdr:cxnSp macro="">
      <xdr:nvCxnSpPr>
        <xdr:cNvPr id="23" name="直線矢印コネクタ 22">
          <a:extLst>
            <a:ext uri="{FF2B5EF4-FFF2-40B4-BE49-F238E27FC236}">
              <a16:creationId xmlns:a16="http://schemas.microsoft.com/office/drawing/2014/main" id="{00000000-0008-0000-1000-000017000000}"/>
            </a:ext>
          </a:extLst>
        </xdr:cNvPr>
        <xdr:cNvCxnSpPr/>
      </xdr:nvCxnSpPr>
      <xdr:spPr>
        <a:xfrm flipV="1">
          <a:off x="3053121" y="9153525"/>
          <a:ext cx="0" cy="35006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914401</xdr:colOff>
      <xdr:row>0</xdr:row>
      <xdr:rowOff>74125</xdr:rowOff>
    </xdr:from>
    <xdr:to>
      <xdr:col>19</xdr:col>
      <xdr:colOff>150182</xdr:colOff>
      <xdr:row>5</xdr:row>
      <xdr:rowOff>68036</xdr:rowOff>
    </xdr:to>
    <xdr:sp macro="" textlink="">
      <xdr:nvSpPr>
        <xdr:cNvPr id="24" name="CommentWariai_NatsuueIgai">
          <a:extLst>
            <a:ext uri="{FF2B5EF4-FFF2-40B4-BE49-F238E27FC236}">
              <a16:creationId xmlns:a16="http://schemas.microsoft.com/office/drawing/2014/main" id="{00000000-0008-0000-1000-000018000000}"/>
            </a:ext>
          </a:extLst>
        </xdr:cNvPr>
        <xdr:cNvSpPr/>
      </xdr:nvSpPr>
      <xdr:spPr>
        <a:xfrm>
          <a:off x="13839826" y="74125"/>
          <a:ext cx="3569656" cy="898786"/>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xdr:twoCellAnchor editAs="oneCell">
    <xdr:from>
      <xdr:col>14</xdr:col>
      <xdr:colOff>938892</xdr:colOff>
      <xdr:row>0</xdr:row>
      <xdr:rowOff>85009</xdr:rowOff>
    </xdr:from>
    <xdr:to>
      <xdr:col>22</xdr:col>
      <xdr:colOff>1396</xdr:colOff>
      <xdr:row>4</xdr:row>
      <xdr:rowOff>27216</xdr:rowOff>
    </xdr:to>
    <xdr:sp macro="" textlink="">
      <xdr:nvSpPr>
        <xdr:cNvPr id="25" name="CommentWariai_Natsuue" hidden="1">
          <a:extLst>
            <a:ext uri="{FF2B5EF4-FFF2-40B4-BE49-F238E27FC236}">
              <a16:creationId xmlns:a16="http://schemas.microsoft.com/office/drawing/2014/main" id="{00000000-0008-0000-1000-000019000000}"/>
            </a:ext>
          </a:extLst>
        </xdr:cNvPr>
        <xdr:cNvSpPr/>
      </xdr:nvSpPr>
      <xdr:spPr>
        <a:xfrm>
          <a:off x="13864317" y="85009"/>
          <a:ext cx="4438414" cy="66610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t"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0</xdr:row>
          <xdr:rowOff>142875</xdr:rowOff>
        </xdr:from>
        <xdr:to>
          <xdr:col>11</xdr:col>
          <xdr:colOff>476250</xdr:colOff>
          <xdr:row>1</xdr:row>
          <xdr:rowOff>161925</xdr:rowOff>
        </xdr:to>
        <xdr:sp macro="" textlink="">
          <xdr:nvSpPr>
            <xdr:cNvPr id="14337" name="Label1" hidden="1">
              <a:extLst>
                <a:ext uri="{63B3BB69-23CF-44E3-9099-C40C66FF867C}">
                  <a14:compatExt spid="_x0000_s14337"/>
                </a:ext>
                <a:ext uri="{FF2B5EF4-FFF2-40B4-BE49-F238E27FC236}">
                  <a16:creationId xmlns:a16="http://schemas.microsoft.com/office/drawing/2014/main" id="{00000000-0008-0000-10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xdr:row>
          <xdr:rowOff>161925</xdr:rowOff>
        </xdr:from>
        <xdr:to>
          <xdr:col>11</xdr:col>
          <xdr:colOff>476250</xdr:colOff>
          <xdr:row>3</xdr:row>
          <xdr:rowOff>19050</xdr:rowOff>
        </xdr:to>
        <xdr:sp macro="" textlink="">
          <xdr:nvSpPr>
            <xdr:cNvPr id="14338" name="txt_hyouji" hidden="1">
              <a:extLst>
                <a:ext uri="{63B3BB69-23CF-44E3-9099-C40C66FF867C}">
                  <a14:compatExt spid="_x0000_s14338"/>
                </a:ext>
                <a:ext uri="{FF2B5EF4-FFF2-40B4-BE49-F238E27FC236}">
                  <a16:creationId xmlns:a16="http://schemas.microsoft.com/office/drawing/2014/main" id="{00000000-0008-0000-1000-000002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523875</xdr:colOff>
          <xdr:row>0</xdr:row>
          <xdr:rowOff>142875</xdr:rowOff>
        </xdr:from>
        <xdr:to>
          <xdr:col>11</xdr:col>
          <xdr:colOff>1790700</xdr:colOff>
          <xdr:row>3</xdr:row>
          <xdr:rowOff>19050</xdr:rowOff>
        </xdr:to>
        <xdr:sp macro="" textlink="">
          <xdr:nvSpPr>
            <xdr:cNvPr id="14339" name="btnKoushin1" hidden="1">
              <a:extLst>
                <a:ext uri="{63B3BB69-23CF-44E3-9099-C40C66FF867C}">
                  <a14:compatExt spid="_x0000_s14339"/>
                </a:ext>
                <a:ext uri="{FF2B5EF4-FFF2-40B4-BE49-F238E27FC236}">
                  <a16:creationId xmlns:a16="http://schemas.microsoft.com/office/drawing/2014/main" id="{00000000-0008-0000-10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11</xdr:col>
      <xdr:colOff>66675</xdr:colOff>
      <xdr:row>13</xdr:row>
      <xdr:rowOff>0</xdr:rowOff>
    </xdr:from>
    <xdr:to>
      <xdr:col>11</xdr:col>
      <xdr:colOff>1355912</xdr:colOff>
      <xdr:row>16</xdr:row>
      <xdr:rowOff>141075</xdr:rowOff>
    </xdr:to>
    <xdr:sp macro="" textlink="">
      <xdr:nvSpPr>
        <xdr:cNvPr id="2" name="大かっこ 1">
          <a:extLst>
            <a:ext uri="{FF2B5EF4-FFF2-40B4-BE49-F238E27FC236}">
              <a16:creationId xmlns:a16="http://schemas.microsoft.com/office/drawing/2014/main" id="{00000000-0008-0000-1100-000002000000}"/>
            </a:ext>
          </a:extLst>
        </xdr:cNvPr>
        <xdr:cNvSpPr/>
      </xdr:nvSpPr>
      <xdr:spPr>
        <a:xfrm>
          <a:off x="6943725" y="2352675"/>
          <a:ext cx="128923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20</xdr:col>
      <xdr:colOff>78441</xdr:colOff>
      <xdr:row>13</xdr:row>
      <xdr:rowOff>177053</xdr:rowOff>
    </xdr:from>
    <xdr:to>
      <xdr:col>20</xdr:col>
      <xdr:colOff>1333500</xdr:colOff>
      <xdr:row>16</xdr:row>
      <xdr:rowOff>212912</xdr:rowOff>
    </xdr:to>
    <xdr:sp macro="" textlink="">
      <xdr:nvSpPr>
        <xdr:cNvPr id="3" name="大かっこ 2">
          <a:extLst>
            <a:ext uri="{FF2B5EF4-FFF2-40B4-BE49-F238E27FC236}">
              <a16:creationId xmlns:a16="http://schemas.microsoft.com/office/drawing/2014/main" id="{00000000-0008-0000-1100-000003000000}"/>
            </a:ext>
          </a:extLst>
        </xdr:cNvPr>
        <xdr:cNvSpPr/>
      </xdr:nvSpPr>
      <xdr:spPr>
        <a:xfrm>
          <a:off x="15966141" y="2529728"/>
          <a:ext cx="1255059" cy="578784"/>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12</xdr:col>
      <xdr:colOff>57151</xdr:colOff>
      <xdr:row>13</xdr:row>
      <xdr:rowOff>9525</xdr:rowOff>
    </xdr:from>
    <xdr:to>
      <xdr:col>12</xdr:col>
      <xdr:colOff>1176618</xdr:colOff>
      <xdr:row>16</xdr:row>
      <xdr:rowOff>150600</xdr:rowOff>
    </xdr:to>
    <xdr:sp macro="" textlink="">
      <xdr:nvSpPr>
        <xdr:cNvPr id="4" name="大かっこ 3">
          <a:extLst>
            <a:ext uri="{FF2B5EF4-FFF2-40B4-BE49-F238E27FC236}">
              <a16:creationId xmlns:a16="http://schemas.microsoft.com/office/drawing/2014/main" id="{00000000-0008-0000-1100-000004000000}"/>
            </a:ext>
          </a:extLst>
        </xdr:cNvPr>
        <xdr:cNvSpPr/>
      </xdr:nvSpPr>
      <xdr:spPr>
        <a:xfrm>
          <a:off x="8543926" y="2362200"/>
          <a:ext cx="1119467" cy="68400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当年の当該自動車等の修繕費を記入してください。</a:t>
          </a:r>
        </a:p>
      </xdr:txBody>
    </xdr:sp>
    <xdr:clientData/>
  </xdr:twoCellAnchor>
  <xdr:twoCellAnchor>
    <xdr:from>
      <xdr:col>13</xdr:col>
      <xdr:colOff>56029</xdr:colOff>
      <xdr:row>13</xdr:row>
      <xdr:rowOff>1679</xdr:rowOff>
    </xdr:from>
    <xdr:to>
      <xdr:col>13</xdr:col>
      <xdr:colOff>1019736</xdr:colOff>
      <xdr:row>16</xdr:row>
      <xdr:rowOff>141074</xdr:rowOff>
    </xdr:to>
    <xdr:sp macro="" textlink="">
      <xdr:nvSpPr>
        <xdr:cNvPr id="5" name="大かっこ 4">
          <a:extLst>
            <a:ext uri="{FF2B5EF4-FFF2-40B4-BE49-F238E27FC236}">
              <a16:creationId xmlns:a16="http://schemas.microsoft.com/office/drawing/2014/main" id="{00000000-0008-0000-1100-000005000000}"/>
            </a:ext>
          </a:extLst>
        </xdr:cNvPr>
        <xdr:cNvSpPr/>
      </xdr:nvSpPr>
      <xdr:spPr>
        <a:xfrm>
          <a:off x="9942979" y="2354354"/>
          <a:ext cx="963707" cy="68232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当年の当該自動車等の保険料を記入してください。</a:t>
          </a:r>
        </a:p>
      </xdr:txBody>
    </xdr:sp>
    <xdr:clientData/>
  </xdr:twoCellAnchor>
  <xdr:twoCellAnchor>
    <xdr:from>
      <xdr:col>12</xdr:col>
      <xdr:colOff>687480</xdr:colOff>
      <xdr:row>7</xdr:row>
      <xdr:rowOff>17368</xdr:rowOff>
    </xdr:from>
    <xdr:to>
      <xdr:col>12</xdr:col>
      <xdr:colOff>687481</xdr:colOff>
      <xdr:row>9</xdr:row>
      <xdr:rowOff>159418</xdr:rowOff>
    </xdr:to>
    <xdr:cxnSp macro="">
      <xdr:nvCxnSpPr>
        <xdr:cNvPr id="6" name="直線矢印コネクタ 5">
          <a:extLst>
            <a:ext uri="{FF2B5EF4-FFF2-40B4-BE49-F238E27FC236}">
              <a16:creationId xmlns:a16="http://schemas.microsoft.com/office/drawing/2014/main" id="{00000000-0008-0000-1100-000006000000}"/>
            </a:ext>
          </a:extLst>
        </xdr:cNvPr>
        <xdr:cNvCxnSpPr/>
      </xdr:nvCxnSpPr>
      <xdr:spPr>
        <a:xfrm>
          <a:off x="9174255" y="1284193"/>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1510393</xdr:colOff>
      <xdr:row>0</xdr:row>
      <xdr:rowOff>54429</xdr:rowOff>
    </xdr:from>
    <xdr:to>
      <xdr:col>14</xdr:col>
      <xdr:colOff>201706</xdr:colOff>
      <xdr:row>7</xdr:row>
      <xdr:rowOff>173418</xdr:rowOff>
    </xdr:to>
    <xdr:sp macro="" textlink="">
      <xdr:nvSpPr>
        <xdr:cNvPr id="7" name="角丸四角形 6">
          <a:extLst>
            <a:ext uri="{FF2B5EF4-FFF2-40B4-BE49-F238E27FC236}">
              <a16:creationId xmlns:a16="http://schemas.microsoft.com/office/drawing/2014/main" id="{00000000-0008-0000-1100-000007000000}"/>
            </a:ext>
          </a:extLst>
        </xdr:cNvPr>
        <xdr:cNvSpPr/>
      </xdr:nvSpPr>
      <xdr:spPr>
        <a:xfrm>
          <a:off x="8387443" y="54429"/>
          <a:ext cx="2929938" cy="1385814"/>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72000" tIns="0" rIns="72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・自動車（バイクを含む。）の修繕や整備費用、部品代、車検料のうち整備費用、自動車付属品</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・バッテリー・補充液</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・洗車代、リサイクル料金　など</a:t>
          </a:r>
        </a:p>
      </xdr:txBody>
    </xdr:sp>
    <xdr:clientData/>
  </xdr:twoCellAnchor>
  <xdr:twoCellAnchor>
    <xdr:from>
      <xdr:col>17</xdr:col>
      <xdr:colOff>317687</xdr:colOff>
      <xdr:row>6</xdr:row>
      <xdr:rowOff>3362</xdr:rowOff>
    </xdr:from>
    <xdr:to>
      <xdr:col>17</xdr:col>
      <xdr:colOff>317687</xdr:colOff>
      <xdr:row>10</xdr:row>
      <xdr:rowOff>11206</xdr:rowOff>
    </xdr:to>
    <xdr:cxnSp macro="">
      <xdr:nvCxnSpPr>
        <xdr:cNvPr id="8" name="直線矢印コネクタ 7">
          <a:extLst>
            <a:ext uri="{FF2B5EF4-FFF2-40B4-BE49-F238E27FC236}">
              <a16:creationId xmlns:a16="http://schemas.microsoft.com/office/drawing/2014/main" id="{00000000-0008-0000-1100-000008000000}"/>
            </a:ext>
          </a:extLst>
        </xdr:cNvPr>
        <xdr:cNvCxnSpPr/>
      </xdr:nvCxnSpPr>
      <xdr:spPr bwMode="auto">
        <a:xfrm>
          <a:off x="14662337" y="1089212"/>
          <a:ext cx="0" cy="731744"/>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462642</xdr:colOff>
      <xdr:row>3</xdr:row>
      <xdr:rowOff>108857</xdr:rowOff>
    </xdr:from>
    <xdr:to>
      <xdr:col>18</xdr:col>
      <xdr:colOff>869156</xdr:colOff>
      <xdr:row>8</xdr:row>
      <xdr:rowOff>103159</xdr:rowOff>
    </xdr:to>
    <xdr:sp macro="" textlink="">
      <xdr:nvSpPr>
        <xdr:cNvPr id="9" name="角丸四角形 8">
          <a:extLst>
            <a:ext uri="{FF2B5EF4-FFF2-40B4-BE49-F238E27FC236}">
              <a16:creationId xmlns:a16="http://schemas.microsoft.com/office/drawing/2014/main" id="{00000000-0008-0000-1100-000009000000}"/>
            </a:ext>
          </a:extLst>
        </xdr:cNvPr>
        <xdr:cNvSpPr/>
      </xdr:nvSpPr>
      <xdr:spPr>
        <a:xfrm>
          <a:off x="11578317" y="651782"/>
          <a:ext cx="3385458" cy="899177"/>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（％）としてください。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・対象品目以外の作物へ共通して使用した場合には、使用時間割合を目安に記入してください。</a:t>
          </a:r>
        </a:p>
      </xdr:txBody>
    </xdr:sp>
    <xdr:clientData/>
  </xdr:twoCellAnchor>
  <xdr:twoCellAnchor>
    <xdr:from>
      <xdr:col>13</xdr:col>
      <xdr:colOff>628074</xdr:colOff>
      <xdr:row>8</xdr:row>
      <xdr:rowOff>136871</xdr:rowOff>
    </xdr:from>
    <xdr:to>
      <xdr:col>13</xdr:col>
      <xdr:colOff>628074</xdr:colOff>
      <xdr:row>10</xdr:row>
      <xdr:rowOff>0</xdr:rowOff>
    </xdr:to>
    <xdr:cxnSp macro="">
      <xdr:nvCxnSpPr>
        <xdr:cNvPr id="10" name="直線矢印コネクタ 9">
          <a:extLst>
            <a:ext uri="{FF2B5EF4-FFF2-40B4-BE49-F238E27FC236}">
              <a16:creationId xmlns:a16="http://schemas.microsoft.com/office/drawing/2014/main" id="{00000000-0008-0000-1100-00000A000000}"/>
            </a:ext>
          </a:extLst>
        </xdr:cNvPr>
        <xdr:cNvCxnSpPr/>
      </xdr:nvCxnSpPr>
      <xdr:spPr bwMode="auto">
        <a:xfrm>
          <a:off x="10515024" y="1584671"/>
          <a:ext cx="0" cy="225079"/>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616326</xdr:colOff>
      <xdr:row>8</xdr:row>
      <xdr:rowOff>136871</xdr:rowOff>
    </xdr:from>
    <xdr:to>
      <xdr:col>14</xdr:col>
      <xdr:colOff>381000</xdr:colOff>
      <xdr:row>8</xdr:row>
      <xdr:rowOff>136871</xdr:rowOff>
    </xdr:to>
    <xdr:cxnSp macro="">
      <xdr:nvCxnSpPr>
        <xdr:cNvPr id="11" name="直線矢印コネクタ 10">
          <a:extLst>
            <a:ext uri="{FF2B5EF4-FFF2-40B4-BE49-F238E27FC236}">
              <a16:creationId xmlns:a16="http://schemas.microsoft.com/office/drawing/2014/main" id="{00000000-0008-0000-1100-00000B000000}"/>
            </a:ext>
          </a:extLst>
        </xdr:cNvPr>
        <xdr:cNvCxnSpPr/>
      </xdr:nvCxnSpPr>
      <xdr:spPr bwMode="auto">
        <a:xfrm flipH="1">
          <a:off x="10503276" y="1584671"/>
          <a:ext cx="993399" cy="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369252</xdr:colOff>
      <xdr:row>2</xdr:row>
      <xdr:rowOff>108857</xdr:rowOff>
    </xdr:from>
    <xdr:to>
      <xdr:col>14</xdr:col>
      <xdr:colOff>369252</xdr:colOff>
      <xdr:row>8</xdr:row>
      <xdr:rowOff>136071</xdr:rowOff>
    </xdr:to>
    <xdr:cxnSp macro="">
      <xdr:nvCxnSpPr>
        <xdr:cNvPr id="12" name="直線矢印コネクタ 11">
          <a:extLst>
            <a:ext uri="{FF2B5EF4-FFF2-40B4-BE49-F238E27FC236}">
              <a16:creationId xmlns:a16="http://schemas.microsoft.com/office/drawing/2014/main" id="{00000000-0008-0000-1100-00000C000000}"/>
            </a:ext>
          </a:extLst>
        </xdr:cNvPr>
        <xdr:cNvCxnSpPr/>
      </xdr:nvCxnSpPr>
      <xdr:spPr bwMode="auto">
        <a:xfrm>
          <a:off x="11484927" y="470807"/>
          <a:ext cx="0" cy="1113064"/>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262214</xdr:colOff>
      <xdr:row>0</xdr:row>
      <xdr:rowOff>149680</xdr:rowOff>
    </xdr:from>
    <xdr:to>
      <xdr:col>20</xdr:col>
      <xdr:colOff>680357</xdr:colOff>
      <xdr:row>2</xdr:row>
      <xdr:rowOff>149678</xdr:rowOff>
    </xdr:to>
    <xdr:sp macro="" textlink="">
      <xdr:nvSpPr>
        <xdr:cNvPr id="13" name="角丸四角形 12">
          <a:extLst>
            <a:ext uri="{FF2B5EF4-FFF2-40B4-BE49-F238E27FC236}">
              <a16:creationId xmlns:a16="http://schemas.microsoft.com/office/drawing/2014/main" id="{00000000-0008-0000-1100-00000D000000}"/>
            </a:ext>
          </a:extLst>
        </xdr:cNvPr>
        <xdr:cNvSpPr/>
      </xdr:nvSpPr>
      <xdr:spPr>
        <a:xfrm>
          <a:off x="11377889" y="149680"/>
          <a:ext cx="5190168" cy="36194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自動車保険料には、任意保険（車両分を含む。）の掛金を記入してください。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14</xdr:col>
      <xdr:colOff>56030</xdr:colOff>
      <xdr:row>13</xdr:row>
      <xdr:rowOff>0</xdr:rowOff>
    </xdr:from>
    <xdr:to>
      <xdr:col>14</xdr:col>
      <xdr:colOff>997324</xdr:colOff>
      <xdr:row>16</xdr:row>
      <xdr:rowOff>268941</xdr:rowOff>
    </xdr:to>
    <xdr:sp macro="" textlink="">
      <xdr:nvSpPr>
        <xdr:cNvPr id="14" name="大かっこ 13">
          <a:extLst>
            <a:ext uri="{FF2B5EF4-FFF2-40B4-BE49-F238E27FC236}">
              <a16:creationId xmlns:a16="http://schemas.microsoft.com/office/drawing/2014/main" id="{00000000-0008-0000-1100-00000E000000}"/>
            </a:ext>
          </a:extLst>
        </xdr:cNvPr>
        <xdr:cNvSpPr/>
      </xdr:nvSpPr>
      <xdr:spPr>
        <a:xfrm>
          <a:off x="11171705" y="2352675"/>
          <a:ext cx="941294" cy="811866"/>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当年の当該自動車等の自動車税又は軽自動車税を記入してください。</a:t>
          </a:r>
        </a:p>
      </xdr:txBody>
    </xdr:sp>
    <xdr:clientData/>
  </xdr:twoCellAnchor>
  <xdr:twoCellAnchor>
    <xdr:from>
      <xdr:col>8</xdr:col>
      <xdr:colOff>201705</xdr:colOff>
      <xdr:row>7</xdr:row>
      <xdr:rowOff>160246</xdr:rowOff>
    </xdr:from>
    <xdr:to>
      <xdr:col>9</xdr:col>
      <xdr:colOff>38100</xdr:colOff>
      <xdr:row>9</xdr:row>
      <xdr:rowOff>160246</xdr:rowOff>
    </xdr:to>
    <xdr:grpSp>
      <xdr:nvGrpSpPr>
        <xdr:cNvPr id="15" name="グループ化 9">
          <a:extLst>
            <a:ext uri="{FF2B5EF4-FFF2-40B4-BE49-F238E27FC236}">
              <a16:creationId xmlns:a16="http://schemas.microsoft.com/office/drawing/2014/main" id="{00000000-0008-0000-1100-00000F000000}"/>
            </a:ext>
          </a:extLst>
        </xdr:cNvPr>
        <xdr:cNvGrpSpPr>
          <a:grpSpLocks/>
        </xdr:cNvGrpSpPr>
      </xdr:nvGrpSpPr>
      <xdr:grpSpPr bwMode="auto">
        <a:xfrm rot="-5400000">
          <a:off x="5433492" y="1459888"/>
          <a:ext cx="353786" cy="231002"/>
          <a:chOff x="4400545" y="6383925"/>
          <a:chExt cx="1171574" cy="333375"/>
        </a:xfrm>
      </xdr:grpSpPr>
      <xdr:cxnSp macro="">
        <xdr:nvCxnSpPr>
          <xdr:cNvPr id="16" name="直線矢印コネクタ 15">
            <a:extLst>
              <a:ext uri="{FF2B5EF4-FFF2-40B4-BE49-F238E27FC236}">
                <a16:creationId xmlns:a16="http://schemas.microsoft.com/office/drawing/2014/main" id="{00000000-0008-0000-1100-000010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 name="直線コネクタ 16">
            <a:extLst>
              <a:ext uri="{FF2B5EF4-FFF2-40B4-BE49-F238E27FC236}">
                <a16:creationId xmlns:a16="http://schemas.microsoft.com/office/drawing/2014/main" id="{00000000-0008-0000-1100-000011000000}"/>
              </a:ext>
            </a:extLst>
          </xdr:cNvPr>
          <xdr:cNvCxnSpPr/>
        </xdr:nvCxnSpPr>
        <xdr:spPr bwMode="auto">
          <a:xfrm flipV="1">
            <a:off x="5522527"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8</xdr:col>
      <xdr:colOff>310562</xdr:colOff>
      <xdr:row>5</xdr:row>
      <xdr:rowOff>136073</xdr:rowOff>
    </xdr:from>
    <xdr:to>
      <xdr:col>11</xdr:col>
      <xdr:colOff>1442357</xdr:colOff>
      <xdr:row>9</xdr:row>
      <xdr:rowOff>76771</xdr:rowOff>
    </xdr:to>
    <xdr:sp macro="" textlink="">
      <xdr:nvSpPr>
        <xdr:cNvPr id="18" name="角丸四角形 17">
          <a:extLst>
            <a:ext uri="{FF2B5EF4-FFF2-40B4-BE49-F238E27FC236}">
              <a16:creationId xmlns:a16="http://schemas.microsoft.com/office/drawing/2014/main" id="{00000000-0008-0000-1100-000012000000}"/>
            </a:ext>
          </a:extLst>
        </xdr:cNvPr>
        <xdr:cNvSpPr/>
      </xdr:nvSpPr>
      <xdr:spPr>
        <a:xfrm>
          <a:off x="5596937" y="1040948"/>
          <a:ext cx="2722470" cy="664598"/>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18</xdr:col>
      <xdr:colOff>0</xdr:colOff>
      <xdr:row>5</xdr:row>
      <xdr:rowOff>59531</xdr:rowOff>
    </xdr:from>
    <xdr:to>
      <xdr:col>21</xdr:col>
      <xdr:colOff>22412</xdr:colOff>
      <xdr:row>9</xdr:row>
      <xdr:rowOff>171237</xdr:rowOff>
    </xdr:to>
    <xdr:grpSp>
      <xdr:nvGrpSpPr>
        <xdr:cNvPr id="19" name="CommentNatsuue" hidden="1">
          <a:extLst>
            <a:ext uri="{FF2B5EF4-FFF2-40B4-BE49-F238E27FC236}">
              <a16:creationId xmlns:a16="http://schemas.microsoft.com/office/drawing/2014/main" id="{00000000-0008-0000-1100-000013000000}"/>
            </a:ext>
          </a:extLst>
        </xdr:cNvPr>
        <xdr:cNvGrpSpPr/>
      </xdr:nvGrpSpPr>
      <xdr:grpSpPr>
        <a:xfrm>
          <a:off x="14954250" y="943995"/>
          <a:ext cx="2553341" cy="819278"/>
          <a:chOff x="15438204" y="952500"/>
          <a:chExt cx="3038896" cy="826081"/>
        </a:xfrm>
      </xdr:grpSpPr>
      <xdr:grpSp>
        <xdr:nvGrpSpPr>
          <xdr:cNvPr id="20" name="グループ化 9" hidden="1">
            <a:extLst>
              <a:ext uri="{FF2B5EF4-FFF2-40B4-BE49-F238E27FC236}">
                <a16:creationId xmlns:a16="http://schemas.microsoft.com/office/drawing/2014/main" id="{00000000-0008-0000-1100-000014000000}"/>
              </a:ext>
            </a:extLst>
          </xdr:cNvPr>
          <xdr:cNvGrpSpPr>
            <a:grpSpLocks/>
          </xdr:cNvGrpSpPr>
        </xdr:nvGrpSpPr>
        <xdr:grpSpPr bwMode="auto">
          <a:xfrm rot="-5400000">
            <a:off x="16855574" y="179467"/>
            <a:ext cx="181744" cy="3016484"/>
            <a:chOff x="4400545" y="6389497"/>
            <a:chExt cx="1180954" cy="327805"/>
          </a:xfrm>
        </xdr:grpSpPr>
        <xdr:cxnSp macro="">
          <xdr:nvCxnSpPr>
            <xdr:cNvPr id="22" name="直線矢印コネクタ 21" hidden="1">
              <a:extLst>
                <a:ext uri="{FF2B5EF4-FFF2-40B4-BE49-F238E27FC236}">
                  <a16:creationId xmlns:a16="http://schemas.microsoft.com/office/drawing/2014/main" id="{00000000-0008-0000-1100-000016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3" name="直線コネクタ 22" hidden="1">
              <a:extLst>
                <a:ext uri="{FF2B5EF4-FFF2-40B4-BE49-F238E27FC236}">
                  <a16:creationId xmlns:a16="http://schemas.microsoft.com/office/drawing/2014/main" id="{00000000-0008-0000-1100-000017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 name="角丸四角形 68" hidden="1">
            <a:extLst>
              <a:ext uri="{FF2B5EF4-FFF2-40B4-BE49-F238E27FC236}">
                <a16:creationId xmlns:a16="http://schemas.microsoft.com/office/drawing/2014/main" id="{00000000-0008-0000-1100-000015000000}"/>
              </a:ext>
            </a:extLst>
          </xdr:cNvPr>
          <xdr:cNvSpPr/>
        </xdr:nvSpPr>
        <xdr:spPr>
          <a:xfrm>
            <a:off x="15978187" y="952500"/>
            <a:ext cx="2498913" cy="768312"/>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19</xdr:col>
      <xdr:colOff>414618</xdr:colOff>
      <xdr:row>117</xdr:row>
      <xdr:rowOff>33618</xdr:rowOff>
    </xdr:from>
    <xdr:to>
      <xdr:col>19</xdr:col>
      <xdr:colOff>414618</xdr:colOff>
      <xdr:row>119</xdr:row>
      <xdr:rowOff>38494</xdr:rowOff>
    </xdr:to>
    <xdr:cxnSp macro="">
      <xdr:nvCxnSpPr>
        <xdr:cNvPr id="24" name="直線矢印コネクタ 23">
          <a:extLst>
            <a:ext uri="{FF2B5EF4-FFF2-40B4-BE49-F238E27FC236}">
              <a16:creationId xmlns:a16="http://schemas.microsoft.com/office/drawing/2014/main" id="{00000000-0008-0000-1100-000018000000}"/>
            </a:ext>
          </a:extLst>
        </xdr:cNvPr>
        <xdr:cNvCxnSpPr/>
      </xdr:nvCxnSpPr>
      <xdr:spPr bwMode="auto">
        <a:xfrm flipV="1">
          <a:off x="15378393" y="9168093"/>
          <a:ext cx="0" cy="366826"/>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627529</xdr:colOff>
      <xdr:row>119</xdr:row>
      <xdr:rowOff>0</xdr:rowOff>
    </xdr:from>
    <xdr:to>
      <xdr:col>20</xdr:col>
      <xdr:colOff>559413</xdr:colOff>
      <xdr:row>122</xdr:row>
      <xdr:rowOff>9525</xdr:rowOff>
    </xdr:to>
    <xdr:pic>
      <xdr:nvPicPr>
        <xdr:cNvPr id="25" name="図 24">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963775" y="9496425"/>
          <a:ext cx="1483338" cy="5524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381000</xdr:colOff>
      <xdr:row>117</xdr:row>
      <xdr:rowOff>22412</xdr:rowOff>
    </xdr:from>
    <xdr:to>
      <xdr:col>4</xdr:col>
      <xdr:colOff>381000</xdr:colOff>
      <xdr:row>119</xdr:row>
      <xdr:rowOff>27504</xdr:rowOff>
    </xdr:to>
    <xdr:cxnSp macro="">
      <xdr:nvCxnSpPr>
        <xdr:cNvPr id="26" name="直線矢印コネクタ 25">
          <a:extLst>
            <a:ext uri="{FF2B5EF4-FFF2-40B4-BE49-F238E27FC236}">
              <a16:creationId xmlns:a16="http://schemas.microsoft.com/office/drawing/2014/main" id="{00000000-0008-0000-1100-00001A000000}"/>
            </a:ext>
          </a:extLst>
        </xdr:cNvPr>
        <xdr:cNvCxnSpPr/>
      </xdr:nvCxnSpPr>
      <xdr:spPr>
        <a:xfrm flipV="1">
          <a:off x="2819400" y="9156887"/>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504265</xdr:colOff>
      <xdr:row>117</xdr:row>
      <xdr:rowOff>11206</xdr:rowOff>
    </xdr:from>
    <xdr:to>
      <xdr:col>5</xdr:col>
      <xdr:colOff>504265</xdr:colOff>
      <xdr:row>119</xdr:row>
      <xdr:rowOff>16298</xdr:rowOff>
    </xdr:to>
    <xdr:cxnSp macro="">
      <xdr:nvCxnSpPr>
        <xdr:cNvPr id="27" name="直線矢印コネクタ 26">
          <a:extLst>
            <a:ext uri="{FF2B5EF4-FFF2-40B4-BE49-F238E27FC236}">
              <a16:creationId xmlns:a16="http://schemas.microsoft.com/office/drawing/2014/main" id="{00000000-0008-0000-1100-00001B000000}"/>
            </a:ext>
          </a:extLst>
        </xdr:cNvPr>
        <xdr:cNvCxnSpPr/>
      </xdr:nvCxnSpPr>
      <xdr:spPr>
        <a:xfrm flipV="1">
          <a:off x="3809440" y="9145681"/>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1064559</xdr:colOff>
      <xdr:row>118</xdr:row>
      <xdr:rowOff>168088</xdr:rowOff>
    </xdr:from>
    <xdr:to>
      <xdr:col>4</xdr:col>
      <xdr:colOff>638175</xdr:colOff>
      <xdr:row>122</xdr:row>
      <xdr:rowOff>720</xdr:rowOff>
    </xdr:to>
    <xdr:pic>
      <xdr:nvPicPr>
        <xdr:cNvPr id="28" name="図 27">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26534" y="9483538"/>
          <a:ext cx="1450041" cy="55653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244928</xdr:colOff>
      <xdr:row>119</xdr:row>
      <xdr:rowOff>13607</xdr:rowOff>
    </xdr:from>
    <xdr:to>
      <xdr:col>9</xdr:col>
      <xdr:colOff>273503</xdr:colOff>
      <xdr:row>128</xdr:row>
      <xdr:rowOff>23132</xdr:rowOff>
    </xdr:to>
    <xdr:pic>
      <xdr:nvPicPr>
        <xdr:cNvPr id="29" name="図 28">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50103" y="9510032"/>
          <a:ext cx="2409825" cy="1638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9</xdr:col>
          <xdr:colOff>428625</xdr:colOff>
          <xdr:row>1</xdr:row>
          <xdr:rowOff>0</xdr:rowOff>
        </xdr:from>
        <xdr:to>
          <xdr:col>11</xdr:col>
          <xdr:colOff>123825</xdr:colOff>
          <xdr:row>2</xdr:row>
          <xdr:rowOff>28575</xdr:rowOff>
        </xdr:to>
        <xdr:sp macro="" textlink="">
          <xdr:nvSpPr>
            <xdr:cNvPr id="15361" name="Label1" hidden="1">
              <a:extLst>
                <a:ext uri="{63B3BB69-23CF-44E3-9099-C40C66FF867C}">
                  <a14:compatExt spid="_x0000_s15361"/>
                </a:ext>
                <a:ext uri="{FF2B5EF4-FFF2-40B4-BE49-F238E27FC236}">
                  <a16:creationId xmlns:a16="http://schemas.microsoft.com/office/drawing/2014/main" id="{00000000-0008-0000-1100-000001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428625</xdr:colOff>
          <xdr:row>2</xdr:row>
          <xdr:rowOff>19050</xdr:rowOff>
        </xdr:from>
        <xdr:to>
          <xdr:col>11</xdr:col>
          <xdr:colOff>123825</xdr:colOff>
          <xdr:row>3</xdr:row>
          <xdr:rowOff>47625</xdr:rowOff>
        </xdr:to>
        <xdr:sp macro="" textlink="">
          <xdr:nvSpPr>
            <xdr:cNvPr id="15362" name="txt_hyouji" hidden="1">
              <a:extLst>
                <a:ext uri="{63B3BB69-23CF-44E3-9099-C40C66FF867C}">
                  <a14:compatExt spid="_x0000_s15362"/>
                </a:ext>
                <a:ext uri="{FF2B5EF4-FFF2-40B4-BE49-F238E27FC236}">
                  <a16:creationId xmlns:a16="http://schemas.microsoft.com/office/drawing/2014/main" id="{00000000-0008-0000-11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247650</xdr:colOff>
          <xdr:row>1</xdr:row>
          <xdr:rowOff>0</xdr:rowOff>
        </xdr:from>
        <xdr:to>
          <xdr:col>11</xdr:col>
          <xdr:colOff>1514475</xdr:colOff>
          <xdr:row>3</xdr:row>
          <xdr:rowOff>57150</xdr:rowOff>
        </xdr:to>
        <xdr:sp macro="" textlink="">
          <xdr:nvSpPr>
            <xdr:cNvPr id="15363" name="btnKoushin1" hidden="1">
              <a:extLst>
                <a:ext uri="{63B3BB69-23CF-44E3-9099-C40C66FF867C}">
                  <a14:compatExt spid="_x0000_s15363"/>
                </a:ext>
                <a:ext uri="{FF2B5EF4-FFF2-40B4-BE49-F238E27FC236}">
                  <a16:creationId xmlns:a16="http://schemas.microsoft.com/office/drawing/2014/main" id="{00000000-0008-0000-1100-000003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2</xdr:col>
      <xdr:colOff>168088</xdr:colOff>
      <xdr:row>118</xdr:row>
      <xdr:rowOff>22404</xdr:rowOff>
    </xdr:from>
    <xdr:to>
      <xdr:col>10</xdr:col>
      <xdr:colOff>38099</xdr:colOff>
      <xdr:row>128</xdr:row>
      <xdr:rowOff>43135</xdr:rowOff>
    </xdr:to>
    <xdr:grpSp>
      <xdr:nvGrpSpPr>
        <xdr:cNvPr id="2" name="cdeList_soba" hidden="1">
          <a:extLst>
            <a:ext uri="{FF2B5EF4-FFF2-40B4-BE49-F238E27FC236}">
              <a16:creationId xmlns:a16="http://schemas.microsoft.com/office/drawing/2014/main" id="{00000000-0008-0000-1200-000002000000}"/>
            </a:ext>
          </a:extLst>
        </xdr:cNvPr>
        <xdr:cNvGrpSpPr/>
      </xdr:nvGrpSpPr>
      <xdr:grpSpPr>
        <a:xfrm>
          <a:off x="440231" y="9737904"/>
          <a:ext cx="6455868" cy="1789660"/>
          <a:chOff x="470647" y="13828059"/>
          <a:chExt cx="6380629" cy="1813672"/>
        </a:xfrm>
      </xdr:grpSpPr>
      <xdr:pic>
        <xdr:nvPicPr>
          <xdr:cNvPr id="3" name="図 2" hidden="1">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0647" y="13839265"/>
            <a:ext cx="2834528" cy="1802466"/>
          </a:xfrm>
          <a:prstGeom prst="rect">
            <a:avLst/>
          </a:prstGeom>
          <a:solidFill>
            <a:schemeClr val="bg1"/>
          </a:solidFill>
        </xdr:spPr>
      </xdr:pic>
      <xdr:pic>
        <xdr:nvPicPr>
          <xdr:cNvPr id="4" name="図 3" hidden="1">
            <a:extLst>
              <a:ext uri="{FF2B5EF4-FFF2-40B4-BE49-F238E27FC236}">
                <a16:creationId xmlns:a16="http://schemas.microsoft.com/office/drawing/2014/main" id="{00000000-0008-0000-12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97941" y="13828059"/>
            <a:ext cx="3153335" cy="1623172"/>
          </a:xfrm>
          <a:prstGeom prst="rect">
            <a:avLst/>
          </a:prstGeom>
          <a:solidFill>
            <a:schemeClr val="bg1"/>
          </a:solidFill>
        </xdr:spPr>
      </xdr:pic>
    </xdr:grpSp>
    <xdr:clientData/>
  </xdr:twoCellAnchor>
  <xdr:twoCellAnchor>
    <xdr:from>
      <xdr:col>2</xdr:col>
      <xdr:colOff>145676</xdr:colOff>
      <xdr:row>118</xdr:row>
      <xdr:rowOff>22412</xdr:rowOff>
    </xdr:from>
    <xdr:to>
      <xdr:col>11</xdr:col>
      <xdr:colOff>1116666</xdr:colOff>
      <xdr:row>128</xdr:row>
      <xdr:rowOff>31937</xdr:rowOff>
    </xdr:to>
    <xdr:grpSp>
      <xdr:nvGrpSpPr>
        <xdr:cNvPr id="5" name="cdeList_kome" hidden="1">
          <a:extLst>
            <a:ext uri="{FF2B5EF4-FFF2-40B4-BE49-F238E27FC236}">
              <a16:creationId xmlns:a16="http://schemas.microsoft.com/office/drawing/2014/main" id="{00000000-0008-0000-1200-000005000000}"/>
            </a:ext>
          </a:extLst>
        </xdr:cNvPr>
        <xdr:cNvGrpSpPr/>
      </xdr:nvGrpSpPr>
      <xdr:grpSpPr>
        <a:xfrm>
          <a:off x="417819" y="9737912"/>
          <a:ext cx="7951454" cy="1778454"/>
          <a:chOff x="414617" y="9737912"/>
          <a:chExt cx="7873814" cy="1802466"/>
        </a:xfrm>
        <a:solidFill>
          <a:schemeClr val="bg1"/>
        </a:solidFill>
      </xdr:grpSpPr>
      <xdr:pic>
        <xdr:nvPicPr>
          <xdr:cNvPr id="6" name="図 5" hidden="1">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14617" y="9737912"/>
            <a:ext cx="2868146" cy="1802466"/>
          </a:xfrm>
          <a:prstGeom prst="rect">
            <a:avLst/>
          </a:prstGeom>
          <a:grpFill/>
        </xdr:spPr>
      </xdr:pic>
      <xdr:pic>
        <xdr:nvPicPr>
          <xdr:cNvPr id="7" name="図 6" hidden="1">
            <a:extLst>
              <a:ext uri="{FF2B5EF4-FFF2-40B4-BE49-F238E27FC236}">
                <a16:creationId xmlns:a16="http://schemas.microsoft.com/office/drawing/2014/main" id="{00000000-0008-0000-12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709147" y="9737912"/>
            <a:ext cx="4579284" cy="1623172"/>
          </a:xfrm>
          <a:prstGeom prst="rect">
            <a:avLst/>
          </a:prstGeom>
          <a:grpFill/>
        </xdr:spPr>
      </xdr:pic>
    </xdr:grpSp>
    <xdr:clientData/>
  </xdr:twoCellAnchor>
  <xdr:twoCellAnchor>
    <xdr:from>
      <xdr:col>11</xdr:col>
      <xdr:colOff>47625</xdr:colOff>
      <xdr:row>12</xdr:row>
      <xdr:rowOff>9525</xdr:rowOff>
    </xdr:from>
    <xdr:to>
      <xdr:col>11</xdr:col>
      <xdr:colOff>1632857</xdr:colOff>
      <xdr:row>15</xdr:row>
      <xdr:rowOff>114600</xdr:rowOff>
    </xdr:to>
    <xdr:sp macro="" textlink="">
      <xdr:nvSpPr>
        <xdr:cNvPr id="8" name="大かっこ 7">
          <a:extLst>
            <a:ext uri="{FF2B5EF4-FFF2-40B4-BE49-F238E27FC236}">
              <a16:creationId xmlns:a16="http://schemas.microsoft.com/office/drawing/2014/main" id="{00000000-0008-0000-1200-000008000000}"/>
            </a:ext>
          </a:extLst>
        </xdr:cNvPr>
        <xdr:cNvSpPr/>
      </xdr:nvSpPr>
      <xdr:spPr>
        <a:xfrm>
          <a:off x="7296150" y="2181225"/>
          <a:ext cx="158523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36000" rIns="36000" bIns="36000" rtlCol="0" anchor="ctr" anchorCtr="1"/>
        <a:lstStyle/>
        <a:p>
          <a:pPr algn="l"/>
          <a:r>
            <a:rPr kumimoji="1" lang="ja-JP" altLang="en-US" sz="800">
              <a:latin typeface="ＭＳ 明朝" panose="02020609040205080304" pitchFamily="17" charset="-128"/>
              <a:ea typeface="ＭＳ 明朝" panose="02020609040205080304" pitchFamily="17" charset="-128"/>
            </a:rPr>
            <a:t>　購入金額から補助金分を控除した額を記入してください。</a:t>
          </a:r>
        </a:p>
      </xdr:txBody>
    </xdr:sp>
    <xdr:clientData/>
  </xdr:twoCellAnchor>
  <xdr:twoCellAnchor>
    <xdr:from>
      <xdr:col>12</xdr:col>
      <xdr:colOff>47624</xdr:colOff>
      <xdr:row>12</xdr:row>
      <xdr:rowOff>9525</xdr:rowOff>
    </xdr:from>
    <xdr:to>
      <xdr:col>12</xdr:col>
      <xdr:colOff>1619250</xdr:colOff>
      <xdr:row>15</xdr:row>
      <xdr:rowOff>114600</xdr:rowOff>
    </xdr:to>
    <xdr:sp macro="" textlink="">
      <xdr:nvSpPr>
        <xdr:cNvPr id="9" name="大かっこ 8">
          <a:extLst>
            <a:ext uri="{FF2B5EF4-FFF2-40B4-BE49-F238E27FC236}">
              <a16:creationId xmlns:a16="http://schemas.microsoft.com/office/drawing/2014/main" id="{00000000-0008-0000-1200-000009000000}"/>
            </a:ext>
          </a:extLst>
        </xdr:cNvPr>
        <xdr:cNvSpPr/>
      </xdr:nvSpPr>
      <xdr:spPr>
        <a:xfrm>
          <a:off x="8982074" y="2181225"/>
          <a:ext cx="1571626"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農業機械の購入のために取り崩した準備金の額を記入してください。</a:t>
          </a:r>
        </a:p>
      </xdr:txBody>
    </xdr:sp>
    <xdr:clientData/>
  </xdr:twoCellAnchor>
  <xdr:twoCellAnchor>
    <xdr:from>
      <xdr:col>9</xdr:col>
      <xdr:colOff>358588</xdr:colOff>
      <xdr:row>0</xdr:row>
      <xdr:rowOff>21770</xdr:rowOff>
    </xdr:from>
    <xdr:to>
      <xdr:col>15</xdr:col>
      <xdr:colOff>515470</xdr:colOff>
      <xdr:row>2</xdr:row>
      <xdr:rowOff>19820</xdr:rowOff>
    </xdr:to>
    <xdr:sp macro="" textlink="">
      <xdr:nvSpPr>
        <xdr:cNvPr id="10" name="角丸四角形 9">
          <a:extLst>
            <a:ext uri="{FF2B5EF4-FFF2-40B4-BE49-F238E27FC236}">
              <a16:creationId xmlns:a16="http://schemas.microsoft.com/office/drawing/2014/main" id="{00000000-0008-0000-1200-00000A000000}"/>
            </a:ext>
          </a:extLst>
        </xdr:cNvPr>
        <xdr:cNvSpPr/>
      </xdr:nvSpPr>
      <xdr:spPr>
        <a:xfrm>
          <a:off x="6406963" y="21770"/>
          <a:ext cx="7357782"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くわ類・かま類の農具</a:t>
          </a:r>
          <a:r>
            <a:rPr kumimoji="1" lang="ja-JP" altLang="ja-JP" sz="1000">
              <a:solidFill>
                <a:srgbClr val="0041FF"/>
              </a:solidFill>
              <a:effectLst/>
              <a:latin typeface="ＭＳ ゴシック" panose="020B0609070205080204" pitchFamily="49" charset="-128"/>
              <a:ea typeface="ＭＳ ゴシック" panose="020B0609070205080204" pitchFamily="49" charset="-128"/>
              <a:cs typeface="+mn-cs"/>
            </a:rPr>
            <a:t>、</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作業着・軍手等の農業被服については、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農具の購入費等に記入してください。</a:t>
          </a:r>
          <a:endParaRPr kumimoji="1" lang="ja-JP" altLang="en-US" sz="1000">
            <a:solidFill>
              <a:srgbClr val="0041FF"/>
            </a:solidFill>
            <a:latin typeface="ＭＳ ゴシック" panose="020B0609070205080204" pitchFamily="49" charset="-128"/>
            <a:ea typeface="ＭＳ ゴシック" panose="020B0609070205080204" pitchFamily="49" charset="-128"/>
          </a:endParaRPr>
        </a:p>
      </xdr:txBody>
    </xdr:sp>
    <xdr:clientData/>
  </xdr:twoCellAnchor>
  <xdr:twoCellAnchor>
    <xdr:from>
      <xdr:col>18</xdr:col>
      <xdr:colOff>358589</xdr:colOff>
      <xdr:row>5</xdr:row>
      <xdr:rowOff>78441</xdr:rowOff>
    </xdr:from>
    <xdr:to>
      <xdr:col>18</xdr:col>
      <xdr:colOff>362512</xdr:colOff>
      <xdr:row>8</xdr:row>
      <xdr:rowOff>154092</xdr:rowOff>
    </xdr:to>
    <xdr:cxnSp macro="">
      <xdr:nvCxnSpPr>
        <xdr:cNvPr id="11" name="直線矢印コネクタ 10">
          <a:extLst>
            <a:ext uri="{FF2B5EF4-FFF2-40B4-BE49-F238E27FC236}">
              <a16:creationId xmlns:a16="http://schemas.microsoft.com/office/drawing/2014/main" id="{00000000-0008-0000-1200-00000B000000}"/>
            </a:ext>
          </a:extLst>
        </xdr:cNvPr>
        <xdr:cNvCxnSpPr/>
      </xdr:nvCxnSpPr>
      <xdr:spPr>
        <a:xfrm>
          <a:off x="14417489" y="983316"/>
          <a:ext cx="3923" cy="618576"/>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593912</xdr:colOff>
      <xdr:row>0</xdr:row>
      <xdr:rowOff>103093</xdr:rowOff>
    </xdr:from>
    <xdr:to>
      <xdr:col>22</xdr:col>
      <xdr:colOff>273844</xdr:colOff>
      <xdr:row>5</xdr:row>
      <xdr:rowOff>81149</xdr:rowOff>
    </xdr:to>
    <xdr:sp macro="" textlink="">
      <xdr:nvSpPr>
        <xdr:cNvPr id="12" name="角丸四角形 11">
          <a:extLst>
            <a:ext uri="{FF2B5EF4-FFF2-40B4-BE49-F238E27FC236}">
              <a16:creationId xmlns:a16="http://schemas.microsoft.com/office/drawing/2014/main" id="{00000000-0008-0000-1200-00000C000000}"/>
            </a:ext>
          </a:extLst>
        </xdr:cNvPr>
        <xdr:cNvSpPr/>
      </xdr:nvSpPr>
      <xdr:spPr>
        <a:xfrm>
          <a:off x="13843187" y="103093"/>
          <a:ext cx="3613757" cy="88293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・対象品目のみに使用した場合は、</a:t>
          </a:r>
          <a:r>
            <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rPr>
            <a:t>100</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（％）と</a:t>
          </a: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し</a:t>
          </a: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てください。</a:t>
          </a: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・対象品目以外の作物へ共通して使用した場合には、</a:t>
          </a:r>
          <a:endParaRPr kumimoji="1" lang="en-US" altLang="ja-JP" sz="1000">
            <a:solidFill>
              <a:srgbClr val="0041FF"/>
            </a:solidFill>
            <a:effectLst/>
            <a:latin typeface="ＭＳ ゴシック" panose="020B0609070205080204" pitchFamily="49" charset="-128"/>
            <a:ea typeface="ＭＳ ゴシック" panose="020B0609070205080204" pitchFamily="49" charset="-128"/>
            <a:cs typeface="+mn-cs"/>
          </a:endParaRPr>
        </a:p>
        <a:p>
          <a:pPr>
            <a:lnSpc>
              <a:spcPts val="1200"/>
            </a:lnSpc>
          </a:pPr>
          <a:r>
            <a:rPr kumimoji="1" lang="ja-JP" altLang="en-US" sz="1000">
              <a:solidFill>
                <a:srgbClr val="0041FF"/>
              </a:solidFill>
              <a:effectLst/>
              <a:latin typeface="ＭＳ ゴシック" panose="020B0609070205080204" pitchFamily="49" charset="-128"/>
              <a:ea typeface="ＭＳ ゴシック" panose="020B0609070205080204" pitchFamily="49" charset="-128"/>
              <a:cs typeface="+mn-cs"/>
            </a:rPr>
            <a:t>　使用時間割合を目安に記入してください。</a:t>
          </a:r>
        </a:p>
      </xdr:txBody>
    </xdr:sp>
    <xdr:clientData/>
  </xdr:twoCellAnchor>
  <xdr:twoCellAnchor>
    <xdr:from>
      <xdr:col>15</xdr:col>
      <xdr:colOff>38100</xdr:colOff>
      <xdr:row>11</xdr:row>
      <xdr:rowOff>171450</xdr:rowOff>
    </xdr:from>
    <xdr:to>
      <xdr:col>15</xdr:col>
      <xdr:colOff>750794</xdr:colOff>
      <xdr:row>15</xdr:row>
      <xdr:rowOff>167550</xdr:rowOff>
    </xdr:to>
    <xdr:sp macro="" textlink="">
      <xdr:nvSpPr>
        <xdr:cNvPr id="13" name="大かっこ 12">
          <a:extLst>
            <a:ext uri="{FF2B5EF4-FFF2-40B4-BE49-F238E27FC236}">
              <a16:creationId xmlns:a16="http://schemas.microsoft.com/office/drawing/2014/main" id="{00000000-0008-0000-1200-00000D000000}"/>
            </a:ext>
          </a:extLst>
        </xdr:cNvPr>
        <xdr:cNvSpPr/>
      </xdr:nvSpPr>
      <xdr:spPr>
        <a:xfrm>
          <a:off x="13287375" y="2162175"/>
          <a:ext cx="712694" cy="1120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700">
              <a:latin typeface="ＭＳ 明朝" panose="02020609040205080304" pitchFamily="17" charset="-128"/>
              <a:ea typeface="ＭＳ 明朝" panose="02020609040205080304" pitchFamily="17" charset="-128"/>
            </a:rPr>
            <a:t>　当年の当該農業機械の軽自動車税を記入してください。</a:t>
          </a:r>
        </a:p>
      </xdr:txBody>
    </xdr:sp>
    <xdr:clientData/>
  </xdr:twoCellAnchor>
  <xdr:twoCellAnchor>
    <xdr:from>
      <xdr:col>13</xdr:col>
      <xdr:colOff>57150</xdr:colOff>
      <xdr:row>12</xdr:row>
      <xdr:rowOff>19050</xdr:rowOff>
    </xdr:from>
    <xdr:to>
      <xdr:col>13</xdr:col>
      <xdr:colOff>1355912</xdr:colOff>
      <xdr:row>15</xdr:row>
      <xdr:rowOff>124125</xdr:rowOff>
    </xdr:to>
    <xdr:sp macro="" textlink="">
      <xdr:nvSpPr>
        <xdr:cNvPr id="14" name="大かっこ 13">
          <a:extLst>
            <a:ext uri="{FF2B5EF4-FFF2-40B4-BE49-F238E27FC236}">
              <a16:creationId xmlns:a16="http://schemas.microsoft.com/office/drawing/2014/main" id="{00000000-0008-0000-1200-00000E000000}"/>
            </a:ext>
          </a:extLst>
        </xdr:cNvPr>
        <xdr:cNvSpPr/>
      </xdr:nvSpPr>
      <xdr:spPr>
        <a:xfrm>
          <a:off x="10677525" y="2190750"/>
          <a:ext cx="1298762" cy="1048050"/>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当年の当該農業機械や生産管理機器の修繕費を記入してください。</a:t>
          </a:r>
        </a:p>
      </xdr:txBody>
    </xdr:sp>
    <xdr:clientData/>
  </xdr:twoCellAnchor>
  <xdr:twoCellAnchor>
    <xdr:from>
      <xdr:col>14</xdr:col>
      <xdr:colOff>47624</xdr:colOff>
      <xdr:row>12</xdr:row>
      <xdr:rowOff>1680</xdr:rowOff>
    </xdr:from>
    <xdr:to>
      <xdr:col>14</xdr:col>
      <xdr:colOff>1165412</xdr:colOff>
      <xdr:row>15</xdr:row>
      <xdr:rowOff>141074</xdr:rowOff>
    </xdr:to>
    <xdr:sp macro="" textlink="">
      <xdr:nvSpPr>
        <xdr:cNvPr id="15" name="大かっこ 14">
          <a:extLst>
            <a:ext uri="{FF2B5EF4-FFF2-40B4-BE49-F238E27FC236}">
              <a16:creationId xmlns:a16="http://schemas.microsoft.com/office/drawing/2014/main" id="{00000000-0008-0000-1200-00000F000000}"/>
            </a:ext>
          </a:extLst>
        </xdr:cNvPr>
        <xdr:cNvSpPr/>
      </xdr:nvSpPr>
      <xdr:spPr>
        <a:xfrm>
          <a:off x="12087224" y="2173380"/>
          <a:ext cx="1117788" cy="108236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36000" tIns="0" rIns="36000" bIns="0" rtlCol="0" anchor="ctr" anchorCtr="1"/>
        <a:lstStyle/>
        <a:p>
          <a:pPr algn="l"/>
          <a:r>
            <a:rPr kumimoji="1" lang="ja-JP" altLang="en-US" sz="800">
              <a:latin typeface="ＭＳ 明朝" panose="02020609040205080304" pitchFamily="17" charset="-128"/>
              <a:ea typeface="ＭＳ 明朝" panose="02020609040205080304" pitchFamily="17" charset="-128"/>
            </a:rPr>
            <a:t>　当年の当該農業機械の保険料を記入してください。</a:t>
          </a:r>
        </a:p>
      </xdr:txBody>
    </xdr:sp>
    <xdr:clientData/>
  </xdr:twoCellAnchor>
  <xdr:twoCellAnchor>
    <xdr:from>
      <xdr:col>13</xdr:col>
      <xdr:colOff>708212</xdr:colOff>
      <xdr:row>6</xdr:row>
      <xdr:rowOff>16420</xdr:rowOff>
    </xdr:from>
    <xdr:to>
      <xdr:col>13</xdr:col>
      <xdr:colOff>708213</xdr:colOff>
      <xdr:row>8</xdr:row>
      <xdr:rowOff>158470</xdr:rowOff>
    </xdr:to>
    <xdr:cxnSp macro="">
      <xdr:nvCxnSpPr>
        <xdr:cNvPr id="16" name="直線矢印コネクタ 15">
          <a:extLst>
            <a:ext uri="{FF2B5EF4-FFF2-40B4-BE49-F238E27FC236}">
              <a16:creationId xmlns:a16="http://schemas.microsoft.com/office/drawing/2014/main" id="{00000000-0008-0000-1200-000010000000}"/>
            </a:ext>
          </a:extLst>
        </xdr:cNvPr>
        <xdr:cNvCxnSpPr/>
      </xdr:nvCxnSpPr>
      <xdr:spPr>
        <a:xfrm>
          <a:off x="11328587" y="1102270"/>
          <a:ext cx="1" cy="504000"/>
        </a:xfrm>
        <a:prstGeom prst="straightConnector1">
          <a:avLst/>
        </a:prstGeom>
        <a:ln w="28575">
          <a:solidFill>
            <a:srgbClr val="0041FF"/>
          </a:solidFill>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67235</xdr:colOff>
      <xdr:row>2</xdr:row>
      <xdr:rowOff>89647</xdr:rowOff>
    </xdr:from>
    <xdr:to>
      <xdr:col>15</xdr:col>
      <xdr:colOff>481853</xdr:colOff>
      <xdr:row>7</xdr:row>
      <xdr:rowOff>107763</xdr:rowOff>
    </xdr:to>
    <xdr:sp macro="" textlink="">
      <xdr:nvSpPr>
        <xdr:cNvPr id="17" name="角丸四角形 16">
          <a:extLst>
            <a:ext uri="{FF2B5EF4-FFF2-40B4-BE49-F238E27FC236}">
              <a16:creationId xmlns:a16="http://schemas.microsoft.com/office/drawing/2014/main" id="{00000000-0008-0000-1200-000011000000}"/>
            </a:ext>
          </a:extLst>
        </xdr:cNvPr>
        <xdr:cNvSpPr/>
      </xdr:nvSpPr>
      <xdr:spPr>
        <a:xfrm>
          <a:off x="10687610" y="451597"/>
          <a:ext cx="3043518" cy="922991"/>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修繕費には、次のような費用を記入して</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・農業機械の修繕、整備費用、部品代</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・パソコン等の修理費用、部品代　など</a:t>
          </a:r>
        </a:p>
      </xdr:txBody>
    </xdr:sp>
    <xdr:clientData/>
  </xdr:twoCellAnchor>
  <xdr:twoCellAnchor>
    <xdr:from>
      <xdr:col>21</xdr:col>
      <xdr:colOff>66673</xdr:colOff>
      <xdr:row>13</xdr:row>
      <xdr:rowOff>76200</xdr:rowOff>
    </xdr:from>
    <xdr:to>
      <xdr:col>21</xdr:col>
      <xdr:colOff>1524000</xdr:colOff>
      <xdr:row>15</xdr:row>
      <xdr:rowOff>146249</xdr:rowOff>
    </xdr:to>
    <xdr:sp macro="" textlink="">
      <xdr:nvSpPr>
        <xdr:cNvPr id="18" name="大かっこ 17">
          <a:extLst>
            <a:ext uri="{FF2B5EF4-FFF2-40B4-BE49-F238E27FC236}">
              <a16:creationId xmlns:a16="http://schemas.microsoft.com/office/drawing/2014/main" id="{00000000-0008-0000-1200-000012000000}"/>
            </a:ext>
          </a:extLst>
        </xdr:cNvPr>
        <xdr:cNvSpPr/>
      </xdr:nvSpPr>
      <xdr:spPr>
        <a:xfrm>
          <a:off x="15649573" y="2428875"/>
          <a:ext cx="1457327" cy="832049"/>
        </a:xfrm>
        <a:prstGeom prst="bracketPair">
          <a:avLst/>
        </a:prstGeom>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nchorCtr="1"/>
        <a:lstStyle/>
        <a:p>
          <a:pPr algn="l"/>
          <a:r>
            <a:rPr kumimoji="1" lang="ja-JP" altLang="en-US" sz="800">
              <a:latin typeface="ＭＳ 明朝" panose="02020609040205080304" pitchFamily="17" charset="-128"/>
              <a:ea typeface="ＭＳ 明朝" panose="02020609040205080304" pitchFamily="17" charset="-128"/>
            </a:rPr>
            <a:t>廃棄（無償譲渡を含む。）した場合は、「</a:t>
          </a:r>
          <a:r>
            <a:rPr kumimoji="1" lang="en-US" altLang="ja-JP" sz="800">
              <a:latin typeface="ＭＳ 明朝" panose="02020609040205080304" pitchFamily="17" charset="-128"/>
              <a:ea typeface="ＭＳ 明朝" panose="02020609040205080304" pitchFamily="17" charset="-128"/>
            </a:rPr>
            <a:t>0</a:t>
          </a:r>
          <a:r>
            <a:rPr kumimoji="1" lang="ja-JP" altLang="en-US" sz="800">
              <a:latin typeface="ＭＳ 明朝" panose="02020609040205080304" pitchFamily="17" charset="-128"/>
              <a:ea typeface="ＭＳ 明朝" panose="02020609040205080304" pitchFamily="17" charset="-128"/>
            </a:rPr>
            <a:t>（ゼロ）」</a:t>
          </a:r>
        </a:p>
      </xdr:txBody>
    </xdr:sp>
    <xdr:clientData/>
  </xdr:twoCellAnchor>
  <xdr:twoCellAnchor>
    <xdr:from>
      <xdr:col>8</xdr:col>
      <xdr:colOff>171450</xdr:colOff>
      <xdr:row>7</xdr:row>
      <xdr:rowOff>47624</xdr:rowOff>
    </xdr:from>
    <xdr:to>
      <xdr:col>10</xdr:col>
      <xdr:colOff>0</xdr:colOff>
      <xdr:row>8</xdr:row>
      <xdr:rowOff>152399</xdr:rowOff>
    </xdr:to>
    <xdr:grpSp>
      <xdr:nvGrpSpPr>
        <xdr:cNvPr id="19" name="グループ化 9">
          <a:extLst>
            <a:ext uri="{FF2B5EF4-FFF2-40B4-BE49-F238E27FC236}">
              <a16:creationId xmlns:a16="http://schemas.microsoft.com/office/drawing/2014/main" id="{00000000-0008-0000-1200-000013000000}"/>
            </a:ext>
          </a:extLst>
        </xdr:cNvPr>
        <xdr:cNvGrpSpPr>
          <a:grpSpLocks/>
        </xdr:cNvGrpSpPr>
      </xdr:nvGrpSpPr>
      <xdr:grpSpPr bwMode="auto">
        <a:xfrm rot="-5400000">
          <a:off x="6197373" y="906915"/>
          <a:ext cx="281668" cy="1039586"/>
          <a:chOff x="4400548" y="6383925"/>
          <a:chExt cx="1171574" cy="333375"/>
        </a:xfrm>
      </xdr:grpSpPr>
      <xdr:cxnSp macro="">
        <xdr:nvCxnSpPr>
          <xdr:cNvPr id="20" name="直線矢印コネクタ 19">
            <a:extLst>
              <a:ext uri="{FF2B5EF4-FFF2-40B4-BE49-F238E27FC236}">
                <a16:creationId xmlns:a16="http://schemas.microsoft.com/office/drawing/2014/main" id="{00000000-0008-0000-1200-000014000000}"/>
              </a:ext>
            </a:extLst>
          </xdr:cNvPr>
          <xdr:cNvCxnSpPr/>
        </xdr:nvCxnSpPr>
        <xdr:spPr bwMode="auto">
          <a:xfrm flipH="1">
            <a:off x="4400548"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1" name="直線コネクタ 20">
            <a:extLst>
              <a:ext uri="{FF2B5EF4-FFF2-40B4-BE49-F238E27FC236}">
                <a16:creationId xmlns:a16="http://schemas.microsoft.com/office/drawing/2014/main" id="{00000000-0008-0000-1200-000015000000}"/>
              </a:ext>
            </a:extLst>
          </xdr:cNvPr>
          <xdr:cNvCxnSpPr/>
        </xdr:nvCxnSpPr>
        <xdr:spPr bwMode="auto">
          <a:xfrm flipV="1">
            <a:off x="5521192" y="6383925"/>
            <a:ext cx="0" cy="333375"/>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9</xdr:col>
      <xdr:colOff>0</xdr:colOff>
      <xdr:row>6</xdr:row>
      <xdr:rowOff>92075</xdr:rowOff>
    </xdr:from>
    <xdr:to>
      <xdr:col>13</xdr:col>
      <xdr:colOff>0</xdr:colOff>
      <xdr:row>8</xdr:row>
      <xdr:rowOff>90125</xdr:rowOff>
    </xdr:to>
    <xdr:sp macro="" textlink="">
      <xdr:nvSpPr>
        <xdr:cNvPr id="22" name="角丸四角形 21">
          <a:extLst>
            <a:ext uri="{FF2B5EF4-FFF2-40B4-BE49-F238E27FC236}">
              <a16:creationId xmlns:a16="http://schemas.microsoft.com/office/drawing/2014/main" id="{00000000-0008-0000-1200-000016000000}"/>
            </a:ext>
          </a:extLst>
        </xdr:cNvPr>
        <xdr:cNvSpPr/>
      </xdr:nvSpPr>
      <xdr:spPr>
        <a:xfrm>
          <a:off x="6048375" y="1177925"/>
          <a:ext cx="4572000" cy="360000"/>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耐用年数は、中古で取得した場合のみ記入してください。</a:t>
          </a:r>
        </a:p>
      </xdr:txBody>
    </xdr:sp>
    <xdr:clientData/>
  </xdr:twoCellAnchor>
  <xdr:twoCellAnchor>
    <xdr:from>
      <xdr:col>19</xdr:col>
      <xdr:colOff>0</xdr:colOff>
      <xdr:row>5</xdr:row>
      <xdr:rowOff>123263</xdr:rowOff>
    </xdr:from>
    <xdr:to>
      <xdr:col>22</xdr:col>
      <xdr:colOff>257736</xdr:colOff>
      <xdr:row>9</xdr:row>
      <xdr:rowOff>3149</xdr:rowOff>
    </xdr:to>
    <xdr:grpSp>
      <xdr:nvGrpSpPr>
        <xdr:cNvPr id="23" name="CommentNatsuue" hidden="1">
          <a:extLst>
            <a:ext uri="{FF2B5EF4-FFF2-40B4-BE49-F238E27FC236}">
              <a16:creationId xmlns:a16="http://schemas.microsoft.com/office/drawing/2014/main" id="{00000000-0008-0000-1200-000017000000}"/>
            </a:ext>
          </a:extLst>
        </xdr:cNvPr>
        <xdr:cNvGrpSpPr/>
      </xdr:nvGrpSpPr>
      <xdr:grpSpPr>
        <a:xfrm>
          <a:off x="16138071" y="1007727"/>
          <a:ext cx="2788665" cy="587458"/>
          <a:chOff x="14870206" y="1019734"/>
          <a:chExt cx="3272118" cy="597062"/>
        </a:xfrm>
      </xdr:grpSpPr>
      <xdr:grpSp>
        <xdr:nvGrpSpPr>
          <xdr:cNvPr id="24" name="グループ化 9" hidden="1">
            <a:extLst>
              <a:ext uri="{FF2B5EF4-FFF2-40B4-BE49-F238E27FC236}">
                <a16:creationId xmlns:a16="http://schemas.microsoft.com/office/drawing/2014/main" id="{00000000-0008-0000-1200-000018000000}"/>
              </a:ext>
            </a:extLst>
          </xdr:cNvPr>
          <xdr:cNvGrpSpPr>
            <a:grpSpLocks/>
          </xdr:cNvGrpSpPr>
        </xdr:nvGrpSpPr>
        <xdr:grpSpPr bwMode="auto">
          <a:xfrm rot="-5400000">
            <a:off x="16215362" y="-52429"/>
            <a:ext cx="324069" cy="3014382"/>
            <a:chOff x="4400545" y="6389497"/>
            <a:chExt cx="1180954" cy="327805"/>
          </a:xfrm>
        </xdr:grpSpPr>
        <xdr:cxnSp macro="">
          <xdr:nvCxnSpPr>
            <xdr:cNvPr id="26" name="直線矢印コネクタ 25" hidden="1">
              <a:extLst>
                <a:ext uri="{FF2B5EF4-FFF2-40B4-BE49-F238E27FC236}">
                  <a16:creationId xmlns:a16="http://schemas.microsoft.com/office/drawing/2014/main" id="{00000000-0008-0000-1200-00001A000000}"/>
                </a:ext>
              </a:extLst>
            </xdr:cNvPr>
            <xdr:cNvCxnSpPr/>
          </xdr:nvCxnSpPr>
          <xdr:spPr bwMode="auto">
            <a:xfrm flipH="1">
              <a:off x="4400545" y="6391333"/>
              <a:ext cx="1171574"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27" name="直線コネクタ 26" hidden="1">
              <a:extLst>
                <a:ext uri="{FF2B5EF4-FFF2-40B4-BE49-F238E27FC236}">
                  <a16:creationId xmlns:a16="http://schemas.microsoft.com/office/drawing/2014/main" id="{00000000-0008-0000-1200-00001B000000}"/>
                </a:ext>
              </a:extLst>
            </xdr:cNvPr>
            <xdr:cNvCxnSpPr/>
          </xdr:nvCxnSpPr>
          <xdr:spPr bwMode="auto">
            <a:xfrm rot="5400000" flipH="1" flipV="1">
              <a:off x="5412906" y="6548709"/>
              <a:ext cx="327805" cy="9381"/>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5" name="角丸四角形 68" hidden="1">
            <a:extLst>
              <a:ext uri="{FF2B5EF4-FFF2-40B4-BE49-F238E27FC236}">
                <a16:creationId xmlns:a16="http://schemas.microsoft.com/office/drawing/2014/main" id="{00000000-0008-0000-1200-000019000000}"/>
              </a:ext>
            </a:extLst>
          </xdr:cNvPr>
          <xdr:cNvSpPr/>
        </xdr:nvSpPr>
        <xdr:spPr>
          <a:xfrm>
            <a:off x="14970503" y="1019734"/>
            <a:ext cx="3171821" cy="560295"/>
          </a:xfrm>
          <a:prstGeom prst="roundRect">
            <a:avLst/>
          </a:prstGeom>
          <a:ln w="12700">
            <a:solidFill>
              <a:srgbClr val="0041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夏植えに使用している場合は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有を選択し、使用していない場合は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[2]</a:t>
            </a:r>
            <a:r>
              <a:rPr kumimoji="1" lang="ja-JP" altLang="en-US" sz="1000">
                <a:solidFill>
                  <a:srgbClr val="0041FF"/>
                </a:solidFill>
                <a:latin typeface="ＭＳ ゴシック" panose="020B0609070205080204" pitchFamily="49" charset="-128"/>
                <a:ea typeface="ＭＳ ゴシック" panose="020B0609070205080204" pitchFamily="49" charset="-128"/>
              </a:rPr>
              <a:t>無を選択してください。</a:t>
            </a:r>
          </a:p>
        </xdr:txBody>
      </xdr:sp>
    </xdr:grpSp>
    <xdr:clientData/>
  </xdr:twoCellAnchor>
  <xdr:twoCellAnchor>
    <xdr:from>
      <xdr:col>2</xdr:col>
      <xdr:colOff>156880</xdr:colOff>
      <xdr:row>118</xdr:row>
      <xdr:rowOff>22408</xdr:rowOff>
    </xdr:from>
    <xdr:to>
      <xdr:col>10</xdr:col>
      <xdr:colOff>88527</xdr:colOff>
      <xdr:row>127</xdr:row>
      <xdr:rowOff>31933</xdr:rowOff>
    </xdr:to>
    <xdr:grpSp>
      <xdr:nvGrpSpPr>
        <xdr:cNvPr id="28" name="cdeList_mugi">
          <a:extLst>
            <a:ext uri="{FF2B5EF4-FFF2-40B4-BE49-F238E27FC236}">
              <a16:creationId xmlns:a16="http://schemas.microsoft.com/office/drawing/2014/main" id="{00000000-0008-0000-1200-00001C000000}"/>
            </a:ext>
          </a:extLst>
        </xdr:cNvPr>
        <xdr:cNvGrpSpPr/>
      </xdr:nvGrpSpPr>
      <xdr:grpSpPr>
        <a:xfrm>
          <a:off x="429023" y="9737908"/>
          <a:ext cx="6517504" cy="1601561"/>
          <a:chOff x="425821" y="11889440"/>
          <a:chExt cx="6442265" cy="1623172"/>
        </a:xfrm>
        <a:solidFill>
          <a:schemeClr val="bg1"/>
        </a:solidFill>
      </xdr:grpSpPr>
      <xdr:pic>
        <xdr:nvPicPr>
          <xdr:cNvPr id="29" name="図 28">
            <a:extLst>
              <a:ext uri="{FF2B5EF4-FFF2-40B4-BE49-F238E27FC236}">
                <a16:creationId xmlns:a16="http://schemas.microsoft.com/office/drawing/2014/main" id="{00000000-0008-0000-1200-00001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5821" y="11889440"/>
            <a:ext cx="2868146" cy="1623172"/>
          </a:xfrm>
          <a:prstGeom prst="rect">
            <a:avLst/>
          </a:prstGeom>
          <a:grpFill/>
        </xdr:spPr>
      </xdr:pic>
      <xdr:pic>
        <xdr:nvPicPr>
          <xdr:cNvPr id="30" name="図 29">
            <a:extLst>
              <a:ext uri="{FF2B5EF4-FFF2-40B4-BE49-F238E27FC236}">
                <a16:creationId xmlns:a16="http://schemas.microsoft.com/office/drawing/2014/main" id="{00000000-0008-0000-1200-00001E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709148" y="11889440"/>
            <a:ext cx="3158938" cy="1623172"/>
          </a:xfrm>
          <a:prstGeom prst="rect">
            <a:avLst/>
          </a:prstGeom>
          <a:grpFill/>
        </xdr:spPr>
      </xdr:pic>
    </xdr:grpSp>
    <xdr:clientData/>
  </xdr:twoCellAnchor>
  <xdr:oneCellAnchor>
    <xdr:from>
      <xdr:col>19</xdr:col>
      <xdr:colOff>616323</xdr:colOff>
      <xdr:row>118</xdr:row>
      <xdr:rowOff>11205</xdr:rowOff>
    </xdr:from>
    <xdr:ext cx="1244973" cy="547407"/>
    <xdr:pic>
      <xdr:nvPicPr>
        <xdr:cNvPr id="31" name="図 30">
          <a:extLst>
            <a:ext uri="{FF2B5EF4-FFF2-40B4-BE49-F238E27FC236}">
              <a16:creationId xmlns:a16="http://schemas.microsoft.com/office/drawing/2014/main" id="{00000000-0008-0000-1200-00001F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4658975" y="9726705"/>
          <a:ext cx="1244973" cy="547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4</xdr:col>
      <xdr:colOff>437029</xdr:colOff>
      <xdr:row>116</xdr:row>
      <xdr:rowOff>11206</xdr:rowOff>
    </xdr:from>
    <xdr:to>
      <xdr:col>4</xdr:col>
      <xdr:colOff>437029</xdr:colOff>
      <xdr:row>118</xdr:row>
      <xdr:rowOff>16298</xdr:rowOff>
    </xdr:to>
    <xdr:cxnSp macro="">
      <xdr:nvCxnSpPr>
        <xdr:cNvPr id="32" name="直線矢印コネクタ 31">
          <a:extLst>
            <a:ext uri="{FF2B5EF4-FFF2-40B4-BE49-F238E27FC236}">
              <a16:creationId xmlns:a16="http://schemas.microsoft.com/office/drawing/2014/main" id="{00000000-0008-0000-1200-000020000000}"/>
            </a:ext>
          </a:extLst>
        </xdr:cNvPr>
        <xdr:cNvCxnSpPr/>
      </xdr:nvCxnSpPr>
      <xdr:spPr>
        <a:xfrm flipV="1">
          <a:off x="2989729"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392206</xdr:colOff>
      <xdr:row>116</xdr:row>
      <xdr:rowOff>11206</xdr:rowOff>
    </xdr:from>
    <xdr:to>
      <xdr:col>5</xdr:col>
      <xdr:colOff>392206</xdr:colOff>
      <xdr:row>118</xdr:row>
      <xdr:rowOff>16298</xdr:rowOff>
    </xdr:to>
    <xdr:cxnSp macro="">
      <xdr:nvCxnSpPr>
        <xdr:cNvPr id="33" name="直線矢印コネクタ 32">
          <a:extLst>
            <a:ext uri="{FF2B5EF4-FFF2-40B4-BE49-F238E27FC236}">
              <a16:creationId xmlns:a16="http://schemas.microsoft.com/office/drawing/2014/main" id="{00000000-0008-0000-1200-000021000000}"/>
            </a:ext>
          </a:extLst>
        </xdr:cNvPr>
        <xdr:cNvCxnSpPr/>
      </xdr:nvCxnSpPr>
      <xdr:spPr>
        <a:xfrm flipV="1">
          <a:off x="3992656" y="9364756"/>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414618</xdr:colOff>
      <xdr:row>116</xdr:row>
      <xdr:rowOff>0</xdr:rowOff>
    </xdr:from>
    <xdr:to>
      <xdr:col>20</xdr:col>
      <xdr:colOff>414618</xdr:colOff>
      <xdr:row>118</xdr:row>
      <xdr:rowOff>5092</xdr:rowOff>
    </xdr:to>
    <xdr:cxnSp macro="">
      <xdr:nvCxnSpPr>
        <xdr:cNvPr id="34" name="直線矢印コネクタ 33">
          <a:extLst>
            <a:ext uri="{FF2B5EF4-FFF2-40B4-BE49-F238E27FC236}">
              <a16:creationId xmlns:a16="http://schemas.microsoft.com/office/drawing/2014/main" id="{00000000-0008-0000-1200-000022000000}"/>
            </a:ext>
          </a:extLst>
        </xdr:cNvPr>
        <xdr:cNvCxnSpPr/>
      </xdr:nvCxnSpPr>
      <xdr:spPr>
        <a:xfrm flipV="1">
          <a:off x="15073593" y="9353550"/>
          <a:ext cx="0" cy="367042"/>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145676</xdr:colOff>
      <xdr:row>118</xdr:row>
      <xdr:rowOff>33613</xdr:rowOff>
    </xdr:from>
    <xdr:to>
      <xdr:col>10</xdr:col>
      <xdr:colOff>38099</xdr:colOff>
      <xdr:row>128</xdr:row>
      <xdr:rowOff>43138</xdr:rowOff>
    </xdr:to>
    <xdr:grpSp>
      <xdr:nvGrpSpPr>
        <xdr:cNvPr id="35" name="cdeList_daizu" hidden="1">
          <a:extLst>
            <a:ext uri="{FF2B5EF4-FFF2-40B4-BE49-F238E27FC236}">
              <a16:creationId xmlns:a16="http://schemas.microsoft.com/office/drawing/2014/main" id="{00000000-0008-0000-1200-000023000000}"/>
            </a:ext>
          </a:extLst>
        </xdr:cNvPr>
        <xdr:cNvGrpSpPr/>
      </xdr:nvGrpSpPr>
      <xdr:grpSpPr>
        <a:xfrm>
          <a:off x="417819" y="9749113"/>
          <a:ext cx="6478280" cy="1778454"/>
          <a:chOff x="470647" y="15990794"/>
          <a:chExt cx="6403041" cy="1802466"/>
        </a:xfrm>
        <a:solidFill>
          <a:schemeClr val="lt1"/>
        </a:solidFill>
      </xdr:grpSpPr>
      <xdr:pic>
        <xdr:nvPicPr>
          <xdr:cNvPr id="36" name="図 35" hidden="1">
            <a:extLst>
              <a:ext uri="{FF2B5EF4-FFF2-40B4-BE49-F238E27FC236}">
                <a16:creationId xmlns:a16="http://schemas.microsoft.com/office/drawing/2014/main" id="{00000000-0008-0000-1200-00002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70647" y="15990794"/>
            <a:ext cx="2834528" cy="1802466"/>
          </a:xfrm>
          <a:prstGeom prst="rect">
            <a:avLst/>
          </a:prstGeom>
          <a:grpFill/>
        </xdr:spPr>
      </xdr:pic>
      <xdr:pic>
        <xdr:nvPicPr>
          <xdr:cNvPr id="37" name="図 36" hidden="1">
            <a:extLst>
              <a:ext uri="{FF2B5EF4-FFF2-40B4-BE49-F238E27FC236}">
                <a16:creationId xmlns:a16="http://schemas.microsoft.com/office/drawing/2014/main" id="{00000000-0008-0000-1200-00002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720353" y="15990794"/>
            <a:ext cx="3153335" cy="1623172"/>
          </a:xfrm>
          <a:prstGeom prst="rect">
            <a:avLst/>
          </a:prstGeom>
          <a:grpFill/>
        </xdr:spPr>
      </xdr:pic>
    </xdr:grpSp>
    <xdr:clientData/>
  </xdr:twoCellAnchor>
  <xdr:twoCellAnchor>
    <xdr:from>
      <xdr:col>2</xdr:col>
      <xdr:colOff>145676</xdr:colOff>
      <xdr:row>118</xdr:row>
      <xdr:rowOff>22413</xdr:rowOff>
    </xdr:from>
    <xdr:to>
      <xdr:col>10</xdr:col>
      <xdr:colOff>49305</xdr:colOff>
      <xdr:row>127</xdr:row>
      <xdr:rowOff>54349</xdr:rowOff>
    </xdr:to>
    <xdr:grpSp>
      <xdr:nvGrpSpPr>
        <xdr:cNvPr id="38" name="cdeList_genkan" hidden="1">
          <a:extLst>
            <a:ext uri="{FF2B5EF4-FFF2-40B4-BE49-F238E27FC236}">
              <a16:creationId xmlns:a16="http://schemas.microsoft.com/office/drawing/2014/main" id="{00000000-0008-0000-1200-000026000000}"/>
            </a:ext>
          </a:extLst>
        </xdr:cNvPr>
        <xdr:cNvGrpSpPr/>
      </xdr:nvGrpSpPr>
      <xdr:grpSpPr>
        <a:xfrm>
          <a:off x="417819" y="9737913"/>
          <a:ext cx="6489486" cy="1623972"/>
          <a:chOff x="470647" y="18142324"/>
          <a:chExt cx="6414247" cy="1645583"/>
        </a:xfrm>
        <a:solidFill>
          <a:schemeClr val="lt1"/>
        </a:solidFill>
      </xdr:grpSpPr>
      <xdr:pic>
        <xdr:nvPicPr>
          <xdr:cNvPr id="39" name="図 38" hidden="1">
            <a:extLst>
              <a:ext uri="{FF2B5EF4-FFF2-40B4-BE49-F238E27FC236}">
                <a16:creationId xmlns:a16="http://schemas.microsoft.com/office/drawing/2014/main" id="{00000000-0008-0000-1200-000027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70647" y="18142324"/>
            <a:ext cx="2834528" cy="1443878"/>
          </a:xfrm>
          <a:prstGeom prst="rect">
            <a:avLst/>
          </a:prstGeom>
          <a:grpFill/>
        </xdr:spPr>
      </xdr:pic>
      <xdr:pic>
        <xdr:nvPicPr>
          <xdr:cNvPr id="40" name="図 39" hidden="1">
            <a:extLst>
              <a:ext uri="{FF2B5EF4-FFF2-40B4-BE49-F238E27FC236}">
                <a16:creationId xmlns:a16="http://schemas.microsoft.com/office/drawing/2014/main" id="{00000000-0008-0000-1200-000028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3731559" y="18164735"/>
            <a:ext cx="3153335" cy="1623172"/>
          </a:xfrm>
          <a:prstGeom prst="rect">
            <a:avLst/>
          </a:prstGeom>
          <a:grpFill/>
        </xdr:spPr>
      </xdr:pic>
    </xdr:grpSp>
    <xdr:clientData/>
  </xdr:twoCellAnchor>
  <xdr:twoCellAnchor>
    <xdr:from>
      <xdr:col>2</xdr:col>
      <xdr:colOff>134471</xdr:colOff>
      <xdr:row>118</xdr:row>
      <xdr:rowOff>22412</xdr:rowOff>
    </xdr:from>
    <xdr:to>
      <xdr:col>10</xdr:col>
      <xdr:colOff>38100</xdr:colOff>
      <xdr:row>128</xdr:row>
      <xdr:rowOff>31937</xdr:rowOff>
    </xdr:to>
    <xdr:grpSp>
      <xdr:nvGrpSpPr>
        <xdr:cNvPr id="41" name="cdeList_genbare" hidden="1">
          <a:extLst>
            <a:ext uri="{FF2B5EF4-FFF2-40B4-BE49-F238E27FC236}">
              <a16:creationId xmlns:a16="http://schemas.microsoft.com/office/drawing/2014/main" id="{00000000-0008-0000-1200-000029000000}"/>
            </a:ext>
          </a:extLst>
        </xdr:cNvPr>
        <xdr:cNvGrpSpPr/>
      </xdr:nvGrpSpPr>
      <xdr:grpSpPr>
        <a:xfrm>
          <a:off x="406614" y="9737912"/>
          <a:ext cx="6489486" cy="1778454"/>
          <a:chOff x="470647" y="20114559"/>
          <a:chExt cx="6414247" cy="1802466"/>
        </a:xfrm>
      </xdr:grpSpPr>
      <xdr:pic>
        <xdr:nvPicPr>
          <xdr:cNvPr id="42" name="図 41" hidden="1">
            <a:extLst>
              <a:ext uri="{FF2B5EF4-FFF2-40B4-BE49-F238E27FC236}">
                <a16:creationId xmlns:a16="http://schemas.microsoft.com/office/drawing/2014/main" id="{00000000-0008-0000-1200-00002A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0647" y="20114559"/>
            <a:ext cx="2834528" cy="1802466"/>
          </a:xfrm>
          <a:prstGeom prst="rect">
            <a:avLst/>
          </a:prstGeom>
          <a:solidFill>
            <a:srgbClr val="FFFFFF"/>
          </a:solidFill>
        </xdr:spPr>
      </xdr:pic>
      <xdr:pic>
        <xdr:nvPicPr>
          <xdr:cNvPr id="43" name="図 42" hidden="1">
            <a:extLst>
              <a:ext uri="{FF2B5EF4-FFF2-40B4-BE49-F238E27FC236}">
                <a16:creationId xmlns:a16="http://schemas.microsoft.com/office/drawing/2014/main" id="{00000000-0008-0000-1200-00002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731559" y="20125765"/>
            <a:ext cx="3153335" cy="1623172"/>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xdr:from>
      <xdr:col>2</xdr:col>
      <xdr:colOff>134472</xdr:colOff>
      <xdr:row>118</xdr:row>
      <xdr:rowOff>22411</xdr:rowOff>
    </xdr:from>
    <xdr:to>
      <xdr:col>10</xdr:col>
      <xdr:colOff>49307</xdr:colOff>
      <xdr:row>128</xdr:row>
      <xdr:rowOff>43143</xdr:rowOff>
    </xdr:to>
    <xdr:grpSp>
      <xdr:nvGrpSpPr>
        <xdr:cNvPr id="44" name="cdeList_natane" hidden="1">
          <a:extLst>
            <a:ext uri="{FF2B5EF4-FFF2-40B4-BE49-F238E27FC236}">
              <a16:creationId xmlns:a16="http://schemas.microsoft.com/office/drawing/2014/main" id="{00000000-0008-0000-1200-00002C000000}"/>
            </a:ext>
          </a:extLst>
        </xdr:cNvPr>
        <xdr:cNvGrpSpPr/>
      </xdr:nvGrpSpPr>
      <xdr:grpSpPr>
        <a:xfrm>
          <a:off x="406615" y="9737911"/>
          <a:ext cx="6500692" cy="1789661"/>
          <a:chOff x="470647" y="22254882"/>
          <a:chExt cx="6425453" cy="1813673"/>
        </a:xfrm>
        <a:solidFill>
          <a:schemeClr val="lt1"/>
        </a:solidFill>
      </xdr:grpSpPr>
      <xdr:pic>
        <xdr:nvPicPr>
          <xdr:cNvPr id="45" name="図 44" hidden="1">
            <a:extLst>
              <a:ext uri="{FF2B5EF4-FFF2-40B4-BE49-F238E27FC236}">
                <a16:creationId xmlns:a16="http://schemas.microsoft.com/office/drawing/2014/main" id="{00000000-0008-0000-1200-00002D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70647" y="22266088"/>
            <a:ext cx="2834528" cy="1802467"/>
          </a:xfrm>
          <a:prstGeom prst="rect">
            <a:avLst/>
          </a:prstGeom>
          <a:grpFill/>
        </xdr:spPr>
      </xdr:pic>
      <xdr:pic>
        <xdr:nvPicPr>
          <xdr:cNvPr id="46" name="図 45" hidden="1">
            <a:extLst>
              <a:ext uri="{FF2B5EF4-FFF2-40B4-BE49-F238E27FC236}">
                <a16:creationId xmlns:a16="http://schemas.microsoft.com/office/drawing/2014/main" id="{00000000-0008-0000-1200-00002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3742765" y="22254882"/>
            <a:ext cx="3153335" cy="1623172"/>
          </a:xfrm>
          <a:prstGeom prst="rect">
            <a:avLst/>
          </a:prstGeom>
          <a:grpFill/>
        </xdr:spPr>
      </xdr:pic>
    </xdr:grpSp>
    <xdr:clientData/>
  </xdr:twoCellAnchor>
  <xdr:twoCellAnchor>
    <xdr:from>
      <xdr:col>2</xdr:col>
      <xdr:colOff>145677</xdr:colOff>
      <xdr:row>118</xdr:row>
      <xdr:rowOff>22412</xdr:rowOff>
    </xdr:from>
    <xdr:to>
      <xdr:col>10</xdr:col>
      <xdr:colOff>60511</xdr:colOff>
      <xdr:row>128</xdr:row>
      <xdr:rowOff>43143</xdr:rowOff>
    </xdr:to>
    <xdr:grpSp>
      <xdr:nvGrpSpPr>
        <xdr:cNvPr id="47" name="cdeList_tensai" hidden="1">
          <a:extLst>
            <a:ext uri="{FF2B5EF4-FFF2-40B4-BE49-F238E27FC236}">
              <a16:creationId xmlns:a16="http://schemas.microsoft.com/office/drawing/2014/main" id="{00000000-0008-0000-1200-00002F000000}"/>
            </a:ext>
          </a:extLst>
        </xdr:cNvPr>
        <xdr:cNvGrpSpPr/>
      </xdr:nvGrpSpPr>
      <xdr:grpSpPr>
        <a:xfrm>
          <a:off x="417820" y="9737912"/>
          <a:ext cx="6500691" cy="1789660"/>
          <a:chOff x="470647" y="24406412"/>
          <a:chExt cx="6425452" cy="1813674"/>
        </a:xfrm>
        <a:solidFill>
          <a:schemeClr val="lt1"/>
        </a:solidFill>
      </xdr:grpSpPr>
      <xdr:pic>
        <xdr:nvPicPr>
          <xdr:cNvPr id="48" name="図 47" hidden="1">
            <a:extLst>
              <a:ext uri="{FF2B5EF4-FFF2-40B4-BE49-F238E27FC236}">
                <a16:creationId xmlns:a16="http://schemas.microsoft.com/office/drawing/2014/main" id="{00000000-0008-0000-1200-00003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70647" y="24417620"/>
            <a:ext cx="2834528" cy="1802466"/>
          </a:xfrm>
          <a:prstGeom prst="rect">
            <a:avLst/>
          </a:prstGeom>
          <a:grpFill/>
        </xdr:spPr>
      </xdr:pic>
      <xdr:pic>
        <xdr:nvPicPr>
          <xdr:cNvPr id="49" name="図 48" hidden="1">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742764" y="24406412"/>
            <a:ext cx="3153335" cy="1623172"/>
          </a:xfrm>
          <a:prstGeom prst="rect">
            <a:avLst/>
          </a:prstGeom>
          <a:grpFill/>
        </xdr:spPr>
      </xdr:pic>
    </xdr:grpSp>
    <xdr:clientData/>
  </xdr:twoCellAnchor>
  <xdr:twoCellAnchor>
    <xdr:from>
      <xdr:col>2</xdr:col>
      <xdr:colOff>134469</xdr:colOff>
      <xdr:row>118</xdr:row>
      <xdr:rowOff>22411</xdr:rowOff>
    </xdr:from>
    <xdr:to>
      <xdr:col>10</xdr:col>
      <xdr:colOff>49304</xdr:colOff>
      <xdr:row>127</xdr:row>
      <xdr:rowOff>31936</xdr:rowOff>
    </xdr:to>
    <xdr:grpSp>
      <xdr:nvGrpSpPr>
        <xdr:cNvPr id="50" name="cdeList_satokibi" hidden="1">
          <a:extLst>
            <a:ext uri="{FF2B5EF4-FFF2-40B4-BE49-F238E27FC236}">
              <a16:creationId xmlns:a16="http://schemas.microsoft.com/office/drawing/2014/main" id="{00000000-0008-0000-1200-000032000000}"/>
            </a:ext>
          </a:extLst>
        </xdr:cNvPr>
        <xdr:cNvGrpSpPr/>
      </xdr:nvGrpSpPr>
      <xdr:grpSpPr>
        <a:xfrm>
          <a:off x="406612" y="9737911"/>
          <a:ext cx="6500692" cy="1601561"/>
          <a:chOff x="470647" y="26569147"/>
          <a:chExt cx="6425453" cy="1623172"/>
        </a:xfrm>
        <a:solidFill>
          <a:schemeClr val="lt1"/>
        </a:solidFill>
      </xdr:grpSpPr>
      <xdr:pic>
        <xdr:nvPicPr>
          <xdr:cNvPr id="51" name="図 50" hidden="1">
            <a:extLst>
              <a:ext uri="{FF2B5EF4-FFF2-40B4-BE49-F238E27FC236}">
                <a16:creationId xmlns:a16="http://schemas.microsoft.com/office/drawing/2014/main" id="{00000000-0008-0000-1200-000033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470647" y="26569147"/>
            <a:ext cx="2834528" cy="1623172"/>
          </a:xfrm>
          <a:prstGeom prst="rect">
            <a:avLst/>
          </a:prstGeom>
          <a:grpFill/>
        </xdr:spPr>
      </xdr:pic>
      <xdr:pic>
        <xdr:nvPicPr>
          <xdr:cNvPr id="52" name="図 51" hidden="1">
            <a:extLst>
              <a:ext uri="{FF2B5EF4-FFF2-40B4-BE49-F238E27FC236}">
                <a16:creationId xmlns:a16="http://schemas.microsoft.com/office/drawing/2014/main" id="{00000000-0008-0000-1200-000034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3742765" y="26569147"/>
            <a:ext cx="3153335" cy="1623172"/>
          </a:xfrm>
          <a:prstGeom prst="rect">
            <a:avLst/>
          </a:prstGeom>
          <a:grpFill/>
        </xdr:spPr>
      </xdr:pic>
    </xdr:grpSp>
    <xdr:clientData/>
  </xdr:twoCellAnchor>
  <mc:AlternateContent xmlns:mc="http://schemas.openxmlformats.org/markup-compatibility/2006">
    <mc:Choice xmlns:a14="http://schemas.microsoft.com/office/drawing/2010/main" Requires="a14">
      <xdr:twoCellAnchor editAs="oneCell">
        <xdr:from>
          <xdr:col>4</xdr:col>
          <xdr:colOff>19050</xdr:colOff>
          <xdr:row>5</xdr:row>
          <xdr:rowOff>142875</xdr:rowOff>
        </xdr:from>
        <xdr:to>
          <xdr:col>5</xdr:col>
          <xdr:colOff>38100</xdr:colOff>
          <xdr:row>6</xdr:row>
          <xdr:rowOff>171450</xdr:rowOff>
        </xdr:to>
        <xdr:sp macro="" textlink="">
          <xdr:nvSpPr>
            <xdr:cNvPr id="16385" name="Label1" hidden="1">
              <a:extLst>
                <a:ext uri="{63B3BB69-23CF-44E3-9099-C40C66FF867C}">
                  <a14:compatExt spid="_x0000_s16385"/>
                </a:ext>
                <a:ext uri="{FF2B5EF4-FFF2-40B4-BE49-F238E27FC236}">
                  <a16:creationId xmlns:a16="http://schemas.microsoft.com/office/drawing/2014/main" id="{00000000-0008-0000-1200-000001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7</xdr:row>
          <xdr:rowOff>0</xdr:rowOff>
        </xdr:from>
        <xdr:to>
          <xdr:col>5</xdr:col>
          <xdr:colOff>38100</xdr:colOff>
          <xdr:row>8</xdr:row>
          <xdr:rowOff>38100</xdr:rowOff>
        </xdr:to>
        <xdr:sp macro="" textlink="">
          <xdr:nvSpPr>
            <xdr:cNvPr id="16386" name="txt_hyouji" hidden="1">
              <a:extLst>
                <a:ext uri="{63B3BB69-23CF-44E3-9099-C40C66FF867C}">
                  <a14:compatExt spid="_x0000_s16386"/>
                </a:ext>
                <a:ext uri="{FF2B5EF4-FFF2-40B4-BE49-F238E27FC236}">
                  <a16:creationId xmlns:a16="http://schemas.microsoft.com/office/drawing/2014/main" id="{00000000-0008-0000-1200-000002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5</xdr:row>
          <xdr:rowOff>142875</xdr:rowOff>
        </xdr:from>
        <xdr:to>
          <xdr:col>6</xdr:col>
          <xdr:colOff>95250</xdr:colOff>
          <xdr:row>8</xdr:row>
          <xdr:rowOff>28575</xdr:rowOff>
        </xdr:to>
        <xdr:sp macro="" textlink="">
          <xdr:nvSpPr>
            <xdr:cNvPr id="16387" name="btnKoushin1" hidden="1">
              <a:extLst>
                <a:ext uri="{63B3BB69-23CF-44E3-9099-C40C66FF867C}">
                  <a14:compatExt spid="_x0000_s16387"/>
                </a:ext>
                <a:ext uri="{FF2B5EF4-FFF2-40B4-BE49-F238E27FC236}">
                  <a16:creationId xmlns:a16="http://schemas.microsoft.com/office/drawing/2014/main" id="{00000000-0008-0000-1200-00000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23</xdr:col>
      <xdr:colOff>105221</xdr:colOff>
      <xdr:row>8</xdr:row>
      <xdr:rowOff>28575</xdr:rowOff>
    </xdr:from>
    <xdr:to>
      <xdr:col>23</xdr:col>
      <xdr:colOff>105221</xdr:colOff>
      <xdr:row>9</xdr:row>
      <xdr:rowOff>171600</xdr:rowOff>
    </xdr:to>
    <xdr:cxnSp macro="">
      <xdr:nvCxnSpPr>
        <xdr:cNvPr id="2" name="直線矢印コネクタ 1">
          <a:extLst>
            <a:ext uri="{FF2B5EF4-FFF2-40B4-BE49-F238E27FC236}">
              <a16:creationId xmlns:a16="http://schemas.microsoft.com/office/drawing/2014/main" id="{00000000-0008-0000-1400-000002000000}"/>
            </a:ext>
          </a:extLst>
        </xdr:cNvPr>
        <xdr:cNvCxnSpPr/>
      </xdr:nvCxnSpPr>
      <xdr:spPr bwMode="auto">
        <a:xfrm flipV="1">
          <a:off x="4705796" y="1476375"/>
          <a:ext cx="0" cy="32400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76201</xdr:colOff>
      <xdr:row>6</xdr:row>
      <xdr:rowOff>142873</xdr:rowOff>
    </xdr:from>
    <xdr:to>
      <xdr:col>63</xdr:col>
      <xdr:colOff>114301</xdr:colOff>
      <xdr:row>9</xdr:row>
      <xdr:rowOff>175949</xdr:rowOff>
    </xdr:to>
    <xdr:grpSp>
      <xdr:nvGrpSpPr>
        <xdr:cNvPr id="3" name="グループ化 23">
          <a:extLst>
            <a:ext uri="{FF2B5EF4-FFF2-40B4-BE49-F238E27FC236}">
              <a16:creationId xmlns:a16="http://schemas.microsoft.com/office/drawing/2014/main" id="{00000000-0008-0000-1400-000003000000}"/>
            </a:ext>
          </a:extLst>
        </xdr:cNvPr>
        <xdr:cNvGrpSpPr>
          <a:grpSpLocks/>
        </xdr:cNvGrpSpPr>
      </xdr:nvGrpSpPr>
      <xdr:grpSpPr bwMode="auto">
        <a:xfrm rot="5400000" flipH="1">
          <a:off x="9916677" y="-1288389"/>
          <a:ext cx="563755" cy="5548993"/>
          <a:chOff x="4728760" y="1353911"/>
          <a:chExt cx="1095870" cy="336096"/>
        </a:xfrm>
      </xdr:grpSpPr>
      <xdr:cxnSp macro="">
        <xdr:nvCxnSpPr>
          <xdr:cNvPr id="4" name="直線矢印コネクタ 3">
            <a:extLst>
              <a:ext uri="{FF2B5EF4-FFF2-40B4-BE49-F238E27FC236}">
                <a16:creationId xmlns:a16="http://schemas.microsoft.com/office/drawing/2014/main" id="{00000000-0008-0000-1400-000004000000}"/>
              </a:ext>
            </a:extLst>
          </xdr:cNvPr>
          <xdr:cNvCxnSpPr/>
        </xdr:nvCxnSpPr>
        <xdr:spPr>
          <a:xfrm>
            <a:off x="4728760" y="1354499"/>
            <a:ext cx="1095869"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1400-000005000000}"/>
              </a:ext>
            </a:extLst>
          </xdr:cNvPr>
          <xdr:cNvCxnSpPr/>
        </xdr:nvCxnSpPr>
        <xdr:spPr>
          <a:xfrm>
            <a:off x="5824630" y="1353911"/>
            <a:ext cx="0" cy="336096"/>
          </a:xfrm>
          <a:prstGeom prst="line">
            <a:avLst/>
          </a:prstGeom>
          <a:ln w="28575">
            <a:solidFill>
              <a:srgbClr val="0041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12</xdr:col>
      <xdr:colOff>19049</xdr:colOff>
      <xdr:row>4</xdr:row>
      <xdr:rowOff>123825</xdr:rowOff>
    </xdr:from>
    <xdr:to>
      <xdr:col>41</xdr:col>
      <xdr:colOff>76199</xdr:colOff>
      <xdr:row>8</xdr:row>
      <xdr:rowOff>119925</xdr:rowOff>
    </xdr:to>
    <xdr:sp macro="" textlink="">
      <xdr:nvSpPr>
        <xdr:cNvPr id="6" name="角丸四角形 5">
          <a:extLst>
            <a:ext uri="{FF2B5EF4-FFF2-40B4-BE49-F238E27FC236}">
              <a16:creationId xmlns:a16="http://schemas.microsoft.com/office/drawing/2014/main" id="{00000000-0008-0000-1400-000006000000}"/>
            </a:ext>
          </a:extLst>
        </xdr:cNvPr>
        <xdr:cNvSpPr/>
      </xdr:nvSpPr>
      <xdr:spPr>
        <a:xfrm>
          <a:off x="2419349" y="847725"/>
          <a:ext cx="5857875" cy="720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1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・対象品目以外の作物へ共通して使用した場合には、使用面積割合を目安に記入してください。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52</xdr:col>
          <xdr:colOff>9525</xdr:colOff>
          <xdr:row>3</xdr:row>
          <xdr:rowOff>152400</xdr:rowOff>
        </xdr:from>
        <xdr:to>
          <xdr:col>57</xdr:col>
          <xdr:colOff>76200</xdr:colOff>
          <xdr:row>5</xdr:row>
          <xdr:rowOff>0</xdr:rowOff>
        </xdr:to>
        <xdr:sp macro="" textlink="">
          <xdr:nvSpPr>
            <xdr:cNvPr id="17409" name="Label1" hidden="1">
              <a:extLst>
                <a:ext uri="{63B3BB69-23CF-44E3-9099-C40C66FF867C}">
                  <a14:compatExt spid="_x0000_s17409"/>
                </a:ext>
                <a:ext uri="{FF2B5EF4-FFF2-40B4-BE49-F238E27FC236}">
                  <a16:creationId xmlns:a16="http://schemas.microsoft.com/office/drawing/2014/main" id="{00000000-0008-0000-14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52</xdr:col>
          <xdr:colOff>9525</xdr:colOff>
          <xdr:row>5</xdr:row>
          <xdr:rowOff>0</xdr:rowOff>
        </xdr:from>
        <xdr:to>
          <xdr:col>57</xdr:col>
          <xdr:colOff>76200</xdr:colOff>
          <xdr:row>6</xdr:row>
          <xdr:rowOff>28575</xdr:rowOff>
        </xdr:to>
        <xdr:sp macro="" textlink="">
          <xdr:nvSpPr>
            <xdr:cNvPr id="17410" name="txt_hyouji" hidden="1">
              <a:extLst>
                <a:ext uri="{63B3BB69-23CF-44E3-9099-C40C66FF867C}">
                  <a14:compatExt spid="_x0000_s17410"/>
                </a:ext>
                <a:ext uri="{FF2B5EF4-FFF2-40B4-BE49-F238E27FC236}">
                  <a16:creationId xmlns:a16="http://schemas.microsoft.com/office/drawing/2014/main" id="{00000000-0008-0000-14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57</xdr:col>
          <xdr:colOff>171450</xdr:colOff>
          <xdr:row>3</xdr:row>
          <xdr:rowOff>152400</xdr:rowOff>
        </xdr:from>
        <xdr:to>
          <xdr:col>64</xdr:col>
          <xdr:colOff>38100</xdr:colOff>
          <xdr:row>6</xdr:row>
          <xdr:rowOff>28575</xdr:rowOff>
        </xdr:to>
        <xdr:sp macro="" textlink="">
          <xdr:nvSpPr>
            <xdr:cNvPr id="17411" name="btnKoushin1" hidden="1">
              <a:extLst>
                <a:ext uri="{63B3BB69-23CF-44E3-9099-C40C66FF867C}">
                  <a14:compatExt spid="_x0000_s17411"/>
                </a:ext>
                <a:ext uri="{FF2B5EF4-FFF2-40B4-BE49-F238E27FC236}">
                  <a16:creationId xmlns:a16="http://schemas.microsoft.com/office/drawing/2014/main" id="{00000000-0008-0000-14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9</xdr:col>
      <xdr:colOff>107153</xdr:colOff>
      <xdr:row>15</xdr:row>
      <xdr:rowOff>83345</xdr:rowOff>
    </xdr:from>
    <xdr:to>
      <xdr:col>9</xdr:col>
      <xdr:colOff>107156</xdr:colOff>
      <xdr:row>20</xdr:row>
      <xdr:rowOff>209328</xdr:rowOff>
    </xdr:to>
    <xdr:cxnSp macro="">
      <xdr:nvCxnSpPr>
        <xdr:cNvPr id="2" name="直線矢印コネクタ 1">
          <a:extLst>
            <a:ext uri="{FF2B5EF4-FFF2-40B4-BE49-F238E27FC236}">
              <a16:creationId xmlns:a16="http://schemas.microsoft.com/office/drawing/2014/main" id="{00000000-0008-0000-1500-000002000000}"/>
            </a:ext>
          </a:extLst>
        </xdr:cNvPr>
        <xdr:cNvCxnSpPr/>
      </xdr:nvCxnSpPr>
      <xdr:spPr bwMode="auto">
        <a:xfrm flipH="1" flipV="1">
          <a:off x="6279353" y="2845595"/>
          <a:ext cx="3" cy="1173733"/>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416718</xdr:colOff>
      <xdr:row>20</xdr:row>
      <xdr:rowOff>199867</xdr:rowOff>
    </xdr:from>
    <xdr:to>
      <xdr:col>6</xdr:col>
      <xdr:colOff>416718</xdr:colOff>
      <xdr:row>22</xdr:row>
      <xdr:rowOff>226219</xdr:rowOff>
    </xdr:to>
    <xdr:cxnSp macro="">
      <xdr:nvCxnSpPr>
        <xdr:cNvPr id="3" name="直線矢印コネクタ 2">
          <a:extLst>
            <a:ext uri="{FF2B5EF4-FFF2-40B4-BE49-F238E27FC236}">
              <a16:creationId xmlns:a16="http://schemas.microsoft.com/office/drawing/2014/main" id="{00000000-0008-0000-1500-000003000000}"/>
            </a:ext>
          </a:extLst>
        </xdr:cNvPr>
        <xdr:cNvCxnSpPr/>
      </xdr:nvCxnSpPr>
      <xdr:spPr bwMode="auto">
        <a:xfrm rot="16200000">
          <a:off x="5042217" y="4137343"/>
          <a:ext cx="254952"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416717</xdr:colOff>
      <xdr:row>20</xdr:row>
      <xdr:rowOff>201909</xdr:rowOff>
    </xdr:from>
    <xdr:to>
      <xdr:col>9</xdr:col>
      <xdr:colOff>106252</xdr:colOff>
      <xdr:row>20</xdr:row>
      <xdr:rowOff>201909</xdr:rowOff>
    </xdr:to>
    <xdr:cxnSp macro="">
      <xdr:nvCxnSpPr>
        <xdr:cNvPr id="4" name="直線矢印コネクタ 3">
          <a:extLst>
            <a:ext uri="{FF2B5EF4-FFF2-40B4-BE49-F238E27FC236}">
              <a16:creationId xmlns:a16="http://schemas.microsoft.com/office/drawing/2014/main" id="{00000000-0008-0000-1500-000004000000}"/>
            </a:ext>
          </a:extLst>
        </xdr:cNvPr>
        <xdr:cNvCxnSpPr/>
      </xdr:nvCxnSpPr>
      <xdr:spPr bwMode="auto">
        <a:xfrm rot="16200000" flipV="1">
          <a:off x="5724072" y="3457529"/>
          <a:ext cx="0" cy="110876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371476</xdr:colOff>
      <xdr:row>182</xdr:row>
      <xdr:rowOff>19050</xdr:rowOff>
    </xdr:from>
    <xdr:to>
      <xdr:col>7</xdr:col>
      <xdr:colOff>369094</xdr:colOff>
      <xdr:row>186</xdr:row>
      <xdr:rowOff>209550</xdr:rowOff>
    </xdr:to>
    <xdr:grpSp>
      <xdr:nvGrpSpPr>
        <xdr:cNvPr id="5" name="グループ化 4">
          <a:extLst>
            <a:ext uri="{FF2B5EF4-FFF2-40B4-BE49-F238E27FC236}">
              <a16:creationId xmlns:a16="http://schemas.microsoft.com/office/drawing/2014/main" id="{00000000-0008-0000-1500-000005000000}"/>
            </a:ext>
          </a:extLst>
        </xdr:cNvPr>
        <xdr:cNvGrpSpPr/>
      </xdr:nvGrpSpPr>
      <xdr:grpSpPr>
        <a:xfrm>
          <a:off x="5133976" y="10306050"/>
          <a:ext cx="759618" cy="1000125"/>
          <a:chOff x="5915026" y="2409825"/>
          <a:chExt cx="828676" cy="1001258"/>
        </a:xfrm>
      </xdr:grpSpPr>
      <xdr:cxnSp macro="">
        <xdr:nvCxnSpPr>
          <xdr:cNvPr id="6" name="直線矢印コネクタ 5">
            <a:extLst>
              <a:ext uri="{FF2B5EF4-FFF2-40B4-BE49-F238E27FC236}">
                <a16:creationId xmlns:a16="http://schemas.microsoft.com/office/drawing/2014/main" id="{00000000-0008-0000-1500-000006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7" name="直線矢印コネクタ 6">
            <a:extLst>
              <a:ext uri="{FF2B5EF4-FFF2-40B4-BE49-F238E27FC236}">
                <a16:creationId xmlns:a16="http://schemas.microsoft.com/office/drawing/2014/main" id="{00000000-0008-0000-1500-000007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8" name="直線矢印コネクタ 7">
            <a:extLst>
              <a:ext uri="{FF2B5EF4-FFF2-40B4-BE49-F238E27FC236}">
                <a16:creationId xmlns:a16="http://schemas.microsoft.com/office/drawing/2014/main" id="{00000000-0008-0000-1500-000008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914400</xdr:colOff>
      <xdr:row>177</xdr:row>
      <xdr:rowOff>123965</xdr:rowOff>
    </xdr:from>
    <xdr:to>
      <xdr:col>8</xdr:col>
      <xdr:colOff>161925</xdr:colOff>
      <xdr:row>182</xdr:row>
      <xdr:rowOff>75640</xdr:rowOff>
    </xdr:to>
    <xdr:sp macro="" textlink="">
      <xdr:nvSpPr>
        <xdr:cNvPr id="9" name="角丸四角形 8">
          <a:extLst>
            <a:ext uri="{FF2B5EF4-FFF2-40B4-BE49-F238E27FC236}">
              <a16:creationId xmlns:a16="http://schemas.microsoft.com/office/drawing/2014/main" id="{00000000-0008-0000-1500-000009000000}"/>
            </a:ext>
          </a:extLst>
        </xdr:cNvPr>
        <xdr:cNvSpPr/>
      </xdr:nvSpPr>
      <xdr:spPr>
        <a:xfrm>
          <a:off x="561975" y="9553715"/>
          <a:ext cx="5610225" cy="866075"/>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xdr:twoCellAnchor>
    <xdr:from>
      <xdr:col>1</xdr:col>
      <xdr:colOff>11208</xdr:colOff>
      <xdr:row>1</xdr:row>
      <xdr:rowOff>221457</xdr:rowOff>
    </xdr:from>
    <xdr:to>
      <xdr:col>9</xdr:col>
      <xdr:colOff>545308</xdr:colOff>
      <xdr:row>15</xdr:row>
      <xdr:rowOff>94194</xdr:rowOff>
    </xdr:to>
    <xdr:grpSp>
      <xdr:nvGrpSpPr>
        <xdr:cNvPr id="10" name="CommentSakutuketiSoshiki">
          <a:extLst>
            <a:ext uri="{FF2B5EF4-FFF2-40B4-BE49-F238E27FC236}">
              <a16:creationId xmlns:a16="http://schemas.microsoft.com/office/drawing/2014/main" id="{00000000-0008-0000-1500-00000A000000}"/>
            </a:ext>
          </a:extLst>
        </xdr:cNvPr>
        <xdr:cNvGrpSpPr/>
      </xdr:nvGrpSpPr>
      <xdr:grpSpPr>
        <a:xfrm>
          <a:off x="82646" y="400051"/>
          <a:ext cx="6642006" cy="2420674"/>
          <a:chOff x="716058" y="211932"/>
          <a:chExt cx="6642006" cy="2420674"/>
        </a:xfrm>
      </xdr:grpSpPr>
      <xdr:sp macro="" textlink="">
        <xdr:nvSpPr>
          <xdr:cNvPr id="11" name="角丸四角形 10">
            <a:extLst>
              <a:ext uri="{FF2B5EF4-FFF2-40B4-BE49-F238E27FC236}">
                <a16:creationId xmlns:a16="http://schemas.microsoft.com/office/drawing/2014/main" id="{00000000-0008-0000-1500-00000B000000}"/>
              </a:ext>
            </a:extLst>
          </xdr:cNvPr>
          <xdr:cNvSpPr/>
        </xdr:nvSpPr>
        <xdr:spPr bwMode="auto">
          <a:xfrm>
            <a:off x="716058" y="211932"/>
            <a:ext cx="6642006" cy="2420674"/>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る作物別の収入が食用米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す。</a:t>
            </a:r>
          </a:p>
        </xdr:txBody>
      </xdr:sp>
      <xdr:grpSp>
        <xdr:nvGrpSpPr>
          <xdr:cNvPr id="12" name="グループ化 18">
            <a:extLst>
              <a:ext uri="{FF2B5EF4-FFF2-40B4-BE49-F238E27FC236}">
                <a16:creationId xmlns:a16="http://schemas.microsoft.com/office/drawing/2014/main" id="{00000000-0008-0000-1500-00000C000000}"/>
              </a:ext>
            </a:extLst>
          </xdr:cNvPr>
          <xdr:cNvGrpSpPr>
            <a:grpSpLocks/>
          </xdr:cNvGrpSpPr>
        </xdr:nvGrpSpPr>
        <xdr:grpSpPr bwMode="auto">
          <a:xfrm>
            <a:off x="1378911" y="1821731"/>
            <a:ext cx="4965943" cy="585255"/>
            <a:chOff x="4648199" y="1295405"/>
            <a:chExt cx="2817361" cy="495299"/>
          </a:xfrm>
        </xdr:grpSpPr>
        <xdr:cxnSp macro="">
          <xdr:nvCxnSpPr>
            <xdr:cNvPr id="13" name="直線コネクタ 12">
              <a:extLst>
                <a:ext uri="{FF2B5EF4-FFF2-40B4-BE49-F238E27FC236}">
                  <a16:creationId xmlns:a16="http://schemas.microsoft.com/office/drawing/2014/main" id="{00000000-0008-0000-1500-00000D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4" name="テキスト ボックス 13">
              <a:extLst>
                <a:ext uri="{FF2B5EF4-FFF2-40B4-BE49-F238E27FC236}">
                  <a16:creationId xmlns:a16="http://schemas.microsoft.com/office/drawing/2014/main" id="{00000000-0008-0000-1500-00000E000000}"/>
                </a:ext>
              </a:extLst>
            </xdr:cNvPr>
            <xdr:cNvSpPr txBox="1"/>
          </xdr:nvSpPr>
          <xdr:spPr>
            <a:xfrm>
              <a:off x="6526656" y="1398201"/>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5" name="テキスト ボックス 14">
              <a:extLst>
                <a:ext uri="{FF2B5EF4-FFF2-40B4-BE49-F238E27FC236}">
                  <a16:creationId xmlns:a16="http://schemas.microsoft.com/office/drawing/2014/main" id="{00000000-0008-0000-1500-00000F000000}"/>
                </a:ext>
              </a:extLst>
            </xdr:cNvPr>
            <xdr:cNvSpPr txBox="1"/>
          </xdr:nvSpPr>
          <xdr:spPr>
            <a:xfrm>
              <a:off x="5163702" y="1295405"/>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6" name="テキスト ボックス 15">
              <a:extLst>
                <a:ext uri="{FF2B5EF4-FFF2-40B4-BE49-F238E27FC236}">
                  <a16:creationId xmlns:a16="http://schemas.microsoft.com/office/drawing/2014/main" id="{00000000-0008-0000-1500-000010000000}"/>
                </a:ext>
              </a:extLst>
            </xdr:cNvPr>
            <xdr:cNvSpPr txBox="1"/>
          </xdr:nvSpPr>
          <xdr:spPr>
            <a:xfrm>
              <a:off x="4648199" y="1547726"/>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mc:AlternateContent xmlns:mc="http://schemas.openxmlformats.org/markup-compatibility/2006">
    <mc:Choice xmlns:a14="http://schemas.microsoft.com/office/drawing/2010/main" Requires="a14">
      <xdr:twoCellAnchor editAs="oneCell">
        <xdr:from>
          <xdr:col>4</xdr:col>
          <xdr:colOff>0</xdr:colOff>
          <xdr:row>17</xdr:row>
          <xdr:rowOff>66675</xdr:rowOff>
        </xdr:from>
        <xdr:to>
          <xdr:col>4</xdr:col>
          <xdr:colOff>1066800</xdr:colOff>
          <xdr:row>18</xdr:row>
          <xdr:rowOff>47625</xdr:rowOff>
        </xdr:to>
        <xdr:sp macro="" textlink="">
          <xdr:nvSpPr>
            <xdr:cNvPr id="18433" name="Label1" hidden="1">
              <a:extLst>
                <a:ext uri="{63B3BB69-23CF-44E3-9099-C40C66FF867C}">
                  <a14:compatExt spid="_x0000_s18433"/>
                </a:ext>
                <a:ext uri="{FF2B5EF4-FFF2-40B4-BE49-F238E27FC236}">
                  <a16:creationId xmlns:a16="http://schemas.microsoft.com/office/drawing/2014/main" id="{00000000-0008-0000-1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47625</xdr:rowOff>
        </xdr:from>
        <xdr:to>
          <xdr:col>4</xdr:col>
          <xdr:colOff>1066800</xdr:colOff>
          <xdr:row>19</xdr:row>
          <xdr:rowOff>19050</xdr:rowOff>
        </xdr:to>
        <xdr:sp macro="" textlink="">
          <xdr:nvSpPr>
            <xdr:cNvPr id="18434" name="txt_hyouji1" hidden="1">
              <a:extLst>
                <a:ext uri="{63B3BB69-23CF-44E3-9099-C40C66FF867C}">
                  <a14:compatExt spid="_x0000_s18434"/>
                </a:ext>
                <a:ext uri="{FF2B5EF4-FFF2-40B4-BE49-F238E27FC236}">
                  <a16:creationId xmlns:a16="http://schemas.microsoft.com/office/drawing/2014/main" id="{00000000-0008-0000-1500-000002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17</xdr:row>
          <xdr:rowOff>66675</xdr:rowOff>
        </xdr:from>
        <xdr:to>
          <xdr:col>6</xdr:col>
          <xdr:colOff>171450</xdr:colOff>
          <xdr:row>19</xdr:row>
          <xdr:rowOff>19050</xdr:rowOff>
        </xdr:to>
        <xdr:sp macro="" textlink="">
          <xdr:nvSpPr>
            <xdr:cNvPr id="18435" name="btnKoushin1" hidden="1">
              <a:extLst>
                <a:ext uri="{63B3BB69-23CF-44E3-9099-C40C66FF867C}">
                  <a14:compatExt spid="_x0000_s18435"/>
                </a:ext>
                <a:ext uri="{FF2B5EF4-FFF2-40B4-BE49-F238E27FC236}">
                  <a16:creationId xmlns:a16="http://schemas.microsoft.com/office/drawing/2014/main" id="{00000000-0008-0000-1500-000003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182</xdr:row>
          <xdr:rowOff>152400</xdr:rowOff>
        </xdr:from>
        <xdr:to>
          <xdr:col>4</xdr:col>
          <xdr:colOff>1114425</xdr:colOff>
          <xdr:row>184</xdr:row>
          <xdr:rowOff>0</xdr:rowOff>
        </xdr:to>
        <xdr:sp macro="" textlink="">
          <xdr:nvSpPr>
            <xdr:cNvPr id="18436" name="Label2" hidden="1">
              <a:extLst>
                <a:ext uri="{63B3BB69-23CF-44E3-9099-C40C66FF867C}">
                  <a14:compatExt spid="_x0000_s18436"/>
                </a:ext>
                <a:ext uri="{FF2B5EF4-FFF2-40B4-BE49-F238E27FC236}">
                  <a16:creationId xmlns:a16="http://schemas.microsoft.com/office/drawing/2014/main" id="{00000000-0008-0000-1500-000004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184</xdr:row>
          <xdr:rowOff>0</xdr:rowOff>
        </xdr:from>
        <xdr:to>
          <xdr:col>4</xdr:col>
          <xdr:colOff>1114425</xdr:colOff>
          <xdr:row>184</xdr:row>
          <xdr:rowOff>209550</xdr:rowOff>
        </xdr:to>
        <xdr:sp macro="" textlink="">
          <xdr:nvSpPr>
            <xdr:cNvPr id="18437" name="txt_hyouji2" hidden="1">
              <a:extLst>
                <a:ext uri="{63B3BB69-23CF-44E3-9099-C40C66FF867C}">
                  <a14:compatExt spid="_x0000_s18437"/>
                </a:ext>
                <a:ext uri="{FF2B5EF4-FFF2-40B4-BE49-F238E27FC236}">
                  <a16:creationId xmlns:a16="http://schemas.microsoft.com/office/drawing/2014/main" id="{00000000-0008-0000-1500-000005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182</xdr:row>
          <xdr:rowOff>152400</xdr:rowOff>
        </xdr:from>
        <xdr:to>
          <xdr:col>6</xdr:col>
          <xdr:colOff>219075</xdr:colOff>
          <xdr:row>184</xdr:row>
          <xdr:rowOff>209550</xdr:rowOff>
        </xdr:to>
        <xdr:sp macro="" textlink="">
          <xdr:nvSpPr>
            <xdr:cNvPr id="18438" name="btnKoushin2" hidden="1">
              <a:extLst>
                <a:ext uri="{63B3BB69-23CF-44E3-9099-C40C66FF867C}">
                  <a14:compatExt spid="_x0000_s18438"/>
                </a:ext>
                <a:ext uri="{FF2B5EF4-FFF2-40B4-BE49-F238E27FC236}">
                  <a16:creationId xmlns:a16="http://schemas.microsoft.com/office/drawing/2014/main" id="{00000000-0008-0000-15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xdr:from>
      <xdr:col>7</xdr:col>
      <xdr:colOff>417420</xdr:colOff>
      <xdr:row>14</xdr:row>
      <xdr:rowOff>40484</xdr:rowOff>
    </xdr:from>
    <xdr:to>
      <xdr:col>9</xdr:col>
      <xdr:colOff>0</xdr:colOff>
      <xdr:row>21</xdr:row>
      <xdr:rowOff>1274</xdr:rowOff>
    </xdr:to>
    <xdr:grpSp>
      <xdr:nvGrpSpPr>
        <xdr:cNvPr id="2" name="グループ化 1">
          <a:extLst>
            <a:ext uri="{FF2B5EF4-FFF2-40B4-BE49-F238E27FC236}">
              <a16:creationId xmlns:a16="http://schemas.microsoft.com/office/drawing/2014/main" id="{00000000-0008-0000-1600-000002000000}"/>
            </a:ext>
          </a:extLst>
        </xdr:cNvPr>
        <xdr:cNvGrpSpPr/>
      </xdr:nvGrpSpPr>
      <xdr:grpSpPr>
        <a:xfrm>
          <a:off x="6513420" y="2540797"/>
          <a:ext cx="892268" cy="1079977"/>
          <a:chOff x="5915026" y="2409825"/>
          <a:chExt cx="828676" cy="1001258"/>
        </a:xfrm>
      </xdr:grpSpPr>
      <xdr:cxnSp macro="">
        <xdr:nvCxnSpPr>
          <xdr:cNvPr id="3" name="直線矢印コネクタ 2">
            <a:extLst>
              <a:ext uri="{FF2B5EF4-FFF2-40B4-BE49-F238E27FC236}">
                <a16:creationId xmlns:a16="http://schemas.microsoft.com/office/drawing/2014/main" id="{00000000-0008-0000-1600-000003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4" name="直線矢印コネクタ 3">
            <a:extLst>
              <a:ext uri="{FF2B5EF4-FFF2-40B4-BE49-F238E27FC236}">
                <a16:creationId xmlns:a16="http://schemas.microsoft.com/office/drawing/2014/main" id="{00000000-0008-0000-1600-000004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5" name="直線矢印コネクタ 4">
            <a:extLst>
              <a:ext uri="{FF2B5EF4-FFF2-40B4-BE49-F238E27FC236}">
                <a16:creationId xmlns:a16="http://schemas.microsoft.com/office/drawing/2014/main" id="{00000000-0008-0000-1600-000005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3</xdr:col>
      <xdr:colOff>292895</xdr:colOff>
      <xdr:row>1</xdr:row>
      <xdr:rowOff>142875</xdr:rowOff>
    </xdr:from>
    <xdr:to>
      <xdr:col>10</xdr:col>
      <xdr:colOff>234065</xdr:colOff>
      <xdr:row>14</xdr:row>
      <xdr:rowOff>63237</xdr:rowOff>
    </xdr:to>
    <xdr:grpSp>
      <xdr:nvGrpSpPr>
        <xdr:cNvPr id="6" name="グループ化 5">
          <a:extLst>
            <a:ext uri="{FF2B5EF4-FFF2-40B4-BE49-F238E27FC236}">
              <a16:creationId xmlns:a16="http://schemas.microsoft.com/office/drawing/2014/main" id="{00000000-0008-0000-1600-000006000000}"/>
            </a:ext>
          </a:extLst>
        </xdr:cNvPr>
        <xdr:cNvGrpSpPr/>
      </xdr:nvGrpSpPr>
      <xdr:grpSpPr>
        <a:xfrm>
          <a:off x="864395" y="321469"/>
          <a:ext cx="6775358" cy="2242081"/>
          <a:chOff x="1050965" y="473867"/>
          <a:chExt cx="6494711" cy="2088000"/>
        </a:xfrm>
      </xdr:grpSpPr>
      <xdr:sp macro="" textlink="">
        <xdr:nvSpPr>
          <xdr:cNvPr id="7" name="角丸四角形 15">
            <a:extLst>
              <a:ext uri="{FF2B5EF4-FFF2-40B4-BE49-F238E27FC236}">
                <a16:creationId xmlns:a16="http://schemas.microsoft.com/office/drawing/2014/main" id="{00000000-0008-0000-1600-000007000000}"/>
              </a:ext>
            </a:extLst>
          </xdr:cNvPr>
          <xdr:cNvSpPr/>
        </xdr:nvSpPr>
        <xdr:spPr bwMode="auto">
          <a:xfrm>
            <a:off x="1050965" y="473867"/>
            <a:ext cx="6494711" cy="2088000"/>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72000" rIns="36000" bIns="0" rtlCol="0" anchor="t" anchorCtr="0"/>
          <a:lstStyle/>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a:t>
            </a:r>
            <a:r>
              <a:rPr kumimoji="1" lang="en-US" altLang="ja-JP" sz="1000">
                <a:solidFill>
                  <a:srgbClr val="0041FF"/>
                </a:solidFill>
                <a:latin typeface="ＭＳ ゴシック" panose="020B0609070205080204" pitchFamily="49" charset="-128"/>
                <a:ea typeface="ＭＳ ゴシック" panose="020B0609070205080204" pitchFamily="49" charset="-128"/>
              </a:rPr>
              <a:t>1</a:t>
            </a:r>
            <a:r>
              <a:rPr kumimoji="1" lang="ja-JP" altLang="en-US" sz="1000">
                <a:solidFill>
                  <a:srgbClr val="0041FF"/>
                </a:solidFill>
                <a:latin typeface="ＭＳ ゴシック" panose="020B0609070205080204" pitchFamily="49" charset="-128"/>
                <a:ea typeface="ＭＳ ゴシック" panose="020B0609070205080204" pitchFamily="49" charset="-128"/>
              </a:rPr>
              <a:t>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・対象品目のみ作付けした団地（ほ場）においては、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・対象品目以外の作物も作付けした団地（ほ場）においては、対象品目と対象品目以外の作物と</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marL="0" marR="0" lvl="0" indent="0" algn="l" defTabSz="914400" eaLnBrk="1" fontAlgn="auto" latinLnBrk="0" hangingPunct="1">
              <a:lnSpc>
                <a:spcPts val="1300"/>
              </a:lnSpc>
              <a:spcBef>
                <a:spcPts val="0"/>
              </a:spcBef>
              <a:spcAft>
                <a:spcPts val="0"/>
              </a:spcAft>
              <a:buClrTx/>
              <a:buSzTx/>
              <a:buFontTx/>
              <a:buNone/>
              <a:tabLst/>
              <a:defRPr/>
            </a:pPr>
            <a:r>
              <a:rPr kumimoji="1" lang="ja-JP" altLang="en-US" sz="1000" b="0" i="0" u="none" strike="noStrike" kern="0" cap="none" spc="0" normalizeH="0" baseline="0" noProof="0">
                <a:ln>
                  <a:noFill/>
                </a:ln>
                <a:solidFill>
                  <a:srgbClr val="0041FF"/>
                </a:solidFill>
                <a:effectLst/>
                <a:uLnTx/>
                <a:uFillTx/>
                <a:latin typeface="ＭＳ ゴシック" panose="020B0609070205080204" pitchFamily="49" charset="-128"/>
                <a:ea typeface="ＭＳ ゴシック" panose="020B0609070205080204" pitchFamily="49" charset="-128"/>
                <a:cs typeface="+mn-cs"/>
              </a:rPr>
              <a:t>の過去１年間における</a:t>
            </a:r>
            <a:r>
              <a:rPr kumimoji="1" lang="ja-JP" altLang="en-US" sz="1000">
                <a:solidFill>
                  <a:srgbClr val="0041FF"/>
                </a:solidFill>
                <a:latin typeface="ＭＳ ゴシック" panose="020B0609070205080204" pitchFamily="49" charset="-128"/>
                <a:ea typeface="ＭＳ ゴシック" panose="020B0609070205080204" pitchFamily="49" charset="-128"/>
              </a:rPr>
              <a:t>収入（作付地ごとでは</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なく全体の収入）の割合を記入してください。</a:t>
            </a: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endParaRPr kumimoji="1" lang="en-US" altLang="ja-JP" sz="1000" baseline="0">
              <a:solidFill>
                <a:srgbClr val="0041FF"/>
              </a:solidFill>
              <a:latin typeface="ＭＳ ゴシック" panose="020B0609070205080204" pitchFamily="49" charset="-128"/>
              <a:ea typeface="ＭＳ ゴシック" panose="020B0609070205080204" pitchFamily="49" charset="-128"/>
            </a:endParaRPr>
          </a:p>
          <a:p>
            <a:pPr algn="l">
              <a:lnSpc>
                <a:spcPts val="1300"/>
              </a:lnSpc>
            </a:pP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例</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対象品目が食用米の場合、Ａ団地（ほ場）に食用米と小麦を作付けており、過去１年間における</a:t>
            </a:r>
          </a:p>
          <a:p>
            <a:pPr algn="l">
              <a:lnSpc>
                <a:spcPts val="1300"/>
              </a:lnSpc>
            </a:pPr>
            <a:r>
              <a:rPr kumimoji="1" lang="ja-JP" altLang="en-US" sz="1000" baseline="0">
                <a:solidFill>
                  <a:srgbClr val="0041FF"/>
                </a:solidFill>
                <a:latin typeface="ＭＳ ゴシック" panose="020B0609070205080204" pitchFamily="49" charset="-128"/>
                <a:ea typeface="ＭＳ ゴシック" panose="020B0609070205080204" pitchFamily="49" charset="-128"/>
              </a:rPr>
              <a:t>　　　</a:t>
            </a:r>
            <a:r>
              <a:rPr kumimoji="1" lang="ja-JP" altLang="ja-JP" sz="1000" baseline="0">
                <a:solidFill>
                  <a:srgbClr val="0041FF"/>
                </a:solidFill>
                <a:effectLst/>
                <a:latin typeface="ＭＳ ゴシック" panose="020B0609070205080204" pitchFamily="49" charset="-128"/>
                <a:ea typeface="ＭＳ ゴシック" panose="020B0609070205080204" pitchFamily="49" charset="-128"/>
                <a:cs typeface="+mn-cs"/>
              </a:rPr>
              <a:t>作物別の収</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入が食用米</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0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000" baseline="0">
                <a:solidFill>
                  <a:srgbClr val="0041FF"/>
                </a:solidFill>
                <a:latin typeface="ＭＳ ゴシック" panose="020B0609070205080204" pitchFamily="49" charset="-128"/>
                <a:ea typeface="ＭＳ ゴシック" panose="020B0609070205080204" pitchFamily="49" charset="-128"/>
              </a:rPr>
              <a:t>万円のとき、この作付地の収入割合は次のとおりです。</a:t>
            </a:r>
          </a:p>
        </xdr:txBody>
      </xdr:sp>
      <xdr:grpSp>
        <xdr:nvGrpSpPr>
          <xdr:cNvPr id="8" name="グループ化 18">
            <a:extLst>
              <a:ext uri="{FF2B5EF4-FFF2-40B4-BE49-F238E27FC236}">
                <a16:creationId xmlns:a16="http://schemas.microsoft.com/office/drawing/2014/main" id="{00000000-0008-0000-1600-000008000000}"/>
              </a:ext>
            </a:extLst>
          </xdr:cNvPr>
          <xdr:cNvGrpSpPr>
            <a:grpSpLocks/>
          </xdr:cNvGrpSpPr>
        </xdr:nvGrpSpPr>
        <xdr:grpSpPr bwMode="auto">
          <a:xfrm>
            <a:off x="1819275" y="1924050"/>
            <a:ext cx="4737155" cy="504825"/>
            <a:chOff x="4648199" y="1295400"/>
            <a:chExt cx="2817361" cy="495301"/>
          </a:xfrm>
        </xdr:grpSpPr>
        <xdr:cxnSp macro="">
          <xdr:nvCxnSpPr>
            <xdr:cNvPr id="9" name="直線コネクタ 8">
              <a:extLst>
                <a:ext uri="{FF2B5EF4-FFF2-40B4-BE49-F238E27FC236}">
                  <a16:creationId xmlns:a16="http://schemas.microsoft.com/office/drawing/2014/main" id="{00000000-0008-0000-1600-000009000000}"/>
                </a:ext>
              </a:extLst>
            </xdr:cNvPr>
            <xdr:cNvCxnSpPr/>
          </xdr:nvCxnSpPr>
          <xdr:spPr>
            <a:xfrm flipV="1">
              <a:off x="4812480" y="1529033"/>
              <a:ext cx="1943050" cy="0"/>
            </a:xfrm>
            <a:prstGeom prst="line">
              <a:avLst/>
            </a:prstGeom>
            <a:ln w="12700">
              <a:solidFill>
                <a:srgbClr val="0041FF"/>
              </a:solidFill>
            </a:ln>
          </xdr:spPr>
          <xdr:style>
            <a:lnRef idx="1">
              <a:schemeClr val="accent1"/>
            </a:lnRef>
            <a:fillRef idx="0">
              <a:schemeClr val="accent1"/>
            </a:fillRef>
            <a:effectRef idx="0">
              <a:schemeClr val="accent1"/>
            </a:effectRef>
            <a:fontRef idx="minor">
              <a:schemeClr val="tx1"/>
            </a:fontRef>
          </xdr:style>
        </xdr:cxnSp>
        <xdr:sp macro="" textlink="">
          <xdr:nvSpPr>
            <xdr:cNvPr id="10" name="テキスト ボックス 9">
              <a:extLst>
                <a:ext uri="{FF2B5EF4-FFF2-40B4-BE49-F238E27FC236}">
                  <a16:creationId xmlns:a16="http://schemas.microsoft.com/office/drawing/2014/main" id="{00000000-0008-0000-1600-00000A000000}"/>
                </a:ext>
              </a:extLst>
            </xdr:cNvPr>
            <xdr:cNvSpPr txBox="1"/>
          </xdr:nvSpPr>
          <xdr:spPr>
            <a:xfrm>
              <a:off x="6526656" y="1398198"/>
              <a:ext cx="938904"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en-US" altLang="ja-JP" sz="1100" baseline="0">
                  <a:solidFill>
                    <a:srgbClr val="0041FF"/>
                  </a:solidFill>
                  <a:latin typeface="ＭＳ ゴシック" panose="020B0609070205080204" pitchFamily="49" charset="-128"/>
                  <a:ea typeface="ＭＳ ゴシック" panose="020B0609070205080204" pitchFamily="49" charset="-128"/>
                </a:rPr>
                <a:t>×100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50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a:t>
              </a:r>
            </a:p>
          </xdr:txBody>
        </xdr:sp>
        <xdr:sp macro="" textlink="">
          <xdr:nvSpPr>
            <xdr:cNvPr id="11" name="テキスト ボックス 10">
              <a:extLst>
                <a:ext uri="{FF2B5EF4-FFF2-40B4-BE49-F238E27FC236}">
                  <a16:creationId xmlns:a16="http://schemas.microsoft.com/office/drawing/2014/main" id="{00000000-0008-0000-1600-00000B000000}"/>
                </a:ext>
              </a:extLst>
            </xdr:cNvPr>
            <xdr:cNvSpPr txBox="1"/>
          </xdr:nvSpPr>
          <xdr:spPr>
            <a:xfrm>
              <a:off x="5163702" y="1295400"/>
              <a:ext cx="1393558" cy="2523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sp macro="" textlink="">
          <xdr:nvSpPr>
            <xdr:cNvPr id="12" name="テキスト ボックス 11">
              <a:extLst>
                <a:ext uri="{FF2B5EF4-FFF2-40B4-BE49-F238E27FC236}">
                  <a16:creationId xmlns:a16="http://schemas.microsoft.com/office/drawing/2014/main" id="{00000000-0008-0000-1600-00000C000000}"/>
                </a:ext>
              </a:extLst>
            </xdr:cNvPr>
            <xdr:cNvSpPr txBox="1"/>
          </xdr:nvSpPr>
          <xdr:spPr>
            <a:xfrm>
              <a:off x="4648199" y="1547723"/>
              <a:ext cx="2333926" cy="2429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kumimoji="1" lang="ja-JP" altLang="en-US" sz="1100" baseline="0">
                  <a:solidFill>
                    <a:srgbClr val="0041FF"/>
                  </a:solidFill>
                  <a:latin typeface="ＭＳ ゴシック" panose="020B0609070205080204" pitchFamily="49" charset="-128"/>
                  <a:ea typeface="ＭＳ ゴシック" panose="020B0609070205080204" pitchFamily="49" charset="-128"/>
                </a:rPr>
                <a:t>（食用米</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万円＋小麦</a:t>
              </a:r>
              <a:r>
                <a:rPr kumimoji="1" lang="en-US" altLang="ja-JP" sz="1100" baseline="0">
                  <a:solidFill>
                    <a:srgbClr val="0041FF"/>
                  </a:solidFill>
                  <a:latin typeface="ＭＳ ゴシック" panose="020B0609070205080204" pitchFamily="49" charset="-128"/>
                  <a:ea typeface="ＭＳ ゴシック" panose="020B0609070205080204" pitchFamily="49" charset="-128"/>
                </a:rPr>
                <a:t>400</a:t>
              </a:r>
              <a:r>
                <a:rPr kumimoji="1" lang="ja-JP" altLang="en-US" sz="1100" baseline="0">
                  <a:solidFill>
                    <a:srgbClr val="0041FF"/>
                  </a:solidFill>
                  <a:latin typeface="ＭＳ ゴシック" panose="020B0609070205080204" pitchFamily="49" charset="-128"/>
                  <a:ea typeface="ＭＳ ゴシック" panose="020B0609070205080204" pitchFamily="49" charset="-128"/>
                </a:rPr>
                <a:t>万円）</a:t>
              </a:r>
            </a:p>
          </xdr:txBody>
        </xdr:sp>
      </xdr:grpSp>
    </xdr:grpSp>
    <xdr:clientData/>
  </xdr:twoCellAnchor>
  <xdr:twoCellAnchor>
    <xdr:from>
      <xdr:col>7</xdr:col>
      <xdr:colOff>352425</xdr:colOff>
      <xdr:row>181</xdr:row>
      <xdr:rowOff>28435</xdr:rowOff>
    </xdr:from>
    <xdr:to>
      <xdr:col>9</xdr:col>
      <xdr:colOff>0</xdr:colOff>
      <xdr:row>185</xdr:row>
      <xdr:rowOff>179726</xdr:rowOff>
    </xdr:to>
    <xdr:grpSp>
      <xdr:nvGrpSpPr>
        <xdr:cNvPr id="13" name="グループ化 12">
          <a:extLst>
            <a:ext uri="{FF2B5EF4-FFF2-40B4-BE49-F238E27FC236}">
              <a16:creationId xmlns:a16="http://schemas.microsoft.com/office/drawing/2014/main" id="{00000000-0008-0000-1600-00000D000000}"/>
            </a:ext>
          </a:extLst>
        </xdr:cNvPr>
        <xdr:cNvGrpSpPr/>
      </xdr:nvGrpSpPr>
      <xdr:grpSpPr>
        <a:xfrm>
          <a:off x="6448425" y="9636779"/>
          <a:ext cx="957263" cy="865666"/>
          <a:chOff x="5915026" y="2409825"/>
          <a:chExt cx="828676" cy="1001258"/>
        </a:xfrm>
      </xdr:grpSpPr>
      <xdr:cxnSp macro="">
        <xdr:nvCxnSpPr>
          <xdr:cNvPr id="14" name="直線矢印コネクタ 13">
            <a:extLst>
              <a:ext uri="{FF2B5EF4-FFF2-40B4-BE49-F238E27FC236}">
                <a16:creationId xmlns:a16="http://schemas.microsoft.com/office/drawing/2014/main" id="{00000000-0008-0000-1600-00000E000000}"/>
              </a:ext>
            </a:extLst>
          </xdr:cNvPr>
          <xdr:cNvCxnSpPr/>
        </xdr:nvCxnSpPr>
        <xdr:spPr bwMode="auto">
          <a:xfrm rot="16200000">
            <a:off x="5825026" y="3321083"/>
            <a:ext cx="180000" cy="0"/>
          </a:xfrm>
          <a:prstGeom prst="straightConnector1">
            <a:avLst/>
          </a:prstGeom>
          <a:ln w="28575">
            <a:solidFill>
              <a:srgbClr val="0041FF"/>
            </a:solidFill>
            <a:headEnd type="triangl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5" name="直線矢印コネクタ 14">
            <a:extLst>
              <a:ext uri="{FF2B5EF4-FFF2-40B4-BE49-F238E27FC236}">
                <a16:creationId xmlns:a16="http://schemas.microsoft.com/office/drawing/2014/main" id="{00000000-0008-0000-1600-00000F000000}"/>
              </a:ext>
            </a:extLst>
          </xdr:cNvPr>
          <xdr:cNvCxnSpPr/>
        </xdr:nvCxnSpPr>
        <xdr:spPr bwMode="auto">
          <a:xfrm rot="16200000" flipV="1">
            <a:off x="6329026" y="2818537"/>
            <a:ext cx="0"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 name="直線矢印コネクタ 15">
            <a:extLst>
              <a:ext uri="{FF2B5EF4-FFF2-40B4-BE49-F238E27FC236}">
                <a16:creationId xmlns:a16="http://schemas.microsoft.com/office/drawing/2014/main" id="{00000000-0008-0000-1600-000010000000}"/>
              </a:ext>
            </a:extLst>
          </xdr:cNvPr>
          <xdr:cNvCxnSpPr/>
        </xdr:nvCxnSpPr>
        <xdr:spPr bwMode="auto">
          <a:xfrm flipH="1" flipV="1">
            <a:off x="6743700" y="2409825"/>
            <a:ext cx="2" cy="828000"/>
          </a:xfrm>
          <a:prstGeom prst="straightConnector1">
            <a:avLst/>
          </a:prstGeom>
          <a:ln w="28575">
            <a:solidFill>
              <a:srgbClr val="0041FF"/>
            </a:solidFill>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xdr:col>
      <xdr:colOff>0</xdr:colOff>
      <xdr:row>177</xdr:row>
      <xdr:rowOff>0</xdr:rowOff>
    </xdr:from>
    <xdr:to>
      <xdr:col>10</xdr:col>
      <xdr:colOff>200025</xdr:colOff>
      <xdr:row>181</xdr:row>
      <xdr:rowOff>132650</xdr:rowOff>
    </xdr:to>
    <xdr:sp macro="" textlink="">
      <xdr:nvSpPr>
        <xdr:cNvPr id="17" name="角丸四角形 6">
          <a:extLst>
            <a:ext uri="{FF2B5EF4-FFF2-40B4-BE49-F238E27FC236}">
              <a16:creationId xmlns:a16="http://schemas.microsoft.com/office/drawing/2014/main" id="{00000000-0008-0000-1600-000011000000}"/>
            </a:ext>
          </a:extLst>
        </xdr:cNvPr>
        <xdr:cNvSpPr/>
      </xdr:nvSpPr>
      <xdr:spPr>
        <a:xfrm>
          <a:off x="2466975" y="8953500"/>
          <a:ext cx="5133975" cy="856550"/>
        </a:xfrm>
        <a:prstGeom prst="roundRect">
          <a:avLst/>
        </a:prstGeom>
        <a:solidFill>
          <a:schemeClr val="bg1"/>
        </a:solidFill>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0"/>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当年産の対象品目の収穫が終わる前の１年間に、</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・対象品目のみに使用した場合は、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・対象品目以外にも使用した場合には、使用面積割合を目安に記入してください。</a:t>
          </a:r>
        </a:p>
      </xdr:txBody>
    </xdr:sp>
    <xdr:clientData/>
  </xdr:twoCellAnchor>
  <mc:AlternateContent xmlns:mc="http://schemas.openxmlformats.org/markup-compatibility/2006">
    <mc:Choice xmlns:a14="http://schemas.microsoft.com/office/drawing/2010/main" Requires="a14">
      <xdr:twoCellAnchor editAs="oneCell">
        <xdr:from>
          <xdr:col>5</xdr:col>
          <xdr:colOff>133350</xdr:colOff>
          <xdr:row>15</xdr:row>
          <xdr:rowOff>0</xdr:rowOff>
        </xdr:from>
        <xdr:to>
          <xdr:col>6</xdr:col>
          <xdr:colOff>180975</xdr:colOff>
          <xdr:row>16</xdr:row>
          <xdr:rowOff>161925</xdr:rowOff>
        </xdr:to>
        <xdr:sp macro="" textlink="">
          <xdr:nvSpPr>
            <xdr:cNvPr id="19457" name="btnKoushin1" hidden="1">
              <a:extLst>
                <a:ext uri="{63B3BB69-23CF-44E3-9099-C40C66FF867C}">
                  <a14:compatExt spid="_x0000_s19457"/>
                </a:ext>
                <a:ext uri="{FF2B5EF4-FFF2-40B4-BE49-F238E27FC236}">
                  <a16:creationId xmlns:a16="http://schemas.microsoft.com/office/drawing/2014/main" id="{00000000-0008-0000-16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15</xdr:row>
          <xdr:rowOff>0</xdr:rowOff>
        </xdr:from>
        <xdr:to>
          <xdr:col>5</xdr:col>
          <xdr:colOff>19050</xdr:colOff>
          <xdr:row>15</xdr:row>
          <xdr:rowOff>171450</xdr:rowOff>
        </xdr:to>
        <xdr:sp macro="" textlink="">
          <xdr:nvSpPr>
            <xdr:cNvPr id="19458" name="Label1" hidden="1">
              <a:extLst>
                <a:ext uri="{63B3BB69-23CF-44E3-9099-C40C66FF867C}">
                  <a14:compatExt spid="_x0000_s19458"/>
                </a:ext>
                <a:ext uri="{FF2B5EF4-FFF2-40B4-BE49-F238E27FC236}">
                  <a16:creationId xmlns:a16="http://schemas.microsoft.com/office/drawing/2014/main" id="{00000000-0008-0000-1600-000002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15</xdr:row>
          <xdr:rowOff>161925</xdr:rowOff>
        </xdr:from>
        <xdr:to>
          <xdr:col>5</xdr:col>
          <xdr:colOff>19050</xdr:colOff>
          <xdr:row>16</xdr:row>
          <xdr:rowOff>152400</xdr:rowOff>
        </xdr:to>
        <xdr:sp macro="" textlink="">
          <xdr:nvSpPr>
            <xdr:cNvPr id="19459" name="txt_hyouji1" hidden="1">
              <a:extLst>
                <a:ext uri="{63B3BB69-23CF-44E3-9099-C40C66FF867C}">
                  <a14:compatExt spid="_x0000_s19459"/>
                </a:ext>
                <a:ext uri="{FF2B5EF4-FFF2-40B4-BE49-F238E27FC236}">
                  <a16:creationId xmlns:a16="http://schemas.microsoft.com/office/drawing/2014/main" id="{00000000-0008-0000-1600-000003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133350</xdr:colOff>
          <xdr:row>182</xdr:row>
          <xdr:rowOff>19050</xdr:rowOff>
        </xdr:from>
        <xdr:to>
          <xdr:col>6</xdr:col>
          <xdr:colOff>180975</xdr:colOff>
          <xdr:row>184</xdr:row>
          <xdr:rowOff>0</xdr:rowOff>
        </xdr:to>
        <xdr:sp macro="" textlink="">
          <xdr:nvSpPr>
            <xdr:cNvPr id="19460" name="btnKoushin2" hidden="1">
              <a:extLst>
                <a:ext uri="{63B3BB69-23CF-44E3-9099-C40C66FF867C}">
                  <a14:compatExt spid="_x0000_s19460"/>
                </a:ext>
                <a:ext uri="{FF2B5EF4-FFF2-40B4-BE49-F238E27FC236}">
                  <a16:creationId xmlns:a16="http://schemas.microsoft.com/office/drawing/2014/main" id="{00000000-0008-0000-1600-000004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182</xdr:row>
          <xdr:rowOff>19050</xdr:rowOff>
        </xdr:from>
        <xdr:to>
          <xdr:col>5</xdr:col>
          <xdr:colOff>28575</xdr:colOff>
          <xdr:row>183</xdr:row>
          <xdr:rowOff>9525</xdr:rowOff>
        </xdr:to>
        <xdr:sp macro="" textlink="">
          <xdr:nvSpPr>
            <xdr:cNvPr id="19461" name="Label2" hidden="1">
              <a:extLst>
                <a:ext uri="{63B3BB69-23CF-44E3-9099-C40C66FF867C}">
                  <a14:compatExt spid="_x0000_s19461"/>
                </a:ext>
                <a:ext uri="{FF2B5EF4-FFF2-40B4-BE49-F238E27FC236}">
                  <a16:creationId xmlns:a16="http://schemas.microsoft.com/office/drawing/2014/main" id="{00000000-0008-0000-1600-000005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183</xdr:row>
          <xdr:rowOff>9525</xdr:rowOff>
        </xdr:from>
        <xdr:to>
          <xdr:col>5</xdr:col>
          <xdr:colOff>28575</xdr:colOff>
          <xdr:row>184</xdr:row>
          <xdr:rowOff>0</xdr:rowOff>
        </xdr:to>
        <xdr:sp macro="" textlink="">
          <xdr:nvSpPr>
            <xdr:cNvPr id="19462" name="txt_hyouji2" hidden="1">
              <a:extLst>
                <a:ext uri="{63B3BB69-23CF-44E3-9099-C40C66FF867C}">
                  <a14:compatExt spid="_x0000_s19462"/>
                </a:ext>
                <a:ext uri="{FF2B5EF4-FFF2-40B4-BE49-F238E27FC236}">
                  <a16:creationId xmlns:a16="http://schemas.microsoft.com/office/drawing/2014/main" id="{00000000-0008-0000-1600-000006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17</xdr:col>
      <xdr:colOff>0</xdr:colOff>
      <xdr:row>34</xdr:row>
      <xdr:rowOff>243570</xdr:rowOff>
    </xdr:from>
    <xdr:to>
      <xdr:col>17</xdr:col>
      <xdr:colOff>571500</xdr:colOff>
      <xdr:row>34</xdr:row>
      <xdr:rowOff>243570</xdr:rowOff>
    </xdr:to>
    <xdr:cxnSp macro="">
      <xdr:nvCxnSpPr>
        <xdr:cNvPr id="2" name="直線矢印コネクタ 1">
          <a:extLst>
            <a:ext uri="{FF2B5EF4-FFF2-40B4-BE49-F238E27FC236}">
              <a16:creationId xmlns:a16="http://schemas.microsoft.com/office/drawing/2014/main" id="{00000000-0008-0000-1700-000002000000}"/>
            </a:ext>
          </a:extLst>
        </xdr:cNvPr>
        <xdr:cNvCxnSpPr/>
      </xdr:nvCxnSpPr>
      <xdr:spPr bwMode="auto">
        <a:xfrm flipH="1">
          <a:off x="5924550" y="10321020"/>
          <a:ext cx="571500" cy="0"/>
        </a:xfrm>
        <a:prstGeom prst="straightConnector1">
          <a:avLst/>
        </a:prstGeom>
        <a:ln w="28575">
          <a:solidFill>
            <a:srgbClr val="0041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574298</xdr:colOff>
      <xdr:row>34</xdr:row>
      <xdr:rowOff>25616</xdr:rowOff>
    </xdr:from>
    <xdr:to>
      <xdr:col>20</xdr:col>
      <xdr:colOff>182507</xdr:colOff>
      <xdr:row>37</xdr:row>
      <xdr:rowOff>211745</xdr:rowOff>
    </xdr:to>
    <xdr:sp macro="" textlink="">
      <xdr:nvSpPr>
        <xdr:cNvPr id="3" name="角丸四角形 12">
          <a:extLst>
            <a:ext uri="{FF2B5EF4-FFF2-40B4-BE49-F238E27FC236}">
              <a16:creationId xmlns:a16="http://schemas.microsoft.com/office/drawing/2014/main" id="{00000000-0008-0000-1700-000003000000}"/>
            </a:ext>
          </a:extLst>
        </xdr:cNvPr>
        <xdr:cNvSpPr/>
      </xdr:nvSpPr>
      <xdr:spPr>
        <a:xfrm>
          <a:off x="6498848" y="10103066"/>
          <a:ext cx="3580134" cy="1081479"/>
        </a:xfrm>
        <a:prstGeom prst="roundRect">
          <a:avLst/>
        </a:prstGeom>
        <a:ln w="12700">
          <a:solidFill>
            <a:srgbClr val="0037FF"/>
          </a:solidFill>
        </a:ln>
      </xdr:spPr>
      <xdr:style>
        <a:lnRef idx="2">
          <a:schemeClr val="accent6"/>
        </a:lnRef>
        <a:fillRef idx="1">
          <a:schemeClr val="lt1"/>
        </a:fillRef>
        <a:effectRef idx="0">
          <a:schemeClr val="accent6"/>
        </a:effectRef>
        <a:fontRef idx="minor">
          <a:schemeClr val="dk1"/>
        </a:fontRef>
      </xdr:style>
      <xdr:txBody>
        <a:bodyPr vertOverflow="clip" horzOverflow="clip" lIns="36000" tIns="0" rIns="36000" bIns="0" rtlCol="0" anchor="ctr" anchorCtr="1"/>
        <a:lstStyle/>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・対象品目生産のための労働に支払った賃金を記入す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る場合は、</a:t>
          </a:r>
          <a:r>
            <a:rPr kumimoji="1" lang="en-US" altLang="ja-JP" sz="1000">
              <a:solidFill>
                <a:srgbClr val="0041FF"/>
              </a:solidFill>
              <a:latin typeface="ＭＳ ゴシック" panose="020B0609070205080204" pitchFamily="49" charset="-128"/>
              <a:ea typeface="ＭＳ ゴシック" panose="020B0609070205080204" pitchFamily="49" charset="-128"/>
            </a:rPr>
            <a:t>100</a:t>
          </a:r>
          <a:r>
            <a:rPr kumimoji="1" lang="ja-JP" altLang="en-US" sz="1000">
              <a:solidFill>
                <a:srgbClr val="0041FF"/>
              </a:solidFill>
              <a:latin typeface="ＭＳ ゴシック" panose="020B0609070205080204" pitchFamily="49" charset="-128"/>
              <a:ea typeface="ＭＳ ゴシック" panose="020B0609070205080204" pitchFamily="49" charset="-128"/>
            </a:rPr>
            <a:t>（％）としてください。</a:t>
          </a: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・対象品目生産以外の労働への支払いも含めて記入す</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る場合には、労働時間の割合を目安に記入してく</a:t>
          </a:r>
          <a:endParaRPr kumimoji="1" lang="en-US" altLang="ja-JP" sz="1000">
            <a:solidFill>
              <a:srgbClr val="0041FF"/>
            </a:solidFill>
            <a:latin typeface="ＭＳ ゴシック" panose="020B0609070205080204" pitchFamily="49" charset="-128"/>
            <a:ea typeface="ＭＳ ゴシック" panose="020B0609070205080204" pitchFamily="49" charset="-128"/>
          </a:endParaRPr>
        </a:p>
        <a:p>
          <a:pPr algn="l">
            <a:lnSpc>
              <a:spcPts val="1200"/>
            </a:lnSpc>
          </a:pPr>
          <a:r>
            <a:rPr kumimoji="1" lang="ja-JP" altLang="en-US" sz="1000">
              <a:solidFill>
                <a:srgbClr val="0041FF"/>
              </a:solidFill>
              <a:latin typeface="ＭＳ ゴシック" panose="020B0609070205080204" pitchFamily="49" charset="-128"/>
              <a:ea typeface="ＭＳ ゴシック" panose="020B0609070205080204" pitchFamily="49" charset="-128"/>
            </a:rPr>
            <a:t>　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7.emf"/><Relationship Id="rId18" Type="http://schemas.openxmlformats.org/officeDocument/2006/relationships/control" Target="../activeX/activeX8.xml"/><Relationship Id="rId3" Type="http://schemas.openxmlformats.org/officeDocument/2006/relationships/vmlDrawing" Target="../drawings/vmlDrawing3.vml"/><Relationship Id="rId21" Type="http://schemas.openxmlformats.org/officeDocument/2006/relationships/image" Target="../media/image11.emf"/><Relationship Id="rId7" Type="http://schemas.openxmlformats.org/officeDocument/2006/relationships/image" Target="../media/image4.emf"/><Relationship Id="rId12" Type="http://schemas.openxmlformats.org/officeDocument/2006/relationships/control" Target="../activeX/activeX5.xml"/><Relationship Id="rId17" Type="http://schemas.openxmlformats.org/officeDocument/2006/relationships/image" Target="../media/image9.emf"/><Relationship Id="rId25" Type="http://schemas.openxmlformats.org/officeDocument/2006/relationships/image" Target="../media/image13.emf"/><Relationship Id="rId2" Type="http://schemas.openxmlformats.org/officeDocument/2006/relationships/drawing" Target="../drawings/drawing5.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7.bin"/><Relationship Id="rId6" Type="http://schemas.openxmlformats.org/officeDocument/2006/relationships/control" Target="../activeX/activeX2.xml"/><Relationship Id="rId11" Type="http://schemas.openxmlformats.org/officeDocument/2006/relationships/image" Target="../media/image6.emf"/><Relationship Id="rId24" Type="http://schemas.openxmlformats.org/officeDocument/2006/relationships/control" Target="../activeX/activeX11.xml"/><Relationship Id="rId5" Type="http://schemas.openxmlformats.org/officeDocument/2006/relationships/image" Target="../media/image3.emf"/><Relationship Id="rId15" Type="http://schemas.openxmlformats.org/officeDocument/2006/relationships/image" Target="../media/image8.emf"/><Relationship Id="rId23" Type="http://schemas.openxmlformats.org/officeDocument/2006/relationships/image" Target="../media/image12.emf"/><Relationship Id="rId10" Type="http://schemas.openxmlformats.org/officeDocument/2006/relationships/control" Target="../activeX/activeX4.xml"/><Relationship Id="rId19" Type="http://schemas.openxmlformats.org/officeDocument/2006/relationships/image" Target="../media/image10.emf"/><Relationship Id="rId4" Type="http://schemas.openxmlformats.org/officeDocument/2006/relationships/control" Target="../activeX/activeX1.xml"/><Relationship Id="rId9" Type="http://schemas.openxmlformats.org/officeDocument/2006/relationships/image" Target="../media/image5.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8.emf"/><Relationship Id="rId3" Type="http://schemas.openxmlformats.org/officeDocument/2006/relationships/vmlDrawing" Target="../drawings/vmlDrawing4.vml"/><Relationship Id="rId7" Type="http://schemas.openxmlformats.org/officeDocument/2006/relationships/image" Target="../media/image15.emf"/><Relationship Id="rId12" Type="http://schemas.openxmlformats.org/officeDocument/2006/relationships/control" Target="../activeX/activeX16.xml"/><Relationship Id="rId17" Type="http://schemas.openxmlformats.org/officeDocument/2006/relationships/image" Target="../media/image13.emf"/><Relationship Id="rId2" Type="http://schemas.openxmlformats.org/officeDocument/2006/relationships/drawing" Target="../drawings/drawing8.xml"/><Relationship Id="rId16" Type="http://schemas.openxmlformats.org/officeDocument/2006/relationships/control" Target="../activeX/activeX18.xml"/><Relationship Id="rId1" Type="http://schemas.openxmlformats.org/officeDocument/2006/relationships/printerSettings" Target="../printerSettings/printerSettings10.bin"/><Relationship Id="rId6" Type="http://schemas.openxmlformats.org/officeDocument/2006/relationships/control" Target="../activeX/activeX13.xml"/><Relationship Id="rId11" Type="http://schemas.openxmlformats.org/officeDocument/2006/relationships/image" Target="../media/image17.emf"/><Relationship Id="rId5" Type="http://schemas.openxmlformats.org/officeDocument/2006/relationships/image" Target="../media/image14.emf"/><Relationship Id="rId15" Type="http://schemas.openxmlformats.org/officeDocument/2006/relationships/image" Target="../media/image19.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6.emf"/><Relationship Id="rId14" Type="http://schemas.openxmlformats.org/officeDocument/2006/relationships/control" Target="../activeX/activeX17.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4.emf"/><Relationship Id="rId18" Type="http://schemas.openxmlformats.org/officeDocument/2006/relationships/control" Target="../activeX/activeX26.xml"/><Relationship Id="rId26" Type="http://schemas.openxmlformats.org/officeDocument/2006/relationships/control" Target="../activeX/activeX30.xml"/><Relationship Id="rId3" Type="http://schemas.openxmlformats.org/officeDocument/2006/relationships/vmlDrawing" Target="../drawings/vmlDrawing5.vml"/><Relationship Id="rId21" Type="http://schemas.openxmlformats.org/officeDocument/2006/relationships/image" Target="../media/image28.emf"/><Relationship Id="rId7" Type="http://schemas.openxmlformats.org/officeDocument/2006/relationships/image" Target="../media/image21.emf"/><Relationship Id="rId12" Type="http://schemas.openxmlformats.org/officeDocument/2006/relationships/control" Target="../activeX/activeX23.xml"/><Relationship Id="rId17" Type="http://schemas.openxmlformats.org/officeDocument/2006/relationships/image" Target="../media/image26.emf"/><Relationship Id="rId25" Type="http://schemas.openxmlformats.org/officeDocument/2006/relationships/image" Target="../media/image30.emf"/><Relationship Id="rId33" Type="http://schemas.openxmlformats.org/officeDocument/2006/relationships/image" Target="../media/image34.emf"/><Relationship Id="rId2" Type="http://schemas.openxmlformats.org/officeDocument/2006/relationships/drawing" Target="../drawings/drawing9.xml"/><Relationship Id="rId16" Type="http://schemas.openxmlformats.org/officeDocument/2006/relationships/control" Target="../activeX/activeX25.xml"/><Relationship Id="rId20" Type="http://schemas.openxmlformats.org/officeDocument/2006/relationships/control" Target="../activeX/activeX27.xml"/><Relationship Id="rId29" Type="http://schemas.openxmlformats.org/officeDocument/2006/relationships/image" Target="../media/image32.emf"/><Relationship Id="rId1" Type="http://schemas.openxmlformats.org/officeDocument/2006/relationships/printerSettings" Target="../printerSettings/printerSettings11.bin"/><Relationship Id="rId6" Type="http://schemas.openxmlformats.org/officeDocument/2006/relationships/control" Target="../activeX/activeX20.xml"/><Relationship Id="rId11" Type="http://schemas.openxmlformats.org/officeDocument/2006/relationships/image" Target="../media/image23.emf"/><Relationship Id="rId24" Type="http://schemas.openxmlformats.org/officeDocument/2006/relationships/control" Target="../activeX/activeX29.xml"/><Relationship Id="rId32" Type="http://schemas.openxmlformats.org/officeDocument/2006/relationships/control" Target="../activeX/activeX33.xml"/><Relationship Id="rId5" Type="http://schemas.openxmlformats.org/officeDocument/2006/relationships/image" Target="../media/image20.emf"/><Relationship Id="rId15" Type="http://schemas.openxmlformats.org/officeDocument/2006/relationships/image" Target="../media/image25.emf"/><Relationship Id="rId23" Type="http://schemas.openxmlformats.org/officeDocument/2006/relationships/image" Target="../media/image29.emf"/><Relationship Id="rId28" Type="http://schemas.openxmlformats.org/officeDocument/2006/relationships/control" Target="../activeX/activeX31.xml"/><Relationship Id="rId10" Type="http://schemas.openxmlformats.org/officeDocument/2006/relationships/control" Target="../activeX/activeX22.xml"/><Relationship Id="rId19" Type="http://schemas.openxmlformats.org/officeDocument/2006/relationships/image" Target="../media/image27.emf"/><Relationship Id="rId31" Type="http://schemas.openxmlformats.org/officeDocument/2006/relationships/image" Target="../media/image33.emf"/><Relationship Id="rId4" Type="http://schemas.openxmlformats.org/officeDocument/2006/relationships/control" Target="../activeX/activeX19.xml"/><Relationship Id="rId9" Type="http://schemas.openxmlformats.org/officeDocument/2006/relationships/image" Target="../media/image22.emf"/><Relationship Id="rId14" Type="http://schemas.openxmlformats.org/officeDocument/2006/relationships/control" Target="../activeX/activeX24.xml"/><Relationship Id="rId22" Type="http://schemas.openxmlformats.org/officeDocument/2006/relationships/control" Target="../activeX/activeX28.xml"/><Relationship Id="rId27" Type="http://schemas.openxmlformats.org/officeDocument/2006/relationships/image" Target="../media/image31.emf"/><Relationship Id="rId30" Type="http://schemas.openxmlformats.org/officeDocument/2006/relationships/control" Target="../activeX/activeX32.xml"/><Relationship Id="rId8" Type="http://schemas.openxmlformats.org/officeDocument/2006/relationships/control" Target="../activeX/activeX21.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6.xml"/><Relationship Id="rId13" Type="http://schemas.openxmlformats.org/officeDocument/2006/relationships/image" Target="../media/image39.emf"/><Relationship Id="rId18" Type="http://schemas.openxmlformats.org/officeDocument/2006/relationships/control" Target="../activeX/activeX41.xml"/><Relationship Id="rId26" Type="http://schemas.openxmlformats.org/officeDocument/2006/relationships/control" Target="../activeX/activeX45.xml"/><Relationship Id="rId3" Type="http://schemas.openxmlformats.org/officeDocument/2006/relationships/vmlDrawing" Target="../drawings/vmlDrawing6.vml"/><Relationship Id="rId21" Type="http://schemas.openxmlformats.org/officeDocument/2006/relationships/image" Target="../media/image43.emf"/><Relationship Id="rId7" Type="http://schemas.openxmlformats.org/officeDocument/2006/relationships/image" Target="../media/image36.emf"/><Relationship Id="rId12" Type="http://schemas.openxmlformats.org/officeDocument/2006/relationships/control" Target="../activeX/activeX38.xml"/><Relationship Id="rId17" Type="http://schemas.openxmlformats.org/officeDocument/2006/relationships/image" Target="../media/image41.emf"/><Relationship Id="rId25" Type="http://schemas.openxmlformats.org/officeDocument/2006/relationships/image" Target="../media/image45.emf"/><Relationship Id="rId2" Type="http://schemas.openxmlformats.org/officeDocument/2006/relationships/drawing" Target="../drawings/drawing10.xml"/><Relationship Id="rId16" Type="http://schemas.openxmlformats.org/officeDocument/2006/relationships/control" Target="../activeX/activeX40.xml"/><Relationship Id="rId20" Type="http://schemas.openxmlformats.org/officeDocument/2006/relationships/control" Target="../activeX/activeX42.xml"/><Relationship Id="rId29" Type="http://schemas.openxmlformats.org/officeDocument/2006/relationships/image" Target="../media/image47.emf"/><Relationship Id="rId1" Type="http://schemas.openxmlformats.org/officeDocument/2006/relationships/printerSettings" Target="../printerSettings/printerSettings12.bin"/><Relationship Id="rId6" Type="http://schemas.openxmlformats.org/officeDocument/2006/relationships/control" Target="../activeX/activeX35.xml"/><Relationship Id="rId11" Type="http://schemas.openxmlformats.org/officeDocument/2006/relationships/image" Target="../media/image38.emf"/><Relationship Id="rId24" Type="http://schemas.openxmlformats.org/officeDocument/2006/relationships/control" Target="../activeX/activeX44.xml"/><Relationship Id="rId32" Type="http://schemas.openxmlformats.org/officeDocument/2006/relationships/image" Target="../media/image48.emf"/><Relationship Id="rId5" Type="http://schemas.openxmlformats.org/officeDocument/2006/relationships/image" Target="../media/image35.emf"/><Relationship Id="rId15" Type="http://schemas.openxmlformats.org/officeDocument/2006/relationships/image" Target="../media/image40.emf"/><Relationship Id="rId23" Type="http://schemas.openxmlformats.org/officeDocument/2006/relationships/image" Target="../media/image44.emf"/><Relationship Id="rId28" Type="http://schemas.openxmlformats.org/officeDocument/2006/relationships/control" Target="../activeX/activeX46.xml"/><Relationship Id="rId10" Type="http://schemas.openxmlformats.org/officeDocument/2006/relationships/control" Target="../activeX/activeX37.xml"/><Relationship Id="rId19" Type="http://schemas.openxmlformats.org/officeDocument/2006/relationships/image" Target="../media/image42.emf"/><Relationship Id="rId31" Type="http://schemas.openxmlformats.org/officeDocument/2006/relationships/control" Target="../activeX/activeX48.xml"/><Relationship Id="rId4" Type="http://schemas.openxmlformats.org/officeDocument/2006/relationships/control" Target="../activeX/activeX34.xml"/><Relationship Id="rId9" Type="http://schemas.openxmlformats.org/officeDocument/2006/relationships/image" Target="../media/image37.emf"/><Relationship Id="rId14" Type="http://schemas.openxmlformats.org/officeDocument/2006/relationships/control" Target="../activeX/activeX39.xml"/><Relationship Id="rId22" Type="http://schemas.openxmlformats.org/officeDocument/2006/relationships/control" Target="../activeX/activeX43.xml"/><Relationship Id="rId27" Type="http://schemas.openxmlformats.org/officeDocument/2006/relationships/image" Target="../media/image46.emf"/><Relationship Id="rId30" Type="http://schemas.openxmlformats.org/officeDocument/2006/relationships/control" Target="../activeX/activeX47.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1.xml"/><Relationship Id="rId13" Type="http://schemas.openxmlformats.org/officeDocument/2006/relationships/image" Target="../media/image53.emf"/><Relationship Id="rId18" Type="http://schemas.openxmlformats.org/officeDocument/2006/relationships/control" Target="../activeX/activeX56.xml"/><Relationship Id="rId3" Type="http://schemas.openxmlformats.org/officeDocument/2006/relationships/vmlDrawing" Target="../drawings/vmlDrawing7.vml"/><Relationship Id="rId21" Type="http://schemas.openxmlformats.org/officeDocument/2006/relationships/image" Target="../media/image57.emf"/><Relationship Id="rId7" Type="http://schemas.openxmlformats.org/officeDocument/2006/relationships/image" Target="../media/image50.emf"/><Relationship Id="rId12" Type="http://schemas.openxmlformats.org/officeDocument/2006/relationships/control" Target="../activeX/activeX53.xml"/><Relationship Id="rId17" Type="http://schemas.openxmlformats.org/officeDocument/2006/relationships/image" Target="../media/image55.emf"/><Relationship Id="rId2" Type="http://schemas.openxmlformats.org/officeDocument/2006/relationships/drawing" Target="../drawings/drawing11.xml"/><Relationship Id="rId16" Type="http://schemas.openxmlformats.org/officeDocument/2006/relationships/control" Target="../activeX/activeX55.xml"/><Relationship Id="rId20" Type="http://schemas.openxmlformats.org/officeDocument/2006/relationships/control" Target="../activeX/activeX57.xml"/><Relationship Id="rId1" Type="http://schemas.openxmlformats.org/officeDocument/2006/relationships/printerSettings" Target="../printerSettings/printerSettings13.bin"/><Relationship Id="rId6" Type="http://schemas.openxmlformats.org/officeDocument/2006/relationships/control" Target="../activeX/activeX50.xml"/><Relationship Id="rId11" Type="http://schemas.openxmlformats.org/officeDocument/2006/relationships/image" Target="../media/image52.emf"/><Relationship Id="rId5" Type="http://schemas.openxmlformats.org/officeDocument/2006/relationships/image" Target="../media/image49.emf"/><Relationship Id="rId15" Type="http://schemas.openxmlformats.org/officeDocument/2006/relationships/image" Target="../media/image54.emf"/><Relationship Id="rId23" Type="http://schemas.openxmlformats.org/officeDocument/2006/relationships/image" Target="../media/image58.emf"/><Relationship Id="rId10" Type="http://schemas.openxmlformats.org/officeDocument/2006/relationships/control" Target="../activeX/activeX52.xml"/><Relationship Id="rId19" Type="http://schemas.openxmlformats.org/officeDocument/2006/relationships/image" Target="../media/image56.emf"/><Relationship Id="rId4" Type="http://schemas.openxmlformats.org/officeDocument/2006/relationships/control" Target="../activeX/activeX49.xml"/><Relationship Id="rId9" Type="http://schemas.openxmlformats.org/officeDocument/2006/relationships/image" Target="../media/image51.emf"/><Relationship Id="rId14" Type="http://schemas.openxmlformats.org/officeDocument/2006/relationships/control" Target="../activeX/activeX54.xml"/><Relationship Id="rId22" Type="http://schemas.openxmlformats.org/officeDocument/2006/relationships/control" Target="../activeX/activeX5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61.xml"/><Relationship Id="rId13" Type="http://schemas.openxmlformats.org/officeDocument/2006/relationships/image" Target="../media/image63.emf"/><Relationship Id="rId3" Type="http://schemas.openxmlformats.org/officeDocument/2006/relationships/vmlDrawing" Target="../drawings/vmlDrawing8.vml"/><Relationship Id="rId7" Type="http://schemas.openxmlformats.org/officeDocument/2006/relationships/image" Target="../media/image60.emf"/><Relationship Id="rId12" Type="http://schemas.openxmlformats.org/officeDocument/2006/relationships/control" Target="../activeX/activeX63.xml"/><Relationship Id="rId17" Type="http://schemas.openxmlformats.org/officeDocument/2006/relationships/image" Target="../media/image65.emf"/><Relationship Id="rId2" Type="http://schemas.openxmlformats.org/officeDocument/2006/relationships/drawing" Target="../drawings/drawing14.xml"/><Relationship Id="rId16" Type="http://schemas.openxmlformats.org/officeDocument/2006/relationships/control" Target="../activeX/activeX65.xml"/><Relationship Id="rId1" Type="http://schemas.openxmlformats.org/officeDocument/2006/relationships/printerSettings" Target="../printerSettings/printerSettings16.bin"/><Relationship Id="rId6" Type="http://schemas.openxmlformats.org/officeDocument/2006/relationships/control" Target="../activeX/activeX60.xml"/><Relationship Id="rId11" Type="http://schemas.openxmlformats.org/officeDocument/2006/relationships/image" Target="../media/image62.emf"/><Relationship Id="rId5" Type="http://schemas.openxmlformats.org/officeDocument/2006/relationships/image" Target="../media/image59.emf"/><Relationship Id="rId15" Type="http://schemas.openxmlformats.org/officeDocument/2006/relationships/image" Target="../media/image64.emf"/><Relationship Id="rId10" Type="http://schemas.openxmlformats.org/officeDocument/2006/relationships/control" Target="../activeX/activeX62.xml"/><Relationship Id="rId4" Type="http://schemas.openxmlformats.org/officeDocument/2006/relationships/control" Target="../activeX/activeX59.xml"/><Relationship Id="rId9" Type="http://schemas.openxmlformats.org/officeDocument/2006/relationships/image" Target="../media/image61.emf"/><Relationship Id="rId14" Type="http://schemas.openxmlformats.org/officeDocument/2006/relationships/control" Target="../activeX/activeX64.xml"/></Relationships>
</file>

<file path=xl/worksheets/_rels/sheet17.xml.rels><?xml version="1.0" encoding="UTF-8" standalone="yes"?>
<Relationships xmlns="http://schemas.openxmlformats.org/package/2006/relationships"><Relationship Id="rId8" Type="http://schemas.openxmlformats.org/officeDocument/2006/relationships/image" Target="../media/image67.emf"/><Relationship Id="rId3" Type="http://schemas.openxmlformats.org/officeDocument/2006/relationships/vmlDrawing" Target="../drawings/vmlDrawing9.vml"/><Relationship Id="rId7" Type="http://schemas.openxmlformats.org/officeDocument/2006/relationships/control" Target="../activeX/activeX67.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image" Target="../media/image66.emf"/><Relationship Id="rId5" Type="http://schemas.openxmlformats.org/officeDocument/2006/relationships/control" Target="../activeX/activeX66.xml"/><Relationship Id="rId10" Type="http://schemas.openxmlformats.org/officeDocument/2006/relationships/image" Target="../media/image68.emf"/><Relationship Id="rId4" Type="http://schemas.openxmlformats.org/officeDocument/2006/relationships/vmlDrawing" Target="../drawings/vmlDrawing10.vml"/><Relationship Id="rId9" Type="http://schemas.openxmlformats.org/officeDocument/2006/relationships/control" Target="../activeX/activeX68.xml"/></Relationships>
</file>

<file path=xl/worksheets/_rels/sheet18.xml.rels><?xml version="1.0" encoding="UTF-8" standalone="yes"?>
<Relationships xmlns="http://schemas.openxmlformats.org/package/2006/relationships"><Relationship Id="rId8" Type="http://schemas.openxmlformats.org/officeDocument/2006/relationships/image" Target="../media/image74.emf"/><Relationship Id="rId3" Type="http://schemas.openxmlformats.org/officeDocument/2006/relationships/vmlDrawing" Target="../drawings/vmlDrawing11.vml"/><Relationship Id="rId7" Type="http://schemas.openxmlformats.org/officeDocument/2006/relationships/control" Target="../activeX/activeX70.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image" Target="../media/image73.emf"/><Relationship Id="rId5" Type="http://schemas.openxmlformats.org/officeDocument/2006/relationships/control" Target="../activeX/activeX69.xml"/><Relationship Id="rId10" Type="http://schemas.openxmlformats.org/officeDocument/2006/relationships/image" Target="../media/image75.emf"/><Relationship Id="rId4" Type="http://schemas.openxmlformats.org/officeDocument/2006/relationships/vmlDrawing" Target="../drawings/vmlDrawing12.vml"/><Relationship Id="rId9" Type="http://schemas.openxmlformats.org/officeDocument/2006/relationships/control" Target="../activeX/activeX71.xml"/></Relationships>
</file>

<file path=xl/worksheets/_rels/sheet19.xml.rels><?xml version="1.0" encoding="UTF-8" standalone="yes"?>
<Relationships xmlns="http://schemas.openxmlformats.org/package/2006/relationships"><Relationship Id="rId8" Type="http://schemas.openxmlformats.org/officeDocument/2006/relationships/image" Target="../media/image81.emf"/><Relationship Id="rId3" Type="http://schemas.openxmlformats.org/officeDocument/2006/relationships/vmlDrawing" Target="../drawings/vmlDrawing13.vml"/><Relationship Id="rId7" Type="http://schemas.openxmlformats.org/officeDocument/2006/relationships/control" Target="../activeX/activeX73.x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image" Target="../media/image80.emf"/><Relationship Id="rId5" Type="http://schemas.openxmlformats.org/officeDocument/2006/relationships/control" Target="../activeX/activeX72.xml"/><Relationship Id="rId10" Type="http://schemas.openxmlformats.org/officeDocument/2006/relationships/image" Target="../media/image82.emf"/><Relationship Id="rId4" Type="http://schemas.openxmlformats.org/officeDocument/2006/relationships/vmlDrawing" Target="../drawings/vmlDrawing14.vml"/><Relationship Id="rId9" Type="http://schemas.openxmlformats.org/officeDocument/2006/relationships/control" Target="../activeX/activeX74.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77.xml"/><Relationship Id="rId3" Type="http://schemas.openxmlformats.org/officeDocument/2006/relationships/vmlDrawing" Target="../drawings/vmlDrawing15.vml"/><Relationship Id="rId7" Type="http://schemas.openxmlformats.org/officeDocument/2006/relationships/image" Target="../media/image104.emf"/><Relationship Id="rId2" Type="http://schemas.openxmlformats.org/officeDocument/2006/relationships/drawing" Target="../drawings/drawing18.xml"/><Relationship Id="rId1" Type="http://schemas.openxmlformats.org/officeDocument/2006/relationships/printerSettings" Target="../printerSettings/printerSettings21.bin"/><Relationship Id="rId6" Type="http://schemas.openxmlformats.org/officeDocument/2006/relationships/control" Target="../activeX/activeX76.xml"/><Relationship Id="rId5" Type="http://schemas.openxmlformats.org/officeDocument/2006/relationships/image" Target="../media/image103.emf"/><Relationship Id="rId4" Type="http://schemas.openxmlformats.org/officeDocument/2006/relationships/control" Target="../activeX/activeX75.xml"/><Relationship Id="rId9" Type="http://schemas.openxmlformats.org/officeDocument/2006/relationships/image" Target="../media/image105.emf"/></Relationships>
</file>

<file path=xl/worksheets/_rels/sheet22.xml.rels><?xml version="1.0" encoding="UTF-8" standalone="yes"?>
<Relationships xmlns="http://schemas.openxmlformats.org/package/2006/relationships"><Relationship Id="rId8" Type="http://schemas.openxmlformats.org/officeDocument/2006/relationships/image" Target="../media/image107.emf"/><Relationship Id="rId13" Type="http://schemas.openxmlformats.org/officeDocument/2006/relationships/control" Target="../activeX/activeX82.xml"/><Relationship Id="rId3" Type="http://schemas.openxmlformats.org/officeDocument/2006/relationships/vmlDrawing" Target="../drawings/vmlDrawing16.vml"/><Relationship Id="rId7" Type="http://schemas.openxmlformats.org/officeDocument/2006/relationships/control" Target="../activeX/activeX79.xml"/><Relationship Id="rId12" Type="http://schemas.openxmlformats.org/officeDocument/2006/relationships/image" Target="../media/image109.emf"/><Relationship Id="rId2" Type="http://schemas.openxmlformats.org/officeDocument/2006/relationships/drawing" Target="../drawings/drawing19.xml"/><Relationship Id="rId16" Type="http://schemas.openxmlformats.org/officeDocument/2006/relationships/image" Target="../media/image111.emf"/><Relationship Id="rId1" Type="http://schemas.openxmlformats.org/officeDocument/2006/relationships/printerSettings" Target="../printerSettings/printerSettings22.bin"/><Relationship Id="rId6" Type="http://schemas.openxmlformats.org/officeDocument/2006/relationships/image" Target="../media/image106.emf"/><Relationship Id="rId11" Type="http://schemas.openxmlformats.org/officeDocument/2006/relationships/control" Target="../activeX/activeX81.xml"/><Relationship Id="rId5" Type="http://schemas.openxmlformats.org/officeDocument/2006/relationships/control" Target="../activeX/activeX78.xml"/><Relationship Id="rId15" Type="http://schemas.openxmlformats.org/officeDocument/2006/relationships/control" Target="../activeX/activeX83.xml"/><Relationship Id="rId10" Type="http://schemas.openxmlformats.org/officeDocument/2006/relationships/image" Target="../media/image108.emf"/><Relationship Id="rId4" Type="http://schemas.openxmlformats.org/officeDocument/2006/relationships/vmlDrawing" Target="../drawings/vmlDrawing17.vml"/><Relationship Id="rId9" Type="http://schemas.openxmlformats.org/officeDocument/2006/relationships/control" Target="../activeX/activeX80.xml"/><Relationship Id="rId14" Type="http://schemas.openxmlformats.org/officeDocument/2006/relationships/image" Target="../media/image110.emf"/></Relationships>
</file>

<file path=xl/worksheets/_rels/sheet23.xml.rels><?xml version="1.0" encoding="UTF-8" standalone="yes"?>
<Relationships xmlns="http://schemas.openxmlformats.org/package/2006/relationships"><Relationship Id="rId8" Type="http://schemas.openxmlformats.org/officeDocument/2006/relationships/image" Target="../media/image114.emf"/><Relationship Id="rId13" Type="http://schemas.openxmlformats.org/officeDocument/2006/relationships/control" Target="../activeX/activeX88.xml"/><Relationship Id="rId3" Type="http://schemas.openxmlformats.org/officeDocument/2006/relationships/vmlDrawing" Target="../drawings/vmlDrawing18.vml"/><Relationship Id="rId7" Type="http://schemas.openxmlformats.org/officeDocument/2006/relationships/control" Target="../activeX/activeX85.xml"/><Relationship Id="rId12" Type="http://schemas.openxmlformats.org/officeDocument/2006/relationships/image" Target="../media/image116.emf"/><Relationship Id="rId2" Type="http://schemas.openxmlformats.org/officeDocument/2006/relationships/drawing" Target="../drawings/drawing20.xml"/><Relationship Id="rId16" Type="http://schemas.openxmlformats.org/officeDocument/2006/relationships/image" Target="../media/image118.emf"/><Relationship Id="rId1" Type="http://schemas.openxmlformats.org/officeDocument/2006/relationships/printerSettings" Target="../printerSettings/printerSettings23.bin"/><Relationship Id="rId6" Type="http://schemas.openxmlformats.org/officeDocument/2006/relationships/image" Target="../media/image113.emf"/><Relationship Id="rId11" Type="http://schemas.openxmlformats.org/officeDocument/2006/relationships/control" Target="../activeX/activeX87.xml"/><Relationship Id="rId5" Type="http://schemas.openxmlformats.org/officeDocument/2006/relationships/control" Target="../activeX/activeX84.xml"/><Relationship Id="rId15" Type="http://schemas.openxmlformats.org/officeDocument/2006/relationships/control" Target="../activeX/activeX89.xml"/><Relationship Id="rId10" Type="http://schemas.openxmlformats.org/officeDocument/2006/relationships/image" Target="../media/image115.emf"/><Relationship Id="rId4" Type="http://schemas.openxmlformats.org/officeDocument/2006/relationships/vmlDrawing" Target="../drawings/vmlDrawing19.vml"/><Relationship Id="rId9" Type="http://schemas.openxmlformats.org/officeDocument/2006/relationships/control" Target="../activeX/activeX86.xml"/><Relationship Id="rId14" Type="http://schemas.openxmlformats.org/officeDocument/2006/relationships/image" Target="../media/image117.emf"/></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0.v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H20"/>
  <sheetViews>
    <sheetView tabSelected="1" zoomScale="90" zoomScaleNormal="90" workbookViewId="0">
      <selection activeCell="A8" sqref="A8"/>
    </sheetView>
  </sheetViews>
  <sheetFormatPr defaultColWidth="9" defaultRowHeight="13.5"/>
  <cols>
    <col min="1" max="1" width="19.25" style="2" customWidth="1"/>
    <col min="2" max="2" width="18.875" style="2" customWidth="1"/>
    <col min="3" max="4" width="11.5" style="2" bestFit="1" customWidth="1"/>
    <col min="5" max="5" width="14.125" style="2" bestFit="1" customWidth="1"/>
    <col min="6" max="6" width="11.5" style="2" bestFit="1" customWidth="1"/>
    <col min="7" max="7" width="9" style="2" bestFit="1" customWidth="1"/>
    <col min="8" max="8" width="11.5" style="2" bestFit="1" customWidth="1"/>
    <col min="9" max="16384" width="9" style="2"/>
  </cols>
  <sheetData>
    <row r="1" spans="1:8" ht="17.25">
      <c r="A1" s="1" t="s">
        <v>0</v>
      </c>
    </row>
    <row r="4" spans="1:8" ht="17.25">
      <c r="A4" s="3" t="s">
        <v>1</v>
      </c>
      <c r="B4" s="4"/>
      <c r="C4" s="4"/>
      <c r="D4" s="4"/>
      <c r="E4" s="4"/>
      <c r="F4" s="4"/>
      <c r="G4" s="4"/>
      <c r="H4" s="4"/>
    </row>
    <row r="5" spans="1:8" ht="17.25">
      <c r="A5" s="1300" t="s">
        <v>2</v>
      </c>
      <c r="B5" s="5"/>
      <c r="C5" s="1303" t="s">
        <v>3</v>
      </c>
      <c r="D5" s="1304"/>
      <c r="E5" s="1304"/>
      <c r="F5" s="1304"/>
      <c r="G5" s="1304"/>
      <c r="H5" s="1305"/>
    </row>
    <row r="6" spans="1:8" ht="17.25">
      <c r="A6" s="1301"/>
      <c r="B6" s="5"/>
      <c r="C6" s="1306" t="s">
        <v>4</v>
      </c>
      <c r="D6" s="1306" t="s">
        <v>5</v>
      </c>
      <c r="E6" s="1306" t="s">
        <v>6</v>
      </c>
      <c r="F6" s="1306" t="s">
        <v>7</v>
      </c>
      <c r="G6" s="1306" t="s">
        <v>8</v>
      </c>
      <c r="H6" s="1306" t="s">
        <v>9</v>
      </c>
    </row>
    <row r="7" spans="1:8" ht="18" thickBot="1">
      <c r="A7" s="1302"/>
      <c r="B7" s="5"/>
      <c r="C7" s="1307"/>
      <c r="D7" s="1307"/>
      <c r="E7" s="1307"/>
      <c r="F7" s="1307"/>
      <c r="G7" s="1307"/>
      <c r="H7" s="1307"/>
    </row>
    <row r="8" spans="1:8" ht="20.25" thickTop="1" thickBot="1">
      <c r="A8" s="6"/>
      <c r="B8" s="7"/>
      <c r="C8" s="8"/>
      <c r="D8" s="9"/>
      <c r="E8" s="10"/>
      <c r="F8" s="9"/>
      <c r="G8" s="9"/>
      <c r="H8" s="9"/>
    </row>
    <row r="9" spans="1:8" ht="14.25" thickTop="1"/>
    <row r="11" spans="1:8" ht="14.25" thickBot="1"/>
    <row r="12" spans="1:8" ht="18" thickTop="1">
      <c r="A12" s="11" t="s">
        <v>10</v>
      </c>
      <c r="B12" s="12" t="s">
        <v>11</v>
      </c>
      <c r="D12" s="13" t="s">
        <v>12</v>
      </c>
      <c r="E12" s="1297" t="str">
        <f>IF(AND(B12&lt;&gt;"",B13&lt;&gt;""),
IF(B12="[75]なたね",IF(B13="個別経営体","なたね生産費統計（個別）","経営分析調査_なたね生産費"),
IF(B12="[76]そば",IF(B13="個別経営体","そば生産費統計（個別）","経営分析調査_そば生産費"),
IF(B12="[77]二条大麦",IF(B13="個別経営体","二条大麦生産費統計（個別）","経営分析調査_二条大麦生産費"),
IF(B12="[78]六条大麦",IF(B13="個別経営体","六条大麦生産費統計（個別）","経営分析調査_六条大麦生産費"),
IF(B12="[79]はだか麦",IF(B13="個別経営体","はだか麦生産費統計（個別）","経営分析調査_はだか麦生産費"),
IF(B12="[80]米",IF(B13="個別経営体","米生産費統計（個別）","米生産費統計（組織法人）"),
IF(B12="[81]小麦",IF(B13="個別経営体","小麦生産費統計（個別）","小麦生産費統計（組織法人）"),
IF(B12="[82]大豆",IF(B13="個別経営体","大豆生産費統計（個別）","大豆生産費統計（組織法人）"),
IF(B12="[83]原料用かんしょ",IF(B13="個別経営体","原料用かんしょ生産費統計（個別）",""),
IF(B12="[84]原料用ばれいしょ",IF(B13="個別経営体","原料用ばれいしょ生産費統計（個別）","経営分析調査_原料用ばれいしょ生産費"),
IF(B12="[85]さとうきび",IF(B13="個別経営体","さとうきび生産費統計（個別）","経営分析調査_さとうきび生産費"),
IF(B12="[86]てんさい",IF(B13="個別経営体","てんさい生産費統計（個別）","経営分析調査_てんさい生産費"))))))))))))),"")</f>
        <v>六条大麦生産費統計（個別）</v>
      </c>
      <c r="F12" s="1298"/>
      <c r="G12" s="1298"/>
      <c r="H12" s="1299"/>
    </row>
    <row r="13" spans="1:8" ht="17.25">
      <c r="A13" s="14" t="s">
        <v>13</v>
      </c>
      <c r="B13" s="15" t="s">
        <v>14</v>
      </c>
    </row>
    <row r="14" spans="1:8" ht="18" thickBot="1">
      <c r="A14" s="14" t="s">
        <v>15</v>
      </c>
      <c r="B14" s="16"/>
    </row>
    <row r="15" spans="1:8" ht="14.25" thickTop="1"/>
    <row r="16" spans="1:8" ht="14.25" thickBot="1"/>
    <row r="17" spans="1:2" ht="18" thickTop="1">
      <c r="A17" s="17" t="s">
        <v>16</v>
      </c>
      <c r="B17" s="18"/>
    </row>
    <row r="18" spans="1:2" ht="17.25">
      <c r="A18" s="17" t="s">
        <v>17</v>
      </c>
      <c r="B18" s="19"/>
    </row>
    <row r="19" spans="1:2" ht="18" thickBot="1">
      <c r="A19" s="13" t="s">
        <v>18</v>
      </c>
      <c r="B19" s="20"/>
    </row>
    <row r="20" spans="1:2" ht="14.25" thickTop="1"/>
  </sheetData>
  <sheetProtection sheet="1" objects="1" scenarios="1" selectLockedCells="1"/>
  <mergeCells count="9">
    <mergeCell ref="E12:H12"/>
    <mergeCell ref="A5:A7"/>
    <mergeCell ref="C5:H5"/>
    <mergeCell ref="C6:C7"/>
    <mergeCell ref="D6:D7"/>
    <mergeCell ref="E6:E7"/>
    <mergeCell ref="F6:F7"/>
    <mergeCell ref="G6:G7"/>
    <mergeCell ref="H6:H7"/>
  </mergeCells>
  <phoneticPr fontId="5"/>
  <dataValidations count="9">
    <dataValidation type="whole" allowBlank="1" showInputMessage="1" showErrorMessage="1" error="0～999の数字を入力してください。" sqref="G8" xr:uid="{00000000-0002-0000-0000-000000000000}">
      <formula1>0</formula1>
      <formula2>999</formula2>
    </dataValidation>
    <dataValidation type="whole" allowBlank="1" showInputMessage="1" showErrorMessage="1" error="1～999の数字を入力してください。" sqref="H8" xr:uid="{00000000-0002-0000-0000-000001000000}">
      <formula1>1</formula1>
      <formula2>999</formula2>
    </dataValidation>
    <dataValidation type="whole" operator="greaterThan" allowBlank="1" showInputMessage="1" showErrorMessage="1" error="0より大きい数値を整数で入力してください。" sqref="B17" xr:uid="{00000000-0002-0000-0000-000002000000}">
      <formula1>0</formula1>
    </dataValidation>
    <dataValidation type="whole" allowBlank="1" showInputMessage="1" showErrorMessage="1" error="13桁の整数を入力してください。" sqref="B14" xr:uid="{00000000-0002-0000-0000-000003000000}">
      <formula1>1000000000000</formula1>
      <formula2>9999999999999</formula2>
    </dataValidation>
    <dataValidation type="whole" allowBlank="1" showInputMessage="1" showErrorMessage="1" error="100～999の数字を入力してください。" sqref="D8" xr:uid="{00000000-0002-0000-0000-000004000000}">
      <formula1>100</formula1>
      <formula2>999</formula2>
    </dataValidation>
    <dataValidation type="whole" allowBlank="1" showInputMessage="1" showErrorMessage="1" error="100～999の数字を入力してください。" sqref="F8" xr:uid="{00000000-0002-0000-0000-000005000000}">
      <formula1>1</formula1>
      <formula2>999</formula2>
    </dataValidation>
    <dataValidation type="whole" allowBlank="1" showInputMessage="1" showErrorMessage="1" error="1～47の数字を入力してください。" sqref="C8" xr:uid="{00000000-0002-0000-0000-000006000000}">
      <formula1>1</formula1>
      <formula2>47</formula2>
    </dataValidation>
    <dataValidation type="whole" allowBlank="1" showInputMessage="1" showErrorMessage="1" error="0～99の数字を入力してください。" sqref="E8" xr:uid="{00000000-0002-0000-0000-000007000000}">
      <formula1>0</formula1>
      <formula2>99</formula2>
    </dataValidation>
    <dataValidation type="whole" allowBlank="1" showInputMessage="1" showErrorMessage="1" sqref="A8" xr:uid="{00000000-0002-0000-0000-000008000000}">
      <formula1>1700</formula1>
      <formula2>2100</formula2>
    </dataValidation>
  </dataValidations>
  <pageMargins left="0.7" right="0.7" top="0.75" bottom="0.75" header="0.3" footer="0.3"/>
  <pageSetup paperSize="9" orientation="landscape"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anchor moveWithCells="1" sizeWithCells="1">
                  <from>
                    <xdr:col>5</xdr:col>
                    <xdr:colOff>581025</xdr:colOff>
                    <xdr:row>20</xdr:row>
                    <xdr:rowOff>57150</xdr:rowOff>
                  </from>
                  <to>
                    <xdr:col>7</xdr:col>
                    <xdr:colOff>628650</xdr:colOff>
                    <xdr:row>22</xdr:row>
                    <xdr:rowOff>76200</xdr:rowOff>
                  </to>
                </anchor>
              </controlPr>
            </control>
          </mc:Choice>
        </mc:AlternateContent>
        <mc:AlternateContent xmlns:mc="http://schemas.openxmlformats.org/markup-compatibility/2006">
          <mc:Choice Requires="x14">
            <control shapeId="1026" r:id="rId5" name="Button 2">
              <controlPr defaultSize="0" print="0" autoFill="0" autoPict="0">
                <anchor moveWithCells="1" sizeWithCells="1">
                  <from>
                    <xdr:col>1</xdr:col>
                    <xdr:colOff>1057275</xdr:colOff>
                    <xdr:row>20</xdr:row>
                    <xdr:rowOff>57150</xdr:rowOff>
                  </from>
                  <to>
                    <xdr:col>3</xdr:col>
                    <xdr:colOff>352425</xdr:colOff>
                    <xdr:row>22</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9000000}">
          <x14:formula1>
            <xm:f>リスト!$J$5:$J$8</xm:f>
          </x14:formula1>
          <xm:sqref>B19</xm:sqref>
        </x14:dataValidation>
        <x14:dataValidation type="list" allowBlank="1" showInputMessage="1" showErrorMessage="1" xr:uid="{00000000-0002-0000-0000-00000A000000}">
          <x14:formula1>
            <xm:f>リスト!$H$5:$H$6</xm:f>
          </x14:formula1>
          <xm:sqref>B18</xm:sqref>
        </x14:dataValidation>
        <x14:dataValidation type="list" allowBlank="1" showInputMessage="1" showErrorMessage="1" xr:uid="{00000000-0002-0000-0000-00000B000000}">
          <x14:formula1>
            <xm:f>リスト!$F$5:$F$6</xm:f>
          </x14:formula1>
          <xm:sqref>B13</xm:sqref>
        </x14:dataValidation>
        <x14:dataValidation type="list" allowBlank="1" showInputMessage="1" showErrorMessage="1" xr:uid="{00000000-0002-0000-0000-00000C000000}">
          <x14:formula1>
            <xm:f>リスト!$B$5:$B$16</xm:f>
          </x14:formula1>
          <xm:sqref>B12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D3:BN61"/>
  <sheetViews>
    <sheetView view="pageBreakPreview" zoomScale="75" zoomScaleNormal="75" zoomScaleSheetLayoutView="75" workbookViewId="0">
      <selection activeCell="F51" sqref="F51:BC57"/>
    </sheetView>
  </sheetViews>
  <sheetFormatPr defaultColWidth="9" defaultRowHeight="13.5"/>
  <cols>
    <col min="1" max="3" width="3.375" style="21" customWidth="1"/>
    <col min="4" max="4" width="3.25" style="21" customWidth="1"/>
    <col min="5" max="5" width="2.875" style="21" customWidth="1"/>
    <col min="6" max="64" width="3.375" style="21" customWidth="1"/>
    <col min="65" max="65" width="0.375" style="21" customWidth="1"/>
    <col min="66" max="66" width="1.375" style="21" customWidth="1"/>
    <col min="67" max="16384" width="9" style="21"/>
  </cols>
  <sheetData>
    <row r="3" spans="4:66">
      <c r="D3" s="1309" t="s">
        <v>19</v>
      </c>
      <c r="E3" s="1309"/>
      <c r="F3" s="1309"/>
      <c r="G3" s="1309"/>
      <c r="H3" s="1309"/>
      <c r="I3" s="1309"/>
    </row>
    <row r="4" spans="4:66" ht="3.75" customHeight="1" thickBot="1">
      <c r="BG4" s="22"/>
      <c r="BH4" s="23"/>
      <c r="BI4" s="23"/>
      <c r="BJ4" s="23"/>
      <c r="BK4" s="23"/>
      <c r="BL4" s="23"/>
      <c r="BM4" s="23"/>
      <c r="BN4" s="23"/>
    </row>
    <row r="5" spans="4:66" ht="14.25" customHeight="1">
      <c r="E5" s="1310" t="s">
        <v>20</v>
      </c>
      <c r="F5" s="1311"/>
      <c r="G5" s="1311"/>
      <c r="H5" s="1312"/>
      <c r="BG5" s="22"/>
      <c r="BH5" s="24"/>
      <c r="BI5" s="24"/>
      <c r="BJ5" s="24"/>
      <c r="BK5" s="24"/>
      <c r="BL5" s="25"/>
      <c r="BM5" s="25"/>
      <c r="BN5" s="25"/>
    </row>
    <row r="6" spans="4:66" ht="14.25" customHeight="1" thickBot="1">
      <c r="E6" s="1313"/>
      <c r="F6" s="1314"/>
      <c r="G6" s="1314"/>
      <c r="H6" s="1315"/>
      <c r="BG6" s="22"/>
      <c r="BH6" s="24"/>
      <c r="BI6" s="24"/>
      <c r="BK6" s="24"/>
      <c r="BL6" s="25"/>
      <c r="BM6" s="25"/>
      <c r="BN6" s="25"/>
    </row>
    <row r="7" spans="4:66" ht="14.25" customHeight="1">
      <c r="E7" s="1316" t="s">
        <v>21</v>
      </c>
      <c r="F7" s="1317"/>
      <c r="G7" s="1317"/>
      <c r="H7" s="1318"/>
      <c r="BH7" s="26"/>
      <c r="BI7" s="26"/>
      <c r="BJ7" s="26"/>
      <c r="BK7" s="26"/>
      <c r="BL7" s="25"/>
      <c r="BM7" s="25"/>
      <c r="BN7" s="25"/>
    </row>
    <row r="8" spans="4:66" ht="14.25" customHeight="1" thickBot="1">
      <c r="E8" s="1319"/>
      <c r="F8" s="1320"/>
      <c r="G8" s="1320"/>
      <c r="H8" s="1321"/>
      <c r="BH8" s="26"/>
      <c r="BI8" s="26"/>
      <c r="BJ8" s="26"/>
      <c r="BK8" s="26"/>
      <c r="BL8" s="25"/>
      <c r="BM8" s="25"/>
      <c r="BN8" s="25"/>
    </row>
    <row r="9" spans="4:66" ht="14.25" customHeight="1"/>
    <row r="10" spans="4:66" ht="14.25" customHeight="1"/>
    <row r="11" spans="4:66" ht="13.5" customHeight="1">
      <c r="L11" s="27"/>
      <c r="M11" s="27"/>
      <c r="N11" s="27"/>
      <c r="O11" s="27"/>
      <c r="P11" s="27"/>
      <c r="Q11" s="28"/>
      <c r="R11" s="28"/>
      <c r="S11" s="28"/>
      <c r="T11" s="27"/>
      <c r="U11" s="27"/>
      <c r="V11" s="27"/>
      <c r="W11" s="27"/>
      <c r="X11" s="27"/>
      <c r="Y11" s="27"/>
      <c r="Z11" s="27"/>
      <c r="AA11" s="27"/>
      <c r="AB11" s="27"/>
      <c r="AC11" s="27"/>
      <c r="AD11" s="27"/>
      <c r="AE11" s="27"/>
      <c r="AF11" s="27"/>
      <c r="AG11" s="27"/>
      <c r="AH11" s="27"/>
      <c r="AI11" s="27"/>
      <c r="AJ11" s="27"/>
      <c r="AK11" s="27"/>
      <c r="AL11" s="27"/>
      <c r="AM11" s="27"/>
      <c r="AN11" s="27"/>
      <c r="AO11" s="27"/>
      <c r="AP11" s="27"/>
      <c r="AQ11" s="27"/>
      <c r="AR11" s="27"/>
      <c r="AS11" s="27"/>
      <c r="AT11" s="28"/>
      <c r="AU11" s="28"/>
      <c r="AV11" s="28"/>
      <c r="AW11" s="27"/>
      <c r="AX11" s="27"/>
      <c r="AY11" s="27"/>
      <c r="AZ11" s="27"/>
      <c r="BA11" s="27"/>
      <c r="BB11" s="27"/>
      <c r="BC11" s="27"/>
      <c r="BD11" s="27"/>
      <c r="BE11" s="27"/>
      <c r="BF11" s="27"/>
    </row>
    <row r="12" spans="4:66" ht="13.5" customHeight="1">
      <c r="D12" s="1322" t="s">
        <v>22</v>
      </c>
      <c r="E12" s="1322"/>
      <c r="F12" s="1322"/>
      <c r="G12" s="1322"/>
      <c r="H12" s="1322"/>
      <c r="I12" s="1322"/>
      <c r="J12" s="1322"/>
      <c r="K12" s="1322"/>
      <c r="L12" s="1322"/>
      <c r="M12" s="1322"/>
      <c r="N12" s="1322"/>
      <c r="O12" s="1322"/>
      <c r="P12" s="1322"/>
      <c r="Q12" s="1322"/>
      <c r="R12" s="1322"/>
      <c r="S12" s="1322"/>
      <c r="T12" s="1322"/>
      <c r="U12" s="1322"/>
      <c r="V12" s="1322"/>
      <c r="W12" s="1322"/>
      <c r="X12" s="1322"/>
      <c r="Y12" s="1322"/>
      <c r="Z12" s="1322"/>
      <c r="AA12" s="1322"/>
      <c r="AB12" s="1322"/>
      <c r="AC12" s="1322"/>
      <c r="AD12" s="1322"/>
      <c r="AE12" s="1322"/>
      <c r="AF12" s="1322"/>
      <c r="AG12" s="1322"/>
      <c r="AH12" s="1322"/>
      <c r="AI12" s="1322"/>
      <c r="AJ12" s="1322"/>
      <c r="AK12" s="1322"/>
      <c r="AL12" s="1322"/>
      <c r="AM12" s="1322"/>
      <c r="AN12" s="1322"/>
      <c r="AO12" s="1322"/>
      <c r="AP12" s="1322"/>
      <c r="AQ12" s="1322"/>
      <c r="AR12" s="1322"/>
      <c r="AS12" s="1322"/>
      <c r="AT12" s="1322"/>
      <c r="AU12" s="1322"/>
      <c r="AV12" s="1322"/>
      <c r="AW12" s="1322"/>
      <c r="AX12" s="1322"/>
      <c r="AY12" s="1322"/>
      <c r="AZ12" s="1322"/>
      <c r="BA12" s="1322"/>
      <c r="BB12" s="1322"/>
      <c r="BC12" s="1322"/>
      <c r="BD12" s="1322"/>
      <c r="BE12" s="29"/>
      <c r="BF12" s="29"/>
      <c r="BG12" s="29"/>
      <c r="BH12" s="29"/>
      <c r="BI12" s="29"/>
      <c r="BJ12" s="29"/>
      <c r="BK12" s="29"/>
    </row>
    <row r="13" spans="4:66" ht="21" customHeight="1">
      <c r="D13" s="1322"/>
      <c r="E13" s="1322"/>
      <c r="F13" s="1322"/>
      <c r="G13" s="1322"/>
      <c r="H13" s="1322"/>
      <c r="I13" s="1322"/>
      <c r="J13" s="1322"/>
      <c r="K13" s="1322"/>
      <c r="L13" s="1322"/>
      <c r="M13" s="1322"/>
      <c r="N13" s="1322"/>
      <c r="O13" s="1322"/>
      <c r="P13" s="1322"/>
      <c r="Q13" s="1322"/>
      <c r="R13" s="1322"/>
      <c r="S13" s="1322"/>
      <c r="T13" s="1322"/>
      <c r="U13" s="1322"/>
      <c r="V13" s="1322"/>
      <c r="W13" s="1322"/>
      <c r="X13" s="1322"/>
      <c r="Y13" s="1322"/>
      <c r="Z13" s="1322"/>
      <c r="AA13" s="1322"/>
      <c r="AB13" s="1322"/>
      <c r="AC13" s="1322"/>
      <c r="AD13" s="1322"/>
      <c r="AE13" s="1322"/>
      <c r="AF13" s="1322"/>
      <c r="AG13" s="1322"/>
      <c r="AH13" s="1322"/>
      <c r="AI13" s="1322"/>
      <c r="AJ13" s="1322"/>
      <c r="AK13" s="1322"/>
      <c r="AL13" s="1322"/>
      <c r="AM13" s="1322"/>
      <c r="AN13" s="1322"/>
      <c r="AO13" s="1322"/>
      <c r="AP13" s="1322"/>
      <c r="AQ13" s="1322"/>
      <c r="AR13" s="1322"/>
      <c r="AS13" s="1322"/>
      <c r="AT13" s="1322"/>
      <c r="AU13" s="1322"/>
      <c r="AV13" s="1322"/>
      <c r="AW13" s="1322"/>
      <c r="AX13" s="1322"/>
      <c r="AY13" s="1322"/>
      <c r="AZ13" s="1322"/>
      <c r="BA13" s="1322"/>
      <c r="BB13" s="1322"/>
      <c r="BC13" s="1322"/>
      <c r="BD13" s="1322"/>
      <c r="BE13" s="29"/>
      <c r="BF13" s="29"/>
      <c r="BG13" s="29"/>
      <c r="BH13" s="29"/>
      <c r="BI13" s="29"/>
      <c r="BJ13" s="29"/>
      <c r="BK13" s="29"/>
    </row>
    <row r="14" spans="4:66" ht="13.5" customHeight="1">
      <c r="D14" s="1322"/>
      <c r="E14" s="1322"/>
      <c r="F14" s="1322"/>
      <c r="G14" s="1322"/>
      <c r="H14" s="1322"/>
      <c r="I14" s="1322"/>
      <c r="J14" s="1322"/>
      <c r="K14" s="1322"/>
      <c r="L14" s="1322"/>
      <c r="M14" s="1322"/>
      <c r="N14" s="1322"/>
      <c r="O14" s="1322"/>
      <c r="P14" s="1322"/>
      <c r="Q14" s="1322"/>
      <c r="R14" s="1322"/>
      <c r="S14" s="1322"/>
      <c r="T14" s="1322"/>
      <c r="U14" s="1322"/>
      <c r="V14" s="1322"/>
      <c r="W14" s="1322"/>
      <c r="X14" s="1322"/>
      <c r="Y14" s="1322"/>
      <c r="Z14" s="1322"/>
      <c r="AA14" s="1322"/>
      <c r="AB14" s="1322"/>
      <c r="AC14" s="1322"/>
      <c r="AD14" s="1322"/>
      <c r="AE14" s="1322"/>
      <c r="AF14" s="1322"/>
      <c r="AG14" s="1322"/>
      <c r="AH14" s="1322"/>
      <c r="AI14" s="1322"/>
      <c r="AJ14" s="1322"/>
      <c r="AK14" s="1322"/>
      <c r="AL14" s="1322"/>
      <c r="AM14" s="1322"/>
      <c r="AN14" s="1322"/>
      <c r="AO14" s="1322"/>
      <c r="AP14" s="1322"/>
      <c r="AQ14" s="1322"/>
      <c r="AR14" s="1322"/>
      <c r="AS14" s="1322"/>
      <c r="AT14" s="1322"/>
      <c r="AU14" s="1322"/>
      <c r="AV14" s="1322"/>
      <c r="AW14" s="1322"/>
      <c r="AX14" s="1322"/>
      <c r="AY14" s="1322"/>
      <c r="AZ14" s="1322"/>
      <c r="BA14" s="1322"/>
      <c r="BB14" s="1322"/>
      <c r="BC14" s="1322"/>
      <c r="BD14" s="1322"/>
      <c r="BE14" s="29"/>
      <c r="BF14" s="29"/>
      <c r="BG14" s="29"/>
      <c r="BH14" s="29"/>
      <c r="BI14" s="29"/>
      <c r="BJ14" s="29"/>
      <c r="BK14" s="29"/>
    </row>
    <row r="15" spans="4:66" ht="13.5" customHeight="1">
      <c r="D15" s="30"/>
      <c r="E15" s="30"/>
      <c r="F15" s="30"/>
      <c r="G15" s="30"/>
      <c r="H15" s="30"/>
      <c r="I15" s="30"/>
      <c r="J15" s="30"/>
      <c r="K15" s="30"/>
      <c r="L15" s="30"/>
      <c r="M15" s="30"/>
      <c r="N15" s="30"/>
      <c r="O15" s="30"/>
      <c r="P15" s="30"/>
      <c r="Q15" s="30"/>
      <c r="R15" s="30"/>
      <c r="S15" s="30"/>
      <c r="T15" s="30"/>
      <c r="U15" s="30"/>
      <c r="V15" s="30"/>
      <c r="W15" s="30"/>
      <c r="X15" s="30"/>
      <c r="Y15" s="30"/>
      <c r="Z15" s="30"/>
      <c r="AA15" s="30"/>
      <c r="AB15" s="30"/>
      <c r="AC15" s="30"/>
      <c r="AD15" s="30"/>
      <c r="AE15" s="30"/>
      <c r="AF15" s="30"/>
      <c r="AG15" s="30"/>
      <c r="AH15" s="30"/>
      <c r="AI15" s="30"/>
      <c r="AJ15" s="30"/>
      <c r="AK15" s="30"/>
      <c r="AL15" s="30"/>
      <c r="AM15" s="30"/>
      <c r="AN15" s="30"/>
      <c r="AO15" s="30"/>
      <c r="AP15" s="30"/>
      <c r="AQ15" s="30"/>
      <c r="AR15" s="30"/>
      <c r="AS15" s="30"/>
      <c r="AT15" s="30"/>
      <c r="AU15" s="30"/>
      <c r="AV15" s="30"/>
      <c r="AW15" s="30"/>
      <c r="AX15" s="30"/>
      <c r="AY15" s="30"/>
      <c r="AZ15" s="30"/>
      <c r="BA15" s="30"/>
      <c r="BB15" s="30"/>
      <c r="BC15" s="30"/>
      <c r="BD15" s="30"/>
      <c r="BE15" s="29"/>
      <c r="BF15" s="29"/>
      <c r="BG15" s="29"/>
      <c r="BH15" s="29"/>
      <c r="BI15" s="29"/>
      <c r="BJ15" s="29"/>
      <c r="BK15" s="29"/>
    </row>
    <row r="16" spans="4:66" ht="13.5" customHeight="1">
      <c r="D16" s="1323" t="str">
        <f>指標部入力!A8 &amp; "年産　" &amp; リスト!C21 &amp; "生産費統計調査票"</f>
        <v>年産　六条大麦生産費統計調査票</v>
      </c>
      <c r="E16" s="1323"/>
      <c r="F16" s="1323"/>
      <c r="G16" s="1323"/>
      <c r="H16" s="1323"/>
      <c r="I16" s="1323"/>
      <c r="J16" s="1323"/>
      <c r="K16" s="1323"/>
      <c r="L16" s="1323"/>
      <c r="M16" s="1323"/>
      <c r="N16" s="1323"/>
      <c r="O16" s="1323"/>
      <c r="P16" s="1323"/>
      <c r="Q16" s="1323"/>
      <c r="R16" s="1323"/>
      <c r="S16" s="1323"/>
      <c r="T16" s="1323"/>
      <c r="U16" s="1323"/>
      <c r="V16" s="1323"/>
      <c r="W16" s="1323"/>
      <c r="X16" s="1323"/>
      <c r="Y16" s="1323"/>
      <c r="Z16" s="1323"/>
      <c r="AA16" s="1323"/>
      <c r="AB16" s="1323"/>
      <c r="AC16" s="1323"/>
      <c r="AD16" s="1323"/>
      <c r="AE16" s="1323"/>
      <c r="AF16" s="1323"/>
      <c r="AG16" s="1323"/>
      <c r="AH16" s="1323"/>
      <c r="AI16" s="1323"/>
      <c r="AJ16" s="1323"/>
      <c r="AK16" s="1323"/>
      <c r="AL16" s="1323"/>
      <c r="AM16" s="1323"/>
      <c r="AN16" s="1323"/>
      <c r="AO16" s="1323"/>
      <c r="AP16" s="1323"/>
      <c r="AQ16" s="1323"/>
      <c r="AR16" s="1323"/>
      <c r="AS16" s="1323"/>
      <c r="AT16" s="1323"/>
      <c r="AU16" s="1323"/>
      <c r="AV16" s="1323"/>
      <c r="AW16" s="1323"/>
      <c r="AX16" s="1323"/>
      <c r="AY16" s="1323"/>
      <c r="AZ16" s="1323"/>
      <c r="BA16" s="1323"/>
      <c r="BB16" s="1323"/>
      <c r="BC16" s="1323"/>
      <c r="BD16" s="1323"/>
      <c r="BE16" s="31"/>
      <c r="BF16" s="31"/>
      <c r="BG16" s="31"/>
      <c r="BH16" s="31"/>
      <c r="BI16" s="31"/>
      <c r="BJ16" s="31"/>
    </row>
    <row r="17" spans="4:66" ht="13.5" customHeight="1">
      <c r="D17" s="1323"/>
      <c r="E17" s="1323"/>
      <c r="F17" s="1323"/>
      <c r="G17" s="1323"/>
      <c r="H17" s="1323"/>
      <c r="I17" s="1323"/>
      <c r="J17" s="1323"/>
      <c r="K17" s="1323"/>
      <c r="L17" s="1323"/>
      <c r="M17" s="1323"/>
      <c r="N17" s="1323"/>
      <c r="O17" s="1323"/>
      <c r="P17" s="1323"/>
      <c r="Q17" s="1323"/>
      <c r="R17" s="1323"/>
      <c r="S17" s="1323"/>
      <c r="T17" s="1323"/>
      <c r="U17" s="1323"/>
      <c r="V17" s="1323"/>
      <c r="W17" s="1323"/>
      <c r="X17" s="1323"/>
      <c r="Y17" s="1323"/>
      <c r="Z17" s="1323"/>
      <c r="AA17" s="1323"/>
      <c r="AB17" s="1323"/>
      <c r="AC17" s="1323"/>
      <c r="AD17" s="1323"/>
      <c r="AE17" s="1323"/>
      <c r="AF17" s="1323"/>
      <c r="AG17" s="1323"/>
      <c r="AH17" s="1323"/>
      <c r="AI17" s="1323"/>
      <c r="AJ17" s="1323"/>
      <c r="AK17" s="1323"/>
      <c r="AL17" s="1323"/>
      <c r="AM17" s="1323"/>
      <c r="AN17" s="1323"/>
      <c r="AO17" s="1323"/>
      <c r="AP17" s="1323"/>
      <c r="AQ17" s="1323"/>
      <c r="AR17" s="1323"/>
      <c r="AS17" s="1323"/>
      <c r="AT17" s="1323"/>
      <c r="AU17" s="1323"/>
      <c r="AV17" s="1323"/>
      <c r="AW17" s="1323"/>
      <c r="AX17" s="1323"/>
      <c r="AY17" s="1323"/>
      <c r="AZ17" s="1323"/>
      <c r="BA17" s="1323"/>
      <c r="BB17" s="1323"/>
      <c r="BC17" s="1323"/>
      <c r="BD17" s="1323"/>
      <c r="BE17" s="31"/>
      <c r="BF17" s="31"/>
      <c r="BG17" s="31"/>
      <c r="BH17" s="31"/>
      <c r="BI17" s="31"/>
      <c r="BJ17" s="31"/>
      <c r="BK17" s="32"/>
    </row>
    <row r="18" spans="4:66" ht="13.5" customHeight="1">
      <c r="D18" s="1323"/>
      <c r="E18" s="1323"/>
      <c r="F18" s="1323"/>
      <c r="G18" s="1323"/>
      <c r="H18" s="1323"/>
      <c r="I18" s="1323"/>
      <c r="J18" s="1323"/>
      <c r="K18" s="1323"/>
      <c r="L18" s="1323"/>
      <c r="M18" s="1323"/>
      <c r="N18" s="1323"/>
      <c r="O18" s="1323"/>
      <c r="P18" s="1323"/>
      <c r="Q18" s="1323"/>
      <c r="R18" s="1323"/>
      <c r="S18" s="1323"/>
      <c r="T18" s="1323"/>
      <c r="U18" s="1323"/>
      <c r="V18" s="1323"/>
      <c r="W18" s="1323"/>
      <c r="X18" s="1323"/>
      <c r="Y18" s="1323"/>
      <c r="Z18" s="1323"/>
      <c r="AA18" s="1323"/>
      <c r="AB18" s="1323"/>
      <c r="AC18" s="1323"/>
      <c r="AD18" s="1323"/>
      <c r="AE18" s="1323"/>
      <c r="AF18" s="1323"/>
      <c r="AG18" s="1323"/>
      <c r="AH18" s="1323"/>
      <c r="AI18" s="1323"/>
      <c r="AJ18" s="1323"/>
      <c r="AK18" s="1323"/>
      <c r="AL18" s="1323"/>
      <c r="AM18" s="1323"/>
      <c r="AN18" s="1323"/>
      <c r="AO18" s="1323"/>
      <c r="AP18" s="1323"/>
      <c r="AQ18" s="1323"/>
      <c r="AR18" s="1323"/>
      <c r="AS18" s="1323"/>
      <c r="AT18" s="1323"/>
      <c r="AU18" s="1323"/>
      <c r="AV18" s="1323"/>
      <c r="AW18" s="1323"/>
      <c r="AX18" s="1323"/>
      <c r="AY18" s="1323"/>
      <c r="AZ18" s="1323"/>
      <c r="BA18" s="1323"/>
      <c r="BB18" s="1323"/>
      <c r="BC18" s="1323"/>
      <c r="BD18" s="1323"/>
      <c r="BE18" s="31"/>
      <c r="BF18" s="31"/>
      <c r="BG18" s="31"/>
      <c r="BH18" s="31"/>
      <c r="BI18" s="31"/>
      <c r="BJ18" s="31"/>
      <c r="BK18" s="33"/>
      <c r="BL18" s="33"/>
      <c r="BM18" s="33"/>
    </row>
    <row r="19" spans="4:66" ht="13.5" customHeight="1">
      <c r="D19" s="34"/>
      <c r="E19" s="34"/>
      <c r="F19" s="34"/>
      <c r="G19" s="34"/>
      <c r="H19" s="34"/>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4"/>
      <c r="AM19" s="34"/>
      <c r="AN19" s="34"/>
      <c r="AO19" s="34"/>
      <c r="AP19" s="34"/>
      <c r="AQ19" s="34"/>
      <c r="AR19" s="34"/>
      <c r="AS19" s="34"/>
      <c r="AT19" s="34"/>
      <c r="AU19" s="34"/>
      <c r="AV19" s="34"/>
      <c r="AW19" s="34"/>
      <c r="AX19" s="34"/>
      <c r="AY19" s="34"/>
      <c r="AZ19" s="34"/>
      <c r="BA19" s="34"/>
      <c r="BB19" s="34"/>
      <c r="BC19" s="34"/>
      <c r="BD19" s="34"/>
      <c r="BE19" s="31"/>
      <c r="BF19" s="31"/>
      <c r="BG19" s="31"/>
      <c r="BH19" s="31"/>
      <c r="BI19" s="31"/>
      <c r="BJ19" s="31"/>
      <c r="BK19" s="33"/>
      <c r="BL19" s="33"/>
      <c r="BM19" s="33"/>
    </row>
    <row r="20" spans="4:66" ht="13.5" customHeight="1">
      <c r="D20" s="1308" t="s">
        <v>23</v>
      </c>
      <c r="E20" s="1308"/>
      <c r="F20" s="1308"/>
      <c r="G20" s="1308"/>
      <c r="H20" s="1308"/>
      <c r="I20" s="1308"/>
      <c r="J20" s="1308"/>
      <c r="K20" s="1308"/>
      <c r="L20" s="1308"/>
      <c r="M20" s="1308"/>
      <c r="N20" s="1308"/>
      <c r="O20" s="1308"/>
      <c r="P20" s="1308"/>
      <c r="Q20" s="1308"/>
      <c r="R20" s="1308"/>
      <c r="S20" s="1308"/>
      <c r="T20" s="1308"/>
      <c r="U20" s="1308"/>
      <c r="V20" s="1308"/>
      <c r="W20" s="1308"/>
      <c r="X20" s="1308"/>
      <c r="Y20" s="1308"/>
      <c r="Z20" s="1308"/>
      <c r="AA20" s="1308"/>
      <c r="AB20" s="1308"/>
      <c r="AC20" s="1308"/>
      <c r="AD20" s="1308"/>
      <c r="AE20" s="1308"/>
      <c r="AF20" s="1308"/>
      <c r="AG20" s="1308"/>
      <c r="AH20" s="1308"/>
      <c r="AI20" s="1308"/>
      <c r="AJ20" s="1308"/>
      <c r="AK20" s="1308"/>
      <c r="AL20" s="1308"/>
      <c r="AM20" s="1308"/>
      <c r="AN20" s="1308"/>
      <c r="AO20" s="1308"/>
      <c r="AP20" s="1308"/>
      <c r="AQ20" s="1308"/>
      <c r="AR20" s="1308"/>
      <c r="AS20" s="1308"/>
      <c r="AT20" s="1308"/>
      <c r="AU20" s="1308"/>
      <c r="AV20" s="1308"/>
      <c r="AW20" s="1308"/>
      <c r="AX20" s="1308"/>
      <c r="AY20" s="1308"/>
      <c r="AZ20" s="1308"/>
      <c r="BA20" s="1308"/>
      <c r="BB20" s="1308"/>
      <c r="BC20" s="1308"/>
      <c r="BD20" s="1308"/>
      <c r="BE20" s="35"/>
      <c r="BF20" s="35"/>
      <c r="BG20" s="35"/>
      <c r="BH20" s="35"/>
      <c r="BI20" s="35"/>
      <c r="BJ20" s="35"/>
      <c r="BK20" s="35"/>
      <c r="BL20" s="33"/>
      <c r="BM20" s="33"/>
      <c r="BN20" s="33"/>
    </row>
    <row r="21" spans="4:66" ht="13.5" customHeight="1">
      <c r="D21" s="1308"/>
      <c r="E21" s="1308"/>
      <c r="F21" s="1308"/>
      <c r="G21" s="1308"/>
      <c r="H21" s="1308"/>
      <c r="I21" s="1308"/>
      <c r="J21" s="1308"/>
      <c r="K21" s="1308"/>
      <c r="L21" s="1308"/>
      <c r="M21" s="1308"/>
      <c r="N21" s="1308"/>
      <c r="O21" s="1308"/>
      <c r="P21" s="1308"/>
      <c r="Q21" s="1308"/>
      <c r="R21" s="1308"/>
      <c r="S21" s="1308"/>
      <c r="T21" s="1308"/>
      <c r="U21" s="1308"/>
      <c r="V21" s="1308"/>
      <c r="W21" s="1308"/>
      <c r="X21" s="1308"/>
      <c r="Y21" s="1308"/>
      <c r="Z21" s="1308"/>
      <c r="AA21" s="1308"/>
      <c r="AB21" s="1308"/>
      <c r="AC21" s="1308"/>
      <c r="AD21" s="1308"/>
      <c r="AE21" s="1308"/>
      <c r="AF21" s="1308"/>
      <c r="AG21" s="1308"/>
      <c r="AH21" s="1308"/>
      <c r="AI21" s="1308"/>
      <c r="AJ21" s="1308"/>
      <c r="AK21" s="1308"/>
      <c r="AL21" s="1308"/>
      <c r="AM21" s="1308"/>
      <c r="AN21" s="1308"/>
      <c r="AO21" s="1308"/>
      <c r="AP21" s="1308"/>
      <c r="AQ21" s="1308"/>
      <c r="AR21" s="1308"/>
      <c r="AS21" s="1308"/>
      <c r="AT21" s="1308"/>
      <c r="AU21" s="1308"/>
      <c r="AV21" s="1308"/>
      <c r="AW21" s="1308"/>
      <c r="AX21" s="1308"/>
      <c r="AY21" s="1308"/>
      <c r="AZ21" s="1308"/>
      <c r="BA21" s="1308"/>
      <c r="BB21" s="1308"/>
      <c r="BC21" s="1308"/>
      <c r="BD21" s="1308"/>
      <c r="BE21" s="35"/>
      <c r="BF21" s="35"/>
      <c r="BG21" s="35"/>
      <c r="BH21" s="35"/>
      <c r="BI21" s="35"/>
      <c r="BJ21" s="35"/>
      <c r="BK21" s="35"/>
      <c r="BL21" s="33"/>
      <c r="BM21" s="33"/>
      <c r="BN21" s="33"/>
    </row>
    <row r="22" spans="4:66" ht="13.5" customHeight="1">
      <c r="D22" s="1308"/>
      <c r="E22" s="1308"/>
      <c r="F22" s="1308"/>
      <c r="G22" s="1308"/>
      <c r="H22" s="1308"/>
      <c r="I22" s="1308"/>
      <c r="J22" s="1308"/>
      <c r="K22" s="1308"/>
      <c r="L22" s="1308"/>
      <c r="M22" s="1308"/>
      <c r="N22" s="1308"/>
      <c r="O22" s="1308"/>
      <c r="P22" s="1308"/>
      <c r="Q22" s="1308"/>
      <c r="R22" s="1308"/>
      <c r="S22" s="1308"/>
      <c r="T22" s="1308"/>
      <c r="U22" s="1308"/>
      <c r="V22" s="1308"/>
      <c r="W22" s="1308"/>
      <c r="X22" s="1308"/>
      <c r="Y22" s="1308"/>
      <c r="Z22" s="1308"/>
      <c r="AA22" s="1308"/>
      <c r="AB22" s="1308"/>
      <c r="AC22" s="1308"/>
      <c r="AD22" s="1308"/>
      <c r="AE22" s="1308"/>
      <c r="AF22" s="1308"/>
      <c r="AG22" s="1308"/>
      <c r="AH22" s="1308"/>
      <c r="AI22" s="1308"/>
      <c r="AJ22" s="1308"/>
      <c r="AK22" s="1308"/>
      <c r="AL22" s="1308"/>
      <c r="AM22" s="1308"/>
      <c r="AN22" s="1308"/>
      <c r="AO22" s="1308"/>
      <c r="AP22" s="1308"/>
      <c r="AQ22" s="1308"/>
      <c r="AR22" s="1308"/>
      <c r="AS22" s="1308"/>
      <c r="AT22" s="1308"/>
      <c r="AU22" s="1308"/>
      <c r="AV22" s="1308"/>
      <c r="AW22" s="1308"/>
      <c r="AX22" s="1308"/>
      <c r="AY22" s="1308"/>
      <c r="AZ22" s="1308"/>
      <c r="BA22" s="1308"/>
      <c r="BB22" s="1308"/>
      <c r="BC22" s="1308"/>
      <c r="BD22" s="1308"/>
      <c r="BE22" s="35"/>
      <c r="BF22" s="35"/>
      <c r="BG22" s="35"/>
      <c r="BH22" s="35"/>
      <c r="BI22" s="35"/>
      <c r="BJ22" s="35"/>
      <c r="BK22" s="35"/>
      <c r="BL22" s="33"/>
      <c r="BM22" s="33"/>
      <c r="BN22" s="33"/>
    </row>
    <row r="23" spans="4:66" ht="14.25" customHeight="1">
      <c r="BG23" s="22"/>
      <c r="BH23" s="23"/>
      <c r="BI23" s="23"/>
      <c r="BJ23" s="23"/>
      <c r="BK23" s="23"/>
      <c r="BL23" s="23"/>
      <c r="BM23" s="23"/>
      <c r="BN23" s="23"/>
    </row>
    <row r="24" spans="4:66" ht="13.5" customHeight="1">
      <c r="G24" s="36"/>
      <c r="H24" s="37"/>
      <c r="I24" s="37"/>
      <c r="J24" s="37"/>
      <c r="K24" s="37"/>
      <c r="L24" s="37"/>
      <c r="M24" s="37"/>
      <c r="N24" s="37"/>
      <c r="O24" s="37"/>
      <c r="P24" s="37"/>
      <c r="Q24" s="37"/>
      <c r="R24" s="37"/>
      <c r="S24" s="38"/>
      <c r="T24" s="38"/>
      <c r="U24" s="36"/>
      <c r="V24" s="36"/>
      <c r="W24" s="37"/>
      <c r="X24" s="37"/>
      <c r="Y24" s="37"/>
      <c r="Z24" s="37"/>
      <c r="AA24" s="37"/>
      <c r="AB24" s="37"/>
      <c r="AC24" s="37"/>
      <c r="AD24" s="37"/>
      <c r="AE24" s="37"/>
      <c r="AF24" s="37"/>
      <c r="AG24" s="37"/>
      <c r="AH24" s="37"/>
      <c r="AI24" s="37"/>
      <c r="AJ24" s="37"/>
      <c r="AK24" s="37"/>
      <c r="AL24" s="37"/>
      <c r="AM24" s="37"/>
      <c r="AN24" s="37"/>
      <c r="AO24" s="37"/>
      <c r="AP24" s="37"/>
      <c r="AQ24" s="37"/>
      <c r="AR24" s="37"/>
      <c r="AS24" s="37"/>
      <c r="AT24" s="37"/>
      <c r="AU24" s="37"/>
      <c r="AV24" s="38"/>
      <c r="AW24" s="38"/>
      <c r="AX24" s="38"/>
      <c r="AY24" s="38"/>
      <c r="AZ24" s="38"/>
      <c r="BA24" s="38"/>
      <c r="BB24" s="38"/>
      <c r="BC24" s="36"/>
      <c r="BD24" s="36"/>
      <c r="BE24" s="36"/>
      <c r="BF24" s="36"/>
      <c r="BG24" s="36"/>
      <c r="BH24" s="36"/>
      <c r="BI24" s="36"/>
      <c r="BJ24" s="36"/>
    </row>
    <row r="25" spans="4:66">
      <c r="G25" s="36"/>
      <c r="H25" s="37"/>
      <c r="I25" s="37"/>
      <c r="J25" s="37"/>
      <c r="K25" s="37"/>
      <c r="L25" s="37"/>
      <c r="M25" s="37"/>
      <c r="N25" s="37"/>
      <c r="O25" s="37"/>
      <c r="P25" s="37"/>
      <c r="Q25" s="37"/>
      <c r="R25" s="37"/>
      <c r="S25" s="38"/>
      <c r="T25" s="38"/>
      <c r="U25" s="36"/>
      <c r="V25" s="36"/>
      <c r="W25" s="37"/>
      <c r="X25" s="37"/>
      <c r="Y25" s="37"/>
      <c r="Z25" s="37"/>
      <c r="AA25" s="37"/>
      <c r="AB25" s="37"/>
      <c r="AC25" s="37"/>
      <c r="AD25" s="37"/>
      <c r="AE25" s="37"/>
      <c r="AF25" s="37"/>
      <c r="AG25" s="37"/>
      <c r="AH25" s="37"/>
      <c r="AI25" s="37"/>
      <c r="AJ25" s="37"/>
      <c r="AK25" s="37"/>
      <c r="AL25" s="37"/>
      <c r="AM25" s="37"/>
      <c r="AN25" s="37"/>
      <c r="AO25" s="37"/>
      <c r="AP25" s="37"/>
      <c r="AQ25" s="37"/>
      <c r="AR25" s="37"/>
      <c r="AS25" s="37"/>
      <c r="AT25" s="37"/>
      <c r="AU25" s="37"/>
      <c r="AV25" s="38"/>
      <c r="AW25" s="38"/>
      <c r="AX25" s="38"/>
      <c r="AY25" s="38"/>
      <c r="AZ25" s="38"/>
      <c r="BA25" s="38"/>
      <c r="BB25" s="38"/>
      <c r="BC25" s="36"/>
      <c r="BD25" s="36"/>
      <c r="BE25" s="36"/>
      <c r="BF25" s="36"/>
      <c r="BG25" s="36"/>
      <c r="BH25" s="36"/>
      <c r="BI25" s="36"/>
      <c r="BJ25" s="36"/>
    </row>
    <row r="26" spans="4:66" ht="13.5" customHeight="1">
      <c r="G26" s="36"/>
      <c r="H26" s="37"/>
      <c r="I26" s="37"/>
      <c r="J26" s="37"/>
      <c r="K26" s="37"/>
      <c r="L26" s="37"/>
      <c r="M26" s="37"/>
      <c r="N26" s="37"/>
      <c r="O26" s="37"/>
      <c r="P26" s="37"/>
      <c r="Q26" s="37"/>
      <c r="R26" s="37"/>
      <c r="S26" s="39"/>
      <c r="T26" s="39"/>
      <c r="U26" s="40"/>
      <c r="V26" s="40"/>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9"/>
      <c r="AW26" s="39"/>
      <c r="AX26" s="39"/>
      <c r="AY26" s="39"/>
      <c r="AZ26" s="39"/>
      <c r="BA26" s="39"/>
      <c r="BB26" s="39"/>
      <c r="BC26" s="40"/>
      <c r="BD26" s="40"/>
      <c r="BE26" s="40"/>
      <c r="BF26" s="40"/>
      <c r="BG26" s="40"/>
      <c r="BH26" s="40"/>
      <c r="BI26" s="40"/>
      <c r="BJ26" s="40"/>
    </row>
    <row r="27" spans="4:66">
      <c r="G27" s="36"/>
      <c r="H27" s="37"/>
      <c r="I27" s="37"/>
      <c r="J27" s="37"/>
      <c r="K27" s="37"/>
      <c r="L27" s="37"/>
      <c r="M27" s="37"/>
      <c r="N27" s="37"/>
      <c r="O27" s="37"/>
      <c r="P27" s="37"/>
      <c r="Q27" s="37"/>
      <c r="R27" s="37"/>
      <c r="S27" s="39"/>
      <c r="T27" s="39"/>
      <c r="U27" s="41"/>
      <c r="V27" s="41"/>
      <c r="W27" s="37"/>
      <c r="X27" s="37"/>
      <c r="Y27" s="37"/>
      <c r="Z27" s="37"/>
      <c r="AA27" s="37"/>
      <c r="AB27" s="37"/>
      <c r="AC27" s="37"/>
      <c r="AD27" s="37"/>
      <c r="AE27" s="37"/>
      <c r="AF27" s="37"/>
      <c r="AG27" s="37"/>
      <c r="AH27" s="37"/>
      <c r="AI27" s="37"/>
      <c r="AJ27" s="37"/>
      <c r="AK27" s="37"/>
      <c r="AL27" s="37"/>
      <c r="AM27" s="37"/>
      <c r="AN27" s="37"/>
      <c r="AO27" s="37"/>
      <c r="AP27" s="37"/>
      <c r="AQ27" s="37"/>
      <c r="AR27" s="37"/>
      <c r="AS27" s="37"/>
      <c r="AT27" s="37"/>
      <c r="AU27" s="37"/>
      <c r="AV27" s="39"/>
      <c r="AW27" s="39"/>
      <c r="AX27" s="39"/>
      <c r="AY27" s="39"/>
      <c r="AZ27" s="39"/>
      <c r="BA27" s="39"/>
      <c r="BB27" s="39"/>
      <c r="BC27" s="41"/>
      <c r="BD27" s="41"/>
      <c r="BE27" s="41"/>
      <c r="BF27" s="41"/>
      <c r="BG27" s="41"/>
      <c r="BH27" s="41"/>
      <c r="BI27" s="41"/>
      <c r="BJ27" s="41"/>
    </row>
    <row r="28" spans="4:66" ht="13.5" customHeight="1">
      <c r="G28" s="36"/>
      <c r="H28" s="40"/>
      <c r="I28" s="40"/>
      <c r="J28" s="40"/>
      <c r="K28" s="40"/>
      <c r="L28" s="40"/>
      <c r="M28" s="40"/>
      <c r="N28" s="40"/>
      <c r="O28" s="40"/>
      <c r="P28" s="40"/>
      <c r="Q28" s="40"/>
      <c r="R28" s="40"/>
      <c r="S28" s="39"/>
      <c r="T28" s="39"/>
      <c r="U28" s="41"/>
      <c r="V28" s="41"/>
      <c r="W28" s="40"/>
      <c r="X28" s="40"/>
      <c r="Y28" s="40"/>
      <c r="Z28" s="40"/>
      <c r="AA28" s="40"/>
      <c r="AB28" s="40"/>
      <c r="AC28" s="40"/>
      <c r="AD28" s="40"/>
      <c r="AE28" s="40"/>
      <c r="AF28" s="40"/>
      <c r="AG28" s="40"/>
      <c r="AH28" s="40"/>
      <c r="AI28" s="40"/>
      <c r="AJ28" s="40"/>
      <c r="AK28" s="40"/>
      <c r="AL28" s="40"/>
      <c r="AM28" s="40"/>
      <c r="AN28" s="40"/>
      <c r="AO28" s="40"/>
      <c r="AP28" s="40"/>
      <c r="AQ28" s="40"/>
      <c r="AR28" s="40"/>
      <c r="AS28" s="40"/>
      <c r="AT28" s="40"/>
      <c r="AU28" s="40"/>
      <c r="AV28" s="39"/>
      <c r="AW28" s="39"/>
      <c r="AX28" s="39"/>
      <c r="AY28" s="39"/>
      <c r="AZ28" s="39"/>
      <c r="BA28" s="39"/>
      <c r="BB28" s="39"/>
      <c r="BC28" s="41"/>
      <c r="BD28" s="41"/>
      <c r="BE28" s="41"/>
      <c r="BF28" s="41"/>
      <c r="BG28" s="41"/>
      <c r="BH28" s="41"/>
      <c r="BI28" s="41"/>
      <c r="BJ28" s="41"/>
    </row>
    <row r="29" spans="4:66" ht="13.5" customHeight="1">
      <c r="G29" s="36"/>
      <c r="H29" s="40"/>
      <c r="I29" s="40"/>
      <c r="J29" s="40"/>
      <c r="K29" s="40"/>
      <c r="L29" s="40"/>
      <c r="M29" s="40"/>
      <c r="N29" s="40"/>
      <c r="O29" s="40"/>
      <c r="P29" s="40"/>
      <c r="Q29" s="40"/>
      <c r="R29" s="40"/>
      <c r="S29" s="39"/>
      <c r="T29" s="39"/>
      <c r="U29" s="41"/>
      <c r="V29" s="41"/>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39"/>
      <c r="AW29" s="39"/>
      <c r="AX29" s="39"/>
      <c r="AY29" s="39"/>
      <c r="AZ29" s="39"/>
      <c r="BA29" s="39"/>
      <c r="BB29" s="39"/>
      <c r="BC29" s="41"/>
      <c r="BD29" s="41"/>
      <c r="BE29" s="41"/>
      <c r="BF29" s="41"/>
      <c r="BG29" s="41"/>
      <c r="BH29" s="41"/>
      <c r="BI29" s="41"/>
      <c r="BJ29" s="41"/>
    </row>
    <row r="30" spans="4:66" ht="13.5" customHeight="1">
      <c r="G30" s="36"/>
      <c r="H30" s="40"/>
      <c r="I30" s="40"/>
      <c r="J30" s="40"/>
      <c r="K30" s="40"/>
      <c r="L30" s="40"/>
      <c r="M30" s="40"/>
      <c r="N30" s="40"/>
      <c r="O30" s="40"/>
      <c r="P30" s="40"/>
      <c r="Q30" s="40"/>
      <c r="R30" s="40"/>
      <c r="S30" s="39"/>
      <c r="T30" s="39"/>
      <c r="U30" s="41"/>
      <c r="V30" s="41"/>
      <c r="W30" s="40"/>
      <c r="X30" s="40"/>
      <c r="Y30" s="40"/>
      <c r="Z30" s="40"/>
      <c r="AA30" s="40"/>
      <c r="AB30" s="40"/>
      <c r="AC30" s="40"/>
      <c r="AD30" s="40"/>
      <c r="AE30" s="40"/>
      <c r="AF30" s="40"/>
      <c r="AG30" s="40"/>
      <c r="AH30" s="40"/>
      <c r="AI30" s="40"/>
      <c r="AJ30" s="40"/>
      <c r="AK30" s="40"/>
      <c r="AL30" s="40"/>
      <c r="AM30" s="40"/>
      <c r="AN30" s="40"/>
      <c r="AO30" s="40"/>
      <c r="AP30" s="40"/>
      <c r="AQ30" s="40"/>
      <c r="AR30" s="40"/>
      <c r="AS30" s="40"/>
      <c r="AT30" s="40"/>
      <c r="AU30" s="40"/>
      <c r="AV30" s="39"/>
      <c r="AW30" s="39"/>
      <c r="AX30" s="39"/>
      <c r="AY30" s="39"/>
      <c r="AZ30" s="39"/>
      <c r="BA30" s="39"/>
      <c r="BB30" s="39"/>
      <c r="BC30" s="41"/>
      <c r="BD30" s="41"/>
      <c r="BE30" s="41"/>
      <c r="BF30" s="41"/>
      <c r="BG30" s="41"/>
      <c r="BH30" s="41"/>
      <c r="BI30" s="41"/>
      <c r="BJ30" s="41"/>
    </row>
    <row r="31" spans="4:66" ht="13.5" customHeight="1">
      <c r="G31" s="36"/>
      <c r="H31" s="36"/>
      <c r="I31" s="36"/>
      <c r="J31" s="36"/>
      <c r="K31" s="36"/>
      <c r="L31" s="36"/>
      <c r="M31" s="36"/>
      <c r="N31" s="36"/>
      <c r="O31" s="36"/>
      <c r="P31" s="36"/>
      <c r="Q31" s="36"/>
      <c r="R31" s="36"/>
      <c r="S31" s="39"/>
      <c r="T31" s="39"/>
      <c r="U31" s="41"/>
      <c r="V31" s="41"/>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9"/>
      <c r="AW31" s="39"/>
      <c r="AX31" s="39"/>
      <c r="AY31" s="39"/>
      <c r="AZ31" s="39"/>
      <c r="BA31" s="39"/>
      <c r="BB31" s="39"/>
      <c r="BC31" s="41"/>
      <c r="BD31" s="41"/>
      <c r="BE31" s="41"/>
      <c r="BF31" s="41"/>
      <c r="BG31" s="41"/>
      <c r="BH31" s="41"/>
      <c r="BI31" s="41"/>
      <c r="BJ31" s="41"/>
    </row>
    <row r="32" spans="4:66" ht="17.25">
      <c r="E32" s="42" t="s">
        <v>24</v>
      </c>
      <c r="F32" s="43"/>
      <c r="G32" s="43"/>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c r="AT32" s="43"/>
      <c r="AU32" s="43"/>
      <c r="AV32" s="43"/>
    </row>
    <row r="33" spans="5:56">
      <c r="E33" s="43"/>
      <c r="F33" s="43"/>
      <c r="G33" s="43"/>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c r="AT33" s="43"/>
      <c r="AU33" s="43"/>
      <c r="AV33" s="43"/>
    </row>
    <row r="34" spans="5:56" ht="17.25">
      <c r="E34" s="1334" t="s">
        <v>25</v>
      </c>
      <c r="F34" s="1335"/>
      <c r="G34" s="1336"/>
      <c r="H34" s="1336"/>
      <c r="I34" s="1336"/>
      <c r="J34" s="1336"/>
      <c r="K34" s="1336"/>
      <c r="L34" s="1336"/>
      <c r="M34" s="1336"/>
      <c r="N34" s="1336"/>
      <c r="O34" s="1336"/>
      <c r="P34" s="1336"/>
      <c r="Q34" s="1336"/>
      <c r="R34" s="1336"/>
      <c r="S34" s="1336"/>
      <c r="T34" s="1336"/>
      <c r="U34" s="1336"/>
      <c r="V34" s="1336"/>
      <c r="W34" s="1336"/>
      <c r="X34" s="1336"/>
      <c r="Y34" s="1336"/>
      <c r="Z34" s="1336"/>
      <c r="AA34" s="1336"/>
      <c r="AB34" s="1337"/>
      <c r="AC34" s="1337"/>
      <c r="AD34" s="1337"/>
      <c r="AE34" s="1337"/>
      <c r="AF34" s="1337"/>
      <c r="AG34" s="1337"/>
      <c r="AH34" s="1337"/>
      <c r="AI34" s="1337"/>
      <c r="AJ34" s="1337"/>
      <c r="AK34" s="1337"/>
      <c r="AL34" s="1337"/>
      <c r="AM34" s="1337"/>
      <c r="AN34" s="1337"/>
      <c r="AO34" s="1337"/>
      <c r="AP34" s="1337"/>
      <c r="AQ34" s="1337"/>
      <c r="AR34" s="1337"/>
      <c r="AS34" s="1337"/>
      <c r="AT34" s="1337"/>
      <c r="AU34" s="1337"/>
      <c r="AV34" s="1337"/>
      <c r="AW34" s="1337"/>
      <c r="AX34" s="1337"/>
      <c r="AY34" s="1337"/>
      <c r="AZ34" s="1337"/>
      <c r="BA34" s="1337"/>
      <c r="BB34" s="1337"/>
      <c r="BC34" s="1337"/>
      <c r="BD34" s="1337"/>
    </row>
    <row r="35" spans="5:56" ht="17.25">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row>
    <row r="36" spans="5:56" ht="17.25">
      <c r="E36" s="42" t="s">
        <v>26</v>
      </c>
      <c r="F36" s="43"/>
      <c r="G36" s="43"/>
      <c r="H36" s="43"/>
      <c r="I36" s="43"/>
      <c r="J36" s="1338"/>
      <c r="K36" s="1339"/>
      <c r="L36" s="1340"/>
      <c r="M36" s="42" t="s">
        <v>27</v>
      </c>
      <c r="P36" s="43"/>
      <c r="Q36" s="43"/>
      <c r="R36" s="43"/>
      <c r="S36" s="43"/>
      <c r="T36" s="43"/>
      <c r="U36" s="1341"/>
      <c r="V36" s="1342"/>
      <c r="W36" s="1343"/>
      <c r="X36" s="45" t="s">
        <v>28</v>
      </c>
      <c r="Y36" s="43"/>
      <c r="Z36" s="43"/>
      <c r="AA36" s="43"/>
      <c r="AB36" s="43"/>
      <c r="AC36" s="43"/>
      <c r="AD36" s="43"/>
    </row>
    <row r="38" spans="5:56" ht="17.25">
      <c r="E38" s="42" t="s">
        <v>29</v>
      </c>
      <c r="P38" s="46"/>
      <c r="Q38" s="1341"/>
      <c r="R38" s="1342"/>
      <c r="S38" s="1343"/>
      <c r="T38" s="47" t="s">
        <v>30</v>
      </c>
    </row>
    <row r="40" spans="5:56" ht="17.25">
      <c r="E40" s="42" t="s">
        <v>31</v>
      </c>
    </row>
    <row r="43" spans="5:56" ht="17.25">
      <c r="E43" s="42" t="s">
        <v>32</v>
      </c>
    </row>
    <row r="45" spans="5:56" ht="17.25">
      <c r="E45" s="42" t="s">
        <v>33</v>
      </c>
    </row>
    <row r="47" spans="5:56" ht="17.25">
      <c r="E47" s="42"/>
    </row>
    <row r="49" spans="4:55" ht="17.25">
      <c r="F49" s="48" t="s">
        <v>34</v>
      </c>
    </row>
    <row r="50" spans="4:55" ht="24" customHeight="1">
      <c r="F50" s="1344" t="s">
        <v>35</v>
      </c>
      <c r="G50" s="1345"/>
      <c r="H50" s="1345"/>
      <c r="I50" s="1345"/>
      <c r="J50" s="1345"/>
      <c r="K50" s="1345"/>
      <c r="L50" s="1345"/>
      <c r="M50" s="1345"/>
      <c r="N50" s="1345"/>
      <c r="O50" s="1345"/>
      <c r="P50" s="1345"/>
      <c r="Q50" s="1345"/>
      <c r="R50" s="1345"/>
      <c r="S50" s="1345"/>
      <c r="T50" s="1345"/>
      <c r="U50" s="1345"/>
      <c r="V50" s="1345"/>
      <c r="W50" s="1345"/>
      <c r="X50" s="1345"/>
      <c r="Y50" s="1345"/>
      <c r="Z50" s="1345"/>
      <c r="AA50" s="1345"/>
      <c r="AB50" s="1345"/>
      <c r="AC50" s="1345"/>
      <c r="AD50" s="1345"/>
      <c r="AE50" s="1345"/>
      <c r="AF50" s="1345"/>
      <c r="AG50" s="1345"/>
      <c r="AH50" s="1345"/>
      <c r="AI50" s="1345"/>
      <c r="AJ50" s="1345"/>
      <c r="AK50" s="1345"/>
      <c r="AL50" s="1345"/>
      <c r="AM50" s="1345"/>
      <c r="AN50" s="1345"/>
      <c r="AO50" s="1345"/>
      <c r="AP50" s="1345"/>
      <c r="AQ50" s="1345"/>
      <c r="AR50" s="1345"/>
      <c r="AS50" s="1345"/>
      <c r="AT50" s="1345"/>
      <c r="AU50" s="1345"/>
      <c r="AV50" s="1345"/>
      <c r="AW50" s="1345"/>
      <c r="AX50" s="1345"/>
      <c r="AY50" s="1345"/>
      <c r="AZ50" s="1345"/>
      <c r="BA50" s="1345"/>
      <c r="BB50" s="1345"/>
      <c r="BC50" s="1346"/>
    </row>
    <row r="51" spans="4:55">
      <c r="F51" s="1347"/>
      <c r="G51" s="1348"/>
      <c r="H51" s="1348"/>
      <c r="I51" s="1348"/>
      <c r="J51" s="1348"/>
      <c r="K51" s="1348"/>
      <c r="L51" s="1348"/>
      <c r="M51" s="1348"/>
      <c r="N51" s="1348"/>
      <c r="O51" s="1348"/>
      <c r="P51" s="1348"/>
      <c r="Q51" s="1348"/>
      <c r="R51" s="1348"/>
      <c r="S51" s="1348"/>
      <c r="T51" s="1348"/>
      <c r="U51" s="1348"/>
      <c r="V51" s="1348"/>
      <c r="W51" s="1348"/>
      <c r="X51" s="1348"/>
      <c r="Y51" s="1348"/>
      <c r="Z51" s="1348"/>
      <c r="AA51" s="1348"/>
      <c r="AB51" s="1348"/>
      <c r="AC51" s="1348"/>
      <c r="AD51" s="1348"/>
      <c r="AE51" s="1348"/>
      <c r="AF51" s="1348"/>
      <c r="AG51" s="1348"/>
      <c r="AH51" s="1348"/>
      <c r="AI51" s="1348"/>
      <c r="AJ51" s="1348"/>
      <c r="AK51" s="1348"/>
      <c r="AL51" s="1348"/>
      <c r="AM51" s="1348"/>
      <c r="AN51" s="1348"/>
      <c r="AO51" s="1348"/>
      <c r="AP51" s="1348"/>
      <c r="AQ51" s="1348"/>
      <c r="AR51" s="1348"/>
      <c r="AS51" s="1348"/>
      <c r="AT51" s="1348"/>
      <c r="AU51" s="1348"/>
      <c r="AV51" s="1348"/>
      <c r="AW51" s="1348"/>
      <c r="AX51" s="1348"/>
      <c r="AY51" s="1348"/>
      <c r="AZ51" s="1348"/>
      <c r="BA51" s="1348"/>
      <c r="BB51" s="1348"/>
      <c r="BC51" s="1349"/>
    </row>
    <row r="52" spans="4:55">
      <c r="F52" s="1350"/>
      <c r="G52" s="1348"/>
      <c r="H52" s="1348"/>
      <c r="I52" s="1348"/>
      <c r="J52" s="1348"/>
      <c r="K52" s="1348"/>
      <c r="L52" s="1348"/>
      <c r="M52" s="1348"/>
      <c r="N52" s="1348"/>
      <c r="O52" s="1348"/>
      <c r="P52" s="1348"/>
      <c r="Q52" s="1348"/>
      <c r="R52" s="1348"/>
      <c r="S52" s="1348"/>
      <c r="T52" s="1348"/>
      <c r="U52" s="1348"/>
      <c r="V52" s="1348"/>
      <c r="W52" s="1348"/>
      <c r="X52" s="1348"/>
      <c r="Y52" s="1348"/>
      <c r="Z52" s="1348"/>
      <c r="AA52" s="1348"/>
      <c r="AB52" s="1348"/>
      <c r="AC52" s="1348"/>
      <c r="AD52" s="1348"/>
      <c r="AE52" s="1348"/>
      <c r="AF52" s="1348"/>
      <c r="AG52" s="1348"/>
      <c r="AH52" s="1348"/>
      <c r="AI52" s="1348"/>
      <c r="AJ52" s="1348"/>
      <c r="AK52" s="1348"/>
      <c r="AL52" s="1348"/>
      <c r="AM52" s="1348"/>
      <c r="AN52" s="1348"/>
      <c r="AO52" s="1348"/>
      <c r="AP52" s="1348"/>
      <c r="AQ52" s="1348"/>
      <c r="AR52" s="1348"/>
      <c r="AS52" s="1348"/>
      <c r="AT52" s="1348"/>
      <c r="AU52" s="1348"/>
      <c r="AV52" s="1348"/>
      <c r="AW52" s="1348"/>
      <c r="AX52" s="1348"/>
      <c r="AY52" s="1348"/>
      <c r="AZ52" s="1348"/>
      <c r="BA52" s="1348"/>
      <c r="BB52" s="1348"/>
      <c r="BC52" s="1349"/>
    </row>
    <row r="53" spans="4:55">
      <c r="F53" s="1350"/>
      <c r="G53" s="1348"/>
      <c r="H53" s="1348"/>
      <c r="I53" s="1348"/>
      <c r="J53" s="1348"/>
      <c r="K53" s="1348"/>
      <c r="L53" s="1348"/>
      <c r="M53" s="1348"/>
      <c r="N53" s="1348"/>
      <c r="O53" s="1348"/>
      <c r="P53" s="1348"/>
      <c r="Q53" s="1348"/>
      <c r="R53" s="1348"/>
      <c r="S53" s="1348"/>
      <c r="T53" s="1348"/>
      <c r="U53" s="1348"/>
      <c r="V53" s="1348"/>
      <c r="W53" s="1348"/>
      <c r="X53" s="1348"/>
      <c r="Y53" s="1348"/>
      <c r="Z53" s="1348"/>
      <c r="AA53" s="1348"/>
      <c r="AB53" s="1348"/>
      <c r="AC53" s="1348"/>
      <c r="AD53" s="1348"/>
      <c r="AE53" s="1348"/>
      <c r="AF53" s="1348"/>
      <c r="AG53" s="1348"/>
      <c r="AH53" s="1348"/>
      <c r="AI53" s="1348"/>
      <c r="AJ53" s="1348"/>
      <c r="AK53" s="1348"/>
      <c r="AL53" s="1348"/>
      <c r="AM53" s="1348"/>
      <c r="AN53" s="1348"/>
      <c r="AO53" s="1348"/>
      <c r="AP53" s="1348"/>
      <c r="AQ53" s="1348"/>
      <c r="AR53" s="1348"/>
      <c r="AS53" s="1348"/>
      <c r="AT53" s="1348"/>
      <c r="AU53" s="1348"/>
      <c r="AV53" s="1348"/>
      <c r="AW53" s="1348"/>
      <c r="AX53" s="1348"/>
      <c r="AY53" s="1348"/>
      <c r="AZ53" s="1348"/>
      <c r="BA53" s="1348"/>
      <c r="BB53" s="1348"/>
      <c r="BC53" s="1349"/>
    </row>
    <row r="54" spans="4:55">
      <c r="F54" s="1350"/>
      <c r="G54" s="1348"/>
      <c r="H54" s="1348"/>
      <c r="I54" s="1348"/>
      <c r="J54" s="1348"/>
      <c r="K54" s="1348"/>
      <c r="L54" s="1348"/>
      <c r="M54" s="1348"/>
      <c r="N54" s="1348"/>
      <c r="O54" s="1348"/>
      <c r="P54" s="1348"/>
      <c r="Q54" s="1348"/>
      <c r="R54" s="1348"/>
      <c r="S54" s="1348"/>
      <c r="T54" s="1348"/>
      <c r="U54" s="1348"/>
      <c r="V54" s="1348"/>
      <c r="W54" s="1348"/>
      <c r="X54" s="1348"/>
      <c r="Y54" s="1348"/>
      <c r="Z54" s="1348"/>
      <c r="AA54" s="1348"/>
      <c r="AB54" s="1348"/>
      <c r="AC54" s="1348"/>
      <c r="AD54" s="1348"/>
      <c r="AE54" s="1348"/>
      <c r="AF54" s="1348"/>
      <c r="AG54" s="1348"/>
      <c r="AH54" s="1348"/>
      <c r="AI54" s="1348"/>
      <c r="AJ54" s="1348"/>
      <c r="AK54" s="1348"/>
      <c r="AL54" s="1348"/>
      <c r="AM54" s="1348"/>
      <c r="AN54" s="1348"/>
      <c r="AO54" s="1348"/>
      <c r="AP54" s="1348"/>
      <c r="AQ54" s="1348"/>
      <c r="AR54" s="1348"/>
      <c r="AS54" s="1348"/>
      <c r="AT54" s="1348"/>
      <c r="AU54" s="1348"/>
      <c r="AV54" s="1348"/>
      <c r="AW54" s="1348"/>
      <c r="AX54" s="1348"/>
      <c r="AY54" s="1348"/>
      <c r="AZ54" s="1348"/>
      <c r="BA54" s="1348"/>
      <c r="BB54" s="1348"/>
      <c r="BC54" s="1349"/>
    </row>
    <row r="55" spans="4:55">
      <c r="F55" s="1350"/>
      <c r="G55" s="1348"/>
      <c r="H55" s="1348"/>
      <c r="I55" s="1348"/>
      <c r="J55" s="1348"/>
      <c r="K55" s="1348"/>
      <c r="L55" s="1348"/>
      <c r="M55" s="1348"/>
      <c r="N55" s="1348"/>
      <c r="O55" s="1348"/>
      <c r="P55" s="1348"/>
      <c r="Q55" s="1348"/>
      <c r="R55" s="1348"/>
      <c r="S55" s="1348"/>
      <c r="T55" s="1348"/>
      <c r="U55" s="1348"/>
      <c r="V55" s="1348"/>
      <c r="W55" s="1348"/>
      <c r="X55" s="1348"/>
      <c r="Y55" s="1348"/>
      <c r="Z55" s="1348"/>
      <c r="AA55" s="1348"/>
      <c r="AB55" s="1348"/>
      <c r="AC55" s="1348"/>
      <c r="AD55" s="1348"/>
      <c r="AE55" s="1348"/>
      <c r="AF55" s="1348"/>
      <c r="AG55" s="1348"/>
      <c r="AH55" s="1348"/>
      <c r="AI55" s="1348"/>
      <c r="AJ55" s="1348"/>
      <c r="AK55" s="1348"/>
      <c r="AL55" s="1348"/>
      <c r="AM55" s="1348"/>
      <c r="AN55" s="1348"/>
      <c r="AO55" s="1348"/>
      <c r="AP55" s="1348"/>
      <c r="AQ55" s="1348"/>
      <c r="AR55" s="1348"/>
      <c r="AS55" s="1348"/>
      <c r="AT55" s="1348"/>
      <c r="AU55" s="1348"/>
      <c r="AV55" s="1348"/>
      <c r="AW55" s="1348"/>
      <c r="AX55" s="1348"/>
      <c r="AY55" s="1348"/>
      <c r="AZ55" s="1348"/>
      <c r="BA55" s="1348"/>
      <c r="BB55" s="1348"/>
      <c r="BC55" s="1349"/>
    </row>
    <row r="56" spans="4:55">
      <c r="F56" s="1350"/>
      <c r="G56" s="1348"/>
      <c r="H56" s="1348"/>
      <c r="I56" s="1348"/>
      <c r="J56" s="1348"/>
      <c r="K56" s="1348"/>
      <c r="L56" s="1348"/>
      <c r="M56" s="1348"/>
      <c r="N56" s="1348"/>
      <c r="O56" s="1348"/>
      <c r="P56" s="1348"/>
      <c r="Q56" s="1348"/>
      <c r="R56" s="1348"/>
      <c r="S56" s="1348"/>
      <c r="T56" s="1348"/>
      <c r="U56" s="1348"/>
      <c r="V56" s="1348"/>
      <c r="W56" s="1348"/>
      <c r="X56" s="1348"/>
      <c r="Y56" s="1348"/>
      <c r="Z56" s="1348"/>
      <c r="AA56" s="1348"/>
      <c r="AB56" s="1348"/>
      <c r="AC56" s="1348"/>
      <c r="AD56" s="1348"/>
      <c r="AE56" s="1348"/>
      <c r="AF56" s="1348"/>
      <c r="AG56" s="1348"/>
      <c r="AH56" s="1348"/>
      <c r="AI56" s="1348"/>
      <c r="AJ56" s="1348"/>
      <c r="AK56" s="1348"/>
      <c r="AL56" s="1348"/>
      <c r="AM56" s="1348"/>
      <c r="AN56" s="1348"/>
      <c r="AO56" s="1348"/>
      <c r="AP56" s="1348"/>
      <c r="AQ56" s="1348"/>
      <c r="AR56" s="1348"/>
      <c r="AS56" s="1348"/>
      <c r="AT56" s="1348"/>
      <c r="AU56" s="1348"/>
      <c r="AV56" s="1348"/>
      <c r="AW56" s="1348"/>
      <c r="AX56" s="1348"/>
      <c r="AY56" s="1348"/>
      <c r="AZ56" s="1348"/>
      <c r="BA56" s="1348"/>
      <c r="BB56" s="1348"/>
      <c r="BC56" s="1349"/>
    </row>
    <row r="57" spans="4:55">
      <c r="F57" s="1351"/>
      <c r="G57" s="1352"/>
      <c r="H57" s="1352"/>
      <c r="I57" s="1352"/>
      <c r="J57" s="1352"/>
      <c r="K57" s="1352"/>
      <c r="L57" s="1352"/>
      <c r="M57" s="1352"/>
      <c r="N57" s="1352"/>
      <c r="O57" s="1352"/>
      <c r="P57" s="1352"/>
      <c r="Q57" s="1352"/>
      <c r="R57" s="1352"/>
      <c r="S57" s="1352"/>
      <c r="T57" s="1352"/>
      <c r="U57" s="1352"/>
      <c r="V57" s="1352"/>
      <c r="W57" s="1352"/>
      <c r="X57" s="1352"/>
      <c r="Y57" s="1352"/>
      <c r="Z57" s="1352"/>
      <c r="AA57" s="1352"/>
      <c r="AB57" s="1352"/>
      <c r="AC57" s="1352"/>
      <c r="AD57" s="1352"/>
      <c r="AE57" s="1352"/>
      <c r="AF57" s="1352"/>
      <c r="AG57" s="1352"/>
      <c r="AH57" s="1352"/>
      <c r="AI57" s="1352"/>
      <c r="AJ57" s="1352"/>
      <c r="AK57" s="1352"/>
      <c r="AL57" s="1352"/>
      <c r="AM57" s="1352"/>
      <c r="AN57" s="1352"/>
      <c r="AO57" s="1352"/>
      <c r="AP57" s="1352"/>
      <c r="AQ57" s="1352"/>
      <c r="AR57" s="1352"/>
      <c r="AS57" s="1352"/>
      <c r="AT57" s="1352"/>
      <c r="AU57" s="1352"/>
      <c r="AV57" s="1352"/>
      <c r="AW57" s="1352"/>
      <c r="AX57" s="1352"/>
      <c r="AY57" s="1352"/>
      <c r="AZ57" s="1352"/>
      <c r="BA57" s="1352"/>
      <c r="BB57" s="1352"/>
      <c r="BC57" s="1353"/>
    </row>
    <row r="60" spans="4:55" ht="13.5" customHeight="1">
      <c r="D60" s="1324" t="s">
        <v>36</v>
      </c>
      <c r="E60" s="1325"/>
      <c r="F60" s="1325"/>
      <c r="G60" s="1325"/>
      <c r="H60" s="1328" t="str">
        <f>TEXT(指標部入力!C8,"00") &amp; " " &amp; TEXT(指標部入力!D8,"000") &amp; " " &amp; TEXT(指標部入力!E8,"00")  &amp;  " " &amp; TEXT(指標部入力!F8,"000")  &amp; " " &amp; TEXT(指標部入力!G8,"000") &amp; " " &amp; TEXT(指標部入力!H8,"000")</f>
        <v>00 000 00 000 000 000</v>
      </c>
      <c r="I60" s="1329"/>
      <c r="J60" s="1329"/>
      <c r="K60" s="1329"/>
      <c r="L60" s="1329"/>
      <c r="M60" s="1329"/>
      <c r="N60" s="1329"/>
      <c r="O60" s="1329"/>
      <c r="P60" s="1329"/>
      <c r="Q60" s="1329"/>
      <c r="R60" s="1329"/>
      <c r="S60" s="1329"/>
      <c r="T60" s="1329"/>
      <c r="U60" s="1329"/>
      <c r="V60" s="1329"/>
      <c r="W60" s="1330"/>
      <c r="X60" s="41"/>
      <c r="Y60" s="49"/>
      <c r="Z60" s="49"/>
      <c r="AA60" s="50"/>
      <c r="AB60" s="50"/>
      <c r="AC60" s="50"/>
      <c r="AD60" s="50"/>
      <c r="AE60" s="37"/>
      <c r="AF60" s="37"/>
    </row>
    <row r="61" spans="4:55">
      <c r="D61" s="1326"/>
      <c r="E61" s="1327"/>
      <c r="F61" s="1327"/>
      <c r="G61" s="1327"/>
      <c r="H61" s="1331"/>
      <c r="I61" s="1332"/>
      <c r="J61" s="1332"/>
      <c r="K61" s="1332"/>
      <c r="L61" s="1332"/>
      <c r="M61" s="1332"/>
      <c r="N61" s="1332"/>
      <c r="O61" s="1332"/>
      <c r="P61" s="1332"/>
      <c r="Q61" s="1332"/>
      <c r="R61" s="1332"/>
      <c r="S61" s="1332"/>
      <c r="T61" s="1332"/>
      <c r="U61" s="1332"/>
      <c r="V61" s="1332"/>
      <c r="W61" s="1333"/>
      <c r="X61" s="51"/>
      <c r="Y61" s="49"/>
      <c r="Z61" s="49"/>
      <c r="AA61" s="50"/>
      <c r="AB61" s="50"/>
      <c r="AC61" s="50"/>
      <c r="AD61" s="50"/>
      <c r="AE61" s="37"/>
      <c r="AF61" s="37"/>
    </row>
  </sheetData>
  <sheetProtection sheet="1" objects="1" scenarios="1" selectLockedCells="1"/>
  <mergeCells count="14">
    <mergeCell ref="D60:G61"/>
    <mergeCell ref="H60:W61"/>
    <mergeCell ref="E34:BD34"/>
    <mergeCell ref="J36:L36"/>
    <mergeCell ref="U36:W36"/>
    <mergeCell ref="Q38:S38"/>
    <mergeCell ref="F50:BC50"/>
    <mergeCell ref="F51:BC57"/>
    <mergeCell ref="D20:BD22"/>
    <mergeCell ref="D3:I3"/>
    <mergeCell ref="E5:H6"/>
    <mergeCell ref="E7:H8"/>
    <mergeCell ref="D12:BD14"/>
    <mergeCell ref="D16:BD18"/>
  </mergeCells>
  <phoneticPr fontId="5"/>
  <dataValidations count="1">
    <dataValidation type="whole" imeMode="disabled" allowBlank="1" showErrorMessage="1" errorTitle="調査簿入力" error="年を入力して下さい。" sqref="AT11:AV11 Q11:S11" xr:uid="{00000000-0002-0000-0100-000000000000}">
      <formula1>1</formula1>
      <formula2>99</formula2>
    </dataValidation>
  </dataValidations>
  <printOptions horizontalCentered="1" verticalCentered="1"/>
  <pageMargins left="0.59055118110236227" right="0.59055118110236227" top="0.59055118110236227" bottom="0.59055118110236227" header="0" footer="0"/>
  <pageSetup paperSize="9" scale="64" firstPageNumber="2" orientation="landscape" cellComments="asDisplayed"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BT89"/>
  <sheetViews>
    <sheetView showGridLines="0" view="pageBreakPreview" zoomScale="80" zoomScaleNormal="85" zoomScaleSheetLayoutView="80" workbookViewId="0"/>
  </sheetViews>
  <sheetFormatPr defaultColWidth="2.75" defaultRowHeight="14.25" customHeight="1"/>
  <cols>
    <col min="1" max="14" width="2.75" style="52" customWidth="1"/>
    <col min="15" max="41" width="2.75" style="55" customWidth="1"/>
    <col min="42" max="70" width="2.75" style="52"/>
    <col min="71" max="71" width="0.875" style="52" customWidth="1"/>
    <col min="72" max="16384" width="2.75" style="52"/>
  </cols>
  <sheetData>
    <row r="1" spans="1:72" ht="19.5" customHeight="1">
      <c r="B1" s="53"/>
      <c r="C1" s="53"/>
      <c r="D1" s="53"/>
      <c r="E1" s="53"/>
      <c r="F1" s="53"/>
      <c r="G1" s="54"/>
      <c r="H1" s="54"/>
      <c r="I1" s="54"/>
      <c r="J1" s="54"/>
      <c r="K1" s="54"/>
      <c r="L1" s="54"/>
      <c r="M1" s="54"/>
      <c r="N1" s="54"/>
      <c r="Q1" s="56"/>
      <c r="AL1" s="52"/>
      <c r="AM1" s="53"/>
      <c r="AN1" s="57"/>
      <c r="AO1" s="57"/>
      <c r="AP1" s="57"/>
      <c r="AQ1" s="57"/>
      <c r="AR1" s="57"/>
      <c r="AS1" s="57"/>
      <c r="AT1" s="57"/>
      <c r="AU1" s="57"/>
      <c r="AV1" s="57"/>
      <c r="AW1" s="58"/>
      <c r="AX1" s="58"/>
      <c r="AY1" s="58"/>
      <c r="AZ1" s="58"/>
      <c r="BA1" s="59"/>
      <c r="BB1" s="60"/>
      <c r="BC1" s="60"/>
      <c r="BD1" s="55"/>
      <c r="BE1" s="55"/>
      <c r="BF1" s="55"/>
      <c r="BG1" s="55"/>
      <c r="BH1" s="55"/>
      <c r="BI1" s="55"/>
      <c r="BJ1" s="55"/>
      <c r="BK1" s="55"/>
      <c r="BL1" s="55"/>
      <c r="BM1" s="55"/>
      <c r="BN1" s="55"/>
      <c r="BO1" s="55"/>
      <c r="BP1" s="55"/>
      <c r="BQ1" s="55"/>
      <c r="BR1" s="55"/>
      <c r="BS1" s="55"/>
      <c r="BT1" s="55"/>
    </row>
    <row r="2" spans="1:72" ht="19.5" customHeight="1">
      <c r="A2" s="61" t="s">
        <v>37</v>
      </c>
      <c r="B2" s="62"/>
      <c r="C2" s="63"/>
      <c r="D2" s="64"/>
      <c r="E2" s="64"/>
      <c r="F2" s="64"/>
      <c r="G2" s="64"/>
      <c r="H2" s="65"/>
      <c r="I2" s="66"/>
      <c r="J2" s="67"/>
      <c r="K2" s="57"/>
      <c r="L2" s="67"/>
      <c r="M2" s="66"/>
      <c r="N2" s="66"/>
      <c r="O2" s="67"/>
      <c r="P2" s="57"/>
      <c r="Q2" s="67"/>
      <c r="R2" s="65"/>
      <c r="S2" s="65"/>
      <c r="T2" s="68"/>
      <c r="U2" s="57"/>
      <c r="V2" s="57"/>
      <c r="W2" s="57"/>
      <c r="X2" s="57"/>
      <c r="Y2" s="57"/>
      <c r="Z2" s="57"/>
      <c r="AA2" s="65"/>
      <c r="AB2" s="65"/>
      <c r="AC2" s="65"/>
      <c r="AD2" s="69"/>
      <c r="AE2" s="65"/>
      <c r="AF2" s="65"/>
      <c r="AG2" s="65"/>
      <c r="AH2" s="65"/>
      <c r="AI2" s="65"/>
      <c r="AJ2" s="65"/>
      <c r="AK2" s="65"/>
    </row>
    <row r="3" spans="1:72" ht="19.5" customHeight="1">
      <c r="A3" s="61" t="s">
        <v>38</v>
      </c>
      <c r="B3" s="70"/>
      <c r="C3" s="71"/>
      <c r="D3" s="72"/>
      <c r="E3" s="72"/>
      <c r="F3" s="72"/>
      <c r="G3" s="72"/>
      <c r="H3" s="65"/>
      <c r="I3" s="66"/>
      <c r="J3" s="66"/>
      <c r="K3" s="66"/>
      <c r="L3" s="66"/>
      <c r="M3" s="66"/>
      <c r="N3" s="66"/>
      <c r="O3" s="65"/>
      <c r="P3" s="65"/>
      <c r="Q3" s="65"/>
      <c r="R3" s="65"/>
      <c r="S3" s="65"/>
      <c r="T3" s="57"/>
      <c r="U3" s="57"/>
      <c r="V3" s="57"/>
      <c r="W3" s="57"/>
      <c r="X3" s="57"/>
      <c r="Y3" s="57"/>
      <c r="Z3" s="57"/>
      <c r="AA3" s="65"/>
      <c r="AB3" s="65"/>
      <c r="AC3" s="65"/>
      <c r="AD3" s="65"/>
      <c r="AE3" s="65"/>
      <c r="AF3" s="65"/>
      <c r="AG3" s="65"/>
      <c r="AH3" s="65"/>
      <c r="AI3" s="65"/>
      <c r="AJ3" s="65"/>
      <c r="AK3" s="65"/>
    </row>
    <row r="4" spans="1:72" ht="19.5" customHeight="1">
      <c r="B4" s="73"/>
      <c r="C4" s="71"/>
      <c r="D4" s="72"/>
      <c r="E4" s="72"/>
      <c r="F4" s="72"/>
      <c r="G4" s="72"/>
      <c r="H4" s="65"/>
      <c r="I4" s="66"/>
      <c r="J4" s="66"/>
      <c r="K4" s="66"/>
      <c r="L4" s="66"/>
      <c r="M4" s="66"/>
      <c r="N4" s="66"/>
      <c r="O4" s="65"/>
      <c r="P4" s="65"/>
      <c r="Q4" s="65"/>
      <c r="R4" s="65"/>
      <c r="S4" s="65"/>
      <c r="T4" s="57"/>
      <c r="U4" s="57"/>
      <c r="V4" s="57"/>
      <c r="W4" s="57"/>
      <c r="X4" s="57"/>
      <c r="Y4" s="57"/>
      <c r="Z4" s="57"/>
      <c r="AA4" s="65"/>
      <c r="AB4" s="65"/>
      <c r="AC4" s="65"/>
      <c r="AD4" s="65"/>
      <c r="AE4" s="65"/>
      <c r="AF4" s="65"/>
      <c r="AG4" s="65"/>
      <c r="AH4" s="65"/>
      <c r="AI4" s="65"/>
      <c r="AJ4" s="65"/>
      <c r="AK4" s="65"/>
    </row>
    <row r="5" spans="1:72" ht="19.5" customHeight="1">
      <c r="A5" s="74" t="s">
        <v>39</v>
      </c>
      <c r="B5" s="73"/>
      <c r="C5" s="71"/>
      <c r="D5" s="58"/>
      <c r="E5" s="75"/>
      <c r="F5" s="57"/>
      <c r="G5" s="57"/>
      <c r="H5" s="65"/>
      <c r="I5" s="66"/>
      <c r="J5" s="66"/>
      <c r="K5" s="66"/>
      <c r="L5" s="66"/>
      <c r="M5" s="66"/>
      <c r="N5" s="66"/>
      <c r="O5" s="65"/>
      <c r="P5" s="65"/>
      <c r="Q5" s="65"/>
      <c r="R5" s="65"/>
      <c r="S5" s="65"/>
      <c r="T5" s="68"/>
      <c r="U5" s="57"/>
      <c r="V5" s="57"/>
      <c r="W5" s="57"/>
      <c r="X5" s="57"/>
      <c r="Y5" s="57"/>
      <c r="Z5" s="57"/>
      <c r="AA5" s="65"/>
      <c r="AB5" s="65"/>
      <c r="AC5" s="65"/>
      <c r="AD5" s="65"/>
      <c r="AE5" s="65"/>
      <c r="AF5" s="65"/>
      <c r="AG5" s="65"/>
      <c r="AH5" s="65"/>
      <c r="AI5" s="65"/>
      <c r="AJ5" s="65"/>
      <c r="AK5" s="65"/>
    </row>
    <row r="6" spans="1:72" ht="19.5" customHeight="1">
      <c r="A6" s="74" t="s">
        <v>40</v>
      </c>
      <c r="B6" s="73"/>
      <c r="C6" s="71"/>
      <c r="D6" s="58"/>
      <c r="E6" s="75"/>
      <c r="F6" s="57"/>
      <c r="G6" s="57"/>
      <c r="H6" s="65"/>
      <c r="I6" s="66"/>
      <c r="J6" s="66"/>
      <c r="K6" s="66"/>
      <c r="L6" s="66"/>
      <c r="M6" s="66"/>
      <c r="N6" s="66"/>
      <c r="O6" s="65"/>
      <c r="P6" s="65"/>
      <c r="Q6" s="65"/>
      <c r="R6" s="65"/>
      <c r="S6" s="65"/>
      <c r="T6" s="68"/>
      <c r="U6" s="57"/>
      <c r="V6" s="57"/>
      <c r="W6" s="57"/>
      <c r="X6" s="57"/>
      <c r="Y6" s="57"/>
      <c r="Z6" s="57"/>
      <c r="AA6" s="65"/>
      <c r="AB6" s="65"/>
      <c r="AC6" s="65"/>
      <c r="AD6" s="65"/>
      <c r="AE6" s="65"/>
      <c r="AF6" s="65"/>
      <c r="AG6" s="65"/>
      <c r="AH6" s="65"/>
      <c r="AI6" s="65"/>
      <c r="AJ6" s="65"/>
      <c r="AK6" s="65"/>
    </row>
    <row r="7" spans="1:72" ht="19.5" customHeight="1">
      <c r="A7" s="74" t="s">
        <v>41</v>
      </c>
      <c r="B7" s="73"/>
      <c r="C7" s="71"/>
      <c r="D7" s="58"/>
      <c r="E7" s="75"/>
      <c r="F7" s="57"/>
      <c r="G7" s="57"/>
      <c r="H7" s="65"/>
      <c r="I7" s="66"/>
      <c r="J7" s="66"/>
      <c r="K7" s="66"/>
      <c r="L7" s="66"/>
      <c r="M7" s="66"/>
      <c r="N7" s="66"/>
      <c r="O7" s="65"/>
      <c r="P7" s="65"/>
      <c r="Q7" s="65"/>
      <c r="R7" s="65"/>
      <c r="S7" s="65"/>
      <c r="T7" s="68"/>
      <c r="U7" s="57"/>
      <c r="V7" s="57"/>
      <c r="W7" s="57"/>
      <c r="X7" s="57"/>
      <c r="Y7" s="57"/>
      <c r="Z7" s="57"/>
      <c r="AA7" s="65"/>
      <c r="AB7" s="65"/>
      <c r="AC7" s="65"/>
      <c r="AD7" s="65"/>
      <c r="AE7" s="65"/>
      <c r="AF7" s="65"/>
      <c r="AG7" s="65"/>
      <c r="AH7" s="65"/>
      <c r="AI7" s="65"/>
      <c r="AJ7" s="65"/>
      <c r="AK7" s="65"/>
    </row>
    <row r="8" spans="1:72" ht="19.5" customHeight="1">
      <c r="A8" s="74" t="s">
        <v>42</v>
      </c>
      <c r="B8" s="73"/>
      <c r="C8" s="71"/>
      <c r="D8" s="58"/>
      <c r="E8" s="75"/>
      <c r="F8" s="57"/>
      <c r="G8" s="57"/>
      <c r="H8" s="65"/>
      <c r="I8" s="66"/>
      <c r="J8" s="66"/>
      <c r="K8" s="66"/>
      <c r="L8" s="66"/>
      <c r="M8" s="66"/>
      <c r="N8" s="66"/>
      <c r="O8" s="65"/>
      <c r="P8" s="65"/>
      <c r="Q8" s="65"/>
      <c r="R8" s="65"/>
      <c r="S8" s="65"/>
      <c r="T8" s="68"/>
      <c r="U8" s="57"/>
      <c r="V8" s="57"/>
      <c r="W8" s="57"/>
      <c r="X8" s="57"/>
      <c r="Y8" s="57"/>
      <c r="Z8" s="57"/>
      <c r="AA8" s="65"/>
      <c r="AB8" s="65"/>
      <c r="AC8" s="65"/>
      <c r="AD8" s="65"/>
      <c r="AE8" s="65"/>
      <c r="AF8" s="65"/>
      <c r="AG8" s="65"/>
      <c r="AH8" s="65"/>
      <c r="AI8" s="65"/>
      <c r="AJ8" s="65"/>
      <c r="AK8" s="65"/>
    </row>
    <row r="9" spans="1:72" ht="19.5" customHeight="1">
      <c r="A9" s="74" t="s">
        <v>43</v>
      </c>
      <c r="B9" s="73"/>
      <c r="C9" s="71"/>
      <c r="D9" s="58"/>
      <c r="E9" s="57"/>
      <c r="F9" s="57"/>
      <c r="G9" s="57"/>
      <c r="H9" s="65"/>
      <c r="I9" s="66"/>
      <c r="J9" s="66"/>
      <c r="K9" s="66"/>
      <c r="L9" s="66"/>
      <c r="M9" s="66"/>
      <c r="N9" s="66"/>
      <c r="O9" s="65"/>
      <c r="P9" s="65"/>
      <c r="Q9" s="65"/>
      <c r="R9" s="65"/>
      <c r="S9" s="65"/>
      <c r="T9" s="57"/>
      <c r="U9" s="57"/>
      <c r="V9" s="57"/>
      <c r="W9" s="57"/>
      <c r="X9" s="57"/>
      <c r="Y9" s="57"/>
      <c r="Z9" s="57"/>
      <c r="AA9" s="65"/>
      <c r="AB9" s="65"/>
      <c r="AC9" s="65"/>
      <c r="AD9" s="65"/>
      <c r="AE9" s="65"/>
      <c r="AF9" s="65"/>
      <c r="AG9" s="65"/>
      <c r="AH9" s="65"/>
      <c r="AI9" s="65"/>
      <c r="AJ9" s="65"/>
      <c r="AK9" s="65"/>
    </row>
    <row r="10" spans="1:72" ht="19.5" customHeight="1">
      <c r="A10" s="74"/>
      <c r="B10" s="73"/>
      <c r="C10" s="71"/>
      <c r="D10" s="58"/>
      <c r="E10" s="57"/>
      <c r="F10" s="57"/>
      <c r="G10" s="57"/>
      <c r="H10" s="65"/>
      <c r="I10" s="66"/>
      <c r="J10" s="66"/>
      <c r="K10" s="66"/>
      <c r="L10" s="66"/>
      <c r="M10" s="66"/>
      <c r="N10" s="66"/>
      <c r="O10" s="65"/>
      <c r="P10" s="65"/>
      <c r="Q10" s="65"/>
      <c r="R10" s="65"/>
      <c r="S10" s="65"/>
      <c r="T10" s="57"/>
      <c r="U10" s="57"/>
      <c r="V10" s="57"/>
      <c r="W10" s="57"/>
      <c r="X10" s="57"/>
      <c r="Y10" s="57"/>
      <c r="Z10" s="57"/>
      <c r="AA10" s="65"/>
      <c r="AB10" s="65"/>
      <c r="AC10" s="65"/>
      <c r="AD10" s="65"/>
      <c r="AE10" s="65"/>
      <c r="AF10" s="65"/>
      <c r="AG10" s="65"/>
      <c r="AH10" s="65"/>
      <c r="AI10" s="65"/>
      <c r="AJ10" s="65"/>
      <c r="AK10" s="65"/>
    </row>
    <row r="11" spans="1:72" ht="19.5" customHeight="1">
      <c r="A11" s="58"/>
      <c r="B11" s="73"/>
      <c r="C11" s="76" t="s">
        <v>44</v>
      </c>
      <c r="D11" s="57"/>
      <c r="E11" s="57"/>
      <c r="F11" s="57"/>
      <c r="G11" s="57"/>
      <c r="H11" s="65"/>
      <c r="I11" s="66"/>
      <c r="J11" s="66"/>
      <c r="K11" s="66"/>
      <c r="L11" s="66"/>
      <c r="M11" s="66"/>
      <c r="N11" s="66"/>
      <c r="O11" s="65"/>
      <c r="P11" s="65"/>
      <c r="Q11" s="65"/>
      <c r="R11" s="65"/>
      <c r="S11" s="65"/>
      <c r="T11" s="65"/>
      <c r="U11" s="65"/>
      <c r="V11" s="57"/>
      <c r="W11" s="57"/>
      <c r="X11" s="57"/>
      <c r="Y11" s="57"/>
      <c r="Z11" s="57"/>
      <c r="AA11" s="65"/>
      <c r="AB11" s="65"/>
      <c r="AC11" s="65"/>
      <c r="AD11" s="65"/>
      <c r="AE11" s="65"/>
      <c r="AF11" s="65"/>
      <c r="AG11" s="65"/>
      <c r="AH11" s="65"/>
      <c r="AI11" s="65"/>
      <c r="AJ11" s="65"/>
      <c r="AK11" s="65"/>
    </row>
    <row r="12" spans="1:72" ht="19.5" customHeight="1">
      <c r="A12" s="58"/>
      <c r="B12" s="73"/>
      <c r="C12" s="76" t="s">
        <v>45</v>
      </c>
      <c r="D12" s="57"/>
      <c r="E12" s="57"/>
      <c r="F12" s="57"/>
      <c r="G12" s="57"/>
      <c r="H12" s="65"/>
      <c r="I12" s="66"/>
      <c r="J12" s="66"/>
      <c r="K12" s="66"/>
      <c r="L12" s="66"/>
      <c r="M12" s="66"/>
      <c r="N12" s="66"/>
      <c r="O12" s="65"/>
      <c r="P12" s="65"/>
      <c r="Q12" s="65"/>
      <c r="R12" s="65"/>
      <c r="S12" s="65"/>
      <c r="T12" s="68"/>
      <c r="U12" s="57"/>
      <c r="V12" s="57"/>
      <c r="W12" s="57"/>
      <c r="X12" s="57"/>
      <c r="Y12" s="57"/>
      <c r="Z12" s="57"/>
      <c r="AA12" s="65"/>
      <c r="AB12" s="65"/>
      <c r="AC12" s="65"/>
      <c r="AD12" s="65"/>
      <c r="AE12" s="65"/>
      <c r="AF12" s="65"/>
      <c r="AG12" s="65"/>
      <c r="AH12" s="65"/>
      <c r="AI12" s="65"/>
      <c r="AJ12" s="65"/>
      <c r="AK12" s="65"/>
    </row>
    <row r="13" spans="1:72" ht="19.5" customHeight="1">
      <c r="A13" s="58"/>
      <c r="B13" s="73"/>
      <c r="C13" s="76" t="s">
        <v>46</v>
      </c>
      <c r="D13" s="57"/>
      <c r="E13" s="57"/>
      <c r="F13" s="57"/>
      <c r="G13" s="57"/>
      <c r="H13" s="66"/>
      <c r="I13" s="66"/>
      <c r="J13" s="66"/>
      <c r="K13" s="66"/>
      <c r="L13" s="66"/>
      <c r="M13" s="66"/>
      <c r="N13" s="66"/>
      <c r="O13" s="65"/>
      <c r="P13" s="65"/>
      <c r="Q13" s="65"/>
      <c r="R13" s="65"/>
      <c r="S13" s="65"/>
      <c r="T13" s="57"/>
      <c r="U13" s="57"/>
      <c r="V13" s="57"/>
      <c r="W13" s="57"/>
      <c r="X13" s="57"/>
      <c r="Y13" s="57"/>
      <c r="Z13" s="57"/>
      <c r="AA13" s="65"/>
      <c r="AB13" s="65"/>
      <c r="AC13" s="65"/>
      <c r="AD13" s="65"/>
      <c r="AE13" s="65"/>
      <c r="AF13" s="65"/>
      <c r="AG13" s="65"/>
      <c r="AH13" s="65"/>
      <c r="AI13" s="65"/>
      <c r="AJ13" s="65"/>
      <c r="AK13" s="65"/>
    </row>
    <row r="14" spans="1:72" ht="19.5" customHeight="1">
      <c r="A14" s="58"/>
      <c r="B14" s="73"/>
      <c r="C14" s="77" t="s">
        <v>47</v>
      </c>
      <c r="D14" s="73"/>
      <c r="E14" s="73"/>
      <c r="F14" s="73"/>
      <c r="G14" s="66"/>
      <c r="H14" s="66"/>
      <c r="I14" s="66"/>
      <c r="J14" s="66"/>
      <c r="K14" s="66"/>
      <c r="L14" s="66"/>
      <c r="M14" s="66"/>
      <c r="N14" s="66"/>
      <c r="O14" s="65"/>
      <c r="P14" s="65"/>
      <c r="Q14" s="65"/>
      <c r="R14" s="65"/>
      <c r="S14" s="65"/>
      <c r="T14" s="65"/>
      <c r="U14" s="65"/>
      <c r="V14" s="65"/>
      <c r="W14" s="65"/>
      <c r="X14" s="65"/>
      <c r="Y14" s="65"/>
      <c r="Z14" s="65"/>
      <c r="AA14" s="65"/>
      <c r="AB14" s="65"/>
      <c r="AC14" s="65"/>
      <c r="AD14" s="65"/>
      <c r="AE14" s="65"/>
      <c r="AF14" s="65"/>
      <c r="AG14" s="65"/>
      <c r="AH14" s="65"/>
      <c r="AI14" s="65"/>
      <c r="AJ14" s="65"/>
      <c r="AK14" s="65"/>
    </row>
    <row r="15" spans="1:72" ht="19.5" customHeight="1">
      <c r="A15" s="58"/>
      <c r="B15" s="73"/>
      <c r="C15" s="77"/>
      <c r="D15" s="73"/>
      <c r="E15" s="73"/>
      <c r="F15" s="73"/>
      <c r="G15" s="66"/>
      <c r="H15" s="66"/>
      <c r="I15" s="66"/>
      <c r="J15" s="66"/>
      <c r="K15" s="66"/>
      <c r="L15" s="66"/>
      <c r="M15" s="66"/>
      <c r="N15" s="66"/>
      <c r="O15" s="65"/>
      <c r="P15" s="65"/>
      <c r="Q15" s="65"/>
      <c r="R15" s="65"/>
      <c r="S15" s="65"/>
      <c r="T15" s="65"/>
      <c r="U15" s="65"/>
      <c r="V15" s="65"/>
      <c r="W15" s="65"/>
      <c r="X15" s="65"/>
      <c r="Y15" s="65"/>
      <c r="Z15" s="65"/>
      <c r="AA15" s="65"/>
      <c r="AB15" s="65"/>
      <c r="AC15" s="65"/>
      <c r="AD15" s="65"/>
      <c r="AE15" s="65"/>
      <c r="AF15" s="65"/>
      <c r="AG15" s="65"/>
      <c r="AH15" s="65"/>
      <c r="AI15" s="65"/>
      <c r="AJ15" s="65"/>
      <c r="AK15" s="65"/>
    </row>
    <row r="16" spans="1:72" ht="19.5" customHeight="1">
      <c r="A16" s="58"/>
      <c r="B16" s="73"/>
      <c r="C16" s="77" t="s">
        <v>48</v>
      </c>
      <c r="D16" s="73"/>
      <c r="E16" s="73"/>
      <c r="F16" s="73"/>
      <c r="G16" s="66"/>
      <c r="H16" s="66"/>
      <c r="I16" s="66"/>
      <c r="J16" s="66"/>
      <c r="K16" s="66"/>
      <c r="L16" s="66"/>
      <c r="M16" s="66"/>
      <c r="N16" s="66"/>
      <c r="O16" s="65"/>
      <c r="P16" s="65"/>
      <c r="Q16" s="65"/>
      <c r="R16" s="65"/>
      <c r="S16" s="65"/>
      <c r="T16" s="65"/>
      <c r="U16" s="65"/>
      <c r="V16" s="65"/>
      <c r="W16" s="65"/>
      <c r="X16" s="65"/>
      <c r="Y16" s="65"/>
      <c r="Z16" s="65"/>
      <c r="AA16" s="65"/>
      <c r="AB16" s="65"/>
      <c r="AC16" s="65"/>
      <c r="AD16" s="65"/>
      <c r="AE16" s="65"/>
      <c r="AF16" s="65"/>
      <c r="AG16" s="65"/>
      <c r="AH16" s="65"/>
      <c r="AI16" s="65"/>
      <c r="AJ16" s="65"/>
      <c r="AK16" s="65"/>
    </row>
    <row r="17" spans="1:37" ht="19.5" customHeight="1">
      <c r="A17" s="58"/>
      <c r="B17" s="73"/>
      <c r="C17" s="77" t="s">
        <v>49</v>
      </c>
      <c r="D17" s="73"/>
      <c r="E17" s="73"/>
      <c r="F17" s="73"/>
      <c r="G17" s="66"/>
      <c r="H17" s="66"/>
      <c r="I17" s="66"/>
      <c r="J17" s="66"/>
      <c r="K17" s="66"/>
      <c r="L17" s="66"/>
      <c r="M17" s="66"/>
      <c r="N17" s="66"/>
      <c r="O17" s="65"/>
      <c r="P17" s="65"/>
      <c r="Q17" s="65"/>
      <c r="R17" s="65"/>
      <c r="S17" s="65"/>
      <c r="T17" s="65"/>
      <c r="U17" s="65"/>
      <c r="V17" s="65"/>
      <c r="W17" s="65"/>
      <c r="X17" s="65"/>
      <c r="Y17" s="65"/>
      <c r="Z17" s="65"/>
      <c r="AA17" s="65"/>
      <c r="AB17" s="65"/>
      <c r="AC17" s="65"/>
      <c r="AD17" s="65"/>
      <c r="AE17" s="65"/>
      <c r="AF17" s="65"/>
      <c r="AG17" s="65"/>
      <c r="AH17" s="65"/>
      <c r="AI17" s="65"/>
      <c r="AJ17" s="65"/>
      <c r="AK17" s="65"/>
    </row>
    <row r="18" spans="1:37" ht="19.5" customHeight="1">
      <c r="A18" s="58"/>
      <c r="B18" s="73"/>
      <c r="C18" s="77"/>
      <c r="D18" s="73"/>
      <c r="E18" s="73"/>
      <c r="F18" s="73"/>
      <c r="G18" s="66"/>
      <c r="H18" s="66"/>
      <c r="I18" s="66"/>
      <c r="J18" s="66"/>
      <c r="K18" s="66"/>
      <c r="L18" s="66"/>
      <c r="M18" s="66"/>
      <c r="N18" s="66"/>
      <c r="O18" s="65"/>
      <c r="P18" s="65"/>
      <c r="Q18" s="65"/>
      <c r="R18" s="65"/>
      <c r="S18" s="65"/>
      <c r="T18" s="65"/>
      <c r="U18" s="65"/>
      <c r="V18" s="65"/>
      <c r="W18" s="65"/>
      <c r="X18" s="65"/>
      <c r="Y18" s="65"/>
      <c r="Z18" s="65"/>
      <c r="AA18" s="65"/>
      <c r="AB18" s="65"/>
      <c r="AC18" s="65"/>
      <c r="AD18" s="65"/>
      <c r="AE18" s="65"/>
      <c r="AF18" s="65"/>
      <c r="AG18" s="65"/>
      <c r="AH18" s="65"/>
      <c r="AI18" s="65"/>
    </row>
    <row r="19" spans="1:37" ht="19.5" customHeight="1">
      <c r="A19" s="58"/>
      <c r="B19" s="73"/>
      <c r="C19" s="77"/>
      <c r="D19" s="73"/>
      <c r="E19" s="73"/>
      <c r="F19" s="73"/>
      <c r="G19" s="66"/>
      <c r="H19" s="66"/>
      <c r="I19" s="66"/>
      <c r="J19" s="66"/>
      <c r="K19" s="66"/>
      <c r="L19" s="66"/>
      <c r="M19" s="66"/>
      <c r="N19" s="66"/>
      <c r="O19" s="65"/>
      <c r="P19" s="65"/>
      <c r="Q19" s="65"/>
      <c r="R19" s="65"/>
      <c r="S19" s="65"/>
      <c r="T19" s="65"/>
      <c r="U19" s="65"/>
      <c r="V19" s="65"/>
      <c r="W19" s="65"/>
      <c r="X19" s="65"/>
      <c r="Y19" s="65"/>
      <c r="Z19" s="65"/>
      <c r="AA19" s="65"/>
      <c r="AB19" s="65"/>
      <c r="AC19" s="65"/>
      <c r="AD19" s="65"/>
      <c r="AE19" s="65"/>
    </row>
    <row r="20" spans="1:37" ht="19.5" customHeight="1">
      <c r="A20" s="78" t="s">
        <v>50</v>
      </c>
      <c r="B20" s="73"/>
      <c r="C20" s="71"/>
      <c r="D20" s="72"/>
      <c r="E20" s="72"/>
      <c r="F20" s="72"/>
      <c r="G20" s="72"/>
      <c r="H20" s="65"/>
      <c r="I20" s="66"/>
      <c r="J20" s="66"/>
      <c r="K20" s="66"/>
      <c r="L20" s="66"/>
      <c r="M20" s="66"/>
      <c r="N20" s="66"/>
      <c r="O20" s="65"/>
      <c r="P20" s="65"/>
      <c r="Q20" s="65"/>
      <c r="R20" s="65"/>
      <c r="S20" s="65"/>
      <c r="T20" s="57"/>
      <c r="U20" s="57"/>
      <c r="V20" s="57"/>
      <c r="W20" s="57"/>
      <c r="X20" s="57"/>
      <c r="Y20" s="57"/>
      <c r="Z20" s="57"/>
      <c r="AA20" s="65"/>
      <c r="AB20" s="65"/>
      <c r="AC20" s="65"/>
      <c r="AD20" s="65"/>
      <c r="AE20" s="65"/>
      <c r="AJ20" s="65"/>
      <c r="AK20" s="65"/>
    </row>
    <row r="21" spans="1:37" ht="19.5" customHeight="1">
      <c r="A21" s="78"/>
      <c r="B21" s="73"/>
      <c r="C21" s="71"/>
      <c r="D21" s="72"/>
      <c r="E21" s="72"/>
      <c r="F21" s="72"/>
      <c r="G21" s="72"/>
      <c r="H21" s="65"/>
      <c r="I21" s="66"/>
      <c r="J21" s="66"/>
      <c r="K21" s="66"/>
      <c r="L21" s="66"/>
      <c r="M21" s="66"/>
      <c r="N21" s="66"/>
      <c r="O21" s="65"/>
      <c r="P21" s="65"/>
      <c r="Q21" s="65"/>
      <c r="R21" s="65"/>
      <c r="S21" s="65"/>
      <c r="T21" s="57"/>
      <c r="U21" s="57"/>
      <c r="V21" s="57"/>
      <c r="W21" s="57"/>
      <c r="X21" s="57"/>
      <c r="Y21" s="57"/>
      <c r="Z21" s="57"/>
      <c r="AA21" s="65"/>
      <c r="AB21" s="65"/>
      <c r="AC21" s="65"/>
      <c r="AD21" s="65"/>
      <c r="AE21" s="65"/>
      <c r="AF21" s="65"/>
      <c r="AG21" s="65"/>
      <c r="AH21" s="65"/>
      <c r="AI21" s="65"/>
      <c r="AJ21" s="65"/>
      <c r="AK21" s="65"/>
    </row>
    <row r="22" spans="1:37" ht="19.5" customHeight="1">
      <c r="A22" s="61" t="s">
        <v>51</v>
      </c>
      <c r="B22" s="73"/>
      <c r="C22" s="71"/>
      <c r="D22" s="72"/>
      <c r="E22" s="72"/>
      <c r="F22" s="72"/>
      <c r="G22" s="72"/>
      <c r="H22" s="65"/>
      <c r="I22" s="66"/>
      <c r="J22" s="66"/>
      <c r="K22" s="66"/>
      <c r="L22" s="66"/>
      <c r="M22" s="66"/>
      <c r="N22" s="66"/>
      <c r="O22" s="65"/>
      <c r="P22" s="65"/>
      <c r="Q22" s="65"/>
      <c r="R22" s="65"/>
      <c r="S22" s="65"/>
      <c r="T22" s="57"/>
      <c r="U22" s="57"/>
      <c r="V22" s="57"/>
      <c r="W22" s="57"/>
      <c r="X22" s="57"/>
      <c r="Y22" s="57"/>
      <c r="Z22" s="57"/>
      <c r="AA22" s="65"/>
      <c r="AB22" s="65"/>
      <c r="AC22" s="65"/>
      <c r="AD22" s="65"/>
      <c r="AE22" s="65"/>
      <c r="AF22" s="65"/>
      <c r="AG22" s="65"/>
      <c r="AH22" s="65"/>
      <c r="AI22" s="65"/>
      <c r="AJ22" s="65"/>
      <c r="AK22" s="65"/>
    </row>
    <row r="23" spans="1:37" ht="19.5" customHeight="1">
      <c r="A23" s="61" t="s">
        <v>52</v>
      </c>
      <c r="B23" s="73"/>
      <c r="C23" s="71"/>
      <c r="D23" s="66"/>
      <c r="E23" s="75"/>
      <c r="F23" s="57"/>
      <c r="G23" s="57"/>
      <c r="H23" s="65"/>
      <c r="I23" s="66"/>
      <c r="J23" s="66"/>
      <c r="K23" s="66"/>
      <c r="L23" s="66"/>
      <c r="M23" s="66"/>
      <c r="N23" s="66"/>
      <c r="O23" s="65"/>
      <c r="P23" s="65"/>
      <c r="Q23" s="65"/>
      <c r="R23" s="65"/>
      <c r="S23" s="65"/>
      <c r="T23" s="65"/>
      <c r="U23" s="65"/>
      <c r="V23" s="68"/>
      <c r="W23" s="57"/>
      <c r="X23" s="57"/>
      <c r="Y23" s="57"/>
      <c r="Z23" s="57"/>
      <c r="AA23" s="65"/>
      <c r="AB23" s="65"/>
      <c r="AC23" s="65"/>
      <c r="AD23" s="65"/>
      <c r="AE23" s="65"/>
      <c r="AF23" s="65"/>
      <c r="AG23" s="65"/>
      <c r="AH23" s="65"/>
      <c r="AI23" s="65"/>
      <c r="AJ23" s="65"/>
      <c r="AK23" s="65"/>
    </row>
    <row r="24" spans="1:37" ht="19.5" customHeight="1">
      <c r="A24" s="73" t="s">
        <v>53</v>
      </c>
      <c r="C24" s="73"/>
      <c r="D24" s="73"/>
      <c r="E24" s="73"/>
      <c r="F24" s="73"/>
      <c r="G24" s="66"/>
      <c r="H24" s="66"/>
      <c r="I24" s="66"/>
      <c r="J24" s="66"/>
      <c r="K24" s="66"/>
      <c r="L24" s="66"/>
      <c r="M24" s="66"/>
      <c r="N24" s="66"/>
      <c r="O24" s="65"/>
      <c r="P24" s="65"/>
      <c r="Q24" s="65"/>
      <c r="R24" s="65"/>
      <c r="S24" s="65"/>
      <c r="T24" s="65"/>
      <c r="U24" s="65"/>
      <c r="V24" s="65"/>
      <c r="W24" s="65"/>
      <c r="X24" s="65"/>
      <c r="Y24" s="65"/>
      <c r="Z24" s="65"/>
      <c r="AA24" s="65"/>
      <c r="AB24" s="65"/>
      <c r="AC24" s="65"/>
      <c r="AD24" s="65"/>
      <c r="AE24" s="65"/>
      <c r="AF24" s="65"/>
      <c r="AG24" s="65"/>
      <c r="AH24" s="65"/>
      <c r="AI24" s="65"/>
      <c r="AJ24" s="65"/>
      <c r="AK24" s="65"/>
    </row>
    <row r="25" spans="1:37" ht="19.5" customHeight="1">
      <c r="A25" s="58"/>
      <c r="B25" s="73"/>
      <c r="C25" s="73"/>
      <c r="D25" s="73"/>
      <c r="E25" s="73"/>
      <c r="F25" s="73"/>
      <c r="G25" s="66"/>
      <c r="H25" s="66"/>
      <c r="I25" s="66"/>
      <c r="J25" s="66"/>
      <c r="K25" s="66"/>
      <c r="L25" s="66"/>
      <c r="M25" s="66"/>
      <c r="N25" s="66"/>
      <c r="O25" s="65"/>
      <c r="P25" s="65"/>
      <c r="Q25" s="65"/>
      <c r="R25" s="65"/>
      <c r="S25" s="65"/>
      <c r="T25" s="65"/>
      <c r="U25" s="65"/>
      <c r="V25" s="65"/>
      <c r="W25" s="65"/>
      <c r="X25" s="65"/>
      <c r="Y25" s="65"/>
      <c r="Z25" s="65"/>
      <c r="AA25" s="65"/>
      <c r="AB25" s="65"/>
      <c r="AC25" s="65"/>
      <c r="AD25" s="65"/>
      <c r="AE25" s="65"/>
      <c r="AF25" s="65"/>
      <c r="AG25" s="65"/>
      <c r="AH25" s="65"/>
      <c r="AI25" s="65"/>
      <c r="AJ25" s="65"/>
      <c r="AK25" s="65"/>
    </row>
    <row r="26" spans="1:37" ht="19.5" customHeight="1">
      <c r="A26" s="61" t="s">
        <v>54</v>
      </c>
      <c r="B26" s="73"/>
      <c r="C26" s="73"/>
      <c r="D26" s="73"/>
      <c r="E26" s="73"/>
      <c r="F26" s="73"/>
      <c r="G26" s="66"/>
      <c r="H26" s="66"/>
      <c r="I26" s="66"/>
      <c r="J26" s="66"/>
      <c r="K26" s="66"/>
      <c r="L26" s="66"/>
      <c r="M26" s="66"/>
      <c r="N26" s="66"/>
      <c r="O26" s="65"/>
      <c r="P26" s="65"/>
      <c r="Q26" s="65"/>
      <c r="R26" s="65"/>
      <c r="S26" s="65"/>
      <c r="T26" s="65"/>
      <c r="U26" s="65"/>
      <c r="V26" s="65"/>
      <c r="W26" s="65"/>
      <c r="X26" s="65"/>
      <c r="Y26" s="65"/>
      <c r="Z26" s="65"/>
      <c r="AA26" s="65"/>
      <c r="AB26" s="65"/>
      <c r="AC26" s="65"/>
      <c r="AD26" s="65"/>
      <c r="AE26" s="65"/>
      <c r="AF26" s="65"/>
      <c r="AG26" s="65"/>
      <c r="AH26" s="65"/>
      <c r="AI26" s="65"/>
      <c r="AJ26" s="65"/>
      <c r="AK26" s="65"/>
    </row>
    <row r="27" spans="1:37" ht="19.5" customHeight="1">
      <c r="A27" s="58"/>
      <c r="B27" s="73" t="s">
        <v>55</v>
      </c>
      <c r="C27" s="73"/>
      <c r="D27" s="73"/>
      <c r="E27" s="73"/>
      <c r="F27" s="73"/>
      <c r="G27" s="66"/>
      <c r="H27" s="66"/>
      <c r="I27" s="66"/>
      <c r="J27" s="66"/>
      <c r="K27" s="66"/>
      <c r="L27" s="66"/>
      <c r="M27" s="66"/>
      <c r="N27" s="66"/>
      <c r="O27" s="65"/>
      <c r="P27" s="65"/>
      <c r="Q27" s="65"/>
      <c r="R27" s="65"/>
      <c r="S27" s="65"/>
      <c r="T27" s="65"/>
      <c r="U27" s="65"/>
      <c r="V27" s="65"/>
      <c r="W27" s="65"/>
      <c r="X27" s="65"/>
      <c r="Y27" s="65"/>
      <c r="Z27" s="65"/>
      <c r="AA27" s="65"/>
      <c r="AB27" s="65"/>
      <c r="AC27" s="65"/>
      <c r="AD27" s="65"/>
      <c r="AE27" s="65"/>
      <c r="AF27" s="65"/>
      <c r="AG27" s="65"/>
      <c r="AH27" s="65"/>
      <c r="AI27" s="65"/>
      <c r="AJ27" s="65"/>
      <c r="AK27" s="65"/>
    </row>
    <row r="28" spans="1:37" ht="19.5" customHeight="1">
      <c r="A28" s="62"/>
      <c r="B28" s="79" t="s">
        <v>56</v>
      </c>
      <c r="H28" s="62"/>
      <c r="I28" s="62"/>
      <c r="J28" s="62"/>
      <c r="K28" s="62"/>
      <c r="L28" s="62"/>
      <c r="M28" s="62"/>
      <c r="N28" s="62"/>
      <c r="O28" s="65"/>
      <c r="P28" s="65"/>
      <c r="Q28" s="65"/>
      <c r="R28" s="65"/>
      <c r="S28" s="80"/>
      <c r="T28" s="65"/>
      <c r="U28" s="65"/>
      <c r="V28" s="65"/>
      <c r="W28" s="65"/>
      <c r="X28" s="65"/>
      <c r="Y28" s="65"/>
      <c r="Z28" s="65"/>
      <c r="AA28" s="65"/>
      <c r="AB28" s="65"/>
      <c r="AC28" s="65"/>
      <c r="AD28" s="65"/>
      <c r="AE28" s="65"/>
      <c r="AF28" s="65"/>
      <c r="AG28" s="65"/>
      <c r="AH28" s="65"/>
      <c r="AI28" s="65"/>
      <c r="AJ28" s="65"/>
      <c r="AK28" s="65"/>
    </row>
    <row r="29" spans="1:37" ht="19.5" customHeight="1">
      <c r="A29" s="62"/>
      <c r="B29" s="79"/>
      <c r="H29" s="62"/>
      <c r="I29" s="62"/>
      <c r="J29" s="62"/>
      <c r="K29" s="62"/>
      <c r="L29" s="62"/>
      <c r="M29" s="62"/>
      <c r="N29" s="62"/>
      <c r="O29" s="65"/>
      <c r="P29" s="65"/>
      <c r="Q29" s="65"/>
      <c r="R29" s="65"/>
      <c r="S29" s="80"/>
      <c r="T29" s="65"/>
      <c r="U29" s="65"/>
      <c r="V29" s="65"/>
      <c r="W29" s="65"/>
      <c r="X29" s="65"/>
      <c r="Y29" s="65"/>
      <c r="Z29" s="65"/>
      <c r="AA29" s="65"/>
      <c r="AB29" s="65"/>
      <c r="AC29" s="65"/>
      <c r="AD29" s="65"/>
      <c r="AE29" s="65"/>
      <c r="AF29" s="65"/>
      <c r="AG29" s="65"/>
      <c r="AH29" s="65"/>
      <c r="AI29" s="65"/>
      <c r="AJ29" s="65"/>
      <c r="AK29" s="65"/>
    </row>
    <row r="30" spans="1:37" ht="19.5" customHeight="1">
      <c r="A30" s="62"/>
      <c r="B30" s="79"/>
      <c r="C30" s="79" t="s">
        <v>57</v>
      </c>
      <c r="H30" s="62"/>
      <c r="I30" s="62"/>
      <c r="J30" s="62"/>
      <c r="K30" s="62"/>
      <c r="L30" s="62"/>
      <c r="M30" s="62"/>
      <c r="N30" s="62"/>
      <c r="O30" s="65"/>
      <c r="P30" s="65"/>
      <c r="Q30" s="65"/>
      <c r="R30" s="65"/>
      <c r="S30" s="80"/>
      <c r="T30" s="65"/>
      <c r="U30" s="65"/>
      <c r="V30" s="65"/>
      <c r="W30" s="65"/>
      <c r="X30" s="65"/>
      <c r="Y30" s="65"/>
      <c r="Z30" s="65"/>
      <c r="AA30" s="65"/>
      <c r="AB30" s="65"/>
      <c r="AC30" s="65"/>
      <c r="AD30" s="65"/>
      <c r="AE30" s="65"/>
      <c r="AF30" s="65"/>
      <c r="AG30" s="65"/>
      <c r="AH30" s="65"/>
      <c r="AI30" s="65"/>
      <c r="AJ30" s="58"/>
      <c r="AK30" s="58"/>
    </row>
    <row r="31" spans="1:37" ht="19.5" customHeight="1" thickBot="1">
      <c r="A31" s="62"/>
      <c r="B31" s="79"/>
      <c r="C31" s="79"/>
      <c r="H31" s="62"/>
      <c r="I31" s="62"/>
      <c r="J31" s="62"/>
      <c r="K31" s="62"/>
      <c r="L31" s="62"/>
      <c r="M31" s="62"/>
      <c r="N31" s="62"/>
      <c r="O31" s="65"/>
      <c r="P31" s="65"/>
      <c r="Q31" s="65"/>
      <c r="R31" s="65"/>
      <c r="S31" s="80"/>
      <c r="T31" s="65"/>
      <c r="U31" s="65"/>
      <c r="V31" s="65"/>
      <c r="W31" s="65"/>
      <c r="X31" s="65"/>
      <c r="Y31" s="65"/>
      <c r="Z31" s="65"/>
      <c r="AA31" s="65"/>
      <c r="AB31" s="65"/>
      <c r="AC31" s="65"/>
      <c r="AD31" s="65"/>
      <c r="AE31" s="65"/>
      <c r="AF31" s="65"/>
      <c r="AG31" s="65"/>
      <c r="AH31" s="65"/>
      <c r="AI31" s="65"/>
      <c r="AJ31" s="58"/>
      <c r="AK31" s="58"/>
    </row>
    <row r="32" spans="1:37" ht="19.5" customHeight="1">
      <c r="A32" s="62"/>
      <c r="B32" s="79"/>
      <c r="C32" s="1354" t="s">
        <v>58</v>
      </c>
      <c r="D32" s="1355"/>
      <c r="E32" s="1355"/>
      <c r="F32" s="1355"/>
      <c r="G32" s="1355"/>
      <c r="H32" s="1355"/>
      <c r="I32" s="1356"/>
      <c r="J32" s="1360" t="s">
        <v>59</v>
      </c>
      <c r="K32" s="1361"/>
      <c r="L32" s="1361"/>
      <c r="M32" s="1361"/>
      <c r="N32" s="1361"/>
      <c r="O32" s="1361"/>
      <c r="P32" s="1364" t="s">
        <v>60</v>
      </c>
      <c r="Q32" s="1361"/>
      <c r="R32" s="1361"/>
      <c r="S32" s="1361"/>
      <c r="T32" s="1361"/>
      <c r="U32" s="1361"/>
      <c r="V32" s="1361"/>
      <c r="W32" s="1365"/>
      <c r="X32" s="1368" t="s">
        <v>61</v>
      </c>
      <c r="Y32" s="1369"/>
      <c r="Z32" s="1370"/>
      <c r="AA32" s="58"/>
      <c r="AB32" s="58"/>
      <c r="AC32" s="58"/>
      <c r="AD32" s="58"/>
      <c r="AE32" s="58"/>
      <c r="AF32" s="58"/>
      <c r="AG32" s="58"/>
      <c r="AH32" s="58"/>
      <c r="AI32" s="65"/>
      <c r="AJ32" s="58"/>
      <c r="AK32" s="58"/>
    </row>
    <row r="33" spans="1:72" ht="19.5" customHeight="1" thickBot="1">
      <c r="A33" s="62"/>
      <c r="B33" s="79"/>
      <c r="C33" s="1357"/>
      <c r="D33" s="1358"/>
      <c r="E33" s="1358"/>
      <c r="F33" s="1358"/>
      <c r="G33" s="1358"/>
      <c r="H33" s="1358"/>
      <c r="I33" s="1359"/>
      <c r="J33" s="1362"/>
      <c r="K33" s="1363"/>
      <c r="L33" s="1363"/>
      <c r="M33" s="1363"/>
      <c r="N33" s="1363"/>
      <c r="O33" s="1363"/>
      <c r="P33" s="1366"/>
      <c r="Q33" s="1363"/>
      <c r="R33" s="1363"/>
      <c r="S33" s="1363"/>
      <c r="T33" s="1363"/>
      <c r="U33" s="1363"/>
      <c r="V33" s="1363"/>
      <c r="W33" s="1367"/>
      <c r="X33" s="1371"/>
      <c r="Y33" s="1372"/>
      <c r="Z33" s="1373"/>
      <c r="AA33" s="65"/>
      <c r="AB33" s="65"/>
      <c r="AC33" s="65"/>
      <c r="AD33" s="65"/>
      <c r="AE33" s="58"/>
      <c r="AF33" s="58"/>
      <c r="AG33" s="58"/>
      <c r="AH33" s="58"/>
      <c r="AI33" s="58"/>
      <c r="AJ33" s="58"/>
      <c r="AK33" s="58"/>
    </row>
    <row r="34" spans="1:72" ht="19.5" customHeight="1" thickTop="1">
      <c r="A34" s="58"/>
      <c r="B34" s="58"/>
      <c r="C34" s="81"/>
      <c r="D34" s="1374" t="s">
        <v>62</v>
      </c>
      <c r="E34" s="1374"/>
      <c r="F34" s="1374"/>
      <c r="G34" s="1374"/>
      <c r="H34" s="1374"/>
      <c r="I34" s="82"/>
      <c r="J34" s="1376" t="s">
        <v>63</v>
      </c>
      <c r="K34" s="1377"/>
      <c r="L34" s="1377"/>
      <c r="M34" s="1377"/>
      <c r="N34" s="1377"/>
      <c r="O34" s="1378"/>
      <c r="P34" s="1382">
        <v>20000</v>
      </c>
      <c r="Q34" s="1383"/>
      <c r="R34" s="1383"/>
      <c r="S34" s="1383"/>
      <c r="T34" s="1383"/>
      <c r="U34" s="1383"/>
      <c r="V34" s="1383"/>
      <c r="W34" s="1384"/>
      <c r="X34" s="1388" t="s">
        <v>64</v>
      </c>
      <c r="Y34" s="1389"/>
      <c r="Z34" s="1390"/>
      <c r="AA34" s="65"/>
      <c r="AB34" s="65"/>
      <c r="AC34" s="65"/>
      <c r="AD34" s="65"/>
      <c r="AE34" s="58"/>
      <c r="AF34" s="58"/>
      <c r="AG34" s="58"/>
      <c r="AH34" s="58"/>
      <c r="AI34" s="58"/>
      <c r="AJ34" s="58"/>
      <c r="AK34" s="58"/>
    </row>
    <row r="35" spans="1:72" ht="19.5" customHeight="1" thickBot="1">
      <c r="A35" s="58"/>
      <c r="B35" s="58"/>
      <c r="C35" s="83"/>
      <c r="D35" s="1375"/>
      <c r="E35" s="1375"/>
      <c r="F35" s="1375"/>
      <c r="G35" s="1375"/>
      <c r="H35" s="1375"/>
      <c r="I35" s="84"/>
      <c r="J35" s="1379"/>
      <c r="K35" s="1380"/>
      <c r="L35" s="1380"/>
      <c r="M35" s="1380"/>
      <c r="N35" s="1380"/>
      <c r="O35" s="1381"/>
      <c r="P35" s="1385"/>
      <c r="Q35" s="1386"/>
      <c r="R35" s="1386"/>
      <c r="S35" s="1386"/>
      <c r="T35" s="1386"/>
      <c r="U35" s="1386"/>
      <c r="V35" s="1386"/>
      <c r="W35" s="1387"/>
      <c r="X35" s="1391"/>
      <c r="Y35" s="1392"/>
      <c r="Z35" s="1393"/>
      <c r="AA35" s="65"/>
      <c r="AB35" s="65"/>
      <c r="AC35" s="65"/>
      <c r="AD35" s="65"/>
      <c r="AE35" s="58"/>
      <c r="AF35" s="58"/>
      <c r="AG35" s="58"/>
      <c r="AH35" s="58"/>
      <c r="AI35" s="58"/>
      <c r="AJ35" s="85"/>
      <c r="AK35" s="85"/>
    </row>
    <row r="36" spans="1:72" ht="19.5" customHeight="1">
      <c r="A36" s="85"/>
      <c r="B36" s="85"/>
      <c r="C36" s="86"/>
      <c r="D36" s="86"/>
      <c r="E36" s="86"/>
      <c r="F36" s="86"/>
      <c r="G36" s="86"/>
      <c r="H36" s="86"/>
      <c r="I36" s="86"/>
      <c r="J36" s="87"/>
      <c r="K36" s="88"/>
      <c r="L36" s="88"/>
      <c r="M36" s="89"/>
      <c r="N36" s="89"/>
      <c r="O36" s="89"/>
      <c r="P36" s="90"/>
      <c r="Q36" s="90"/>
      <c r="R36" s="90"/>
      <c r="S36" s="91"/>
      <c r="T36" s="91"/>
      <c r="U36" s="92"/>
      <c r="V36" s="92"/>
      <c r="W36" s="92"/>
      <c r="X36" s="91"/>
      <c r="Y36" s="91"/>
      <c r="Z36" s="91"/>
      <c r="AA36" s="65"/>
      <c r="AB36" s="65"/>
      <c r="AC36" s="65"/>
      <c r="AD36" s="65"/>
      <c r="AE36" s="58"/>
      <c r="AF36" s="58"/>
      <c r="AG36" s="58"/>
      <c r="AH36" s="58"/>
      <c r="AI36" s="58"/>
      <c r="AJ36" s="52"/>
      <c r="AK36" s="52"/>
    </row>
    <row r="37" spans="1:72" ht="19.5" customHeight="1">
      <c r="A37" s="62"/>
      <c r="C37" s="79" t="s">
        <v>65</v>
      </c>
      <c r="O37" s="52"/>
      <c r="P37" s="52"/>
      <c r="Q37" s="52"/>
      <c r="R37" s="52"/>
      <c r="S37" s="52"/>
      <c r="T37" s="52"/>
      <c r="U37" s="52"/>
      <c r="V37" s="52"/>
      <c r="W37" s="52"/>
      <c r="X37" s="52"/>
      <c r="Y37" s="52"/>
      <c r="Z37" s="52"/>
      <c r="AA37" s="52"/>
      <c r="AB37" s="52"/>
      <c r="AC37" s="52"/>
      <c r="AD37" s="52"/>
      <c r="AE37" s="52"/>
      <c r="AF37" s="52"/>
      <c r="AG37" s="52"/>
      <c r="AH37" s="52"/>
      <c r="AI37" s="85"/>
      <c r="AK37" s="52"/>
    </row>
    <row r="38" spans="1:72" ht="19.5" customHeight="1">
      <c r="A38" s="62"/>
      <c r="C38" s="79" t="s">
        <v>66</v>
      </c>
      <c r="O38" s="52"/>
      <c r="P38" s="52"/>
      <c r="Q38" s="52"/>
      <c r="R38" s="52"/>
      <c r="S38" s="52"/>
      <c r="T38" s="52"/>
      <c r="U38" s="52"/>
      <c r="V38" s="52"/>
      <c r="W38" s="52"/>
      <c r="X38" s="52"/>
      <c r="Y38" s="52"/>
      <c r="Z38" s="52"/>
      <c r="AA38" s="52"/>
      <c r="AB38" s="52"/>
      <c r="AC38" s="52"/>
      <c r="AD38" s="52"/>
      <c r="AE38" s="52"/>
      <c r="AF38" s="52"/>
      <c r="AG38" s="52"/>
      <c r="AH38" s="52"/>
      <c r="AI38" s="52"/>
      <c r="AJ38" s="65"/>
    </row>
    <row r="39" spans="1:72" ht="19.5" customHeight="1">
      <c r="B39" s="58"/>
      <c r="C39" s="79" t="s">
        <v>67</v>
      </c>
      <c r="D39" s="79"/>
      <c r="I39" s="62"/>
      <c r="J39" s="62"/>
      <c r="K39" s="62"/>
      <c r="L39" s="62"/>
      <c r="M39" s="62"/>
      <c r="N39" s="62"/>
      <c r="O39" s="62"/>
      <c r="P39" s="65"/>
      <c r="Q39" s="65"/>
      <c r="R39" s="65"/>
      <c r="S39" s="65"/>
      <c r="T39" s="80"/>
      <c r="U39" s="65"/>
      <c r="V39" s="65"/>
      <c r="W39" s="65"/>
      <c r="X39" s="65"/>
      <c r="Y39" s="65"/>
      <c r="Z39" s="65"/>
      <c r="AA39" s="65"/>
      <c r="AB39" s="65"/>
      <c r="AC39" s="65"/>
      <c r="AD39" s="65"/>
      <c r="AE39" s="65"/>
      <c r="AF39" s="65"/>
      <c r="AI39" s="52"/>
      <c r="AJ39" s="93"/>
      <c r="AK39" s="65"/>
    </row>
    <row r="40" spans="1:72" ht="19.5" customHeight="1" thickBot="1">
      <c r="B40" s="58"/>
      <c r="C40" s="79"/>
      <c r="I40" s="62"/>
      <c r="J40" s="62"/>
      <c r="K40" s="62"/>
      <c r="L40" s="62"/>
      <c r="M40" s="62"/>
      <c r="N40" s="62"/>
      <c r="O40" s="62"/>
      <c r="P40" s="65"/>
      <c r="Q40" s="65"/>
      <c r="R40" s="65"/>
      <c r="S40" s="65"/>
      <c r="T40" s="80"/>
      <c r="U40" s="65"/>
      <c r="V40" s="65"/>
      <c r="W40" s="65"/>
      <c r="X40" s="65"/>
      <c r="Y40" s="65"/>
      <c r="Z40" s="65"/>
      <c r="AA40" s="65"/>
      <c r="AB40" s="65"/>
      <c r="AC40" s="65"/>
      <c r="AD40" s="65"/>
      <c r="AE40" s="65"/>
      <c r="AF40" s="65"/>
      <c r="AG40" s="65"/>
      <c r="AH40" s="65"/>
      <c r="AJ40" s="93"/>
      <c r="AK40" s="93"/>
    </row>
    <row r="41" spans="1:72" ht="19.5" customHeight="1">
      <c r="A41" s="62"/>
      <c r="C41" s="1354" t="s">
        <v>58</v>
      </c>
      <c r="D41" s="1355"/>
      <c r="E41" s="1355"/>
      <c r="F41" s="1355"/>
      <c r="G41" s="1355"/>
      <c r="H41" s="1355"/>
      <c r="I41" s="1356"/>
      <c r="J41" s="1360" t="s">
        <v>59</v>
      </c>
      <c r="K41" s="1361"/>
      <c r="L41" s="1361"/>
      <c r="M41" s="1361"/>
      <c r="N41" s="1361"/>
      <c r="O41" s="1361"/>
      <c r="P41" s="1364" t="s">
        <v>60</v>
      </c>
      <c r="Q41" s="1361"/>
      <c r="R41" s="1361"/>
      <c r="S41" s="1361"/>
      <c r="T41" s="1361"/>
      <c r="U41" s="1361"/>
      <c r="V41" s="1361"/>
      <c r="W41" s="1365"/>
      <c r="X41" s="1368" t="s">
        <v>61</v>
      </c>
      <c r="Y41" s="1369"/>
      <c r="Z41" s="1370"/>
      <c r="AA41" s="93"/>
      <c r="AB41" s="93"/>
      <c r="AC41" s="93"/>
      <c r="AD41" s="93"/>
      <c r="AE41" s="93"/>
      <c r="AF41" s="93"/>
      <c r="AG41" s="93"/>
      <c r="AH41" s="93"/>
      <c r="AI41" s="65"/>
      <c r="AJ41" s="94"/>
      <c r="AK41" s="93"/>
    </row>
    <row r="42" spans="1:72" ht="19.5" customHeight="1" thickBot="1">
      <c r="A42" s="58"/>
      <c r="C42" s="1357"/>
      <c r="D42" s="1358"/>
      <c r="E42" s="1358"/>
      <c r="F42" s="1358"/>
      <c r="G42" s="1358"/>
      <c r="H42" s="1358"/>
      <c r="I42" s="1359"/>
      <c r="J42" s="1362"/>
      <c r="K42" s="1363"/>
      <c r="L42" s="1363"/>
      <c r="M42" s="1363"/>
      <c r="N42" s="1363"/>
      <c r="O42" s="1363"/>
      <c r="P42" s="1366"/>
      <c r="Q42" s="1363"/>
      <c r="R42" s="1363"/>
      <c r="S42" s="1363"/>
      <c r="T42" s="1363"/>
      <c r="U42" s="1363"/>
      <c r="V42" s="1363"/>
      <c r="W42" s="1367"/>
      <c r="X42" s="1371"/>
      <c r="Y42" s="1372"/>
      <c r="Z42" s="1373"/>
      <c r="AA42" s="93"/>
      <c r="AB42" s="93"/>
      <c r="AC42" s="93"/>
      <c r="AD42" s="93"/>
      <c r="AE42" s="93"/>
      <c r="AF42" s="93"/>
      <c r="AG42" s="93"/>
      <c r="AH42" s="93"/>
      <c r="AI42" s="93"/>
      <c r="AJ42" s="91"/>
      <c r="AK42" s="94"/>
    </row>
    <row r="43" spans="1:72" ht="19.5" customHeight="1" thickTop="1">
      <c r="A43" s="58"/>
      <c r="B43" s="58"/>
      <c r="C43" s="81"/>
      <c r="D43" s="1374" t="s">
        <v>62</v>
      </c>
      <c r="E43" s="1374"/>
      <c r="F43" s="1374"/>
      <c r="G43" s="1374"/>
      <c r="H43" s="1374"/>
      <c r="I43" s="82"/>
      <c r="J43" s="1400">
        <v>1000</v>
      </c>
      <c r="K43" s="1401"/>
      <c r="L43" s="1401"/>
      <c r="M43" s="1401"/>
      <c r="N43" s="1401"/>
      <c r="O43" s="1402"/>
      <c r="P43" s="1406">
        <v>100000</v>
      </c>
      <c r="Q43" s="1407"/>
      <c r="R43" s="1407"/>
      <c r="S43" s="1407"/>
      <c r="T43" s="1407"/>
      <c r="U43" s="1407"/>
      <c r="V43" s="1407"/>
      <c r="W43" s="1408"/>
      <c r="X43" s="1388" t="s">
        <v>68</v>
      </c>
      <c r="Y43" s="1389"/>
      <c r="Z43" s="1390"/>
      <c r="AA43" s="94"/>
      <c r="AB43" s="94"/>
      <c r="AC43" s="94"/>
      <c r="AD43" s="94"/>
      <c r="AE43" s="94"/>
      <c r="AF43" s="94"/>
      <c r="AG43" s="94"/>
      <c r="AH43" s="94"/>
      <c r="AI43" s="93"/>
      <c r="AJ43" s="95"/>
      <c r="AK43" s="91"/>
    </row>
    <row r="44" spans="1:72" ht="19.5" customHeight="1" thickBot="1">
      <c r="A44" s="58"/>
      <c r="B44" s="58"/>
      <c r="C44" s="83"/>
      <c r="D44" s="1375"/>
      <c r="E44" s="1375"/>
      <c r="F44" s="1375"/>
      <c r="G44" s="1375"/>
      <c r="H44" s="1375"/>
      <c r="I44" s="84"/>
      <c r="J44" s="1403"/>
      <c r="K44" s="1404"/>
      <c r="L44" s="1404"/>
      <c r="M44" s="1404"/>
      <c r="N44" s="1404"/>
      <c r="O44" s="1405"/>
      <c r="P44" s="1409"/>
      <c r="Q44" s="1410"/>
      <c r="R44" s="1410"/>
      <c r="S44" s="1410"/>
      <c r="T44" s="1410"/>
      <c r="U44" s="1410"/>
      <c r="V44" s="1410"/>
      <c r="W44" s="1411"/>
      <c r="X44" s="1391"/>
      <c r="Y44" s="1392"/>
      <c r="Z44" s="1393"/>
      <c r="AA44" s="91"/>
      <c r="AB44" s="91"/>
      <c r="AC44" s="91"/>
      <c r="AD44" s="91"/>
      <c r="AE44" s="91"/>
      <c r="AF44" s="91"/>
      <c r="AG44" s="91"/>
      <c r="AH44" s="91"/>
      <c r="AI44" s="94"/>
      <c r="AJ44" s="95"/>
      <c r="AK44" s="95"/>
    </row>
    <row r="45" spans="1:72" ht="19.5" customHeight="1">
      <c r="A45" s="58"/>
      <c r="B45" s="58"/>
      <c r="C45" s="96"/>
      <c r="D45" s="96"/>
      <c r="E45" s="96"/>
      <c r="F45" s="96"/>
      <c r="G45" s="96"/>
      <c r="H45" s="96"/>
      <c r="I45" s="96"/>
      <c r="J45" s="73"/>
      <c r="K45" s="58"/>
      <c r="L45" s="58"/>
      <c r="M45" s="58"/>
      <c r="N45" s="58"/>
      <c r="O45" s="97"/>
      <c r="P45" s="58"/>
      <c r="Q45" s="58"/>
      <c r="R45" s="58"/>
      <c r="S45" s="58"/>
      <c r="T45" s="58"/>
      <c r="U45" s="58"/>
      <c r="V45" s="58"/>
      <c r="W45" s="58"/>
      <c r="X45" s="58"/>
      <c r="Y45" s="58"/>
      <c r="Z45" s="65"/>
      <c r="AA45" s="65"/>
      <c r="AB45" s="71"/>
      <c r="AC45" s="71"/>
      <c r="AD45" s="57"/>
      <c r="AE45" s="95"/>
      <c r="AF45" s="95"/>
      <c r="AG45" s="95"/>
      <c r="AH45" s="95"/>
      <c r="AI45" s="91"/>
      <c r="AJ45" s="95"/>
      <c r="AK45" s="95"/>
      <c r="BT45" s="98"/>
    </row>
    <row r="46" spans="1:72" ht="19.5" customHeight="1">
      <c r="A46" s="58"/>
      <c r="B46" s="58"/>
      <c r="C46" s="73"/>
      <c r="D46" s="73"/>
      <c r="E46" s="96"/>
      <c r="F46" s="96"/>
      <c r="G46" s="96"/>
      <c r="H46" s="96"/>
      <c r="I46" s="96"/>
      <c r="J46" s="73"/>
      <c r="K46" s="58"/>
      <c r="L46" s="58"/>
      <c r="M46" s="58"/>
      <c r="N46" s="58"/>
      <c r="O46" s="97"/>
      <c r="P46" s="58"/>
      <c r="Q46" s="58"/>
      <c r="R46" s="58"/>
      <c r="S46" s="58"/>
      <c r="T46" s="58"/>
      <c r="U46" s="58"/>
      <c r="V46" s="58"/>
      <c r="W46" s="58"/>
      <c r="X46" s="58"/>
      <c r="Y46" s="58"/>
      <c r="Z46" s="65"/>
      <c r="AA46" s="65"/>
      <c r="AB46" s="71"/>
      <c r="AC46" s="71"/>
      <c r="AD46" s="57"/>
      <c r="AE46" s="95"/>
      <c r="AF46" s="95"/>
      <c r="AG46" s="95"/>
      <c r="AH46" s="95"/>
      <c r="AI46" s="95"/>
      <c r="AJ46" s="52"/>
      <c r="AK46" s="95"/>
      <c r="AN46" s="52"/>
      <c r="AO46" s="52"/>
    </row>
    <row r="47" spans="1:72" ht="19.5" customHeight="1">
      <c r="A47" s="99" t="s">
        <v>69</v>
      </c>
      <c r="B47" s="53"/>
      <c r="C47" s="57"/>
      <c r="D47" s="57"/>
      <c r="E47" s="57"/>
      <c r="F47" s="57"/>
      <c r="G47" s="57"/>
      <c r="H47" s="57"/>
      <c r="I47" s="57"/>
      <c r="J47" s="57"/>
      <c r="K47" s="57"/>
      <c r="L47" s="58"/>
      <c r="M47" s="58"/>
      <c r="N47" s="58"/>
      <c r="O47" s="58"/>
      <c r="P47" s="59"/>
      <c r="Q47" s="60"/>
      <c r="R47" s="60"/>
      <c r="AI47" s="57"/>
      <c r="AJ47" s="52"/>
      <c r="AK47" s="52"/>
      <c r="AL47" s="52"/>
      <c r="AM47" s="52"/>
      <c r="AN47" s="52"/>
      <c r="AO47" s="52"/>
    </row>
    <row r="48" spans="1:72" ht="19.5" customHeight="1">
      <c r="A48" s="100"/>
      <c r="B48" s="101"/>
      <c r="C48" s="102"/>
      <c r="D48" s="102"/>
      <c r="E48" s="102"/>
      <c r="F48" s="102"/>
      <c r="G48" s="102"/>
      <c r="H48" s="102"/>
      <c r="I48" s="102"/>
      <c r="J48" s="101"/>
      <c r="K48" s="101"/>
      <c r="L48" s="101"/>
      <c r="M48" s="101"/>
      <c r="N48" s="101"/>
      <c r="O48" s="101"/>
      <c r="P48" s="103"/>
      <c r="Q48" s="103"/>
      <c r="R48" s="103"/>
      <c r="S48" s="103"/>
      <c r="T48" s="101"/>
      <c r="U48" s="100"/>
      <c r="V48" s="103"/>
      <c r="W48" s="103"/>
      <c r="X48" s="103"/>
      <c r="Y48" s="103"/>
      <c r="Z48" s="103"/>
      <c r="AA48" s="103"/>
      <c r="AB48" s="103"/>
      <c r="AC48" s="103"/>
      <c r="AD48" s="103"/>
      <c r="AE48" s="103"/>
      <c r="AF48" s="103"/>
      <c r="AG48" s="103"/>
      <c r="AH48" s="103"/>
      <c r="AI48" s="103"/>
      <c r="AJ48" s="52"/>
      <c r="AK48" s="52"/>
      <c r="AL48" s="52"/>
      <c r="AM48" s="52"/>
      <c r="AN48" s="52"/>
      <c r="AO48" s="52"/>
    </row>
    <row r="49" spans="1:47" ht="19.5" customHeight="1">
      <c r="A49" s="100"/>
      <c r="B49" s="73"/>
      <c r="C49" s="104" t="s">
        <v>70</v>
      </c>
      <c r="D49" s="102"/>
      <c r="E49" s="102"/>
      <c r="F49" s="102"/>
      <c r="G49" s="102"/>
      <c r="H49" s="102"/>
      <c r="I49" s="102"/>
      <c r="J49" s="101"/>
      <c r="K49" s="101"/>
      <c r="L49" s="101"/>
      <c r="M49" s="101"/>
      <c r="N49" s="101"/>
      <c r="O49" s="101"/>
      <c r="P49" s="103"/>
      <c r="Q49" s="103"/>
      <c r="R49" s="103"/>
      <c r="S49" s="103"/>
      <c r="T49" s="101"/>
      <c r="U49" s="100"/>
      <c r="V49" s="103"/>
      <c r="W49" s="103"/>
      <c r="X49" s="103"/>
      <c r="Y49" s="103"/>
      <c r="Z49" s="103"/>
      <c r="AA49" s="103"/>
      <c r="AB49" s="103"/>
      <c r="AC49" s="103"/>
      <c r="AD49" s="103"/>
      <c r="AE49" s="103"/>
      <c r="AF49" s="103"/>
      <c r="AG49" s="103"/>
      <c r="AH49" s="103"/>
      <c r="AI49" s="103"/>
      <c r="AJ49" s="52"/>
      <c r="AK49" s="52"/>
      <c r="AL49" s="52"/>
      <c r="AM49" s="52"/>
      <c r="AN49" s="52"/>
      <c r="AO49" s="52"/>
    </row>
    <row r="50" spans="1:47" ht="19.5" customHeight="1">
      <c r="A50" s="100"/>
      <c r="B50" s="73" t="s">
        <v>71</v>
      </c>
      <c r="C50" s="104"/>
      <c r="D50" s="102"/>
      <c r="E50" s="102"/>
      <c r="F50" s="102"/>
      <c r="G50" s="102"/>
      <c r="H50" s="102"/>
      <c r="I50" s="102"/>
      <c r="J50" s="101"/>
      <c r="K50" s="101"/>
      <c r="L50" s="101"/>
      <c r="M50" s="101"/>
      <c r="N50" s="101"/>
      <c r="O50" s="101"/>
      <c r="P50" s="103"/>
      <c r="Q50" s="103"/>
      <c r="R50" s="103"/>
      <c r="S50" s="103"/>
      <c r="T50" s="101"/>
      <c r="U50" s="100"/>
      <c r="V50" s="103"/>
      <c r="W50" s="103"/>
      <c r="X50" s="103"/>
      <c r="Y50" s="103"/>
      <c r="Z50" s="103"/>
      <c r="AA50" s="103"/>
      <c r="AB50" s="103"/>
      <c r="AC50" s="103"/>
      <c r="AD50" s="103"/>
      <c r="AE50" s="103"/>
      <c r="AF50" s="103"/>
      <c r="AG50" s="103"/>
      <c r="AH50" s="103"/>
      <c r="AI50" s="103"/>
      <c r="AJ50" s="52"/>
      <c r="AK50" s="52"/>
      <c r="AL50" s="52"/>
      <c r="AM50" s="52"/>
      <c r="AN50" s="52"/>
      <c r="AO50" s="52"/>
    </row>
    <row r="51" spans="1:47" ht="19.5" customHeight="1">
      <c r="A51" s="100"/>
      <c r="B51" s="101"/>
      <c r="C51" s="102"/>
      <c r="D51" s="102"/>
      <c r="E51" s="102"/>
      <c r="F51" s="102"/>
      <c r="G51" s="102"/>
      <c r="H51" s="102"/>
      <c r="I51" s="102"/>
      <c r="J51" s="101"/>
      <c r="K51" s="101"/>
      <c r="L51" s="101"/>
      <c r="M51" s="101"/>
      <c r="N51" s="101"/>
      <c r="O51" s="101"/>
      <c r="P51" s="103"/>
      <c r="Q51" s="103"/>
      <c r="R51" s="103"/>
      <c r="S51" s="103"/>
      <c r="T51" s="101"/>
      <c r="U51" s="100"/>
      <c r="V51" s="103"/>
      <c r="W51" s="103"/>
      <c r="X51" s="103"/>
      <c r="Y51" s="103"/>
      <c r="Z51" s="103"/>
      <c r="AA51" s="103"/>
      <c r="AB51" s="103"/>
      <c r="AC51" s="103"/>
      <c r="AD51" s="103"/>
      <c r="AE51" s="103"/>
      <c r="AF51" s="103"/>
      <c r="AG51" s="103"/>
      <c r="AH51" s="103"/>
      <c r="AI51" s="103"/>
      <c r="AJ51" s="52"/>
      <c r="AK51" s="52"/>
      <c r="AL51" s="52"/>
      <c r="AM51" s="52"/>
      <c r="AN51" s="52"/>
      <c r="AO51" s="52"/>
    </row>
    <row r="52" spans="1:47" ht="19.5" customHeight="1">
      <c r="A52" s="105"/>
      <c r="B52" s="106" t="s">
        <v>72</v>
      </c>
      <c r="C52" s="107"/>
      <c r="D52" s="107"/>
      <c r="E52" s="107"/>
      <c r="F52" s="107"/>
      <c r="G52" s="107"/>
      <c r="H52" s="107"/>
      <c r="I52" s="107"/>
      <c r="J52" s="107"/>
      <c r="K52" s="107"/>
      <c r="L52" s="107"/>
      <c r="M52" s="108"/>
      <c r="N52" s="108"/>
      <c r="O52" s="108"/>
      <c r="P52" s="108"/>
      <c r="Q52" s="109"/>
      <c r="R52" s="109"/>
      <c r="S52" s="109"/>
      <c r="T52" s="109"/>
      <c r="U52" s="109"/>
      <c r="V52" s="109"/>
      <c r="W52" s="109"/>
      <c r="X52" s="109"/>
      <c r="Y52" s="109"/>
      <c r="Z52" s="109"/>
      <c r="AA52" s="109"/>
      <c r="AB52" s="109"/>
      <c r="AC52" s="109"/>
      <c r="AD52" s="98"/>
      <c r="AE52" s="98"/>
      <c r="AF52" s="98"/>
      <c r="AG52" s="98"/>
      <c r="AH52" s="98"/>
      <c r="AI52" s="103"/>
      <c r="AJ52" s="52"/>
      <c r="AK52" s="52"/>
      <c r="AL52" s="52"/>
      <c r="AM52" s="52"/>
      <c r="AN52" s="52"/>
      <c r="AO52" s="52"/>
    </row>
    <row r="53" spans="1:47" ht="19.5" customHeight="1">
      <c r="A53" s="105"/>
      <c r="B53" s="106"/>
      <c r="C53" s="107"/>
      <c r="D53" s="107"/>
      <c r="E53" s="107"/>
      <c r="F53" s="107"/>
      <c r="G53" s="107"/>
      <c r="H53" s="107"/>
      <c r="I53" s="107"/>
      <c r="J53" s="107"/>
      <c r="K53" s="107"/>
      <c r="L53" s="107"/>
      <c r="M53" s="108"/>
      <c r="N53" s="108"/>
      <c r="O53" s="108"/>
      <c r="P53" s="108"/>
      <c r="Q53" s="109"/>
      <c r="R53" s="109"/>
      <c r="S53" s="109"/>
      <c r="T53" s="109"/>
      <c r="U53" s="109"/>
      <c r="V53" s="109"/>
      <c r="W53" s="109"/>
      <c r="X53" s="109"/>
      <c r="Y53" s="109"/>
      <c r="Z53" s="109"/>
      <c r="AA53" s="109"/>
      <c r="AB53" s="109"/>
      <c r="AC53" s="109"/>
      <c r="AD53" s="98"/>
      <c r="AE53" s="98"/>
      <c r="AF53" s="98"/>
      <c r="AG53" s="98"/>
      <c r="AH53" s="98"/>
      <c r="AI53" s="103"/>
      <c r="AJ53" s="52"/>
      <c r="AK53" s="52"/>
      <c r="AL53" s="52"/>
      <c r="AM53" s="52"/>
      <c r="AN53" s="52"/>
      <c r="AO53" s="52"/>
    </row>
    <row r="54" spans="1:47" ht="19.5" customHeight="1">
      <c r="A54" s="105"/>
      <c r="B54" s="110"/>
      <c r="C54" s="107"/>
      <c r="D54" s="107" t="s">
        <v>73</v>
      </c>
      <c r="E54" s="104"/>
      <c r="F54" s="107"/>
      <c r="G54" s="107"/>
      <c r="H54" s="107"/>
      <c r="I54" s="107"/>
      <c r="J54" s="107"/>
      <c r="K54" s="107"/>
      <c r="L54" s="107"/>
      <c r="M54" s="107"/>
      <c r="N54" s="107"/>
      <c r="O54" s="107"/>
      <c r="P54" s="107"/>
      <c r="Q54" s="109"/>
      <c r="R54" s="109"/>
      <c r="S54" s="109"/>
      <c r="T54" s="109"/>
      <c r="U54" s="109"/>
      <c r="V54" s="109"/>
      <c r="W54" s="109"/>
      <c r="X54" s="109"/>
      <c r="Y54" s="109"/>
      <c r="Z54" s="109"/>
      <c r="AA54" s="109"/>
      <c r="AB54" s="109"/>
      <c r="AC54" s="109"/>
      <c r="AD54" s="98"/>
      <c r="AE54" s="98"/>
      <c r="AF54" s="98"/>
      <c r="AG54" s="98"/>
      <c r="AH54" s="98"/>
      <c r="AI54" s="98"/>
      <c r="AJ54" s="52"/>
      <c r="AK54" s="52"/>
      <c r="AL54" s="52"/>
      <c r="AM54" s="52"/>
      <c r="AN54" s="52"/>
      <c r="AO54" s="52"/>
    </row>
    <row r="55" spans="1:47" ht="19.5" customHeight="1">
      <c r="A55" s="105"/>
      <c r="B55" s="110"/>
      <c r="C55" s="109" t="s">
        <v>74</v>
      </c>
      <c r="D55" s="104"/>
      <c r="E55" s="109"/>
      <c r="F55" s="109"/>
      <c r="G55" s="109"/>
      <c r="H55" s="109"/>
      <c r="I55" s="109"/>
      <c r="J55" s="109"/>
      <c r="K55" s="109"/>
      <c r="L55" s="109"/>
      <c r="M55" s="109"/>
      <c r="N55" s="109"/>
      <c r="O55" s="109"/>
      <c r="P55" s="109"/>
      <c r="Q55" s="109"/>
      <c r="R55" s="109"/>
      <c r="S55" s="109"/>
      <c r="T55" s="109"/>
      <c r="U55" s="109"/>
      <c r="V55" s="109"/>
      <c r="W55" s="109"/>
      <c r="X55" s="109"/>
      <c r="Y55" s="109"/>
      <c r="Z55" s="109"/>
      <c r="AA55" s="109"/>
      <c r="AB55" s="109"/>
      <c r="AC55" s="109"/>
      <c r="AD55" s="98"/>
      <c r="AE55" s="98"/>
      <c r="AF55" s="98"/>
      <c r="AG55" s="98"/>
      <c r="AH55" s="98"/>
      <c r="AI55" s="98"/>
      <c r="AJ55" s="52"/>
      <c r="AK55" s="52"/>
      <c r="AL55" s="52"/>
      <c r="AM55" s="52"/>
      <c r="AN55" s="52"/>
      <c r="AO55" s="52"/>
    </row>
    <row r="56" spans="1:47" ht="19.5" customHeight="1">
      <c r="A56" s="105"/>
      <c r="B56" s="110"/>
      <c r="C56" s="109"/>
      <c r="D56" s="104"/>
      <c r="E56" s="109"/>
      <c r="F56" s="109"/>
      <c r="G56" s="109"/>
      <c r="H56" s="109"/>
      <c r="I56" s="109"/>
      <c r="J56" s="109"/>
      <c r="K56" s="109"/>
      <c r="L56" s="109"/>
      <c r="M56" s="109"/>
      <c r="N56" s="109"/>
      <c r="O56" s="109"/>
      <c r="P56" s="109"/>
      <c r="Q56" s="109"/>
      <c r="R56" s="109"/>
      <c r="S56" s="109"/>
      <c r="T56" s="109"/>
      <c r="U56" s="109"/>
      <c r="V56" s="109"/>
      <c r="W56" s="109"/>
      <c r="X56" s="109"/>
      <c r="Y56" s="109"/>
      <c r="Z56" s="109"/>
      <c r="AA56" s="109"/>
      <c r="AB56" s="109"/>
      <c r="AC56" s="109"/>
      <c r="AD56" s="98"/>
      <c r="AE56" s="98"/>
      <c r="AF56" s="98"/>
      <c r="AG56" s="98"/>
      <c r="AH56" s="52"/>
      <c r="AI56" s="52"/>
      <c r="AJ56" s="52"/>
      <c r="AK56" s="52"/>
      <c r="AL56" s="52"/>
      <c r="AM56" s="52"/>
      <c r="AN56" s="52"/>
      <c r="AO56" s="72"/>
      <c r="AP56" s="72"/>
      <c r="AQ56" s="55"/>
      <c r="AR56" s="55"/>
      <c r="AS56" s="55"/>
      <c r="AT56" s="55"/>
    </row>
    <row r="57" spans="1:47" ht="19.5" customHeight="1">
      <c r="A57" s="105"/>
      <c r="B57" s="105"/>
      <c r="C57" s="1412" t="s">
        <v>75</v>
      </c>
      <c r="D57" s="1412"/>
      <c r="E57" s="1412"/>
      <c r="F57" s="1412"/>
      <c r="G57" s="1412"/>
      <c r="H57" s="1412"/>
      <c r="I57" s="1412"/>
      <c r="J57" s="1412"/>
      <c r="K57" s="1412"/>
      <c r="L57" s="1413" t="s">
        <v>76</v>
      </c>
      <c r="M57" s="1413"/>
      <c r="N57" s="1413"/>
      <c r="O57" s="1413"/>
      <c r="P57" s="1413"/>
      <c r="Q57" s="1413"/>
      <c r="R57" s="1413"/>
      <c r="S57" s="1413"/>
      <c r="T57" s="1413"/>
      <c r="U57" s="1413"/>
      <c r="V57" s="1413"/>
      <c r="W57" s="1413"/>
      <c r="X57" s="1413"/>
      <c r="Y57" s="1413"/>
      <c r="Z57" s="1412" t="s">
        <v>77</v>
      </c>
      <c r="AA57" s="1412"/>
      <c r="AB57" s="1412"/>
      <c r="AC57" s="104"/>
      <c r="AD57" s="104"/>
      <c r="AE57" s="102"/>
      <c r="AF57" s="98"/>
      <c r="AG57" s="98"/>
      <c r="AH57" s="98"/>
      <c r="AI57" s="52"/>
      <c r="AJ57" s="52"/>
      <c r="AK57" s="95"/>
      <c r="AL57" s="52"/>
      <c r="AM57" s="52"/>
      <c r="AN57" s="52"/>
      <c r="AO57" s="72"/>
      <c r="AP57" s="72"/>
      <c r="AQ57" s="55"/>
      <c r="AR57" s="55"/>
      <c r="AS57" s="55"/>
      <c r="AT57" s="55"/>
    </row>
    <row r="58" spans="1:47" ht="19.5" customHeight="1">
      <c r="A58" s="105"/>
      <c r="B58" s="105"/>
      <c r="C58" s="1412"/>
      <c r="D58" s="1412"/>
      <c r="E58" s="1412"/>
      <c r="F58" s="1412"/>
      <c r="G58" s="1412"/>
      <c r="H58" s="1412"/>
      <c r="I58" s="1412"/>
      <c r="J58" s="1412"/>
      <c r="K58" s="1412"/>
      <c r="L58" s="1414" t="s">
        <v>78</v>
      </c>
      <c r="M58" s="1414"/>
      <c r="N58" s="1414"/>
      <c r="O58" s="1414"/>
      <c r="P58" s="1414"/>
      <c r="Q58" s="1414"/>
      <c r="R58" s="1414"/>
      <c r="S58" s="1414"/>
      <c r="T58" s="1414"/>
      <c r="U58" s="1414"/>
      <c r="V58" s="1414"/>
      <c r="W58" s="1414"/>
      <c r="X58" s="1414"/>
      <c r="Y58" s="1414"/>
      <c r="Z58" s="1412"/>
      <c r="AA58" s="1412"/>
      <c r="AB58" s="1412"/>
      <c r="AC58" s="104"/>
      <c r="AD58" s="104"/>
      <c r="AE58" s="102"/>
      <c r="AF58" s="98"/>
      <c r="AG58" s="98"/>
      <c r="AH58" s="98"/>
      <c r="AI58" s="98"/>
      <c r="AK58" s="52"/>
      <c r="AL58" s="52"/>
      <c r="AM58" s="52"/>
      <c r="AN58" s="52"/>
      <c r="AO58" s="72"/>
      <c r="AP58" s="72"/>
      <c r="AQ58" s="55"/>
      <c r="AR58" s="55"/>
      <c r="AS58" s="55"/>
      <c r="AT58" s="55"/>
    </row>
    <row r="59" spans="1:47" ht="19.5" customHeight="1">
      <c r="A59" s="105"/>
      <c r="B59" s="105"/>
      <c r="C59" s="98"/>
      <c r="D59" s="102"/>
      <c r="E59" s="111"/>
      <c r="F59" s="111"/>
      <c r="G59" s="111"/>
      <c r="H59" s="111"/>
      <c r="I59" s="111"/>
      <c r="J59" s="111"/>
      <c r="K59" s="111"/>
      <c r="L59" s="111"/>
      <c r="M59" s="111"/>
      <c r="N59" s="112"/>
      <c r="O59" s="112"/>
      <c r="P59" s="112"/>
      <c r="Q59" s="112"/>
      <c r="R59" s="112"/>
      <c r="S59" s="112"/>
      <c r="T59" s="112"/>
      <c r="U59" s="112"/>
      <c r="V59" s="112"/>
      <c r="W59" s="112"/>
      <c r="X59" s="112"/>
      <c r="Y59" s="112"/>
      <c r="Z59" s="111"/>
      <c r="AA59" s="111"/>
      <c r="AB59" s="111"/>
      <c r="AC59" s="104"/>
      <c r="AD59" s="104"/>
      <c r="AE59" s="102"/>
      <c r="AF59" s="98"/>
      <c r="AG59" s="98"/>
      <c r="AH59" s="98"/>
      <c r="AI59" s="98"/>
      <c r="AJ59" s="52"/>
      <c r="AK59" s="52"/>
      <c r="AL59" s="52"/>
      <c r="AM59" s="52"/>
      <c r="AN59" s="52"/>
      <c r="AO59" s="72"/>
      <c r="AP59" s="72"/>
      <c r="AQ59" s="55"/>
      <c r="AR59" s="55"/>
      <c r="AS59" s="55"/>
      <c r="AT59" s="55"/>
    </row>
    <row r="60" spans="1:47" ht="19.5" customHeight="1">
      <c r="A60" s="105"/>
      <c r="B60" s="105"/>
      <c r="C60" s="98"/>
      <c r="D60" s="102"/>
      <c r="E60" s="102"/>
      <c r="F60" s="102"/>
      <c r="G60" s="113"/>
      <c r="H60" s="113"/>
      <c r="I60" s="113"/>
      <c r="J60" s="113"/>
      <c r="K60" s="113"/>
      <c r="L60" s="113"/>
      <c r="M60" s="113"/>
      <c r="N60" s="113"/>
      <c r="O60" s="113"/>
      <c r="P60" s="114"/>
      <c r="Q60" s="114"/>
      <c r="R60" s="114"/>
      <c r="S60" s="114"/>
      <c r="T60" s="114"/>
      <c r="U60" s="114"/>
      <c r="V60" s="114"/>
      <c r="W60" s="114"/>
      <c r="X60" s="114"/>
      <c r="Y60" s="114"/>
      <c r="Z60" s="114"/>
      <c r="AA60" s="114"/>
      <c r="AB60" s="113"/>
      <c r="AC60" s="113"/>
      <c r="AD60" s="113"/>
      <c r="AE60" s="102"/>
      <c r="AF60" s="102"/>
      <c r="AG60" s="102"/>
      <c r="AH60" s="98"/>
      <c r="AI60" s="98"/>
      <c r="AJ60" s="52"/>
      <c r="AK60" s="52"/>
      <c r="AL60" s="52"/>
      <c r="AM60" s="52"/>
      <c r="AN60" s="52"/>
      <c r="AO60" s="72"/>
      <c r="AP60" s="72"/>
      <c r="AQ60" s="72"/>
      <c r="AR60" s="55"/>
      <c r="AS60" s="55"/>
      <c r="AT60" s="55"/>
      <c r="AU60" s="55"/>
    </row>
    <row r="61" spans="1:47" ht="19.5" customHeight="1">
      <c r="A61" s="105"/>
      <c r="B61" s="105"/>
      <c r="C61" s="98"/>
      <c r="D61" s="102"/>
      <c r="E61" s="102"/>
      <c r="F61" s="102"/>
      <c r="G61" s="113"/>
      <c r="H61" s="113"/>
      <c r="I61" s="113"/>
      <c r="J61" s="113"/>
      <c r="K61" s="113"/>
      <c r="L61" s="113"/>
      <c r="M61" s="113"/>
      <c r="N61" s="113"/>
      <c r="O61" s="113"/>
      <c r="P61" s="114"/>
      <c r="Q61" s="114"/>
      <c r="R61" s="114"/>
      <c r="S61" s="114"/>
      <c r="T61" s="114"/>
      <c r="U61" s="114"/>
      <c r="V61" s="114"/>
      <c r="W61" s="114"/>
      <c r="X61" s="114"/>
      <c r="Y61" s="114"/>
      <c r="Z61" s="114"/>
      <c r="AA61" s="114"/>
      <c r="AB61" s="113"/>
      <c r="AC61" s="113"/>
      <c r="AD61" s="113"/>
      <c r="AE61" s="102"/>
      <c r="AF61" s="102"/>
      <c r="AG61" s="102"/>
      <c r="AH61" s="102"/>
      <c r="AI61" s="98"/>
      <c r="AJ61" s="52"/>
      <c r="AK61" s="52"/>
      <c r="AL61" s="52"/>
      <c r="AM61" s="52"/>
      <c r="AN61" s="52"/>
      <c r="AO61" s="72"/>
      <c r="AP61" s="72"/>
      <c r="AQ61" s="72"/>
      <c r="AR61" s="55"/>
      <c r="AS61" s="55"/>
      <c r="AT61" s="55"/>
      <c r="AU61" s="55"/>
    </row>
    <row r="62" spans="1:47" ht="19.5" customHeight="1">
      <c r="A62" s="105"/>
      <c r="B62" s="105"/>
      <c r="C62" s="98"/>
      <c r="D62" s="98"/>
      <c r="E62" s="98"/>
      <c r="F62" s="98"/>
      <c r="G62" s="98"/>
      <c r="H62" s="98"/>
      <c r="I62" s="98"/>
      <c r="J62" s="98"/>
      <c r="K62" s="98"/>
      <c r="L62" s="98"/>
      <c r="M62" s="98"/>
      <c r="N62" s="98"/>
      <c r="O62" s="98"/>
      <c r="P62" s="98"/>
      <c r="Q62" s="98"/>
      <c r="R62" s="98"/>
      <c r="S62" s="98"/>
      <c r="T62" s="98"/>
      <c r="U62" s="98"/>
      <c r="V62" s="98"/>
      <c r="W62" s="98"/>
      <c r="X62" s="98"/>
      <c r="Y62" s="98"/>
      <c r="Z62" s="98"/>
      <c r="AA62" s="98"/>
      <c r="AB62" s="98"/>
      <c r="AC62" s="98"/>
      <c r="AD62" s="98"/>
      <c r="AE62" s="98"/>
      <c r="AF62" s="102"/>
      <c r="AG62" s="102"/>
      <c r="AH62" s="102"/>
      <c r="AI62" s="98"/>
      <c r="AJ62" s="52"/>
      <c r="AK62" s="52"/>
      <c r="AL62" s="52"/>
      <c r="AM62" s="52"/>
      <c r="AN62" s="52"/>
      <c r="AO62" s="72"/>
      <c r="AP62" s="72"/>
      <c r="AQ62" s="72"/>
      <c r="AR62" s="55"/>
      <c r="AS62" s="55"/>
      <c r="AT62" s="55"/>
      <c r="AU62" s="55"/>
    </row>
    <row r="63" spans="1:47" ht="19.5" customHeight="1">
      <c r="A63" s="55"/>
      <c r="B63" s="55"/>
      <c r="C63" s="55"/>
      <c r="D63" s="102"/>
      <c r="E63" s="102"/>
      <c r="F63" s="102"/>
      <c r="G63" s="102"/>
      <c r="H63" s="102"/>
      <c r="I63" s="102"/>
      <c r="J63" s="102"/>
      <c r="K63" s="102"/>
      <c r="L63" s="102"/>
      <c r="M63" s="102"/>
      <c r="N63" s="102"/>
      <c r="O63" s="102"/>
      <c r="P63" s="102"/>
      <c r="Q63" s="102"/>
      <c r="R63" s="102"/>
      <c r="S63" s="102"/>
      <c r="T63" s="102"/>
      <c r="U63" s="102"/>
      <c r="V63" s="102"/>
      <c r="W63" s="102"/>
      <c r="X63" s="102"/>
      <c r="Y63" s="102"/>
      <c r="Z63" s="102"/>
      <c r="AA63" s="102"/>
      <c r="AB63" s="102"/>
      <c r="AC63" s="102"/>
      <c r="AD63" s="102"/>
      <c r="AE63" s="102"/>
      <c r="AF63" s="102"/>
      <c r="AG63" s="102"/>
      <c r="AH63" s="102"/>
      <c r="AI63" s="98"/>
      <c r="AJ63" s="52"/>
      <c r="AK63" s="52"/>
      <c r="AL63" s="52"/>
      <c r="AM63" s="52"/>
      <c r="AN63" s="52"/>
      <c r="AO63" s="72"/>
      <c r="AP63" s="72"/>
      <c r="AQ63" s="72"/>
      <c r="AR63" s="55"/>
      <c r="AS63" s="55"/>
      <c r="AT63" s="55"/>
      <c r="AU63" s="55"/>
    </row>
    <row r="64" spans="1:47" ht="19.5" customHeight="1">
      <c r="A64" s="55"/>
      <c r="B64" s="55"/>
      <c r="C64" s="55"/>
      <c r="D64" s="109" t="s">
        <v>79</v>
      </c>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98"/>
      <c r="AJ64" s="52"/>
      <c r="AK64" s="52"/>
      <c r="AL64" s="52"/>
      <c r="AM64" s="52"/>
      <c r="AN64" s="52"/>
      <c r="AO64" s="72"/>
      <c r="AP64" s="72"/>
      <c r="AQ64" s="72"/>
      <c r="AR64" s="55"/>
      <c r="AS64" s="55"/>
      <c r="AT64" s="55"/>
      <c r="AU64" s="55"/>
    </row>
    <row r="65" spans="1:47" ht="19.5" customHeight="1">
      <c r="A65" s="105"/>
      <c r="B65" s="105"/>
      <c r="C65" s="98"/>
      <c r="D65" s="98"/>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98"/>
      <c r="AJ65" s="52"/>
      <c r="AK65" s="52"/>
      <c r="AL65" s="52"/>
      <c r="AM65" s="52"/>
      <c r="AN65" s="52"/>
      <c r="AO65" s="72"/>
      <c r="AP65" s="72"/>
      <c r="AQ65" s="72"/>
      <c r="AR65" s="55"/>
      <c r="AS65" s="55"/>
      <c r="AT65" s="55"/>
      <c r="AU65" s="55"/>
    </row>
    <row r="66" spans="1:47" ht="19.5" customHeight="1">
      <c r="A66" s="105"/>
      <c r="B66" s="105"/>
      <c r="C66" s="98"/>
      <c r="D66" s="98"/>
      <c r="E66" s="1415" t="s">
        <v>80</v>
      </c>
      <c r="F66" s="1415"/>
      <c r="G66" s="1415"/>
      <c r="H66" s="1415"/>
      <c r="I66" s="1415"/>
      <c r="J66" s="1415"/>
      <c r="K66" s="1415"/>
      <c r="L66" s="1415"/>
      <c r="M66" s="1415"/>
      <c r="N66" s="1415"/>
      <c r="O66" s="1415"/>
      <c r="P66" s="1415"/>
      <c r="Q66" s="1415"/>
      <c r="R66" s="1415"/>
      <c r="S66" s="1415"/>
      <c r="T66" s="1415"/>
      <c r="U66" s="1415"/>
      <c r="V66" s="1415"/>
      <c r="W66" s="1415"/>
      <c r="X66" s="1415"/>
      <c r="Y66" s="1415"/>
      <c r="Z66" s="1415"/>
      <c r="AA66" s="1415"/>
      <c r="AB66" s="1415"/>
      <c r="AC66" s="1415"/>
      <c r="AD66" s="1415"/>
      <c r="AE66" s="1415"/>
      <c r="AF66" s="1415"/>
      <c r="AG66" s="1415"/>
      <c r="AH66" s="102"/>
      <c r="AI66" s="98"/>
      <c r="AJ66" s="52"/>
      <c r="AK66" s="52"/>
      <c r="AL66" s="52"/>
      <c r="AM66" s="52"/>
      <c r="AN66" s="52"/>
      <c r="AO66" s="72"/>
      <c r="AP66" s="72"/>
      <c r="AQ66" s="72"/>
      <c r="AR66" s="55"/>
      <c r="AS66" s="55"/>
      <c r="AT66" s="55"/>
      <c r="AU66" s="55"/>
    </row>
    <row r="67" spans="1:47" ht="19.5" customHeight="1">
      <c r="A67" s="105"/>
      <c r="B67" s="105"/>
      <c r="C67" s="98"/>
      <c r="D67" s="98"/>
      <c r="E67" s="104"/>
      <c r="F67" s="104"/>
      <c r="G67" s="104"/>
      <c r="H67" s="104"/>
      <c r="I67" s="104"/>
      <c r="J67" s="104"/>
      <c r="K67" s="104"/>
      <c r="L67" s="104"/>
      <c r="M67" s="104"/>
      <c r="N67" s="104"/>
      <c r="O67" s="104"/>
      <c r="P67" s="104"/>
      <c r="Q67" s="104"/>
      <c r="R67" s="104"/>
      <c r="S67" s="104"/>
      <c r="T67" s="104"/>
      <c r="U67" s="104"/>
      <c r="V67" s="104"/>
      <c r="W67" s="104"/>
      <c r="X67" s="104"/>
      <c r="Y67" s="104"/>
      <c r="Z67" s="104"/>
      <c r="AA67" s="104"/>
      <c r="AB67" s="104"/>
      <c r="AC67" s="104"/>
      <c r="AD67" s="104"/>
      <c r="AE67" s="104"/>
      <c r="AF67" s="104"/>
      <c r="AG67" s="104"/>
      <c r="AH67" s="102"/>
      <c r="AI67" s="98"/>
      <c r="AJ67" s="52"/>
      <c r="AK67" s="52"/>
      <c r="AL67" s="52"/>
      <c r="AM67" s="52"/>
      <c r="AN67" s="52"/>
      <c r="AO67" s="72"/>
      <c r="AP67" s="72"/>
      <c r="AQ67" s="72"/>
      <c r="AR67" s="55"/>
      <c r="AS67" s="55"/>
      <c r="AT67" s="55"/>
      <c r="AU67" s="55"/>
    </row>
    <row r="68" spans="1:47" ht="19.5" customHeight="1">
      <c r="A68" s="105"/>
      <c r="B68" s="105"/>
      <c r="C68" s="98"/>
      <c r="D68" s="98"/>
      <c r="E68" s="1394" t="s">
        <v>81</v>
      </c>
      <c r="F68" s="1395"/>
      <c r="G68" s="1395"/>
      <c r="H68" s="1395"/>
      <c r="I68" s="1395"/>
      <c r="J68" s="1395"/>
      <c r="K68" s="1395"/>
      <c r="L68" s="1395"/>
      <c r="M68" s="1395"/>
      <c r="N68" s="1395"/>
      <c r="O68" s="1395"/>
      <c r="P68" s="1395"/>
      <c r="Q68" s="1395"/>
      <c r="R68" s="1395"/>
      <c r="S68" s="1395"/>
      <c r="T68" s="1395"/>
      <c r="U68" s="1395"/>
      <c r="V68" s="1395"/>
      <c r="W68" s="1395"/>
      <c r="X68" s="1395"/>
      <c r="Y68" s="1396"/>
      <c r="Z68" s="1395" t="s">
        <v>82</v>
      </c>
      <c r="AA68" s="1395"/>
      <c r="AB68" s="1395"/>
      <c r="AC68" s="1395"/>
      <c r="AD68" s="1395"/>
      <c r="AE68" s="1395"/>
      <c r="AF68" s="1395"/>
      <c r="AG68" s="1396"/>
      <c r="AH68" s="102"/>
      <c r="AI68" s="98"/>
      <c r="AJ68" s="52"/>
      <c r="AK68" s="52"/>
      <c r="AL68" s="52"/>
      <c r="AM68" s="52"/>
      <c r="AN68" s="52"/>
      <c r="AO68" s="72"/>
      <c r="AP68" s="72"/>
      <c r="AQ68" s="72"/>
      <c r="AR68" s="55"/>
      <c r="AS68" s="55"/>
      <c r="AT68" s="55"/>
      <c r="AU68" s="55"/>
    </row>
    <row r="69" spans="1:47" ht="19.5" customHeight="1">
      <c r="A69" s="105"/>
      <c r="B69" s="105"/>
      <c r="C69" s="98"/>
      <c r="D69" s="98"/>
      <c r="E69" s="1397"/>
      <c r="F69" s="1398"/>
      <c r="G69" s="1398"/>
      <c r="H69" s="1398"/>
      <c r="I69" s="1398"/>
      <c r="J69" s="1398"/>
      <c r="K69" s="1398"/>
      <c r="L69" s="1398"/>
      <c r="M69" s="1398"/>
      <c r="N69" s="1398"/>
      <c r="O69" s="1398"/>
      <c r="P69" s="1398"/>
      <c r="Q69" s="1398"/>
      <c r="R69" s="1398"/>
      <c r="S69" s="1398"/>
      <c r="T69" s="1398"/>
      <c r="U69" s="1398"/>
      <c r="V69" s="1398"/>
      <c r="W69" s="1398"/>
      <c r="X69" s="1398"/>
      <c r="Y69" s="1399"/>
      <c r="Z69" s="1398"/>
      <c r="AA69" s="1398"/>
      <c r="AB69" s="1398"/>
      <c r="AC69" s="1398"/>
      <c r="AD69" s="1398"/>
      <c r="AE69" s="1398"/>
      <c r="AF69" s="1398"/>
      <c r="AG69" s="1399"/>
      <c r="AH69" s="102"/>
      <c r="AI69" s="98"/>
      <c r="AJ69" s="52"/>
      <c r="AK69" s="52"/>
      <c r="AL69" s="52"/>
      <c r="AM69" s="52"/>
      <c r="AN69" s="52"/>
      <c r="AP69" s="55"/>
    </row>
    <row r="70" spans="1:47" ht="19.5" customHeight="1">
      <c r="A70" s="105"/>
      <c r="B70" s="105"/>
      <c r="C70" s="98"/>
      <c r="D70" s="98"/>
      <c r="E70" s="115"/>
      <c r="F70" s="115"/>
      <c r="G70" s="115"/>
      <c r="H70" s="115"/>
      <c r="I70" s="115"/>
      <c r="J70" s="115"/>
      <c r="K70" s="115"/>
      <c r="L70" s="115"/>
      <c r="M70" s="115"/>
      <c r="N70" s="115"/>
      <c r="O70" s="115"/>
      <c r="P70" s="115"/>
      <c r="Q70" s="115"/>
      <c r="R70" s="115"/>
      <c r="S70" s="115"/>
      <c r="T70" s="115"/>
      <c r="U70" s="115"/>
      <c r="V70" s="115"/>
      <c r="W70" s="115"/>
      <c r="X70" s="115"/>
      <c r="Y70" s="115"/>
      <c r="Z70" s="115"/>
      <c r="AA70" s="115"/>
      <c r="AB70" s="115"/>
      <c r="AC70" s="115"/>
      <c r="AD70" s="115"/>
      <c r="AE70" s="115"/>
      <c r="AF70" s="115"/>
      <c r="AG70" s="115"/>
      <c r="AH70" s="102"/>
      <c r="AI70" s="98"/>
      <c r="AJ70" s="52"/>
      <c r="AK70" s="52"/>
      <c r="AL70" s="52"/>
      <c r="AM70" s="52"/>
      <c r="AN70" s="52"/>
      <c r="AP70" s="55"/>
    </row>
    <row r="71" spans="1:47" ht="19.5" customHeight="1">
      <c r="A71" s="105"/>
      <c r="B71" s="105"/>
      <c r="C71" s="98"/>
      <c r="D71" s="98"/>
      <c r="E71" s="1413" t="s">
        <v>83</v>
      </c>
      <c r="F71" s="1413"/>
      <c r="G71" s="1413"/>
      <c r="H71" s="1413"/>
      <c r="I71" s="1413"/>
      <c r="J71" s="1413"/>
      <c r="K71" s="1413"/>
      <c r="L71" s="1413"/>
      <c r="M71" s="1413"/>
      <c r="N71" s="1413"/>
      <c r="O71" s="1413"/>
      <c r="P71" s="1413"/>
      <c r="Q71" s="1413"/>
      <c r="R71" s="1413"/>
      <c r="S71" s="1413"/>
      <c r="T71" s="1413"/>
      <c r="U71" s="1413"/>
      <c r="V71" s="1413"/>
      <c r="W71" s="1413"/>
      <c r="X71" s="1413"/>
      <c r="Y71" s="1413"/>
      <c r="Z71" s="112"/>
      <c r="AA71" s="112"/>
      <c r="AB71" s="109"/>
      <c r="AC71" s="109"/>
      <c r="AD71" s="109"/>
      <c r="AE71" s="109"/>
      <c r="AF71" s="109"/>
      <c r="AG71" s="109"/>
      <c r="AH71" s="102"/>
      <c r="AI71" s="98"/>
      <c r="AJ71" s="52"/>
      <c r="AK71" s="52"/>
      <c r="AL71" s="52"/>
      <c r="AM71" s="52"/>
      <c r="AN71" s="52"/>
      <c r="AP71" s="55"/>
    </row>
    <row r="72" spans="1:47" ht="19.5" customHeight="1">
      <c r="A72" s="105"/>
      <c r="B72" s="105"/>
      <c r="C72" s="98"/>
      <c r="D72" s="98"/>
      <c r="E72" s="114"/>
      <c r="F72" s="114"/>
      <c r="G72" s="114"/>
      <c r="H72" s="114"/>
      <c r="I72" s="114"/>
      <c r="J72" s="114"/>
      <c r="K72" s="114"/>
      <c r="L72" s="114"/>
      <c r="M72" s="114"/>
      <c r="N72" s="114"/>
      <c r="O72" s="114"/>
      <c r="P72" s="114"/>
      <c r="Q72" s="114"/>
      <c r="R72" s="114"/>
      <c r="S72" s="114"/>
      <c r="T72" s="114"/>
      <c r="U72" s="114"/>
      <c r="V72" s="114"/>
      <c r="W72" s="114"/>
      <c r="X72" s="114"/>
      <c r="Y72" s="114"/>
      <c r="Z72" s="114"/>
      <c r="AA72" s="114"/>
      <c r="AB72" s="98"/>
      <c r="AC72" s="98"/>
      <c r="AD72" s="98"/>
      <c r="AE72" s="98"/>
      <c r="AF72" s="98"/>
      <c r="AG72" s="98"/>
      <c r="AH72" s="104"/>
      <c r="AI72" s="98"/>
      <c r="AJ72" s="52"/>
      <c r="AK72" s="52"/>
      <c r="AL72" s="52"/>
      <c r="AM72" s="52"/>
      <c r="AN72" s="52"/>
      <c r="AP72" s="55"/>
    </row>
    <row r="73" spans="1:47" ht="19.5" customHeight="1">
      <c r="A73" s="105"/>
      <c r="B73" s="105"/>
      <c r="C73" s="98"/>
      <c r="D73" s="98"/>
      <c r="E73" s="114"/>
      <c r="F73" s="114"/>
      <c r="G73" s="114"/>
      <c r="H73" s="114"/>
      <c r="I73" s="114"/>
      <c r="J73" s="114"/>
      <c r="K73" s="114"/>
      <c r="L73" s="114"/>
      <c r="M73" s="114"/>
      <c r="N73" s="114"/>
      <c r="O73" s="114"/>
      <c r="P73" s="114"/>
      <c r="Q73" s="114"/>
      <c r="R73" s="114"/>
      <c r="S73" s="114"/>
      <c r="T73" s="114"/>
      <c r="U73" s="114"/>
      <c r="V73" s="114"/>
      <c r="W73" s="114"/>
      <c r="X73" s="114"/>
      <c r="Y73" s="114"/>
      <c r="Z73" s="114"/>
      <c r="AA73" s="114"/>
      <c r="AB73" s="98"/>
      <c r="AC73" s="98"/>
      <c r="AD73" s="98"/>
      <c r="AE73" s="98"/>
      <c r="AF73" s="98"/>
      <c r="AG73" s="98"/>
      <c r="AH73" s="104"/>
      <c r="AI73" s="98"/>
      <c r="AJ73" s="52"/>
      <c r="AK73" s="52"/>
      <c r="AL73" s="52"/>
      <c r="AM73" s="52"/>
      <c r="AN73" s="52"/>
      <c r="AP73" s="55"/>
    </row>
    <row r="74" spans="1:47" ht="19.5" customHeight="1">
      <c r="A74" s="105"/>
      <c r="B74" s="105"/>
      <c r="C74" s="98"/>
      <c r="D74" s="98"/>
      <c r="E74" s="114"/>
      <c r="F74" s="114"/>
      <c r="G74" s="114"/>
      <c r="H74" s="114"/>
      <c r="I74" s="114"/>
      <c r="J74" s="114"/>
      <c r="K74" s="114"/>
      <c r="L74" s="114"/>
      <c r="M74" s="114"/>
      <c r="N74" s="114"/>
      <c r="O74" s="114"/>
      <c r="P74" s="114"/>
      <c r="Q74" s="114"/>
      <c r="R74" s="114"/>
      <c r="S74" s="114"/>
      <c r="T74" s="114"/>
      <c r="U74" s="114"/>
      <c r="V74" s="114"/>
      <c r="W74" s="114"/>
      <c r="X74" s="114"/>
      <c r="Y74" s="114"/>
      <c r="Z74" s="114"/>
      <c r="AA74" s="114"/>
      <c r="AB74" s="98"/>
      <c r="AC74" s="98"/>
      <c r="AD74" s="98"/>
      <c r="AE74" s="98"/>
      <c r="AF74" s="98"/>
      <c r="AG74" s="98"/>
      <c r="AH74" s="104"/>
      <c r="AI74" s="98"/>
      <c r="AJ74" s="52"/>
      <c r="AK74" s="52"/>
      <c r="AL74" s="52"/>
      <c r="AM74" s="52"/>
      <c r="AN74" s="52"/>
    </row>
    <row r="75" spans="1:47" ht="19.5" customHeight="1">
      <c r="A75" s="110"/>
      <c r="B75" s="116" t="s">
        <v>84</v>
      </c>
      <c r="C75" s="109"/>
      <c r="D75" s="109"/>
      <c r="E75" s="112"/>
      <c r="F75" s="104"/>
      <c r="G75" s="109"/>
      <c r="H75" s="109"/>
      <c r="I75" s="109"/>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4"/>
      <c r="AI75" s="98"/>
      <c r="AJ75" s="52"/>
      <c r="AK75" s="52"/>
      <c r="AL75" s="52"/>
      <c r="AM75" s="52"/>
      <c r="AN75" s="52"/>
    </row>
    <row r="76" spans="1:47" ht="19.5" customHeight="1">
      <c r="A76" s="110"/>
      <c r="B76" s="116"/>
      <c r="C76" s="109"/>
      <c r="D76" s="109"/>
      <c r="E76" s="112"/>
      <c r="F76" s="104"/>
      <c r="G76" s="109"/>
      <c r="H76" s="109"/>
      <c r="I76" s="109"/>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13"/>
      <c r="AI76" s="98"/>
      <c r="AJ76" s="52"/>
      <c r="AK76" s="52"/>
      <c r="AL76" s="52"/>
      <c r="AM76" s="52"/>
      <c r="AN76" s="52"/>
    </row>
    <row r="77" spans="1:47" ht="19.5" customHeight="1">
      <c r="A77" s="110"/>
      <c r="B77" s="110"/>
      <c r="C77" s="109"/>
      <c r="D77" s="117" t="s">
        <v>85</v>
      </c>
      <c r="E77" s="61"/>
      <c r="F77" s="109"/>
      <c r="G77" s="109"/>
      <c r="H77" s="109"/>
      <c r="I77" s="109"/>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13"/>
      <c r="AI77" s="98"/>
      <c r="AJ77" s="52"/>
      <c r="AK77" s="52"/>
      <c r="AL77" s="52"/>
      <c r="AM77" s="52"/>
      <c r="AN77" s="52"/>
      <c r="AO77" s="72"/>
      <c r="AP77" s="72"/>
      <c r="AQ77" s="72"/>
      <c r="AR77" s="55"/>
      <c r="AS77" s="55"/>
      <c r="AT77" s="55"/>
      <c r="AU77" s="55"/>
    </row>
    <row r="78" spans="1:47" ht="19.5" customHeight="1">
      <c r="A78" s="110"/>
      <c r="B78" s="110"/>
      <c r="C78" s="109" t="s">
        <v>86</v>
      </c>
      <c r="D78" s="109"/>
      <c r="E78" s="112"/>
      <c r="F78" s="109"/>
      <c r="G78" s="109"/>
      <c r="H78" s="109"/>
      <c r="I78" s="109"/>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13"/>
      <c r="AI78" s="98"/>
      <c r="AJ78" s="52"/>
      <c r="AK78" s="52"/>
      <c r="AL78" s="52"/>
      <c r="AM78" s="52"/>
      <c r="AN78" s="52"/>
      <c r="AO78" s="72"/>
      <c r="AP78" s="72"/>
      <c r="AQ78" s="72"/>
      <c r="AR78" s="55"/>
      <c r="AS78" s="55"/>
      <c r="AT78" s="55"/>
      <c r="AU78" s="55"/>
    </row>
    <row r="79" spans="1:47" ht="19.5" customHeight="1">
      <c r="A79" s="110"/>
      <c r="B79" s="110"/>
      <c r="C79" s="109"/>
      <c r="D79" s="109"/>
      <c r="E79" s="112"/>
      <c r="F79" s="109"/>
      <c r="G79" s="109"/>
      <c r="H79" s="109"/>
      <c r="I79" s="109"/>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2"/>
      <c r="AI79" s="98"/>
      <c r="AJ79" s="72"/>
      <c r="AK79" s="52"/>
      <c r="AL79" s="52"/>
      <c r="AM79" s="52"/>
      <c r="AN79" s="52"/>
      <c r="AP79" s="55"/>
      <c r="AQ79" s="55"/>
    </row>
    <row r="80" spans="1:47" ht="19.5" customHeight="1">
      <c r="A80" s="105"/>
      <c r="B80" s="105"/>
      <c r="C80" s="1412" t="s">
        <v>75</v>
      </c>
      <c r="D80" s="1412"/>
      <c r="E80" s="1412"/>
      <c r="F80" s="1412"/>
      <c r="G80" s="1412"/>
      <c r="H80" s="1412"/>
      <c r="I80" s="1412"/>
      <c r="J80" s="1412"/>
      <c r="K80" s="1412"/>
      <c r="L80" s="1416" t="s">
        <v>87</v>
      </c>
      <c r="M80" s="1416"/>
      <c r="N80" s="1416"/>
      <c r="O80" s="1416"/>
      <c r="P80" s="1416"/>
      <c r="Q80" s="1416"/>
      <c r="R80" s="1416"/>
      <c r="S80" s="1416"/>
      <c r="T80" s="1416"/>
      <c r="U80" s="1416"/>
      <c r="V80" s="1416"/>
      <c r="W80" s="1416"/>
      <c r="X80" s="1416"/>
      <c r="Y80" s="1416"/>
      <c r="Z80" s="1416"/>
      <c r="AA80" s="1416"/>
      <c r="AB80" s="1416"/>
      <c r="AC80" s="1416"/>
      <c r="AD80" s="1416"/>
      <c r="AE80" s="1412" t="s">
        <v>88</v>
      </c>
      <c r="AF80" s="1412"/>
      <c r="AG80" s="1412"/>
      <c r="AH80" s="102"/>
      <c r="AI80" s="72"/>
      <c r="AJ80" s="52"/>
      <c r="AK80" s="118"/>
      <c r="AL80" s="59"/>
      <c r="AN80" s="52"/>
      <c r="AP80" s="55"/>
      <c r="AQ80" s="55"/>
    </row>
    <row r="81" spans="1:43" ht="19.5" customHeight="1">
      <c r="A81" s="105"/>
      <c r="B81" s="105"/>
      <c r="C81" s="1412"/>
      <c r="D81" s="1412"/>
      <c r="E81" s="1412"/>
      <c r="F81" s="1412"/>
      <c r="G81" s="1412"/>
      <c r="H81" s="1412"/>
      <c r="I81" s="1412"/>
      <c r="J81" s="1412"/>
      <c r="K81" s="1412"/>
      <c r="L81" s="1414" t="s">
        <v>89</v>
      </c>
      <c r="M81" s="1414"/>
      <c r="N81" s="1414"/>
      <c r="O81" s="1414"/>
      <c r="P81" s="1414"/>
      <c r="Q81" s="1414"/>
      <c r="R81" s="1414"/>
      <c r="S81" s="1414"/>
      <c r="T81" s="1414"/>
      <c r="U81" s="1414"/>
      <c r="V81" s="1414"/>
      <c r="W81" s="1414"/>
      <c r="X81" s="1414"/>
      <c r="Y81" s="1414"/>
      <c r="Z81" s="1414"/>
      <c r="AA81" s="1414"/>
      <c r="AB81" s="1414"/>
      <c r="AC81" s="1414"/>
      <c r="AD81" s="1414"/>
      <c r="AE81" s="1412"/>
      <c r="AF81" s="1412"/>
      <c r="AG81" s="1412"/>
      <c r="AH81" s="72"/>
      <c r="AJ81" s="58"/>
      <c r="AK81" s="58"/>
      <c r="AL81" s="59"/>
      <c r="AM81" s="52"/>
      <c r="AN81" s="52"/>
      <c r="AP81" s="55"/>
      <c r="AQ81" s="55"/>
    </row>
    <row r="82" spans="1:43" ht="19.5" customHeight="1">
      <c r="A82" s="105"/>
      <c r="B82" s="105"/>
      <c r="C82" s="98"/>
      <c r="D82" s="98"/>
      <c r="E82" s="114"/>
      <c r="F82" s="98"/>
      <c r="G82" s="98"/>
      <c r="H82" s="98"/>
      <c r="I82" s="98"/>
      <c r="J82" s="98"/>
      <c r="K82" s="98"/>
      <c r="L82" s="98"/>
      <c r="M82" s="98"/>
      <c r="N82" s="98"/>
      <c r="O82" s="98"/>
      <c r="P82" s="98"/>
      <c r="Q82" s="98"/>
      <c r="R82" s="98"/>
      <c r="S82" s="98"/>
      <c r="T82" s="98"/>
      <c r="U82" s="98"/>
      <c r="V82" s="98"/>
      <c r="W82" s="98"/>
      <c r="X82" s="98"/>
      <c r="Y82" s="98"/>
      <c r="Z82" s="98"/>
      <c r="AA82" s="98"/>
      <c r="AB82" s="98"/>
      <c r="AC82" s="98"/>
      <c r="AD82" s="98"/>
      <c r="AE82" s="98"/>
      <c r="AF82" s="98"/>
      <c r="AG82" s="98"/>
      <c r="AH82" s="59"/>
      <c r="AI82" s="98"/>
      <c r="AJ82" s="58"/>
      <c r="AK82" s="58"/>
      <c r="AL82" s="59"/>
      <c r="AN82" s="52"/>
      <c r="AP82" s="101"/>
      <c r="AQ82" s="55"/>
    </row>
    <row r="83" spans="1:43" ht="19.5" customHeight="1">
      <c r="A83" s="105"/>
      <c r="B83" s="105"/>
      <c r="C83" s="98"/>
      <c r="D83" s="98"/>
      <c r="E83" s="114"/>
      <c r="F83" s="98"/>
      <c r="G83" s="98"/>
      <c r="H83" s="98"/>
      <c r="I83" s="98"/>
      <c r="J83" s="98"/>
      <c r="K83" s="98"/>
      <c r="L83" s="98"/>
      <c r="M83" s="98"/>
      <c r="N83" s="98"/>
      <c r="O83" s="98"/>
      <c r="P83" s="98"/>
      <c r="Q83" s="98"/>
      <c r="R83" s="98"/>
      <c r="S83" s="98"/>
      <c r="T83" s="98"/>
      <c r="U83" s="98"/>
      <c r="V83" s="98"/>
      <c r="W83" s="98"/>
      <c r="X83" s="98"/>
      <c r="Y83" s="98"/>
      <c r="Z83" s="98"/>
      <c r="AA83" s="98"/>
      <c r="AB83" s="102"/>
      <c r="AC83" s="102"/>
      <c r="AD83" s="102"/>
      <c r="AE83" s="98"/>
      <c r="AF83" s="98"/>
      <c r="AG83" s="98"/>
      <c r="AH83" s="102"/>
      <c r="AI83" s="98"/>
      <c r="AJ83" s="58"/>
      <c r="AK83" s="52"/>
      <c r="AL83" s="52"/>
      <c r="AM83" s="52"/>
      <c r="AN83" s="52"/>
      <c r="AO83" s="101"/>
      <c r="AP83" s="101"/>
      <c r="AQ83" s="101"/>
    </row>
    <row r="84" spans="1:43" ht="19.5" customHeight="1">
      <c r="A84" s="105"/>
      <c r="B84" s="105"/>
      <c r="C84" s="98"/>
      <c r="D84" s="98"/>
      <c r="E84" s="114"/>
      <c r="F84" s="98"/>
      <c r="G84" s="98"/>
      <c r="H84" s="98"/>
      <c r="I84" s="98"/>
      <c r="J84" s="98"/>
      <c r="K84" s="98"/>
      <c r="L84" s="98"/>
      <c r="M84" s="98"/>
      <c r="N84" s="98"/>
      <c r="O84" s="98"/>
      <c r="P84" s="98"/>
      <c r="Q84" s="98"/>
      <c r="R84" s="98"/>
      <c r="S84" s="98"/>
      <c r="T84" s="98"/>
      <c r="U84" s="98"/>
      <c r="V84" s="98"/>
      <c r="W84" s="98"/>
      <c r="X84" s="98"/>
      <c r="Y84" s="98"/>
      <c r="Z84" s="98"/>
      <c r="AA84" s="98"/>
      <c r="AB84" s="102"/>
      <c r="AC84" s="102"/>
      <c r="AD84" s="102"/>
      <c r="AE84" s="98"/>
      <c r="AF84" s="98"/>
      <c r="AG84" s="98"/>
      <c r="AH84" s="102"/>
      <c r="AI84" s="98"/>
      <c r="AJ84" s="52"/>
      <c r="AK84" s="52"/>
      <c r="AL84" s="52"/>
      <c r="AM84" s="52"/>
      <c r="AN84" s="52"/>
      <c r="AO84" s="101"/>
    </row>
    <row r="85" spans="1:43" ht="19.5" customHeight="1">
      <c r="A85" s="105"/>
      <c r="B85" s="105"/>
      <c r="C85" s="98"/>
      <c r="D85" s="98"/>
      <c r="E85" s="114"/>
      <c r="F85" s="98"/>
      <c r="G85" s="98"/>
      <c r="H85" s="98"/>
      <c r="I85" s="98"/>
      <c r="J85" s="98"/>
      <c r="K85" s="98"/>
      <c r="L85" s="98"/>
      <c r="M85" s="98"/>
      <c r="N85" s="98"/>
      <c r="O85" s="98"/>
      <c r="P85" s="98"/>
      <c r="Q85" s="98"/>
      <c r="R85" s="98"/>
      <c r="S85" s="98"/>
      <c r="T85" s="98"/>
      <c r="U85" s="98"/>
      <c r="V85" s="98"/>
      <c r="W85" s="98"/>
      <c r="X85" s="98"/>
      <c r="Y85" s="98"/>
      <c r="Z85" s="98"/>
      <c r="AA85" s="98"/>
      <c r="AB85" s="102"/>
      <c r="AC85" s="102"/>
      <c r="AD85" s="102"/>
      <c r="AE85" s="98"/>
      <c r="AF85" s="98"/>
      <c r="AG85" s="98"/>
      <c r="AH85" s="52"/>
      <c r="AI85" s="102"/>
      <c r="AK85" s="52"/>
      <c r="AL85" s="52"/>
      <c r="AM85" s="52"/>
      <c r="AN85" s="52"/>
      <c r="AO85" s="101"/>
    </row>
    <row r="86" spans="1:43" ht="19.5" customHeight="1">
      <c r="A86" s="105"/>
      <c r="B86" s="105"/>
      <c r="C86" s="98"/>
      <c r="D86" s="98"/>
      <c r="E86" s="114"/>
      <c r="F86" s="98"/>
      <c r="G86" s="98"/>
      <c r="H86" s="98"/>
      <c r="I86" s="98"/>
      <c r="J86" s="119"/>
      <c r="K86" s="119"/>
      <c r="L86" s="119"/>
      <c r="M86" s="119"/>
      <c r="N86" s="119"/>
      <c r="O86" s="119"/>
      <c r="P86" s="119"/>
      <c r="Q86" s="119"/>
      <c r="R86" s="119"/>
      <c r="S86" s="119"/>
      <c r="T86" s="119"/>
      <c r="U86" s="119"/>
      <c r="V86" s="119"/>
      <c r="W86" s="119"/>
      <c r="X86" s="119"/>
      <c r="Y86" s="119"/>
      <c r="Z86" s="119"/>
      <c r="AA86" s="119"/>
      <c r="AB86" s="119"/>
      <c r="AC86" s="98"/>
      <c r="AD86" s="98"/>
      <c r="AE86" s="98"/>
      <c r="AF86" s="98"/>
      <c r="AG86" s="98"/>
      <c r="AH86" s="52"/>
      <c r="AI86" s="102"/>
      <c r="AJ86" s="52"/>
      <c r="AK86" s="52"/>
      <c r="AL86" s="52"/>
      <c r="AM86" s="52"/>
      <c r="AN86" s="52"/>
    </row>
    <row r="87" spans="1:43" ht="19.5" customHeight="1">
      <c r="O87" s="52"/>
      <c r="P87" s="52"/>
      <c r="Q87" s="52"/>
      <c r="R87" s="52"/>
      <c r="S87" s="52"/>
      <c r="T87" s="52"/>
      <c r="U87" s="52"/>
      <c r="V87" s="52"/>
      <c r="W87" s="52"/>
      <c r="X87" s="52"/>
      <c r="Y87" s="52"/>
      <c r="Z87" s="52"/>
      <c r="AA87" s="52"/>
      <c r="AB87" s="52"/>
      <c r="AC87" s="52"/>
      <c r="AD87" s="52"/>
      <c r="AE87" s="52"/>
      <c r="AF87" s="52"/>
      <c r="AG87" s="52"/>
      <c r="AH87" s="52"/>
      <c r="AI87" s="98"/>
      <c r="AJ87" s="52"/>
      <c r="AK87" s="52"/>
      <c r="AL87" s="52"/>
      <c r="AM87" s="52"/>
      <c r="AN87" s="52"/>
    </row>
    <row r="88" spans="1:43" ht="14.25" customHeight="1">
      <c r="O88" s="52"/>
      <c r="P88" s="52"/>
      <c r="Q88" s="52"/>
      <c r="R88" s="52"/>
      <c r="S88" s="52"/>
      <c r="T88" s="52"/>
      <c r="U88" s="52"/>
      <c r="V88" s="52"/>
      <c r="W88" s="52"/>
      <c r="X88" s="52"/>
      <c r="Y88" s="52"/>
      <c r="Z88" s="52"/>
      <c r="AA88" s="52"/>
      <c r="AB88" s="52"/>
      <c r="AC88" s="52"/>
      <c r="AD88" s="52"/>
      <c r="AE88" s="52"/>
      <c r="AF88" s="52"/>
      <c r="AG88" s="52"/>
      <c r="AH88" s="52"/>
      <c r="AI88" s="98"/>
      <c r="AJ88" s="52"/>
      <c r="AK88" s="52"/>
      <c r="AL88" s="52"/>
      <c r="AM88" s="52"/>
      <c r="AN88" s="52"/>
    </row>
    <row r="89" spans="1:43" ht="14.25" customHeight="1">
      <c r="O89" s="52"/>
      <c r="P89" s="52"/>
      <c r="Q89" s="52"/>
      <c r="R89" s="52"/>
      <c r="S89" s="52"/>
      <c r="T89" s="52"/>
      <c r="U89" s="52"/>
      <c r="V89" s="52"/>
      <c r="W89" s="52"/>
      <c r="X89" s="52"/>
      <c r="Y89" s="52"/>
      <c r="Z89" s="52"/>
      <c r="AA89" s="52"/>
      <c r="AB89" s="52"/>
      <c r="AC89" s="52"/>
      <c r="AD89" s="52"/>
      <c r="AE89" s="52"/>
      <c r="AF89" s="52"/>
      <c r="AG89" s="52"/>
      <c r="AH89" s="52"/>
      <c r="AI89" s="98"/>
      <c r="AJ89" s="52"/>
      <c r="AK89" s="52"/>
      <c r="AL89" s="52"/>
      <c r="AM89" s="52"/>
      <c r="AN89" s="52"/>
    </row>
  </sheetData>
  <sheetProtection sheet="1" objects="1" scenarios="1" selectLockedCells="1"/>
  <mergeCells count="28">
    <mergeCell ref="E71:Y71"/>
    <mergeCell ref="C80:K81"/>
    <mergeCell ref="L80:AD80"/>
    <mergeCell ref="AE80:AG81"/>
    <mergeCell ref="L81:AD81"/>
    <mergeCell ref="E68:Y69"/>
    <mergeCell ref="Z68:AG69"/>
    <mergeCell ref="C41:I42"/>
    <mergeCell ref="J41:O42"/>
    <mergeCell ref="P41:W42"/>
    <mergeCell ref="X41:Z42"/>
    <mergeCell ref="D43:H44"/>
    <mergeCell ref="J43:O44"/>
    <mergeCell ref="P43:W44"/>
    <mergeCell ref="X43:Z44"/>
    <mergeCell ref="C57:K58"/>
    <mergeCell ref="L57:Y57"/>
    <mergeCell ref="Z57:AB58"/>
    <mergeCell ref="L58:Y58"/>
    <mergeCell ref="E66:AG66"/>
    <mergeCell ref="C32:I33"/>
    <mergeCell ref="J32:O33"/>
    <mergeCell ref="P32:W33"/>
    <mergeCell ref="X32:Z33"/>
    <mergeCell ref="D34:H35"/>
    <mergeCell ref="J34:O35"/>
    <mergeCell ref="P34:W35"/>
    <mergeCell ref="X34:Z35"/>
  </mergeCells>
  <phoneticPr fontId="5"/>
  <pageMargins left="0.59055118110236227" right="0.59055118110236227" top="0.59055118110236227" bottom="0.39370078740157483" header="0" footer="0.19685039370078741"/>
  <pageSetup paperSize="9" scale="83" firstPageNumber="2" fitToHeight="2" orientation="portrait" cellComments="asDisplayed" useFirstPageNumber="1" r:id="rId1"/>
  <headerFooter scaleWithDoc="0" alignWithMargins="0">
    <evenFooter>&amp;R&amp;G</evenFooter>
  </headerFooter>
  <rowBreaks count="1" manualBreakCount="1">
    <brk id="45" max="39" man="1"/>
  </rowBreaks>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AI48"/>
  <sheetViews>
    <sheetView view="pageBreakPreview" zoomScale="90" zoomScaleNormal="100" zoomScaleSheetLayoutView="90" workbookViewId="0">
      <selection sqref="A1:AH1"/>
    </sheetView>
  </sheetViews>
  <sheetFormatPr defaultColWidth="2.625" defaultRowHeight="13.5"/>
  <cols>
    <col min="1" max="16384" width="2.625" style="127"/>
  </cols>
  <sheetData>
    <row r="1" spans="1:35" s="121" customFormat="1" ht="21">
      <c r="A1" s="1417" t="s">
        <v>90</v>
      </c>
      <c r="B1" s="1417"/>
      <c r="C1" s="1417"/>
      <c r="D1" s="1417"/>
      <c r="E1" s="1417"/>
      <c r="F1" s="1417"/>
      <c r="G1" s="1417"/>
      <c r="H1" s="1417"/>
      <c r="I1" s="1417"/>
      <c r="J1" s="1417"/>
      <c r="K1" s="1417"/>
      <c r="L1" s="1417"/>
      <c r="M1" s="1417"/>
      <c r="N1" s="1417"/>
      <c r="O1" s="1417"/>
      <c r="P1" s="1417"/>
      <c r="Q1" s="1417"/>
      <c r="R1" s="1417"/>
      <c r="S1" s="1417"/>
      <c r="T1" s="1417"/>
      <c r="U1" s="1417"/>
      <c r="V1" s="1417"/>
      <c r="W1" s="1417"/>
      <c r="X1" s="1417"/>
      <c r="Y1" s="1417"/>
      <c r="Z1" s="1417"/>
      <c r="AA1" s="1417"/>
      <c r="AB1" s="1417"/>
      <c r="AC1" s="1417"/>
      <c r="AD1" s="1417"/>
      <c r="AE1" s="1417"/>
      <c r="AF1" s="1417"/>
      <c r="AG1" s="1417"/>
      <c r="AH1" s="1417"/>
      <c r="AI1" s="120"/>
    </row>
    <row r="2" spans="1:35" s="121" customFormat="1" ht="27" customHeight="1">
      <c r="A2" s="122"/>
      <c r="B2" s="122"/>
      <c r="C2" s="122"/>
      <c r="D2" s="122"/>
      <c r="E2" s="122"/>
      <c r="F2" s="122"/>
      <c r="G2" s="122"/>
      <c r="H2" s="122"/>
      <c r="AH2" s="123"/>
    </row>
    <row r="3" spans="1:35" s="121" customFormat="1" ht="18" customHeight="1">
      <c r="A3" s="121" t="s">
        <v>91</v>
      </c>
      <c r="I3" s="124"/>
    </row>
    <row r="4" spans="1:35" s="121" customFormat="1" ht="18" customHeight="1">
      <c r="A4" s="125" t="s">
        <v>92</v>
      </c>
    </row>
    <row r="5" spans="1:35" s="121" customFormat="1" ht="18" customHeight="1">
      <c r="A5" s="125" t="s">
        <v>93</v>
      </c>
    </row>
    <row r="6" spans="1:35" s="121" customFormat="1" ht="15" customHeight="1">
      <c r="A6" s="125"/>
    </row>
    <row r="7" spans="1:35" s="121" customFormat="1" ht="18" customHeight="1">
      <c r="A7" s="121" t="s">
        <v>94</v>
      </c>
      <c r="I7" s="124"/>
    </row>
    <row r="8" spans="1:35" s="121" customFormat="1" ht="18" customHeight="1">
      <c r="A8" s="126" t="s">
        <v>95</v>
      </c>
    </row>
    <row r="9" spans="1:35" s="121" customFormat="1" ht="15" customHeight="1"/>
    <row r="10" spans="1:35" s="121" customFormat="1" ht="18" customHeight="1">
      <c r="A10" s="121" t="s">
        <v>96</v>
      </c>
    </row>
    <row r="11" spans="1:35" s="121" customFormat="1" ht="18" customHeight="1">
      <c r="A11" s="125" t="s">
        <v>97</v>
      </c>
    </row>
    <row r="12" spans="1:35" s="121" customFormat="1" ht="18" customHeight="1">
      <c r="A12" s="125" t="s">
        <v>98</v>
      </c>
    </row>
    <row r="13" spans="1:35" s="121" customFormat="1" ht="15" customHeight="1"/>
    <row r="14" spans="1:35" s="121" customFormat="1" ht="18" customHeight="1">
      <c r="A14" s="121" t="s">
        <v>99</v>
      </c>
    </row>
    <row r="15" spans="1:35" s="121" customFormat="1" ht="18" customHeight="1">
      <c r="A15" s="125" t="s">
        <v>100</v>
      </c>
    </row>
    <row r="16" spans="1:35" s="121" customFormat="1" ht="18" customHeight="1">
      <c r="A16" s="125" t="s">
        <v>101</v>
      </c>
    </row>
    <row r="17" spans="1:1" s="121" customFormat="1" ht="15" customHeight="1"/>
    <row r="18" spans="1:1" s="121" customFormat="1" ht="18" customHeight="1">
      <c r="A18" s="121" t="s">
        <v>102</v>
      </c>
    </row>
    <row r="19" spans="1:1" s="121" customFormat="1" ht="18" customHeight="1">
      <c r="A19" s="125" t="s">
        <v>103</v>
      </c>
    </row>
    <row r="20" spans="1:1" s="121" customFormat="1" ht="15" customHeight="1"/>
    <row r="21" spans="1:1" s="121" customFormat="1" ht="18" customHeight="1">
      <c r="A21" s="121" t="s">
        <v>104</v>
      </c>
    </row>
    <row r="22" spans="1:1" s="121" customFormat="1" ht="18" customHeight="1">
      <c r="A22" s="125" t="s">
        <v>105</v>
      </c>
    </row>
    <row r="23" spans="1:1" s="121" customFormat="1" ht="15.75" customHeight="1"/>
    <row r="24" spans="1:1" s="121" customFormat="1" ht="18" customHeight="1">
      <c r="A24" s="121" t="s">
        <v>106</v>
      </c>
    </row>
    <row r="25" spans="1:1" s="121" customFormat="1" ht="18" customHeight="1">
      <c r="A25" s="125" t="s">
        <v>107</v>
      </c>
    </row>
    <row r="26" spans="1:1" s="121" customFormat="1" ht="15" customHeight="1">
      <c r="A26" s="121" t="s">
        <v>108</v>
      </c>
    </row>
    <row r="27" spans="1:1" s="121" customFormat="1" ht="18" customHeight="1">
      <c r="A27" s="121" t="s">
        <v>109</v>
      </c>
    </row>
    <row r="28" spans="1:1" s="121" customFormat="1" ht="18" customHeight="1">
      <c r="A28" s="125" t="s">
        <v>110</v>
      </c>
    </row>
    <row r="29" spans="1:1" s="121" customFormat="1" ht="15" customHeight="1">
      <c r="A29" s="125"/>
    </row>
    <row r="30" spans="1:1" s="121" customFormat="1" ht="18" customHeight="1">
      <c r="A30" s="121" t="s">
        <v>111</v>
      </c>
    </row>
    <row r="31" spans="1:1" s="121" customFormat="1" ht="18" customHeight="1">
      <c r="A31" s="125" t="s">
        <v>112</v>
      </c>
    </row>
    <row r="32" spans="1:1" s="121" customFormat="1" ht="18" customHeight="1">
      <c r="A32" s="125" t="s">
        <v>113</v>
      </c>
    </row>
    <row r="33" spans="1:34" s="121" customFormat="1" ht="15" customHeight="1">
      <c r="A33" s="125"/>
    </row>
    <row r="34" spans="1:34" s="121" customFormat="1" ht="18" customHeight="1">
      <c r="A34" s="121" t="s">
        <v>114</v>
      </c>
    </row>
    <row r="35" spans="1:34" s="121" customFormat="1" ht="18" customHeight="1">
      <c r="A35" s="125" t="s">
        <v>115</v>
      </c>
    </row>
    <row r="36" spans="1:34" s="121" customFormat="1" ht="18" customHeight="1">
      <c r="A36" s="125" t="s">
        <v>116</v>
      </c>
    </row>
    <row r="37" spans="1:34" s="121" customFormat="1" ht="15" customHeight="1">
      <c r="A37" s="125"/>
    </row>
    <row r="38" spans="1:34" s="121" customFormat="1" ht="18" customHeight="1">
      <c r="A38" s="121" t="s">
        <v>117</v>
      </c>
    </row>
    <row r="39" spans="1:34" s="121" customFormat="1" ht="18" customHeight="1">
      <c r="A39" s="125" t="s">
        <v>118</v>
      </c>
    </row>
    <row r="40" spans="1:34" ht="15" customHeight="1">
      <c r="A40" s="121"/>
      <c r="B40" s="121"/>
      <c r="C40" s="121"/>
      <c r="D40" s="121"/>
      <c r="E40" s="121"/>
      <c r="F40" s="121"/>
      <c r="G40" s="121"/>
      <c r="H40" s="121"/>
      <c r="I40" s="121"/>
      <c r="J40" s="121"/>
      <c r="K40" s="121"/>
      <c r="L40" s="121"/>
      <c r="M40" s="121"/>
      <c r="N40" s="121"/>
      <c r="O40" s="121"/>
      <c r="P40" s="121"/>
      <c r="Q40" s="121"/>
      <c r="R40" s="121"/>
      <c r="S40" s="121"/>
      <c r="T40" s="121"/>
      <c r="U40" s="121"/>
      <c r="V40" s="121"/>
      <c r="W40" s="121"/>
      <c r="X40" s="121"/>
      <c r="Y40" s="121"/>
      <c r="Z40" s="121"/>
      <c r="AA40" s="121"/>
      <c r="AB40" s="121"/>
      <c r="AC40" s="121"/>
      <c r="AD40" s="121"/>
      <c r="AE40" s="121"/>
      <c r="AF40" s="121"/>
      <c r="AG40" s="121"/>
      <c r="AH40" s="121"/>
    </row>
    <row r="41" spans="1:34" ht="18" customHeight="1">
      <c r="A41" s="121" t="s">
        <v>119</v>
      </c>
      <c r="B41" s="121"/>
      <c r="C41" s="121"/>
      <c r="D41" s="121"/>
      <c r="E41" s="121"/>
      <c r="F41" s="121"/>
      <c r="G41" s="121"/>
      <c r="H41" s="121"/>
      <c r="I41" s="121"/>
      <c r="J41" s="121"/>
      <c r="K41" s="121"/>
      <c r="L41" s="121"/>
      <c r="M41" s="121"/>
      <c r="N41" s="121"/>
      <c r="O41" s="121"/>
      <c r="P41" s="121"/>
      <c r="Q41" s="121"/>
      <c r="R41" s="121"/>
      <c r="S41" s="121"/>
      <c r="T41" s="121"/>
      <c r="U41" s="121"/>
      <c r="V41" s="121"/>
      <c r="W41" s="121"/>
      <c r="X41" s="121"/>
      <c r="Y41" s="121"/>
      <c r="Z41" s="121"/>
      <c r="AA41" s="121"/>
      <c r="AB41" s="121"/>
      <c r="AC41" s="121"/>
      <c r="AD41" s="121"/>
      <c r="AE41" s="121"/>
      <c r="AF41" s="121"/>
      <c r="AG41" s="121"/>
      <c r="AH41" s="121"/>
    </row>
    <row r="42" spans="1:34" ht="18" customHeight="1">
      <c r="A42" s="125" t="s">
        <v>120</v>
      </c>
      <c r="B42" s="121"/>
      <c r="C42" s="121"/>
      <c r="D42" s="121"/>
      <c r="E42" s="121"/>
      <c r="F42" s="121"/>
      <c r="G42" s="121"/>
      <c r="H42" s="121"/>
      <c r="I42" s="121"/>
      <c r="J42" s="121"/>
      <c r="K42" s="121"/>
      <c r="L42" s="121"/>
      <c r="M42" s="121"/>
      <c r="N42" s="121"/>
      <c r="O42" s="121"/>
      <c r="P42" s="121"/>
      <c r="Q42" s="121"/>
      <c r="R42" s="121"/>
      <c r="S42" s="121"/>
      <c r="T42" s="121"/>
      <c r="U42" s="121"/>
      <c r="V42" s="121"/>
      <c r="W42" s="121"/>
      <c r="X42" s="121"/>
      <c r="Y42" s="121"/>
      <c r="Z42" s="121"/>
      <c r="AA42" s="121"/>
      <c r="AB42" s="121"/>
      <c r="AC42" s="121"/>
      <c r="AD42" s="121"/>
      <c r="AE42" s="121"/>
      <c r="AF42" s="121"/>
      <c r="AG42" s="121"/>
      <c r="AH42" s="121"/>
    </row>
    <row r="43" spans="1:34" ht="15" customHeight="1">
      <c r="A43" s="121"/>
      <c r="B43" s="121"/>
      <c r="C43" s="121"/>
      <c r="D43" s="121"/>
      <c r="E43" s="121"/>
      <c r="F43" s="121"/>
      <c r="G43" s="121"/>
      <c r="H43" s="121"/>
      <c r="I43" s="121"/>
      <c r="J43" s="121"/>
      <c r="K43" s="121"/>
      <c r="L43" s="121"/>
      <c r="M43" s="121"/>
      <c r="N43" s="121"/>
      <c r="O43" s="121"/>
      <c r="P43" s="121"/>
      <c r="Q43" s="121"/>
      <c r="R43" s="121"/>
      <c r="S43" s="121"/>
      <c r="T43" s="121"/>
      <c r="U43" s="121"/>
      <c r="V43" s="121"/>
      <c r="W43" s="121"/>
      <c r="X43" s="121"/>
      <c r="Y43" s="121"/>
      <c r="Z43" s="121"/>
      <c r="AA43" s="121"/>
      <c r="AB43" s="121"/>
      <c r="AC43" s="121"/>
      <c r="AD43" s="121"/>
      <c r="AE43" s="121"/>
      <c r="AF43" s="121"/>
      <c r="AG43" s="121"/>
      <c r="AH43" s="121"/>
    </row>
    <row r="44" spans="1:34" ht="18" customHeight="1"/>
    <row r="45" spans="1:34" ht="18" customHeight="1"/>
    <row r="46" spans="1:34" ht="18" customHeight="1"/>
    <row r="47" spans="1:34" ht="18" customHeight="1"/>
    <row r="48" spans="1:34" ht="18" customHeight="1"/>
  </sheetData>
  <sheetProtection sheet="1" objects="1" scenarios="1" selectLockedCells="1"/>
  <mergeCells count="1">
    <mergeCell ref="A1:AH1"/>
  </mergeCells>
  <phoneticPr fontId="5"/>
  <pageMargins left="0.59055118110236227" right="0.59055118110236227" top="0.59055118110236227" bottom="0.59055118110236227" header="0.31496062992125984" footer="0.19685039370078741"/>
  <pageSetup paperSize="9" scale="98" firstPageNumber="3" orientation="portrait" useFirstPageNumber="1"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pageSetUpPr fitToPage="1"/>
  </sheetPr>
  <dimension ref="A1:AI48"/>
  <sheetViews>
    <sheetView showGridLines="0" zoomScale="80" zoomScaleNormal="80" zoomScaleSheetLayoutView="80" workbookViewId="0">
      <selection activeCell="M9" sqref="M9"/>
    </sheetView>
  </sheetViews>
  <sheetFormatPr defaultColWidth="2.75" defaultRowHeight="14.25" customHeight="1" outlineLevelCol="1"/>
  <cols>
    <col min="1" max="1" width="2.75" style="128"/>
    <col min="2" max="2" width="0.875" style="128" customWidth="1"/>
    <col min="3" max="11" width="2.625" style="128" customWidth="1"/>
    <col min="12" max="16" width="15" style="128" customWidth="1"/>
    <col min="17" max="18" width="2.625" style="128" customWidth="1"/>
    <col min="19" max="20" width="15" style="128" customWidth="1"/>
    <col min="21" max="21" width="2.625" style="2" customWidth="1"/>
    <col min="22" max="28" width="2.625" style="2" customWidth="1" outlineLevel="1"/>
    <col min="29" max="30" width="2.625" style="128" customWidth="1" outlineLevel="1"/>
    <col min="31" max="31" width="18" style="128" customWidth="1" outlineLevel="1"/>
    <col min="32" max="32" width="17.375" style="128" customWidth="1" outlineLevel="1"/>
    <col min="33" max="33" width="13.375" style="128" customWidth="1" outlineLevel="1"/>
    <col min="34" max="16384" width="2.75" style="128"/>
  </cols>
  <sheetData>
    <row r="1" spans="2:30" ht="14.25" customHeight="1">
      <c r="AD1" s="128" t="s">
        <v>121</v>
      </c>
    </row>
    <row r="2" spans="2:30" ht="14.25" customHeight="1">
      <c r="B2" s="129" t="s">
        <v>122</v>
      </c>
      <c r="C2" s="129"/>
      <c r="AD2" s="129"/>
    </row>
    <row r="4" spans="2:30" s="131" customFormat="1" ht="18" customHeight="1">
      <c r="B4" s="130" t="s">
        <v>123</v>
      </c>
      <c r="C4" s="130" t="s">
        <v>124</v>
      </c>
      <c r="E4" s="132"/>
      <c r="F4" s="132"/>
      <c r="G4" s="132"/>
      <c r="H4" s="132"/>
      <c r="I4" s="133"/>
      <c r="J4" s="133"/>
      <c r="K4" s="133"/>
      <c r="L4" s="133"/>
      <c r="M4" s="133"/>
      <c r="U4" s="2"/>
      <c r="V4" s="2"/>
      <c r="W4" s="2"/>
      <c r="X4" s="2"/>
      <c r="Y4" s="2"/>
      <c r="Z4" s="2"/>
      <c r="AA4" s="2"/>
      <c r="AB4" s="2"/>
      <c r="AD4" s="130"/>
    </row>
    <row r="5" spans="2:30" s="131" customFormat="1" ht="18" customHeight="1">
      <c r="D5" s="134" t="s">
        <v>125</v>
      </c>
      <c r="F5" s="132"/>
      <c r="G5" s="132"/>
      <c r="H5" s="132"/>
      <c r="I5" s="133"/>
      <c r="J5" s="133"/>
      <c r="K5" s="133"/>
      <c r="L5" s="133"/>
      <c r="M5" s="133"/>
      <c r="N5" s="133"/>
      <c r="O5" s="133"/>
      <c r="P5" s="133"/>
      <c r="Q5" s="133"/>
      <c r="R5" s="133"/>
      <c r="S5" s="133"/>
      <c r="T5" s="133"/>
      <c r="U5" s="2"/>
      <c r="V5" s="2"/>
      <c r="W5" s="2"/>
      <c r="X5" s="2"/>
      <c r="Y5" s="2"/>
      <c r="Z5" s="2"/>
      <c r="AA5" s="2"/>
      <c r="AB5" s="2"/>
    </row>
    <row r="6" spans="2:30" s="131" customFormat="1" ht="14.1" customHeight="1" thickBot="1">
      <c r="D6" s="134"/>
      <c r="F6" s="132"/>
      <c r="G6" s="132"/>
      <c r="H6" s="132"/>
      <c r="I6" s="133"/>
      <c r="J6" s="133"/>
      <c r="K6" s="133"/>
      <c r="L6" s="133"/>
      <c r="M6" s="133"/>
      <c r="N6" s="133"/>
      <c r="O6" s="133"/>
      <c r="P6" s="133"/>
      <c r="Q6" s="133"/>
      <c r="R6" s="133"/>
      <c r="S6" s="133"/>
      <c r="T6" s="133"/>
      <c r="U6" s="2"/>
      <c r="V6" s="2"/>
      <c r="W6" s="2"/>
      <c r="X6" s="2"/>
      <c r="Y6" s="2"/>
      <c r="Z6" s="2"/>
      <c r="AA6" s="2"/>
      <c r="AB6" s="2"/>
    </row>
    <row r="7" spans="2:30" ht="14.1" customHeight="1">
      <c r="D7" s="1424" t="s">
        <v>58</v>
      </c>
      <c r="E7" s="1425"/>
      <c r="F7" s="1425"/>
      <c r="G7" s="1425"/>
      <c r="H7" s="1425"/>
      <c r="I7" s="1425"/>
      <c r="J7" s="1425"/>
      <c r="K7" s="1425"/>
      <c r="L7" s="1426"/>
      <c r="M7" s="1436" t="s">
        <v>126</v>
      </c>
      <c r="N7" s="1438" t="s">
        <v>127</v>
      </c>
    </row>
    <row r="8" spans="2:30" ht="14.1" customHeight="1" thickBot="1">
      <c r="D8" s="1427"/>
      <c r="E8" s="1428"/>
      <c r="F8" s="1428"/>
      <c r="G8" s="1428"/>
      <c r="H8" s="1428"/>
      <c r="I8" s="1428"/>
      <c r="J8" s="1428"/>
      <c r="K8" s="1428"/>
      <c r="L8" s="1429"/>
      <c r="M8" s="1437"/>
      <c r="N8" s="1439"/>
    </row>
    <row r="9" spans="2:30" ht="30" customHeight="1" thickTop="1">
      <c r="D9" s="1440" t="s">
        <v>128</v>
      </c>
      <c r="E9" s="1441"/>
      <c r="F9" s="1441"/>
      <c r="G9" s="1441"/>
      <c r="H9" s="1441"/>
      <c r="I9" s="1441"/>
      <c r="J9" s="1441"/>
      <c r="K9" s="1441"/>
      <c r="L9" s="1442"/>
      <c r="M9" s="135"/>
      <c r="N9" s="136"/>
    </row>
    <row r="10" spans="2:30" ht="30" customHeight="1">
      <c r="D10" s="1418" t="s">
        <v>129</v>
      </c>
      <c r="E10" s="1419"/>
      <c r="F10" s="1419"/>
      <c r="G10" s="1419"/>
      <c r="H10" s="1419"/>
      <c r="I10" s="1419"/>
      <c r="J10" s="1419"/>
      <c r="K10" s="1419"/>
      <c r="L10" s="1420"/>
      <c r="M10" s="137"/>
      <c r="N10" s="138"/>
    </row>
    <row r="11" spans="2:30" ht="30" customHeight="1">
      <c r="D11" s="1418" t="s">
        <v>130</v>
      </c>
      <c r="E11" s="1419"/>
      <c r="F11" s="1419"/>
      <c r="G11" s="1419"/>
      <c r="H11" s="1419"/>
      <c r="I11" s="1419"/>
      <c r="J11" s="1419"/>
      <c r="K11" s="1419"/>
      <c r="L11" s="1420"/>
      <c r="M11" s="137"/>
      <c r="N11" s="138"/>
    </row>
    <row r="12" spans="2:30" ht="30" customHeight="1" thickBot="1">
      <c r="D12" s="1421" t="s">
        <v>131</v>
      </c>
      <c r="E12" s="1422"/>
      <c r="F12" s="1422"/>
      <c r="G12" s="1422"/>
      <c r="H12" s="1422"/>
      <c r="I12" s="1422"/>
      <c r="J12" s="1422"/>
      <c r="K12" s="1422"/>
      <c r="L12" s="1423"/>
      <c r="M12" s="139"/>
      <c r="N12" s="140"/>
    </row>
    <row r="13" spans="2:30" ht="27.95" customHeight="1">
      <c r="D13" s="141"/>
      <c r="E13" s="141"/>
      <c r="F13" s="141"/>
      <c r="G13" s="141"/>
      <c r="H13" s="141"/>
      <c r="I13" s="141"/>
      <c r="J13" s="141"/>
      <c r="K13" s="141"/>
      <c r="L13" s="142"/>
      <c r="M13" s="143"/>
      <c r="N13" s="143"/>
      <c r="O13" s="144"/>
    </row>
    <row r="14" spans="2:30" s="131" customFormat="1" ht="18" customHeight="1">
      <c r="C14" s="130" t="s">
        <v>132</v>
      </c>
      <c r="P14" s="145"/>
      <c r="Q14" s="145"/>
      <c r="R14" s="145"/>
      <c r="S14" s="145"/>
      <c r="T14" s="145"/>
      <c r="U14" s="2"/>
      <c r="V14" s="2"/>
      <c r="W14" s="2"/>
      <c r="X14" s="2"/>
      <c r="Y14" s="2"/>
      <c r="Z14" s="2"/>
      <c r="AA14" s="2"/>
      <c r="AB14" s="2"/>
      <c r="AD14" s="130"/>
    </row>
    <row r="15" spans="2:30" s="131" customFormat="1" ht="18" customHeight="1">
      <c r="D15" s="65" t="s">
        <v>133</v>
      </c>
      <c r="R15" s="146"/>
      <c r="U15" s="2"/>
      <c r="V15" s="2"/>
      <c r="W15" s="2"/>
      <c r="X15" s="2"/>
      <c r="Y15" s="2"/>
      <c r="Z15" s="2"/>
      <c r="AA15" s="2"/>
      <c r="AB15" s="2"/>
    </row>
    <row r="16" spans="2:30" s="131" customFormat="1" ht="14.1" customHeight="1" thickBot="1">
      <c r="D16" s="65"/>
      <c r="R16" s="146"/>
      <c r="U16" s="2"/>
      <c r="V16" s="2"/>
      <c r="W16" s="2"/>
      <c r="X16" s="2"/>
      <c r="Y16" s="2"/>
      <c r="Z16" s="2"/>
      <c r="AA16" s="2"/>
      <c r="AB16" s="2"/>
    </row>
    <row r="17" spans="3:35" ht="14.1" customHeight="1">
      <c r="D17" s="1424" t="s">
        <v>58</v>
      </c>
      <c r="E17" s="1425"/>
      <c r="F17" s="1425"/>
      <c r="G17" s="1425"/>
      <c r="H17" s="1425"/>
      <c r="I17" s="1425"/>
      <c r="J17" s="1426"/>
      <c r="K17" s="1430" t="s">
        <v>134</v>
      </c>
      <c r="L17" s="1431"/>
      <c r="M17" s="1431"/>
      <c r="N17" s="1431"/>
      <c r="O17" s="1431"/>
      <c r="P17" s="1431"/>
      <c r="Q17" s="1431"/>
      <c r="R17" s="1432"/>
      <c r="S17" s="1443" t="s">
        <v>135</v>
      </c>
      <c r="T17" s="1438" t="s">
        <v>136</v>
      </c>
      <c r="AC17" s="145"/>
      <c r="AE17" s="145"/>
      <c r="AF17" s="145"/>
      <c r="AG17" s="145"/>
      <c r="AH17" s="145"/>
      <c r="AI17" s="145"/>
    </row>
    <row r="18" spans="3:35" ht="14.1" customHeight="1" thickBot="1">
      <c r="D18" s="1427"/>
      <c r="E18" s="1428"/>
      <c r="F18" s="1428"/>
      <c r="G18" s="1428"/>
      <c r="H18" s="1428"/>
      <c r="I18" s="1428"/>
      <c r="J18" s="1429"/>
      <c r="K18" s="1433"/>
      <c r="L18" s="1434"/>
      <c r="M18" s="1434"/>
      <c r="N18" s="1434"/>
      <c r="O18" s="1434"/>
      <c r="P18" s="1434"/>
      <c r="Q18" s="1434"/>
      <c r="R18" s="1435"/>
      <c r="S18" s="1444"/>
      <c r="T18" s="1439"/>
      <c r="AC18" s="145"/>
      <c r="AE18" s="145"/>
      <c r="AF18" s="145"/>
      <c r="AG18" s="145"/>
      <c r="AH18" s="145"/>
      <c r="AI18" s="145"/>
    </row>
    <row r="19" spans="3:35" ht="30.75" customHeight="1" thickTop="1">
      <c r="D19" s="1430" t="s">
        <v>137</v>
      </c>
      <c r="E19" s="1431"/>
      <c r="F19" s="1431"/>
      <c r="G19" s="1431"/>
      <c r="H19" s="1431"/>
      <c r="I19" s="1431"/>
      <c r="J19" s="1454"/>
      <c r="K19" s="1455" t="s">
        <v>138</v>
      </c>
      <c r="L19" s="1456"/>
      <c r="M19" s="1456"/>
      <c r="N19" s="1456"/>
      <c r="O19" s="1456"/>
      <c r="P19" s="1456"/>
      <c r="Q19" s="1456"/>
      <c r="R19" s="1457"/>
      <c r="S19" s="147"/>
      <c r="T19" s="148"/>
      <c r="AC19" s="145"/>
      <c r="AE19" s="145"/>
      <c r="AF19" s="145"/>
      <c r="AG19" s="145"/>
      <c r="AH19" s="145"/>
      <c r="AI19" s="145"/>
    </row>
    <row r="20" spans="3:35" ht="30.75" customHeight="1">
      <c r="D20" s="149"/>
      <c r="E20" s="150"/>
      <c r="F20" s="1445" t="s">
        <v>139</v>
      </c>
      <c r="G20" s="1446"/>
      <c r="H20" s="1446"/>
      <c r="I20" s="1446"/>
      <c r="J20" s="1447"/>
      <c r="K20" s="1448" t="s">
        <v>140</v>
      </c>
      <c r="L20" s="1449"/>
      <c r="M20" s="1449"/>
      <c r="N20" s="1449"/>
      <c r="O20" s="1449"/>
      <c r="P20" s="1449"/>
      <c r="Q20" s="1449"/>
      <c r="R20" s="1450"/>
      <c r="S20" s="137"/>
      <c r="T20" s="151"/>
      <c r="AC20" s="145"/>
      <c r="AE20" s="145"/>
      <c r="AF20" s="145"/>
      <c r="AG20" s="145"/>
      <c r="AH20" s="145"/>
      <c r="AI20" s="145"/>
    </row>
    <row r="21" spans="3:35" ht="30.75" customHeight="1">
      <c r="D21" s="1451" t="s">
        <v>141</v>
      </c>
      <c r="E21" s="1452"/>
      <c r="F21" s="1452"/>
      <c r="G21" s="1452"/>
      <c r="H21" s="1452"/>
      <c r="I21" s="1452"/>
      <c r="J21" s="1453"/>
      <c r="K21" s="1448" t="s">
        <v>142</v>
      </c>
      <c r="L21" s="1449"/>
      <c r="M21" s="1449"/>
      <c r="N21" s="1449"/>
      <c r="O21" s="1449"/>
      <c r="P21" s="1449"/>
      <c r="Q21" s="1449"/>
      <c r="R21" s="1450"/>
      <c r="S21" s="137"/>
      <c r="T21" s="151"/>
      <c r="AC21" s="145"/>
      <c r="AE21" s="145"/>
      <c r="AF21" s="145"/>
      <c r="AG21" s="145"/>
      <c r="AH21" s="145"/>
      <c r="AI21" s="145"/>
    </row>
    <row r="22" spans="3:35" ht="30.75" customHeight="1">
      <c r="D22" s="149"/>
      <c r="E22" s="150"/>
      <c r="F22" s="1445" t="s">
        <v>143</v>
      </c>
      <c r="G22" s="1446"/>
      <c r="H22" s="1446"/>
      <c r="I22" s="1446"/>
      <c r="J22" s="1447"/>
      <c r="K22" s="1448" t="s">
        <v>144</v>
      </c>
      <c r="L22" s="1449"/>
      <c r="M22" s="1449"/>
      <c r="N22" s="1449"/>
      <c r="O22" s="1449"/>
      <c r="P22" s="1449"/>
      <c r="Q22" s="1449"/>
      <c r="R22" s="1450"/>
      <c r="S22" s="137"/>
      <c r="T22" s="151"/>
      <c r="AC22" s="145"/>
      <c r="AE22" s="145"/>
      <c r="AF22" s="145"/>
      <c r="AG22" s="145"/>
      <c r="AH22" s="145"/>
      <c r="AI22" s="145"/>
    </row>
    <row r="23" spans="3:35" ht="30" customHeight="1" thickBot="1">
      <c r="D23" s="1463" t="s">
        <v>145</v>
      </c>
      <c r="E23" s="1464"/>
      <c r="F23" s="1464"/>
      <c r="G23" s="1464"/>
      <c r="H23" s="1464"/>
      <c r="I23" s="1464"/>
      <c r="J23" s="1465"/>
      <c r="K23" s="1466" t="s">
        <v>146</v>
      </c>
      <c r="L23" s="1467"/>
      <c r="M23" s="1467"/>
      <c r="N23" s="1467"/>
      <c r="O23" s="1467"/>
      <c r="P23" s="1467"/>
      <c r="Q23" s="1467"/>
      <c r="R23" s="1468"/>
      <c r="S23" s="139"/>
      <c r="T23" s="152"/>
      <c r="AC23" s="145"/>
      <c r="AE23" s="145"/>
      <c r="AF23" s="145"/>
      <c r="AG23" s="145"/>
      <c r="AH23" s="145"/>
      <c r="AI23" s="145"/>
    </row>
    <row r="24" spans="3:35" ht="14.25" customHeight="1">
      <c r="D24" s="65" t="s">
        <v>147</v>
      </c>
      <c r="E24" s="145"/>
      <c r="F24" s="145"/>
      <c r="G24" s="145"/>
      <c r="H24" s="145"/>
      <c r="I24" s="145"/>
      <c r="J24" s="145"/>
      <c r="K24" s="145"/>
      <c r="L24" s="145"/>
      <c r="M24" s="145"/>
      <c r="N24" s="145"/>
      <c r="O24" s="145"/>
    </row>
    <row r="25" spans="3:35" ht="14.25" customHeight="1">
      <c r="D25" s="65"/>
      <c r="E25" s="145"/>
      <c r="F25" s="145"/>
      <c r="G25" s="145"/>
      <c r="H25" s="145"/>
      <c r="I25" s="145"/>
      <c r="J25" s="145"/>
      <c r="K25" s="145"/>
      <c r="L25" s="145"/>
      <c r="M25" s="145"/>
      <c r="N25" s="145"/>
      <c r="O25" s="145"/>
    </row>
    <row r="27" spans="3:35" ht="18" thickBot="1">
      <c r="C27" s="153" t="s">
        <v>148</v>
      </c>
      <c r="E27" s="154"/>
      <c r="F27" s="154"/>
      <c r="G27" s="154"/>
      <c r="H27" s="154"/>
      <c r="I27" s="155"/>
      <c r="J27" s="155"/>
      <c r="K27" s="155"/>
      <c r="L27" s="155"/>
      <c r="M27" s="155"/>
      <c r="P27" s="145"/>
      <c r="Q27" s="145"/>
      <c r="R27" s="145"/>
      <c r="AD27" s="153" t="s">
        <v>148</v>
      </c>
    </row>
    <row r="28" spans="3:35" ht="30" customHeight="1" thickTop="1" thickBot="1">
      <c r="D28" s="1469" t="s">
        <v>149</v>
      </c>
      <c r="E28" s="1469"/>
      <c r="F28" s="1469"/>
      <c r="G28" s="1469"/>
      <c r="H28" s="1469"/>
      <c r="I28" s="1469"/>
      <c r="J28" s="1469"/>
      <c r="K28" s="1469"/>
      <c r="L28" s="1469"/>
      <c r="M28" s="1469"/>
      <c r="N28" s="1469"/>
      <c r="P28" s="156"/>
      <c r="T28" s="2"/>
      <c r="AE28" s="157" t="s">
        <v>150</v>
      </c>
      <c r="AF28" s="157" t="str">
        <f>IF(P28&lt;&gt;"",P28,"")</f>
        <v/>
      </c>
      <c r="AG28" s="158" t="str">
        <f>IF(AF28="いる",1,IF(AF28="いない",0,""))</f>
        <v/>
      </c>
    </row>
    <row r="29" spans="3:35" ht="14.25" customHeight="1" thickTop="1">
      <c r="D29" s="1469"/>
      <c r="E29" s="1469"/>
      <c r="F29" s="1469"/>
      <c r="G29" s="1469"/>
      <c r="H29" s="1469"/>
      <c r="I29" s="1469"/>
      <c r="J29" s="1469"/>
      <c r="K29" s="1469"/>
      <c r="L29" s="1469"/>
      <c r="M29" s="1469"/>
      <c r="N29" s="1469"/>
      <c r="S29" s="2"/>
      <c r="T29" s="2"/>
    </row>
    <row r="30" spans="3:35" ht="14.25" customHeight="1">
      <c r="D30" s="159"/>
      <c r="E30" s="159"/>
      <c r="F30" s="159"/>
      <c r="G30" s="159"/>
      <c r="H30" s="159"/>
      <c r="I30" s="159"/>
      <c r="J30" s="159"/>
      <c r="K30" s="159"/>
      <c r="L30" s="159"/>
      <c r="M30" s="159"/>
      <c r="N30" s="159"/>
      <c r="S30" s="2"/>
      <c r="T30" s="2"/>
    </row>
    <row r="31" spans="3:35" ht="18" customHeight="1">
      <c r="D31" s="154"/>
      <c r="E31" s="144"/>
      <c r="F31" s="144"/>
      <c r="G31" s="144"/>
      <c r="H31" s="144"/>
      <c r="I31" s="144"/>
      <c r="J31" s="144"/>
      <c r="K31" s="144"/>
      <c r="L31" s="144"/>
      <c r="M31" s="160"/>
      <c r="N31" s="160"/>
      <c r="O31" s="160"/>
      <c r="P31" s="160"/>
      <c r="Q31" s="160"/>
      <c r="R31" s="160"/>
    </row>
    <row r="32" spans="3:35" ht="18" customHeight="1">
      <c r="C32" s="153" t="s">
        <v>151</v>
      </c>
      <c r="E32" s="154"/>
      <c r="F32" s="154"/>
      <c r="G32" s="154"/>
      <c r="H32" s="154"/>
      <c r="I32" s="155"/>
      <c r="J32" s="155"/>
      <c r="K32" s="155"/>
      <c r="L32" s="155"/>
      <c r="M32" s="155"/>
      <c r="P32" s="145"/>
      <c r="Q32" s="145"/>
      <c r="R32" s="145"/>
      <c r="AD32" s="153" t="s">
        <v>151</v>
      </c>
    </row>
    <row r="33" spans="1:33" ht="18" customHeight="1">
      <c r="D33" s="161" t="s">
        <v>152</v>
      </c>
      <c r="F33" s="154"/>
      <c r="G33" s="154"/>
      <c r="H33" s="154"/>
      <c r="I33" s="155"/>
      <c r="J33" s="155"/>
      <c r="K33" s="155"/>
      <c r="L33" s="155"/>
      <c r="M33" s="155"/>
      <c r="P33" s="145"/>
      <c r="Q33" s="145"/>
      <c r="R33" s="145"/>
    </row>
    <row r="34" spans="1:33" ht="14.1" customHeight="1" thickBot="1">
      <c r="D34" s="161"/>
      <c r="F34" s="154"/>
      <c r="G34" s="154"/>
      <c r="H34" s="154"/>
      <c r="I34" s="155"/>
      <c r="J34" s="155"/>
      <c r="K34" s="155"/>
      <c r="L34" s="155"/>
      <c r="M34" s="155"/>
      <c r="P34" s="145"/>
      <c r="Q34" s="145"/>
      <c r="R34" s="145"/>
    </row>
    <row r="35" spans="1:33" ht="28.5" customHeight="1" thickBot="1">
      <c r="D35" s="1458" t="s">
        <v>58</v>
      </c>
      <c r="E35" s="1459"/>
      <c r="F35" s="1459"/>
      <c r="G35" s="1459"/>
      <c r="H35" s="1459"/>
      <c r="I35" s="1459"/>
      <c r="J35" s="1459"/>
      <c r="K35" s="1460"/>
      <c r="L35" s="162" t="s">
        <v>153</v>
      </c>
      <c r="M35" s="163" t="s">
        <v>154</v>
      </c>
      <c r="N35" s="163" t="s">
        <v>155</v>
      </c>
      <c r="O35" s="163" t="s">
        <v>156</v>
      </c>
      <c r="P35" s="164" t="s">
        <v>157</v>
      </c>
      <c r="AE35" s="165" t="s">
        <v>158</v>
      </c>
      <c r="AF35" s="2"/>
      <c r="AG35" s="2"/>
    </row>
    <row r="36" spans="1:33" ht="30.75" customHeight="1" thickTop="1" thickBot="1">
      <c r="D36" s="1461" t="s">
        <v>159</v>
      </c>
      <c r="E36" s="1462"/>
      <c r="F36" s="1462"/>
      <c r="G36" s="1462"/>
      <c r="H36" s="1462"/>
      <c r="I36" s="1462"/>
      <c r="J36" s="1462"/>
      <c r="K36" s="1462"/>
      <c r="L36" s="166"/>
      <c r="M36" s="167"/>
      <c r="N36" s="167"/>
      <c r="O36" s="167"/>
      <c r="P36" s="168"/>
      <c r="AE36" s="169">
        <f>IF(COUNT(L36:P36)=2,ROUND(SUM(L36:P36)/2,0),(ROUND((SUM(L36:P36)-MIN(L36:P36)-MAX(L36:P36))/(COUNT(L36:P36)-2),0)))</f>
        <v>0</v>
      </c>
      <c r="AF36" s="2"/>
      <c r="AG36" s="2"/>
    </row>
    <row r="37" spans="1:33" ht="14.1" customHeight="1">
      <c r="D37" s="154"/>
      <c r="E37" s="170"/>
      <c r="F37" s="170"/>
      <c r="G37" s="170"/>
      <c r="H37" s="170"/>
      <c r="I37" s="170"/>
      <c r="J37" s="170"/>
      <c r="K37" s="170"/>
      <c r="M37" s="131"/>
      <c r="N37" s="131"/>
      <c r="P37" s="145"/>
      <c r="Q37" s="145"/>
      <c r="R37" s="145"/>
    </row>
    <row r="38" spans="1:33" ht="14.1" customHeight="1">
      <c r="D38" s="154"/>
      <c r="E38" s="170"/>
      <c r="F38" s="170"/>
      <c r="G38" s="170"/>
      <c r="H38" s="170"/>
      <c r="I38" s="170"/>
      <c r="J38" s="170"/>
      <c r="K38" s="170"/>
      <c r="M38" s="131"/>
      <c r="N38" s="131"/>
      <c r="P38" s="145"/>
      <c r="Q38" s="145"/>
      <c r="R38" s="145"/>
    </row>
    <row r="39" spans="1:33" s="144" customFormat="1" ht="14.1" customHeight="1">
      <c r="B39" s="171"/>
      <c r="C39" s="171"/>
      <c r="P39" s="172"/>
      <c r="Q39" s="172"/>
      <c r="R39" s="173"/>
      <c r="S39" s="173"/>
      <c r="T39" s="173"/>
      <c r="U39" s="2"/>
      <c r="V39" s="2"/>
      <c r="W39" s="2"/>
      <c r="X39" s="2"/>
      <c r="Y39" s="2"/>
      <c r="Z39" s="2"/>
      <c r="AA39" s="2"/>
      <c r="AB39" s="2"/>
      <c r="AD39" s="171"/>
    </row>
    <row r="40" spans="1:33" s="144" customFormat="1" ht="14.1" customHeight="1">
      <c r="D40" s="174"/>
      <c r="E40" s="174"/>
      <c r="N40" s="175"/>
      <c r="P40" s="172"/>
      <c r="Q40" s="173"/>
      <c r="R40" s="173"/>
      <c r="S40" s="173"/>
      <c r="T40" s="173"/>
      <c r="U40" s="2"/>
      <c r="V40" s="2"/>
      <c r="W40" s="2"/>
      <c r="X40" s="2"/>
      <c r="Y40" s="2"/>
      <c r="Z40" s="2"/>
      <c r="AA40" s="2"/>
      <c r="AB40" s="2"/>
    </row>
    <row r="41" spans="1:33" s="144" customFormat="1" ht="14.1" customHeight="1">
      <c r="D41" s="174"/>
      <c r="E41" s="174"/>
      <c r="N41" s="175"/>
      <c r="U41" s="2"/>
      <c r="V41" s="2"/>
      <c r="W41" s="2"/>
      <c r="X41" s="2"/>
      <c r="Y41" s="2"/>
      <c r="Z41" s="2"/>
      <c r="AA41" s="2"/>
      <c r="AB41" s="2"/>
    </row>
    <row r="42" spans="1:33" s="176" customFormat="1" ht="14.1" customHeight="1">
      <c r="A42" s="144"/>
      <c r="D42" s="177"/>
      <c r="E42" s="177"/>
      <c r="F42" s="177"/>
      <c r="G42" s="177"/>
      <c r="H42" s="177"/>
      <c r="I42" s="177"/>
      <c r="J42" s="177"/>
      <c r="K42" s="177"/>
      <c r="L42" s="178"/>
      <c r="M42" s="178"/>
      <c r="N42" s="178"/>
      <c r="P42" s="177"/>
      <c r="Q42" s="177"/>
      <c r="R42" s="177"/>
      <c r="S42" s="177"/>
      <c r="T42" s="177"/>
      <c r="U42" s="2"/>
      <c r="V42" s="2"/>
      <c r="W42" s="2"/>
      <c r="X42" s="2"/>
      <c r="Y42" s="2"/>
      <c r="Z42" s="2"/>
      <c r="AA42" s="2"/>
      <c r="AB42" s="2"/>
    </row>
    <row r="43" spans="1:33" s="176" customFormat="1" ht="14.1" customHeight="1">
      <c r="D43" s="177"/>
      <c r="E43" s="177"/>
      <c r="F43" s="177"/>
      <c r="G43" s="177"/>
      <c r="H43" s="177"/>
      <c r="I43" s="177"/>
      <c r="J43" s="177"/>
      <c r="K43" s="177"/>
      <c r="L43" s="178"/>
      <c r="M43" s="178"/>
      <c r="N43" s="178"/>
      <c r="P43" s="177"/>
      <c r="Q43" s="177"/>
      <c r="R43" s="177"/>
      <c r="S43" s="177"/>
      <c r="T43" s="177"/>
      <c r="U43" s="2"/>
      <c r="V43" s="2"/>
      <c r="W43" s="2"/>
      <c r="X43" s="2"/>
      <c r="Y43" s="2"/>
      <c r="Z43" s="2"/>
      <c r="AA43" s="2"/>
      <c r="AB43" s="2"/>
    </row>
    <row r="44" spans="1:33" s="176" customFormat="1" ht="14.1" customHeight="1">
      <c r="D44" s="179"/>
      <c r="E44" s="178"/>
      <c r="F44" s="178"/>
      <c r="G44" s="178"/>
      <c r="H44" s="178"/>
      <c r="I44" s="178"/>
      <c r="J44" s="178"/>
      <c r="K44" s="179"/>
      <c r="L44" s="178"/>
      <c r="M44" s="179"/>
      <c r="N44" s="180"/>
      <c r="P44" s="177"/>
      <c r="Q44" s="177"/>
      <c r="R44" s="177"/>
      <c r="S44" s="177"/>
      <c r="T44" s="177"/>
      <c r="U44" s="2"/>
      <c r="V44" s="2"/>
      <c r="W44" s="2"/>
      <c r="X44" s="2"/>
      <c r="Y44" s="2"/>
      <c r="Z44" s="2"/>
      <c r="AA44" s="2"/>
      <c r="AB44" s="2"/>
    </row>
    <row r="45" spans="1:33" s="176" customFormat="1" ht="14.1" customHeight="1">
      <c r="D45" s="179"/>
      <c r="E45" s="178"/>
      <c r="F45" s="178"/>
      <c r="G45" s="178"/>
      <c r="H45" s="178"/>
      <c r="I45" s="178"/>
      <c r="J45" s="178"/>
      <c r="K45" s="179"/>
      <c r="L45" s="178"/>
      <c r="M45" s="178"/>
      <c r="N45" s="180"/>
      <c r="P45" s="177"/>
      <c r="Q45" s="177"/>
      <c r="R45" s="177"/>
      <c r="S45" s="177"/>
      <c r="T45" s="177"/>
      <c r="U45" s="2"/>
      <c r="V45" s="2"/>
      <c r="W45" s="2"/>
      <c r="X45" s="2"/>
      <c r="Y45" s="2"/>
      <c r="Z45" s="2"/>
      <c r="AA45" s="2"/>
      <c r="AB45" s="2"/>
    </row>
    <row r="46" spans="1:33" s="144" customFormat="1" ht="14.1" customHeight="1">
      <c r="D46" s="181"/>
      <c r="E46" s="178"/>
      <c r="F46" s="178"/>
      <c r="G46" s="178"/>
      <c r="H46" s="178"/>
      <c r="I46" s="178"/>
      <c r="J46" s="178"/>
      <c r="K46" s="179"/>
      <c r="L46" s="178"/>
      <c r="M46" s="178"/>
      <c r="N46" s="182"/>
      <c r="P46" s="183"/>
      <c r="Q46" s="183"/>
      <c r="R46" s="183"/>
      <c r="S46" s="183"/>
      <c r="U46" s="2"/>
      <c r="V46" s="2"/>
      <c r="W46" s="2"/>
      <c r="X46" s="2"/>
      <c r="Y46" s="2"/>
      <c r="Z46" s="2"/>
      <c r="AA46" s="2"/>
      <c r="AB46" s="2"/>
    </row>
    <row r="47" spans="1:33" s="144" customFormat="1" ht="14.1" customHeight="1">
      <c r="D47" s="184"/>
      <c r="U47" s="2"/>
      <c r="V47" s="2"/>
      <c r="W47" s="2"/>
      <c r="X47" s="2"/>
      <c r="Y47" s="2"/>
      <c r="Z47" s="2"/>
      <c r="AA47" s="2"/>
      <c r="AB47" s="2"/>
    </row>
    <row r="48" spans="1:33" ht="14.25" customHeight="1">
      <c r="E48" s="185"/>
    </row>
  </sheetData>
  <sheetProtection sheet="1" objects="1" scenarios="1" selectLockedCells="1"/>
  <mergeCells count="24">
    <mergeCell ref="D35:K35"/>
    <mergeCell ref="D36:K36"/>
    <mergeCell ref="F22:J22"/>
    <mergeCell ref="K22:R22"/>
    <mergeCell ref="D23:J23"/>
    <mergeCell ref="K23:R23"/>
    <mergeCell ref="D28:N29"/>
    <mergeCell ref="S17:S18"/>
    <mergeCell ref="T17:T18"/>
    <mergeCell ref="F20:J20"/>
    <mergeCell ref="K20:R20"/>
    <mergeCell ref="D21:J21"/>
    <mergeCell ref="K21:R21"/>
    <mergeCell ref="D19:J19"/>
    <mergeCell ref="K19:R19"/>
    <mergeCell ref="D11:L11"/>
    <mergeCell ref="D12:L12"/>
    <mergeCell ref="D17:J18"/>
    <mergeCell ref="K17:R18"/>
    <mergeCell ref="D7:L8"/>
    <mergeCell ref="M7:M8"/>
    <mergeCell ref="N7:N8"/>
    <mergeCell ref="D9:L9"/>
    <mergeCell ref="D10:L10"/>
  </mergeCells>
  <phoneticPr fontId="5"/>
  <dataValidations count="1">
    <dataValidation type="whole" operator="greaterThan" allowBlank="1" showInputMessage="1" showErrorMessage="1" error="0より大きい数値を整数で入力してください。" sqref="M9:N12 S19:T23 L36:P36" xr:uid="{00000000-0002-0000-0400-000000000000}">
      <formula1>0</formula1>
    </dataValidation>
  </dataValidations>
  <pageMargins left="0.59055118110236227" right="0.59055118110236227" top="0.59055118110236227" bottom="0.59055118110236227" header="0" footer="0"/>
  <pageSetup paperSize="9" scale="43" orientation="portrait" cellComments="asDisplayed" r:id="rId1"/>
  <headerFooter alignWithMargins="0"/>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1000000}">
          <x14:formula1>
            <xm:f>リスト!$L$5:$L$6</xm:f>
          </x14:formula1>
          <xm:sqref>P28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6">
    <pageSetUpPr fitToPage="1"/>
  </sheetPr>
  <dimension ref="A1:CE79"/>
  <sheetViews>
    <sheetView showGridLines="0" zoomScale="85" zoomScaleNormal="85" zoomScaleSheetLayoutView="80" workbookViewId="0">
      <selection activeCell="K12" sqref="K12"/>
    </sheetView>
  </sheetViews>
  <sheetFormatPr defaultColWidth="2.625" defaultRowHeight="14.25" customHeight="1" outlineLevelCol="1"/>
  <cols>
    <col min="1" max="1" width="2.625" style="128" customWidth="1"/>
    <col min="2" max="2" width="5.75" style="128" customWidth="1"/>
    <col min="3" max="10" width="2.625" style="128" customWidth="1"/>
    <col min="11" max="12" width="17.375" style="128" customWidth="1"/>
    <col min="13" max="18" width="2.625" style="128" customWidth="1"/>
    <col min="19" max="22" width="2.625" style="128" customWidth="1" outlineLevel="1"/>
    <col min="23" max="23" width="17.375" style="128" customWidth="1" outlineLevel="1"/>
    <col min="24" max="31" width="2.625" style="128" customWidth="1" outlineLevel="1"/>
    <col min="32" max="33" width="0.875" style="128" customWidth="1" outlineLevel="1"/>
    <col min="34" max="35" width="2.625" style="128" customWidth="1" outlineLevel="1"/>
    <col min="36" max="36" width="17.375" style="128" customWidth="1" outlineLevel="1"/>
    <col min="37" max="37" width="17.375" style="2" customWidth="1" outlineLevel="1"/>
    <col min="38" max="38" width="10" style="2" customWidth="1" outlineLevel="1"/>
    <col min="39" max="39" width="17.375" style="2" customWidth="1" outlineLevel="1"/>
    <col min="40" max="42" width="17.375" style="128" customWidth="1"/>
    <col min="43" max="43" width="22.75" style="128" bestFit="1" customWidth="1"/>
    <col min="44" max="44" width="2.625" style="128"/>
    <col min="45" max="45" width="22.75" style="128" bestFit="1" customWidth="1"/>
    <col min="46" max="46" width="2.625" style="128"/>
    <col min="47" max="47" width="22.75" style="128" bestFit="1" customWidth="1"/>
    <col min="48" max="16384" width="2.625" style="128"/>
  </cols>
  <sheetData>
    <row r="1" spans="1:59" ht="14.25" customHeight="1">
      <c r="AI1" s="55"/>
      <c r="AJ1" s="186" t="s">
        <v>121</v>
      </c>
    </row>
    <row r="2" spans="1:59" s="131" customFormat="1" ht="18" customHeight="1">
      <c r="A2" s="187"/>
      <c r="AI2" s="55"/>
      <c r="AJ2" s="187"/>
      <c r="AM2" s="128"/>
      <c r="AN2" s="128"/>
      <c r="AO2" s="128"/>
      <c r="AP2" s="128"/>
      <c r="AQ2" s="128"/>
    </row>
    <row r="3" spans="1:59" ht="14.25" customHeight="1">
      <c r="O3" s="188"/>
      <c r="P3" s="145"/>
      <c r="Q3" s="145"/>
      <c r="R3" s="145"/>
      <c r="S3" s="145"/>
      <c r="T3" s="145"/>
      <c r="U3" s="145"/>
      <c r="V3" s="145"/>
      <c r="W3" s="145"/>
      <c r="X3" s="131"/>
      <c r="Y3" s="131"/>
      <c r="Z3" s="131"/>
      <c r="AA3" s="131"/>
      <c r="AB3" s="189"/>
      <c r="AI3" s="55"/>
      <c r="AK3" s="128"/>
      <c r="AL3" s="128"/>
      <c r="AM3" s="128"/>
    </row>
    <row r="4" spans="1:59" s="131" customFormat="1" ht="18" customHeight="1">
      <c r="A4" s="130" t="s">
        <v>160</v>
      </c>
      <c r="C4" s="132"/>
      <c r="D4" s="132"/>
      <c r="E4" s="132"/>
      <c r="F4" s="133"/>
      <c r="G4" s="133"/>
      <c r="H4" s="133"/>
      <c r="I4" s="133"/>
      <c r="J4" s="133"/>
      <c r="K4" s="133"/>
      <c r="O4" s="190"/>
      <c r="P4" s="191"/>
      <c r="Q4" s="191"/>
      <c r="R4" s="191"/>
      <c r="S4" s="191"/>
      <c r="T4" s="191"/>
      <c r="U4" s="191"/>
      <c r="V4" s="191"/>
      <c r="W4" s="191"/>
      <c r="X4" s="191"/>
      <c r="Y4" s="191"/>
      <c r="Z4" s="191"/>
      <c r="AA4" s="191"/>
      <c r="AB4" s="191"/>
      <c r="AC4" s="191"/>
      <c r="AD4" s="191"/>
      <c r="AE4" s="191"/>
      <c r="AI4" s="55"/>
      <c r="AJ4" s="130"/>
    </row>
    <row r="5" spans="1:59" s="131" customFormat="1" ht="14.25" customHeight="1">
      <c r="A5" s="128"/>
      <c r="B5" s="134" t="s">
        <v>161</v>
      </c>
      <c r="C5" s="55"/>
      <c r="D5" s="161"/>
      <c r="E5" s="161"/>
      <c r="F5" s="161"/>
      <c r="G5" s="161"/>
      <c r="H5" s="161"/>
      <c r="I5" s="161"/>
      <c r="J5" s="161"/>
      <c r="K5" s="161"/>
      <c r="L5" s="55"/>
      <c r="M5" s="56"/>
      <c r="N5" s="56"/>
      <c r="O5" s="174"/>
      <c r="P5" s="192"/>
      <c r="Q5" s="174"/>
      <c r="R5" s="174"/>
      <c r="S5" s="174"/>
      <c r="T5" s="174"/>
      <c r="U5" s="174"/>
      <c r="V5" s="174"/>
      <c r="W5" s="174"/>
      <c r="X5" s="174"/>
      <c r="Y5" s="174"/>
      <c r="Z5" s="174"/>
      <c r="AA5" s="174"/>
      <c r="AB5" s="174"/>
      <c r="AC5" s="174"/>
      <c r="AD5" s="174"/>
      <c r="AE5" s="193"/>
      <c r="AF5" s="128"/>
      <c r="AG5" s="128"/>
      <c r="AH5" s="128"/>
      <c r="AI5" s="55"/>
      <c r="AJ5" s="194"/>
    </row>
    <row r="6" spans="1:59" ht="14.25" customHeight="1">
      <c r="B6" s="134" t="s">
        <v>162</v>
      </c>
      <c r="C6" s="55"/>
      <c r="D6" s="161"/>
      <c r="E6" s="161"/>
      <c r="F6" s="161"/>
      <c r="G6" s="161"/>
      <c r="H6" s="161"/>
      <c r="I6" s="161"/>
      <c r="J6" s="161"/>
      <c r="K6" s="161"/>
      <c r="L6" s="55"/>
      <c r="M6" s="56"/>
      <c r="N6" s="56"/>
      <c r="O6" s="174"/>
      <c r="P6" s="192"/>
      <c r="Q6" s="174"/>
      <c r="R6" s="174"/>
      <c r="S6" s="174"/>
      <c r="T6" s="174"/>
      <c r="U6" s="174"/>
      <c r="V6" s="174"/>
      <c r="W6" s="174"/>
      <c r="X6" s="174"/>
      <c r="Y6" s="174"/>
      <c r="Z6" s="174"/>
      <c r="AA6" s="174"/>
      <c r="AB6" s="174"/>
      <c r="AC6" s="174"/>
      <c r="AD6" s="174"/>
      <c r="AE6" s="193"/>
      <c r="AI6" s="55"/>
      <c r="AJ6" s="194"/>
      <c r="AK6" s="128"/>
      <c r="AL6" s="128"/>
      <c r="AM6" s="128"/>
    </row>
    <row r="7" spans="1:59" ht="14.25" customHeight="1">
      <c r="B7" s="134" t="s">
        <v>163</v>
      </c>
      <c r="C7" s="55"/>
      <c r="D7" s="161"/>
      <c r="E7" s="161"/>
      <c r="F7" s="161"/>
      <c r="G7" s="161"/>
      <c r="H7" s="161"/>
      <c r="I7" s="161"/>
      <c r="J7" s="161"/>
      <c r="K7" s="161"/>
      <c r="L7" s="55"/>
      <c r="M7" s="56"/>
      <c r="N7" s="56"/>
      <c r="O7" s="174"/>
      <c r="P7" s="192"/>
      <c r="Q7" s="174"/>
      <c r="R7" s="174"/>
      <c r="S7" s="174"/>
      <c r="T7" s="174"/>
      <c r="U7" s="174"/>
      <c r="V7" s="174"/>
      <c r="W7" s="174"/>
      <c r="X7" s="174"/>
      <c r="Y7" s="174"/>
      <c r="Z7" s="174"/>
      <c r="AA7" s="174"/>
      <c r="AB7" s="174"/>
      <c r="AC7" s="174"/>
      <c r="AD7" s="174"/>
      <c r="AE7" s="193"/>
      <c r="AI7" s="55"/>
      <c r="AK7" s="194"/>
      <c r="AL7" s="194"/>
      <c r="AM7" s="194"/>
      <c r="AN7" s="194"/>
    </row>
    <row r="8" spans="1:59" ht="14.25" customHeight="1" thickBot="1">
      <c r="B8" s="134"/>
      <c r="C8" s="55"/>
      <c r="D8" s="161"/>
      <c r="E8" s="161"/>
      <c r="F8" s="161"/>
      <c r="G8" s="161"/>
      <c r="H8" s="161"/>
      <c r="I8" s="161"/>
      <c r="J8" s="195"/>
      <c r="K8" s="195"/>
      <c r="L8" s="2"/>
      <c r="M8" s="2"/>
      <c r="N8" s="2"/>
      <c r="O8" s="2"/>
      <c r="P8" s="2"/>
      <c r="Q8" s="174"/>
      <c r="R8" s="174"/>
      <c r="S8" s="174"/>
      <c r="T8" s="174"/>
      <c r="U8" s="174"/>
      <c r="V8" s="174"/>
      <c r="W8" s="174"/>
      <c r="X8" s="174"/>
      <c r="Y8" s="174"/>
      <c r="Z8" s="174"/>
      <c r="AA8" s="174"/>
      <c r="AB8" s="174"/>
      <c r="AC8" s="174"/>
      <c r="AD8" s="174"/>
      <c r="AE8" s="193"/>
      <c r="AI8" s="55"/>
      <c r="AK8" s="194"/>
      <c r="AL8" s="194"/>
      <c r="AM8" s="194"/>
      <c r="AN8" s="194"/>
    </row>
    <row r="9" spans="1:59" ht="14.25" customHeight="1">
      <c r="A9" s="196"/>
      <c r="B9" s="1472" t="s">
        <v>58</v>
      </c>
      <c r="C9" s="1473"/>
      <c r="D9" s="1473"/>
      <c r="E9" s="1473"/>
      <c r="F9" s="1473"/>
      <c r="G9" s="1473"/>
      <c r="H9" s="1473"/>
      <c r="I9" s="1473"/>
      <c r="J9" s="197"/>
      <c r="K9" s="1478" t="s">
        <v>164</v>
      </c>
      <c r="L9" s="2"/>
      <c r="M9" s="2"/>
      <c r="N9" s="2"/>
      <c r="O9" s="2"/>
      <c r="P9" s="2"/>
      <c r="Q9" s="2"/>
      <c r="R9" s="2"/>
      <c r="S9" s="2"/>
      <c r="T9" s="2"/>
      <c r="AC9" s="2"/>
      <c r="AD9" s="2"/>
      <c r="AE9" s="2"/>
      <c r="AF9" s="2"/>
      <c r="AG9" s="2"/>
      <c r="AH9" s="2"/>
      <c r="AI9" s="2"/>
      <c r="AK9" s="194"/>
      <c r="AL9" s="194"/>
      <c r="AM9" s="194"/>
      <c r="AN9" s="194"/>
    </row>
    <row r="10" spans="1:59" ht="14.25" customHeight="1">
      <c r="A10" s="196"/>
      <c r="B10" s="1474"/>
      <c r="C10" s="1475"/>
      <c r="D10" s="1475"/>
      <c r="E10" s="1475"/>
      <c r="F10" s="1475"/>
      <c r="G10" s="1475"/>
      <c r="H10" s="1475"/>
      <c r="I10" s="1475"/>
      <c r="J10" s="1481" t="s">
        <v>165</v>
      </c>
      <c r="K10" s="1479"/>
      <c r="L10" s="2"/>
      <c r="M10" s="2"/>
      <c r="N10" s="2"/>
      <c r="O10" s="2"/>
      <c r="P10" s="2"/>
      <c r="Q10" s="177"/>
      <c r="R10" s="177"/>
      <c r="S10" s="177"/>
      <c r="T10" s="198"/>
      <c r="AC10" s="178"/>
      <c r="AD10" s="178"/>
      <c r="AE10" s="178"/>
      <c r="AI10" s="55"/>
      <c r="AK10" s="128"/>
      <c r="AL10" s="128"/>
      <c r="AM10" s="128"/>
    </row>
    <row r="11" spans="1:59" ht="14.25" customHeight="1" thickBot="1">
      <c r="A11" s="196"/>
      <c r="B11" s="1476"/>
      <c r="C11" s="1477"/>
      <c r="D11" s="1477"/>
      <c r="E11" s="1477"/>
      <c r="F11" s="1477"/>
      <c r="G11" s="1477"/>
      <c r="H11" s="1477"/>
      <c r="I11" s="1477"/>
      <c r="J11" s="1482"/>
      <c r="K11" s="1480"/>
      <c r="L11" s="2"/>
      <c r="M11" s="2"/>
      <c r="N11" s="2"/>
      <c r="O11" s="2"/>
      <c r="P11" s="2"/>
      <c r="Q11" s="178"/>
      <c r="AD11" s="176"/>
      <c r="AE11" s="176"/>
    </row>
    <row r="12" spans="1:59" ht="30" customHeight="1" thickTop="1">
      <c r="B12" s="1470" t="s">
        <v>166</v>
      </c>
      <c r="C12" s="1471"/>
      <c r="D12" s="1471"/>
      <c r="E12" s="1471"/>
      <c r="F12" s="1471"/>
      <c r="G12" s="1471"/>
      <c r="H12" s="1471"/>
      <c r="I12" s="1471"/>
      <c r="J12" s="199" t="s">
        <v>167</v>
      </c>
      <c r="K12" s="200"/>
      <c r="L12" s="2"/>
      <c r="M12" s="2"/>
      <c r="N12" s="2"/>
      <c r="O12" s="2"/>
      <c r="P12" s="2"/>
      <c r="Q12" s="178"/>
      <c r="AD12" s="176"/>
      <c r="AE12" s="176"/>
    </row>
    <row r="13" spans="1:59" ht="30" customHeight="1">
      <c r="B13" s="1470" t="s">
        <v>168</v>
      </c>
      <c r="C13" s="1471"/>
      <c r="D13" s="1471"/>
      <c r="E13" s="1471"/>
      <c r="F13" s="1471"/>
      <c r="G13" s="1471"/>
      <c r="H13" s="1471"/>
      <c r="I13" s="1471"/>
      <c r="J13" s="201" t="s">
        <v>169</v>
      </c>
      <c r="K13" s="202"/>
      <c r="L13" s="2"/>
      <c r="M13" s="2"/>
      <c r="N13" s="2"/>
      <c r="O13" s="2"/>
      <c r="P13" s="2"/>
      <c r="Q13" s="178"/>
      <c r="AD13" s="2"/>
      <c r="AE13" s="2"/>
      <c r="AF13" s="2"/>
      <c r="AG13" s="2"/>
    </row>
    <row r="14" spans="1:59" ht="30" customHeight="1">
      <c r="A14" s="196"/>
      <c r="B14" s="1470" t="s">
        <v>170</v>
      </c>
      <c r="C14" s="1471"/>
      <c r="D14" s="1471"/>
      <c r="E14" s="1471"/>
      <c r="F14" s="1471"/>
      <c r="G14" s="1471"/>
      <c r="H14" s="1471"/>
      <c r="I14" s="1471"/>
      <c r="J14" s="201" t="s">
        <v>167</v>
      </c>
      <c r="K14" s="202"/>
      <c r="L14" s="2"/>
      <c r="M14" s="2"/>
      <c r="N14" s="2"/>
      <c r="O14" s="2"/>
      <c r="P14" s="2"/>
      <c r="Q14" s="203"/>
      <c r="AD14" s="2"/>
      <c r="AE14" s="2"/>
      <c r="AF14" s="2"/>
      <c r="AG14" s="2"/>
      <c r="AK14" s="128"/>
      <c r="AL14" s="128"/>
      <c r="AM14" s="128"/>
    </row>
    <row r="15" spans="1:59" ht="30" customHeight="1" thickBot="1">
      <c r="A15" s="196"/>
      <c r="B15" s="1485" t="s">
        <v>171</v>
      </c>
      <c r="C15" s="1486"/>
      <c r="D15" s="1486"/>
      <c r="E15" s="1486"/>
      <c r="F15" s="1486"/>
      <c r="G15" s="1486"/>
      <c r="H15" s="1486"/>
      <c r="I15" s="1486"/>
      <c r="J15" s="201" t="s">
        <v>172</v>
      </c>
      <c r="K15" s="202"/>
      <c r="L15" s="2"/>
      <c r="M15" s="2"/>
      <c r="N15" s="2"/>
      <c r="O15" s="2"/>
      <c r="P15" s="2"/>
      <c r="Q15" s="203"/>
      <c r="AD15" s="2"/>
      <c r="AE15" s="2"/>
      <c r="AF15" s="2"/>
      <c r="AG15" s="2"/>
      <c r="AK15" s="128"/>
      <c r="AL15" s="128"/>
      <c r="AM15" s="128"/>
    </row>
    <row r="16" spans="1:59" ht="30" customHeight="1" thickTop="1" thickBot="1">
      <c r="A16" s="204"/>
      <c r="B16" s="1487" t="s">
        <v>173</v>
      </c>
      <c r="C16" s="1487"/>
      <c r="D16" s="1487"/>
      <c r="E16" s="1487"/>
      <c r="F16" s="1487"/>
      <c r="G16" s="1487"/>
      <c r="H16" s="1487"/>
      <c r="I16" s="1487"/>
      <c r="J16" s="205" t="s">
        <v>174</v>
      </c>
      <c r="K16" s="206"/>
      <c r="L16" s="2"/>
      <c r="M16" s="2"/>
      <c r="N16" s="2"/>
      <c r="O16" s="2"/>
      <c r="P16" s="2"/>
      <c r="AK16" s="128"/>
      <c r="AL16" s="128"/>
      <c r="AM16" s="128"/>
      <c r="BG16" s="188"/>
    </row>
    <row r="17" spans="1:83" ht="14.25" customHeight="1">
      <c r="A17" s="207"/>
      <c r="B17" s="208"/>
      <c r="C17" s="208"/>
      <c r="D17" s="208"/>
      <c r="E17" s="208"/>
      <c r="F17" s="208"/>
      <c r="G17" s="208"/>
      <c r="H17" s="208"/>
      <c r="I17" s="208"/>
      <c r="J17" s="209"/>
      <c r="K17" s="209"/>
      <c r="L17" s="2"/>
      <c r="M17" s="2"/>
      <c r="N17" s="2"/>
      <c r="O17" s="2"/>
      <c r="P17" s="2"/>
      <c r="AK17" s="128"/>
      <c r="AL17" s="128"/>
      <c r="AM17" s="128"/>
      <c r="BG17" s="188"/>
    </row>
    <row r="18" spans="1:83" ht="14.25" customHeight="1">
      <c r="A18" s="207"/>
      <c r="B18" s="185"/>
      <c r="C18" s="207"/>
      <c r="D18" s="207"/>
      <c r="E18" s="207"/>
      <c r="F18" s="207"/>
      <c r="G18" s="207"/>
      <c r="H18" s="207"/>
      <c r="I18" s="207"/>
      <c r="J18" s="207"/>
      <c r="K18" s="207"/>
      <c r="L18" s="2"/>
      <c r="M18" s="2"/>
      <c r="N18" s="2"/>
      <c r="O18" s="2"/>
      <c r="P18" s="2"/>
      <c r="Q18" s="207"/>
      <c r="R18" s="207"/>
      <c r="S18" s="207"/>
      <c r="T18" s="207"/>
      <c r="U18" s="207"/>
      <c r="V18" s="207"/>
      <c r="W18" s="207"/>
      <c r="X18" s="207"/>
      <c r="Y18" s="207"/>
      <c r="Z18" s="207"/>
      <c r="AA18" s="207"/>
      <c r="AB18" s="207"/>
      <c r="AC18" s="207"/>
      <c r="AD18" s="207"/>
      <c r="AE18" s="207"/>
      <c r="AK18" s="128"/>
      <c r="AL18" s="128"/>
      <c r="AM18" s="128"/>
      <c r="AP18" s="2"/>
      <c r="AQ18" s="2"/>
      <c r="AR18" s="2"/>
      <c r="AS18" s="2"/>
      <c r="AT18" s="2"/>
      <c r="AU18" s="2"/>
      <c r="AV18" s="2"/>
      <c r="AW18" s="2"/>
      <c r="AX18" s="2"/>
      <c r="AY18" s="2"/>
      <c r="AZ18" s="2"/>
      <c r="BA18" s="2"/>
      <c r="BB18" s="2"/>
      <c r="BC18" s="2"/>
      <c r="BD18" s="2"/>
      <c r="BE18" s="2"/>
      <c r="BF18" s="2"/>
      <c r="BG18" s="2"/>
      <c r="BH18" s="2"/>
      <c r="BI18" s="2"/>
      <c r="BJ18" s="2"/>
      <c r="BK18" s="2"/>
      <c r="BL18" s="2"/>
      <c r="BM18" s="2"/>
      <c r="BN18" s="2"/>
      <c r="BO18" s="2"/>
      <c r="BP18" s="2"/>
      <c r="BQ18" s="2"/>
      <c r="BR18" s="2"/>
      <c r="BS18" s="2"/>
      <c r="BT18" s="2"/>
      <c r="BU18" s="2"/>
      <c r="BV18" s="2"/>
      <c r="BW18" s="2"/>
      <c r="BX18" s="2"/>
      <c r="BY18" s="2"/>
      <c r="BZ18" s="2"/>
      <c r="CA18" s="2"/>
      <c r="CB18" s="2"/>
      <c r="CC18" s="2"/>
      <c r="CD18" s="2"/>
      <c r="CE18" s="2"/>
    </row>
    <row r="19" spans="1:83" ht="14.25" customHeight="1">
      <c r="A19" s="130" t="s">
        <v>175</v>
      </c>
      <c r="B19" s="207"/>
      <c r="C19" s="207"/>
      <c r="D19" s="207"/>
      <c r="E19" s="207"/>
      <c r="F19" s="207"/>
      <c r="G19" s="207"/>
      <c r="H19" s="207"/>
      <c r="I19" s="207"/>
      <c r="J19" s="207"/>
      <c r="K19" s="207"/>
      <c r="L19" s="207"/>
      <c r="M19" s="207"/>
      <c r="N19" s="207"/>
      <c r="O19" s="207"/>
      <c r="P19" s="207"/>
      <c r="Q19" s="207"/>
      <c r="R19" s="207"/>
      <c r="S19" s="207"/>
      <c r="T19" s="207"/>
      <c r="U19" s="207"/>
      <c r="V19" s="207"/>
      <c r="W19" s="207"/>
      <c r="X19" s="207"/>
      <c r="Y19" s="207"/>
      <c r="Z19" s="207"/>
      <c r="AA19" s="207"/>
      <c r="AB19" s="207"/>
      <c r="AC19" s="207"/>
      <c r="AD19" s="207"/>
      <c r="AE19" s="207"/>
      <c r="AI19" s="55"/>
      <c r="AJ19" s="130" t="s">
        <v>175</v>
      </c>
      <c r="AK19" s="128"/>
      <c r="AL19" s="128"/>
      <c r="AM19" s="128"/>
      <c r="BG19" s="188"/>
    </row>
    <row r="20" spans="1:83" ht="14.25" customHeight="1">
      <c r="B20" s="134" t="s">
        <v>176</v>
      </c>
      <c r="C20" s="207"/>
      <c r="D20" s="207"/>
      <c r="E20" s="207"/>
      <c r="F20" s="207"/>
      <c r="G20" s="207"/>
      <c r="H20" s="207"/>
      <c r="I20" s="207"/>
      <c r="J20" s="207"/>
      <c r="K20" s="207"/>
      <c r="L20" s="207"/>
      <c r="M20" s="207"/>
      <c r="N20" s="207"/>
      <c r="O20" s="207"/>
      <c r="P20" s="207"/>
      <c r="Q20" s="207"/>
      <c r="R20" s="207"/>
      <c r="S20" s="207"/>
      <c r="T20" s="207"/>
      <c r="U20" s="207"/>
      <c r="V20" s="207"/>
      <c r="W20" s="207"/>
      <c r="X20" s="207"/>
      <c r="Y20" s="207"/>
      <c r="Z20" s="207"/>
      <c r="AA20" s="207"/>
      <c r="AB20" s="207"/>
      <c r="AC20" s="207"/>
      <c r="AD20" s="207"/>
      <c r="AE20" s="207"/>
      <c r="AI20" s="55"/>
      <c r="AJ20" s="128" t="s">
        <v>177</v>
      </c>
      <c r="AK20" s="128"/>
      <c r="AL20" s="128"/>
      <c r="AM20" s="128"/>
      <c r="AQ20" s="207"/>
      <c r="BG20" s="188"/>
    </row>
    <row r="21" spans="1:83" ht="18" customHeight="1" thickBot="1">
      <c r="B21" s="134"/>
      <c r="C21" s="207"/>
      <c r="D21" s="207"/>
      <c r="E21" s="207"/>
      <c r="F21" s="207"/>
      <c r="G21" s="207"/>
      <c r="H21" s="207"/>
      <c r="I21" s="207"/>
      <c r="J21" s="207"/>
      <c r="K21" s="207"/>
      <c r="L21" s="207"/>
      <c r="M21" s="207"/>
      <c r="N21" s="207"/>
      <c r="O21" s="207"/>
      <c r="P21" s="207"/>
      <c r="Q21" s="207"/>
      <c r="R21" s="207"/>
      <c r="S21" s="207"/>
      <c r="T21" s="207"/>
      <c r="U21" s="207"/>
      <c r="V21" s="207"/>
      <c r="W21" s="207"/>
      <c r="X21" s="207"/>
      <c r="Y21" s="207"/>
      <c r="Z21" s="207"/>
      <c r="AA21" s="207"/>
      <c r="AB21" s="207"/>
      <c r="AC21" s="207"/>
      <c r="AD21" s="207"/>
      <c r="AE21" s="207"/>
      <c r="AI21" s="55"/>
      <c r="AJ21" s="194"/>
      <c r="AK21" s="128"/>
      <c r="AL21" s="128"/>
      <c r="AM21" s="128"/>
      <c r="AQ21" s="210"/>
      <c r="BG21" s="188"/>
    </row>
    <row r="22" spans="1:83" ht="14.25" customHeight="1">
      <c r="B22" s="1488" t="s">
        <v>58</v>
      </c>
      <c r="C22" s="1489"/>
      <c r="D22" s="1489"/>
      <c r="E22" s="1489"/>
      <c r="F22" s="1489"/>
      <c r="G22" s="1489"/>
      <c r="H22" s="1489"/>
      <c r="I22" s="1489"/>
      <c r="J22" s="1490"/>
      <c r="K22" s="1494" t="s">
        <v>178</v>
      </c>
      <c r="L22" s="1503" t="s">
        <v>179</v>
      </c>
      <c r="M22" s="2"/>
      <c r="N22" s="2"/>
      <c r="O22" s="2"/>
      <c r="P22" s="2"/>
      <c r="Q22" s="2"/>
      <c r="R22" s="2"/>
      <c r="S22" s="2"/>
      <c r="T22" s="2"/>
      <c r="U22" s="2"/>
      <c r="V22" s="2"/>
      <c r="W22" s="2"/>
      <c r="X22" s="2"/>
      <c r="Y22" s="2"/>
      <c r="Z22" s="2"/>
      <c r="AA22" s="2"/>
      <c r="AB22" s="2"/>
      <c r="AC22" s="2"/>
      <c r="AD22" s="207"/>
      <c r="AE22" s="207"/>
      <c r="AI22" s="55"/>
      <c r="AJ22" s="1505" t="s">
        <v>58</v>
      </c>
      <c r="AK22" s="1496" t="s">
        <v>178</v>
      </c>
      <c r="AL22" s="211"/>
      <c r="AM22" s="1498" t="s">
        <v>179</v>
      </c>
      <c r="AN22" s="2"/>
      <c r="AO22" s="2"/>
      <c r="AP22" s="2"/>
      <c r="AQ22" s="210"/>
      <c r="BG22" s="188"/>
    </row>
    <row r="23" spans="1:83" ht="14.25" customHeight="1" thickBot="1">
      <c r="B23" s="1491"/>
      <c r="C23" s="1492"/>
      <c r="D23" s="1492"/>
      <c r="E23" s="1492"/>
      <c r="F23" s="1492"/>
      <c r="G23" s="1492"/>
      <c r="H23" s="1492"/>
      <c r="I23" s="1492"/>
      <c r="J23" s="1493"/>
      <c r="K23" s="1495"/>
      <c r="L23" s="1504"/>
      <c r="M23" s="2"/>
      <c r="N23" s="2"/>
      <c r="O23" s="2"/>
      <c r="P23" s="2"/>
      <c r="Q23" s="2"/>
      <c r="R23" s="2"/>
      <c r="S23" s="2"/>
      <c r="T23" s="2"/>
      <c r="U23" s="2"/>
      <c r="V23" s="2"/>
      <c r="W23" s="2"/>
      <c r="X23" s="2"/>
      <c r="Y23" s="2"/>
      <c r="Z23" s="2"/>
      <c r="AA23" s="2"/>
      <c r="AB23" s="2"/>
      <c r="AC23" s="2"/>
      <c r="AD23" s="207"/>
      <c r="AE23" s="207"/>
      <c r="AI23" s="55"/>
      <c r="AJ23" s="1506"/>
      <c r="AK23" s="1497"/>
      <c r="AL23" s="212" t="s">
        <v>180</v>
      </c>
      <c r="AM23" s="1499"/>
      <c r="AN23" s="2"/>
      <c r="AO23" s="2"/>
      <c r="AP23" s="2"/>
      <c r="AQ23" s="210"/>
      <c r="BG23" s="188"/>
    </row>
    <row r="24" spans="1:83" ht="30" customHeight="1" thickTop="1">
      <c r="B24" s="1500" t="s">
        <v>181</v>
      </c>
      <c r="C24" s="1501"/>
      <c r="D24" s="1501"/>
      <c r="E24" s="1501"/>
      <c r="F24" s="1501"/>
      <c r="G24" s="1501"/>
      <c r="H24" s="1501"/>
      <c r="I24" s="1501"/>
      <c r="J24" s="1502"/>
      <c r="K24" s="213"/>
      <c r="L24" s="214"/>
      <c r="M24" s="2"/>
      <c r="N24" s="2"/>
      <c r="O24" s="2"/>
      <c r="P24" s="2"/>
      <c r="Q24" s="2"/>
      <c r="R24" s="2"/>
      <c r="S24" s="215"/>
      <c r="T24" s="215"/>
      <c r="U24" s="215"/>
      <c r="V24" s="215"/>
      <c r="W24" s="215"/>
      <c r="X24" s="215"/>
      <c r="Y24" s="215"/>
      <c r="Z24" s="215"/>
      <c r="AA24" s="215"/>
      <c r="AB24" s="215"/>
      <c r="AC24" s="215"/>
      <c r="AD24" s="207"/>
      <c r="AE24" s="207"/>
      <c r="AI24" s="55"/>
      <c r="AJ24" s="216" t="s">
        <v>182</v>
      </c>
      <c r="AK24" s="217"/>
      <c r="AL24" s="218" t="str">
        <f>IF(AK24&lt;&gt;"",SUM(RIGHT(LEFT(AK24,3),2)),"")</f>
        <v/>
      </c>
      <c r="AM24" s="219">
        <f>L24</f>
        <v>0</v>
      </c>
      <c r="AN24" s="2"/>
      <c r="AO24" s="2"/>
      <c r="AP24" s="2"/>
      <c r="AQ24" s="210"/>
      <c r="BG24" s="188"/>
    </row>
    <row r="25" spans="1:83" ht="30" customHeight="1">
      <c r="B25" s="1483" t="s">
        <v>183</v>
      </c>
      <c r="C25" s="1484"/>
      <c r="D25" s="1484"/>
      <c r="E25" s="1484"/>
      <c r="F25" s="1484"/>
      <c r="G25" s="1484"/>
      <c r="H25" s="1484"/>
      <c r="I25" s="1484"/>
      <c r="J25" s="1445"/>
      <c r="K25" s="220"/>
      <c r="L25" s="221"/>
      <c r="M25" s="2"/>
      <c r="N25" s="2"/>
      <c r="O25" s="2"/>
      <c r="P25" s="2"/>
      <c r="Q25" s="2"/>
      <c r="R25" s="2"/>
      <c r="S25" s="215"/>
      <c r="T25" s="215"/>
      <c r="U25" s="215"/>
      <c r="V25" s="215"/>
      <c r="W25" s="215"/>
      <c r="X25" s="215"/>
      <c r="Y25" s="215"/>
      <c r="Z25" s="215"/>
      <c r="AA25" s="215"/>
      <c r="AB25" s="215"/>
      <c r="AC25" s="215"/>
      <c r="AD25" s="207"/>
      <c r="AE25" s="207"/>
      <c r="AI25" s="55"/>
      <c r="AJ25" s="216" t="s">
        <v>184</v>
      </c>
      <c r="AK25" s="222"/>
      <c r="AL25" s="218" t="str">
        <f t="shared" ref="AL25:AL28" si="0">IF(AK25&lt;&gt;"",SUM(RIGHT(LEFT(AK25,3),2)),"")</f>
        <v/>
      </c>
      <c r="AM25" s="219">
        <f>L25</f>
        <v>0</v>
      </c>
      <c r="AN25" s="2"/>
      <c r="AO25" s="2"/>
      <c r="AP25" s="2"/>
      <c r="BG25" s="188"/>
    </row>
    <row r="26" spans="1:83" ht="30" customHeight="1">
      <c r="B26" s="1483" t="s">
        <v>185</v>
      </c>
      <c r="C26" s="1484"/>
      <c r="D26" s="1484"/>
      <c r="E26" s="1484"/>
      <c r="F26" s="1484"/>
      <c r="G26" s="1484"/>
      <c r="H26" s="1484"/>
      <c r="I26" s="1484"/>
      <c r="J26" s="1445"/>
      <c r="K26" s="220"/>
      <c r="L26" s="221"/>
      <c r="M26" s="2"/>
      <c r="N26" s="2"/>
      <c r="O26" s="2"/>
      <c r="P26" s="2"/>
      <c r="Q26" s="2"/>
      <c r="R26" s="2"/>
      <c r="S26" s="215"/>
      <c r="T26" s="215"/>
      <c r="U26" s="215"/>
      <c r="V26" s="215"/>
      <c r="W26" s="215"/>
      <c r="X26" s="215"/>
      <c r="Y26" s="215"/>
      <c r="Z26" s="215"/>
      <c r="AA26" s="215"/>
      <c r="AB26" s="215"/>
      <c r="AC26" s="215"/>
      <c r="AD26" s="207"/>
      <c r="AE26" s="207"/>
      <c r="AI26" s="55"/>
      <c r="AJ26" s="216" t="s">
        <v>186</v>
      </c>
      <c r="AK26" s="222"/>
      <c r="AL26" s="218" t="str">
        <f t="shared" si="0"/>
        <v/>
      </c>
      <c r="AM26" s="219">
        <f>L26</f>
        <v>0</v>
      </c>
      <c r="AN26" s="2"/>
      <c r="AO26" s="2"/>
      <c r="AP26" s="2"/>
      <c r="BG26" s="188"/>
    </row>
    <row r="27" spans="1:83" ht="30" customHeight="1">
      <c r="B27" s="1483" t="s">
        <v>187</v>
      </c>
      <c r="C27" s="1484"/>
      <c r="D27" s="1484"/>
      <c r="E27" s="1484"/>
      <c r="F27" s="1484"/>
      <c r="G27" s="1484"/>
      <c r="H27" s="1484"/>
      <c r="I27" s="1484"/>
      <c r="J27" s="1445"/>
      <c r="K27" s="220"/>
      <c r="L27" s="221"/>
      <c r="M27" s="2"/>
      <c r="N27" s="2"/>
      <c r="O27" s="2"/>
      <c r="P27" s="2"/>
      <c r="Q27" s="2"/>
      <c r="R27" s="2"/>
      <c r="S27" s="215"/>
      <c r="T27" s="215"/>
      <c r="U27" s="215"/>
      <c r="V27" s="215"/>
      <c r="W27" s="215"/>
      <c r="X27" s="215"/>
      <c r="Y27" s="215"/>
      <c r="Z27" s="215"/>
      <c r="AA27" s="215"/>
      <c r="AB27" s="215"/>
      <c r="AC27" s="215"/>
      <c r="AD27" s="207"/>
      <c r="AE27" s="207"/>
      <c r="AI27" s="55"/>
      <c r="AJ27" s="216" t="s">
        <v>188</v>
      </c>
      <c r="AK27" s="222"/>
      <c r="AL27" s="218" t="str">
        <f t="shared" si="0"/>
        <v/>
      </c>
      <c r="AM27" s="219">
        <f>L27</f>
        <v>0</v>
      </c>
      <c r="AN27" s="2"/>
      <c r="AO27" s="2"/>
      <c r="AP27" s="2"/>
      <c r="BG27" s="188"/>
    </row>
    <row r="28" spans="1:83" s="131" customFormat="1" ht="30" customHeight="1" thickBot="1">
      <c r="A28" s="128"/>
      <c r="B28" s="1491" t="s">
        <v>189</v>
      </c>
      <c r="C28" s="1492"/>
      <c r="D28" s="1492"/>
      <c r="E28" s="1492"/>
      <c r="F28" s="1492"/>
      <c r="G28" s="1492"/>
      <c r="H28" s="1492"/>
      <c r="I28" s="1492"/>
      <c r="J28" s="1527"/>
      <c r="K28" s="223"/>
      <c r="L28" s="224"/>
      <c r="M28" s="2"/>
      <c r="N28" s="2"/>
      <c r="O28" s="2"/>
      <c r="P28" s="2"/>
      <c r="Q28" s="2"/>
      <c r="R28" s="2"/>
      <c r="S28" s="215"/>
      <c r="T28" s="215"/>
      <c r="U28" s="215"/>
      <c r="V28" s="215"/>
      <c r="W28" s="215"/>
      <c r="X28" s="215"/>
      <c r="Y28" s="215"/>
      <c r="Z28" s="215"/>
      <c r="AA28" s="215"/>
      <c r="AB28" s="215"/>
      <c r="AC28" s="215"/>
      <c r="AD28" s="207"/>
      <c r="AE28" s="207"/>
      <c r="AF28" s="128"/>
      <c r="AG28" s="128"/>
      <c r="AH28" s="128"/>
      <c r="AI28" s="55"/>
      <c r="AJ28" s="216" t="s">
        <v>190</v>
      </c>
      <c r="AK28" s="225"/>
      <c r="AL28" s="218" t="str">
        <f t="shared" si="0"/>
        <v/>
      </c>
      <c r="AM28" s="219">
        <f>L28</f>
        <v>0</v>
      </c>
      <c r="AN28" s="2"/>
      <c r="AO28" s="2"/>
      <c r="AP28" s="2"/>
    </row>
    <row r="29" spans="1:83" ht="14.25" customHeight="1">
      <c r="B29" s="207" t="s">
        <v>191</v>
      </c>
      <c r="C29" s="207"/>
      <c r="D29" s="207"/>
      <c r="E29" s="207"/>
      <c r="F29" s="207"/>
      <c r="G29" s="207"/>
      <c r="H29" s="207"/>
      <c r="I29" s="207"/>
      <c r="J29" s="207"/>
      <c r="K29" s="207"/>
      <c r="L29" s="207"/>
      <c r="M29" s="207"/>
      <c r="N29" s="226"/>
      <c r="O29" s="227"/>
      <c r="P29" s="228"/>
      <c r="Q29" s="228"/>
      <c r="R29" s="226"/>
      <c r="S29" s="228"/>
      <c r="T29" s="228"/>
      <c r="U29" s="228"/>
      <c r="V29" s="228"/>
      <c r="W29" s="228"/>
      <c r="X29" s="228"/>
      <c r="Y29" s="228"/>
      <c r="Z29" s="228"/>
      <c r="AA29" s="228"/>
      <c r="AB29" s="228"/>
      <c r="AC29" s="228"/>
      <c r="AD29" s="207"/>
      <c r="AE29" s="207"/>
      <c r="AI29" s="55"/>
      <c r="AN29" s="131"/>
      <c r="AO29" s="131"/>
      <c r="AP29" s="131"/>
    </row>
    <row r="30" spans="1:83" ht="14.25" customHeight="1">
      <c r="B30" s="207"/>
      <c r="C30" s="207"/>
      <c r="D30" s="207"/>
      <c r="E30" s="207"/>
      <c r="F30" s="207"/>
      <c r="G30" s="207"/>
      <c r="H30" s="207"/>
      <c r="I30" s="207"/>
      <c r="J30" s="207"/>
      <c r="K30" s="207"/>
      <c r="L30" s="207"/>
      <c r="M30" s="207"/>
      <c r="N30" s="226"/>
      <c r="O30" s="227"/>
      <c r="P30" s="228"/>
      <c r="Q30" s="228"/>
      <c r="R30" s="226"/>
      <c r="S30" s="228"/>
      <c r="T30" s="228"/>
      <c r="U30" s="228"/>
      <c r="V30" s="228"/>
      <c r="W30" s="228"/>
      <c r="X30" s="228"/>
      <c r="Y30" s="228"/>
      <c r="Z30" s="228"/>
      <c r="AA30" s="228"/>
      <c r="AB30" s="228"/>
      <c r="AC30" s="228"/>
      <c r="AD30" s="207"/>
      <c r="AE30" s="207"/>
      <c r="AI30" s="55"/>
      <c r="AN30" s="131"/>
      <c r="AO30" s="131"/>
      <c r="AP30" s="131"/>
    </row>
    <row r="31" spans="1:83" ht="14.25" customHeight="1">
      <c r="A31" s="207"/>
      <c r="B31" s="229"/>
      <c r="AI31" s="55"/>
      <c r="AK31" s="128"/>
      <c r="AL31" s="128"/>
      <c r="AM31" s="128"/>
      <c r="AP31" s="2"/>
      <c r="AQ31" s="2"/>
      <c r="AR31" s="2"/>
      <c r="AS31" s="2"/>
      <c r="AT31" s="2"/>
      <c r="AU31" s="2"/>
      <c r="AV31" s="2"/>
      <c r="AW31" s="2"/>
      <c r="AX31" s="2"/>
      <c r="AY31" s="2"/>
      <c r="AZ31" s="2"/>
      <c r="BA31" s="2"/>
      <c r="BB31" s="2"/>
      <c r="BC31" s="2"/>
      <c r="BD31" s="2"/>
      <c r="BE31" s="2"/>
      <c r="BF31" s="2"/>
      <c r="BG31" s="2"/>
      <c r="BH31" s="2"/>
      <c r="BI31" s="2"/>
      <c r="BJ31" s="2"/>
      <c r="BK31" s="2"/>
      <c r="BL31" s="2"/>
      <c r="BM31" s="2"/>
      <c r="BN31" s="2"/>
      <c r="BO31" s="2"/>
      <c r="BP31" s="2"/>
      <c r="BQ31" s="2"/>
      <c r="BR31" s="2"/>
      <c r="BS31" s="2"/>
      <c r="BT31" s="2"/>
      <c r="BU31" s="2"/>
      <c r="BV31" s="2"/>
      <c r="BW31" s="2"/>
      <c r="BX31" s="2"/>
      <c r="BY31" s="2"/>
    </row>
    <row r="32" spans="1:83" ht="14.1" customHeight="1">
      <c r="A32" s="130" t="s">
        <v>192</v>
      </c>
      <c r="B32" s="132"/>
      <c r="C32" s="132"/>
      <c r="D32" s="132"/>
      <c r="E32" s="132"/>
      <c r="F32" s="133"/>
      <c r="G32" s="133"/>
      <c r="H32" s="133"/>
      <c r="I32" s="133"/>
      <c r="J32" s="133"/>
      <c r="K32" s="133"/>
      <c r="L32" s="131"/>
      <c r="M32" s="131"/>
      <c r="N32" s="131"/>
      <c r="O32" s="131"/>
      <c r="P32" s="131"/>
      <c r="Q32" s="131"/>
      <c r="R32" s="131"/>
      <c r="S32" s="131"/>
      <c r="T32" s="131"/>
      <c r="U32" s="131"/>
      <c r="V32" s="131"/>
      <c r="W32" s="131"/>
      <c r="X32" s="131"/>
      <c r="Y32" s="131"/>
      <c r="Z32" s="131"/>
      <c r="AA32" s="131"/>
      <c r="AB32" s="131"/>
      <c r="AC32" s="131"/>
      <c r="AD32" s="131"/>
      <c r="AE32" s="131"/>
      <c r="AF32" s="131"/>
      <c r="AG32" s="131"/>
      <c r="AH32" s="131"/>
      <c r="AI32" s="55"/>
      <c r="AJ32" s="130"/>
    </row>
    <row r="33" spans="1:36" ht="14.1" customHeight="1">
      <c r="A33" s="131"/>
      <c r="B33" s="65" t="s">
        <v>193</v>
      </c>
      <c r="C33" s="131"/>
      <c r="D33" s="131"/>
      <c r="E33" s="131"/>
      <c r="F33" s="131"/>
      <c r="G33" s="131"/>
      <c r="H33" s="131"/>
      <c r="I33" s="131"/>
      <c r="J33" s="131"/>
      <c r="K33" s="131"/>
      <c r="L33" s="131"/>
      <c r="M33" s="131"/>
      <c r="N33" s="131"/>
      <c r="O33" s="131"/>
      <c r="P33" s="131"/>
      <c r="Q33" s="131"/>
      <c r="R33" s="131"/>
      <c r="S33" s="146"/>
      <c r="T33" s="131"/>
      <c r="U33" s="131"/>
      <c r="V33" s="131"/>
      <c r="W33" s="131"/>
      <c r="X33" s="131"/>
      <c r="Y33" s="131"/>
      <c r="Z33" s="131"/>
      <c r="AA33" s="131"/>
      <c r="AB33" s="131"/>
      <c r="AC33" s="131"/>
      <c r="AD33" s="131"/>
      <c r="AE33" s="131"/>
      <c r="AF33" s="131"/>
      <c r="AG33" s="131"/>
      <c r="AH33" s="131"/>
      <c r="AI33" s="55"/>
    </row>
    <row r="34" spans="1:36" ht="18" customHeight="1" thickBot="1">
      <c r="A34" s="131"/>
      <c r="B34" s="65"/>
      <c r="C34" s="131"/>
      <c r="D34" s="131"/>
      <c r="E34" s="131"/>
      <c r="F34" s="131"/>
      <c r="G34" s="131"/>
      <c r="H34" s="131"/>
      <c r="I34" s="131"/>
      <c r="J34" s="131"/>
      <c r="K34" s="131"/>
      <c r="L34" s="131"/>
      <c r="M34" s="131"/>
      <c r="N34" s="131"/>
      <c r="O34" s="131"/>
      <c r="P34" s="131"/>
      <c r="Q34" s="131"/>
      <c r="R34" s="131"/>
      <c r="S34" s="146"/>
      <c r="T34" s="131"/>
      <c r="U34" s="131"/>
      <c r="V34" s="131"/>
      <c r="W34" s="131"/>
      <c r="X34" s="131"/>
      <c r="Y34" s="131"/>
      <c r="Z34" s="131"/>
      <c r="AA34" s="131"/>
      <c r="AB34" s="131"/>
      <c r="AC34" s="131"/>
      <c r="AD34" s="131"/>
      <c r="AE34" s="131"/>
      <c r="AF34" s="131"/>
      <c r="AG34" s="131"/>
      <c r="AH34" s="131"/>
      <c r="AI34" s="55"/>
    </row>
    <row r="35" spans="1:36" ht="14.25" customHeight="1">
      <c r="B35" s="1528" t="s">
        <v>58</v>
      </c>
      <c r="C35" s="1529"/>
      <c r="D35" s="1529"/>
      <c r="E35" s="1529"/>
      <c r="F35" s="1529"/>
      <c r="G35" s="1529"/>
      <c r="H35" s="1529"/>
      <c r="I35" s="1529"/>
      <c r="J35" s="1530"/>
      <c r="K35" s="1507" t="s">
        <v>194</v>
      </c>
      <c r="L35" s="1509" t="s">
        <v>195</v>
      </c>
      <c r="M35" s="2"/>
      <c r="N35" s="2"/>
      <c r="O35" s="2"/>
      <c r="P35" s="2"/>
      <c r="Q35" s="2"/>
      <c r="R35" s="2"/>
      <c r="S35" s="2"/>
      <c r="T35" s="2"/>
      <c r="AI35" s="55"/>
      <c r="AJ35" s="131"/>
    </row>
    <row r="36" spans="1:36" ht="14.25" customHeight="1" thickBot="1">
      <c r="B36" s="1531"/>
      <c r="C36" s="1532"/>
      <c r="D36" s="1532"/>
      <c r="E36" s="1532"/>
      <c r="F36" s="1532"/>
      <c r="G36" s="1532"/>
      <c r="H36" s="1532"/>
      <c r="I36" s="1532"/>
      <c r="J36" s="1533"/>
      <c r="K36" s="1508"/>
      <c r="L36" s="1510"/>
      <c r="M36" s="2"/>
      <c r="N36" s="2"/>
      <c r="O36" s="2"/>
      <c r="P36" s="2"/>
      <c r="Q36" s="2"/>
      <c r="R36" s="2"/>
      <c r="S36" s="2"/>
      <c r="T36" s="2"/>
      <c r="AI36" s="55"/>
      <c r="AJ36" s="131"/>
    </row>
    <row r="37" spans="1:36" ht="30" customHeight="1" thickTop="1" thickBot="1">
      <c r="B37" s="1500" t="s">
        <v>196</v>
      </c>
      <c r="C37" s="1501"/>
      <c r="D37" s="1501"/>
      <c r="E37" s="1501"/>
      <c r="F37" s="1501"/>
      <c r="G37" s="1501"/>
      <c r="H37" s="1501"/>
      <c r="I37" s="1501"/>
      <c r="J37" s="1502"/>
      <c r="K37" s="230"/>
      <c r="L37" s="231"/>
      <c r="M37" s="2"/>
      <c r="N37" s="2"/>
      <c r="O37" s="2"/>
      <c r="P37" s="2"/>
      <c r="Q37" s="2"/>
      <c r="R37" s="2"/>
      <c r="S37" s="2"/>
      <c r="T37" s="2"/>
      <c r="AI37" s="55"/>
      <c r="AJ37" s="131"/>
    </row>
    <row r="38" spans="1:36" ht="30" customHeight="1" thickTop="1">
      <c r="B38" s="1511" t="s">
        <v>197</v>
      </c>
      <c r="C38" s="1512"/>
      <c r="D38" s="1513" t="s">
        <v>198</v>
      </c>
      <c r="E38" s="1513"/>
      <c r="F38" s="1513"/>
      <c r="G38" s="1513"/>
      <c r="H38" s="1513"/>
      <c r="I38" s="1513"/>
      <c r="J38" s="1514"/>
      <c r="K38" s="1515"/>
      <c r="L38" s="232"/>
      <c r="M38" s="2"/>
      <c r="N38" s="2"/>
      <c r="O38" s="2"/>
      <c r="P38" s="2"/>
      <c r="Q38" s="2"/>
      <c r="R38" s="2"/>
      <c r="S38" s="2"/>
      <c r="T38" s="2"/>
      <c r="AI38" s="55"/>
    </row>
    <row r="39" spans="1:36" ht="30" customHeight="1">
      <c r="B39" s="1511"/>
      <c r="C39" s="1512"/>
      <c r="D39" s="1513" t="s">
        <v>199</v>
      </c>
      <c r="E39" s="1513"/>
      <c r="F39" s="1513"/>
      <c r="G39" s="1513"/>
      <c r="H39" s="1513"/>
      <c r="I39" s="1513"/>
      <c r="J39" s="1514"/>
      <c r="K39" s="1516"/>
      <c r="L39" s="232"/>
      <c r="M39" s="2"/>
      <c r="N39" s="2"/>
      <c r="O39" s="2"/>
      <c r="P39" s="2"/>
      <c r="Q39" s="2"/>
      <c r="R39" s="2"/>
      <c r="S39" s="2"/>
      <c r="T39" s="2"/>
      <c r="AI39" s="55"/>
    </row>
    <row r="40" spans="1:36" ht="30" customHeight="1">
      <c r="B40" s="1511" t="s">
        <v>200</v>
      </c>
      <c r="C40" s="1512"/>
      <c r="D40" s="1513" t="s">
        <v>201</v>
      </c>
      <c r="E40" s="1513"/>
      <c r="F40" s="1513"/>
      <c r="G40" s="1513"/>
      <c r="H40" s="1513"/>
      <c r="I40" s="1513"/>
      <c r="J40" s="1514"/>
      <c r="K40" s="1516"/>
      <c r="L40" s="232"/>
      <c r="M40" s="2"/>
      <c r="N40" s="2"/>
      <c r="O40" s="2"/>
      <c r="P40" s="2"/>
      <c r="Q40" s="2"/>
      <c r="R40" s="2"/>
      <c r="S40" s="2"/>
      <c r="T40" s="2"/>
      <c r="AI40" s="55"/>
    </row>
    <row r="41" spans="1:36" ht="30" customHeight="1" thickBot="1">
      <c r="B41" s="1511"/>
      <c r="C41" s="1512"/>
      <c r="D41" s="1513" t="s">
        <v>202</v>
      </c>
      <c r="E41" s="1513"/>
      <c r="F41" s="1513"/>
      <c r="G41" s="1513"/>
      <c r="H41" s="1513"/>
      <c r="I41" s="1513"/>
      <c r="J41" s="1514"/>
      <c r="K41" s="1517"/>
      <c r="L41" s="233"/>
      <c r="M41" s="2"/>
      <c r="N41" s="2"/>
      <c r="O41" s="2"/>
      <c r="P41" s="2"/>
      <c r="Q41" s="2"/>
      <c r="R41" s="2"/>
      <c r="S41" s="2"/>
      <c r="T41" s="2"/>
    </row>
    <row r="42" spans="1:36" ht="31.5" customHeight="1" thickTop="1">
      <c r="B42" s="1518"/>
      <c r="C42" s="1519"/>
      <c r="D42" s="1519"/>
      <c r="E42" s="1519"/>
      <c r="F42" s="1519"/>
      <c r="G42" s="1519"/>
      <c r="H42" s="1519"/>
      <c r="I42" s="1519"/>
      <c r="J42" s="1520"/>
      <c r="K42" s="234"/>
      <c r="L42" s="235"/>
    </row>
    <row r="43" spans="1:36" s="2" customFormat="1" ht="31.5" customHeight="1">
      <c r="B43" s="1521"/>
      <c r="C43" s="1522"/>
      <c r="D43" s="1522"/>
      <c r="E43" s="1522"/>
      <c r="F43" s="1522"/>
      <c r="G43" s="1522"/>
      <c r="H43" s="1522"/>
      <c r="I43" s="1522"/>
      <c r="J43" s="1523"/>
      <c r="K43" s="236"/>
      <c r="L43" s="237"/>
    </row>
    <row r="44" spans="1:36" s="2" customFormat="1" ht="31.5" customHeight="1" thickBot="1">
      <c r="B44" s="1524"/>
      <c r="C44" s="1525"/>
      <c r="D44" s="1525"/>
      <c r="E44" s="1525"/>
      <c r="F44" s="1525"/>
      <c r="G44" s="1525"/>
      <c r="H44" s="1525"/>
      <c r="I44" s="1525"/>
      <c r="J44" s="1526"/>
      <c r="K44" s="238"/>
      <c r="L44" s="239"/>
    </row>
    <row r="45" spans="1:36" s="2" customFormat="1" ht="14.25" customHeight="1"/>
    <row r="46" spans="1:36" s="2" customFormat="1" ht="23.25" customHeight="1"/>
    <row r="47" spans="1:36" s="2" customFormat="1" ht="23.25" customHeight="1">
      <c r="L47" s="128"/>
      <c r="M47" s="128"/>
      <c r="N47" s="128"/>
      <c r="O47" s="128"/>
      <c r="P47" s="128"/>
      <c r="Q47" s="128"/>
      <c r="R47" s="128"/>
      <c r="S47" s="128"/>
      <c r="T47" s="128"/>
      <c r="U47" s="128"/>
      <c r="V47" s="128"/>
    </row>
    <row r="48" spans="1:36" s="2" customFormat="1" ht="23.25" customHeight="1">
      <c r="L48" s="128"/>
      <c r="M48" s="128"/>
      <c r="N48" s="128"/>
      <c r="O48" s="128"/>
      <c r="P48" s="128"/>
      <c r="Q48" s="128"/>
      <c r="R48" s="128"/>
      <c r="S48" s="128"/>
      <c r="T48" s="128"/>
      <c r="U48" s="128"/>
      <c r="V48" s="128"/>
    </row>
    <row r="49" spans="12:22" s="2" customFormat="1" ht="23.25" customHeight="1">
      <c r="L49" s="128"/>
      <c r="M49" s="128"/>
      <c r="N49" s="128"/>
      <c r="O49" s="128"/>
      <c r="P49" s="128"/>
      <c r="Q49" s="128"/>
      <c r="R49" s="128"/>
      <c r="S49" s="128"/>
      <c r="T49" s="128"/>
      <c r="U49" s="128"/>
      <c r="V49" s="128"/>
    </row>
    <row r="50" spans="12:22" s="2" customFormat="1" ht="23.25" customHeight="1">
      <c r="L50" s="128"/>
      <c r="M50" s="128"/>
      <c r="N50" s="128"/>
      <c r="O50" s="128"/>
      <c r="P50" s="128"/>
      <c r="Q50" s="128"/>
      <c r="R50" s="128"/>
      <c r="S50" s="128"/>
      <c r="T50" s="128"/>
      <c r="U50" s="128"/>
      <c r="V50" s="128"/>
    </row>
    <row r="51" spans="12:22" s="2" customFormat="1" ht="14.25" customHeight="1">
      <c r="L51" s="128"/>
      <c r="M51" s="128"/>
      <c r="N51" s="128"/>
      <c r="O51" s="128"/>
      <c r="P51" s="128"/>
      <c r="Q51" s="128"/>
      <c r="R51" s="128"/>
      <c r="S51" s="128"/>
      <c r="T51" s="128"/>
      <c r="U51" s="128"/>
      <c r="V51" s="128"/>
    </row>
    <row r="52" spans="12:22" s="2" customFormat="1" ht="14.25" customHeight="1">
      <c r="L52" s="128"/>
      <c r="M52" s="128"/>
      <c r="N52" s="128"/>
      <c r="O52" s="128"/>
      <c r="P52" s="128"/>
      <c r="Q52" s="128"/>
      <c r="R52" s="128"/>
      <c r="S52" s="128"/>
      <c r="T52" s="128"/>
      <c r="U52" s="128"/>
      <c r="V52" s="128"/>
    </row>
    <row r="53" spans="12:22" s="2" customFormat="1" ht="14.25" customHeight="1">
      <c r="L53" s="128"/>
      <c r="M53" s="128"/>
      <c r="N53" s="128"/>
      <c r="O53" s="128"/>
      <c r="P53" s="128"/>
      <c r="Q53" s="128"/>
      <c r="R53" s="128"/>
      <c r="S53" s="128"/>
      <c r="T53" s="128"/>
      <c r="U53" s="128"/>
      <c r="V53" s="128"/>
    </row>
    <row r="54" spans="12:22" s="2" customFormat="1" ht="14.25" customHeight="1">
      <c r="L54" s="128"/>
      <c r="M54" s="128"/>
      <c r="N54" s="128"/>
      <c r="O54" s="128"/>
      <c r="P54" s="128"/>
      <c r="Q54" s="128"/>
      <c r="R54" s="128"/>
      <c r="S54" s="128"/>
      <c r="T54" s="128"/>
      <c r="U54" s="128"/>
      <c r="V54" s="128"/>
    </row>
    <row r="55" spans="12:22" s="2" customFormat="1" ht="14.25" customHeight="1">
      <c r="L55" s="128"/>
      <c r="M55" s="128"/>
      <c r="N55" s="128"/>
      <c r="O55" s="128"/>
      <c r="P55" s="128"/>
      <c r="Q55" s="128"/>
      <c r="R55" s="128"/>
      <c r="S55" s="128"/>
      <c r="T55" s="128"/>
      <c r="U55" s="128"/>
      <c r="V55" s="128"/>
    </row>
    <row r="56" spans="12:22" s="2" customFormat="1" ht="14.25" customHeight="1">
      <c r="L56" s="128"/>
      <c r="M56" s="128"/>
      <c r="N56" s="128"/>
      <c r="O56" s="128"/>
      <c r="P56" s="128"/>
      <c r="Q56" s="128"/>
      <c r="R56" s="128"/>
      <c r="S56" s="128"/>
      <c r="T56" s="128"/>
      <c r="U56" s="128"/>
      <c r="V56" s="128"/>
    </row>
    <row r="57" spans="12:22" s="2" customFormat="1" ht="14.25" customHeight="1">
      <c r="L57" s="128"/>
      <c r="M57" s="128"/>
      <c r="N57" s="128"/>
      <c r="O57" s="128"/>
      <c r="P57" s="128"/>
      <c r="Q57" s="128"/>
      <c r="R57" s="128"/>
      <c r="S57" s="128"/>
      <c r="T57" s="128"/>
      <c r="U57" s="128"/>
      <c r="V57" s="128"/>
    </row>
    <row r="58" spans="12:22" s="2" customFormat="1" ht="14.25" customHeight="1"/>
    <row r="59" spans="12:22" s="2" customFormat="1" ht="14.25" customHeight="1"/>
    <row r="60" spans="12:22" s="2" customFormat="1" ht="14.25" customHeight="1"/>
    <row r="61" spans="12:22" s="2" customFormat="1" ht="14.25" customHeight="1"/>
    <row r="62" spans="12:22" s="2" customFormat="1" ht="14.25" customHeight="1"/>
    <row r="63" spans="12:22" s="2" customFormat="1" ht="14.25" customHeight="1"/>
    <row r="64" spans="12:22" s="2" customFormat="1" ht="14.25" customHeight="1"/>
    <row r="65" s="2" customFormat="1" ht="14.25" customHeight="1"/>
    <row r="66" s="2" customFormat="1" ht="14.25" customHeight="1"/>
    <row r="67" s="2" customFormat="1" ht="14.25" customHeight="1"/>
    <row r="68" s="2" customFormat="1" ht="14.25" customHeight="1"/>
    <row r="69" s="2" customFormat="1" ht="14.25" customHeight="1"/>
    <row r="70" s="2" customFormat="1" ht="14.25" customHeight="1"/>
    <row r="71" s="2" customFormat="1" ht="14.25" customHeight="1"/>
    <row r="72" s="2" customFormat="1" ht="14.25" customHeight="1"/>
    <row r="73" s="2" customFormat="1" ht="14.25" customHeight="1"/>
    <row r="74" s="2" customFormat="1" ht="14.25" customHeight="1"/>
    <row r="75" s="2" customFormat="1" ht="14.25" customHeight="1"/>
    <row r="76" s="2" customFormat="1" ht="14.25" customHeight="1"/>
    <row r="77" s="2" customFormat="1" ht="14.25" customHeight="1"/>
    <row r="78" s="2" customFormat="1" ht="14.25" customHeight="1"/>
    <row r="79" s="2" customFormat="1" ht="14.25" customHeight="1"/>
  </sheetData>
  <sheetProtection sheet="1" objects="1" scenarios="1" selectLockedCells="1"/>
  <mergeCells count="33">
    <mergeCell ref="B42:J42"/>
    <mergeCell ref="B43:J43"/>
    <mergeCell ref="B44:J44"/>
    <mergeCell ref="B28:J28"/>
    <mergeCell ref="B35:J36"/>
    <mergeCell ref="K35:K36"/>
    <mergeCell ref="L35:L36"/>
    <mergeCell ref="B37:J37"/>
    <mergeCell ref="B38:C39"/>
    <mergeCell ref="D38:J38"/>
    <mergeCell ref="K38:K41"/>
    <mergeCell ref="D39:J39"/>
    <mergeCell ref="B40:C41"/>
    <mergeCell ref="D40:J40"/>
    <mergeCell ref="D41:J41"/>
    <mergeCell ref="AK22:AK23"/>
    <mergeCell ref="AM22:AM23"/>
    <mergeCell ref="B24:J24"/>
    <mergeCell ref="B25:J25"/>
    <mergeCell ref="B26:J26"/>
    <mergeCell ref="L22:L23"/>
    <mergeCell ref="AJ22:AJ23"/>
    <mergeCell ref="B27:J27"/>
    <mergeCell ref="B15:I15"/>
    <mergeCell ref="B16:I16"/>
    <mergeCell ref="B22:J23"/>
    <mergeCell ref="K22:K23"/>
    <mergeCell ref="B14:I14"/>
    <mergeCell ref="B9:I11"/>
    <mergeCell ref="K9:K11"/>
    <mergeCell ref="J10:J11"/>
    <mergeCell ref="B12:I12"/>
    <mergeCell ref="B13:I13"/>
  </mergeCells>
  <phoneticPr fontId="5"/>
  <dataValidations count="5">
    <dataValidation type="custom" operator="greaterThan" allowBlank="1" showInputMessage="1" showErrorMessage="1" error="0より大きい小数点第１位までの数値を入力してください。" sqref="K12:K15 L24:L28" xr:uid="{00000000-0002-0000-0500-000000000000}">
      <formula1>AND(AND(K12*10=INT(K12*10)),(K12&gt;0))</formula1>
    </dataValidation>
    <dataValidation type="list" allowBlank="1" showInputMessage="1" showErrorMessage="1" sqref="AK24:AK28" xr:uid="{00000000-0002-0000-0500-000001000000}">
      <formula1>品種名称</formula1>
    </dataValidation>
    <dataValidation type="whole" operator="greaterThan" allowBlank="1" showInputMessage="1" showErrorMessage="1" error="0より大きい数値を整数で入力してください。" sqref="K16 K37 L37:L41 K42:L44" xr:uid="{00000000-0002-0000-0500-000002000000}">
      <formula1>0</formula1>
    </dataValidation>
    <dataValidation type="whole" operator="greaterThan" allowBlank="1" showInputMessage="1" showErrorMessage="1" error="０より大きい数値を入力してください。" sqref="S35" xr:uid="{00000000-0002-0000-0500-000003000000}">
      <formula1>0</formula1>
    </dataValidation>
    <dataValidation type="textLength" imeMode="hiragana" operator="greaterThanOrEqual" allowBlank="1" showInputMessage="1" showErrorMessage="1" sqref="K24:K28" xr:uid="{00000000-0002-0000-0500-000004000000}">
      <formula1>1</formula1>
    </dataValidation>
  </dataValidations>
  <printOptions horizontalCentered="1"/>
  <pageMargins left="0.59055118110236227" right="0.59055118110236227" top="0.59055118110236227" bottom="0.39370078740157483" header="0" footer="0.19685039370078741"/>
  <pageSetup paperSize="9" scale="46" firstPageNumber="2" orientation="portrait" cellComments="asDisplayed" useFirstPageNumber="1" r:id="rId1"/>
  <headerFooter>
    <evenFooter>&amp;R&amp;G</even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5">
    <outlinePr summaryBelow="0"/>
    <pageSetUpPr fitToPage="1"/>
  </sheetPr>
  <dimension ref="A1:AJ121"/>
  <sheetViews>
    <sheetView showGridLines="0" zoomScale="80" zoomScaleNormal="80" zoomScaleSheetLayoutView="80" workbookViewId="0">
      <selection activeCell="S14" sqref="S14"/>
    </sheetView>
  </sheetViews>
  <sheetFormatPr defaultColWidth="2.625" defaultRowHeight="14.25" customHeight="1" outlineLevelRow="1" outlineLevelCol="1"/>
  <cols>
    <col min="1" max="4" width="2.625" style="144" customWidth="1"/>
    <col min="5" max="5" width="21" style="144" customWidth="1"/>
    <col min="6" max="18" width="2.625" style="144" customWidth="1"/>
    <col min="19" max="19" width="15.625" style="144" customWidth="1"/>
    <col min="20" max="20" width="21" style="144" customWidth="1"/>
    <col min="21" max="21" width="2.625" style="2" customWidth="1"/>
    <col min="22" max="22" width="14.125" style="2" customWidth="1" outlineLevel="1"/>
    <col min="23" max="23" width="2.625" style="128" customWidth="1" outlineLevel="1"/>
    <col min="24" max="25" width="4.375" style="128" customWidth="1" outlineLevel="1"/>
    <col min="26" max="26" width="16" style="128" customWidth="1" outlineLevel="1"/>
    <col min="27" max="29" width="17.375" style="128" customWidth="1" outlineLevel="1"/>
    <col min="30" max="31" width="2.625" style="128" outlineLevel="1"/>
    <col min="32" max="36" width="2.625" style="144" outlineLevel="1"/>
    <col min="37" max="16384" width="2.625" style="144"/>
  </cols>
  <sheetData>
    <row r="1" spans="1:31" ht="14.25" customHeight="1">
      <c r="X1" s="186" t="s">
        <v>203</v>
      </c>
      <c r="Y1" s="186"/>
    </row>
    <row r="2" spans="1:31" s="191" customFormat="1" ht="18" customHeight="1">
      <c r="A2" s="240" t="s">
        <v>204</v>
      </c>
      <c r="U2" s="2"/>
      <c r="V2" s="2"/>
      <c r="W2" s="129" t="s">
        <v>204</v>
      </c>
      <c r="X2" s="128"/>
      <c r="Y2" s="128"/>
      <c r="Z2" s="128"/>
      <c r="AA2" s="128"/>
      <c r="AB2" s="128"/>
      <c r="AC2" s="128"/>
      <c r="AD2" s="128"/>
      <c r="AE2" s="128"/>
    </row>
    <row r="3" spans="1:31" ht="14.25" customHeight="1">
      <c r="C3" s="241"/>
      <c r="D3" s="241"/>
      <c r="E3" s="241"/>
      <c r="F3" s="241"/>
      <c r="G3" s="241"/>
      <c r="H3" s="241"/>
      <c r="I3" s="241"/>
      <c r="J3" s="241"/>
      <c r="K3" s="241"/>
      <c r="L3" s="241"/>
      <c r="M3" s="241"/>
      <c r="N3" s="241"/>
      <c r="O3" s="241"/>
      <c r="P3" s="241"/>
      <c r="Q3" s="241"/>
      <c r="R3" s="241"/>
      <c r="S3" s="241"/>
      <c r="T3" s="183"/>
      <c r="W3" s="129"/>
    </row>
    <row r="4" spans="1:31" s="191" customFormat="1" ht="18" customHeight="1">
      <c r="A4" s="242" t="s">
        <v>205</v>
      </c>
      <c r="B4" s="243"/>
      <c r="C4" s="244"/>
      <c r="D4" s="244"/>
      <c r="E4" s="244"/>
      <c r="F4" s="244"/>
      <c r="G4" s="244"/>
      <c r="H4" s="244"/>
      <c r="I4" s="244"/>
      <c r="J4" s="244"/>
      <c r="K4" s="244"/>
      <c r="L4" s="244"/>
      <c r="M4" s="244"/>
      <c r="N4" s="244"/>
      <c r="O4" s="244"/>
      <c r="P4" s="244"/>
      <c r="Q4" s="244"/>
      <c r="R4" s="244"/>
      <c r="S4" s="244"/>
      <c r="U4" s="2"/>
      <c r="V4" s="2"/>
      <c r="W4" s="242" t="s">
        <v>205</v>
      </c>
      <c r="X4" s="133"/>
      <c r="Y4" s="133"/>
      <c r="Z4" s="128"/>
      <c r="AA4" s="128"/>
      <c r="AB4" s="128"/>
      <c r="AC4" s="128"/>
      <c r="AD4" s="128"/>
      <c r="AE4" s="128"/>
    </row>
    <row r="5" spans="1:31" s="191" customFormat="1" ht="18" hidden="1" customHeight="1">
      <c r="A5" s="242"/>
      <c r="B5" s="244"/>
      <c r="C5" s="244"/>
      <c r="D5" s="244"/>
      <c r="E5" s="244"/>
      <c r="F5" s="244"/>
      <c r="G5" s="244"/>
      <c r="H5" s="244"/>
      <c r="I5" s="244"/>
      <c r="J5" s="244"/>
      <c r="K5" s="244"/>
      <c r="L5" s="244"/>
      <c r="M5" s="244"/>
      <c r="N5" s="244"/>
      <c r="O5" s="244"/>
      <c r="P5" s="244"/>
      <c r="Q5" s="244"/>
      <c r="R5" s="244"/>
      <c r="S5" s="244"/>
      <c r="U5" s="2"/>
      <c r="V5" s="2"/>
      <c r="W5" s="242"/>
      <c r="X5" s="133"/>
      <c r="Y5" s="133"/>
      <c r="Z5" s="128"/>
      <c r="AA5" s="128"/>
      <c r="AB5" s="128"/>
      <c r="AC5" s="128"/>
      <c r="AD5" s="128"/>
      <c r="AE5" s="128"/>
    </row>
    <row r="6" spans="1:31" s="191" customFormat="1" ht="14.25" customHeight="1">
      <c r="A6" s="245"/>
      <c r="B6" s="246" t="s">
        <v>206</v>
      </c>
      <c r="E6" s="244"/>
      <c r="F6" s="244"/>
      <c r="G6" s="244"/>
      <c r="H6" s="244"/>
      <c r="I6" s="244"/>
      <c r="J6" s="244"/>
      <c r="K6" s="244"/>
      <c r="L6" s="244"/>
      <c r="M6" s="244"/>
      <c r="N6" s="244"/>
      <c r="O6" s="244"/>
      <c r="P6" s="244"/>
      <c r="Q6" s="244"/>
      <c r="R6" s="244"/>
      <c r="S6" s="244"/>
      <c r="T6" s="244"/>
      <c r="U6" s="2"/>
      <c r="V6" s="2"/>
    </row>
    <row r="7" spans="1:31" s="191" customFormat="1" ht="14.25" customHeight="1">
      <c r="A7" s="245"/>
      <c r="B7" s="247" t="s">
        <v>207</v>
      </c>
      <c r="E7" s="244"/>
      <c r="F7" s="244"/>
      <c r="G7" s="244"/>
      <c r="H7" s="244"/>
      <c r="I7" s="244"/>
      <c r="J7" s="244"/>
      <c r="K7" s="244"/>
      <c r="L7" s="244"/>
      <c r="M7" s="244"/>
      <c r="N7" s="244"/>
      <c r="O7" s="244"/>
      <c r="P7" s="244"/>
      <c r="Q7" s="244"/>
      <c r="R7" s="244"/>
      <c r="S7" s="244"/>
      <c r="T7" s="244"/>
      <c r="U7" s="2"/>
      <c r="V7" s="2"/>
      <c r="W7" s="128"/>
      <c r="AD7" s="128"/>
      <c r="AE7" s="128"/>
    </row>
    <row r="8" spans="1:31" s="191" customFormat="1" ht="14.25" customHeight="1">
      <c r="A8" s="245"/>
      <c r="B8" s="247" t="s">
        <v>208</v>
      </c>
      <c r="E8" s="244"/>
      <c r="F8" s="244"/>
      <c r="G8" s="244"/>
      <c r="H8" s="244"/>
      <c r="I8" s="244"/>
      <c r="J8" s="244"/>
      <c r="K8" s="244"/>
      <c r="L8" s="244"/>
      <c r="M8" s="244"/>
      <c r="N8" s="244"/>
      <c r="O8" s="244"/>
      <c r="P8" s="244"/>
      <c r="Q8" s="244"/>
      <c r="R8" s="244"/>
      <c r="S8" s="244"/>
      <c r="T8" s="244"/>
      <c r="U8" s="2"/>
      <c r="V8" s="2"/>
      <c r="W8" s="128"/>
      <c r="AD8" s="128"/>
      <c r="AE8" s="128"/>
    </row>
    <row r="9" spans="1:31" s="191" customFormat="1" ht="14.25" customHeight="1">
      <c r="A9" s="245"/>
      <c r="B9" s="65" t="s">
        <v>209</v>
      </c>
      <c r="E9" s="244"/>
      <c r="F9" s="244"/>
      <c r="G9" s="244"/>
      <c r="H9" s="244"/>
      <c r="I9" s="244"/>
      <c r="J9" s="244"/>
      <c r="K9" s="244"/>
      <c r="L9" s="244"/>
      <c r="M9" s="244"/>
      <c r="N9" s="244"/>
      <c r="O9" s="244"/>
      <c r="P9" s="244"/>
      <c r="Q9" s="244"/>
      <c r="R9" s="244"/>
      <c r="S9" s="244"/>
      <c r="T9" s="244"/>
      <c r="U9" s="2"/>
      <c r="V9" s="2"/>
      <c r="W9" s="207"/>
      <c r="AD9" s="207"/>
      <c r="AE9" s="207"/>
    </row>
    <row r="10" spans="1:31" s="191" customFormat="1" ht="14.25" customHeight="1">
      <c r="A10" s="245"/>
      <c r="B10" s="65" t="s">
        <v>210</v>
      </c>
      <c r="E10" s="244"/>
      <c r="F10" s="244"/>
      <c r="G10" s="244"/>
      <c r="H10" s="244"/>
      <c r="I10" s="244"/>
      <c r="J10" s="244"/>
      <c r="K10" s="244"/>
      <c r="L10" s="244"/>
      <c r="M10" s="244"/>
      <c r="N10" s="244"/>
      <c r="O10" s="244"/>
      <c r="P10" s="244"/>
      <c r="Q10" s="244"/>
      <c r="R10" s="244"/>
      <c r="S10" s="244"/>
      <c r="T10" s="244"/>
      <c r="U10" s="2"/>
      <c r="V10" s="2"/>
      <c r="W10" s="207"/>
      <c r="AD10" s="207"/>
      <c r="AE10" s="207"/>
    </row>
    <row r="11" spans="1:31" s="191" customFormat="1" ht="14.25" customHeight="1" thickBot="1">
      <c r="A11" s="245"/>
      <c r="B11" s="65"/>
      <c r="E11" s="244"/>
      <c r="F11" s="244"/>
      <c r="G11" s="244"/>
      <c r="H11" s="244"/>
      <c r="I11" s="244"/>
      <c r="J11" s="244"/>
      <c r="K11" s="244"/>
      <c r="L11" s="244"/>
      <c r="M11" s="244"/>
      <c r="N11" s="244"/>
      <c r="O11" s="244"/>
      <c r="P11" s="244"/>
      <c r="Q11" s="244"/>
      <c r="R11" s="244"/>
      <c r="S11" s="244"/>
      <c r="T11" s="244"/>
      <c r="U11" s="2"/>
      <c r="V11" s="2"/>
      <c r="W11" s="128"/>
      <c r="X11" s="248" t="s">
        <v>211</v>
      </c>
      <c r="AD11" s="207"/>
      <c r="AE11" s="128"/>
    </row>
    <row r="12" spans="1:31" ht="17.100000000000001" customHeight="1">
      <c r="B12" s="1555" t="s">
        <v>58</v>
      </c>
      <c r="C12" s="1556"/>
      <c r="D12" s="1556"/>
      <c r="E12" s="1556"/>
      <c r="F12" s="1559" t="s">
        <v>212</v>
      </c>
      <c r="G12" s="1560"/>
      <c r="H12" s="1560"/>
      <c r="I12" s="1560"/>
      <c r="J12" s="1560"/>
      <c r="K12" s="1560"/>
      <c r="L12" s="1560"/>
      <c r="M12" s="1560"/>
      <c r="N12" s="1560"/>
      <c r="O12" s="1560"/>
      <c r="P12" s="1560"/>
      <c r="Q12" s="1560"/>
      <c r="R12" s="1561"/>
      <c r="S12" s="1565" t="s">
        <v>59</v>
      </c>
      <c r="T12" s="1567" t="s">
        <v>213</v>
      </c>
      <c r="W12" s="170"/>
      <c r="X12" s="1534" t="s">
        <v>58</v>
      </c>
      <c r="Y12" s="1535"/>
      <c r="Z12" s="1535"/>
      <c r="AA12" s="1534" t="s">
        <v>214</v>
      </c>
      <c r="AB12" s="1534" t="str">
        <f>"単価（円/"&amp;リスト!$C$23&amp;"kg）"</f>
        <v>単価（円/50kg）</v>
      </c>
      <c r="AC12" s="1534" t="s">
        <v>215</v>
      </c>
      <c r="AD12" s="207"/>
    </row>
    <row r="13" spans="1:31" ht="17.100000000000001" customHeight="1" thickBot="1">
      <c r="B13" s="1557"/>
      <c r="C13" s="1558"/>
      <c r="D13" s="1558"/>
      <c r="E13" s="1558"/>
      <c r="F13" s="1562"/>
      <c r="G13" s="1563"/>
      <c r="H13" s="1563"/>
      <c r="I13" s="1563"/>
      <c r="J13" s="1563"/>
      <c r="K13" s="1563"/>
      <c r="L13" s="1563"/>
      <c r="M13" s="1563"/>
      <c r="N13" s="1563"/>
      <c r="O13" s="1563"/>
      <c r="P13" s="1563"/>
      <c r="Q13" s="1563"/>
      <c r="R13" s="1564"/>
      <c r="S13" s="1566"/>
      <c r="T13" s="1568"/>
      <c r="X13" s="1535"/>
      <c r="Y13" s="1535"/>
      <c r="Z13" s="1535"/>
      <c r="AA13" s="1535"/>
      <c r="AB13" s="1535"/>
      <c r="AC13" s="1535"/>
      <c r="AD13" s="207"/>
    </row>
    <row r="14" spans="1:31" ht="30" customHeight="1" thickTop="1" thickBot="1">
      <c r="B14" s="1536" t="s">
        <v>216</v>
      </c>
      <c r="C14" s="1537"/>
      <c r="D14" s="1542" t="s">
        <v>217</v>
      </c>
      <c r="E14" s="1543"/>
      <c r="F14" s="1544" t="s">
        <v>218</v>
      </c>
      <c r="G14" s="1545"/>
      <c r="H14" s="1545"/>
      <c r="I14" s="1545"/>
      <c r="J14" s="1545"/>
      <c r="K14" s="1545"/>
      <c r="L14" s="1545"/>
      <c r="M14" s="1545"/>
      <c r="N14" s="1545"/>
      <c r="O14" s="1545"/>
      <c r="P14" s="1545"/>
      <c r="Q14" s="1545"/>
      <c r="R14" s="1545"/>
      <c r="S14" s="249"/>
      <c r="T14" s="250"/>
      <c r="X14" s="1550" t="s">
        <v>219</v>
      </c>
      <c r="Y14" s="1534" t="s">
        <v>220</v>
      </c>
      <c r="Z14" s="1534"/>
      <c r="AA14" s="251">
        <f>IF(OR(S14="",S14=0),SUM(S15:S29),S14)</f>
        <v>0</v>
      </c>
      <c r="AB14" s="252">
        <f>IF(AND(AA14&gt;0,AC14&gt;0),ROUND(AC14/AA14*リスト!$C$23,2),)</f>
        <v>0</v>
      </c>
      <c r="AC14" s="251">
        <f>IF(OR(T14="",T14=0),SUM(T15:T29),T14)</f>
        <v>0</v>
      </c>
      <c r="AD14" s="207"/>
    </row>
    <row r="15" spans="1:31" ht="30" customHeight="1" thickTop="1">
      <c r="B15" s="1538"/>
      <c r="C15" s="1539"/>
      <c r="D15" s="253"/>
      <c r="E15" s="254"/>
      <c r="F15" s="1546"/>
      <c r="G15" s="1547"/>
      <c r="H15" s="1547"/>
      <c r="I15" s="1547"/>
      <c r="J15" s="1547"/>
      <c r="K15" s="1547"/>
      <c r="L15" s="1547"/>
      <c r="M15" s="1547"/>
      <c r="N15" s="1547"/>
      <c r="O15" s="1547"/>
      <c r="P15" s="1547"/>
      <c r="Q15" s="1547"/>
      <c r="R15" s="1547"/>
      <c r="S15" s="255"/>
      <c r="T15" s="256"/>
      <c r="X15" s="1551"/>
      <c r="Y15" s="1534" t="s">
        <v>221</v>
      </c>
      <c r="Z15" s="1534"/>
      <c r="AA15" s="251">
        <f>IF(OR(S30="",S30=0),SUM(S31:S45),S30)</f>
        <v>0</v>
      </c>
      <c r="AB15" s="252">
        <f>IF(AND(AA15&gt;0,AC15&gt;0),ROUND(AC15/AA15*リスト!$C$23,2),)</f>
        <v>0</v>
      </c>
      <c r="AC15" s="251">
        <f>IF(OR(T30="",T30=0),SUM(T31:T45),T30)</f>
        <v>0</v>
      </c>
      <c r="AD15" s="207"/>
    </row>
    <row r="16" spans="1:31" ht="30" customHeight="1">
      <c r="B16" s="1538"/>
      <c r="C16" s="1539"/>
      <c r="D16" s="253"/>
      <c r="E16" s="254"/>
      <c r="F16" s="1546"/>
      <c r="G16" s="1547"/>
      <c r="H16" s="1547"/>
      <c r="I16" s="1547"/>
      <c r="J16" s="1547"/>
      <c r="K16" s="1547"/>
      <c r="L16" s="1547"/>
      <c r="M16" s="1547"/>
      <c r="N16" s="1547"/>
      <c r="O16" s="1547"/>
      <c r="P16" s="1547"/>
      <c r="Q16" s="1547"/>
      <c r="R16" s="1547"/>
      <c r="S16" s="257"/>
      <c r="T16" s="258"/>
      <c r="X16" s="1551"/>
      <c r="Y16" s="1534" t="s">
        <v>222</v>
      </c>
      <c r="Z16" s="1534"/>
      <c r="AA16" s="251">
        <f>IF(OR(S46="",S46=0),SUM(S47:S61),S46)</f>
        <v>0</v>
      </c>
      <c r="AB16" s="252">
        <f>IF(AND(AA16&gt;0,AC16&gt;0),ROUND(AC16/AA16*リスト!$C$23,2),)</f>
        <v>0</v>
      </c>
      <c r="AC16" s="251">
        <f>IF(OR(T46="",T46=0),SUM(T47:T61),T46)</f>
        <v>0</v>
      </c>
      <c r="AD16" s="207"/>
    </row>
    <row r="17" spans="2:30" ht="30" customHeight="1">
      <c r="B17" s="1538"/>
      <c r="C17" s="1539"/>
      <c r="D17" s="253"/>
      <c r="E17" s="254"/>
      <c r="F17" s="1546"/>
      <c r="G17" s="1547"/>
      <c r="H17" s="1547"/>
      <c r="I17" s="1547"/>
      <c r="J17" s="1547"/>
      <c r="K17" s="1547"/>
      <c r="L17" s="1547"/>
      <c r="M17" s="1547"/>
      <c r="N17" s="1547"/>
      <c r="O17" s="1547"/>
      <c r="P17" s="1547"/>
      <c r="Q17" s="1547"/>
      <c r="R17" s="1547"/>
      <c r="S17" s="257"/>
      <c r="T17" s="258"/>
      <c r="X17" s="1552"/>
      <c r="Y17" s="1553" t="s">
        <v>223</v>
      </c>
      <c r="Z17" s="1554"/>
      <c r="AA17" s="251">
        <f>S79</f>
        <v>0</v>
      </c>
      <c r="AB17" s="252">
        <f>IF(AND(AA17&gt;0,AC17&gt;0),ROUND(AC17/AA17*リスト!$C$23,2),)</f>
        <v>0</v>
      </c>
      <c r="AC17" s="251">
        <f>T79</f>
        <v>0</v>
      </c>
      <c r="AD17" s="207"/>
    </row>
    <row r="18" spans="2:30" ht="30" customHeight="1" collapsed="1" thickBot="1">
      <c r="B18" s="1538"/>
      <c r="C18" s="1539"/>
      <c r="D18" s="253"/>
      <c r="E18" s="254"/>
      <c r="F18" s="1546"/>
      <c r="G18" s="1547"/>
      <c r="H18" s="1547"/>
      <c r="I18" s="1547"/>
      <c r="J18" s="1547"/>
      <c r="K18" s="1547"/>
      <c r="L18" s="1547"/>
      <c r="M18" s="1547"/>
      <c r="N18" s="1547"/>
      <c r="O18" s="1547"/>
      <c r="P18" s="1547"/>
      <c r="Q18" s="1547"/>
      <c r="R18" s="1547"/>
      <c r="S18" s="257"/>
      <c r="T18" s="258"/>
      <c r="X18" s="1553" t="s">
        <v>224</v>
      </c>
      <c r="Y18" s="1569"/>
      <c r="Z18" s="1554"/>
      <c r="AA18" s="259">
        <f>SUM(AA14:AA17)</f>
        <v>0</v>
      </c>
      <c r="AB18" s="252">
        <f>IF(AND(AA18&gt;0,AC18&gt;0),ROUND(AC18/AA18*リスト!$C$23,2),)</f>
        <v>0</v>
      </c>
      <c r="AC18" s="259">
        <f>SUM(AC14:AC17)</f>
        <v>0</v>
      </c>
      <c r="AD18" s="207"/>
    </row>
    <row r="19" spans="2:30" ht="30" hidden="1" customHeight="1" outlineLevel="1">
      <c r="B19" s="1538"/>
      <c r="C19" s="1539"/>
      <c r="D19" s="253"/>
      <c r="E19" s="254"/>
      <c r="F19" s="1546"/>
      <c r="G19" s="1547"/>
      <c r="H19" s="1547"/>
      <c r="I19" s="1547"/>
      <c r="J19" s="1547"/>
      <c r="K19" s="1547"/>
      <c r="L19" s="1547"/>
      <c r="M19" s="1547"/>
      <c r="N19" s="1547"/>
      <c r="O19" s="1547"/>
      <c r="P19" s="1547"/>
      <c r="Q19" s="1547"/>
      <c r="R19" s="1547"/>
      <c r="S19" s="257"/>
      <c r="T19" s="258"/>
      <c r="AD19" s="207"/>
    </row>
    <row r="20" spans="2:30" ht="30" hidden="1" customHeight="1" outlineLevel="1">
      <c r="B20" s="1538"/>
      <c r="C20" s="1539"/>
      <c r="D20" s="253"/>
      <c r="E20" s="254"/>
      <c r="F20" s="1546"/>
      <c r="G20" s="1547"/>
      <c r="H20" s="1547"/>
      <c r="I20" s="1547"/>
      <c r="J20" s="1547"/>
      <c r="K20" s="1547"/>
      <c r="L20" s="1547"/>
      <c r="M20" s="1547"/>
      <c r="N20" s="1547"/>
      <c r="O20" s="1547"/>
      <c r="P20" s="1547"/>
      <c r="Q20" s="1547"/>
      <c r="R20" s="1547"/>
      <c r="S20" s="257"/>
      <c r="T20" s="258"/>
      <c r="AD20" s="207"/>
    </row>
    <row r="21" spans="2:30" ht="30" hidden="1" customHeight="1" outlineLevel="1">
      <c r="B21" s="1538"/>
      <c r="C21" s="1539"/>
      <c r="D21" s="253"/>
      <c r="E21" s="254"/>
      <c r="F21" s="1546"/>
      <c r="G21" s="1547"/>
      <c r="H21" s="1547"/>
      <c r="I21" s="1547"/>
      <c r="J21" s="1547"/>
      <c r="K21" s="1547"/>
      <c r="L21" s="1547"/>
      <c r="M21" s="1547"/>
      <c r="N21" s="1547"/>
      <c r="O21" s="1547"/>
      <c r="P21" s="1547"/>
      <c r="Q21" s="1547"/>
      <c r="R21" s="1547"/>
      <c r="S21" s="257"/>
      <c r="T21" s="258"/>
      <c r="AD21" s="207"/>
    </row>
    <row r="22" spans="2:30" ht="30" hidden="1" customHeight="1" outlineLevel="1">
      <c r="B22" s="1538"/>
      <c r="C22" s="1539"/>
      <c r="D22" s="253"/>
      <c r="E22" s="254"/>
      <c r="F22" s="1546"/>
      <c r="G22" s="1547"/>
      <c r="H22" s="1547"/>
      <c r="I22" s="1547"/>
      <c r="J22" s="1547"/>
      <c r="K22" s="1547"/>
      <c r="L22" s="1547"/>
      <c r="M22" s="1547"/>
      <c r="N22" s="1547"/>
      <c r="O22" s="1547"/>
      <c r="P22" s="1547"/>
      <c r="Q22" s="1547"/>
      <c r="R22" s="1547"/>
      <c r="S22" s="257"/>
      <c r="T22" s="258"/>
      <c r="Y22" s="207"/>
      <c r="Z22" s="207"/>
      <c r="AA22" s="207"/>
      <c r="AB22" s="207"/>
      <c r="AC22" s="207"/>
      <c r="AD22" s="207"/>
    </row>
    <row r="23" spans="2:30" ht="30" hidden="1" customHeight="1" outlineLevel="1">
      <c r="B23" s="1538"/>
      <c r="C23" s="1539"/>
      <c r="D23" s="253"/>
      <c r="E23" s="254"/>
      <c r="F23" s="1546"/>
      <c r="G23" s="1547"/>
      <c r="H23" s="1547"/>
      <c r="I23" s="1547"/>
      <c r="J23" s="1547"/>
      <c r="K23" s="1547"/>
      <c r="L23" s="1547"/>
      <c r="M23" s="1547"/>
      <c r="N23" s="1547"/>
      <c r="O23" s="1547"/>
      <c r="P23" s="1547"/>
      <c r="Q23" s="1547"/>
      <c r="R23" s="1547"/>
      <c r="S23" s="257"/>
      <c r="T23" s="258"/>
      <c r="AD23" s="207"/>
    </row>
    <row r="24" spans="2:30" ht="30" hidden="1" customHeight="1" outlineLevel="1">
      <c r="B24" s="1538"/>
      <c r="C24" s="1539"/>
      <c r="D24" s="253"/>
      <c r="E24" s="254"/>
      <c r="F24" s="1546"/>
      <c r="G24" s="1547"/>
      <c r="H24" s="1547"/>
      <c r="I24" s="1547"/>
      <c r="J24" s="1547"/>
      <c r="K24" s="1547"/>
      <c r="L24" s="1547"/>
      <c r="M24" s="1547"/>
      <c r="N24" s="1547"/>
      <c r="O24" s="1547"/>
      <c r="P24" s="1547"/>
      <c r="Q24" s="1547"/>
      <c r="R24" s="1547"/>
      <c r="S24" s="257"/>
      <c r="T24" s="258"/>
      <c r="AD24" s="207"/>
    </row>
    <row r="25" spans="2:30" ht="30" hidden="1" customHeight="1" outlineLevel="1">
      <c r="B25" s="1538"/>
      <c r="C25" s="1539"/>
      <c r="D25" s="253"/>
      <c r="E25" s="254"/>
      <c r="F25" s="1546"/>
      <c r="G25" s="1547"/>
      <c r="H25" s="1547"/>
      <c r="I25" s="1547"/>
      <c r="J25" s="1547"/>
      <c r="K25" s="1547"/>
      <c r="L25" s="1547"/>
      <c r="M25" s="1547"/>
      <c r="N25" s="1547"/>
      <c r="O25" s="1547"/>
      <c r="P25" s="1547"/>
      <c r="Q25" s="1547"/>
      <c r="R25" s="1547"/>
      <c r="S25" s="257"/>
      <c r="T25" s="258"/>
      <c r="AD25" s="207"/>
    </row>
    <row r="26" spans="2:30" ht="30" hidden="1" customHeight="1" outlineLevel="1">
      <c r="B26" s="1538"/>
      <c r="C26" s="1539"/>
      <c r="D26" s="253"/>
      <c r="E26" s="254"/>
      <c r="F26" s="1546"/>
      <c r="G26" s="1547"/>
      <c r="H26" s="1547"/>
      <c r="I26" s="1547"/>
      <c r="J26" s="1547"/>
      <c r="K26" s="1547"/>
      <c r="L26" s="1547"/>
      <c r="M26" s="1547"/>
      <c r="N26" s="1547"/>
      <c r="O26" s="1547"/>
      <c r="P26" s="1547"/>
      <c r="Q26" s="1547"/>
      <c r="R26" s="1547"/>
      <c r="S26" s="257"/>
      <c r="T26" s="258"/>
      <c r="AD26" s="207"/>
    </row>
    <row r="27" spans="2:30" ht="30" hidden="1" customHeight="1" outlineLevel="1">
      <c r="B27" s="1538"/>
      <c r="C27" s="1539"/>
      <c r="D27" s="253"/>
      <c r="E27" s="254"/>
      <c r="F27" s="1546"/>
      <c r="G27" s="1547"/>
      <c r="H27" s="1547"/>
      <c r="I27" s="1547"/>
      <c r="J27" s="1547"/>
      <c r="K27" s="1547"/>
      <c r="L27" s="1547"/>
      <c r="M27" s="1547"/>
      <c r="N27" s="1547"/>
      <c r="O27" s="1547"/>
      <c r="P27" s="1547"/>
      <c r="Q27" s="1547"/>
      <c r="R27" s="1547"/>
      <c r="S27" s="257"/>
      <c r="T27" s="258"/>
      <c r="AD27" s="207"/>
    </row>
    <row r="28" spans="2:30" ht="30" hidden="1" customHeight="1" outlineLevel="1">
      <c r="B28" s="1538"/>
      <c r="C28" s="1539"/>
      <c r="D28" s="253"/>
      <c r="E28" s="254"/>
      <c r="F28" s="1546"/>
      <c r="G28" s="1547"/>
      <c r="H28" s="1547"/>
      <c r="I28" s="1547"/>
      <c r="J28" s="1547"/>
      <c r="K28" s="1547"/>
      <c r="L28" s="1547"/>
      <c r="M28" s="1547"/>
      <c r="N28" s="1547"/>
      <c r="O28" s="1547"/>
      <c r="P28" s="1547"/>
      <c r="Q28" s="1547"/>
      <c r="R28" s="1547"/>
      <c r="S28" s="257"/>
      <c r="T28" s="258"/>
      <c r="AD28" s="207"/>
    </row>
    <row r="29" spans="2:30" ht="30" hidden="1" customHeight="1" outlineLevel="1" thickBot="1">
      <c r="B29" s="1538"/>
      <c r="C29" s="1539"/>
      <c r="D29" s="253"/>
      <c r="E29" s="254"/>
      <c r="F29" s="1548"/>
      <c r="G29" s="1549"/>
      <c r="H29" s="1549"/>
      <c r="I29" s="1549"/>
      <c r="J29" s="1549"/>
      <c r="K29" s="1549"/>
      <c r="L29" s="1549"/>
      <c r="M29" s="1549"/>
      <c r="N29" s="1549"/>
      <c r="O29" s="1549"/>
      <c r="P29" s="1549"/>
      <c r="Q29" s="1549"/>
      <c r="R29" s="1549"/>
      <c r="S29" s="257"/>
      <c r="T29" s="258"/>
      <c r="AD29" s="207"/>
    </row>
    <row r="30" spans="2:30" ht="30" customHeight="1" thickTop="1" thickBot="1">
      <c r="B30" s="1538"/>
      <c r="C30" s="1539"/>
      <c r="D30" s="1570" t="s">
        <v>225</v>
      </c>
      <c r="E30" s="1571"/>
      <c r="F30" s="1572" t="s">
        <v>226</v>
      </c>
      <c r="G30" s="1573"/>
      <c r="H30" s="1573"/>
      <c r="I30" s="1573"/>
      <c r="J30" s="1573"/>
      <c r="K30" s="1573"/>
      <c r="L30" s="1573"/>
      <c r="M30" s="1573"/>
      <c r="N30" s="1573"/>
      <c r="O30" s="1573"/>
      <c r="P30" s="1573"/>
      <c r="Q30" s="1573"/>
      <c r="R30" s="1573"/>
      <c r="S30" s="249"/>
      <c r="T30" s="250"/>
      <c r="AD30" s="207"/>
    </row>
    <row r="31" spans="2:30" ht="30" customHeight="1" thickTop="1">
      <c r="B31" s="1538"/>
      <c r="C31" s="1539"/>
      <c r="D31" s="253"/>
      <c r="E31" s="254"/>
      <c r="F31" s="1546"/>
      <c r="G31" s="1547"/>
      <c r="H31" s="1547"/>
      <c r="I31" s="1547"/>
      <c r="J31" s="1547"/>
      <c r="K31" s="1547"/>
      <c r="L31" s="1547"/>
      <c r="M31" s="1547"/>
      <c r="N31" s="1547"/>
      <c r="O31" s="1547"/>
      <c r="P31" s="1547"/>
      <c r="Q31" s="1547"/>
      <c r="R31" s="1547"/>
      <c r="S31" s="255"/>
      <c r="T31" s="256"/>
      <c r="X31" s="260"/>
      <c r="Y31" s="186"/>
      <c r="AA31" s="261"/>
      <c r="AB31" s="261"/>
      <c r="AD31" s="207"/>
    </row>
    <row r="32" spans="2:30" ht="30" customHeight="1">
      <c r="B32" s="1538"/>
      <c r="C32" s="1539"/>
      <c r="D32" s="253"/>
      <c r="E32" s="254"/>
      <c r="F32" s="1546"/>
      <c r="G32" s="1547"/>
      <c r="H32" s="1547"/>
      <c r="I32" s="1547"/>
      <c r="J32" s="1547"/>
      <c r="K32" s="1547"/>
      <c r="L32" s="1547"/>
      <c r="M32" s="1547"/>
      <c r="N32" s="1547"/>
      <c r="O32" s="1547"/>
      <c r="P32" s="1547"/>
      <c r="Q32" s="1547"/>
      <c r="R32" s="1547"/>
      <c r="S32" s="257"/>
      <c r="T32" s="258"/>
      <c r="W32" s="262"/>
      <c r="X32" s="1574"/>
      <c r="Y32" s="1574"/>
      <c r="Z32" s="1574"/>
      <c r="AA32" s="263"/>
      <c r="AB32" s="263"/>
      <c r="AC32" s="264"/>
      <c r="AD32" s="207"/>
    </row>
    <row r="33" spans="2:30" ht="30" customHeight="1">
      <c r="B33" s="1538"/>
      <c r="C33" s="1539"/>
      <c r="D33" s="253"/>
      <c r="E33" s="254"/>
      <c r="F33" s="1546"/>
      <c r="G33" s="1547"/>
      <c r="H33" s="1547"/>
      <c r="I33" s="1547"/>
      <c r="J33" s="1547"/>
      <c r="K33" s="1547"/>
      <c r="L33" s="1547"/>
      <c r="M33" s="1547"/>
      <c r="N33" s="1547"/>
      <c r="O33" s="1547"/>
      <c r="P33" s="1547"/>
      <c r="Q33" s="1547"/>
      <c r="R33" s="1547"/>
      <c r="S33" s="257"/>
      <c r="T33" s="258"/>
      <c r="W33" s="262"/>
      <c r="AD33" s="207"/>
    </row>
    <row r="34" spans="2:30" ht="30" customHeight="1" collapsed="1" thickBot="1">
      <c r="B34" s="1538"/>
      <c r="C34" s="1539"/>
      <c r="D34" s="253"/>
      <c r="E34" s="254"/>
      <c r="F34" s="1546"/>
      <c r="G34" s="1547"/>
      <c r="H34" s="1547"/>
      <c r="I34" s="1547"/>
      <c r="J34" s="1547"/>
      <c r="K34" s="1547"/>
      <c r="L34" s="1547"/>
      <c r="M34" s="1547"/>
      <c r="N34" s="1547"/>
      <c r="O34" s="1547"/>
      <c r="P34" s="1547"/>
      <c r="Q34" s="1547"/>
      <c r="R34" s="1547"/>
      <c r="S34" s="257"/>
      <c r="T34" s="258"/>
      <c r="W34" s="262"/>
      <c r="X34" s="1574"/>
      <c r="Y34" s="1574"/>
      <c r="Z34" s="1574"/>
      <c r="AA34" s="263"/>
      <c r="AB34" s="263"/>
      <c r="AC34" s="264"/>
      <c r="AD34" s="207"/>
    </row>
    <row r="35" spans="2:30" ht="30" hidden="1" customHeight="1" outlineLevel="1">
      <c r="B35" s="1538"/>
      <c r="C35" s="1539"/>
      <c r="D35" s="253"/>
      <c r="E35" s="254"/>
      <c r="F35" s="1546"/>
      <c r="G35" s="1547"/>
      <c r="H35" s="1547"/>
      <c r="I35" s="1547"/>
      <c r="J35" s="1547"/>
      <c r="K35" s="1547"/>
      <c r="L35" s="1547"/>
      <c r="M35" s="1547"/>
      <c r="N35" s="1547"/>
      <c r="O35" s="1547"/>
      <c r="P35" s="1547"/>
      <c r="Q35" s="1547"/>
      <c r="R35" s="1547"/>
      <c r="S35" s="257"/>
      <c r="T35" s="258"/>
      <c r="W35" s="262"/>
      <c r="AD35" s="207"/>
    </row>
    <row r="36" spans="2:30" ht="30" hidden="1" customHeight="1" outlineLevel="1">
      <c r="B36" s="1538"/>
      <c r="C36" s="1539"/>
      <c r="D36" s="253"/>
      <c r="E36" s="254"/>
      <c r="F36" s="1546"/>
      <c r="G36" s="1547"/>
      <c r="H36" s="1547"/>
      <c r="I36" s="1547"/>
      <c r="J36" s="1547"/>
      <c r="K36" s="1547"/>
      <c r="L36" s="1547"/>
      <c r="M36" s="1547"/>
      <c r="N36" s="1547"/>
      <c r="O36" s="1547"/>
      <c r="P36" s="1547"/>
      <c r="Q36" s="1547"/>
      <c r="R36" s="1547"/>
      <c r="S36" s="257"/>
      <c r="T36" s="258"/>
      <c r="W36" s="262"/>
      <c r="X36" s="1574"/>
      <c r="Y36" s="1574"/>
      <c r="Z36" s="1574"/>
      <c r="AA36" s="263"/>
      <c r="AB36" s="263"/>
      <c r="AC36" s="264"/>
      <c r="AD36" s="207"/>
    </row>
    <row r="37" spans="2:30" ht="30" hidden="1" customHeight="1" outlineLevel="1">
      <c r="B37" s="1538"/>
      <c r="C37" s="1539"/>
      <c r="D37" s="253"/>
      <c r="E37" s="254"/>
      <c r="F37" s="1546"/>
      <c r="G37" s="1547"/>
      <c r="H37" s="1547"/>
      <c r="I37" s="1547"/>
      <c r="J37" s="1547"/>
      <c r="K37" s="1547"/>
      <c r="L37" s="1547"/>
      <c r="M37" s="1547"/>
      <c r="N37" s="1547"/>
      <c r="O37" s="1547"/>
      <c r="P37" s="1547"/>
      <c r="Q37" s="1547"/>
      <c r="R37" s="1547"/>
      <c r="S37" s="257"/>
      <c r="T37" s="258"/>
      <c r="W37" s="262"/>
      <c r="X37" s="1574"/>
      <c r="Y37" s="1574"/>
      <c r="Z37" s="1574"/>
      <c r="AA37" s="263"/>
      <c r="AB37" s="263"/>
      <c r="AC37" s="264"/>
      <c r="AD37" s="207"/>
    </row>
    <row r="38" spans="2:30" ht="30" hidden="1" customHeight="1" outlineLevel="1">
      <c r="B38" s="1538"/>
      <c r="C38" s="1539"/>
      <c r="D38" s="253"/>
      <c r="E38" s="254"/>
      <c r="F38" s="1546"/>
      <c r="G38" s="1547"/>
      <c r="H38" s="1547"/>
      <c r="I38" s="1547"/>
      <c r="J38" s="1547"/>
      <c r="K38" s="1547"/>
      <c r="L38" s="1547"/>
      <c r="M38" s="1547"/>
      <c r="N38" s="1547"/>
      <c r="O38" s="1547"/>
      <c r="P38" s="1547"/>
      <c r="Q38" s="1547"/>
      <c r="R38" s="1547"/>
      <c r="S38" s="257"/>
      <c r="T38" s="258"/>
      <c r="W38" s="262"/>
      <c r="AD38" s="207"/>
    </row>
    <row r="39" spans="2:30" ht="30" hidden="1" customHeight="1" outlineLevel="1">
      <c r="B39" s="1538"/>
      <c r="C39" s="1539"/>
      <c r="D39" s="253"/>
      <c r="E39" s="254"/>
      <c r="F39" s="1546"/>
      <c r="G39" s="1547"/>
      <c r="H39" s="1547"/>
      <c r="I39" s="1547"/>
      <c r="J39" s="1547"/>
      <c r="K39" s="1547"/>
      <c r="L39" s="1547"/>
      <c r="M39" s="1547"/>
      <c r="N39" s="1547"/>
      <c r="O39" s="1547"/>
      <c r="P39" s="1547"/>
      <c r="Q39" s="1547"/>
      <c r="R39" s="1547"/>
      <c r="S39" s="257"/>
      <c r="T39" s="258"/>
      <c r="W39" s="262"/>
      <c r="X39" s="1574"/>
      <c r="Y39" s="1574"/>
      <c r="Z39" s="1574"/>
      <c r="AA39" s="263"/>
      <c r="AB39" s="263"/>
      <c r="AC39" s="264"/>
      <c r="AD39" s="207"/>
    </row>
    <row r="40" spans="2:30" ht="30" hidden="1" customHeight="1" outlineLevel="1">
      <c r="B40" s="1538"/>
      <c r="C40" s="1539"/>
      <c r="D40" s="253"/>
      <c r="E40" s="254"/>
      <c r="F40" s="1546"/>
      <c r="G40" s="1547"/>
      <c r="H40" s="1547"/>
      <c r="I40" s="1547"/>
      <c r="J40" s="1547"/>
      <c r="K40" s="1547"/>
      <c r="L40" s="1547"/>
      <c r="M40" s="1547"/>
      <c r="N40" s="1547"/>
      <c r="O40" s="1547"/>
      <c r="P40" s="1547"/>
      <c r="Q40" s="1547"/>
      <c r="R40" s="1547"/>
      <c r="S40" s="257"/>
      <c r="T40" s="258"/>
      <c r="W40" s="262"/>
      <c r="AD40" s="207"/>
    </row>
    <row r="41" spans="2:30" ht="30" hidden="1" customHeight="1" outlineLevel="1">
      <c r="B41" s="1538"/>
      <c r="C41" s="1539"/>
      <c r="D41" s="253"/>
      <c r="E41" s="254"/>
      <c r="F41" s="1546"/>
      <c r="G41" s="1547"/>
      <c r="H41" s="1547"/>
      <c r="I41" s="1547"/>
      <c r="J41" s="1547"/>
      <c r="K41" s="1547"/>
      <c r="L41" s="1547"/>
      <c r="M41" s="1547"/>
      <c r="N41" s="1547"/>
      <c r="O41" s="1547"/>
      <c r="P41" s="1547"/>
      <c r="Q41" s="1547"/>
      <c r="R41" s="1547"/>
      <c r="S41" s="257"/>
      <c r="T41" s="258"/>
      <c r="W41" s="262"/>
      <c r="X41" s="1574"/>
      <c r="Y41" s="1574"/>
      <c r="Z41" s="1574"/>
      <c r="AA41" s="263"/>
      <c r="AB41" s="263"/>
      <c r="AC41" s="264"/>
      <c r="AD41" s="207"/>
    </row>
    <row r="42" spans="2:30" ht="30" hidden="1" customHeight="1" outlineLevel="1">
      <c r="B42" s="1538"/>
      <c r="C42" s="1539"/>
      <c r="D42" s="253"/>
      <c r="E42" s="254"/>
      <c r="F42" s="1546"/>
      <c r="G42" s="1547"/>
      <c r="H42" s="1547"/>
      <c r="I42" s="1547"/>
      <c r="J42" s="1547"/>
      <c r="K42" s="1547"/>
      <c r="L42" s="1547"/>
      <c r="M42" s="1547"/>
      <c r="N42" s="1547"/>
      <c r="O42" s="1547"/>
      <c r="P42" s="1547"/>
      <c r="Q42" s="1547"/>
      <c r="R42" s="1547"/>
      <c r="S42" s="257"/>
      <c r="T42" s="258"/>
      <c r="W42" s="262"/>
      <c r="AD42" s="207"/>
    </row>
    <row r="43" spans="2:30" ht="30" hidden="1" customHeight="1" outlineLevel="1">
      <c r="B43" s="1538"/>
      <c r="C43" s="1539"/>
      <c r="D43" s="253"/>
      <c r="E43" s="254"/>
      <c r="F43" s="1546"/>
      <c r="G43" s="1547"/>
      <c r="H43" s="1547"/>
      <c r="I43" s="1547"/>
      <c r="J43" s="1547"/>
      <c r="K43" s="1547"/>
      <c r="L43" s="1547"/>
      <c r="M43" s="1547"/>
      <c r="N43" s="1547"/>
      <c r="O43" s="1547"/>
      <c r="P43" s="1547"/>
      <c r="Q43" s="1547"/>
      <c r="R43" s="1547"/>
      <c r="S43" s="257"/>
      <c r="T43" s="258"/>
      <c r="W43" s="262"/>
      <c r="X43" s="1574"/>
      <c r="Y43" s="1574"/>
      <c r="Z43" s="1574"/>
      <c r="AA43" s="263"/>
      <c r="AB43" s="263"/>
      <c r="AC43" s="264"/>
      <c r="AD43" s="207"/>
    </row>
    <row r="44" spans="2:30" ht="30" hidden="1" customHeight="1" outlineLevel="1">
      <c r="B44" s="1538"/>
      <c r="C44" s="1539"/>
      <c r="D44" s="253"/>
      <c r="E44" s="254"/>
      <c r="F44" s="1546"/>
      <c r="G44" s="1547"/>
      <c r="H44" s="1547"/>
      <c r="I44" s="1547"/>
      <c r="J44" s="1547"/>
      <c r="K44" s="1547"/>
      <c r="L44" s="1547"/>
      <c r="M44" s="1547"/>
      <c r="N44" s="1547"/>
      <c r="O44" s="1547"/>
      <c r="P44" s="1547"/>
      <c r="Q44" s="1547"/>
      <c r="R44" s="1547"/>
      <c r="S44" s="257"/>
      <c r="T44" s="258"/>
      <c r="W44" s="262"/>
      <c r="AD44" s="207"/>
    </row>
    <row r="45" spans="2:30" ht="30" hidden="1" customHeight="1" outlineLevel="1" thickBot="1">
      <c r="B45" s="1538"/>
      <c r="C45" s="1539"/>
      <c r="D45" s="265"/>
      <c r="E45" s="254"/>
      <c r="F45" s="1548"/>
      <c r="G45" s="1549"/>
      <c r="H45" s="1549"/>
      <c r="I45" s="1549"/>
      <c r="J45" s="1549"/>
      <c r="K45" s="1549"/>
      <c r="L45" s="1549"/>
      <c r="M45" s="1549"/>
      <c r="N45" s="1549"/>
      <c r="O45" s="1549"/>
      <c r="P45" s="1549"/>
      <c r="Q45" s="1549"/>
      <c r="R45" s="1549"/>
      <c r="S45" s="266"/>
      <c r="T45" s="267"/>
      <c r="W45" s="262"/>
      <c r="AD45" s="207"/>
    </row>
    <row r="46" spans="2:30" ht="30" customHeight="1" thickTop="1" thickBot="1">
      <c r="B46" s="1538"/>
      <c r="C46" s="1539"/>
      <c r="D46" s="1570" t="s">
        <v>227</v>
      </c>
      <c r="E46" s="1571"/>
      <c r="F46" s="1572" t="s">
        <v>228</v>
      </c>
      <c r="G46" s="1573"/>
      <c r="H46" s="1573"/>
      <c r="I46" s="1573"/>
      <c r="J46" s="1573"/>
      <c r="K46" s="1573"/>
      <c r="L46" s="1573"/>
      <c r="M46" s="1573"/>
      <c r="N46" s="1573"/>
      <c r="O46" s="1573"/>
      <c r="P46" s="1573"/>
      <c r="Q46" s="1573"/>
      <c r="R46" s="1573"/>
      <c r="S46" s="249"/>
      <c r="T46" s="250"/>
      <c r="W46" s="262"/>
      <c r="AD46" s="207"/>
    </row>
    <row r="47" spans="2:30" ht="30" customHeight="1" thickTop="1">
      <c r="B47" s="1538"/>
      <c r="C47" s="1539"/>
      <c r="D47" s="268"/>
      <c r="E47" s="254"/>
      <c r="F47" s="1546"/>
      <c r="G47" s="1547"/>
      <c r="H47" s="1547"/>
      <c r="I47" s="1547"/>
      <c r="J47" s="1547"/>
      <c r="K47" s="1547"/>
      <c r="L47" s="1547"/>
      <c r="M47" s="1547"/>
      <c r="N47" s="1547"/>
      <c r="O47" s="1547"/>
      <c r="P47" s="1547"/>
      <c r="Q47" s="1547"/>
      <c r="R47" s="1547"/>
      <c r="S47" s="255"/>
      <c r="T47" s="256"/>
      <c r="W47" s="262"/>
      <c r="X47" s="144"/>
      <c r="Y47" s="144"/>
      <c r="Z47" s="144"/>
      <c r="AA47" s="144"/>
      <c r="AB47" s="144"/>
      <c r="AC47" s="144"/>
      <c r="AD47" s="207"/>
    </row>
    <row r="48" spans="2:30" ht="30" customHeight="1">
      <c r="B48" s="1538"/>
      <c r="C48" s="1539"/>
      <c r="D48" s="253"/>
      <c r="E48" s="254"/>
      <c r="F48" s="1546"/>
      <c r="G48" s="1547"/>
      <c r="H48" s="1547"/>
      <c r="I48" s="1547"/>
      <c r="J48" s="1547"/>
      <c r="K48" s="1547"/>
      <c r="L48" s="1547"/>
      <c r="M48" s="1547"/>
      <c r="N48" s="1547"/>
      <c r="O48" s="1547"/>
      <c r="P48" s="1547"/>
      <c r="Q48" s="1547"/>
      <c r="R48" s="1547"/>
      <c r="S48" s="257"/>
      <c r="T48" s="258"/>
      <c r="X48" s="144"/>
      <c r="Y48" s="144"/>
      <c r="Z48" s="144"/>
      <c r="AA48" s="144"/>
      <c r="AB48" s="144"/>
      <c r="AC48" s="144"/>
      <c r="AD48" s="207"/>
    </row>
    <row r="49" spans="2:30" ht="30" customHeight="1">
      <c r="B49" s="1538"/>
      <c r="C49" s="1539"/>
      <c r="D49" s="268"/>
      <c r="E49" s="254"/>
      <c r="F49" s="1546"/>
      <c r="G49" s="1547"/>
      <c r="H49" s="1547"/>
      <c r="I49" s="1547"/>
      <c r="J49" s="1547"/>
      <c r="K49" s="1547"/>
      <c r="L49" s="1547"/>
      <c r="M49" s="1547"/>
      <c r="N49" s="1547"/>
      <c r="O49" s="1547"/>
      <c r="P49" s="1547"/>
      <c r="Q49" s="1547"/>
      <c r="R49" s="1547"/>
      <c r="S49" s="257"/>
      <c r="T49" s="258"/>
      <c r="X49" s="144"/>
      <c r="Y49" s="144"/>
      <c r="Z49" s="144"/>
      <c r="AA49" s="144"/>
      <c r="AB49" s="144"/>
      <c r="AC49" s="144"/>
      <c r="AD49" s="207"/>
    </row>
    <row r="50" spans="2:30" ht="30" customHeight="1" collapsed="1" thickBot="1">
      <c r="B50" s="1538"/>
      <c r="C50" s="1539"/>
      <c r="D50" s="253"/>
      <c r="E50" s="254"/>
      <c r="F50" s="1546"/>
      <c r="G50" s="1547"/>
      <c r="H50" s="1547"/>
      <c r="I50" s="1547"/>
      <c r="J50" s="1547"/>
      <c r="K50" s="1547"/>
      <c r="L50" s="1547"/>
      <c r="M50" s="1547"/>
      <c r="N50" s="1547"/>
      <c r="O50" s="1547"/>
      <c r="P50" s="1547"/>
      <c r="Q50" s="1547"/>
      <c r="R50" s="1547"/>
      <c r="S50" s="257"/>
      <c r="T50" s="258"/>
      <c r="X50" s="144"/>
      <c r="Y50" s="144"/>
      <c r="Z50" s="144"/>
      <c r="AA50" s="144"/>
      <c r="AB50" s="144"/>
      <c r="AC50" s="144"/>
      <c r="AD50" s="207"/>
    </row>
    <row r="51" spans="2:30" ht="30" hidden="1" customHeight="1" outlineLevel="1">
      <c r="B51" s="1538"/>
      <c r="C51" s="1539"/>
      <c r="D51" s="268"/>
      <c r="E51" s="254"/>
      <c r="F51" s="1546"/>
      <c r="G51" s="1547"/>
      <c r="H51" s="1547"/>
      <c r="I51" s="1547"/>
      <c r="J51" s="1547"/>
      <c r="K51" s="1547"/>
      <c r="L51" s="1547"/>
      <c r="M51" s="1547"/>
      <c r="N51" s="1547"/>
      <c r="O51" s="1547"/>
      <c r="P51" s="1547"/>
      <c r="Q51" s="1547"/>
      <c r="R51" s="1547"/>
      <c r="S51" s="257"/>
      <c r="T51" s="258"/>
      <c r="X51" s="144"/>
      <c r="Y51" s="144"/>
      <c r="Z51" s="144"/>
      <c r="AA51" s="144"/>
      <c r="AB51" s="144"/>
      <c r="AC51" s="144"/>
      <c r="AD51" s="207"/>
    </row>
    <row r="52" spans="2:30" ht="30" hidden="1" customHeight="1" outlineLevel="1">
      <c r="B52" s="1538"/>
      <c r="C52" s="1539"/>
      <c r="D52" s="253"/>
      <c r="E52" s="254"/>
      <c r="F52" s="1546"/>
      <c r="G52" s="1547"/>
      <c r="H52" s="1547"/>
      <c r="I52" s="1547"/>
      <c r="J52" s="1547"/>
      <c r="K52" s="1547"/>
      <c r="L52" s="1547"/>
      <c r="M52" s="1547"/>
      <c r="N52" s="1547"/>
      <c r="O52" s="1547"/>
      <c r="P52" s="1547"/>
      <c r="Q52" s="1547"/>
      <c r="R52" s="1547"/>
      <c r="S52" s="257"/>
      <c r="T52" s="258"/>
      <c r="X52" s="144"/>
      <c r="Y52" s="144"/>
      <c r="Z52" s="144"/>
      <c r="AA52" s="144"/>
      <c r="AB52" s="144"/>
      <c r="AC52" s="144"/>
      <c r="AD52" s="207"/>
    </row>
    <row r="53" spans="2:30" ht="30" hidden="1" customHeight="1" outlineLevel="1">
      <c r="B53" s="1538"/>
      <c r="C53" s="1539"/>
      <c r="D53" s="253"/>
      <c r="E53" s="254"/>
      <c r="F53" s="1546"/>
      <c r="G53" s="1547"/>
      <c r="H53" s="1547"/>
      <c r="I53" s="1547"/>
      <c r="J53" s="1547"/>
      <c r="K53" s="1547"/>
      <c r="L53" s="1547"/>
      <c r="M53" s="1547"/>
      <c r="N53" s="1547"/>
      <c r="O53" s="1547"/>
      <c r="P53" s="1547"/>
      <c r="Q53" s="1547"/>
      <c r="R53" s="1547"/>
      <c r="S53" s="257"/>
      <c r="T53" s="258"/>
      <c r="X53" s="144"/>
      <c r="Y53" s="144"/>
      <c r="Z53" s="144"/>
      <c r="AA53" s="144"/>
      <c r="AB53" s="144"/>
      <c r="AC53" s="144"/>
      <c r="AD53" s="207"/>
    </row>
    <row r="54" spans="2:30" ht="30" hidden="1" customHeight="1" outlineLevel="1">
      <c r="B54" s="1538"/>
      <c r="C54" s="1539"/>
      <c r="D54" s="268"/>
      <c r="E54" s="254"/>
      <c r="F54" s="1546"/>
      <c r="G54" s="1547"/>
      <c r="H54" s="1547"/>
      <c r="I54" s="1547"/>
      <c r="J54" s="1547"/>
      <c r="K54" s="1547"/>
      <c r="L54" s="1547"/>
      <c r="M54" s="1547"/>
      <c r="N54" s="1547"/>
      <c r="O54" s="1547"/>
      <c r="P54" s="1547"/>
      <c r="Q54" s="1547"/>
      <c r="R54" s="1547"/>
      <c r="S54" s="257"/>
      <c r="T54" s="258"/>
      <c r="X54" s="144"/>
      <c r="Y54" s="144"/>
      <c r="Z54" s="144"/>
      <c r="AA54" s="144"/>
      <c r="AB54" s="144"/>
      <c r="AC54" s="144"/>
      <c r="AD54" s="207"/>
    </row>
    <row r="55" spans="2:30" ht="30" hidden="1" customHeight="1" outlineLevel="1">
      <c r="B55" s="1538"/>
      <c r="C55" s="1539"/>
      <c r="D55" s="253"/>
      <c r="E55" s="254"/>
      <c r="F55" s="1546"/>
      <c r="G55" s="1547"/>
      <c r="H55" s="1547"/>
      <c r="I55" s="1547"/>
      <c r="J55" s="1547"/>
      <c r="K55" s="1547"/>
      <c r="L55" s="1547"/>
      <c r="M55" s="1547"/>
      <c r="N55" s="1547"/>
      <c r="O55" s="1547"/>
      <c r="P55" s="1547"/>
      <c r="Q55" s="1547"/>
      <c r="R55" s="1547"/>
      <c r="S55" s="257"/>
      <c r="T55" s="258"/>
      <c r="X55" s="144"/>
      <c r="Y55" s="144"/>
      <c r="Z55" s="144"/>
      <c r="AA55" s="144"/>
      <c r="AB55" s="144"/>
      <c r="AC55" s="144"/>
      <c r="AD55" s="207"/>
    </row>
    <row r="56" spans="2:30" ht="30" hidden="1" customHeight="1" outlineLevel="1">
      <c r="B56" s="1538"/>
      <c r="C56" s="1539"/>
      <c r="D56" s="268"/>
      <c r="E56" s="254"/>
      <c r="F56" s="1546"/>
      <c r="G56" s="1547"/>
      <c r="H56" s="1547"/>
      <c r="I56" s="1547"/>
      <c r="J56" s="1547"/>
      <c r="K56" s="1547"/>
      <c r="L56" s="1547"/>
      <c r="M56" s="1547"/>
      <c r="N56" s="1547"/>
      <c r="O56" s="1547"/>
      <c r="P56" s="1547"/>
      <c r="Q56" s="1547"/>
      <c r="R56" s="1547"/>
      <c r="S56" s="257"/>
      <c r="T56" s="258"/>
      <c r="X56" s="144"/>
      <c r="Y56" s="144"/>
      <c r="Z56" s="144"/>
      <c r="AA56" s="144"/>
      <c r="AB56" s="144"/>
      <c r="AC56" s="144"/>
      <c r="AD56" s="207"/>
    </row>
    <row r="57" spans="2:30" ht="30" hidden="1" customHeight="1" outlineLevel="1">
      <c r="B57" s="1538"/>
      <c r="C57" s="1539"/>
      <c r="D57" s="253"/>
      <c r="E57" s="254"/>
      <c r="F57" s="1546"/>
      <c r="G57" s="1547"/>
      <c r="H57" s="1547"/>
      <c r="I57" s="1547"/>
      <c r="J57" s="1547"/>
      <c r="K57" s="1547"/>
      <c r="L57" s="1547"/>
      <c r="M57" s="1547"/>
      <c r="N57" s="1547"/>
      <c r="O57" s="1547"/>
      <c r="P57" s="1547"/>
      <c r="Q57" s="1547"/>
      <c r="R57" s="1547"/>
      <c r="S57" s="257"/>
      <c r="T57" s="258"/>
      <c r="X57" s="144"/>
      <c r="Y57" s="144"/>
      <c r="Z57" s="144"/>
      <c r="AA57" s="144"/>
      <c r="AB57" s="144"/>
      <c r="AC57" s="144"/>
      <c r="AD57" s="207"/>
    </row>
    <row r="58" spans="2:30" ht="30" hidden="1" customHeight="1" outlineLevel="1">
      <c r="B58" s="1538"/>
      <c r="C58" s="1539"/>
      <c r="D58" s="268"/>
      <c r="E58" s="254"/>
      <c r="F58" s="1546"/>
      <c r="G58" s="1547"/>
      <c r="H58" s="1547"/>
      <c r="I58" s="1547"/>
      <c r="J58" s="1547"/>
      <c r="K58" s="1547"/>
      <c r="L58" s="1547"/>
      <c r="M58" s="1547"/>
      <c r="N58" s="1547"/>
      <c r="O58" s="1547"/>
      <c r="P58" s="1547"/>
      <c r="Q58" s="1547"/>
      <c r="R58" s="1547"/>
      <c r="S58" s="257"/>
      <c r="T58" s="258"/>
      <c r="X58" s="144"/>
      <c r="Y58" s="144"/>
      <c r="Z58" s="144"/>
      <c r="AA58" s="144"/>
      <c r="AB58" s="144"/>
      <c r="AC58" s="144"/>
      <c r="AD58" s="207"/>
    </row>
    <row r="59" spans="2:30" ht="30" hidden="1" customHeight="1" outlineLevel="1">
      <c r="B59" s="1538"/>
      <c r="C59" s="1539"/>
      <c r="D59" s="253"/>
      <c r="E59" s="254"/>
      <c r="F59" s="1546"/>
      <c r="G59" s="1547"/>
      <c r="H59" s="1547"/>
      <c r="I59" s="1547"/>
      <c r="J59" s="1547"/>
      <c r="K59" s="1547"/>
      <c r="L59" s="1547"/>
      <c r="M59" s="1547"/>
      <c r="N59" s="1547"/>
      <c r="O59" s="1547"/>
      <c r="P59" s="1547"/>
      <c r="Q59" s="1547"/>
      <c r="R59" s="1547"/>
      <c r="S59" s="257"/>
      <c r="T59" s="258"/>
      <c r="X59" s="144"/>
      <c r="Y59" s="144"/>
      <c r="Z59" s="144"/>
      <c r="AA59" s="144"/>
      <c r="AB59" s="144"/>
      <c r="AC59" s="144"/>
      <c r="AD59" s="207"/>
    </row>
    <row r="60" spans="2:30" ht="30" hidden="1" customHeight="1" outlineLevel="1">
      <c r="B60" s="1538"/>
      <c r="C60" s="1539"/>
      <c r="D60" s="268"/>
      <c r="E60" s="254"/>
      <c r="F60" s="1546"/>
      <c r="G60" s="1547"/>
      <c r="H60" s="1547"/>
      <c r="I60" s="1547"/>
      <c r="J60" s="1547"/>
      <c r="K60" s="1547"/>
      <c r="L60" s="1547"/>
      <c r="M60" s="1547"/>
      <c r="N60" s="1547"/>
      <c r="O60" s="1547"/>
      <c r="P60" s="1547"/>
      <c r="Q60" s="1547"/>
      <c r="R60" s="1575"/>
      <c r="S60" s="257"/>
      <c r="T60" s="258"/>
      <c r="X60" s="144"/>
      <c r="Y60" s="144"/>
      <c r="Z60" s="144"/>
      <c r="AA60" s="144"/>
      <c r="AB60" s="144"/>
      <c r="AC60" s="144"/>
      <c r="AD60" s="207"/>
    </row>
    <row r="61" spans="2:30" ht="30" hidden="1" customHeight="1" outlineLevel="1" thickBot="1">
      <c r="B61" s="1538"/>
      <c r="C61" s="1539"/>
      <c r="D61" s="253"/>
      <c r="E61" s="254"/>
      <c r="F61" s="1546"/>
      <c r="G61" s="1547"/>
      <c r="H61" s="1547"/>
      <c r="I61" s="1547"/>
      <c r="J61" s="1547"/>
      <c r="K61" s="1547"/>
      <c r="L61" s="1547"/>
      <c r="M61" s="1547"/>
      <c r="N61" s="1547"/>
      <c r="O61" s="1547"/>
      <c r="P61" s="1547"/>
      <c r="Q61" s="1547"/>
      <c r="R61" s="1575"/>
      <c r="S61" s="257"/>
      <c r="T61" s="258"/>
      <c r="X61" s="144"/>
      <c r="Y61" s="144"/>
      <c r="Z61" s="144"/>
      <c r="AA61" s="144"/>
      <c r="AB61" s="144"/>
      <c r="AC61" s="144"/>
      <c r="AD61" s="207"/>
    </row>
    <row r="62" spans="2:30" ht="30" customHeight="1" thickTop="1" thickBot="1">
      <c r="B62" s="1538"/>
      <c r="C62" s="1539"/>
      <c r="D62" s="1570" t="s">
        <v>229</v>
      </c>
      <c r="E62" s="1571"/>
      <c r="F62" s="1572" t="s">
        <v>230</v>
      </c>
      <c r="G62" s="1573"/>
      <c r="H62" s="1573"/>
      <c r="I62" s="1573"/>
      <c r="J62" s="1573"/>
      <c r="K62" s="1573"/>
      <c r="L62" s="1573"/>
      <c r="M62" s="1573"/>
      <c r="N62" s="1573"/>
      <c r="O62" s="1573"/>
      <c r="P62" s="1573"/>
      <c r="Q62" s="1573"/>
      <c r="R62" s="1573"/>
      <c r="S62" s="269"/>
      <c r="T62" s="250"/>
      <c r="W62" s="262"/>
      <c r="X62" s="144"/>
      <c r="Y62" s="144"/>
      <c r="Z62" s="144"/>
      <c r="AA62" s="144"/>
      <c r="AB62" s="144"/>
      <c r="AC62" s="144"/>
      <c r="AD62" s="207"/>
    </row>
    <row r="63" spans="2:30" ht="30" customHeight="1" thickTop="1">
      <c r="B63" s="1538"/>
      <c r="C63" s="1539"/>
      <c r="D63" s="268"/>
      <c r="E63" s="254"/>
      <c r="F63" s="1546"/>
      <c r="G63" s="1547"/>
      <c r="H63" s="1547"/>
      <c r="I63" s="1547"/>
      <c r="J63" s="1547"/>
      <c r="K63" s="1547"/>
      <c r="L63" s="1547"/>
      <c r="M63" s="1547"/>
      <c r="N63" s="1547"/>
      <c r="O63" s="1547"/>
      <c r="P63" s="1547"/>
      <c r="Q63" s="1547"/>
      <c r="R63" s="1547"/>
      <c r="S63" s="270"/>
      <c r="T63" s="271"/>
      <c r="W63" s="262"/>
      <c r="X63" s="144"/>
      <c r="Y63" s="144"/>
      <c r="Z63" s="144"/>
      <c r="AA63" s="144"/>
      <c r="AB63" s="144"/>
      <c r="AC63" s="144"/>
    </row>
    <row r="64" spans="2:30" ht="30" customHeight="1">
      <c r="B64" s="1538"/>
      <c r="C64" s="1539"/>
      <c r="D64" s="253"/>
      <c r="E64" s="254"/>
      <c r="F64" s="1546"/>
      <c r="G64" s="1547"/>
      <c r="H64" s="1547"/>
      <c r="I64" s="1547"/>
      <c r="J64" s="1547"/>
      <c r="K64" s="1547"/>
      <c r="L64" s="1547"/>
      <c r="M64" s="1547"/>
      <c r="N64" s="1547"/>
      <c r="O64" s="1547"/>
      <c r="P64" s="1547"/>
      <c r="Q64" s="1547"/>
      <c r="R64" s="1547"/>
      <c r="S64" s="257"/>
      <c r="T64" s="258"/>
      <c r="W64" s="262"/>
      <c r="X64" s="144"/>
      <c r="Y64" s="144"/>
      <c r="Z64" s="144"/>
      <c r="AA64" s="144"/>
      <c r="AB64" s="144"/>
      <c r="AC64" s="144"/>
    </row>
    <row r="65" spans="2:29" ht="30" customHeight="1">
      <c r="B65" s="1538"/>
      <c r="C65" s="1539"/>
      <c r="D65" s="268"/>
      <c r="E65" s="254"/>
      <c r="F65" s="1546"/>
      <c r="G65" s="1547"/>
      <c r="H65" s="1547"/>
      <c r="I65" s="1547"/>
      <c r="J65" s="1547"/>
      <c r="K65" s="1547"/>
      <c r="L65" s="1547"/>
      <c r="M65" s="1547"/>
      <c r="N65" s="1547"/>
      <c r="O65" s="1547"/>
      <c r="P65" s="1547"/>
      <c r="Q65" s="1547"/>
      <c r="R65" s="1547"/>
      <c r="S65" s="257"/>
      <c r="T65" s="258"/>
      <c r="W65" s="262"/>
    </row>
    <row r="66" spans="2:29" ht="30" customHeight="1" collapsed="1" thickBot="1">
      <c r="B66" s="1538"/>
      <c r="C66" s="1539"/>
      <c r="D66" s="253"/>
      <c r="E66" s="254"/>
      <c r="F66" s="1546"/>
      <c r="G66" s="1547"/>
      <c r="H66" s="1547"/>
      <c r="I66" s="1547"/>
      <c r="J66" s="1547"/>
      <c r="K66" s="1547"/>
      <c r="L66" s="1547"/>
      <c r="M66" s="1547"/>
      <c r="N66" s="1547"/>
      <c r="O66" s="1547"/>
      <c r="P66" s="1547"/>
      <c r="Q66" s="1547"/>
      <c r="R66" s="1547"/>
      <c r="S66" s="257"/>
      <c r="T66" s="258"/>
      <c r="W66" s="262"/>
      <c r="X66" s="144"/>
      <c r="Y66" s="144"/>
      <c r="Z66" s="144"/>
      <c r="AA66" s="144"/>
      <c r="AB66" s="144"/>
      <c r="AC66" s="144"/>
    </row>
    <row r="67" spans="2:29" ht="30" hidden="1" customHeight="1" outlineLevel="1">
      <c r="B67" s="1538"/>
      <c r="C67" s="1539"/>
      <c r="D67" s="268"/>
      <c r="E67" s="254"/>
      <c r="F67" s="1546"/>
      <c r="G67" s="1547"/>
      <c r="H67" s="1547"/>
      <c r="I67" s="1547"/>
      <c r="J67" s="1547"/>
      <c r="K67" s="1547"/>
      <c r="L67" s="1547"/>
      <c r="M67" s="1547"/>
      <c r="N67" s="1547"/>
      <c r="O67" s="1547"/>
      <c r="P67" s="1547"/>
      <c r="Q67" s="1547"/>
      <c r="R67" s="1547"/>
      <c r="S67" s="257"/>
      <c r="T67" s="258"/>
      <c r="W67" s="262"/>
    </row>
    <row r="68" spans="2:29" ht="30" hidden="1" customHeight="1" outlineLevel="1">
      <c r="B68" s="1538"/>
      <c r="C68" s="1539"/>
      <c r="D68" s="253"/>
      <c r="E68" s="254"/>
      <c r="F68" s="1546"/>
      <c r="G68" s="1547"/>
      <c r="H68" s="1547"/>
      <c r="I68" s="1547"/>
      <c r="J68" s="1547"/>
      <c r="K68" s="1547"/>
      <c r="L68" s="1547"/>
      <c r="M68" s="1547"/>
      <c r="N68" s="1547"/>
      <c r="O68" s="1547"/>
      <c r="P68" s="1547"/>
      <c r="Q68" s="1547"/>
      <c r="R68" s="1547"/>
      <c r="S68" s="257"/>
      <c r="T68" s="258"/>
      <c r="W68" s="262"/>
      <c r="X68" s="144"/>
      <c r="Y68" s="144"/>
      <c r="Z68" s="144"/>
      <c r="AA68" s="144"/>
      <c r="AB68" s="144"/>
      <c r="AC68" s="144"/>
    </row>
    <row r="69" spans="2:29" ht="30" hidden="1" customHeight="1" outlineLevel="1">
      <c r="B69" s="1538"/>
      <c r="C69" s="1539"/>
      <c r="D69" s="253"/>
      <c r="E69" s="254"/>
      <c r="F69" s="1546"/>
      <c r="G69" s="1547"/>
      <c r="H69" s="1547"/>
      <c r="I69" s="1547"/>
      <c r="J69" s="1547"/>
      <c r="K69" s="1547"/>
      <c r="L69" s="1547"/>
      <c r="M69" s="1547"/>
      <c r="N69" s="1547"/>
      <c r="O69" s="1547"/>
      <c r="P69" s="1547"/>
      <c r="Q69" s="1547"/>
      <c r="R69" s="1547"/>
      <c r="S69" s="257"/>
      <c r="T69" s="258"/>
      <c r="W69" s="262"/>
      <c r="X69" s="144"/>
      <c r="Y69" s="144"/>
      <c r="Z69" s="144"/>
      <c r="AA69" s="144"/>
      <c r="AB69" s="144"/>
      <c r="AC69" s="144"/>
    </row>
    <row r="70" spans="2:29" ht="30" hidden="1" customHeight="1" outlineLevel="1">
      <c r="B70" s="1538"/>
      <c r="C70" s="1539"/>
      <c r="D70" s="268"/>
      <c r="E70" s="254"/>
      <c r="F70" s="1546"/>
      <c r="G70" s="1547"/>
      <c r="H70" s="1547"/>
      <c r="I70" s="1547"/>
      <c r="J70" s="1547"/>
      <c r="K70" s="1547"/>
      <c r="L70" s="1547"/>
      <c r="M70" s="1547"/>
      <c r="N70" s="1547"/>
      <c r="O70" s="1547"/>
      <c r="P70" s="1547"/>
      <c r="Q70" s="1547"/>
      <c r="R70" s="1547"/>
      <c r="S70" s="257"/>
      <c r="T70" s="258"/>
      <c r="W70" s="262"/>
    </row>
    <row r="71" spans="2:29" ht="30" hidden="1" customHeight="1" outlineLevel="1">
      <c r="B71" s="1538"/>
      <c r="C71" s="1539"/>
      <c r="D71" s="253"/>
      <c r="E71" s="254"/>
      <c r="F71" s="1546"/>
      <c r="G71" s="1547"/>
      <c r="H71" s="1547"/>
      <c r="I71" s="1547"/>
      <c r="J71" s="1547"/>
      <c r="K71" s="1547"/>
      <c r="L71" s="1547"/>
      <c r="M71" s="1547"/>
      <c r="N71" s="1547"/>
      <c r="O71" s="1547"/>
      <c r="P71" s="1547"/>
      <c r="Q71" s="1547"/>
      <c r="R71" s="1547"/>
      <c r="S71" s="257"/>
      <c r="T71" s="258"/>
      <c r="W71" s="262"/>
      <c r="X71" s="144"/>
      <c r="Y71" s="144"/>
      <c r="Z71" s="144"/>
      <c r="AA71" s="144"/>
      <c r="AB71" s="144"/>
      <c r="AC71" s="144"/>
    </row>
    <row r="72" spans="2:29" ht="30" hidden="1" customHeight="1" outlineLevel="1">
      <c r="B72" s="1538"/>
      <c r="C72" s="1539"/>
      <c r="D72" s="268"/>
      <c r="E72" s="254"/>
      <c r="F72" s="1546"/>
      <c r="G72" s="1547"/>
      <c r="H72" s="1547"/>
      <c r="I72" s="1547"/>
      <c r="J72" s="1547"/>
      <c r="K72" s="1547"/>
      <c r="L72" s="1547"/>
      <c r="M72" s="1547"/>
      <c r="N72" s="1547"/>
      <c r="O72" s="1547"/>
      <c r="P72" s="1547"/>
      <c r="Q72" s="1547"/>
      <c r="R72" s="1547"/>
      <c r="S72" s="257"/>
      <c r="T72" s="258"/>
      <c r="W72" s="262"/>
    </row>
    <row r="73" spans="2:29" ht="30" hidden="1" customHeight="1" outlineLevel="1">
      <c r="B73" s="1538"/>
      <c r="C73" s="1539"/>
      <c r="D73" s="253"/>
      <c r="E73" s="254"/>
      <c r="F73" s="1546"/>
      <c r="G73" s="1547"/>
      <c r="H73" s="1547"/>
      <c r="I73" s="1547"/>
      <c r="J73" s="1547"/>
      <c r="K73" s="1547"/>
      <c r="L73" s="1547"/>
      <c r="M73" s="1547"/>
      <c r="N73" s="1547"/>
      <c r="O73" s="1547"/>
      <c r="P73" s="1547"/>
      <c r="Q73" s="1547"/>
      <c r="R73" s="1547"/>
      <c r="S73" s="257"/>
      <c r="T73" s="258"/>
      <c r="W73" s="262"/>
      <c r="X73" s="144"/>
      <c r="Y73" s="144"/>
      <c r="Z73" s="144"/>
      <c r="AA73" s="144"/>
      <c r="AB73" s="144"/>
      <c r="AC73" s="144"/>
    </row>
    <row r="74" spans="2:29" ht="30" hidden="1" customHeight="1" outlineLevel="1">
      <c r="B74" s="1538"/>
      <c r="C74" s="1539"/>
      <c r="D74" s="268"/>
      <c r="E74" s="254"/>
      <c r="F74" s="1546"/>
      <c r="G74" s="1547"/>
      <c r="H74" s="1547"/>
      <c r="I74" s="1547"/>
      <c r="J74" s="1547"/>
      <c r="K74" s="1547"/>
      <c r="L74" s="1547"/>
      <c r="M74" s="1547"/>
      <c r="N74" s="1547"/>
      <c r="O74" s="1547"/>
      <c r="P74" s="1547"/>
      <c r="Q74" s="1547"/>
      <c r="R74" s="1547"/>
      <c r="S74" s="257"/>
      <c r="T74" s="258"/>
      <c r="W74" s="262"/>
    </row>
    <row r="75" spans="2:29" ht="30" hidden="1" customHeight="1" outlineLevel="1">
      <c r="B75" s="1538"/>
      <c r="C75" s="1539"/>
      <c r="D75" s="253"/>
      <c r="E75" s="254"/>
      <c r="F75" s="1546"/>
      <c r="G75" s="1547"/>
      <c r="H75" s="1547"/>
      <c r="I75" s="1547"/>
      <c r="J75" s="1547"/>
      <c r="K75" s="1547"/>
      <c r="L75" s="1547"/>
      <c r="M75" s="1547"/>
      <c r="N75" s="1547"/>
      <c r="O75" s="1547"/>
      <c r="P75" s="1547"/>
      <c r="Q75" s="1547"/>
      <c r="R75" s="1547"/>
      <c r="S75" s="257"/>
      <c r="T75" s="258"/>
      <c r="W75" s="262"/>
      <c r="X75" s="144"/>
      <c r="Y75" s="144"/>
      <c r="Z75" s="144"/>
      <c r="AA75" s="144"/>
      <c r="AB75" s="144"/>
      <c r="AC75" s="144"/>
    </row>
    <row r="76" spans="2:29" ht="30" hidden="1" customHeight="1" outlineLevel="1">
      <c r="B76" s="1538"/>
      <c r="C76" s="1539"/>
      <c r="D76" s="268"/>
      <c r="E76" s="254"/>
      <c r="F76" s="1546"/>
      <c r="G76" s="1547"/>
      <c r="H76" s="1547"/>
      <c r="I76" s="1547"/>
      <c r="J76" s="1547"/>
      <c r="K76" s="1547"/>
      <c r="L76" s="1547"/>
      <c r="M76" s="1547"/>
      <c r="N76" s="1547"/>
      <c r="O76" s="1547"/>
      <c r="P76" s="1547"/>
      <c r="Q76" s="1547"/>
      <c r="R76" s="1575"/>
      <c r="S76" s="257"/>
      <c r="T76" s="258"/>
      <c r="W76" s="262"/>
    </row>
    <row r="77" spans="2:29" ht="30" hidden="1" customHeight="1" outlineLevel="1" thickBot="1">
      <c r="B77" s="1538"/>
      <c r="C77" s="1539"/>
      <c r="D77" s="253"/>
      <c r="E77" s="254"/>
      <c r="F77" s="1548"/>
      <c r="G77" s="1549"/>
      <c r="H77" s="1549"/>
      <c r="I77" s="1549"/>
      <c r="J77" s="1549"/>
      <c r="K77" s="1549"/>
      <c r="L77" s="1549"/>
      <c r="M77" s="1549"/>
      <c r="N77" s="1549"/>
      <c r="O77" s="1549"/>
      <c r="P77" s="1549"/>
      <c r="Q77" s="1549"/>
      <c r="R77" s="1576"/>
      <c r="S77" s="272"/>
      <c r="T77" s="273"/>
      <c r="W77" s="262"/>
    </row>
    <row r="78" spans="2:29" ht="30" customHeight="1" thickTop="1">
      <c r="B78" s="1538"/>
      <c r="C78" s="1539"/>
      <c r="D78" s="1577" t="s">
        <v>231</v>
      </c>
      <c r="E78" s="1578"/>
      <c r="F78" s="1579" t="s">
        <v>232</v>
      </c>
      <c r="G78" s="1580"/>
      <c r="H78" s="1580"/>
      <c r="I78" s="1580"/>
      <c r="J78" s="1580"/>
      <c r="K78" s="1580"/>
      <c r="L78" s="1580"/>
      <c r="M78" s="1580"/>
      <c r="N78" s="1580"/>
      <c r="O78" s="1580"/>
      <c r="P78" s="1580"/>
      <c r="Q78" s="1580"/>
      <c r="R78" s="1580"/>
      <c r="S78" s="274"/>
      <c r="T78" s="275"/>
      <c r="W78" s="262"/>
      <c r="X78" s="260" t="s">
        <v>233</v>
      </c>
      <c r="Y78" s="186"/>
      <c r="AA78" s="261"/>
      <c r="AB78" s="261"/>
    </row>
    <row r="79" spans="2:29" ht="30" customHeight="1" thickBot="1">
      <c r="B79" s="1540"/>
      <c r="C79" s="1541"/>
      <c r="D79" s="1577" t="s">
        <v>223</v>
      </c>
      <c r="E79" s="1578"/>
      <c r="F79" s="1596" t="s">
        <v>234</v>
      </c>
      <c r="G79" s="1597"/>
      <c r="H79" s="1597"/>
      <c r="I79" s="1597"/>
      <c r="J79" s="1597"/>
      <c r="K79" s="1597"/>
      <c r="L79" s="1597"/>
      <c r="M79" s="1597"/>
      <c r="N79" s="1597"/>
      <c r="O79" s="1597"/>
      <c r="P79" s="1597"/>
      <c r="Q79" s="1597"/>
      <c r="R79" s="1597"/>
      <c r="S79" s="276"/>
      <c r="T79" s="277"/>
      <c r="X79" s="1534" t="s">
        <v>58</v>
      </c>
      <c r="Y79" s="1534"/>
      <c r="Z79" s="1534"/>
      <c r="AA79" s="278" t="s">
        <v>214</v>
      </c>
      <c r="AB79" s="278" t="str">
        <f>"単価（円/"&amp;リスト!$C$23&amp;"kg）"</f>
        <v>単価（円/50kg）</v>
      </c>
      <c r="AC79" s="157" t="s">
        <v>215</v>
      </c>
    </row>
    <row r="80" spans="2:29" ht="30" customHeight="1" thickTop="1">
      <c r="B80" s="1581" t="s">
        <v>235</v>
      </c>
      <c r="C80" s="1582"/>
      <c r="D80" s="1577" t="s">
        <v>236</v>
      </c>
      <c r="E80" s="1578"/>
      <c r="F80" s="1548" t="s">
        <v>237</v>
      </c>
      <c r="G80" s="1549"/>
      <c r="H80" s="1549"/>
      <c r="I80" s="1549"/>
      <c r="J80" s="1549"/>
      <c r="K80" s="1549"/>
      <c r="L80" s="1549"/>
      <c r="M80" s="1549"/>
      <c r="N80" s="1549"/>
      <c r="O80" s="1549"/>
      <c r="P80" s="1549"/>
      <c r="Q80" s="1549"/>
      <c r="R80" s="1549"/>
      <c r="S80" s="279"/>
      <c r="T80" s="1586"/>
      <c r="W80" s="262"/>
      <c r="X80" s="1589" t="s">
        <v>238</v>
      </c>
      <c r="Y80" s="1600" t="s">
        <v>236</v>
      </c>
      <c r="Z80" s="1600"/>
      <c r="AA80" s="280">
        <f>S80</f>
        <v>0</v>
      </c>
      <c r="AB80" s="281"/>
      <c r="AC80" s="282">
        <f>ROUND(AA80/リスト!$C$23*AB80,)</f>
        <v>0</v>
      </c>
    </row>
    <row r="81" spans="2:31" ht="30" customHeight="1">
      <c r="B81" s="1583"/>
      <c r="C81" s="1582"/>
      <c r="D81" s="1577" t="s">
        <v>239</v>
      </c>
      <c r="E81" s="1578"/>
      <c r="F81" s="1596" t="s">
        <v>240</v>
      </c>
      <c r="G81" s="1597"/>
      <c r="H81" s="1597"/>
      <c r="I81" s="1597"/>
      <c r="J81" s="1597"/>
      <c r="K81" s="1597"/>
      <c r="L81" s="1597"/>
      <c r="M81" s="1597"/>
      <c r="N81" s="1597"/>
      <c r="O81" s="1597"/>
      <c r="P81" s="1597"/>
      <c r="Q81" s="1597"/>
      <c r="R81" s="1597"/>
      <c r="S81" s="276"/>
      <c r="T81" s="1587"/>
      <c r="W81" s="262"/>
      <c r="X81" s="1590"/>
      <c r="Y81" s="1600" t="s">
        <v>239</v>
      </c>
      <c r="Z81" s="1600"/>
      <c r="AA81" s="280">
        <f>S81</f>
        <v>0</v>
      </c>
      <c r="AB81" s="283"/>
      <c r="AC81" s="282">
        <f>ROUND(AA81/リスト!$C$23*AB81,)</f>
        <v>0</v>
      </c>
    </row>
    <row r="82" spans="2:31" ht="30" customHeight="1" thickBot="1">
      <c r="B82" s="1583"/>
      <c r="C82" s="1582"/>
      <c r="D82" s="1577" t="s">
        <v>241</v>
      </c>
      <c r="E82" s="1578"/>
      <c r="F82" s="1579" t="s">
        <v>242</v>
      </c>
      <c r="G82" s="1580"/>
      <c r="H82" s="1580"/>
      <c r="I82" s="1580"/>
      <c r="J82" s="1580"/>
      <c r="K82" s="1580"/>
      <c r="L82" s="1580"/>
      <c r="M82" s="1580"/>
      <c r="N82" s="1580"/>
      <c r="O82" s="1580"/>
      <c r="P82" s="1580"/>
      <c r="Q82" s="1580"/>
      <c r="R82" s="1580"/>
      <c r="S82" s="276"/>
      <c r="T82" s="1587"/>
      <c r="W82" s="262"/>
      <c r="X82" s="1591"/>
      <c r="Y82" s="1598" t="s">
        <v>223</v>
      </c>
      <c r="Z82" s="1599"/>
      <c r="AA82" s="280">
        <f>S84</f>
        <v>0</v>
      </c>
      <c r="AB82" s="284"/>
      <c r="AC82" s="282">
        <f>ROUND(AA82/リスト!$C$23*AB82,)</f>
        <v>0</v>
      </c>
    </row>
    <row r="83" spans="2:31" ht="30" customHeight="1" thickTop="1">
      <c r="B83" s="1583"/>
      <c r="C83" s="1582"/>
      <c r="D83" s="1577" t="s">
        <v>231</v>
      </c>
      <c r="E83" s="1578"/>
      <c r="F83" s="1579" t="s">
        <v>243</v>
      </c>
      <c r="G83" s="1580"/>
      <c r="H83" s="1580"/>
      <c r="I83" s="1580"/>
      <c r="J83" s="1580"/>
      <c r="K83" s="1580"/>
      <c r="L83" s="1580"/>
      <c r="M83" s="1580"/>
      <c r="N83" s="1580"/>
      <c r="O83" s="1580"/>
      <c r="P83" s="1580"/>
      <c r="Q83" s="1580"/>
      <c r="R83" s="1580"/>
      <c r="S83" s="276"/>
      <c r="T83" s="1587"/>
      <c r="W83" s="262"/>
      <c r="X83" s="1534" t="s">
        <v>244</v>
      </c>
      <c r="Y83" s="1534"/>
      <c r="Z83" s="1534"/>
      <c r="AA83" s="259">
        <f>SUM(AA80:AA82)</f>
        <v>0</v>
      </c>
      <c r="AB83" s="252">
        <f>IF(AND(AA83&gt;0,AC83&gt;0),ROUND(AC83/AA83*リスト!$C$23,2),)</f>
        <v>0</v>
      </c>
      <c r="AC83" s="259">
        <f>SUM(AC80:AC82)</f>
        <v>0</v>
      </c>
    </row>
    <row r="84" spans="2:31" ht="30" customHeight="1" thickBot="1">
      <c r="B84" s="1584"/>
      <c r="C84" s="1585"/>
      <c r="D84" s="1592" t="s">
        <v>223</v>
      </c>
      <c r="E84" s="1593"/>
      <c r="F84" s="1594" t="s">
        <v>245</v>
      </c>
      <c r="G84" s="1595"/>
      <c r="H84" s="1595"/>
      <c r="I84" s="1595"/>
      <c r="J84" s="1595"/>
      <c r="K84" s="1595"/>
      <c r="L84" s="1595"/>
      <c r="M84" s="1595"/>
      <c r="N84" s="1595"/>
      <c r="O84" s="1595"/>
      <c r="P84" s="1595"/>
      <c r="Q84" s="1595"/>
      <c r="R84" s="1595"/>
      <c r="S84" s="285"/>
      <c r="T84" s="1588"/>
      <c r="W84" s="262"/>
      <c r="X84" s="2"/>
      <c r="Y84" s="2"/>
      <c r="Z84" s="2"/>
      <c r="AA84" s="2"/>
      <c r="AB84" s="2"/>
      <c r="AC84" s="2"/>
    </row>
    <row r="85" spans="2:31" ht="30" customHeight="1">
      <c r="B85" s="286"/>
      <c r="C85" s="286"/>
      <c r="D85" s="178"/>
      <c r="E85" s="287"/>
      <c r="F85" s="288"/>
      <c r="G85" s="288"/>
      <c r="H85" s="288"/>
      <c r="I85" s="288"/>
      <c r="J85" s="288"/>
      <c r="K85" s="288"/>
      <c r="L85" s="288"/>
      <c r="M85" s="288"/>
      <c r="N85" s="288"/>
      <c r="O85" s="288"/>
      <c r="P85" s="288"/>
      <c r="Q85" s="288"/>
      <c r="R85" s="288"/>
      <c r="S85" s="2"/>
      <c r="T85" s="289"/>
      <c r="W85" s="262"/>
      <c r="X85" s="2"/>
      <c r="Y85" s="2"/>
      <c r="Z85" s="2"/>
      <c r="AA85" s="2"/>
      <c r="AB85" s="2"/>
      <c r="AC85" s="2"/>
    </row>
    <row r="86" spans="2:31" ht="30" customHeight="1">
      <c r="B86" s="290"/>
      <c r="W86" s="262"/>
      <c r="X86" s="2"/>
      <c r="Y86" s="2"/>
      <c r="Z86" s="2"/>
      <c r="AA86" s="2"/>
      <c r="AB86" s="2"/>
      <c r="AC86" s="2"/>
    </row>
    <row r="87" spans="2:31" s="291" customFormat="1" ht="14.1" customHeight="1">
      <c r="U87" s="2"/>
      <c r="V87" s="2"/>
      <c r="W87" s="207"/>
      <c r="X87" s="128"/>
      <c r="Y87" s="128"/>
      <c r="Z87" s="128"/>
      <c r="AA87" s="128"/>
      <c r="AB87" s="128"/>
      <c r="AC87" s="128"/>
      <c r="AD87" s="128"/>
      <c r="AE87" s="207"/>
    </row>
    <row r="88" spans="2:31" s="291" customFormat="1" ht="14.1" customHeight="1">
      <c r="U88" s="2"/>
      <c r="V88" s="2"/>
      <c r="W88" s="128"/>
      <c r="X88" s="128"/>
      <c r="Y88" s="128"/>
      <c r="Z88" s="128"/>
      <c r="AA88" s="128"/>
      <c r="AB88" s="128"/>
      <c r="AC88" s="128"/>
      <c r="AD88" s="128"/>
      <c r="AE88" s="128"/>
    </row>
    <row r="89" spans="2:31" s="2" customFormat="1" ht="14.1" customHeight="1">
      <c r="X89" s="128"/>
      <c r="Y89" s="128"/>
      <c r="Z89" s="128"/>
      <c r="AA89" s="128"/>
      <c r="AB89" s="128"/>
      <c r="AC89" s="128"/>
    </row>
    <row r="90" spans="2:31" s="2" customFormat="1" ht="14.1" customHeight="1">
      <c r="X90" s="128"/>
      <c r="Y90" s="128"/>
      <c r="Z90" s="128"/>
      <c r="AA90" s="128"/>
      <c r="AB90" s="128"/>
      <c r="AC90" s="128"/>
    </row>
    <row r="91" spans="2:31" s="2" customFormat="1" ht="14.1" customHeight="1"/>
    <row r="92" spans="2:31" s="2" customFormat="1" ht="14.1" customHeight="1"/>
    <row r="93" spans="2:31" s="2" customFormat="1" ht="22.5" customHeight="1"/>
    <row r="94" spans="2:31" s="2" customFormat="1" ht="22.5" customHeight="1"/>
    <row r="95" spans="2:31" s="2" customFormat="1" ht="22.5" customHeight="1"/>
    <row r="96" spans="2:31" s="2" customFormat="1" ht="22.5" customHeight="1"/>
    <row r="97" spans="1:32" s="2" customFormat="1" ht="22.5" customHeight="1"/>
    <row r="98" spans="1:32" s="2" customFormat="1" ht="13.5"/>
    <row r="99" spans="1:32" s="128" customFormat="1" ht="22.5" customHeight="1">
      <c r="A99" s="2"/>
      <c r="B99" s="2"/>
      <c r="C99" s="2"/>
      <c r="D99" s="2"/>
      <c r="E99" s="2"/>
      <c r="F99" s="2"/>
      <c r="G99" s="2"/>
      <c r="H99" s="2"/>
      <c r="I99" s="2"/>
      <c r="J99" s="2"/>
      <c r="K99" s="2"/>
      <c r="L99" s="2"/>
      <c r="M99" s="2"/>
      <c r="N99" s="2"/>
      <c r="O99" s="2"/>
      <c r="P99" s="2"/>
      <c r="T99" s="2"/>
      <c r="U99" s="2"/>
      <c r="V99" s="2"/>
      <c r="X99" s="2"/>
      <c r="Y99" s="2"/>
      <c r="Z99" s="2"/>
      <c r="AA99" s="2"/>
      <c r="AB99" s="2"/>
      <c r="AC99" s="2"/>
      <c r="AF99" s="2"/>
    </row>
    <row r="100" spans="1:32" s="128" customFormat="1" ht="22.5" customHeight="1">
      <c r="A100" s="2"/>
      <c r="B100" s="2"/>
      <c r="C100" s="2"/>
      <c r="D100" s="2"/>
      <c r="E100" s="2"/>
      <c r="F100" s="2"/>
      <c r="G100" s="2"/>
      <c r="H100" s="2"/>
      <c r="I100" s="2"/>
      <c r="J100" s="2"/>
      <c r="K100" s="2"/>
      <c r="L100" s="2"/>
      <c r="M100" s="2"/>
      <c r="N100" s="2"/>
      <c r="O100" s="2"/>
      <c r="P100" s="2"/>
      <c r="T100" s="2"/>
      <c r="U100" s="2"/>
      <c r="V100" s="2"/>
      <c r="X100" s="2"/>
      <c r="Y100" s="2"/>
      <c r="Z100" s="2"/>
      <c r="AA100" s="2"/>
      <c r="AB100" s="2"/>
      <c r="AC100" s="2"/>
    </row>
    <row r="101" spans="1:32" s="128" customFormat="1" ht="22.5" customHeight="1">
      <c r="A101" s="2"/>
      <c r="B101" s="2"/>
      <c r="C101" s="2"/>
      <c r="D101" s="2"/>
      <c r="E101" s="2"/>
      <c r="F101" s="2"/>
      <c r="G101" s="2"/>
      <c r="H101" s="2"/>
      <c r="I101" s="2"/>
      <c r="J101" s="2"/>
      <c r="K101" s="2"/>
      <c r="L101" s="2"/>
      <c r="M101" s="2"/>
      <c r="N101" s="2"/>
      <c r="O101" s="2"/>
      <c r="P101" s="2"/>
      <c r="T101" s="2"/>
      <c r="U101" s="2"/>
      <c r="V101" s="2"/>
    </row>
    <row r="102" spans="1:32" s="128" customFormat="1" ht="22.5" customHeight="1">
      <c r="A102" s="2"/>
      <c r="B102" s="2"/>
      <c r="C102" s="2"/>
      <c r="D102" s="2"/>
      <c r="E102" s="2"/>
      <c r="F102" s="2"/>
      <c r="G102" s="2"/>
      <c r="H102" s="2"/>
      <c r="I102" s="2"/>
      <c r="J102" s="2"/>
      <c r="K102" s="2"/>
      <c r="L102" s="2"/>
      <c r="M102" s="2"/>
      <c r="N102" s="2"/>
      <c r="O102" s="2"/>
      <c r="P102" s="2"/>
      <c r="T102" s="2"/>
      <c r="U102" s="2"/>
      <c r="V102" s="2"/>
    </row>
    <row r="103" spans="1:32" s="128" customFormat="1" ht="14.25" customHeight="1">
      <c r="A103" s="2"/>
      <c r="B103" s="2"/>
      <c r="C103" s="2"/>
      <c r="D103" s="2"/>
      <c r="E103" s="2"/>
      <c r="F103" s="2"/>
      <c r="G103" s="2"/>
      <c r="H103" s="2"/>
      <c r="I103" s="2"/>
      <c r="J103" s="2"/>
      <c r="K103" s="2"/>
      <c r="L103" s="2"/>
      <c r="M103" s="2"/>
      <c r="N103" s="2"/>
      <c r="O103" s="2"/>
      <c r="P103" s="2"/>
      <c r="T103" s="2"/>
      <c r="U103" s="2"/>
      <c r="V103" s="2"/>
    </row>
    <row r="104" spans="1:32" s="128" customFormat="1" ht="14.25" customHeight="1">
      <c r="A104" s="2"/>
      <c r="T104" s="2"/>
      <c r="U104" s="2"/>
      <c r="V104" s="2"/>
    </row>
    <row r="105" spans="1:32" s="128" customFormat="1" ht="14.25" customHeight="1">
      <c r="A105" s="2"/>
      <c r="T105" s="2"/>
      <c r="U105" s="2"/>
      <c r="V105" s="2"/>
    </row>
    <row r="106" spans="1:32" s="128" customFormat="1" ht="14.25" customHeight="1">
      <c r="A106" s="2"/>
      <c r="T106" s="2"/>
      <c r="U106" s="2"/>
      <c r="V106" s="2"/>
    </row>
    <row r="107" spans="1:32" s="128" customFormat="1" ht="14.25" customHeight="1">
      <c r="A107" s="2"/>
      <c r="D107" s="292"/>
      <c r="E107" s="292"/>
      <c r="T107" s="2"/>
      <c r="U107" s="2"/>
      <c r="V107" s="2"/>
      <c r="AD107" s="207"/>
    </row>
    <row r="108" spans="1:32" s="128" customFormat="1" ht="14.25" customHeight="1">
      <c r="A108" s="2"/>
      <c r="D108" s="292"/>
      <c r="E108" s="292"/>
      <c r="T108" s="2"/>
      <c r="U108" s="2"/>
      <c r="V108" s="2"/>
    </row>
    <row r="109" spans="1:32" s="128" customFormat="1" ht="14.25" customHeight="1">
      <c r="A109" s="2"/>
      <c r="T109" s="2"/>
      <c r="U109" s="2"/>
      <c r="V109" s="2"/>
      <c r="X109" s="207"/>
      <c r="Y109" s="207"/>
      <c r="Z109" s="207"/>
      <c r="AA109" s="207"/>
      <c r="AB109" s="207"/>
      <c r="AC109" s="207"/>
    </row>
    <row r="110" spans="1:32" s="128" customFormat="1" ht="14.25" customHeight="1">
      <c r="A110" s="2"/>
      <c r="T110" s="2"/>
      <c r="U110" s="2"/>
      <c r="V110" s="2"/>
    </row>
    <row r="111" spans="1:32" s="128" customFormat="1" ht="14.25" customHeight="1">
      <c r="A111" s="2"/>
      <c r="T111" s="2"/>
      <c r="U111" s="2"/>
      <c r="V111" s="2"/>
    </row>
    <row r="112" spans="1:32" s="128" customFormat="1" ht="14.25" customHeight="1">
      <c r="A112" s="2"/>
      <c r="T112" s="2"/>
      <c r="U112" s="2"/>
      <c r="V112" s="2"/>
    </row>
    <row r="113" spans="1:26" s="128" customFormat="1" ht="14.25" customHeight="1">
      <c r="A113" s="2"/>
      <c r="T113" s="2"/>
      <c r="U113" s="2"/>
      <c r="V113" s="2"/>
    </row>
    <row r="114" spans="1:26" s="128" customFormat="1" ht="14.25" customHeight="1">
      <c r="A114" s="2"/>
      <c r="H114" s="293"/>
      <c r="I114" s="293"/>
      <c r="J114" s="294"/>
      <c r="K114" s="170"/>
      <c r="L114" s="170"/>
      <c r="M114" s="170"/>
      <c r="N114" s="170"/>
      <c r="O114" s="170"/>
      <c r="P114" s="170"/>
      <c r="Q114" s="170"/>
      <c r="R114" s="170"/>
      <c r="S114" s="170"/>
      <c r="T114" s="2"/>
      <c r="U114" s="2"/>
      <c r="V114" s="2"/>
    </row>
    <row r="115" spans="1:26" s="128" customFormat="1" ht="14.25" customHeight="1">
      <c r="A115" s="2"/>
      <c r="T115" s="2"/>
      <c r="U115" s="2"/>
      <c r="V115" s="2"/>
    </row>
    <row r="116" spans="1:26" s="128" customFormat="1" ht="14.25" customHeight="1">
      <c r="A116" s="2"/>
      <c r="T116" s="2"/>
      <c r="U116" s="2"/>
      <c r="V116" s="2"/>
      <c r="X116" s="2"/>
      <c r="Y116" s="2"/>
      <c r="Z116" s="2"/>
    </row>
    <row r="117" spans="1:26" s="128" customFormat="1" ht="14.25" customHeight="1">
      <c r="A117" s="2"/>
      <c r="T117" s="2"/>
      <c r="U117" s="2"/>
      <c r="V117" s="2"/>
    </row>
    <row r="118" spans="1:26" s="128" customFormat="1" ht="14.25" customHeight="1">
      <c r="A118" s="2"/>
      <c r="T118" s="2"/>
      <c r="U118" s="2"/>
      <c r="V118" s="2"/>
    </row>
    <row r="119" spans="1:26" s="128" customFormat="1" ht="14.25" customHeight="1">
      <c r="A119" s="2"/>
      <c r="T119" s="2"/>
      <c r="U119" s="2"/>
      <c r="V119" s="2"/>
    </row>
    <row r="120" spans="1:26" s="128" customFormat="1" ht="14.25" customHeight="1">
      <c r="A120" s="2"/>
      <c r="T120" s="2"/>
      <c r="U120" s="2"/>
      <c r="V120" s="2"/>
    </row>
    <row r="121" spans="1:26" ht="14.25" customHeight="1">
      <c r="T121" s="2"/>
    </row>
  </sheetData>
  <sheetProtection sheet="1" objects="1" scenarios="1" selectLockedCells="1"/>
  <mergeCells count="52">
    <mergeCell ref="Y82:Z82"/>
    <mergeCell ref="D83:E83"/>
    <mergeCell ref="F83:R83"/>
    <mergeCell ref="X83:Z83"/>
    <mergeCell ref="D79:E79"/>
    <mergeCell ref="F79:R79"/>
    <mergeCell ref="X79:Z79"/>
    <mergeCell ref="Y80:Z80"/>
    <mergeCell ref="Y81:Z81"/>
    <mergeCell ref="B80:C84"/>
    <mergeCell ref="D80:E80"/>
    <mergeCell ref="F80:R80"/>
    <mergeCell ref="T80:T84"/>
    <mergeCell ref="X80:X82"/>
    <mergeCell ref="D81:E81"/>
    <mergeCell ref="D84:E84"/>
    <mergeCell ref="F84:R84"/>
    <mergeCell ref="F81:R81"/>
    <mergeCell ref="D82:E82"/>
    <mergeCell ref="F82:R82"/>
    <mergeCell ref="D46:E46"/>
    <mergeCell ref="F46:R61"/>
    <mergeCell ref="D62:E62"/>
    <mergeCell ref="F62:R77"/>
    <mergeCell ref="D78:E78"/>
    <mergeCell ref="F78:R78"/>
    <mergeCell ref="X18:Z18"/>
    <mergeCell ref="D30:E30"/>
    <mergeCell ref="F30:R45"/>
    <mergeCell ref="X32:Z32"/>
    <mergeCell ref="X34:Z34"/>
    <mergeCell ref="X36:Z36"/>
    <mergeCell ref="X37:Z37"/>
    <mergeCell ref="X39:Z39"/>
    <mergeCell ref="X41:Z41"/>
    <mergeCell ref="X43:Z43"/>
    <mergeCell ref="AB12:AB13"/>
    <mergeCell ref="AC12:AC13"/>
    <mergeCell ref="B14:C79"/>
    <mergeCell ref="D14:E14"/>
    <mergeCell ref="F14:R29"/>
    <mergeCell ref="X14:X17"/>
    <mergeCell ref="Y14:Z14"/>
    <mergeCell ref="Y15:Z15"/>
    <mergeCell ref="Y16:Z16"/>
    <mergeCell ref="Y17:Z17"/>
    <mergeCell ref="B12:E13"/>
    <mergeCell ref="F12:R13"/>
    <mergeCell ref="S12:S13"/>
    <mergeCell ref="T12:T13"/>
    <mergeCell ref="X12:Z13"/>
    <mergeCell ref="AA12:AA13"/>
  </mergeCells>
  <phoneticPr fontId="5"/>
  <dataValidations count="3">
    <dataValidation type="custom" operator="greaterThan" allowBlank="1" showInputMessage="1" showErrorMessage="1" error="0より大きい小数点第２位までの数値を入力してください。" sqref="AB80:AB82" xr:uid="{00000000-0002-0000-0600-000000000000}">
      <formula1>AND(AND(AB80*100=INT(AB80*100)),(AB80&gt;0))</formula1>
    </dataValidation>
    <dataValidation type="whole" operator="greaterThan" allowBlank="1" showInputMessage="1" showErrorMessage="1" error="0より大きい数値を整数で入力してください。" sqref="S14:T79 S80:S84" xr:uid="{00000000-0002-0000-0600-000001000000}">
      <formula1>0</formula1>
    </dataValidation>
    <dataValidation type="textLength" imeMode="hiragana" operator="greaterThanOrEqual" allowBlank="1" showInputMessage="1" showErrorMessage="1" sqref="E47:E61 E15:E29 E31:E45 E63:E77" xr:uid="{00000000-0002-0000-0600-000002000000}">
      <formula1>1</formula1>
    </dataValidation>
  </dataValidations>
  <printOptions horizontalCentered="1"/>
  <pageMargins left="0.39370078740157483" right="0.59055118110236227" top="0.59055118110236227" bottom="0.59055118110236227" header="0" footer="0.19685039370078741"/>
  <pageSetup paperSize="9" scale="44" firstPageNumber="8" orientation="portrait" cellComments="asDisplayed" r:id="rId1"/>
  <headerFooter alignWithMargins="0"/>
  <drawing r:id="rId2"/>
  <legacyDrawing r:id="rId3"/>
  <controls>
    <mc:AlternateContent xmlns:mc="http://schemas.openxmlformats.org/markup-compatibility/2006">
      <mc:Choice Requires="x14">
        <control shapeId="22550" r:id="rId4" name="txt_hyouji4">
          <controlPr locked="0" defaultSize="0" print="0" autoLine="0" r:id="rId5">
            <anchor moveWithCells="1">
              <from>
                <xdr:col>18</xdr:col>
                <xdr:colOff>800100</xdr:colOff>
                <xdr:row>1</xdr:row>
                <xdr:rowOff>142875</xdr:rowOff>
              </from>
              <to>
                <xdr:col>19</xdr:col>
                <xdr:colOff>333375</xdr:colOff>
                <xdr:row>2</xdr:row>
                <xdr:rowOff>123825</xdr:rowOff>
              </to>
            </anchor>
          </controlPr>
        </control>
      </mc:Choice>
      <mc:Fallback>
        <control shapeId="22550" r:id="rId4" name="txt_hyouji4"/>
      </mc:Fallback>
    </mc:AlternateContent>
    <mc:AlternateContent xmlns:mc="http://schemas.openxmlformats.org/markup-compatibility/2006">
      <mc:Choice Requires="x14">
        <control shapeId="22549" r:id="rId6" name="Label6">
          <controlPr defaultSize="0" print="0" autoLine="0" r:id="rId7">
            <anchor moveWithCells="1">
              <from>
                <xdr:col>18</xdr:col>
                <xdr:colOff>800100</xdr:colOff>
                <xdr:row>0</xdr:row>
                <xdr:rowOff>114300</xdr:rowOff>
              </from>
              <to>
                <xdr:col>19</xdr:col>
                <xdr:colOff>333375</xdr:colOff>
                <xdr:row>1</xdr:row>
                <xdr:rowOff>142875</xdr:rowOff>
              </to>
            </anchor>
          </controlPr>
        </control>
      </mc:Choice>
      <mc:Fallback>
        <control shapeId="22549" r:id="rId6" name="Label6"/>
      </mc:Fallback>
    </mc:AlternateContent>
    <mc:AlternateContent xmlns:mc="http://schemas.openxmlformats.org/markup-compatibility/2006">
      <mc:Choice Requires="x14">
        <control shapeId="22548" r:id="rId8" name="txt_hyouji3">
          <controlPr locked="0" defaultSize="0" print="0" autoLine="0" r:id="rId9">
            <anchor moveWithCells="1">
              <from>
                <xdr:col>18</xdr:col>
                <xdr:colOff>85725</xdr:colOff>
                <xdr:row>1</xdr:row>
                <xdr:rowOff>142875</xdr:rowOff>
              </from>
              <to>
                <xdr:col>18</xdr:col>
                <xdr:colOff>809625</xdr:colOff>
                <xdr:row>2</xdr:row>
                <xdr:rowOff>123825</xdr:rowOff>
              </to>
            </anchor>
          </controlPr>
        </control>
      </mc:Choice>
      <mc:Fallback>
        <control shapeId="22548" r:id="rId8" name="txt_hyouji3"/>
      </mc:Fallback>
    </mc:AlternateContent>
    <mc:AlternateContent xmlns:mc="http://schemas.openxmlformats.org/markup-compatibility/2006">
      <mc:Choice Requires="x14">
        <control shapeId="22547" r:id="rId10" name="Label5">
          <controlPr defaultSize="0" print="0" autoLine="0" r:id="rId11">
            <anchor moveWithCells="1">
              <from>
                <xdr:col>18</xdr:col>
                <xdr:colOff>85725</xdr:colOff>
                <xdr:row>0</xdr:row>
                <xdr:rowOff>114300</xdr:rowOff>
              </from>
              <to>
                <xdr:col>18</xdr:col>
                <xdr:colOff>809625</xdr:colOff>
                <xdr:row>1</xdr:row>
                <xdr:rowOff>142875</xdr:rowOff>
              </to>
            </anchor>
          </controlPr>
        </control>
      </mc:Choice>
      <mc:Fallback>
        <control shapeId="22547" r:id="rId10" name="Label5"/>
      </mc:Fallback>
    </mc:AlternateContent>
    <mc:AlternateContent xmlns:mc="http://schemas.openxmlformats.org/markup-compatibility/2006">
      <mc:Choice Requires="x14">
        <control shapeId="22546" r:id="rId12" name="txt_hyouji2">
          <controlPr locked="0" defaultSize="0" print="0" autoLine="0" r:id="rId13">
            <anchor moveWithCells="1">
              <from>
                <xdr:col>14</xdr:col>
                <xdr:colOff>180975</xdr:colOff>
                <xdr:row>1</xdr:row>
                <xdr:rowOff>142875</xdr:rowOff>
              </from>
              <to>
                <xdr:col>18</xdr:col>
                <xdr:colOff>95250</xdr:colOff>
                <xdr:row>2</xdr:row>
                <xdr:rowOff>123825</xdr:rowOff>
              </to>
            </anchor>
          </controlPr>
        </control>
      </mc:Choice>
      <mc:Fallback>
        <control shapeId="22546" r:id="rId12" name="txt_hyouji2"/>
      </mc:Fallback>
    </mc:AlternateContent>
    <mc:AlternateContent xmlns:mc="http://schemas.openxmlformats.org/markup-compatibility/2006">
      <mc:Choice Requires="x14">
        <control shapeId="22545" r:id="rId14" name="Label4">
          <controlPr defaultSize="0" print="0" autoLine="0" r:id="rId15">
            <anchor moveWithCells="1">
              <from>
                <xdr:col>14</xdr:col>
                <xdr:colOff>180975</xdr:colOff>
                <xdr:row>0</xdr:row>
                <xdr:rowOff>114300</xdr:rowOff>
              </from>
              <to>
                <xdr:col>18</xdr:col>
                <xdr:colOff>95250</xdr:colOff>
                <xdr:row>1</xdr:row>
                <xdr:rowOff>142875</xdr:rowOff>
              </to>
            </anchor>
          </controlPr>
        </control>
      </mc:Choice>
      <mc:Fallback>
        <control shapeId="22545" r:id="rId14" name="Label4"/>
      </mc:Fallback>
    </mc:AlternateContent>
    <mc:AlternateContent xmlns:mc="http://schemas.openxmlformats.org/markup-compatibility/2006">
      <mc:Choice Requires="x14">
        <control shapeId="22544" r:id="rId16" name="btnKoushin1">
          <controlPr defaultSize="0" print="0" autoLine="0" r:id="rId17">
            <anchor moveWithCells="1">
              <from>
                <xdr:col>19</xdr:col>
                <xdr:colOff>438150</xdr:colOff>
                <xdr:row>0</xdr:row>
                <xdr:rowOff>114300</xdr:rowOff>
              </from>
              <to>
                <xdr:col>20</xdr:col>
                <xdr:colOff>57150</xdr:colOff>
                <xdr:row>2</xdr:row>
                <xdr:rowOff>123825</xdr:rowOff>
              </to>
            </anchor>
          </controlPr>
        </control>
      </mc:Choice>
      <mc:Fallback>
        <control shapeId="22544" r:id="rId16" name="btnKoushin1"/>
      </mc:Fallback>
    </mc:AlternateContent>
    <mc:AlternateContent xmlns:mc="http://schemas.openxmlformats.org/markup-compatibility/2006">
      <mc:Choice Requires="x14">
        <control shapeId="22543" r:id="rId18" name="txt_hyouji1">
          <controlPr locked="0" defaultSize="0" print="0" autoLine="0" r:id="rId19">
            <anchor moveWithCells="1">
              <from>
                <xdr:col>11</xdr:col>
                <xdr:colOff>85725</xdr:colOff>
                <xdr:row>1</xdr:row>
                <xdr:rowOff>142875</xdr:rowOff>
              </from>
              <to>
                <xdr:col>15</xdr:col>
                <xdr:colOff>9525</xdr:colOff>
                <xdr:row>2</xdr:row>
                <xdr:rowOff>123825</xdr:rowOff>
              </to>
            </anchor>
          </controlPr>
        </control>
      </mc:Choice>
      <mc:Fallback>
        <control shapeId="22543" r:id="rId18" name="txt_hyouji1"/>
      </mc:Fallback>
    </mc:AlternateContent>
    <mc:AlternateContent xmlns:mc="http://schemas.openxmlformats.org/markup-compatibility/2006">
      <mc:Choice Requires="x14">
        <control shapeId="22542" r:id="rId20" name="Label3">
          <controlPr defaultSize="0" print="0" autoLine="0" r:id="rId21">
            <anchor moveWithCells="1">
              <from>
                <xdr:col>11</xdr:col>
                <xdr:colOff>85725</xdr:colOff>
                <xdr:row>0</xdr:row>
                <xdr:rowOff>114300</xdr:rowOff>
              </from>
              <to>
                <xdr:col>15</xdr:col>
                <xdr:colOff>9525</xdr:colOff>
                <xdr:row>1</xdr:row>
                <xdr:rowOff>142875</xdr:rowOff>
              </to>
            </anchor>
          </controlPr>
        </control>
      </mc:Choice>
      <mc:Fallback>
        <control shapeId="22542" r:id="rId20" name="Label3"/>
      </mc:Fallback>
    </mc:AlternateContent>
    <mc:AlternateContent xmlns:mc="http://schemas.openxmlformats.org/markup-compatibility/2006">
      <mc:Choice Requires="x14">
        <control shapeId="22541" r:id="rId22" name="Label2">
          <controlPr defaultSize="0" print="0" autoLine="0" r:id="rId23">
            <anchor moveWithCells="1">
              <from>
                <xdr:col>7</xdr:col>
                <xdr:colOff>114300</xdr:colOff>
                <xdr:row>1</xdr:row>
                <xdr:rowOff>57150</xdr:rowOff>
              </from>
              <to>
                <xdr:col>11</xdr:col>
                <xdr:colOff>76200</xdr:colOff>
                <xdr:row>2</xdr:row>
                <xdr:rowOff>9525</xdr:rowOff>
              </to>
            </anchor>
          </controlPr>
        </control>
      </mc:Choice>
      <mc:Fallback>
        <control shapeId="22541" r:id="rId22" name="Label2"/>
      </mc:Fallback>
    </mc:AlternateContent>
    <mc:AlternateContent xmlns:mc="http://schemas.openxmlformats.org/markup-compatibility/2006">
      <mc:Choice Requires="x14">
        <control shapeId="22540" r:id="rId24" name="Label1">
          <controlPr defaultSize="0" print="0" autoLine="0" r:id="rId25">
            <anchor moveWithCells="1">
              <from>
                <xdr:col>7</xdr:col>
                <xdr:colOff>85725</xdr:colOff>
                <xdr:row>0</xdr:row>
                <xdr:rowOff>114300</xdr:rowOff>
              </from>
              <to>
                <xdr:col>11</xdr:col>
                <xdr:colOff>95250</xdr:colOff>
                <xdr:row>2</xdr:row>
                <xdr:rowOff>123825</xdr:rowOff>
              </to>
            </anchor>
          </controlPr>
        </control>
      </mc:Choice>
      <mc:Fallback>
        <control shapeId="22540" r:id="rId24" name="Label1"/>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8">
    <pageSetUpPr fitToPage="1"/>
  </sheetPr>
  <dimension ref="A1:AR86"/>
  <sheetViews>
    <sheetView showGridLines="0" zoomScale="85" zoomScaleNormal="85" zoomScaleSheetLayoutView="80" workbookViewId="0">
      <selection activeCell="K15" sqref="K15"/>
    </sheetView>
  </sheetViews>
  <sheetFormatPr defaultColWidth="2.625" defaultRowHeight="14.25" customHeight="1" outlineLevelCol="1"/>
  <cols>
    <col min="1" max="7" width="2.625" style="144" customWidth="1"/>
    <col min="8" max="8" width="11.375" style="144" customWidth="1"/>
    <col min="9" max="13" width="17.375" style="144" customWidth="1"/>
    <col min="14" max="17" width="2.625" style="144" customWidth="1"/>
    <col min="18" max="18" width="2.625" style="295"/>
    <col min="19" max="22" width="2.625" style="128" outlineLevel="1"/>
    <col min="23" max="23" width="5.25" style="128" customWidth="1" outlineLevel="1"/>
    <col min="24" max="25" width="17.375" style="128" customWidth="1" outlineLevel="1"/>
    <col min="26" max="26" width="5.125" style="128" customWidth="1" outlineLevel="1"/>
    <col min="27" max="27" width="5.375" style="128" customWidth="1" outlineLevel="1"/>
    <col min="28" max="28" width="5.625" style="128" customWidth="1" outlineLevel="1"/>
    <col min="29" max="29" width="11.25" style="128" customWidth="1" outlineLevel="1"/>
    <col min="30" max="32" width="17.375" style="128" customWidth="1" outlineLevel="1"/>
    <col min="33" max="16384" width="2.625" style="295"/>
  </cols>
  <sheetData>
    <row r="1" spans="1:32" ht="14.25" customHeight="1">
      <c r="T1" s="186" t="s">
        <v>246</v>
      </c>
      <c r="Z1" s="296"/>
    </row>
    <row r="2" spans="1:32" s="297" customFormat="1" ht="18" customHeight="1">
      <c r="A2" s="240" t="s">
        <v>247</v>
      </c>
      <c r="B2" s="191"/>
      <c r="C2" s="191"/>
      <c r="D2" s="191"/>
      <c r="E2" s="191"/>
      <c r="F2" s="191"/>
      <c r="G2" s="191"/>
      <c r="H2" s="191"/>
      <c r="I2" s="191"/>
      <c r="J2" s="191"/>
      <c r="K2" s="191"/>
      <c r="L2" s="191"/>
      <c r="M2" s="191"/>
      <c r="N2" s="191"/>
      <c r="O2" s="191"/>
      <c r="P2" s="191"/>
      <c r="Q2" s="191"/>
      <c r="S2" s="128"/>
      <c r="T2" s="128"/>
      <c r="U2" s="128"/>
      <c r="V2" s="128"/>
      <c r="W2" s="128"/>
      <c r="X2" s="128"/>
      <c r="Y2" s="128"/>
      <c r="Z2" s="296"/>
      <c r="AA2" s="128"/>
      <c r="AB2" s="128"/>
      <c r="AC2" s="128"/>
      <c r="AD2" s="128"/>
      <c r="AE2" s="128"/>
      <c r="AF2" s="128"/>
    </row>
    <row r="3" spans="1:32" ht="14.25" customHeight="1">
      <c r="B3" s="241"/>
      <c r="C3" s="241"/>
      <c r="D3" s="241"/>
      <c r="E3" s="241"/>
      <c r="F3" s="241"/>
      <c r="G3" s="241"/>
      <c r="H3" s="241"/>
      <c r="I3" s="241"/>
      <c r="J3" s="241"/>
      <c r="K3" s="241"/>
      <c r="L3" s="241"/>
      <c r="M3" s="87"/>
      <c r="N3" s="183"/>
      <c r="O3" s="183"/>
      <c r="P3" s="183"/>
      <c r="Q3" s="87"/>
      <c r="S3" s="130"/>
      <c r="T3" s="131"/>
      <c r="U3" s="133"/>
      <c r="Z3" s="296"/>
    </row>
    <row r="4" spans="1:32" s="297" customFormat="1" ht="18" customHeight="1">
      <c r="A4" s="190"/>
      <c r="B4" s="190" t="s">
        <v>248</v>
      </c>
      <c r="C4" s="173"/>
      <c r="D4" s="173"/>
      <c r="E4" s="173"/>
      <c r="F4" s="173"/>
      <c r="G4" s="173"/>
      <c r="H4" s="173"/>
      <c r="I4" s="173"/>
      <c r="J4" s="173"/>
      <c r="K4" s="173"/>
      <c r="L4" s="173"/>
      <c r="M4" s="173"/>
      <c r="N4" s="144"/>
      <c r="O4" s="144"/>
      <c r="P4" s="144"/>
      <c r="Q4" s="144"/>
      <c r="T4" s="190" t="s">
        <v>249</v>
      </c>
      <c r="U4" s="144"/>
      <c r="V4" s="293"/>
      <c r="W4" s="293"/>
      <c r="X4" s="293"/>
      <c r="Y4" s="293"/>
      <c r="Z4" s="298"/>
      <c r="AA4" s="128"/>
      <c r="AB4" s="128"/>
      <c r="AC4" s="128"/>
      <c r="AD4" s="128"/>
      <c r="AE4" s="128"/>
      <c r="AF4" s="128"/>
    </row>
    <row r="5" spans="1:32" s="297" customFormat="1" ht="14.25" customHeight="1">
      <c r="A5" s="246"/>
      <c r="B5" s="191"/>
      <c r="C5" s="246" t="s">
        <v>250</v>
      </c>
      <c r="D5" s="244"/>
      <c r="E5" s="244"/>
      <c r="F5" s="244"/>
      <c r="G5" s="244"/>
      <c r="H5" s="244"/>
      <c r="I5" s="244"/>
      <c r="J5" s="244"/>
      <c r="K5" s="244"/>
      <c r="L5" s="244"/>
      <c r="M5" s="244"/>
      <c r="N5" s="244"/>
      <c r="O5" s="191"/>
      <c r="P5" s="191"/>
      <c r="Q5" s="144"/>
      <c r="S5" s="191"/>
      <c r="T5" s="134"/>
      <c r="U5" s="128"/>
      <c r="V5" s="191"/>
      <c r="W5" s="191"/>
      <c r="X5" s="191"/>
      <c r="Y5" s="191"/>
      <c r="Z5" s="191"/>
      <c r="AA5" s="191"/>
      <c r="AB5" s="191"/>
      <c r="AC5" s="191"/>
      <c r="AD5" s="191"/>
      <c r="AE5" s="191"/>
      <c r="AF5" s="191"/>
    </row>
    <row r="6" spans="1:32" s="297" customFormat="1" ht="14.25" customHeight="1">
      <c r="A6" s="246"/>
      <c r="B6" s="191"/>
      <c r="C6" s="246" t="s">
        <v>251</v>
      </c>
      <c r="D6" s="244"/>
      <c r="E6" s="244"/>
      <c r="F6" s="244"/>
      <c r="G6" s="244"/>
      <c r="H6" s="244"/>
      <c r="I6" s="244"/>
      <c r="J6" s="244"/>
      <c r="K6" s="244"/>
      <c r="L6" s="244"/>
      <c r="M6" s="244"/>
      <c r="N6" s="244"/>
      <c r="O6" s="191"/>
      <c r="P6" s="191"/>
      <c r="Q6" s="144"/>
      <c r="S6" s="133"/>
      <c r="T6" s="65"/>
      <c r="U6" s="207"/>
      <c r="V6" s="128"/>
    </row>
    <row r="7" spans="1:32" s="297" customFormat="1" ht="14.25" customHeight="1">
      <c r="A7" s="247"/>
      <c r="B7" s="191"/>
      <c r="C7" s="246" t="s">
        <v>252</v>
      </c>
      <c r="D7" s="244"/>
      <c r="E7" s="244"/>
      <c r="F7" s="244"/>
      <c r="G7" s="244"/>
      <c r="H7" s="244"/>
      <c r="I7" s="244"/>
      <c r="J7" s="244"/>
      <c r="K7" s="244"/>
      <c r="L7" s="244"/>
      <c r="M7" s="244"/>
      <c r="N7" s="244"/>
      <c r="O7" s="191"/>
      <c r="P7" s="191"/>
      <c r="Q7" s="144"/>
      <c r="S7" s="133"/>
      <c r="T7" s="65"/>
      <c r="U7" s="207"/>
      <c r="V7" s="186"/>
    </row>
    <row r="8" spans="1:32" s="297" customFormat="1" ht="14.25" customHeight="1">
      <c r="A8" s="247"/>
      <c r="B8" s="191"/>
      <c r="C8" s="130"/>
      <c r="D8" s="244"/>
      <c r="E8" s="244"/>
      <c r="F8" s="244"/>
      <c r="G8" s="244"/>
      <c r="H8" s="244"/>
      <c r="I8" s="244"/>
      <c r="J8" s="244"/>
      <c r="K8" s="244"/>
      <c r="L8" s="244"/>
      <c r="M8" s="244"/>
      <c r="N8" s="244"/>
      <c r="O8" s="191"/>
      <c r="P8" s="191"/>
      <c r="Q8" s="144"/>
      <c r="S8" s="207"/>
      <c r="T8" s="65"/>
      <c r="U8" s="207"/>
      <c r="V8" s="207"/>
      <c r="W8" s="207"/>
      <c r="X8" s="2"/>
      <c r="Y8" s="2"/>
      <c r="Z8" s="2"/>
      <c r="AA8" s="2"/>
      <c r="AB8" s="207"/>
      <c r="AC8" s="207"/>
      <c r="AD8" s="207"/>
      <c r="AE8" s="207"/>
      <c r="AF8" s="207"/>
    </row>
    <row r="9" spans="1:32" ht="18" customHeight="1">
      <c r="A9" s="247"/>
      <c r="B9" s="191"/>
      <c r="C9" s="130" t="s">
        <v>253</v>
      </c>
      <c r="D9" s="244"/>
      <c r="E9" s="244"/>
      <c r="F9" s="244"/>
      <c r="G9" s="244"/>
      <c r="H9" s="244"/>
      <c r="I9" s="244"/>
      <c r="J9" s="244"/>
      <c r="K9" s="244"/>
      <c r="L9" s="244"/>
      <c r="M9" s="244"/>
      <c r="N9" s="244"/>
      <c r="O9" s="191"/>
      <c r="P9" s="191"/>
      <c r="S9" s="207"/>
      <c r="T9" s="153" t="s">
        <v>254</v>
      </c>
      <c r="U9" s="130" t="s">
        <v>253</v>
      </c>
      <c r="V9" s="207"/>
      <c r="W9" s="207"/>
      <c r="X9" s="2"/>
      <c r="Y9" s="2"/>
      <c r="Z9" s="2"/>
      <c r="AA9" s="299" t="s">
        <v>255</v>
      </c>
      <c r="AB9" s="207"/>
      <c r="AC9" s="207"/>
      <c r="AD9" s="207"/>
      <c r="AE9" s="207"/>
      <c r="AF9" s="207"/>
    </row>
    <row r="10" spans="1:32" ht="14.1" customHeight="1">
      <c r="A10" s="247"/>
      <c r="B10" s="191"/>
      <c r="C10" s="191"/>
      <c r="D10" s="134" t="s">
        <v>256</v>
      </c>
      <c r="E10" s="244"/>
      <c r="F10" s="244"/>
      <c r="G10" s="244"/>
      <c r="H10" s="244"/>
      <c r="I10" s="244"/>
      <c r="J10" s="244"/>
      <c r="K10" s="244"/>
      <c r="L10" s="244"/>
      <c r="M10" s="244"/>
      <c r="N10" s="244"/>
      <c r="O10" s="191"/>
      <c r="P10" s="191"/>
      <c r="S10" s="133"/>
      <c r="T10" s="131"/>
      <c r="U10" s="131"/>
      <c r="V10" s="261"/>
      <c r="W10" s="1601" t="s">
        <v>257</v>
      </c>
      <c r="X10" s="1601"/>
      <c r="Y10" s="1601"/>
      <c r="Z10" s="261"/>
      <c r="AA10" s="1601" t="s">
        <v>258</v>
      </c>
      <c r="AB10" s="1601"/>
      <c r="AC10" s="1601"/>
      <c r="AD10" s="1601"/>
      <c r="AE10" s="1601"/>
      <c r="AF10" s="1601"/>
    </row>
    <row r="11" spans="1:32" ht="14.25" customHeight="1" thickBot="1">
      <c r="B11" s="174"/>
      <c r="C11" s="191"/>
      <c r="D11" s="247" t="s">
        <v>259</v>
      </c>
      <c r="F11" s="174"/>
      <c r="G11" s="174"/>
      <c r="H11" s="174"/>
      <c r="Q11" s="178"/>
      <c r="V11" s="261"/>
      <c r="W11" s="1601"/>
      <c r="X11" s="1601"/>
      <c r="Y11" s="1601"/>
      <c r="Z11" s="186"/>
      <c r="AA11" s="1601"/>
      <c r="AB11" s="1601"/>
      <c r="AC11" s="1601"/>
      <c r="AD11" s="1601"/>
      <c r="AE11" s="1601"/>
      <c r="AF11" s="1601"/>
    </row>
    <row r="12" spans="1:32" ht="14.25" customHeight="1">
      <c r="C12" s="1559" t="s">
        <v>58</v>
      </c>
      <c r="D12" s="1560"/>
      <c r="E12" s="1560"/>
      <c r="F12" s="1560"/>
      <c r="G12" s="1560"/>
      <c r="H12" s="1603"/>
      <c r="I12" s="1559" t="s">
        <v>212</v>
      </c>
      <c r="J12" s="1561"/>
      <c r="K12" s="1609" t="s">
        <v>260</v>
      </c>
      <c r="L12" s="1610" t="s">
        <v>213</v>
      </c>
      <c r="N12" s="178"/>
      <c r="O12" s="178"/>
      <c r="P12" s="178"/>
      <c r="Q12" s="178"/>
      <c r="W12" s="1602"/>
      <c r="X12" s="1602"/>
      <c r="Y12" s="1602"/>
      <c r="Z12" s="186"/>
      <c r="AA12" s="1602"/>
      <c r="AB12" s="1602"/>
      <c r="AC12" s="1602"/>
      <c r="AD12" s="1602"/>
      <c r="AE12" s="1602"/>
      <c r="AF12" s="1602"/>
    </row>
    <row r="13" spans="1:32" ht="14.1" customHeight="1">
      <c r="C13" s="1604"/>
      <c r="D13" s="1605"/>
      <c r="E13" s="1605"/>
      <c r="F13" s="1605"/>
      <c r="G13" s="1605"/>
      <c r="H13" s="1606"/>
      <c r="I13" s="1604"/>
      <c r="J13" s="1608"/>
      <c r="K13" s="1566"/>
      <c r="L13" s="1611"/>
      <c r="N13" s="178"/>
      <c r="O13" s="178"/>
      <c r="P13" s="178"/>
      <c r="Q13" s="300"/>
      <c r="S13" s="133"/>
      <c r="T13" s="131"/>
      <c r="U13" s="131"/>
      <c r="W13" s="1613" t="s">
        <v>58</v>
      </c>
      <c r="X13" s="1613"/>
      <c r="Y13" s="1614" t="s">
        <v>261</v>
      </c>
      <c r="AA13" s="1616" t="s">
        <v>58</v>
      </c>
      <c r="AB13" s="1617"/>
      <c r="AC13" s="1618"/>
      <c r="AD13" s="1498" t="s">
        <v>214</v>
      </c>
      <c r="AE13" s="1623" t="s">
        <v>262</v>
      </c>
      <c r="AF13" s="1498" t="s">
        <v>213</v>
      </c>
    </row>
    <row r="14" spans="1:32" ht="14.1" customHeight="1" thickBot="1">
      <c r="C14" s="1562"/>
      <c r="D14" s="1563"/>
      <c r="E14" s="1563"/>
      <c r="F14" s="1563"/>
      <c r="G14" s="1563"/>
      <c r="H14" s="1607"/>
      <c r="I14" s="1562"/>
      <c r="J14" s="1564"/>
      <c r="K14" s="1566"/>
      <c r="L14" s="1612"/>
      <c r="N14" s="300"/>
      <c r="O14" s="300"/>
      <c r="P14" s="300"/>
      <c r="Q14" s="301"/>
      <c r="S14" s="302"/>
      <c r="T14" s="303"/>
      <c r="U14" s="303"/>
      <c r="W14" s="1613"/>
      <c r="X14" s="1613"/>
      <c r="Y14" s="1615"/>
      <c r="AA14" s="1619"/>
      <c r="AB14" s="1620"/>
      <c r="AC14" s="1621"/>
      <c r="AD14" s="1622"/>
      <c r="AE14" s="1624"/>
      <c r="AF14" s="1622"/>
    </row>
    <row r="15" spans="1:32" ht="29.25" customHeight="1" thickTop="1" thickBot="1">
      <c r="C15" s="1625" t="s">
        <v>219</v>
      </c>
      <c r="D15" s="1626"/>
      <c r="E15" s="1626"/>
      <c r="F15" s="1626"/>
      <c r="G15" s="1626"/>
      <c r="H15" s="1627"/>
      <c r="I15" s="1546" t="s">
        <v>263</v>
      </c>
      <c r="J15" s="1547"/>
      <c r="K15" s="1257"/>
      <c r="L15" s="304"/>
      <c r="N15" s="2"/>
      <c r="O15" s="2"/>
      <c r="P15" s="301"/>
      <c r="Q15" s="183"/>
      <c r="S15" s="302"/>
      <c r="T15" s="303"/>
      <c r="U15" s="303"/>
      <c r="W15" s="1600" t="s">
        <v>264</v>
      </c>
      <c r="X15" s="1600"/>
      <c r="Y15" s="305">
        <f>【２】生産物の販売等の状況①_麦類!AA18+【２】生産物の販売等の状況①_麦類!AA83+AD15+AD16+AD19+AD20</f>
        <v>0</v>
      </c>
      <c r="AA15" s="1628" t="s">
        <v>265</v>
      </c>
      <c r="AB15" s="1629" t="s">
        <v>266</v>
      </c>
      <c r="AC15" s="1630"/>
      <c r="AD15" s="306">
        <f>IF(OR(【２】生産物の販売等の状況①_麦類!S62="",【２】生産物の販売等の状況①_麦類!S62=0),SUM(【２】生産物の販売等の状況①_麦類!S63:S77),【２】生産物の販売等の状況①_麦類!S62)</f>
        <v>0</v>
      </c>
      <c r="AE15" s="252">
        <f>IF(AND(リスト!C23&gt;0,AF15&gt;0),ROUND(AF15/AD15*リスト!C23,2),)</f>
        <v>0</v>
      </c>
      <c r="AF15" s="251">
        <f>IF(OR(【２】生産物の販売等の状況①_麦類!T62="",【２】生産物の販売等の状況①_麦類!T62=0),SUM(【２】生産物の販売等の状況①_麦類!T63:T77),【２】生産物の販売等の状況①_麦類!T62)</f>
        <v>0</v>
      </c>
    </row>
    <row r="16" spans="1:32" ht="29.25" customHeight="1" thickTop="1" thickBot="1">
      <c r="C16" s="1631" t="s">
        <v>238</v>
      </c>
      <c r="D16" s="1632"/>
      <c r="E16" s="1632"/>
      <c r="F16" s="1632"/>
      <c r="G16" s="1632"/>
      <c r="H16" s="1571"/>
      <c r="I16" s="1572" t="s">
        <v>267</v>
      </c>
      <c r="J16" s="1573"/>
      <c r="K16" s="1258"/>
      <c r="L16" s="1633"/>
      <c r="N16" s="183"/>
      <c r="O16" s="183"/>
      <c r="P16" s="183"/>
      <c r="Q16" s="183"/>
      <c r="S16" s="2"/>
      <c r="T16" s="307"/>
      <c r="U16" s="307"/>
      <c r="W16" s="1600" t="s">
        <v>268</v>
      </c>
      <c r="X16" s="1598"/>
      <c r="Y16" s="1293"/>
      <c r="Z16" s="2"/>
      <c r="AA16" s="1628"/>
      <c r="AB16" s="1629" t="s">
        <v>269</v>
      </c>
      <c r="AC16" s="1630"/>
      <c r="AD16" s="306">
        <f>【２】生産物の販売等の状況①_麦類!S78</f>
        <v>0</v>
      </c>
      <c r="AE16" s="252">
        <f>IF(AND(リスト!C23&gt;0,AF16&gt;0),ROUND(AF16/AD16*リスト!C23,2),)</f>
        <v>0</v>
      </c>
      <c r="AF16" s="251">
        <f>【２】生産物の販売等の状況①_麦類!T78</f>
        <v>0</v>
      </c>
    </row>
    <row r="17" spans="1:32" ht="29.25" customHeight="1" thickTop="1" thickBot="1">
      <c r="C17" s="308"/>
      <c r="D17" s="309"/>
      <c r="E17" s="1577" t="s">
        <v>270</v>
      </c>
      <c r="F17" s="1636"/>
      <c r="G17" s="1636"/>
      <c r="H17" s="1578"/>
      <c r="I17" s="1572" t="s">
        <v>271</v>
      </c>
      <c r="J17" s="1573"/>
      <c r="K17" s="1258"/>
      <c r="L17" s="1634"/>
      <c r="N17" s="310"/>
      <c r="O17" s="310"/>
      <c r="P17" s="310"/>
      <c r="Q17" s="183"/>
      <c r="S17" s="303"/>
      <c r="T17" s="303"/>
      <c r="U17" s="303"/>
      <c r="W17" s="1600" t="s">
        <v>272</v>
      </c>
      <c r="X17" s="1600"/>
      <c r="Y17" s="311">
        <f>ROUND(Y15*Y16,)</f>
        <v>0</v>
      </c>
      <c r="AA17" s="1628"/>
      <c r="AB17" s="1629" t="s">
        <v>273</v>
      </c>
      <c r="AC17" s="1630"/>
      <c r="AD17" s="312">
        <f>ROUND(Y29*I27%,)</f>
        <v>0</v>
      </c>
      <c r="AE17" s="252">
        <f>IF(AND(リスト!C23&gt;0,AF17&gt;0),ROUND(AF17/AD17*リスト!C23,2),)</f>
        <v>0</v>
      </c>
      <c r="AF17" s="251">
        <f>I31</f>
        <v>0</v>
      </c>
    </row>
    <row r="18" spans="1:32" ht="29.25" customHeight="1" thickTop="1" thickBot="1">
      <c r="C18" s="1637" t="s">
        <v>274</v>
      </c>
      <c r="D18" s="1638"/>
      <c r="E18" s="1638"/>
      <c r="F18" s="1638"/>
      <c r="G18" s="1638"/>
      <c r="H18" s="1639"/>
      <c r="I18" s="1640"/>
      <c r="J18" s="1641"/>
      <c r="K18" s="313">
        <v>100</v>
      </c>
      <c r="L18" s="1635"/>
      <c r="N18" s="314"/>
      <c r="O18" s="314"/>
      <c r="P18" s="314"/>
      <c r="Q18" s="183"/>
      <c r="S18" s="262"/>
      <c r="T18" s="262"/>
      <c r="U18" s="262"/>
      <c r="AA18" s="1628"/>
      <c r="AB18" s="1629" t="s">
        <v>275</v>
      </c>
      <c r="AC18" s="1630"/>
      <c r="AD18" s="312">
        <f>ROUND(Y17*K15%,)</f>
        <v>0</v>
      </c>
      <c r="AE18" s="252">
        <f>IF(AND(AD18&gt;0,AF18&gt;0),ROUND(AF18/AD18,2),)</f>
        <v>0</v>
      </c>
      <c r="AF18" s="251">
        <f>L15</f>
        <v>0</v>
      </c>
    </row>
    <row r="19" spans="1:32" ht="30" customHeight="1" thickTop="1">
      <c r="B19" s="297"/>
      <c r="C19" s="315"/>
      <c r="D19" s="315"/>
      <c r="E19" s="315"/>
      <c r="F19" s="315"/>
      <c r="G19" s="315"/>
      <c r="H19" s="315"/>
      <c r="I19" s="316"/>
      <c r="J19" s="316"/>
      <c r="K19" s="316"/>
      <c r="L19" s="317"/>
      <c r="M19" s="318"/>
      <c r="N19" s="314"/>
      <c r="O19" s="314"/>
      <c r="P19" s="314"/>
      <c r="Q19" s="183"/>
      <c r="S19" s="319"/>
      <c r="T19" s="319"/>
      <c r="U19" s="319"/>
      <c r="AA19" s="1642" t="s">
        <v>238</v>
      </c>
      <c r="AB19" s="1643" t="s">
        <v>266</v>
      </c>
      <c r="AC19" s="1630"/>
      <c r="AD19" s="312">
        <f>【２】生産物の販売等の状況①_麦類!S82</f>
        <v>0</v>
      </c>
      <c r="AE19" s="320"/>
      <c r="AF19" s="321">
        <f>ROUND(AD19/リスト!$C$23*AE19,)</f>
        <v>0</v>
      </c>
    </row>
    <row r="20" spans="1:32" ht="30" customHeight="1">
      <c r="C20" s="315"/>
      <c r="D20" s="315"/>
      <c r="E20" s="315"/>
      <c r="F20" s="315"/>
      <c r="G20" s="315"/>
      <c r="H20" s="315"/>
      <c r="I20" s="316"/>
      <c r="J20" s="316"/>
      <c r="K20" s="316"/>
      <c r="L20" s="317"/>
      <c r="M20" s="318"/>
      <c r="N20" s="183"/>
      <c r="O20" s="183"/>
      <c r="P20" s="289"/>
      <c r="Q20" s="289"/>
      <c r="S20" s="319"/>
      <c r="T20" s="319"/>
      <c r="U20" s="319"/>
      <c r="AA20" s="1642"/>
      <c r="AB20" s="1643" t="s">
        <v>269</v>
      </c>
      <c r="AC20" s="1630"/>
      <c r="AD20" s="312">
        <f>【２】生産物の販売等の状況①_麦類!S83</f>
        <v>0</v>
      </c>
      <c r="AE20" s="322"/>
      <c r="AF20" s="321">
        <f>ROUND(AD20/リスト!$C$23*AE20,)</f>
        <v>0</v>
      </c>
    </row>
    <row r="21" spans="1:32" s="50" customFormat="1" ht="30" customHeight="1" thickBot="1">
      <c r="A21" s="144"/>
      <c r="B21" s="144"/>
      <c r="C21" s="315"/>
      <c r="D21" s="315"/>
      <c r="E21" s="315"/>
      <c r="F21" s="315"/>
      <c r="G21" s="315"/>
      <c r="H21" s="315"/>
      <c r="I21" s="316"/>
      <c r="J21" s="316"/>
      <c r="K21" s="316"/>
      <c r="L21" s="317"/>
      <c r="M21" s="318"/>
      <c r="N21" s="183"/>
      <c r="O21" s="183"/>
      <c r="P21" s="289"/>
      <c r="Q21" s="289"/>
      <c r="S21" s="319"/>
      <c r="T21" s="319"/>
      <c r="U21" s="319"/>
      <c r="V21" s="128"/>
      <c r="AA21" s="1642"/>
      <c r="AB21" s="1643" t="s">
        <v>273</v>
      </c>
      <c r="AC21" s="1630"/>
      <c r="AD21" s="312">
        <f>ROUND(Y29*J27%,)</f>
        <v>0</v>
      </c>
      <c r="AE21" s="323"/>
      <c r="AF21" s="321">
        <f>ROUND(AD21/リスト!$C$23*AE21,)</f>
        <v>0</v>
      </c>
    </row>
    <row r="22" spans="1:32" s="50" customFormat="1" ht="30" customHeight="1" thickTop="1" thickBot="1">
      <c r="A22" s="144"/>
      <c r="B22" s="177"/>
      <c r="C22" s="153" t="s">
        <v>276</v>
      </c>
      <c r="D22" s="297"/>
      <c r="E22" s="134"/>
      <c r="F22" s="134"/>
      <c r="G22" s="134"/>
      <c r="H22" s="134"/>
      <c r="I22" s="134"/>
      <c r="J22" s="134"/>
      <c r="K22" s="134"/>
      <c r="L22" s="297"/>
      <c r="M22" s="297"/>
      <c r="N22" s="297"/>
      <c r="O22" s="297"/>
      <c r="P22" s="297"/>
      <c r="Q22" s="144"/>
      <c r="R22" s="295"/>
      <c r="S22" s="128"/>
      <c r="T22" s="128"/>
      <c r="U22" s="153" t="s">
        <v>276</v>
      </c>
      <c r="V22" s="261"/>
      <c r="W22" s="261"/>
      <c r="X22" s="261"/>
      <c r="Y22" s="261"/>
      <c r="AA22" s="1642"/>
      <c r="AB22" s="1644" t="s">
        <v>275</v>
      </c>
      <c r="AC22" s="324" t="s">
        <v>274</v>
      </c>
      <c r="AD22" s="306">
        <f>ROUND(SUM(Y17*K16%),)</f>
        <v>0</v>
      </c>
      <c r="AE22" s="252">
        <f>IF(AND(AD22&gt;0,AF22&gt;0),ROUND(AF22/AD22,2),)</f>
        <v>0</v>
      </c>
      <c r="AF22" s="325">
        <f>AF23</f>
        <v>0</v>
      </c>
    </row>
    <row r="23" spans="1:32" s="50" customFormat="1" ht="30" customHeight="1" thickTop="1" thickBot="1">
      <c r="A23" s="144"/>
      <c r="B23" s="177"/>
      <c r="C23" s="177"/>
      <c r="D23" s="247" t="s">
        <v>277</v>
      </c>
      <c r="E23" s="326"/>
      <c r="F23" s="326"/>
      <c r="G23" s="326"/>
      <c r="H23" s="326"/>
      <c r="I23" s="326"/>
      <c r="J23" s="326"/>
      <c r="K23" s="326"/>
      <c r="L23" s="326"/>
      <c r="M23" s="326"/>
      <c r="N23" s="326"/>
      <c r="O23" s="326"/>
      <c r="P23" s="326"/>
      <c r="Q23" s="326"/>
      <c r="R23" s="295"/>
      <c r="S23" s="128"/>
      <c r="T23" s="128"/>
      <c r="U23" s="128"/>
      <c r="V23" s="261"/>
      <c r="W23" s="1647" t="s">
        <v>278</v>
      </c>
      <c r="X23" s="1648"/>
      <c r="Y23" s="1648"/>
      <c r="Z23" s="128"/>
      <c r="AA23" s="1642"/>
      <c r="AB23" s="1645"/>
      <c r="AC23" s="327" t="s">
        <v>279</v>
      </c>
      <c r="AD23" s="306">
        <f>AD22-AD24</f>
        <v>0</v>
      </c>
      <c r="AE23" s="328"/>
      <c r="AF23" s="321">
        <f>ROUND(AD23*AE23,)</f>
        <v>0</v>
      </c>
    </row>
    <row r="24" spans="1:32" ht="30" customHeight="1" thickTop="1">
      <c r="B24" s="177"/>
      <c r="C24" s="1650" t="s">
        <v>58</v>
      </c>
      <c r="D24" s="1651"/>
      <c r="E24" s="1651"/>
      <c r="F24" s="1651"/>
      <c r="G24" s="1652"/>
      <c r="H24" s="1670" t="s">
        <v>280</v>
      </c>
      <c r="I24" s="329"/>
      <c r="J24" s="329"/>
      <c r="K24" s="330"/>
      <c r="L24" s="331"/>
      <c r="M24" s="331"/>
      <c r="N24" s="331"/>
      <c r="O24" s="331"/>
      <c r="P24" s="300"/>
      <c r="S24" s="332"/>
      <c r="T24" s="332"/>
      <c r="V24" s="2"/>
      <c r="W24" s="1649"/>
      <c r="X24" s="1649"/>
      <c r="Y24" s="1649"/>
      <c r="AA24" s="1642"/>
      <c r="AB24" s="1646"/>
      <c r="AC24" s="327" t="s">
        <v>281</v>
      </c>
      <c r="AD24" s="306">
        <f>ROUND(AD22*K17%,)</f>
        <v>0</v>
      </c>
      <c r="AE24" s="333"/>
      <c r="AF24" s="334"/>
    </row>
    <row r="25" spans="1:32" ht="14.25" customHeight="1">
      <c r="B25" s="177"/>
      <c r="C25" s="1653"/>
      <c r="D25" s="1654"/>
      <c r="E25" s="1654"/>
      <c r="F25" s="1654"/>
      <c r="G25" s="1655"/>
      <c r="H25" s="1671"/>
      <c r="I25" s="1673" t="s">
        <v>265</v>
      </c>
      <c r="J25" s="1675" t="s">
        <v>238</v>
      </c>
      <c r="K25" s="1677" t="s">
        <v>282</v>
      </c>
      <c r="L25" s="331"/>
      <c r="M25" s="331"/>
      <c r="N25" s="310"/>
      <c r="O25" s="310"/>
      <c r="P25" s="310"/>
      <c r="V25" s="2"/>
      <c r="W25" s="1616" t="s">
        <v>58</v>
      </c>
      <c r="X25" s="1679"/>
      <c r="Y25" s="1498" t="s">
        <v>261</v>
      </c>
      <c r="AA25" s="1662" t="s">
        <v>283</v>
      </c>
      <c r="AB25" s="1662"/>
      <c r="AC25" s="1662"/>
      <c r="AD25" s="1662"/>
      <c r="AE25" s="1662"/>
      <c r="AF25" s="1662"/>
    </row>
    <row r="26" spans="1:32" ht="14.25" customHeight="1" thickBot="1">
      <c r="B26" s="177"/>
      <c r="C26" s="1656"/>
      <c r="D26" s="1657"/>
      <c r="E26" s="1657"/>
      <c r="F26" s="1657"/>
      <c r="G26" s="1658"/>
      <c r="H26" s="1672"/>
      <c r="I26" s="1674"/>
      <c r="J26" s="1676"/>
      <c r="K26" s="1678"/>
      <c r="L26" s="331"/>
      <c r="M26" s="331"/>
      <c r="N26" s="310"/>
      <c r="O26" s="310"/>
      <c r="P26" s="310"/>
      <c r="V26" s="2"/>
      <c r="W26" s="1680"/>
      <c r="X26" s="1681"/>
      <c r="Y26" s="1682"/>
      <c r="AA26" s="1663"/>
      <c r="AB26" s="1663"/>
      <c r="AC26" s="1663"/>
      <c r="AD26" s="1663"/>
      <c r="AE26" s="1663"/>
      <c r="AF26" s="1663"/>
    </row>
    <row r="27" spans="1:32" ht="30" customHeight="1" thickTop="1" thickBot="1">
      <c r="B27" s="177"/>
      <c r="C27" s="1664" t="s">
        <v>284</v>
      </c>
      <c r="D27" s="1665"/>
      <c r="E27" s="1665"/>
      <c r="F27" s="1665"/>
      <c r="G27" s="1666"/>
      <c r="H27" s="335">
        <v>100</v>
      </c>
      <c r="I27" s="1259"/>
      <c r="J27" s="1260"/>
      <c r="K27" s="1261"/>
      <c r="L27" s="331"/>
      <c r="M27" s="331"/>
      <c r="N27" s="310"/>
      <c r="O27" s="310"/>
      <c r="P27" s="310"/>
      <c r="R27" s="50"/>
      <c r="V27" s="2"/>
      <c r="W27" s="1600" t="s">
        <v>264</v>
      </c>
      <c r="X27" s="1600"/>
      <c r="Y27" s="305">
        <f>【２】生産物の販売等の状況①_麦類!AA18+【２】生産物の販売等の状況①_麦類!AA83+AD15+AD16+AD19+AD20</f>
        <v>0</v>
      </c>
      <c r="AA27" s="336"/>
      <c r="AB27" s="295"/>
      <c r="AC27" s="337"/>
      <c r="AD27" s="338"/>
      <c r="AE27" s="338"/>
      <c r="AF27" s="338"/>
    </row>
    <row r="28" spans="1:32" ht="30" customHeight="1" thickTop="1" thickBot="1">
      <c r="B28" s="177"/>
      <c r="C28" s="339"/>
      <c r="D28" s="339"/>
      <c r="E28" s="339"/>
      <c r="F28" s="339"/>
      <c r="G28" s="339"/>
      <c r="H28" s="339"/>
      <c r="I28" s="339"/>
      <c r="J28" s="339"/>
      <c r="K28" s="340"/>
      <c r="L28" s="340"/>
      <c r="M28" s="340"/>
      <c r="N28" s="289"/>
      <c r="O28" s="289"/>
      <c r="P28" s="289"/>
      <c r="R28" s="50"/>
      <c r="S28" s="341"/>
      <c r="T28" s="341"/>
      <c r="U28" s="332"/>
      <c r="V28" s="2"/>
      <c r="W28" s="1600" t="s">
        <v>268</v>
      </c>
      <c r="X28" s="1598"/>
      <c r="Y28" s="1293"/>
      <c r="AA28" s="336"/>
      <c r="AB28" s="295"/>
      <c r="AC28" s="337"/>
      <c r="AD28" s="338"/>
      <c r="AE28" s="338"/>
      <c r="AF28" s="338"/>
    </row>
    <row r="29" spans="1:32" ht="30" customHeight="1" thickTop="1" thickBot="1">
      <c r="B29" s="342"/>
      <c r="L29" s="340"/>
      <c r="M29" s="340"/>
      <c r="N29" s="289"/>
      <c r="O29" s="289"/>
      <c r="P29" s="289"/>
      <c r="R29" s="50"/>
      <c r="S29" s="173"/>
      <c r="T29" s="144"/>
      <c r="V29" s="2"/>
      <c r="W29" s="1600" t="s">
        <v>285</v>
      </c>
      <c r="X29" s="1600"/>
      <c r="Y29" s="311">
        <f>ROUND(Y27*Y28,)</f>
        <v>0</v>
      </c>
      <c r="AA29" s="336"/>
      <c r="AB29" s="295"/>
      <c r="AC29" s="337"/>
      <c r="AD29" s="338"/>
      <c r="AE29" s="338"/>
      <c r="AF29" s="338"/>
    </row>
    <row r="30" spans="1:32" ht="30" customHeight="1" thickBot="1">
      <c r="B30" s="342"/>
      <c r="C30" s="1667" t="s">
        <v>58</v>
      </c>
      <c r="D30" s="1668"/>
      <c r="E30" s="1668"/>
      <c r="F30" s="1668"/>
      <c r="G30" s="1668"/>
      <c r="H30" s="1669"/>
      <c r="I30" s="343" t="s">
        <v>286</v>
      </c>
      <c r="J30" s="2"/>
      <c r="K30" s="2"/>
      <c r="R30" s="50"/>
      <c r="S30" s="178"/>
      <c r="T30" s="178"/>
      <c r="V30" s="2"/>
      <c r="W30" s="2"/>
      <c r="X30" s="2"/>
      <c r="Y30" s="2"/>
      <c r="AA30" s="336"/>
      <c r="AB30" s="295"/>
      <c r="AC30" s="337"/>
      <c r="AD30" s="338"/>
      <c r="AE30" s="338"/>
      <c r="AF30" s="338"/>
    </row>
    <row r="31" spans="1:32" ht="30" customHeight="1" thickTop="1" thickBot="1">
      <c r="B31" s="342"/>
      <c r="C31" s="1659" t="s">
        <v>284</v>
      </c>
      <c r="D31" s="1660"/>
      <c r="E31" s="1660"/>
      <c r="F31" s="1660"/>
      <c r="G31" s="1660"/>
      <c r="H31" s="1661"/>
      <c r="I31" s="344"/>
      <c r="J31" s="2"/>
      <c r="K31" s="2"/>
      <c r="R31" s="50"/>
      <c r="S31" s="178"/>
      <c r="T31" s="178"/>
      <c r="V31" s="2"/>
      <c r="W31" s="2"/>
      <c r="X31" s="2"/>
      <c r="Y31" s="2"/>
      <c r="AA31" s="336"/>
      <c r="AB31" s="295"/>
      <c r="AC31" s="337"/>
      <c r="AD31" s="338"/>
      <c r="AE31" s="338"/>
      <c r="AF31" s="338"/>
    </row>
    <row r="32" spans="1:32" ht="30" customHeight="1">
      <c r="B32" s="342"/>
      <c r="C32" s="50"/>
      <c r="D32" s="50"/>
      <c r="E32" s="50"/>
      <c r="F32" s="50"/>
      <c r="G32" s="50"/>
      <c r="H32" s="50"/>
      <c r="I32" s="50"/>
      <c r="J32" s="50"/>
      <c r="K32" s="50"/>
      <c r="S32" s="178"/>
      <c r="T32" s="178"/>
      <c r="U32" s="341"/>
      <c r="V32" s="2"/>
      <c r="W32" s="2"/>
      <c r="X32" s="2"/>
      <c r="Y32" s="2"/>
      <c r="AA32" s="336"/>
      <c r="AB32" s="295"/>
      <c r="AC32" s="337"/>
      <c r="AD32" s="338"/>
      <c r="AE32" s="338"/>
      <c r="AF32" s="338"/>
    </row>
    <row r="33" spans="1:32" ht="30" customHeight="1">
      <c r="B33" s="342"/>
      <c r="C33" s="50"/>
      <c r="D33" s="50"/>
      <c r="E33" s="50"/>
      <c r="F33" s="50"/>
      <c r="G33" s="50"/>
      <c r="H33" s="50"/>
      <c r="I33" s="50"/>
      <c r="J33" s="50"/>
      <c r="K33" s="50"/>
      <c r="S33" s="178"/>
      <c r="T33" s="178"/>
      <c r="U33" s="144"/>
      <c r="V33" s="2"/>
      <c r="W33" s="2"/>
    </row>
    <row r="34" spans="1:32" ht="30" customHeight="1">
      <c r="B34" s="342"/>
      <c r="C34" s="176"/>
      <c r="D34" s="176"/>
      <c r="E34" s="176"/>
      <c r="F34" s="176"/>
      <c r="G34" s="176"/>
      <c r="H34" s="176"/>
      <c r="I34" s="176"/>
      <c r="J34" s="176"/>
      <c r="K34" s="176"/>
      <c r="S34" s="178"/>
      <c r="T34" s="178"/>
      <c r="U34" s="178"/>
      <c r="V34" s="2"/>
      <c r="W34" s="2"/>
    </row>
    <row r="35" spans="1:32" ht="30" customHeight="1">
      <c r="B35" s="342"/>
      <c r="N35" s="345"/>
      <c r="O35" s="345"/>
      <c r="P35" s="345"/>
      <c r="Q35" s="345"/>
      <c r="R35" s="131"/>
      <c r="S35" s="178"/>
      <c r="T35" s="178"/>
      <c r="U35" s="178"/>
      <c r="V35" s="2"/>
      <c r="W35" s="2"/>
    </row>
    <row r="36" spans="1:32" ht="14.25" customHeight="1">
      <c r="B36" s="346"/>
      <c r="N36" s="345"/>
      <c r="O36" s="345"/>
      <c r="P36" s="345"/>
      <c r="Q36" s="345"/>
      <c r="R36" s="131"/>
      <c r="S36" s="178"/>
      <c r="T36" s="178"/>
      <c r="U36" s="178"/>
      <c r="V36" s="2"/>
      <c r="W36" s="2"/>
      <c r="Z36" s="261"/>
      <c r="AA36" s="261"/>
      <c r="AB36" s="261"/>
      <c r="AC36" s="261"/>
      <c r="AD36" s="261"/>
      <c r="AE36" s="261"/>
      <c r="AF36" s="261"/>
    </row>
    <row r="37" spans="1:32" ht="13.7" customHeight="1">
      <c r="N37" s="345"/>
      <c r="O37" s="345"/>
      <c r="P37" s="345"/>
      <c r="Q37" s="345"/>
      <c r="R37" s="131"/>
      <c r="S37" s="178"/>
      <c r="T37" s="178"/>
      <c r="U37" s="178"/>
      <c r="V37" s="2"/>
      <c r="W37" s="2"/>
      <c r="Z37" s="186"/>
      <c r="AA37" s="186"/>
      <c r="AB37" s="2"/>
      <c r="AC37" s="2"/>
      <c r="AD37" s="2"/>
      <c r="AE37" s="2"/>
      <c r="AF37" s="2"/>
    </row>
    <row r="38" spans="1:32" ht="14.1" customHeight="1">
      <c r="N38" s="345"/>
      <c r="O38" s="345"/>
      <c r="P38" s="345"/>
      <c r="Q38" s="345"/>
      <c r="R38" s="131"/>
      <c r="S38" s="207"/>
      <c r="T38" s="207"/>
      <c r="U38" s="300"/>
      <c r="V38" s="2"/>
      <c r="W38" s="2"/>
      <c r="Z38" s="186"/>
      <c r="AA38" s="2"/>
      <c r="AB38" s="2"/>
      <c r="AC38" s="2"/>
      <c r="AD38" s="2"/>
      <c r="AE38" s="2"/>
      <c r="AF38" s="2"/>
    </row>
    <row r="39" spans="1:32" ht="14.25" customHeight="1">
      <c r="N39" s="345"/>
      <c r="O39" s="345"/>
      <c r="P39" s="345"/>
      <c r="Q39" s="345"/>
      <c r="R39" s="131"/>
      <c r="U39" s="301"/>
      <c r="V39" s="2"/>
      <c r="W39" s="2"/>
      <c r="AA39" s="2"/>
      <c r="AB39" s="2"/>
      <c r="AC39" s="2"/>
      <c r="AD39" s="2"/>
      <c r="AE39" s="2"/>
      <c r="AF39" s="2"/>
    </row>
    <row r="40" spans="1:32" ht="14.25" customHeight="1">
      <c r="N40" s="345"/>
      <c r="O40" s="345"/>
      <c r="P40" s="345"/>
      <c r="Q40" s="345"/>
      <c r="R40" s="131"/>
      <c r="S40" s="2"/>
      <c r="T40" s="2"/>
      <c r="U40" s="183"/>
      <c r="V40" s="2"/>
      <c r="W40" s="131"/>
      <c r="X40" s="131"/>
      <c r="Y40" s="131"/>
      <c r="Z40" s="295"/>
      <c r="AA40" s="2"/>
      <c r="AB40" s="2"/>
      <c r="AC40" s="2"/>
      <c r="AD40" s="2"/>
      <c r="AE40" s="2"/>
      <c r="AF40" s="2"/>
    </row>
    <row r="41" spans="1:32" ht="15.75" customHeight="1">
      <c r="N41" s="345"/>
      <c r="O41" s="345"/>
      <c r="P41" s="345"/>
      <c r="Q41" s="345"/>
      <c r="R41" s="131"/>
      <c r="S41" s="2"/>
      <c r="T41" s="2"/>
      <c r="U41" s="183"/>
      <c r="V41" s="2"/>
      <c r="W41" s="131"/>
      <c r="X41" s="131"/>
      <c r="Y41" s="131"/>
      <c r="AA41" s="2"/>
      <c r="AB41" s="2"/>
      <c r="AC41" s="2"/>
      <c r="AD41" s="2"/>
      <c r="AE41" s="2"/>
      <c r="AF41" s="2"/>
    </row>
    <row r="42" spans="1:32" ht="15.75" customHeight="1">
      <c r="S42" s="2"/>
      <c r="T42" s="2"/>
      <c r="U42" s="207"/>
      <c r="V42" s="2"/>
      <c r="W42" s="295"/>
      <c r="X42" s="295"/>
      <c r="Y42" s="295"/>
      <c r="AA42" s="2"/>
      <c r="AB42" s="2"/>
      <c r="AC42" s="2"/>
      <c r="AD42" s="2"/>
      <c r="AE42" s="2"/>
      <c r="AF42" s="2"/>
    </row>
    <row r="43" spans="1:32" s="50" customFormat="1" ht="30" customHeight="1">
      <c r="A43" s="291"/>
      <c r="B43" s="144"/>
      <c r="C43" s="144"/>
      <c r="D43" s="144"/>
      <c r="E43" s="144"/>
      <c r="F43" s="144"/>
      <c r="G43" s="144"/>
      <c r="H43" s="144"/>
      <c r="I43" s="144"/>
      <c r="J43" s="144"/>
      <c r="K43" s="144"/>
      <c r="L43" s="144"/>
      <c r="M43" s="144"/>
      <c r="N43" s="144"/>
      <c r="O43" s="144"/>
      <c r="P43" s="144"/>
      <c r="Q43" s="144"/>
      <c r="R43" s="295"/>
      <c r="S43" s="2"/>
      <c r="T43" s="2"/>
      <c r="U43" s="128"/>
      <c r="V43" s="128"/>
      <c r="W43" s="295"/>
      <c r="X43" s="295"/>
      <c r="Y43" s="295"/>
      <c r="Z43" s="128"/>
      <c r="AA43" s="2"/>
      <c r="AB43" s="2"/>
      <c r="AC43" s="2"/>
      <c r="AD43" s="2"/>
      <c r="AE43" s="2"/>
      <c r="AF43" s="2"/>
    </row>
    <row r="44" spans="1:32" s="50" customFormat="1" ht="27.95" customHeight="1">
      <c r="A44" s="144"/>
      <c r="B44" s="144"/>
      <c r="C44" s="144"/>
      <c r="D44" s="144"/>
      <c r="E44" s="144"/>
      <c r="F44" s="144"/>
      <c r="G44" s="144"/>
      <c r="H44" s="144"/>
      <c r="I44" s="144"/>
      <c r="J44" s="144"/>
      <c r="K44" s="144"/>
      <c r="L44" s="144"/>
      <c r="M44" s="144"/>
      <c r="N44" s="144"/>
      <c r="O44" s="144"/>
      <c r="P44" s="144"/>
      <c r="Q44" s="144"/>
      <c r="R44" s="295"/>
      <c r="S44" s="2"/>
      <c r="T44" s="2"/>
      <c r="U44" s="2"/>
      <c r="V44" s="2"/>
      <c r="W44" s="295"/>
      <c r="X44" s="295"/>
      <c r="Y44" s="295"/>
      <c r="Z44" s="2"/>
      <c r="AA44" s="2"/>
      <c r="AB44" s="2"/>
      <c r="AC44" s="2"/>
      <c r="AD44" s="2"/>
      <c r="AE44" s="2"/>
      <c r="AF44" s="2"/>
    </row>
    <row r="45" spans="1:32" s="50" customFormat="1" ht="27.95" customHeight="1">
      <c r="A45" s="144"/>
      <c r="B45" s="144"/>
      <c r="C45" s="144"/>
      <c r="D45" s="347"/>
      <c r="E45" s="347"/>
      <c r="F45" s="347"/>
      <c r="G45" s="347"/>
      <c r="H45" s="347"/>
      <c r="I45" s="144"/>
      <c r="J45" s="144"/>
      <c r="K45" s="144"/>
      <c r="L45" s="144"/>
      <c r="M45" s="144"/>
      <c r="N45" s="144"/>
      <c r="O45" s="144"/>
      <c r="P45" s="144"/>
      <c r="Q45" s="144"/>
      <c r="R45" s="295"/>
      <c r="S45" s="2"/>
      <c r="T45" s="2"/>
      <c r="U45" s="2"/>
      <c r="V45" s="2"/>
      <c r="W45" s="295"/>
      <c r="X45" s="295"/>
      <c r="Y45" s="295"/>
      <c r="Z45" s="128"/>
      <c r="AA45" s="2"/>
      <c r="AB45" s="2"/>
      <c r="AC45" s="2"/>
      <c r="AD45" s="2"/>
      <c r="AE45" s="2"/>
      <c r="AF45" s="2"/>
    </row>
    <row r="46" spans="1:32" s="50" customFormat="1" ht="35.25" customHeight="1">
      <c r="A46" s="144"/>
      <c r="B46" s="144"/>
      <c r="C46" s="144"/>
      <c r="D46" s="347"/>
      <c r="E46" s="347"/>
      <c r="F46" s="347"/>
      <c r="G46" s="347"/>
      <c r="H46" s="347"/>
      <c r="I46" s="144"/>
      <c r="J46" s="144"/>
      <c r="K46" s="144"/>
      <c r="L46" s="144"/>
      <c r="M46" s="144"/>
      <c r="N46" s="144"/>
      <c r="O46" s="144"/>
      <c r="P46" s="144"/>
      <c r="Q46" s="144"/>
      <c r="R46" s="295"/>
      <c r="S46" s="2"/>
      <c r="T46" s="2"/>
      <c r="U46" s="2"/>
      <c r="V46" s="2"/>
      <c r="W46" s="295"/>
      <c r="X46" s="295"/>
      <c r="Y46" s="295"/>
      <c r="Z46" s="128"/>
      <c r="AA46" s="2"/>
      <c r="AB46" s="2"/>
      <c r="AC46" s="2"/>
      <c r="AD46" s="2"/>
      <c r="AE46" s="2"/>
      <c r="AF46" s="2"/>
    </row>
    <row r="47" spans="1:32" s="50" customFormat="1" ht="30" customHeight="1">
      <c r="A47" s="144"/>
      <c r="B47" s="144"/>
      <c r="C47" s="144"/>
      <c r="D47" s="144"/>
      <c r="E47" s="144"/>
      <c r="F47" s="144"/>
      <c r="G47" s="144"/>
      <c r="H47" s="144"/>
      <c r="I47" s="144"/>
      <c r="J47" s="144"/>
      <c r="K47" s="144"/>
      <c r="L47" s="144"/>
      <c r="M47" s="144"/>
      <c r="N47" s="144"/>
      <c r="O47" s="144"/>
      <c r="P47" s="144"/>
      <c r="Q47" s="144"/>
      <c r="R47" s="295"/>
      <c r="S47" s="2"/>
      <c r="T47" s="2"/>
      <c r="U47" s="2"/>
      <c r="V47" s="2"/>
      <c r="W47" s="295"/>
      <c r="X47" s="295"/>
      <c r="Y47" s="295"/>
      <c r="Z47" s="128"/>
      <c r="AA47" s="2"/>
      <c r="AB47" s="2"/>
      <c r="AC47" s="2"/>
      <c r="AD47" s="2"/>
      <c r="AE47" s="2"/>
      <c r="AF47" s="2"/>
    </row>
    <row r="48" spans="1:32" ht="30" customHeight="1">
      <c r="S48" s="2"/>
      <c r="T48" s="2"/>
      <c r="U48" s="2"/>
      <c r="V48" s="2"/>
      <c r="W48" s="295"/>
      <c r="X48" s="295"/>
      <c r="Y48" s="295"/>
      <c r="AA48" s="2"/>
      <c r="AB48" s="2"/>
      <c r="AC48" s="2"/>
      <c r="AD48" s="2"/>
      <c r="AE48" s="2"/>
      <c r="AF48" s="2"/>
    </row>
    <row r="49" spans="1:32" ht="30" customHeight="1">
      <c r="S49" s="2"/>
      <c r="T49" s="2"/>
      <c r="U49" s="2"/>
      <c r="V49" s="2"/>
      <c r="W49" s="295"/>
      <c r="X49" s="295"/>
      <c r="Y49" s="295"/>
      <c r="AA49" s="2"/>
      <c r="AB49" s="2"/>
      <c r="AC49" s="2"/>
      <c r="AD49" s="2"/>
      <c r="AE49" s="2"/>
      <c r="AF49" s="2"/>
    </row>
    <row r="50" spans="1:32" ht="30" customHeight="1">
      <c r="S50" s="2"/>
      <c r="T50" s="2"/>
      <c r="U50" s="2"/>
      <c r="V50" s="2"/>
      <c r="W50" s="295"/>
      <c r="X50" s="295"/>
      <c r="Y50" s="295"/>
      <c r="AA50" s="2"/>
      <c r="AB50" s="2"/>
      <c r="AC50" s="2"/>
      <c r="AD50" s="2"/>
      <c r="AE50" s="2"/>
      <c r="AF50" s="2"/>
    </row>
    <row r="51" spans="1:32" s="131" customFormat="1" ht="14.25" customHeight="1">
      <c r="A51" s="2"/>
      <c r="B51" s="144"/>
      <c r="C51" s="144"/>
      <c r="D51" s="144"/>
      <c r="E51" s="144"/>
      <c r="F51" s="144"/>
      <c r="G51" s="144"/>
      <c r="H51" s="144"/>
      <c r="I51" s="144"/>
      <c r="J51" s="144"/>
      <c r="K51" s="144"/>
      <c r="L51" s="144"/>
      <c r="M51" s="144"/>
      <c r="N51" s="144"/>
      <c r="O51" s="144"/>
      <c r="P51" s="144"/>
      <c r="Q51" s="144"/>
      <c r="R51" s="295"/>
      <c r="S51" s="2"/>
      <c r="T51" s="2"/>
      <c r="U51" s="2"/>
      <c r="V51" s="2"/>
      <c r="W51" s="295"/>
      <c r="X51" s="295"/>
      <c r="Y51" s="295"/>
      <c r="Z51" s="128"/>
      <c r="AA51" s="128"/>
      <c r="AB51" s="128"/>
      <c r="AC51" s="128"/>
      <c r="AD51" s="128"/>
      <c r="AE51" s="128"/>
      <c r="AF51" s="128"/>
    </row>
    <row r="52" spans="1:32" s="131" customFormat="1" ht="14.25" customHeight="1">
      <c r="A52" s="2"/>
      <c r="B52" s="144"/>
      <c r="C52" s="144"/>
      <c r="D52" s="144"/>
      <c r="E52" s="144"/>
      <c r="F52" s="144"/>
      <c r="G52" s="144"/>
      <c r="H52" s="144"/>
      <c r="I52" s="144"/>
      <c r="J52" s="144"/>
      <c r="K52" s="144"/>
      <c r="L52" s="144"/>
      <c r="M52" s="144"/>
      <c r="N52" s="144"/>
      <c r="O52" s="144"/>
      <c r="P52" s="144"/>
      <c r="Q52" s="144"/>
      <c r="R52" s="295"/>
      <c r="S52" s="2"/>
      <c r="T52" s="2"/>
      <c r="U52" s="2"/>
      <c r="V52" s="2"/>
      <c r="W52" s="2"/>
      <c r="X52" s="2"/>
      <c r="Y52" s="2"/>
      <c r="Z52" s="128"/>
      <c r="AA52" s="128"/>
      <c r="AB52" s="128"/>
      <c r="AC52" s="128"/>
      <c r="AD52" s="128"/>
      <c r="AE52" s="128"/>
      <c r="AF52" s="128"/>
    </row>
    <row r="53" spans="1:32" s="131" customFormat="1" ht="14.25" customHeight="1">
      <c r="A53" s="2"/>
      <c r="B53" s="144"/>
      <c r="C53" s="144"/>
      <c r="D53" s="144"/>
      <c r="E53" s="144"/>
      <c r="F53" s="144"/>
      <c r="G53" s="144"/>
      <c r="H53" s="144"/>
      <c r="I53" s="144"/>
      <c r="J53" s="144"/>
      <c r="K53" s="144"/>
      <c r="L53" s="144"/>
      <c r="M53" s="144"/>
      <c r="N53" s="144"/>
      <c r="O53" s="144"/>
      <c r="P53" s="144"/>
      <c r="Q53" s="144"/>
      <c r="R53" s="295"/>
      <c r="S53" s="2"/>
      <c r="T53" s="2"/>
      <c r="U53" s="2"/>
      <c r="V53" s="2"/>
      <c r="W53" s="2"/>
      <c r="X53" s="2"/>
      <c r="Y53" s="2"/>
      <c r="Z53" s="128"/>
      <c r="AA53" s="128"/>
      <c r="AB53" s="128"/>
      <c r="AC53" s="128"/>
      <c r="AD53" s="128"/>
      <c r="AE53" s="128"/>
      <c r="AF53" s="128"/>
    </row>
    <row r="54" spans="1:32" s="131" customFormat="1" ht="14.25" customHeight="1">
      <c r="A54" s="2"/>
      <c r="B54" s="144"/>
      <c r="C54" s="144"/>
      <c r="D54" s="144"/>
      <c r="E54" s="144"/>
      <c r="F54" s="144"/>
      <c r="G54" s="144"/>
      <c r="H54" s="144"/>
      <c r="I54" s="144"/>
      <c r="J54" s="144"/>
      <c r="K54" s="144"/>
      <c r="L54" s="144"/>
      <c r="M54" s="144"/>
      <c r="N54" s="144"/>
      <c r="O54" s="144"/>
      <c r="P54" s="144"/>
      <c r="Q54" s="144"/>
      <c r="R54" s="295"/>
      <c r="S54" s="2"/>
      <c r="T54" s="2"/>
      <c r="U54" s="2"/>
      <c r="V54" s="2"/>
      <c r="W54" s="2"/>
      <c r="X54" s="2"/>
      <c r="Y54" s="2"/>
      <c r="Z54" s="128"/>
      <c r="AA54" s="2"/>
      <c r="AB54" s="2"/>
      <c r="AC54" s="2"/>
      <c r="AD54" s="2"/>
      <c r="AE54" s="2"/>
      <c r="AF54" s="2"/>
    </row>
    <row r="55" spans="1:32" s="131" customFormat="1" ht="14.25" customHeight="1">
      <c r="A55" s="2"/>
      <c r="B55" s="144"/>
      <c r="C55" s="144"/>
      <c r="D55" s="144"/>
      <c r="E55" s="144"/>
      <c r="F55" s="144"/>
      <c r="G55" s="144"/>
      <c r="H55" s="144"/>
      <c r="I55" s="144"/>
      <c r="J55" s="144"/>
      <c r="K55" s="144"/>
      <c r="L55" s="144"/>
      <c r="M55" s="144"/>
      <c r="N55" s="144"/>
      <c r="O55" s="144"/>
      <c r="P55" s="144"/>
      <c r="Q55" s="144"/>
      <c r="R55" s="295"/>
      <c r="S55" s="2"/>
      <c r="T55" s="2"/>
      <c r="U55" s="2"/>
      <c r="V55" s="2"/>
      <c r="W55" s="2"/>
      <c r="X55" s="2"/>
      <c r="Y55" s="2"/>
      <c r="Z55" s="128"/>
      <c r="AA55" s="2"/>
      <c r="AB55" s="2"/>
      <c r="AC55" s="2"/>
      <c r="AD55" s="2"/>
      <c r="AE55" s="2"/>
      <c r="AF55" s="2"/>
    </row>
    <row r="56" spans="1:32" s="131" customFormat="1" ht="14.25" customHeight="1">
      <c r="A56" s="2"/>
      <c r="B56" s="144"/>
      <c r="C56" s="144"/>
      <c r="D56" s="144"/>
      <c r="E56" s="144"/>
      <c r="F56" s="144"/>
      <c r="G56" s="144"/>
      <c r="H56" s="144"/>
      <c r="I56" s="144"/>
      <c r="J56" s="144"/>
      <c r="K56" s="144"/>
      <c r="L56" s="144"/>
      <c r="M56" s="144"/>
      <c r="N56" s="144"/>
      <c r="O56" s="144"/>
      <c r="P56" s="144"/>
      <c r="Q56" s="144"/>
      <c r="R56" s="295"/>
      <c r="S56" s="2"/>
      <c r="T56" s="2"/>
      <c r="U56" s="2"/>
      <c r="V56" s="2"/>
      <c r="W56" s="2"/>
      <c r="X56" s="2"/>
      <c r="Y56" s="2"/>
    </row>
    <row r="57" spans="1:32" s="131" customFormat="1" ht="14.25" customHeight="1">
      <c r="A57" s="2"/>
      <c r="B57" s="144"/>
      <c r="C57" s="144"/>
      <c r="D57" s="144"/>
      <c r="E57" s="144"/>
      <c r="F57" s="144"/>
      <c r="G57" s="144"/>
      <c r="H57" s="144"/>
      <c r="I57" s="144"/>
      <c r="J57" s="144"/>
      <c r="K57" s="144"/>
      <c r="L57" s="144"/>
      <c r="M57" s="144"/>
      <c r="N57" s="144"/>
      <c r="O57" s="144"/>
      <c r="P57" s="144"/>
      <c r="Q57" s="144"/>
      <c r="R57" s="295"/>
      <c r="S57" s="2"/>
      <c r="T57" s="2"/>
      <c r="U57" s="2"/>
      <c r="V57" s="2"/>
      <c r="W57" s="2"/>
      <c r="X57" s="2"/>
      <c r="Y57" s="2"/>
    </row>
    <row r="58" spans="1:32" ht="14.25" customHeight="1">
      <c r="S58" s="2"/>
      <c r="T58" s="2"/>
      <c r="U58" s="2"/>
      <c r="V58" s="2"/>
      <c r="W58" s="2"/>
      <c r="X58" s="2"/>
      <c r="Y58" s="2"/>
      <c r="Z58" s="295"/>
      <c r="AA58" s="295"/>
      <c r="AB58" s="295"/>
      <c r="AC58" s="295"/>
      <c r="AD58" s="295"/>
      <c r="AE58" s="295"/>
      <c r="AF58" s="295"/>
    </row>
    <row r="59" spans="1:32" ht="14.25" customHeight="1">
      <c r="S59" s="2"/>
      <c r="T59" s="2"/>
      <c r="U59" s="2"/>
      <c r="V59" s="2"/>
      <c r="W59" s="2"/>
      <c r="X59" s="2"/>
      <c r="Y59" s="2"/>
      <c r="Z59" s="295"/>
      <c r="AA59" s="295"/>
      <c r="AB59" s="295"/>
      <c r="AC59" s="295"/>
      <c r="AD59" s="295"/>
      <c r="AE59" s="295"/>
      <c r="AF59" s="295"/>
    </row>
    <row r="60" spans="1:32" ht="14.25" customHeight="1">
      <c r="S60" s="2"/>
      <c r="T60" s="2"/>
      <c r="U60" s="2"/>
      <c r="V60" s="2"/>
      <c r="W60" s="2"/>
      <c r="X60" s="2"/>
      <c r="Y60" s="2"/>
      <c r="Z60" s="295"/>
      <c r="AA60" s="295"/>
      <c r="AB60" s="295"/>
      <c r="AC60" s="295"/>
      <c r="AD60" s="295"/>
      <c r="AE60" s="295"/>
      <c r="AF60" s="295"/>
    </row>
    <row r="61" spans="1:32" ht="14.25" customHeight="1">
      <c r="S61" s="332"/>
      <c r="T61" s="332"/>
      <c r="U61" s="2"/>
      <c r="V61" s="2"/>
      <c r="W61" s="2"/>
      <c r="X61" s="2"/>
      <c r="Y61" s="2"/>
      <c r="Z61" s="295"/>
      <c r="AA61" s="295"/>
      <c r="AB61" s="295"/>
      <c r="AC61" s="295"/>
      <c r="AD61" s="295"/>
      <c r="AE61" s="295"/>
      <c r="AF61" s="295"/>
    </row>
    <row r="62" spans="1:32" ht="14.25" customHeight="1">
      <c r="S62" s="332"/>
      <c r="T62" s="332"/>
      <c r="U62" s="2"/>
      <c r="V62" s="2"/>
      <c r="W62" s="2"/>
      <c r="X62" s="2"/>
      <c r="Y62" s="2"/>
      <c r="Z62" s="295"/>
      <c r="AA62" s="295"/>
      <c r="AB62" s="295"/>
      <c r="AC62" s="295"/>
      <c r="AD62" s="295"/>
      <c r="AE62" s="295"/>
      <c r="AF62" s="295"/>
    </row>
    <row r="63" spans="1:32" ht="14.25" customHeight="1">
      <c r="S63" s="178"/>
      <c r="T63" s="178"/>
      <c r="U63" s="2"/>
      <c r="V63" s="2"/>
      <c r="W63" s="2"/>
      <c r="X63" s="2"/>
      <c r="Y63" s="2"/>
      <c r="Z63" s="295"/>
      <c r="AA63" s="295"/>
      <c r="AB63" s="295"/>
      <c r="AC63" s="295"/>
      <c r="AD63" s="295"/>
      <c r="AE63" s="295"/>
      <c r="AF63" s="295"/>
    </row>
    <row r="64" spans="1:32" ht="14.25" customHeight="1">
      <c r="S64" s="178"/>
      <c r="T64" s="178"/>
      <c r="U64" s="2"/>
      <c r="V64" s="2"/>
      <c r="W64" s="2"/>
      <c r="X64" s="2"/>
      <c r="Y64" s="2"/>
      <c r="Z64" s="295"/>
      <c r="AA64" s="295"/>
      <c r="AB64" s="295"/>
      <c r="AC64" s="295"/>
      <c r="AD64" s="295"/>
      <c r="AE64" s="295"/>
      <c r="AF64" s="295"/>
    </row>
    <row r="65" spans="1:44" ht="14.25" customHeight="1">
      <c r="S65" s="341"/>
      <c r="T65" s="341"/>
      <c r="U65" s="332"/>
      <c r="Z65" s="295"/>
      <c r="AA65" s="295"/>
      <c r="AB65" s="295"/>
      <c r="AC65" s="295"/>
      <c r="AD65" s="295"/>
      <c r="AE65" s="295"/>
      <c r="AF65" s="295"/>
    </row>
    <row r="66" spans="1:44" ht="14.25" customHeight="1">
      <c r="U66" s="332"/>
      <c r="Z66" s="295"/>
      <c r="AA66" s="295"/>
      <c r="AB66" s="295"/>
      <c r="AC66" s="295"/>
      <c r="AD66" s="295"/>
      <c r="AE66" s="295"/>
      <c r="AF66" s="295"/>
    </row>
    <row r="67" spans="1:44" ht="14.25" customHeight="1">
      <c r="U67" s="178"/>
      <c r="Z67" s="295"/>
      <c r="AA67" s="295"/>
      <c r="AB67" s="295"/>
      <c r="AC67" s="295"/>
      <c r="AD67" s="295"/>
      <c r="AE67" s="295"/>
      <c r="AF67" s="295"/>
    </row>
    <row r="68" spans="1:44" ht="14.25" customHeight="1">
      <c r="U68" s="178"/>
      <c r="Z68" s="2"/>
      <c r="AA68" s="2"/>
      <c r="AB68" s="2"/>
      <c r="AC68" s="2"/>
      <c r="AD68" s="2"/>
      <c r="AE68" s="2"/>
      <c r="AF68" s="2"/>
    </row>
    <row r="69" spans="1:44" ht="14.25" customHeight="1">
      <c r="U69" s="341"/>
      <c r="Z69" s="2"/>
      <c r="AA69" s="2"/>
      <c r="AB69" s="2"/>
      <c r="AC69" s="2"/>
      <c r="AD69" s="2"/>
      <c r="AE69" s="2"/>
      <c r="AF69" s="2"/>
    </row>
    <row r="70" spans="1:44" ht="14.25" customHeight="1">
      <c r="Z70" s="2"/>
      <c r="AA70" s="2"/>
      <c r="AB70" s="2"/>
      <c r="AC70" s="2"/>
      <c r="AD70" s="2"/>
      <c r="AE70" s="2"/>
      <c r="AF70" s="2"/>
    </row>
    <row r="71" spans="1:44" ht="14.25" customHeight="1">
      <c r="Z71" s="2"/>
      <c r="AA71" s="2"/>
      <c r="AB71" s="2"/>
      <c r="AC71" s="2"/>
      <c r="AD71" s="2"/>
      <c r="AE71" s="2"/>
      <c r="AF71" s="2"/>
    </row>
    <row r="72" spans="1:44" ht="14.25" customHeight="1">
      <c r="Z72" s="2"/>
      <c r="AA72" s="2"/>
      <c r="AB72" s="2"/>
      <c r="AC72" s="2"/>
      <c r="AD72" s="2"/>
      <c r="AE72" s="2"/>
      <c r="AF72" s="2"/>
    </row>
    <row r="73" spans="1:44" ht="14.25" customHeight="1">
      <c r="Z73" s="2"/>
      <c r="AA73" s="2"/>
      <c r="AB73" s="2"/>
      <c r="AC73" s="2"/>
      <c r="AD73" s="2"/>
      <c r="AE73" s="2"/>
      <c r="AF73" s="2"/>
    </row>
    <row r="74" spans="1:44" ht="14.25" customHeight="1">
      <c r="Z74" s="2"/>
      <c r="AA74" s="2"/>
      <c r="AB74" s="2"/>
      <c r="AC74" s="2"/>
      <c r="AD74" s="2"/>
      <c r="AE74" s="2"/>
      <c r="AF74" s="2"/>
    </row>
    <row r="75" spans="1:44" ht="14.25" customHeight="1">
      <c r="Z75" s="2"/>
      <c r="AA75" s="2"/>
      <c r="AB75" s="2"/>
      <c r="AC75" s="2"/>
      <c r="AD75" s="2"/>
      <c r="AE75" s="2"/>
      <c r="AF75" s="2"/>
    </row>
    <row r="76" spans="1:44" ht="14.25" customHeight="1">
      <c r="Z76" s="2"/>
      <c r="AA76" s="2"/>
      <c r="AB76" s="2"/>
      <c r="AC76" s="2"/>
      <c r="AD76" s="2"/>
      <c r="AE76" s="2"/>
      <c r="AF76" s="2"/>
    </row>
    <row r="77" spans="1:44" ht="14.25" customHeight="1">
      <c r="Z77" s="2"/>
      <c r="AA77" s="2"/>
      <c r="AB77" s="2"/>
      <c r="AC77" s="2"/>
      <c r="AD77" s="2"/>
      <c r="AE77" s="2"/>
      <c r="AF77" s="2"/>
    </row>
    <row r="78" spans="1:44" ht="14.25" customHeight="1">
      <c r="Z78" s="2"/>
      <c r="AA78" s="2"/>
      <c r="AB78" s="2"/>
      <c r="AC78" s="2"/>
      <c r="AD78" s="2"/>
      <c r="AE78" s="2"/>
      <c r="AF78" s="2"/>
    </row>
    <row r="79" spans="1:44" ht="14.25" customHeight="1">
      <c r="Z79" s="2"/>
    </row>
    <row r="80" spans="1:44" s="128" customFormat="1" ht="14.25" customHeight="1">
      <c r="A80" s="144"/>
      <c r="B80" s="144"/>
      <c r="C80" s="144"/>
      <c r="D80" s="144"/>
      <c r="E80" s="144"/>
      <c r="F80" s="144"/>
      <c r="G80" s="144"/>
      <c r="H80" s="144"/>
      <c r="I80" s="144"/>
      <c r="J80" s="144"/>
      <c r="K80" s="144"/>
      <c r="L80" s="144"/>
      <c r="M80" s="144"/>
      <c r="N80" s="144"/>
      <c r="O80" s="144"/>
      <c r="P80" s="144"/>
      <c r="Q80" s="144"/>
      <c r="R80" s="295"/>
      <c r="Z80" s="2"/>
      <c r="AG80" s="295"/>
      <c r="AH80" s="295"/>
      <c r="AI80" s="295"/>
      <c r="AJ80" s="295"/>
      <c r="AK80" s="295"/>
      <c r="AL80" s="295"/>
      <c r="AM80" s="295"/>
      <c r="AN80" s="295"/>
      <c r="AO80" s="295"/>
      <c r="AP80" s="295"/>
      <c r="AQ80" s="295"/>
      <c r="AR80" s="295"/>
    </row>
    <row r="81" spans="1:44" s="128" customFormat="1" ht="14.25" customHeight="1">
      <c r="A81" s="144"/>
      <c r="B81" s="144"/>
      <c r="C81" s="144"/>
      <c r="D81" s="144"/>
      <c r="E81" s="144"/>
      <c r="F81" s="144"/>
      <c r="G81" s="144"/>
      <c r="H81" s="144"/>
      <c r="I81" s="144"/>
      <c r="J81" s="144"/>
      <c r="K81" s="144"/>
      <c r="L81" s="144"/>
      <c r="M81" s="144"/>
      <c r="N81" s="144"/>
      <c r="O81" s="144"/>
      <c r="P81" s="144"/>
      <c r="Q81" s="144"/>
      <c r="R81" s="295"/>
      <c r="AG81" s="295"/>
      <c r="AH81" s="295"/>
      <c r="AI81" s="295"/>
      <c r="AJ81" s="295"/>
      <c r="AK81" s="295"/>
      <c r="AL81" s="295"/>
      <c r="AM81" s="295"/>
      <c r="AN81" s="295"/>
      <c r="AO81" s="295"/>
      <c r="AP81" s="295"/>
      <c r="AQ81" s="295"/>
      <c r="AR81" s="295"/>
    </row>
    <row r="82" spans="1:44" s="128" customFormat="1" ht="14.25" customHeight="1">
      <c r="A82" s="144"/>
      <c r="B82" s="144"/>
      <c r="C82" s="144"/>
      <c r="D82" s="144"/>
      <c r="E82" s="144"/>
      <c r="F82" s="144"/>
      <c r="G82" s="144"/>
      <c r="H82" s="144"/>
      <c r="I82" s="144"/>
      <c r="J82" s="144"/>
      <c r="K82" s="144"/>
      <c r="L82" s="144"/>
      <c r="M82" s="144"/>
      <c r="N82" s="144"/>
      <c r="O82" s="144"/>
      <c r="P82" s="144"/>
      <c r="Q82" s="144"/>
      <c r="R82" s="295"/>
      <c r="AG82" s="295"/>
      <c r="AH82" s="295"/>
      <c r="AI82" s="295"/>
      <c r="AJ82" s="295"/>
      <c r="AK82" s="295"/>
      <c r="AL82" s="295"/>
      <c r="AM82" s="295"/>
      <c r="AN82" s="295"/>
      <c r="AO82" s="295"/>
      <c r="AP82" s="295"/>
      <c r="AQ82" s="295"/>
      <c r="AR82" s="295"/>
    </row>
    <row r="83" spans="1:44" s="128" customFormat="1" ht="14.25" customHeight="1">
      <c r="A83" s="144"/>
      <c r="B83" s="144"/>
      <c r="C83" s="144"/>
      <c r="D83" s="144"/>
      <c r="E83" s="144"/>
      <c r="F83" s="144"/>
      <c r="G83" s="144"/>
      <c r="H83" s="144"/>
      <c r="I83" s="144"/>
      <c r="J83" s="144"/>
      <c r="K83" s="144"/>
      <c r="L83" s="144"/>
      <c r="M83" s="144"/>
      <c r="N83" s="144"/>
      <c r="O83" s="144"/>
      <c r="P83" s="144"/>
      <c r="Q83" s="144"/>
      <c r="R83" s="295"/>
      <c r="AG83" s="295"/>
      <c r="AH83" s="295"/>
      <c r="AI83" s="295"/>
      <c r="AJ83" s="295"/>
      <c r="AK83" s="295"/>
      <c r="AL83" s="295"/>
      <c r="AM83" s="295"/>
      <c r="AN83" s="295"/>
      <c r="AO83" s="295"/>
      <c r="AP83" s="295"/>
      <c r="AQ83" s="295"/>
      <c r="AR83" s="295"/>
    </row>
    <row r="84" spans="1:44" s="128" customFormat="1" ht="14.25" customHeight="1">
      <c r="A84" s="144"/>
      <c r="B84" s="144"/>
      <c r="C84" s="144"/>
      <c r="D84" s="144"/>
      <c r="E84" s="144"/>
      <c r="F84" s="144"/>
      <c r="G84" s="144"/>
      <c r="H84" s="144"/>
      <c r="I84" s="144"/>
      <c r="J84" s="144"/>
      <c r="K84" s="144"/>
      <c r="L84" s="144"/>
      <c r="M84" s="144"/>
      <c r="N84" s="144"/>
      <c r="O84" s="144"/>
      <c r="P84" s="144"/>
      <c r="Q84" s="144"/>
      <c r="R84" s="295"/>
      <c r="AG84" s="295"/>
      <c r="AH84" s="295"/>
      <c r="AI84" s="295"/>
      <c r="AJ84" s="295"/>
      <c r="AK84" s="295"/>
      <c r="AL84" s="295"/>
      <c r="AM84" s="295"/>
      <c r="AN84" s="295"/>
      <c r="AO84" s="295"/>
      <c r="AP84" s="295"/>
      <c r="AQ84" s="295"/>
      <c r="AR84" s="295"/>
    </row>
    <row r="85" spans="1:44" s="128" customFormat="1" ht="14.25" customHeight="1">
      <c r="A85" s="144"/>
      <c r="B85" s="144"/>
      <c r="C85" s="144"/>
      <c r="D85" s="144"/>
      <c r="E85" s="144"/>
      <c r="F85" s="144"/>
      <c r="G85" s="144"/>
      <c r="H85" s="144"/>
      <c r="I85" s="144"/>
      <c r="J85" s="144"/>
      <c r="K85" s="144"/>
      <c r="L85" s="144"/>
      <c r="M85" s="144"/>
      <c r="N85" s="144"/>
      <c r="O85" s="144"/>
      <c r="P85" s="144"/>
      <c r="Q85" s="144"/>
      <c r="R85" s="295"/>
      <c r="AG85" s="295"/>
      <c r="AH85" s="295"/>
      <c r="AI85" s="295"/>
      <c r="AJ85" s="295"/>
      <c r="AK85" s="295"/>
      <c r="AL85" s="295"/>
      <c r="AM85" s="295"/>
      <c r="AN85" s="295"/>
      <c r="AO85" s="295"/>
      <c r="AP85" s="295"/>
      <c r="AQ85" s="295"/>
      <c r="AR85" s="295"/>
    </row>
    <row r="86" spans="1:44" s="128" customFormat="1" ht="14.25" customHeight="1">
      <c r="A86" s="144"/>
      <c r="B86" s="144"/>
      <c r="C86" s="144"/>
      <c r="D86" s="144"/>
      <c r="E86" s="144"/>
      <c r="F86" s="144"/>
      <c r="G86" s="144"/>
      <c r="H86" s="144"/>
      <c r="I86" s="144"/>
      <c r="J86" s="144"/>
      <c r="K86" s="144"/>
      <c r="L86" s="144"/>
      <c r="M86" s="144"/>
      <c r="N86" s="144"/>
      <c r="O86" s="144"/>
      <c r="P86" s="144"/>
      <c r="Q86" s="144"/>
      <c r="R86" s="295"/>
      <c r="AG86" s="295"/>
      <c r="AH86" s="295"/>
      <c r="AI86" s="295"/>
      <c r="AJ86" s="295"/>
      <c r="AK86" s="295"/>
      <c r="AL86" s="295"/>
      <c r="AM86" s="295"/>
      <c r="AN86" s="295"/>
      <c r="AO86" s="295"/>
      <c r="AP86" s="295"/>
      <c r="AQ86" s="295"/>
      <c r="AR86" s="295"/>
    </row>
  </sheetData>
  <sheetProtection sheet="1" objects="1" scenarios="1" selectLockedCells="1"/>
  <mergeCells count="49">
    <mergeCell ref="W23:Y24"/>
    <mergeCell ref="C24:G26"/>
    <mergeCell ref="C31:H31"/>
    <mergeCell ref="AA25:AF26"/>
    <mergeCell ref="C27:G27"/>
    <mergeCell ref="W27:X27"/>
    <mergeCell ref="W28:X28"/>
    <mergeCell ref="W29:X29"/>
    <mergeCell ref="C30:H30"/>
    <mergeCell ref="H24:H26"/>
    <mergeCell ref="I25:I26"/>
    <mergeCell ref="J25:J26"/>
    <mergeCell ref="K25:K26"/>
    <mergeCell ref="W25:X26"/>
    <mergeCell ref="Y25:Y26"/>
    <mergeCell ref="AB18:AC18"/>
    <mergeCell ref="AA19:AA24"/>
    <mergeCell ref="AB19:AC19"/>
    <mergeCell ref="AB20:AC20"/>
    <mergeCell ref="AB21:AC21"/>
    <mergeCell ref="AB22:AB24"/>
    <mergeCell ref="C15:H15"/>
    <mergeCell ref="I15:J15"/>
    <mergeCell ref="W15:X15"/>
    <mergeCell ref="AA15:AA18"/>
    <mergeCell ref="AB15:AC15"/>
    <mergeCell ref="C16:H16"/>
    <mergeCell ref="I16:J16"/>
    <mergeCell ref="L16:L18"/>
    <mergeCell ref="W16:X16"/>
    <mergeCell ref="AB16:AC16"/>
    <mergeCell ref="E17:H17"/>
    <mergeCell ref="I17:J17"/>
    <mergeCell ref="W17:X17"/>
    <mergeCell ref="AB17:AC17"/>
    <mergeCell ref="C18:H18"/>
    <mergeCell ref="I18:J18"/>
    <mergeCell ref="W10:Y12"/>
    <mergeCell ref="AA10:AF12"/>
    <mergeCell ref="C12:H14"/>
    <mergeCell ref="I12:J14"/>
    <mergeCell ref="K12:K14"/>
    <mergeCell ref="L12:L14"/>
    <mergeCell ref="W13:X14"/>
    <mergeCell ref="Y13:Y14"/>
    <mergeCell ref="AA13:AC14"/>
    <mergeCell ref="AD13:AD14"/>
    <mergeCell ref="AE13:AE14"/>
    <mergeCell ref="AF13:AF14"/>
  </mergeCells>
  <phoneticPr fontId="5"/>
  <dataValidations count="5">
    <dataValidation type="custom" operator="greaterThan" allowBlank="1" showInputMessage="1" showErrorMessage="1" error="0より大きい小数点第２位までの数値を入力してください。" sqref="AE19:AE21 AE23" xr:uid="{00000000-0002-0000-0700-000000000000}">
      <formula1>AND(AND(AE19*100=INT(AE19*100)),(AE19&gt;0))</formula1>
    </dataValidation>
    <dataValidation type="custom" operator="greaterThan" allowBlank="1" showInputMessage="1" showErrorMessage="1" error="0より大きい小数点第５位までの数値を入力してください。" sqref="Y16 Y28" xr:uid="{00000000-0002-0000-0700-000001000000}">
      <formula1>AND(AND(Y16*100000=INT(Y16*100000)),(Y16&gt;0))</formula1>
    </dataValidation>
    <dataValidation type="whole" operator="greaterThan" allowBlank="1" showInputMessage="1" showErrorMessage="1" error="0より大きい数値を整数で入力してください。" sqref="L15 I31" xr:uid="{00000000-0002-0000-0700-000002000000}">
      <formula1>0</formula1>
    </dataValidation>
    <dataValidation type="custom" allowBlank="1" showInputMessage="1" showErrorMessage="1" error="0.001~100の範囲で小数点第３位までの数値を入力してください。" sqref="K15:K17 I27:K27" xr:uid="{00000000-0002-0000-0700-000003000000}">
      <formula1>AND(AND(I15*1000=INT(I15*1000)),(I15&gt;0),(I15&lt;=100))</formula1>
    </dataValidation>
    <dataValidation type="whole" allowBlank="1" showInputMessage="1" showErrorMessage="1" sqref="L16" xr:uid="{00000000-0002-0000-0700-000004000000}">
      <formula1>1</formula1>
      <formula2>99999999999</formula2>
    </dataValidation>
  </dataValidations>
  <printOptions horizontalCentered="1"/>
  <pageMargins left="0.59055118110236227" right="0.59055118110236227" top="0.59055118110236227" bottom="0.59055118110236227" header="0" footer="0.19685039370078741"/>
  <pageSetup paperSize="9" scale="35" firstPageNumber="9" orientation="portrait" cellComments="asDisplayed" useFirstPageNumber="1"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pageSetUpPr fitToPage="1"/>
  </sheetPr>
  <dimension ref="A2:Q46"/>
  <sheetViews>
    <sheetView showGridLines="0" view="pageBreakPreview" zoomScale="90" zoomScaleNormal="85" zoomScaleSheetLayoutView="90" workbookViewId="0">
      <selection activeCell="F6" sqref="F6"/>
    </sheetView>
  </sheetViews>
  <sheetFormatPr defaultColWidth="2.625" defaultRowHeight="14.25" customHeight="1"/>
  <cols>
    <col min="1" max="1" width="2.625" style="144" customWidth="1"/>
    <col min="2" max="5" width="1.25" style="144" customWidth="1"/>
    <col min="6" max="6" width="95.875" style="144" customWidth="1"/>
    <col min="7" max="8" width="2.625" style="144" customWidth="1"/>
    <col min="9" max="9" width="2.625" style="295" customWidth="1"/>
    <col min="10" max="41" width="2.625" style="144" customWidth="1"/>
    <col min="42" max="16384" width="2.625" style="144"/>
  </cols>
  <sheetData>
    <row r="2" spans="1:17" ht="14.25" customHeight="1" thickBot="1">
      <c r="A2" s="348"/>
    </row>
    <row r="3" spans="1:17" ht="18" customHeight="1" thickTop="1">
      <c r="B3" s="349"/>
      <c r="C3" s="350"/>
      <c r="D3" s="350"/>
      <c r="E3" s="350"/>
      <c r="F3" s="350"/>
      <c r="G3" s="351"/>
      <c r="H3" s="87"/>
      <c r="J3" s="87"/>
    </row>
    <row r="4" spans="1:17" ht="18" customHeight="1">
      <c r="A4" s="171"/>
      <c r="B4" s="352"/>
      <c r="C4" s="173"/>
      <c r="D4" s="173"/>
      <c r="E4" s="173"/>
      <c r="F4" s="173"/>
      <c r="G4" s="353"/>
    </row>
    <row r="5" spans="1:17" ht="18" customHeight="1">
      <c r="A5" s="354"/>
      <c r="B5" s="355"/>
      <c r="D5" s="178" t="s">
        <v>287</v>
      </c>
      <c r="E5" s="173"/>
      <c r="F5" s="173"/>
      <c r="G5" s="353"/>
      <c r="I5" s="297"/>
    </row>
    <row r="6" spans="1:17" ht="75" customHeight="1">
      <c r="B6" s="356"/>
      <c r="C6" s="176"/>
      <c r="F6" s="357"/>
      <c r="G6" s="358"/>
      <c r="H6" s="359"/>
      <c r="I6" s="297"/>
      <c r="J6" s="359"/>
      <c r="K6" s="359"/>
    </row>
    <row r="7" spans="1:17" ht="14.25" customHeight="1">
      <c r="B7" s="360"/>
      <c r="C7" s="177"/>
      <c r="D7" s="361"/>
      <c r="E7" s="361"/>
      <c r="F7" s="361"/>
      <c r="G7" s="362"/>
      <c r="H7" s="178"/>
      <c r="I7" s="297"/>
      <c r="J7" s="363"/>
      <c r="K7" s="363"/>
      <c r="L7" s="183"/>
      <c r="M7" s="183"/>
      <c r="N7" s="183"/>
      <c r="O7" s="183"/>
      <c r="P7" s="183"/>
      <c r="Q7" s="183"/>
    </row>
    <row r="8" spans="1:17" ht="14.25" customHeight="1">
      <c r="B8" s="364"/>
      <c r="C8" s="342"/>
      <c r="D8" s="365" t="s">
        <v>288</v>
      </c>
      <c r="E8" s="178"/>
      <c r="F8" s="178"/>
      <c r="G8" s="366"/>
      <c r="H8" s="300"/>
      <c r="I8" s="297"/>
      <c r="J8" s="367"/>
      <c r="K8" s="368"/>
      <c r="L8" s="368"/>
      <c r="M8" s="368"/>
      <c r="N8" s="368"/>
      <c r="O8" s="368"/>
      <c r="P8" s="368"/>
      <c r="Q8" s="368"/>
    </row>
    <row r="9" spans="1:17" ht="75" customHeight="1">
      <c r="B9" s="356"/>
      <c r="C9" s="176"/>
      <c r="F9" s="357"/>
      <c r="G9" s="358"/>
      <c r="H9" s="359"/>
      <c r="I9" s="297"/>
      <c r="J9" s="359"/>
      <c r="K9" s="359"/>
    </row>
    <row r="10" spans="1:17" ht="14.25" customHeight="1">
      <c r="B10" s="369"/>
      <c r="C10" s="342"/>
      <c r="G10" s="370"/>
      <c r="H10" s="183"/>
      <c r="J10" s="367"/>
      <c r="K10" s="367"/>
      <c r="L10" s="368"/>
      <c r="M10" s="368"/>
      <c r="N10" s="368"/>
      <c r="O10" s="368"/>
      <c r="P10" s="368"/>
      <c r="Q10" s="368"/>
    </row>
    <row r="11" spans="1:17" ht="14.25" customHeight="1">
      <c r="B11" s="369"/>
      <c r="C11" s="342"/>
      <c r="D11" s="365" t="s">
        <v>289</v>
      </c>
      <c r="G11" s="370"/>
      <c r="H11" s="183"/>
      <c r="J11" s="367"/>
      <c r="K11" s="367"/>
      <c r="L11" s="368"/>
      <c r="M11" s="368"/>
      <c r="N11" s="368"/>
      <c r="O11" s="368"/>
      <c r="P11" s="368"/>
      <c r="Q11" s="368"/>
    </row>
    <row r="12" spans="1:17" ht="14.25" customHeight="1">
      <c r="B12" s="369"/>
      <c r="C12" s="342"/>
      <c r="G12" s="370"/>
      <c r="H12" s="183"/>
      <c r="J12" s="367"/>
      <c r="K12" s="367"/>
      <c r="L12" s="368"/>
      <c r="M12" s="368"/>
      <c r="N12" s="368"/>
      <c r="O12" s="368"/>
      <c r="P12" s="368"/>
      <c r="Q12" s="368"/>
    </row>
    <row r="13" spans="1:17" ht="14.25" customHeight="1">
      <c r="B13" s="369"/>
      <c r="C13" s="342"/>
      <c r="D13" s="371" t="s">
        <v>290</v>
      </c>
      <c r="G13" s="370"/>
      <c r="H13" s="183"/>
      <c r="J13" s="367"/>
      <c r="K13" s="367"/>
      <c r="L13" s="368"/>
      <c r="M13" s="368"/>
      <c r="N13" s="368"/>
      <c r="O13" s="368"/>
      <c r="P13" s="368"/>
      <c r="Q13" s="368"/>
    </row>
    <row r="14" spans="1:17" ht="75" customHeight="1">
      <c r="B14" s="369"/>
      <c r="C14" s="342"/>
      <c r="D14" s="371"/>
      <c r="E14" s="178"/>
      <c r="F14" s="357"/>
      <c r="G14" s="370"/>
      <c r="H14" s="183"/>
      <c r="J14" s="372"/>
      <c r="K14" s="372"/>
      <c r="L14" s="373"/>
      <c r="M14" s="373"/>
      <c r="N14" s="373"/>
      <c r="O14" s="373"/>
      <c r="P14" s="373"/>
      <c r="Q14" s="368"/>
    </row>
    <row r="15" spans="1:17" ht="27.95" customHeight="1">
      <c r="B15" s="369"/>
      <c r="C15" s="342"/>
      <c r="D15" s="371" t="s">
        <v>291</v>
      </c>
      <c r="E15" s="374"/>
      <c r="F15" s="375"/>
      <c r="G15" s="376"/>
      <c r="H15" s="289"/>
      <c r="J15" s="373"/>
      <c r="K15" s="373"/>
      <c r="L15" s="373"/>
      <c r="M15" s="373"/>
      <c r="N15" s="373"/>
      <c r="O15" s="373"/>
      <c r="P15" s="373"/>
      <c r="Q15" s="368"/>
    </row>
    <row r="16" spans="1:17" ht="75.75" customHeight="1">
      <c r="B16" s="369"/>
      <c r="C16" s="342"/>
      <c r="E16" s="291"/>
      <c r="F16" s="357"/>
      <c r="G16" s="376"/>
      <c r="H16" s="289"/>
      <c r="J16" s="373"/>
      <c r="K16" s="373"/>
      <c r="L16" s="373"/>
      <c r="M16" s="373"/>
      <c r="N16" s="373"/>
      <c r="O16" s="373"/>
      <c r="P16" s="373"/>
      <c r="Q16" s="368"/>
    </row>
    <row r="17" spans="2:17" ht="27.95" customHeight="1">
      <c r="B17" s="369"/>
      <c r="C17" s="342"/>
      <c r="D17" s="371" t="s">
        <v>292</v>
      </c>
      <c r="E17" s="191"/>
      <c r="F17" s="191"/>
      <c r="G17" s="376"/>
      <c r="H17" s="289"/>
      <c r="J17" s="373"/>
      <c r="K17" s="373"/>
      <c r="L17" s="373"/>
      <c r="M17" s="373"/>
      <c r="N17" s="373"/>
      <c r="O17" s="373"/>
      <c r="P17" s="373"/>
      <c r="Q17" s="368"/>
    </row>
    <row r="18" spans="2:17" ht="75.75" customHeight="1">
      <c r="B18" s="364"/>
      <c r="C18" s="342"/>
      <c r="F18" s="357"/>
      <c r="G18" s="377"/>
      <c r="H18" s="310"/>
      <c r="I18" s="50"/>
      <c r="J18" s="367"/>
      <c r="K18" s="368"/>
      <c r="L18" s="368"/>
      <c r="M18" s="368"/>
      <c r="N18" s="368"/>
      <c r="O18" s="368"/>
      <c r="P18" s="368"/>
      <c r="Q18" s="368"/>
    </row>
    <row r="19" spans="2:17" ht="27.95" hidden="1" customHeight="1">
      <c r="B19" s="369"/>
      <c r="C19" s="342"/>
      <c r="D19" s="378" t="s">
        <v>293</v>
      </c>
      <c r="E19" s="341"/>
      <c r="F19" s="178"/>
      <c r="G19" s="376"/>
      <c r="H19" s="289"/>
      <c r="J19" s="373"/>
      <c r="K19" s="373"/>
      <c r="L19" s="373"/>
      <c r="M19" s="373"/>
      <c r="N19" s="373"/>
      <c r="O19" s="373"/>
      <c r="P19" s="373"/>
      <c r="Q19" s="368"/>
    </row>
    <row r="20" spans="2:17" ht="75.75" hidden="1" customHeight="1">
      <c r="B20" s="369"/>
      <c r="C20" s="342"/>
      <c r="F20" s="357"/>
      <c r="G20" s="376"/>
      <c r="H20" s="289"/>
      <c r="J20" s="373"/>
      <c r="K20" s="373"/>
      <c r="L20" s="373"/>
      <c r="M20" s="373"/>
      <c r="N20" s="373"/>
      <c r="O20" s="373"/>
      <c r="P20" s="373"/>
      <c r="Q20" s="368"/>
    </row>
    <row r="21" spans="2:17" ht="14.25" customHeight="1" thickBot="1">
      <c r="B21" s="379"/>
      <c r="C21" s="176"/>
      <c r="D21" s="176"/>
      <c r="G21" s="353"/>
      <c r="I21" s="50"/>
    </row>
    <row r="22" spans="2:17" ht="14.25" customHeight="1" thickTop="1">
      <c r="B22" s="380"/>
      <c r="C22" s="381"/>
      <c r="D22" s="380"/>
      <c r="E22" s="380"/>
      <c r="F22" s="380"/>
      <c r="G22" s="380"/>
      <c r="I22" s="297"/>
    </row>
    <row r="23" spans="2:17" ht="14.25" customHeight="1">
      <c r="C23" s="176"/>
      <c r="I23" s="297"/>
    </row>
    <row r="24" spans="2:17" ht="14.25" customHeight="1">
      <c r="C24" s="176"/>
      <c r="I24" s="297"/>
    </row>
    <row r="25" spans="2:17" ht="14.25" customHeight="1" thickBot="1">
      <c r="C25" s="176"/>
      <c r="D25" s="176"/>
      <c r="E25" s="176"/>
      <c r="F25" s="176"/>
    </row>
    <row r="26" spans="2:17" ht="14.25" customHeight="1" thickTop="1">
      <c r="B26" s="382"/>
      <c r="C26" s="383"/>
      <c r="D26" s="383"/>
      <c r="E26" s="383"/>
      <c r="F26" s="383"/>
      <c r="G26" s="384"/>
    </row>
    <row r="27" spans="2:17" ht="174" customHeight="1">
      <c r="B27" s="385"/>
      <c r="D27" s="2"/>
      <c r="E27" s="2"/>
      <c r="F27" s="357"/>
      <c r="G27" s="386"/>
      <c r="J27" s="387"/>
      <c r="K27" s="387"/>
      <c r="L27" s="387"/>
      <c r="M27" s="387"/>
    </row>
    <row r="28" spans="2:17" ht="14.25" customHeight="1" thickBot="1">
      <c r="B28" s="388"/>
      <c r="C28" s="389"/>
      <c r="D28" s="389"/>
      <c r="E28" s="389"/>
      <c r="F28" s="389"/>
      <c r="G28" s="390"/>
    </row>
    <row r="29" spans="2:17" ht="14.25" customHeight="1" thickTop="1"/>
    <row r="32" spans="2:17" s="2" customFormat="1" ht="14.25" customHeight="1"/>
    <row r="33" spans="2:6" s="2" customFormat="1" ht="14.25" customHeight="1"/>
    <row r="34" spans="2:6" s="2" customFormat="1" ht="14.25" customHeight="1"/>
    <row r="35" spans="2:6" s="2" customFormat="1" ht="21" customHeight="1"/>
    <row r="36" spans="2:6" s="2" customFormat="1" ht="21" customHeight="1"/>
    <row r="37" spans="2:6" s="2" customFormat="1" ht="21" customHeight="1"/>
    <row r="38" spans="2:6" s="2" customFormat="1" ht="21" customHeight="1"/>
    <row r="39" spans="2:6" s="2" customFormat="1" ht="21" customHeight="1"/>
    <row r="40" spans="2:6" s="2" customFormat="1" ht="14.25" customHeight="1"/>
    <row r="46" spans="2:6" ht="14.25" customHeight="1">
      <c r="B46" s="391"/>
      <c r="C46" s="392"/>
      <c r="D46" s="50"/>
      <c r="E46" s="50"/>
      <c r="F46" s="50"/>
    </row>
  </sheetData>
  <sheetProtection sheet="1" objects="1" scenarios="1" selectLockedCells="1"/>
  <phoneticPr fontId="5"/>
  <dataValidations count="2">
    <dataValidation type="textLength" imeMode="hiragana" operator="greaterThanOrEqual" allowBlank="1" showInputMessage="1" showErrorMessage="1" sqref="F6 F9 F14 F16 F18 F20 F27" xr:uid="{00000000-0002-0000-0800-000000000000}">
      <formula1>1</formula1>
    </dataValidation>
    <dataValidation type="textLength" allowBlank="1" showInputMessage="1" showErrorMessage="1" sqref="F19" xr:uid="{00000000-0002-0000-0800-000001000000}">
      <formula1>1</formula1>
      <formula2>190</formula2>
    </dataValidation>
  </dataValidations>
  <pageMargins left="0.59055118110236227" right="0.59055118110236227" top="0.59055118110236227" bottom="0.59055118110236227" header="0" footer="0"/>
  <pageSetup paperSize="9" scale="86" orientation="portrait" cellComments="asDisplayed"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1">
    <outlinePr summaryBelow="0"/>
    <pageSetUpPr fitToPage="1"/>
  </sheetPr>
  <dimension ref="A1:AJ94"/>
  <sheetViews>
    <sheetView showGridLines="0" zoomScale="80" zoomScaleNormal="80" zoomScaleSheetLayoutView="90" workbookViewId="0">
      <selection activeCell="I16" sqref="I16"/>
    </sheetView>
  </sheetViews>
  <sheetFormatPr defaultColWidth="2.625" defaultRowHeight="14.25" customHeight="1" outlineLevelRow="1" outlineLevelCol="1"/>
  <cols>
    <col min="1" max="5" width="2.625" style="295" customWidth="1"/>
    <col min="6" max="7" width="17.375" style="295" customWidth="1"/>
    <col min="8" max="8" width="5.125" style="295" customWidth="1"/>
    <col min="9" max="9" width="20" style="295" customWidth="1"/>
    <col min="10" max="17" width="2.625" style="295" customWidth="1"/>
    <col min="18" max="20" width="2.625" style="144" customWidth="1"/>
    <col min="21" max="21" width="11.125" style="144" customWidth="1" outlineLevel="1"/>
    <col min="22" max="22" width="2.625" style="144" customWidth="1" outlineLevel="1"/>
    <col min="23" max="23" width="4.375" style="176" customWidth="1" outlineLevel="1"/>
    <col min="24" max="25" width="17.375" style="176" customWidth="1" outlineLevel="1"/>
    <col min="26" max="26" width="5" style="176" customWidth="1" outlineLevel="1"/>
    <col min="27" max="27" width="14.25" style="176" customWidth="1" outlineLevel="1"/>
    <col min="28" max="28" width="5" style="176" customWidth="1" outlineLevel="1"/>
    <col min="29" max="29" width="17.375" style="176" customWidth="1" outlineLevel="1"/>
    <col min="30" max="36" width="2.625" style="176" customWidth="1"/>
    <col min="37" max="39" width="2.625" style="144" customWidth="1"/>
    <col min="40" max="16384" width="2.625" style="144"/>
  </cols>
  <sheetData>
    <row r="1" spans="1:36" ht="14.25" customHeight="1">
      <c r="V1" s="393" t="s">
        <v>246</v>
      </c>
    </row>
    <row r="2" spans="1:36" ht="14.25" customHeight="1">
      <c r="B2" s="129" t="s">
        <v>294</v>
      </c>
      <c r="V2" s="129" t="s">
        <v>294</v>
      </c>
      <c r="W2" s="295"/>
    </row>
    <row r="3" spans="1:36" ht="18" customHeight="1">
      <c r="C3" s="161"/>
      <c r="D3" s="161"/>
      <c r="E3" s="161"/>
      <c r="F3" s="161"/>
      <c r="G3" s="161"/>
      <c r="H3" s="161"/>
      <c r="I3" s="161"/>
      <c r="R3" s="87"/>
      <c r="S3" s="87"/>
      <c r="T3" s="87"/>
      <c r="U3" s="87"/>
      <c r="V3" s="295"/>
      <c r="W3" s="161"/>
    </row>
    <row r="4" spans="1:36" ht="18" customHeight="1">
      <c r="B4" s="130" t="s">
        <v>295</v>
      </c>
      <c r="C4" s="161"/>
      <c r="D4" s="161"/>
      <c r="E4" s="161"/>
      <c r="F4" s="161"/>
      <c r="G4" s="161"/>
      <c r="H4" s="161"/>
      <c r="I4" s="161"/>
      <c r="V4" s="130" t="s">
        <v>295</v>
      </c>
      <c r="W4" s="161"/>
    </row>
    <row r="5" spans="1:36" ht="18" customHeight="1">
      <c r="A5" s="297"/>
      <c r="B5" s="394"/>
      <c r="C5" s="246" t="s">
        <v>296</v>
      </c>
      <c r="D5" s="246"/>
      <c r="E5" s="246"/>
      <c r="F5" s="246"/>
      <c r="G5" s="246"/>
      <c r="H5" s="246"/>
      <c r="I5" s="246"/>
      <c r="J5" s="395"/>
      <c r="K5" s="395"/>
      <c r="L5" s="395"/>
      <c r="M5" s="395"/>
      <c r="N5" s="395"/>
      <c r="O5" s="395"/>
      <c r="P5" s="396"/>
      <c r="Q5" s="396"/>
    </row>
    <row r="6" spans="1:36" ht="14.25" customHeight="1">
      <c r="A6" s="297"/>
      <c r="B6" s="394"/>
      <c r="C6" s="246" t="s">
        <v>297</v>
      </c>
      <c r="D6" s="246"/>
      <c r="E6" s="246"/>
      <c r="F6" s="246"/>
      <c r="G6" s="246"/>
      <c r="H6" s="246"/>
      <c r="I6" s="246"/>
      <c r="J6" s="395"/>
      <c r="K6" s="395"/>
      <c r="L6" s="395"/>
      <c r="M6" s="395"/>
      <c r="N6" s="395"/>
      <c r="O6" s="395"/>
      <c r="P6" s="395"/>
      <c r="Q6" s="395"/>
      <c r="R6" s="291"/>
      <c r="S6" s="291"/>
      <c r="T6" s="359"/>
      <c r="U6" s="359"/>
      <c r="V6" s="359"/>
    </row>
    <row r="7" spans="1:36" s="291" customFormat="1" ht="14.25" customHeight="1">
      <c r="A7" s="297"/>
      <c r="B7" s="394"/>
      <c r="C7" s="246" t="s">
        <v>298</v>
      </c>
      <c r="D7" s="246"/>
      <c r="E7" s="246"/>
      <c r="F7" s="246"/>
      <c r="G7" s="246"/>
      <c r="H7" s="246"/>
      <c r="I7" s="246"/>
      <c r="J7" s="395"/>
      <c r="K7" s="395"/>
      <c r="L7" s="395"/>
      <c r="M7" s="395"/>
      <c r="N7" s="395"/>
      <c r="O7" s="395"/>
      <c r="P7" s="395"/>
      <c r="Q7" s="395"/>
      <c r="R7" s="363"/>
      <c r="S7" s="363"/>
      <c r="W7" s="180"/>
      <c r="X7" s="180"/>
      <c r="Y7" s="180"/>
      <c r="Z7" s="180"/>
      <c r="AA7" s="180"/>
      <c r="AB7" s="180"/>
      <c r="AC7" s="180"/>
      <c r="AD7" s="180"/>
      <c r="AE7" s="180"/>
      <c r="AF7" s="180"/>
      <c r="AG7" s="180"/>
      <c r="AH7" s="180"/>
      <c r="AI7" s="180"/>
      <c r="AJ7" s="180"/>
    </row>
    <row r="8" spans="1:36" s="291" customFormat="1" ht="14.25" hidden="1" customHeight="1">
      <c r="A8" s="297"/>
      <c r="B8" s="394"/>
      <c r="C8" s="246"/>
      <c r="D8" s="246"/>
      <c r="E8" s="246"/>
      <c r="F8" s="246"/>
      <c r="G8" s="246"/>
      <c r="H8" s="246"/>
      <c r="I8" s="246"/>
      <c r="J8" s="395"/>
      <c r="K8" s="395"/>
      <c r="L8" s="395"/>
      <c r="M8" s="395"/>
      <c r="N8" s="395"/>
      <c r="O8" s="395"/>
      <c r="P8" s="395"/>
      <c r="Q8" s="395"/>
      <c r="R8" s="363"/>
      <c r="S8" s="363"/>
      <c r="W8" s="180"/>
      <c r="X8" s="180"/>
      <c r="Y8" s="180"/>
      <c r="Z8" s="180"/>
      <c r="AA8" s="180"/>
      <c r="AB8" s="180"/>
      <c r="AC8" s="180"/>
      <c r="AD8" s="180"/>
      <c r="AE8" s="180"/>
      <c r="AF8" s="180"/>
      <c r="AG8" s="180"/>
      <c r="AH8" s="180"/>
      <c r="AI8" s="180"/>
      <c r="AJ8" s="180"/>
    </row>
    <row r="9" spans="1:36" s="291" customFormat="1" ht="14.25" customHeight="1">
      <c r="A9" s="297"/>
      <c r="B9" s="394"/>
      <c r="C9" s="246"/>
      <c r="D9" s="246"/>
      <c r="E9" s="246"/>
      <c r="F9" s="246"/>
      <c r="G9" s="246"/>
      <c r="H9" s="246"/>
      <c r="I9" s="246"/>
      <c r="J9" s="395"/>
      <c r="K9" s="395"/>
      <c r="L9" s="395"/>
      <c r="M9" s="395"/>
      <c r="N9" s="395"/>
      <c r="O9" s="395"/>
      <c r="P9" s="395"/>
      <c r="Q9" s="395"/>
      <c r="R9" s="363"/>
      <c r="S9" s="363"/>
      <c r="W9" s="180"/>
      <c r="X9" s="180"/>
      <c r="Y9" s="180"/>
      <c r="Z9" s="180"/>
      <c r="AA9" s="180"/>
      <c r="AB9" s="180"/>
      <c r="AC9" s="180"/>
      <c r="AD9" s="180"/>
      <c r="AE9" s="180"/>
      <c r="AF9" s="180"/>
      <c r="AG9" s="180"/>
      <c r="AH9" s="180"/>
      <c r="AI9" s="180"/>
      <c r="AJ9" s="180"/>
    </row>
    <row r="10" spans="1:36" ht="14.25" customHeight="1">
      <c r="A10" s="297"/>
      <c r="B10" s="394"/>
      <c r="C10" s="134"/>
      <c r="D10" s="134"/>
      <c r="E10" s="134"/>
      <c r="F10" s="134"/>
      <c r="G10" s="134"/>
      <c r="H10" s="134"/>
      <c r="I10" s="134"/>
      <c r="J10" s="297"/>
      <c r="K10" s="297"/>
      <c r="L10" s="297"/>
      <c r="M10" s="297"/>
      <c r="N10" s="297"/>
      <c r="O10" s="297"/>
      <c r="P10" s="297"/>
      <c r="Q10" s="297"/>
      <c r="R10" s="367"/>
      <c r="S10" s="367"/>
      <c r="T10" s="367"/>
      <c r="U10" s="367"/>
      <c r="V10" s="368"/>
    </row>
    <row r="11" spans="1:36" ht="14.25" customHeight="1">
      <c r="A11" s="297"/>
      <c r="B11" s="394"/>
      <c r="C11" s="153" t="s">
        <v>299</v>
      </c>
      <c r="D11" s="134"/>
      <c r="E11" s="134"/>
      <c r="F11" s="134"/>
      <c r="G11" s="134"/>
      <c r="H11" s="134"/>
      <c r="I11" s="134"/>
      <c r="J11" s="297"/>
      <c r="K11" s="297"/>
      <c r="L11" s="297"/>
      <c r="M11" s="297"/>
      <c r="N11" s="297"/>
      <c r="O11" s="297"/>
      <c r="P11" s="297"/>
      <c r="Q11" s="297"/>
      <c r="R11" s="367"/>
      <c r="S11" s="367"/>
      <c r="T11" s="367"/>
      <c r="U11" s="367"/>
      <c r="V11" s="367"/>
      <c r="W11" s="153" t="s">
        <v>300</v>
      </c>
      <c r="X11" s="397"/>
      <c r="Y11" s="397"/>
      <c r="Z11" s="397"/>
      <c r="AA11" s="397"/>
      <c r="AB11" s="397"/>
    </row>
    <row r="12" spans="1:36" ht="18" customHeight="1" thickBot="1">
      <c r="A12" s="297"/>
      <c r="B12" s="394"/>
      <c r="C12" s="153"/>
      <c r="D12" s="134"/>
      <c r="E12" s="134"/>
      <c r="F12" s="134"/>
      <c r="G12" s="134"/>
      <c r="H12" s="134"/>
      <c r="I12" s="134"/>
      <c r="J12" s="297"/>
      <c r="K12" s="297"/>
      <c r="L12" s="297"/>
      <c r="M12" s="297"/>
      <c r="N12" s="297"/>
      <c r="O12" s="297"/>
      <c r="P12" s="297"/>
      <c r="Q12" s="297"/>
      <c r="R12" s="367"/>
      <c r="S12" s="367"/>
      <c r="T12" s="367"/>
      <c r="U12" s="367"/>
      <c r="V12" s="367"/>
      <c r="W12" s="397"/>
      <c r="X12" s="397"/>
      <c r="Y12" s="397"/>
      <c r="Z12" s="397"/>
      <c r="AA12" s="397"/>
      <c r="AB12" s="397"/>
    </row>
    <row r="13" spans="1:36" ht="14.25" customHeight="1">
      <c r="C13" s="398"/>
      <c r="D13" s="1430" t="s">
        <v>301</v>
      </c>
      <c r="E13" s="1431"/>
      <c r="F13" s="1454"/>
      <c r="G13" s="1431" t="s">
        <v>164</v>
      </c>
      <c r="H13" s="399"/>
      <c r="I13" s="1687" t="s">
        <v>302</v>
      </c>
      <c r="R13" s="367"/>
      <c r="S13" s="367"/>
      <c r="T13" s="367"/>
      <c r="U13" s="367"/>
      <c r="V13" s="367"/>
      <c r="W13" s="397"/>
      <c r="X13" s="397"/>
      <c r="Y13" s="397"/>
      <c r="Z13" s="397"/>
      <c r="AA13" s="397"/>
      <c r="AB13" s="397"/>
    </row>
    <row r="14" spans="1:36" ht="14.25" customHeight="1">
      <c r="C14" s="398"/>
      <c r="D14" s="1683"/>
      <c r="E14" s="1684"/>
      <c r="F14" s="1685"/>
      <c r="G14" s="1684"/>
      <c r="H14" s="1690" t="s">
        <v>165</v>
      </c>
      <c r="I14" s="1688"/>
      <c r="R14" s="367"/>
      <c r="S14" s="367"/>
      <c r="T14" s="367"/>
      <c r="U14" s="367"/>
      <c r="V14" s="367"/>
      <c r="W14" s="397"/>
      <c r="X14" s="397"/>
      <c r="Y14" s="397"/>
      <c r="Z14" s="397"/>
      <c r="AA14" s="397"/>
      <c r="AB14" s="397"/>
    </row>
    <row r="15" spans="1:36" ht="14.25" customHeight="1" thickBot="1">
      <c r="D15" s="1433"/>
      <c r="E15" s="1434"/>
      <c r="F15" s="1686"/>
      <c r="G15" s="1684"/>
      <c r="H15" s="1691"/>
      <c r="I15" s="1689"/>
      <c r="R15" s="367"/>
      <c r="S15" s="367"/>
      <c r="T15" s="367"/>
      <c r="U15" s="367"/>
      <c r="V15" s="367"/>
    </row>
    <row r="16" spans="1:36" ht="30" customHeight="1" thickTop="1" thickBot="1">
      <c r="D16" s="1692" t="s">
        <v>303</v>
      </c>
      <c r="E16" s="1693"/>
      <c r="F16" s="400" t="s">
        <v>304</v>
      </c>
      <c r="G16" s="401"/>
      <c r="H16" s="402" t="s">
        <v>305</v>
      </c>
      <c r="I16" s="403"/>
      <c r="J16" s="404"/>
      <c r="K16" s="226"/>
      <c r="L16" s="226"/>
      <c r="M16" s="226"/>
      <c r="R16" s="367"/>
      <c r="S16" s="367"/>
      <c r="T16" s="367"/>
      <c r="U16" s="367"/>
      <c r="V16" s="367"/>
      <c r="W16" s="1534" t="s">
        <v>306</v>
      </c>
      <c r="X16" s="1534"/>
      <c r="Y16" s="1700"/>
      <c r="Z16" s="1701"/>
      <c r="AA16" s="1700"/>
      <c r="AB16" s="1701"/>
      <c r="AC16" s="278" t="s">
        <v>215</v>
      </c>
    </row>
    <row r="17" spans="4:36" ht="30" customHeight="1" thickTop="1">
      <c r="D17" s="1694"/>
      <c r="E17" s="1695"/>
      <c r="F17" s="405"/>
      <c r="G17" s="406"/>
      <c r="H17" s="407"/>
      <c r="I17" s="408"/>
      <c r="J17" s="409"/>
      <c r="K17" s="226"/>
      <c r="L17" s="226"/>
      <c r="M17" s="226"/>
      <c r="N17" s="226"/>
      <c r="O17" s="226"/>
      <c r="P17" s="226"/>
      <c r="Q17" s="226"/>
      <c r="R17" s="372"/>
      <c r="S17" s="372"/>
      <c r="T17" s="372"/>
      <c r="U17" s="372"/>
      <c r="V17" s="372"/>
      <c r="W17" s="1702" t="s">
        <v>307</v>
      </c>
      <c r="X17" s="1702"/>
      <c r="Y17" s="1700"/>
      <c r="Z17" s="1701"/>
      <c r="AA17" s="1700"/>
      <c r="AB17" s="1701"/>
      <c r="AC17" s="410">
        <f>IF(OR(I16="",I16=0),SUM(I17:I31),I16)</f>
        <v>0</v>
      </c>
    </row>
    <row r="18" spans="4:36" ht="30" customHeight="1">
      <c r="D18" s="1694"/>
      <c r="E18" s="1695"/>
      <c r="F18" s="405"/>
      <c r="G18" s="411"/>
      <c r="H18" s="407"/>
      <c r="I18" s="412"/>
      <c r="J18" s="413"/>
      <c r="K18" s="226"/>
      <c r="L18" s="226"/>
      <c r="M18" s="226"/>
      <c r="N18" s="226"/>
      <c r="O18" s="226"/>
      <c r="P18" s="226"/>
      <c r="Q18" s="226"/>
      <c r="R18" s="373"/>
      <c r="S18" s="373"/>
      <c r="T18" s="373"/>
      <c r="U18" s="373"/>
      <c r="V18" s="373"/>
      <c r="W18" s="144"/>
      <c r="Y18" s="393"/>
      <c r="Z18" s="393"/>
      <c r="AA18" s="393"/>
      <c r="AB18" s="393"/>
    </row>
    <row r="19" spans="4:36" ht="30" customHeight="1">
      <c r="D19" s="1694"/>
      <c r="E19" s="1695"/>
      <c r="F19" s="405"/>
      <c r="G19" s="411"/>
      <c r="H19" s="407"/>
      <c r="I19" s="412"/>
      <c r="J19" s="413"/>
      <c r="K19" s="226"/>
      <c r="L19" s="226"/>
      <c r="M19" s="226"/>
      <c r="N19" s="226"/>
      <c r="O19" s="226"/>
      <c r="P19" s="226"/>
      <c r="Q19" s="226"/>
      <c r="R19" s="373"/>
      <c r="S19" s="373"/>
      <c r="T19" s="373"/>
      <c r="U19" s="373"/>
      <c r="V19" s="373"/>
      <c r="W19" s="393"/>
      <c r="Y19" s="187"/>
      <c r="Z19" s="187"/>
      <c r="AA19" s="187"/>
      <c r="AB19" s="187"/>
      <c r="AI19" s="414"/>
      <c r="AJ19" s="414"/>
    </row>
    <row r="20" spans="4:36" ht="30" customHeight="1" collapsed="1" thickBot="1">
      <c r="D20" s="1694"/>
      <c r="E20" s="1695"/>
      <c r="F20" s="405"/>
      <c r="G20" s="411"/>
      <c r="H20" s="407"/>
      <c r="I20" s="412"/>
      <c r="J20" s="413"/>
      <c r="K20" s="226"/>
      <c r="L20" s="226"/>
      <c r="M20" s="226"/>
      <c r="N20" s="226"/>
      <c r="O20" s="226"/>
      <c r="P20" s="226"/>
      <c r="Q20" s="226"/>
      <c r="R20" s="373"/>
      <c r="S20" s="373"/>
      <c r="T20" s="373"/>
      <c r="U20" s="373"/>
      <c r="V20" s="373"/>
      <c r="W20" s="393"/>
      <c r="Y20" s="187"/>
      <c r="Z20" s="187"/>
      <c r="AA20" s="187"/>
      <c r="AB20" s="187"/>
      <c r="AI20" s="414"/>
      <c r="AJ20" s="414"/>
    </row>
    <row r="21" spans="4:36" ht="30" hidden="1" customHeight="1" outlineLevel="1">
      <c r="D21" s="1694"/>
      <c r="E21" s="1695"/>
      <c r="F21" s="405"/>
      <c r="G21" s="411"/>
      <c r="H21" s="407"/>
      <c r="I21" s="412"/>
      <c r="J21" s="413"/>
      <c r="K21" s="226"/>
      <c r="L21" s="226"/>
      <c r="M21" s="226"/>
      <c r="N21" s="226"/>
      <c r="O21" s="226"/>
      <c r="P21" s="226"/>
      <c r="Q21" s="226"/>
      <c r="R21" s="373"/>
      <c r="S21" s="373"/>
      <c r="T21" s="373"/>
      <c r="U21" s="373"/>
      <c r="V21" s="373"/>
      <c r="W21" s="393"/>
      <c r="Y21" s="187"/>
      <c r="Z21" s="187"/>
      <c r="AA21" s="187"/>
      <c r="AB21" s="187"/>
      <c r="AI21" s="414"/>
      <c r="AJ21" s="414"/>
    </row>
    <row r="22" spans="4:36" ht="30" hidden="1" customHeight="1" outlineLevel="1">
      <c r="D22" s="1694"/>
      <c r="E22" s="1695"/>
      <c r="F22" s="405"/>
      <c r="G22" s="411"/>
      <c r="H22" s="407"/>
      <c r="I22" s="412"/>
      <c r="J22" s="413"/>
      <c r="K22" s="226"/>
      <c r="L22" s="226"/>
      <c r="M22" s="226"/>
      <c r="N22" s="226"/>
      <c r="O22" s="226"/>
      <c r="P22" s="226"/>
      <c r="Q22" s="226"/>
      <c r="R22" s="373"/>
      <c r="S22" s="373"/>
      <c r="T22" s="373"/>
      <c r="U22" s="373"/>
      <c r="V22" s="373"/>
      <c r="W22" s="393"/>
      <c r="Y22" s="187"/>
      <c r="Z22" s="187"/>
      <c r="AA22" s="187"/>
      <c r="AB22" s="187"/>
      <c r="AI22" s="414"/>
      <c r="AJ22" s="414"/>
    </row>
    <row r="23" spans="4:36" ht="30" hidden="1" customHeight="1" outlineLevel="1">
      <c r="D23" s="1694"/>
      <c r="E23" s="1695"/>
      <c r="F23" s="405"/>
      <c r="G23" s="411"/>
      <c r="H23" s="407"/>
      <c r="I23" s="412"/>
      <c r="J23" s="413"/>
      <c r="K23" s="226"/>
      <c r="L23" s="226"/>
      <c r="M23" s="226"/>
      <c r="N23" s="226"/>
      <c r="O23" s="226"/>
      <c r="P23" s="226"/>
      <c r="Q23" s="226"/>
      <c r="R23" s="373"/>
      <c r="S23" s="373"/>
      <c r="T23" s="373"/>
      <c r="U23" s="373"/>
      <c r="V23" s="373"/>
      <c r="W23" s="393"/>
      <c r="Y23" s="187"/>
      <c r="Z23" s="187"/>
      <c r="AA23" s="187"/>
      <c r="AB23" s="187"/>
      <c r="AI23" s="414"/>
      <c r="AJ23" s="414"/>
    </row>
    <row r="24" spans="4:36" ht="30" hidden="1" customHeight="1" outlineLevel="1">
      <c r="D24" s="1694"/>
      <c r="E24" s="1695"/>
      <c r="F24" s="405"/>
      <c r="G24" s="411"/>
      <c r="H24" s="407"/>
      <c r="I24" s="412"/>
      <c r="J24" s="413"/>
      <c r="K24" s="226"/>
      <c r="L24" s="226"/>
      <c r="M24" s="226"/>
      <c r="N24" s="226"/>
      <c r="O24" s="226"/>
      <c r="P24" s="226"/>
      <c r="Q24" s="226"/>
      <c r="R24" s="373"/>
      <c r="S24" s="373"/>
      <c r="T24" s="373"/>
      <c r="U24" s="373"/>
      <c r="V24" s="373"/>
      <c r="W24" s="393"/>
      <c r="Y24" s="187"/>
      <c r="Z24" s="187"/>
      <c r="AA24" s="187"/>
      <c r="AB24" s="187"/>
      <c r="AI24" s="414"/>
      <c r="AJ24" s="414"/>
    </row>
    <row r="25" spans="4:36" ht="30" hidden="1" customHeight="1" outlineLevel="1">
      <c r="D25" s="1694"/>
      <c r="E25" s="1695"/>
      <c r="F25" s="405"/>
      <c r="G25" s="411"/>
      <c r="H25" s="407"/>
      <c r="I25" s="412"/>
      <c r="J25" s="413"/>
      <c r="K25" s="226"/>
      <c r="L25" s="226"/>
      <c r="M25" s="226"/>
      <c r="N25" s="226"/>
      <c r="O25" s="226"/>
      <c r="P25" s="226"/>
      <c r="Q25" s="226"/>
      <c r="R25" s="373"/>
      <c r="S25" s="373"/>
      <c r="T25" s="373"/>
      <c r="U25" s="373"/>
      <c r="V25" s="373"/>
      <c r="W25" s="393"/>
      <c r="Y25" s="187"/>
      <c r="Z25" s="187"/>
      <c r="AA25" s="187"/>
      <c r="AB25" s="187"/>
      <c r="AI25" s="414"/>
      <c r="AJ25" s="414"/>
    </row>
    <row r="26" spans="4:36" ht="30" hidden="1" customHeight="1" outlineLevel="1">
      <c r="D26" s="1694"/>
      <c r="E26" s="1695"/>
      <c r="F26" s="405"/>
      <c r="G26" s="411"/>
      <c r="H26" s="407"/>
      <c r="I26" s="412"/>
      <c r="J26" s="413"/>
      <c r="K26" s="226"/>
      <c r="L26" s="226"/>
      <c r="M26" s="226"/>
      <c r="N26" s="226"/>
      <c r="O26" s="226"/>
      <c r="P26" s="226"/>
      <c r="Q26" s="226"/>
      <c r="R26" s="373"/>
      <c r="S26" s="373"/>
      <c r="T26" s="373"/>
      <c r="U26" s="373"/>
      <c r="V26" s="373"/>
      <c r="W26" s="393"/>
      <c r="Y26" s="187"/>
      <c r="Z26" s="187"/>
      <c r="AA26" s="187"/>
      <c r="AB26" s="187"/>
      <c r="AI26" s="414"/>
      <c r="AJ26" s="414"/>
    </row>
    <row r="27" spans="4:36" ht="30" hidden="1" customHeight="1" outlineLevel="1">
      <c r="D27" s="1694"/>
      <c r="E27" s="1695"/>
      <c r="F27" s="405"/>
      <c r="G27" s="411"/>
      <c r="H27" s="407"/>
      <c r="I27" s="412"/>
      <c r="J27" s="413"/>
      <c r="K27" s="226"/>
      <c r="L27" s="226"/>
      <c r="M27" s="226"/>
      <c r="N27" s="226"/>
      <c r="O27" s="226"/>
      <c r="P27" s="226"/>
      <c r="Q27" s="226"/>
      <c r="R27" s="373"/>
      <c r="S27" s="373"/>
      <c r="T27" s="373"/>
      <c r="U27" s="373"/>
      <c r="V27" s="373"/>
      <c r="W27" s="393"/>
      <c r="Y27" s="187"/>
      <c r="Z27" s="187"/>
      <c r="AA27" s="187"/>
      <c r="AB27" s="187"/>
      <c r="AI27" s="414"/>
      <c r="AJ27" s="414"/>
    </row>
    <row r="28" spans="4:36" ht="30" hidden="1" customHeight="1" outlineLevel="1">
      <c r="D28" s="1694"/>
      <c r="E28" s="1695"/>
      <c r="F28" s="405"/>
      <c r="G28" s="411"/>
      <c r="H28" s="407"/>
      <c r="I28" s="412"/>
      <c r="J28" s="413"/>
      <c r="K28" s="226"/>
      <c r="L28" s="226"/>
      <c r="M28" s="226"/>
      <c r="N28" s="226"/>
      <c r="O28" s="226"/>
      <c r="P28" s="226"/>
      <c r="Q28" s="226"/>
      <c r="R28" s="373"/>
      <c r="S28" s="373"/>
      <c r="T28" s="373"/>
      <c r="U28" s="373"/>
      <c r="V28" s="373"/>
      <c r="W28" s="393"/>
      <c r="Y28" s="187"/>
      <c r="Z28" s="187"/>
      <c r="AA28" s="187"/>
      <c r="AB28" s="187"/>
      <c r="AI28" s="414"/>
      <c r="AJ28" s="414"/>
    </row>
    <row r="29" spans="4:36" ht="30" hidden="1" customHeight="1" outlineLevel="1">
      <c r="D29" s="1694"/>
      <c r="E29" s="1695"/>
      <c r="F29" s="405"/>
      <c r="G29" s="411"/>
      <c r="H29" s="407"/>
      <c r="I29" s="412"/>
      <c r="J29" s="413"/>
      <c r="K29" s="226"/>
      <c r="L29" s="226"/>
      <c r="M29" s="226"/>
      <c r="N29" s="226"/>
      <c r="O29" s="226"/>
      <c r="P29" s="226"/>
      <c r="Q29" s="226"/>
      <c r="R29" s="373"/>
      <c r="S29" s="373"/>
      <c r="T29" s="373"/>
      <c r="U29" s="373"/>
      <c r="V29" s="373"/>
      <c r="W29" s="393"/>
      <c r="Y29" s="187"/>
      <c r="Z29" s="187"/>
      <c r="AA29" s="187"/>
      <c r="AB29" s="187"/>
      <c r="AI29" s="414"/>
      <c r="AJ29" s="414"/>
    </row>
    <row r="30" spans="4:36" ht="30" hidden="1" customHeight="1" outlineLevel="1">
      <c r="D30" s="1694"/>
      <c r="E30" s="1695"/>
      <c r="F30" s="405"/>
      <c r="G30" s="411"/>
      <c r="H30" s="407"/>
      <c r="I30" s="412"/>
      <c r="J30" s="413"/>
      <c r="K30" s="226"/>
      <c r="L30" s="226"/>
      <c r="M30" s="226"/>
      <c r="N30" s="226"/>
      <c r="O30" s="226"/>
      <c r="P30" s="226"/>
      <c r="Q30" s="226"/>
      <c r="R30" s="373"/>
      <c r="S30" s="373"/>
      <c r="T30" s="373"/>
      <c r="U30" s="373"/>
      <c r="V30" s="373"/>
      <c r="W30" s="393" t="s">
        <v>308</v>
      </c>
      <c r="Y30" s="187"/>
      <c r="Z30" s="187"/>
      <c r="AA30" s="187"/>
      <c r="AB30" s="187"/>
      <c r="AI30" s="414"/>
      <c r="AJ30" s="414"/>
    </row>
    <row r="31" spans="4:36" ht="30" hidden="1" customHeight="1" outlineLevel="1" thickBot="1">
      <c r="D31" s="1696"/>
      <c r="E31" s="1697"/>
      <c r="F31" s="405"/>
      <c r="G31" s="406"/>
      <c r="H31" s="415"/>
      <c r="I31" s="416"/>
      <c r="J31" s="413"/>
      <c r="K31" s="226"/>
      <c r="L31" s="226"/>
      <c r="M31" s="226"/>
      <c r="N31" s="226"/>
      <c r="O31" s="226"/>
      <c r="P31" s="226"/>
      <c r="Q31" s="226"/>
      <c r="R31" s="373"/>
      <c r="S31" s="373"/>
      <c r="T31" s="373"/>
      <c r="U31" s="373"/>
      <c r="V31" s="373"/>
      <c r="W31" s="1534" t="s">
        <v>306</v>
      </c>
      <c r="X31" s="1534"/>
      <c r="Y31" s="1534" t="s">
        <v>164</v>
      </c>
      <c r="Z31" s="1534"/>
      <c r="AA31" s="1623" t="s">
        <v>262</v>
      </c>
      <c r="AB31" s="1703"/>
      <c r="AC31" s="278" t="s">
        <v>215</v>
      </c>
      <c r="AD31" s="414"/>
      <c r="AE31" s="414"/>
      <c r="AF31" s="414"/>
      <c r="AG31" s="414"/>
      <c r="AH31" s="414"/>
      <c r="AI31" s="414"/>
      <c r="AJ31" s="414"/>
    </row>
    <row r="32" spans="4:36" ht="30" customHeight="1" thickTop="1">
      <c r="D32" s="1704" t="s">
        <v>309</v>
      </c>
      <c r="E32" s="1705"/>
      <c r="F32" s="417"/>
      <c r="G32" s="418"/>
      <c r="H32" s="419"/>
      <c r="I32" s="1708"/>
      <c r="J32" s="413"/>
      <c r="K32" s="226"/>
      <c r="L32" s="226"/>
      <c r="M32" s="226"/>
      <c r="N32" s="226"/>
      <c r="O32" s="226"/>
      <c r="P32" s="226"/>
      <c r="Q32" s="226"/>
      <c r="R32" s="373"/>
      <c r="S32" s="373"/>
      <c r="T32" s="373"/>
      <c r="U32" s="373"/>
      <c r="V32" s="373"/>
      <c r="W32" s="1710" t="s">
        <v>309</v>
      </c>
      <c r="X32" s="420">
        <f>F32</f>
        <v>0</v>
      </c>
      <c r="Y32" s="421">
        <f>G32</f>
        <v>0</v>
      </c>
      <c r="Z32" s="422">
        <f>H32</f>
        <v>0</v>
      </c>
      <c r="AA32" s="281"/>
      <c r="AB32" s="423" t="str">
        <f>"円/"&amp;Z32</f>
        <v>円/0</v>
      </c>
      <c r="AC32" s="424">
        <f>ROUND(Y32*AA32,)</f>
        <v>0</v>
      </c>
      <c r="AD32" s="414"/>
      <c r="AE32" s="414"/>
      <c r="AF32" s="414"/>
      <c r="AG32" s="414"/>
      <c r="AH32" s="414"/>
      <c r="AI32" s="414"/>
      <c r="AJ32" s="414"/>
    </row>
    <row r="33" spans="1:36" ht="30" customHeight="1">
      <c r="D33" s="1706"/>
      <c r="E33" s="1707"/>
      <c r="F33" s="425"/>
      <c r="G33" s="426"/>
      <c r="H33" s="427"/>
      <c r="I33" s="1709"/>
      <c r="J33" s="413"/>
      <c r="K33" s="226"/>
      <c r="L33" s="226"/>
      <c r="M33" s="226"/>
      <c r="N33" s="226"/>
      <c r="O33" s="226"/>
      <c r="P33" s="226"/>
      <c r="Q33" s="226"/>
      <c r="R33" s="373"/>
      <c r="S33" s="373"/>
      <c r="T33" s="373"/>
      <c r="U33" s="373"/>
      <c r="V33" s="373"/>
      <c r="W33" s="1710"/>
      <c r="X33" s="420">
        <f t="shared" ref="X33:Z46" si="0">F33</f>
        <v>0</v>
      </c>
      <c r="Y33" s="421">
        <f t="shared" si="0"/>
        <v>0</v>
      </c>
      <c r="Z33" s="422">
        <f t="shared" si="0"/>
        <v>0</v>
      </c>
      <c r="AA33" s="283"/>
      <c r="AB33" s="423" t="str">
        <f t="shared" ref="AB33:AB46" si="1">"円/"&amp;Z33</f>
        <v>円/0</v>
      </c>
      <c r="AC33" s="424">
        <f t="shared" ref="AC33:AC46" si="2">ROUND(Y33*AA33,)</f>
        <v>0</v>
      </c>
      <c r="AD33" s="414"/>
      <c r="AE33" s="414"/>
      <c r="AF33" s="414"/>
      <c r="AG33" s="414"/>
      <c r="AH33" s="414"/>
      <c r="AI33" s="414"/>
      <c r="AJ33" s="414"/>
    </row>
    <row r="34" spans="1:36" ht="30" customHeight="1">
      <c r="D34" s="1706"/>
      <c r="E34" s="1707"/>
      <c r="F34" s="425"/>
      <c r="G34" s="426"/>
      <c r="H34" s="427"/>
      <c r="I34" s="1709"/>
      <c r="J34" s="413"/>
      <c r="K34" s="226"/>
      <c r="L34" s="226"/>
      <c r="M34" s="226"/>
      <c r="N34" s="226"/>
      <c r="O34" s="226"/>
      <c r="P34" s="226"/>
      <c r="Q34" s="226"/>
      <c r="R34" s="373"/>
      <c r="S34" s="373"/>
      <c r="T34" s="373"/>
      <c r="U34" s="373"/>
      <c r="V34" s="373"/>
      <c r="W34" s="1710"/>
      <c r="X34" s="420">
        <f t="shared" si="0"/>
        <v>0</v>
      </c>
      <c r="Y34" s="421">
        <f t="shared" si="0"/>
        <v>0</v>
      </c>
      <c r="Z34" s="422">
        <f t="shared" si="0"/>
        <v>0</v>
      </c>
      <c r="AA34" s="283"/>
      <c r="AB34" s="423" t="str">
        <f t="shared" si="1"/>
        <v>円/0</v>
      </c>
      <c r="AC34" s="424">
        <f t="shared" si="2"/>
        <v>0</v>
      </c>
      <c r="AD34" s="414"/>
      <c r="AE34" s="414"/>
      <c r="AF34" s="414"/>
      <c r="AG34" s="414"/>
      <c r="AH34" s="414"/>
      <c r="AI34" s="414"/>
      <c r="AJ34" s="414"/>
    </row>
    <row r="35" spans="1:36" ht="30" customHeight="1">
      <c r="D35" s="1706"/>
      <c r="E35" s="1707"/>
      <c r="F35" s="425"/>
      <c r="G35" s="426"/>
      <c r="H35" s="427"/>
      <c r="I35" s="1709"/>
      <c r="J35" s="413"/>
      <c r="K35" s="226"/>
      <c r="L35" s="226"/>
      <c r="M35" s="226"/>
      <c r="N35" s="226"/>
      <c r="O35" s="226"/>
      <c r="P35" s="226"/>
      <c r="Q35" s="226"/>
      <c r="R35" s="373"/>
      <c r="S35" s="373"/>
      <c r="T35" s="373"/>
      <c r="U35" s="373"/>
      <c r="V35" s="373"/>
      <c r="W35" s="1710"/>
      <c r="X35" s="420">
        <f t="shared" si="0"/>
        <v>0</v>
      </c>
      <c r="Y35" s="421">
        <f t="shared" si="0"/>
        <v>0</v>
      </c>
      <c r="Z35" s="422">
        <f t="shared" si="0"/>
        <v>0</v>
      </c>
      <c r="AA35" s="283"/>
      <c r="AB35" s="423" t="str">
        <f t="shared" si="1"/>
        <v>円/0</v>
      </c>
      <c r="AC35" s="424">
        <f t="shared" si="2"/>
        <v>0</v>
      </c>
      <c r="AD35" s="414"/>
      <c r="AE35" s="414"/>
      <c r="AF35" s="414"/>
      <c r="AG35" s="414"/>
      <c r="AH35" s="414"/>
      <c r="AI35" s="414"/>
      <c r="AJ35" s="414"/>
    </row>
    <row r="36" spans="1:36" ht="30" customHeight="1" collapsed="1" thickBot="1">
      <c r="D36" s="1706"/>
      <c r="E36" s="1707"/>
      <c r="F36" s="425"/>
      <c r="G36" s="426"/>
      <c r="H36" s="427"/>
      <c r="I36" s="1709"/>
      <c r="J36" s="413"/>
      <c r="K36" s="226"/>
      <c r="L36" s="226"/>
      <c r="M36" s="226"/>
      <c r="N36" s="226"/>
      <c r="O36" s="226"/>
      <c r="P36" s="226"/>
      <c r="Q36" s="226"/>
      <c r="R36" s="373"/>
      <c r="S36" s="373"/>
      <c r="T36" s="373"/>
      <c r="U36" s="373"/>
      <c r="V36" s="373"/>
      <c r="W36" s="1710"/>
      <c r="X36" s="420">
        <f t="shared" si="0"/>
        <v>0</v>
      </c>
      <c r="Y36" s="421">
        <f t="shared" si="0"/>
        <v>0</v>
      </c>
      <c r="Z36" s="422">
        <f t="shared" si="0"/>
        <v>0</v>
      </c>
      <c r="AA36" s="283"/>
      <c r="AB36" s="423" t="str">
        <f t="shared" si="1"/>
        <v>円/0</v>
      </c>
      <c r="AC36" s="424">
        <f t="shared" si="2"/>
        <v>0</v>
      </c>
      <c r="AD36" s="414"/>
      <c r="AE36" s="414"/>
      <c r="AF36" s="414"/>
      <c r="AG36" s="414"/>
      <c r="AH36" s="414"/>
      <c r="AI36" s="414"/>
      <c r="AJ36" s="414"/>
    </row>
    <row r="37" spans="1:36" ht="30" hidden="1" customHeight="1" outlineLevel="1">
      <c r="D37" s="1706"/>
      <c r="E37" s="1707"/>
      <c r="F37" s="425"/>
      <c r="G37" s="426"/>
      <c r="H37" s="427"/>
      <c r="I37" s="1709"/>
      <c r="J37" s="413"/>
      <c r="K37" s="226"/>
      <c r="L37" s="226"/>
      <c r="M37" s="226"/>
      <c r="N37" s="226"/>
      <c r="O37" s="226"/>
      <c r="P37" s="226"/>
      <c r="Q37" s="226"/>
      <c r="R37" s="373"/>
      <c r="S37" s="373"/>
      <c r="T37" s="373"/>
      <c r="U37" s="373"/>
      <c r="V37" s="373"/>
      <c r="W37" s="1710"/>
      <c r="X37" s="420">
        <f t="shared" si="0"/>
        <v>0</v>
      </c>
      <c r="Y37" s="421">
        <f t="shared" si="0"/>
        <v>0</v>
      </c>
      <c r="Z37" s="422">
        <f t="shared" si="0"/>
        <v>0</v>
      </c>
      <c r="AA37" s="283"/>
      <c r="AB37" s="423" t="str">
        <f t="shared" si="1"/>
        <v>円/0</v>
      </c>
      <c r="AC37" s="424">
        <f t="shared" si="2"/>
        <v>0</v>
      </c>
      <c r="AD37" s="414"/>
      <c r="AE37" s="414"/>
      <c r="AF37" s="414"/>
      <c r="AG37" s="414"/>
      <c r="AH37" s="414"/>
      <c r="AI37" s="414"/>
      <c r="AJ37" s="414"/>
    </row>
    <row r="38" spans="1:36" ht="30" hidden="1" customHeight="1" outlineLevel="1">
      <c r="D38" s="1706"/>
      <c r="E38" s="1707"/>
      <c r="F38" s="425"/>
      <c r="G38" s="426"/>
      <c r="H38" s="427"/>
      <c r="I38" s="1709"/>
      <c r="J38" s="413"/>
      <c r="K38" s="226"/>
      <c r="L38" s="226"/>
      <c r="M38" s="226"/>
      <c r="N38" s="226"/>
      <c r="O38" s="226"/>
      <c r="P38" s="226"/>
      <c r="Q38" s="226"/>
      <c r="R38" s="373"/>
      <c r="S38" s="373"/>
      <c r="T38" s="373"/>
      <c r="U38" s="373"/>
      <c r="V38" s="373"/>
      <c r="W38" s="1710"/>
      <c r="X38" s="420">
        <f t="shared" si="0"/>
        <v>0</v>
      </c>
      <c r="Y38" s="421">
        <f t="shared" si="0"/>
        <v>0</v>
      </c>
      <c r="Z38" s="422">
        <f t="shared" si="0"/>
        <v>0</v>
      </c>
      <c r="AA38" s="283"/>
      <c r="AB38" s="423" t="str">
        <f t="shared" si="1"/>
        <v>円/0</v>
      </c>
      <c r="AC38" s="424">
        <f t="shared" si="2"/>
        <v>0</v>
      </c>
      <c r="AD38" s="414"/>
      <c r="AE38" s="414"/>
      <c r="AF38" s="414"/>
      <c r="AG38" s="414"/>
      <c r="AH38" s="414"/>
      <c r="AI38" s="414"/>
      <c r="AJ38" s="414"/>
    </row>
    <row r="39" spans="1:36" ht="30" hidden="1" customHeight="1" outlineLevel="1">
      <c r="D39" s="1706"/>
      <c r="E39" s="1707"/>
      <c r="F39" s="425"/>
      <c r="G39" s="426"/>
      <c r="H39" s="427"/>
      <c r="I39" s="1709"/>
      <c r="J39" s="413"/>
      <c r="K39" s="226"/>
      <c r="L39" s="226"/>
      <c r="M39" s="226"/>
      <c r="N39" s="226"/>
      <c r="O39" s="226"/>
      <c r="P39" s="226"/>
      <c r="Q39" s="226"/>
      <c r="R39" s="373"/>
      <c r="S39" s="373"/>
      <c r="T39" s="373"/>
      <c r="U39" s="373"/>
      <c r="V39" s="373"/>
      <c r="W39" s="1710"/>
      <c r="X39" s="420">
        <f t="shared" si="0"/>
        <v>0</v>
      </c>
      <c r="Y39" s="421">
        <f t="shared" si="0"/>
        <v>0</v>
      </c>
      <c r="Z39" s="422">
        <f t="shared" si="0"/>
        <v>0</v>
      </c>
      <c r="AA39" s="283"/>
      <c r="AB39" s="423" t="str">
        <f t="shared" si="1"/>
        <v>円/0</v>
      </c>
      <c r="AC39" s="424">
        <f t="shared" si="2"/>
        <v>0</v>
      </c>
      <c r="AD39" s="414"/>
      <c r="AE39" s="414"/>
      <c r="AF39" s="414"/>
      <c r="AG39" s="414"/>
      <c r="AH39" s="414"/>
      <c r="AI39" s="414"/>
      <c r="AJ39" s="414"/>
    </row>
    <row r="40" spans="1:36" ht="30" hidden="1" customHeight="1" outlineLevel="1">
      <c r="D40" s="1706"/>
      <c r="E40" s="1707"/>
      <c r="F40" s="425"/>
      <c r="G40" s="426"/>
      <c r="H40" s="427"/>
      <c r="I40" s="1709"/>
      <c r="J40" s="413"/>
      <c r="K40" s="226"/>
      <c r="L40" s="226"/>
      <c r="M40" s="226"/>
      <c r="N40" s="226"/>
      <c r="O40" s="226"/>
      <c r="P40" s="226"/>
      <c r="Q40" s="226"/>
      <c r="R40" s="373"/>
      <c r="S40" s="373"/>
      <c r="T40" s="373"/>
      <c r="U40" s="373"/>
      <c r="V40" s="373"/>
      <c r="W40" s="1710"/>
      <c r="X40" s="420">
        <f t="shared" si="0"/>
        <v>0</v>
      </c>
      <c r="Y40" s="421">
        <f t="shared" si="0"/>
        <v>0</v>
      </c>
      <c r="Z40" s="422">
        <f t="shared" si="0"/>
        <v>0</v>
      </c>
      <c r="AA40" s="283"/>
      <c r="AB40" s="428" t="str">
        <f t="shared" si="1"/>
        <v>円/0</v>
      </c>
      <c r="AC40" s="424">
        <f t="shared" si="2"/>
        <v>0</v>
      </c>
      <c r="AD40" s="414"/>
      <c r="AE40" s="414"/>
      <c r="AF40" s="414"/>
      <c r="AG40" s="414"/>
      <c r="AH40" s="414"/>
      <c r="AI40" s="414"/>
      <c r="AJ40" s="414"/>
    </row>
    <row r="41" spans="1:36" ht="30" hidden="1" customHeight="1" outlineLevel="1">
      <c r="D41" s="1706"/>
      <c r="E41" s="1707"/>
      <c r="F41" s="425"/>
      <c r="G41" s="426"/>
      <c r="H41" s="427"/>
      <c r="I41" s="1709"/>
      <c r="J41" s="413"/>
      <c r="K41" s="226"/>
      <c r="L41" s="226"/>
      <c r="M41" s="226"/>
      <c r="N41" s="226"/>
      <c r="O41" s="226"/>
      <c r="P41" s="226"/>
      <c r="Q41" s="226"/>
      <c r="R41" s="373"/>
      <c r="S41" s="373"/>
      <c r="T41" s="373"/>
      <c r="U41" s="373"/>
      <c r="V41" s="373"/>
      <c r="W41" s="1710"/>
      <c r="X41" s="420">
        <f t="shared" si="0"/>
        <v>0</v>
      </c>
      <c r="Y41" s="421">
        <f t="shared" si="0"/>
        <v>0</v>
      </c>
      <c r="Z41" s="422">
        <f t="shared" si="0"/>
        <v>0</v>
      </c>
      <c r="AA41" s="283"/>
      <c r="AB41" s="428" t="str">
        <f t="shared" si="1"/>
        <v>円/0</v>
      </c>
      <c r="AC41" s="424">
        <f t="shared" si="2"/>
        <v>0</v>
      </c>
      <c r="AD41" s="414"/>
      <c r="AE41" s="414"/>
      <c r="AF41" s="414"/>
      <c r="AG41" s="414"/>
      <c r="AH41" s="414"/>
      <c r="AI41" s="414"/>
      <c r="AJ41" s="414"/>
    </row>
    <row r="42" spans="1:36" ht="30" hidden="1" customHeight="1" outlineLevel="1">
      <c r="D42" s="1706"/>
      <c r="E42" s="1707"/>
      <c r="F42" s="425"/>
      <c r="G42" s="426"/>
      <c r="H42" s="427"/>
      <c r="I42" s="1709"/>
      <c r="J42" s="413"/>
      <c r="K42" s="226"/>
      <c r="L42" s="226"/>
      <c r="M42" s="226"/>
      <c r="N42" s="226"/>
      <c r="O42" s="226"/>
      <c r="P42" s="226"/>
      <c r="Q42" s="226"/>
      <c r="R42" s="373"/>
      <c r="S42" s="373"/>
      <c r="T42" s="373"/>
      <c r="U42" s="373"/>
      <c r="V42" s="373"/>
      <c r="W42" s="1710"/>
      <c r="X42" s="420">
        <f t="shared" si="0"/>
        <v>0</v>
      </c>
      <c r="Y42" s="421">
        <f t="shared" si="0"/>
        <v>0</v>
      </c>
      <c r="Z42" s="422">
        <f t="shared" si="0"/>
        <v>0</v>
      </c>
      <c r="AA42" s="283"/>
      <c r="AB42" s="428" t="str">
        <f t="shared" si="1"/>
        <v>円/0</v>
      </c>
      <c r="AC42" s="424">
        <f t="shared" si="2"/>
        <v>0</v>
      </c>
      <c r="AD42" s="414"/>
      <c r="AE42" s="414"/>
      <c r="AF42" s="414"/>
      <c r="AG42" s="414"/>
      <c r="AH42" s="414"/>
      <c r="AI42" s="414"/>
      <c r="AJ42" s="414"/>
    </row>
    <row r="43" spans="1:36" ht="30" hidden="1" customHeight="1" outlineLevel="1">
      <c r="D43" s="1706"/>
      <c r="E43" s="1707"/>
      <c r="F43" s="425"/>
      <c r="G43" s="426"/>
      <c r="H43" s="427"/>
      <c r="I43" s="1709"/>
      <c r="J43" s="413"/>
      <c r="K43" s="226"/>
      <c r="L43" s="226"/>
      <c r="M43" s="226"/>
      <c r="N43" s="226"/>
      <c r="O43" s="226"/>
      <c r="P43" s="226"/>
      <c r="Q43" s="226"/>
      <c r="R43" s="373"/>
      <c r="S43" s="373"/>
      <c r="T43" s="373"/>
      <c r="U43" s="373"/>
      <c r="V43" s="373"/>
      <c r="W43" s="1710"/>
      <c r="X43" s="420">
        <f t="shared" si="0"/>
        <v>0</v>
      </c>
      <c r="Y43" s="421">
        <f t="shared" si="0"/>
        <v>0</v>
      </c>
      <c r="Z43" s="422">
        <f t="shared" si="0"/>
        <v>0</v>
      </c>
      <c r="AA43" s="283"/>
      <c r="AB43" s="428" t="str">
        <f t="shared" si="1"/>
        <v>円/0</v>
      </c>
      <c r="AC43" s="424">
        <f t="shared" si="2"/>
        <v>0</v>
      </c>
      <c r="AD43" s="414"/>
      <c r="AE43" s="414"/>
      <c r="AF43" s="414"/>
      <c r="AG43" s="414"/>
      <c r="AH43" s="414"/>
      <c r="AI43" s="414"/>
      <c r="AJ43" s="414"/>
    </row>
    <row r="44" spans="1:36" ht="30" hidden="1" customHeight="1" outlineLevel="1">
      <c r="D44" s="1706"/>
      <c r="E44" s="1707"/>
      <c r="F44" s="425"/>
      <c r="G44" s="426"/>
      <c r="H44" s="427"/>
      <c r="I44" s="1709"/>
      <c r="J44" s="413"/>
      <c r="K44" s="226"/>
      <c r="L44" s="226"/>
      <c r="M44" s="226"/>
      <c r="N44" s="226"/>
      <c r="O44" s="226"/>
      <c r="P44" s="226"/>
      <c r="Q44" s="226"/>
      <c r="R44" s="373"/>
      <c r="S44" s="373"/>
      <c r="T44" s="373"/>
      <c r="U44" s="373"/>
      <c r="V44" s="373"/>
      <c r="W44" s="1710"/>
      <c r="X44" s="420">
        <f t="shared" si="0"/>
        <v>0</v>
      </c>
      <c r="Y44" s="421">
        <f t="shared" si="0"/>
        <v>0</v>
      </c>
      <c r="Z44" s="422">
        <f t="shared" si="0"/>
        <v>0</v>
      </c>
      <c r="AA44" s="283"/>
      <c r="AB44" s="428" t="str">
        <f t="shared" si="1"/>
        <v>円/0</v>
      </c>
      <c r="AC44" s="424">
        <f t="shared" si="2"/>
        <v>0</v>
      </c>
      <c r="AD44" s="414"/>
      <c r="AE44" s="414"/>
      <c r="AF44" s="414"/>
      <c r="AG44" s="414"/>
      <c r="AH44" s="414"/>
      <c r="AI44" s="414"/>
      <c r="AJ44" s="414"/>
    </row>
    <row r="45" spans="1:36" ht="30" hidden="1" customHeight="1" outlineLevel="1">
      <c r="D45" s="1706"/>
      <c r="E45" s="1707"/>
      <c r="F45" s="425"/>
      <c r="G45" s="426"/>
      <c r="H45" s="427"/>
      <c r="I45" s="1709"/>
      <c r="J45" s="413"/>
      <c r="K45" s="226"/>
      <c r="L45" s="226"/>
      <c r="M45" s="226"/>
      <c r="N45" s="226"/>
      <c r="O45" s="226"/>
      <c r="P45" s="226"/>
      <c r="Q45" s="226"/>
      <c r="R45" s="373"/>
      <c r="S45" s="373"/>
      <c r="T45" s="373"/>
      <c r="U45" s="373"/>
      <c r="V45" s="373"/>
      <c r="W45" s="1710"/>
      <c r="X45" s="420">
        <f t="shared" si="0"/>
        <v>0</v>
      </c>
      <c r="Y45" s="421">
        <f t="shared" si="0"/>
        <v>0</v>
      </c>
      <c r="Z45" s="422">
        <f t="shared" si="0"/>
        <v>0</v>
      </c>
      <c r="AA45" s="283"/>
      <c r="AB45" s="428" t="str">
        <f t="shared" si="1"/>
        <v>円/0</v>
      </c>
      <c r="AC45" s="424">
        <f t="shared" si="2"/>
        <v>0</v>
      </c>
      <c r="AD45" s="414"/>
      <c r="AE45" s="414"/>
      <c r="AF45" s="414"/>
      <c r="AG45" s="414"/>
      <c r="AH45" s="414"/>
      <c r="AI45" s="414"/>
      <c r="AJ45" s="414"/>
    </row>
    <row r="46" spans="1:36" ht="30" hidden="1" customHeight="1" outlineLevel="1" thickBot="1">
      <c r="D46" s="1706"/>
      <c r="E46" s="1707"/>
      <c r="F46" s="429"/>
      <c r="G46" s="430"/>
      <c r="H46" s="431"/>
      <c r="I46" s="1709"/>
      <c r="J46" s="413"/>
      <c r="K46" s="226"/>
      <c r="L46" s="226"/>
      <c r="M46" s="226"/>
      <c r="N46" s="226"/>
      <c r="O46" s="226"/>
      <c r="P46" s="226"/>
      <c r="Q46" s="226"/>
      <c r="R46" s="373"/>
      <c r="S46" s="373"/>
      <c r="T46" s="373"/>
      <c r="U46" s="373"/>
      <c r="V46" s="373"/>
      <c r="W46" s="1710"/>
      <c r="X46" s="420">
        <f t="shared" si="0"/>
        <v>0</v>
      </c>
      <c r="Y46" s="421">
        <f t="shared" si="0"/>
        <v>0</v>
      </c>
      <c r="Z46" s="422">
        <f t="shared" si="0"/>
        <v>0</v>
      </c>
      <c r="AA46" s="432"/>
      <c r="AB46" s="433" t="str">
        <f t="shared" si="1"/>
        <v>円/0</v>
      </c>
      <c r="AC46" s="424">
        <f t="shared" si="2"/>
        <v>0</v>
      </c>
      <c r="AD46" s="414"/>
      <c r="AE46" s="414"/>
      <c r="AF46" s="414"/>
      <c r="AG46" s="414"/>
      <c r="AH46" s="414"/>
      <c r="AI46" s="414"/>
      <c r="AJ46" s="414"/>
    </row>
    <row r="47" spans="1:36" ht="30" customHeight="1" thickTop="1">
      <c r="A47" s="50"/>
      <c r="B47" s="50"/>
      <c r="C47" s="434" t="s">
        <v>310</v>
      </c>
      <c r="D47" s="435"/>
      <c r="E47" s="436"/>
      <c r="F47" s="437"/>
      <c r="G47" s="438"/>
      <c r="H47" s="438"/>
      <c r="I47" s="439"/>
      <c r="J47" s="50"/>
      <c r="K47" s="50"/>
      <c r="L47" s="50"/>
      <c r="M47" s="50"/>
      <c r="N47" s="50"/>
      <c r="O47" s="50"/>
      <c r="P47" s="50"/>
      <c r="Q47" s="50"/>
      <c r="R47" s="367"/>
      <c r="S47" s="367"/>
      <c r="T47" s="367"/>
      <c r="U47" s="367"/>
      <c r="V47" s="368"/>
      <c r="W47" s="1702" t="s">
        <v>311</v>
      </c>
      <c r="X47" s="1702"/>
      <c r="Y47" s="1711"/>
      <c r="Z47" s="1712"/>
      <c r="AA47" s="1698"/>
      <c r="AB47" s="1699"/>
      <c r="AC47" s="410">
        <f>SUM(AC32:AC46)</f>
        <v>0</v>
      </c>
      <c r="AD47" s="180"/>
      <c r="AE47" s="180"/>
      <c r="AF47" s="180"/>
      <c r="AG47" s="180"/>
      <c r="AH47" s="180"/>
      <c r="AI47" s="414"/>
      <c r="AJ47" s="414"/>
    </row>
    <row r="48" spans="1:36" ht="30" customHeight="1">
      <c r="A48" s="50"/>
      <c r="B48" s="50"/>
      <c r="C48" s="434"/>
      <c r="D48" s="434"/>
      <c r="E48" s="440"/>
      <c r="F48" s="440"/>
      <c r="G48" s="441"/>
      <c r="H48" s="441"/>
      <c r="I48" s="183"/>
      <c r="J48" s="50"/>
      <c r="K48" s="50"/>
      <c r="L48" s="50"/>
      <c r="M48" s="50"/>
      <c r="N48" s="50"/>
      <c r="O48" s="50"/>
      <c r="P48" s="50"/>
      <c r="Q48" s="50"/>
      <c r="R48" s="368"/>
      <c r="S48" s="368"/>
      <c r="T48" s="368"/>
      <c r="U48" s="368"/>
      <c r="V48" s="368"/>
      <c r="W48" s="442"/>
      <c r="X48" s="442"/>
      <c r="Y48" s="397"/>
      <c r="Z48" s="397"/>
      <c r="AA48" s="397"/>
      <c r="AB48" s="397"/>
    </row>
    <row r="49" spans="1:35" ht="14.25" hidden="1" customHeight="1">
      <c r="A49" s="297"/>
      <c r="B49" s="394"/>
      <c r="C49" s="153" t="s">
        <v>312</v>
      </c>
      <c r="D49" s="134"/>
      <c r="E49" s="134"/>
      <c r="F49" s="134"/>
      <c r="G49" s="134"/>
      <c r="H49" s="134"/>
      <c r="I49" s="134"/>
      <c r="J49" s="297"/>
      <c r="K49" s="297"/>
      <c r="L49" s="297"/>
      <c r="M49" s="297"/>
      <c r="N49" s="297"/>
      <c r="O49" s="297"/>
      <c r="P49" s="297"/>
      <c r="Q49" s="297"/>
      <c r="W49" s="153" t="s">
        <v>313</v>
      </c>
      <c r="X49" s="397"/>
      <c r="Y49" s="397"/>
      <c r="Z49" s="397"/>
      <c r="AA49" s="397"/>
      <c r="AB49" s="397"/>
    </row>
    <row r="50" spans="1:35" ht="14.25" hidden="1" customHeight="1" thickBot="1">
      <c r="A50" s="297"/>
      <c r="B50" s="394"/>
      <c r="C50" s="153"/>
      <c r="D50" s="134"/>
      <c r="E50" s="134"/>
      <c r="F50" s="134"/>
      <c r="G50" s="134"/>
      <c r="H50" s="134"/>
      <c r="I50" s="134"/>
      <c r="J50" s="297"/>
      <c r="K50" s="297"/>
      <c r="L50" s="297"/>
      <c r="M50" s="297"/>
      <c r="N50" s="297"/>
      <c r="O50" s="297"/>
      <c r="P50" s="297"/>
      <c r="Q50" s="297"/>
      <c r="W50" s="397"/>
      <c r="X50" s="397"/>
      <c r="Y50" s="397"/>
      <c r="Z50" s="397"/>
      <c r="AA50" s="397"/>
      <c r="AB50" s="397"/>
    </row>
    <row r="51" spans="1:35" ht="14.25" hidden="1" customHeight="1">
      <c r="C51" s="398"/>
      <c r="D51" s="1430" t="s">
        <v>301</v>
      </c>
      <c r="E51" s="1431"/>
      <c r="F51" s="1454"/>
      <c r="G51" s="1713" t="s">
        <v>164</v>
      </c>
      <c r="H51" s="443"/>
      <c r="I51" s="1687" t="s">
        <v>302</v>
      </c>
      <c r="W51" s="397"/>
      <c r="X51" s="397"/>
      <c r="Y51" s="397"/>
      <c r="Z51" s="397"/>
      <c r="AA51" s="397"/>
      <c r="AB51" s="397"/>
    </row>
    <row r="52" spans="1:35" ht="14.25" hidden="1" customHeight="1">
      <c r="C52" s="398"/>
      <c r="D52" s="1683"/>
      <c r="E52" s="1684"/>
      <c r="F52" s="1685"/>
      <c r="G52" s="1714"/>
      <c r="H52" s="1690" t="s">
        <v>165</v>
      </c>
      <c r="I52" s="1688"/>
      <c r="W52" s="180"/>
      <c r="X52" s="180"/>
      <c r="Y52" s="180"/>
      <c r="Z52" s="180"/>
      <c r="AA52" s="180"/>
      <c r="AB52" s="180"/>
      <c r="AC52" s="180"/>
      <c r="AD52" s="180"/>
      <c r="AE52" s="180"/>
      <c r="AF52" s="180"/>
      <c r="AG52" s="180"/>
      <c r="AH52" s="180"/>
      <c r="AI52" s="180"/>
    </row>
    <row r="53" spans="1:35" ht="14.25" hidden="1" customHeight="1" thickBot="1">
      <c r="D53" s="1433"/>
      <c r="E53" s="1434"/>
      <c r="F53" s="1686"/>
      <c r="G53" s="1715"/>
      <c r="H53" s="1691"/>
      <c r="I53" s="1716"/>
    </row>
    <row r="54" spans="1:35" ht="30" hidden="1" customHeight="1" thickTop="1" thickBot="1">
      <c r="D54" s="1717" t="s">
        <v>303</v>
      </c>
      <c r="E54" s="1693"/>
      <c r="F54" s="400" t="s">
        <v>304</v>
      </c>
      <c r="G54" s="444"/>
      <c r="H54" s="402" t="s">
        <v>314</v>
      </c>
      <c r="I54" s="445"/>
      <c r="J54" s="404"/>
      <c r="K54" s="226"/>
      <c r="L54" s="226"/>
      <c r="M54" s="226"/>
      <c r="N54" s="226"/>
      <c r="O54" s="226"/>
      <c r="P54" s="226"/>
      <c r="Q54" s="226"/>
      <c r="R54" s="387"/>
      <c r="S54" s="387"/>
      <c r="T54" s="387"/>
      <c r="U54" s="387"/>
      <c r="V54" s="387"/>
      <c r="W54" s="1721"/>
      <c r="X54" s="1722"/>
      <c r="Y54" s="1700"/>
      <c r="Z54" s="1701"/>
      <c r="AA54" s="1700"/>
      <c r="AB54" s="1701"/>
      <c r="AC54" s="278" t="s">
        <v>215</v>
      </c>
    </row>
    <row r="55" spans="1:35" ht="30" hidden="1" customHeight="1" thickTop="1">
      <c r="D55" s="1694"/>
      <c r="E55" s="1695"/>
      <c r="F55" s="446"/>
      <c r="G55" s="447"/>
      <c r="H55" s="448"/>
      <c r="I55" s="449"/>
      <c r="J55" s="413"/>
      <c r="K55" s="226"/>
      <c r="L55" s="226"/>
      <c r="M55" s="226"/>
      <c r="N55" s="226"/>
      <c r="O55" s="226"/>
      <c r="P55" s="226"/>
      <c r="Q55" s="226"/>
      <c r="R55" s="387"/>
      <c r="S55" s="387"/>
      <c r="T55" s="387"/>
      <c r="U55" s="387"/>
      <c r="V55" s="387"/>
      <c r="W55" s="1718" t="s">
        <v>315</v>
      </c>
      <c r="X55" s="1719"/>
      <c r="Y55" s="1700"/>
      <c r="Z55" s="1701"/>
      <c r="AA55" s="1700"/>
      <c r="AB55" s="1701"/>
      <c r="AC55" s="410">
        <f>IF(OR(I54="",I54=0),SUM(I55:I69),I54)</f>
        <v>0</v>
      </c>
    </row>
    <row r="56" spans="1:35" ht="30" hidden="1" customHeight="1">
      <c r="D56" s="1694"/>
      <c r="E56" s="1695"/>
      <c r="F56" s="446"/>
      <c r="G56" s="447"/>
      <c r="H56" s="448"/>
      <c r="I56" s="412"/>
      <c r="J56" s="413"/>
      <c r="K56" s="226"/>
      <c r="L56" s="226"/>
      <c r="M56" s="226"/>
      <c r="N56" s="226"/>
      <c r="O56" s="226"/>
      <c r="P56" s="226"/>
      <c r="Q56" s="226"/>
      <c r="R56" s="387"/>
      <c r="S56" s="387"/>
      <c r="T56" s="387"/>
      <c r="U56" s="387"/>
      <c r="V56" s="387"/>
    </row>
    <row r="57" spans="1:35" ht="30" hidden="1" customHeight="1">
      <c r="D57" s="1694"/>
      <c r="E57" s="1695"/>
      <c r="F57" s="446"/>
      <c r="G57" s="447"/>
      <c r="H57" s="448"/>
      <c r="I57" s="412"/>
      <c r="J57" s="413"/>
      <c r="K57" s="226"/>
      <c r="L57" s="226"/>
      <c r="M57" s="226"/>
      <c r="N57" s="226"/>
      <c r="O57" s="226"/>
      <c r="P57" s="226"/>
      <c r="Q57" s="226"/>
      <c r="R57" s="387"/>
      <c r="S57" s="387"/>
      <c r="T57" s="387"/>
      <c r="U57" s="387"/>
      <c r="V57" s="387"/>
    </row>
    <row r="58" spans="1:35" ht="30" hidden="1" customHeight="1" collapsed="1">
      <c r="D58" s="1694"/>
      <c r="E58" s="1695"/>
      <c r="F58" s="446"/>
      <c r="G58" s="447"/>
      <c r="H58" s="448"/>
      <c r="I58" s="412"/>
      <c r="J58" s="413"/>
      <c r="K58" s="226"/>
      <c r="L58" s="226"/>
      <c r="M58" s="226"/>
      <c r="N58" s="226"/>
      <c r="O58" s="226"/>
      <c r="P58" s="226"/>
      <c r="Q58" s="226"/>
      <c r="R58" s="387"/>
      <c r="S58" s="387"/>
      <c r="T58" s="387"/>
      <c r="U58" s="387"/>
      <c r="V58" s="387"/>
    </row>
    <row r="59" spans="1:35" ht="30" hidden="1" customHeight="1" outlineLevel="1">
      <c r="D59" s="1694"/>
      <c r="E59" s="1695"/>
      <c r="F59" s="446"/>
      <c r="G59" s="447"/>
      <c r="H59" s="448"/>
      <c r="I59" s="412"/>
      <c r="J59" s="413"/>
      <c r="K59" s="226"/>
      <c r="L59" s="226"/>
      <c r="M59" s="226"/>
      <c r="N59" s="226"/>
      <c r="O59" s="226"/>
      <c r="P59" s="226"/>
      <c r="Q59" s="226"/>
      <c r="R59" s="387"/>
      <c r="S59" s="387"/>
      <c r="T59" s="387"/>
      <c r="U59" s="387"/>
      <c r="V59" s="387"/>
    </row>
    <row r="60" spans="1:35" ht="30" hidden="1" customHeight="1" outlineLevel="1">
      <c r="D60" s="1694"/>
      <c r="E60" s="1695"/>
      <c r="F60" s="446"/>
      <c r="G60" s="447"/>
      <c r="H60" s="448"/>
      <c r="I60" s="412"/>
      <c r="J60" s="413"/>
      <c r="K60" s="226"/>
      <c r="L60" s="226"/>
      <c r="M60" s="226"/>
      <c r="N60" s="226"/>
      <c r="O60" s="226"/>
      <c r="P60" s="226"/>
      <c r="Q60" s="226"/>
      <c r="R60" s="387"/>
      <c r="S60" s="387"/>
      <c r="T60" s="387"/>
      <c r="U60" s="387"/>
      <c r="V60" s="387"/>
    </row>
    <row r="61" spans="1:35" ht="30" hidden="1" customHeight="1" outlineLevel="1">
      <c r="D61" s="1694"/>
      <c r="E61" s="1695"/>
      <c r="F61" s="446"/>
      <c r="G61" s="447"/>
      <c r="H61" s="448"/>
      <c r="I61" s="412"/>
      <c r="J61" s="413"/>
      <c r="K61" s="226"/>
      <c r="L61" s="226"/>
      <c r="M61" s="226"/>
      <c r="N61" s="226"/>
      <c r="O61" s="226"/>
      <c r="P61" s="226"/>
      <c r="Q61" s="226"/>
      <c r="R61" s="387"/>
      <c r="S61" s="387"/>
      <c r="T61" s="387"/>
      <c r="U61" s="387"/>
      <c r="V61" s="387"/>
    </row>
    <row r="62" spans="1:35" ht="30" hidden="1" customHeight="1" outlineLevel="1">
      <c r="D62" s="1694"/>
      <c r="E62" s="1695"/>
      <c r="F62" s="446"/>
      <c r="G62" s="447"/>
      <c r="H62" s="448"/>
      <c r="I62" s="412"/>
      <c r="J62" s="413"/>
      <c r="K62" s="226"/>
      <c r="L62" s="226"/>
      <c r="M62" s="226"/>
      <c r="N62" s="226"/>
      <c r="O62" s="226"/>
      <c r="P62" s="226"/>
      <c r="Q62" s="226"/>
      <c r="R62" s="387"/>
      <c r="S62" s="387"/>
      <c r="T62" s="387"/>
      <c r="U62" s="387"/>
      <c r="V62" s="387"/>
    </row>
    <row r="63" spans="1:35" ht="30" hidden="1" customHeight="1" outlineLevel="1">
      <c r="D63" s="1694"/>
      <c r="E63" s="1695"/>
      <c r="F63" s="446"/>
      <c r="G63" s="447"/>
      <c r="H63" s="448"/>
      <c r="I63" s="412"/>
      <c r="J63" s="413"/>
      <c r="K63" s="226"/>
      <c r="L63" s="226"/>
      <c r="M63" s="226"/>
      <c r="N63" s="226"/>
      <c r="O63" s="226"/>
      <c r="P63" s="226"/>
      <c r="Q63" s="226"/>
      <c r="R63" s="387"/>
      <c r="S63" s="387"/>
      <c r="T63" s="387"/>
      <c r="U63" s="387"/>
      <c r="V63" s="387"/>
    </row>
    <row r="64" spans="1:35" ht="30" hidden="1" customHeight="1" outlineLevel="1">
      <c r="D64" s="1694"/>
      <c r="E64" s="1695"/>
      <c r="F64" s="446"/>
      <c r="G64" s="447"/>
      <c r="H64" s="448"/>
      <c r="I64" s="412"/>
      <c r="J64" s="413"/>
      <c r="K64" s="226"/>
      <c r="L64" s="226"/>
      <c r="M64" s="226"/>
      <c r="N64" s="226"/>
      <c r="O64" s="226"/>
      <c r="P64" s="226"/>
      <c r="Q64" s="226"/>
      <c r="R64" s="387"/>
      <c r="S64" s="387"/>
      <c r="T64" s="387"/>
      <c r="U64" s="387"/>
      <c r="V64" s="387"/>
    </row>
    <row r="65" spans="4:30" ht="30" hidden="1" customHeight="1" outlineLevel="1">
      <c r="D65" s="1694"/>
      <c r="E65" s="1695"/>
      <c r="F65" s="446"/>
      <c r="G65" s="447"/>
      <c r="H65" s="448"/>
      <c r="I65" s="412"/>
      <c r="J65" s="413"/>
      <c r="K65" s="226"/>
      <c r="L65" s="226"/>
      <c r="M65" s="226"/>
      <c r="N65" s="226"/>
      <c r="O65" s="226"/>
      <c r="P65" s="226"/>
      <c r="Q65" s="226"/>
      <c r="R65" s="387"/>
      <c r="S65" s="387"/>
      <c r="T65" s="387"/>
      <c r="U65" s="387"/>
      <c r="V65" s="387"/>
    </row>
    <row r="66" spans="4:30" ht="30" hidden="1" customHeight="1" outlineLevel="1">
      <c r="D66" s="1694"/>
      <c r="E66" s="1695"/>
      <c r="F66" s="446"/>
      <c r="G66" s="447"/>
      <c r="H66" s="448"/>
      <c r="I66" s="412"/>
      <c r="J66" s="413"/>
      <c r="K66" s="226"/>
      <c r="L66" s="226"/>
      <c r="M66" s="226"/>
      <c r="N66" s="226"/>
      <c r="O66" s="226"/>
      <c r="P66" s="226"/>
      <c r="Q66" s="226"/>
      <c r="R66" s="387"/>
      <c r="S66" s="387"/>
      <c r="T66" s="387"/>
      <c r="U66" s="387"/>
      <c r="V66" s="387"/>
    </row>
    <row r="67" spans="4:30" ht="30" hidden="1" customHeight="1" outlineLevel="1">
      <c r="D67" s="1694"/>
      <c r="E67" s="1695"/>
      <c r="F67" s="446"/>
      <c r="G67" s="447"/>
      <c r="H67" s="448"/>
      <c r="I67" s="412"/>
      <c r="J67" s="413"/>
      <c r="K67" s="226"/>
      <c r="L67" s="226"/>
      <c r="M67" s="226"/>
      <c r="N67" s="226"/>
      <c r="O67" s="226"/>
      <c r="P67" s="226"/>
      <c r="Q67" s="226"/>
      <c r="R67" s="387"/>
      <c r="S67" s="387"/>
      <c r="T67" s="387"/>
      <c r="U67" s="387"/>
      <c r="V67" s="387"/>
    </row>
    <row r="68" spans="4:30" ht="30" hidden="1" customHeight="1" outlineLevel="1">
      <c r="D68" s="1694"/>
      <c r="E68" s="1695"/>
      <c r="F68" s="446"/>
      <c r="G68" s="447"/>
      <c r="H68" s="448"/>
      <c r="I68" s="412"/>
      <c r="J68" s="413"/>
      <c r="K68" s="226"/>
      <c r="L68" s="226"/>
      <c r="M68" s="226"/>
      <c r="N68" s="226"/>
      <c r="O68" s="226"/>
      <c r="P68" s="226"/>
      <c r="Q68" s="226"/>
      <c r="R68" s="387"/>
      <c r="S68" s="387"/>
      <c r="T68" s="387"/>
      <c r="U68" s="387"/>
      <c r="V68" s="387"/>
      <c r="W68" s="393" t="s">
        <v>316</v>
      </c>
      <c r="Y68" s="187"/>
      <c r="Z68" s="187"/>
      <c r="AA68" s="187"/>
      <c r="AB68" s="187"/>
    </row>
    <row r="69" spans="4:30" ht="30" hidden="1" customHeight="1" outlineLevel="1" thickBot="1">
      <c r="D69" s="1694"/>
      <c r="E69" s="1695"/>
      <c r="F69" s="405"/>
      <c r="G69" s="450"/>
      <c r="H69" s="415"/>
      <c r="I69" s="451"/>
      <c r="J69" s="413"/>
      <c r="K69" s="226"/>
      <c r="L69" s="226"/>
      <c r="M69" s="226"/>
      <c r="N69" s="226"/>
      <c r="O69" s="226"/>
      <c r="P69" s="226"/>
      <c r="Q69" s="226"/>
      <c r="R69" s="387"/>
      <c r="S69" s="387"/>
      <c r="T69" s="387"/>
      <c r="U69" s="387"/>
      <c r="V69" s="387"/>
      <c r="W69" s="1720" t="s">
        <v>317</v>
      </c>
      <c r="X69" s="1720"/>
      <c r="Y69" s="1720" t="s">
        <v>318</v>
      </c>
      <c r="Z69" s="1720"/>
      <c r="AA69" s="1623" t="s">
        <v>319</v>
      </c>
      <c r="AB69" s="1623"/>
      <c r="AC69" s="452" t="s">
        <v>320</v>
      </c>
      <c r="AD69" s="414"/>
    </row>
    <row r="70" spans="4:30" ht="30" hidden="1" customHeight="1" thickTop="1">
      <c r="D70" s="1704" t="s">
        <v>309</v>
      </c>
      <c r="E70" s="1705"/>
      <c r="F70" s="417"/>
      <c r="G70" s="453"/>
      <c r="H70" s="419"/>
      <c r="I70" s="1725"/>
      <c r="W70" s="1727" t="s">
        <v>309</v>
      </c>
      <c r="X70" s="454">
        <f>F70</f>
        <v>0</v>
      </c>
      <c r="Y70" s="421">
        <f>G70</f>
        <v>0</v>
      </c>
      <c r="Z70" s="455">
        <f>H70</f>
        <v>0</v>
      </c>
      <c r="AA70" s="281"/>
      <c r="AB70" s="433" t="str">
        <f>"円/"&amp;Z70</f>
        <v>円/0</v>
      </c>
      <c r="AC70" s="424">
        <f>ROUND(Y70*AA70,)</f>
        <v>0</v>
      </c>
      <c r="AD70" s="414"/>
    </row>
    <row r="71" spans="4:30" ht="30" hidden="1" customHeight="1">
      <c r="D71" s="1706"/>
      <c r="E71" s="1707"/>
      <c r="F71" s="425"/>
      <c r="G71" s="426"/>
      <c r="H71" s="427"/>
      <c r="I71" s="1709"/>
      <c r="W71" s="1728"/>
      <c r="X71" s="420">
        <f t="shared" ref="X71:Z84" si="3">F71</f>
        <v>0</v>
      </c>
      <c r="Y71" s="421">
        <f t="shared" si="3"/>
        <v>0</v>
      </c>
      <c r="Z71" s="456">
        <f t="shared" si="3"/>
        <v>0</v>
      </c>
      <c r="AA71" s="283"/>
      <c r="AB71" s="428" t="str">
        <f t="shared" ref="AB71:AB84" si="4">"円/"&amp;Z71</f>
        <v>円/0</v>
      </c>
      <c r="AC71" s="424">
        <f t="shared" ref="AC71:AC84" si="5">ROUND(Y71*AA71,)</f>
        <v>0</v>
      </c>
      <c r="AD71" s="414"/>
    </row>
    <row r="72" spans="4:30" ht="30" hidden="1" customHeight="1">
      <c r="D72" s="1706"/>
      <c r="E72" s="1707"/>
      <c r="F72" s="425"/>
      <c r="G72" s="426"/>
      <c r="H72" s="427"/>
      <c r="I72" s="1709"/>
      <c r="W72" s="1728"/>
      <c r="X72" s="420">
        <f t="shared" si="3"/>
        <v>0</v>
      </c>
      <c r="Y72" s="421">
        <f t="shared" si="3"/>
        <v>0</v>
      </c>
      <c r="Z72" s="456">
        <f t="shared" si="3"/>
        <v>0</v>
      </c>
      <c r="AA72" s="283"/>
      <c r="AB72" s="428" t="str">
        <f t="shared" si="4"/>
        <v>円/0</v>
      </c>
      <c r="AC72" s="424">
        <f t="shared" si="5"/>
        <v>0</v>
      </c>
      <c r="AD72" s="414"/>
    </row>
    <row r="73" spans="4:30" ht="30" hidden="1" customHeight="1">
      <c r="D73" s="1706"/>
      <c r="E73" s="1707"/>
      <c r="F73" s="425"/>
      <c r="G73" s="426"/>
      <c r="H73" s="427"/>
      <c r="I73" s="1709"/>
      <c r="W73" s="1728"/>
      <c r="X73" s="420">
        <f t="shared" si="3"/>
        <v>0</v>
      </c>
      <c r="Y73" s="421">
        <f t="shared" si="3"/>
        <v>0</v>
      </c>
      <c r="Z73" s="456">
        <f t="shared" si="3"/>
        <v>0</v>
      </c>
      <c r="AA73" s="283"/>
      <c r="AB73" s="428" t="str">
        <f t="shared" si="4"/>
        <v>円/0</v>
      </c>
      <c r="AC73" s="424">
        <f t="shared" si="5"/>
        <v>0</v>
      </c>
      <c r="AD73" s="414"/>
    </row>
    <row r="74" spans="4:30" ht="30" hidden="1" customHeight="1" collapsed="1">
      <c r="D74" s="1706"/>
      <c r="E74" s="1707"/>
      <c r="F74" s="425"/>
      <c r="G74" s="426"/>
      <c r="H74" s="427"/>
      <c r="I74" s="1709"/>
      <c r="W74" s="1728"/>
      <c r="X74" s="420">
        <f t="shared" si="3"/>
        <v>0</v>
      </c>
      <c r="Y74" s="421">
        <f t="shared" si="3"/>
        <v>0</v>
      </c>
      <c r="Z74" s="456">
        <f t="shared" si="3"/>
        <v>0</v>
      </c>
      <c r="AA74" s="283"/>
      <c r="AB74" s="428" t="str">
        <f t="shared" si="4"/>
        <v>円/0</v>
      </c>
      <c r="AC74" s="424">
        <f t="shared" si="5"/>
        <v>0</v>
      </c>
      <c r="AD74" s="414"/>
    </row>
    <row r="75" spans="4:30" ht="30" hidden="1" customHeight="1" outlineLevel="1">
      <c r="D75" s="1706"/>
      <c r="E75" s="1707"/>
      <c r="F75" s="425"/>
      <c r="G75" s="426"/>
      <c r="H75" s="427"/>
      <c r="I75" s="1709"/>
      <c r="W75" s="1728"/>
      <c r="X75" s="420">
        <f t="shared" si="3"/>
        <v>0</v>
      </c>
      <c r="Y75" s="421">
        <f t="shared" si="3"/>
        <v>0</v>
      </c>
      <c r="Z75" s="456">
        <f t="shared" si="3"/>
        <v>0</v>
      </c>
      <c r="AA75" s="283"/>
      <c r="AB75" s="428" t="str">
        <f t="shared" si="4"/>
        <v>円/0</v>
      </c>
      <c r="AC75" s="424">
        <f t="shared" si="5"/>
        <v>0</v>
      </c>
      <c r="AD75" s="414"/>
    </row>
    <row r="76" spans="4:30" ht="30" hidden="1" customHeight="1" outlineLevel="1">
      <c r="D76" s="1706"/>
      <c r="E76" s="1707"/>
      <c r="F76" s="425"/>
      <c r="G76" s="426"/>
      <c r="H76" s="427"/>
      <c r="I76" s="1709"/>
      <c r="W76" s="1728"/>
      <c r="X76" s="420">
        <f t="shared" si="3"/>
        <v>0</v>
      </c>
      <c r="Y76" s="421">
        <f t="shared" si="3"/>
        <v>0</v>
      </c>
      <c r="Z76" s="456">
        <f t="shared" si="3"/>
        <v>0</v>
      </c>
      <c r="AA76" s="283"/>
      <c r="AB76" s="428" t="str">
        <f t="shared" si="4"/>
        <v>円/0</v>
      </c>
      <c r="AC76" s="424">
        <f t="shared" si="5"/>
        <v>0</v>
      </c>
      <c r="AD76" s="414"/>
    </row>
    <row r="77" spans="4:30" ht="30" hidden="1" customHeight="1" outlineLevel="1">
      <c r="D77" s="1706"/>
      <c r="E77" s="1707"/>
      <c r="F77" s="425"/>
      <c r="G77" s="426"/>
      <c r="H77" s="427"/>
      <c r="I77" s="1709"/>
      <c r="W77" s="1728"/>
      <c r="X77" s="420">
        <f t="shared" si="3"/>
        <v>0</v>
      </c>
      <c r="Y77" s="421">
        <f t="shared" si="3"/>
        <v>0</v>
      </c>
      <c r="Z77" s="456">
        <f t="shared" si="3"/>
        <v>0</v>
      </c>
      <c r="AA77" s="283"/>
      <c r="AB77" s="428" t="str">
        <f t="shared" si="4"/>
        <v>円/0</v>
      </c>
      <c r="AC77" s="424">
        <f t="shared" si="5"/>
        <v>0</v>
      </c>
      <c r="AD77" s="414"/>
    </row>
    <row r="78" spans="4:30" ht="30" hidden="1" customHeight="1" outlineLevel="1">
      <c r="D78" s="1706"/>
      <c r="E78" s="1707"/>
      <c r="F78" s="425"/>
      <c r="G78" s="426"/>
      <c r="H78" s="427"/>
      <c r="I78" s="1709"/>
      <c r="W78" s="1728"/>
      <c r="X78" s="420">
        <f t="shared" si="3"/>
        <v>0</v>
      </c>
      <c r="Y78" s="421">
        <f t="shared" si="3"/>
        <v>0</v>
      </c>
      <c r="Z78" s="456">
        <f t="shared" si="3"/>
        <v>0</v>
      </c>
      <c r="AA78" s="283"/>
      <c r="AB78" s="428" t="str">
        <f t="shared" si="4"/>
        <v>円/0</v>
      </c>
      <c r="AC78" s="424">
        <f t="shared" si="5"/>
        <v>0</v>
      </c>
      <c r="AD78" s="414"/>
    </row>
    <row r="79" spans="4:30" ht="30" hidden="1" customHeight="1" outlineLevel="1">
      <c r="D79" s="1706"/>
      <c r="E79" s="1707"/>
      <c r="F79" s="425"/>
      <c r="G79" s="426"/>
      <c r="H79" s="427"/>
      <c r="I79" s="1709"/>
      <c r="W79" s="1728"/>
      <c r="X79" s="420">
        <f t="shared" si="3"/>
        <v>0</v>
      </c>
      <c r="Y79" s="421">
        <f t="shared" si="3"/>
        <v>0</v>
      </c>
      <c r="Z79" s="456">
        <f t="shared" si="3"/>
        <v>0</v>
      </c>
      <c r="AA79" s="283"/>
      <c r="AB79" s="428" t="str">
        <f t="shared" si="4"/>
        <v>円/0</v>
      </c>
      <c r="AC79" s="424">
        <f t="shared" si="5"/>
        <v>0</v>
      </c>
      <c r="AD79" s="414"/>
    </row>
    <row r="80" spans="4:30" ht="30" hidden="1" customHeight="1" outlineLevel="1">
      <c r="D80" s="1706"/>
      <c r="E80" s="1707"/>
      <c r="F80" s="425"/>
      <c r="G80" s="426"/>
      <c r="H80" s="427"/>
      <c r="I80" s="1709"/>
      <c r="W80" s="1728"/>
      <c r="X80" s="420">
        <f t="shared" si="3"/>
        <v>0</v>
      </c>
      <c r="Y80" s="421">
        <f t="shared" si="3"/>
        <v>0</v>
      </c>
      <c r="Z80" s="456">
        <f t="shared" si="3"/>
        <v>0</v>
      </c>
      <c r="AA80" s="283"/>
      <c r="AB80" s="428" t="str">
        <f t="shared" si="4"/>
        <v>円/0</v>
      </c>
      <c r="AC80" s="424">
        <f t="shared" si="5"/>
        <v>0</v>
      </c>
      <c r="AD80" s="414"/>
    </row>
    <row r="81" spans="1:30" ht="30" hidden="1" customHeight="1" outlineLevel="1">
      <c r="D81" s="1706"/>
      <c r="E81" s="1707"/>
      <c r="F81" s="425"/>
      <c r="G81" s="426"/>
      <c r="H81" s="427"/>
      <c r="I81" s="1709"/>
      <c r="W81" s="1728"/>
      <c r="X81" s="420">
        <f t="shared" si="3"/>
        <v>0</v>
      </c>
      <c r="Y81" s="421">
        <f t="shared" si="3"/>
        <v>0</v>
      </c>
      <c r="Z81" s="456">
        <f t="shared" si="3"/>
        <v>0</v>
      </c>
      <c r="AA81" s="283"/>
      <c r="AB81" s="428" t="str">
        <f t="shared" si="4"/>
        <v>円/0</v>
      </c>
      <c r="AC81" s="424">
        <f t="shared" si="5"/>
        <v>0</v>
      </c>
      <c r="AD81" s="414"/>
    </row>
    <row r="82" spans="1:30" ht="30" hidden="1" customHeight="1" outlineLevel="1">
      <c r="D82" s="1706"/>
      <c r="E82" s="1707"/>
      <c r="F82" s="425"/>
      <c r="G82" s="426"/>
      <c r="H82" s="427"/>
      <c r="I82" s="1709"/>
      <c r="W82" s="1728"/>
      <c r="X82" s="420">
        <f t="shared" si="3"/>
        <v>0</v>
      </c>
      <c r="Y82" s="421">
        <f t="shared" si="3"/>
        <v>0</v>
      </c>
      <c r="Z82" s="456">
        <f t="shared" si="3"/>
        <v>0</v>
      </c>
      <c r="AA82" s="283"/>
      <c r="AB82" s="428" t="str">
        <f t="shared" si="4"/>
        <v>円/0</v>
      </c>
      <c r="AC82" s="424">
        <f t="shared" si="5"/>
        <v>0</v>
      </c>
      <c r="AD82" s="414"/>
    </row>
    <row r="83" spans="1:30" ht="30" hidden="1" customHeight="1" outlineLevel="1">
      <c r="D83" s="1706"/>
      <c r="E83" s="1707"/>
      <c r="F83" s="425"/>
      <c r="G83" s="426"/>
      <c r="H83" s="427"/>
      <c r="I83" s="1709"/>
      <c r="W83" s="1728"/>
      <c r="X83" s="420">
        <f t="shared" si="3"/>
        <v>0</v>
      </c>
      <c r="Y83" s="421">
        <f t="shared" si="3"/>
        <v>0</v>
      </c>
      <c r="Z83" s="456">
        <f t="shared" si="3"/>
        <v>0</v>
      </c>
      <c r="AA83" s="283"/>
      <c r="AB83" s="428" t="str">
        <f t="shared" si="4"/>
        <v>円/0</v>
      </c>
      <c r="AC83" s="424">
        <f t="shared" si="5"/>
        <v>0</v>
      </c>
      <c r="AD83" s="414"/>
    </row>
    <row r="84" spans="1:30" ht="30" hidden="1" customHeight="1" outlineLevel="1" thickBot="1">
      <c r="D84" s="1723"/>
      <c r="E84" s="1724"/>
      <c r="F84" s="457"/>
      <c r="G84" s="458"/>
      <c r="H84" s="459"/>
      <c r="I84" s="1726"/>
      <c r="J84" s="144"/>
      <c r="R84" s="295"/>
      <c r="S84" s="295"/>
      <c r="T84" s="295"/>
      <c r="W84" s="1729"/>
      <c r="X84" s="420">
        <f t="shared" si="3"/>
        <v>0</v>
      </c>
      <c r="Y84" s="421">
        <f t="shared" si="3"/>
        <v>0</v>
      </c>
      <c r="Z84" s="456">
        <f t="shared" si="3"/>
        <v>0</v>
      </c>
      <c r="AA84" s="432"/>
      <c r="AB84" s="433" t="str">
        <f t="shared" si="4"/>
        <v>円/0</v>
      </c>
      <c r="AC84" s="424">
        <f t="shared" si="5"/>
        <v>0</v>
      </c>
      <c r="AD84" s="414"/>
    </row>
    <row r="85" spans="1:30" ht="21" hidden="1" customHeight="1" thickTop="1">
      <c r="D85" s="460"/>
      <c r="E85" s="461"/>
      <c r="F85" s="462"/>
      <c r="G85" s="462"/>
      <c r="H85" s="462"/>
      <c r="I85" s="461"/>
      <c r="J85" s="144"/>
      <c r="R85" s="295"/>
      <c r="S85" s="295"/>
      <c r="T85" s="295"/>
      <c r="W85" s="1718" t="s">
        <v>321</v>
      </c>
      <c r="X85" s="1719"/>
      <c r="Y85" s="1711"/>
      <c r="Z85" s="1712"/>
      <c r="AA85" s="1698"/>
      <c r="AB85" s="1699"/>
      <c r="AC85" s="410">
        <f>SUM(AC70:AC84)</f>
        <v>0</v>
      </c>
      <c r="AD85" s="180"/>
    </row>
    <row r="86" spans="1:30" ht="17.25" customHeight="1">
      <c r="D86" s="290"/>
      <c r="E86" s="144"/>
      <c r="F86" s="144"/>
      <c r="G86" s="144"/>
      <c r="H86" s="144"/>
      <c r="I86" s="144"/>
      <c r="J86" s="144"/>
      <c r="R86" s="295"/>
      <c r="S86" s="295"/>
      <c r="T86" s="295"/>
      <c r="W86" s="442"/>
      <c r="X86" s="442"/>
      <c r="Y86" s="397"/>
      <c r="Z86" s="397"/>
      <c r="AA86" s="397"/>
      <c r="AB86" s="397"/>
    </row>
    <row r="87" spans="1:30" ht="17.25" customHeight="1">
      <c r="D87" s="144"/>
      <c r="E87" s="144"/>
      <c r="F87" s="144"/>
      <c r="G87" s="144"/>
      <c r="I87" s="144"/>
      <c r="J87" s="144"/>
      <c r="R87" s="295"/>
      <c r="S87" s="295"/>
      <c r="T87" s="295"/>
      <c r="W87" s="463"/>
      <c r="X87" s="463"/>
      <c r="Y87" s="464"/>
      <c r="Z87" s="464"/>
      <c r="AA87" s="464"/>
      <c r="AB87" s="464"/>
      <c r="AC87" s="465"/>
      <c r="AD87" s="180"/>
    </row>
    <row r="88" spans="1:30" ht="17.25" customHeight="1">
      <c r="D88" s="144"/>
      <c r="E88" s="144"/>
      <c r="F88" s="144"/>
      <c r="G88" s="144"/>
      <c r="H88" s="144"/>
      <c r="I88" s="144"/>
      <c r="J88" s="144"/>
      <c r="R88" s="295"/>
      <c r="S88" s="295"/>
      <c r="T88" s="295"/>
      <c r="W88" s="442"/>
      <c r="X88" s="442"/>
      <c r="Y88" s="397"/>
      <c r="Z88" s="397"/>
      <c r="AA88" s="397"/>
      <c r="AB88" s="397"/>
    </row>
    <row r="89" spans="1:30" ht="21" customHeight="1">
      <c r="D89" s="144"/>
      <c r="E89" s="144"/>
      <c r="F89" s="144"/>
      <c r="G89" s="144"/>
      <c r="H89" s="144"/>
      <c r="I89" s="144"/>
      <c r="J89" s="144"/>
      <c r="R89" s="295"/>
      <c r="S89" s="295"/>
      <c r="T89" s="295"/>
    </row>
    <row r="90" spans="1:30" ht="30" customHeight="1">
      <c r="D90" s="144"/>
      <c r="E90" s="144"/>
      <c r="F90" s="144"/>
      <c r="G90" s="144"/>
      <c r="H90" s="144"/>
      <c r="I90" s="144"/>
      <c r="J90" s="144"/>
      <c r="R90" s="295"/>
      <c r="S90" s="295"/>
      <c r="T90" s="295"/>
      <c r="W90" s="1721"/>
      <c r="X90" s="1722"/>
      <c r="Y90" s="1700"/>
      <c r="Z90" s="1701"/>
      <c r="AA90" s="1700"/>
      <c r="AB90" s="1701"/>
      <c r="AC90" s="278" t="s">
        <v>215</v>
      </c>
    </row>
    <row r="91" spans="1:30" ht="30" customHeight="1">
      <c r="D91" s="144"/>
      <c r="E91" s="144"/>
      <c r="F91" s="144"/>
      <c r="G91" s="144"/>
      <c r="H91" s="144"/>
      <c r="I91" s="144"/>
      <c r="J91" s="144"/>
      <c r="R91" s="295"/>
      <c r="S91" s="295"/>
      <c r="T91" s="295"/>
      <c r="W91" s="1718" t="s">
        <v>322</v>
      </c>
      <c r="X91" s="1719"/>
      <c r="Y91" s="1700"/>
      <c r="Z91" s="1701"/>
      <c r="AA91" s="1700"/>
      <c r="AB91" s="1701"/>
      <c r="AC91" s="306">
        <f>SUM(AC17,AC55)</f>
        <v>0</v>
      </c>
    </row>
    <row r="92" spans="1:30" ht="30" customHeight="1">
      <c r="D92" s="144"/>
      <c r="E92" s="144"/>
      <c r="F92" s="144"/>
      <c r="G92" s="144"/>
      <c r="H92" s="144"/>
      <c r="I92" s="144"/>
      <c r="J92" s="144"/>
      <c r="R92" s="295"/>
      <c r="S92" s="295"/>
      <c r="T92" s="295"/>
      <c r="W92" s="1718" t="s">
        <v>323</v>
      </c>
      <c r="X92" s="1719"/>
      <c r="Y92" s="1700"/>
      <c r="Z92" s="1701"/>
      <c r="AA92" s="1700"/>
      <c r="AB92" s="1701"/>
      <c r="AC92" s="306">
        <f>SUM(AC47,AC85)</f>
        <v>0</v>
      </c>
    </row>
    <row r="93" spans="1:30" ht="14.25" customHeight="1">
      <c r="D93" s="144"/>
      <c r="E93" s="144"/>
      <c r="F93" s="144"/>
      <c r="G93" s="144"/>
      <c r="H93" s="144"/>
      <c r="I93" s="144"/>
      <c r="J93" s="144"/>
      <c r="R93" s="295"/>
      <c r="S93" s="295"/>
      <c r="T93" s="295"/>
    </row>
    <row r="94" spans="1:30" ht="14.25" customHeight="1">
      <c r="A94" s="144"/>
      <c r="B94" s="144"/>
      <c r="C94" s="144"/>
      <c r="D94" s="144"/>
      <c r="E94" s="144"/>
      <c r="F94" s="144"/>
      <c r="G94" s="144"/>
      <c r="H94" s="144"/>
      <c r="I94" s="144"/>
    </row>
  </sheetData>
  <sheetProtection sheet="1" objects="1" scenarios="1" selectLockedCells="1"/>
  <mergeCells count="49">
    <mergeCell ref="W92:X92"/>
    <mergeCell ref="Y92:Z92"/>
    <mergeCell ref="AA92:AB92"/>
    <mergeCell ref="W90:X90"/>
    <mergeCell ref="Y90:Z90"/>
    <mergeCell ref="AA90:AB90"/>
    <mergeCell ref="W91:X91"/>
    <mergeCell ref="Y91:Z91"/>
    <mergeCell ref="AA91:AB91"/>
    <mergeCell ref="D70:E84"/>
    <mergeCell ref="I70:I84"/>
    <mergeCell ref="W70:W84"/>
    <mergeCell ref="W85:X85"/>
    <mergeCell ref="Y85:Z85"/>
    <mergeCell ref="AA85:AB85"/>
    <mergeCell ref="Y54:Z54"/>
    <mergeCell ref="AA54:AB54"/>
    <mergeCell ref="W55:X55"/>
    <mergeCell ref="Y55:Z55"/>
    <mergeCell ref="AA55:AB55"/>
    <mergeCell ref="W69:X69"/>
    <mergeCell ref="Y69:Z69"/>
    <mergeCell ref="AA69:AB69"/>
    <mergeCell ref="W54:X54"/>
    <mergeCell ref="D51:F53"/>
    <mergeCell ref="G51:G53"/>
    <mergeCell ref="I51:I53"/>
    <mergeCell ref="H52:H53"/>
    <mergeCell ref="D54:E69"/>
    <mergeCell ref="D32:E46"/>
    <mergeCell ref="I32:I46"/>
    <mergeCell ref="W32:W46"/>
    <mergeCell ref="W47:X47"/>
    <mergeCell ref="Y47:Z47"/>
    <mergeCell ref="AA47:AB47"/>
    <mergeCell ref="Y16:Z16"/>
    <mergeCell ref="AA16:AB16"/>
    <mergeCell ref="W17:X17"/>
    <mergeCell ref="Y17:Z17"/>
    <mergeCell ref="AA17:AB17"/>
    <mergeCell ref="W31:X31"/>
    <mergeCell ref="Y31:Z31"/>
    <mergeCell ref="AA31:AB31"/>
    <mergeCell ref="W16:X16"/>
    <mergeCell ref="D13:F15"/>
    <mergeCell ref="G13:G15"/>
    <mergeCell ref="I13:I15"/>
    <mergeCell ref="H14:H15"/>
    <mergeCell ref="D16:E31"/>
  </mergeCells>
  <phoneticPr fontId="5"/>
  <dataValidations count="3">
    <dataValidation type="custom" operator="greaterThan" allowBlank="1" showInputMessage="1" showErrorMessage="1" error="0より大きい小数点第２位までの数値を入力してください。" sqref="AA32:AA46 AA70:AA84" xr:uid="{00000000-0002-0000-0900-000000000000}">
      <formula1>AND(AND(AA32*100=INT(AA32*100)),(AA32&gt;0))</formula1>
    </dataValidation>
    <dataValidation type="whole" operator="greaterThan" allowBlank="1" showInputMessage="1" showErrorMessage="1" error="0より大きい数値を整数で入力してください。" sqref="G17:G46 I16:I31 I54:I69 G55:G84" xr:uid="{00000000-0002-0000-0900-000001000000}">
      <formula1>0</formula1>
    </dataValidation>
    <dataValidation type="textLength" imeMode="hiragana" operator="greaterThanOrEqual" allowBlank="1" showInputMessage="1" showErrorMessage="1" sqref="F17:F46 F55:F84" xr:uid="{00000000-0002-0000-0900-000002000000}">
      <formula1>1</formula1>
    </dataValidation>
  </dataValidations>
  <pageMargins left="0.59055118110236227" right="0.59055118110236227" top="0.59055118110236227" bottom="0.59055118110236227" header="0" footer="0"/>
  <pageSetup paperSize="9" scale="46" orientation="portrait" cellComments="asDisplayed" r:id="rId1"/>
  <headerFooter alignWithMargins="0"/>
  <colBreaks count="1" manualBreakCount="1">
    <brk id="20" max="92" man="1"/>
  </colBreaks>
  <drawing r:id="rId2"/>
  <legacyDrawing r:id="rId3"/>
  <controls>
    <mc:AlternateContent xmlns:mc="http://schemas.openxmlformats.org/markup-compatibility/2006">
      <mc:Choice Requires="x14">
        <control shapeId="7182" r:id="rId4" name="btnKoushin1">
          <controlPr defaultSize="0" print="0" autoLine="0" r:id="rId5">
            <anchor moveWithCells="1">
              <from>
                <xdr:col>8</xdr:col>
                <xdr:colOff>971550</xdr:colOff>
                <xdr:row>9</xdr:row>
                <xdr:rowOff>57150</xdr:rowOff>
              </from>
              <to>
                <xdr:col>12</xdr:col>
                <xdr:colOff>142875</xdr:colOff>
                <xdr:row>11</xdr:row>
                <xdr:rowOff>114300</xdr:rowOff>
              </to>
            </anchor>
          </controlPr>
        </control>
      </mc:Choice>
      <mc:Fallback>
        <control shapeId="7182" r:id="rId4" name="btnKoushin1"/>
      </mc:Fallback>
    </mc:AlternateContent>
    <mc:AlternateContent xmlns:mc="http://schemas.openxmlformats.org/markup-compatibility/2006">
      <mc:Choice Requires="x14">
        <control shapeId="7181" r:id="rId6" name="txt_jikyu">
          <controlPr locked="0" defaultSize="0" print="0" autoLine="0" r:id="rId7">
            <anchor moveWithCells="1">
              <from>
                <xdr:col>7</xdr:col>
                <xdr:colOff>352425</xdr:colOff>
                <xdr:row>10</xdr:row>
                <xdr:rowOff>85725</xdr:rowOff>
              </from>
              <to>
                <xdr:col>8</xdr:col>
                <xdr:colOff>971550</xdr:colOff>
                <xdr:row>11</xdr:row>
                <xdr:rowOff>114300</xdr:rowOff>
              </to>
            </anchor>
          </controlPr>
        </control>
      </mc:Choice>
      <mc:Fallback>
        <control shapeId="7181" r:id="rId6" name="txt_jikyu"/>
      </mc:Fallback>
    </mc:AlternateContent>
    <mc:AlternateContent xmlns:mc="http://schemas.openxmlformats.org/markup-compatibility/2006">
      <mc:Choice Requires="x14">
        <control shapeId="7180" r:id="rId8" name="Label4">
          <controlPr defaultSize="0" print="0" autoLine="0" r:id="rId9">
            <anchor moveWithCells="1">
              <from>
                <xdr:col>7</xdr:col>
                <xdr:colOff>352425</xdr:colOff>
                <xdr:row>9</xdr:row>
                <xdr:rowOff>57150</xdr:rowOff>
              </from>
              <to>
                <xdr:col>8</xdr:col>
                <xdr:colOff>971550</xdr:colOff>
                <xdr:row>10</xdr:row>
                <xdr:rowOff>85725</xdr:rowOff>
              </to>
            </anchor>
          </controlPr>
        </control>
      </mc:Choice>
      <mc:Fallback>
        <control shapeId="7180" r:id="rId8" name="Label4"/>
      </mc:Fallback>
    </mc:AlternateContent>
    <mc:AlternateContent xmlns:mc="http://schemas.openxmlformats.org/markup-compatibility/2006">
      <mc:Choice Requires="x14">
        <control shapeId="7179" r:id="rId10" name="txt_kounyu">
          <controlPr locked="0" defaultSize="0" print="0" autoLine="0" r:id="rId11">
            <anchor moveWithCells="1">
              <from>
                <xdr:col>6</xdr:col>
                <xdr:colOff>666750</xdr:colOff>
                <xdr:row>10</xdr:row>
                <xdr:rowOff>85725</xdr:rowOff>
              </from>
              <to>
                <xdr:col>7</xdr:col>
                <xdr:colOff>352425</xdr:colOff>
                <xdr:row>11</xdr:row>
                <xdr:rowOff>114300</xdr:rowOff>
              </to>
            </anchor>
          </controlPr>
        </control>
      </mc:Choice>
      <mc:Fallback>
        <control shapeId="7179" r:id="rId10" name="txt_kounyu"/>
      </mc:Fallback>
    </mc:AlternateContent>
    <mc:AlternateContent xmlns:mc="http://schemas.openxmlformats.org/markup-compatibility/2006">
      <mc:Choice Requires="x14">
        <control shapeId="7178" r:id="rId12" name="Label3">
          <controlPr defaultSize="0" print="0" autoLine="0" r:id="rId13">
            <anchor moveWithCells="1">
              <from>
                <xdr:col>6</xdr:col>
                <xdr:colOff>666750</xdr:colOff>
                <xdr:row>9</xdr:row>
                <xdr:rowOff>57150</xdr:rowOff>
              </from>
              <to>
                <xdr:col>7</xdr:col>
                <xdr:colOff>352425</xdr:colOff>
                <xdr:row>10</xdr:row>
                <xdr:rowOff>85725</xdr:rowOff>
              </to>
            </anchor>
          </controlPr>
        </control>
      </mc:Choice>
      <mc:Fallback>
        <control shapeId="7178" r:id="rId12" name="Label3"/>
      </mc:Fallback>
    </mc:AlternateContent>
    <mc:AlternateContent xmlns:mc="http://schemas.openxmlformats.org/markup-compatibility/2006">
      <mc:Choice Requires="x14">
        <control shapeId="7177" r:id="rId14" name="Label2">
          <controlPr defaultSize="0" print="0" autoLine="0" r:id="rId15">
            <anchor moveWithCells="1">
              <from>
                <xdr:col>5</xdr:col>
                <xdr:colOff>1181100</xdr:colOff>
                <xdr:row>10</xdr:row>
                <xdr:rowOff>0</xdr:rowOff>
              </from>
              <to>
                <xdr:col>6</xdr:col>
                <xdr:colOff>619125</xdr:colOff>
                <xdr:row>10</xdr:row>
                <xdr:rowOff>171450</xdr:rowOff>
              </to>
            </anchor>
          </controlPr>
        </control>
      </mc:Choice>
      <mc:Fallback>
        <control shapeId="7177" r:id="rId14" name="Label2"/>
      </mc:Fallback>
    </mc:AlternateContent>
    <mc:AlternateContent xmlns:mc="http://schemas.openxmlformats.org/markup-compatibility/2006">
      <mc:Choice Requires="x14">
        <control shapeId="7176" r:id="rId16" name="Label1">
          <controlPr defaultSize="0" print="0" autoLine="0" r:id="rId17">
            <anchor moveWithCells="1">
              <from>
                <xdr:col>5</xdr:col>
                <xdr:colOff>1190625</xdr:colOff>
                <xdr:row>9</xdr:row>
                <xdr:rowOff>57150</xdr:rowOff>
              </from>
              <to>
                <xdr:col>6</xdr:col>
                <xdr:colOff>676275</xdr:colOff>
                <xdr:row>11</xdr:row>
                <xdr:rowOff>114300</xdr:rowOff>
              </to>
            </anchor>
          </controlPr>
        </control>
      </mc:Choice>
      <mc:Fallback>
        <control shapeId="7176" r:id="rId16" name="Label1"/>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3">
    <outlinePr summaryBelow="0"/>
    <pageSetUpPr fitToPage="1"/>
  </sheetPr>
  <dimension ref="A1:BH125"/>
  <sheetViews>
    <sheetView showGridLines="0" zoomScale="80" zoomScaleNormal="80" zoomScaleSheetLayoutView="80" workbookViewId="0">
      <selection activeCell="H11" sqref="H11"/>
    </sheetView>
  </sheetViews>
  <sheetFormatPr defaultColWidth="2.625" defaultRowHeight="14.25" customHeight="1" outlineLevelRow="1" outlineLevelCol="1"/>
  <cols>
    <col min="1" max="4" width="2.625" style="295" customWidth="1"/>
    <col min="5" max="5" width="22.375" style="295" customWidth="1"/>
    <col min="6" max="6" width="20" style="295" customWidth="1"/>
    <col min="7" max="7" width="4.625" style="295" customWidth="1"/>
    <col min="8" max="8" width="20" style="295" customWidth="1"/>
    <col min="9" max="9" width="12.375" style="295" customWidth="1"/>
    <col min="10" max="16" width="2.625" style="295" customWidth="1"/>
    <col min="17" max="17" width="0.75" style="295" customWidth="1"/>
    <col min="18" max="18" width="2.625" style="295" customWidth="1"/>
    <col min="19" max="19" width="2.625" style="506" customWidth="1"/>
    <col min="20" max="22" width="2.625" style="295" customWidth="1"/>
    <col min="23" max="28" width="2.625" style="295" customWidth="1" outlineLevel="1"/>
    <col min="29" max="29" width="4.75" style="295" customWidth="1" outlineLevel="1"/>
    <col min="30" max="30" width="15.25" style="295" customWidth="1" outlineLevel="1"/>
    <col min="31" max="32" width="12.625" style="295" customWidth="1" outlineLevel="1"/>
    <col min="33" max="33" width="17.375" style="295" customWidth="1" outlineLevel="1"/>
    <col min="34" max="48" width="2.625" style="295" customWidth="1"/>
    <col min="49" max="49" width="2.625" style="209" customWidth="1"/>
    <col min="50" max="74" width="2.625" style="295" customWidth="1"/>
    <col min="75" max="16384" width="2.625" style="295"/>
  </cols>
  <sheetData>
    <row r="1" spans="2:52" ht="28.5" customHeight="1">
      <c r="S1" s="466"/>
      <c r="AB1" s="186" t="s">
        <v>246</v>
      </c>
      <c r="AC1" s="467"/>
      <c r="AW1" s="468"/>
      <c r="AX1" s="467"/>
    </row>
    <row r="2" spans="2:52" s="297" customFormat="1" ht="18" customHeight="1">
      <c r="B2" s="130" t="s">
        <v>324</v>
      </c>
      <c r="C2" s="134"/>
      <c r="D2" s="134"/>
      <c r="E2" s="134"/>
      <c r="F2" s="134"/>
      <c r="G2" s="134"/>
      <c r="H2" s="134"/>
      <c r="S2" s="466"/>
      <c r="T2" s="295"/>
      <c r="U2" s="295"/>
      <c r="V2" s="295"/>
      <c r="W2" s="295"/>
      <c r="X2" s="295"/>
      <c r="Y2" s="295"/>
      <c r="Z2" s="295"/>
      <c r="AA2" s="295"/>
      <c r="AC2" s="130" t="s">
        <v>324</v>
      </c>
      <c r="AD2" s="295"/>
      <c r="AE2" s="295"/>
      <c r="AF2" s="295"/>
      <c r="AG2" s="295"/>
      <c r="AH2" s="295"/>
      <c r="AI2" s="295"/>
      <c r="AJ2" s="295"/>
      <c r="AK2" s="295"/>
      <c r="AL2" s="295"/>
      <c r="AM2" s="295"/>
      <c r="AN2" s="295"/>
      <c r="AO2" s="295"/>
      <c r="AP2" s="295"/>
      <c r="AQ2" s="295"/>
      <c r="AR2" s="295"/>
      <c r="AS2" s="295"/>
      <c r="AT2" s="295"/>
      <c r="AU2" s="295"/>
      <c r="AV2" s="295"/>
      <c r="AW2" s="209"/>
      <c r="AX2" s="295"/>
      <c r="AY2" s="295"/>
      <c r="AZ2" s="295"/>
    </row>
    <row r="3" spans="2:52" s="297" customFormat="1" ht="14.25" customHeight="1">
      <c r="B3" s="396" t="s">
        <v>325</v>
      </c>
      <c r="C3" s="396"/>
      <c r="D3" s="469"/>
      <c r="E3" s="246"/>
      <c r="F3" s="246"/>
      <c r="G3" s="246"/>
      <c r="H3" s="246"/>
      <c r="I3" s="395"/>
      <c r="S3" s="466"/>
      <c r="T3" s="295"/>
      <c r="U3" s="295"/>
      <c r="V3" s="295"/>
      <c r="W3" s="295"/>
      <c r="X3" s="295"/>
      <c r="Y3" s="295"/>
      <c r="Z3" s="295"/>
      <c r="AA3" s="295"/>
      <c r="AB3" s="295"/>
      <c r="AC3" s="467"/>
      <c r="AD3" s="295"/>
      <c r="AE3" s="295"/>
      <c r="AF3" s="295"/>
      <c r="AG3" s="295"/>
      <c r="AH3" s="295"/>
      <c r="AI3" s="295"/>
      <c r="AJ3" s="295"/>
      <c r="AK3" s="295"/>
      <c r="AL3" s="295"/>
      <c r="AM3" s="295"/>
      <c r="AN3" s="295"/>
      <c r="AO3" s="295"/>
      <c r="AP3" s="295"/>
      <c r="AQ3" s="295"/>
      <c r="AR3" s="295"/>
      <c r="AS3" s="295"/>
      <c r="AT3" s="295"/>
      <c r="AU3" s="295"/>
      <c r="AV3" s="295"/>
      <c r="AW3" s="209"/>
      <c r="AX3" s="295"/>
      <c r="AY3" s="295"/>
      <c r="AZ3" s="295"/>
    </row>
    <row r="4" spans="2:52" s="297" customFormat="1" ht="14.25" customHeight="1">
      <c r="B4" s="396" t="s">
        <v>326</v>
      </c>
      <c r="C4" s="396"/>
      <c r="D4" s="469"/>
      <c r="E4" s="246"/>
      <c r="F4" s="246"/>
      <c r="G4" s="246"/>
      <c r="H4" s="246"/>
      <c r="I4" s="395"/>
      <c r="S4" s="466"/>
      <c r="T4" s="2"/>
      <c r="U4" s="2"/>
      <c r="V4" s="2"/>
      <c r="W4" s="2"/>
      <c r="X4" s="2"/>
      <c r="Y4" s="2"/>
      <c r="Z4" s="2"/>
      <c r="AA4" s="2"/>
      <c r="AB4" s="295"/>
      <c r="AC4" s="467"/>
      <c r="AD4" s="295"/>
      <c r="AE4" s="295"/>
      <c r="AF4" s="295"/>
      <c r="AG4" s="295"/>
      <c r="AH4" s="295"/>
      <c r="AI4" s="295"/>
      <c r="AJ4" s="295"/>
      <c r="AR4" s="2"/>
      <c r="AS4" s="2"/>
      <c r="AT4" s="2"/>
      <c r="AU4" s="2"/>
      <c r="AV4" s="2"/>
      <c r="AW4" s="2"/>
      <c r="AX4" s="2"/>
      <c r="AY4" s="2"/>
      <c r="AZ4" s="2"/>
    </row>
    <row r="5" spans="2:52" s="297" customFormat="1" ht="14.25" customHeight="1">
      <c r="B5" s="247" t="s">
        <v>327</v>
      </c>
      <c r="C5" s="247"/>
      <c r="D5" s="247"/>
      <c r="E5" s="247"/>
      <c r="F5" s="246"/>
      <c r="G5" s="246"/>
      <c r="H5" s="246"/>
      <c r="I5" s="395"/>
      <c r="S5" s="466"/>
      <c r="T5" s="295"/>
      <c r="U5" s="295"/>
      <c r="V5" s="295"/>
      <c r="W5" s="295"/>
      <c r="X5" s="295"/>
      <c r="Y5" s="295"/>
      <c r="Z5" s="295"/>
      <c r="AA5" s="295"/>
      <c r="AB5" s="295"/>
      <c r="AC5" s="467"/>
      <c r="AD5" s="295"/>
      <c r="AE5" s="295"/>
      <c r="AF5" s="295"/>
      <c r="AG5" s="295"/>
      <c r="AH5" s="295"/>
      <c r="AI5" s="295"/>
      <c r="AJ5" s="295"/>
      <c r="AR5" s="295"/>
      <c r="AS5" s="295"/>
      <c r="AT5" s="295"/>
      <c r="AU5" s="295"/>
      <c r="AV5" s="295"/>
      <c r="AW5" s="209"/>
      <c r="AX5" s="295"/>
      <c r="AY5" s="295"/>
      <c r="AZ5" s="295"/>
    </row>
    <row r="6" spans="2:52" s="297" customFormat="1" ht="14.25" customHeight="1">
      <c r="B6" s="247" t="s">
        <v>328</v>
      </c>
      <c r="C6" s="247"/>
      <c r="D6" s="247"/>
      <c r="E6" s="247"/>
      <c r="F6" s="246"/>
      <c r="G6" s="246"/>
      <c r="H6" s="246"/>
      <c r="I6" s="395"/>
      <c r="S6" s="466"/>
      <c r="T6" s="295"/>
      <c r="U6" s="295"/>
      <c r="V6" s="295"/>
      <c r="W6" s="295"/>
      <c r="X6" s="295"/>
      <c r="Y6" s="295"/>
      <c r="Z6" s="295"/>
      <c r="AA6" s="295"/>
      <c r="AB6" s="295"/>
      <c r="AC6" s="397"/>
      <c r="AD6" s="397"/>
      <c r="AE6" s="397"/>
      <c r="AF6" s="397"/>
      <c r="AG6" s="176"/>
      <c r="AH6" s="176"/>
      <c r="AI6" s="295"/>
      <c r="AJ6" s="295"/>
      <c r="AR6" s="295"/>
      <c r="AS6" s="295"/>
      <c r="AT6" s="295"/>
      <c r="AU6" s="295"/>
      <c r="AV6" s="295"/>
      <c r="AW6" s="209"/>
      <c r="AX6" s="295"/>
      <c r="AY6" s="295"/>
      <c r="AZ6" s="295"/>
    </row>
    <row r="7" spans="2:52" s="297" customFormat="1" ht="14.25" customHeight="1" thickBot="1">
      <c r="B7" s="470"/>
      <c r="C7" s="470"/>
      <c r="D7" s="471"/>
      <c r="E7" s="134"/>
      <c r="F7" s="134"/>
      <c r="G7" s="134"/>
      <c r="H7" s="134"/>
      <c r="S7" s="466"/>
      <c r="T7" s="295"/>
      <c r="U7" s="295"/>
      <c r="V7" s="295"/>
      <c r="W7" s="295"/>
      <c r="X7" s="295"/>
      <c r="Y7" s="295"/>
      <c r="Z7" s="295"/>
      <c r="AA7" s="295"/>
      <c r="AB7" s="295"/>
      <c r="AC7" s="397"/>
      <c r="AD7" s="397"/>
      <c r="AE7" s="397"/>
      <c r="AF7" s="397"/>
      <c r="AG7" s="176"/>
      <c r="AH7" s="176"/>
      <c r="AI7" s="176"/>
      <c r="AJ7" s="176"/>
      <c r="AR7" s="295"/>
      <c r="AS7" s="295"/>
      <c r="AT7" s="295"/>
      <c r="AU7" s="295"/>
      <c r="AV7" s="295"/>
      <c r="AW7" s="209"/>
      <c r="AX7" s="295"/>
      <c r="AY7" s="295"/>
      <c r="AZ7" s="295"/>
    </row>
    <row r="8" spans="2:52" ht="14.25" customHeight="1">
      <c r="B8" s="1734" t="s">
        <v>329</v>
      </c>
      <c r="C8" s="1735"/>
      <c r="D8" s="1735"/>
      <c r="E8" s="1736"/>
      <c r="F8" s="1430" t="s">
        <v>330</v>
      </c>
      <c r="G8" s="399"/>
      <c r="H8" s="1738" t="s">
        <v>331</v>
      </c>
      <c r="I8" s="1741" t="s">
        <v>332</v>
      </c>
      <c r="J8" s="1744" t="s">
        <v>333</v>
      </c>
      <c r="K8" s="1431"/>
      <c r="L8" s="1431"/>
      <c r="M8" s="1431"/>
      <c r="N8" s="1431"/>
      <c r="O8" s="1431"/>
      <c r="P8" s="1431"/>
      <c r="Q8" s="1431"/>
      <c r="R8" s="1454"/>
      <c r="S8" s="466"/>
      <c r="AC8" s="397"/>
      <c r="AD8" s="397"/>
      <c r="AE8" s="397"/>
      <c r="AF8" s="397"/>
      <c r="AG8" s="176"/>
      <c r="AH8" s="176"/>
      <c r="AI8" s="176"/>
      <c r="AJ8" s="176"/>
    </row>
    <row r="9" spans="2:52" ht="18" customHeight="1">
      <c r="B9" s="1737"/>
      <c r="C9" s="1446"/>
      <c r="D9" s="1446"/>
      <c r="E9" s="1447"/>
      <c r="F9" s="1683"/>
      <c r="G9" s="1690" t="s">
        <v>165</v>
      </c>
      <c r="H9" s="1739"/>
      <c r="I9" s="1742"/>
      <c r="J9" s="1745"/>
      <c r="K9" s="1684"/>
      <c r="L9" s="1684"/>
      <c r="M9" s="1684"/>
      <c r="N9" s="1684"/>
      <c r="O9" s="1684"/>
      <c r="P9" s="1684"/>
      <c r="Q9" s="1684"/>
      <c r="R9" s="1685"/>
      <c r="S9" s="466"/>
      <c r="AC9" s="1702" t="s">
        <v>334</v>
      </c>
      <c r="AD9" s="1702"/>
      <c r="AE9" s="1534" t="s">
        <v>335</v>
      </c>
      <c r="AF9" s="1730" t="s">
        <v>336</v>
      </c>
      <c r="AG9" s="1534" t="s">
        <v>215</v>
      </c>
      <c r="AH9" s="176"/>
      <c r="AI9" s="176"/>
      <c r="AJ9" s="176"/>
    </row>
    <row r="10" spans="2:52" ht="18" customHeight="1" thickBot="1">
      <c r="B10" s="1463"/>
      <c r="C10" s="1464"/>
      <c r="D10" s="1464"/>
      <c r="E10" s="1465"/>
      <c r="F10" s="1683"/>
      <c r="G10" s="1691"/>
      <c r="H10" s="1740"/>
      <c r="I10" s="1743"/>
      <c r="J10" s="1746"/>
      <c r="K10" s="1434"/>
      <c r="L10" s="1434"/>
      <c r="M10" s="1434"/>
      <c r="N10" s="1434"/>
      <c r="O10" s="1434"/>
      <c r="P10" s="1434"/>
      <c r="Q10" s="1434"/>
      <c r="R10" s="1686"/>
      <c r="S10" s="466"/>
      <c r="AC10" s="1702"/>
      <c r="AD10" s="1702"/>
      <c r="AE10" s="1534"/>
      <c r="AF10" s="1534"/>
      <c r="AG10" s="1534"/>
      <c r="AH10" s="176"/>
      <c r="AI10" s="176"/>
      <c r="AJ10" s="176"/>
    </row>
    <row r="11" spans="2:52" ht="30" customHeight="1" thickTop="1" thickBot="1">
      <c r="B11" s="1731" t="s">
        <v>274</v>
      </c>
      <c r="C11" s="1732"/>
      <c r="D11" s="1732"/>
      <c r="E11" s="1732"/>
      <c r="F11" s="472"/>
      <c r="G11" s="473" t="s">
        <v>337</v>
      </c>
      <c r="H11" s="474"/>
      <c r="I11" s="1262"/>
      <c r="J11" s="475"/>
      <c r="K11" s="475"/>
      <c r="L11" s="475"/>
      <c r="M11" s="475"/>
      <c r="N11" s="475"/>
      <c r="O11" s="475"/>
      <c r="P11" s="475"/>
      <c r="Q11" s="475"/>
      <c r="R11" s="476"/>
      <c r="S11" s="466"/>
      <c r="AC11" s="1733" t="s">
        <v>338</v>
      </c>
      <c r="AD11" s="1733"/>
      <c r="AE11" s="477"/>
      <c r="AF11" s="477"/>
      <c r="AG11" s="424">
        <f>IF(H11&gt;0,ROUND(H11*I11%,),SUM(AG12:AG31))</f>
        <v>0</v>
      </c>
      <c r="AH11" s="176"/>
      <c r="AI11" s="176"/>
      <c r="AJ11" s="176"/>
    </row>
    <row r="12" spans="2:52" ht="30" customHeight="1" thickTop="1">
      <c r="B12" s="1706" t="s">
        <v>303</v>
      </c>
      <c r="C12" s="1753"/>
      <c r="D12" s="1748" t="s">
        <v>339</v>
      </c>
      <c r="E12" s="1749"/>
      <c r="F12" s="1750"/>
      <c r="G12" s="1751"/>
      <c r="H12" s="1755"/>
      <c r="I12" s="1756"/>
      <c r="J12" s="478"/>
      <c r="K12" s="478"/>
      <c r="L12" s="478"/>
      <c r="M12" s="478"/>
      <c r="N12" s="478"/>
      <c r="O12" s="478"/>
      <c r="P12" s="478"/>
      <c r="Q12" s="478"/>
      <c r="R12" s="479"/>
      <c r="S12" s="409"/>
      <c r="AC12" s="1733" t="s">
        <v>340</v>
      </c>
      <c r="AD12" s="1733"/>
      <c r="AE12" s="421">
        <f>SUMPRODUCT(ROUND((F13:F27)*(I13:I27)/100,))</f>
        <v>0</v>
      </c>
      <c r="AF12" s="252">
        <f>IF(AND(AE12&gt;0,AG12&gt;0),ROUND(AG12/AE12,2),)</f>
        <v>0</v>
      </c>
      <c r="AG12" s="410">
        <f>SUMPRODUCT(ROUND((H13:H27)*(I13:I27)/100,))</f>
        <v>0</v>
      </c>
      <c r="AH12" s="176"/>
      <c r="AI12" s="176"/>
      <c r="AJ12" s="176"/>
    </row>
    <row r="13" spans="2:52" ht="30" customHeight="1">
      <c r="B13" s="1706"/>
      <c r="C13" s="1753"/>
      <c r="D13" s="480"/>
      <c r="E13" s="481"/>
      <c r="F13" s="482"/>
      <c r="G13" s="407"/>
      <c r="H13" s="483"/>
      <c r="I13" s="1263"/>
      <c r="J13" s="478"/>
      <c r="K13" s="478"/>
      <c r="L13" s="478"/>
      <c r="M13" s="478"/>
      <c r="N13" s="478"/>
      <c r="O13" s="478"/>
      <c r="P13" s="478"/>
      <c r="Q13" s="478"/>
      <c r="R13" s="479"/>
      <c r="S13" s="409"/>
      <c r="AC13" s="1733" t="s">
        <v>341</v>
      </c>
      <c r="AD13" s="1733"/>
      <c r="AE13" s="421">
        <f>SUMPRODUCT(ROUND((F29:F43)*(I29:I43)/100,))</f>
        <v>0</v>
      </c>
      <c r="AF13" s="252">
        <f t="shared" ref="AF13:AF16" si="0">IF(AND(AE13&gt;0,AG13&gt;0),ROUND(AG13/AE13,2),)</f>
        <v>0</v>
      </c>
      <c r="AG13" s="410">
        <f>SUMPRODUCT(ROUND((H29:H43)*(I29:I43)/100,))</f>
        <v>0</v>
      </c>
      <c r="AI13" s="176"/>
      <c r="AJ13" s="176"/>
    </row>
    <row r="14" spans="2:52" ht="30" customHeight="1">
      <c r="B14" s="1706"/>
      <c r="C14" s="1753"/>
      <c r="D14" s="480"/>
      <c r="E14" s="481"/>
      <c r="F14" s="484"/>
      <c r="G14" s="407"/>
      <c r="H14" s="485"/>
      <c r="I14" s="1264"/>
      <c r="J14" s="478"/>
      <c r="K14" s="478"/>
      <c r="L14" s="478"/>
      <c r="M14" s="478"/>
      <c r="N14" s="478"/>
      <c r="O14" s="478"/>
      <c r="P14" s="478"/>
      <c r="Q14" s="478"/>
      <c r="R14" s="479"/>
      <c r="S14" s="409"/>
      <c r="AC14" s="1733" t="s">
        <v>342</v>
      </c>
      <c r="AD14" s="1733"/>
      <c r="AE14" s="421">
        <f>SUMPRODUCT(ROUND((F45:F59)*(I45:I59)/100,))</f>
        <v>0</v>
      </c>
      <c r="AF14" s="252">
        <f t="shared" si="0"/>
        <v>0</v>
      </c>
      <c r="AG14" s="410">
        <f>SUMPRODUCT(ROUND((H45:H59)*(I45:I59)/100,))</f>
        <v>0</v>
      </c>
    </row>
    <row r="15" spans="2:52" ht="30" customHeight="1">
      <c r="B15" s="1706"/>
      <c r="C15" s="1753"/>
      <c r="D15" s="480"/>
      <c r="E15" s="481"/>
      <c r="F15" s="486"/>
      <c r="G15" s="407"/>
      <c r="H15" s="487"/>
      <c r="I15" s="1265"/>
      <c r="J15" s="478"/>
      <c r="K15" s="478"/>
      <c r="L15" s="478"/>
      <c r="M15" s="478"/>
      <c r="N15" s="478"/>
      <c r="O15" s="478"/>
      <c r="P15" s="478"/>
      <c r="Q15" s="478"/>
      <c r="R15" s="479"/>
      <c r="S15" s="409"/>
      <c r="AC15" s="1733" t="s">
        <v>343</v>
      </c>
      <c r="AD15" s="1733"/>
      <c r="AE15" s="421">
        <f>SUMPRODUCT(ROUND((F61:F75)*(I61:I75)/100,))</f>
        <v>0</v>
      </c>
      <c r="AF15" s="252">
        <f t="shared" si="0"/>
        <v>0</v>
      </c>
      <c r="AG15" s="410">
        <f>SUMPRODUCT(ROUND((H61:H75)*(I61:I75)/100,))</f>
        <v>0</v>
      </c>
    </row>
    <row r="16" spans="2:52" ht="30" customHeight="1" collapsed="1">
      <c r="B16" s="1706"/>
      <c r="C16" s="1753"/>
      <c r="D16" s="480"/>
      <c r="E16" s="481"/>
      <c r="F16" s="484"/>
      <c r="G16" s="407"/>
      <c r="H16" s="485"/>
      <c r="I16" s="1264"/>
      <c r="J16" s="478"/>
      <c r="K16" s="478"/>
      <c r="L16" s="478"/>
      <c r="M16" s="478"/>
      <c r="N16" s="478"/>
      <c r="O16" s="478"/>
      <c r="P16" s="478"/>
      <c r="Q16" s="478"/>
      <c r="R16" s="479"/>
      <c r="S16" s="409"/>
      <c r="AC16" s="1733" t="s">
        <v>344</v>
      </c>
      <c r="AD16" s="1733"/>
      <c r="AE16" s="421">
        <f>SUMPRODUCT(ROUND((F77:F91)*(I77:I91)/100,))</f>
        <v>0</v>
      </c>
      <c r="AF16" s="252">
        <f t="shared" si="0"/>
        <v>0</v>
      </c>
      <c r="AG16" s="410">
        <f>SUMPRODUCT(ROUND((H77:H91)*(I77:I91)/100,))</f>
        <v>0</v>
      </c>
    </row>
    <row r="17" spans="2:35" ht="30" hidden="1" customHeight="1" outlineLevel="1">
      <c r="B17" s="1706"/>
      <c r="C17" s="1753"/>
      <c r="D17" s="480"/>
      <c r="E17" s="481"/>
      <c r="F17" s="486"/>
      <c r="G17" s="407"/>
      <c r="H17" s="487"/>
      <c r="I17" s="1265"/>
      <c r="J17" s="478"/>
      <c r="K17" s="478"/>
      <c r="L17" s="478"/>
      <c r="M17" s="478"/>
      <c r="N17" s="478"/>
      <c r="O17" s="478"/>
      <c r="P17" s="478"/>
      <c r="Q17" s="478"/>
      <c r="R17" s="479"/>
      <c r="S17" s="409"/>
      <c r="AC17" s="1747"/>
      <c r="AD17" s="1747"/>
      <c r="AE17" s="464"/>
      <c r="AF17" s="488"/>
      <c r="AG17" s="489"/>
      <c r="AH17" s="50"/>
      <c r="AI17" s="50"/>
    </row>
    <row r="18" spans="2:35" ht="30" hidden="1" customHeight="1" outlineLevel="1">
      <c r="B18" s="1706"/>
      <c r="C18" s="1753"/>
      <c r="D18" s="480"/>
      <c r="E18" s="481"/>
      <c r="F18" s="486"/>
      <c r="G18" s="407"/>
      <c r="H18" s="487"/>
      <c r="I18" s="1265"/>
      <c r="J18" s="478"/>
      <c r="K18" s="478"/>
      <c r="L18" s="478"/>
      <c r="M18" s="478"/>
      <c r="N18" s="478"/>
      <c r="O18" s="478"/>
      <c r="P18" s="478"/>
      <c r="Q18" s="478"/>
      <c r="R18" s="479"/>
      <c r="S18" s="409"/>
      <c r="AC18" s="1747"/>
      <c r="AD18" s="1747"/>
      <c r="AE18" s="464"/>
      <c r="AF18" s="488"/>
      <c r="AG18" s="489"/>
      <c r="AH18" s="50"/>
      <c r="AI18" s="50"/>
    </row>
    <row r="19" spans="2:35" ht="30" hidden="1" customHeight="1" outlineLevel="1">
      <c r="B19" s="1706"/>
      <c r="C19" s="1753"/>
      <c r="D19" s="480"/>
      <c r="E19" s="481"/>
      <c r="F19" s="484"/>
      <c r="G19" s="407"/>
      <c r="H19" s="485"/>
      <c r="I19" s="1264"/>
      <c r="J19" s="478"/>
      <c r="K19" s="478"/>
      <c r="L19" s="478"/>
      <c r="M19" s="478"/>
      <c r="N19" s="478"/>
      <c r="O19" s="478"/>
      <c r="P19" s="478"/>
      <c r="Q19" s="478"/>
      <c r="R19" s="479"/>
      <c r="S19" s="409"/>
      <c r="AC19" s="1747"/>
      <c r="AD19" s="1747"/>
      <c r="AE19" s="464"/>
      <c r="AF19" s="488"/>
      <c r="AG19" s="489"/>
      <c r="AH19" s="50"/>
      <c r="AI19" s="50"/>
    </row>
    <row r="20" spans="2:35" ht="30" hidden="1" customHeight="1" outlineLevel="1">
      <c r="B20" s="1706"/>
      <c r="C20" s="1753"/>
      <c r="D20" s="480"/>
      <c r="E20" s="481"/>
      <c r="F20" s="486"/>
      <c r="G20" s="407"/>
      <c r="H20" s="487"/>
      <c r="I20" s="1265"/>
      <c r="J20" s="478"/>
      <c r="K20" s="478"/>
      <c r="L20" s="478"/>
      <c r="M20" s="478"/>
      <c r="N20" s="478"/>
      <c r="O20" s="478"/>
      <c r="P20" s="478"/>
      <c r="Q20" s="478"/>
      <c r="R20" s="479"/>
      <c r="S20" s="409"/>
      <c r="AC20" s="1747"/>
      <c r="AD20" s="1747"/>
      <c r="AE20" s="464"/>
      <c r="AF20" s="488"/>
      <c r="AG20" s="489"/>
      <c r="AH20" s="50"/>
      <c r="AI20" s="50"/>
    </row>
    <row r="21" spans="2:35" ht="30" hidden="1" customHeight="1" outlineLevel="1">
      <c r="B21" s="1706"/>
      <c r="C21" s="1753"/>
      <c r="D21" s="480"/>
      <c r="E21" s="481"/>
      <c r="F21" s="484"/>
      <c r="G21" s="407"/>
      <c r="H21" s="485"/>
      <c r="I21" s="1264"/>
      <c r="J21" s="478"/>
      <c r="K21" s="478"/>
      <c r="L21" s="478"/>
      <c r="M21" s="478"/>
      <c r="N21" s="478"/>
      <c r="O21" s="478"/>
      <c r="P21" s="478"/>
      <c r="Q21" s="478"/>
      <c r="R21" s="479"/>
      <c r="S21" s="409"/>
      <c r="AC21" s="1747"/>
      <c r="AD21" s="1747"/>
      <c r="AE21" s="464"/>
      <c r="AF21" s="488"/>
      <c r="AG21" s="489"/>
      <c r="AH21" s="50"/>
      <c r="AI21" s="50"/>
    </row>
    <row r="22" spans="2:35" ht="30" hidden="1" customHeight="1" outlineLevel="1">
      <c r="B22" s="1706"/>
      <c r="C22" s="1753"/>
      <c r="D22" s="480"/>
      <c r="E22" s="481"/>
      <c r="F22" s="486"/>
      <c r="G22" s="407"/>
      <c r="H22" s="487"/>
      <c r="I22" s="1265"/>
      <c r="J22" s="478"/>
      <c r="K22" s="478"/>
      <c r="L22" s="478"/>
      <c r="M22" s="478"/>
      <c r="N22" s="478"/>
      <c r="O22" s="478"/>
      <c r="P22" s="478"/>
      <c r="Q22" s="478"/>
      <c r="R22" s="479"/>
      <c r="S22" s="409"/>
      <c r="AC22" s="1747"/>
      <c r="AD22" s="1747"/>
      <c r="AE22" s="464"/>
      <c r="AF22" s="488"/>
      <c r="AG22" s="489"/>
      <c r="AH22" s="50"/>
      <c r="AI22" s="50"/>
    </row>
    <row r="23" spans="2:35" ht="30" hidden="1" customHeight="1" outlineLevel="1">
      <c r="B23" s="1706"/>
      <c r="C23" s="1753"/>
      <c r="D23" s="480"/>
      <c r="E23" s="481"/>
      <c r="F23" s="484"/>
      <c r="G23" s="407"/>
      <c r="H23" s="485"/>
      <c r="I23" s="1264"/>
      <c r="J23" s="478"/>
      <c r="K23" s="478"/>
      <c r="L23" s="478"/>
      <c r="M23" s="478"/>
      <c r="N23" s="478"/>
      <c r="O23" s="478"/>
      <c r="P23" s="478"/>
      <c r="Q23" s="478"/>
      <c r="R23" s="479"/>
      <c r="S23" s="409"/>
      <c r="AC23" s="1747"/>
      <c r="AD23" s="1747"/>
      <c r="AE23" s="464"/>
      <c r="AF23" s="488"/>
      <c r="AG23" s="489"/>
      <c r="AH23" s="50"/>
      <c r="AI23" s="50"/>
    </row>
    <row r="24" spans="2:35" ht="30" hidden="1" customHeight="1" outlineLevel="1">
      <c r="B24" s="1706"/>
      <c r="C24" s="1753"/>
      <c r="D24" s="480"/>
      <c r="E24" s="481"/>
      <c r="F24" s="486"/>
      <c r="G24" s="407"/>
      <c r="H24" s="487"/>
      <c r="I24" s="1265"/>
      <c r="J24" s="478"/>
      <c r="K24" s="478"/>
      <c r="L24" s="478"/>
      <c r="M24" s="478"/>
      <c r="N24" s="478"/>
      <c r="O24" s="478"/>
      <c r="P24" s="478"/>
      <c r="Q24" s="478"/>
      <c r="R24" s="479"/>
      <c r="S24" s="409"/>
      <c r="AC24" s="1747"/>
      <c r="AD24" s="1747"/>
      <c r="AE24" s="464"/>
      <c r="AF24" s="488"/>
      <c r="AG24" s="489"/>
      <c r="AH24" s="50"/>
      <c r="AI24" s="50"/>
    </row>
    <row r="25" spans="2:35" ht="30" hidden="1" customHeight="1" outlineLevel="1">
      <c r="B25" s="1706"/>
      <c r="C25" s="1753"/>
      <c r="D25" s="480"/>
      <c r="E25" s="481"/>
      <c r="F25" s="484"/>
      <c r="G25" s="407"/>
      <c r="H25" s="485"/>
      <c r="I25" s="1264"/>
      <c r="J25" s="478"/>
      <c r="K25" s="478"/>
      <c r="L25" s="478"/>
      <c r="M25" s="478"/>
      <c r="N25" s="478"/>
      <c r="O25" s="478"/>
      <c r="P25" s="478"/>
      <c r="Q25" s="478"/>
      <c r="R25" s="479"/>
      <c r="S25" s="409"/>
      <c r="AF25" s="490"/>
    </row>
    <row r="26" spans="2:35" ht="30" hidden="1" customHeight="1" outlineLevel="1">
      <c r="B26" s="1706"/>
      <c r="C26" s="1753"/>
      <c r="D26" s="480"/>
      <c r="E26" s="481"/>
      <c r="F26" s="486"/>
      <c r="G26" s="407"/>
      <c r="H26" s="487"/>
      <c r="I26" s="1265"/>
      <c r="J26" s="478"/>
      <c r="K26" s="478"/>
      <c r="L26" s="478"/>
      <c r="M26" s="478"/>
      <c r="N26" s="478"/>
      <c r="O26" s="478"/>
      <c r="P26" s="478"/>
      <c r="Q26" s="478"/>
      <c r="R26" s="479"/>
      <c r="S26" s="409"/>
      <c r="AF26" s="490"/>
    </row>
    <row r="27" spans="2:35" ht="30" hidden="1" customHeight="1" outlineLevel="1">
      <c r="B27" s="1706"/>
      <c r="C27" s="1753"/>
      <c r="D27" s="480"/>
      <c r="E27" s="481"/>
      <c r="F27" s="484"/>
      <c r="G27" s="407"/>
      <c r="H27" s="485"/>
      <c r="I27" s="1264"/>
      <c r="J27" s="478"/>
      <c r="K27" s="478"/>
      <c r="L27" s="478"/>
      <c r="M27" s="478"/>
      <c r="N27" s="478"/>
      <c r="O27" s="478"/>
      <c r="P27" s="478"/>
      <c r="Q27" s="478"/>
      <c r="R27" s="479"/>
      <c r="S27" s="409"/>
      <c r="AF27" s="490"/>
    </row>
    <row r="28" spans="2:35" ht="30" customHeight="1">
      <c r="B28" s="1706"/>
      <c r="C28" s="1753"/>
      <c r="D28" s="1748" t="s">
        <v>345</v>
      </c>
      <c r="E28" s="1749"/>
      <c r="F28" s="1750"/>
      <c r="G28" s="1751"/>
      <c r="H28" s="1751"/>
      <c r="I28" s="1752"/>
      <c r="J28" s="478"/>
      <c r="K28" s="478"/>
      <c r="L28" s="478"/>
      <c r="M28" s="478"/>
      <c r="N28" s="478"/>
      <c r="O28" s="478"/>
      <c r="P28" s="478"/>
      <c r="Q28" s="478"/>
      <c r="R28" s="479"/>
      <c r="S28" s="409"/>
      <c r="AC28" s="1733" t="s">
        <v>346</v>
      </c>
      <c r="AD28" s="1733"/>
      <c r="AE28" s="421">
        <f>SUMPRODUCT(ROUND((F93:F107)*(I93:I107)/100,))</f>
        <v>0</v>
      </c>
      <c r="AF28" s="252">
        <f>IF(AND(AE28&gt;0,AG28&gt;0),ROUND(AG28/AE28,2),)</f>
        <v>0</v>
      </c>
      <c r="AG28" s="410">
        <f>SUMPRODUCT(ROUND((H93:H107)*(I93:I107)/100,))</f>
        <v>0</v>
      </c>
    </row>
    <row r="29" spans="2:35" ht="30" customHeight="1">
      <c r="B29" s="1706"/>
      <c r="C29" s="1753"/>
      <c r="D29" s="480"/>
      <c r="E29" s="481"/>
      <c r="F29" s="482"/>
      <c r="G29" s="407"/>
      <c r="H29" s="483"/>
      <c r="I29" s="1263"/>
      <c r="J29" s="478"/>
      <c r="K29" s="478"/>
      <c r="L29" s="478"/>
      <c r="M29" s="478"/>
      <c r="N29" s="478"/>
      <c r="O29" s="478"/>
      <c r="P29" s="478"/>
      <c r="Q29" s="478"/>
      <c r="R29" s="479"/>
      <c r="S29" s="409"/>
      <c r="AC29" s="1733" t="s">
        <v>347</v>
      </c>
      <c r="AD29" s="1733"/>
      <c r="AE29" s="477"/>
      <c r="AF29" s="477"/>
      <c r="AG29" s="424">
        <f>ROUND(H108*I108%,)</f>
        <v>0</v>
      </c>
    </row>
    <row r="30" spans="2:35" ht="30" customHeight="1">
      <c r="B30" s="1706"/>
      <c r="C30" s="1753"/>
      <c r="D30" s="480"/>
      <c r="E30" s="481"/>
      <c r="F30" s="484"/>
      <c r="G30" s="407"/>
      <c r="H30" s="485"/>
      <c r="I30" s="1264"/>
      <c r="J30" s="478"/>
      <c r="K30" s="478"/>
      <c r="L30" s="478"/>
      <c r="M30" s="478"/>
      <c r="N30" s="478"/>
      <c r="O30" s="478"/>
      <c r="P30" s="478"/>
      <c r="Q30" s="478"/>
      <c r="R30" s="479"/>
      <c r="S30" s="409"/>
      <c r="AC30" s="1733" t="s">
        <v>348</v>
      </c>
      <c r="AD30" s="1733"/>
      <c r="AE30" s="421">
        <f>ROUND(F109*I109%,)</f>
        <v>0</v>
      </c>
      <c r="AF30" s="252">
        <f>IF(AND(AE30&gt;0,AG30&gt;0),ROUND(AG30/AE30,2),)</f>
        <v>0</v>
      </c>
      <c r="AG30" s="424">
        <f>ROUND(H109*I109%,)</f>
        <v>0</v>
      </c>
    </row>
    <row r="31" spans="2:35" ht="30" customHeight="1">
      <c r="B31" s="1706"/>
      <c r="C31" s="1753"/>
      <c r="D31" s="480"/>
      <c r="E31" s="481"/>
      <c r="F31" s="486"/>
      <c r="G31" s="407"/>
      <c r="H31" s="487"/>
      <c r="I31" s="1265"/>
      <c r="J31" s="478"/>
      <c r="K31" s="478"/>
      <c r="L31" s="478"/>
      <c r="M31" s="478"/>
      <c r="N31" s="478"/>
      <c r="O31" s="478"/>
      <c r="P31" s="478"/>
      <c r="Q31" s="478"/>
      <c r="R31" s="479"/>
      <c r="S31" s="409"/>
      <c r="AC31" s="1733" t="s">
        <v>349</v>
      </c>
      <c r="AD31" s="1733"/>
      <c r="AE31" s="477"/>
      <c r="AF31" s="477"/>
      <c r="AG31" s="424">
        <f>ROUND(H110*I110%,)</f>
        <v>0</v>
      </c>
    </row>
    <row r="32" spans="2:35" ht="30" customHeight="1" collapsed="1">
      <c r="B32" s="1706"/>
      <c r="C32" s="1753"/>
      <c r="D32" s="480"/>
      <c r="E32" s="481"/>
      <c r="F32" s="486"/>
      <c r="G32" s="407"/>
      <c r="H32" s="487"/>
      <c r="I32" s="1265"/>
      <c r="J32" s="478"/>
      <c r="K32" s="478"/>
      <c r="L32" s="478"/>
      <c r="M32" s="478"/>
      <c r="N32" s="478"/>
      <c r="O32" s="478"/>
      <c r="P32" s="478"/>
      <c r="Q32" s="478"/>
      <c r="R32" s="479"/>
      <c r="S32" s="409"/>
      <c r="AC32" s="1747"/>
      <c r="AD32" s="1747"/>
      <c r="AE32" s="464"/>
      <c r="AF32" s="491"/>
      <c r="AG32" s="489"/>
      <c r="AH32" s="50"/>
    </row>
    <row r="33" spans="1:53" ht="30" hidden="1" customHeight="1" outlineLevel="1">
      <c r="B33" s="1706"/>
      <c r="C33" s="1753"/>
      <c r="D33" s="480"/>
      <c r="E33" s="481"/>
      <c r="F33" s="484"/>
      <c r="G33" s="407"/>
      <c r="H33" s="485"/>
      <c r="I33" s="1264"/>
      <c r="J33" s="478"/>
      <c r="K33" s="478"/>
      <c r="L33" s="478"/>
      <c r="M33" s="478"/>
      <c r="N33" s="478"/>
      <c r="O33" s="478"/>
      <c r="P33" s="478"/>
      <c r="Q33" s="478"/>
      <c r="R33" s="479"/>
      <c r="S33" s="409"/>
      <c r="AC33" s="1747"/>
      <c r="AD33" s="1747"/>
      <c r="AE33" s="464"/>
      <c r="AF33" s="491"/>
      <c r="AG33" s="489"/>
      <c r="AH33" s="50"/>
    </row>
    <row r="34" spans="1:53" ht="30" hidden="1" customHeight="1" outlineLevel="1">
      <c r="B34" s="1706"/>
      <c r="C34" s="1753"/>
      <c r="D34" s="480"/>
      <c r="E34" s="481"/>
      <c r="F34" s="486"/>
      <c r="G34" s="407"/>
      <c r="H34" s="487"/>
      <c r="I34" s="1265"/>
      <c r="J34" s="478"/>
      <c r="K34" s="478"/>
      <c r="L34" s="478"/>
      <c r="M34" s="478"/>
      <c r="N34" s="478"/>
      <c r="O34" s="478"/>
      <c r="P34" s="478"/>
      <c r="Q34" s="478"/>
      <c r="R34" s="479"/>
      <c r="S34" s="409"/>
      <c r="AC34" s="1747"/>
      <c r="AD34" s="1747"/>
      <c r="AE34" s="464"/>
      <c r="AF34" s="491"/>
      <c r="AG34" s="489"/>
      <c r="AH34" s="50"/>
    </row>
    <row r="35" spans="1:53" ht="30" hidden="1" customHeight="1" outlineLevel="1">
      <c r="B35" s="1706"/>
      <c r="C35" s="1753"/>
      <c r="D35" s="480"/>
      <c r="E35" s="481"/>
      <c r="F35" s="484"/>
      <c r="G35" s="407"/>
      <c r="H35" s="485"/>
      <c r="I35" s="1264"/>
      <c r="J35" s="478"/>
      <c r="K35" s="478"/>
      <c r="L35" s="478"/>
      <c r="M35" s="478"/>
      <c r="N35" s="478"/>
      <c r="O35" s="478"/>
      <c r="P35" s="478"/>
      <c r="Q35" s="478"/>
      <c r="R35" s="479"/>
      <c r="S35" s="409"/>
      <c r="AC35" s="1747"/>
      <c r="AD35" s="1747"/>
      <c r="AE35" s="464"/>
      <c r="AF35" s="491"/>
      <c r="AG35" s="489"/>
      <c r="AH35" s="50"/>
    </row>
    <row r="36" spans="1:53" ht="30" hidden="1" customHeight="1" outlineLevel="1">
      <c r="B36" s="1706"/>
      <c r="C36" s="1753"/>
      <c r="D36" s="480"/>
      <c r="E36" s="481"/>
      <c r="F36" s="486"/>
      <c r="G36" s="407"/>
      <c r="H36" s="487"/>
      <c r="I36" s="1265"/>
      <c r="J36" s="478"/>
      <c r="K36" s="478"/>
      <c r="L36" s="478"/>
      <c r="M36" s="478"/>
      <c r="N36" s="478"/>
      <c r="O36" s="478"/>
      <c r="P36" s="478"/>
      <c r="Q36" s="478"/>
      <c r="R36" s="479"/>
      <c r="S36" s="409"/>
      <c r="AC36" s="1747"/>
      <c r="AD36" s="1747"/>
      <c r="AE36" s="464"/>
      <c r="AF36" s="491"/>
      <c r="AG36" s="489"/>
      <c r="AH36" s="50"/>
    </row>
    <row r="37" spans="1:53" ht="30" hidden="1" customHeight="1" outlineLevel="1">
      <c r="B37" s="1706"/>
      <c r="C37" s="1753"/>
      <c r="D37" s="480"/>
      <c r="E37" s="481"/>
      <c r="F37" s="484"/>
      <c r="G37" s="407"/>
      <c r="H37" s="485"/>
      <c r="I37" s="1264"/>
      <c r="J37" s="478"/>
      <c r="K37" s="478"/>
      <c r="L37" s="478"/>
      <c r="M37" s="478"/>
      <c r="N37" s="478"/>
      <c r="O37" s="478"/>
      <c r="P37" s="478"/>
      <c r="Q37" s="478"/>
      <c r="R37" s="479"/>
      <c r="S37" s="409"/>
      <c r="AC37" s="1747"/>
      <c r="AD37" s="1747"/>
      <c r="AE37" s="464"/>
      <c r="AF37" s="491"/>
      <c r="AG37" s="489"/>
      <c r="AH37" s="50"/>
    </row>
    <row r="38" spans="1:53" ht="30" hidden="1" customHeight="1" outlineLevel="1">
      <c r="B38" s="1706"/>
      <c r="C38" s="1753"/>
      <c r="D38" s="480"/>
      <c r="E38" s="481"/>
      <c r="F38" s="486"/>
      <c r="G38" s="407"/>
      <c r="H38" s="487"/>
      <c r="I38" s="1265"/>
      <c r="J38" s="478"/>
      <c r="K38" s="478"/>
      <c r="L38" s="478"/>
      <c r="M38" s="478"/>
      <c r="N38" s="478"/>
      <c r="O38" s="478"/>
      <c r="P38" s="478"/>
      <c r="Q38" s="478"/>
      <c r="R38" s="479"/>
      <c r="S38" s="409"/>
      <c r="AC38" s="1747"/>
      <c r="AD38" s="1747"/>
      <c r="AE38" s="464"/>
      <c r="AF38" s="491"/>
      <c r="AG38" s="489"/>
      <c r="AH38" s="50"/>
    </row>
    <row r="39" spans="1:53" ht="30" hidden="1" customHeight="1" outlineLevel="1">
      <c r="B39" s="1706"/>
      <c r="C39" s="1753"/>
      <c r="D39" s="480"/>
      <c r="E39" s="481"/>
      <c r="F39" s="484"/>
      <c r="G39" s="407"/>
      <c r="H39" s="485"/>
      <c r="I39" s="1264"/>
      <c r="J39" s="478"/>
      <c r="K39" s="478"/>
      <c r="L39" s="478"/>
      <c r="M39" s="478"/>
      <c r="N39" s="478"/>
      <c r="O39" s="478"/>
      <c r="P39" s="478"/>
      <c r="Q39" s="478"/>
      <c r="R39" s="479"/>
      <c r="S39" s="409"/>
      <c r="AC39" s="1747"/>
      <c r="AD39" s="1747"/>
      <c r="AE39" s="464"/>
      <c r="AF39" s="491"/>
      <c r="AG39" s="489"/>
      <c r="AH39" s="50"/>
    </row>
    <row r="40" spans="1:53" ht="30" hidden="1" customHeight="1" outlineLevel="1">
      <c r="B40" s="1706"/>
      <c r="C40" s="1753"/>
      <c r="D40" s="480"/>
      <c r="E40" s="481"/>
      <c r="F40" s="486"/>
      <c r="G40" s="407"/>
      <c r="H40" s="487"/>
      <c r="I40" s="1265"/>
      <c r="J40" s="478"/>
      <c r="K40" s="478"/>
      <c r="L40" s="478"/>
      <c r="M40" s="478"/>
      <c r="N40" s="478"/>
      <c r="O40" s="478"/>
      <c r="P40" s="478"/>
      <c r="Q40" s="478"/>
      <c r="R40" s="479"/>
      <c r="S40" s="409"/>
      <c r="AC40" s="1747"/>
      <c r="AD40" s="1747"/>
      <c r="AE40" s="464"/>
      <c r="AF40" s="491"/>
      <c r="AG40" s="489"/>
      <c r="AH40" s="50"/>
    </row>
    <row r="41" spans="1:53" ht="30" hidden="1" customHeight="1" outlineLevel="1">
      <c r="B41" s="1706"/>
      <c r="C41" s="1753"/>
      <c r="D41" s="480"/>
      <c r="E41" s="481"/>
      <c r="F41" s="484"/>
      <c r="G41" s="407"/>
      <c r="H41" s="485"/>
      <c r="I41" s="1264"/>
      <c r="J41" s="478"/>
      <c r="K41" s="478"/>
      <c r="L41" s="478"/>
      <c r="M41" s="478"/>
      <c r="N41" s="478"/>
      <c r="O41" s="478"/>
      <c r="P41" s="478"/>
      <c r="Q41" s="478"/>
      <c r="R41" s="479"/>
      <c r="S41" s="409"/>
      <c r="AC41" s="50"/>
      <c r="AD41" s="50"/>
      <c r="AE41" s="50"/>
      <c r="AF41" s="50"/>
      <c r="AG41" s="50"/>
      <c r="AH41" s="50"/>
    </row>
    <row r="42" spans="1:53" ht="30" hidden="1" customHeight="1" outlineLevel="1">
      <c r="B42" s="1706"/>
      <c r="C42" s="1753"/>
      <c r="D42" s="480"/>
      <c r="E42" s="481"/>
      <c r="F42" s="486"/>
      <c r="G42" s="407"/>
      <c r="H42" s="487"/>
      <c r="I42" s="1265"/>
      <c r="J42" s="478"/>
      <c r="K42" s="478"/>
      <c r="L42" s="478"/>
      <c r="M42" s="478"/>
      <c r="N42" s="478"/>
      <c r="O42" s="478"/>
      <c r="P42" s="478"/>
      <c r="Q42" s="478"/>
      <c r="R42" s="479"/>
      <c r="S42" s="409"/>
      <c r="AC42" s="50"/>
      <c r="AD42" s="50"/>
      <c r="AE42" s="50"/>
      <c r="AF42" s="50"/>
      <c r="AG42" s="50"/>
      <c r="AH42" s="50"/>
    </row>
    <row r="43" spans="1:53" ht="30" hidden="1" customHeight="1" outlineLevel="1">
      <c r="B43" s="1706"/>
      <c r="C43" s="1753"/>
      <c r="D43" s="480"/>
      <c r="E43" s="481"/>
      <c r="F43" s="484"/>
      <c r="G43" s="407"/>
      <c r="H43" s="485"/>
      <c r="I43" s="1264"/>
      <c r="J43" s="478"/>
      <c r="K43" s="478"/>
      <c r="L43" s="478"/>
      <c r="M43" s="478"/>
      <c r="N43" s="478"/>
      <c r="O43" s="478"/>
      <c r="P43" s="478"/>
      <c r="Q43" s="478"/>
      <c r="R43" s="479"/>
      <c r="S43" s="409"/>
      <c r="AC43" s="50"/>
      <c r="AD43" s="50"/>
      <c r="AE43" s="50"/>
      <c r="AF43" s="50"/>
      <c r="AG43" s="50"/>
      <c r="AH43" s="50"/>
    </row>
    <row r="44" spans="1:53" ht="30" customHeight="1">
      <c r="B44" s="1706"/>
      <c r="C44" s="1753"/>
      <c r="D44" s="1748" t="s">
        <v>350</v>
      </c>
      <c r="E44" s="1749"/>
      <c r="F44" s="1750"/>
      <c r="G44" s="1751"/>
      <c r="H44" s="1751"/>
      <c r="I44" s="1752"/>
      <c r="J44" s="478"/>
      <c r="K44" s="478"/>
      <c r="L44" s="478"/>
      <c r="M44" s="478"/>
      <c r="N44" s="478"/>
      <c r="O44" s="478"/>
      <c r="P44" s="478"/>
      <c r="Q44" s="478"/>
      <c r="R44" s="479"/>
      <c r="S44" s="409"/>
      <c r="AC44" s="50"/>
      <c r="AD44" s="50"/>
      <c r="AE44" s="50"/>
      <c r="AF44" s="50"/>
      <c r="AG44" s="50"/>
      <c r="AH44" s="50"/>
    </row>
    <row r="45" spans="1:53" ht="30" customHeight="1">
      <c r="A45" s="492"/>
      <c r="B45" s="1706"/>
      <c r="C45" s="1753"/>
      <c r="D45" s="493"/>
      <c r="E45" s="481"/>
      <c r="F45" s="482"/>
      <c r="G45" s="407"/>
      <c r="H45" s="483"/>
      <c r="I45" s="1263"/>
      <c r="J45" s="494"/>
      <c r="K45" s="494"/>
      <c r="L45" s="494"/>
      <c r="M45" s="494"/>
      <c r="N45" s="494"/>
      <c r="O45" s="494"/>
      <c r="P45" s="494"/>
      <c r="Q45" s="494"/>
      <c r="R45" s="495"/>
      <c r="S45" s="409"/>
      <c r="AC45" s="21"/>
      <c r="AD45" s="21"/>
      <c r="AE45" s="21"/>
      <c r="AF45" s="21"/>
      <c r="AG45" s="21"/>
      <c r="AH45" s="50"/>
      <c r="BA45" s="50"/>
    </row>
    <row r="46" spans="1:53" ht="30" customHeight="1">
      <c r="A46" s="492"/>
      <c r="B46" s="1706"/>
      <c r="C46" s="1753"/>
      <c r="D46" s="493"/>
      <c r="E46" s="481"/>
      <c r="F46" s="484"/>
      <c r="G46" s="407"/>
      <c r="H46" s="485"/>
      <c r="I46" s="1264"/>
      <c r="J46" s="494"/>
      <c r="K46" s="494"/>
      <c r="L46" s="494"/>
      <c r="M46" s="494"/>
      <c r="N46" s="494"/>
      <c r="O46" s="494"/>
      <c r="P46" s="494"/>
      <c r="Q46" s="494"/>
      <c r="R46" s="495"/>
      <c r="S46" s="409"/>
      <c r="AC46" s="21"/>
      <c r="AD46" s="21"/>
      <c r="AE46" s="21"/>
      <c r="AF46" s="21"/>
      <c r="AG46" s="21"/>
      <c r="AH46" s="50"/>
      <c r="BA46" s="50"/>
    </row>
    <row r="47" spans="1:53" ht="30" customHeight="1">
      <c r="B47" s="1706"/>
      <c r="C47" s="1753"/>
      <c r="D47" s="480"/>
      <c r="E47" s="481"/>
      <c r="F47" s="484"/>
      <c r="G47" s="407"/>
      <c r="H47" s="485"/>
      <c r="I47" s="1264"/>
      <c r="J47" s="478"/>
      <c r="K47" s="478"/>
      <c r="L47" s="478"/>
      <c r="M47" s="478"/>
      <c r="N47" s="478"/>
      <c r="O47" s="478"/>
      <c r="P47" s="478"/>
      <c r="Q47" s="478"/>
      <c r="R47" s="479"/>
      <c r="S47" s="409"/>
      <c r="AC47" s="1747"/>
      <c r="AD47" s="1747"/>
      <c r="AE47" s="464"/>
      <c r="AF47" s="491"/>
      <c r="AG47" s="489"/>
      <c r="AH47" s="50"/>
    </row>
    <row r="48" spans="1:53" ht="30" customHeight="1" collapsed="1">
      <c r="B48" s="1706"/>
      <c r="C48" s="1753"/>
      <c r="D48" s="480"/>
      <c r="E48" s="481"/>
      <c r="F48" s="486"/>
      <c r="G48" s="407"/>
      <c r="H48" s="487"/>
      <c r="I48" s="1265"/>
      <c r="J48" s="478"/>
      <c r="K48" s="478"/>
      <c r="L48" s="478"/>
      <c r="M48" s="478"/>
      <c r="N48" s="478"/>
      <c r="O48" s="478"/>
      <c r="P48" s="478"/>
      <c r="Q48" s="478"/>
      <c r="R48" s="479"/>
      <c r="S48" s="409"/>
      <c r="AC48" s="1747"/>
      <c r="AD48" s="1747"/>
      <c r="AE48" s="464"/>
      <c r="AF48" s="491"/>
      <c r="AG48" s="489"/>
      <c r="AH48" s="50"/>
    </row>
    <row r="49" spans="1:60" ht="30" hidden="1" customHeight="1" outlineLevel="1">
      <c r="B49" s="1706"/>
      <c r="C49" s="1753"/>
      <c r="D49" s="480"/>
      <c r="E49" s="481"/>
      <c r="F49" s="484"/>
      <c r="G49" s="407"/>
      <c r="H49" s="485"/>
      <c r="I49" s="1264"/>
      <c r="J49" s="478"/>
      <c r="K49" s="478"/>
      <c r="L49" s="478"/>
      <c r="M49" s="478"/>
      <c r="N49" s="478"/>
      <c r="O49" s="478"/>
      <c r="P49" s="478"/>
      <c r="Q49" s="478"/>
      <c r="R49" s="479"/>
      <c r="S49" s="409"/>
      <c r="AC49" s="1747"/>
      <c r="AD49" s="1747"/>
      <c r="AE49" s="464"/>
      <c r="AF49" s="491"/>
      <c r="AG49" s="489"/>
      <c r="AH49" s="50"/>
    </row>
    <row r="50" spans="1:60" ht="30" hidden="1" customHeight="1" outlineLevel="1">
      <c r="B50" s="1706"/>
      <c r="C50" s="1753"/>
      <c r="D50" s="480"/>
      <c r="E50" s="481"/>
      <c r="F50" s="486"/>
      <c r="G50" s="407"/>
      <c r="H50" s="487"/>
      <c r="I50" s="1265"/>
      <c r="J50" s="478"/>
      <c r="K50" s="478"/>
      <c r="L50" s="478"/>
      <c r="M50" s="478"/>
      <c r="N50" s="478"/>
      <c r="O50" s="478"/>
      <c r="P50" s="478"/>
      <c r="Q50" s="478"/>
      <c r="R50" s="479"/>
      <c r="S50" s="409"/>
      <c r="AC50" s="1747"/>
      <c r="AD50" s="1747"/>
      <c r="AE50" s="464"/>
      <c r="AF50" s="491"/>
      <c r="AG50" s="489"/>
      <c r="AH50" s="50"/>
    </row>
    <row r="51" spans="1:60" ht="30" hidden="1" customHeight="1" outlineLevel="1">
      <c r="B51" s="1706"/>
      <c r="C51" s="1753"/>
      <c r="D51" s="480"/>
      <c r="E51" s="481"/>
      <c r="F51" s="484"/>
      <c r="G51" s="407"/>
      <c r="H51" s="485"/>
      <c r="I51" s="1264"/>
      <c r="J51" s="478"/>
      <c r="K51" s="478"/>
      <c r="L51" s="478"/>
      <c r="M51" s="478"/>
      <c r="N51" s="478"/>
      <c r="O51" s="478"/>
      <c r="P51" s="478"/>
      <c r="Q51" s="478"/>
      <c r="R51" s="479"/>
      <c r="S51" s="409"/>
      <c r="AC51" s="1747"/>
      <c r="AD51" s="1747"/>
      <c r="AE51" s="464"/>
      <c r="AF51" s="491"/>
      <c r="AG51" s="489"/>
      <c r="AH51" s="50"/>
    </row>
    <row r="52" spans="1:60" ht="30" hidden="1" customHeight="1" outlineLevel="1">
      <c r="B52" s="1706"/>
      <c r="C52" s="1753"/>
      <c r="D52" s="480"/>
      <c r="E52" s="481"/>
      <c r="F52" s="486"/>
      <c r="G52" s="407"/>
      <c r="H52" s="487"/>
      <c r="I52" s="1265"/>
      <c r="J52" s="478"/>
      <c r="K52" s="478"/>
      <c r="L52" s="478"/>
      <c r="M52" s="478"/>
      <c r="N52" s="478"/>
      <c r="O52" s="478"/>
      <c r="P52" s="478"/>
      <c r="Q52" s="478"/>
      <c r="R52" s="479"/>
      <c r="S52" s="409"/>
      <c r="AC52" s="1747"/>
      <c r="AD52" s="1747"/>
      <c r="AE52" s="464"/>
      <c r="AF52" s="491"/>
      <c r="AG52" s="489"/>
      <c r="AH52" s="50"/>
    </row>
    <row r="53" spans="1:60" ht="30" hidden="1" customHeight="1" outlineLevel="1">
      <c r="B53" s="1706"/>
      <c r="C53" s="1753"/>
      <c r="D53" s="480"/>
      <c r="E53" s="481"/>
      <c r="F53" s="484"/>
      <c r="G53" s="407"/>
      <c r="H53" s="485"/>
      <c r="I53" s="1264"/>
      <c r="J53" s="478"/>
      <c r="K53" s="478"/>
      <c r="L53" s="478"/>
      <c r="M53" s="478"/>
      <c r="N53" s="478"/>
      <c r="O53" s="478"/>
      <c r="P53" s="478"/>
      <c r="Q53" s="478"/>
      <c r="R53" s="479"/>
      <c r="S53" s="409"/>
      <c r="AC53" s="1747"/>
      <c r="AD53" s="1747"/>
      <c r="AE53" s="464"/>
      <c r="AF53" s="491"/>
      <c r="AG53" s="489"/>
      <c r="AH53" s="50"/>
    </row>
    <row r="54" spans="1:60" ht="30" hidden="1" customHeight="1" outlineLevel="1">
      <c r="B54" s="1706"/>
      <c r="C54" s="1753"/>
      <c r="D54" s="480"/>
      <c r="E54" s="481"/>
      <c r="F54" s="486"/>
      <c r="G54" s="407"/>
      <c r="H54" s="487"/>
      <c r="I54" s="1265"/>
      <c r="J54" s="478"/>
      <c r="K54" s="478"/>
      <c r="L54" s="478"/>
      <c r="M54" s="478"/>
      <c r="N54" s="478"/>
      <c r="O54" s="478"/>
      <c r="P54" s="478"/>
      <c r="Q54" s="478"/>
      <c r="R54" s="479"/>
      <c r="S54" s="409"/>
      <c r="AC54" s="1747"/>
      <c r="AD54" s="1747"/>
      <c r="AE54" s="464"/>
      <c r="AF54" s="491"/>
      <c r="AG54" s="489"/>
      <c r="AH54" s="50"/>
    </row>
    <row r="55" spans="1:60" ht="30" hidden="1" customHeight="1" outlineLevel="1">
      <c r="B55" s="1706"/>
      <c r="C55" s="1753"/>
      <c r="D55" s="480"/>
      <c r="E55" s="481"/>
      <c r="F55" s="484"/>
      <c r="G55" s="407"/>
      <c r="H55" s="485"/>
      <c r="I55" s="1264"/>
      <c r="J55" s="478"/>
      <c r="K55" s="478"/>
      <c r="L55" s="478"/>
      <c r="M55" s="478"/>
      <c r="N55" s="478"/>
      <c r="O55" s="478"/>
      <c r="P55" s="478"/>
      <c r="Q55" s="478"/>
      <c r="R55" s="479"/>
      <c r="S55" s="409"/>
      <c r="AC55" s="50"/>
      <c r="AD55" s="50"/>
      <c r="AE55" s="50"/>
      <c r="AF55" s="50"/>
      <c r="AG55" s="50"/>
      <c r="AH55" s="50"/>
    </row>
    <row r="56" spans="1:60" ht="30" hidden="1" customHeight="1" outlineLevel="1">
      <c r="B56" s="1706"/>
      <c r="C56" s="1753"/>
      <c r="D56" s="480"/>
      <c r="E56" s="481"/>
      <c r="F56" s="484"/>
      <c r="G56" s="407"/>
      <c r="H56" s="485"/>
      <c r="I56" s="1264"/>
      <c r="J56" s="478"/>
      <c r="K56" s="478"/>
      <c r="L56" s="478"/>
      <c r="M56" s="478"/>
      <c r="N56" s="478"/>
      <c r="O56" s="478"/>
      <c r="P56" s="478"/>
      <c r="Q56" s="478"/>
      <c r="R56" s="479"/>
      <c r="S56" s="409"/>
      <c r="AC56" s="50"/>
      <c r="AD56" s="50"/>
      <c r="AE56" s="50"/>
      <c r="AF56" s="50"/>
      <c r="AG56" s="50"/>
      <c r="AH56" s="50"/>
    </row>
    <row r="57" spans="1:60" ht="30" hidden="1" customHeight="1" outlineLevel="1">
      <c r="B57" s="1706"/>
      <c r="C57" s="1753"/>
      <c r="D57" s="480"/>
      <c r="E57" s="481"/>
      <c r="F57" s="486"/>
      <c r="G57" s="407"/>
      <c r="H57" s="487"/>
      <c r="I57" s="1265"/>
      <c r="J57" s="478"/>
      <c r="K57" s="478"/>
      <c r="L57" s="478"/>
      <c r="M57" s="478"/>
      <c r="N57" s="478"/>
      <c r="O57" s="478"/>
      <c r="P57" s="478"/>
      <c r="Q57" s="478"/>
      <c r="R57" s="479"/>
      <c r="S57" s="409"/>
      <c r="AC57" s="50"/>
      <c r="AD57" s="50"/>
      <c r="AE57" s="50"/>
      <c r="AF57" s="50"/>
      <c r="AG57" s="50"/>
      <c r="AH57" s="50"/>
    </row>
    <row r="58" spans="1:60" ht="30" hidden="1" customHeight="1" outlineLevel="1">
      <c r="B58" s="1706"/>
      <c r="C58" s="1753"/>
      <c r="D58" s="480"/>
      <c r="E58" s="481"/>
      <c r="F58" s="486"/>
      <c r="G58" s="407"/>
      <c r="H58" s="487"/>
      <c r="I58" s="1265"/>
      <c r="J58" s="478"/>
      <c r="K58" s="478"/>
      <c r="L58" s="478"/>
      <c r="M58" s="478"/>
      <c r="N58" s="478"/>
      <c r="O58" s="478"/>
      <c r="P58" s="478"/>
      <c r="Q58" s="478"/>
      <c r="R58" s="479"/>
      <c r="S58" s="409"/>
      <c r="AC58" s="21"/>
      <c r="AD58" s="21"/>
      <c r="AE58" s="21"/>
      <c r="AF58" s="21"/>
      <c r="AG58" s="21"/>
      <c r="AH58" s="50"/>
      <c r="BA58" s="387"/>
      <c r="BB58" s="226"/>
      <c r="BC58" s="226"/>
      <c r="BD58" s="226"/>
      <c r="BE58" s="226"/>
      <c r="BF58" s="226"/>
      <c r="BG58" s="226"/>
      <c r="BH58" s="226"/>
    </row>
    <row r="59" spans="1:60" s="492" customFormat="1" ht="30" hidden="1" customHeight="1" outlineLevel="1">
      <c r="A59" s="295"/>
      <c r="B59" s="1706"/>
      <c r="C59" s="1753"/>
      <c r="D59" s="480"/>
      <c r="E59" s="481"/>
      <c r="F59" s="484"/>
      <c r="G59" s="407"/>
      <c r="H59" s="485"/>
      <c r="I59" s="1264"/>
      <c r="J59" s="478"/>
      <c r="K59" s="478"/>
      <c r="L59" s="478"/>
      <c r="M59" s="478"/>
      <c r="N59" s="478"/>
      <c r="O59" s="478"/>
      <c r="P59" s="478"/>
      <c r="Q59" s="478"/>
      <c r="R59" s="479"/>
      <c r="S59" s="409"/>
      <c r="T59" s="295"/>
      <c r="U59" s="295"/>
      <c r="V59" s="295"/>
      <c r="W59" s="295"/>
      <c r="X59" s="295"/>
      <c r="Y59" s="295"/>
      <c r="Z59" s="295"/>
      <c r="AA59" s="295"/>
      <c r="AB59" s="295"/>
      <c r="AC59" s="21"/>
      <c r="AD59" s="21"/>
      <c r="AE59" s="21"/>
      <c r="AF59" s="21"/>
      <c r="AG59" s="21"/>
      <c r="AH59" s="50"/>
      <c r="AI59" s="295"/>
      <c r="AJ59" s="295"/>
      <c r="AK59" s="295"/>
      <c r="AL59" s="295"/>
      <c r="AM59" s="295"/>
      <c r="AN59" s="295"/>
      <c r="AO59" s="295"/>
      <c r="AP59" s="295"/>
      <c r="AQ59" s="295"/>
      <c r="AR59" s="295"/>
      <c r="AS59" s="295"/>
      <c r="AT59" s="295"/>
      <c r="AU59" s="295"/>
      <c r="AV59" s="295"/>
      <c r="AW59" s="209"/>
      <c r="AX59" s="295"/>
      <c r="AY59" s="295"/>
      <c r="AZ59" s="295"/>
      <c r="BA59" s="496"/>
      <c r="BB59" s="496"/>
      <c r="BC59" s="496"/>
      <c r="BD59" s="496"/>
      <c r="BE59" s="496"/>
      <c r="BF59" s="496"/>
      <c r="BG59" s="496"/>
      <c r="BH59" s="496"/>
    </row>
    <row r="60" spans="1:60" s="492" customFormat="1" ht="30" customHeight="1">
      <c r="A60" s="295"/>
      <c r="B60" s="1706"/>
      <c r="C60" s="1753"/>
      <c r="D60" s="1748" t="s">
        <v>351</v>
      </c>
      <c r="E60" s="1749"/>
      <c r="F60" s="1750"/>
      <c r="G60" s="1751"/>
      <c r="H60" s="1751"/>
      <c r="I60" s="1752"/>
      <c r="J60" s="478"/>
      <c r="K60" s="478"/>
      <c r="L60" s="478"/>
      <c r="M60" s="478"/>
      <c r="N60" s="478"/>
      <c r="O60" s="478"/>
      <c r="P60" s="478"/>
      <c r="Q60" s="478"/>
      <c r="R60" s="479"/>
      <c r="S60" s="409"/>
      <c r="T60" s="295"/>
      <c r="U60" s="295"/>
      <c r="V60" s="295"/>
      <c r="W60" s="295"/>
      <c r="X60" s="295"/>
      <c r="Y60" s="295"/>
      <c r="Z60" s="295"/>
      <c r="AA60" s="295"/>
      <c r="AB60" s="295"/>
      <c r="AC60" s="21"/>
      <c r="AD60" s="21"/>
      <c r="AE60" s="21"/>
      <c r="AF60" s="21"/>
      <c r="AG60" s="21"/>
      <c r="AH60" s="50"/>
      <c r="AI60" s="295"/>
      <c r="AJ60" s="295"/>
      <c r="AK60" s="295"/>
      <c r="AL60" s="295"/>
      <c r="AM60" s="295"/>
      <c r="AN60" s="295"/>
      <c r="AO60" s="295"/>
      <c r="AP60" s="295"/>
      <c r="AQ60" s="295"/>
      <c r="AR60" s="295"/>
      <c r="AS60" s="295"/>
      <c r="AT60" s="295"/>
      <c r="AU60" s="295"/>
      <c r="AV60" s="295"/>
      <c r="AW60" s="209"/>
      <c r="AX60" s="295"/>
      <c r="AY60" s="295"/>
      <c r="AZ60" s="295"/>
      <c r="BA60" s="496"/>
      <c r="BB60" s="496"/>
      <c r="BC60" s="496"/>
      <c r="BD60" s="496"/>
      <c r="BE60" s="496"/>
      <c r="BF60" s="496"/>
      <c r="BG60" s="496"/>
      <c r="BH60" s="496"/>
    </row>
    <row r="61" spans="1:60" ht="30" customHeight="1">
      <c r="B61" s="1706"/>
      <c r="C61" s="1753"/>
      <c r="D61" s="493"/>
      <c r="E61" s="481"/>
      <c r="F61" s="482"/>
      <c r="G61" s="407"/>
      <c r="H61" s="483"/>
      <c r="I61" s="1263"/>
      <c r="J61" s="478"/>
      <c r="K61" s="478"/>
      <c r="L61" s="478"/>
      <c r="M61" s="478"/>
      <c r="N61" s="478"/>
      <c r="O61" s="478"/>
      <c r="P61" s="478"/>
      <c r="Q61" s="478"/>
      <c r="R61" s="479"/>
      <c r="S61" s="409"/>
      <c r="AC61" s="21"/>
      <c r="AD61" s="21"/>
      <c r="AE61" s="21"/>
      <c r="AF61" s="21"/>
      <c r="AG61" s="21"/>
      <c r="AH61" s="50"/>
      <c r="BA61" s="226"/>
      <c r="BB61" s="226"/>
      <c r="BC61" s="226"/>
      <c r="BD61" s="226"/>
      <c r="BE61" s="226"/>
      <c r="BF61" s="226"/>
      <c r="BG61" s="226"/>
      <c r="BH61" s="226"/>
    </row>
    <row r="62" spans="1:60" ht="30" customHeight="1">
      <c r="A62" s="492"/>
      <c r="B62" s="1706"/>
      <c r="C62" s="1753"/>
      <c r="D62" s="493"/>
      <c r="E62" s="481"/>
      <c r="F62" s="484"/>
      <c r="G62" s="407"/>
      <c r="H62" s="485"/>
      <c r="I62" s="1264"/>
      <c r="J62" s="494"/>
      <c r="K62" s="494"/>
      <c r="L62" s="494"/>
      <c r="M62" s="494"/>
      <c r="N62" s="494"/>
      <c r="O62" s="494"/>
      <c r="P62" s="494"/>
      <c r="Q62" s="494"/>
      <c r="R62" s="495"/>
      <c r="S62" s="409"/>
      <c r="AC62" s="21"/>
      <c r="AD62" s="21"/>
      <c r="AE62" s="21"/>
      <c r="AF62" s="21"/>
      <c r="AG62" s="21"/>
      <c r="AH62" s="50"/>
      <c r="BA62" s="50"/>
    </row>
    <row r="63" spans="1:60" ht="30" customHeight="1">
      <c r="B63" s="1706"/>
      <c r="C63" s="1753"/>
      <c r="D63" s="480"/>
      <c r="E63" s="481"/>
      <c r="F63" s="484"/>
      <c r="G63" s="407"/>
      <c r="H63" s="485"/>
      <c r="I63" s="1264"/>
      <c r="J63" s="478"/>
      <c r="K63" s="478"/>
      <c r="L63" s="478"/>
      <c r="M63" s="478"/>
      <c r="N63" s="478"/>
      <c r="O63" s="478"/>
      <c r="P63" s="478"/>
      <c r="Q63" s="478"/>
      <c r="R63" s="479"/>
      <c r="S63" s="409"/>
      <c r="AC63" s="1747"/>
      <c r="AD63" s="1747"/>
      <c r="AE63" s="464"/>
      <c r="AF63" s="491"/>
      <c r="AG63" s="489"/>
      <c r="AH63" s="50"/>
    </row>
    <row r="64" spans="1:60" ht="30" customHeight="1" collapsed="1">
      <c r="B64" s="1706"/>
      <c r="C64" s="1753"/>
      <c r="D64" s="480"/>
      <c r="E64" s="481"/>
      <c r="F64" s="486"/>
      <c r="G64" s="407"/>
      <c r="H64" s="487"/>
      <c r="I64" s="1265"/>
      <c r="J64" s="478"/>
      <c r="K64" s="478"/>
      <c r="L64" s="478"/>
      <c r="M64" s="478"/>
      <c r="N64" s="478"/>
      <c r="O64" s="478"/>
      <c r="P64" s="478"/>
      <c r="Q64" s="478"/>
      <c r="R64" s="479"/>
      <c r="S64" s="409"/>
      <c r="AC64" s="1747"/>
      <c r="AD64" s="1747"/>
      <c r="AE64" s="464"/>
      <c r="AF64" s="491"/>
      <c r="AG64" s="489"/>
      <c r="AH64" s="50"/>
    </row>
    <row r="65" spans="1:60" ht="30" hidden="1" customHeight="1" outlineLevel="1">
      <c r="B65" s="1706"/>
      <c r="C65" s="1753"/>
      <c r="D65" s="480"/>
      <c r="E65" s="481"/>
      <c r="F65" s="484"/>
      <c r="G65" s="407"/>
      <c r="H65" s="485"/>
      <c r="I65" s="1264"/>
      <c r="J65" s="478"/>
      <c r="K65" s="478"/>
      <c r="L65" s="478"/>
      <c r="M65" s="478"/>
      <c r="N65" s="478"/>
      <c r="O65" s="478"/>
      <c r="P65" s="478"/>
      <c r="Q65" s="478"/>
      <c r="R65" s="479"/>
      <c r="S65" s="409"/>
      <c r="AC65" s="1747"/>
      <c r="AD65" s="1747"/>
      <c r="AE65" s="464"/>
      <c r="AF65" s="491"/>
      <c r="AG65" s="489"/>
      <c r="AH65" s="50"/>
    </row>
    <row r="66" spans="1:60" ht="30" hidden="1" customHeight="1" outlineLevel="1">
      <c r="B66" s="1706"/>
      <c r="C66" s="1753"/>
      <c r="D66" s="480"/>
      <c r="E66" s="481"/>
      <c r="F66" s="486"/>
      <c r="G66" s="407"/>
      <c r="H66" s="487"/>
      <c r="I66" s="1265"/>
      <c r="J66" s="478"/>
      <c r="K66" s="478"/>
      <c r="L66" s="478"/>
      <c r="M66" s="478"/>
      <c r="N66" s="478"/>
      <c r="O66" s="478"/>
      <c r="P66" s="478"/>
      <c r="Q66" s="478"/>
      <c r="R66" s="479"/>
      <c r="S66" s="409"/>
      <c r="AC66" s="1747"/>
      <c r="AD66" s="1747"/>
      <c r="AE66" s="464"/>
      <c r="AF66" s="491"/>
      <c r="AG66" s="489"/>
      <c r="AH66" s="50"/>
    </row>
    <row r="67" spans="1:60" ht="30" hidden="1" customHeight="1" outlineLevel="1">
      <c r="B67" s="1706"/>
      <c r="C67" s="1753"/>
      <c r="D67" s="480"/>
      <c r="E67" s="481"/>
      <c r="F67" s="484"/>
      <c r="G67" s="407"/>
      <c r="H67" s="485"/>
      <c r="I67" s="1264"/>
      <c r="J67" s="478"/>
      <c r="K67" s="478"/>
      <c r="L67" s="478"/>
      <c r="M67" s="478"/>
      <c r="N67" s="478"/>
      <c r="O67" s="478"/>
      <c r="P67" s="478"/>
      <c r="Q67" s="478"/>
      <c r="R67" s="479"/>
      <c r="S67" s="409"/>
      <c r="AC67" s="1747"/>
      <c r="AD67" s="1747"/>
      <c r="AE67" s="464"/>
      <c r="AF67" s="491"/>
      <c r="AG67" s="489"/>
      <c r="AH67" s="50"/>
    </row>
    <row r="68" spans="1:60" ht="30" hidden="1" customHeight="1" outlineLevel="1">
      <c r="B68" s="1706"/>
      <c r="C68" s="1753"/>
      <c r="D68" s="480"/>
      <c r="E68" s="481"/>
      <c r="F68" s="486"/>
      <c r="G68" s="407"/>
      <c r="H68" s="487"/>
      <c r="I68" s="1265"/>
      <c r="J68" s="478"/>
      <c r="K68" s="478"/>
      <c r="L68" s="478"/>
      <c r="M68" s="478"/>
      <c r="N68" s="478"/>
      <c r="O68" s="478"/>
      <c r="P68" s="478"/>
      <c r="Q68" s="478"/>
      <c r="R68" s="479"/>
      <c r="S68" s="409"/>
      <c r="AC68" s="1747"/>
      <c r="AD68" s="1747"/>
      <c r="AE68" s="464"/>
      <c r="AF68" s="491"/>
      <c r="AG68" s="489"/>
      <c r="AH68" s="50"/>
    </row>
    <row r="69" spans="1:60" ht="30" hidden="1" customHeight="1" outlineLevel="1">
      <c r="B69" s="1706"/>
      <c r="C69" s="1753"/>
      <c r="D69" s="480"/>
      <c r="E69" s="481"/>
      <c r="F69" s="484"/>
      <c r="G69" s="407"/>
      <c r="H69" s="485"/>
      <c r="I69" s="1264"/>
      <c r="J69" s="478"/>
      <c r="K69" s="478"/>
      <c r="L69" s="478"/>
      <c r="M69" s="478"/>
      <c r="N69" s="478"/>
      <c r="O69" s="478"/>
      <c r="P69" s="478"/>
      <c r="Q69" s="478"/>
      <c r="R69" s="479"/>
      <c r="S69" s="409"/>
      <c r="AC69" s="1747"/>
      <c r="AD69" s="1747"/>
      <c r="AE69" s="464"/>
      <c r="AF69" s="491"/>
      <c r="AG69" s="489"/>
      <c r="AH69" s="50"/>
    </row>
    <row r="70" spans="1:60" ht="30" hidden="1" customHeight="1" outlineLevel="1">
      <c r="B70" s="1706"/>
      <c r="C70" s="1753"/>
      <c r="D70" s="480"/>
      <c r="E70" s="481"/>
      <c r="F70" s="486"/>
      <c r="G70" s="407"/>
      <c r="H70" s="487"/>
      <c r="I70" s="1265"/>
      <c r="J70" s="478"/>
      <c r="K70" s="478"/>
      <c r="L70" s="478"/>
      <c r="M70" s="478"/>
      <c r="N70" s="478"/>
      <c r="O70" s="478"/>
      <c r="P70" s="478"/>
      <c r="Q70" s="478"/>
      <c r="R70" s="479"/>
      <c r="S70" s="409"/>
      <c r="AC70" s="1747"/>
      <c r="AD70" s="1747"/>
      <c r="AE70" s="464"/>
      <c r="AF70" s="491"/>
      <c r="AG70" s="489"/>
      <c r="AH70" s="50"/>
    </row>
    <row r="71" spans="1:60" ht="30" hidden="1" customHeight="1" outlineLevel="1">
      <c r="B71" s="1706"/>
      <c r="C71" s="1753"/>
      <c r="D71" s="480"/>
      <c r="E71" s="481"/>
      <c r="F71" s="484"/>
      <c r="G71" s="407"/>
      <c r="H71" s="485"/>
      <c r="I71" s="1264"/>
      <c r="J71" s="478"/>
      <c r="K71" s="478"/>
      <c r="L71" s="478"/>
      <c r="M71" s="478"/>
      <c r="N71" s="478"/>
      <c r="O71" s="478"/>
      <c r="P71" s="478"/>
      <c r="Q71" s="478"/>
      <c r="R71" s="479"/>
      <c r="S71" s="409"/>
      <c r="AC71" s="50"/>
      <c r="AD71" s="50"/>
      <c r="AE71" s="50"/>
      <c r="AF71" s="50"/>
      <c r="AG71" s="50"/>
      <c r="AH71" s="50"/>
    </row>
    <row r="72" spans="1:60" ht="30" hidden="1" customHeight="1" outlineLevel="1">
      <c r="B72" s="1706"/>
      <c r="C72" s="1753"/>
      <c r="D72" s="480"/>
      <c r="E72" s="481"/>
      <c r="F72" s="486"/>
      <c r="G72" s="407"/>
      <c r="H72" s="487"/>
      <c r="I72" s="1265"/>
      <c r="J72" s="478"/>
      <c r="K72" s="478"/>
      <c r="L72" s="478"/>
      <c r="M72" s="478"/>
      <c r="N72" s="478"/>
      <c r="O72" s="478"/>
      <c r="P72" s="478"/>
      <c r="Q72" s="478"/>
      <c r="R72" s="479"/>
      <c r="S72" s="409"/>
      <c r="AC72" s="1747"/>
      <c r="AD72" s="1747"/>
      <c r="AE72" s="464"/>
      <c r="AF72" s="491"/>
      <c r="AG72" s="489"/>
      <c r="AH72" s="50"/>
    </row>
    <row r="73" spans="1:60" ht="30" hidden="1" customHeight="1" outlineLevel="1">
      <c r="B73" s="1706"/>
      <c r="C73" s="1753"/>
      <c r="D73" s="493"/>
      <c r="E73" s="481"/>
      <c r="F73" s="484"/>
      <c r="G73" s="407"/>
      <c r="H73" s="485"/>
      <c r="I73" s="1264"/>
      <c r="J73" s="478"/>
      <c r="K73" s="478"/>
      <c r="L73" s="478"/>
      <c r="M73" s="478"/>
      <c r="N73" s="478"/>
      <c r="O73" s="478"/>
      <c r="P73" s="478"/>
      <c r="Q73" s="478"/>
      <c r="R73" s="479"/>
      <c r="S73" s="409"/>
      <c r="AC73" s="497"/>
      <c r="AD73" s="50"/>
      <c r="AE73" s="50"/>
      <c r="AF73" s="50"/>
      <c r="AG73" s="50"/>
      <c r="AH73" s="50"/>
      <c r="BA73" s="226"/>
      <c r="BB73" s="226"/>
      <c r="BC73" s="226"/>
      <c r="BD73" s="226"/>
      <c r="BE73" s="226"/>
      <c r="BF73" s="226"/>
      <c r="BG73" s="226"/>
      <c r="BH73" s="226"/>
    </row>
    <row r="74" spans="1:60" ht="30" hidden="1" customHeight="1" outlineLevel="1">
      <c r="B74" s="1706"/>
      <c r="C74" s="1753"/>
      <c r="D74" s="480"/>
      <c r="E74" s="481"/>
      <c r="F74" s="486"/>
      <c r="G74" s="407"/>
      <c r="H74" s="487"/>
      <c r="I74" s="1265"/>
      <c r="J74" s="478"/>
      <c r="K74" s="478"/>
      <c r="L74" s="478"/>
      <c r="M74" s="478"/>
      <c r="N74" s="478"/>
      <c r="O74" s="478"/>
      <c r="P74" s="478"/>
      <c r="Q74" s="478"/>
      <c r="R74" s="479"/>
      <c r="S74" s="409"/>
      <c r="AC74" s="497"/>
      <c r="AD74" s="50"/>
      <c r="AE74" s="50"/>
      <c r="AF74" s="50"/>
      <c r="AG74" s="50"/>
      <c r="AH74" s="50"/>
      <c r="BA74" s="226"/>
      <c r="BB74" s="226"/>
      <c r="BC74" s="226"/>
      <c r="BD74" s="226"/>
      <c r="BE74" s="226"/>
      <c r="BF74" s="226"/>
      <c r="BG74" s="226"/>
      <c r="BH74" s="226"/>
    </row>
    <row r="75" spans="1:60" ht="30" hidden="1" customHeight="1" outlineLevel="1">
      <c r="B75" s="1706"/>
      <c r="C75" s="1753"/>
      <c r="D75" s="480"/>
      <c r="E75" s="481"/>
      <c r="F75" s="484"/>
      <c r="G75" s="407"/>
      <c r="H75" s="485"/>
      <c r="I75" s="1264"/>
      <c r="J75" s="478"/>
      <c r="K75" s="478"/>
      <c r="L75" s="478"/>
      <c r="M75" s="478"/>
      <c r="N75" s="478"/>
      <c r="O75" s="478"/>
      <c r="P75" s="478"/>
      <c r="Q75" s="478"/>
      <c r="R75" s="479"/>
      <c r="S75" s="409"/>
      <c r="AC75" s="497"/>
      <c r="AD75" s="50"/>
      <c r="AE75" s="50"/>
      <c r="AF75" s="50"/>
      <c r="AG75" s="50"/>
      <c r="AH75" s="50"/>
      <c r="BA75" s="226"/>
      <c r="BB75" s="226"/>
      <c r="BC75" s="226"/>
      <c r="BD75" s="226"/>
      <c r="BE75" s="226"/>
      <c r="BF75" s="226"/>
      <c r="BG75" s="226"/>
      <c r="BH75" s="226"/>
    </row>
    <row r="76" spans="1:60" ht="30" customHeight="1">
      <c r="B76" s="1706"/>
      <c r="C76" s="1753"/>
      <c r="D76" s="1748" t="s">
        <v>352</v>
      </c>
      <c r="E76" s="1749"/>
      <c r="F76" s="1750"/>
      <c r="G76" s="1751"/>
      <c r="H76" s="1751"/>
      <c r="I76" s="1752"/>
      <c r="J76" s="1757" t="s">
        <v>353</v>
      </c>
      <c r="K76" s="1757"/>
      <c r="L76" s="1757"/>
      <c r="M76" s="1757"/>
      <c r="N76" s="1757"/>
      <c r="O76" s="1757"/>
      <c r="P76" s="1757"/>
      <c r="Q76" s="1757"/>
      <c r="R76" s="1758"/>
      <c r="S76" s="409"/>
      <c r="AC76" s="497"/>
      <c r="AD76" s="50"/>
      <c r="AE76" s="50"/>
      <c r="AF76" s="50"/>
      <c r="AG76" s="50"/>
      <c r="AH76" s="50"/>
      <c r="BA76" s="226"/>
      <c r="BB76" s="226"/>
      <c r="BC76" s="226"/>
      <c r="BD76" s="226"/>
      <c r="BE76" s="226"/>
      <c r="BF76" s="226"/>
      <c r="BG76" s="226"/>
      <c r="BH76" s="226"/>
    </row>
    <row r="77" spans="1:60" ht="30" customHeight="1">
      <c r="B77" s="1706"/>
      <c r="C77" s="1753"/>
      <c r="D77" s="493"/>
      <c r="E77" s="481"/>
      <c r="F77" s="482"/>
      <c r="G77" s="407"/>
      <c r="H77" s="483"/>
      <c r="I77" s="1263"/>
      <c r="J77" s="1757"/>
      <c r="K77" s="1757"/>
      <c r="L77" s="1757"/>
      <c r="M77" s="1757"/>
      <c r="N77" s="1757"/>
      <c r="O77" s="1757"/>
      <c r="P77" s="1757"/>
      <c r="Q77" s="1757"/>
      <c r="R77" s="1758"/>
      <c r="S77" s="409"/>
      <c r="AC77" s="497"/>
      <c r="AD77" s="50"/>
      <c r="AE77" s="50"/>
      <c r="AF77" s="50"/>
      <c r="AG77" s="50"/>
      <c r="AH77" s="50"/>
      <c r="BA77" s="226"/>
      <c r="BB77" s="226"/>
      <c r="BC77" s="226"/>
      <c r="BD77" s="226"/>
      <c r="BE77" s="226"/>
      <c r="BF77" s="226"/>
      <c r="BG77" s="226"/>
      <c r="BH77" s="226"/>
    </row>
    <row r="78" spans="1:60" ht="30" customHeight="1">
      <c r="B78" s="1706"/>
      <c r="C78" s="1753"/>
      <c r="D78" s="493"/>
      <c r="E78" s="481"/>
      <c r="F78" s="484"/>
      <c r="G78" s="407"/>
      <c r="H78" s="485"/>
      <c r="I78" s="1264"/>
      <c r="J78" s="1757"/>
      <c r="K78" s="1757"/>
      <c r="L78" s="1757"/>
      <c r="M78" s="1757"/>
      <c r="N78" s="1757"/>
      <c r="O78" s="1757"/>
      <c r="P78" s="1757"/>
      <c r="Q78" s="1757"/>
      <c r="R78" s="1758"/>
      <c r="S78" s="409"/>
      <c r="AC78" s="497"/>
      <c r="AD78" s="50"/>
      <c r="AE78" s="50"/>
      <c r="AF78" s="50"/>
      <c r="AG78" s="50"/>
      <c r="AH78" s="50"/>
      <c r="BA78" s="226"/>
      <c r="BB78" s="226"/>
      <c r="BC78" s="226"/>
      <c r="BD78" s="226"/>
      <c r="BE78" s="226"/>
      <c r="BF78" s="226"/>
      <c r="BG78" s="226"/>
      <c r="BH78" s="226"/>
    </row>
    <row r="79" spans="1:60" ht="30" customHeight="1">
      <c r="A79" s="492"/>
      <c r="B79" s="1706"/>
      <c r="C79" s="1753"/>
      <c r="D79" s="493"/>
      <c r="E79" s="481"/>
      <c r="F79" s="484"/>
      <c r="G79" s="407"/>
      <c r="H79" s="485"/>
      <c r="I79" s="1264"/>
      <c r="J79" s="1757"/>
      <c r="K79" s="1757"/>
      <c r="L79" s="1757"/>
      <c r="M79" s="1757"/>
      <c r="N79" s="1757"/>
      <c r="O79" s="1757"/>
      <c r="P79" s="1757"/>
      <c r="Q79" s="1757"/>
      <c r="R79" s="1758"/>
      <c r="S79" s="409"/>
      <c r="AC79" s="21"/>
      <c r="AD79" s="21"/>
      <c r="AE79" s="21"/>
      <c r="AF79" s="21"/>
      <c r="AG79" s="21"/>
      <c r="AH79" s="50"/>
      <c r="BA79" s="50"/>
    </row>
    <row r="80" spans="1:60" ht="30" customHeight="1" collapsed="1">
      <c r="B80" s="1706"/>
      <c r="C80" s="1753"/>
      <c r="D80" s="480"/>
      <c r="E80" s="481"/>
      <c r="F80" s="484"/>
      <c r="G80" s="407"/>
      <c r="H80" s="485"/>
      <c r="I80" s="1264"/>
      <c r="J80" s="1757"/>
      <c r="K80" s="1757"/>
      <c r="L80" s="1757"/>
      <c r="M80" s="1757"/>
      <c r="N80" s="1757"/>
      <c r="O80" s="1757"/>
      <c r="P80" s="1757"/>
      <c r="Q80" s="1757"/>
      <c r="R80" s="1758"/>
      <c r="S80" s="409"/>
      <c r="AC80" s="1747"/>
      <c r="AD80" s="1747"/>
      <c r="AE80" s="464"/>
      <c r="AF80" s="491"/>
      <c r="AG80" s="489"/>
      <c r="AH80" s="50"/>
    </row>
    <row r="81" spans="1:60" ht="30" hidden="1" customHeight="1" outlineLevel="1">
      <c r="B81" s="1706"/>
      <c r="C81" s="1753"/>
      <c r="D81" s="480"/>
      <c r="E81" s="481"/>
      <c r="F81" s="486"/>
      <c r="G81" s="407"/>
      <c r="H81" s="487"/>
      <c r="I81" s="1265"/>
      <c r="J81" s="1757"/>
      <c r="K81" s="1757"/>
      <c r="L81" s="1757"/>
      <c r="M81" s="1757"/>
      <c r="N81" s="1757"/>
      <c r="O81" s="1757"/>
      <c r="P81" s="1757"/>
      <c r="Q81" s="1757"/>
      <c r="R81" s="1758"/>
      <c r="S81" s="409"/>
      <c r="AC81" s="1747"/>
      <c r="AD81" s="1747"/>
      <c r="AE81" s="464"/>
      <c r="AF81" s="491"/>
      <c r="AG81" s="489"/>
      <c r="AH81" s="50"/>
    </row>
    <row r="82" spans="1:60" ht="30" hidden="1" customHeight="1" outlineLevel="1">
      <c r="B82" s="1706"/>
      <c r="C82" s="1753"/>
      <c r="D82" s="480"/>
      <c r="E82" s="481"/>
      <c r="F82" s="484"/>
      <c r="G82" s="407"/>
      <c r="H82" s="485"/>
      <c r="I82" s="1264"/>
      <c r="J82" s="1757"/>
      <c r="K82" s="1757"/>
      <c r="L82" s="1757"/>
      <c r="M82" s="1757"/>
      <c r="N82" s="1757"/>
      <c r="O82" s="1757"/>
      <c r="P82" s="1757"/>
      <c r="Q82" s="1757"/>
      <c r="R82" s="1758"/>
      <c r="S82" s="409"/>
      <c r="AC82" s="1747"/>
      <c r="AD82" s="1747"/>
      <c r="AE82" s="464"/>
      <c r="AF82" s="491"/>
      <c r="AG82" s="489"/>
      <c r="AH82" s="50"/>
    </row>
    <row r="83" spans="1:60" ht="30" hidden="1" customHeight="1" outlineLevel="1">
      <c r="B83" s="1706"/>
      <c r="C83" s="1753"/>
      <c r="D83" s="480"/>
      <c r="E83" s="481"/>
      <c r="F83" s="486"/>
      <c r="G83" s="407"/>
      <c r="H83" s="487"/>
      <c r="I83" s="1265"/>
      <c r="J83" s="1757"/>
      <c r="K83" s="1757"/>
      <c r="L83" s="1757"/>
      <c r="M83" s="1757"/>
      <c r="N83" s="1757"/>
      <c r="O83" s="1757"/>
      <c r="P83" s="1757"/>
      <c r="Q83" s="1757"/>
      <c r="R83" s="1758"/>
      <c r="S83" s="409"/>
      <c r="AC83" s="1747"/>
      <c r="AD83" s="1747"/>
      <c r="AE83" s="464"/>
      <c r="AF83" s="491"/>
      <c r="AG83" s="489"/>
      <c r="AH83" s="50"/>
    </row>
    <row r="84" spans="1:60" ht="30" hidden="1" customHeight="1" outlineLevel="1">
      <c r="B84" s="1706"/>
      <c r="C84" s="1753"/>
      <c r="D84" s="480"/>
      <c r="E84" s="481"/>
      <c r="F84" s="484"/>
      <c r="G84" s="407"/>
      <c r="H84" s="485"/>
      <c r="I84" s="1264"/>
      <c r="J84" s="1757"/>
      <c r="K84" s="1757"/>
      <c r="L84" s="1757"/>
      <c r="M84" s="1757"/>
      <c r="N84" s="1757"/>
      <c r="O84" s="1757"/>
      <c r="P84" s="1757"/>
      <c r="Q84" s="1757"/>
      <c r="R84" s="1758"/>
      <c r="S84" s="409"/>
      <c r="AC84" s="1747"/>
      <c r="AD84" s="1747"/>
      <c r="AE84" s="464"/>
      <c r="AF84" s="491"/>
      <c r="AG84" s="489"/>
      <c r="AH84" s="50"/>
    </row>
    <row r="85" spans="1:60" ht="30" hidden="1" customHeight="1" outlineLevel="1">
      <c r="B85" s="1706"/>
      <c r="C85" s="1753"/>
      <c r="D85" s="480"/>
      <c r="E85" s="481"/>
      <c r="F85" s="486"/>
      <c r="G85" s="407"/>
      <c r="H85" s="487"/>
      <c r="I85" s="1265"/>
      <c r="J85" s="1757"/>
      <c r="K85" s="1757"/>
      <c r="L85" s="1757"/>
      <c r="M85" s="1757"/>
      <c r="N85" s="1757"/>
      <c r="O85" s="1757"/>
      <c r="P85" s="1757"/>
      <c r="Q85" s="1757"/>
      <c r="R85" s="1758"/>
      <c r="S85" s="409"/>
      <c r="AC85" s="1747"/>
      <c r="AD85" s="1747"/>
      <c r="AE85" s="464"/>
      <c r="AF85" s="491"/>
      <c r="AG85" s="489"/>
      <c r="AH85" s="50"/>
    </row>
    <row r="86" spans="1:60" ht="30" hidden="1" customHeight="1" outlineLevel="1">
      <c r="B86" s="1706"/>
      <c r="C86" s="1753"/>
      <c r="D86" s="480"/>
      <c r="E86" s="481"/>
      <c r="F86" s="484"/>
      <c r="G86" s="407"/>
      <c r="H86" s="485"/>
      <c r="I86" s="1264"/>
      <c r="J86" s="1757"/>
      <c r="K86" s="1757"/>
      <c r="L86" s="1757"/>
      <c r="M86" s="1757"/>
      <c r="N86" s="1757"/>
      <c r="O86" s="1757"/>
      <c r="P86" s="1757"/>
      <c r="Q86" s="1757"/>
      <c r="R86" s="1758"/>
      <c r="S86" s="409"/>
      <c r="AC86" s="1747"/>
      <c r="AD86" s="1747"/>
      <c r="AE86" s="464"/>
      <c r="AF86" s="491"/>
      <c r="AG86" s="489"/>
      <c r="AH86" s="50"/>
    </row>
    <row r="87" spans="1:60" ht="30" hidden="1" customHeight="1" outlineLevel="1">
      <c r="B87" s="1706"/>
      <c r="C87" s="1753"/>
      <c r="D87" s="480"/>
      <c r="E87" s="481"/>
      <c r="F87" s="486"/>
      <c r="G87" s="407"/>
      <c r="H87" s="487"/>
      <c r="I87" s="1265"/>
      <c r="J87" s="1757"/>
      <c r="K87" s="1757"/>
      <c r="L87" s="1757"/>
      <c r="M87" s="1757"/>
      <c r="N87" s="1757"/>
      <c r="O87" s="1757"/>
      <c r="P87" s="1757"/>
      <c r="Q87" s="1757"/>
      <c r="R87" s="1758"/>
      <c r="S87" s="409"/>
      <c r="AC87" s="1747"/>
      <c r="AD87" s="1747"/>
      <c r="AE87" s="464"/>
      <c r="AF87" s="491"/>
      <c r="AG87" s="489"/>
      <c r="AH87" s="50"/>
    </row>
    <row r="88" spans="1:60" ht="30" hidden="1" customHeight="1" outlineLevel="1">
      <c r="B88" s="1706"/>
      <c r="C88" s="1753"/>
      <c r="D88" s="480"/>
      <c r="E88" s="481"/>
      <c r="F88" s="484"/>
      <c r="G88" s="407"/>
      <c r="H88" s="485"/>
      <c r="I88" s="1264"/>
      <c r="J88" s="1757"/>
      <c r="K88" s="1757"/>
      <c r="L88" s="1757"/>
      <c r="M88" s="1757"/>
      <c r="N88" s="1757"/>
      <c r="O88" s="1757"/>
      <c r="P88" s="1757"/>
      <c r="Q88" s="1757"/>
      <c r="R88" s="1758"/>
      <c r="S88" s="409"/>
      <c r="AC88" s="50"/>
      <c r="AD88" s="50"/>
      <c r="AE88" s="50"/>
      <c r="AF88" s="50"/>
      <c r="AG88" s="50"/>
      <c r="AH88" s="50"/>
    </row>
    <row r="89" spans="1:60" ht="30" hidden="1" customHeight="1" outlineLevel="1">
      <c r="B89" s="1706"/>
      <c r="C89" s="1753"/>
      <c r="D89" s="480"/>
      <c r="E89" s="481"/>
      <c r="F89" s="486"/>
      <c r="G89" s="407"/>
      <c r="H89" s="487"/>
      <c r="I89" s="1265"/>
      <c r="J89" s="1757"/>
      <c r="K89" s="1757"/>
      <c r="L89" s="1757"/>
      <c r="M89" s="1757"/>
      <c r="N89" s="1757"/>
      <c r="O89" s="1757"/>
      <c r="P89" s="1757"/>
      <c r="Q89" s="1757"/>
      <c r="R89" s="1758"/>
      <c r="S89" s="409"/>
      <c r="AC89" s="1747"/>
      <c r="AD89" s="1747"/>
      <c r="AE89" s="464"/>
      <c r="AF89" s="491"/>
      <c r="AG89" s="489"/>
      <c r="AH89" s="50"/>
    </row>
    <row r="90" spans="1:60" ht="30" hidden="1" customHeight="1" outlineLevel="1">
      <c r="B90" s="1706"/>
      <c r="C90" s="1753"/>
      <c r="D90" s="480"/>
      <c r="E90" s="481"/>
      <c r="F90" s="486"/>
      <c r="G90" s="407"/>
      <c r="H90" s="487"/>
      <c r="I90" s="1265"/>
      <c r="J90" s="1757"/>
      <c r="K90" s="1757"/>
      <c r="L90" s="1757"/>
      <c r="M90" s="1757"/>
      <c r="N90" s="1757"/>
      <c r="O90" s="1757"/>
      <c r="P90" s="1757"/>
      <c r="Q90" s="1757"/>
      <c r="R90" s="1758"/>
      <c r="S90" s="409"/>
      <c r="AC90" s="497"/>
      <c r="AD90" s="50"/>
      <c r="AE90" s="50"/>
      <c r="AF90" s="50"/>
      <c r="AG90" s="50"/>
      <c r="AH90" s="50"/>
      <c r="BA90" s="226"/>
      <c r="BB90" s="226"/>
      <c r="BC90" s="226"/>
      <c r="BD90" s="226"/>
      <c r="BE90" s="226"/>
      <c r="BF90" s="226"/>
      <c r="BG90" s="226"/>
      <c r="BH90" s="226"/>
    </row>
    <row r="91" spans="1:60" ht="30" hidden="1" customHeight="1" outlineLevel="1">
      <c r="B91" s="1706"/>
      <c r="C91" s="1753"/>
      <c r="D91" s="480"/>
      <c r="E91" s="481"/>
      <c r="F91" s="484"/>
      <c r="G91" s="407"/>
      <c r="H91" s="485"/>
      <c r="I91" s="1264"/>
      <c r="J91" s="1757"/>
      <c r="K91" s="1757"/>
      <c r="L91" s="1757"/>
      <c r="M91" s="1757"/>
      <c r="N91" s="1757"/>
      <c r="O91" s="1757"/>
      <c r="P91" s="1757"/>
      <c r="Q91" s="1757"/>
      <c r="R91" s="1758"/>
      <c r="S91" s="409"/>
      <c r="AC91" s="467"/>
      <c r="BA91" s="226"/>
      <c r="BB91" s="226"/>
      <c r="BC91" s="226"/>
      <c r="BD91" s="226"/>
      <c r="BE91" s="226"/>
      <c r="BF91" s="226"/>
      <c r="BG91" s="226"/>
      <c r="BH91" s="226"/>
    </row>
    <row r="92" spans="1:60" ht="30" customHeight="1">
      <c r="B92" s="1706"/>
      <c r="C92" s="1753"/>
      <c r="D92" s="1748" t="s">
        <v>354</v>
      </c>
      <c r="E92" s="1749"/>
      <c r="F92" s="1750"/>
      <c r="G92" s="1751"/>
      <c r="H92" s="1751"/>
      <c r="I92" s="1752"/>
      <c r="J92" s="478"/>
      <c r="K92" s="478"/>
      <c r="L92" s="478"/>
      <c r="M92" s="478"/>
      <c r="N92" s="478"/>
      <c r="O92" s="478"/>
      <c r="P92" s="478"/>
      <c r="Q92" s="478"/>
      <c r="R92" s="479"/>
      <c r="S92" s="409"/>
      <c r="AC92" s="467"/>
      <c r="BA92" s="226"/>
      <c r="BB92" s="226"/>
      <c r="BC92" s="226"/>
      <c r="BD92" s="226"/>
      <c r="BE92" s="226"/>
      <c r="BF92" s="226"/>
      <c r="BG92" s="226"/>
      <c r="BH92" s="226"/>
    </row>
    <row r="93" spans="1:60" ht="30" customHeight="1">
      <c r="B93" s="1706"/>
      <c r="C93" s="1753"/>
      <c r="D93" s="493"/>
      <c r="E93" s="481"/>
      <c r="F93" s="482"/>
      <c r="G93" s="407"/>
      <c r="H93" s="483"/>
      <c r="I93" s="1263"/>
      <c r="J93" s="478"/>
      <c r="K93" s="478"/>
      <c r="L93" s="478"/>
      <c r="M93" s="478"/>
      <c r="N93" s="478"/>
      <c r="O93" s="478"/>
      <c r="P93" s="478"/>
      <c r="Q93" s="478"/>
      <c r="R93" s="479"/>
      <c r="S93" s="409"/>
      <c r="AC93" s="467"/>
      <c r="BA93" s="226"/>
      <c r="BB93" s="226"/>
      <c r="BC93" s="226"/>
      <c r="BD93" s="226"/>
      <c r="BE93" s="226"/>
      <c r="BF93" s="226"/>
      <c r="BG93" s="226"/>
      <c r="BH93" s="226"/>
    </row>
    <row r="94" spans="1:60" ht="30" customHeight="1">
      <c r="A94" s="492"/>
      <c r="B94" s="1706"/>
      <c r="C94" s="1753"/>
      <c r="D94" s="493"/>
      <c r="E94" s="481"/>
      <c r="F94" s="484"/>
      <c r="G94" s="407"/>
      <c r="H94" s="485"/>
      <c r="I94" s="1264"/>
      <c r="J94" s="478"/>
      <c r="K94" s="478"/>
      <c r="L94" s="478"/>
      <c r="M94" s="478"/>
      <c r="N94" s="478"/>
      <c r="O94" s="478"/>
      <c r="P94" s="478"/>
      <c r="Q94" s="478"/>
      <c r="R94" s="479"/>
      <c r="S94" s="409"/>
      <c r="AC94" s="2"/>
      <c r="AD94" s="2"/>
      <c r="AE94" s="2"/>
      <c r="AF94" s="2"/>
      <c r="AG94" s="2"/>
      <c r="BA94" s="50"/>
    </row>
    <row r="95" spans="1:60" ht="30" customHeight="1">
      <c r="B95" s="1706"/>
      <c r="C95" s="1753"/>
      <c r="D95" s="480"/>
      <c r="E95" s="481"/>
      <c r="F95" s="484"/>
      <c r="G95" s="407"/>
      <c r="H95" s="485"/>
      <c r="I95" s="1264"/>
      <c r="J95" s="478"/>
      <c r="K95" s="478"/>
      <c r="L95" s="478"/>
      <c r="M95" s="478"/>
      <c r="N95" s="478"/>
      <c r="O95" s="478"/>
      <c r="P95" s="478"/>
      <c r="Q95" s="478"/>
      <c r="R95" s="479"/>
      <c r="S95" s="409"/>
      <c r="AC95" s="1747"/>
      <c r="AD95" s="1747"/>
      <c r="AE95" s="464"/>
      <c r="AF95" s="491"/>
      <c r="AG95" s="489"/>
    </row>
    <row r="96" spans="1:60" ht="30" customHeight="1" collapsed="1">
      <c r="B96" s="1706"/>
      <c r="C96" s="1753"/>
      <c r="D96" s="480"/>
      <c r="E96" s="481"/>
      <c r="F96" s="486"/>
      <c r="G96" s="407"/>
      <c r="H96" s="487"/>
      <c r="I96" s="1265"/>
      <c r="J96" s="478"/>
      <c r="K96" s="478"/>
      <c r="L96" s="478"/>
      <c r="M96" s="478"/>
      <c r="N96" s="478"/>
      <c r="O96" s="478"/>
      <c r="P96" s="478"/>
      <c r="Q96" s="478"/>
      <c r="R96" s="479"/>
      <c r="S96" s="409"/>
      <c r="AC96" s="1747"/>
      <c r="AD96" s="1747"/>
      <c r="AE96" s="464"/>
      <c r="AF96" s="491"/>
      <c r="AG96" s="489"/>
    </row>
    <row r="97" spans="2:60" ht="30" hidden="1" customHeight="1" outlineLevel="1">
      <c r="B97" s="1706"/>
      <c r="C97" s="1753"/>
      <c r="D97" s="480"/>
      <c r="E97" s="481"/>
      <c r="F97" s="484"/>
      <c r="G97" s="407"/>
      <c r="H97" s="485"/>
      <c r="I97" s="1264"/>
      <c r="J97" s="478"/>
      <c r="K97" s="478"/>
      <c r="L97" s="478"/>
      <c r="M97" s="478"/>
      <c r="N97" s="478"/>
      <c r="O97" s="478"/>
      <c r="P97" s="478"/>
      <c r="Q97" s="478"/>
      <c r="R97" s="479"/>
      <c r="S97" s="409"/>
      <c r="AC97" s="1747"/>
      <c r="AD97" s="1747"/>
      <c r="AE97" s="464"/>
      <c r="AF97" s="491"/>
      <c r="AG97" s="489"/>
    </row>
    <row r="98" spans="2:60" ht="30" hidden="1" customHeight="1" outlineLevel="1">
      <c r="B98" s="1706"/>
      <c r="C98" s="1753"/>
      <c r="D98" s="480"/>
      <c r="E98" s="481"/>
      <c r="F98" s="486"/>
      <c r="G98" s="407"/>
      <c r="H98" s="487"/>
      <c r="I98" s="1265"/>
      <c r="J98" s="478"/>
      <c r="K98" s="478"/>
      <c r="L98" s="478"/>
      <c r="M98" s="478"/>
      <c r="N98" s="478"/>
      <c r="O98" s="478"/>
      <c r="P98" s="478"/>
      <c r="Q98" s="478"/>
      <c r="R98" s="479"/>
      <c r="S98" s="409"/>
      <c r="AC98" s="1747"/>
      <c r="AD98" s="1747"/>
      <c r="AE98" s="464"/>
      <c r="AF98" s="491"/>
      <c r="AG98" s="489"/>
    </row>
    <row r="99" spans="2:60" ht="30" hidden="1" customHeight="1" outlineLevel="1">
      <c r="B99" s="1706"/>
      <c r="C99" s="1753"/>
      <c r="D99" s="480"/>
      <c r="E99" s="481"/>
      <c r="F99" s="484"/>
      <c r="G99" s="407"/>
      <c r="H99" s="485"/>
      <c r="I99" s="1264"/>
      <c r="J99" s="478"/>
      <c r="K99" s="478"/>
      <c r="L99" s="478"/>
      <c r="M99" s="478"/>
      <c r="N99" s="478"/>
      <c r="O99" s="478"/>
      <c r="P99" s="478"/>
      <c r="Q99" s="478"/>
      <c r="R99" s="479"/>
      <c r="S99" s="409"/>
      <c r="AC99" s="1747"/>
      <c r="AD99" s="1747"/>
      <c r="AE99" s="464"/>
      <c r="AF99" s="491"/>
      <c r="AG99" s="489"/>
    </row>
    <row r="100" spans="2:60" ht="30" hidden="1" customHeight="1" outlineLevel="1">
      <c r="B100" s="1706"/>
      <c r="C100" s="1753"/>
      <c r="D100" s="480"/>
      <c r="E100" s="481"/>
      <c r="F100" s="486"/>
      <c r="G100" s="407"/>
      <c r="H100" s="487"/>
      <c r="I100" s="1265"/>
      <c r="J100" s="478"/>
      <c r="K100" s="478"/>
      <c r="L100" s="478"/>
      <c r="M100" s="478"/>
      <c r="N100" s="478"/>
      <c r="O100" s="478"/>
      <c r="P100" s="478"/>
      <c r="Q100" s="478"/>
      <c r="R100" s="479"/>
      <c r="S100" s="409"/>
      <c r="AC100" s="1747"/>
      <c r="AD100" s="1747"/>
      <c r="AE100" s="464"/>
      <c r="AF100" s="491"/>
      <c r="AG100" s="489"/>
    </row>
    <row r="101" spans="2:60" ht="30" hidden="1" customHeight="1" outlineLevel="1">
      <c r="B101" s="1706"/>
      <c r="C101" s="1753"/>
      <c r="D101" s="480"/>
      <c r="E101" s="481"/>
      <c r="F101" s="484"/>
      <c r="G101" s="407"/>
      <c r="H101" s="485"/>
      <c r="I101" s="1264"/>
      <c r="J101" s="478"/>
      <c r="K101" s="478"/>
      <c r="L101" s="478"/>
      <c r="M101" s="478"/>
      <c r="N101" s="478"/>
      <c r="O101" s="478"/>
      <c r="P101" s="478"/>
      <c r="Q101" s="478"/>
      <c r="R101" s="479"/>
      <c r="S101" s="409"/>
      <c r="AC101" s="1747"/>
      <c r="AD101" s="1747"/>
      <c r="AE101" s="464"/>
      <c r="AF101" s="491"/>
      <c r="AG101" s="489"/>
    </row>
    <row r="102" spans="2:60" ht="30" hidden="1" customHeight="1" outlineLevel="1">
      <c r="B102" s="1706"/>
      <c r="C102" s="1753"/>
      <c r="D102" s="480"/>
      <c r="E102" s="481"/>
      <c r="F102" s="486"/>
      <c r="G102" s="407"/>
      <c r="H102" s="487"/>
      <c r="I102" s="1265"/>
      <c r="J102" s="478"/>
      <c r="K102" s="478"/>
      <c r="L102" s="478"/>
      <c r="M102" s="478"/>
      <c r="N102" s="478"/>
      <c r="O102" s="478"/>
      <c r="P102" s="478"/>
      <c r="Q102" s="478"/>
      <c r="R102" s="479"/>
      <c r="S102" s="409"/>
      <c r="AC102" s="1747"/>
      <c r="AD102" s="1747"/>
      <c r="AE102" s="464"/>
      <c r="AF102" s="491"/>
      <c r="AG102" s="489"/>
    </row>
    <row r="103" spans="2:60" ht="30" hidden="1" customHeight="1" outlineLevel="1">
      <c r="B103" s="1706"/>
      <c r="C103" s="1753"/>
      <c r="D103" s="480"/>
      <c r="E103" s="481"/>
      <c r="F103" s="484"/>
      <c r="G103" s="407"/>
      <c r="H103" s="485"/>
      <c r="I103" s="1264"/>
      <c r="J103" s="478"/>
      <c r="K103" s="478"/>
      <c r="L103" s="478"/>
      <c r="M103" s="478"/>
      <c r="N103" s="478"/>
      <c r="O103" s="478"/>
      <c r="P103" s="478"/>
      <c r="Q103" s="478"/>
      <c r="R103" s="479"/>
      <c r="S103" s="409"/>
      <c r="AE103" s="50"/>
      <c r="AF103" s="50"/>
      <c r="AG103" s="50"/>
    </row>
    <row r="104" spans="2:60" ht="30" hidden="1" customHeight="1" outlineLevel="1">
      <c r="B104" s="1706"/>
      <c r="C104" s="1753"/>
      <c r="D104" s="480"/>
      <c r="E104" s="481"/>
      <c r="F104" s="486"/>
      <c r="G104" s="407"/>
      <c r="H104" s="487"/>
      <c r="I104" s="1265"/>
      <c r="J104" s="478"/>
      <c r="K104" s="478"/>
      <c r="L104" s="478"/>
      <c r="M104" s="478"/>
      <c r="N104" s="478"/>
      <c r="O104" s="478"/>
      <c r="P104" s="478"/>
      <c r="Q104" s="478"/>
      <c r="R104" s="479"/>
      <c r="S104" s="409"/>
      <c r="AC104" s="1747"/>
      <c r="AD104" s="1747"/>
      <c r="AE104" s="464"/>
      <c r="AF104" s="491"/>
      <c r="AG104" s="489"/>
    </row>
    <row r="105" spans="2:60" ht="30" hidden="1" customHeight="1" outlineLevel="1">
      <c r="B105" s="1706"/>
      <c r="C105" s="1753"/>
      <c r="D105" s="493"/>
      <c r="E105" s="481"/>
      <c r="F105" s="484"/>
      <c r="G105" s="407"/>
      <c r="H105" s="485"/>
      <c r="I105" s="1264"/>
      <c r="J105" s="478"/>
      <c r="K105" s="478"/>
      <c r="L105" s="478"/>
      <c r="M105" s="478"/>
      <c r="N105" s="478"/>
      <c r="O105" s="478"/>
      <c r="P105" s="478"/>
      <c r="Q105" s="478"/>
      <c r="R105" s="479"/>
      <c r="S105" s="409"/>
      <c r="AC105" s="467"/>
      <c r="AE105" s="50"/>
      <c r="AF105" s="50"/>
      <c r="AG105" s="50"/>
      <c r="BA105" s="226"/>
      <c r="BB105" s="226"/>
      <c r="BC105" s="226"/>
      <c r="BD105" s="226"/>
      <c r="BE105" s="226"/>
      <c r="BF105" s="226"/>
      <c r="BG105" s="226"/>
      <c r="BH105" s="226"/>
    </row>
    <row r="106" spans="2:60" ht="30" hidden="1" customHeight="1" outlineLevel="1">
      <c r="B106" s="1706"/>
      <c r="C106" s="1753"/>
      <c r="D106" s="480"/>
      <c r="E106" s="481"/>
      <c r="F106" s="486"/>
      <c r="G106" s="407"/>
      <c r="H106" s="487"/>
      <c r="I106" s="1265"/>
      <c r="J106" s="478"/>
      <c r="K106" s="478"/>
      <c r="L106" s="478"/>
      <c r="M106" s="478"/>
      <c r="N106" s="478"/>
      <c r="O106" s="478"/>
      <c r="P106" s="478"/>
      <c r="Q106" s="478"/>
      <c r="R106" s="479"/>
      <c r="S106" s="409"/>
      <c r="AC106" s="467"/>
      <c r="BA106" s="226"/>
      <c r="BB106" s="226"/>
      <c r="BC106" s="226"/>
      <c r="BD106" s="226"/>
      <c r="BE106" s="226"/>
      <c r="BF106" s="226"/>
      <c r="BG106" s="226"/>
      <c r="BH106" s="226"/>
    </row>
    <row r="107" spans="2:60" ht="30" hidden="1" customHeight="1" outlineLevel="1">
      <c r="B107" s="1706"/>
      <c r="C107" s="1753"/>
      <c r="D107" s="480"/>
      <c r="E107" s="481"/>
      <c r="F107" s="484"/>
      <c r="G107" s="407"/>
      <c r="H107" s="485"/>
      <c r="I107" s="1264"/>
      <c r="J107" s="498"/>
      <c r="K107" s="499"/>
      <c r="L107" s="499"/>
      <c r="M107" s="499"/>
      <c r="N107" s="499"/>
      <c r="O107" s="499"/>
      <c r="P107" s="499"/>
      <c r="Q107" s="499"/>
      <c r="R107" s="500"/>
      <c r="S107" s="409"/>
      <c r="AC107" s="467"/>
      <c r="BA107" s="226"/>
      <c r="BB107" s="226"/>
      <c r="BC107" s="226"/>
      <c r="BD107" s="226"/>
      <c r="BE107" s="226"/>
      <c r="BF107" s="226"/>
      <c r="BG107" s="226"/>
      <c r="BH107" s="226"/>
    </row>
    <row r="108" spans="2:60" ht="30" customHeight="1">
      <c r="B108" s="1706"/>
      <c r="C108" s="1753"/>
      <c r="D108" s="1759" t="s">
        <v>347</v>
      </c>
      <c r="E108" s="1760"/>
      <c r="F108" s="484"/>
      <c r="G108" s="407"/>
      <c r="H108" s="485"/>
      <c r="I108" s="1264"/>
      <c r="J108" s="1761"/>
      <c r="K108" s="1763" t="s">
        <v>355</v>
      </c>
      <c r="L108" s="1764"/>
      <c r="M108" s="1764"/>
      <c r="N108" s="1764"/>
      <c r="O108" s="1764"/>
      <c r="P108" s="1764"/>
      <c r="Q108" s="1764"/>
      <c r="R108" s="1765"/>
      <c r="S108" s="409"/>
      <c r="AC108" s="467"/>
      <c r="BA108" s="226"/>
      <c r="BB108" s="226"/>
      <c r="BC108" s="226"/>
      <c r="BD108" s="226"/>
      <c r="BE108" s="226"/>
      <c r="BF108" s="226"/>
      <c r="BG108" s="226"/>
      <c r="BH108" s="226"/>
    </row>
    <row r="109" spans="2:60" ht="30" customHeight="1">
      <c r="B109" s="1706"/>
      <c r="C109" s="1753"/>
      <c r="D109" s="1759" t="s">
        <v>356</v>
      </c>
      <c r="E109" s="1760"/>
      <c r="F109" s="484"/>
      <c r="G109" s="407"/>
      <c r="H109" s="485"/>
      <c r="I109" s="1264"/>
      <c r="J109" s="1762"/>
      <c r="K109" s="1766"/>
      <c r="L109" s="1766"/>
      <c r="M109" s="1766"/>
      <c r="N109" s="1766"/>
      <c r="O109" s="1766"/>
      <c r="P109" s="1766"/>
      <c r="Q109" s="1766"/>
      <c r="R109" s="1767"/>
      <c r="S109" s="409"/>
      <c r="AC109" s="467"/>
      <c r="BA109" s="226"/>
      <c r="BB109" s="226"/>
      <c r="BC109" s="226"/>
      <c r="BD109" s="226"/>
      <c r="BE109" s="226"/>
      <c r="BF109" s="226"/>
      <c r="BG109" s="226"/>
      <c r="BH109" s="226"/>
    </row>
    <row r="110" spans="2:60" ht="30" customHeight="1" thickBot="1">
      <c r="B110" s="1723"/>
      <c r="C110" s="1754"/>
      <c r="D110" s="1770" t="s">
        <v>223</v>
      </c>
      <c r="E110" s="1771"/>
      <c r="F110" s="501"/>
      <c r="G110" s="502" t="s">
        <v>305</v>
      </c>
      <c r="H110" s="503"/>
      <c r="I110" s="1266"/>
      <c r="J110" s="504"/>
      <c r="K110" s="1768"/>
      <c r="L110" s="1768"/>
      <c r="M110" s="1768"/>
      <c r="N110" s="1768"/>
      <c r="O110" s="1768"/>
      <c r="P110" s="1768"/>
      <c r="Q110" s="1768"/>
      <c r="R110" s="1769"/>
      <c r="S110" s="409"/>
      <c r="AC110" s="467"/>
      <c r="BA110" s="226"/>
      <c r="BB110" s="226"/>
      <c r="BC110" s="226"/>
      <c r="BD110" s="226"/>
      <c r="BE110" s="226"/>
      <c r="BF110" s="226"/>
      <c r="BG110" s="226"/>
      <c r="BH110" s="226"/>
    </row>
    <row r="111" spans="2:60" ht="18" customHeight="1">
      <c r="B111" s="2"/>
      <c r="C111" s="2"/>
      <c r="D111" s="2"/>
      <c r="E111" s="2"/>
      <c r="F111" s="2"/>
      <c r="G111" s="2"/>
      <c r="H111" s="2"/>
      <c r="I111" s="2"/>
      <c r="J111" s="2"/>
      <c r="K111" s="2"/>
      <c r="L111" s="2"/>
      <c r="M111" s="2"/>
      <c r="N111" s="2"/>
      <c r="O111" s="2"/>
      <c r="P111" s="2"/>
      <c r="Q111" s="2"/>
      <c r="R111" s="478"/>
      <c r="S111" s="466"/>
      <c r="AC111" s="467"/>
      <c r="BA111" s="226"/>
      <c r="BB111" s="226"/>
      <c r="BC111" s="226"/>
      <c r="BD111" s="226"/>
      <c r="BE111" s="226"/>
      <c r="BF111" s="226"/>
      <c r="BG111" s="226"/>
      <c r="BH111" s="226"/>
    </row>
    <row r="112" spans="2:60" ht="18" customHeight="1">
      <c r="B112" s="297"/>
      <c r="C112" s="134"/>
      <c r="D112" s="134"/>
      <c r="E112" s="134"/>
      <c r="F112" s="134"/>
      <c r="G112" s="134"/>
      <c r="H112" s="134"/>
      <c r="I112" s="297"/>
      <c r="J112" s="297"/>
      <c r="K112" s="297"/>
      <c r="L112" s="297"/>
      <c r="M112" s="297"/>
      <c r="N112" s="337"/>
      <c r="O112" s="297"/>
      <c r="P112" s="297"/>
      <c r="Q112" s="297"/>
      <c r="R112" s="478"/>
      <c r="S112" s="466"/>
      <c r="AC112" s="467"/>
    </row>
    <row r="113" spans="1:52" ht="18" customHeight="1">
      <c r="B113" s="134" t="s">
        <v>357</v>
      </c>
      <c r="C113" s="134"/>
      <c r="D113" s="134"/>
      <c r="E113" s="134"/>
      <c r="F113" s="134"/>
      <c r="G113" s="134"/>
      <c r="H113" s="134"/>
      <c r="I113" s="297"/>
      <c r="J113" s="297"/>
      <c r="K113" s="297"/>
      <c r="L113" s="297"/>
      <c r="M113" s="297"/>
      <c r="N113" s="337"/>
      <c r="O113" s="297"/>
      <c r="P113" s="297"/>
      <c r="Q113" s="297"/>
      <c r="R113" s="478"/>
      <c r="S113" s="466"/>
      <c r="AC113" s="467"/>
    </row>
    <row r="114" spans="1:52" ht="18" customHeight="1">
      <c r="B114" s="134" t="s">
        <v>358</v>
      </c>
      <c r="C114" s="134"/>
      <c r="D114" s="134"/>
      <c r="E114" s="134"/>
      <c r="F114" s="134"/>
      <c r="G114" s="134"/>
      <c r="H114" s="134"/>
      <c r="I114" s="297"/>
      <c r="J114" s="297"/>
      <c r="K114" s="297"/>
      <c r="L114" s="297"/>
      <c r="M114" s="297"/>
      <c r="N114" s="337"/>
      <c r="O114" s="297"/>
      <c r="P114" s="297"/>
      <c r="Q114" s="297"/>
      <c r="S114" s="466"/>
      <c r="AC114" s="467"/>
    </row>
    <row r="115" spans="1:52" ht="18" customHeight="1" thickBot="1">
      <c r="A115" s="134"/>
      <c r="B115" s="134"/>
      <c r="C115" s="134"/>
      <c r="D115" s="134"/>
      <c r="E115" s="134"/>
      <c r="F115" s="134"/>
      <c r="G115" s="134"/>
      <c r="H115" s="134"/>
      <c r="I115" s="297"/>
      <c r="J115" s="297"/>
      <c r="K115" s="297"/>
      <c r="L115" s="297"/>
      <c r="M115" s="297"/>
      <c r="N115" s="337"/>
      <c r="O115" s="297"/>
      <c r="P115" s="297"/>
      <c r="Q115" s="297"/>
      <c r="S115" s="466"/>
      <c r="AC115" s="186"/>
    </row>
    <row r="116" spans="1:52" ht="18" customHeight="1">
      <c r="B116" s="1734" t="s">
        <v>329</v>
      </c>
      <c r="C116" s="1735"/>
      <c r="D116" s="1735"/>
      <c r="E116" s="1736"/>
      <c r="F116" s="1430" t="s">
        <v>330</v>
      </c>
      <c r="G116" s="399"/>
      <c r="H116" s="1783" t="s">
        <v>332</v>
      </c>
      <c r="I116" s="505"/>
      <c r="N116" s="209"/>
      <c r="Q116" s="297"/>
      <c r="AC116" s="197" t="s">
        <v>359</v>
      </c>
      <c r="AD116" s="393"/>
      <c r="AE116" s="393"/>
      <c r="AF116" s="393"/>
      <c r="AG116" s="194"/>
      <c r="AH116" s="2"/>
    </row>
    <row r="117" spans="1:52" ht="18" customHeight="1">
      <c r="B117" s="1737"/>
      <c r="C117" s="1446"/>
      <c r="D117" s="1446"/>
      <c r="E117" s="1447"/>
      <c r="F117" s="1683"/>
      <c r="G117" s="1690" t="s">
        <v>165</v>
      </c>
      <c r="H117" s="1784"/>
      <c r="I117" s="505"/>
      <c r="N117" s="209"/>
      <c r="Q117" s="297"/>
      <c r="AC117" s="1534" t="s">
        <v>334</v>
      </c>
      <c r="AD117" s="1534"/>
      <c r="AE117" s="1720" t="s">
        <v>335</v>
      </c>
      <c r="AF117" s="1623" t="s">
        <v>360</v>
      </c>
      <c r="AG117" s="1720" t="s">
        <v>215</v>
      </c>
      <c r="AH117" s="144"/>
    </row>
    <row r="118" spans="1:52" ht="14.25" customHeight="1" thickBot="1">
      <c r="A118" s="2"/>
      <c r="B118" s="1463"/>
      <c r="C118" s="1464"/>
      <c r="D118" s="1464"/>
      <c r="E118" s="1465"/>
      <c r="F118" s="1683"/>
      <c r="G118" s="1691"/>
      <c r="H118" s="1785"/>
      <c r="I118" s="505"/>
      <c r="N118" s="209"/>
      <c r="AC118" s="1534"/>
      <c r="AD118" s="1534"/>
      <c r="AE118" s="1773"/>
      <c r="AF118" s="1624"/>
      <c r="AG118" s="1773"/>
    </row>
    <row r="119" spans="1:52" ht="30" customHeight="1" thickTop="1">
      <c r="A119" s="2"/>
      <c r="B119" s="1774" t="s">
        <v>309</v>
      </c>
      <c r="C119" s="1775"/>
      <c r="D119" s="1776" t="s">
        <v>361</v>
      </c>
      <c r="E119" s="1777"/>
      <c r="F119" s="274"/>
      <c r="G119" s="507" t="s">
        <v>174</v>
      </c>
      <c r="H119" s="1267"/>
      <c r="I119" s="226"/>
      <c r="J119" s="226"/>
      <c r="N119" s="209"/>
      <c r="AC119" s="1778" t="s">
        <v>309</v>
      </c>
      <c r="AD119" s="508" t="s">
        <v>361</v>
      </c>
      <c r="AE119" s="509">
        <f>ROUND(F119*H119%,)</f>
        <v>0</v>
      </c>
      <c r="AF119" s="510"/>
      <c r="AG119" s="424">
        <f>ROUND(AE119*$AF119,)</f>
        <v>0</v>
      </c>
      <c r="AI119" s="2"/>
      <c r="AJ119" s="2"/>
    </row>
    <row r="120" spans="1:52" ht="30" customHeight="1">
      <c r="A120" s="2"/>
      <c r="B120" s="1706"/>
      <c r="C120" s="1753"/>
      <c r="D120" s="1779" t="s">
        <v>362</v>
      </c>
      <c r="E120" s="1780"/>
      <c r="F120" s="276"/>
      <c r="G120" s="511" t="s">
        <v>363</v>
      </c>
      <c r="H120" s="1268"/>
      <c r="I120" s="226"/>
      <c r="J120" s="226"/>
      <c r="N120" s="209"/>
      <c r="AC120" s="1778"/>
      <c r="AD120" s="508" t="s">
        <v>362</v>
      </c>
      <c r="AE120" s="509">
        <f t="shared" ref="AE120:AE122" si="1">ROUND(F120*H120%,)</f>
        <v>0</v>
      </c>
      <c r="AF120" s="432"/>
      <c r="AG120" s="424">
        <f t="shared" ref="AG120:AG122" si="2">ROUND(AE120*$AF120,)</f>
        <v>0</v>
      </c>
    </row>
    <row r="121" spans="1:52" ht="30" customHeight="1">
      <c r="A121" s="2"/>
      <c r="B121" s="1706"/>
      <c r="C121" s="1753"/>
      <c r="D121" s="1779" t="s">
        <v>364</v>
      </c>
      <c r="E121" s="1780"/>
      <c r="F121" s="276"/>
      <c r="G121" s="511" t="s">
        <v>363</v>
      </c>
      <c r="H121" s="1268"/>
      <c r="I121" s="226"/>
      <c r="J121" s="226"/>
      <c r="N121" s="209"/>
      <c r="AC121" s="1778"/>
      <c r="AD121" s="508" t="s">
        <v>364</v>
      </c>
      <c r="AE121" s="509">
        <f t="shared" si="1"/>
        <v>0</v>
      </c>
      <c r="AF121" s="432"/>
      <c r="AG121" s="424">
        <f t="shared" si="2"/>
        <v>0</v>
      </c>
    </row>
    <row r="122" spans="1:52" s="2" customFormat="1" ht="30" customHeight="1" thickBot="1">
      <c r="B122" s="1723"/>
      <c r="C122" s="1754"/>
      <c r="D122" s="1781" t="s">
        <v>223</v>
      </c>
      <c r="E122" s="1782"/>
      <c r="F122" s="285"/>
      <c r="G122" s="512" t="s">
        <v>174</v>
      </c>
      <c r="H122" s="1269"/>
      <c r="I122" s="226"/>
      <c r="J122" s="226"/>
      <c r="K122" s="295"/>
      <c r="L122" s="295"/>
      <c r="M122" s="295"/>
      <c r="N122" s="209"/>
      <c r="O122" s="295"/>
      <c r="P122" s="295"/>
      <c r="Q122" s="295"/>
      <c r="S122" s="215"/>
      <c r="T122" s="295"/>
      <c r="U122" s="295"/>
      <c r="V122" s="295"/>
      <c r="W122" s="295"/>
      <c r="X122" s="295"/>
      <c r="Y122" s="295"/>
      <c r="Z122" s="295"/>
      <c r="AA122" s="295"/>
      <c r="AB122" s="295"/>
      <c r="AC122" s="1778"/>
      <c r="AD122" s="508" t="s">
        <v>223</v>
      </c>
      <c r="AE122" s="509">
        <f t="shared" si="1"/>
        <v>0</v>
      </c>
      <c r="AF122" s="284"/>
      <c r="AG122" s="513">
        <f t="shared" si="2"/>
        <v>0</v>
      </c>
      <c r="AH122" s="295"/>
      <c r="AI122" s="295"/>
      <c r="AJ122" s="295"/>
      <c r="AK122" s="295"/>
      <c r="AL122" s="295"/>
      <c r="AM122" s="295"/>
      <c r="AN122" s="295"/>
      <c r="AO122" s="295"/>
      <c r="AP122" s="295"/>
      <c r="AQ122" s="295"/>
      <c r="AR122" s="295"/>
      <c r="AS122" s="295"/>
      <c r="AT122" s="295"/>
      <c r="AU122" s="295"/>
      <c r="AV122" s="295"/>
      <c r="AW122" s="209"/>
      <c r="AX122" s="295"/>
      <c r="AY122" s="295"/>
      <c r="AZ122" s="295"/>
    </row>
    <row r="123" spans="1:52" ht="30" customHeight="1">
      <c r="A123" s="2"/>
      <c r="B123" s="1757" t="s">
        <v>365</v>
      </c>
      <c r="C123" s="1757"/>
      <c r="D123" s="1757"/>
      <c r="E123" s="1757"/>
      <c r="F123" s="1757"/>
      <c r="G123" s="1757"/>
      <c r="H123" s="1757"/>
      <c r="I123" s="226"/>
      <c r="J123" s="226"/>
      <c r="N123" s="209"/>
      <c r="AC123" s="1772" t="s">
        <v>366</v>
      </c>
      <c r="AD123" s="1772"/>
      <c r="AE123" s="514"/>
      <c r="AF123" s="514"/>
      <c r="AG123" s="515">
        <f>SUM(AG119:AG122)</f>
        <v>0</v>
      </c>
      <c r="AH123" s="291"/>
    </row>
    <row r="124" spans="1:52" ht="22.5" customHeight="1">
      <c r="A124" s="2"/>
      <c r="B124" s="1757"/>
      <c r="C124" s="1757"/>
      <c r="D124" s="1757"/>
      <c r="E124" s="1757"/>
      <c r="F124" s="1757"/>
      <c r="G124" s="1757"/>
      <c r="H124" s="1757"/>
      <c r="I124" s="226"/>
      <c r="J124" s="226"/>
      <c r="N124" s="209"/>
    </row>
    <row r="125" spans="1:52" ht="14.25" customHeight="1">
      <c r="A125" s="2"/>
    </row>
  </sheetData>
  <sheetProtection sheet="1" objects="1" scenarios="1" selectLockedCells="1"/>
  <mergeCells count="108">
    <mergeCell ref="B123:H124"/>
    <mergeCell ref="AC123:AD123"/>
    <mergeCell ref="AF117:AF118"/>
    <mergeCell ref="AG117:AG118"/>
    <mergeCell ref="B119:C122"/>
    <mergeCell ref="D119:E119"/>
    <mergeCell ref="AC119:AC122"/>
    <mergeCell ref="D120:E120"/>
    <mergeCell ref="D121:E121"/>
    <mergeCell ref="D122:E122"/>
    <mergeCell ref="B116:E118"/>
    <mergeCell ref="F116:F118"/>
    <mergeCell ref="H116:H118"/>
    <mergeCell ref="G117:G118"/>
    <mergeCell ref="AC117:AD118"/>
    <mergeCell ref="AE117:AE118"/>
    <mergeCell ref="AC104:AD104"/>
    <mergeCell ref="D108:E108"/>
    <mergeCell ref="J108:J109"/>
    <mergeCell ref="K108:R110"/>
    <mergeCell ref="D109:E109"/>
    <mergeCell ref="D110:E110"/>
    <mergeCell ref="AC97:AD97"/>
    <mergeCell ref="AC98:AD98"/>
    <mergeCell ref="AC99:AD99"/>
    <mergeCell ref="AC100:AD100"/>
    <mergeCell ref="AC101:AD101"/>
    <mergeCell ref="AC102:AD102"/>
    <mergeCell ref="AC87:AD87"/>
    <mergeCell ref="AC89:AD89"/>
    <mergeCell ref="D92:E92"/>
    <mergeCell ref="F92:I92"/>
    <mergeCell ref="AC95:AD95"/>
    <mergeCell ref="AC96:AD96"/>
    <mergeCell ref="D76:E76"/>
    <mergeCell ref="F76:I76"/>
    <mergeCell ref="J76:R91"/>
    <mergeCell ref="AC80:AD80"/>
    <mergeCell ref="AC81:AD81"/>
    <mergeCell ref="AC82:AD82"/>
    <mergeCell ref="AC83:AD83"/>
    <mergeCell ref="AC84:AD84"/>
    <mergeCell ref="AC85:AD85"/>
    <mergeCell ref="AC86:AD86"/>
    <mergeCell ref="AC66:AD66"/>
    <mergeCell ref="AC67:AD67"/>
    <mergeCell ref="AC47:AD47"/>
    <mergeCell ref="AC68:AD68"/>
    <mergeCell ref="AC69:AD69"/>
    <mergeCell ref="AC70:AD70"/>
    <mergeCell ref="AC72:AD72"/>
    <mergeCell ref="AC54:AD54"/>
    <mergeCell ref="D60:E60"/>
    <mergeCell ref="F60:I60"/>
    <mergeCell ref="AC63:AD63"/>
    <mergeCell ref="AC64:AD64"/>
    <mergeCell ref="AC65:AD65"/>
    <mergeCell ref="AC48:AD48"/>
    <mergeCell ref="AC49:AD49"/>
    <mergeCell ref="B12:C110"/>
    <mergeCell ref="D12:E12"/>
    <mergeCell ref="F12:I12"/>
    <mergeCell ref="AC12:AD12"/>
    <mergeCell ref="AC13:AD13"/>
    <mergeCell ref="AC14:AD14"/>
    <mergeCell ref="AC15:AD15"/>
    <mergeCell ref="AC16:AD16"/>
    <mergeCell ref="AC17:AD17"/>
    <mergeCell ref="AC18:AD18"/>
    <mergeCell ref="D28:E28"/>
    <mergeCell ref="F28:I28"/>
    <mergeCell ref="AC28:AD28"/>
    <mergeCell ref="AC29:AD29"/>
    <mergeCell ref="AC30:AD30"/>
    <mergeCell ref="AC31:AD31"/>
    <mergeCell ref="AC50:AD50"/>
    <mergeCell ref="AC51:AD51"/>
    <mergeCell ref="AC52:AD52"/>
    <mergeCell ref="AC53:AD53"/>
    <mergeCell ref="AC38:AD38"/>
    <mergeCell ref="AC39:AD39"/>
    <mergeCell ref="AC19:AD19"/>
    <mergeCell ref="AC20:AD20"/>
    <mergeCell ref="AC21:AD21"/>
    <mergeCell ref="AC22:AD22"/>
    <mergeCell ref="AC23:AD23"/>
    <mergeCell ref="AC24:AD24"/>
    <mergeCell ref="D44:E44"/>
    <mergeCell ref="F44:I44"/>
    <mergeCell ref="AC9:AD10"/>
    <mergeCell ref="AC32:AD32"/>
    <mergeCell ref="AC33:AD33"/>
    <mergeCell ref="AC34:AD34"/>
    <mergeCell ref="AC35:AD35"/>
    <mergeCell ref="AC36:AD36"/>
    <mergeCell ref="AC37:AD37"/>
    <mergeCell ref="AC40:AD40"/>
    <mergeCell ref="AE9:AE10"/>
    <mergeCell ref="AF9:AF10"/>
    <mergeCell ref="AG9:AG10"/>
    <mergeCell ref="B11:E11"/>
    <mergeCell ref="AC11:AD11"/>
    <mergeCell ref="B8:E10"/>
    <mergeCell ref="F8:F10"/>
    <mergeCell ref="H8:H10"/>
    <mergeCell ref="I8:I10"/>
    <mergeCell ref="J8:R10"/>
    <mergeCell ref="G9:G10"/>
  </mergeCells>
  <phoneticPr fontId="5"/>
  <dataValidations count="5">
    <dataValidation type="custom" operator="greaterThan" allowBlank="1" showInputMessage="1" showErrorMessage="1" error="0より大きい小数点第２位までの数値を入力してください。" sqref="AF119:AF122" xr:uid="{00000000-0002-0000-0A00-000000000000}">
      <formula1>AND(AND(AF119*100=INT(AF119*100)),(AF119&gt;0))</formula1>
    </dataValidation>
    <dataValidation type="whole" operator="greaterThan" allowBlank="1" showInputMessage="1" showErrorMessage="1" error="0より大きい数値を整数で入力してください。" sqref="F13:F27 H11 H13:H27 F29:F43 H29:H43 F45:F59 H45:H59 F61:F75 H61:H75 F77:F91 H77:H91 F93:F109 H93:H110 F119:F122" xr:uid="{00000000-0002-0000-0A00-000001000000}">
      <formula1>0</formula1>
    </dataValidation>
    <dataValidation type="textLength" imeMode="hiragana" operator="greaterThanOrEqual" allowBlank="1" showInputMessage="1" showErrorMessage="1" sqref="E61:E75 E13:E27 E77:E91 E29:E43 E45:E59 E93:E107" xr:uid="{00000000-0002-0000-0A00-000002000000}">
      <formula1>1</formula1>
    </dataValidation>
    <dataValidation type="custom" allowBlank="1" showInputMessage="1" showErrorMessage="1" error="0.001~100の範囲で小数点第３位までの数値を入力してください。" sqref="I11 I13:I27 I29:I43 I61:I75 I77:I91 H119:H122 I93:I110 I45:I59" xr:uid="{00000000-0002-0000-0A00-000003000000}">
      <formula1>AND(AND(H11*1000=INT(H11*1000)),(H11&gt;0),(H11&lt;=100))</formula1>
    </dataValidation>
    <dataValidation type="decimal" allowBlank="1" showInputMessage="1" showErrorMessage="1" sqref="AE119:AE122" xr:uid="{00000000-0002-0000-0A00-000004000000}">
      <formula1>0.001</formula1>
      <formula2>9999999999.999</formula2>
    </dataValidation>
  </dataValidations>
  <pageMargins left="0.59055118110236227" right="0.59055118110236227" top="0.59055118110236227" bottom="0.59055118110236227" header="0" footer="0"/>
  <pageSetup paperSize="9" scale="45" orientation="portrait" cellComments="asDisplayed" r:id="rId1"/>
  <headerFooter alignWithMargins="0"/>
  <drawing r:id="rId2"/>
  <legacyDrawing r:id="rId3"/>
  <controls>
    <mc:AlternateContent xmlns:mc="http://schemas.openxmlformats.org/markup-compatibility/2006">
      <mc:Choice Requires="x14">
        <control shapeId="8281" r:id="rId4" name="txt_fukugou">
          <controlPr locked="0" defaultSize="0" print="0" autoLine="0" r:id="rId5">
            <anchor moveWithCells="1">
              <from>
                <xdr:col>7</xdr:col>
                <xdr:colOff>1390650</xdr:colOff>
                <xdr:row>1</xdr:row>
                <xdr:rowOff>0</xdr:rowOff>
              </from>
              <to>
                <xdr:col>8</xdr:col>
                <xdr:colOff>476250</xdr:colOff>
                <xdr:row>1</xdr:row>
                <xdr:rowOff>209550</xdr:rowOff>
              </to>
            </anchor>
          </controlPr>
        </control>
      </mc:Choice>
      <mc:Fallback>
        <control shapeId="8281" r:id="rId4" name="txt_fukugou"/>
      </mc:Fallback>
    </mc:AlternateContent>
    <mc:AlternateContent xmlns:mc="http://schemas.openxmlformats.org/markup-compatibility/2006">
      <mc:Choice Requires="x14">
        <control shapeId="8280" r:id="rId6" name="Label8">
          <controlPr defaultSize="0" print="0" autoLine="0" r:id="rId7">
            <anchor moveWithCells="1">
              <from>
                <xdr:col>7</xdr:col>
                <xdr:colOff>1390650</xdr:colOff>
                <xdr:row>0</xdr:row>
                <xdr:rowOff>38100</xdr:rowOff>
              </from>
              <to>
                <xdr:col>8</xdr:col>
                <xdr:colOff>476250</xdr:colOff>
                <xdr:row>1</xdr:row>
                <xdr:rowOff>0</xdr:rowOff>
              </to>
            </anchor>
          </controlPr>
        </control>
      </mc:Choice>
      <mc:Fallback>
        <control shapeId="8280" r:id="rId6" name="Label8"/>
      </mc:Fallback>
    </mc:AlternateContent>
    <mc:AlternateContent xmlns:mc="http://schemas.openxmlformats.org/markup-compatibility/2006">
      <mc:Choice Requires="x14">
        <control shapeId="8279" r:id="rId8" name="txt_tansan">
          <controlPr locked="0" defaultSize="0" print="0" autoLine="0" r:id="rId9">
            <anchor moveWithCells="1">
              <from>
                <xdr:col>7</xdr:col>
                <xdr:colOff>809625</xdr:colOff>
                <xdr:row>1</xdr:row>
                <xdr:rowOff>0</xdr:rowOff>
              </from>
              <to>
                <xdr:col>7</xdr:col>
                <xdr:colOff>1419225</xdr:colOff>
                <xdr:row>1</xdr:row>
                <xdr:rowOff>209550</xdr:rowOff>
              </to>
            </anchor>
          </controlPr>
        </control>
      </mc:Choice>
      <mc:Fallback>
        <control shapeId="8279" r:id="rId8" name="txt_tansan"/>
      </mc:Fallback>
    </mc:AlternateContent>
    <mc:AlternateContent xmlns:mc="http://schemas.openxmlformats.org/markup-compatibility/2006">
      <mc:Choice Requires="x14">
        <control shapeId="8278" r:id="rId10" name="Label7">
          <controlPr defaultSize="0" print="0" autoLine="0" r:id="rId11">
            <anchor moveWithCells="1">
              <from>
                <xdr:col>7</xdr:col>
                <xdr:colOff>809625</xdr:colOff>
                <xdr:row>0</xdr:row>
                <xdr:rowOff>38100</xdr:rowOff>
              </from>
              <to>
                <xdr:col>7</xdr:col>
                <xdr:colOff>1419225</xdr:colOff>
                <xdr:row>1</xdr:row>
                <xdr:rowOff>0</xdr:rowOff>
              </to>
            </anchor>
          </controlPr>
        </control>
      </mc:Choice>
      <mc:Fallback>
        <control shapeId="8278" r:id="rId10" name="Label7"/>
      </mc:Fallback>
    </mc:AlternateContent>
    <mc:AlternateContent xmlns:mc="http://schemas.openxmlformats.org/markup-compatibility/2006">
      <mc:Choice Requires="x14">
        <control shapeId="8277" r:id="rId12" name="txt_keisan">
          <controlPr locked="0" defaultSize="0" print="0" autoLine="0" r:id="rId13">
            <anchor moveWithCells="1">
              <from>
                <xdr:col>7</xdr:col>
                <xdr:colOff>209550</xdr:colOff>
                <xdr:row>1</xdr:row>
                <xdr:rowOff>0</xdr:rowOff>
              </from>
              <to>
                <xdr:col>7</xdr:col>
                <xdr:colOff>819150</xdr:colOff>
                <xdr:row>1</xdr:row>
                <xdr:rowOff>209550</xdr:rowOff>
              </to>
            </anchor>
          </controlPr>
        </control>
      </mc:Choice>
      <mc:Fallback>
        <control shapeId="8277" r:id="rId12" name="txt_keisan"/>
      </mc:Fallback>
    </mc:AlternateContent>
    <mc:AlternateContent xmlns:mc="http://schemas.openxmlformats.org/markup-compatibility/2006">
      <mc:Choice Requires="x14">
        <control shapeId="8276" r:id="rId14" name="Label6">
          <controlPr defaultSize="0" print="0" autoLine="0" r:id="rId15">
            <anchor moveWithCells="1">
              <from>
                <xdr:col>7</xdr:col>
                <xdr:colOff>209550</xdr:colOff>
                <xdr:row>0</xdr:row>
                <xdr:rowOff>38100</xdr:rowOff>
              </from>
              <to>
                <xdr:col>7</xdr:col>
                <xdr:colOff>819150</xdr:colOff>
                <xdr:row>1</xdr:row>
                <xdr:rowOff>0</xdr:rowOff>
              </to>
            </anchor>
          </controlPr>
        </control>
      </mc:Choice>
      <mc:Fallback>
        <control shapeId="8276" r:id="rId14" name="Label6"/>
      </mc:Fallback>
    </mc:AlternateContent>
    <mc:AlternateContent xmlns:mc="http://schemas.openxmlformats.org/markup-compatibility/2006">
      <mc:Choice Requires="x14">
        <control shapeId="8275" r:id="rId16" name="txt_kari">
          <controlPr locked="0" defaultSize="0" print="0" autoLine="0" r:id="rId17">
            <anchor moveWithCells="1">
              <from>
                <xdr:col>5</xdr:col>
                <xdr:colOff>1476375</xdr:colOff>
                <xdr:row>1</xdr:row>
                <xdr:rowOff>0</xdr:rowOff>
              </from>
              <to>
                <xdr:col>7</xdr:col>
                <xdr:colOff>209550</xdr:colOff>
                <xdr:row>1</xdr:row>
                <xdr:rowOff>209550</xdr:rowOff>
              </to>
            </anchor>
          </controlPr>
        </control>
      </mc:Choice>
      <mc:Fallback>
        <control shapeId="8275" r:id="rId16" name="txt_kari"/>
      </mc:Fallback>
    </mc:AlternateContent>
    <mc:AlternateContent xmlns:mc="http://schemas.openxmlformats.org/markup-compatibility/2006">
      <mc:Choice Requires="x14">
        <control shapeId="8274" r:id="rId18" name="Label5">
          <controlPr defaultSize="0" print="0" autoLine="0" r:id="rId19">
            <anchor moveWithCells="1">
              <from>
                <xdr:col>5</xdr:col>
                <xdr:colOff>1476375</xdr:colOff>
                <xdr:row>0</xdr:row>
                <xdr:rowOff>38100</xdr:rowOff>
              </from>
              <to>
                <xdr:col>7</xdr:col>
                <xdr:colOff>209550</xdr:colOff>
                <xdr:row>1</xdr:row>
                <xdr:rowOff>0</xdr:rowOff>
              </to>
            </anchor>
          </controlPr>
        </control>
      </mc:Choice>
      <mc:Fallback>
        <control shapeId="8274" r:id="rId18" name="Label5"/>
      </mc:Fallback>
    </mc:AlternateContent>
    <mc:AlternateContent xmlns:mc="http://schemas.openxmlformats.org/markup-compatibility/2006">
      <mc:Choice Requires="x14">
        <control shapeId="8273" r:id="rId20" name="txt_rinsan">
          <controlPr locked="0" defaultSize="0" print="0" autoLine="0" r:id="rId21">
            <anchor moveWithCells="1">
              <from>
                <xdr:col>5</xdr:col>
                <xdr:colOff>876300</xdr:colOff>
                <xdr:row>1</xdr:row>
                <xdr:rowOff>0</xdr:rowOff>
              </from>
              <to>
                <xdr:col>5</xdr:col>
                <xdr:colOff>1485900</xdr:colOff>
                <xdr:row>1</xdr:row>
                <xdr:rowOff>209550</xdr:rowOff>
              </to>
            </anchor>
          </controlPr>
        </control>
      </mc:Choice>
      <mc:Fallback>
        <control shapeId="8273" r:id="rId20" name="txt_rinsan"/>
      </mc:Fallback>
    </mc:AlternateContent>
    <mc:AlternateContent xmlns:mc="http://schemas.openxmlformats.org/markup-compatibility/2006">
      <mc:Choice Requires="x14">
        <control shapeId="8272" r:id="rId22" name="Label4">
          <controlPr defaultSize="0" print="0" autoLine="0" r:id="rId23">
            <anchor moveWithCells="1">
              <from>
                <xdr:col>5</xdr:col>
                <xdr:colOff>876300</xdr:colOff>
                <xdr:row>0</xdr:row>
                <xdr:rowOff>38100</xdr:rowOff>
              </from>
              <to>
                <xdr:col>5</xdr:col>
                <xdr:colOff>1485900</xdr:colOff>
                <xdr:row>1</xdr:row>
                <xdr:rowOff>0</xdr:rowOff>
              </to>
            </anchor>
          </controlPr>
        </control>
      </mc:Choice>
      <mc:Fallback>
        <control shapeId="8272" r:id="rId22" name="Label4"/>
      </mc:Fallback>
    </mc:AlternateContent>
    <mc:AlternateContent xmlns:mc="http://schemas.openxmlformats.org/markup-compatibility/2006">
      <mc:Choice Requires="x14">
        <control shapeId="8271" r:id="rId24" name="btnKoushin1">
          <controlPr defaultSize="0" print="0" autoLine="0" r:id="rId25">
            <anchor moveWithCells="1">
              <from>
                <xdr:col>7</xdr:col>
                <xdr:colOff>1000125</xdr:colOff>
                <xdr:row>1</xdr:row>
                <xdr:rowOff>209550</xdr:rowOff>
              </from>
              <to>
                <xdr:col>8</xdr:col>
                <xdr:colOff>504825</xdr:colOff>
                <xdr:row>4</xdr:row>
                <xdr:rowOff>38100</xdr:rowOff>
              </to>
            </anchor>
          </controlPr>
        </control>
      </mc:Choice>
      <mc:Fallback>
        <control shapeId="8271" r:id="rId24" name="btnKoushin1"/>
      </mc:Fallback>
    </mc:AlternateContent>
    <mc:AlternateContent xmlns:mc="http://schemas.openxmlformats.org/markup-compatibility/2006">
      <mc:Choice Requires="x14">
        <control shapeId="8270" r:id="rId26" name="txt_chisso">
          <controlPr locked="0" defaultSize="0" print="0" autoLine="0" r:id="rId27">
            <anchor moveWithCells="1">
              <from>
                <xdr:col>5</xdr:col>
                <xdr:colOff>276225</xdr:colOff>
                <xdr:row>1</xdr:row>
                <xdr:rowOff>0</xdr:rowOff>
              </from>
              <to>
                <xdr:col>5</xdr:col>
                <xdr:colOff>885825</xdr:colOff>
                <xdr:row>1</xdr:row>
                <xdr:rowOff>209550</xdr:rowOff>
              </to>
            </anchor>
          </controlPr>
        </control>
      </mc:Choice>
      <mc:Fallback>
        <control shapeId="8270" r:id="rId26" name="txt_chisso"/>
      </mc:Fallback>
    </mc:AlternateContent>
    <mc:AlternateContent xmlns:mc="http://schemas.openxmlformats.org/markup-compatibility/2006">
      <mc:Choice Requires="x14">
        <control shapeId="8269" r:id="rId28" name="Label3">
          <controlPr defaultSize="0" print="0" autoLine="0" r:id="rId29">
            <anchor moveWithCells="1">
              <from>
                <xdr:col>5</xdr:col>
                <xdr:colOff>276225</xdr:colOff>
                <xdr:row>0</xdr:row>
                <xdr:rowOff>38100</xdr:rowOff>
              </from>
              <to>
                <xdr:col>5</xdr:col>
                <xdr:colOff>885825</xdr:colOff>
                <xdr:row>1</xdr:row>
                <xdr:rowOff>0</xdr:rowOff>
              </to>
            </anchor>
          </controlPr>
        </control>
      </mc:Choice>
      <mc:Fallback>
        <control shapeId="8269" r:id="rId28" name="Label3"/>
      </mc:Fallback>
    </mc:AlternateContent>
    <mc:AlternateContent xmlns:mc="http://schemas.openxmlformats.org/markup-compatibility/2006">
      <mc:Choice Requires="x14">
        <control shapeId="8268" r:id="rId30" name="Label2">
          <controlPr defaultSize="0" print="0" autoLine="0" r:id="rId31">
            <anchor moveWithCells="1">
              <from>
                <xdr:col>4</xdr:col>
                <xdr:colOff>1390650</xdr:colOff>
                <xdr:row>0</xdr:row>
                <xdr:rowOff>238125</xdr:rowOff>
              </from>
              <to>
                <xdr:col>5</xdr:col>
                <xdr:colOff>276225</xdr:colOff>
                <xdr:row>1</xdr:row>
                <xdr:rowOff>28575</xdr:rowOff>
              </to>
            </anchor>
          </controlPr>
        </control>
      </mc:Choice>
      <mc:Fallback>
        <control shapeId="8268" r:id="rId30" name="Label2"/>
      </mc:Fallback>
    </mc:AlternateContent>
    <mc:AlternateContent xmlns:mc="http://schemas.openxmlformats.org/markup-compatibility/2006">
      <mc:Choice Requires="x14">
        <control shapeId="8267" r:id="rId32" name="Label1">
          <controlPr defaultSize="0" print="0" autoLine="0" r:id="rId33">
            <anchor moveWithCells="1">
              <from>
                <xdr:col>4</xdr:col>
                <xdr:colOff>1362075</xdr:colOff>
                <xdr:row>0</xdr:row>
                <xdr:rowOff>38100</xdr:rowOff>
              </from>
              <to>
                <xdr:col>5</xdr:col>
                <xdr:colOff>295275</xdr:colOff>
                <xdr:row>1</xdr:row>
                <xdr:rowOff>209550</xdr:rowOff>
              </to>
            </anchor>
          </controlPr>
        </control>
      </mc:Choice>
      <mc:Fallback>
        <control shapeId="8267" r:id="rId32" name="Label1"/>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5">
    <outlinePr summaryBelow="0"/>
    <pageSetUpPr fitToPage="1"/>
  </sheetPr>
  <dimension ref="B1:AD91"/>
  <sheetViews>
    <sheetView showGridLines="0" zoomScale="80" zoomScaleNormal="80" zoomScaleSheetLayoutView="80" workbookViewId="0">
      <selection activeCell="F11" sqref="F11"/>
    </sheetView>
  </sheetViews>
  <sheetFormatPr defaultColWidth="2.625" defaultRowHeight="14.25" customHeight="1" outlineLevelRow="1" outlineLevelCol="1"/>
  <cols>
    <col min="1" max="1" width="2.625" style="295"/>
    <col min="2" max="4" width="2.625" style="295" customWidth="1"/>
    <col min="5" max="5" width="22.375" style="295" customWidth="1"/>
    <col min="6" max="6" width="20.125" style="295" customWidth="1"/>
    <col min="7" max="7" width="12.375" style="295" customWidth="1"/>
    <col min="8" max="17" width="2.625" style="295" customWidth="1"/>
    <col min="18" max="18" width="2.625" style="209" customWidth="1"/>
    <col min="19" max="19" width="2.625" style="295" customWidth="1"/>
    <col min="20" max="23" width="2.625" style="295" customWidth="1" outlineLevel="1"/>
    <col min="24" max="25" width="17.375" style="295" customWidth="1" outlineLevel="1"/>
    <col min="26" max="41" width="2.625" style="295" customWidth="1"/>
    <col min="42" max="16384" width="2.625" style="295"/>
  </cols>
  <sheetData>
    <row r="1" spans="2:27" ht="18" customHeight="1">
      <c r="B1" s="2"/>
      <c r="C1" s="2"/>
      <c r="D1" s="2"/>
      <c r="E1" s="2"/>
      <c r="F1" s="2"/>
      <c r="G1" s="2"/>
      <c r="H1" s="226"/>
      <c r="I1" s="226"/>
      <c r="J1" s="226"/>
      <c r="K1" s="226"/>
      <c r="L1" s="226"/>
      <c r="M1" s="226"/>
      <c r="N1" s="226"/>
    </row>
    <row r="2" spans="2:27" ht="18" customHeight="1"/>
    <row r="3" spans="2:27" ht="18" customHeight="1"/>
    <row r="4" spans="2:27" ht="18" customHeight="1">
      <c r="C4" s="161"/>
      <c r="D4" s="161"/>
      <c r="E4" s="161"/>
      <c r="F4" s="161"/>
      <c r="G4" s="161"/>
    </row>
    <row r="5" spans="2:27" ht="18" customHeight="1">
      <c r="B5" s="130" t="s">
        <v>367</v>
      </c>
      <c r="C5" s="516"/>
      <c r="D5" s="516"/>
      <c r="E5" s="516"/>
      <c r="F5" s="516"/>
      <c r="G5" s="516"/>
      <c r="H5" s="516"/>
      <c r="I5" s="516"/>
      <c r="J5" s="516"/>
      <c r="K5" s="516"/>
      <c r="L5" s="516"/>
      <c r="M5" s="516"/>
      <c r="N5" s="516"/>
      <c r="O5" s="516"/>
      <c r="P5" s="516"/>
      <c r="Q5" s="516"/>
      <c r="R5" s="36"/>
      <c r="S5" s="395"/>
      <c r="T5" s="50"/>
      <c r="W5" s="130" t="s">
        <v>367</v>
      </c>
    </row>
    <row r="6" spans="2:27" ht="18" customHeight="1">
      <c r="B6" s="1786" t="s">
        <v>368</v>
      </c>
      <c r="C6" s="1786"/>
      <c r="D6" s="1786"/>
      <c r="E6" s="1786"/>
      <c r="F6" s="1786"/>
      <c r="G6" s="1786"/>
      <c r="H6" s="1786"/>
      <c r="I6" s="1786"/>
      <c r="J6" s="1786"/>
      <c r="K6" s="1786"/>
      <c r="L6" s="1786"/>
      <c r="M6" s="1786"/>
      <c r="N6" s="1786"/>
      <c r="O6" s="1786"/>
      <c r="P6" s="1786"/>
      <c r="Q6" s="1786"/>
      <c r="R6" s="1786"/>
      <c r="S6" s="395"/>
      <c r="T6" s="50"/>
    </row>
    <row r="7" spans="2:27" ht="18" customHeight="1">
      <c r="B7" s="1786"/>
      <c r="C7" s="1786"/>
      <c r="D7" s="1786"/>
      <c r="E7" s="1786"/>
      <c r="F7" s="1786"/>
      <c r="G7" s="1786"/>
      <c r="H7" s="1786"/>
      <c r="I7" s="1786"/>
      <c r="J7" s="1786"/>
      <c r="K7" s="1786"/>
      <c r="L7" s="1786"/>
      <c r="M7" s="1786"/>
      <c r="N7" s="1786"/>
      <c r="O7" s="1786"/>
      <c r="P7" s="1786"/>
      <c r="Q7" s="1786"/>
      <c r="R7" s="1786"/>
      <c r="S7" s="395"/>
      <c r="T7" s="50"/>
    </row>
    <row r="8" spans="2:27" ht="18" customHeight="1" thickBot="1">
      <c r="B8" s="1786"/>
      <c r="C8" s="1786"/>
      <c r="D8" s="1786"/>
      <c r="E8" s="1786"/>
      <c r="F8" s="1786"/>
      <c r="G8" s="1786"/>
      <c r="H8" s="1786"/>
      <c r="I8" s="1786"/>
      <c r="J8" s="1786"/>
      <c r="K8" s="1786"/>
      <c r="L8" s="1786"/>
      <c r="M8" s="1786"/>
      <c r="N8" s="1786"/>
      <c r="O8" s="1786"/>
      <c r="P8" s="1786"/>
      <c r="Q8" s="1786"/>
      <c r="R8" s="1786"/>
      <c r="S8" s="297"/>
    </row>
    <row r="9" spans="2:27" ht="18" customHeight="1">
      <c r="B9" s="517"/>
      <c r="C9" s="1430" t="s">
        <v>329</v>
      </c>
      <c r="D9" s="1431"/>
      <c r="E9" s="1431"/>
      <c r="F9" s="1787" t="s">
        <v>369</v>
      </c>
      <c r="G9" s="1741" t="s">
        <v>370</v>
      </c>
      <c r="H9" s="1744" t="s">
        <v>371</v>
      </c>
      <c r="I9" s="1431"/>
      <c r="J9" s="1431"/>
      <c r="K9" s="1431"/>
      <c r="L9" s="1431"/>
      <c r="M9" s="1431"/>
      <c r="N9" s="1431"/>
      <c r="O9" s="1431"/>
      <c r="P9" s="1431"/>
      <c r="Q9" s="1454"/>
      <c r="R9" s="337"/>
      <c r="S9" s="297"/>
      <c r="U9" s="50"/>
      <c r="V9" s="50"/>
      <c r="X9" s="1795" t="s">
        <v>329</v>
      </c>
      <c r="Y9" s="1534" t="s">
        <v>372</v>
      </c>
    </row>
    <row r="10" spans="2:27" ht="18" customHeight="1" thickBot="1">
      <c r="B10" s="398"/>
      <c r="C10" s="1433"/>
      <c r="D10" s="1434"/>
      <c r="E10" s="1434"/>
      <c r="F10" s="1788"/>
      <c r="G10" s="1789"/>
      <c r="H10" s="1746"/>
      <c r="I10" s="1434"/>
      <c r="J10" s="1434"/>
      <c r="K10" s="1434"/>
      <c r="L10" s="1434"/>
      <c r="M10" s="1434"/>
      <c r="N10" s="1434"/>
      <c r="O10" s="1434"/>
      <c r="P10" s="1434"/>
      <c r="Q10" s="1686"/>
      <c r="R10" s="518"/>
      <c r="S10" s="492"/>
      <c r="T10" s="492"/>
      <c r="U10" s="50"/>
      <c r="V10" s="50"/>
      <c r="X10" s="1795"/>
      <c r="Y10" s="1534"/>
    </row>
    <row r="11" spans="2:27" ht="30" customHeight="1" thickTop="1" thickBot="1">
      <c r="B11" s="398"/>
      <c r="C11" s="1731" t="s">
        <v>274</v>
      </c>
      <c r="D11" s="1732"/>
      <c r="E11" s="1732"/>
      <c r="F11" s="519"/>
      <c r="G11" s="1262"/>
      <c r="H11" s="520"/>
      <c r="I11" s="399"/>
      <c r="J11" s="399"/>
      <c r="K11" s="399"/>
      <c r="L11" s="399"/>
      <c r="M11" s="399"/>
      <c r="N11" s="399"/>
      <c r="O11" s="399"/>
      <c r="P11" s="399"/>
      <c r="Q11" s="521"/>
      <c r="R11" s="518"/>
      <c r="S11" s="492"/>
      <c r="T11" s="492"/>
      <c r="U11" s="50"/>
      <c r="V11" s="50"/>
      <c r="X11" s="278" t="s">
        <v>373</v>
      </c>
      <c r="Y11" s="522">
        <f>IF(F11&gt;0,ROUND(F11*G11%,),SUM(Y12:Y16))</f>
        <v>0</v>
      </c>
    </row>
    <row r="12" spans="2:27" ht="30" customHeight="1" thickTop="1">
      <c r="B12" s="398"/>
      <c r="C12" s="523"/>
      <c r="D12" s="1748" t="s">
        <v>374</v>
      </c>
      <c r="E12" s="1749"/>
      <c r="F12" s="1790"/>
      <c r="G12" s="1791"/>
      <c r="H12" s="478"/>
      <c r="I12" s="478"/>
      <c r="J12" s="478"/>
      <c r="K12" s="478"/>
      <c r="L12" s="478"/>
      <c r="M12" s="478"/>
      <c r="N12" s="478"/>
      <c r="O12" s="478"/>
      <c r="P12" s="478"/>
      <c r="Q12" s="479"/>
      <c r="R12" s="409"/>
      <c r="S12" s="226"/>
      <c r="T12" s="226"/>
      <c r="U12" s="387"/>
      <c r="V12" s="387"/>
      <c r="W12" s="226"/>
      <c r="X12" s="278" t="s">
        <v>375</v>
      </c>
      <c r="Y12" s="524">
        <f>SUMPRODUCT(ROUND((F13:F27)*(G13:G27)/100,))</f>
        <v>0</v>
      </c>
      <c r="Z12" s="226"/>
      <c r="AA12" s="226"/>
    </row>
    <row r="13" spans="2:27" s="492" customFormat="1" ht="30" customHeight="1">
      <c r="B13" s="295"/>
      <c r="C13" s="525"/>
      <c r="D13" s="526"/>
      <c r="E13" s="481"/>
      <c r="F13" s="411"/>
      <c r="G13" s="1265"/>
      <c r="H13" s="527"/>
      <c r="I13" s="478"/>
      <c r="J13" s="478"/>
      <c r="K13" s="478"/>
      <c r="L13" s="478"/>
      <c r="M13" s="478"/>
      <c r="N13" s="478"/>
      <c r="O13" s="478"/>
      <c r="P13" s="478"/>
      <c r="Q13" s="479"/>
      <c r="R13" s="409"/>
      <c r="S13" s="226"/>
      <c r="T13" s="226"/>
      <c r="U13" s="496"/>
      <c r="V13" s="496"/>
      <c r="W13" s="496"/>
      <c r="X13" s="278" t="s">
        <v>376</v>
      </c>
      <c r="Y13" s="524">
        <f>SUMPRODUCT(ROUND((F29:F43)*(G29:G43)/100,))</f>
        <v>0</v>
      </c>
      <c r="Z13" s="496"/>
      <c r="AA13" s="496"/>
    </row>
    <row r="14" spans="2:27" s="492" customFormat="1" ht="30" customHeight="1">
      <c r="B14" s="295"/>
      <c r="C14" s="525"/>
      <c r="D14" s="526"/>
      <c r="E14" s="481"/>
      <c r="F14" s="411"/>
      <c r="G14" s="1270"/>
      <c r="H14" s="527"/>
      <c r="I14" s="478"/>
      <c r="J14" s="478"/>
      <c r="K14" s="478"/>
      <c r="L14" s="478"/>
      <c r="M14" s="478"/>
      <c r="N14" s="478"/>
      <c r="O14" s="478"/>
      <c r="P14" s="478"/>
      <c r="Q14" s="479"/>
      <c r="R14" s="409"/>
      <c r="S14" s="226"/>
      <c r="T14" s="226"/>
      <c r="U14" s="496"/>
      <c r="V14" s="496"/>
      <c r="W14" s="496"/>
      <c r="X14" s="278" t="s">
        <v>377</v>
      </c>
      <c r="Y14" s="524">
        <f>SUMPRODUCT(ROUND((F45:F59)*(G45:G59)/100,))</f>
        <v>0</v>
      </c>
      <c r="Z14" s="496"/>
      <c r="AA14" s="496"/>
    </row>
    <row r="15" spans="2:27" ht="30" customHeight="1">
      <c r="C15" s="525"/>
      <c r="D15" s="526"/>
      <c r="E15" s="481"/>
      <c r="F15" s="528"/>
      <c r="G15" s="1271"/>
      <c r="H15" s="527"/>
      <c r="I15" s="478"/>
      <c r="J15" s="478"/>
      <c r="K15" s="478"/>
      <c r="L15" s="478"/>
      <c r="M15" s="478"/>
      <c r="N15" s="478"/>
      <c r="O15" s="478"/>
      <c r="P15" s="478"/>
      <c r="Q15" s="479"/>
      <c r="R15" s="409"/>
      <c r="S15" s="226"/>
      <c r="T15" s="226"/>
      <c r="U15" s="226"/>
      <c r="V15" s="226"/>
      <c r="W15" s="226"/>
      <c r="X15" s="278" t="s">
        <v>378</v>
      </c>
      <c r="Y15" s="524">
        <f>SUMPRODUCT(ROUND((F61:F75)*(G61:G75)/100,))</f>
        <v>0</v>
      </c>
      <c r="Z15" s="226"/>
      <c r="AA15" s="226"/>
    </row>
    <row r="16" spans="2:27" ht="30" customHeight="1" collapsed="1">
      <c r="C16" s="525"/>
      <c r="D16" s="526"/>
      <c r="E16" s="481"/>
      <c r="F16" s="528"/>
      <c r="G16" s="1271"/>
      <c r="H16" s="527"/>
      <c r="I16" s="478"/>
      <c r="J16" s="478"/>
      <c r="K16" s="478"/>
      <c r="L16" s="478"/>
      <c r="M16" s="478"/>
      <c r="N16" s="478"/>
      <c r="O16" s="478"/>
      <c r="P16" s="478"/>
      <c r="Q16" s="479"/>
      <c r="R16" s="409"/>
      <c r="S16" s="226"/>
      <c r="T16" s="226"/>
      <c r="U16" s="226"/>
      <c r="V16" s="226"/>
      <c r="W16" s="226"/>
      <c r="X16" s="278" t="s">
        <v>223</v>
      </c>
      <c r="Y16" s="524">
        <f>ROUND((F76*G76)/100,)</f>
        <v>0</v>
      </c>
      <c r="Z16" s="226"/>
      <c r="AA16" s="226"/>
    </row>
    <row r="17" spans="3:30" ht="30" hidden="1" customHeight="1" outlineLevel="1">
      <c r="C17" s="525"/>
      <c r="D17" s="526"/>
      <c r="E17" s="481"/>
      <c r="F17" s="528"/>
      <c r="G17" s="1271"/>
      <c r="H17" s="527"/>
      <c r="I17" s="478"/>
      <c r="J17" s="478"/>
      <c r="K17" s="478"/>
      <c r="L17" s="478"/>
      <c r="M17" s="478"/>
      <c r="N17" s="478"/>
      <c r="O17" s="478"/>
      <c r="P17" s="478"/>
      <c r="Q17" s="479"/>
      <c r="R17" s="409"/>
      <c r="S17" s="226"/>
      <c r="T17" s="226"/>
      <c r="U17" s="226"/>
      <c r="V17" s="226"/>
      <c r="W17" s="226"/>
      <c r="X17" s="529"/>
      <c r="Y17" s="530"/>
      <c r="Z17" s="387"/>
      <c r="AA17" s="387"/>
      <c r="AB17" s="50"/>
      <c r="AC17" s="50"/>
      <c r="AD17" s="50"/>
    </row>
    <row r="18" spans="3:30" ht="30" hidden="1" customHeight="1" outlineLevel="1">
      <c r="C18" s="525"/>
      <c r="D18" s="531"/>
      <c r="E18" s="481"/>
      <c r="F18" s="528"/>
      <c r="G18" s="1271"/>
      <c r="H18" s="527"/>
      <c r="I18" s="478"/>
      <c r="J18" s="478"/>
      <c r="K18" s="478"/>
      <c r="L18" s="478"/>
      <c r="M18" s="478"/>
      <c r="N18" s="478"/>
      <c r="O18" s="478"/>
      <c r="P18" s="478"/>
      <c r="Q18" s="479"/>
      <c r="R18" s="409"/>
      <c r="S18" s="226"/>
      <c r="T18" s="226"/>
      <c r="U18" s="226"/>
      <c r="V18" s="226"/>
      <c r="W18" s="226"/>
      <c r="X18" s="463"/>
      <c r="Y18" s="532"/>
      <c r="Z18" s="387"/>
      <c r="AA18" s="387"/>
      <c r="AB18" s="50"/>
      <c r="AC18" s="50"/>
      <c r="AD18" s="50"/>
    </row>
    <row r="19" spans="3:30" ht="30" hidden="1" customHeight="1" outlineLevel="1">
      <c r="C19" s="525"/>
      <c r="D19" s="531"/>
      <c r="E19" s="481"/>
      <c r="F19" s="528"/>
      <c r="G19" s="1271"/>
      <c r="H19" s="527"/>
      <c r="I19" s="478"/>
      <c r="J19" s="478"/>
      <c r="K19" s="478"/>
      <c r="L19" s="478"/>
      <c r="M19" s="478"/>
      <c r="N19" s="478"/>
      <c r="O19" s="478"/>
      <c r="P19" s="478"/>
      <c r="Q19" s="479"/>
      <c r="R19" s="409"/>
      <c r="S19" s="226"/>
      <c r="T19" s="226"/>
      <c r="U19" s="226"/>
      <c r="V19" s="226"/>
      <c r="W19" s="226"/>
      <c r="X19" s="463"/>
      <c r="Y19" s="532"/>
      <c r="Z19" s="387"/>
      <c r="AA19" s="387"/>
      <c r="AB19" s="50"/>
      <c r="AC19" s="50"/>
      <c r="AD19" s="50"/>
    </row>
    <row r="20" spans="3:30" ht="30" hidden="1" customHeight="1" outlineLevel="1">
      <c r="C20" s="525"/>
      <c r="D20" s="531"/>
      <c r="E20" s="481"/>
      <c r="F20" s="528"/>
      <c r="G20" s="1271"/>
      <c r="H20" s="527"/>
      <c r="I20" s="478"/>
      <c r="J20" s="478"/>
      <c r="K20" s="478"/>
      <c r="L20" s="478"/>
      <c r="M20" s="478"/>
      <c r="N20" s="478"/>
      <c r="O20" s="478"/>
      <c r="P20" s="478"/>
      <c r="Q20" s="479"/>
      <c r="R20" s="409"/>
      <c r="S20" s="226"/>
      <c r="T20" s="226"/>
      <c r="U20" s="226"/>
      <c r="V20" s="226"/>
      <c r="W20" s="226"/>
      <c r="X20" s="463"/>
      <c r="Y20" s="532"/>
      <c r="Z20" s="387"/>
      <c r="AA20" s="387"/>
      <c r="AB20" s="50"/>
      <c r="AC20" s="50"/>
      <c r="AD20" s="50"/>
    </row>
    <row r="21" spans="3:30" ht="30" hidden="1" customHeight="1" outlineLevel="1">
      <c r="C21" s="525"/>
      <c r="D21" s="531"/>
      <c r="E21" s="481"/>
      <c r="F21" s="528"/>
      <c r="G21" s="1271"/>
      <c r="H21" s="527"/>
      <c r="I21" s="478"/>
      <c r="J21" s="478"/>
      <c r="K21" s="478"/>
      <c r="L21" s="478"/>
      <c r="M21" s="478"/>
      <c r="N21" s="478"/>
      <c r="O21" s="478"/>
      <c r="P21" s="478"/>
      <c r="Q21" s="479"/>
      <c r="R21" s="409"/>
      <c r="S21" s="226"/>
      <c r="T21" s="226"/>
      <c r="U21" s="226"/>
      <c r="V21" s="226"/>
      <c r="W21" s="226"/>
      <c r="X21" s="463"/>
      <c r="Y21" s="532"/>
      <c r="Z21" s="387"/>
      <c r="AA21" s="387"/>
      <c r="AB21" s="50"/>
      <c r="AC21" s="50"/>
      <c r="AD21" s="50"/>
    </row>
    <row r="22" spans="3:30" ht="30" hidden="1" customHeight="1" outlineLevel="1">
      <c r="C22" s="525"/>
      <c r="D22" s="531"/>
      <c r="E22" s="481"/>
      <c r="F22" s="528"/>
      <c r="G22" s="1271"/>
      <c r="H22" s="527"/>
      <c r="I22" s="478"/>
      <c r="J22" s="478"/>
      <c r="K22" s="478"/>
      <c r="L22" s="478"/>
      <c r="M22" s="478"/>
      <c r="N22" s="478"/>
      <c r="O22" s="478"/>
      <c r="P22" s="478"/>
      <c r="Q22" s="479"/>
      <c r="R22" s="409"/>
      <c r="S22" s="226"/>
      <c r="T22" s="226"/>
      <c r="U22" s="226"/>
      <c r="V22" s="226"/>
      <c r="W22" s="226"/>
      <c r="X22" s="463"/>
      <c r="Y22" s="532"/>
      <c r="Z22" s="387"/>
      <c r="AA22" s="387"/>
      <c r="AB22" s="50"/>
      <c r="AC22" s="50"/>
      <c r="AD22" s="50"/>
    </row>
    <row r="23" spans="3:30" ht="30" hidden="1" customHeight="1" outlineLevel="1">
      <c r="C23" s="525"/>
      <c r="D23" s="531"/>
      <c r="E23" s="481"/>
      <c r="F23" s="528"/>
      <c r="G23" s="1271"/>
      <c r="H23" s="527"/>
      <c r="I23" s="478"/>
      <c r="J23" s="478"/>
      <c r="K23" s="478"/>
      <c r="L23" s="478"/>
      <c r="M23" s="478"/>
      <c r="N23" s="478"/>
      <c r="O23" s="478"/>
      <c r="P23" s="478"/>
      <c r="Q23" s="479"/>
      <c r="R23" s="409"/>
      <c r="S23" s="226"/>
      <c r="T23" s="226"/>
      <c r="U23" s="226"/>
      <c r="V23" s="226"/>
      <c r="W23" s="226"/>
      <c r="X23" s="463"/>
      <c r="Y23" s="532"/>
      <c r="Z23" s="387"/>
      <c r="AA23" s="387"/>
      <c r="AB23" s="50"/>
      <c r="AC23" s="50"/>
      <c r="AD23" s="50"/>
    </row>
    <row r="24" spans="3:30" ht="30" hidden="1" customHeight="1" outlineLevel="1">
      <c r="C24" s="525"/>
      <c r="D24" s="531"/>
      <c r="E24" s="481"/>
      <c r="F24" s="528"/>
      <c r="G24" s="1271"/>
      <c r="H24" s="527"/>
      <c r="I24" s="478"/>
      <c r="J24" s="478"/>
      <c r="K24" s="478"/>
      <c r="L24" s="478"/>
      <c r="M24" s="478"/>
      <c r="N24" s="478"/>
      <c r="O24" s="478"/>
      <c r="P24" s="478"/>
      <c r="Q24" s="479"/>
      <c r="R24" s="409"/>
      <c r="S24" s="226"/>
      <c r="T24" s="226"/>
      <c r="U24" s="226"/>
      <c r="V24" s="226"/>
      <c r="W24" s="226"/>
      <c r="X24" s="463"/>
      <c r="Y24" s="532"/>
      <c r="Z24" s="387"/>
      <c r="AA24" s="387"/>
      <c r="AB24" s="50"/>
      <c r="AC24" s="50"/>
      <c r="AD24" s="50"/>
    </row>
    <row r="25" spans="3:30" ht="30" hidden="1" customHeight="1" outlineLevel="1">
      <c r="C25" s="525"/>
      <c r="D25" s="531"/>
      <c r="E25" s="481"/>
      <c r="F25" s="528"/>
      <c r="G25" s="1271"/>
      <c r="H25" s="527"/>
      <c r="I25" s="478"/>
      <c r="J25" s="478"/>
      <c r="K25" s="478"/>
      <c r="L25" s="478"/>
      <c r="M25" s="478"/>
      <c r="N25" s="478"/>
      <c r="O25" s="478"/>
      <c r="P25" s="478"/>
      <c r="Q25" s="479"/>
      <c r="R25" s="409"/>
      <c r="S25" s="226"/>
      <c r="T25" s="226"/>
      <c r="U25" s="226"/>
      <c r="V25" s="226"/>
      <c r="W25" s="226"/>
      <c r="X25" s="463"/>
      <c r="Y25" s="532"/>
      <c r="Z25" s="387"/>
      <c r="AA25" s="387"/>
      <c r="AB25" s="50"/>
      <c r="AC25" s="50"/>
      <c r="AD25" s="50"/>
    </row>
    <row r="26" spans="3:30" ht="30" hidden="1" customHeight="1" outlineLevel="1">
      <c r="C26" s="525"/>
      <c r="D26" s="531"/>
      <c r="E26" s="481"/>
      <c r="F26" s="528"/>
      <c r="G26" s="1271"/>
      <c r="H26" s="527"/>
      <c r="I26" s="478"/>
      <c r="J26" s="478"/>
      <c r="K26" s="478"/>
      <c r="L26" s="478"/>
      <c r="M26" s="478"/>
      <c r="N26" s="478"/>
      <c r="O26" s="478"/>
      <c r="P26" s="478"/>
      <c r="Q26" s="479"/>
      <c r="R26" s="409"/>
      <c r="S26" s="226"/>
      <c r="T26" s="226"/>
      <c r="U26" s="226"/>
      <c r="V26" s="226"/>
      <c r="W26" s="226"/>
      <c r="X26" s="463"/>
      <c r="Y26" s="532"/>
      <c r="Z26" s="387"/>
      <c r="AA26" s="387"/>
      <c r="AB26" s="50"/>
      <c r="AC26" s="50"/>
      <c r="AD26" s="50"/>
    </row>
    <row r="27" spans="3:30" ht="30" hidden="1" customHeight="1" outlineLevel="1">
      <c r="C27" s="525"/>
      <c r="D27" s="531"/>
      <c r="E27" s="481"/>
      <c r="F27" s="533"/>
      <c r="G27" s="1264"/>
      <c r="H27" s="527"/>
      <c r="I27" s="478"/>
      <c r="J27" s="478"/>
      <c r="K27" s="478"/>
      <c r="L27" s="478"/>
      <c r="M27" s="478"/>
      <c r="N27" s="478"/>
      <c r="O27" s="478"/>
      <c r="P27" s="478"/>
      <c r="Q27" s="479"/>
      <c r="R27" s="409"/>
      <c r="S27" s="226"/>
      <c r="T27" s="226"/>
      <c r="U27" s="226"/>
      <c r="V27" s="226"/>
      <c r="W27" s="226"/>
      <c r="X27" s="463"/>
      <c r="Y27" s="532"/>
      <c r="Z27" s="387"/>
      <c r="AA27" s="387"/>
      <c r="AB27" s="50"/>
      <c r="AC27" s="50"/>
      <c r="AD27" s="50"/>
    </row>
    <row r="28" spans="3:30" ht="30" customHeight="1">
      <c r="C28" s="523"/>
      <c r="D28" s="1748" t="s">
        <v>379</v>
      </c>
      <c r="E28" s="1792"/>
      <c r="F28" s="1793"/>
      <c r="G28" s="1794"/>
      <c r="H28" s="478"/>
      <c r="I28" s="478"/>
      <c r="J28" s="478"/>
      <c r="K28" s="478"/>
      <c r="L28" s="478"/>
      <c r="M28" s="478"/>
      <c r="N28" s="478"/>
      <c r="O28" s="478"/>
      <c r="P28" s="478"/>
      <c r="Q28" s="479"/>
      <c r="R28" s="409"/>
      <c r="S28" s="226"/>
      <c r="T28" s="226"/>
      <c r="U28" s="226"/>
      <c r="V28" s="226"/>
      <c r="W28" s="226"/>
      <c r="X28" s="21"/>
      <c r="Y28" s="21"/>
      <c r="Z28" s="387"/>
      <c r="AA28" s="387"/>
      <c r="AB28" s="50"/>
      <c r="AC28" s="50"/>
      <c r="AD28" s="50"/>
    </row>
    <row r="29" spans="3:30" ht="30" customHeight="1">
      <c r="C29" s="525"/>
      <c r="D29" s="526"/>
      <c r="E29" s="481"/>
      <c r="F29" s="411"/>
      <c r="G29" s="1265"/>
      <c r="H29" s="527"/>
      <c r="I29" s="478"/>
      <c r="J29" s="478"/>
      <c r="K29" s="478"/>
      <c r="L29" s="478"/>
      <c r="M29" s="478"/>
      <c r="N29" s="478"/>
      <c r="O29" s="478"/>
      <c r="P29" s="478"/>
      <c r="Q29" s="479"/>
      <c r="R29" s="409"/>
      <c r="S29" s="226"/>
      <c r="T29" s="226"/>
      <c r="U29" s="226"/>
      <c r="V29" s="226"/>
      <c r="W29" s="226"/>
      <c r="X29" s="21"/>
      <c r="Y29" s="21"/>
      <c r="Z29" s="387"/>
      <c r="AA29" s="387"/>
      <c r="AB29" s="50"/>
      <c r="AC29" s="50"/>
      <c r="AD29" s="50"/>
    </row>
    <row r="30" spans="3:30" ht="30" customHeight="1">
      <c r="C30" s="525"/>
      <c r="D30" s="526"/>
      <c r="E30" s="481"/>
      <c r="F30" s="411"/>
      <c r="G30" s="1270"/>
      <c r="H30" s="527"/>
      <c r="I30" s="478"/>
      <c r="J30" s="478"/>
      <c r="K30" s="478"/>
      <c r="L30" s="478"/>
      <c r="M30" s="478"/>
      <c r="N30" s="478"/>
      <c r="O30" s="478"/>
      <c r="P30" s="478"/>
      <c r="Q30" s="479"/>
      <c r="R30" s="409"/>
      <c r="S30" s="226"/>
      <c r="T30" s="226"/>
      <c r="U30" s="226"/>
      <c r="V30" s="226"/>
      <c r="W30" s="226"/>
      <c r="X30" s="387"/>
      <c r="Y30" s="387"/>
      <c r="Z30" s="387"/>
      <c r="AA30" s="387"/>
      <c r="AB30" s="50"/>
      <c r="AC30" s="50"/>
      <c r="AD30" s="50"/>
    </row>
    <row r="31" spans="3:30" ht="30" customHeight="1">
      <c r="C31" s="525"/>
      <c r="D31" s="531"/>
      <c r="E31" s="481"/>
      <c r="F31" s="528"/>
      <c r="G31" s="1271"/>
      <c r="H31" s="527"/>
      <c r="I31" s="478"/>
      <c r="J31" s="478"/>
      <c r="K31" s="478"/>
      <c r="L31" s="478"/>
      <c r="M31" s="478"/>
      <c r="N31" s="478"/>
      <c r="O31" s="478"/>
      <c r="P31" s="478"/>
      <c r="Q31" s="479"/>
      <c r="R31" s="409"/>
      <c r="S31" s="226"/>
      <c r="T31" s="226"/>
      <c r="U31" s="226"/>
      <c r="V31" s="226"/>
      <c r="W31" s="226"/>
      <c r="X31" s="463"/>
      <c r="Y31" s="532"/>
      <c r="Z31" s="387"/>
      <c r="AA31" s="387"/>
      <c r="AB31" s="50"/>
      <c r="AC31" s="50"/>
      <c r="AD31" s="50"/>
    </row>
    <row r="32" spans="3:30" ht="30" customHeight="1" collapsed="1">
      <c r="C32" s="525"/>
      <c r="D32" s="531"/>
      <c r="E32" s="481"/>
      <c r="F32" s="528"/>
      <c r="G32" s="1271"/>
      <c r="H32" s="527"/>
      <c r="I32" s="478"/>
      <c r="J32" s="478"/>
      <c r="K32" s="478"/>
      <c r="L32" s="478"/>
      <c r="M32" s="478"/>
      <c r="N32" s="478"/>
      <c r="O32" s="478"/>
      <c r="P32" s="478"/>
      <c r="Q32" s="479"/>
      <c r="R32" s="409"/>
      <c r="S32" s="226"/>
      <c r="T32" s="226"/>
      <c r="U32" s="226"/>
      <c r="V32" s="226"/>
      <c r="W32" s="226"/>
      <c r="X32" s="463"/>
      <c r="Y32" s="532"/>
      <c r="Z32" s="387"/>
      <c r="AA32" s="387"/>
      <c r="AB32" s="50"/>
      <c r="AC32" s="50"/>
      <c r="AD32" s="50"/>
    </row>
    <row r="33" spans="3:30" ht="30" hidden="1" customHeight="1" outlineLevel="1">
      <c r="C33" s="525"/>
      <c r="D33" s="531"/>
      <c r="E33" s="481"/>
      <c r="F33" s="528"/>
      <c r="G33" s="1271"/>
      <c r="H33" s="527"/>
      <c r="I33" s="478"/>
      <c r="J33" s="478"/>
      <c r="K33" s="478"/>
      <c r="L33" s="478"/>
      <c r="M33" s="478"/>
      <c r="N33" s="478"/>
      <c r="O33" s="478"/>
      <c r="P33" s="478"/>
      <c r="Q33" s="479"/>
      <c r="R33" s="409"/>
      <c r="S33" s="226"/>
      <c r="T33" s="226"/>
      <c r="U33" s="226"/>
      <c r="V33" s="226"/>
      <c r="W33" s="226"/>
      <c r="X33" s="463"/>
      <c r="Y33" s="532"/>
      <c r="Z33" s="387"/>
      <c r="AA33" s="387"/>
      <c r="AB33" s="50"/>
      <c r="AC33" s="50"/>
      <c r="AD33" s="50"/>
    </row>
    <row r="34" spans="3:30" ht="30" hidden="1" customHeight="1" outlineLevel="1">
      <c r="C34" s="525"/>
      <c r="D34" s="531"/>
      <c r="E34" s="481"/>
      <c r="F34" s="528"/>
      <c r="G34" s="1271"/>
      <c r="H34" s="527"/>
      <c r="I34" s="478"/>
      <c r="J34" s="478"/>
      <c r="K34" s="478"/>
      <c r="L34" s="478"/>
      <c r="M34" s="478"/>
      <c r="N34" s="478"/>
      <c r="O34" s="478"/>
      <c r="P34" s="478"/>
      <c r="Q34" s="479"/>
      <c r="R34" s="409"/>
      <c r="S34" s="226"/>
      <c r="T34" s="226"/>
      <c r="U34" s="226"/>
      <c r="V34" s="226"/>
      <c r="W34" s="226"/>
      <c r="X34" s="463"/>
      <c r="Y34" s="532"/>
      <c r="Z34" s="387"/>
      <c r="AA34" s="387"/>
      <c r="AB34" s="50"/>
      <c r="AC34" s="50"/>
      <c r="AD34" s="50"/>
    </row>
    <row r="35" spans="3:30" ht="30" hidden="1" customHeight="1" outlineLevel="1">
      <c r="C35" s="525"/>
      <c r="D35" s="531"/>
      <c r="E35" s="481"/>
      <c r="F35" s="528"/>
      <c r="G35" s="1271"/>
      <c r="H35" s="527"/>
      <c r="I35" s="478"/>
      <c r="J35" s="478"/>
      <c r="K35" s="478"/>
      <c r="L35" s="478"/>
      <c r="M35" s="478"/>
      <c r="N35" s="478"/>
      <c r="O35" s="478"/>
      <c r="P35" s="478"/>
      <c r="Q35" s="479"/>
      <c r="R35" s="409"/>
      <c r="S35" s="226"/>
      <c r="T35" s="226"/>
      <c r="U35" s="226"/>
      <c r="V35" s="226"/>
      <c r="W35" s="226"/>
      <c r="X35" s="463"/>
      <c r="Y35" s="532"/>
      <c r="Z35" s="387"/>
      <c r="AA35" s="387"/>
      <c r="AB35" s="50"/>
      <c r="AC35" s="50"/>
      <c r="AD35" s="50"/>
    </row>
    <row r="36" spans="3:30" ht="30" hidden="1" customHeight="1" outlineLevel="1">
      <c r="C36" s="525"/>
      <c r="D36" s="531"/>
      <c r="E36" s="481"/>
      <c r="F36" s="528"/>
      <c r="G36" s="1271"/>
      <c r="H36" s="527"/>
      <c r="I36" s="478"/>
      <c r="J36" s="478"/>
      <c r="K36" s="478"/>
      <c r="L36" s="478"/>
      <c r="M36" s="478"/>
      <c r="N36" s="478"/>
      <c r="O36" s="478"/>
      <c r="P36" s="478"/>
      <c r="Q36" s="479"/>
      <c r="R36" s="409"/>
      <c r="S36" s="226"/>
      <c r="T36" s="226"/>
      <c r="U36" s="226"/>
      <c r="V36" s="226"/>
      <c r="W36" s="226"/>
      <c r="X36" s="463"/>
      <c r="Y36" s="532"/>
      <c r="Z36" s="387"/>
      <c r="AA36" s="387"/>
      <c r="AB36" s="50"/>
      <c r="AC36" s="50"/>
      <c r="AD36" s="50"/>
    </row>
    <row r="37" spans="3:30" ht="30" hidden="1" customHeight="1" outlineLevel="1">
      <c r="C37" s="525"/>
      <c r="D37" s="531"/>
      <c r="E37" s="481"/>
      <c r="F37" s="528"/>
      <c r="G37" s="1271"/>
      <c r="H37" s="527"/>
      <c r="I37" s="478"/>
      <c r="J37" s="478"/>
      <c r="K37" s="478"/>
      <c r="L37" s="478"/>
      <c r="M37" s="478"/>
      <c r="N37" s="478"/>
      <c r="O37" s="478"/>
      <c r="P37" s="478"/>
      <c r="Q37" s="479"/>
      <c r="R37" s="409"/>
      <c r="S37" s="226"/>
      <c r="T37" s="226"/>
      <c r="U37" s="226"/>
      <c r="V37" s="226"/>
      <c r="W37" s="226"/>
      <c r="X37" s="463"/>
      <c r="Y37" s="532"/>
      <c r="Z37" s="387"/>
      <c r="AA37" s="387"/>
      <c r="AB37" s="50"/>
      <c r="AC37" s="50"/>
      <c r="AD37" s="50"/>
    </row>
    <row r="38" spans="3:30" ht="30" hidden="1" customHeight="1" outlineLevel="1">
      <c r="C38" s="525"/>
      <c r="D38" s="531"/>
      <c r="E38" s="481"/>
      <c r="F38" s="528"/>
      <c r="G38" s="1271"/>
      <c r="H38" s="527"/>
      <c r="I38" s="478"/>
      <c r="J38" s="478"/>
      <c r="K38" s="478"/>
      <c r="L38" s="478"/>
      <c r="M38" s="478"/>
      <c r="N38" s="478"/>
      <c r="O38" s="478"/>
      <c r="P38" s="478"/>
      <c r="Q38" s="479"/>
      <c r="R38" s="409"/>
      <c r="S38" s="226"/>
      <c r="T38" s="226"/>
      <c r="U38" s="226"/>
      <c r="V38" s="226"/>
      <c r="W38" s="226"/>
      <c r="X38" s="463"/>
      <c r="Y38" s="532"/>
      <c r="Z38" s="387"/>
      <c r="AA38" s="387"/>
      <c r="AB38" s="50"/>
      <c r="AC38" s="50"/>
      <c r="AD38" s="50"/>
    </row>
    <row r="39" spans="3:30" ht="30" hidden="1" customHeight="1" outlineLevel="1">
      <c r="C39" s="525"/>
      <c r="D39" s="531"/>
      <c r="E39" s="481"/>
      <c r="F39" s="528"/>
      <c r="G39" s="1271"/>
      <c r="H39" s="527"/>
      <c r="I39" s="478"/>
      <c r="J39" s="478"/>
      <c r="K39" s="478"/>
      <c r="L39" s="478"/>
      <c r="M39" s="478"/>
      <c r="N39" s="478"/>
      <c r="O39" s="478"/>
      <c r="P39" s="478"/>
      <c r="Q39" s="479"/>
      <c r="R39" s="409"/>
      <c r="S39" s="226"/>
      <c r="T39" s="226"/>
      <c r="U39" s="226"/>
      <c r="V39" s="226"/>
      <c r="W39" s="226"/>
      <c r="X39" s="463"/>
      <c r="Y39" s="532"/>
      <c r="Z39" s="387"/>
      <c r="AA39" s="387"/>
      <c r="AB39" s="50"/>
      <c r="AC39" s="50"/>
      <c r="AD39" s="50"/>
    </row>
    <row r="40" spans="3:30" ht="30" hidden="1" customHeight="1" outlineLevel="1">
      <c r="C40" s="525"/>
      <c r="D40" s="531"/>
      <c r="E40" s="481"/>
      <c r="F40" s="528"/>
      <c r="G40" s="1271"/>
      <c r="H40" s="527"/>
      <c r="I40" s="478"/>
      <c r="J40" s="478"/>
      <c r="K40" s="478"/>
      <c r="L40" s="478"/>
      <c r="M40" s="478"/>
      <c r="N40" s="478"/>
      <c r="O40" s="478"/>
      <c r="P40" s="478"/>
      <c r="Q40" s="479"/>
      <c r="R40" s="409"/>
      <c r="S40" s="226"/>
      <c r="T40" s="226"/>
      <c r="U40" s="226"/>
      <c r="V40" s="226"/>
      <c r="W40" s="226"/>
      <c r="X40" s="463"/>
      <c r="Y40" s="532"/>
      <c r="Z40" s="387"/>
      <c r="AA40" s="387"/>
      <c r="AB40" s="50"/>
      <c r="AC40" s="50"/>
      <c r="AD40" s="50"/>
    </row>
    <row r="41" spans="3:30" ht="30" hidden="1" customHeight="1" outlineLevel="1">
      <c r="C41" s="525"/>
      <c r="D41" s="526"/>
      <c r="E41" s="481"/>
      <c r="F41" s="411"/>
      <c r="G41" s="1270"/>
      <c r="H41" s="527"/>
      <c r="I41" s="478"/>
      <c r="J41" s="478"/>
      <c r="K41" s="478"/>
      <c r="L41" s="478"/>
      <c r="M41" s="478"/>
      <c r="N41" s="478"/>
      <c r="O41" s="478"/>
      <c r="P41" s="478"/>
      <c r="Q41" s="479"/>
      <c r="R41" s="409"/>
      <c r="S41" s="226"/>
      <c r="T41" s="226"/>
      <c r="U41" s="226"/>
      <c r="V41" s="226"/>
      <c r="W41" s="226"/>
      <c r="X41" s="387"/>
      <c r="Y41" s="387"/>
      <c r="Z41" s="387"/>
      <c r="AA41" s="387"/>
      <c r="AB41" s="50"/>
      <c r="AC41" s="50"/>
      <c r="AD41" s="50"/>
    </row>
    <row r="42" spans="3:30" ht="30" hidden="1" customHeight="1" outlineLevel="1">
      <c r="C42" s="525"/>
      <c r="D42" s="526"/>
      <c r="E42" s="481"/>
      <c r="F42" s="528"/>
      <c r="G42" s="1271"/>
      <c r="H42" s="527"/>
      <c r="I42" s="478"/>
      <c r="J42" s="478"/>
      <c r="K42" s="478"/>
      <c r="L42" s="478"/>
      <c r="M42" s="478"/>
      <c r="N42" s="478"/>
      <c r="O42" s="478"/>
      <c r="P42" s="478"/>
      <c r="Q42" s="479"/>
      <c r="R42" s="409"/>
      <c r="S42" s="226"/>
      <c r="T42" s="226"/>
      <c r="U42" s="226"/>
      <c r="V42" s="226"/>
      <c r="W42" s="226"/>
      <c r="X42" s="387"/>
      <c r="Y42" s="387"/>
      <c r="Z42" s="387"/>
      <c r="AA42" s="387"/>
      <c r="AB42" s="50"/>
      <c r="AC42" s="50"/>
      <c r="AD42" s="50"/>
    </row>
    <row r="43" spans="3:30" ht="30" hidden="1" customHeight="1" outlineLevel="1">
      <c r="C43" s="525"/>
      <c r="D43" s="526"/>
      <c r="E43" s="481"/>
      <c r="F43" s="406"/>
      <c r="G43" s="1272"/>
      <c r="H43" s="527"/>
      <c r="I43" s="478"/>
      <c r="J43" s="478"/>
      <c r="K43" s="478"/>
      <c r="L43" s="478"/>
      <c r="M43" s="478"/>
      <c r="N43" s="478"/>
      <c r="O43" s="478"/>
      <c r="P43" s="478"/>
      <c r="Q43" s="479"/>
      <c r="R43" s="409"/>
      <c r="S43" s="226"/>
      <c r="T43" s="226"/>
      <c r="U43" s="226"/>
      <c r="V43" s="226"/>
      <c r="W43" s="226"/>
      <c r="X43" s="387"/>
      <c r="Y43" s="387"/>
      <c r="Z43" s="387"/>
      <c r="AA43" s="387"/>
      <c r="AB43" s="50"/>
      <c r="AC43" s="50"/>
      <c r="AD43" s="50"/>
    </row>
    <row r="44" spans="3:30" ht="30" customHeight="1">
      <c r="C44" s="523"/>
      <c r="D44" s="1748" t="s">
        <v>380</v>
      </c>
      <c r="E44" s="1792"/>
      <c r="F44" s="1793"/>
      <c r="G44" s="1794"/>
      <c r="H44" s="478"/>
      <c r="I44" s="478"/>
      <c r="J44" s="478"/>
      <c r="K44" s="478"/>
      <c r="L44" s="478"/>
      <c r="M44" s="478"/>
      <c r="N44" s="478"/>
      <c r="O44" s="478"/>
      <c r="P44" s="478"/>
      <c r="Q44" s="479"/>
      <c r="R44" s="409"/>
      <c r="S44" s="226"/>
      <c r="T44" s="226"/>
      <c r="U44" s="226"/>
      <c r="V44" s="226"/>
      <c r="W44" s="226"/>
      <c r="X44" s="387"/>
      <c r="Y44" s="387"/>
      <c r="Z44" s="387"/>
      <c r="AA44" s="387"/>
      <c r="AB44" s="50"/>
      <c r="AC44" s="50"/>
      <c r="AD44" s="50"/>
    </row>
    <row r="45" spans="3:30" ht="30" customHeight="1">
      <c r="C45" s="525"/>
      <c r="D45" s="526"/>
      <c r="E45" s="481"/>
      <c r="F45" s="411"/>
      <c r="G45" s="1265"/>
      <c r="H45" s="527"/>
      <c r="I45" s="478"/>
      <c r="J45" s="478"/>
      <c r="K45" s="478"/>
      <c r="L45" s="478"/>
      <c r="M45" s="478"/>
      <c r="N45" s="478"/>
      <c r="O45" s="478"/>
      <c r="P45" s="478"/>
      <c r="Q45" s="479"/>
      <c r="R45" s="409"/>
      <c r="S45" s="226"/>
      <c r="T45" s="226"/>
      <c r="U45" s="226"/>
      <c r="V45" s="226"/>
      <c r="W45" s="226"/>
      <c r="X45" s="387"/>
      <c r="Y45" s="387"/>
      <c r="Z45" s="387"/>
      <c r="AA45" s="387"/>
      <c r="AB45" s="50"/>
      <c r="AC45" s="50"/>
      <c r="AD45" s="50"/>
    </row>
    <row r="46" spans="3:30" ht="30" customHeight="1">
      <c r="C46" s="525"/>
      <c r="D46" s="526"/>
      <c r="E46" s="481"/>
      <c r="F46" s="411"/>
      <c r="G46" s="1270"/>
      <c r="H46" s="527"/>
      <c r="I46" s="478"/>
      <c r="J46" s="478"/>
      <c r="K46" s="478"/>
      <c r="L46" s="478"/>
      <c r="M46" s="478"/>
      <c r="N46" s="478"/>
      <c r="O46" s="478"/>
      <c r="P46" s="478"/>
      <c r="Q46" s="479"/>
      <c r="R46" s="409"/>
      <c r="S46" s="226"/>
      <c r="T46" s="226"/>
      <c r="U46" s="226"/>
      <c r="V46" s="226"/>
      <c r="W46" s="226"/>
      <c r="X46" s="387"/>
      <c r="Y46" s="387"/>
      <c r="Z46" s="387"/>
      <c r="AA46" s="387"/>
      <c r="AB46" s="50"/>
      <c r="AC46" s="50"/>
      <c r="AD46" s="50"/>
    </row>
    <row r="47" spans="3:30" ht="30" customHeight="1">
      <c r="C47" s="525"/>
      <c r="D47" s="526"/>
      <c r="E47" s="481"/>
      <c r="F47" s="411"/>
      <c r="G47" s="1270"/>
      <c r="H47" s="527"/>
      <c r="I47" s="478"/>
      <c r="J47" s="478"/>
      <c r="K47" s="478"/>
      <c r="L47" s="478"/>
      <c r="M47" s="478"/>
      <c r="N47" s="478"/>
      <c r="O47" s="478"/>
      <c r="P47" s="478"/>
      <c r="Q47" s="479"/>
      <c r="R47" s="409"/>
      <c r="S47" s="226"/>
      <c r="T47" s="226"/>
      <c r="U47" s="226"/>
      <c r="V47" s="226"/>
      <c r="W47" s="226"/>
      <c r="X47" s="387"/>
      <c r="Y47" s="387"/>
      <c r="Z47" s="387"/>
      <c r="AA47" s="387"/>
      <c r="AB47" s="50"/>
      <c r="AC47" s="50"/>
      <c r="AD47" s="50"/>
    </row>
    <row r="48" spans="3:30" ht="30" customHeight="1" collapsed="1">
      <c r="C48" s="525"/>
      <c r="D48" s="531"/>
      <c r="E48" s="481"/>
      <c r="F48" s="528"/>
      <c r="G48" s="1271"/>
      <c r="H48" s="527"/>
      <c r="I48" s="478"/>
      <c r="J48" s="478"/>
      <c r="K48" s="478"/>
      <c r="L48" s="478"/>
      <c r="M48" s="478"/>
      <c r="N48" s="478"/>
      <c r="O48" s="478"/>
      <c r="P48" s="478"/>
      <c r="Q48" s="479"/>
      <c r="R48" s="409"/>
      <c r="S48" s="226"/>
      <c r="T48" s="226"/>
      <c r="U48" s="226"/>
      <c r="V48" s="226"/>
      <c r="W48" s="226"/>
      <c r="X48" s="463"/>
      <c r="Y48" s="532"/>
      <c r="Z48" s="387"/>
      <c r="AA48" s="387"/>
      <c r="AB48" s="50"/>
      <c r="AC48" s="50"/>
      <c r="AD48" s="50"/>
    </row>
    <row r="49" spans="3:30" ht="30" hidden="1" customHeight="1" outlineLevel="1">
      <c r="C49" s="525"/>
      <c r="D49" s="531"/>
      <c r="E49" s="481"/>
      <c r="F49" s="528"/>
      <c r="G49" s="1271"/>
      <c r="H49" s="527"/>
      <c r="I49" s="478"/>
      <c r="J49" s="478"/>
      <c r="K49" s="478"/>
      <c r="L49" s="478"/>
      <c r="M49" s="478"/>
      <c r="N49" s="478"/>
      <c r="O49" s="478"/>
      <c r="P49" s="478"/>
      <c r="Q49" s="479"/>
      <c r="R49" s="409"/>
      <c r="S49" s="226"/>
      <c r="T49" s="226"/>
      <c r="U49" s="226"/>
      <c r="V49" s="226"/>
      <c r="W49" s="226"/>
      <c r="X49" s="463"/>
      <c r="Y49" s="532"/>
      <c r="Z49" s="387"/>
      <c r="AA49" s="387"/>
      <c r="AB49" s="50"/>
      <c r="AC49" s="50"/>
      <c r="AD49" s="50"/>
    </row>
    <row r="50" spans="3:30" ht="30" hidden="1" customHeight="1" outlineLevel="1">
      <c r="C50" s="525"/>
      <c r="D50" s="531"/>
      <c r="E50" s="481"/>
      <c r="F50" s="528"/>
      <c r="G50" s="1271"/>
      <c r="H50" s="527"/>
      <c r="I50" s="478"/>
      <c r="J50" s="478"/>
      <c r="K50" s="478"/>
      <c r="L50" s="478"/>
      <c r="M50" s="478"/>
      <c r="N50" s="478"/>
      <c r="O50" s="478"/>
      <c r="P50" s="478"/>
      <c r="Q50" s="479"/>
      <c r="R50" s="409"/>
      <c r="S50" s="226"/>
      <c r="T50" s="226"/>
      <c r="U50" s="226"/>
      <c r="V50" s="226"/>
      <c r="W50" s="226"/>
      <c r="X50" s="463"/>
      <c r="Y50" s="532"/>
      <c r="Z50" s="387"/>
      <c r="AA50" s="387"/>
      <c r="AB50" s="50"/>
      <c r="AC50" s="50"/>
      <c r="AD50" s="50"/>
    </row>
    <row r="51" spans="3:30" ht="30" hidden="1" customHeight="1" outlineLevel="1">
      <c r="C51" s="525"/>
      <c r="D51" s="531"/>
      <c r="E51" s="481"/>
      <c r="F51" s="528"/>
      <c r="G51" s="1271"/>
      <c r="H51" s="527"/>
      <c r="I51" s="478"/>
      <c r="J51" s="478"/>
      <c r="K51" s="478"/>
      <c r="L51" s="478"/>
      <c r="M51" s="478"/>
      <c r="N51" s="478"/>
      <c r="O51" s="478"/>
      <c r="P51" s="478"/>
      <c r="Q51" s="479"/>
      <c r="R51" s="409"/>
      <c r="S51" s="226"/>
      <c r="T51" s="226"/>
      <c r="U51" s="226"/>
      <c r="V51" s="226"/>
      <c r="W51" s="226"/>
      <c r="X51" s="463"/>
      <c r="Y51" s="532"/>
      <c r="Z51" s="387"/>
      <c r="AA51" s="387"/>
      <c r="AB51" s="50"/>
      <c r="AC51" s="50"/>
      <c r="AD51" s="50"/>
    </row>
    <row r="52" spans="3:30" ht="30" hidden="1" customHeight="1" outlineLevel="1">
      <c r="C52" s="525"/>
      <c r="D52" s="531"/>
      <c r="E52" s="481"/>
      <c r="F52" s="528"/>
      <c r="G52" s="1271"/>
      <c r="H52" s="527"/>
      <c r="I52" s="478"/>
      <c r="J52" s="478"/>
      <c r="K52" s="478"/>
      <c r="L52" s="478"/>
      <c r="M52" s="478"/>
      <c r="N52" s="478"/>
      <c r="O52" s="478"/>
      <c r="P52" s="478"/>
      <c r="Q52" s="479"/>
      <c r="R52" s="409"/>
      <c r="S52" s="226"/>
      <c r="T52" s="226"/>
      <c r="U52" s="226"/>
      <c r="V52" s="226"/>
      <c r="W52" s="226"/>
      <c r="X52" s="463"/>
      <c r="Y52" s="532"/>
      <c r="Z52" s="387"/>
      <c r="AA52" s="387"/>
      <c r="AB52" s="50"/>
      <c r="AC52" s="50"/>
      <c r="AD52" s="50"/>
    </row>
    <row r="53" spans="3:30" ht="30" hidden="1" customHeight="1" outlineLevel="1">
      <c r="C53" s="525"/>
      <c r="D53" s="531"/>
      <c r="E53" s="481"/>
      <c r="F53" s="528"/>
      <c r="G53" s="1271"/>
      <c r="H53" s="527"/>
      <c r="I53" s="478"/>
      <c r="J53" s="478"/>
      <c r="K53" s="478"/>
      <c r="L53" s="478"/>
      <c r="M53" s="478"/>
      <c r="N53" s="478"/>
      <c r="O53" s="478"/>
      <c r="P53" s="478"/>
      <c r="Q53" s="479"/>
      <c r="R53" s="409"/>
      <c r="S53" s="226"/>
      <c r="T53" s="226"/>
      <c r="U53" s="226"/>
      <c r="V53" s="226"/>
      <c r="W53" s="226"/>
      <c r="X53" s="463"/>
      <c r="Y53" s="532"/>
      <c r="Z53" s="387"/>
      <c r="AA53" s="387"/>
      <c r="AB53" s="50"/>
      <c r="AC53" s="50"/>
      <c r="AD53" s="50"/>
    </row>
    <row r="54" spans="3:30" ht="30" hidden="1" customHeight="1" outlineLevel="1">
      <c r="C54" s="525"/>
      <c r="D54" s="531"/>
      <c r="E54" s="481"/>
      <c r="F54" s="528"/>
      <c r="G54" s="1271"/>
      <c r="H54" s="527"/>
      <c r="I54" s="478"/>
      <c r="J54" s="478"/>
      <c r="K54" s="478"/>
      <c r="L54" s="478"/>
      <c r="M54" s="478"/>
      <c r="N54" s="478"/>
      <c r="O54" s="478"/>
      <c r="P54" s="478"/>
      <c r="Q54" s="479"/>
      <c r="R54" s="409"/>
      <c r="S54" s="226"/>
      <c r="T54" s="226"/>
      <c r="U54" s="226"/>
      <c r="V54" s="226"/>
      <c r="W54" s="226"/>
      <c r="X54" s="463"/>
      <c r="Y54" s="532"/>
      <c r="Z54" s="387"/>
      <c r="AA54" s="387"/>
      <c r="AB54" s="50"/>
      <c r="AC54" s="50"/>
      <c r="AD54" s="50"/>
    </row>
    <row r="55" spans="3:30" ht="30" hidden="1" customHeight="1" outlineLevel="1">
      <c r="C55" s="525"/>
      <c r="D55" s="531"/>
      <c r="E55" s="481"/>
      <c r="F55" s="528"/>
      <c r="G55" s="1271"/>
      <c r="H55" s="527"/>
      <c r="I55" s="478"/>
      <c r="J55" s="478"/>
      <c r="K55" s="478"/>
      <c r="L55" s="478"/>
      <c r="M55" s="478"/>
      <c r="N55" s="478"/>
      <c r="O55" s="478"/>
      <c r="P55" s="478"/>
      <c r="Q55" s="479"/>
      <c r="R55" s="409"/>
      <c r="S55" s="226"/>
      <c r="T55" s="226"/>
      <c r="U55" s="226"/>
      <c r="V55" s="226"/>
      <c r="W55" s="226"/>
      <c r="X55" s="463"/>
      <c r="Y55" s="532"/>
      <c r="Z55" s="387"/>
      <c r="AA55" s="387"/>
      <c r="AB55" s="50"/>
      <c r="AC55" s="50"/>
      <c r="AD55" s="50"/>
    </row>
    <row r="56" spans="3:30" ht="30" hidden="1" customHeight="1" outlineLevel="1">
      <c r="C56" s="525"/>
      <c r="D56" s="531"/>
      <c r="E56" s="481"/>
      <c r="F56" s="528"/>
      <c r="G56" s="1271"/>
      <c r="H56" s="527"/>
      <c r="I56" s="478"/>
      <c r="J56" s="478"/>
      <c r="K56" s="478"/>
      <c r="L56" s="478"/>
      <c r="M56" s="478"/>
      <c r="N56" s="478"/>
      <c r="O56" s="478"/>
      <c r="P56" s="478"/>
      <c r="Q56" s="479"/>
      <c r="R56" s="409"/>
      <c r="S56" s="226"/>
      <c r="T56" s="226"/>
      <c r="U56" s="226"/>
      <c r="V56" s="226"/>
      <c r="W56" s="226"/>
      <c r="X56" s="463"/>
      <c r="Y56" s="532"/>
      <c r="Z56" s="387"/>
      <c r="AA56" s="387"/>
      <c r="AB56" s="50"/>
      <c r="AC56" s="50"/>
      <c r="AD56" s="50"/>
    </row>
    <row r="57" spans="3:30" ht="30" hidden="1" customHeight="1" outlineLevel="1">
      <c r="C57" s="525"/>
      <c r="D57" s="531"/>
      <c r="E57" s="481"/>
      <c r="F57" s="528"/>
      <c r="G57" s="1271"/>
      <c r="H57" s="527"/>
      <c r="I57" s="478"/>
      <c r="J57" s="478"/>
      <c r="K57" s="478"/>
      <c r="L57" s="478"/>
      <c r="M57" s="478"/>
      <c r="N57" s="478"/>
      <c r="O57" s="478"/>
      <c r="P57" s="478"/>
      <c r="Q57" s="479"/>
      <c r="R57" s="409"/>
      <c r="S57" s="226"/>
      <c r="T57" s="226"/>
      <c r="U57" s="226"/>
      <c r="V57" s="226"/>
      <c r="W57" s="226"/>
      <c r="X57" s="463"/>
      <c r="Y57" s="532"/>
      <c r="Z57" s="387"/>
      <c r="AA57" s="387"/>
      <c r="AB57" s="50"/>
      <c r="AC57" s="50"/>
      <c r="AD57" s="50"/>
    </row>
    <row r="58" spans="3:30" ht="30" hidden="1" customHeight="1" outlineLevel="1">
      <c r="C58" s="525"/>
      <c r="D58" s="526"/>
      <c r="E58" s="481"/>
      <c r="F58" s="528"/>
      <c r="G58" s="1271"/>
      <c r="H58" s="527"/>
      <c r="I58" s="478"/>
      <c r="J58" s="478"/>
      <c r="K58" s="478"/>
      <c r="L58" s="478"/>
      <c r="M58" s="478"/>
      <c r="N58" s="478"/>
      <c r="O58" s="478"/>
      <c r="P58" s="478"/>
      <c r="Q58" s="479"/>
      <c r="R58" s="409"/>
      <c r="S58" s="226"/>
      <c r="T58" s="226"/>
      <c r="U58" s="226"/>
      <c r="V58" s="226"/>
      <c r="W58" s="226"/>
      <c r="X58" s="387"/>
      <c r="Y58" s="387"/>
      <c r="Z58" s="387"/>
      <c r="AA58" s="387"/>
      <c r="AB58" s="50"/>
      <c r="AC58" s="50"/>
      <c r="AD58" s="50"/>
    </row>
    <row r="59" spans="3:30" ht="30" hidden="1" customHeight="1" outlineLevel="1">
      <c r="C59" s="525"/>
      <c r="D59" s="526"/>
      <c r="E59" s="481"/>
      <c r="F59" s="406"/>
      <c r="G59" s="1272"/>
      <c r="H59" s="527"/>
      <c r="I59" s="478"/>
      <c r="J59" s="478"/>
      <c r="K59" s="478"/>
      <c r="L59" s="478"/>
      <c r="M59" s="478"/>
      <c r="N59" s="478"/>
      <c r="O59" s="478"/>
      <c r="P59" s="478"/>
      <c r="Q59" s="479"/>
      <c r="R59" s="409"/>
      <c r="S59" s="226"/>
      <c r="T59" s="226"/>
      <c r="U59" s="226"/>
      <c r="V59" s="226"/>
      <c r="W59" s="226"/>
      <c r="X59" s="387"/>
      <c r="Y59" s="387"/>
      <c r="Z59" s="387"/>
      <c r="AA59" s="387"/>
      <c r="AB59" s="50"/>
      <c r="AC59" s="50"/>
      <c r="AD59" s="50"/>
    </row>
    <row r="60" spans="3:30" ht="30" customHeight="1">
      <c r="C60" s="523"/>
      <c r="D60" s="1748" t="s">
        <v>381</v>
      </c>
      <c r="E60" s="1792"/>
      <c r="F60" s="1793"/>
      <c r="G60" s="1794"/>
      <c r="H60" s="478"/>
      <c r="I60" s="478"/>
      <c r="J60" s="478"/>
      <c r="K60" s="478"/>
      <c r="L60" s="478"/>
      <c r="M60" s="478"/>
      <c r="N60" s="478"/>
      <c r="O60" s="478"/>
      <c r="P60" s="478"/>
      <c r="Q60" s="479"/>
      <c r="R60" s="409"/>
      <c r="S60" s="226"/>
      <c r="T60" s="226"/>
      <c r="U60" s="226"/>
      <c r="V60" s="226"/>
      <c r="W60" s="226"/>
      <c r="X60" s="387"/>
      <c r="Y60" s="387"/>
      <c r="Z60" s="387"/>
      <c r="AA60" s="387"/>
      <c r="AB60" s="50"/>
      <c r="AC60" s="50"/>
      <c r="AD60" s="50"/>
    </row>
    <row r="61" spans="3:30" ht="30" customHeight="1">
      <c r="C61" s="525"/>
      <c r="D61" s="526"/>
      <c r="E61" s="481"/>
      <c r="F61" s="411"/>
      <c r="G61" s="1265"/>
      <c r="H61" s="527"/>
      <c r="I61" s="478"/>
      <c r="J61" s="478"/>
      <c r="K61" s="478"/>
      <c r="L61" s="478"/>
      <c r="M61" s="478"/>
      <c r="N61" s="478"/>
      <c r="O61" s="478"/>
      <c r="P61" s="478"/>
      <c r="Q61" s="479"/>
      <c r="R61" s="409"/>
      <c r="S61" s="226"/>
      <c r="T61" s="226"/>
      <c r="U61" s="226"/>
      <c r="V61" s="226"/>
      <c r="W61" s="226"/>
      <c r="X61" s="387"/>
      <c r="Y61" s="387"/>
      <c r="Z61" s="387"/>
      <c r="AA61" s="387"/>
      <c r="AB61" s="50"/>
      <c r="AC61" s="50"/>
      <c r="AD61" s="50"/>
    </row>
    <row r="62" spans="3:30" ht="30" customHeight="1">
      <c r="C62" s="525"/>
      <c r="D62" s="526"/>
      <c r="E62" s="481"/>
      <c r="F62" s="411"/>
      <c r="G62" s="1270"/>
      <c r="H62" s="1799"/>
      <c r="I62" s="1801" t="s">
        <v>382</v>
      </c>
      <c r="J62" s="1802"/>
      <c r="K62" s="1802"/>
      <c r="L62" s="1802"/>
      <c r="M62" s="1802"/>
      <c r="N62" s="1802"/>
      <c r="O62" s="1802"/>
      <c r="P62" s="1802"/>
      <c r="Q62" s="1803"/>
      <c r="R62" s="409"/>
      <c r="S62" s="226"/>
      <c r="T62" s="226"/>
      <c r="U62" s="226"/>
      <c r="V62" s="226"/>
      <c r="W62" s="226"/>
      <c r="X62" s="387"/>
      <c r="Y62" s="387"/>
      <c r="Z62" s="387"/>
      <c r="AA62" s="387"/>
      <c r="AB62" s="50"/>
      <c r="AC62" s="50"/>
      <c r="AD62" s="50"/>
    </row>
    <row r="63" spans="3:30" ht="30" customHeight="1">
      <c r="C63" s="525"/>
      <c r="D63" s="531"/>
      <c r="E63" s="481"/>
      <c r="F63" s="528"/>
      <c r="G63" s="1271"/>
      <c r="H63" s="1800"/>
      <c r="I63" s="1804"/>
      <c r="J63" s="1804"/>
      <c r="K63" s="1804"/>
      <c r="L63" s="1804"/>
      <c r="M63" s="1804"/>
      <c r="N63" s="1804"/>
      <c r="O63" s="1804"/>
      <c r="P63" s="1804"/>
      <c r="Q63" s="1805"/>
      <c r="R63" s="409"/>
      <c r="S63" s="226"/>
      <c r="T63" s="226"/>
      <c r="U63" s="226"/>
      <c r="V63" s="226"/>
      <c r="W63" s="226"/>
      <c r="X63" s="463"/>
      <c r="Y63" s="532"/>
      <c r="Z63" s="387"/>
      <c r="AA63" s="387"/>
      <c r="AB63" s="50"/>
      <c r="AC63" s="50"/>
      <c r="AD63" s="50"/>
    </row>
    <row r="64" spans="3:30" ht="30" customHeight="1" collapsed="1">
      <c r="C64" s="525"/>
      <c r="D64" s="531"/>
      <c r="E64" s="481"/>
      <c r="F64" s="528"/>
      <c r="G64" s="1271"/>
      <c r="H64" s="1800"/>
      <c r="I64" s="1804"/>
      <c r="J64" s="1804"/>
      <c r="K64" s="1804"/>
      <c r="L64" s="1804"/>
      <c r="M64" s="1804"/>
      <c r="N64" s="1804"/>
      <c r="O64" s="1804"/>
      <c r="P64" s="1804"/>
      <c r="Q64" s="1805"/>
      <c r="R64" s="409"/>
      <c r="S64" s="226"/>
      <c r="T64" s="226"/>
      <c r="U64" s="226"/>
      <c r="V64" s="226"/>
      <c r="W64" s="226"/>
      <c r="X64" s="463"/>
      <c r="Y64" s="532"/>
      <c r="Z64" s="387"/>
      <c r="AA64" s="387"/>
      <c r="AB64" s="50"/>
      <c r="AC64" s="50"/>
      <c r="AD64" s="50"/>
    </row>
    <row r="65" spans="3:30" ht="30" hidden="1" customHeight="1" outlineLevel="1">
      <c r="C65" s="525"/>
      <c r="D65" s="531"/>
      <c r="E65" s="481"/>
      <c r="F65" s="528"/>
      <c r="G65" s="1271"/>
      <c r="H65" s="1800"/>
      <c r="I65" s="478"/>
      <c r="J65" s="478"/>
      <c r="K65" s="478"/>
      <c r="L65" s="478"/>
      <c r="M65" s="478"/>
      <c r="N65" s="478"/>
      <c r="O65" s="478"/>
      <c r="P65" s="478"/>
      <c r="Q65" s="479"/>
      <c r="R65" s="409"/>
      <c r="S65" s="226"/>
      <c r="T65" s="226"/>
      <c r="U65" s="226"/>
      <c r="V65" s="226"/>
      <c r="W65" s="226"/>
      <c r="X65" s="463"/>
      <c r="Y65" s="532"/>
      <c r="Z65" s="387"/>
      <c r="AA65" s="387"/>
      <c r="AB65" s="50"/>
      <c r="AC65" s="50"/>
      <c r="AD65" s="50"/>
    </row>
    <row r="66" spans="3:30" ht="30" hidden="1" customHeight="1" outlineLevel="1">
      <c r="C66" s="525"/>
      <c r="D66" s="531"/>
      <c r="E66" s="481"/>
      <c r="F66" s="528"/>
      <c r="G66" s="1271"/>
      <c r="H66" s="1800"/>
      <c r="I66" s="478"/>
      <c r="J66" s="478"/>
      <c r="K66" s="478"/>
      <c r="L66" s="478"/>
      <c r="M66" s="478"/>
      <c r="N66" s="478"/>
      <c r="O66" s="478"/>
      <c r="P66" s="478"/>
      <c r="Q66" s="479"/>
      <c r="R66" s="409"/>
      <c r="S66" s="226"/>
      <c r="T66" s="226"/>
      <c r="U66" s="226"/>
      <c r="V66" s="226"/>
      <c r="W66" s="226"/>
      <c r="X66" s="463"/>
      <c r="Y66" s="532"/>
      <c r="Z66" s="387"/>
      <c r="AA66" s="387"/>
      <c r="AB66" s="50"/>
      <c r="AC66" s="50"/>
      <c r="AD66" s="50"/>
    </row>
    <row r="67" spans="3:30" ht="30" hidden="1" customHeight="1" outlineLevel="1">
      <c r="C67" s="525"/>
      <c r="D67" s="531"/>
      <c r="E67" s="481"/>
      <c r="F67" s="528"/>
      <c r="G67" s="1271"/>
      <c r="H67" s="1800"/>
      <c r="I67" s="478"/>
      <c r="J67" s="478"/>
      <c r="K67" s="478"/>
      <c r="L67" s="478"/>
      <c r="M67" s="478"/>
      <c r="N67" s="478"/>
      <c r="O67" s="478"/>
      <c r="P67" s="478"/>
      <c r="Q67" s="479"/>
      <c r="R67" s="409"/>
      <c r="S67" s="226"/>
      <c r="T67" s="226"/>
      <c r="U67" s="226"/>
      <c r="V67" s="226"/>
      <c r="W67" s="226"/>
      <c r="X67" s="463"/>
      <c r="Y67" s="532"/>
      <c r="Z67" s="387"/>
      <c r="AA67" s="387"/>
      <c r="AB67" s="50"/>
      <c r="AC67" s="50"/>
      <c r="AD67" s="50"/>
    </row>
    <row r="68" spans="3:30" ht="30" hidden="1" customHeight="1" outlineLevel="1">
      <c r="C68" s="525"/>
      <c r="D68" s="531"/>
      <c r="E68" s="481"/>
      <c r="F68" s="528"/>
      <c r="G68" s="1271"/>
      <c r="H68" s="1800"/>
      <c r="I68" s="478"/>
      <c r="J68" s="478"/>
      <c r="K68" s="478"/>
      <c r="L68" s="478"/>
      <c r="M68" s="478"/>
      <c r="N68" s="478"/>
      <c r="O68" s="478"/>
      <c r="P68" s="478"/>
      <c r="Q68" s="479"/>
      <c r="R68" s="409"/>
      <c r="S68" s="226"/>
      <c r="T68" s="226"/>
      <c r="U68" s="226"/>
      <c r="V68" s="226"/>
      <c r="W68" s="226"/>
      <c r="X68" s="463"/>
      <c r="Y68" s="532"/>
      <c r="Z68" s="387"/>
      <c r="AA68" s="387"/>
      <c r="AB68" s="50"/>
      <c r="AC68" s="50"/>
      <c r="AD68" s="50"/>
    </row>
    <row r="69" spans="3:30" ht="30" hidden="1" customHeight="1" outlineLevel="1">
      <c r="C69" s="525"/>
      <c r="D69" s="531"/>
      <c r="E69" s="481"/>
      <c r="F69" s="528"/>
      <c r="G69" s="1271"/>
      <c r="H69" s="1800"/>
      <c r="I69" s="478"/>
      <c r="J69" s="478"/>
      <c r="K69" s="478"/>
      <c r="L69" s="478"/>
      <c r="M69" s="478"/>
      <c r="N69" s="478"/>
      <c r="O69" s="478"/>
      <c r="P69" s="478"/>
      <c r="Q69" s="479"/>
      <c r="R69" s="409"/>
      <c r="S69" s="226"/>
      <c r="T69" s="226"/>
      <c r="U69" s="226"/>
      <c r="V69" s="226"/>
      <c r="W69" s="226"/>
      <c r="X69" s="463"/>
      <c r="Y69" s="532"/>
      <c r="Z69" s="387"/>
      <c r="AA69" s="387"/>
      <c r="AB69" s="50"/>
      <c r="AC69" s="50"/>
      <c r="AD69" s="50"/>
    </row>
    <row r="70" spans="3:30" ht="30" hidden="1" customHeight="1" outlineLevel="1">
      <c r="C70" s="525"/>
      <c r="D70" s="531"/>
      <c r="E70" s="481"/>
      <c r="F70" s="528"/>
      <c r="G70" s="1271"/>
      <c r="H70" s="1800"/>
      <c r="I70" s="478"/>
      <c r="J70" s="478"/>
      <c r="K70" s="478"/>
      <c r="L70" s="478"/>
      <c r="M70" s="478"/>
      <c r="N70" s="478"/>
      <c r="O70" s="478"/>
      <c r="P70" s="478"/>
      <c r="Q70" s="479"/>
      <c r="R70" s="409"/>
      <c r="S70" s="226"/>
      <c r="T70" s="226"/>
      <c r="U70" s="226"/>
      <c r="V70" s="226"/>
      <c r="W70" s="226"/>
      <c r="X70" s="463"/>
      <c r="Y70" s="532"/>
      <c r="Z70" s="387"/>
      <c r="AA70" s="387"/>
      <c r="AB70" s="50"/>
      <c r="AC70" s="50"/>
      <c r="AD70" s="50"/>
    </row>
    <row r="71" spans="3:30" ht="30" hidden="1" customHeight="1" outlineLevel="1">
      <c r="C71" s="525"/>
      <c r="D71" s="531"/>
      <c r="E71" s="481"/>
      <c r="F71" s="528"/>
      <c r="G71" s="1271"/>
      <c r="H71" s="1800"/>
      <c r="I71" s="478"/>
      <c r="J71" s="478"/>
      <c r="K71" s="478"/>
      <c r="L71" s="478"/>
      <c r="M71" s="478"/>
      <c r="N71" s="478"/>
      <c r="O71" s="478"/>
      <c r="P71" s="478"/>
      <c r="Q71" s="479"/>
      <c r="R71" s="409"/>
      <c r="S71" s="226"/>
      <c r="T71" s="226"/>
      <c r="U71" s="226"/>
      <c r="V71" s="226"/>
      <c r="W71" s="226"/>
      <c r="X71" s="463"/>
      <c r="Y71" s="532"/>
      <c r="Z71" s="387"/>
      <c r="AA71" s="387"/>
      <c r="AB71" s="50"/>
      <c r="AC71" s="50"/>
      <c r="AD71" s="50"/>
    </row>
    <row r="72" spans="3:30" ht="30" hidden="1" customHeight="1" outlineLevel="1">
      <c r="C72" s="525"/>
      <c r="D72" s="531"/>
      <c r="E72" s="481"/>
      <c r="F72" s="528"/>
      <c r="G72" s="1271"/>
      <c r="H72" s="1800"/>
      <c r="I72" s="478"/>
      <c r="J72" s="478"/>
      <c r="K72" s="478"/>
      <c r="L72" s="478"/>
      <c r="M72" s="478"/>
      <c r="N72" s="478"/>
      <c r="O72" s="478"/>
      <c r="P72" s="478"/>
      <c r="Q72" s="479"/>
      <c r="R72" s="409"/>
      <c r="S72" s="226"/>
      <c r="T72" s="226"/>
      <c r="U72" s="226"/>
      <c r="V72" s="226"/>
      <c r="W72" s="226"/>
      <c r="X72" s="463"/>
      <c r="Y72" s="532"/>
      <c r="Z72" s="387"/>
      <c r="AA72" s="387"/>
      <c r="AB72" s="50"/>
      <c r="AC72" s="50"/>
      <c r="AD72" s="50"/>
    </row>
    <row r="73" spans="3:30" ht="30" hidden="1" customHeight="1" outlineLevel="1">
      <c r="C73" s="525"/>
      <c r="D73" s="526"/>
      <c r="E73" s="481"/>
      <c r="F73" s="411"/>
      <c r="G73" s="1270"/>
      <c r="H73" s="1800"/>
      <c r="I73" s="534"/>
      <c r="J73" s="535"/>
      <c r="K73" s="535"/>
      <c r="L73" s="535"/>
      <c r="M73" s="535"/>
      <c r="N73" s="535"/>
      <c r="O73" s="535"/>
      <c r="P73" s="535"/>
      <c r="Q73" s="536"/>
      <c r="R73" s="409"/>
      <c r="S73" s="226"/>
      <c r="T73" s="226"/>
      <c r="U73" s="226"/>
      <c r="V73" s="226"/>
      <c r="W73" s="226"/>
      <c r="X73" s="387"/>
      <c r="Y73" s="387"/>
      <c r="Z73" s="387"/>
      <c r="AA73" s="387"/>
      <c r="AB73" s="50"/>
      <c r="AC73" s="50"/>
      <c r="AD73" s="50"/>
    </row>
    <row r="74" spans="3:30" ht="30" hidden="1" customHeight="1" outlineLevel="1">
      <c r="C74" s="525"/>
      <c r="D74" s="526"/>
      <c r="E74" s="481"/>
      <c r="F74" s="528"/>
      <c r="G74" s="1271"/>
      <c r="H74" s="1800"/>
      <c r="I74" s="535"/>
      <c r="J74" s="535"/>
      <c r="K74" s="535"/>
      <c r="L74" s="535"/>
      <c r="M74" s="535"/>
      <c r="N74" s="535"/>
      <c r="O74" s="535"/>
      <c r="P74" s="535"/>
      <c r="Q74" s="536"/>
      <c r="R74" s="409"/>
      <c r="S74" s="226"/>
      <c r="T74" s="226"/>
      <c r="U74" s="226"/>
      <c r="V74" s="226"/>
      <c r="W74" s="226"/>
      <c r="X74" s="387"/>
      <c r="Y74" s="387"/>
      <c r="Z74" s="387"/>
      <c r="AA74" s="387"/>
      <c r="AB74" s="50"/>
      <c r="AC74" s="50"/>
      <c r="AD74" s="50"/>
    </row>
    <row r="75" spans="3:30" ht="30" hidden="1" customHeight="1" outlineLevel="1">
      <c r="C75" s="525"/>
      <c r="D75" s="526"/>
      <c r="E75" s="481"/>
      <c r="F75" s="406"/>
      <c r="G75" s="1272"/>
      <c r="H75" s="1800"/>
      <c r="I75" s="535"/>
      <c r="J75" s="535"/>
      <c r="K75" s="535"/>
      <c r="L75" s="535"/>
      <c r="M75" s="535"/>
      <c r="N75" s="535"/>
      <c r="O75" s="535"/>
      <c r="P75" s="535"/>
      <c r="Q75" s="536"/>
      <c r="R75" s="409"/>
      <c r="S75" s="226"/>
      <c r="T75" s="226"/>
      <c r="U75" s="226"/>
      <c r="V75" s="226"/>
      <c r="W75" s="226"/>
      <c r="X75" s="387"/>
      <c r="Y75" s="387"/>
      <c r="Z75" s="387"/>
      <c r="AA75" s="387"/>
      <c r="AB75" s="50"/>
      <c r="AC75" s="50"/>
      <c r="AD75" s="50"/>
    </row>
    <row r="76" spans="3:30" ht="30" customHeight="1" thickBot="1">
      <c r="C76" s="537"/>
      <c r="D76" s="1796" t="s">
        <v>223</v>
      </c>
      <c r="E76" s="1796"/>
      <c r="F76" s="538"/>
      <c r="G76" s="1266"/>
      <c r="H76" s="539"/>
      <c r="I76" s="540"/>
      <c r="J76" s="540"/>
      <c r="K76" s="540"/>
      <c r="L76" s="540"/>
      <c r="M76" s="540"/>
      <c r="N76" s="540"/>
      <c r="O76" s="540"/>
      <c r="P76" s="540"/>
      <c r="Q76" s="541"/>
      <c r="R76" s="409"/>
      <c r="S76" s="226"/>
      <c r="T76" s="226"/>
      <c r="U76" s="226"/>
      <c r="V76" s="226"/>
      <c r="W76" s="226"/>
      <c r="X76" s="387"/>
      <c r="Y76" s="387"/>
      <c r="Z76" s="387"/>
      <c r="AA76" s="387"/>
      <c r="AB76" s="50"/>
      <c r="AC76" s="50"/>
      <c r="AD76" s="50"/>
    </row>
    <row r="77" spans="3:30" ht="18" customHeight="1">
      <c r="C77" s="1797" t="s">
        <v>383</v>
      </c>
      <c r="D77" s="1797"/>
      <c r="E77" s="1797"/>
      <c r="F77" s="1797"/>
      <c r="G77" s="1797"/>
      <c r="H77" s="1797"/>
      <c r="I77" s="1797"/>
      <c r="J77" s="1797"/>
      <c r="K77" s="1797"/>
      <c r="L77" s="1797"/>
      <c r="M77" s="1797"/>
      <c r="N77" s="1797"/>
      <c r="O77" s="1797"/>
      <c r="P77" s="1797"/>
      <c r="Q77" s="1797"/>
      <c r="X77" s="50"/>
      <c r="Y77" s="50"/>
      <c r="Z77" s="50"/>
      <c r="AA77" s="50"/>
      <c r="AB77" s="50"/>
      <c r="AC77" s="50"/>
      <c r="AD77" s="50"/>
    </row>
    <row r="78" spans="3:30" ht="18" customHeight="1">
      <c r="C78" s="1798"/>
      <c r="D78" s="1798"/>
      <c r="E78" s="1798"/>
      <c r="F78" s="1798"/>
      <c r="G78" s="1798"/>
      <c r="H78" s="1798"/>
      <c r="I78" s="1798"/>
      <c r="J78" s="1798"/>
      <c r="K78" s="1798"/>
      <c r="L78" s="1798"/>
      <c r="M78" s="1798"/>
      <c r="N78" s="1798"/>
      <c r="O78" s="1798"/>
      <c r="P78" s="1798"/>
      <c r="Q78" s="1798"/>
      <c r="X78" s="50"/>
      <c r="Y78" s="50"/>
      <c r="Z78" s="50"/>
      <c r="AA78" s="50"/>
      <c r="AB78" s="50"/>
      <c r="AC78" s="50"/>
      <c r="AD78" s="50"/>
    </row>
    <row r="79" spans="3:30" ht="18" customHeight="1">
      <c r="C79" s="1798"/>
      <c r="D79" s="1798"/>
      <c r="E79" s="1798"/>
      <c r="F79" s="1798"/>
      <c r="G79" s="1798"/>
      <c r="H79" s="1798"/>
      <c r="I79" s="1798"/>
      <c r="J79" s="1798"/>
      <c r="K79" s="1798"/>
      <c r="L79" s="1798"/>
      <c r="M79" s="1798"/>
      <c r="N79" s="1798"/>
      <c r="O79" s="1798"/>
      <c r="P79" s="1798"/>
      <c r="Q79" s="1798"/>
      <c r="X79" s="50"/>
      <c r="Y79" s="50"/>
      <c r="Z79" s="50"/>
      <c r="AA79" s="50"/>
      <c r="AB79" s="50"/>
      <c r="AC79" s="50"/>
      <c r="AD79" s="50"/>
    </row>
    <row r="80" spans="3:30" ht="18" customHeight="1">
      <c r="N80" s="467"/>
      <c r="O80" s="467"/>
      <c r="P80" s="467"/>
      <c r="Q80" s="467"/>
      <c r="X80" s="50"/>
      <c r="Y80" s="50"/>
      <c r="Z80" s="50"/>
      <c r="AA80" s="50"/>
      <c r="AB80" s="50"/>
      <c r="AC80" s="50"/>
      <c r="AD80" s="50"/>
    </row>
    <row r="81" spans="2:30" ht="18" customHeight="1">
      <c r="N81" s="467"/>
      <c r="O81" s="467"/>
      <c r="P81" s="467"/>
      <c r="Q81" s="467"/>
      <c r="X81" s="50"/>
      <c r="Y81" s="50"/>
      <c r="Z81" s="50"/>
      <c r="AA81" s="50"/>
      <c r="AB81" s="50"/>
      <c r="AC81" s="50"/>
      <c r="AD81" s="50"/>
    </row>
    <row r="82" spans="2:30" ht="18" customHeight="1">
      <c r="B82" s="467"/>
      <c r="R82" s="468"/>
      <c r="S82" s="467"/>
      <c r="X82" s="50"/>
      <c r="Y82" s="50"/>
      <c r="Z82" s="50"/>
      <c r="AA82" s="50"/>
      <c r="AB82" s="50"/>
      <c r="AC82" s="50"/>
      <c r="AD82" s="50"/>
    </row>
    <row r="83" spans="2:30" s="2" customFormat="1" ht="14.25" customHeight="1">
      <c r="X83" s="21"/>
      <c r="Y83" s="21"/>
      <c r="Z83" s="21"/>
      <c r="AA83" s="21"/>
      <c r="AB83" s="21"/>
      <c r="AC83" s="21"/>
      <c r="AD83" s="21"/>
    </row>
    <row r="84" spans="2:30" s="2" customFormat="1" ht="14.25" customHeight="1">
      <c r="X84" s="21"/>
      <c r="Y84" s="21"/>
      <c r="Z84" s="21"/>
      <c r="AA84" s="21"/>
      <c r="AB84" s="21"/>
      <c r="AC84" s="21"/>
      <c r="AD84" s="21"/>
    </row>
    <row r="85" spans="2:30" s="2" customFormat="1" ht="14.25" customHeight="1"/>
    <row r="86" spans="2:30" s="2" customFormat="1" ht="22.5" customHeight="1"/>
    <row r="87" spans="2:30" s="2" customFormat="1" ht="22.5" customHeight="1"/>
    <row r="88" spans="2:30" s="2" customFormat="1" ht="22.5" customHeight="1"/>
    <row r="89" spans="2:30" s="2" customFormat="1" ht="22.5" customHeight="1"/>
    <row r="90" spans="2:30" s="2" customFormat="1" ht="14.25" customHeight="1"/>
    <row r="91" spans="2:30" s="2" customFormat="1" ht="14.25" customHeight="1"/>
  </sheetData>
  <sheetProtection sheet="1" objects="1" scenarios="1" selectLockedCells="1"/>
  <mergeCells count="20">
    <mergeCell ref="D76:E76"/>
    <mergeCell ref="C77:Q79"/>
    <mergeCell ref="D44:E44"/>
    <mergeCell ref="F44:G44"/>
    <mergeCell ref="D60:E60"/>
    <mergeCell ref="F60:G60"/>
    <mergeCell ref="H62:H75"/>
    <mergeCell ref="I62:Q64"/>
    <mergeCell ref="Y9:Y10"/>
    <mergeCell ref="C11:E11"/>
    <mergeCell ref="D12:E12"/>
    <mergeCell ref="F12:G12"/>
    <mergeCell ref="D28:E28"/>
    <mergeCell ref="F28:G28"/>
    <mergeCell ref="X9:X10"/>
    <mergeCell ref="B6:R8"/>
    <mergeCell ref="C9:E10"/>
    <mergeCell ref="F9:F10"/>
    <mergeCell ref="G9:G10"/>
    <mergeCell ref="H9:Q10"/>
  </mergeCells>
  <phoneticPr fontId="5"/>
  <dataValidations count="3">
    <dataValidation type="whole" operator="greaterThan" allowBlank="1" showInputMessage="1" showErrorMessage="1" error="0より大きい数値を整数で入力してください。" sqref="F11 F13:F27 F29:F43 F45:F59 F61:F76" xr:uid="{00000000-0002-0000-0B00-000000000000}">
      <formula1>0</formula1>
    </dataValidation>
    <dataValidation type="textLength" imeMode="hiragana" operator="greaterThanOrEqual" allowBlank="1" showInputMessage="1" showErrorMessage="1" sqref="E29:E43 E13:E27 E45:E59 E61:E75" xr:uid="{00000000-0002-0000-0B00-000001000000}">
      <formula1>1</formula1>
    </dataValidation>
    <dataValidation type="custom" allowBlank="1" showInputMessage="1" showErrorMessage="1" error="0.001~100の範囲で小数点第３位までの数値を入力してください。" sqref="G11 G13:G27 G29:G43 G45:G59 G61:G76" xr:uid="{00000000-0002-0000-0B00-000002000000}">
      <formula1>AND(AND(G11*1000=INT(G11*1000)),(G11&gt;0),(G11&lt;=100))</formula1>
    </dataValidation>
  </dataValidations>
  <pageMargins left="0.59055118110236227" right="0.59055118110236227" top="0.59055118110236227" bottom="0.59055118110236227" header="0" footer="0"/>
  <pageSetup paperSize="9" scale="64" orientation="portrait" cellComments="asDisplayed" r:id="rId1"/>
  <headerFooter alignWithMargins="0"/>
  <drawing r:id="rId2"/>
  <legacyDrawing r:id="rId3"/>
  <controls>
    <mc:AlternateContent xmlns:mc="http://schemas.openxmlformats.org/markup-compatibility/2006">
      <mc:Choice Requires="x14">
        <control shapeId="9231" r:id="rId4" name="Label10">
          <controlPr defaultSize="0" print="0" autoLine="0" r:id="rId5">
            <anchor moveWithCells="1">
              <from>
                <xdr:col>1</xdr:col>
                <xdr:colOff>123825</xdr:colOff>
                <xdr:row>1</xdr:row>
                <xdr:rowOff>209550</xdr:rowOff>
              </from>
              <to>
                <xdr:col>4</xdr:col>
                <xdr:colOff>76200</xdr:colOff>
                <xdr:row>2</xdr:row>
                <xdr:rowOff>123825</xdr:rowOff>
              </to>
            </anchor>
          </controlPr>
        </control>
      </mc:Choice>
      <mc:Fallback>
        <control shapeId="9231" r:id="rId4" name="Label10"/>
      </mc:Fallback>
    </mc:AlternateContent>
    <mc:AlternateContent xmlns:mc="http://schemas.openxmlformats.org/markup-compatibility/2006">
      <mc:Choice Requires="x14">
        <control shapeId="9230" r:id="rId6" name="Label9">
          <controlPr defaultSize="0" print="0" autoLine="0" r:id="rId7">
            <anchor moveWithCells="1">
              <from>
                <xdr:col>5</xdr:col>
                <xdr:colOff>57150</xdr:colOff>
                <xdr:row>1</xdr:row>
                <xdr:rowOff>133350</xdr:rowOff>
              </from>
              <to>
                <xdr:col>5</xdr:col>
                <xdr:colOff>457200</xdr:colOff>
                <xdr:row>2</xdr:row>
                <xdr:rowOff>66675</xdr:rowOff>
              </to>
            </anchor>
          </controlPr>
        </control>
      </mc:Choice>
      <mc:Fallback>
        <control shapeId="9230" r:id="rId6" name="Label9"/>
      </mc:Fallback>
    </mc:AlternateContent>
    <mc:AlternateContent xmlns:mc="http://schemas.openxmlformats.org/markup-compatibility/2006">
      <mc:Choice Requires="x14">
        <control shapeId="9229" r:id="rId8" name="Label8">
          <controlPr defaultSize="0" print="0" autoLine="0" r:id="rId9">
            <anchor moveWithCells="1">
              <from>
                <xdr:col>4</xdr:col>
                <xdr:colOff>1257300</xdr:colOff>
                <xdr:row>1</xdr:row>
                <xdr:rowOff>66675</xdr:rowOff>
              </from>
              <to>
                <xdr:col>4</xdr:col>
                <xdr:colOff>1657350</xdr:colOff>
                <xdr:row>2</xdr:row>
                <xdr:rowOff>95250</xdr:rowOff>
              </to>
            </anchor>
          </controlPr>
        </control>
      </mc:Choice>
      <mc:Fallback>
        <control shapeId="9229" r:id="rId8" name="Label8"/>
      </mc:Fallback>
    </mc:AlternateContent>
    <mc:AlternateContent xmlns:mc="http://schemas.openxmlformats.org/markup-compatibility/2006">
      <mc:Choice Requires="x14">
        <control shapeId="9228" r:id="rId10" name="Label7">
          <controlPr defaultSize="0" print="0" autoLine="0" r:id="rId11">
            <anchor moveWithCells="1">
              <from>
                <xdr:col>4</xdr:col>
                <xdr:colOff>733425</xdr:colOff>
                <xdr:row>1</xdr:row>
                <xdr:rowOff>123825</xdr:rowOff>
              </from>
              <to>
                <xdr:col>4</xdr:col>
                <xdr:colOff>1133475</xdr:colOff>
                <xdr:row>2</xdr:row>
                <xdr:rowOff>57150</xdr:rowOff>
              </to>
            </anchor>
          </controlPr>
        </control>
      </mc:Choice>
      <mc:Fallback>
        <control shapeId="9228" r:id="rId10" name="Label7"/>
      </mc:Fallback>
    </mc:AlternateContent>
    <mc:AlternateContent xmlns:mc="http://schemas.openxmlformats.org/markup-compatibility/2006">
      <mc:Choice Requires="x14">
        <control shapeId="9227" r:id="rId12" name="Label6">
          <controlPr defaultSize="0" print="0" autoLine="0" r:id="rId13">
            <anchor moveWithCells="1">
              <from>
                <xdr:col>4</xdr:col>
                <xdr:colOff>209550</xdr:colOff>
                <xdr:row>1</xdr:row>
                <xdr:rowOff>123825</xdr:rowOff>
              </from>
              <to>
                <xdr:col>4</xdr:col>
                <xdr:colOff>609600</xdr:colOff>
                <xdr:row>2</xdr:row>
                <xdr:rowOff>57150</xdr:rowOff>
              </to>
            </anchor>
          </controlPr>
        </control>
      </mc:Choice>
      <mc:Fallback>
        <control shapeId="9227" r:id="rId12" name="Label6"/>
      </mc:Fallback>
    </mc:AlternateContent>
    <mc:AlternateContent xmlns:mc="http://schemas.openxmlformats.org/markup-compatibility/2006">
      <mc:Choice Requires="x14">
        <control shapeId="9226" r:id="rId14" name="txt_josouzai">
          <controlPr locked="0" defaultSize="0" print="0" autoLine="0" r:id="rId15">
            <anchor moveWithCells="1">
              <from>
                <xdr:col>5</xdr:col>
                <xdr:colOff>0</xdr:colOff>
                <xdr:row>2</xdr:row>
                <xdr:rowOff>114300</xdr:rowOff>
              </from>
              <to>
                <xdr:col>5</xdr:col>
                <xdr:colOff>495300</xdr:colOff>
                <xdr:row>3</xdr:row>
                <xdr:rowOff>104775</xdr:rowOff>
              </to>
            </anchor>
          </controlPr>
        </control>
      </mc:Choice>
      <mc:Fallback>
        <control shapeId="9226" r:id="rId14" name="txt_josouzai"/>
      </mc:Fallback>
    </mc:AlternateContent>
    <mc:AlternateContent xmlns:mc="http://schemas.openxmlformats.org/markup-compatibility/2006">
      <mc:Choice Requires="x14">
        <control shapeId="9225" r:id="rId16" name="Label5">
          <controlPr defaultSize="0" print="0" autoLine="0" autoPict="0" r:id="rId17">
            <anchor moveWithCells="1">
              <from>
                <xdr:col>5</xdr:col>
                <xdr:colOff>0</xdr:colOff>
                <xdr:row>1</xdr:row>
                <xdr:rowOff>9525</xdr:rowOff>
              </from>
              <to>
                <xdr:col>5</xdr:col>
                <xdr:colOff>495300</xdr:colOff>
                <xdr:row>2</xdr:row>
                <xdr:rowOff>123825</xdr:rowOff>
              </to>
            </anchor>
          </controlPr>
        </control>
      </mc:Choice>
      <mc:Fallback>
        <control shapeId="9225" r:id="rId16" name="Label5"/>
      </mc:Fallback>
    </mc:AlternateContent>
    <mc:AlternateContent xmlns:mc="http://schemas.openxmlformats.org/markup-compatibility/2006">
      <mc:Choice Requires="x14">
        <control shapeId="9224" r:id="rId18" name="txt_sachuukin">
          <controlPr locked="0" defaultSize="0" print="0" autoLine="0" r:id="rId19">
            <anchor moveWithCells="1">
              <from>
                <xdr:col>4</xdr:col>
                <xdr:colOff>1171575</xdr:colOff>
                <xdr:row>2</xdr:row>
                <xdr:rowOff>123825</xdr:rowOff>
              </from>
              <to>
                <xdr:col>5</xdr:col>
                <xdr:colOff>9525</xdr:colOff>
                <xdr:row>3</xdr:row>
                <xdr:rowOff>104775</xdr:rowOff>
              </to>
            </anchor>
          </controlPr>
        </control>
      </mc:Choice>
      <mc:Fallback>
        <control shapeId="9224" r:id="rId18" name="txt_sachuukin"/>
      </mc:Fallback>
    </mc:AlternateContent>
    <mc:AlternateContent xmlns:mc="http://schemas.openxmlformats.org/markup-compatibility/2006">
      <mc:Choice Requires="x14">
        <control shapeId="9223" r:id="rId20" name="Label4">
          <controlPr defaultSize="0" print="0" autoLine="0" r:id="rId21">
            <anchor moveWithCells="1">
              <from>
                <xdr:col>4</xdr:col>
                <xdr:colOff>1171575</xdr:colOff>
                <xdr:row>1</xdr:row>
                <xdr:rowOff>9525</xdr:rowOff>
              </from>
              <to>
                <xdr:col>5</xdr:col>
                <xdr:colOff>9525</xdr:colOff>
                <xdr:row>2</xdr:row>
                <xdr:rowOff>123825</xdr:rowOff>
              </to>
            </anchor>
          </controlPr>
        </control>
      </mc:Choice>
      <mc:Fallback>
        <control shapeId="9223" r:id="rId20" name="Label4"/>
      </mc:Fallback>
    </mc:AlternateContent>
    <mc:AlternateContent xmlns:mc="http://schemas.openxmlformats.org/markup-compatibility/2006">
      <mc:Choice Requires="x14">
        <control shapeId="9222" r:id="rId22" name="txt_sakkinzai">
          <controlPr locked="0" defaultSize="0" print="0" autoLine="0" r:id="rId23">
            <anchor moveWithCells="1">
              <from>
                <xdr:col>4</xdr:col>
                <xdr:colOff>647700</xdr:colOff>
                <xdr:row>2</xdr:row>
                <xdr:rowOff>123825</xdr:rowOff>
              </from>
              <to>
                <xdr:col>4</xdr:col>
                <xdr:colOff>1181100</xdr:colOff>
                <xdr:row>3</xdr:row>
                <xdr:rowOff>104775</xdr:rowOff>
              </to>
            </anchor>
          </controlPr>
        </control>
      </mc:Choice>
      <mc:Fallback>
        <control shapeId="9222" r:id="rId22" name="txt_sakkinzai"/>
      </mc:Fallback>
    </mc:AlternateContent>
    <mc:AlternateContent xmlns:mc="http://schemas.openxmlformats.org/markup-compatibility/2006">
      <mc:Choice Requires="x14">
        <control shapeId="9221" r:id="rId24" name="Label3">
          <controlPr defaultSize="0" print="0" autoLine="0" r:id="rId25">
            <anchor moveWithCells="1">
              <from>
                <xdr:col>4</xdr:col>
                <xdr:colOff>647700</xdr:colOff>
                <xdr:row>1</xdr:row>
                <xdr:rowOff>9525</xdr:rowOff>
              </from>
              <to>
                <xdr:col>4</xdr:col>
                <xdr:colOff>1181100</xdr:colOff>
                <xdr:row>2</xdr:row>
                <xdr:rowOff>123825</xdr:rowOff>
              </to>
            </anchor>
          </controlPr>
        </control>
      </mc:Choice>
      <mc:Fallback>
        <control shapeId="9221" r:id="rId24" name="Label3"/>
      </mc:Fallback>
    </mc:AlternateContent>
    <mc:AlternateContent xmlns:mc="http://schemas.openxmlformats.org/markup-compatibility/2006">
      <mc:Choice Requires="x14">
        <control shapeId="9220" r:id="rId26" name="btnKoushin1">
          <controlPr defaultSize="0" print="0" autoLine="0" r:id="rId27">
            <anchor moveWithCells="1">
              <from>
                <xdr:col>5</xdr:col>
                <xdr:colOff>504825</xdr:colOff>
                <xdr:row>1</xdr:row>
                <xdr:rowOff>9525</xdr:rowOff>
              </from>
              <to>
                <xdr:col>5</xdr:col>
                <xdr:colOff>1495425</xdr:colOff>
                <xdr:row>3</xdr:row>
                <xdr:rowOff>104775</xdr:rowOff>
              </to>
            </anchor>
          </controlPr>
        </control>
      </mc:Choice>
      <mc:Fallback>
        <control shapeId="9220" r:id="rId26" name="btnKoushin1"/>
      </mc:Fallback>
    </mc:AlternateContent>
    <mc:AlternateContent xmlns:mc="http://schemas.openxmlformats.org/markup-compatibility/2006">
      <mc:Choice Requires="x14">
        <control shapeId="9219" r:id="rId28" name="txt_sacchuuzai">
          <controlPr locked="0" defaultSize="0" print="0" autoLine="0" r:id="rId29">
            <anchor moveWithCells="1">
              <from>
                <xdr:col>4</xdr:col>
                <xdr:colOff>133350</xdr:colOff>
                <xdr:row>2</xdr:row>
                <xdr:rowOff>123825</xdr:rowOff>
              </from>
              <to>
                <xdr:col>4</xdr:col>
                <xdr:colOff>666750</xdr:colOff>
                <xdr:row>3</xdr:row>
                <xdr:rowOff>104775</xdr:rowOff>
              </to>
            </anchor>
          </controlPr>
        </control>
      </mc:Choice>
      <mc:Fallback>
        <control shapeId="9219" r:id="rId28" name="txt_sacchuuzai"/>
      </mc:Fallback>
    </mc:AlternateContent>
    <mc:AlternateContent xmlns:mc="http://schemas.openxmlformats.org/markup-compatibility/2006">
      <mc:Choice Requires="x14">
        <control shapeId="9218" r:id="rId30" name="Label2">
          <controlPr defaultSize="0" print="0" autoLine="0" r:id="rId25">
            <anchor moveWithCells="1">
              <from>
                <xdr:col>4</xdr:col>
                <xdr:colOff>133350</xdr:colOff>
                <xdr:row>1</xdr:row>
                <xdr:rowOff>9525</xdr:rowOff>
              </from>
              <to>
                <xdr:col>4</xdr:col>
                <xdr:colOff>666750</xdr:colOff>
                <xdr:row>2</xdr:row>
                <xdr:rowOff>123825</xdr:rowOff>
              </to>
            </anchor>
          </controlPr>
        </control>
      </mc:Choice>
      <mc:Fallback>
        <control shapeId="9218" r:id="rId30" name="Label2"/>
      </mc:Fallback>
    </mc:AlternateContent>
    <mc:AlternateContent xmlns:mc="http://schemas.openxmlformats.org/markup-compatibility/2006">
      <mc:Choice Requires="x14">
        <control shapeId="9217" r:id="rId31" name="Label1">
          <controlPr defaultSize="0" print="0" autoLine="0" r:id="rId32">
            <anchor moveWithCells="1">
              <from>
                <xdr:col>1</xdr:col>
                <xdr:colOff>85725</xdr:colOff>
                <xdr:row>1</xdr:row>
                <xdr:rowOff>9525</xdr:rowOff>
              </from>
              <to>
                <xdr:col>4</xdr:col>
                <xdr:colOff>142875</xdr:colOff>
                <xdr:row>3</xdr:row>
                <xdr:rowOff>104775</xdr:rowOff>
              </to>
            </anchor>
          </controlPr>
        </control>
      </mc:Choice>
      <mc:Fallback>
        <control shapeId="9217" r:id="rId31" name="Label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6">
    <outlinePr summaryBelow="0"/>
    <pageSetUpPr fitToPage="1"/>
  </sheetPr>
  <dimension ref="A1:BF117"/>
  <sheetViews>
    <sheetView showGridLines="0" zoomScale="85" zoomScaleNormal="85" zoomScaleSheetLayoutView="80" workbookViewId="0">
      <selection activeCell="O9" sqref="O9"/>
    </sheetView>
  </sheetViews>
  <sheetFormatPr defaultColWidth="2.625" defaultRowHeight="14.25" customHeight="1" outlineLevelRow="1" outlineLevelCol="1"/>
  <cols>
    <col min="1" max="2" width="2.625" style="295" customWidth="1"/>
    <col min="3" max="3" width="4" style="295" customWidth="1"/>
    <col min="4" max="12" width="2.625" style="295" customWidth="1"/>
    <col min="13" max="13" width="17.375" style="295" customWidth="1"/>
    <col min="14" max="14" width="4.625" style="295" customWidth="1"/>
    <col min="15" max="15" width="19.625" style="295" customWidth="1"/>
    <col min="16" max="22" width="2.625" style="295" customWidth="1"/>
    <col min="23" max="24" width="0.875" style="295" customWidth="1"/>
    <col min="25" max="27" width="2.625" style="295" customWidth="1"/>
    <col min="28" max="28" width="2.625" style="2" customWidth="1"/>
    <col min="29" max="29" width="2.625" style="2" customWidth="1" outlineLevel="1"/>
    <col min="30" max="36" width="2.625" style="295" customWidth="1" outlineLevel="1"/>
    <col min="37" max="37" width="2.625" style="194" customWidth="1" outlineLevel="1"/>
    <col min="38" max="38" width="5.25" style="194" customWidth="1" outlineLevel="1"/>
    <col min="39" max="39" width="2.625" style="194" customWidth="1" outlineLevel="1"/>
    <col min="40" max="40" width="18.625" style="194" customWidth="1" outlineLevel="1"/>
    <col min="41" max="41" width="17.375" style="194" customWidth="1" outlineLevel="1"/>
    <col min="42" max="42" width="6.25" style="295" bestFit="1" customWidth="1" outlineLevel="1"/>
    <col min="43" max="43" width="17.375" style="194" customWidth="1" outlineLevel="1"/>
    <col min="44" max="44" width="6.25" style="295" bestFit="1" customWidth="1" outlineLevel="1"/>
    <col min="45" max="45" width="17.375" style="194" customWidth="1" outlineLevel="1"/>
    <col min="46" max="58" width="2.625" style="194"/>
    <col min="59" max="16384" width="2.625" style="295"/>
  </cols>
  <sheetData>
    <row r="1" spans="1:58" s="297" customFormat="1" ht="57.75" customHeight="1">
      <c r="A1" s="130"/>
      <c r="C1" s="134"/>
      <c r="D1" s="134"/>
      <c r="E1" s="134"/>
      <c r="F1" s="134"/>
      <c r="G1" s="134"/>
      <c r="H1" s="134"/>
      <c r="I1" s="134"/>
      <c r="J1" s="134"/>
      <c r="K1" s="134"/>
      <c r="L1" s="134"/>
      <c r="M1" s="134"/>
      <c r="N1" s="134"/>
      <c r="O1" s="134"/>
      <c r="AB1" s="2"/>
      <c r="AC1" s="2"/>
      <c r="AK1" s="186" t="s">
        <v>0</v>
      </c>
      <c r="AL1" s="197"/>
      <c r="AM1" s="197"/>
      <c r="AN1" s="197"/>
      <c r="AO1" s="197"/>
      <c r="AP1" s="295"/>
      <c r="AQ1" s="197"/>
      <c r="AR1" s="295"/>
      <c r="AS1" s="197"/>
      <c r="AT1" s="197"/>
      <c r="AU1" s="197"/>
      <c r="AV1" s="197"/>
      <c r="AW1" s="197"/>
      <c r="AX1" s="197"/>
      <c r="AY1" s="197"/>
      <c r="AZ1" s="197"/>
      <c r="BA1" s="197"/>
      <c r="BB1" s="197"/>
      <c r="BC1" s="197"/>
      <c r="BD1" s="197"/>
      <c r="BE1" s="197"/>
      <c r="BF1" s="197"/>
    </row>
    <row r="2" spans="1:58" ht="18" customHeight="1">
      <c r="B2" s="130" t="s">
        <v>384</v>
      </c>
      <c r="C2" s="161"/>
      <c r="D2" s="161"/>
      <c r="E2" s="161"/>
      <c r="F2" s="161"/>
      <c r="G2" s="161"/>
      <c r="H2" s="161"/>
      <c r="I2" s="161"/>
      <c r="J2" s="161"/>
      <c r="K2" s="161"/>
      <c r="L2" s="161"/>
      <c r="M2" s="161"/>
      <c r="N2" s="161"/>
      <c r="O2" s="161"/>
      <c r="AK2" s="130" t="s">
        <v>384</v>
      </c>
      <c r="AL2" s="130"/>
      <c r="AM2" s="130"/>
    </row>
    <row r="3" spans="1:58" s="297" customFormat="1" ht="14.25" customHeight="1">
      <c r="B3" s="1826" t="s">
        <v>385</v>
      </c>
      <c r="C3" s="1826"/>
      <c r="D3" s="1826"/>
      <c r="E3" s="1826"/>
      <c r="F3" s="1826"/>
      <c r="G3" s="1826"/>
      <c r="H3" s="1826"/>
      <c r="I3" s="1826"/>
      <c r="J3" s="1826"/>
      <c r="K3" s="1826"/>
      <c r="L3" s="1826"/>
      <c r="M3" s="1826"/>
      <c r="N3" s="1826"/>
      <c r="O3" s="1826"/>
      <c r="P3" s="1826"/>
      <c r="Q3" s="1826"/>
      <c r="R3" s="1826"/>
      <c r="S3" s="1826"/>
      <c r="T3" s="1826"/>
      <c r="U3" s="1826"/>
      <c r="V3" s="1826"/>
      <c r="W3" s="1826"/>
      <c r="X3" s="1826"/>
      <c r="Y3" s="1826"/>
      <c r="AB3" s="2"/>
      <c r="AC3" s="2"/>
      <c r="AK3" s="197" t="s">
        <v>308</v>
      </c>
      <c r="AL3" s="197"/>
      <c r="AM3" s="197"/>
      <c r="AN3" s="197"/>
      <c r="AO3" s="197"/>
      <c r="AP3" s="295"/>
      <c r="AQ3" s="197"/>
      <c r="AR3" s="295"/>
      <c r="AS3" s="197"/>
      <c r="AT3" s="197"/>
      <c r="AU3" s="197"/>
      <c r="AV3" s="197"/>
      <c r="AW3" s="197"/>
      <c r="AX3" s="197"/>
      <c r="AY3" s="197"/>
      <c r="AZ3" s="197"/>
      <c r="BA3" s="197"/>
      <c r="BB3" s="197"/>
      <c r="BC3" s="197"/>
      <c r="BD3" s="197"/>
      <c r="BE3" s="197"/>
      <c r="BF3" s="197"/>
    </row>
    <row r="4" spans="1:58" s="297" customFormat="1" ht="14.25" customHeight="1">
      <c r="A4" s="130"/>
      <c r="B4" s="1826"/>
      <c r="C4" s="1826"/>
      <c r="D4" s="1826"/>
      <c r="E4" s="1826"/>
      <c r="F4" s="1826"/>
      <c r="G4" s="1826"/>
      <c r="H4" s="1826"/>
      <c r="I4" s="1826"/>
      <c r="J4" s="1826"/>
      <c r="K4" s="1826"/>
      <c r="L4" s="1826"/>
      <c r="M4" s="1826"/>
      <c r="N4" s="1826"/>
      <c r="O4" s="1826"/>
      <c r="P4" s="1826"/>
      <c r="Q4" s="1826"/>
      <c r="R4" s="1826"/>
      <c r="S4" s="1826"/>
      <c r="T4" s="1826"/>
      <c r="U4" s="1826"/>
      <c r="V4" s="1826"/>
      <c r="W4" s="1826"/>
      <c r="X4" s="1826"/>
      <c r="Y4" s="1826"/>
      <c r="AB4" s="2"/>
      <c r="AC4" s="2"/>
      <c r="AK4" s="197"/>
      <c r="AL4" s="197"/>
      <c r="AM4" s="197"/>
      <c r="AN4" s="197"/>
      <c r="AO4" s="197"/>
      <c r="AP4" s="295"/>
      <c r="AQ4" s="197"/>
      <c r="AR4" s="295"/>
      <c r="AS4" s="197"/>
      <c r="AT4" s="197"/>
      <c r="AU4" s="197"/>
      <c r="AV4" s="197"/>
      <c r="AW4" s="197"/>
      <c r="AX4" s="197"/>
      <c r="AY4" s="197"/>
      <c r="AZ4" s="197"/>
      <c r="BA4" s="197"/>
      <c r="BB4" s="197"/>
      <c r="BC4" s="197"/>
      <c r="BD4" s="197"/>
      <c r="BE4" s="197"/>
      <c r="BF4" s="197"/>
    </row>
    <row r="5" spans="1:58" ht="14.25" customHeight="1" thickBot="1">
      <c r="B5" s="1826"/>
      <c r="C5" s="1826"/>
      <c r="D5" s="1826"/>
      <c r="E5" s="1826"/>
      <c r="F5" s="1826"/>
      <c r="G5" s="1826"/>
      <c r="H5" s="1826"/>
      <c r="I5" s="1826"/>
      <c r="J5" s="1826"/>
      <c r="K5" s="1826"/>
      <c r="L5" s="1826"/>
      <c r="M5" s="1826"/>
      <c r="N5" s="1826"/>
      <c r="O5" s="1826"/>
      <c r="P5" s="1826"/>
      <c r="Q5" s="1826"/>
      <c r="R5" s="1826"/>
      <c r="S5" s="1826"/>
      <c r="T5" s="1826"/>
      <c r="U5" s="1826"/>
      <c r="V5" s="1826"/>
      <c r="W5" s="1826"/>
      <c r="X5" s="1826"/>
      <c r="Y5" s="1826"/>
    </row>
    <row r="6" spans="1:58" ht="14.1" customHeight="1">
      <c r="B6" s="1430" t="s">
        <v>329</v>
      </c>
      <c r="C6" s="1431"/>
      <c r="D6" s="1431"/>
      <c r="E6" s="1431"/>
      <c r="F6" s="1431"/>
      <c r="G6" s="1431"/>
      <c r="H6" s="1431"/>
      <c r="I6" s="1431"/>
      <c r="J6" s="1431"/>
      <c r="K6" s="1431"/>
      <c r="L6" s="1454"/>
      <c r="M6" s="1713" t="s">
        <v>386</v>
      </c>
      <c r="N6" s="542"/>
      <c r="O6" s="1738" t="s">
        <v>387</v>
      </c>
      <c r="P6" s="1829" t="s">
        <v>370</v>
      </c>
      <c r="Q6" s="1830"/>
      <c r="R6" s="1831"/>
      <c r="AK6" s="1795" t="s">
        <v>329</v>
      </c>
      <c r="AL6" s="1795"/>
      <c r="AM6" s="1795"/>
      <c r="AN6" s="1795"/>
      <c r="AO6" s="1806" t="s">
        <v>386</v>
      </c>
      <c r="AP6" s="1807"/>
      <c r="AQ6" s="1806" t="s">
        <v>262</v>
      </c>
      <c r="AR6" s="1807"/>
      <c r="AS6" s="1812" t="s">
        <v>320</v>
      </c>
    </row>
    <row r="7" spans="1:58" ht="14.1" customHeight="1">
      <c r="B7" s="1683"/>
      <c r="C7" s="1684"/>
      <c r="D7" s="1684"/>
      <c r="E7" s="1684"/>
      <c r="F7" s="1684"/>
      <c r="G7" s="1684"/>
      <c r="H7" s="1684"/>
      <c r="I7" s="1684"/>
      <c r="J7" s="1684"/>
      <c r="K7" s="1684"/>
      <c r="L7" s="1685"/>
      <c r="M7" s="1714"/>
      <c r="N7" s="1815" t="s">
        <v>165</v>
      </c>
      <c r="O7" s="1739"/>
      <c r="P7" s="1832"/>
      <c r="Q7" s="1833"/>
      <c r="R7" s="1834"/>
      <c r="AK7" s="1795"/>
      <c r="AL7" s="1795"/>
      <c r="AM7" s="1795"/>
      <c r="AN7" s="1795"/>
      <c r="AO7" s="1808"/>
      <c r="AP7" s="1809"/>
      <c r="AQ7" s="1808"/>
      <c r="AR7" s="1809"/>
      <c r="AS7" s="1813"/>
    </row>
    <row r="8" spans="1:58" ht="14.1" customHeight="1" thickBot="1">
      <c r="B8" s="1433"/>
      <c r="C8" s="1434"/>
      <c r="D8" s="1434"/>
      <c r="E8" s="1434"/>
      <c r="F8" s="1434"/>
      <c r="G8" s="1434"/>
      <c r="H8" s="1434"/>
      <c r="I8" s="1434"/>
      <c r="J8" s="1434"/>
      <c r="K8" s="1434"/>
      <c r="L8" s="1686"/>
      <c r="M8" s="1827"/>
      <c r="N8" s="1816"/>
      <c r="O8" s="1828"/>
      <c r="P8" s="1835"/>
      <c r="Q8" s="1833"/>
      <c r="R8" s="1834"/>
      <c r="S8" s="226"/>
      <c r="T8" s="226"/>
      <c r="U8" s="226"/>
      <c r="V8" s="226"/>
      <c r="W8" s="226"/>
      <c r="X8" s="226"/>
      <c r="Y8" s="226"/>
      <c r="Z8" s="226"/>
      <c r="AA8" s="226"/>
      <c r="AK8" s="1795"/>
      <c r="AL8" s="1795"/>
      <c r="AM8" s="1795"/>
      <c r="AN8" s="1795"/>
      <c r="AO8" s="1810"/>
      <c r="AP8" s="1811"/>
      <c r="AQ8" s="1810"/>
      <c r="AR8" s="1811"/>
      <c r="AS8" s="1814"/>
    </row>
    <row r="9" spans="1:58" ht="30" customHeight="1" thickTop="1" thickBot="1">
      <c r="B9" s="1817" t="s">
        <v>388</v>
      </c>
      <c r="C9" s="1818"/>
      <c r="D9" s="1818"/>
      <c r="E9" s="1818"/>
      <c r="F9" s="1818"/>
      <c r="G9" s="1818"/>
      <c r="H9" s="1818"/>
      <c r="I9" s="1818"/>
      <c r="J9" s="1818"/>
      <c r="K9" s="1818"/>
      <c r="L9" s="1819"/>
      <c r="M9" s="543"/>
      <c r="N9" s="544" t="s">
        <v>389</v>
      </c>
      <c r="O9" s="545"/>
      <c r="P9" s="1820"/>
      <c r="Q9" s="1821"/>
      <c r="R9" s="1822"/>
      <c r="S9" s="226"/>
      <c r="T9" s="226"/>
      <c r="U9" s="226"/>
      <c r="V9" s="226"/>
      <c r="W9" s="226"/>
      <c r="X9" s="226"/>
      <c r="Y9" s="226"/>
      <c r="Z9" s="226"/>
      <c r="AA9" s="226"/>
      <c r="AK9" s="1823" t="s">
        <v>390</v>
      </c>
      <c r="AL9" s="1824"/>
      <c r="AM9" s="1824"/>
      <c r="AN9" s="1825"/>
      <c r="AO9" s="546"/>
      <c r="AP9" s="546"/>
      <c r="AQ9" s="546"/>
      <c r="AR9" s="546"/>
      <c r="AS9" s="410">
        <f>IF(O9&gt;0,ROUND(O9*P9%,),SUM(AS10:AS17))</f>
        <v>0</v>
      </c>
    </row>
    <row r="10" spans="1:58" ht="30" customHeight="1" thickTop="1">
      <c r="B10" s="547"/>
      <c r="C10" s="1843" t="s">
        <v>391</v>
      </c>
      <c r="D10" s="548"/>
      <c r="E10" s="1749" t="s">
        <v>392</v>
      </c>
      <c r="F10" s="1749"/>
      <c r="G10" s="1749"/>
      <c r="H10" s="1749"/>
      <c r="I10" s="1749"/>
      <c r="J10" s="1749"/>
      <c r="K10" s="1749"/>
      <c r="L10" s="549"/>
      <c r="M10" s="484"/>
      <c r="N10" s="550" t="s">
        <v>393</v>
      </c>
      <c r="O10" s="551"/>
      <c r="P10" s="1846"/>
      <c r="Q10" s="1847"/>
      <c r="R10" s="1848"/>
      <c r="S10" s="552"/>
      <c r="T10" s="226"/>
      <c r="U10" s="226"/>
      <c r="V10" s="226"/>
      <c r="W10" s="226"/>
      <c r="X10" s="226"/>
      <c r="Y10" s="226"/>
      <c r="Z10" s="226"/>
      <c r="AA10" s="226"/>
      <c r="AK10" s="553"/>
      <c r="AL10" s="1849" t="s">
        <v>391</v>
      </c>
      <c r="AM10" s="1839" t="s">
        <v>392</v>
      </c>
      <c r="AN10" s="1840"/>
      <c r="AO10" s="410">
        <f>ROUND(M10*P10%,)</f>
        <v>0</v>
      </c>
      <c r="AP10" s="554" t="s">
        <v>394</v>
      </c>
      <c r="AQ10" s="555">
        <f>IF(AND(AO10&gt;0,AS10&gt;0),ROUND(AS10/AO10,2),)</f>
        <v>0</v>
      </c>
      <c r="AR10" s="554" t="s">
        <v>395</v>
      </c>
      <c r="AS10" s="410">
        <f>ROUND(O10*P10%,)</f>
        <v>0</v>
      </c>
    </row>
    <row r="11" spans="1:58" ht="30" customHeight="1">
      <c r="B11" s="547"/>
      <c r="C11" s="1844"/>
      <c r="D11" s="548"/>
      <c r="E11" s="1749" t="s">
        <v>396</v>
      </c>
      <c r="F11" s="1749"/>
      <c r="G11" s="1749"/>
      <c r="H11" s="1749"/>
      <c r="I11" s="1749"/>
      <c r="J11" s="1749"/>
      <c r="K11" s="1749"/>
      <c r="L11" s="549"/>
      <c r="M11" s="556"/>
      <c r="N11" s="557" t="s">
        <v>397</v>
      </c>
      <c r="O11" s="558"/>
      <c r="P11" s="1836"/>
      <c r="Q11" s="1837"/>
      <c r="R11" s="1838"/>
      <c r="S11" s="552"/>
      <c r="T11" s="226"/>
      <c r="U11" s="226"/>
      <c r="V11" s="226"/>
      <c r="W11" s="226"/>
      <c r="X11" s="226"/>
      <c r="Y11" s="226"/>
      <c r="Z11" s="226"/>
      <c r="AA11" s="226"/>
      <c r="AD11" s="226"/>
      <c r="AE11" s="226"/>
      <c r="AF11" s="226"/>
      <c r="AG11" s="226"/>
      <c r="AK11" s="553"/>
      <c r="AL11" s="1849"/>
      <c r="AM11" s="1839" t="s">
        <v>396</v>
      </c>
      <c r="AN11" s="1840"/>
      <c r="AO11" s="410">
        <f t="shared" ref="AO11:AO15" si="0">ROUND(M11*P11%,)</f>
        <v>0</v>
      </c>
      <c r="AP11" s="554" t="s">
        <v>394</v>
      </c>
      <c r="AQ11" s="555">
        <f t="shared" ref="AQ11:AQ15" si="1">IF(AND(AO11&gt;0,AS11&gt;0),ROUND(AS11/AO11,2),)</f>
        <v>0</v>
      </c>
      <c r="AR11" s="554" t="s">
        <v>395</v>
      </c>
      <c r="AS11" s="410">
        <f t="shared" ref="AS11:AS17" si="2">ROUND(O11*P11%,)</f>
        <v>0</v>
      </c>
    </row>
    <row r="12" spans="1:58" ht="30" customHeight="1">
      <c r="B12" s="547"/>
      <c r="C12" s="1844"/>
      <c r="D12" s="548"/>
      <c r="E12" s="1749" t="s">
        <v>398</v>
      </c>
      <c r="F12" s="1749"/>
      <c r="G12" s="1749"/>
      <c r="H12" s="1749"/>
      <c r="I12" s="1749"/>
      <c r="J12" s="1749"/>
      <c r="K12" s="1749"/>
      <c r="L12" s="549"/>
      <c r="M12" s="556"/>
      <c r="N12" s="557" t="s">
        <v>399</v>
      </c>
      <c r="O12" s="558"/>
      <c r="P12" s="1836"/>
      <c r="Q12" s="1837"/>
      <c r="R12" s="1838"/>
      <c r="S12" s="552"/>
      <c r="T12" s="226"/>
      <c r="U12" s="226"/>
      <c r="V12" s="226"/>
      <c r="W12" s="226"/>
      <c r="X12" s="226"/>
      <c r="Y12" s="226"/>
      <c r="Z12" s="226"/>
      <c r="AA12" s="226"/>
      <c r="AD12" s="226"/>
      <c r="AE12" s="226"/>
      <c r="AF12" s="226"/>
      <c r="AG12" s="226"/>
      <c r="AK12" s="553"/>
      <c r="AL12" s="1849"/>
      <c r="AM12" s="1839" t="s">
        <v>398</v>
      </c>
      <c r="AN12" s="1840"/>
      <c r="AO12" s="410">
        <f t="shared" si="0"/>
        <v>0</v>
      </c>
      <c r="AP12" s="554" t="s">
        <v>394</v>
      </c>
      <c r="AQ12" s="555">
        <f t="shared" si="1"/>
        <v>0</v>
      </c>
      <c r="AR12" s="554" t="s">
        <v>395</v>
      </c>
      <c r="AS12" s="410">
        <f t="shared" si="2"/>
        <v>0</v>
      </c>
    </row>
    <row r="13" spans="1:58" ht="30" customHeight="1">
      <c r="B13" s="547"/>
      <c r="C13" s="1844"/>
      <c r="D13" s="548"/>
      <c r="E13" s="1749" t="s">
        <v>400</v>
      </c>
      <c r="F13" s="1749"/>
      <c r="G13" s="1749"/>
      <c r="H13" s="1749"/>
      <c r="I13" s="1749"/>
      <c r="J13" s="1749"/>
      <c r="K13" s="1749"/>
      <c r="L13" s="549"/>
      <c r="M13" s="556"/>
      <c r="N13" s="557" t="s">
        <v>401</v>
      </c>
      <c r="O13" s="558"/>
      <c r="P13" s="1836"/>
      <c r="Q13" s="1837"/>
      <c r="R13" s="1838"/>
      <c r="S13" s="552"/>
      <c r="T13" s="226"/>
      <c r="U13" s="226"/>
      <c r="V13" s="226"/>
      <c r="W13" s="226"/>
      <c r="X13" s="226"/>
      <c r="Y13" s="226"/>
      <c r="Z13" s="226"/>
      <c r="AA13" s="226"/>
      <c r="AD13" s="226"/>
      <c r="AE13" s="226"/>
      <c r="AF13" s="226"/>
      <c r="AG13" s="226"/>
      <c r="AK13" s="553"/>
      <c r="AL13" s="1849"/>
      <c r="AM13" s="1839" t="s">
        <v>400</v>
      </c>
      <c r="AN13" s="1840"/>
      <c r="AO13" s="410">
        <f t="shared" si="0"/>
        <v>0</v>
      </c>
      <c r="AP13" s="554" t="s">
        <v>394</v>
      </c>
      <c r="AQ13" s="555">
        <f t="shared" si="1"/>
        <v>0</v>
      </c>
      <c r="AR13" s="554" t="s">
        <v>395</v>
      </c>
      <c r="AS13" s="410">
        <f t="shared" si="2"/>
        <v>0</v>
      </c>
    </row>
    <row r="14" spans="1:58" ht="30" customHeight="1">
      <c r="B14" s="547"/>
      <c r="C14" s="1844"/>
      <c r="D14" s="548"/>
      <c r="E14" s="1749" t="s">
        <v>402</v>
      </c>
      <c r="F14" s="1749"/>
      <c r="G14" s="1749"/>
      <c r="H14" s="1749"/>
      <c r="I14" s="1749"/>
      <c r="J14" s="1749"/>
      <c r="K14" s="1749"/>
      <c r="L14" s="549"/>
      <c r="M14" s="556"/>
      <c r="N14" s="557" t="s">
        <v>401</v>
      </c>
      <c r="O14" s="558"/>
      <c r="P14" s="1836"/>
      <c r="Q14" s="1837"/>
      <c r="R14" s="1838"/>
      <c r="S14" s="552"/>
      <c r="T14" s="226"/>
      <c r="U14" s="226"/>
      <c r="V14" s="226"/>
      <c r="W14" s="226"/>
      <c r="X14" s="226"/>
      <c r="Y14" s="226"/>
      <c r="Z14" s="226"/>
      <c r="AA14" s="226"/>
      <c r="AD14" s="226"/>
      <c r="AE14" s="226"/>
      <c r="AF14" s="226"/>
      <c r="AG14" s="226"/>
      <c r="AK14" s="553"/>
      <c r="AL14" s="1849"/>
      <c r="AM14" s="1839" t="s">
        <v>402</v>
      </c>
      <c r="AN14" s="1840"/>
      <c r="AO14" s="410">
        <f>ROUND(M14*P14%,)</f>
        <v>0</v>
      </c>
      <c r="AP14" s="554" t="s">
        <v>394</v>
      </c>
      <c r="AQ14" s="555">
        <f t="shared" si="1"/>
        <v>0</v>
      </c>
      <c r="AR14" s="554" t="s">
        <v>395</v>
      </c>
      <c r="AS14" s="410">
        <f t="shared" si="2"/>
        <v>0</v>
      </c>
    </row>
    <row r="15" spans="1:58" ht="30" customHeight="1">
      <c r="B15" s="547"/>
      <c r="C15" s="1845"/>
      <c r="D15" s="559"/>
      <c r="E15" s="1760" t="s">
        <v>403</v>
      </c>
      <c r="F15" s="1760"/>
      <c r="G15" s="1760"/>
      <c r="H15" s="1760"/>
      <c r="I15" s="1760"/>
      <c r="J15" s="1760"/>
      <c r="K15" s="1760"/>
      <c r="L15" s="560"/>
      <c r="M15" s="561"/>
      <c r="N15" s="557" t="s">
        <v>401</v>
      </c>
      <c r="O15" s="558"/>
      <c r="P15" s="1836"/>
      <c r="Q15" s="1837"/>
      <c r="R15" s="1838"/>
      <c r="S15" s="552"/>
      <c r="T15" s="226"/>
      <c r="U15" s="226"/>
      <c r="V15" s="226"/>
      <c r="W15" s="226"/>
      <c r="X15" s="226"/>
      <c r="Y15" s="226"/>
      <c r="Z15" s="226"/>
      <c r="AA15" s="226"/>
      <c r="AD15" s="226"/>
      <c r="AE15" s="226"/>
      <c r="AF15" s="226"/>
      <c r="AG15" s="226"/>
      <c r="AK15" s="553"/>
      <c r="AL15" s="1849"/>
      <c r="AM15" s="1839" t="s">
        <v>403</v>
      </c>
      <c r="AN15" s="1840"/>
      <c r="AO15" s="410">
        <f t="shared" si="0"/>
        <v>0</v>
      </c>
      <c r="AP15" s="554" t="s">
        <v>394</v>
      </c>
      <c r="AQ15" s="555">
        <f t="shared" si="1"/>
        <v>0</v>
      </c>
      <c r="AR15" s="554" t="s">
        <v>395</v>
      </c>
      <c r="AS15" s="410">
        <f t="shared" si="2"/>
        <v>0</v>
      </c>
    </row>
    <row r="16" spans="1:58" ht="30" customHeight="1">
      <c r="B16" s="562"/>
      <c r="C16" s="1779" t="s">
        <v>404</v>
      </c>
      <c r="D16" s="1841"/>
      <c r="E16" s="1841"/>
      <c r="F16" s="1841"/>
      <c r="G16" s="1841"/>
      <c r="H16" s="1841"/>
      <c r="I16" s="1841"/>
      <c r="J16" s="1841"/>
      <c r="K16" s="1841"/>
      <c r="L16" s="1842"/>
      <c r="M16" s="543"/>
      <c r="N16" s="563" t="s">
        <v>405</v>
      </c>
      <c r="O16" s="558"/>
      <c r="P16" s="1836"/>
      <c r="Q16" s="1837"/>
      <c r="R16" s="1838"/>
      <c r="S16" s="552"/>
      <c r="T16" s="226"/>
      <c r="U16" s="226"/>
      <c r="V16" s="226"/>
      <c r="W16" s="226"/>
      <c r="X16" s="226"/>
      <c r="Y16" s="226"/>
      <c r="Z16" s="226"/>
      <c r="AA16" s="226"/>
      <c r="AD16" s="226"/>
      <c r="AE16" s="226"/>
      <c r="AF16" s="226"/>
      <c r="AG16" s="226"/>
      <c r="AK16" s="553"/>
      <c r="AL16" s="1553" t="s">
        <v>406</v>
      </c>
      <c r="AM16" s="1569"/>
      <c r="AN16" s="1554"/>
      <c r="AO16" s="546"/>
      <c r="AP16" s="546"/>
      <c r="AQ16" s="546"/>
      <c r="AR16" s="546"/>
      <c r="AS16" s="410">
        <f t="shared" si="2"/>
        <v>0</v>
      </c>
    </row>
    <row r="17" spans="2:45" ht="30" customHeight="1" thickBot="1">
      <c r="B17" s="564"/>
      <c r="C17" s="1850" t="s">
        <v>407</v>
      </c>
      <c r="D17" s="1851"/>
      <c r="E17" s="1851"/>
      <c r="F17" s="1851"/>
      <c r="G17" s="1851"/>
      <c r="H17" s="1851"/>
      <c r="I17" s="1851"/>
      <c r="J17" s="1851"/>
      <c r="K17" s="1851"/>
      <c r="L17" s="1852"/>
      <c r="M17" s="565"/>
      <c r="N17" s="566" t="s">
        <v>389</v>
      </c>
      <c r="O17" s="567"/>
      <c r="P17" s="1853"/>
      <c r="Q17" s="1854"/>
      <c r="R17" s="1855"/>
      <c r="S17" s="552"/>
      <c r="T17" s="226"/>
      <c r="U17" s="226"/>
      <c r="V17" s="226"/>
      <c r="W17" s="226"/>
      <c r="X17" s="226"/>
      <c r="Y17" s="226"/>
      <c r="Z17" s="226"/>
      <c r="AA17" s="226"/>
      <c r="AD17" s="226"/>
      <c r="AE17" s="226"/>
      <c r="AF17" s="226"/>
      <c r="AG17" s="226"/>
      <c r="AK17" s="553"/>
      <c r="AL17" s="1856" t="s">
        <v>408</v>
      </c>
      <c r="AM17" s="1857"/>
      <c r="AN17" s="1858"/>
      <c r="AO17" s="568"/>
      <c r="AP17" s="568"/>
      <c r="AQ17" s="568"/>
      <c r="AR17" s="568"/>
      <c r="AS17" s="569">
        <f t="shared" si="2"/>
        <v>0</v>
      </c>
    </row>
    <row r="18" spans="2:45" ht="30" customHeight="1" thickTop="1">
      <c r="B18" s="1859" t="s">
        <v>309</v>
      </c>
      <c r="C18" s="1860"/>
      <c r="D18" s="1862"/>
      <c r="E18" s="1863"/>
      <c r="F18" s="1863"/>
      <c r="G18" s="1863"/>
      <c r="H18" s="1863"/>
      <c r="I18" s="1863"/>
      <c r="J18" s="1863"/>
      <c r="K18" s="1863"/>
      <c r="L18" s="1864"/>
      <c r="M18" s="570"/>
      <c r="N18" s="571"/>
      <c r="O18" s="1865"/>
      <c r="P18" s="1867"/>
      <c r="Q18" s="1868"/>
      <c r="R18" s="1869"/>
      <c r="S18" s="572"/>
      <c r="T18" s="226"/>
      <c r="U18" s="226"/>
      <c r="V18" s="226"/>
      <c r="W18" s="226"/>
      <c r="X18" s="226"/>
      <c r="Y18" s="226"/>
      <c r="Z18" s="226"/>
      <c r="AA18" s="226"/>
      <c r="AD18" s="226"/>
      <c r="AE18" s="226"/>
      <c r="AF18" s="226"/>
      <c r="AG18" s="226"/>
      <c r="AK18" s="1870" t="s">
        <v>309</v>
      </c>
      <c r="AL18" s="1871"/>
      <c r="AM18" s="1876">
        <f t="shared" ref="AM18:AM32" si="3">D18</f>
        <v>0</v>
      </c>
      <c r="AN18" s="1876"/>
      <c r="AO18" s="410">
        <f t="shared" ref="AO18:AO32" si="4">ROUND(M18*P18%,)</f>
        <v>0</v>
      </c>
      <c r="AP18" s="456">
        <f t="shared" ref="AP18:AP32" si="5">N18</f>
        <v>0</v>
      </c>
      <c r="AQ18" s="573"/>
      <c r="AR18" s="574" t="str">
        <f t="shared" ref="AR18:AR32" si="6">"円/"&amp;AP18</f>
        <v>円/0</v>
      </c>
      <c r="AS18" s="424">
        <f>ROUND(AO18*AQ18,)</f>
        <v>0</v>
      </c>
    </row>
    <row r="19" spans="2:45" ht="30" customHeight="1" collapsed="1" thickBot="1">
      <c r="B19" s="1706"/>
      <c r="C19" s="1861"/>
      <c r="D19" s="1877"/>
      <c r="E19" s="1878"/>
      <c r="F19" s="1878"/>
      <c r="G19" s="1878"/>
      <c r="H19" s="1878"/>
      <c r="I19" s="1878"/>
      <c r="J19" s="1878"/>
      <c r="K19" s="1878"/>
      <c r="L19" s="1879"/>
      <c r="M19" s="575"/>
      <c r="N19" s="576"/>
      <c r="O19" s="1866"/>
      <c r="P19" s="1880"/>
      <c r="Q19" s="1881"/>
      <c r="R19" s="1882"/>
      <c r="S19" s="572"/>
      <c r="T19" s="226"/>
      <c r="U19" s="226"/>
      <c r="V19" s="226"/>
      <c r="W19" s="226"/>
      <c r="X19" s="226"/>
      <c r="Y19" s="226"/>
      <c r="Z19" s="226"/>
      <c r="AA19" s="226"/>
      <c r="AD19" s="226"/>
      <c r="AE19" s="226"/>
      <c r="AF19" s="226"/>
      <c r="AG19" s="226"/>
      <c r="AK19" s="1872"/>
      <c r="AL19" s="1873"/>
      <c r="AM19" s="1876">
        <f t="shared" si="3"/>
        <v>0</v>
      </c>
      <c r="AN19" s="1876"/>
      <c r="AO19" s="410">
        <f t="shared" si="4"/>
        <v>0</v>
      </c>
      <c r="AP19" s="456">
        <f t="shared" si="5"/>
        <v>0</v>
      </c>
      <c r="AQ19" s="577"/>
      <c r="AR19" s="574" t="str">
        <f t="shared" si="6"/>
        <v>円/0</v>
      </c>
      <c r="AS19" s="424">
        <f t="shared" ref="AS19:AS32" si="7">ROUND(AO19*AQ19,)</f>
        <v>0</v>
      </c>
    </row>
    <row r="20" spans="2:45" ht="30" hidden="1" customHeight="1" outlineLevel="1">
      <c r="B20" s="1706"/>
      <c r="C20" s="1861"/>
      <c r="D20" s="1883"/>
      <c r="E20" s="1884"/>
      <c r="F20" s="1884"/>
      <c r="G20" s="1884"/>
      <c r="H20" s="1884"/>
      <c r="I20" s="1884"/>
      <c r="J20" s="1884"/>
      <c r="K20" s="1884"/>
      <c r="L20" s="1885"/>
      <c r="M20" s="578"/>
      <c r="N20" s="579"/>
      <c r="O20" s="1866"/>
      <c r="P20" s="1880"/>
      <c r="Q20" s="1881"/>
      <c r="R20" s="1882"/>
      <c r="S20" s="572"/>
      <c r="T20" s="226"/>
      <c r="U20" s="226"/>
      <c r="V20" s="226"/>
      <c r="W20" s="226"/>
      <c r="X20" s="226"/>
      <c r="Y20" s="226"/>
      <c r="Z20" s="226"/>
      <c r="AA20" s="226"/>
      <c r="AD20" s="226"/>
      <c r="AE20" s="226"/>
      <c r="AF20" s="226"/>
      <c r="AG20" s="226"/>
      <c r="AK20" s="1872"/>
      <c r="AL20" s="1873"/>
      <c r="AM20" s="1876">
        <f t="shared" si="3"/>
        <v>0</v>
      </c>
      <c r="AN20" s="1876"/>
      <c r="AO20" s="410">
        <f t="shared" si="4"/>
        <v>0</v>
      </c>
      <c r="AP20" s="456">
        <f t="shared" si="5"/>
        <v>0</v>
      </c>
      <c r="AQ20" s="577"/>
      <c r="AR20" s="574" t="str">
        <f t="shared" si="6"/>
        <v>円/0</v>
      </c>
      <c r="AS20" s="424">
        <f t="shared" si="7"/>
        <v>0</v>
      </c>
    </row>
    <row r="21" spans="2:45" ht="30" hidden="1" customHeight="1" outlineLevel="1">
      <c r="B21" s="1706"/>
      <c r="C21" s="1861"/>
      <c r="D21" s="1883"/>
      <c r="E21" s="1884"/>
      <c r="F21" s="1884"/>
      <c r="G21" s="1884"/>
      <c r="H21" s="1884"/>
      <c r="I21" s="1884"/>
      <c r="J21" s="1884"/>
      <c r="K21" s="1884"/>
      <c r="L21" s="1885"/>
      <c r="M21" s="578"/>
      <c r="N21" s="579"/>
      <c r="O21" s="1866"/>
      <c r="P21" s="1880"/>
      <c r="Q21" s="1881"/>
      <c r="R21" s="1882"/>
      <c r="S21" s="572"/>
      <c r="T21" s="226"/>
      <c r="U21" s="226"/>
      <c r="V21" s="226"/>
      <c r="W21" s="226"/>
      <c r="X21" s="226"/>
      <c r="Y21" s="226"/>
      <c r="Z21" s="226"/>
      <c r="AA21" s="226"/>
      <c r="AD21" s="226"/>
      <c r="AE21" s="226"/>
      <c r="AF21" s="226"/>
      <c r="AG21" s="226"/>
      <c r="AK21" s="1872"/>
      <c r="AL21" s="1873"/>
      <c r="AM21" s="1876">
        <f t="shared" si="3"/>
        <v>0</v>
      </c>
      <c r="AN21" s="1876"/>
      <c r="AO21" s="410">
        <f t="shared" si="4"/>
        <v>0</v>
      </c>
      <c r="AP21" s="456">
        <f t="shared" si="5"/>
        <v>0</v>
      </c>
      <c r="AQ21" s="577"/>
      <c r="AR21" s="574" t="str">
        <f t="shared" si="6"/>
        <v>円/0</v>
      </c>
      <c r="AS21" s="424">
        <f t="shared" si="7"/>
        <v>0</v>
      </c>
    </row>
    <row r="22" spans="2:45" ht="30" hidden="1" customHeight="1" outlineLevel="1">
      <c r="B22" s="1706"/>
      <c r="C22" s="1861"/>
      <c r="D22" s="1877"/>
      <c r="E22" s="1878"/>
      <c r="F22" s="1878"/>
      <c r="G22" s="1878"/>
      <c r="H22" s="1878"/>
      <c r="I22" s="1878"/>
      <c r="J22" s="1878"/>
      <c r="K22" s="1878"/>
      <c r="L22" s="1879"/>
      <c r="M22" s="575"/>
      <c r="N22" s="576"/>
      <c r="O22" s="1866"/>
      <c r="P22" s="1880"/>
      <c r="Q22" s="1881"/>
      <c r="R22" s="1882"/>
      <c r="S22" s="572"/>
      <c r="T22" s="226"/>
      <c r="U22" s="226"/>
      <c r="V22" s="226"/>
      <c r="W22" s="226"/>
      <c r="X22" s="226"/>
      <c r="Y22" s="226"/>
      <c r="Z22" s="226"/>
      <c r="AA22" s="226"/>
      <c r="AD22" s="226"/>
      <c r="AE22" s="226"/>
      <c r="AF22" s="226"/>
      <c r="AG22" s="226"/>
      <c r="AK22" s="1872"/>
      <c r="AL22" s="1873"/>
      <c r="AM22" s="1876">
        <f t="shared" si="3"/>
        <v>0</v>
      </c>
      <c r="AN22" s="1876"/>
      <c r="AO22" s="410">
        <f t="shared" si="4"/>
        <v>0</v>
      </c>
      <c r="AP22" s="456">
        <f t="shared" si="5"/>
        <v>0</v>
      </c>
      <c r="AQ22" s="577"/>
      <c r="AR22" s="574" t="str">
        <f t="shared" si="6"/>
        <v>円/0</v>
      </c>
      <c r="AS22" s="424">
        <f t="shared" si="7"/>
        <v>0</v>
      </c>
    </row>
    <row r="23" spans="2:45" ht="30" hidden="1" customHeight="1" outlineLevel="1">
      <c r="B23" s="1706"/>
      <c r="C23" s="1861"/>
      <c r="D23" s="1883"/>
      <c r="E23" s="1884"/>
      <c r="F23" s="1884"/>
      <c r="G23" s="1884"/>
      <c r="H23" s="1884"/>
      <c r="I23" s="1884"/>
      <c r="J23" s="1884"/>
      <c r="K23" s="1884"/>
      <c r="L23" s="1885"/>
      <c r="M23" s="578"/>
      <c r="N23" s="579"/>
      <c r="O23" s="1866"/>
      <c r="P23" s="1880"/>
      <c r="Q23" s="1881"/>
      <c r="R23" s="1882"/>
      <c r="S23" s="572"/>
      <c r="T23" s="226"/>
      <c r="U23" s="226"/>
      <c r="V23" s="226"/>
      <c r="W23" s="226"/>
      <c r="X23" s="226"/>
      <c r="Y23" s="226"/>
      <c r="Z23" s="226"/>
      <c r="AA23" s="226"/>
      <c r="AD23" s="226"/>
      <c r="AE23" s="226"/>
      <c r="AF23" s="226"/>
      <c r="AG23" s="226"/>
      <c r="AK23" s="1872"/>
      <c r="AL23" s="1873"/>
      <c r="AM23" s="1876">
        <f t="shared" si="3"/>
        <v>0</v>
      </c>
      <c r="AN23" s="1876"/>
      <c r="AO23" s="410">
        <f t="shared" si="4"/>
        <v>0</v>
      </c>
      <c r="AP23" s="456">
        <f t="shared" si="5"/>
        <v>0</v>
      </c>
      <c r="AQ23" s="577"/>
      <c r="AR23" s="574" t="str">
        <f t="shared" si="6"/>
        <v>円/0</v>
      </c>
      <c r="AS23" s="424">
        <f t="shared" si="7"/>
        <v>0</v>
      </c>
    </row>
    <row r="24" spans="2:45" ht="30" hidden="1" customHeight="1" outlineLevel="1">
      <c r="B24" s="1706"/>
      <c r="C24" s="1861"/>
      <c r="D24" s="1877"/>
      <c r="E24" s="1878"/>
      <c r="F24" s="1878"/>
      <c r="G24" s="1878"/>
      <c r="H24" s="1878"/>
      <c r="I24" s="1878"/>
      <c r="J24" s="1878"/>
      <c r="K24" s="1878"/>
      <c r="L24" s="1879"/>
      <c r="M24" s="575"/>
      <c r="N24" s="576"/>
      <c r="O24" s="1866"/>
      <c r="P24" s="1880"/>
      <c r="Q24" s="1881"/>
      <c r="R24" s="1882"/>
      <c r="S24" s="572"/>
      <c r="T24" s="226"/>
      <c r="U24" s="226"/>
      <c r="V24" s="226"/>
      <c r="W24" s="226"/>
      <c r="X24" s="226"/>
      <c r="Y24" s="226"/>
      <c r="Z24" s="226"/>
      <c r="AA24" s="226"/>
      <c r="AD24" s="226"/>
      <c r="AE24" s="226"/>
      <c r="AF24" s="226"/>
      <c r="AG24" s="226"/>
      <c r="AK24" s="1872"/>
      <c r="AL24" s="1873"/>
      <c r="AM24" s="1876">
        <f t="shared" si="3"/>
        <v>0</v>
      </c>
      <c r="AN24" s="1876"/>
      <c r="AO24" s="410">
        <f t="shared" si="4"/>
        <v>0</v>
      </c>
      <c r="AP24" s="456">
        <f t="shared" si="5"/>
        <v>0</v>
      </c>
      <c r="AQ24" s="577"/>
      <c r="AR24" s="574" t="str">
        <f t="shared" si="6"/>
        <v>円/0</v>
      </c>
      <c r="AS24" s="424">
        <f t="shared" si="7"/>
        <v>0</v>
      </c>
    </row>
    <row r="25" spans="2:45" ht="30" hidden="1" customHeight="1" outlineLevel="1">
      <c r="B25" s="1706"/>
      <c r="C25" s="1861"/>
      <c r="D25" s="1883"/>
      <c r="E25" s="1884"/>
      <c r="F25" s="1884"/>
      <c r="G25" s="1884"/>
      <c r="H25" s="1884"/>
      <c r="I25" s="1884"/>
      <c r="J25" s="1884"/>
      <c r="K25" s="1884"/>
      <c r="L25" s="1885"/>
      <c r="M25" s="578"/>
      <c r="N25" s="579"/>
      <c r="O25" s="1866"/>
      <c r="P25" s="1880"/>
      <c r="Q25" s="1881"/>
      <c r="R25" s="1882"/>
      <c r="S25" s="572"/>
      <c r="T25" s="226"/>
      <c r="U25" s="226"/>
      <c r="V25" s="226"/>
      <c r="W25" s="226"/>
      <c r="X25" s="226"/>
      <c r="Y25" s="226"/>
      <c r="Z25" s="226"/>
      <c r="AA25" s="226"/>
      <c r="AD25" s="226"/>
      <c r="AE25" s="226"/>
      <c r="AF25" s="226"/>
      <c r="AG25" s="226"/>
      <c r="AK25" s="1872"/>
      <c r="AL25" s="1873"/>
      <c r="AM25" s="1876">
        <f t="shared" si="3"/>
        <v>0</v>
      </c>
      <c r="AN25" s="1876"/>
      <c r="AO25" s="410">
        <f t="shared" si="4"/>
        <v>0</v>
      </c>
      <c r="AP25" s="456">
        <f t="shared" si="5"/>
        <v>0</v>
      </c>
      <c r="AQ25" s="577"/>
      <c r="AR25" s="574" t="str">
        <f t="shared" si="6"/>
        <v>円/0</v>
      </c>
      <c r="AS25" s="424">
        <f t="shared" si="7"/>
        <v>0</v>
      </c>
    </row>
    <row r="26" spans="2:45" ht="30" hidden="1" customHeight="1" outlineLevel="1">
      <c r="B26" s="1706"/>
      <c r="C26" s="1861"/>
      <c r="D26" s="1883"/>
      <c r="E26" s="1884"/>
      <c r="F26" s="1884"/>
      <c r="G26" s="1884"/>
      <c r="H26" s="1884"/>
      <c r="I26" s="1884"/>
      <c r="J26" s="1884"/>
      <c r="K26" s="1884"/>
      <c r="L26" s="1885"/>
      <c r="M26" s="578"/>
      <c r="N26" s="579"/>
      <c r="O26" s="1866"/>
      <c r="P26" s="1880"/>
      <c r="Q26" s="1881"/>
      <c r="R26" s="1882"/>
      <c r="S26" s="572"/>
      <c r="T26" s="226"/>
      <c r="U26" s="226"/>
      <c r="V26" s="226"/>
      <c r="W26" s="226"/>
      <c r="X26" s="226"/>
      <c r="Y26" s="226"/>
      <c r="Z26" s="226"/>
      <c r="AA26" s="226"/>
      <c r="AD26" s="226"/>
      <c r="AE26" s="226"/>
      <c r="AF26" s="226"/>
      <c r="AG26" s="226"/>
      <c r="AK26" s="1872"/>
      <c r="AL26" s="1873"/>
      <c r="AM26" s="1876">
        <f t="shared" si="3"/>
        <v>0</v>
      </c>
      <c r="AN26" s="1876"/>
      <c r="AO26" s="410">
        <f t="shared" si="4"/>
        <v>0</v>
      </c>
      <c r="AP26" s="456">
        <f t="shared" si="5"/>
        <v>0</v>
      </c>
      <c r="AQ26" s="577"/>
      <c r="AR26" s="574" t="str">
        <f t="shared" si="6"/>
        <v>円/0</v>
      </c>
      <c r="AS26" s="424">
        <f t="shared" si="7"/>
        <v>0</v>
      </c>
    </row>
    <row r="27" spans="2:45" ht="30" hidden="1" customHeight="1" outlineLevel="1">
      <c r="B27" s="1706"/>
      <c r="C27" s="1861"/>
      <c r="D27" s="1883"/>
      <c r="E27" s="1884"/>
      <c r="F27" s="1884"/>
      <c r="G27" s="1884"/>
      <c r="H27" s="1884"/>
      <c r="I27" s="1884"/>
      <c r="J27" s="1884"/>
      <c r="K27" s="1884"/>
      <c r="L27" s="1885"/>
      <c r="M27" s="578"/>
      <c r="N27" s="579"/>
      <c r="O27" s="1866"/>
      <c r="P27" s="1880"/>
      <c r="Q27" s="1881"/>
      <c r="R27" s="1882"/>
      <c r="S27" s="572"/>
      <c r="T27" s="226"/>
      <c r="U27" s="226"/>
      <c r="V27" s="226"/>
      <c r="W27" s="226"/>
      <c r="X27" s="226"/>
      <c r="Y27" s="226"/>
      <c r="Z27" s="226"/>
      <c r="AA27" s="226"/>
      <c r="AD27" s="226"/>
      <c r="AE27" s="226"/>
      <c r="AF27" s="226"/>
      <c r="AG27" s="226"/>
      <c r="AK27" s="1872"/>
      <c r="AL27" s="1873"/>
      <c r="AM27" s="1876">
        <f t="shared" si="3"/>
        <v>0</v>
      </c>
      <c r="AN27" s="1876"/>
      <c r="AO27" s="410">
        <f t="shared" si="4"/>
        <v>0</v>
      </c>
      <c r="AP27" s="456">
        <f t="shared" si="5"/>
        <v>0</v>
      </c>
      <c r="AQ27" s="577"/>
      <c r="AR27" s="574" t="str">
        <f t="shared" si="6"/>
        <v>円/0</v>
      </c>
      <c r="AS27" s="424">
        <f t="shared" si="7"/>
        <v>0</v>
      </c>
    </row>
    <row r="28" spans="2:45" ht="30" hidden="1" customHeight="1" outlineLevel="1">
      <c r="B28" s="1706"/>
      <c r="C28" s="1861"/>
      <c r="D28" s="1883"/>
      <c r="E28" s="1884"/>
      <c r="F28" s="1884"/>
      <c r="G28" s="1884"/>
      <c r="H28" s="1884"/>
      <c r="I28" s="1884"/>
      <c r="J28" s="1884"/>
      <c r="K28" s="1884"/>
      <c r="L28" s="1885"/>
      <c r="M28" s="578"/>
      <c r="N28" s="579"/>
      <c r="O28" s="1866"/>
      <c r="P28" s="1880"/>
      <c r="Q28" s="1881"/>
      <c r="R28" s="1882"/>
      <c r="S28" s="572"/>
      <c r="T28" s="226"/>
      <c r="U28" s="226"/>
      <c r="V28" s="226"/>
      <c r="W28" s="226"/>
      <c r="X28" s="226"/>
      <c r="Y28" s="226"/>
      <c r="Z28" s="226"/>
      <c r="AA28" s="226"/>
      <c r="AD28" s="226"/>
      <c r="AE28" s="226"/>
      <c r="AF28" s="226"/>
      <c r="AG28" s="226"/>
      <c r="AK28" s="1872"/>
      <c r="AL28" s="1873"/>
      <c r="AM28" s="1876">
        <f t="shared" si="3"/>
        <v>0</v>
      </c>
      <c r="AN28" s="1876"/>
      <c r="AO28" s="410">
        <f t="shared" si="4"/>
        <v>0</v>
      </c>
      <c r="AP28" s="456">
        <f t="shared" si="5"/>
        <v>0</v>
      </c>
      <c r="AQ28" s="577"/>
      <c r="AR28" s="574" t="str">
        <f t="shared" si="6"/>
        <v>円/0</v>
      </c>
      <c r="AS28" s="424">
        <f t="shared" si="7"/>
        <v>0</v>
      </c>
    </row>
    <row r="29" spans="2:45" ht="30" hidden="1" customHeight="1" outlineLevel="1">
      <c r="B29" s="1706"/>
      <c r="C29" s="1861"/>
      <c r="D29" s="1877"/>
      <c r="E29" s="1878"/>
      <c r="F29" s="1878"/>
      <c r="G29" s="1878"/>
      <c r="H29" s="1878"/>
      <c r="I29" s="1878"/>
      <c r="J29" s="1878"/>
      <c r="K29" s="1878"/>
      <c r="L29" s="1879"/>
      <c r="M29" s="575"/>
      <c r="N29" s="576"/>
      <c r="O29" s="1866"/>
      <c r="P29" s="1880"/>
      <c r="Q29" s="1881"/>
      <c r="R29" s="1882"/>
      <c r="S29" s="572"/>
      <c r="T29" s="226"/>
      <c r="U29" s="226"/>
      <c r="V29" s="226"/>
      <c r="W29" s="226"/>
      <c r="X29" s="226"/>
      <c r="Y29" s="226"/>
      <c r="Z29" s="226"/>
      <c r="AA29" s="226"/>
      <c r="AD29" s="226"/>
      <c r="AE29" s="226"/>
      <c r="AF29" s="226"/>
      <c r="AG29" s="226"/>
      <c r="AK29" s="1872"/>
      <c r="AL29" s="1873"/>
      <c r="AM29" s="1876">
        <f t="shared" si="3"/>
        <v>0</v>
      </c>
      <c r="AN29" s="1876"/>
      <c r="AO29" s="410">
        <f t="shared" si="4"/>
        <v>0</v>
      </c>
      <c r="AP29" s="456">
        <f t="shared" si="5"/>
        <v>0</v>
      </c>
      <c r="AQ29" s="577"/>
      <c r="AR29" s="574" t="str">
        <f t="shared" si="6"/>
        <v>円/0</v>
      </c>
      <c r="AS29" s="424">
        <f t="shared" si="7"/>
        <v>0</v>
      </c>
    </row>
    <row r="30" spans="2:45" ht="30" hidden="1" customHeight="1" outlineLevel="1">
      <c r="B30" s="1706"/>
      <c r="C30" s="1861"/>
      <c r="D30" s="1883"/>
      <c r="E30" s="1884"/>
      <c r="F30" s="1884"/>
      <c r="G30" s="1884"/>
      <c r="H30" s="1884"/>
      <c r="I30" s="1884"/>
      <c r="J30" s="1884"/>
      <c r="K30" s="1884"/>
      <c r="L30" s="1885"/>
      <c r="M30" s="578"/>
      <c r="N30" s="579"/>
      <c r="O30" s="1866"/>
      <c r="P30" s="1880"/>
      <c r="Q30" s="1881"/>
      <c r="R30" s="1882"/>
      <c r="S30" s="572"/>
      <c r="T30" s="226"/>
      <c r="U30" s="226"/>
      <c r="V30" s="226"/>
      <c r="W30" s="226"/>
      <c r="X30" s="226"/>
      <c r="Y30" s="226"/>
      <c r="Z30" s="226"/>
      <c r="AA30" s="226"/>
      <c r="AD30" s="226"/>
      <c r="AE30" s="226"/>
      <c r="AF30" s="226"/>
      <c r="AG30" s="226"/>
      <c r="AK30" s="1872"/>
      <c r="AL30" s="1873"/>
      <c r="AM30" s="1876">
        <f t="shared" si="3"/>
        <v>0</v>
      </c>
      <c r="AN30" s="1876"/>
      <c r="AO30" s="410">
        <f t="shared" si="4"/>
        <v>0</v>
      </c>
      <c r="AP30" s="456">
        <f t="shared" si="5"/>
        <v>0</v>
      </c>
      <c r="AQ30" s="577"/>
      <c r="AR30" s="574" t="str">
        <f t="shared" si="6"/>
        <v>円/0</v>
      </c>
      <c r="AS30" s="424">
        <f t="shared" si="7"/>
        <v>0</v>
      </c>
    </row>
    <row r="31" spans="2:45" ht="30" hidden="1" customHeight="1" outlineLevel="1">
      <c r="B31" s="1706"/>
      <c r="C31" s="1861"/>
      <c r="D31" s="1883"/>
      <c r="E31" s="1884"/>
      <c r="F31" s="1884"/>
      <c r="G31" s="1884"/>
      <c r="H31" s="1884"/>
      <c r="I31" s="1884"/>
      <c r="J31" s="1884"/>
      <c r="K31" s="1884"/>
      <c r="L31" s="1885"/>
      <c r="M31" s="578"/>
      <c r="N31" s="579"/>
      <c r="O31" s="1866"/>
      <c r="P31" s="1880"/>
      <c r="Q31" s="1881"/>
      <c r="R31" s="1882"/>
      <c r="S31" s="572"/>
      <c r="T31" s="226"/>
      <c r="U31" s="226"/>
      <c r="V31" s="226"/>
      <c r="W31" s="226"/>
      <c r="X31" s="226"/>
      <c r="Y31" s="226"/>
      <c r="Z31" s="226"/>
      <c r="AA31" s="226"/>
      <c r="AD31" s="226"/>
      <c r="AE31" s="226"/>
      <c r="AF31" s="226"/>
      <c r="AG31" s="226"/>
      <c r="AK31" s="1872"/>
      <c r="AL31" s="1873"/>
      <c r="AM31" s="1876">
        <f t="shared" si="3"/>
        <v>0</v>
      </c>
      <c r="AN31" s="1876"/>
      <c r="AO31" s="410">
        <f t="shared" si="4"/>
        <v>0</v>
      </c>
      <c r="AP31" s="456">
        <f t="shared" si="5"/>
        <v>0</v>
      </c>
      <c r="AQ31" s="577"/>
      <c r="AR31" s="574" t="str">
        <f t="shared" si="6"/>
        <v>円/0</v>
      </c>
      <c r="AS31" s="424">
        <f t="shared" si="7"/>
        <v>0</v>
      </c>
    </row>
    <row r="32" spans="2:45" ht="30" hidden="1" customHeight="1" outlineLevel="1" thickBot="1">
      <c r="B32" s="1706"/>
      <c r="C32" s="1861"/>
      <c r="D32" s="1886"/>
      <c r="E32" s="1887"/>
      <c r="F32" s="1887"/>
      <c r="G32" s="1887"/>
      <c r="H32" s="1887"/>
      <c r="I32" s="1887"/>
      <c r="J32" s="1887"/>
      <c r="K32" s="1887"/>
      <c r="L32" s="1888"/>
      <c r="M32" s="580"/>
      <c r="N32" s="581"/>
      <c r="O32" s="1866"/>
      <c r="P32" s="1889"/>
      <c r="Q32" s="1890"/>
      <c r="R32" s="1891"/>
      <c r="S32" s="572"/>
      <c r="T32" s="226"/>
      <c r="U32" s="226"/>
      <c r="V32" s="226"/>
      <c r="W32" s="226"/>
      <c r="X32" s="226"/>
      <c r="Y32" s="226"/>
      <c r="Z32" s="226"/>
      <c r="AA32" s="226"/>
      <c r="AD32" s="226"/>
      <c r="AE32" s="226"/>
      <c r="AF32" s="226"/>
      <c r="AG32" s="226"/>
      <c r="AK32" s="1874"/>
      <c r="AL32" s="1875"/>
      <c r="AM32" s="1876">
        <f t="shared" si="3"/>
        <v>0</v>
      </c>
      <c r="AN32" s="1876"/>
      <c r="AO32" s="410">
        <f t="shared" si="4"/>
        <v>0</v>
      </c>
      <c r="AP32" s="456">
        <f t="shared" si="5"/>
        <v>0</v>
      </c>
      <c r="AQ32" s="582"/>
      <c r="AR32" s="574" t="str">
        <f t="shared" si="6"/>
        <v>円/0</v>
      </c>
      <c r="AS32" s="424">
        <f t="shared" si="7"/>
        <v>0</v>
      </c>
    </row>
    <row r="33" spans="1:58" s="2" customFormat="1" ht="30" customHeight="1" thickTop="1">
      <c r="B33" s="583"/>
      <c r="C33" s="583"/>
      <c r="D33" s="584"/>
      <c r="E33" s="584"/>
      <c r="F33" s="584"/>
      <c r="G33" s="584"/>
      <c r="H33" s="584"/>
      <c r="I33" s="584"/>
      <c r="J33" s="584"/>
      <c r="K33" s="584"/>
      <c r="L33" s="584"/>
      <c r="M33" s="584"/>
      <c r="N33" s="584"/>
      <c r="O33" s="583"/>
      <c r="P33" s="584"/>
      <c r="Q33" s="584"/>
      <c r="R33" s="584"/>
      <c r="AK33" s="1892" t="s">
        <v>409</v>
      </c>
      <c r="AL33" s="1892"/>
      <c r="AM33" s="1795"/>
      <c r="AN33" s="1795"/>
      <c r="AO33" s="546"/>
      <c r="AP33" s="546"/>
      <c r="AQ33" s="585"/>
      <c r="AR33" s="546"/>
      <c r="AS33" s="410">
        <f>SUM(AS18:AS32)</f>
        <v>0</v>
      </c>
    </row>
    <row r="34" spans="1:58" s="2" customFormat="1" ht="30" customHeight="1">
      <c r="AK34" s="194"/>
      <c r="AL34" s="194"/>
      <c r="AM34" s="194"/>
      <c r="AN34" s="194"/>
      <c r="AO34" s="194"/>
      <c r="AP34" s="295"/>
      <c r="AQ34" s="194"/>
      <c r="AR34" s="295"/>
      <c r="AS34" s="194"/>
    </row>
    <row r="35" spans="1:58" ht="14.25" customHeight="1">
      <c r="AD35" s="226"/>
      <c r="AE35" s="226"/>
      <c r="AF35" s="226"/>
      <c r="AG35" s="226"/>
      <c r="AK35" s="50" t="s">
        <v>410</v>
      </c>
    </row>
    <row r="36" spans="1:58" ht="32.25" customHeight="1">
      <c r="AD36" s="226"/>
      <c r="AE36" s="226"/>
      <c r="AF36" s="226"/>
      <c r="AG36" s="226"/>
    </row>
    <row r="37" spans="1:58" s="297" customFormat="1" ht="14.25" customHeight="1">
      <c r="A37" s="295"/>
      <c r="B37" s="130" t="s">
        <v>411</v>
      </c>
      <c r="C37" s="134"/>
      <c r="D37" s="134"/>
      <c r="E37" s="134"/>
      <c r="F37" s="134"/>
      <c r="G37" s="134"/>
      <c r="H37" s="134"/>
      <c r="I37" s="134"/>
      <c r="J37" s="134"/>
      <c r="K37" s="134"/>
      <c r="L37" s="134"/>
      <c r="M37" s="134"/>
      <c r="N37" s="134"/>
      <c r="O37" s="134"/>
      <c r="W37" s="295"/>
      <c r="X37" s="295"/>
      <c r="Y37" s="295"/>
      <c r="Z37" s="295"/>
      <c r="AA37" s="295"/>
      <c r="AB37" s="2"/>
      <c r="AC37" s="2"/>
      <c r="AD37" s="227"/>
      <c r="AE37" s="227"/>
      <c r="AF37" s="227"/>
      <c r="AG37" s="227"/>
      <c r="AK37" s="130" t="s">
        <v>411</v>
      </c>
      <c r="AL37" s="130"/>
      <c r="AM37" s="130"/>
      <c r="AN37" s="197"/>
      <c r="AO37" s="197"/>
      <c r="AQ37" s="197"/>
      <c r="AS37" s="197"/>
      <c r="AT37" s="197"/>
      <c r="AU37" s="197"/>
      <c r="AV37" s="197"/>
      <c r="AW37" s="197"/>
      <c r="AX37" s="197"/>
      <c r="AY37" s="197"/>
      <c r="AZ37" s="197"/>
      <c r="BA37" s="197"/>
      <c r="BB37" s="197"/>
      <c r="BC37" s="197"/>
      <c r="BD37" s="197"/>
      <c r="BE37" s="197"/>
      <c r="BF37" s="197"/>
    </row>
    <row r="38" spans="1:58" s="297" customFormat="1" ht="14.25" customHeight="1">
      <c r="A38" s="586"/>
      <c r="B38" s="1893" t="s">
        <v>412</v>
      </c>
      <c r="C38" s="1893"/>
      <c r="D38" s="1893"/>
      <c r="E38" s="1893"/>
      <c r="F38" s="1893"/>
      <c r="G38" s="1893"/>
      <c r="H38" s="1893"/>
      <c r="I38" s="1893"/>
      <c r="J38" s="1893"/>
      <c r="K38" s="1893"/>
      <c r="L38" s="1893"/>
      <c r="M38" s="1893"/>
      <c r="N38" s="1893"/>
      <c r="O38" s="1893"/>
      <c r="P38" s="1893"/>
      <c r="Q38" s="1893"/>
      <c r="R38" s="1893"/>
      <c r="S38" s="1893"/>
      <c r="T38" s="1893"/>
      <c r="U38" s="1893"/>
      <c r="V38" s="1893"/>
      <c r="W38" s="1893"/>
      <c r="X38" s="1893"/>
      <c r="Y38" s="1893"/>
      <c r="AB38" s="2"/>
      <c r="AC38" s="2"/>
      <c r="AD38" s="227"/>
      <c r="AE38" s="227"/>
      <c r="AF38" s="227"/>
      <c r="AG38" s="227"/>
      <c r="AK38" s="197"/>
      <c r="AL38" s="197"/>
      <c r="AM38" s="197"/>
      <c r="AN38" s="197"/>
      <c r="AO38" s="197"/>
      <c r="AQ38" s="197"/>
      <c r="AS38" s="197"/>
      <c r="AT38" s="197"/>
      <c r="AU38" s="197"/>
      <c r="AV38" s="197"/>
      <c r="AW38" s="197"/>
      <c r="AX38" s="197"/>
      <c r="AY38" s="197"/>
      <c r="AZ38" s="197"/>
      <c r="BA38" s="197"/>
      <c r="BB38" s="197"/>
      <c r="BC38" s="197"/>
      <c r="BD38" s="197"/>
      <c r="BE38" s="197"/>
      <c r="BF38" s="197"/>
    </row>
    <row r="39" spans="1:58" s="297" customFormat="1" ht="14.25" customHeight="1">
      <c r="A39" s="586"/>
      <c r="B39" s="1893"/>
      <c r="C39" s="1893"/>
      <c r="D39" s="1893"/>
      <c r="E39" s="1893"/>
      <c r="F39" s="1893"/>
      <c r="G39" s="1893"/>
      <c r="H39" s="1893"/>
      <c r="I39" s="1893"/>
      <c r="J39" s="1893"/>
      <c r="K39" s="1893"/>
      <c r="L39" s="1893"/>
      <c r="M39" s="1893"/>
      <c r="N39" s="1893"/>
      <c r="O39" s="1893"/>
      <c r="P39" s="1893"/>
      <c r="Q39" s="1893"/>
      <c r="R39" s="1893"/>
      <c r="S39" s="1893"/>
      <c r="T39" s="1893"/>
      <c r="U39" s="1893"/>
      <c r="V39" s="1893"/>
      <c r="W39" s="1893"/>
      <c r="X39" s="1893"/>
      <c r="Y39" s="1893"/>
      <c r="AB39" s="2"/>
      <c r="AC39" s="2"/>
      <c r="AK39" s="197"/>
      <c r="AL39" s="197"/>
      <c r="AM39" s="197"/>
      <c r="AN39" s="197"/>
      <c r="AO39" s="197"/>
      <c r="AP39" s="2"/>
      <c r="AQ39" s="197"/>
      <c r="AR39" s="2"/>
      <c r="AS39" s="197"/>
      <c r="AT39" s="197"/>
      <c r="AU39" s="197"/>
      <c r="AV39" s="197"/>
      <c r="AW39" s="197"/>
      <c r="AX39" s="197"/>
      <c r="AY39" s="197"/>
      <c r="AZ39" s="197"/>
      <c r="BA39" s="197"/>
      <c r="BB39" s="197"/>
      <c r="BC39" s="197"/>
      <c r="BD39" s="197"/>
      <c r="BE39" s="197"/>
      <c r="BF39" s="197"/>
    </row>
    <row r="40" spans="1:58" ht="14.25" customHeight="1">
      <c r="A40" s="586"/>
      <c r="B40" s="1893"/>
      <c r="C40" s="1893"/>
      <c r="D40" s="1893"/>
      <c r="E40" s="1893"/>
      <c r="F40" s="1893"/>
      <c r="G40" s="1893"/>
      <c r="H40" s="1893"/>
      <c r="I40" s="1893"/>
      <c r="J40" s="1893"/>
      <c r="K40" s="1893"/>
      <c r="L40" s="1893"/>
      <c r="M40" s="1893"/>
      <c r="N40" s="1893"/>
      <c r="O40" s="1893"/>
      <c r="P40" s="1893"/>
      <c r="Q40" s="1893"/>
      <c r="R40" s="1893"/>
      <c r="S40" s="1893"/>
      <c r="T40" s="1893"/>
      <c r="U40" s="1893"/>
      <c r="V40" s="1893"/>
      <c r="W40" s="1893"/>
      <c r="X40" s="1893"/>
      <c r="Y40" s="1893"/>
      <c r="Z40" s="297"/>
      <c r="AA40" s="297"/>
      <c r="AP40" s="2"/>
      <c r="AR40" s="2"/>
    </row>
    <row r="41" spans="1:58" ht="14.25" customHeight="1" thickBot="1">
      <c r="A41" s="586"/>
      <c r="B41" s="1893"/>
      <c r="C41" s="1893"/>
      <c r="D41" s="1893"/>
      <c r="E41" s="1893"/>
      <c r="F41" s="1893"/>
      <c r="G41" s="1893"/>
      <c r="H41" s="1893"/>
      <c r="I41" s="1893"/>
      <c r="J41" s="1893"/>
      <c r="K41" s="1893"/>
      <c r="L41" s="1893"/>
      <c r="M41" s="1893"/>
      <c r="N41" s="1893"/>
      <c r="O41" s="1893"/>
      <c r="P41" s="1893"/>
      <c r="Q41" s="1893"/>
      <c r="R41" s="1893"/>
      <c r="S41" s="1893"/>
      <c r="T41" s="1893"/>
      <c r="U41" s="1893"/>
      <c r="V41" s="1893"/>
      <c r="W41" s="1893"/>
      <c r="X41" s="1893"/>
      <c r="Y41" s="1893"/>
      <c r="Z41" s="297"/>
      <c r="AA41" s="297"/>
      <c r="AK41" s="197" t="s">
        <v>308</v>
      </c>
      <c r="AL41" s="197"/>
      <c r="AM41" s="197"/>
      <c r="AN41" s="197"/>
      <c r="AO41" s="197"/>
      <c r="AQ41" s="197"/>
      <c r="AS41" s="197"/>
    </row>
    <row r="42" spans="1:58" ht="14.25" customHeight="1">
      <c r="A42" s="398"/>
      <c r="B42" s="1430" t="s">
        <v>329</v>
      </c>
      <c r="C42" s="1431"/>
      <c r="D42" s="1431"/>
      <c r="E42" s="1431"/>
      <c r="F42" s="1431"/>
      <c r="G42" s="1431"/>
      <c r="H42" s="1431"/>
      <c r="I42" s="1431"/>
      <c r="J42" s="1431"/>
      <c r="K42" s="1431"/>
      <c r="L42" s="1454"/>
      <c r="M42" s="1713" t="s">
        <v>386</v>
      </c>
      <c r="N42" s="542"/>
      <c r="O42" s="1738" t="s">
        <v>387</v>
      </c>
      <c r="P42" s="1829" t="s">
        <v>370</v>
      </c>
      <c r="Q42" s="1830"/>
      <c r="R42" s="1831"/>
      <c r="W42" s="297"/>
      <c r="X42" s="297"/>
      <c r="Y42" s="297"/>
      <c r="Z42" s="297"/>
      <c r="AA42" s="297"/>
      <c r="AK42" s="1795" t="s">
        <v>329</v>
      </c>
      <c r="AL42" s="1795"/>
      <c r="AM42" s="1795"/>
      <c r="AN42" s="1795"/>
      <c r="AO42" s="1806" t="s">
        <v>386</v>
      </c>
      <c r="AP42" s="1807"/>
      <c r="AQ42" s="1806" t="s">
        <v>262</v>
      </c>
      <c r="AR42" s="1807"/>
      <c r="AS42" s="1812" t="s">
        <v>320</v>
      </c>
    </row>
    <row r="43" spans="1:58" ht="13.5" customHeight="1">
      <c r="A43" s="398"/>
      <c r="B43" s="1683"/>
      <c r="C43" s="1684"/>
      <c r="D43" s="1684"/>
      <c r="E43" s="1684"/>
      <c r="F43" s="1684"/>
      <c r="G43" s="1684"/>
      <c r="H43" s="1684"/>
      <c r="I43" s="1684"/>
      <c r="J43" s="1684"/>
      <c r="K43" s="1684"/>
      <c r="L43" s="1685"/>
      <c r="M43" s="1714"/>
      <c r="N43" s="1815" t="s">
        <v>165</v>
      </c>
      <c r="O43" s="1739"/>
      <c r="P43" s="1832"/>
      <c r="Q43" s="1833"/>
      <c r="R43" s="1834"/>
      <c r="AK43" s="1795"/>
      <c r="AL43" s="1795"/>
      <c r="AM43" s="1795"/>
      <c r="AN43" s="1795"/>
      <c r="AO43" s="1808"/>
      <c r="AP43" s="1809"/>
      <c r="AQ43" s="1808"/>
      <c r="AR43" s="1809"/>
      <c r="AS43" s="1813"/>
    </row>
    <row r="44" spans="1:58" ht="18" customHeight="1" thickBot="1">
      <c r="B44" s="1433"/>
      <c r="C44" s="1434"/>
      <c r="D44" s="1434"/>
      <c r="E44" s="1434"/>
      <c r="F44" s="1434"/>
      <c r="G44" s="1434"/>
      <c r="H44" s="1434"/>
      <c r="I44" s="1434"/>
      <c r="J44" s="1434"/>
      <c r="K44" s="1434"/>
      <c r="L44" s="1686"/>
      <c r="M44" s="1827"/>
      <c r="N44" s="1816"/>
      <c r="O44" s="1739"/>
      <c r="P44" s="1835"/>
      <c r="Q44" s="1833"/>
      <c r="R44" s="1834"/>
      <c r="S44" s="226"/>
      <c r="T44" s="226"/>
      <c r="U44" s="226"/>
      <c r="V44" s="226"/>
      <c r="W44" s="226"/>
      <c r="X44" s="226"/>
      <c r="AB44" s="295"/>
      <c r="AC44" s="295"/>
      <c r="AK44" s="1795"/>
      <c r="AL44" s="1795"/>
      <c r="AM44" s="1795"/>
      <c r="AN44" s="1795"/>
      <c r="AO44" s="1810"/>
      <c r="AP44" s="1811"/>
      <c r="AQ44" s="1810"/>
      <c r="AR44" s="1811"/>
      <c r="AS44" s="1814"/>
    </row>
    <row r="45" spans="1:58" ht="30" customHeight="1" thickTop="1" thickBot="1">
      <c r="B45" s="1817" t="s">
        <v>388</v>
      </c>
      <c r="C45" s="1818"/>
      <c r="D45" s="1818"/>
      <c r="E45" s="1818"/>
      <c r="F45" s="1818"/>
      <c r="G45" s="1818"/>
      <c r="H45" s="1818"/>
      <c r="I45" s="1818"/>
      <c r="J45" s="1818"/>
      <c r="K45" s="1818"/>
      <c r="L45" s="1819"/>
      <c r="M45" s="543"/>
      <c r="N45" s="544" t="s">
        <v>413</v>
      </c>
      <c r="O45" s="587"/>
      <c r="P45" s="1820"/>
      <c r="Q45" s="1821"/>
      <c r="R45" s="1822"/>
      <c r="S45" s="226"/>
      <c r="T45" s="226"/>
      <c r="U45" s="226"/>
      <c r="V45" s="226"/>
      <c r="W45" s="226"/>
      <c r="X45" s="226"/>
      <c r="AB45" s="295"/>
      <c r="AC45" s="295"/>
      <c r="AK45" s="1795" t="s">
        <v>414</v>
      </c>
      <c r="AL45" s="1795"/>
      <c r="AM45" s="1795"/>
      <c r="AN45" s="1795"/>
      <c r="AO45" s="546"/>
      <c r="AP45" s="546"/>
      <c r="AQ45" s="546"/>
      <c r="AR45" s="546"/>
      <c r="AS45" s="410">
        <f>IF(O45&gt;0,ROUND(O45*P45%,),SUM(AS46:AS47))</f>
        <v>0</v>
      </c>
    </row>
    <row r="46" spans="1:58" ht="30" customHeight="1" thickTop="1">
      <c r="B46" s="588"/>
      <c r="C46" s="1894" t="s">
        <v>415</v>
      </c>
      <c r="D46" s="1895"/>
      <c r="E46" s="1895"/>
      <c r="F46" s="1895"/>
      <c r="G46" s="1895"/>
      <c r="H46" s="1895"/>
      <c r="I46" s="1895"/>
      <c r="J46" s="1895"/>
      <c r="K46" s="1895"/>
      <c r="L46" s="1895"/>
      <c r="M46" s="486"/>
      <c r="N46" s="589" t="s">
        <v>174</v>
      </c>
      <c r="O46" s="590"/>
      <c r="P46" s="1896"/>
      <c r="Q46" s="1896"/>
      <c r="R46" s="1897"/>
      <c r="S46" s="552"/>
      <c r="T46" s="226"/>
      <c r="U46" s="226"/>
      <c r="V46" s="226"/>
      <c r="W46" s="226"/>
      <c r="X46" s="226"/>
      <c r="AB46" s="295"/>
      <c r="AC46" s="295"/>
      <c r="AK46" s="1898" t="s">
        <v>416</v>
      </c>
      <c r="AL46" s="1899"/>
      <c r="AM46" s="1899"/>
      <c r="AN46" s="1900"/>
      <c r="AO46" s="410">
        <f>ROUND(M46*P46%,)</f>
        <v>0</v>
      </c>
      <c r="AP46" s="554" t="s">
        <v>417</v>
      </c>
      <c r="AQ46" s="252">
        <f>IF(AND(AO46&gt;0,AS46&gt;0),ROUND(AS46/AO46,2),)</f>
        <v>0</v>
      </c>
      <c r="AR46" s="554" t="s">
        <v>418</v>
      </c>
      <c r="AS46" s="410">
        <f>ROUND(O46*P46%,)</f>
        <v>0</v>
      </c>
      <c r="BA46" s="295"/>
      <c r="BB46" s="295"/>
    </row>
    <row r="47" spans="1:58" ht="30" customHeight="1">
      <c r="B47" s="588"/>
      <c r="C47" s="1894" t="s">
        <v>223</v>
      </c>
      <c r="D47" s="1895"/>
      <c r="E47" s="1895"/>
      <c r="F47" s="1895"/>
      <c r="G47" s="1895"/>
      <c r="H47" s="1895"/>
      <c r="I47" s="1895"/>
      <c r="J47" s="1895"/>
      <c r="K47" s="1895"/>
      <c r="L47" s="1895"/>
      <c r="M47" s="1901"/>
      <c r="N47" s="1902"/>
      <c r="O47" s="1902"/>
      <c r="P47" s="1902"/>
      <c r="Q47" s="1902"/>
      <c r="R47" s="1903"/>
      <c r="S47" s="552"/>
      <c r="T47" s="226"/>
      <c r="U47" s="226"/>
      <c r="V47" s="226"/>
      <c r="W47" s="226"/>
      <c r="X47" s="226"/>
      <c r="AB47" s="295"/>
      <c r="AC47" s="295"/>
      <c r="AK47" s="1898" t="s">
        <v>223</v>
      </c>
      <c r="AL47" s="1899"/>
      <c r="AM47" s="1899"/>
      <c r="AN47" s="1900"/>
      <c r="AO47" s="546"/>
      <c r="AP47" s="546"/>
      <c r="AQ47" s="546"/>
      <c r="AR47" s="546"/>
      <c r="AS47" s="410">
        <f>SUMPRODUCT(ROUND((O48:O77)*(P48:R77)/100,))</f>
        <v>0</v>
      </c>
      <c r="BA47" s="295"/>
      <c r="BB47" s="295"/>
    </row>
    <row r="48" spans="1:58" ht="30" customHeight="1">
      <c r="B48" s="588"/>
      <c r="C48" s="553"/>
      <c r="D48" s="1904"/>
      <c r="E48" s="1905"/>
      <c r="F48" s="1905"/>
      <c r="G48" s="1905"/>
      <c r="H48" s="1905"/>
      <c r="I48" s="1905"/>
      <c r="J48" s="1905"/>
      <c r="K48" s="1905"/>
      <c r="L48" s="1906"/>
      <c r="M48" s="528"/>
      <c r="N48" s="591"/>
      <c r="O48" s="270"/>
      <c r="P48" s="1910"/>
      <c r="Q48" s="1911"/>
      <c r="R48" s="1912"/>
      <c r="S48" s="552"/>
      <c r="T48" s="226"/>
      <c r="U48" s="226"/>
      <c r="V48" s="226"/>
      <c r="W48" s="226"/>
      <c r="X48" s="226"/>
      <c r="AB48" s="295"/>
      <c r="AC48" s="295"/>
      <c r="AK48" s="592"/>
      <c r="AL48" s="592"/>
      <c r="AM48" s="592"/>
      <c r="AN48" s="592"/>
      <c r="AO48" s="593"/>
      <c r="AP48" s="593"/>
      <c r="AQ48" s="593"/>
      <c r="AR48" s="593"/>
      <c r="AS48" s="594"/>
      <c r="BA48" s="295"/>
      <c r="BB48" s="295"/>
    </row>
    <row r="49" spans="2:54" ht="30" customHeight="1">
      <c r="B49" s="588"/>
      <c r="C49" s="595"/>
      <c r="D49" s="1904"/>
      <c r="E49" s="1905"/>
      <c r="F49" s="1905"/>
      <c r="G49" s="1905"/>
      <c r="H49" s="1905"/>
      <c r="I49" s="1905"/>
      <c r="J49" s="1905"/>
      <c r="K49" s="1905"/>
      <c r="L49" s="1906"/>
      <c r="M49" s="411"/>
      <c r="N49" s="596"/>
      <c r="O49" s="257"/>
      <c r="P49" s="1907"/>
      <c r="Q49" s="1908"/>
      <c r="R49" s="1909"/>
      <c r="S49" s="552"/>
      <c r="T49" s="226"/>
      <c r="U49" s="226"/>
      <c r="V49" s="226"/>
      <c r="W49" s="226"/>
      <c r="X49" s="226"/>
      <c r="AB49" s="295"/>
      <c r="AC49" s="295"/>
      <c r="AK49" s="597"/>
      <c r="AL49" s="597"/>
      <c r="AM49" s="597"/>
      <c r="AN49" s="597"/>
      <c r="AO49" s="598"/>
      <c r="AP49" s="598"/>
      <c r="AQ49" s="598"/>
      <c r="AR49" s="598"/>
      <c r="AS49" s="489"/>
      <c r="BA49" s="295"/>
      <c r="BB49" s="295"/>
    </row>
    <row r="50" spans="2:54" ht="30" customHeight="1">
      <c r="B50" s="588"/>
      <c r="C50" s="599"/>
      <c r="D50" s="1904"/>
      <c r="E50" s="1905"/>
      <c r="F50" s="1905"/>
      <c r="G50" s="1905"/>
      <c r="H50" s="1905"/>
      <c r="I50" s="1905"/>
      <c r="J50" s="1905"/>
      <c r="K50" s="1905"/>
      <c r="L50" s="1906"/>
      <c r="M50" s="411"/>
      <c r="N50" s="596"/>
      <c r="O50" s="257"/>
      <c r="P50" s="1907"/>
      <c r="Q50" s="1908"/>
      <c r="R50" s="1909"/>
      <c r="S50" s="552"/>
      <c r="T50" s="226"/>
      <c r="U50" s="226"/>
      <c r="V50" s="226"/>
      <c r="W50" s="226"/>
      <c r="X50" s="226"/>
      <c r="Y50" s="226"/>
      <c r="Z50" s="226"/>
      <c r="AA50" s="226"/>
      <c r="AK50" s="597"/>
      <c r="AL50" s="597"/>
      <c r="AM50" s="597"/>
      <c r="AN50" s="597"/>
      <c r="AO50" s="598"/>
      <c r="AP50" s="598"/>
      <c r="AQ50" s="598"/>
      <c r="AR50" s="598"/>
      <c r="AS50" s="489"/>
      <c r="BA50" s="295"/>
      <c r="BB50" s="295"/>
    </row>
    <row r="51" spans="2:54" ht="30" customHeight="1" collapsed="1" thickBot="1">
      <c r="B51" s="588"/>
      <c r="C51" s="599"/>
      <c r="D51" s="1904"/>
      <c r="E51" s="1905"/>
      <c r="F51" s="1905"/>
      <c r="G51" s="1905"/>
      <c r="H51" s="1905"/>
      <c r="I51" s="1905"/>
      <c r="J51" s="1905"/>
      <c r="K51" s="1905"/>
      <c r="L51" s="1906"/>
      <c r="M51" s="411"/>
      <c r="N51" s="596"/>
      <c r="O51" s="257"/>
      <c r="P51" s="1907"/>
      <c r="Q51" s="1908"/>
      <c r="R51" s="1909"/>
      <c r="S51" s="552"/>
      <c r="T51" s="226"/>
      <c r="U51" s="226"/>
      <c r="V51" s="226"/>
      <c r="W51" s="226"/>
      <c r="X51" s="226"/>
      <c r="Y51" s="226"/>
      <c r="Z51" s="226"/>
      <c r="AA51" s="226"/>
      <c r="AK51" s="597"/>
      <c r="AL51" s="597"/>
      <c r="AM51" s="597"/>
      <c r="AN51" s="597"/>
      <c r="AO51" s="598"/>
      <c r="AP51" s="598"/>
      <c r="AQ51" s="598"/>
      <c r="AR51" s="598"/>
      <c r="AS51" s="489"/>
      <c r="BA51" s="295"/>
      <c r="BB51" s="295"/>
    </row>
    <row r="52" spans="2:54" ht="30" hidden="1" customHeight="1" outlineLevel="1">
      <c r="B52" s="588"/>
      <c r="C52" s="599"/>
      <c r="D52" s="1904"/>
      <c r="E52" s="1905"/>
      <c r="F52" s="1905"/>
      <c r="G52" s="1905"/>
      <c r="H52" s="1905"/>
      <c r="I52" s="1905"/>
      <c r="J52" s="1905"/>
      <c r="K52" s="1905"/>
      <c r="L52" s="1906"/>
      <c r="M52" s="411"/>
      <c r="N52" s="596"/>
      <c r="O52" s="257"/>
      <c r="P52" s="1907"/>
      <c r="Q52" s="1908"/>
      <c r="R52" s="1909"/>
      <c r="S52" s="552"/>
      <c r="T52" s="226"/>
      <c r="U52" s="226"/>
      <c r="V52" s="226"/>
      <c r="W52" s="226"/>
      <c r="X52" s="226"/>
      <c r="Y52" s="226"/>
      <c r="Z52" s="226"/>
      <c r="AA52" s="226"/>
      <c r="AK52" s="597"/>
      <c r="AL52" s="597"/>
      <c r="AM52" s="597"/>
      <c r="AN52" s="597"/>
      <c r="AO52" s="598"/>
      <c r="AP52" s="598"/>
      <c r="AQ52" s="598"/>
      <c r="AR52" s="598"/>
      <c r="AS52" s="489"/>
      <c r="BA52" s="295"/>
      <c r="BB52" s="295"/>
    </row>
    <row r="53" spans="2:54" ht="30" hidden="1" customHeight="1" outlineLevel="1">
      <c r="B53" s="588"/>
      <c r="C53" s="599"/>
      <c r="D53" s="1904"/>
      <c r="E53" s="1905"/>
      <c r="F53" s="1905"/>
      <c r="G53" s="1905"/>
      <c r="H53" s="1905"/>
      <c r="I53" s="1905"/>
      <c r="J53" s="1905"/>
      <c r="K53" s="1905"/>
      <c r="L53" s="1906"/>
      <c r="M53" s="411"/>
      <c r="N53" s="596"/>
      <c r="O53" s="257"/>
      <c r="P53" s="1907"/>
      <c r="Q53" s="1908"/>
      <c r="R53" s="1909"/>
      <c r="S53" s="552"/>
      <c r="T53" s="226"/>
      <c r="U53" s="226"/>
      <c r="V53" s="226"/>
      <c r="W53" s="226"/>
      <c r="X53" s="226"/>
      <c r="Y53" s="226"/>
      <c r="Z53" s="226"/>
      <c r="AA53" s="226"/>
      <c r="AK53" s="597"/>
      <c r="AL53" s="597"/>
      <c r="AM53" s="597"/>
      <c r="AN53" s="597"/>
      <c r="AO53" s="598"/>
      <c r="AP53" s="598"/>
      <c r="AQ53" s="598"/>
      <c r="AR53" s="598"/>
      <c r="AS53" s="489"/>
      <c r="BA53" s="295"/>
      <c r="BB53" s="295"/>
    </row>
    <row r="54" spans="2:54" ht="30" hidden="1" customHeight="1" outlineLevel="1">
      <c r="B54" s="588"/>
      <c r="C54" s="599"/>
      <c r="D54" s="1904"/>
      <c r="E54" s="1905"/>
      <c r="F54" s="1905"/>
      <c r="G54" s="1905"/>
      <c r="H54" s="1905"/>
      <c r="I54" s="1905"/>
      <c r="J54" s="1905"/>
      <c r="K54" s="1905"/>
      <c r="L54" s="1906"/>
      <c r="M54" s="411"/>
      <c r="N54" s="596"/>
      <c r="O54" s="257"/>
      <c r="P54" s="1907"/>
      <c r="Q54" s="1908"/>
      <c r="R54" s="1909"/>
      <c r="S54" s="552"/>
      <c r="T54" s="226"/>
      <c r="U54" s="226"/>
      <c r="V54" s="226"/>
      <c r="W54" s="226"/>
      <c r="X54" s="226"/>
      <c r="Y54" s="226"/>
      <c r="Z54" s="226"/>
      <c r="AA54" s="226"/>
      <c r="AK54" s="597"/>
      <c r="AL54" s="597"/>
      <c r="AM54" s="597"/>
      <c r="AN54" s="597"/>
      <c r="AO54" s="598"/>
      <c r="AP54" s="598"/>
      <c r="AQ54" s="598"/>
      <c r="AR54" s="598"/>
      <c r="AS54" s="489"/>
      <c r="BA54" s="295"/>
      <c r="BB54" s="295"/>
    </row>
    <row r="55" spans="2:54" ht="30" hidden="1" customHeight="1" outlineLevel="1">
      <c r="B55" s="588"/>
      <c r="C55" s="599"/>
      <c r="D55" s="1904"/>
      <c r="E55" s="1905"/>
      <c r="F55" s="1905"/>
      <c r="G55" s="1905"/>
      <c r="H55" s="1905"/>
      <c r="I55" s="1905"/>
      <c r="J55" s="1905"/>
      <c r="K55" s="1905"/>
      <c r="L55" s="1906"/>
      <c r="M55" s="411"/>
      <c r="N55" s="596"/>
      <c r="O55" s="257"/>
      <c r="P55" s="1907"/>
      <c r="Q55" s="1908"/>
      <c r="R55" s="1909"/>
      <c r="S55" s="552"/>
      <c r="T55" s="226"/>
      <c r="U55" s="226"/>
      <c r="V55" s="226"/>
      <c r="W55" s="226"/>
      <c r="X55" s="226"/>
      <c r="Y55" s="226"/>
      <c r="Z55" s="226"/>
      <c r="AA55" s="226"/>
      <c r="AK55" s="597"/>
      <c r="AL55" s="597"/>
      <c r="AM55" s="597"/>
      <c r="AN55" s="597"/>
      <c r="AO55" s="598"/>
      <c r="AP55" s="598"/>
      <c r="AQ55" s="598"/>
      <c r="AR55" s="598"/>
      <c r="AS55" s="489"/>
      <c r="BA55" s="295"/>
      <c r="BB55" s="295"/>
    </row>
    <row r="56" spans="2:54" ht="30" hidden="1" customHeight="1" outlineLevel="1">
      <c r="B56" s="588"/>
      <c r="C56" s="599"/>
      <c r="D56" s="1904"/>
      <c r="E56" s="1905"/>
      <c r="F56" s="1905"/>
      <c r="G56" s="1905"/>
      <c r="H56" s="1905"/>
      <c r="I56" s="1905"/>
      <c r="J56" s="1905"/>
      <c r="K56" s="1905"/>
      <c r="L56" s="1906"/>
      <c r="M56" s="411"/>
      <c r="N56" s="596"/>
      <c r="O56" s="257"/>
      <c r="P56" s="1907"/>
      <c r="Q56" s="1908"/>
      <c r="R56" s="1909"/>
      <c r="S56" s="552"/>
      <c r="T56" s="226"/>
      <c r="U56" s="226"/>
      <c r="V56" s="226"/>
      <c r="W56" s="226"/>
      <c r="X56" s="226"/>
      <c r="Y56" s="226"/>
      <c r="Z56" s="226"/>
      <c r="AA56" s="226"/>
      <c r="AK56" s="597"/>
      <c r="AL56" s="597"/>
      <c r="AM56" s="597"/>
      <c r="AN56" s="597"/>
      <c r="AO56" s="598"/>
      <c r="AP56" s="598"/>
      <c r="AQ56" s="598"/>
      <c r="AR56" s="598"/>
      <c r="AS56" s="489"/>
      <c r="BA56" s="295"/>
      <c r="BB56" s="295"/>
    </row>
    <row r="57" spans="2:54" ht="30" hidden="1" customHeight="1" outlineLevel="1">
      <c r="B57" s="588"/>
      <c r="C57" s="599"/>
      <c r="D57" s="1904"/>
      <c r="E57" s="1905"/>
      <c r="F57" s="1905"/>
      <c r="G57" s="1905"/>
      <c r="H57" s="1905"/>
      <c r="I57" s="1905"/>
      <c r="J57" s="1905"/>
      <c r="K57" s="1905"/>
      <c r="L57" s="1906"/>
      <c r="M57" s="411"/>
      <c r="N57" s="596"/>
      <c r="O57" s="257"/>
      <c r="P57" s="1907"/>
      <c r="Q57" s="1908"/>
      <c r="R57" s="1909"/>
      <c r="S57" s="552"/>
      <c r="T57" s="226"/>
      <c r="U57" s="226"/>
      <c r="V57" s="226"/>
      <c r="W57" s="226"/>
      <c r="X57" s="226"/>
      <c r="Y57" s="226"/>
      <c r="Z57" s="226"/>
      <c r="AA57" s="226"/>
      <c r="AK57" s="597"/>
      <c r="AL57" s="597"/>
      <c r="AM57" s="597"/>
      <c r="AN57" s="597"/>
      <c r="AO57" s="598"/>
      <c r="AP57" s="598"/>
      <c r="AQ57" s="598"/>
      <c r="AR57" s="598"/>
      <c r="AS57" s="489"/>
      <c r="BA57" s="295"/>
      <c r="BB57" s="295"/>
    </row>
    <row r="58" spans="2:54" ht="30" hidden="1" customHeight="1" outlineLevel="1">
      <c r="B58" s="588"/>
      <c r="C58" s="599"/>
      <c r="D58" s="1904"/>
      <c r="E58" s="1905"/>
      <c r="F58" s="1905"/>
      <c r="G58" s="1905"/>
      <c r="H58" s="1905"/>
      <c r="I58" s="1905"/>
      <c r="J58" s="1905"/>
      <c r="K58" s="1905"/>
      <c r="L58" s="1906"/>
      <c r="M58" s="411"/>
      <c r="N58" s="596"/>
      <c r="O58" s="257"/>
      <c r="P58" s="1907"/>
      <c r="Q58" s="1908"/>
      <c r="R58" s="1909"/>
      <c r="S58" s="552"/>
      <c r="T58" s="226"/>
      <c r="U58" s="226"/>
      <c r="V58" s="226"/>
      <c r="W58" s="226"/>
      <c r="X58" s="226"/>
      <c r="Y58" s="226"/>
      <c r="Z58" s="226"/>
      <c r="AA58" s="226"/>
      <c r="AK58" s="597"/>
      <c r="AL58" s="597"/>
      <c r="AM58" s="597"/>
      <c r="AN58" s="597"/>
      <c r="AO58" s="598"/>
      <c r="AP58" s="598"/>
      <c r="AQ58" s="598"/>
      <c r="AR58" s="598"/>
      <c r="AS58" s="489"/>
      <c r="BA58" s="295"/>
      <c r="BB58" s="295"/>
    </row>
    <row r="59" spans="2:54" ht="30" hidden="1" customHeight="1" outlineLevel="1">
      <c r="B59" s="588"/>
      <c r="C59" s="599"/>
      <c r="D59" s="1904"/>
      <c r="E59" s="1905"/>
      <c r="F59" s="1905"/>
      <c r="G59" s="1905"/>
      <c r="H59" s="1905"/>
      <c r="I59" s="1905"/>
      <c r="J59" s="1905"/>
      <c r="K59" s="1905"/>
      <c r="L59" s="1906"/>
      <c r="M59" s="411"/>
      <c r="N59" s="596"/>
      <c r="O59" s="257"/>
      <c r="P59" s="1907"/>
      <c r="Q59" s="1908"/>
      <c r="R59" s="1909"/>
      <c r="S59" s="552"/>
      <c r="T59" s="226"/>
      <c r="U59" s="226"/>
      <c r="V59" s="226"/>
      <c r="W59" s="226"/>
      <c r="X59" s="226"/>
      <c r="Y59" s="226"/>
      <c r="Z59" s="226"/>
      <c r="AA59" s="226"/>
      <c r="AK59" s="597"/>
      <c r="AL59" s="597"/>
      <c r="AM59" s="597"/>
      <c r="AN59" s="597"/>
      <c r="AO59" s="598"/>
      <c r="AP59" s="598"/>
      <c r="AQ59" s="598"/>
      <c r="AR59" s="598"/>
      <c r="AS59" s="489"/>
      <c r="BA59" s="295"/>
      <c r="BB59" s="295"/>
    </row>
    <row r="60" spans="2:54" ht="30" hidden="1" customHeight="1" outlineLevel="1">
      <c r="B60" s="588"/>
      <c r="C60" s="599"/>
      <c r="D60" s="1904"/>
      <c r="E60" s="1905"/>
      <c r="F60" s="1905"/>
      <c r="G60" s="1905"/>
      <c r="H60" s="1905"/>
      <c r="I60" s="1905"/>
      <c r="J60" s="1905"/>
      <c r="K60" s="1905"/>
      <c r="L60" s="1906"/>
      <c r="M60" s="411"/>
      <c r="N60" s="596"/>
      <c r="O60" s="257"/>
      <c r="P60" s="1907"/>
      <c r="Q60" s="1908"/>
      <c r="R60" s="1909"/>
      <c r="S60" s="552"/>
      <c r="T60" s="226"/>
      <c r="U60" s="226"/>
      <c r="V60" s="226"/>
      <c r="W60" s="226"/>
      <c r="X60" s="226"/>
      <c r="Y60" s="226"/>
      <c r="Z60" s="226"/>
      <c r="AA60" s="226"/>
      <c r="AK60" s="597"/>
      <c r="AL60" s="597"/>
      <c r="AM60" s="597"/>
      <c r="AN60" s="597"/>
      <c r="AO60" s="598"/>
      <c r="AP60" s="598"/>
      <c r="AQ60" s="598"/>
      <c r="AR60" s="598"/>
      <c r="AS60" s="489"/>
      <c r="BA60" s="295"/>
      <c r="BB60" s="295"/>
    </row>
    <row r="61" spans="2:54" ht="30" hidden="1" customHeight="1" outlineLevel="1">
      <c r="B61" s="588"/>
      <c r="C61" s="599"/>
      <c r="D61" s="1904"/>
      <c r="E61" s="1905"/>
      <c r="F61" s="1905"/>
      <c r="G61" s="1905"/>
      <c r="H61" s="1905"/>
      <c r="I61" s="1905"/>
      <c r="J61" s="1905"/>
      <c r="K61" s="1905"/>
      <c r="L61" s="1906"/>
      <c r="M61" s="411"/>
      <c r="N61" s="596"/>
      <c r="O61" s="257"/>
      <c r="P61" s="1907"/>
      <c r="Q61" s="1908"/>
      <c r="R61" s="1909"/>
      <c r="S61" s="552"/>
      <c r="T61" s="226"/>
      <c r="U61" s="226"/>
      <c r="V61" s="226"/>
      <c r="W61" s="226"/>
      <c r="X61" s="226"/>
      <c r="Y61" s="226"/>
      <c r="Z61" s="226"/>
      <c r="AA61" s="226"/>
      <c r="AK61" s="597"/>
      <c r="AL61" s="597"/>
      <c r="AM61" s="597"/>
      <c r="AN61" s="597"/>
      <c r="AO61" s="598"/>
      <c r="AP61" s="598"/>
      <c r="AQ61" s="598"/>
      <c r="AR61" s="598"/>
      <c r="AS61" s="489"/>
      <c r="BA61" s="295"/>
      <c r="BB61" s="295"/>
    </row>
    <row r="62" spans="2:54" ht="30" hidden="1" customHeight="1" outlineLevel="1">
      <c r="B62" s="588"/>
      <c r="C62" s="599"/>
      <c r="D62" s="1904"/>
      <c r="E62" s="1905"/>
      <c r="F62" s="1905"/>
      <c r="G62" s="1905"/>
      <c r="H62" s="1905"/>
      <c r="I62" s="1905"/>
      <c r="J62" s="1905"/>
      <c r="K62" s="1905"/>
      <c r="L62" s="1906"/>
      <c r="M62" s="411"/>
      <c r="N62" s="596"/>
      <c r="O62" s="257"/>
      <c r="P62" s="1907"/>
      <c r="Q62" s="1908"/>
      <c r="R62" s="1909"/>
      <c r="S62" s="552"/>
      <c r="T62" s="226"/>
      <c r="U62" s="226"/>
      <c r="V62" s="226"/>
      <c r="W62" s="226"/>
      <c r="X62" s="226"/>
      <c r="Y62" s="226"/>
      <c r="Z62" s="226"/>
      <c r="AA62" s="226"/>
      <c r="AK62" s="597"/>
      <c r="AL62" s="597"/>
      <c r="AM62" s="597"/>
      <c r="AN62" s="597"/>
      <c r="AO62" s="598"/>
      <c r="AP62" s="598"/>
      <c r="AQ62" s="598"/>
      <c r="AR62" s="598"/>
      <c r="AS62" s="489"/>
      <c r="BA62" s="295"/>
      <c r="BB62" s="295"/>
    </row>
    <row r="63" spans="2:54" ht="30" hidden="1" customHeight="1" outlineLevel="1">
      <c r="B63" s="588"/>
      <c r="C63" s="599"/>
      <c r="D63" s="1904"/>
      <c r="E63" s="1905"/>
      <c r="F63" s="1905"/>
      <c r="G63" s="1905"/>
      <c r="H63" s="1905"/>
      <c r="I63" s="1905"/>
      <c r="J63" s="1905"/>
      <c r="K63" s="1905"/>
      <c r="L63" s="1906"/>
      <c r="M63" s="411"/>
      <c r="N63" s="596"/>
      <c r="O63" s="257"/>
      <c r="P63" s="1907"/>
      <c r="Q63" s="1908"/>
      <c r="R63" s="1909"/>
      <c r="S63" s="552"/>
      <c r="T63" s="226"/>
      <c r="U63" s="226"/>
      <c r="V63" s="226"/>
      <c r="W63" s="226"/>
      <c r="X63" s="226"/>
      <c r="Y63" s="226"/>
      <c r="Z63" s="226"/>
      <c r="AA63" s="226"/>
      <c r="AK63" s="597"/>
      <c r="AL63" s="597"/>
      <c r="AM63" s="597"/>
      <c r="AN63" s="597"/>
      <c r="AO63" s="598"/>
      <c r="AP63" s="598"/>
      <c r="AQ63" s="598"/>
      <c r="AR63" s="598"/>
      <c r="AS63" s="489"/>
      <c r="BA63" s="295"/>
      <c r="BB63" s="295"/>
    </row>
    <row r="64" spans="2:54" ht="30" hidden="1" customHeight="1" outlineLevel="1">
      <c r="B64" s="588"/>
      <c r="C64" s="599"/>
      <c r="D64" s="1904"/>
      <c r="E64" s="1905"/>
      <c r="F64" s="1905"/>
      <c r="G64" s="1905"/>
      <c r="H64" s="1905"/>
      <c r="I64" s="1905"/>
      <c r="J64" s="1905"/>
      <c r="K64" s="1905"/>
      <c r="L64" s="1906"/>
      <c r="M64" s="411"/>
      <c r="N64" s="596"/>
      <c r="O64" s="257"/>
      <c r="P64" s="1907"/>
      <c r="Q64" s="1908"/>
      <c r="R64" s="1909"/>
      <c r="S64" s="552"/>
      <c r="T64" s="226"/>
      <c r="U64" s="226"/>
      <c r="V64" s="226"/>
      <c r="W64" s="226"/>
      <c r="X64" s="226"/>
      <c r="Y64" s="226"/>
      <c r="Z64" s="226"/>
      <c r="AA64" s="226"/>
      <c r="AK64" s="597"/>
      <c r="AL64" s="597"/>
      <c r="AM64" s="597"/>
      <c r="AN64" s="597"/>
      <c r="AO64" s="598"/>
      <c r="AP64" s="598"/>
      <c r="AQ64" s="598"/>
      <c r="AR64" s="598"/>
      <c r="AS64" s="489"/>
      <c r="BA64" s="295"/>
      <c r="BB64" s="295"/>
    </row>
    <row r="65" spans="2:54" ht="30" hidden="1" customHeight="1" outlineLevel="1">
      <c r="B65" s="588"/>
      <c r="C65" s="599"/>
      <c r="D65" s="1904"/>
      <c r="E65" s="1905"/>
      <c r="F65" s="1905"/>
      <c r="G65" s="1905"/>
      <c r="H65" s="1905"/>
      <c r="I65" s="1905"/>
      <c r="J65" s="1905"/>
      <c r="K65" s="1905"/>
      <c r="L65" s="1906"/>
      <c r="M65" s="411"/>
      <c r="N65" s="596"/>
      <c r="O65" s="257"/>
      <c r="P65" s="1907"/>
      <c r="Q65" s="1908"/>
      <c r="R65" s="1909"/>
      <c r="S65" s="552"/>
      <c r="T65" s="226"/>
      <c r="U65" s="226"/>
      <c r="V65" s="226"/>
      <c r="W65" s="226"/>
      <c r="X65" s="226"/>
      <c r="Y65" s="226"/>
      <c r="Z65" s="226"/>
      <c r="AA65" s="226"/>
      <c r="AK65" s="597"/>
      <c r="AL65" s="597"/>
      <c r="AM65" s="597"/>
      <c r="AN65" s="597"/>
      <c r="AO65" s="598"/>
      <c r="AP65" s="598"/>
      <c r="AQ65" s="598"/>
      <c r="AR65" s="598"/>
      <c r="AS65" s="489"/>
      <c r="BA65" s="295"/>
      <c r="BB65" s="295"/>
    </row>
    <row r="66" spans="2:54" ht="30" hidden="1" customHeight="1" outlineLevel="1">
      <c r="B66" s="588"/>
      <c r="C66" s="599"/>
      <c r="D66" s="1904"/>
      <c r="E66" s="1905"/>
      <c r="F66" s="1905"/>
      <c r="G66" s="1905"/>
      <c r="H66" s="1905"/>
      <c r="I66" s="1905"/>
      <c r="J66" s="1905"/>
      <c r="K66" s="1905"/>
      <c r="L66" s="1906"/>
      <c r="M66" s="411"/>
      <c r="N66" s="596"/>
      <c r="O66" s="257"/>
      <c r="P66" s="1907"/>
      <c r="Q66" s="1908"/>
      <c r="R66" s="1909"/>
      <c r="S66" s="552"/>
      <c r="T66" s="226"/>
      <c r="U66" s="226"/>
      <c r="V66" s="226"/>
      <c r="W66" s="226"/>
      <c r="X66" s="226"/>
      <c r="Y66" s="226"/>
      <c r="Z66" s="226"/>
      <c r="AA66" s="226"/>
      <c r="AK66" s="597"/>
      <c r="AL66" s="597"/>
      <c r="AM66" s="597"/>
      <c r="AN66" s="597"/>
      <c r="AO66" s="598"/>
      <c r="AP66" s="598"/>
      <c r="AQ66" s="598"/>
      <c r="AR66" s="598"/>
      <c r="AS66" s="489"/>
      <c r="BA66" s="295"/>
      <c r="BB66" s="295"/>
    </row>
    <row r="67" spans="2:54" ht="30" hidden="1" customHeight="1" outlineLevel="1">
      <c r="B67" s="588"/>
      <c r="C67" s="599"/>
      <c r="D67" s="1904"/>
      <c r="E67" s="1905"/>
      <c r="F67" s="1905"/>
      <c r="G67" s="1905"/>
      <c r="H67" s="1905"/>
      <c r="I67" s="1905"/>
      <c r="J67" s="1905"/>
      <c r="K67" s="1905"/>
      <c r="L67" s="1906"/>
      <c r="M67" s="411"/>
      <c r="N67" s="596"/>
      <c r="O67" s="257"/>
      <c r="P67" s="1907"/>
      <c r="Q67" s="1908"/>
      <c r="R67" s="1909"/>
      <c r="S67" s="552"/>
      <c r="T67" s="226"/>
      <c r="U67" s="226"/>
      <c r="V67" s="226"/>
      <c r="W67" s="226"/>
      <c r="X67" s="226"/>
      <c r="Y67" s="226"/>
      <c r="Z67" s="226"/>
      <c r="AA67" s="226"/>
      <c r="AK67" s="597"/>
      <c r="AL67" s="597"/>
      <c r="AM67" s="597"/>
      <c r="AN67" s="597"/>
      <c r="AO67" s="598"/>
      <c r="AP67" s="598"/>
      <c r="AQ67" s="598"/>
      <c r="AR67" s="598"/>
      <c r="AS67" s="489"/>
      <c r="BA67" s="295"/>
      <c r="BB67" s="295"/>
    </row>
    <row r="68" spans="2:54" ht="30" hidden="1" customHeight="1" outlineLevel="1">
      <c r="B68" s="588"/>
      <c r="C68" s="599"/>
      <c r="D68" s="1904"/>
      <c r="E68" s="1905"/>
      <c r="F68" s="1905"/>
      <c r="G68" s="1905"/>
      <c r="H68" s="1905"/>
      <c r="I68" s="1905"/>
      <c r="J68" s="1905"/>
      <c r="K68" s="1905"/>
      <c r="L68" s="1906"/>
      <c r="M68" s="411"/>
      <c r="N68" s="596"/>
      <c r="O68" s="257"/>
      <c r="P68" s="1907"/>
      <c r="Q68" s="1908"/>
      <c r="R68" s="1909"/>
      <c r="S68" s="552"/>
      <c r="T68" s="226"/>
      <c r="U68" s="226"/>
      <c r="V68" s="226"/>
      <c r="W68" s="226"/>
      <c r="X68" s="226"/>
      <c r="Y68" s="226"/>
      <c r="Z68" s="226"/>
      <c r="AA68" s="226"/>
      <c r="AK68" s="597"/>
      <c r="AL68" s="597"/>
      <c r="AM68" s="597"/>
      <c r="AN68" s="597"/>
      <c r="AO68" s="598"/>
      <c r="AP68" s="598"/>
      <c r="AQ68" s="598"/>
      <c r="AR68" s="598"/>
      <c r="AS68" s="489"/>
      <c r="BA68" s="295"/>
      <c r="BB68" s="295"/>
    </row>
    <row r="69" spans="2:54" ht="30" hidden="1" customHeight="1" outlineLevel="1">
      <c r="B69" s="588"/>
      <c r="C69" s="599"/>
      <c r="D69" s="1904"/>
      <c r="E69" s="1905"/>
      <c r="F69" s="1905"/>
      <c r="G69" s="1905"/>
      <c r="H69" s="1905"/>
      <c r="I69" s="1905"/>
      <c r="J69" s="1905"/>
      <c r="K69" s="1905"/>
      <c r="L69" s="1906"/>
      <c r="M69" s="411"/>
      <c r="N69" s="596"/>
      <c r="O69" s="257"/>
      <c r="P69" s="1907"/>
      <c r="Q69" s="1908"/>
      <c r="R69" s="1909"/>
      <c r="S69" s="552"/>
      <c r="T69" s="226"/>
      <c r="U69" s="226"/>
      <c r="V69" s="226"/>
      <c r="W69" s="226"/>
      <c r="X69" s="226"/>
      <c r="Y69" s="226"/>
      <c r="Z69" s="226"/>
      <c r="AA69" s="226"/>
      <c r="AK69" s="597"/>
      <c r="AL69" s="597"/>
      <c r="AM69" s="597"/>
      <c r="AN69" s="597"/>
      <c r="AO69" s="598"/>
      <c r="AP69" s="598"/>
      <c r="AQ69" s="598"/>
      <c r="AR69" s="598"/>
      <c r="AS69" s="489"/>
      <c r="BA69" s="295"/>
      <c r="BB69" s="295"/>
    </row>
    <row r="70" spans="2:54" ht="30" hidden="1" customHeight="1" outlineLevel="1">
      <c r="B70" s="588"/>
      <c r="C70" s="599"/>
      <c r="D70" s="1904"/>
      <c r="E70" s="1905"/>
      <c r="F70" s="1905"/>
      <c r="G70" s="1905"/>
      <c r="H70" s="1905"/>
      <c r="I70" s="1905"/>
      <c r="J70" s="1905"/>
      <c r="K70" s="1905"/>
      <c r="L70" s="1906"/>
      <c r="M70" s="411"/>
      <c r="N70" s="596"/>
      <c r="O70" s="257"/>
      <c r="P70" s="1907"/>
      <c r="Q70" s="1908"/>
      <c r="R70" s="1909"/>
      <c r="S70" s="552"/>
      <c r="T70" s="226"/>
      <c r="U70" s="226"/>
      <c r="V70" s="226"/>
      <c r="W70" s="226"/>
      <c r="X70" s="226"/>
      <c r="Y70" s="226"/>
      <c r="Z70" s="226"/>
      <c r="AA70" s="226"/>
      <c r="AK70" s="597"/>
      <c r="AL70" s="597"/>
      <c r="AM70" s="597"/>
      <c r="AN70" s="597"/>
      <c r="AO70" s="598"/>
      <c r="AP70" s="598"/>
      <c r="AQ70" s="598"/>
      <c r="AR70" s="598"/>
      <c r="AS70" s="489"/>
      <c r="BA70" s="295"/>
      <c r="BB70" s="295"/>
    </row>
    <row r="71" spans="2:54" ht="30" hidden="1" customHeight="1" outlineLevel="1">
      <c r="B71" s="588"/>
      <c r="C71" s="599"/>
      <c r="D71" s="1904"/>
      <c r="E71" s="1905"/>
      <c r="F71" s="1905"/>
      <c r="G71" s="1905"/>
      <c r="H71" s="1905"/>
      <c r="I71" s="1905"/>
      <c r="J71" s="1905"/>
      <c r="K71" s="1905"/>
      <c r="L71" s="1906"/>
      <c r="M71" s="411"/>
      <c r="N71" s="596"/>
      <c r="O71" s="257"/>
      <c r="P71" s="1907"/>
      <c r="Q71" s="1908"/>
      <c r="R71" s="1909"/>
      <c r="S71" s="552"/>
      <c r="T71" s="226"/>
      <c r="U71" s="226"/>
      <c r="V71" s="226"/>
      <c r="W71" s="226"/>
      <c r="X71" s="226"/>
      <c r="Y71" s="226"/>
      <c r="Z71" s="226"/>
      <c r="AA71" s="226"/>
      <c r="AK71" s="597"/>
      <c r="AL71" s="597"/>
      <c r="AM71" s="597"/>
      <c r="AN71" s="597"/>
      <c r="AO71" s="598"/>
      <c r="AP71" s="598"/>
      <c r="AQ71" s="598"/>
      <c r="AR71" s="598"/>
      <c r="AS71" s="489"/>
      <c r="BA71" s="295"/>
      <c r="BB71" s="295"/>
    </row>
    <row r="72" spans="2:54" ht="30" hidden="1" customHeight="1" outlineLevel="1">
      <c r="B72" s="588"/>
      <c r="C72" s="599"/>
      <c r="D72" s="1904"/>
      <c r="E72" s="1905"/>
      <c r="F72" s="1905"/>
      <c r="G72" s="1905"/>
      <c r="H72" s="1905"/>
      <c r="I72" s="1905"/>
      <c r="J72" s="1905"/>
      <c r="K72" s="1905"/>
      <c r="L72" s="1906"/>
      <c r="M72" s="411"/>
      <c r="N72" s="596"/>
      <c r="O72" s="257"/>
      <c r="P72" s="1907"/>
      <c r="Q72" s="1908"/>
      <c r="R72" s="1909"/>
      <c r="S72" s="552"/>
      <c r="T72" s="226"/>
      <c r="U72" s="226"/>
      <c r="V72" s="226"/>
      <c r="W72" s="226"/>
      <c r="X72" s="226"/>
      <c r="Y72" s="226"/>
      <c r="Z72" s="226"/>
      <c r="AA72" s="226"/>
      <c r="AK72" s="597"/>
      <c r="AL72" s="597"/>
      <c r="AM72" s="597"/>
      <c r="AN72" s="597"/>
      <c r="AO72" s="598"/>
      <c r="AP72" s="598"/>
      <c r="AQ72" s="598"/>
      <c r="AR72" s="598"/>
      <c r="AS72" s="489"/>
      <c r="BA72" s="295"/>
      <c r="BB72" s="295"/>
    </row>
    <row r="73" spans="2:54" ht="30" hidden="1" customHeight="1" outlineLevel="1">
      <c r="B73" s="588"/>
      <c r="C73" s="599"/>
      <c r="D73" s="1904"/>
      <c r="E73" s="1905"/>
      <c r="F73" s="1905"/>
      <c r="G73" s="1905"/>
      <c r="H73" s="1905"/>
      <c r="I73" s="1905"/>
      <c r="J73" s="1905"/>
      <c r="K73" s="1905"/>
      <c r="L73" s="1906"/>
      <c r="M73" s="411"/>
      <c r="N73" s="596"/>
      <c r="O73" s="257"/>
      <c r="P73" s="1907"/>
      <c r="Q73" s="1908"/>
      <c r="R73" s="1909"/>
      <c r="S73" s="552"/>
      <c r="T73" s="226"/>
      <c r="U73" s="226"/>
      <c r="V73" s="226"/>
      <c r="W73" s="226"/>
      <c r="X73" s="226"/>
      <c r="Y73" s="226"/>
      <c r="Z73" s="226"/>
      <c r="AA73" s="226"/>
      <c r="AK73" s="597"/>
      <c r="AL73" s="597"/>
      <c r="AM73" s="597"/>
      <c r="AN73" s="597"/>
      <c r="AO73" s="598"/>
      <c r="AP73" s="598"/>
      <c r="AQ73" s="598"/>
      <c r="AR73" s="598"/>
      <c r="AS73" s="489"/>
      <c r="BA73" s="295"/>
      <c r="BB73" s="295"/>
    </row>
    <row r="74" spans="2:54" ht="30" hidden="1" customHeight="1" outlineLevel="1">
      <c r="B74" s="588"/>
      <c r="C74" s="599"/>
      <c r="D74" s="1904"/>
      <c r="E74" s="1905"/>
      <c r="F74" s="1905"/>
      <c r="G74" s="1905"/>
      <c r="H74" s="1905"/>
      <c r="I74" s="1905"/>
      <c r="J74" s="1905"/>
      <c r="K74" s="1905"/>
      <c r="L74" s="1906"/>
      <c r="M74" s="411"/>
      <c r="N74" s="596"/>
      <c r="O74" s="257"/>
      <c r="P74" s="1907"/>
      <c r="Q74" s="1908"/>
      <c r="R74" s="1909"/>
      <c r="S74" s="552"/>
      <c r="T74" s="226"/>
      <c r="U74" s="226"/>
      <c r="V74" s="226"/>
      <c r="W74" s="226"/>
      <c r="X74" s="226"/>
      <c r="Y74" s="226"/>
      <c r="Z74" s="226"/>
      <c r="AA74" s="226"/>
      <c r="AK74" s="597"/>
      <c r="AL74" s="597"/>
      <c r="AM74" s="597"/>
      <c r="AN74" s="597"/>
      <c r="AO74" s="598"/>
      <c r="AP74" s="598"/>
      <c r="AQ74" s="598"/>
      <c r="AR74" s="598"/>
      <c r="AS74" s="489"/>
      <c r="BA74" s="295"/>
      <c r="BB74" s="295"/>
    </row>
    <row r="75" spans="2:54" ht="30" hidden="1" customHeight="1" outlineLevel="1">
      <c r="B75" s="588"/>
      <c r="C75" s="599"/>
      <c r="D75" s="1904"/>
      <c r="E75" s="1905"/>
      <c r="F75" s="1905"/>
      <c r="G75" s="1905"/>
      <c r="H75" s="1905"/>
      <c r="I75" s="1905"/>
      <c r="J75" s="1905"/>
      <c r="K75" s="1905"/>
      <c r="L75" s="1906"/>
      <c r="M75" s="411"/>
      <c r="N75" s="596"/>
      <c r="O75" s="257"/>
      <c r="P75" s="1907"/>
      <c r="Q75" s="1908"/>
      <c r="R75" s="1909"/>
      <c r="S75" s="552"/>
      <c r="T75" s="226"/>
      <c r="U75" s="226"/>
      <c r="V75" s="226"/>
      <c r="W75" s="226"/>
      <c r="X75" s="226"/>
      <c r="Y75" s="226"/>
      <c r="Z75" s="226"/>
      <c r="AA75" s="226"/>
      <c r="AK75" s="597"/>
      <c r="AL75" s="597"/>
      <c r="AM75" s="597"/>
      <c r="AN75" s="597"/>
      <c r="AO75" s="598"/>
      <c r="AP75" s="598"/>
      <c r="AQ75" s="598"/>
      <c r="AR75" s="598"/>
      <c r="AS75" s="489"/>
      <c r="BA75" s="295"/>
      <c r="BB75" s="295"/>
    </row>
    <row r="76" spans="2:54" ht="30" hidden="1" customHeight="1" outlineLevel="1">
      <c r="B76" s="588"/>
      <c r="C76" s="599"/>
      <c r="D76" s="1904"/>
      <c r="E76" s="1905"/>
      <c r="F76" s="1905"/>
      <c r="G76" s="1905"/>
      <c r="H76" s="1905"/>
      <c r="I76" s="1905"/>
      <c r="J76" s="1905"/>
      <c r="K76" s="1905"/>
      <c r="L76" s="1906"/>
      <c r="M76" s="411"/>
      <c r="N76" s="596"/>
      <c r="O76" s="257"/>
      <c r="P76" s="1907"/>
      <c r="Q76" s="1908"/>
      <c r="R76" s="1909"/>
      <c r="S76" s="552"/>
      <c r="T76" s="226"/>
      <c r="U76" s="226"/>
      <c r="V76" s="226"/>
      <c r="W76" s="226"/>
      <c r="X76" s="226"/>
      <c r="Y76" s="226"/>
      <c r="Z76" s="226"/>
      <c r="AA76" s="226"/>
      <c r="AK76" s="597"/>
      <c r="AL76" s="597"/>
      <c r="AM76" s="597"/>
      <c r="AN76" s="597"/>
      <c r="AO76" s="598"/>
      <c r="AP76" s="598"/>
      <c r="AQ76" s="598"/>
      <c r="AR76" s="598"/>
      <c r="AS76" s="489"/>
      <c r="BA76" s="295"/>
      <c r="BB76" s="295"/>
    </row>
    <row r="77" spans="2:54" ht="30" hidden="1" customHeight="1" outlineLevel="1" thickBot="1">
      <c r="B77" s="600"/>
      <c r="C77" s="595"/>
      <c r="D77" s="1913"/>
      <c r="E77" s="1914"/>
      <c r="F77" s="1914"/>
      <c r="G77" s="1914"/>
      <c r="H77" s="1914"/>
      <c r="I77" s="1914"/>
      <c r="J77" s="1914"/>
      <c r="K77" s="1914"/>
      <c r="L77" s="1915"/>
      <c r="M77" s="411"/>
      <c r="N77" s="596"/>
      <c r="O77" s="601"/>
      <c r="P77" s="1916"/>
      <c r="Q77" s="1917"/>
      <c r="R77" s="1918"/>
      <c r="S77" s="552"/>
      <c r="T77" s="226"/>
      <c r="U77" s="226"/>
      <c r="V77" s="226"/>
      <c r="W77" s="226"/>
      <c r="X77" s="226"/>
      <c r="Y77" s="226"/>
      <c r="Z77" s="226"/>
      <c r="AA77" s="226"/>
      <c r="AK77" s="602"/>
      <c r="AL77" s="602"/>
      <c r="AM77" s="602"/>
      <c r="AN77" s="602"/>
      <c r="AO77" s="603"/>
      <c r="AP77" s="603"/>
      <c r="AQ77" s="598"/>
      <c r="AR77" s="603"/>
      <c r="AS77" s="604"/>
      <c r="BA77" s="295"/>
      <c r="BB77" s="295"/>
    </row>
    <row r="78" spans="2:54" ht="30" customHeight="1" thickTop="1">
      <c r="B78" s="1859" t="s">
        <v>309</v>
      </c>
      <c r="C78" s="1860"/>
      <c r="D78" s="1919"/>
      <c r="E78" s="1920"/>
      <c r="F78" s="1920"/>
      <c r="G78" s="1920"/>
      <c r="H78" s="1920"/>
      <c r="I78" s="1920"/>
      <c r="J78" s="1920"/>
      <c r="K78" s="1920"/>
      <c r="L78" s="1921"/>
      <c r="M78" s="605"/>
      <c r="N78" s="606"/>
      <c r="O78" s="1865"/>
      <c r="P78" s="1923"/>
      <c r="Q78" s="1924"/>
      <c r="R78" s="1925"/>
      <c r="S78" s="572"/>
      <c r="T78" s="226"/>
      <c r="U78" s="226"/>
      <c r="V78" s="226"/>
      <c r="W78" s="226"/>
      <c r="X78" s="226"/>
      <c r="Y78" s="226"/>
      <c r="Z78" s="226"/>
      <c r="AA78" s="226"/>
      <c r="AK78" s="1778" t="s">
        <v>309</v>
      </c>
      <c r="AL78" s="1778"/>
      <c r="AM78" s="1926">
        <f t="shared" ref="AM78:AM92" si="8">D78</f>
        <v>0</v>
      </c>
      <c r="AN78" s="1926"/>
      <c r="AO78" s="410">
        <f t="shared" ref="AO78:AO92" si="9">ROUND(M78*P78%,)</f>
        <v>0</v>
      </c>
      <c r="AP78" s="607">
        <f t="shared" ref="AP78:AP92" si="10">N78</f>
        <v>0</v>
      </c>
      <c r="AQ78" s="608"/>
      <c r="AR78" s="574" t="str">
        <f t="shared" ref="AR78:AR92" si="11">"円/"&amp;AP78</f>
        <v>円/0</v>
      </c>
      <c r="AS78" s="259">
        <f>ROUND(AO78*AQ78,)</f>
        <v>0</v>
      </c>
    </row>
    <row r="79" spans="2:54" ht="30" customHeight="1" collapsed="1" thickBot="1">
      <c r="B79" s="1706"/>
      <c r="C79" s="1861"/>
      <c r="D79" s="1877"/>
      <c r="E79" s="1878"/>
      <c r="F79" s="1878"/>
      <c r="G79" s="1878"/>
      <c r="H79" s="1878"/>
      <c r="I79" s="1878"/>
      <c r="J79" s="1878"/>
      <c r="K79" s="1878"/>
      <c r="L79" s="1927"/>
      <c r="M79" s="609"/>
      <c r="N79" s="610"/>
      <c r="O79" s="1866"/>
      <c r="P79" s="1928"/>
      <c r="Q79" s="1929"/>
      <c r="R79" s="1930"/>
      <c r="S79" s="572"/>
      <c r="T79" s="226"/>
      <c r="U79" s="226"/>
      <c r="V79" s="226"/>
      <c r="W79" s="226"/>
      <c r="X79" s="226"/>
      <c r="Y79" s="226"/>
      <c r="Z79" s="226"/>
      <c r="AA79" s="226"/>
      <c r="AK79" s="1778"/>
      <c r="AL79" s="1778"/>
      <c r="AM79" s="1926">
        <f t="shared" si="8"/>
        <v>0</v>
      </c>
      <c r="AN79" s="1926"/>
      <c r="AO79" s="410">
        <f t="shared" si="9"/>
        <v>0</v>
      </c>
      <c r="AP79" s="607">
        <f t="shared" si="10"/>
        <v>0</v>
      </c>
      <c r="AQ79" s="611"/>
      <c r="AR79" s="574" t="str">
        <f t="shared" si="11"/>
        <v>円/0</v>
      </c>
      <c r="AS79" s="259">
        <f t="shared" ref="AS79:AS92" si="12">ROUND(AO79*AQ79,)</f>
        <v>0</v>
      </c>
    </row>
    <row r="80" spans="2:54" ht="30" hidden="1" customHeight="1" outlineLevel="1">
      <c r="B80" s="1706"/>
      <c r="C80" s="1861"/>
      <c r="D80" s="1886"/>
      <c r="E80" s="1887"/>
      <c r="F80" s="1887"/>
      <c r="G80" s="1887"/>
      <c r="H80" s="1887"/>
      <c r="I80" s="1887"/>
      <c r="J80" s="1887"/>
      <c r="K80" s="1887"/>
      <c r="L80" s="1931"/>
      <c r="M80" s="612"/>
      <c r="N80" s="613"/>
      <c r="O80" s="1866"/>
      <c r="P80" s="1935"/>
      <c r="Q80" s="1936"/>
      <c r="R80" s="1937"/>
      <c r="S80" s="572"/>
      <c r="T80" s="226"/>
      <c r="U80" s="226"/>
      <c r="V80" s="226"/>
      <c r="W80" s="226"/>
      <c r="X80" s="226"/>
      <c r="Y80" s="226"/>
      <c r="Z80" s="226"/>
      <c r="AA80" s="226"/>
      <c r="AK80" s="1778"/>
      <c r="AL80" s="1778"/>
      <c r="AM80" s="1926">
        <f t="shared" si="8"/>
        <v>0</v>
      </c>
      <c r="AN80" s="1926"/>
      <c r="AO80" s="410">
        <f t="shared" si="9"/>
        <v>0</v>
      </c>
      <c r="AP80" s="607">
        <f t="shared" si="10"/>
        <v>0</v>
      </c>
      <c r="AQ80" s="611"/>
      <c r="AR80" s="574" t="str">
        <f t="shared" si="11"/>
        <v>円/0</v>
      </c>
      <c r="AS80" s="259">
        <f t="shared" si="12"/>
        <v>0</v>
      </c>
    </row>
    <row r="81" spans="2:45" ht="30" hidden="1" customHeight="1" outlineLevel="1">
      <c r="B81" s="1706"/>
      <c r="C81" s="1861"/>
      <c r="D81" s="1932"/>
      <c r="E81" s="1933"/>
      <c r="F81" s="1933"/>
      <c r="G81" s="1933"/>
      <c r="H81" s="1933"/>
      <c r="I81" s="1933"/>
      <c r="J81" s="1933"/>
      <c r="K81" s="1933"/>
      <c r="L81" s="1934"/>
      <c r="M81" s="614"/>
      <c r="N81" s="615"/>
      <c r="O81" s="1866"/>
      <c r="P81" s="1935"/>
      <c r="Q81" s="1936"/>
      <c r="R81" s="1937"/>
      <c r="S81" s="572"/>
      <c r="T81" s="226"/>
      <c r="U81" s="226"/>
      <c r="V81" s="226"/>
      <c r="W81" s="226"/>
      <c r="X81" s="226"/>
      <c r="Y81" s="226"/>
      <c r="Z81" s="226"/>
      <c r="AA81" s="226"/>
      <c r="AK81" s="1778"/>
      <c r="AL81" s="1778"/>
      <c r="AM81" s="1926">
        <f t="shared" si="8"/>
        <v>0</v>
      </c>
      <c r="AN81" s="1926"/>
      <c r="AO81" s="410">
        <f t="shared" si="9"/>
        <v>0</v>
      </c>
      <c r="AP81" s="607">
        <f t="shared" si="10"/>
        <v>0</v>
      </c>
      <c r="AQ81" s="611"/>
      <c r="AR81" s="574" t="str">
        <f t="shared" si="11"/>
        <v>円/0</v>
      </c>
      <c r="AS81" s="259">
        <f t="shared" si="12"/>
        <v>0</v>
      </c>
    </row>
    <row r="82" spans="2:45" ht="30" hidden="1" customHeight="1" outlineLevel="1">
      <c r="B82" s="1706"/>
      <c r="C82" s="1861"/>
      <c r="D82" s="1932"/>
      <c r="E82" s="1933"/>
      <c r="F82" s="1933"/>
      <c r="G82" s="1933"/>
      <c r="H82" s="1933"/>
      <c r="I82" s="1933"/>
      <c r="J82" s="1933"/>
      <c r="K82" s="1933"/>
      <c r="L82" s="1934"/>
      <c r="M82" s="614"/>
      <c r="N82" s="615"/>
      <c r="O82" s="1866"/>
      <c r="P82" s="1935"/>
      <c r="Q82" s="1936"/>
      <c r="R82" s="1937"/>
      <c r="S82" s="572"/>
      <c r="T82" s="226"/>
      <c r="U82" s="226"/>
      <c r="V82" s="226"/>
      <c r="W82" s="226"/>
      <c r="X82" s="226"/>
      <c r="Y82" s="226"/>
      <c r="Z82" s="226"/>
      <c r="AA82" s="226"/>
      <c r="AK82" s="1778"/>
      <c r="AL82" s="1778"/>
      <c r="AM82" s="1926">
        <f t="shared" si="8"/>
        <v>0</v>
      </c>
      <c r="AN82" s="1926"/>
      <c r="AO82" s="410">
        <f t="shared" si="9"/>
        <v>0</v>
      </c>
      <c r="AP82" s="607">
        <f t="shared" si="10"/>
        <v>0</v>
      </c>
      <c r="AQ82" s="611"/>
      <c r="AR82" s="574" t="str">
        <f t="shared" si="11"/>
        <v>円/0</v>
      </c>
      <c r="AS82" s="259">
        <f t="shared" si="12"/>
        <v>0</v>
      </c>
    </row>
    <row r="83" spans="2:45" ht="30" hidden="1" customHeight="1" outlineLevel="1">
      <c r="B83" s="1706"/>
      <c r="C83" s="1861"/>
      <c r="D83" s="1932"/>
      <c r="E83" s="1933"/>
      <c r="F83" s="1933"/>
      <c r="G83" s="1933"/>
      <c r="H83" s="1933"/>
      <c r="I83" s="1933"/>
      <c r="J83" s="1933"/>
      <c r="K83" s="1933"/>
      <c r="L83" s="1934"/>
      <c r="M83" s="614"/>
      <c r="N83" s="615"/>
      <c r="O83" s="1866"/>
      <c r="P83" s="1935"/>
      <c r="Q83" s="1936"/>
      <c r="R83" s="1937"/>
      <c r="S83" s="572"/>
      <c r="T83" s="226"/>
      <c r="U83" s="226"/>
      <c r="V83" s="226"/>
      <c r="W83" s="226"/>
      <c r="X83" s="226"/>
      <c r="Y83" s="226"/>
      <c r="Z83" s="226"/>
      <c r="AA83" s="226"/>
      <c r="AK83" s="1778"/>
      <c r="AL83" s="1778"/>
      <c r="AM83" s="1926">
        <f t="shared" si="8"/>
        <v>0</v>
      </c>
      <c r="AN83" s="1926"/>
      <c r="AO83" s="410">
        <f t="shared" si="9"/>
        <v>0</v>
      </c>
      <c r="AP83" s="607">
        <f t="shared" si="10"/>
        <v>0</v>
      </c>
      <c r="AQ83" s="611"/>
      <c r="AR83" s="574" t="str">
        <f t="shared" si="11"/>
        <v>円/0</v>
      </c>
      <c r="AS83" s="259">
        <f t="shared" si="12"/>
        <v>0</v>
      </c>
    </row>
    <row r="84" spans="2:45" ht="30" hidden="1" customHeight="1" outlineLevel="1">
      <c r="B84" s="1706"/>
      <c r="C84" s="1861"/>
      <c r="D84" s="1932"/>
      <c r="E84" s="1933"/>
      <c r="F84" s="1933"/>
      <c r="G84" s="1933"/>
      <c r="H84" s="1933"/>
      <c r="I84" s="1933"/>
      <c r="J84" s="1933"/>
      <c r="K84" s="1933"/>
      <c r="L84" s="1934"/>
      <c r="M84" s="614"/>
      <c r="N84" s="615"/>
      <c r="O84" s="1866"/>
      <c r="P84" s="1935"/>
      <c r="Q84" s="1936"/>
      <c r="R84" s="1937"/>
      <c r="S84" s="572"/>
      <c r="T84" s="226"/>
      <c r="U84" s="226"/>
      <c r="V84" s="226"/>
      <c r="W84" s="226"/>
      <c r="X84" s="226"/>
      <c r="Y84" s="226"/>
      <c r="Z84" s="226"/>
      <c r="AA84" s="226"/>
      <c r="AK84" s="1778"/>
      <c r="AL84" s="1778"/>
      <c r="AM84" s="1926">
        <f t="shared" si="8"/>
        <v>0</v>
      </c>
      <c r="AN84" s="1926"/>
      <c r="AO84" s="410">
        <f t="shared" si="9"/>
        <v>0</v>
      </c>
      <c r="AP84" s="607">
        <f t="shared" si="10"/>
        <v>0</v>
      </c>
      <c r="AQ84" s="611"/>
      <c r="AR84" s="574" t="str">
        <f t="shared" si="11"/>
        <v>円/0</v>
      </c>
      <c r="AS84" s="259">
        <f t="shared" si="12"/>
        <v>0</v>
      </c>
    </row>
    <row r="85" spans="2:45" ht="30" hidden="1" customHeight="1" outlineLevel="1">
      <c r="B85" s="1706"/>
      <c r="C85" s="1861"/>
      <c r="D85" s="1932"/>
      <c r="E85" s="1933"/>
      <c r="F85" s="1933"/>
      <c r="G85" s="1933"/>
      <c r="H85" s="1933"/>
      <c r="I85" s="1933"/>
      <c r="J85" s="1933"/>
      <c r="K85" s="1933"/>
      <c r="L85" s="1934"/>
      <c r="M85" s="614"/>
      <c r="N85" s="615"/>
      <c r="O85" s="1866"/>
      <c r="P85" s="1935"/>
      <c r="Q85" s="1936"/>
      <c r="R85" s="1937"/>
      <c r="S85" s="572"/>
      <c r="T85" s="226"/>
      <c r="U85" s="226"/>
      <c r="V85" s="226"/>
      <c r="W85" s="226"/>
      <c r="X85" s="226"/>
      <c r="Y85" s="226"/>
      <c r="Z85" s="226"/>
      <c r="AA85" s="226"/>
      <c r="AK85" s="1778"/>
      <c r="AL85" s="1778"/>
      <c r="AM85" s="1926">
        <f t="shared" si="8"/>
        <v>0</v>
      </c>
      <c r="AN85" s="1926"/>
      <c r="AO85" s="410">
        <f t="shared" si="9"/>
        <v>0</v>
      </c>
      <c r="AP85" s="607">
        <f t="shared" si="10"/>
        <v>0</v>
      </c>
      <c r="AQ85" s="611"/>
      <c r="AR85" s="574" t="str">
        <f t="shared" si="11"/>
        <v>円/0</v>
      </c>
      <c r="AS85" s="259">
        <f t="shared" si="12"/>
        <v>0</v>
      </c>
    </row>
    <row r="86" spans="2:45" ht="30" hidden="1" customHeight="1" outlineLevel="1">
      <c r="B86" s="1706"/>
      <c r="C86" s="1861"/>
      <c r="D86" s="1932"/>
      <c r="E86" s="1933"/>
      <c r="F86" s="1933"/>
      <c r="G86" s="1933"/>
      <c r="H86" s="1933"/>
      <c r="I86" s="1933"/>
      <c r="J86" s="1933"/>
      <c r="K86" s="1933"/>
      <c r="L86" s="1934"/>
      <c r="M86" s="614"/>
      <c r="N86" s="615"/>
      <c r="O86" s="1866"/>
      <c r="P86" s="1935"/>
      <c r="Q86" s="1936"/>
      <c r="R86" s="1937"/>
      <c r="S86" s="572"/>
      <c r="T86" s="226"/>
      <c r="U86" s="226"/>
      <c r="V86" s="226"/>
      <c r="W86" s="226"/>
      <c r="X86" s="226"/>
      <c r="Y86" s="226"/>
      <c r="Z86" s="226"/>
      <c r="AA86" s="226"/>
      <c r="AK86" s="1778"/>
      <c r="AL86" s="1778"/>
      <c r="AM86" s="1926">
        <f t="shared" si="8"/>
        <v>0</v>
      </c>
      <c r="AN86" s="1926"/>
      <c r="AO86" s="410">
        <f t="shared" si="9"/>
        <v>0</v>
      </c>
      <c r="AP86" s="607">
        <f t="shared" si="10"/>
        <v>0</v>
      </c>
      <c r="AQ86" s="611"/>
      <c r="AR86" s="574" t="str">
        <f t="shared" si="11"/>
        <v>円/0</v>
      </c>
      <c r="AS86" s="259">
        <f t="shared" si="12"/>
        <v>0</v>
      </c>
    </row>
    <row r="87" spans="2:45" ht="30" hidden="1" customHeight="1" outlineLevel="1">
      <c r="B87" s="1706"/>
      <c r="C87" s="1861"/>
      <c r="D87" s="1932"/>
      <c r="E87" s="1933"/>
      <c r="F87" s="1933"/>
      <c r="G87" s="1933"/>
      <c r="H87" s="1933"/>
      <c r="I87" s="1933"/>
      <c r="J87" s="1933"/>
      <c r="K87" s="1933"/>
      <c r="L87" s="1934"/>
      <c r="M87" s="614"/>
      <c r="N87" s="615"/>
      <c r="O87" s="1866"/>
      <c r="P87" s="1935"/>
      <c r="Q87" s="1936"/>
      <c r="R87" s="1937"/>
      <c r="S87" s="572"/>
      <c r="T87" s="226"/>
      <c r="U87" s="226"/>
      <c r="V87" s="226"/>
      <c r="W87" s="226"/>
      <c r="X87" s="226"/>
      <c r="Y87" s="226"/>
      <c r="Z87" s="226"/>
      <c r="AA87" s="226"/>
      <c r="AK87" s="1778"/>
      <c r="AL87" s="1778"/>
      <c r="AM87" s="1926">
        <f t="shared" si="8"/>
        <v>0</v>
      </c>
      <c r="AN87" s="1926"/>
      <c r="AO87" s="410">
        <f t="shared" si="9"/>
        <v>0</v>
      </c>
      <c r="AP87" s="607">
        <f t="shared" si="10"/>
        <v>0</v>
      </c>
      <c r="AQ87" s="611"/>
      <c r="AR87" s="574" t="str">
        <f t="shared" si="11"/>
        <v>円/0</v>
      </c>
      <c r="AS87" s="259">
        <f t="shared" si="12"/>
        <v>0</v>
      </c>
    </row>
    <row r="88" spans="2:45" ht="30" hidden="1" customHeight="1" outlineLevel="1">
      <c r="B88" s="1706"/>
      <c r="C88" s="1861"/>
      <c r="D88" s="1932"/>
      <c r="E88" s="1933"/>
      <c r="F88" s="1933"/>
      <c r="G88" s="1933"/>
      <c r="H88" s="1933"/>
      <c r="I88" s="1933"/>
      <c r="J88" s="1933"/>
      <c r="K88" s="1933"/>
      <c r="L88" s="1934"/>
      <c r="M88" s="614"/>
      <c r="N88" s="615"/>
      <c r="O88" s="1866"/>
      <c r="P88" s="1935"/>
      <c r="Q88" s="1936"/>
      <c r="R88" s="1937"/>
      <c r="S88" s="572"/>
      <c r="T88" s="226"/>
      <c r="U88" s="226"/>
      <c r="V88" s="226"/>
      <c r="W88" s="226"/>
      <c r="X88" s="226"/>
      <c r="Y88" s="226"/>
      <c r="Z88" s="226"/>
      <c r="AA88" s="226"/>
      <c r="AK88" s="1778"/>
      <c r="AL88" s="1778"/>
      <c r="AM88" s="1926">
        <f t="shared" si="8"/>
        <v>0</v>
      </c>
      <c r="AN88" s="1926"/>
      <c r="AO88" s="410">
        <f t="shared" si="9"/>
        <v>0</v>
      </c>
      <c r="AP88" s="607">
        <f t="shared" si="10"/>
        <v>0</v>
      </c>
      <c r="AQ88" s="611"/>
      <c r="AR88" s="574" t="str">
        <f t="shared" si="11"/>
        <v>円/0</v>
      </c>
      <c r="AS88" s="259">
        <f t="shared" si="12"/>
        <v>0</v>
      </c>
    </row>
    <row r="89" spans="2:45" ht="30" hidden="1" customHeight="1" outlineLevel="1">
      <c r="B89" s="1706"/>
      <c r="C89" s="1861"/>
      <c r="D89" s="1932"/>
      <c r="E89" s="1933"/>
      <c r="F89" s="1933"/>
      <c r="G89" s="1933"/>
      <c r="H89" s="1933"/>
      <c r="I89" s="1933"/>
      <c r="J89" s="1933"/>
      <c r="K89" s="1933"/>
      <c r="L89" s="1934"/>
      <c r="M89" s="614"/>
      <c r="N89" s="615"/>
      <c r="O89" s="1866"/>
      <c r="P89" s="1935"/>
      <c r="Q89" s="1936"/>
      <c r="R89" s="1937"/>
      <c r="S89" s="572"/>
      <c r="T89" s="226"/>
      <c r="U89" s="226"/>
      <c r="V89" s="226"/>
      <c r="W89" s="226"/>
      <c r="X89" s="226"/>
      <c r="Y89" s="226"/>
      <c r="Z89" s="226"/>
      <c r="AA89" s="226"/>
      <c r="AK89" s="1778"/>
      <c r="AL89" s="1778"/>
      <c r="AM89" s="1926">
        <f t="shared" si="8"/>
        <v>0</v>
      </c>
      <c r="AN89" s="1926"/>
      <c r="AO89" s="410">
        <f t="shared" si="9"/>
        <v>0</v>
      </c>
      <c r="AP89" s="607">
        <f t="shared" si="10"/>
        <v>0</v>
      </c>
      <c r="AQ89" s="611"/>
      <c r="AR89" s="574" t="str">
        <f t="shared" si="11"/>
        <v>円/0</v>
      </c>
      <c r="AS89" s="259">
        <f t="shared" si="12"/>
        <v>0</v>
      </c>
    </row>
    <row r="90" spans="2:45" ht="30" hidden="1" customHeight="1" outlineLevel="1">
      <c r="B90" s="1706"/>
      <c r="C90" s="1861"/>
      <c r="D90" s="1932"/>
      <c r="E90" s="1933"/>
      <c r="F90" s="1933"/>
      <c r="G90" s="1933"/>
      <c r="H90" s="1933"/>
      <c r="I90" s="1933"/>
      <c r="J90" s="1933"/>
      <c r="K90" s="1933"/>
      <c r="L90" s="1934"/>
      <c r="M90" s="614"/>
      <c r="N90" s="615"/>
      <c r="O90" s="1866"/>
      <c r="P90" s="1935"/>
      <c r="Q90" s="1936"/>
      <c r="R90" s="1937"/>
      <c r="S90" s="572"/>
      <c r="T90" s="226"/>
      <c r="U90" s="226"/>
      <c r="V90" s="226"/>
      <c r="W90" s="226"/>
      <c r="X90" s="226"/>
      <c r="Y90" s="226"/>
      <c r="Z90" s="226"/>
      <c r="AA90" s="226"/>
      <c r="AK90" s="1778"/>
      <c r="AL90" s="1778"/>
      <c r="AM90" s="1926">
        <f t="shared" si="8"/>
        <v>0</v>
      </c>
      <c r="AN90" s="1926"/>
      <c r="AO90" s="410">
        <f t="shared" si="9"/>
        <v>0</v>
      </c>
      <c r="AP90" s="607">
        <f t="shared" si="10"/>
        <v>0</v>
      </c>
      <c r="AQ90" s="611"/>
      <c r="AR90" s="574" t="str">
        <f t="shared" si="11"/>
        <v>円/0</v>
      </c>
      <c r="AS90" s="259">
        <f t="shared" si="12"/>
        <v>0</v>
      </c>
    </row>
    <row r="91" spans="2:45" ht="30" hidden="1" customHeight="1" outlineLevel="1">
      <c r="B91" s="1706"/>
      <c r="C91" s="1861"/>
      <c r="D91" s="1932"/>
      <c r="E91" s="1933"/>
      <c r="F91" s="1933"/>
      <c r="G91" s="1933"/>
      <c r="H91" s="1933"/>
      <c r="I91" s="1933"/>
      <c r="J91" s="1933"/>
      <c r="K91" s="1933"/>
      <c r="L91" s="1934"/>
      <c r="M91" s="614"/>
      <c r="N91" s="615"/>
      <c r="O91" s="1866"/>
      <c r="P91" s="1935"/>
      <c r="Q91" s="1936"/>
      <c r="R91" s="1937"/>
      <c r="S91" s="572"/>
      <c r="T91" s="226"/>
      <c r="U91" s="226"/>
      <c r="V91" s="226"/>
      <c r="W91" s="226"/>
      <c r="X91" s="226"/>
      <c r="Y91" s="226"/>
      <c r="Z91" s="226"/>
      <c r="AA91" s="226"/>
      <c r="AK91" s="1778"/>
      <c r="AL91" s="1778"/>
      <c r="AM91" s="1926">
        <f t="shared" si="8"/>
        <v>0</v>
      </c>
      <c r="AN91" s="1926"/>
      <c r="AO91" s="410">
        <f t="shared" si="9"/>
        <v>0</v>
      </c>
      <c r="AP91" s="607">
        <f t="shared" si="10"/>
        <v>0</v>
      </c>
      <c r="AQ91" s="611"/>
      <c r="AR91" s="574" t="str">
        <f t="shared" si="11"/>
        <v>円/0</v>
      </c>
      <c r="AS91" s="259">
        <f t="shared" si="12"/>
        <v>0</v>
      </c>
    </row>
    <row r="92" spans="2:45" ht="30" hidden="1" customHeight="1" outlineLevel="1" thickBot="1">
      <c r="B92" s="1706"/>
      <c r="C92" s="1861"/>
      <c r="D92" s="1938"/>
      <c r="E92" s="1939"/>
      <c r="F92" s="1939"/>
      <c r="G92" s="1939"/>
      <c r="H92" s="1939"/>
      <c r="I92" s="1939"/>
      <c r="J92" s="1939"/>
      <c r="K92" s="1939"/>
      <c r="L92" s="1940"/>
      <c r="M92" s="616"/>
      <c r="N92" s="431"/>
      <c r="O92" s="1922"/>
      <c r="P92" s="1935"/>
      <c r="Q92" s="1936"/>
      <c r="R92" s="1937"/>
      <c r="S92" s="572"/>
      <c r="T92" s="226"/>
      <c r="U92" s="226"/>
      <c r="V92" s="226"/>
      <c r="W92" s="226"/>
      <c r="X92" s="226"/>
      <c r="Y92" s="226"/>
      <c r="Z92" s="226"/>
      <c r="AA92" s="226"/>
      <c r="AK92" s="1778"/>
      <c r="AL92" s="1778"/>
      <c r="AM92" s="1941">
        <f t="shared" si="8"/>
        <v>0</v>
      </c>
      <c r="AN92" s="1941"/>
      <c r="AO92" s="617">
        <f t="shared" si="9"/>
        <v>0</v>
      </c>
      <c r="AP92" s="618">
        <f t="shared" si="10"/>
        <v>0</v>
      </c>
      <c r="AQ92" s="619"/>
      <c r="AR92" s="620" t="str">
        <f t="shared" si="11"/>
        <v>円/0</v>
      </c>
      <c r="AS92" s="621">
        <f t="shared" si="12"/>
        <v>0</v>
      </c>
    </row>
    <row r="93" spans="2:45" ht="30" customHeight="1" thickTop="1">
      <c r="B93" s="622"/>
      <c r="C93" s="623"/>
      <c r="D93" s="624"/>
      <c r="E93" s="624"/>
      <c r="F93" s="624"/>
      <c r="G93" s="624"/>
      <c r="H93" s="624"/>
      <c r="I93" s="624"/>
      <c r="J93" s="624"/>
      <c r="K93" s="624"/>
      <c r="L93" s="624"/>
      <c r="M93" s="624"/>
      <c r="N93" s="624"/>
      <c r="O93" s="623"/>
      <c r="P93" s="624"/>
      <c r="Q93" s="624"/>
      <c r="R93" s="624"/>
      <c r="S93" s="226"/>
      <c r="T93" s="226"/>
      <c r="U93" s="226"/>
      <c r="V93" s="226"/>
      <c r="W93" s="226"/>
      <c r="X93" s="226"/>
      <c r="Y93" s="226"/>
      <c r="Z93" s="226"/>
      <c r="AA93" s="226"/>
      <c r="AK93" s="1892" t="s">
        <v>419</v>
      </c>
      <c r="AL93" s="1892"/>
      <c r="AM93" s="1795"/>
      <c r="AN93" s="1795"/>
      <c r="AO93" s="625"/>
      <c r="AP93" s="625"/>
      <c r="AQ93" s="626"/>
      <c r="AR93" s="625"/>
      <c r="AS93" s="410">
        <f>SUM(AS78:AS92)</f>
        <v>0</v>
      </c>
    </row>
    <row r="94" spans="2:45" ht="30" customHeight="1">
      <c r="AK94" s="2"/>
      <c r="AL94" s="2"/>
      <c r="AM94" s="2"/>
      <c r="AN94" s="2"/>
      <c r="AO94" s="2"/>
      <c r="AP94" s="2"/>
      <c r="AQ94" s="2"/>
      <c r="AR94" s="2"/>
      <c r="AS94" s="2"/>
    </row>
    <row r="95" spans="2:45" ht="30" customHeight="1"/>
    <row r="96" spans="2:45" ht="30" customHeight="1"/>
    <row r="98" spans="1:58" ht="14.25" customHeight="1">
      <c r="AK98" s="2"/>
      <c r="AL98" s="2"/>
      <c r="AM98" s="2"/>
      <c r="AN98" s="2"/>
      <c r="AO98" s="2"/>
      <c r="AP98" s="2"/>
      <c r="AQ98" s="2"/>
      <c r="AR98" s="2"/>
      <c r="AS98" s="2"/>
    </row>
    <row r="99" spans="1:58" ht="14.25" customHeight="1">
      <c r="AK99" s="2"/>
      <c r="AL99" s="2"/>
      <c r="AM99" s="2"/>
      <c r="AN99" s="2"/>
      <c r="AO99" s="2"/>
      <c r="AP99" s="2"/>
      <c r="AQ99" s="2"/>
      <c r="AR99" s="2"/>
      <c r="AS99" s="2"/>
    </row>
    <row r="100" spans="1:58" ht="14.2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D100" s="2"/>
      <c r="AE100" s="2"/>
      <c r="AF100" s="2"/>
      <c r="AG100" s="2"/>
      <c r="AH100" s="2"/>
      <c r="AI100" s="2"/>
      <c r="AJ100" s="2"/>
      <c r="AK100" s="295"/>
      <c r="AL100" s="295"/>
      <c r="AM100" s="295"/>
      <c r="AN100" s="295"/>
      <c r="AO100" s="295"/>
      <c r="AQ100" s="295"/>
      <c r="AS100" s="295"/>
    </row>
    <row r="101" spans="1:58" ht="14.2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D101" s="2"/>
      <c r="AE101" s="2"/>
      <c r="AF101" s="2"/>
      <c r="AG101" s="2"/>
      <c r="AH101" s="2"/>
      <c r="AI101" s="2"/>
      <c r="AJ101" s="2"/>
    </row>
    <row r="102" spans="1:58" ht="14.2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D102" s="2"/>
      <c r="AE102" s="2"/>
      <c r="AF102" s="2"/>
      <c r="AG102" s="2"/>
      <c r="AH102" s="2"/>
      <c r="AI102" s="2"/>
      <c r="AJ102" s="2"/>
      <c r="AK102" s="2"/>
      <c r="AL102" s="2"/>
      <c r="AM102" s="2"/>
      <c r="AN102" s="2"/>
      <c r="AO102" s="2"/>
      <c r="AP102" s="2"/>
      <c r="AQ102" s="2"/>
      <c r="AR102" s="2"/>
    </row>
    <row r="103" spans="1:58" ht="14.2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D103" s="2"/>
      <c r="AE103" s="2"/>
      <c r="AF103" s="2"/>
      <c r="AG103" s="2"/>
      <c r="AH103" s="2"/>
      <c r="AI103" s="2"/>
      <c r="AJ103" s="2"/>
      <c r="AK103" s="2"/>
      <c r="AL103" s="2"/>
      <c r="AM103" s="2"/>
      <c r="AN103" s="2"/>
      <c r="AO103" s="2"/>
      <c r="AP103" s="2"/>
      <c r="AQ103" s="2"/>
      <c r="AR103" s="2"/>
    </row>
    <row r="104" spans="1:58" ht="23.2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D104" s="2"/>
      <c r="AE104" s="2"/>
      <c r="AF104" s="2"/>
      <c r="AG104" s="2"/>
      <c r="AH104" s="2"/>
      <c r="AI104" s="2"/>
      <c r="AJ104" s="2"/>
      <c r="AK104" s="2"/>
      <c r="AL104" s="2"/>
      <c r="AM104" s="2"/>
      <c r="AN104" s="2"/>
      <c r="AO104" s="2"/>
      <c r="AP104" s="2"/>
      <c r="AQ104" s="2"/>
      <c r="AR104" s="2"/>
    </row>
    <row r="105" spans="1:58" ht="23.2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D105" s="2"/>
      <c r="AE105" s="2"/>
      <c r="AF105" s="2"/>
      <c r="AG105" s="2"/>
      <c r="AH105" s="2"/>
      <c r="AI105" s="2"/>
      <c r="AJ105" s="2"/>
      <c r="AK105" s="2"/>
      <c r="AL105" s="2"/>
      <c r="AM105" s="2"/>
      <c r="AN105" s="2"/>
      <c r="AO105" s="2"/>
      <c r="AP105" s="2"/>
      <c r="AQ105" s="2"/>
      <c r="AR105" s="2"/>
    </row>
    <row r="106" spans="1:58" s="50" customFormat="1" ht="14.2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194"/>
      <c r="AT106" s="176"/>
      <c r="AU106" s="176"/>
      <c r="AV106" s="176"/>
      <c r="AW106" s="176"/>
      <c r="AX106" s="176"/>
      <c r="AY106" s="176"/>
      <c r="AZ106" s="176"/>
      <c r="BA106" s="176"/>
      <c r="BB106" s="176"/>
      <c r="BC106" s="176"/>
      <c r="BD106" s="176"/>
      <c r="BE106" s="176"/>
      <c r="BF106" s="176"/>
    </row>
    <row r="107" spans="1:58" ht="14.2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D107" s="2"/>
      <c r="AE107" s="2"/>
      <c r="AF107" s="2"/>
      <c r="AG107" s="2"/>
      <c r="AH107" s="2"/>
      <c r="AI107" s="2"/>
      <c r="AJ107" s="2"/>
      <c r="AK107" s="2"/>
      <c r="AL107" s="2"/>
      <c r="AM107" s="2"/>
      <c r="AN107" s="2"/>
      <c r="AO107" s="2"/>
      <c r="AP107" s="2"/>
      <c r="AQ107" s="2"/>
      <c r="AR107" s="2"/>
    </row>
    <row r="108" spans="1:58" ht="14.2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D108" s="2"/>
      <c r="AE108" s="2"/>
      <c r="AF108" s="2"/>
      <c r="AG108" s="2"/>
      <c r="AH108" s="2"/>
      <c r="AI108" s="2"/>
      <c r="AJ108" s="2"/>
      <c r="AK108" s="2"/>
      <c r="AL108" s="2"/>
      <c r="AM108" s="2"/>
      <c r="AN108" s="2"/>
      <c r="AO108" s="2"/>
      <c r="AP108" s="2"/>
      <c r="AQ108" s="2"/>
      <c r="AR108" s="2"/>
      <c r="AS108" s="176"/>
    </row>
    <row r="109" spans="1:58" ht="23.2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D109" s="2"/>
      <c r="AE109" s="2"/>
      <c r="AF109" s="2"/>
      <c r="AG109" s="2"/>
      <c r="AH109" s="2"/>
      <c r="AI109" s="2"/>
      <c r="AJ109" s="2"/>
      <c r="AK109" s="2"/>
      <c r="AL109" s="2"/>
      <c r="AM109" s="2"/>
      <c r="AN109" s="2"/>
      <c r="AO109" s="2"/>
      <c r="AP109" s="2"/>
      <c r="AQ109" s="2"/>
      <c r="AR109" s="2"/>
    </row>
    <row r="110" spans="1:58" ht="23.2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D110" s="2"/>
      <c r="AE110" s="2"/>
      <c r="AF110" s="2"/>
      <c r="AG110" s="2"/>
      <c r="AH110" s="2"/>
      <c r="AI110" s="2"/>
      <c r="AJ110" s="2"/>
      <c r="AK110" s="2"/>
      <c r="AL110" s="2"/>
      <c r="AM110" s="2"/>
      <c r="AN110" s="2"/>
      <c r="AO110" s="2"/>
      <c r="AP110" s="2"/>
      <c r="AQ110" s="2"/>
      <c r="AR110" s="2"/>
    </row>
    <row r="111" spans="1:58" ht="14.2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D111" s="2"/>
      <c r="AE111" s="2"/>
      <c r="AF111" s="2"/>
      <c r="AG111" s="2"/>
      <c r="AH111" s="2"/>
      <c r="AI111" s="2"/>
      <c r="AJ111" s="2"/>
      <c r="AK111" s="2"/>
      <c r="AL111" s="2"/>
      <c r="AM111" s="2"/>
      <c r="AN111" s="2"/>
      <c r="AO111" s="2"/>
      <c r="AP111" s="2"/>
      <c r="AQ111" s="2"/>
      <c r="AR111" s="2"/>
    </row>
    <row r="112" spans="1:58" ht="14.2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D112" s="2"/>
      <c r="AE112" s="2"/>
      <c r="AF112" s="2"/>
      <c r="AG112" s="2"/>
      <c r="AH112" s="2"/>
      <c r="AI112" s="2"/>
      <c r="AJ112" s="2"/>
      <c r="AK112" s="2"/>
      <c r="AL112" s="2"/>
      <c r="AM112" s="2"/>
      <c r="AN112" s="2"/>
      <c r="AO112" s="2"/>
      <c r="AP112" s="2"/>
      <c r="AQ112" s="2"/>
      <c r="AR112" s="2"/>
    </row>
    <row r="113" spans="1:44" ht="14.2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D113" s="2"/>
      <c r="AE113" s="2"/>
      <c r="AF113" s="2"/>
      <c r="AG113" s="2"/>
      <c r="AH113" s="2"/>
      <c r="AI113" s="2"/>
      <c r="AJ113" s="2"/>
      <c r="AK113" s="2"/>
      <c r="AL113" s="2"/>
      <c r="AM113" s="2"/>
      <c r="AN113" s="2"/>
      <c r="AO113" s="2"/>
      <c r="AP113" s="2"/>
      <c r="AQ113" s="2"/>
      <c r="AR113" s="2"/>
    </row>
    <row r="114" spans="1:44" ht="14.2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D114" s="2"/>
      <c r="AE114" s="2"/>
      <c r="AF114" s="2"/>
      <c r="AG114" s="2"/>
      <c r="AH114" s="2"/>
      <c r="AI114" s="2"/>
      <c r="AJ114" s="2"/>
      <c r="AK114" s="2"/>
      <c r="AL114" s="2"/>
      <c r="AM114" s="2"/>
      <c r="AN114" s="2"/>
      <c r="AO114" s="2"/>
      <c r="AP114" s="2"/>
      <c r="AQ114" s="2"/>
      <c r="AR114" s="2"/>
    </row>
    <row r="115" spans="1:44" ht="14.2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D115" s="2"/>
      <c r="AE115" s="2"/>
      <c r="AF115" s="2"/>
      <c r="AG115" s="2"/>
      <c r="AH115" s="2"/>
      <c r="AI115" s="2"/>
      <c r="AJ115" s="2"/>
      <c r="AK115" s="2"/>
      <c r="AL115" s="2"/>
      <c r="AM115" s="2"/>
      <c r="AN115" s="2"/>
      <c r="AO115" s="2"/>
      <c r="AP115" s="2"/>
      <c r="AQ115" s="2"/>
      <c r="AR115" s="2"/>
    </row>
    <row r="116" spans="1:44" ht="14.25" customHeight="1">
      <c r="AK116" s="2"/>
      <c r="AL116" s="2"/>
      <c r="AM116" s="2"/>
      <c r="AN116" s="2"/>
      <c r="AO116" s="2"/>
      <c r="AP116" s="2"/>
      <c r="AQ116" s="2"/>
      <c r="AR116" s="2"/>
    </row>
    <row r="117" spans="1:44" ht="14.25" customHeight="1">
      <c r="AK117" s="2"/>
      <c r="AL117" s="2"/>
      <c r="AM117" s="2"/>
      <c r="AN117" s="2"/>
      <c r="AO117" s="2"/>
      <c r="AP117" s="2"/>
      <c r="AQ117" s="2"/>
      <c r="AR117" s="2"/>
    </row>
  </sheetData>
  <sheetProtection sheet="1" objects="1" scenarios="1" selectLockedCells="1"/>
  <mergeCells count="216">
    <mergeCell ref="AK93:AN93"/>
    <mergeCell ref="D91:L91"/>
    <mergeCell ref="P91:R91"/>
    <mergeCell ref="AM91:AN91"/>
    <mergeCell ref="D92:L92"/>
    <mergeCell ref="P92:R92"/>
    <mergeCell ref="AM92:AN92"/>
    <mergeCell ref="D89:L89"/>
    <mergeCell ref="P89:R89"/>
    <mergeCell ref="AM89:AN89"/>
    <mergeCell ref="D90:L90"/>
    <mergeCell ref="P90:R90"/>
    <mergeCell ref="AM90:AN90"/>
    <mergeCell ref="D87:L87"/>
    <mergeCell ref="P87:R87"/>
    <mergeCell ref="AM87:AN87"/>
    <mergeCell ref="D88:L88"/>
    <mergeCell ref="P88:R88"/>
    <mergeCell ref="AM88:AN88"/>
    <mergeCell ref="D85:L85"/>
    <mergeCell ref="P85:R85"/>
    <mergeCell ref="AM85:AN85"/>
    <mergeCell ref="D86:L86"/>
    <mergeCell ref="P86:R86"/>
    <mergeCell ref="AM86:AN86"/>
    <mergeCell ref="B78:C92"/>
    <mergeCell ref="D78:L78"/>
    <mergeCell ref="O78:O92"/>
    <mergeCell ref="P78:R78"/>
    <mergeCell ref="AK78:AL92"/>
    <mergeCell ref="AM78:AN78"/>
    <mergeCell ref="D79:L79"/>
    <mergeCell ref="P79:R79"/>
    <mergeCell ref="AM79:AN79"/>
    <mergeCell ref="D80:L80"/>
    <mergeCell ref="D83:L83"/>
    <mergeCell ref="P83:R83"/>
    <mergeCell ref="AM83:AN83"/>
    <mergeCell ref="D84:L84"/>
    <mergeCell ref="P84:R84"/>
    <mergeCell ref="AM84:AN84"/>
    <mergeCell ref="P80:R80"/>
    <mergeCell ref="AM80:AN80"/>
    <mergeCell ref="D81:L81"/>
    <mergeCell ref="P81:R81"/>
    <mergeCell ref="AM81:AN81"/>
    <mergeCell ref="D82:L82"/>
    <mergeCell ref="P82:R82"/>
    <mergeCell ref="AM82:AN82"/>
    <mergeCell ref="D75:L75"/>
    <mergeCell ref="P75:R75"/>
    <mergeCell ref="D76:L76"/>
    <mergeCell ref="P76:R76"/>
    <mergeCell ref="D77:L77"/>
    <mergeCell ref="P77:R77"/>
    <mergeCell ref="D72:L72"/>
    <mergeCell ref="P72:R72"/>
    <mergeCell ref="D73:L73"/>
    <mergeCell ref="P73:R73"/>
    <mergeCell ref="D74:L74"/>
    <mergeCell ref="P74:R74"/>
    <mergeCell ref="D69:L69"/>
    <mergeCell ref="P69:R69"/>
    <mergeCell ref="D70:L70"/>
    <mergeCell ref="P70:R70"/>
    <mergeCell ref="D71:L71"/>
    <mergeCell ref="P71:R71"/>
    <mergeCell ref="D66:L66"/>
    <mergeCell ref="P66:R66"/>
    <mergeCell ref="D67:L67"/>
    <mergeCell ref="P67:R67"/>
    <mergeCell ref="D68:L68"/>
    <mergeCell ref="P68:R68"/>
    <mergeCell ref="D63:L63"/>
    <mergeCell ref="P63:R63"/>
    <mergeCell ref="D64:L64"/>
    <mergeCell ref="P64:R64"/>
    <mergeCell ref="D65:L65"/>
    <mergeCell ref="P65:R65"/>
    <mergeCell ref="D60:L60"/>
    <mergeCell ref="P60:R60"/>
    <mergeCell ref="D61:L61"/>
    <mergeCell ref="P61:R61"/>
    <mergeCell ref="D62:L62"/>
    <mergeCell ref="P62:R62"/>
    <mergeCell ref="D57:L57"/>
    <mergeCell ref="P57:R57"/>
    <mergeCell ref="D58:L58"/>
    <mergeCell ref="P58:R58"/>
    <mergeCell ref="D59:L59"/>
    <mergeCell ref="P59:R59"/>
    <mergeCell ref="D54:L54"/>
    <mergeCell ref="P54:R54"/>
    <mergeCell ref="D55:L55"/>
    <mergeCell ref="P55:R55"/>
    <mergeCell ref="D56:L56"/>
    <mergeCell ref="P56:R56"/>
    <mergeCell ref="D51:L51"/>
    <mergeCell ref="P51:R51"/>
    <mergeCell ref="D52:L52"/>
    <mergeCell ref="P52:R52"/>
    <mergeCell ref="D53:L53"/>
    <mergeCell ref="P53:R53"/>
    <mergeCell ref="D48:L48"/>
    <mergeCell ref="P48:R48"/>
    <mergeCell ref="D49:L49"/>
    <mergeCell ref="P49:R49"/>
    <mergeCell ref="D50:L50"/>
    <mergeCell ref="P50:R50"/>
    <mergeCell ref="C46:L46"/>
    <mergeCell ref="P46:R46"/>
    <mergeCell ref="AK46:AN46"/>
    <mergeCell ref="C47:L47"/>
    <mergeCell ref="M47:R47"/>
    <mergeCell ref="AK47:AN47"/>
    <mergeCell ref="AO42:AP44"/>
    <mergeCell ref="AQ42:AR44"/>
    <mergeCell ref="AS42:AS44"/>
    <mergeCell ref="N43:N44"/>
    <mergeCell ref="B45:L45"/>
    <mergeCell ref="P45:R45"/>
    <mergeCell ref="AK45:AN45"/>
    <mergeCell ref="D32:L32"/>
    <mergeCell ref="P32:R32"/>
    <mergeCell ref="AM32:AN32"/>
    <mergeCell ref="AK33:AN33"/>
    <mergeCell ref="B38:Y41"/>
    <mergeCell ref="B42:L44"/>
    <mergeCell ref="M42:M44"/>
    <mergeCell ref="O42:O44"/>
    <mergeCell ref="P42:R44"/>
    <mergeCell ref="AK42:AN44"/>
    <mergeCell ref="D30:L30"/>
    <mergeCell ref="P30:R30"/>
    <mergeCell ref="AM30:AN30"/>
    <mergeCell ref="D31:L31"/>
    <mergeCell ref="P31:R31"/>
    <mergeCell ref="AM31:AN31"/>
    <mergeCell ref="D28:L28"/>
    <mergeCell ref="P28:R28"/>
    <mergeCell ref="AM28:AN28"/>
    <mergeCell ref="D29:L29"/>
    <mergeCell ref="P29:R29"/>
    <mergeCell ref="AM29:AN29"/>
    <mergeCell ref="D26:L26"/>
    <mergeCell ref="P26:R26"/>
    <mergeCell ref="AM26:AN26"/>
    <mergeCell ref="D27:L27"/>
    <mergeCell ref="P27:R27"/>
    <mergeCell ref="AM27:AN27"/>
    <mergeCell ref="D24:L24"/>
    <mergeCell ref="P24:R24"/>
    <mergeCell ref="AM24:AN24"/>
    <mergeCell ref="D25:L25"/>
    <mergeCell ref="P25:R25"/>
    <mergeCell ref="AM25:AN25"/>
    <mergeCell ref="C17:L17"/>
    <mergeCell ref="P17:R17"/>
    <mergeCell ref="AL17:AN17"/>
    <mergeCell ref="B18:C32"/>
    <mergeCell ref="D18:L18"/>
    <mergeCell ref="O18:O32"/>
    <mergeCell ref="P18:R18"/>
    <mergeCell ref="AK18:AL32"/>
    <mergeCell ref="AM18:AN18"/>
    <mergeCell ref="D19:L19"/>
    <mergeCell ref="D22:L22"/>
    <mergeCell ref="P22:R22"/>
    <mergeCell ref="AM22:AN22"/>
    <mergeCell ref="D23:L23"/>
    <mergeCell ref="P23:R23"/>
    <mergeCell ref="AM23:AN23"/>
    <mergeCell ref="P19:R19"/>
    <mergeCell ref="AM19:AN19"/>
    <mergeCell ref="D20:L20"/>
    <mergeCell ref="P20:R20"/>
    <mergeCell ref="AM20:AN20"/>
    <mergeCell ref="D21:L21"/>
    <mergeCell ref="P21:R21"/>
    <mergeCell ref="AM21:AN21"/>
    <mergeCell ref="E15:K15"/>
    <mergeCell ref="P15:R15"/>
    <mergeCell ref="AM15:AN15"/>
    <mergeCell ref="C16:L16"/>
    <mergeCell ref="P16:R16"/>
    <mergeCell ref="AL16:AN16"/>
    <mergeCell ref="AM12:AN12"/>
    <mergeCell ref="E13:K13"/>
    <mergeCell ref="P13:R13"/>
    <mergeCell ref="AM13:AN13"/>
    <mergeCell ref="E14:K14"/>
    <mergeCell ref="P14:R14"/>
    <mergeCell ref="AM14:AN14"/>
    <mergeCell ref="C10:C15"/>
    <mergeCell ref="E10:K10"/>
    <mergeCell ref="P10:R10"/>
    <mergeCell ref="AL10:AL15"/>
    <mergeCell ref="AM10:AN10"/>
    <mergeCell ref="E11:K11"/>
    <mergeCell ref="P11:R11"/>
    <mergeCell ref="AM11:AN11"/>
    <mergeCell ref="E12:K12"/>
    <mergeCell ref="P12:R12"/>
    <mergeCell ref="AO6:AP8"/>
    <mergeCell ref="AQ6:AR8"/>
    <mergeCell ref="AS6:AS8"/>
    <mergeCell ref="N7:N8"/>
    <mergeCell ref="B9:L9"/>
    <mergeCell ref="P9:R9"/>
    <mergeCell ref="AK9:AN9"/>
    <mergeCell ref="B3:Y5"/>
    <mergeCell ref="B6:L8"/>
    <mergeCell ref="M6:M8"/>
    <mergeCell ref="O6:O8"/>
    <mergeCell ref="P6:R8"/>
    <mergeCell ref="AK6:AN8"/>
  </mergeCells>
  <phoneticPr fontId="5"/>
  <dataValidations count="4">
    <dataValidation type="custom" operator="greaterThan" allowBlank="1" showInputMessage="1" showErrorMessage="1" error="0より大きい小数点第２位までの数値を入力してください。" sqref="AQ18:AQ32 AQ78:AQ92" xr:uid="{00000000-0002-0000-0C00-000000000000}">
      <formula1>AND(AND(AQ18*100=INT(AQ18*100)),(AQ18&gt;0))</formula1>
    </dataValidation>
    <dataValidation type="whole" operator="greaterThan" allowBlank="1" showInputMessage="1" showErrorMessage="1" error="0より大きい数値を整数で入力してください。" sqref="M10:M15 O9:O17 M18:M32 M46 O45:O46 M48:M92 O48:O77" xr:uid="{00000000-0002-0000-0C00-000001000000}">
      <formula1>0</formula1>
    </dataValidation>
    <dataValidation type="textLength" imeMode="hiragana" operator="greaterThanOrEqual" allowBlank="1" showInputMessage="1" showErrorMessage="1" sqref="D48:L92 D18:L32" xr:uid="{00000000-0002-0000-0C00-000002000000}">
      <formula1>1</formula1>
    </dataValidation>
    <dataValidation type="custom" allowBlank="1" showInputMessage="1" showErrorMessage="1" error="0.001~100の範囲で小数点第３位までの数値を入力してください。" sqref="P9:R32 P48:R92 P45:R46" xr:uid="{00000000-0002-0000-0C00-000003000000}">
      <formula1>AND(AND(P9*1000=INT(P9*1000)),(P9&gt;0),(P9&lt;=100))</formula1>
    </dataValidation>
  </dataValidations>
  <pageMargins left="0.59055118110236227" right="0.59055118110236227" top="0.59055118110236227" bottom="0.59055118110236227" header="0" footer="0"/>
  <pageSetup paperSize="9" scale="41" orientation="portrait" cellComments="asDisplayed" r:id="rId1"/>
  <headerFooter alignWithMargins="0"/>
  <drawing r:id="rId2"/>
  <legacyDrawing r:id="rId3"/>
  <controls>
    <mc:AlternateContent xmlns:mc="http://schemas.openxmlformats.org/markup-compatibility/2006">
      <mc:Choice Requires="x14">
        <control shapeId="10250" r:id="rId4" name="txt_jikyu">
          <controlPr locked="0" defaultSize="0" print="0" autoLine="0" r:id="rId5">
            <anchor moveWithCells="1">
              <from>
                <xdr:col>14</xdr:col>
                <xdr:colOff>180975</xdr:colOff>
                <xdr:row>40</xdr:row>
                <xdr:rowOff>0</xdr:rowOff>
              </from>
              <to>
                <xdr:col>14</xdr:col>
                <xdr:colOff>904875</xdr:colOff>
                <xdr:row>40</xdr:row>
                <xdr:rowOff>171450</xdr:rowOff>
              </to>
            </anchor>
          </controlPr>
        </control>
      </mc:Choice>
      <mc:Fallback>
        <control shapeId="10250" r:id="rId4" name="txt_jikyu"/>
      </mc:Fallback>
    </mc:AlternateContent>
    <mc:AlternateContent xmlns:mc="http://schemas.openxmlformats.org/markup-compatibility/2006">
      <mc:Choice Requires="x14">
        <control shapeId="10249" r:id="rId6" name="Label5">
          <controlPr defaultSize="0" print="0" autoLine="0" r:id="rId7">
            <anchor moveWithCells="1">
              <from>
                <xdr:col>14</xdr:col>
                <xdr:colOff>180975</xdr:colOff>
                <xdr:row>39</xdr:row>
                <xdr:rowOff>0</xdr:rowOff>
              </from>
              <to>
                <xdr:col>14</xdr:col>
                <xdr:colOff>904875</xdr:colOff>
                <xdr:row>39</xdr:row>
                <xdr:rowOff>171450</xdr:rowOff>
              </to>
            </anchor>
          </controlPr>
        </control>
      </mc:Choice>
      <mc:Fallback>
        <control shapeId="10249" r:id="rId6" name="Label5"/>
      </mc:Fallback>
    </mc:AlternateContent>
    <mc:AlternateContent xmlns:mc="http://schemas.openxmlformats.org/markup-compatibility/2006">
      <mc:Choice Requires="x14">
        <control shapeId="10248" r:id="rId8" name="btnKoushin2">
          <controlPr defaultSize="0" print="0" autoLine="0" r:id="rId9">
            <anchor moveWithCells="1">
              <from>
                <xdr:col>14</xdr:col>
                <xdr:colOff>904875</xdr:colOff>
                <xdr:row>39</xdr:row>
                <xdr:rowOff>0</xdr:rowOff>
              </from>
              <to>
                <xdr:col>18</xdr:col>
                <xdr:colOff>9525</xdr:colOff>
                <xdr:row>40</xdr:row>
                <xdr:rowOff>161925</xdr:rowOff>
              </to>
            </anchor>
          </controlPr>
        </control>
      </mc:Choice>
      <mc:Fallback>
        <control shapeId="10248" r:id="rId8" name="btnKoushin2"/>
      </mc:Fallback>
    </mc:AlternateContent>
    <mc:AlternateContent xmlns:mc="http://schemas.openxmlformats.org/markup-compatibility/2006">
      <mc:Choice Requires="x14">
        <control shapeId="10247" r:id="rId10" name="txt_kounyu">
          <controlPr locked="0" defaultSize="0" print="0" autoLine="0" r:id="rId11">
            <anchor moveWithCells="1">
              <from>
                <xdr:col>12</xdr:col>
                <xdr:colOff>1114425</xdr:colOff>
                <xdr:row>40</xdr:row>
                <xdr:rowOff>0</xdr:rowOff>
              </from>
              <to>
                <xdr:col>14</xdr:col>
                <xdr:colOff>171450</xdr:colOff>
                <xdr:row>40</xdr:row>
                <xdr:rowOff>171450</xdr:rowOff>
              </to>
            </anchor>
          </controlPr>
        </control>
      </mc:Choice>
      <mc:Fallback>
        <control shapeId="10247" r:id="rId10" name="txt_kounyu"/>
      </mc:Fallback>
    </mc:AlternateContent>
    <mc:AlternateContent xmlns:mc="http://schemas.openxmlformats.org/markup-compatibility/2006">
      <mc:Choice Requires="x14">
        <control shapeId="10246" r:id="rId12" name="Label4">
          <controlPr defaultSize="0" print="0" autoLine="0" r:id="rId13">
            <anchor moveWithCells="1">
              <from>
                <xdr:col>12</xdr:col>
                <xdr:colOff>1114425</xdr:colOff>
                <xdr:row>39</xdr:row>
                <xdr:rowOff>0</xdr:rowOff>
              </from>
              <to>
                <xdr:col>14</xdr:col>
                <xdr:colOff>171450</xdr:colOff>
                <xdr:row>39</xdr:row>
                <xdr:rowOff>171450</xdr:rowOff>
              </to>
            </anchor>
          </controlPr>
        </control>
      </mc:Choice>
      <mc:Fallback>
        <control shapeId="10246" r:id="rId12" name="Label4"/>
      </mc:Fallback>
    </mc:AlternateContent>
    <mc:AlternateContent xmlns:mc="http://schemas.openxmlformats.org/markup-compatibility/2006">
      <mc:Choice Requires="x14">
        <control shapeId="10245" r:id="rId14" name="Label3">
          <controlPr defaultSize="0" print="0" autoLine="0" r:id="rId15">
            <anchor moveWithCells="1">
              <from>
                <xdr:col>12</xdr:col>
                <xdr:colOff>428625</xdr:colOff>
                <xdr:row>39</xdr:row>
                <xdr:rowOff>114300</xdr:rowOff>
              </from>
              <to>
                <xdr:col>12</xdr:col>
                <xdr:colOff>1076325</xdr:colOff>
                <xdr:row>40</xdr:row>
                <xdr:rowOff>57150</xdr:rowOff>
              </to>
            </anchor>
          </controlPr>
        </control>
      </mc:Choice>
      <mc:Fallback>
        <control shapeId="10245" r:id="rId14" name="Label3"/>
      </mc:Fallback>
    </mc:AlternateContent>
    <mc:AlternateContent xmlns:mc="http://schemas.openxmlformats.org/markup-compatibility/2006">
      <mc:Choice Requires="x14">
        <control shapeId="10244" r:id="rId16" name="Label2">
          <controlPr defaultSize="0" print="0" autoLine="0" r:id="rId17">
            <anchor moveWithCells="1">
              <from>
                <xdr:col>12</xdr:col>
                <xdr:colOff>390525</xdr:colOff>
                <xdr:row>39</xdr:row>
                <xdr:rowOff>0</xdr:rowOff>
              </from>
              <to>
                <xdr:col>12</xdr:col>
                <xdr:colOff>1123950</xdr:colOff>
                <xdr:row>40</xdr:row>
                <xdr:rowOff>161925</xdr:rowOff>
              </to>
            </anchor>
          </controlPr>
        </control>
      </mc:Choice>
      <mc:Fallback>
        <control shapeId="10244" r:id="rId16" name="Label2"/>
      </mc:Fallback>
    </mc:AlternateContent>
    <mc:AlternateContent xmlns:mc="http://schemas.openxmlformats.org/markup-compatibility/2006">
      <mc:Choice Requires="x14">
        <control shapeId="10243" r:id="rId18" name="btnKoushin1">
          <controlPr defaultSize="0" print="0" autoLine="0" r:id="rId19">
            <anchor moveWithCells="1">
              <from>
                <xdr:col>19</xdr:col>
                <xdr:colOff>28575</xdr:colOff>
                <xdr:row>9</xdr:row>
                <xdr:rowOff>57150</xdr:rowOff>
              </from>
              <to>
                <xdr:col>26</xdr:col>
                <xdr:colOff>171450</xdr:colOff>
                <xdr:row>10</xdr:row>
                <xdr:rowOff>95250</xdr:rowOff>
              </to>
            </anchor>
          </controlPr>
        </control>
      </mc:Choice>
      <mc:Fallback>
        <control shapeId="10243" r:id="rId18" name="btnKoushin1"/>
      </mc:Fallback>
    </mc:AlternateContent>
    <mc:AlternateContent xmlns:mc="http://schemas.openxmlformats.org/markup-compatibility/2006">
      <mc:Choice Requires="x14">
        <control shapeId="10242" r:id="rId20" name="txt_hyouji">
          <controlPr locked="0" defaultSize="0" print="0" autoLine="0" r:id="rId21">
            <anchor moveWithCells="1">
              <from>
                <xdr:col>19</xdr:col>
                <xdr:colOff>28575</xdr:colOff>
                <xdr:row>8</xdr:row>
                <xdr:rowOff>228600</xdr:rowOff>
              </from>
              <to>
                <xdr:col>26</xdr:col>
                <xdr:colOff>171450</xdr:colOff>
                <xdr:row>9</xdr:row>
                <xdr:rowOff>57150</xdr:rowOff>
              </to>
            </anchor>
          </controlPr>
        </control>
      </mc:Choice>
      <mc:Fallback>
        <control shapeId="10242" r:id="rId20" name="txt_hyouji"/>
      </mc:Fallback>
    </mc:AlternateContent>
    <mc:AlternateContent xmlns:mc="http://schemas.openxmlformats.org/markup-compatibility/2006">
      <mc:Choice Requires="x14">
        <control shapeId="10241" r:id="rId22" name="Label1">
          <controlPr defaultSize="0" print="0" autoLine="0" r:id="rId23">
            <anchor moveWithCells="1">
              <from>
                <xdr:col>19</xdr:col>
                <xdr:colOff>28575</xdr:colOff>
                <xdr:row>8</xdr:row>
                <xdr:rowOff>19050</xdr:rowOff>
              </from>
              <to>
                <xdr:col>26</xdr:col>
                <xdr:colOff>171450</xdr:colOff>
                <xdr:row>8</xdr:row>
                <xdr:rowOff>228600</xdr:rowOff>
              </to>
            </anchor>
          </controlPr>
        </control>
      </mc:Choice>
      <mc:Fallback>
        <control shapeId="10241" r:id="rId22" name="Label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0">
    <pageSetUpPr fitToPage="1"/>
  </sheetPr>
  <dimension ref="A1:BI58"/>
  <sheetViews>
    <sheetView showGridLines="0" zoomScale="85" zoomScaleNormal="85" zoomScaleSheetLayoutView="80" workbookViewId="0">
      <selection activeCell="X12" sqref="X12:AE12"/>
    </sheetView>
  </sheetViews>
  <sheetFormatPr defaultColWidth="2.625" defaultRowHeight="14.25" customHeight="1" outlineLevelCol="1"/>
  <cols>
    <col min="1" max="22" width="2.625" style="295" customWidth="1"/>
    <col min="23" max="23" width="4.625" style="295" customWidth="1"/>
    <col min="24" max="40" width="2.625" style="295" customWidth="1"/>
    <col min="41" max="46" width="2.625" style="295" customWidth="1" outlineLevel="1"/>
    <col min="47" max="47" width="4.75" style="295" customWidth="1" outlineLevel="1"/>
    <col min="48" max="48" width="17.625" style="295" customWidth="1" outlineLevel="1"/>
    <col min="49" max="49" width="17.375" style="295" customWidth="1" outlineLevel="1"/>
    <col min="50" max="50" width="5.75" style="295" customWidth="1" outlineLevel="1"/>
    <col min="51" max="51" width="17.375" style="295" customWidth="1" outlineLevel="1"/>
    <col min="52" max="52" width="6.875" style="295" customWidth="1" outlineLevel="1"/>
    <col min="53" max="53" width="17.375" style="295" customWidth="1" outlineLevel="1"/>
    <col min="54" max="57" width="2.625" style="295" customWidth="1"/>
    <col min="58" max="16384" width="2.625" style="295"/>
  </cols>
  <sheetData>
    <row r="1" spans="1:61" ht="14.25" customHeight="1">
      <c r="AU1" s="50" t="s">
        <v>410</v>
      </c>
    </row>
    <row r="2" spans="1:61" ht="42.75" customHeight="1"/>
    <row r="3" spans="1:61" s="297" customFormat="1" ht="14.25" customHeight="1">
      <c r="A3" s="627"/>
      <c r="B3" s="627"/>
      <c r="C3" s="161"/>
      <c r="D3" s="161"/>
      <c r="E3" s="161"/>
      <c r="F3" s="161"/>
      <c r="G3" s="161"/>
      <c r="H3" s="161"/>
      <c r="I3" s="161"/>
      <c r="J3" s="161"/>
      <c r="K3" s="161"/>
      <c r="L3" s="161"/>
      <c r="M3" s="161"/>
      <c r="N3" s="161"/>
      <c r="O3" s="161"/>
      <c r="P3" s="161"/>
      <c r="Q3" s="161"/>
      <c r="R3" s="161"/>
      <c r="S3" s="161"/>
      <c r="T3" s="295"/>
      <c r="U3" s="295"/>
      <c r="V3" s="295"/>
      <c r="W3" s="295"/>
      <c r="X3" s="295"/>
      <c r="Y3" s="295"/>
      <c r="Z3" s="295"/>
      <c r="AA3" s="295"/>
      <c r="AB3" s="295"/>
      <c r="AC3" s="295"/>
      <c r="AD3" s="295"/>
      <c r="AE3" s="295"/>
      <c r="AF3" s="295"/>
      <c r="AG3" s="295"/>
      <c r="AH3" s="295"/>
      <c r="AI3" s="295"/>
    </row>
    <row r="4" spans="1:61" ht="18" customHeight="1">
      <c r="B4" s="153" t="s">
        <v>420</v>
      </c>
      <c r="D4" s="161"/>
      <c r="E4" s="161"/>
      <c r="F4" s="161"/>
      <c r="G4" s="161"/>
      <c r="H4" s="161"/>
      <c r="I4" s="161"/>
      <c r="J4" s="161"/>
      <c r="K4" s="161"/>
      <c r="L4" s="161"/>
      <c r="M4" s="161"/>
      <c r="N4" s="161"/>
      <c r="O4" s="161"/>
      <c r="P4" s="161"/>
      <c r="Q4" s="161"/>
      <c r="R4" s="161"/>
      <c r="S4" s="161"/>
      <c r="T4" s="161"/>
      <c r="U4" s="161"/>
      <c r="V4" s="161"/>
      <c r="W4" s="161"/>
      <c r="AU4" s="153" t="s">
        <v>420</v>
      </c>
      <c r="AV4" s="130"/>
      <c r="AW4" s="194"/>
      <c r="AY4" s="194"/>
      <c r="BA4" s="194"/>
    </row>
    <row r="5" spans="1:61" s="297" customFormat="1" ht="18" customHeight="1">
      <c r="A5" s="586"/>
      <c r="B5" s="1942" t="s">
        <v>421</v>
      </c>
      <c r="C5" s="1942"/>
      <c r="D5" s="1942"/>
      <c r="E5" s="1942"/>
      <c r="F5" s="1942"/>
      <c r="G5" s="1942"/>
      <c r="H5" s="1942"/>
      <c r="I5" s="1942"/>
      <c r="J5" s="1942"/>
      <c r="K5" s="1942"/>
      <c r="L5" s="1942"/>
      <c r="M5" s="1942"/>
      <c r="N5" s="1942"/>
      <c r="O5" s="1942"/>
      <c r="P5" s="1942"/>
      <c r="Q5" s="1942"/>
      <c r="R5" s="1942"/>
      <c r="S5" s="1942"/>
      <c r="T5" s="1942"/>
      <c r="U5" s="1942"/>
      <c r="V5" s="1942"/>
      <c r="W5" s="1942"/>
      <c r="X5" s="1942"/>
      <c r="Y5" s="1942"/>
      <c r="Z5" s="1942"/>
      <c r="AA5" s="1942"/>
      <c r="AB5" s="1942"/>
      <c r="AC5" s="1942"/>
      <c r="AD5" s="1942"/>
      <c r="AE5" s="1942"/>
      <c r="AF5" s="1942"/>
      <c r="AG5" s="1942"/>
      <c r="AH5" s="1942"/>
      <c r="AU5" s="197"/>
      <c r="AV5" s="197"/>
      <c r="AW5" s="197"/>
      <c r="AX5" s="295"/>
      <c r="AY5" s="197"/>
      <c r="AZ5" s="295"/>
      <c r="BA5" s="197"/>
    </row>
    <row r="6" spans="1:61" ht="14.1" customHeight="1">
      <c r="A6" s="586"/>
      <c r="B6" s="1942"/>
      <c r="C6" s="1942"/>
      <c r="D6" s="1942"/>
      <c r="E6" s="1942"/>
      <c r="F6" s="1942"/>
      <c r="G6" s="1942"/>
      <c r="H6" s="1942"/>
      <c r="I6" s="1942"/>
      <c r="J6" s="1942"/>
      <c r="K6" s="1942"/>
      <c r="L6" s="1942"/>
      <c r="M6" s="1942"/>
      <c r="N6" s="1942"/>
      <c r="O6" s="1942"/>
      <c r="P6" s="1942"/>
      <c r="Q6" s="1942"/>
      <c r="R6" s="1942"/>
      <c r="S6" s="1942"/>
      <c r="T6" s="1942"/>
      <c r="U6" s="1942"/>
      <c r="V6" s="1942"/>
      <c r="W6" s="1942"/>
      <c r="X6" s="1942"/>
      <c r="Y6" s="1942"/>
      <c r="Z6" s="1942"/>
      <c r="AA6" s="1942"/>
      <c r="AB6" s="1942"/>
      <c r="AC6" s="1942"/>
      <c r="AD6" s="1942"/>
      <c r="AE6" s="1942"/>
      <c r="AF6" s="1942"/>
      <c r="AG6" s="1942"/>
      <c r="AH6" s="1942"/>
      <c r="AI6" s="297"/>
    </row>
    <row r="7" spans="1:61" ht="14.25" customHeight="1">
      <c r="A7" s="627"/>
      <c r="B7" s="1942"/>
      <c r="C7" s="1942"/>
      <c r="D7" s="1942"/>
      <c r="E7" s="1942"/>
      <c r="F7" s="1942"/>
      <c r="G7" s="1942"/>
      <c r="H7" s="1942"/>
      <c r="I7" s="1942"/>
      <c r="J7" s="1942"/>
      <c r="K7" s="1942"/>
      <c r="L7" s="1942"/>
      <c r="M7" s="1942"/>
      <c r="N7" s="1942"/>
      <c r="O7" s="1942"/>
      <c r="P7" s="1942"/>
      <c r="Q7" s="1942"/>
      <c r="R7" s="1942"/>
      <c r="S7" s="1942"/>
      <c r="T7" s="1942"/>
      <c r="U7" s="1942"/>
      <c r="V7" s="1942"/>
      <c r="W7" s="1942"/>
      <c r="X7" s="1942"/>
      <c r="Y7" s="1942"/>
      <c r="Z7" s="1942"/>
      <c r="AA7" s="1942"/>
      <c r="AB7" s="1942"/>
      <c r="AC7" s="1942"/>
      <c r="AD7" s="1942"/>
      <c r="AE7" s="1942"/>
      <c r="AF7" s="1942"/>
      <c r="AG7" s="1942"/>
      <c r="AH7" s="1942"/>
    </row>
    <row r="8" spans="1:61" ht="14.25" customHeight="1" thickBot="1">
      <c r="A8" s="627"/>
      <c r="B8" s="1943"/>
      <c r="C8" s="1943"/>
      <c r="D8" s="1943"/>
      <c r="E8" s="1943"/>
      <c r="F8" s="1943"/>
      <c r="G8" s="1943"/>
      <c r="H8" s="1943"/>
      <c r="I8" s="1943"/>
      <c r="J8" s="1943"/>
      <c r="K8" s="1943"/>
      <c r="L8" s="1943"/>
      <c r="M8" s="1943"/>
      <c r="N8" s="1943"/>
      <c r="O8" s="1943"/>
      <c r="P8" s="1943"/>
      <c r="Q8" s="1943"/>
      <c r="R8" s="1943"/>
      <c r="S8" s="1943"/>
      <c r="T8" s="1943"/>
      <c r="U8" s="1943"/>
      <c r="V8" s="1943"/>
      <c r="W8" s="1943"/>
      <c r="X8" s="1943"/>
      <c r="Y8" s="1943"/>
      <c r="Z8" s="1943"/>
      <c r="AA8" s="1943"/>
      <c r="AB8" s="1943"/>
      <c r="AC8" s="1943"/>
      <c r="AD8" s="1943"/>
      <c r="AE8" s="1943"/>
      <c r="AF8" s="1943"/>
      <c r="AG8" s="1943"/>
      <c r="AH8" s="1943"/>
    </row>
    <row r="9" spans="1:61" ht="14.1" customHeight="1">
      <c r="A9" s="398"/>
      <c r="B9" s="1430" t="s">
        <v>422</v>
      </c>
      <c r="C9" s="1431"/>
      <c r="D9" s="1431"/>
      <c r="E9" s="1431"/>
      <c r="F9" s="1431"/>
      <c r="G9" s="1431"/>
      <c r="H9" s="1431"/>
      <c r="I9" s="1431"/>
      <c r="J9" s="1431"/>
      <c r="K9" s="1431"/>
      <c r="L9" s="1431"/>
      <c r="M9" s="1454"/>
      <c r="N9" s="1713" t="s">
        <v>386</v>
      </c>
      <c r="O9" s="1944"/>
      <c r="P9" s="1944"/>
      <c r="Q9" s="1944"/>
      <c r="R9" s="1944"/>
      <c r="S9" s="1944"/>
      <c r="T9" s="1944"/>
      <c r="U9" s="1944"/>
      <c r="V9" s="1944"/>
      <c r="W9" s="542"/>
      <c r="X9" s="1738" t="s">
        <v>387</v>
      </c>
      <c r="Y9" s="1947"/>
      <c r="Z9" s="1947"/>
      <c r="AA9" s="1947"/>
      <c r="AB9" s="1947"/>
      <c r="AC9" s="1947"/>
      <c r="AD9" s="1947"/>
      <c r="AE9" s="1948"/>
      <c r="AF9" s="1829" t="s">
        <v>332</v>
      </c>
      <c r="AG9" s="1953"/>
      <c r="AH9" s="1954"/>
      <c r="AU9" s="1795" t="s">
        <v>423</v>
      </c>
      <c r="AV9" s="1795"/>
      <c r="AW9" s="1806" t="s">
        <v>386</v>
      </c>
      <c r="AX9" s="1807"/>
      <c r="AY9" s="1806" t="s">
        <v>262</v>
      </c>
      <c r="AZ9" s="1807"/>
      <c r="BA9" s="1812" t="s">
        <v>424</v>
      </c>
    </row>
    <row r="10" spans="1:61" ht="14.1" customHeight="1">
      <c r="A10" s="398"/>
      <c r="B10" s="1683"/>
      <c r="C10" s="1684"/>
      <c r="D10" s="1684"/>
      <c r="E10" s="1684"/>
      <c r="F10" s="1684"/>
      <c r="G10" s="1684"/>
      <c r="H10" s="1684"/>
      <c r="I10" s="1684"/>
      <c r="J10" s="1684"/>
      <c r="K10" s="1684"/>
      <c r="L10" s="1684"/>
      <c r="M10" s="1685"/>
      <c r="N10" s="1714"/>
      <c r="O10" s="1945"/>
      <c r="P10" s="1945"/>
      <c r="Q10" s="1945"/>
      <c r="R10" s="1945"/>
      <c r="S10" s="1945"/>
      <c r="T10" s="1945"/>
      <c r="U10" s="1945"/>
      <c r="V10" s="1945"/>
      <c r="W10" s="1815" t="s">
        <v>165</v>
      </c>
      <c r="X10" s="1739"/>
      <c r="Y10" s="1949"/>
      <c r="Z10" s="1949"/>
      <c r="AA10" s="1949"/>
      <c r="AB10" s="1949"/>
      <c r="AC10" s="1949"/>
      <c r="AD10" s="1949"/>
      <c r="AE10" s="1950"/>
      <c r="AF10" s="1832"/>
      <c r="AG10" s="1955"/>
      <c r="AH10" s="1956"/>
      <c r="AU10" s="1795"/>
      <c r="AV10" s="1795"/>
      <c r="AW10" s="1808"/>
      <c r="AX10" s="1809"/>
      <c r="AY10" s="1808"/>
      <c r="AZ10" s="1809"/>
      <c r="BA10" s="1813"/>
    </row>
    <row r="11" spans="1:61" ht="14.1" customHeight="1" thickBot="1">
      <c r="A11" s="398"/>
      <c r="B11" s="1433"/>
      <c r="C11" s="1434"/>
      <c r="D11" s="1434"/>
      <c r="E11" s="1434"/>
      <c r="F11" s="1434"/>
      <c r="G11" s="1434"/>
      <c r="H11" s="1434"/>
      <c r="I11" s="1434"/>
      <c r="J11" s="1434"/>
      <c r="K11" s="1434"/>
      <c r="L11" s="1434"/>
      <c r="M11" s="1686"/>
      <c r="N11" s="1827"/>
      <c r="O11" s="1946"/>
      <c r="P11" s="1946"/>
      <c r="Q11" s="1946"/>
      <c r="R11" s="1946"/>
      <c r="S11" s="1946"/>
      <c r="T11" s="1946"/>
      <c r="U11" s="1946"/>
      <c r="V11" s="1946"/>
      <c r="W11" s="1816"/>
      <c r="X11" s="1740"/>
      <c r="Y11" s="1951"/>
      <c r="Z11" s="1951"/>
      <c r="AA11" s="1951"/>
      <c r="AB11" s="1951"/>
      <c r="AC11" s="1951"/>
      <c r="AD11" s="1951"/>
      <c r="AE11" s="1952"/>
      <c r="AF11" s="1957"/>
      <c r="AG11" s="1958"/>
      <c r="AH11" s="1959"/>
      <c r="AU11" s="1795"/>
      <c r="AV11" s="1795"/>
      <c r="AW11" s="1810"/>
      <c r="AX11" s="1811"/>
      <c r="AY11" s="1810"/>
      <c r="AZ11" s="1811"/>
      <c r="BA11" s="1814"/>
    </row>
    <row r="12" spans="1:61" ht="30" customHeight="1" thickTop="1" thickBot="1">
      <c r="A12" s="398"/>
      <c r="B12" s="1960" t="s">
        <v>274</v>
      </c>
      <c r="C12" s="1961"/>
      <c r="D12" s="1961"/>
      <c r="E12" s="1961"/>
      <c r="F12" s="1961"/>
      <c r="G12" s="1961"/>
      <c r="H12" s="1961"/>
      <c r="I12" s="1961"/>
      <c r="J12" s="1961"/>
      <c r="K12" s="1961"/>
      <c r="L12" s="1961"/>
      <c r="M12" s="1962"/>
      <c r="N12" s="1963"/>
      <c r="O12" s="1964"/>
      <c r="P12" s="1964"/>
      <c r="Q12" s="1964"/>
      <c r="R12" s="1964"/>
      <c r="S12" s="1964"/>
      <c r="T12" s="1964"/>
      <c r="U12" s="1964"/>
      <c r="V12" s="1965"/>
      <c r="W12" s="628" t="s">
        <v>425</v>
      </c>
      <c r="X12" s="1966"/>
      <c r="Y12" s="1967"/>
      <c r="Z12" s="1967"/>
      <c r="AA12" s="1967"/>
      <c r="AB12" s="1967"/>
      <c r="AC12" s="1967"/>
      <c r="AD12" s="1967"/>
      <c r="AE12" s="1968"/>
      <c r="AF12" s="1969"/>
      <c r="AG12" s="1970"/>
      <c r="AH12" s="1971"/>
      <c r="AU12" s="1972" t="s">
        <v>426</v>
      </c>
      <c r="AV12" s="1972"/>
      <c r="AW12" s="629"/>
      <c r="AX12" s="629"/>
      <c r="AY12" s="629"/>
      <c r="AZ12" s="629"/>
      <c r="BA12" s="617">
        <f>IF(X12&gt;0,ROUND(X12*AF12%,),SUBTOTAL(109,BA13:BA26))</f>
        <v>0</v>
      </c>
    </row>
    <row r="13" spans="1:61" ht="30" customHeight="1" thickTop="1">
      <c r="A13" s="398"/>
      <c r="B13" s="630"/>
      <c r="C13" s="1984" t="s">
        <v>427</v>
      </c>
      <c r="D13" s="1753"/>
      <c r="E13" s="631"/>
      <c r="F13" s="1985" t="s">
        <v>428</v>
      </c>
      <c r="G13" s="1985"/>
      <c r="H13" s="1985"/>
      <c r="I13" s="1985"/>
      <c r="J13" s="1985"/>
      <c r="K13" s="1985"/>
      <c r="L13" s="1985"/>
      <c r="M13" s="632"/>
      <c r="N13" s="1986"/>
      <c r="O13" s="1987"/>
      <c r="P13" s="1987"/>
      <c r="Q13" s="1987"/>
      <c r="R13" s="1987"/>
      <c r="S13" s="1987"/>
      <c r="T13" s="1987"/>
      <c r="U13" s="1987"/>
      <c r="V13" s="1988"/>
      <c r="W13" s="633" t="s">
        <v>425</v>
      </c>
      <c r="X13" s="1989"/>
      <c r="Y13" s="1990"/>
      <c r="Z13" s="1990"/>
      <c r="AA13" s="1990"/>
      <c r="AB13" s="1990"/>
      <c r="AC13" s="1990"/>
      <c r="AD13" s="1990"/>
      <c r="AE13" s="1991"/>
      <c r="AF13" s="1992"/>
      <c r="AG13" s="1992"/>
      <c r="AH13" s="1993"/>
      <c r="AI13" s="552"/>
      <c r="AJ13" s="226"/>
      <c r="AK13" s="226"/>
      <c r="AL13" s="226"/>
      <c r="AM13" s="226"/>
      <c r="AN13" s="226"/>
      <c r="AO13" s="226"/>
      <c r="AP13" s="226"/>
      <c r="AQ13" s="226"/>
      <c r="AR13" s="226"/>
      <c r="AS13" s="226"/>
      <c r="AU13" s="1973" t="s">
        <v>429</v>
      </c>
      <c r="AV13" s="634" t="s">
        <v>428</v>
      </c>
      <c r="AW13" s="635"/>
      <c r="AX13" s="636"/>
      <c r="AY13" s="637"/>
      <c r="AZ13" s="636"/>
      <c r="BA13" s="410">
        <f>ROUND(X13*AF13%,)</f>
        <v>0</v>
      </c>
      <c r="BF13" s="2"/>
      <c r="BG13" s="2"/>
      <c r="BH13" s="2"/>
      <c r="BI13" s="2"/>
    </row>
    <row r="14" spans="1:61" ht="30" customHeight="1">
      <c r="B14" s="638"/>
      <c r="C14" s="1984"/>
      <c r="D14" s="1753"/>
      <c r="E14" s="559"/>
      <c r="F14" s="1749" t="s">
        <v>430</v>
      </c>
      <c r="G14" s="1749"/>
      <c r="H14" s="1749"/>
      <c r="I14" s="1749"/>
      <c r="J14" s="1749"/>
      <c r="K14" s="1749"/>
      <c r="L14" s="1749"/>
      <c r="M14" s="639"/>
      <c r="N14" s="1976"/>
      <c r="O14" s="1977"/>
      <c r="P14" s="1977"/>
      <c r="Q14" s="1977"/>
      <c r="R14" s="1977"/>
      <c r="S14" s="1977"/>
      <c r="T14" s="1977"/>
      <c r="U14" s="1977"/>
      <c r="V14" s="1978"/>
      <c r="W14" s="640" t="s">
        <v>337</v>
      </c>
      <c r="X14" s="1979"/>
      <c r="Y14" s="1980"/>
      <c r="Z14" s="1980"/>
      <c r="AA14" s="1980"/>
      <c r="AB14" s="1980"/>
      <c r="AC14" s="1980"/>
      <c r="AD14" s="1980"/>
      <c r="AE14" s="1981"/>
      <c r="AF14" s="1982"/>
      <c r="AG14" s="1982"/>
      <c r="AH14" s="1983"/>
      <c r="AI14" s="552"/>
      <c r="AJ14" s="226"/>
      <c r="AK14" s="226"/>
      <c r="AL14" s="226"/>
      <c r="AM14" s="226"/>
      <c r="AN14" s="226"/>
      <c r="AO14" s="226"/>
      <c r="AP14" s="226"/>
      <c r="AQ14" s="226"/>
      <c r="AR14" s="226"/>
      <c r="AS14" s="226"/>
      <c r="AU14" s="1974"/>
      <c r="AV14" s="634" t="s">
        <v>430</v>
      </c>
      <c r="AW14" s="635"/>
      <c r="AX14" s="636"/>
      <c r="AY14" s="641"/>
      <c r="AZ14" s="636"/>
      <c r="BA14" s="410">
        <f t="shared" ref="BA14:BA26" si="0">ROUND(X14*AF14%,)</f>
        <v>0</v>
      </c>
      <c r="BF14" s="2"/>
      <c r="BG14" s="2"/>
      <c r="BH14" s="2"/>
      <c r="BI14" s="2"/>
    </row>
    <row r="15" spans="1:61" ht="30" hidden="1" customHeight="1">
      <c r="B15" s="638"/>
      <c r="C15" s="1984"/>
      <c r="D15" s="1753"/>
      <c r="E15" s="475"/>
      <c r="F15" s="1749" t="s">
        <v>431</v>
      </c>
      <c r="G15" s="1749"/>
      <c r="H15" s="1749"/>
      <c r="I15" s="1749"/>
      <c r="J15" s="1749"/>
      <c r="K15" s="1749"/>
      <c r="L15" s="1749"/>
      <c r="M15" s="639"/>
      <c r="N15" s="1976"/>
      <c r="O15" s="1977"/>
      <c r="P15" s="1977"/>
      <c r="Q15" s="1977"/>
      <c r="R15" s="1977"/>
      <c r="S15" s="1977"/>
      <c r="T15" s="1977"/>
      <c r="U15" s="1977"/>
      <c r="V15" s="1978"/>
      <c r="W15" s="640" t="s">
        <v>425</v>
      </c>
      <c r="X15" s="1979"/>
      <c r="Y15" s="1980"/>
      <c r="Z15" s="1980"/>
      <c r="AA15" s="1980"/>
      <c r="AB15" s="1980"/>
      <c r="AC15" s="1980"/>
      <c r="AD15" s="1980"/>
      <c r="AE15" s="1981"/>
      <c r="AF15" s="1982"/>
      <c r="AG15" s="1982"/>
      <c r="AH15" s="1983"/>
      <c r="AI15" s="552"/>
      <c r="AJ15" s="226"/>
      <c r="AK15" s="226"/>
      <c r="AL15" s="226"/>
      <c r="AM15" s="226"/>
      <c r="AN15" s="226"/>
      <c r="AO15" s="226"/>
      <c r="AP15" s="226"/>
      <c r="AQ15" s="226"/>
      <c r="AR15" s="226"/>
      <c r="AS15" s="226"/>
      <c r="AU15" s="1975"/>
      <c r="AV15" s="634" t="s">
        <v>431</v>
      </c>
      <c r="AW15" s="635"/>
      <c r="AX15" s="636"/>
      <c r="AY15" s="641"/>
      <c r="AZ15" s="636"/>
      <c r="BA15" s="410">
        <f t="shared" si="0"/>
        <v>0</v>
      </c>
      <c r="BF15" s="2"/>
      <c r="BG15" s="2"/>
      <c r="BH15" s="2"/>
      <c r="BI15" s="2"/>
    </row>
    <row r="16" spans="1:61" ht="30" customHeight="1">
      <c r="B16" s="638"/>
      <c r="C16" s="642"/>
      <c r="D16" s="1994" t="s">
        <v>432</v>
      </c>
      <c r="E16" s="1994"/>
      <c r="F16" s="1994"/>
      <c r="G16" s="1994"/>
      <c r="H16" s="1994"/>
      <c r="I16" s="1994"/>
      <c r="J16" s="1994"/>
      <c r="K16" s="1994"/>
      <c r="L16" s="1994"/>
      <c r="M16" s="639"/>
      <c r="N16" s="1998"/>
      <c r="O16" s="1999"/>
      <c r="P16" s="1999"/>
      <c r="Q16" s="1999"/>
      <c r="R16" s="1999"/>
      <c r="S16" s="1999"/>
      <c r="T16" s="1999"/>
      <c r="U16" s="1999"/>
      <c r="V16" s="2000"/>
      <c r="W16" s="640" t="s">
        <v>425</v>
      </c>
      <c r="X16" s="1979"/>
      <c r="Y16" s="1980"/>
      <c r="Z16" s="1980"/>
      <c r="AA16" s="1980"/>
      <c r="AB16" s="1980"/>
      <c r="AC16" s="1980"/>
      <c r="AD16" s="1980"/>
      <c r="AE16" s="1981"/>
      <c r="AF16" s="1982"/>
      <c r="AG16" s="1982"/>
      <c r="AH16" s="1983"/>
      <c r="AI16" s="552"/>
      <c r="AJ16" s="226"/>
      <c r="AK16" s="226"/>
      <c r="AL16" s="226"/>
      <c r="AM16" s="226"/>
      <c r="AN16" s="226"/>
      <c r="AO16" s="226"/>
      <c r="AP16" s="226"/>
      <c r="AQ16" s="226"/>
      <c r="AR16" s="226"/>
      <c r="AS16" s="226"/>
      <c r="AU16" s="1600" t="s">
        <v>432</v>
      </c>
      <c r="AV16" s="1600"/>
      <c r="AW16" s="635"/>
      <c r="AX16" s="636"/>
      <c r="AY16" s="641"/>
      <c r="AZ16" s="636"/>
      <c r="BA16" s="410">
        <f t="shared" si="0"/>
        <v>0</v>
      </c>
      <c r="BF16" s="2"/>
      <c r="BG16" s="2"/>
      <c r="BH16" s="2"/>
      <c r="BI16" s="2"/>
    </row>
    <row r="17" spans="1:61" ht="30" customHeight="1">
      <c r="B17" s="638"/>
      <c r="C17" s="642"/>
      <c r="D17" s="1994" t="s">
        <v>433</v>
      </c>
      <c r="E17" s="1994"/>
      <c r="F17" s="1994"/>
      <c r="G17" s="1994"/>
      <c r="H17" s="1994"/>
      <c r="I17" s="1994"/>
      <c r="J17" s="1994"/>
      <c r="K17" s="1994"/>
      <c r="L17" s="1994"/>
      <c r="M17" s="549"/>
      <c r="N17" s="1995"/>
      <c r="O17" s="1996"/>
      <c r="P17" s="1996"/>
      <c r="Q17" s="1996"/>
      <c r="R17" s="1996"/>
      <c r="S17" s="1996"/>
      <c r="T17" s="1996"/>
      <c r="U17" s="1996"/>
      <c r="V17" s="1997"/>
      <c r="W17" s="643" t="s">
        <v>434</v>
      </c>
      <c r="X17" s="1979"/>
      <c r="Y17" s="1980"/>
      <c r="Z17" s="1980"/>
      <c r="AA17" s="1980"/>
      <c r="AB17" s="1980"/>
      <c r="AC17" s="1980"/>
      <c r="AD17" s="1980"/>
      <c r="AE17" s="1981"/>
      <c r="AF17" s="1982"/>
      <c r="AG17" s="1982"/>
      <c r="AH17" s="1983"/>
      <c r="AI17" s="552"/>
      <c r="AJ17" s="226"/>
      <c r="AK17" s="226"/>
      <c r="AL17" s="226"/>
      <c r="AM17" s="226"/>
      <c r="AN17" s="226"/>
      <c r="AO17" s="226"/>
      <c r="AP17" s="226"/>
      <c r="AQ17" s="226"/>
      <c r="AR17" s="226"/>
      <c r="AS17" s="226"/>
      <c r="AU17" s="1600" t="s">
        <v>433</v>
      </c>
      <c r="AV17" s="1600"/>
      <c r="AW17" s="644">
        <f>ROUND(N17*AF17%,1)</f>
        <v>0</v>
      </c>
      <c r="AX17" s="554" t="s">
        <v>435</v>
      </c>
      <c r="AY17" s="555">
        <f>IF(AND(AW17&gt;0,BA17&gt;0),ROUND(BA17/AW17,2),)</f>
        <v>0</v>
      </c>
      <c r="AZ17" s="554" t="s">
        <v>436</v>
      </c>
      <c r="BA17" s="410">
        <f t="shared" si="0"/>
        <v>0</v>
      </c>
      <c r="BF17" s="2"/>
      <c r="BG17" s="2"/>
      <c r="BH17" s="2"/>
      <c r="BI17" s="2"/>
    </row>
    <row r="18" spans="1:61" ht="30" customHeight="1">
      <c r="B18" s="638"/>
      <c r="C18" s="642"/>
      <c r="D18" s="1994" t="s">
        <v>437</v>
      </c>
      <c r="E18" s="1994"/>
      <c r="F18" s="1994"/>
      <c r="G18" s="1994"/>
      <c r="H18" s="1994"/>
      <c r="I18" s="1994"/>
      <c r="J18" s="1994"/>
      <c r="K18" s="1994"/>
      <c r="L18" s="1994"/>
      <c r="M18" s="549"/>
      <c r="N18" s="2001"/>
      <c r="O18" s="2002"/>
      <c r="P18" s="2002"/>
      <c r="Q18" s="2002"/>
      <c r="R18" s="2002"/>
      <c r="S18" s="2002"/>
      <c r="T18" s="2002"/>
      <c r="U18" s="2002"/>
      <c r="V18" s="2003"/>
      <c r="W18" s="643" t="s">
        <v>169</v>
      </c>
      <c r="X18" s="1979"/>
      <c r="Y18" s="1980"/>
      <c r="Z18" s="1980"/>
      <c r="AA18" s="1980"/>
      <c r="AB18" s="1980"/>
      <c r="AC18" s="1980"/>
      <c r="AD18" s="1980"/>
      <c r="AE18" s="1981"/>
      <c r="AF18" s="1982"/>
      <c r="AG18" s="1982"/>
      <c r="AH18" s="1983"/>
      <c r="AI18" s="552"/>
      <c r="AJ18" s="226"/>
      <c r="AK18" s="226"/>
      <c r="AL18" s="226"/>
      <c r="AM18" s="226"/>
      <c r="AN18" s="226"/>
      <c r="AO18" s="226"/>
      <c r="AP18" s="226"/>
      <c r="AQ18" s="226"/>
      <c r="AR18" s="226"/>
      <c r="AS18" s="226"/>
      <c r="AU18" s="1600" t="s">
        <v>437</v>
      </c>
      <c r="AV18" s="1600"/>
      <c r="AW18" s="644">
        <f>ROUND(N18*AF18%,1)</f>
        <v>0</v>
      </c>
      <c r="AX18" s="554" t="s">
        <v>438</v>
      </c>
      <c r="AY18" s="555">
        <f t="shared" ref="AY18:AY25" si="1">IF(AND(AW18&gt;0,BA18&gt;0),ROUND(BA18/AW18,2),)</f>
        <v>0</v>
      </c>
      <c r="AZ18" s="554" t="s">
        <v>436</v>
      </c>
      <c r="BA18" s="410">
        <f t="shared" si="0"/>
        <v>0</v>
      </c>
      <c r="BF18" s="2"/>
      <c r="BG18" s="2"/>
      <c r="BH18" s="2"/>
      <c r="BI18" s="2"/>
    </row>
    <row r="19" spans="1:61" ht="30" customHeight="1">
      <c r="B19" s="638"/>
      <c r="C19" s="642"/>
      <c r="D19" s="1994" t="s">
        <v>439</v>
      </c>
      <c r="E19" s="1994"/>
      <c r="F19" s="1994"/>
      <c r="G19" s="1994"/>
      <c r="H19" s="1994"/>
      <c r="I19" s="1994"/>
      <c r="J19" s="1994"/>
      <c r="K19" s="1994"/>
      <c r="L19" s="1994"/>
      <c r="M19" s="549"/>
      <c r="N19" s="2001"/>
      <c r="O19" s="2002"/>
      <c r="P19" s="2002"/>
      <c r="Q19" s="2002"/>
      <c r="R19" s="2002"/>
      <c r="S19" s="2002"/>
      <c r="T19" s="2002"/>
      <c r="U19" s="2002"/>
      <c r="V19" s="2003"/>
      <c r="W19" s="643" t="s">
        <v>434</v>
      </c>
      <c r="X19" s="1979"/>
      <c r="Y19" s="1980"/>
      <c r="Z19" s="1980"/>
      <c r="AA19" s="1980"/>
      <c r="AB19" s="1980"/>
      <c r="AC19" s="1980"/>
      <c r="AD19" s="1980"/>
      <c r="AE19" s="1981"/>
      <c r="AF19" s="1982"/>
      <c r="AG19" s="1982"/>
      <c r="AH19" s="1983"/>
      <c r="AI19" s="552"/>
      <c r="AJ19" s="226"/>
      <c r="AK19" s="226"/>
      <c r="AL19" s="226"/>
      <c r="AM19" s="226"/>
      <c r="AN19" s="226"/>
      <c r="AO19" s="226"/>
      <c r="AP19" s="226"/>
      <c r="AQ19" s="226"/>
      <c r="AR19" s="226"/>
      <c r="AS19" s="226"/>
      <c r="AU19" s="1600" t="s">
        <v>440</v>
      </c>
      <c r="AV19" s="1600"/>
      <c r="AW19" s="644">
        <f>ROUND(N19*AF19%,1)</f>
        <v>0</v>
      </c>
      <c r="AX19" s="554" t="s">
        <v>438</v>
      </c>
      <c r="AY19" s="555">
        <f t="shared" si="1"/>
        <v>0</v>
      </c>
      <c r="AZ19" s="554" t="s">
        <v>436</v>
      </c>
      <c r="BA19" s="410">
        <f t="shared" si="0"/>
        <v>0</v>
      </c>
      <c r="BF19" s="2"/>
      <c r="BG19" s="2"/>
      <c r="BH19" s="2"/>
      <c r="BI19" s="2"/>
    </row>
    <row r="20" spans="1:61" ht="30" customHeight="1" thickBot="1">
      <c r="B20" s="638"/>
      <c r="C20" s="645"/>
      <c r="D20" s="2015" t="s">
        <v>441</v>
      </c>
      <c r="E20" s="2015"/>
      <c r="F20" s="2015"/>
      <c r="G20" s="2015"/>
      <c r="H20" s="2015"/>
      <c r="I20" s="2015"/>
      <c r="J20" s="2015"/>
      <c r="K20" s="2015"/>
      <c r="L20" s="2015"/>
      <c r="M20" s="560"/>
      <c r="N20" s="2016"/>
      <c r="O20" s="2017"/>
      <c r="P20" s="2017"/>
      <c r="Q20" s="2017"/>
      <c r="R20" s="2017"/>
      <c r="S20" s="2017"/>
      <c r="T20" s="2017"/>
      <c r="U20" s="2017"/>
      <c r="V20" s="2018"/>
      <c r="W20" s="646" t="s">
        <v>434</v>
      </c>
      <c r="X20" s="2019"/>
      <c r="Y20" s="2020"/>
      <c r="Z20" s="2020"/>
      <c r="AA20" s="2020"/>
      <c r="AB20" s="2020"/>
      <c r="AC20" s="2020"/>
      <c r="AD20" s="2020"/>
      <c r="AE20" s="2021"/>
      <c r="AF20" s="2022"/>
      <c r="AG20" s="2022"/>
      <c r="AH20" s="2023"/>
      <c r="AI20" s="552"/>
      <c r="AJ20" s="226"/>
      <c r="AK20" s="226"/>
      <c r="AL20" s="226"/>
      <c r="AM20" s="226"/>
      <c r="AN20" s="226"/>
      <c r="AO20" s="226"/>
      <c r="AP20" s="226"/>
      <c r="AQ20" s="226"/>
      <c r="AR20" s="226"/>
      <c r="AS20" s="226"/>
      <c r="AU20" s="2024" t="s">
        <v>441</v>
      </c>
      <c r="AV20" s="2024"/>
      <c r="AW20" s="647">
        <f>ROUND(N20*AF20%,1)</f>
        <v>0</v>
      </c>
      <c r="AX20" s="648" t="s">
        <v>438</v>
      </c>
      <c r="AY20" s="649">
        <f t="shared" si="1"/>
        <v>0</v>
      </c>
      <c r="AZ20" s="648" t="s">
        <v>436</v>
      </c>
      <c r="BA20" s="650">
        <f t="shared" si="0"/>
        <v>0</v>
      </c>
      <c r="BF20" s="2"/>
      <c r="BG20" s="2"/>
      <c r="BH20" s="2"/>
      <c r="BI20" s="2"/>
    </row>
    <row r="21" spans="1:61" ht="30" customHeight="1" thickTop="1">
      <c r="B21" s="638"/>
      <c r="C21" s="651"/>
      <c r="D21" s="2004" t="s">
        <v>442</v>
      </c>
      <c r="E21" s="2004"/>
      <c r="F21" s="2004"/>
      <c r="G21" s="2004"/>
      <c r="H21" s="2004"/>
      <c r="I21" s="2004"/>
      <c r="J21" s="2004"/>
      <c r="K21" s="2004"/>
      <c r="L21" s="2004"/>
      <c r="M21" s="652"/>
      <c r="N21" s="2005"/>
      <c r="O21" s="2006"/>
      <c r="P21" s="2006"/>
      <c r="Q21" s="2006"/>
      <c r="R21" s="2006"/>
      <c r="S21" s="2006"/>
      <c r="T21" s="2006"/>
      <c r="U21" s="2006"/>
      <c r="V21" s="2007"/>
      <c r="W21" s="653" t="s">
        <v>443</v>
      </c>
      <c r="X21" s="2008"/>
      <c r="Y21" s="2009"/>
      <c r="Z21" s="2009"/>
      <c r="AA21" s="2009"/>
      <c r="AB21" s="2009"/>
      <c r="AC21" s="2009"/>
      <c r="AD21" s="2009"/>
      <c r="AE21" s="2010"/>
      <c r="AF21" s="2011"/>
      <c r="AG21" s="2011"/>
      <c r="AH21" s="2012"/>
      <c r="AI21" s="552"/>
      <c r="AJ21" s="226"/>
      <c r="AK21" s="226"/>
      <c r="AL21" s="226"/>
      <c r="AM21" s="226"/>
      <c r="AN21" s="226"/>
      <c r="AO21" s="226"/>
      <c r="AP21" s="226"/>
      <c r="AQ21" s="226"/>
      <c r="AR21" s="226"/>
      <c r="AS21" s="226"/>
      <c r="AU21" s="2013" t="s">
        <v>444</v>
      </c>
      <c r="AV21" s="2014"/>
      <c r="AW21" s="654">
        <f>ROUND(N21*AF21%,)</f>
        <v>0</v>
      </c>
      <c r="AX21" s="554" t="s">
        <v>445</v>
      </c>
      <c r="AY21" s="252">
        <f t="shared" si="1"/>
        <v>0</v>
      </c>
      <c r="AZ21" s="554" t="s">
        <v>418</v>
      </c>
      <c r="BA21" s="410">
        <f t="shared" si="0"/>
        <v>0</v>
      </c>
      <c r="BF21" s="2"/>
      <c r="BG21" s="2"/>
      <c r="BH21" s="2"/>
      <c r="BI21" s="2"/>
    </row>
    <row r="22" spans="1:61" ht="30" hidden="1" customHeight="1">
      <c r="B22" s="638"/>
      <c r="C22" s="655"/>
      <c r="D22" s="2025" t="s">
        <v>446</v>
      </c>
      <c r="E22" s="2004"/>
      <c r="F22" s="2004"/>
      <c r="G22" s="2004"/>
      <c r="H22" s="2004"/>
      <c r="I22" s="2004"/>
      <c r="J22" s="2004"/>
      <c r="K22" s="2004"/>
      <c r="L22" s="2004"/>
      <c r="M22" s="656"/>
      <c r="N22" s="2026"/>
      <c r="O22" s="2027"/>
      <c r="P22" s="2027"/>
      <c r="Q22" s="2027"/>
      <c r="R22" s="2027"/>
      <c r="S22" s="2027"/>
      <c r="T22" s="2027"/>
      <c r="U22" s="2027"/>
      <c r="V22" s="2028"/>
      <c r="W22" s="657" t="s">
        <v>443</v>
      </c>
      <c r="X22" s="2008"/>
      <c r="Y22" s="2009"/>
      <c r="Z22" s="2009"/>
      <c r="AA22" s="2009"/>
      <c r="AB22" s="2009"/>
      <c r="AC22" s="2009"/>
      <c r="AD22" s="2009"/>
      <c r="AE22" s="2010"/>
      <c r="AF22" s="2011"/>
      <c r="AG22" s="2011"/>
      <c r="AH22" s="2012"/>
      <c r="AI22" s="552"/>
      <c r="AJ22" s="226"/>
      <c r="AK22" s="226"/>
      <c r="AL22" s="226"/>
      <c r="AM22" s="226"/>
      <c r="AN22" s="226"/>
      <c r="AO22" s="226"/>
      <c r="AP22" s="226"/>
      <c r="AQ22" s="226"/>
      <c r="AR22" s="226"/>
      <c r="AS22" s="226"/>
      <c r="AU22" s="658"/>
      <c r="AV22" s="165" t="s">
        <v>446</v>
      </c>
      <c r="AW22" s="654">
        <f>ROUND(N22*AF22%,)</f>
        <v>0</v>
      </c>
      <c r="AX22" s="554" t="s">
        <v>445</v>
      </c>
      <c r="AY22" s="252">
        <f t="shared" si="1"/>
        <v>0</v>
      </c>
      <c r="AZ22" s="554" t="s">
        <v>418</v>
      </c>
      <c r="BA22" s="410">
        <f t="shared" si="0"/>
        <v>0</v>
      </c>
      <c r="BF22" s="2"/>
      <c r="BG22" s="2"/>
      <c r="BH22" s="2"/>
      <c r="BI22" s="2"/>
    </row>
    <row r="23" spans="1:61" ht="30" hidden="1" customHeight="1">
      <c r="B23" s="638"/>
      <c r="C23" s="659"/>
      <c r="D23" s="2029" t="s">
        <v>447</v>
      </c>
      <c r="E23" s="2030"/>
      <c r="F23" s="2030"/>
      <c r="G23" s="2030"/>
      <c r="H23" s="2030"/>
      <c r="I23" s="2030"/>
      <c r="J23" s="2030"/>
      <c r="K23" s="2030"/>
      <c r="L23" s="2030"/>
      <c r="M23" s="475"/>
      <c r="N23" s="2031"/>
      <c r="O23" s="2032"/>
      <c r="P23" s="2032"/>
      <c r="Q23" s="2032"/>
      <c r="R23" s="2032"/>
      <c r="S23" s="2032"/>
      <c r="T23" s="2032"/>
      <c r="U23" s="2032"/>
      <c r="V23" s="2033"/>
      <c r="W23" s="643" t="s">
        <v>443</v>
      </c>
      <c r="X23" s="1979"/>
      <c r="Y23" s="1980"/>
      <c r="Z23" s="1980"/>
      <c r="AA23" s="1980"/>
      <c r="AB23" s="1980"/>
      <c r="AC23" s="1980"/>
      <c r="AD23" s="1980"/>
      <c r="AE23" s="1981"/>
      <c r="AF23" s="1982"/>
      <c r="AG23" s="1982"/>
      <c r="AH23" s="1983"/>
      <c r="AI23" s="552"/>
      <c r="AJ23" s="226"/>
      <c r="AK23" s="226"/>
      <c r="AL23" s="226"/>
      <c r="AM23" s="226"/>
      <c r="AN23" s="226"/>
      <c r="AO23" s="226"/>
      <c r="AP23" s="226"/>
      <c r="AQ23" s="226"/>
      <c r="AR23" s="226"/>
      <c r="AS23" s="226"/>
      <c r="AU23" s="658"/>
      <c r="AV23" s="165" t="s">
        <v>447</v>
      </c>
      <c r="AW23" s="654">
        <f>ROUND(N23*AF23%,)</f>
        <v>0</v>
      </c>
      <c r="AX23" s="554" t="s">
        <v>445</v>
      </c>
      <c r="AY23" s="555">
        <f t="shared" si="1"/>
        <v>0</v>
      </c>
      <c r="AZ23" s="554" t="s">
        <v>418</v>
      </c>
      <c r="BA23" s="410">
        <f t="shared" si="0"/>
        <v>0</v>
      </c>
      <c r="BF23" s="2"/>
      <c r="BG23" s="2"/>
      <c r="BH23" s="2"/>
      <c r="BI23" s="2"/>
    </row>
    <row r="24" spans="1:61" ht="30" hidden="1" customHeight="1">
      <c r="B24" s="638"/>
      <c r="C24" s="660"/>
      <c r="D24" s="2034" t="s">
        <v>448</v>
      </c>
      <c r="E24" s="2035"/>
      <c r="F24" s="2035"/>
      <c r="G24" s="2035"/>
      <c r="H24" s="2035"/>
      <c r="I24" s="2035"/>
      <c r="J24" s="2035"/>
      <c r="K24" s="2035"/>
      <c r="L24" s="2035"/>
      <c r="M24" s="549"/>
      <c r="N24" s="2031"/>
      <c r="O24" s="2032"/>
      <c r="P24" s="2032"/>
      <c r="Q24" s="2032"/>
      <c r="R24" s="2032"/>
      <c r="S24" s="2032"/>
      <c r="T24" s="2032"/>
      <c r="U24" s="2032"/>
      <c r="V24" s="2033"/>
      <c r="W24" s="643" t="s">
        <v>443</v>
      </c>
      <c r="X24" s="1979"/>
      <c r="Y24" s="1980"/>
      <c r="Z24" s="1980"/>
      <c r="AA24" s="1980"/>
      <c r="AB24" s="1980"/>
      <c r="AC24" s="1980"/>
      <c r="AD24" s="1980"/>
      <c r="AE24" s="1981"/>
      <c r="AF24" s="1982"/>
      <c r="AG24" s="1982"/>
      <c r="AH24" s="1983"/>
      <c r="AI24" s="552"/>
      <c r="AJ24" s="226"/>
      <c r="AK24" s="226"/>
      <c r="AL24" s="226"/>
      <c r="AM24" s="226"/>
      <c r="AN24" s="226"/>
      <c r="AO24" s="226"/>
      <c r="AP24" s="226"/>
      <c r="AQ24" s="226"/>
      <c r="AR24" s="226"/>
      <c r="AS24" s="226"/>
      <c r="AU24" s="661"/>
      <c r="AV24" s="165" t="s">
        <v>448</v>
      </c>
      <c r="AW24" s="654">
        <f>ROUND(N24*AF24%,)</f>
        <v>0</v>
      </c>
      <c r="AX24" s="554" t="s">
        <v>445</v>
      </c>
      <c r="AY24" s="555">
        <f t="shared" si="1"/>
        <v>0</v>
      </c>
      <c r="AZ24" s="554" t="s">
        <v>418</v>
      </c>
      <c r="BA24" s="410">
        <f t="shared" si="0"/>
        <v>0</v>
      </c>
      <c r="BF24" s="2"/>
      <c r="BG24" s="2"/>
      <c r="BH24" s="2"/>
      <c r="BI24" s="2"/>
    </row>
    <row r="25" spans="1:61" ht="30" hidden="1" customHeight="1">
      <c r="B25" s="638"/>
      <c r="C25" s="659"/>
      <c r="D25" s="1994" t="s">
        <v>449</v>
      </c>
      <c r="E25" s="1994"/>
      <c r="F25" s="1994"/>
      <c r="G25" s="1994"/>
      <c r="H25" s="1994"/>
      <c r="I25" s="1994"/>
      <c r="J25" s="1994"/>
      <c r="K25" s="1994"/>
      <c r="L25" s="1994"/>
      <c r="M25" s="549"/>
      <c r="N25" s="2036"/>
      <c r="O25" s="2037"/>
      <c r="P25" s="2037"/>
      <c r="Q25" s="2037"/>
      <c r="R25" s="2037"/>
      <c r="S25" s="2037"/>
      <c r="T25" s="2037"/>
      <c r="U25" s="2037"/>
      <c r="V25" s="2038"/>
      <c r="W25" s="643" t="s">
        <v>443</v>
      </c>
      <c r="X25" s="1979"/>
      <c r="Y25" s="1980"/>
      <c r="Z25" s="1980"/>
      <c r="AA25" s="1980"/>
      <c r="AB25" s="1980"/>
      <c r="AC25" s="1980"/>
      <c r="AD25" s="1980"/>
      <c r="AE25" s="1981"/>
      <c r="AF25" s="1982"/>
      <c r="AG25" s="1982"/>
      <c r="AH25" s="1983"/>
      <c r="AI25" s="552"/>
      <c r="AJ25" s="226"/>
      <c r="AK25" s="226"/>
      <c r="AL25" s="226"/>
      <c r="AM25" s="226"/>
      <c r="AN25" s="226"/>
      <c r="AO25" s="226"/>
      <c r="AP25" s="226"/>
      <c r="AQ25" s="226"/>
      <c r="AR25" s="226"/>
      <c r="AS25" s="226"/>
      <c r="AU25" s="1600" t="s">
        <v>449</v>
      </c>
      <c r="AV25" s="1600"/>
      <c r="AW25" s="654">
        <f>ROUND(N25*AF25%,)</f>
        <v>0</v>
      </c>
      <c r="AX25" s="554" t="s">
        <v>445</v>
      </c>
      <c r="AY25" s="555">
        <f t="shared" si="1"/>
        <v>0</v>
      </c>
      <c r="AZ25" s="554" t="s">
        <v>418</v>
      </c>
      <c r="BA25" s="410">
        <f t="shared" si="0"/>
        <v>0</v>
      </c>
      <c r="BF25" s="2"/>
      <c r="BG25" s="2"/>
      <c r="BH25" s="2"/>
      <c r="BI25" s="2"/>
    </row>
    <row r="26" spans="1:61" s="297" customFormat="1" ht="30" customHeight="1" thickBot="1">
      <c r="A26" s="295"/>
      <c r="B26" s="662"/>
      <c r="C26" s="663"/>
      <c r="D26" s="2041" t="s">
        <v>450</v>
      </c>
      <c r="E26" s="2041"/>
      <c r="F26" s="2041"/>
      <c r="G26" s="2041"/>
      <c r="H26" s="2041"/>
      <c r="I26" s="2041"/>
      <c r="J26" s="2041"/>
      <c r="K26" s="2041"/>
      <c r="L26" s="2041"/>
      <c r="M26" s="664"/>
      <c r="N26" s="2042"/>
      <c r="O26" s="2043"/>
      <c r="P26" s="2043"/>
      <c r="Q26" s="2043"/>
      <c r="R26" s="2043"/>
      <c r="S26" s="2043"/>
      <c r="T26" s="2043"/>
      <c r="U26" s="2043"/>
      <c r="V26" s="2044"/>
      <c r="W26" s="665" t="s">
        <v>425</v>
      </c>
      <c r="X26" s="2045"/>
      <c r="Y26" s="2046"/>
      <c r="Z26" s="2046"/>
      <c r="AA26" s="2046"/>
      <c r="AB26" s="2046"/>
      <c r="AC26" s="2046"/>
      <c r="AD26" s="2046"/>
      <c r="AE26" s="2047"/>
      <c r="AF26" s="2048"/>
      <c r="AG26" s="2048"/>
      <c r="AH26" s="2049"/>
      <c r="AI26" s="552"/>
      <c r="AJ26" s="227"/>
      <c r="AK26" s="227"/>
      <c r="AL26" s="227"/>
      <c r="AM26" s="227"/>
      <c r="AN26" s="227"/>
      <c r="AO26" s="227"/>
      <c r="AP26" s="227"/>
      <c r="AQ26" s="227"/>
      <c r="AR26" s="227"/>
      <c r="AS26" s="227"/>
      <c r="AU26" s="1600" t="s">
        <v>451</v>
      </c>
      <c r="AV26" s="1600"/>
      <c r="AW26" s="635"/>
      <c r="AX26" s="635"/>
      <c r="AY26" s="635"/>
      <c r="AZ26" s="635"/>
      <c r="BA26" s="410">
        <f t="shared" si="0"/>
        <v>0</v>
      </c>
    </row>
    <row r="27" spans="1:61" s="297" customFormat="1" ht="14.25" customHeight="1">
      <c r="A27" s="128"/>
      <c r="B27" s="2039" t="s">
        <v>452</v>
      </c>
      <c r="C27" s="1648"/>
      <c r="D27" s="1648"/>
      <c r="E27" s="1648"/>
      <c r="F27" s="1648"/>
      <c r="G27" s="1648"/>
      <c r="H27" s="1648"/>
      <c r="I27" s="1648"/>
      <c r="J27" s="1648"/>
      <c r="K27" s="1648"/>
      <c r="L27" s="1648"/>
      <c r="M27" s="1648"/>
      <c r="N27" s="1648"/>
      <c r="O27" s="1648"/>
      <c r="P27" s="1648"/>
      <c r="Q27" s="1648"/>
      <c r="R27" s="1648"/>
      <c r="S27" s="1648"/>
      <c r="T27" s="1648"/>
      <c r="U27" s="1648"/>
      <c r="V27" s="1648"/>
      <c r="W27" s="1648"/>
      <c r="X27" s="1648"/>
      <c r="Y27" s="1648"/>
      <c r="Z27" s="1648"/>
      <c r="AA27" s="1648"/>
      <c r="AB27" s="1648"/>
      <c r="AC27" s="1648"/>
      <c r="AD27" s="1648"/>
      <c r="AE27" s="1648"/>
      <c r="AF27" s="1648"/>
      <c r="AG27" s="1648"/>
      <c r="AH27" s="1648"/>
      <c r="AI27" s="1337"/>
      <c r="AJ27" s="1337"/>
      <c r="AK27" s="1337"/>
      <c r="AL27" s="1337"/>
      <c r="AU27" s="2"/>
      <c r="AV27" s="2"/>
      <c r="AW27" s="2"/>
      <c r="AX27" s="2"/>
      <c r="AY27" s="2"/>
      <c r="AZ27" s="2"/>
      <c r="BA27" s="2"/>
    </row>
    <row r="28" spans="1:61" ht="14.25" customHeight="1">
      <c r="A28" s="128"/>
      <c r="B28" s="2039" t="s">
        <v>453</v>
      </c>
      <c r="C28" s="2040"/>
      <c r="D28" s="2040"/>
      <c r="E28" s="2040"/>
      <c r="F28" s="2040"/>
      <c r="G28" s="2040"/>
      <c r="H28" s="2040"/>
      <c r="I28" s="2040"/>
      <c r="J28" s="2040"/>
      <c r="K28" s="2040"/>
      <c r="L28" s="2040"/>
      <c r="M28" s="2040"/>
      <c r="N28" s="2040"/>
      <c r="O28" s="2040"/>
      <c r="P28" s="2040"/>
      <c r="Q28" s="2040"/>
      <c r="R28" s="2040"/>
      <c r="S28" s="2040"/>
      <c r="T28" s="2040"/>
      <c r="U28" s="2040"/>
      <c r="V28" s="2040"/>
      <c r="W28" s="2040"/>
      <c r="X28" s="2040"/>
      <c r="Y28" s="2040"/>
      <c r="Z28" s="2040"/>
      <c r="AA28" s="2040"/>
      <c r="AB28" s="2040"/>
      <c r="AC28" s="2040"/>
      <c r="AD28" s="2040"/>
      <c r="AE28" s="2040"/>
      <c r="AF28" s="2040"/>
      <c r="AG28" s="2040"/>
      <c r="AH28" s="2040"/>
      <c r="AI28" s="1337"/>
      <c r="AJ28" s="1337"/>
      <c r="AK28" s="1337"/>
      <c r="AL28" s="1337"/>
    </row>
    <row r="29" spans="1:61" ht="14.25" customHeight="1">
      <c r="A29" s="128"/>
      <c r="B29" s="2040"/>
      <c r="C29" s="2040"/>
      <c r="D29" s="2040"/>
      <c r="E29" s="2040"/>
      <c r="F29" s="2040"/>
      <c r="G29" s="2040"/>
      <c r="H29" s="2040"/>
      <c r="I29" s="2040"/>
      <c r="J29" s="2040"/>
      <c r="K29" s="2040"/>
      <c r="L29" s="2040"/>
      <c r="M29" s="2040"/>
      <c r="N29" s="2040"/>
      <c r="O29" s="2040"/>
      <c r="P29" s="2040"/>
      <c r="Q29" s="2040"/>
      <c r="R29" s="2040"/>
      <c r="S29" s="2040"/>
      <c r="T29" s="2040"/>
      <c r="U29" s="2040"/>
      <c r="V29" s="2040"/>
      <c r="W29" s="2040"/>
      <c r="X29" s="2040"/>
      <c r="Y29" s="2040"/>
      <c r="Z29" s="2040"/>
      <c r="AA29" s="2040"/>
      <c r="AB29" s="2040"/>
      <c r="AC29" s="2040"/>
      <c r="AD29" s="2040"/>
      <c r="AE29" s="2040"/>
      <c r="AF29" s="2040"/>
      <c r="AG29" s="2040"/>
      <c r="AH29" s="2040"/>
      <c r="AI29" s="1337"/>
      <c r="AJ29" s="1337"/>
      <c r="AK29" s="1337"/>
      <c r="AL29" s="1337"/>
    </row>
    <row r="30" spans="1:61" ht="14.25" customHeight="1">
      <c r="A30" s="128"/>
      <c r="AI30" s="128"/>
    </row>
    <row r="31" spans="1:61" ht="13.5" customHeight="1">
      <c r="A31" s="128"/>
      <c r="B31" s="128"/>
      <c r="D31" s="666"/>
      <c r="E31" s="667"/>
      <c r="F31" s="666"/>
      <c r="G31" s="666"/>
      <c r="H31" s="666"/>
      <c r="I31" s="666"/>
      <c r="J31" s="666"/>
      <c r="K31" s="666"/>
      <c r="L31" s="666"/>
      <c r="M31" s="666"/>
      <c r="N31" s="666"/>
      <c r="O31" s="666"/>
      <c r="P31" s="666"/>
      <c r="Q31" s="666"/>
      <c r="R31" s="666"/>
      <c r="S31" s="666"/>
      <c r="T31" s="666"/>
      <c r="U31" s="666"/>
      <c r="V31" s="666"/>
      <c r="W31" s="666"/>
      <c r="X31" s="666"/>
      <c r="Y31" s="666"/>
      <c r="Z31" s="666"/>
      <c r="AA31" s="666"/>
      <c r="AB31" s="666"/>
      <c r="AC31" s="666"/>
      <c r="AD31" s="666"/>
      <c r="AE31" s="666"/>
      <c r="AF31" s="666"/>
      <c r="AG31" s="666"/>
      <c r="AH31" s="666"/>
      <c r="AI31" s="128"/>
    </row>
    <row r="32" spans="1:61" ht="18" customHeight="1">
      <c r="A32" s="226"/>
      <c r="B32" s="226"/>
      <c r="C32" s="226"/>
      <c r="D32" s="668"/>
      <c r="E32" s="669"/>
      <c r="F32" s="668"/>
      <c r="G32" s="668"/>
      <c r="H32" s="668"/>
      <c r="I32" s="668"/>
      <c r="J32" s="668"/>
      <c r="K32" s="668"/>
      <c r="L32" s="666"/>
      <c r="M32" s="666"/>
      <c r="N32" s="666"/>
      <c r="O32" s="666"/>
      <c r="P32" s="666"/>
      <c r="Q32" s="666"/>
      <c r="R32" s="666"/>
      <c r="S32" s="666"/>
      <c r="T32" s="666"/>
      <c r="U32" s="666"/>
      <c r="V32" s="666"/>
      <c r="W32" s="666"/>
      <c r="X32" s="666"/>
      <c r="Y32" s="666"/>
      <c r="Z32" s="666"/>
      <c r="AA32" s="666"/>
      <c r="AB32" s="666"/>
      <c r="AC32" s="666"/>
      <c r="AD32" s="666"/>
      <c r="AE32" s="666"/>
      <c r="AF32" s="666"/>
      <c r="AG32" s="666"/>
      <c r="AH32" s="666"/>
      <c r="AI32" s="128"/>
    </row>
    <row r="33" spans="1:35" ht="18" customHeight="1">
      <c r="A33" s="226"/>
      <c r="B33" s="226"/>
      <c r="C33" s="226"/>
      <c r="D33" s="668"/>
      <c r="E33" s="669"/>
      <c r="F33" s="668"/>
      <c r="G33" s="668"/>
      <c r="H33" s="668"/>
      <c r="I33" s="668"/>
      <c r="J33" s="668"/>
      <c r="K33" s="668"/>
      <c r="L33" s="666"/>
      <c r="M33" s="666"/>
      <c r="N33" s="666"/>
      <c r="O33" s="666"/>
      <c r="P33" s="666"/>
      <c r="Q33" s="666"/>
      <c r="R33" s="666"/>
      <c r="S33" s="666"/>
      <c r="T33" s="666"/>
      <c r="U33" s="666"/>
      <c r="V33" s="666"/>
      <c r="W33" s="666"/>
      <c r="X33" s="666"/>
      <c r="Y33" s="666"/>
      <c r="Z33" s="666"/>
      <c r="AA33" s="666"/>
      <c r="AB33" s="666"/>
      <c r="AC33" s="666"/>
      <c r="AD33" s="666"/>
      <c r="AE33" s="666"/>
      <c r="AF33" s="666"/>
      <c r="AG33" s="666"/>
      <c r="AH33" s="666"/>
      <c r="AI33" s="128"/>
    </row>
    <row r="34" spans="1:35" ht="18" customHeight="1">
      <c r="A34" s="226"/>
      <c r="B34" s="226"/>
      <c r="C34" s="670"/>
      <c r="D34" s="226"/>
      <c r="E34" s="670"/>
      <c r="F34" s="670"/>
      <c r="G34" s="670"/>
      <c r="H34" s="670"/>
      <c r="I34" s="670"/>
      <c r="J34" s="671"/>
      <c r="K34" s="671"/>
      <c r="L34" s="194"/>
      <c r="M34" s="194"/>
      <c r="N34" s="194"/>
      <c r="O34" s="194"/>
      <c r="P34" s="672"/>
      <c r="Q34" s="672"/>
      <c r="R34" s="672"/>
      <c r="S34" s="673"/>
      <c r="T34" s="128"/>
      <c r="U34" s="672"/>
      <c r="V34" s="128"/>
      <c r="W34" s="128"/>
      <c r="X34" s="674"/>
      <c r="Y34" s="674"/>
      <c r="Z34" s="128"/>
      <c r="AA34" s="128"/>
      <c r="AB34" s="128"/>
      <c r="AC34" s="128"/>
      <c r="AD34" s="128"/>
      <c r="AE34" s="128"/>
      <c r="AF34" s="128"/>
      <c r="AG34" s="128"/>
      <c r="AH34" s="128"/>
      <c r="AI34" s="128"/>
    </row>
    <row r="35" spans="1:35" ht="18" customHeight="1">
      <c r="A35" s="226"/>
      <c r="B35" s="226"/>
      <c r="C35" s="670"/>
      <c r="D35" s="226"/>
      <c r="E35" s="670"/>
      <c r="F35" s="670"/>
      <c r="G35" s="670"/>
      <c r="H35" s="670"/>
      <c r="I35" s="670"/>
      <c r="J35" s="671"/>
      <c r="K35" s="671"/>
      <c r="L35" s="194"/>
      <c r="M35" s="194"/>
      <c r="N35" s="194"/>
      <c r="O35" s="194"/>
      <c r="P35" s="672"/>
      <c r="Q35" s="672"/>
      <c r="R35" s="672"/>
      <c r="S35" s="673"/>
      <c r="T35" s="128"/>
      <c r="U35" s="672"/>
      <c r="V35" s="128"/>
      <c r="W35" s="128"/>
      <c r="X35" s="674"/>
      <c r="Y35" s="674"/>
      <c r="Z35" s="128"/>
      <c r="AA35" s="128"/>
      <c r="AB35" s="128"/>
      <c r="AC35" s="128"/>
      <c r="AD35" s="128"/>
      <c r="AE35" s="128"/>
      <c r="AF35" s="128"/>
      <c r="AG35" s="128"/>
      <c r="AH35" s="128"/>
      <c r="AI35" s="128"/>
    </row>
    <row r="36" spans="1:35" ht="18" customHeight="1">
      <c r="A36" s="226"/>
      <c r="B36" s="226"/>
      <c r="C36" s="670"/>
      <c r="D36" s="226"/>
      <c r="E36" s="670"/>
      <c r="F36" s="670"/>
      <c r="G36" s="670"/>
      <c r="H36" s="670"/>
      <c r="I36" s="670"/>
      <c r="J36" s="671"/>
      <c r="K36" s="671"/>
      <c r="L36" s="194"/>
      <c r="M36" s="194"/>
      <c r="N36" s="194"/>
      <c r="O36" s="194"/>
      <c r="P36" s="672"/>
      <c r="Q36" s="672"/>
      <c r="R36" s="672"/>
      <c r="S36" s="673"/>
      <c r="T36" s="128"/>
      <c r="U36" s="672"/>
      <c r="V36" s="128"/>
      <c r="W36" s="128"/>
      <c r="X36" s="674"/>
      <c r="Y36" s="674"/>
      <c r="Z36" s="128"/>
      <c r="AA36" s="128"/>
      <c r="AB36" s="128"/>
      <c r="AC36" s="128"/>
      <c r="AD36" s="128"/>
      <c r="AE36" s="128"/>
      <c r="AF36" s="128"/>
      <c r="AG36" s="128"/>
      <c r="AH36" s="128"/>
      <c r="AI36" s="128"/>
    </row>
    <row r="37" spans="1:35" ht="18" customHeight="1">
      <c r="A37" s="226"/>
      <c r="B37" s="226"/>
      <c r="C37" s="670"/>
      <c r="D37" s="226"/>
      <c r="E37" s="670"/>
      <c r="F37" s="670"/>
      <c r="G37" s="670"/>
      <c r="H37" s="670"/>
      <c r="I37" s="670"/>
      <c r="J37" s="671"/>
      <c r="K37" s="671"/>
      <c r="L37" s="128"/>
      <c r="M37" s="145"/>
      <c r="N37" s="294"/>
      <c r="O37" s="675"/>
      <c r="P37" s="170"/>
      <c r="Q37" s="170"/>
      <c r="R37" s="676"/>
      <c r="S37" s="170"/>
      <c r="T37" s="131"/>
      <c r="U37" s="170"/>
      <c r="V37" s="128"/>
      <c r="W37" s="128"/>
      <c r="X37" s="677"/>
      <c r="Y37" s="678"/>
      <c r="Z37" s="128"/>
      <c r="AA37" s="128"/>
      <c r="AB37" s="128"/>
      <c r="AC37" s="128"/>
      <c r="AD37" s="128"/>
      <c r="AE37" s="128"/>
      <c r="AF37" s="128"/>
      <c r="AG37" s="128"/>
      <c r="AH37" s="128"/>
      <c r="AI37" s="128"/>
    </row>
    <row r="38" spans="1:35" ht="18" customHeight="1">
      <c r="A38" s="226"/>
      <c r="B38" s="226"/>
      <c r="C38" s="670"/>
      <c r="D38" s="226"/>
      <c r="E38" s="670"/>
      <c r="F38" s="670"/>
      <c r="G38" s="670"/>
      <c r="H38" s="670"/>
      <c r="I38" s="670"/>
      <c r="J38" s="671"/>
      <c r="K38" s="671"/>
      <c r="L38" s="194"/>
      <c r="M38" s="194"/>
      <c r="N38" s="194"/>
      <c r="O38" s="194"/>
      <c r="P38" s="672"/>
      <c r="Q38" s="672"/>
      <c r="R38" s="672"/>
      <c r="S38" s="673"/>
      <c r="T38" s="128"/>
      <c r="U38" s="672"/>
      <c r="V38" s="128"/>
      <c r="W38" s="128"/>
      <c r="X38" s="674"/>
      <c r="Y38" s="674"/>
      <c r="Z38" s="128"/>
      <c r="AA38" s="128"/>
      <c r="AB38" s="128"/>
      <c r="AC38" s="128"/>
      <c r="AD38" s="128"/>
      <c r="AE38" s="128"/>
      <c r="AF38" s="128"/>
      <c r="AG38" s="128"/>
      <c r="AH38" s="128"/>
      <c r="AI38" s="128"/>
    </row>
    <row r="39" spans="1:35" ht="18" customHeight="1">
      <c r="A39" s="226"/>
      <c r="B39" s="226"/>
      <c r="C39" s="670"/>
      <c r="D39" s="226"/>
      <c r="E39" s="670"/>
      <c r="F39" s="670"/>
      <c r="G39" s="670"/>
      <c r="H39" s="670"/>
      <c r="I39" s="670"/>
      <c r="J39" s="679"/>
      <c r="K39" s="679"/>
      <c r="L39" s="128"/>
      <c r="M39" s="145"/>
      <c r="N39" s="294"/>
      <c r="O39" s="677"/>
      <c r="P39" s="680"/>
      <c r="Q39" s="680"/>
      <c r="R39" s="680"/>
      <c r="S39" s="680"/>
      <c r="T39" s="131"/>
      <c r="U39" s="680"/>
      <c r="V39" s="128"/>
      <c r="W39" s="128"/>
      <c r="X39" s="677"/>
      <c r="Y39" s="677"/>
      <c r="Z39" s="128"/>
      <c r="AA39" s="128"/>
      <c r="AB39" s="128"/>
      <c r="AC39" s="128"/>
      <c r="AD39" s="128"/>
      <c r="AE39" s="128"/>
      <c r="AF39" s="128"/>
      <c r="AG39" s="128"/>
      <c r="AH39" s="128"/>
      <c r="AI39" s="128"/>
    </row>
    <row r="40" spans="1:35" ht="18" customHeight="1">
      <c r="A40" s="226"/>
      <c r="B40" s="226"/>
      <c r="C40" s="670"/>
      <c r="D40" s="227"/>
      <c r="E40" s="670"/>
      <c r="F40" s="670"/>
      <c r="G40" s="670"/>
      <c r="H40" s="670"/>
      <c r="I40" s="670"/>
      <c r="J40" s="679"/>
      <c r="K40" s="679"/>
      <c r="L40" s="128"/>
      <c r="M40" s="145"/>
      <c r="N40" s="294"/>
      <c r="O40" s="677"/>
      <c r="P40" s="680"/>
      <c r="Q40" s="680"/>
      <c r="R40" s="680"/>
      <c r="S40" s="680"/>
      <c r="T40" s="131"/>
      <c r="U40" s="680"/>
      <c r="V40" s="128"/>
      <c r="W40" s="128"/>
      <c r="X40" s="677"/>
      <c r="Y40" s="677"/>
      <c r="Z40" s="128"/>
      <c r="AA40" s="128"/>
      <c r="AB40" s="128"/>
      <c r="AC40" s="128"/>
      <c r="AD40" s="128"/>
      <c r="AE40" s="128"/>
      <c r="AF40" s="128"/>
      <c r="AG40" s="128"/>
      <c r="AH40" s="128"/>
      <c r="AI40" s="128"/>
    </row>
    <row r="41" spans="1:35" ht="13.5" customHeight="1">
      <c r="A41" s="226"/>
      <c r="B41" s="226"/>
      <c r="C41" s="226"/>
      <c r="D41" s="226"/>
      <c r="E41" s="670"/>
      <c r="F41" s="670"/>
      <c r="G41" s="670"/>
      <c r="H41" s="670"/>
      <c r="I41" s="670"/>
      <c r="J41" s="679"/>
      <c r="K41" s="679"/>
      <c r="L41" s="128"/>
      <c r="M41" s="681"/>
      <c r="N41" s="294"/>
      <c r="O41" s="677"/>
      <c r="P41" s="680"/>
      <c r="Q41" s="680"/>
      <c r="R41" s="680"/>
      <c r="S41" s="680"/>
      <c r="T41" s="131"/>
      <c r="U41" s="680"/>
      <c r="V41" s="128"/>
      <c r="W41" s="128"/>
      <c r="X41" s="677"/>
      <c r="Y41" s="677"/>
      <c r="Z41" s="128"/>
      <c r="AA41" s="128"/>
      <c r="AB41" s="128"/>
      <c r="AC41" s="128"/>
      <c r="AD41" s="128"/>
      <c r="AE41" s="128"/>
      <c r="AF41" s="128"/>
      <c r="AG41" s="128"/>
      <c r="AH41" s="128"/>
      <c r="AI41" s="128"/>
    </row>
    <row r="42" spans="1:35" ht="13.5" customHeight="1">
      <c r="C42" s="682"/>
      <c r="D42" s="131"/>
      <c r="E42" s="682"/>
      <c r="F42" s="682"/>
      <c r="G42" s="682"/>
      <c r="H42" s="682"/>
      <c r="I42" s="682"/>
      <c r="J42" s="683"/>
      <c r="K42" s="683"/>
      <c r="L42" s="128"/>
      <c r="M42" s="681"/>
      <c r="N42" s="294"/>
      <c r="O42" s="677"/>
      <c r="P42" s="170"/>
      <c r="Q42" s="170"/>
      <c r="R42" s="170"/>
      <c r="S42" s="170"/>
      <c r="T42" s="128"/>
      <c r="U42" s="170"/>
      <c r="V42" s="128"/>
      <c r="W42" s="128"/>
      <c r="X42" s="677"/>
      <c r="Y42" s="677"/>
      <c r="Z42" s="128"/>
      <c r="AA42" s="128"/>
      <c r="AB42" s="128"/>
      <c r="AC42" s="128"/>
      <c r="AD42" s="128"/>
      <c r="AE42" s="128"/>
      <c r="AF42" s="128"/>
      <c r="AG42" s="128"/>
      <c r="AH42" s="128"/>
    </row>
    <row r="43" spans="1:35" ht="14.25" customHeight="1">
      <c r="C43" s="128"/>
      <c r="D43" s="128"/>
      <c r="E43" s="128"/>
      <c r="F43" s="128"/>
      <c r="G43" s="128"/>
      <c r="H43" s="128"/>
      <c r="I43" s="128"/>
      <c r="J43" s="128"/>
      <c r="K43" s="128"/>
      <c r="L43" s="128"/>
      <c r="M43" s="128"/>
      <c r="N43" s="128"/>
      <c r="O43" s="128"/>
      <c r="P43" s="128"/>
      <c r="Q43" s="128"/>
      <c r="R43" s="128"/>
      <c r="S43" s="128"/>
      <c r="T43" s="128"/>
      <c r="U43" s="128"/>
      <c r="V43" s="128"/>
      <c r="W43" s="128"/>
      <c r="X43" s="128"/>
      <c r="Y43" s="128"/>
      <c r="Z43" s="128"/>
      <c r="AA43" s="128"/>
      <c r="AB43" s="128"/>
      <c r="AC43" s="128"/>
      <c r="AD43" s="128"/>
      <c r="AE43" s="128"/>
      <c r="AF43" s="128"/>
      <c r="AG43" s="128"/>
      <c r="AH43" s="128"/>
    </row>
    <row r="44" spans="1:35" ht="14.25" customHeight="1">
      <c r="C44" s="128"/>
      <c r="D44" s="128"/>
      <c r="E44" s="128"/>
      <c r="F44" s="128"/>
      <c r="G44" s="128"/>
      <c r="H44" s="128"/>
      <c r="I44" s="128"/>
      <c r="J44" s="128"/>
      <c r="K44" s="128"/>
      <c r="L44" s="128"/>
      <c r="M44" s="128"/>
      <c r="N44" s="128"/>
      <c r="O44" s="128"/>
      <c r="P44" s="128"/>
      <c r="Q44" s="128"/>
      <c r="R44" s="128"/>
      <c r="S44" s="128"/>
      <c r="T44" s="128"/>
      <c r="U44" s="128"/>
      <c r="V44" s="128"/>
      <c r="W44" s="128"/>
      <c r="X44" s="128"/>
      <c r="Y44" s="128"/>
      <c r="Z44" s="128"/>
      <c r="AA44" s="128"/>
      <c r="AB44" s="128"/>
      <c r="AC44" s="128"/>
      <c r="AD44" s="128"/>
      <c r="AE44" s="128"/>
      <c r="AF44" s="128"/>
      <c r="AG44" s="128"/>
      <c r="AH44" s="128"/>
    </row>
    <row r="45" spans="1:35" ht="14.25" customHeight="1">
      <c r="C45" s="128"/>
      <c r="D45" s="128"/>
      <c r="E45" s="128"/>
      <c r="F45" s="128"/>
      <c r="G45" s="128"/>
      <c r="H45" s="128"/>
      <c r="I45" s="128"/>
      <c r="J45" s="128"/>
      <c r="K45" s="128"/>
      <c r="L45" s="128"/>
      <c r="M45" s="128"/>
      <c r="N45" s="128"/>
      <c r="O45" s="128"/>
      <c r="P45" s="128"/>
      <c r="Q45" s="128"/>
      <c r="R45" s="128"/>
      <c r="S45" s="128"/>
      <c r="T45" s="128"/>
      <c r="U45" s="128"/>
      <c r="V45" s="128"/>
      <c r="W45" s="128"/>
      <c r="X45" s="128"/>
      <c r="Y45" s="128"/>
      <c r="Z45" s="128"/>
      <c r="AA45" s="128"/>
      <c r="AB45" s="128"/>
      <c r="AC45" s="128"/>
      <c r="AD45" s="128"/>
      <c r="AE45" s="128"/>
      <c r="AF45" s="128"/>
      <c r="AG45" s="128"/>
      <c r="AH45" s="128"/>
    </row>
    <row r="48" spans="1:35" ht="14.25" customHeight="1">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row>
    <row r="49" spans="3:34" ht="14.25" customHeight="1">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c r="AA49" s="128"/>
      <c r="AB49" s="128"/>
      <c r="AC49" s="128"/>
      <c r="AD49" s="128"/>
      <c r="AE49" s="128"/>
      <c r="AF49" s="128"/>
      <c r="AG49" s="128"/>
      <c r="AH49" s="128"/>
    </row>
    <row r="50" spans="3:34" ht="14.25" customHeight="1">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c r="AA50" s="128"/>
      <c r="AB50" s="128"/>
      <c r="AC50" s="128"/>
      <c r="AD50" s="128"/>
      <c r="AE50" s="128"/>
      <c r="AF50" s="128"/>
      <c r="AG50" s="128"/>
      <c r="AH50" s="128"/>
    </row>
    <row r="51" spans="3:34" ht="14.25" customHeight="1">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c r="AA51" s="128"/>
      <c r="AB51" s="128"/>
      <c r="AC51" s="128"/>
      <c r="AD51" s="128"/>
      <c r="AE51" s="128"/>
      <c r="AF51" s="128"/>
      <c r="AG51" s="128"/>
      <c r="AH51" s="128"/>
    </row>
    <row r="52" spans="3:34" ht="23.25" customHeight="1"/>
    <row r="53" spans="3:34" ht="23.25" customHeight="1"/>
    <row r="54" spans="3:34" s="50" customFormat="1" ht="14.25" customHeight="1"/>
    <row r="55" spans="3:34" ht="14.25" customHeight="1">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c r="AA55" s="128"/>
      <c r="AB55" s="128"/>
      <c r="AC55" s="128"/>
      <c r="AD55" s="128"/>
      <c r="AE55" s="128"/>
      <c r="AF55" s="128"/>
      <c r="AG55" s="128"/>
      <c r="AH55" s="128"/>
    </row>
    <row r="56" spans="3:34" ht="14.25" customHeight="1">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c r="AA56" s="128"/>
      <c r="AB56" s="128"/>
      <c r="AC56" s="128"/>
      <c r="AD56" s="128"/>
      <c r="AE56" s="128"/>
      <c r="AF56" s="128"/>
      <c r="AG56" s="128"/>
      <c r="AH56" s="128"/>
    </row>
    <row r="57" spans="3:34" ht="23.25" customHeight="1"/>
    <row r="58" spans="3:34" ht="23.25" customHeight="1"/>
  </sheetData>
  <sheetProtection sheet="1" objects="1" scenarios="1" selectLockedCells="1"/>
  <mergeCells count="83">
    <mergeCell ref="B27:AL27"/>
    <mergeCell ref="B28:AL29"/>
    <mergeCell ref="AU25:AV25"/>
    <mergeCell ref="D26:L26"/>
    <mergeCell ref="N26:V26"/>
    <mergeCell ref="X26:AE26"/>
    <mergeCell ref="AF26:AH26"/>
    <mergeCell ref="AU26:AV26"/>
    <mergeCell ref="D24:L24"/>
    <mergeCell ref="N24:V24"/>
    <mergeCell ref="X24:AE24"/>
    <mergeCell ref="AF24:AH24"/>
    <mergeCell ref="D25:L25"/>
    <mergeCell ref="N25:V25"/>
    <mergeCell ref="X25:AE25"/>
    <mergeCell ref="AF25:AH25"/>
    <mergeCell ref="D22:L22"/>
    <mergeCell ref="N22:V22"/>
    <mergeCell ref="X22:AE22"/>
    <mergeCell ref="AF22:AH22"/>
    <mergeCell ref="D23:L23"/>
    <mergeCell ref="N23:V23"/>
    <mergeCell ref="X23:AE23"/>
    <mergeCell ref="AF23:AH23"/>
    <mergeCell ref="D20:L20"/>
    <mergeCell ref="N20:V20"/>
    <mergeCell ref="X20:AE20"/>
    <mergeCell ref="AF20:AH20"/>
    <mergeCell ref="AU20:AV20"/>
    <mergeCell ref="D21:L21"/>
    <mergeCell ref="N21:V21"/>
    <mergeCell ref="X21:AE21"/>
    <mergeCell ref="AF21:AH21"/>
    <mergeCell ref="AU21:AV21"/>
    <mergeCell ref="D18:L18"/>
    <mergeCell ref="N18:V18"/>
    <mergeCell ref="X18:AE18"/>
    <mergeCell ref="AF18:AH18"/>
    <mergeCell ref="AU18:AV18"/>
    <mergeCell ref="D19:L19"/>
    <mergeCell ref="N19:V19"/>
    <mergeCell ref="X19:AE19"/>
    <mergeCell ref="AF19:AH19"/>
    <mergeCell ref="AU19:AV19"/>
    <mergeCell ref="AU16:AV16"/>
    <mergeCell ref="D17:L17"/>
    <mergeCell ref="N17:V17"/>
    <mergeCell ref="X17:AE17"/>
    <mergeCell ref="AF17:AH17"/>
    <mergeCell ref="AU17:AV17"/>
    <mergeCell ref="D16:L16"/>
    <mergeCell ref="N16:V16"/>
    <mergeCell ref="X16:AE16"/>
    <mergeCell ref="AF16:AH16"/>
    <mergeCell ref="C13:D15"/>
    <mergeCell ref="F13:L13"/>
    <mergeCell ref="N13:V13"/>
    <mergeCell ref="X13:AE13"/>
    <mergeCell ref="AF13:AH13"/>
    <mergeCell ref="AU13:AU15"/>
    <mergeCell ref="F14:L14"/>
    <mergeCell ref="N14:V14"/>
    <mergeCell ref="X14:AE14"/>
    <mergeCell ref="AF14:AH14"/>
    <mergeCell ref="F15:L15"/>
    <mergeCell ref="N15:V15"/>
    <mergeCell ref="X15:AE15"/>
    <mergeCell ref="AF15:AH15"/>
    <mergeCell ref="AW9:AX11"/>
    <mergeCell ref="AY9:AZ11"/>
    <mergeCell ref="BA9:BA11"/>
    <mergeCell ref="W10:W11"/>
    <mergeCell ref="B12:M12"/>
    <mergeCell ref="N12:V12"/>
    <mergeCell ref="X12:AE12"/>
    <mergeCell ref="AF12:AH12"/>
    <mergeCell ref="AU12:AV12"/>
    <mergeCell ref="AU9:AV11"/>
    <mergeCell ref="B5:AH8"/>
    <mergeCell ref="B9:M11"/>
    <mergeCell ref="N9:V11"/>
    <mergeCell ref="X9:AE11"/>
    <mergeCell ref="AF9:AH11"/>
  </mergeCells>
  <phoneticPr fontId="5"/>
  <dataValidations count="3">
    <dataValidation type="custom" operator="greaterThan" allowBlank="1" showInputMessage="1" showErrorMessage="1" error="0より大きい小数点第１位までの数値を入力してください。" sqref="N17:V20" xr:uid="{00000000-0002-0000-0D00-000000000000}">
      <formula1>AND(AND(N17*10=INT(N17*10)),(N17&gt;0))</formula1>
    </dataValidation>
    <dataValidation type="whole" operator="greaterThan" allowBlank="1" showInputMessage="1" showErrorMessage="1" error="0より大きい数値を整数で入力してください。" sqref="X12:AE26 N21:V25" xr:uid="{00000000-0002-0000-0D00-000001000000}">
      <formula1>0</formula1>
    </dataValidation>
    <dataValidation type="custom" allowBlank="1" showInputMessage="1" showErrorMessage="1" error="0.001~100の範囲で小数点第３位までの数値を入力してください。" sqref="AF12:AH26" xr:uid="{00000000-0002-0000-0D00-000002000000}">
      <formula1>AND(AND(AF12*1000=INT(AF12*1000)),(AF12&gt;0),(AF12&lt;=100))</formula1>
    </dataValidation>
  </dataValidations>
  <pageMargins left="0.59055118110236227" right="0.59055118110236227" top="0.59055118110236227" bottom="0.59055118110236227" header="0" footer="0"/>
  <pageSetup paperSize="9" scale="44" orientation="portrait" cellComments="asDisplayed"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2">
    <pageSetUpPr fitToPage="1"/>
  </sheetPr>
  <dimension ref="A1:AU53"/>
  <sheetViews>
    <sheetView showGridLines="0" zoomScale="85" zoomScaleNormal="85" zoomScaleSheetLayoutView="80" workbookViewId="0">
      <selection activeCell="M12" sqref="M12:T12"/>
    </sheetView>
  </sheetViews>
  <sheetFormatPr defaultColWidth="2.625" defaultRowHeight="14.25" customHeight="1" outlineLevelCol="1"/>
  <cols>
    <col min="1" max="35" width="2.625" style="295" customWidth="1"/>
    <col min="36" max="37" width="0.875" style="295" customWidth="1"/>
    <col min="38" max="38" width="2.625" style="295" customWidth="1"/>
    <col min="39" max="40" width="2.625" style="2" customWidth="1"/>
    <col min="41" max="41" width="2.625" style="2" customWidth="1" outlineLevel="1"/>
    <col min="42" max="45" width="2.625" style="295" customWidth="1" outlineLevel="1"/>
    <col min="46" max="46" width="24.25" style="295" bestFit="1" customWidth="1" outlineLevel="1"/>
    <col min="47" max="47" width="17.375" style="50" customWidth="1" outlineLevel="1"/>
    <col min="48" max="16384" width="2.625" style="295"/>
  </cols>
  <sheetData>
    <row r="1" spans="1:47" ht="14.25" customHeight="1">
      <c r="AS1" s="50" t="s">
        <v>410</v>
      </c>
    </row>
    <row r="2" spans="1:47" s="297" customFormat="1" ht="18" customHeight="1">
      <c r="A2" s="187" t="s">
        <v>454</v>
      </c>
      <c r="AM2" s="2"/>
      <c r="AN2" s="2"/>
      <c r="AO2" s="2"/>
      <c r="AS2" s="187" t="s">
        <v>454</v>
      </c>
      <c r="AT2" s="295"/>
      <c r="AU2" s="395"/>
    </row>
    <row r="3" spans="1:47" ht="18" customHeight="1">
      <c r="B3" s="684"/>
      <c r="C3" s="684"/>
      <c r="D3" s="684"/>
      <c r="E3" s="684"/>
      <c r="F3" s="684"/>
      <c r="G3" s="684"/>
      <c r="H3" s="684"/>
      <c r="I3" s="684"/>
      <c r="J3" s="684"/>
      <c r="K3" s="684"/>
      <c r="L3" s="684"/>
      <c r="M3" s="684"/>
      <c r="N3" s="684"/>
      <c r="O3" s="684"/>
      <c r="P3" s="684"/>
      <c r="Q3" s="684"/>
      <c r="R3" s="684"/>
      <c r="S3" s="684"/>
      <c r="T3" s="684"/>
      <c r="U3" s="684"/>
      <c r="V3" s="684"/>
      <c r="W3" s="684"/>
      <c r="X3" s="684"/>
      <c r="Y3" s="684"/>
      <c r="Z3" s="684"/>
      <c r="AA3" s="684"/>
      <c r="AB3" s="684"/>
      <c r="AC3" s="684"/>
      <c r="AD3" s="684"/>
      <c r="AE3" s="684"/>
      <c r="AF3" s="684"/>
      <c r="AG3" s="684"/>
      <c r="AH3" s="685"/>
      <c r="AI3" s="685"/>
      <c r="AJ3" s="685"/>
      <c r="AK3" s="685"/>
      <c r="AP3" s="685"/>
      <c r="AQ3" s="685"/>
      <c r="AR3" s="685"/>
    </row>
    <row r="4" spans="1:47" ht="18" customHeight="1">
      <c r="B4" s="153" t="s">
        <v>455</v>
      </c>
      <c r="C4" s="161"/>
      <c r="D4" s="161"/>
      <c r="E4" s="161"/>
      <c r="F4" s="161"/>
      <c r="G4" s="161"/>
      <c r="H4" s="161"/>
      <c r="I4" s="161"/>
      <c r="J4" s="161"/>
      <c r="K4" s="161"/>
      <c r="L4" s="161"/>
      <c r="M4" s="161"/>
      <c r="N4" s="161"/>
      <c r="O4" s="161"/>
      <c r="P4" s="161"/>
      <c r="Q4" s="161"/>
      <c r="R4" s="161"/>
      <c r="U4" s="161"/>
      <c r="V4" s="161"/>
      <c r="W4" s="161"/>
      <c r="X4" s="161"/>
      <c r="Y4" s="161"/>
      <c r="Z4" s="161"/>
      <c r="AT4" s="153" t="s">
        <v>455</v>
      </c>
    </row>
    <row r="5" spans="1:47" ht="18" customHeight="1">
      <c r="B5" s="65" t="s">
        <v>456</v>
      </c>
      <c r="C5" s="128"/>
      <c r="D5" s="161"/>
      <c r="E5" s="161"/>
      <c r="F5" s="161"/>
      <c r="G5" s="161"/>
      <c r="H5" s="161"/>
      <c r="I5" s="161"/>
      <c r="J5" s="161"/>
      <c r="K5" s="161"/>
      <c r="L5" s="161"/>
      <c r="M5" s="161"/>
      <c r="N5" s="161"/>
      <c r="O5" s="161"/>
      <c r="P5" s="161"/>
      <c r="Q5" s="161"/>
      <c r="R5" s="161"/>
      <c r="U5" s="161"/>
      <c r="V5" s="161"/>
      <c r="W5" s="161"/>
      <c r="X5" s="161"/>
      <c r="Y5" s="161"/>
      <c r="Z5" s="161"/>
    </row>
    <row r="6" spans="1:47" ht="18" customHeight="1">
      <c r="B6" s="65" t="s">
        <v>457</v>
      </c>
      <c r="C6" s="128"/>
      <c r="D6" s="161"/>
      <c r="E6" s="161"/>
      <c r="F6" s="161"/>
      <c r="G6" s="161"/>
      <c r="H6" s="161"/>
      <c r="I6" s="161"/>
      <c r="J6" s="161"/>
      <c r="K6" s="161"/>
      <c r="L6" s="161"/>
      <c r="M6" s="161"/>
      <c r="N6" s="161"/>
      <c r="O6" s="161"/>
      <c r="P6" s="161"/>
      <c r="Q6" s="161"/>
      <c r="R6" s="161"/>
      <c r="U6" s="161"/>
      <c r="V6" s="161"/>
      <c r="W6" s="161"/>
      <c r="X6" s="161"/>
      <c r="Y6" s="161"/>
      <c r="Z6" s="161"/>
    </row>
    <row r="7" spans="1:47" ht="18" customHeight="1">
      <c r="B7" s="65" t="s">
        <v>458</v>
      </c>
      <c r="C7" s="128"/>
      <c r="D7" s="161"/>
      <c r="E7" s="161"/>
      <c r="F7" s="161"/>
      <c r="G7" s="161"/>
      <c r="H7" s="161"/>
      <c r="I7" s="161"/>
      <c r="J7" s="161"/>
      <c r="K7" s="161"/>
      <c r="L7" s="161"/>
      <c r="M7" s="161"/>
      <c r="N7" s="161"/>
      <c r="O7" s="161"/>
      <c r="P7" s="161"/>
      <c r="Q7" s="161"/>
      <c r="R7" s="161"/>
      <c r="U7" s="161"/>
      <c r="V7" s="161"/>
      <c r="W7" s="161"/>
      <c r="X7" s="161"/>
      <c r="Y7" s="161"/>
      <c r="Z7" s="161"/>
    </row>
    <row r="8" spans="1:47" ht="18" customHeight="1" thickBot="1">
      <c r="B8" s="161"/>
      <c r="D8" s="161"/>
      <c r="E8" s="161"/>
      <c r="F8" s="161"/>
      <c r="G8" s="161"/>
      <c r="H8" s="161"/>
      <c r="I8" s="161"/>
      <c r="J8" s="161"/>
      <c r="K8" s="161"/>
      <c r="L8" s="161"/>
      <c r="M8" s="161"/>
      <c r="N8" s="161"/>
      <c r="O8" s="161"/>
      <c r="P8" s="161"/>
      <c r="Q8" s="161"/>
      <c r="R8" s="161"/>
      <c r="U8" s="161"/>
      <c r="V8" s="161"/>
      <c r="W8" s="161"/>
      <c r="X8" s="161"/>
      <c r="Y8" s="161"/>
      <c r="Z8" s="161"/>
    </row>
    <row r="9" spans="1:47" ht="12.75" customHeight="1">
      <c r="B9" s="1430" t="s">
        <v>58</v>
      </c>
      <c r="C9" s="1431"/>
      <c r="D9" s="1431"/>
      <c r="E9" s="1431"/>
      <c r="F9" s="1431"/>
      <c r="G9" s="1431"/>
      <c r="H9" s="1431"/>
      <c r="I9" s="1431"/>
      <c r="J9" s="1431"/>
      <c r="K9" s="1431"/>
      <c r="L9" s="1454"/>
      <c r="M9" s="1787" t="s">
        <v>302</v>
      </c>
      <c r="N9" s="1947"/>
      <c r="O9" s="1947"/>
      <c r="P9" s="1947"/>
      <c r="Q9" s="1947"/>
      <c r="R9" s="1947"/>
      <c r="S9" s="1947"/>
      <c r="T9" s="1947"/>
      <c r="U9" s="1829" t="s">
        <v>332</v>
      </c>
      <c r="V9" s="1830"/>
      <c r="W9" s="1831"/>
      <c r="X9" s="686"/>
      <c r="Y9" s="687"/>
      <c r="Z9" s="687"/>
      <c r="AA9" s="687"/>
      <c r="AB9" s="687"/>
      <c r="AC9" s="687"/>
      <c r="AD9" s="687"/>
      <c r="AE9" s="687"/>
      <c r="AF9" s="687"/>
      <c r="AG9" s="687"/>
      <c r="AH9" s="688"/>
      <c r="AI9" s="688"/>
      <c r="AT9" s="1795" t="s">
        <v>58</v>
      </c>
      <c r="AU9" s="1812" t="s">
        <v>459</v>
      </c>
    </row>
    <row r="10" spans="1:47" ht="12.95" customHeight="1">
      <c r="B10" s="1683"/>
      <c r="C10" s="1684"/>
      <c r="D10" s="1684"/>
      <c r="E10" s="1684"/>
      <c r="F10" s="1684"/>
      <c r="G10" s="1684"/>
      <c r="H10" s="1684"/>
      <c r="I10" s="1684"/>
      <c r="J10" s="1684"/>
      <c r="K10" s="1684"/>
      <c r="L10" s="1685"/>
      <c r="M10" s="2061"/>
      <c r="N10" s="1949"/>
      <c r="O10" s="1949"/>
      <c r="P10" s="1949"/>
      <c r="Q10" s="1949"/>
      <c r="R10" s="1949"/>
      <c r="S10" s="1949"/>
      <c r="T10" s="1949"/>
      <c r="U10" s="1832"/>
      <c r="V10" s="1833"/>
      <c r="W10" s="1834"/>
      <c r="X10" s="687"/>
      <c r="Y10" s="687"/>
      <c r="Z10" s="687"/>
      <c r="AA10" s="687"/>
      <c r="AB10" s="687"/>
      <c r="AC10" s="687"/>
      <c r="AD10" s="687"/>
      <c r="AE10" s="687"/>
      <c r="AF10" s="687"/>
      <c r="AG10" s="687"/>
      <c r="AH10" s="688"/>
      <c r="AI10" s="688"/>
      <c r="AT10" s="1795"/>
      <c r="AU10" s="1813"/>
    </row>
    <row r="11" spans="1:47" ht="14.25" customHeight="1" thickBot="1">
      <c r="B11" s="1433"/>
      <c r="C11" s="1434"/>
      <c r="D11" s="1434"/>
      <c r="E11" s="1434"/>
      <c r="F11" s="1434"/>
      <c r="G11" s="1434"/>
      <c r="H11" s="1434"/>
      <c r="I11" s="1434"/>
      <c r="J11" s="1434"/>
      <c r="K11" s="1434"/>
      <c r="L11" s="1686"/>
      <c r="M11" s="1788"/>
      <c r="N11" s="1951"/>
      <c r="O11" s="1951"/>
      <c r="P11" s="1951"/>
      <c r="Q11" s="1951"/>
      <c r="R11" s="1951"/>
      <c r="S11" s="1951"/>
      <c r="T11" s="1951"/>
      <c r="U11" s="2062"/>
      <c r="V11" s="2063"/>
      <c r="W11" s="2064"/>
      <c r="X11" s="687"/>
      <c r="Y11" s="687"/>
      <c r="Z11" s="687"/>
      <c r="AA11" s="687"/>
      <c r="AB11" s="687"/>
      <c r="AC11" s="687"/>
      <c r="AD11" s="687"/>
      <c r="AE11" s="687"/>
      <c r="AF11" s="687"/>
      <c r="AG11" s="687"/>
      <c r="AH11" s="688"/>
      <c r="AI11" s="688"/>
      <c r="AT11" s="1795"/>
      <c r="AU11" s="1814"/>
    </row>
    <row r="12" spans="1:47" ht="30" customHeight="1" thickTop="1" thickBot="1">
      <c r="B12" s="1731" t="s">
        <v>274</v>
      </c>
      <c r="C12" s="1732"/>
      <c r="D12" s="1732"/>
      <c r="E12" s="1732"/>
      <c r="F12" s="1732"/>
      <c r="G12" s="1732"/>
      <c r="H12" s="1732"/>
      <c r="I12" s="1732"/>
      <c r="J12" s="1732"/>
      <c r="K12" s="1732"/>
      <c r="L12" s="2054"/>
      <c r="M12" s="2055"/>
      <c r="N12" s="2056"/>
      <c r="O12" s="2056"/>
      <c r="P12" s="2056"/>
      <c r="Q12" s="2056"/>
      <c r="R12" s="2056"/>
      <c r="S12" s="2056"/>
      <c r="T12" s="2057"/>
      <c r="U12" s="2058"/>
      <c r="V12" s="2059"/>
      <c r="W12" s="2060"/>
      <c r="X12" s="687"/>
      <c r="Y12" s="687"/>
      <c r="Z12" s="687"/>
      <c r="AA12" s="687"/>
      <c r="AB12" s="687"/>
      <c r="AC12" s="687"/>
      <c r="AD12" s="687"/>
      <c r="AE12" s="687"/>
      <c r="AF12" s="687"/>
      <c r="AG12" s="687"/>
      <c r="AH12" s="688"/>
      <c r="AI12" s="688"/>
      <c r="AT12" s="689" t="s">
        <v>460</v>
      </c>
      <c r="AU12" s="617">
        <f>IF(M12&gt;0,SUM(ROUND(M12*U12%,),AU20:AU22),SUM(AU13:AU22))</f>
        <v>0</v>
      </c>
    </row>
    <row r="13" spans="1:47" ht="30" customHeight="1" thickTop="1">
      <c r="B13" s="690"/>
      <c r="C13" s="1577" t="s">
        <v>461</v>
      </c>
      <c r="D13" s="1636"/>
      <c r="E13" s="1636"/>
      <c r="F13" s="1636"/>
      <c r="G13" s="1636"/>
      <c r="H13" s="1636"/>
      <c r="I13" s="1636"/>
      <c r="J13" s="1636"/>
      <c r="K13" s="1636"/>
      <c r="L13" s="1636"/>
      <c r="M13" s="2050"/>
      <c r="N13" s="2051"/>
      <c r="O13" s="2051"/>
      <c r="P13" s="2051"/>
      <c r="Q13" s="2051"/>
      <c r="R13" s="2051"/>
      <c r="S13" s="2051"/>
      <c r="T13" s="2051"/>
      <c r="U13" s="2052"/>
      <c r="V13" s="2052"/>
      <c r="W13" s="2053"/>
      <c r="X13" s="552"/>
      <c r="Y13" s="691"/>
      <c r="Z13" s="691"/>
      <c r="AA13" s="691"/>
      <c r="AB13" s="691"/>
      <c r="AC13" s="691"/>
      <c r="AD13" s="691"/>
      <c r="AE13" s="691"/>
      <c r="AF13" s="691"/>
      <c r="AG13" s="691"/>
      <c r="AH13" s="692"/>
      <c r="AI13" s="692"/>
      <c r="AT13" s="693" t="s">
        <v>461</v>
      </c>
      <c r="AU13" s="410">
        <f>ROUND(M13*U13%,)</f>
        <v>0</v>
      </c>
    </row>
    <row r="14" spans="1:47" ht="30" customHeight="1">
      <c r="B14" s="694"/>
      <c r="C14" s="1577" t="s">
        <v>462</v>
      </c>
      <c r="D14" s="1636"/>
      <c r="E14" s="1636"/>
      <c r="F14" s="1636"/>
      <c r="G14" s="1636"/>
      <c r="H14" s="1636"/>
      <c r="I14" s="1636"/>
      <c r="J14" s="1636"/>
      <c r="K14" s="1636"/>
      <c r="L14" s="1636"/>
      <c r="M14" s="2065"/>
      <c r="N14" s="2066"/>
      <c r="O14" s="2066"/>
      <c r="P14" s="2066"/>
      <c r="Q14" s="2066"/>
      <c r="R14" s="2066"/>
      <c r="S14" s="2066"/>
      <c r="T14" s="2066"/>
      <c r="U14" s="2067"/>
      <c r="V14" s="2067"/>
      <c r="W14" s="2068"/>
      <c r="X14" s="552"/>
      <c r="Y14" s="691"/>
      <c r="Z14" s="691"/>
      <c r="AA14" s="691"/>
      <c r="AB14" s="691"/>
      <c r="AC14" s="691"/>
      <c r="AD14" s="691"/>
      <c r="AE14" s="691"/>
      <c r="AF14" s="691"/>
      <c r="AG14" s="691"/>
      <c r="AH14" s="692"/>
      <c r="AI14" s="692"/>
      <c r="AT14" s="695" t="s">
        <v>462</v>
      </c>
      <c r="AU14" s="410">
        <f>ROUND(M14*U14%,)</f>
        <v>0</v>
      </c>
    </row>
    <row r="15" spans="1:47" ht="30" customHeight="1">
      <c r="B15" s="696"/>
      <c r="C15" s="1577" t="s">
        <v>463</v>
      </c>
      <c r="D15" s="1636"/>
      <c r="E15" s="1636"/>
      <c r="F15" s="1636"/>
      <c r="G15" s="1636"/>
      <c r="H15" s="1636"/>
      <c r="I15" s="1636"/>
      <c r="J15" s="1636"/>
      <c r="K15" s="1636"/>
      <c r="L15" s="1636"/>
      <c r="M15" s="2069"/>
      <c r="N15" s="2070"/>
      <c r="O15" s="2070"/>
      <c r="P15" s="2070"/>
      <c r="Q15" s="2070"/>
      <c r="R15" s="2070"/>
      <c r="S15" s="2070"/>
      <c r="T15" s="2070"/>
      <c r="U15" s="2071"/>
      <c r="V15" s="2071"/>
      <c r="W15" s="2072"/>
      <c r="X15" s="552"/>
      <c r="Y15" s="697"/>
      <c r="Z15" s="697"/>
      <c r="AA15" s="697"/>
      <c r="AB15" s="697"/>
      <c r="AC15" s="697"/>
      <c r="AD15" s="697"/>
      <c r="AE15" s="697"/>
      <c r="AF15" s="697"/>
      <c r="AG15" s="697"/>
      <c r="AH15" s="698"/>
      <c r="AI15" s="698"/>
      <c r="AT15" s="695" t="s">
        <v>463</v>
      </c>
      <c r="AU15" s="410">
        <f t="shared" ref="AU15:AU19" si="0">ROUND(M15*U15%,)</f>
        <v>0</v>
      </c>
    </row>
    <row r="16" spans="1:47" ht="30" customHeight="1">
      <c r="B16" s="699"/>
      <c r="C16" s="1577" t="s">
        <v>464</v>
      </c>
      <c r="D16" s="1636"/>
      <c r="E16" s="1636"/>
      <c r="F16" s="1636"/>
      <c r="G16" s="1636"/>
      <c r="H16" s="1636"/>
      <c r="I16" s="1636"/>
      <c r="J16" s="1636"/>
      <c r="K16" s="1636"/>
      <c r="L16" s="1636"/>
      <c r="M16" s="2065"/>
      <c r="N16" s="2066"/>
      <c r="O16" s="2066"/>
      <c r="P16" s="2066"/>
      <c r="Q16" s="2066"/>
      <c r="R16" s="2066"/>
      <c r="S16" s="2066"/>
      <c r="T16" s="2066"/>
      <c r="U16" s="2067"/>
      <c r="V16" s="2067"/>
      <c r="W16" s="2068"/>
      <c r="X16" s="552"/>
      <c r="Y16" s="697"/>
      <c r="Z16" s="697"/>
      <c r="AA16" s="697"/>
      <c r="AB16" s="697"/>
      <c r="AC16" s="697"/>
      <c r="AD16" s="697"/>
      <c r="AE16" s="697"/>
      <c r="AF16" s="697"/>
      <c r="AG16" s="697"/>
      <c r="AH16" s="698"/>
      <c r="AI16" s="698"/>
      <c r="AT16" s="278" t="s">
        <v>464</v>
      </c>
      <c r="AU16" s="410">
        <f t="shared" si="0"/>
        <v>0</v>
      </c>
    </row>
    <row r="17" spans="1:47" ht="30" customHeight="1">
      <c r="B17" s="696"/>
      <c r="C17" s="1577" t="s">
        <v>465</v>
      </c>
      <c r="D17" s="1636"/>
      <c r="E17" s="1636"/>
      <c r="F17" s="1636"/>
      <c r="G17" s="1636"/>
      <c r="H17" s="1636"/>
      <c r="I17" s="1636"/>
      <c r="J17" s="1636"/>
      <c r="K17" s="1636"/>
      <c r="L17" s="1636"/>
      <c r="M17" s="2069"/>
      <c r="N17" s="2070"/>
      <c r="O17" s="2070"/>
      <c r="P17" s="2070"/>
      <c r="Q17" s="2070"/>
      <c r="R17" s="2070"/>
      <c r="S17" s="2070"/>
      <c r="T17" s="2070"/>
      <c r="U17" s="2071"/>
      <c r="V17" s="2071"/>
      <c r="W17" s="2072"/>
      <c r="X17" s="552"/>
      <c r="Y17" s="697"/>
      <c r="Z17" s="697"/>
      <c r="AA17" s="697"/>
      <c r="AB17" s="697"/>
      <c r="AC17" s="697"/>
      <c r="AD17" s="697"/>
      <c r="AE17" s="697"/>
      <c r="AF17" s="697"/>
      <c r="AG17" s="697"/>
      <c r="AH17" s="698"/>
      <c r="AI17" s="698"/>
      <c r="AT17" s="278" t="s">
        <v>465</v>
      </c>
      <c r="AU17" s="410">
        <f t="shared" si="0"/>
        <v>0</v>
      </c>
    </row>
    <row r="18" spans="1:47" ht="30" customHeight="1">
      <c r="B18" s="696"/>
      <c r="C18" s="1577" t="s">
        <v>466</v>
      </c>
      <c r="D18" s="1636"/>
      <c r="E18" s="1636"/>
      <c r="F18" s="1636"/>
      <c r="G18" s="1636"/>
      <c r="H18" s="1636"/>
      <c r="I18" s="1636"/>
      <c r="J18" s="1636"/>
      <c r="K18" s="1636"/>
      <c r="L18" s="1636"/>
      <c r="M18" s="2065"/>
      <c r="N18" s="2066"/>
      <c r="O18" s="2066"/>
      <c r="P18" s="2066"/>
      <c r="Q18" s="2066"/>
      <c r="R18" s="2066"/>
      <c r="S18" s="2066"/>
      <c r="T18" s="2066"/>
      <c r="U18" s="2067"/>
      <c r="V18" s="2067"/>
      <c r="W18" s="2068"/>
      <c r="X18" s="552"/>
      <c r="Y18" s="697"/>
      <c r="Z18" s="697"/>
      <c r="AA18" s="697"/>
      <c r="AB18" s="697"/>
      <c r="AC18" s="697"/>
      <c r="AD18" s="697"/>
      <c r="AE18" s="697"/>
      <c r="AF18" s="697"/>
      <c r="AG18" s="697"/>
      <c r="AH18" s="698"/>
      <c r="AI18" s="698"/>
      <c r="AT18" s="695" t="s">
        <v>466</v>
      </c>
      <c r="AU18" s="410">
        <f t="shared" si="0"/>
        <v>0</v>
      </c>
    </row>
    <row r="19" spans="1:47" ht="30" customHeight="1" thickBot="1">
      <c r="B19" s="700"/>
      <c r="C19" s="1592" t="s">
        <v>467</v>
      </c>
      <c r="D19" s="2079"/>
      <c r="E19" s="2079"/>
      <c r="F19" s="2079"/>
      <c r="G19" s="2079"/>
      <c r="H19" s="2079"/>
      <c r="I19" s="2079"/>
      <c r="J19" s="2079"/>
      <c r="K19" s="2079"/>
      <c r="L19" s="2079"/>
      <c r="M19" s="2080"/>
      <c r="N19" s="2081"/>
      <c r="O19" s="2081"/>
      <c r="P19" s="2081"/>
      <c r="Q19" s="2081"/>
      <c r="R19" s="2081"/>
      <c r="S19" s="2081"/>
      <c r="T19" s="2081"/>
      <c r="U19" s="2082"/>
      <c r="V19" s="2082"/>
      <c r="W19" s="2083"/>
      <c r="X19" s="552"/>
      <c r="Y19" s="697"/>
      <c r="Z19" s="697"/>
      <c r="AA19" s="697"/>
      <c r="AB19" s="697"/>
      <c r="AC19" s="697"/>
      <c r="AD19" s="697"/>
      <c r="AE19" s="697"/>
      <c r="AF19" s="697"/>
      <c r="AG19" s="697"/>
      <c r="AH19" s="698"/>
      <c r="AI19" s="698"/>
      <c r="AT19" s="278" t="s">
        <v>467</v>
      </c>
      <c r="AU19" s="410">
        <f t="shared" si="0"/>
        <v>0</v>
      </c>
    </row>
    <row r="20" spans="1:47" ht="30" customHeight="1">
      <c r="B20" s="2084" t="s">
        <v>468</v>
      </c>
      <c r="C20" s="2084"/>
      <c r="D20" s="2084"/>
      <c r="E20" s="2084"/>
      <c r="F20" s="2084"/>
      <c r="G20" s="2084"/>
      <c r="H20" s="2084"/>
      <c r="I20" s="2084"/>
      <c r="J20" s="2084"/>
      <c r="K20" s="2084"/>
      <c r="L20" s="2084"/>
      <c r="M20" s="2084"/>
      <c r="N20" s="2084"/>
      <c r="O20" s="2084"/>
      <c r="P20" s="2084"/>
      <c r="Q20" s="2084"/>
      <c r="R20" s="2084"/>
      <c r="S20" s="2084"/>
      <c r="T20" s="2084"/>
      <c r="U20" s="2084"/>
      <c r="V20" s="2084"/>
      <c r="W20" s="2084"/>
      <c r="X20" s="2084"/>
      <c r="Y20" s="2084"/>
      <c r="Z20" s="698"/>
      <c r="AA20" s="698"/>
      <c r="AB20" s="698"/>
      <c r="AC20" s="698"/>
      <c r="AD20" s="698"/>
      <c r="AE20" s="698"/>
      <c r="AF20" s="698"/>
      <c r="AG20" s="698"/>
      <c r="AH20" s="698"/>
      <c r="AI20" s="698"/>
      <c r="AT20" s="278" t="s">
        <v>469</v>
      </c>
      <c r="AU20" s="410">
        <f>【８】自動車!AU17+【９】農業機械!AW14</f>
        <v>0</v>
      </c>
    </row>
    <row r="21" spans="1:47" ht="30" customHeight="1">
      <c r="B21" s="229"/>
      <c r="C21" s="197"/>
      <c r="D21" s="197"/>
      <c r="E21" s="197"/>
      <c r="F21" s="197"/>
      <c r="G21" s="197"/>
      <c r="H21" s="197"/>
      <c r="I21" s="197"/>
      <c r="J21" s="197"/>
      <c r="K21" s="197"/>
      <c r="L21" s="475"/>
      <c r="M21" s="314"/>
      <c r="N21" s="314"/>
      <c r="O21" s="314"/>
      <c r="P21" s="314"/>
      <c r="Q21" s="314"/>
      <c r="R21" s="314"/>
      <c r="S21" s="314"/>
      <c r="T21" s="314"/>
      <c r="U21" s="314"/>
      <c r="V21" s="314"/>
      <c r="W21" s="314"/>
      <c r="X21" s="698"/>
      <c r="Y21" s="698"/>
      <c r="Z21" s="698"/>
      <c r="AA21" s="698"/>
      <c r="AB21" s="698"/>
      <c r="AC21" s="698"/>
      <c r="AD21" s="698"/>
      <c r="AE21" s="698"/>
      <c r="AF21" s="698"/>
      <c r="AG21" s="698"/>
      <c r="AH21" s="698"/>
      <c r="AI21" s="698"/>
      <c r="AT21" s="278" t="s">
        <v>470</v>
      </c>
      <c r="AU21" s="410">
        <f>【８】自動車!AS17</f>
        <v>0</v>
      </c>
    </row>
    <row r="22" spans="1:47" ht="30" customHeight="1">
      <c r="B22" s="229"/>
      <c r="C22" s="197"/>
      <c r="D22" s="197"/>
      <c r="E22" s="197"/>
      <c r="F22" s="197"/>
      <c r="G22" s="197"/>
      <c r="H22" s="197"/>
      <c r="I22" s="197"/>
      <c r="J22" s="197"/>
      <c r="K22" s="197"/>
      <c r="L22" s="475"/>
      <c r="M22" s="314"/>
      <c r="N22" s="314"/>
      <c r="O22" s="314"/>
      <c r="P22" s="314"/>
      <c r="Q22" s="314"/>
      <c r="R22" s="314"/>
      <c r="S22" s="314"/>
      <c r="T22" s="314"/>
      <c r="U22" s="314"/>
      <c r="V22" s="314"/>
      <c r="W22" s="314"/>
      <c r="X22" s="698"/>
      <c r="Y22" s="698"/>
      <c r="Z22" s="698"/>
      <c r="AA22" s="698"/>
      <c r="AB22" s="698"/>
      <c r="AC22" s="698"/>
      <c r="AD22" s="698"/>
      <c r="AE22" s="698"/>
      <c r="AF22" s="698"/>
      <c r="AG22" s="698"/>
      <c r="AH22" s="698"/>
      <c r="AI22" s="698"/>
      <c r="AP22" s="226"/>
      <c r="AQ22" s="226"/>
      <c r="AR22" s="226"/>
      <c r="AS22" s="226"/>
      <c r="AT22" s="278" t="s">
        <v>471</v>
      </c>
      <c r="AU22" s="410">
        <f>【８】自動車!AT17+【９】農業機械!AV14</f>
        <v>0</v>
      </c>
    </row>
    <row r="23" spans="1:47" ht="30" customHeight="1">
      <c r="B23" s="229"/>
      <c r="C23" s="197"/>
      <c r="D23" s="197"/>
      <c r="E23" s="197"/>
      <c r="F23" s="197"/>
      <c r="G23" s="197"/>
      <c r="H23" s="197"/>
      <c r="I23" s="197"/>
      <c r="J23" s="197"/>
      <c r="K23" s="197"/>
      <c r="L23" s="475"/>
      <c r="M23" s="314"/>
      <c r="N23" s="314"/>
      <c r="O23" s="314"/>
      <c r="P23" s="314"/>
      <c r="Q23" s="314"/>
      <c r="R23" s="314"/>
      <c r="S23" s="314"/>
      <c r="T23" s="314"/>
      <c r="U23" s="314"/>
      <c r="V23" s="314"/>
      <c r="W23" s="314"/>
      <c r="X23" s="698"/>
      <c r="Y23" s="698"/>
      <c r="Z23" s="698"/>
      <c r="AA23" s="698"/>
      <c r="AB23" s="698"/>
      <c r="AC23" s="698"/>
      <c r="AD23" s="698"/>
      <c r="AE23" s="698"/>
      <c r="AF23" s="698"/>
      <c r="AG23" s="698"/>
      <c r="AH23" s="698"/>
      <c r="AI23" s="698"/>
      <c r="AP23" s="226"/>
      <c r="AQ23" s="226"/>
      <c r="AR23" s="226"/>
      <c r="AS23" s="226"/>
      <c r="AT23" s="2"/>
      <c r="AU23" s="2"/>
    </row>
    <row r="24" spans="1:47" ht="14.25" customHeight="1">
      <c r="B24" s="130" t="s">
        <v>472</v>
      </c>
      <c r="C24" s="701"/>
      <c r="D24" s="55"/>
      <c r="AC24" s="698"/>
      <c r="AD24" s="698"/>
      <c r="AE24" s="698"/>
      <c r="AF24" s="698"/>
      <c r="AG24" s="698"/>
      <c r="AH24" s="698"/>
      <c r="AI24" s="698"/>
      <c r="AP24" s="226"/>
      <c r="AQ24" s="226"/>
      <c r="AR24" s="226"/>
      <c r="AS24" s="226"/>
      <c r="AT24" s="130" t="s">
        <v>472</v>
      </c>
    </row>
    <row r="25" spans="1:47" ht="18" customHeight="1">
      <c r="A25" s="128"/>
      <c r="B25" s="65" t="s">
        <v>473</v>
      </c>
      <c r="C25" s="55"/>
      <c r="D25" s="55"/>
      <c r="E25" s="55"/>
      <c r="F25" s="55"/>
      <c r="G25" s="55"/>
      <c r="H25" s="55"/>
      <c r="I25" s="55"/>
      <c r="J25" s="55"/>
      <c r="K25" s="161"/>
      <c r="L25" s="161"/>
      <c r="M25" s="161"/>
      <c r="N25" s="161"/>
      <c r="O25" s="161"/>
      <c r="P25" s="161"/>
      <c r="Q25" s="161"/>
      <c r="R25" s="161"/>
      <c r="U25" s="161"/>
      <c r="V25" s="161"/>
      <c r="W25" s="161"/>
      <c r="AC25" s="698"/>
      <c r="AD25" s="698"/>
      <c r="AE25" s="698"/>
      <c r="AF25" s="698"/>
      <c r="AG25" s="698"/>
      <c r="AH25" s="698"/>
      <c r="AI25" s="698"/>
      <c r="AP25" s="226"/>
      <c r="AQ25" s="226"/>
      <c r="AR25" s="226"/>
      <c r="AS25" s="226"/>
      <c r="AT25" s="226"/>
    </row>
    <row r="26" spans="1:47" ht="18" customHeight="1">
      <c r="A26" s="128"/>
      <c r="B26" s="65" t="s">
        <v>474</v>
      </c>
      <c r="C26" s="55"/>
      <c r="D26" s="55"/>
      <c r="E26" s="55"/>
      <c r="F26" s="55"/>
      <c r="G26" s="55"/>
      <c r="H26" s="55"/>
      <c r="I26" s="55"/>
      <c r="J26" s="55"/>
      <c r="K26" s="161"/>
      <c r="L26" s="161"/>
      <c r="M26" s="161"/>
      <c r="N26" s="161"/>
      <c r="O26" s="161"/>
      <c r="P26" s="161"/>
      <c r="Q26" s="161"/>
      <c r="R26" s="161"/>
      <c r="U26" s="161"/>
      <c r="V26" s="161"/>
      <c r="W26" s="161"/>
      <c r="AC26" s="698"/>
      <c r="AD26" s="698"/>
      <c r="AE26" s="698"/>
      <c r="AF26" s="698"/>
      <c r="AG26" s="698"/>
      <c r="AH26" s="698"/>
      <c r="AI26" s="698"/>
      <c r="AP26" s="226"/>
      <c r="AQ26" s="226"/>
      <c r="AR26" s="226"/>
      <c r="AS26" s="226"/>
      <c r="AT26" s="226"/>
    </row>
    <row r="27" spans="1:47" ht="18" customHeight="1">
      <c r="A27" s="128"/>
      <c r="B27" s="65" t="s">
        <v>475</v>
      </c>
      <c r="C27" s="55"/>
      <c r="D27" s="55"/>
      <c r="E27" s="55"/>
      <c r="F27" s="55"/>
      <c r="G27" s="55"/>
      <c r="H27" s="55"/>
      <c r="I27" s="55"/>
      <c r="J27" s="55"/>
      <c r="K27" s="161"/>
      <c r="L27" s="161"/>
      <c r="M27" s="161"/>
      <c r="N27" s="161"/>
      <c r="O27" s="161"/>
      <c r="P27" s="161"/>
      <c r="Q27" s="161"/>
      <c r="R27" s="161"/>
      <c r="U27" s="161"/>
      <c r="V27" s="161"/>
      <c r="W27" s="161"/>
      <c r="AC27" s="698"/>
      <c r="AD27" s="698"/>
      <c r="AE27" s="698"/>
      <c r="AF27" s="698"/>
      <c r="AG27" s="698"/>
      <c r="AH27" s="698"/>
      <c r="AI27" s="698"/>
      <c r="AP27" s="226"/>
      <c r="AQ27" s="226"/>
      <c r="AR27" s="226"/>
      <c r="AS27" s="226"/>
      <c r="AT27" s="226"/>
    </row>
    <row r="28" spans="1:47" ht="14.25" customHeight="1" thickBot="1">
      <c r="B28" s="229"/>
      <c r="C28" s="197"/>
      <c r="D28" s="197"/>
      <c r="E28" s="197"/>
      <c r="F28" s="197"/>
      <c r="G28" s="197"/>
      <c r="H28" s="197"/>
      <c r="I28" s="197"/>
      <c r="J28" s="197"/>
      <c r="K28" s="197"/>
      <c r="L28" s="475"/>
      <c r="M28" s="314"/>
      <c r="N28" s="314"/>
      <c r="O28" s="314"/>
      <c r="P28" s="314"/>
      <c r="Q28" s="314"/>
      <c r="R28" s="314"/>
      <c r="S28" s="314"/>
      <c r="T28" s="314"/>
      <c r="U28" s="314"/>
      <c r="V28" s="314"/>
      <c r="W28" s="314"/>
      <c r="X28" s="698"/>
      <c r="Y28" s="698"/>
      <c r="Z28" s="698"/>
      <c r="AA28" s="698"/>
      <c r="AB28" s="698"/>
      <c r="AC28" s="698"/>
      <c r="AD28" s="698"/>
      <c r="AE28" s="698"/>
      <c r="AF28" s="698"/>
      <c r="AG28" s="698"/>
      <c r="AH28" s="698"/>
      <c r="AI28" s="698"/>
      <c r="AP28" s="226"/>
      <c r="AQ28" s="226"/>
      <c r="AR28" s="226"/>
      <c r="AS28" s="226"/>
      <c r="AT28" s="226"/>
    </row>
    <row r="29" spans="1:47" ht="12.75" customHeight="1">
      <c r="B29" s="1430" t="s">
        <v>58</v>
      </c>
      <c r="C29" s="1431"/>
      <c r="D29" s="1431"/>
      <c r="E29" s="1431"/>
      <c r="F29" s="1431"/>
      <c r="G29" s="1431"/>
      <c r="H29" s="1431"/>
      <c r="I29" s="1431"/>
      <c r="J29" s="1431"/>
      <c r="K29" s="1431"/>
      <c r="L29" s="1454"/>
      <c r="M29" s="1947" t="s">
        <v>302</v>
      </c>
      <c r="N29" s="1947"/>
      <c r="O29" s="1947"/>
      <c r="P29" s="1947"/>
      <c r="Q29" s="1947"/>
      <c r="R29" s="1947"/>
      <c r="S29" s="1947"/>
      <c r="T29" s="1947"/>
      <c r="U29" s="1829" t="s">
        <v>332</v>
      </c>
      <c r="V29" s="1830"/>
      <c r="W29" s="1831"/>
      <c r="AP29" s="226"/>
      <c r="AQ29" s="226"/>
      <c r="AR29" s="226"/>
      <c r="AS29" s="226"/>
      <c r="AT29" s="1795" t="s">
        <v>58</v>
      </c>
      <c r="AU29" s="1812" t="s">
        <v>459</v>
      </c>
    </row>
    <row r="30" spans="1:47" ht="12.75" customHeight="1">
      <c r="A30" s="153" t="s">
        <v>476</v>
      </c>
      <c r="B30" s="1683"/>
      <c r="C30" s="1684"/>
      <c r="D30" s="1684"/>
      <c r="E30" s="1684"/>
      <c r="F30" s="1684"/>
      <c r="G30" s="1684"/>
      <c r="H30" s="1684"/>
      <c r="I30" s="1684"/>
      <c r="J30" s="1684"/>
      <c r="K30" s="1684"/>
      <c r="L30" s="1685"/>
      <c r="M30" s="1949"/>
      <c r="N30" s="1949"/>
      <c r="O30" s="1949"/>
      <c r="P30" s="1949"/>
      <c r="Q30" s="1949"/>
      <c r="R30" s="1949"/>
      <c r="S30" s="1949"/>
      <c r="T30" s="1949"/>
      <c r="U30" s="1832"/>
      <c r="V30" s="1833"/>
      <c r="W30" s="1834"/>
      <c r="X30" s="161"/>
      <c r="Y30" s="161"/>
      <c r="Z30" s="161"/>
      <c r="AP30" s="226"/>
      <c r="AQ30" s="226"/>
      <c r="AR30" s="226"/>
      <c r="AS30" s="226"/>
      <c r="AT30" s="1795"/>
      <c r="AU30" s="1813"/>
    </row>
    <row r="31" spans="1:47" ht="12.75" customHeight="1" thickBot="1">
      <c r="B31" s="1433"/>
      <c r="C31" s="1434"/>
      <c r="D31" s="1434"/>
      <c r="E31" s="1434"/>
      <c r="F31" s="1434"/>
      <c r="G31" s="1434"/>
      <c r="H31" s="1434"/>
      <c r="I31" s="1434"/>
      <c r="J31" s="1434"/>
      <c r="K31" s="1434"/>
      <c r="L31" s="1686"/>
      <c r="M31" s="1949"/>
      <c r="N31" s="1949"/>
      <c r="O31" s="1949"/>
      <c r="P31" s="1949"/>
      <c r="Q31" s="1949"/>
      <c r="R31" s="1949"/>
      <c r="S31" s="1949"/>
      <c r="T31" s="1949"/>
      <c r="U31" s="1835"/>
      <c r="V31" s="1833"/>
      <c r="W31" s="1834"/>
      <c r="AT31" s="1795"/>
      <c r="AU31" s="1814"/>
    </row>
    <row r="32" spans="1:47" ht="30.75" customHeight="1" thickTop="1" thickBot="1">
      <c r="B32" s="2085" t="s">
        <v>274</v>
      </c>
      <c r="C32" s="2086"/>
      <c r="D32" s="2086"/>
      <c r="E32" s="2086"/>
      <c r="F32" s="2086"/>
      <c r="G32" s="2086"/>
      <c r="H32" s="2086"/>
      <c r="I32" s="2086"/>
      <c r="J32" s="2086"/>
      <c r="K32" s="2086"/>
      <c r="L32" s="2086"/>
      <c r="M32" s="2087"/>
      <c r="N32" s="2088"/>
      <c r="O32" s="2088"/>
      <c r="P32" s="2088"/>
      <c r="Q32" s="2088"/>
      <c r="R32" s="2088"/>
      <c r="S32" s="2088"/>
      <c r="T32" s="2089"/>
      <c r="U32" s="2090"/>
      <c r="V32" s="1924"/>
      <c r="W32" s="2091"/>
      <c r="AT32" s="689" t="s">
        <v>477</v>
      </c>
      <c r="AU32" s="617">
        <f>IF(M32&gt;0,SUM(ROUND(M32*U32%,),AU37),SUM(AU33:AU37))</f>
        <v>0</v>
      </c>
    </row>
    <row r="33" spans="1:47" ht="30" customHeight="1" thickTop="1">
      <c r="B33" s="702"/>
      <c r="C33" s="2073" t="s">
        <v>478</v>
      </c>
      <c r="D33" s="2074"/>
      <c r="E33" s="2074"/>
      <c r="F33" s="2074"/>
      <c r="G33" s="2074"/>
      <c r="H33" s="2074"/>
      <c r="I33" s="2074"/>
      <c r="J33" s="2074"/>
      <c r="K33" s="2074"/>
      <c r="L33" s="703"/>
      <c r="M33" s="2075"/>
      <c r="N33" s="2076"/>
      <c r="O33" s="2076"/>
      <c r="P33" s="2076"/>
      <c r="Q33" s="2076"/>
      <c r="R33" s="2076"/>
      <c r="S33" s="2076"/>
      <c r="T33" s="2076"/>
      <c r="U33" s="2077"/>
      <c r="V33" s="2077"/>
      <c r="W33" s="2078"/>
      <c r="X33" s="552"/>
      <c r="Y33" s="686"/>
      <c r="Z33" s="226"/>
      <c r="AA33" s="226"/>
      <c r="AB33" s="226"/>
      <c r="AC33" s="226"/>
      <c r="AD33" s="226"/>
      <c r="AE33" s="226"/>
      <c r="AF33" s="226"/>
      <c r="AG33" s="226"/>
      <c r="AT33" s="695" t="s">
        <v>479</v>
      </c>
      <c r="AU33" s="410">
        <f>ROUND(M33*U33%,)</f>
        <v>0</v>
      </c>
    </row>
    <row r="34" spans="1:47" ht="30" customHeight="1">
      <c r="B34" s="704"/>
      <c r="C34" s="1760" t="s">
        <v>480</v>
      </c>
      <c r="D34" s="1760"/>
      <c r="E34" s="1760"/>
      <c r="F34" s="1760"/>
      <c r="G34" s="1760"/>
      <c r="H34" s="1760"/>
      <c r="I34" s="1760"/>
      <c r="J34" s="1760"/>
      <c r="K34" s="1760"/>
      <c r="L34" s="703"/>
      <c r="M34" s="2065"/>
      <c r="N34" s="2066"/>
      <c r="O34" s="2066"/>
      <c r="P34" s="2066"/>
      <c r="Q34" s="2066"/>
      <c r="R34" s="2066"/>
      <c r="S34" s="2066"/>
      <c r="T34" s="2066"/>
      <c r="U34" s="2067"/>
      <c r="V34" s="2067"/>
      <c r="W34" s="2068"/>
      <c r="X34" s="552"/>
      <c r="Y34" s="686"/>
      <c r="Z34" s="226"/>
      <c r="AA34" s="226"/>
      <c r="AB34" s="226"/>
      <c r="AC34" s="226"/>
      <c r="AD34" s="226"/>
      <c r="AE34" s="226"/>
      <c r="AF34" s="226"/>
      <c r="AG34" s="226"/>
      <c r="AT34" s="278" t="s">
        <v>480</v>
      </c>
      <c r="AU34" s="410">
        <f>ROUND(M34*U34%,)</f>
        <v>0</v>
      </c>
    </row>
    <row r="35" spans="1:47" ht="30" customHeight="1">
      <c r="B35" s="704"/>
      <c r="C35" s="2074" t="s">
        <v>481</v>
      </c>
      <c r="D35" s="2074"/>
      <c r="E35" s="2074"/>
      <c r="F35" s="2074"/>
      <c r="G35" s="2074"/>
      <c r="H35" s="2074"/>
      <c r="I35" s="2074"/>
      <c r="J35" s="2074"/>
      <c r="K35" s="2074"/>
      <c r="L35" s="703"/>
      <c r="M35" s="2065"/>
      <c r="N35" s="2066"/>
      <c r="O35" s="2066"/>
      <c r="P35" s="2066"/>
      <c r="Q35" s="2066"/>
      <c r="R35" s="2066"/>
      <c r="S35" s="2066"/>
      <c r="T35" s="2066"/>
      <c r="U35" s="2067"/>
      <c r="V35" s="2067"/>
      <c r="W35" s="2068"/>
      <c r="X35" s="552"/>
      <c r="Y35" s="705"/>
      <c r="Z35" s="226"/>
      <c r="AA35" s="226"/>
      <c r="AB35" s="226"/>
      <c r="AC35" s="226"/>
      <c r="AD35" s="226"/>
      <c r="AE35" s="226"/>
      <c r="AF35" s="226"/>
      <c r="AG35" s="226"/>
      <c r="AT35" s="695" t="s">
        <v>482</v>
      </c>
      <c r="AU35" s="410">
        <f>ROUND(M35*U35%,)</f>
        <v>0</v>
      </c>
    </row>
    <row r="36" spans="1:47" ht="30" customHeight="1" thickBot="1">
      <c r="B36" s="706"/>
      <c r="C36" s="1796" t="s">
        <v>483</v>
      </c>
      <c r="D36" s="1796"/>
      <c r="E36" s="1796"/>
      <c r="F36" s="1796"/>
      <c r="G36" s="1796"/>
      <c r="H36" s="1796"/>
      <c r="I36" s="1796"/>
      <c r="J36" s="1796"/>
      <c r="K36" s="1796"/>
      <c r="L36" s="707"/>
      <c r="M36" s="2080"/>
      <c r="N36" s="2081"/>
      <c r="O36" s="2081"/>
      <c r="P36" s="2081"/>
      <c r="Q36" s="2081"/>
      <c r="R36" s="2081"/>
      <c r="S36" s="2081"/>
      <c r="T36" s="2081"/>
      <c r="U36" s="2082"/>
      <c r="V36" s="2082"/>
      <c r="W36" s="2083"/>
      <c r="X36" s="552"/>
      <c r="Y36" s="705"/>
      <c r="Z36" s="226"/>
      <c r="AA36" s="226"/>
      <c r="AB36" s="226"/>
      <c r="AC36" s="226"/>
      <c r="AD36" s="226"/>
      <c r="AE36" s="226"/>
      <c r="AF36" s="226"/>
      <c r="AG36" s="226"/>
      <c r="AT36" s="278" t="s">
        <v>483</v>
      </c>
      <c r="AU36" s="410">
        <f>ROUND(M36*U36%,)</f>
        <v>0</v>
      </c>
    </row>
    <row r="37" spans="1:47" s="50" customFormat="1" ht="30" customHeight="1">
      <c r="A37" s="295"/>
      <c r="B37" s="708"/>
      <c r="C37" s="197"/>
      <c r="D37" s="197"/>
      <c r="E37" s="197"/>
      <c r="F37" s="197"/>
      <c r="G37" s="197"/>
      <c r="H37" s="197"/>
      <c r="I37" s="197"/>
      <c r="J37" s="197"/>
      <c r="K37" s="197"/>
      <c r="L37" s="145"/>
      <c r="M37" s="314"/>
      <c r="N37" s="314"/>
      <c r="O37" s="314"/>
      <c r="P37" s="314"/>
      <c r="Q37" s="314"/>
      <c r="R37" s="314"/>
      <c r="S37" s="314"/>
      <c r="T37" s="314"/>
      <c r="U37" s="314"/>
      <c r="V37" s="314"/>
      <c r="W37" s="314"/>
      <c r="X37" s="705"/>
      <c r="Y37" s="705"/>
      <c r="Z37" s="226"/>
      <c r="AA37" s="226"/>
      <c r="AB37" s="226"/>
      <c r="AC37" s="226"/>
      <c r="AD37" s="226"/>
      <c r="AE37" s="226"/>
      <c r="AF37" s="226"/>
      <c r="AG37" s="226"/>
      <c r="AH37" s="295"/>
      <c r="AI37" s="295"/>
      <c r="AJ37" s="295"/>
      <c r="AM37" s="2"/>
      <c r="AN37" s="2"/>
      <c r="AO37" s="2"/>
      <c r="AT37" s="278" t="s">
        <v>484</v>
      </c>
      <c r="AU37" s="410">
        <f>【８】自動車!AV17+【９】農業機械!AX14</f>
        <v>0</v>
      </c>
    </row>
    <row r="38" spans="1:47" ht="30" customHeight="1">
      <c r="A38" s="50"/>
      <c r="B38" s="291"/>
      <c r="C38" s="197"/>
      <c r="D38" s="197"/>
      <c r="E38" s="197"/>
      <c r="F38" s="197"/>
      <c r="G38" s="197"/>
      <c r="H38" s="197"/>
      <c r="I38" s="197"/>
      <c r="J38" s="197"/>
      <c r="K38" s="197"/>
      <c r="L38" s="36"/>
      <c r="M38" s="314"/>
      <c r="N38" s="314"/>
      <c r="O38" s="314"/>
      <c r="P38" s="314"/>
      <c r="Q38" s="314"/>
      <c r="R38" s="314"/>
      <c r="S38" s="314"/>
      <c r="T38" s="314"/>
      <c r="U38" s="314"/>
      <c r="V38" s="314"/>
      <c r="W38" s="314"/>
      <c r="X38" s="709"/>
      <c r="Y38" s="709"/>
      <c r="Z38" s="709"/>
      <c r="AA38" s="709"/>
      <c r="AB38" s="709"/>
      <c r="AC38" s="709"/>
      <c r="AD38" s="709"/>
      <c r="AE38" s="387"/>
      <c r="AF38" s="387"/>
      <c r="AG38" s="387"/>
      <c r="AH38" s="50"/>
      <c r="AI38" s="50"/>
      <c r="AJ38" s="50"/>
      <c r="AT38" s="2"/>
      <c r="AU38" s="2"/>
    </row>
    <row r="39" spans="1:47" ht="18" customHeight="1">
      <c r="B39" s="207"/>
      <c r="X39" s="226"/>
      <c r="Y39" s="226"/>
      <c r="Z39" s="226"/>
      <c r="AA39" s="226"/>
      <c r="AB39" s="226"/>
      <c r="AC39" s="226"/>
      <c r="AD39" s="226"/>
      <c r="AE39" s="226"/>
      <c r="AF39" s="226"/>
      <c r="AG39" s="226"/>
    </row>
    <row r="40" spans="1:47" ht="14.25" customHeight="1">
      <c r="B40" s="207"/>
      <c r="X40" s="226"/>
      <c r="Y40" s="226"/>
      <c r="Z40" s="226"/>
      <c r="AA40" s="226"/>
      <c r="AB40" s="226"/>
      <c r="AC40" s="226"/>
      <c r="AD40" s="226"/>
      <c r="AE40" s="226"/>
      <c r="AF40" s="226"/>
      <c r="AG40" s="226"/>
      <c r="AT40" s="1795" t="s">
        <v>58</v>
      </c>
      <c r="AU40" s="1812" t="s">
        <v>320</v>
      </c>
    </row>
    <row r="41" spans="1:47" ht="14.25" customHeight="1">
      <c r="B41" s="207"/>
      <c r="X41" s="226"/>
      <c r="Y41" s="226"/>
      <c r="Z41" s="226"/>
      <c r="AA41" s="226"/>
      <c r="AB41" s="226"/>
      <c r="AC41" s="226"/>
      <c r="AD41" s="226"/>
      <c r="AE41" s="226"/>
      <c r="AF41" s="226"/>
      <c r="AG41" s="226"/>
      <c r="AT41" s="1795"/>
      <c r="AU41" s="1813"/>
    </row>
    <row r="42" spans="1:47" ht="14.25" customHeight="1">
      <c r="B42" s="207"/>
      <c r="X42" s="226"/>
      <c r="Y42" s="226"/>
      <c r="Z42" s="226"/>
      <c r="AA42" s="226"/>
      <c r="AB42" s="226"/>
      <c r="AC42" s="226"/>
      <c r="AD42" s="226"/>
      <c r="AE42" s="226"/>
      <c r="AF42" s="226"/>
      <c r="AG42" s="226"/>
      <c r="AT42" s="1795"/>
      <c r="AU42" s="1814"/>
    </row>
    <row r="43" spans="1:47" ht="30" customHeight="1">
      <c r="B43" s="207"/>
      <c r="X43" s="226"/>
      <c r="Y43" s="226"/>
      <c r="Z43" s="226"/>
      <c r="AA43" s="226"/>
      <c r="AB43" s="226"/>
      <c r="AC43" s="226"/>
      <c r="AD43" s="226"/>
      <c r="AE43" s="226"/>
      <c r="AF43" s="226"/>
      <c r="AG43" s="226"/>
      <c r="AT43" s="710" t="s">
        <v>485</v>
      </c>
      <c r="AU43" s="410">
        <f>SUM(AU12,AU32)</f>
        <v>0</v>
      </c>
    </row>
    <row r="44" spans="1:47" ht="18" customHeight="1"/>
    <row r="45" spans="1:47" ht="18" customHeight="1">
      <c r="B45" s="207"/>
    </row>
    <row r="46" spans="1:47" ht="18" customHeight="1">
      <c r="B46" s="207"/>
    </row>
    <row r="47" spans="1:47" ht="18" customHeight="1">
      <c r="B47" s="207"/>
    </row>
    <row r="48" spans="1:47" ht="18" customHeight="1"/>
    <row r="49" ht="18" customHeight="1"/>
    <row r="50" ht="14.1" customHeight="1"/>
    <row r="51" ht="14.1" customHeight="1"/>
    <row r="52" ht="14.1" customHeight="1"/>
    <row r="53" ht="14.1" customHeight="1"/>
  </sheetData>
  <sheetProtection sheet="1" objects="1" scenarios="1" selectLockedCells="1"/>
  <mergeCells count="52">
    <mergeCell ref="C36:K36"/>
    <mergeCell ref="M36:T36"/>
    <mergeCell ref="U36:W36"/>
    <mergeCell ref="AT40:AT42"/>
    <mergeCell ref="AU40:AU42"/>
    <mergeCell ref="C34:K34"/>
    <mergeCell ref="M34:T34"/>
    <mergeCell ref="U34:W34"/>
    <mergeCell ref="C35:K35"/>
    <mergeCell ref="M35:T35"/>
    <mergeCell ref="U35:W35"/>
    <mergeCell ref="AT29:AT31"/>
    <mergeCell ref="AU29:AU31"/>
    <mergeCell ref="B32:L32"/>
    <mergeCell ref="M32:T32"/>
    <mergeCell ref="U32:W32"/>
    <mergeCell ref="C18:L18"/>
    <mergeCell ref="M18:T18"/>
    <mergeCell ref="U18:W18"/>
    <mergeCell ref="C33:K33"/>
    <mergeCell ref="M33:T33"/>
    <mergeCell ref="U33:W33"/>
    <mergeCell ref="C19:L19"/>
    <mergeCell ref="M19:T19"/>
    <mergeCell ref="U19:W19"/>
    <mergeCell ref="B20:Y20"/>
    <mergeCell ref="B29:L31"/>
    <mergeCell ref="M29:T31"/>
    <mergeCell ref="U29:W31"/>
    <mergeCell ref="C16:L16"/>
    <mergeCell ref="M16:T16"/>
    <mergeCell ref="U16:W16"/>
    <mergeCell ref="C17:L17"/>
    <mergeCell ref="M17:T17"/>
    <mergeCell ref="U17:W17"/>
    <mergeCell ref="C14:L14"/>
    <mergeCell ref="M14:T14"/>
    <mergeCell ref="U14:W14"/>
    <mergeCell ref="C15:L15"/>
    <mergeCell ref="M15:T15"/>
    <mergeCell ref="U15:W15"/>
    <mergeCell ref="AT9:AT11"/>
    <mergeCell ref="AU9:AU11"/>
    <mergeCell ref="C13:L13"/>
    <mergeCell ref="M13:T13"/>
    <mergeCell ref="U13:W13"/>
    <mergeCell ref="B12:L12"/>
    <mergeCell ref="M12:T12"/>
    <mergeCell ref="U12:W12"/>
    <mergeCell ref="B9:L11"/>
    <mergeCell ref="M9:T11"/>
    <mergeCell ref="U9:W11"/>
  </mergeCells>
  <phoneticPr fontId="5"/>
  <dataValidations count="2">
    <dataValidation type="whole" operator="greaterThan" allowBlank="1" showInputMessage="1" showErrorMessage="1" error="0より大きい数値を整数で入力してください。" sqref="M12:T19 M32:T36" xr:uid="{00000000-0002-0000-0E00-000000000000}">
      <formula1>0</formula1>
    </dataValidation>
    <dataValidation type="custom" allowBlank="1" showInputMessage="1" showErrorMessage="1" error="0.001~100の範囲で小数点第３位までの数値を入力してください。" sqref="U12:W19 U32:W36" xr:uid="{00000000-0002-0000-0E00-000001000000}">
      <formula1>AND(AND(U12*1000=INT(U12*1000)),(U12&gt;0),(U12&lt;=100))</formula1>
    </dataValidation>
  </dataValidations>
  <pageMargins left="0.59055118110236227" right="0.59055118110236227" top="0.59055118110236227" bottom="0.59055118110236227" header="0" footer="0"/>
  <pageSetup paperSize="9" scale="59" orientation="portrait" cellComments="asDisplayed" r:id="rId1"/>
  <headerFooter alignWithMargins="0"/>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4">
    <outlinePr summaryBelow="0"/>
    <pageSetUpPr fitToPage="1"/>
  </sheetPr>
  <dimension ref="A1:AP105"/>
  <sheetViews>
    <sheetView showGridLines="0" zoomScale="85" zoomScaleNormal="85" zoomScaleSheetLayoutView="80" workbookViewId="0">
      <selection activeCell="F12" sqref="F12"/>
    </sheetView>
  </sheetViews>
  <sheetFormatPr defaultColWidth="2.625" defaultRowHeight="14.25" customHeight="1" outlineLevelRow="1" outlineLevelCol="1"/>
  <cols>
    <col min="1" max="1" width="2.625" style="295" customWidth="1"/>
    <col min="2" max="3" width="2.625" style="128" customWidth="1"/>
    <col min="4" max="4" width="4.625" style="128" customWidth="1"/>
    <col min="5" max="5" width="21" style="128" customWidth="1"/>
    <col min="6" max="8" width="17.375" style="128" customWidth="1"/>
    <col min="9" max="9" width="2.625" style="128" customWidth="1"/>
    <col min="10" max="10" width="2.625" style="226" customWidth="1"/>
    <col min="11" max="16" width="2.625" style="128" customWidth="1"/>
    <col min="17" max="19" width="2.625" style="295" customWidth="1"/>
    <col min="20" max="28" width="2.625" style="295" customWidth="1" outlineLevel="1"/>
    <col min="29" max="29" width="3.125" style="295" customWidth="1" outlineLevel="1"/>
    <col min="30" max="30" width="4.625" style="295" customWidth="1" outlineLevel="1"/>
    <col min="31" max="31" width="25" style="295" customWidth="1" outlineLevel="1"/>
    <col min="32" max="32" width="17.375" style="295" customWidth="1" outlineLevel="1"/>
    <col min="33" max="33" width="17.375" style="2" customWidth="1" outlineLevel="1"/>
    <col min="34" max="34" width="3.25" style="2" customWidth="1" outlineLevel="1"/>
    <col min="35" max="36" width="17.5" style="2" customWidth="1" outlineLevel="1"/>
    <col min="37" max="16384" width="2.625" style="295"/>
  </cols>
  <sheetData>
    <row r="1" spans="1:36" ht="14.25" customHeight="1">
      <c r="AA1" s="50" t="s">
        <v>410</v>
      </c>
    </row>
    <row r="2" spans="1:36" s="297" customFormat="1" ht="18" customHeight="1">
      <c r="B2" s="187" t="s">
        <v>486</v>
      </c>
      <c r="C2" s="131"/>
      <c r="D2" s="131"/>
      <c r="E2" s="131"/>
      <c r="F2" s="131"/>
      <c r="G2" s="131"/>
      <c r="H2" s="131"/>
      <c r="I2" s="131"/>
      <c r="J2" s="227"/>
      <c r="K2" s="131"/>
      <c r="L2" s="131"/>
      <c r="M2" s="131"/>
      <c r="N2" s="131"/>
      <c r="O2" s="131"/>
      <c r="P2" s="131"/>
      <c r="AA2" s="187" t="s">
        <v>486</v>
      </c>
      <c r="AG2" s="2"/>
      <c r="AH2" s="2"/>
      <c r="AI2" s="2"/>
      <c r="AJ2" s="2"/>
    </row>
    <row r="3" spans="1:36" ht="18" customHeight="1">
      <c r="A3" s="685"/>
      <c r="C3" s="711" t="s">
        <v>487</v>
      </c>
      <c r="D3" s="712"/>
      <c r="E3" s="713"/>
      <c r="F3" s="713"/>
      <c r="G3" s="713"/>
      <c r="H3" s="713"/>
      <c r="I3" s="713"/>
      <c r="J3" s="714"/>
      <c r="K3" s="713"/>
      <c r="L3" s="713"/>
      <c r="M3" s="713"/>
      <c r="N3" s="713"/>
      <c r="O3" s="713"/>
      <c r="P3" s="713"/>
      <c r="Q3" s="685"/>
      <c r="R3" s="685"/>
      <c r="S3" s="685"/>
      <c r="T3" s="685"/>
      <c r="U3" s="685"/>
      <c r="V3" s="685"/>
      <c r="W3" s="685"/>
      <c r="X3" s="685"/>
      <c r="Y3" s="685"/>
      <c r="Z3" s="685"/>
    </row>
    <row r="4" spans="1:36" ht="18" customHeight="1">
      <c r="C4" s="712" t="s">
        <v>488</v>
      </c>
      <c r="D4" s="712"/>
      <c r="E4" s="713"/>
      <c r="F4" s="713"/>
      <c r="G4" s="713"/>
      <c r="H4" s="713"/>
      <c r="I4" s="713"/>
      <c r="J4" s="714"/>
      <c r="K4" s="713"/>
      <c r="L4" s="713"/>
      <c r="M4" s="713"/>
      <c r="N4" s="713"/>
      <c r="O4" s="713"/>
      <c r="P4" s="713"/>
    </row>
    <row r="5" spans="1:36" ht="18" customHeight="1">
      <c r="C5" s="712" t="s">
        <v>489</v>
      </c>
      <c r="D5" s="712"/>
      <c r="E5" s="713"/>
      <c r="F5" s="713"/>
      <c r="G5" s="713"/>
      <c r="H5" s="713"/>
      <c r="I5" s="713"/>
      <c r="J5" s="714"/>
      <c r="K5" s="713"/>
      <c r="L5" s="713"/>
      <c r="M5" s="713"/>
      <c r="N5" s="713"/>
      <c r="O5" s="713"/>
      <c r="P5" s="713"/>
    </row>
    <row r="6" spans="1:36" ht="18" customHeight="1">
      <c r="C6" s="712"/>
      <c r="D6" s="712"/>
      <c r="E6" s="713"/>
      <c r="F6" s="713"/>
      <c r="G6" s="713"/>
      <c r="H6" s="713"/>
      <c r="I6" s="713"/>
      <c r="J6" s="714"/>
      <c r="K6" s="713"/>
      <c r="L6" s="713"/>
      <c r="M6" s="713"/>
      <c r="N6" s="713"/>
      <c r="O6" s="713"/>
      <c r="P6" s="713"/>
    </row>
    <row r="7" spans="1:36" ht="18" customHeight="1" thickBot="1">
      <c r="C7" s="130" t="s">
        <v>490</v>
      </c>
      <c r="D7" s="130"/>
      <c r="E7" s="133"/>
      <c r="F7" s="133"/>
      <c r="G7" s="133"/>
      <c r="H7" s="131"/>
      <c r="I7" s="131"/>
      <c r="J7" s="227"/>
      <c r="K7" s="131"/>
      <c r="L7" s="131"/>
      <c r="M7" s="131"/>
      <c r="N7" s="131"/>
      <c r="O7" s="131"/>
      <c r="P7" s="131"/>
      <c r="AC7" s="130" t="s">
        <v>490</v>
      </c>
      <c r="AD7" s="130"/>
    </row>
    <row r="8" spans="1:36" ht="12.95" customHeight="1">
      <c r="C8" s="1430" t="s">
        <v>491</v>
      </c>
      <c r="D8" s="1431"/>
      <c r="E8" s="1454"/>
      <c r="F8" s="1732" t="s">
        <v>492</v>
      </c>
      <c r="G8" s="1732"/>
      <c r="H8" s="2093" t="s">
        <v>332</v>
      </c>
      <c r="I8" s="2"/>
      <c r="AC8" s="1823" t="s">
        <v>491</v>
      </c>
      <c r="AD8" s="1824"/>
      <c r="AE8" s="1825"/>
      <c r="AF8" s="1795" t="s">
        <v>493</v>
      </c>
      <c r="AG8" s="1795"/>
    </row>
    <row r="9" spans="1:36" ht="12.95" customHeight="1">
      <c r="C9" s="1683"/>
      <c r="D9" s="1684"/>
      <c r="E9" s="1685"/>
      <c r="F9" s="2092"/>
      <c r="G9" s="2092"/>
      <c r="H9" s="2094"/>
      <c r="I9" s="2"/>
      <c r="AC9" s="2096"/>
      <c r="AD9" s="2097"/>
      <c r="AE9" s="2098"/>
      <c r="AF9" s="1795"/>
      <c r="AG9" s="1795"/>
    </row>
    <row r="10" spans="1:36" ht="14.25" customHeight="1">
      <c r="C10" s="1683"/>
      <c r="D10" s="1684"/>
      <c r="E10" s="1685"/>
      <c r="F10" s="2102" t="s">
        <v>494</v>
      </c>
      <c r="G10" s="2103" t="s">
        <v>495</v>
      </c>
      <c r="H10" s="2094"/>
      <c r="I10" s="2"/>
      <c r="AC10" s="2096"/>
      <c r="AD10" s="2097"/>
      <c r="AE10" s="2098"/>
      <c r="AF10" s="1795" t="s">
        <v>496</v>
      </c>
      <c r="AG10" s="1795" t="s">
        <v>495</v>
      </c>
    </row>
    <row r="11" spans="1:36" ht="13.7" customHeight="1" thickBot="1">
      <c r="C11" s="1433"/>
      <c r="D11" s="1434"/>
      <c r="E11" s="1686"/>
      <c r="F11" s="2102"/>
      <c r="G11" s="2103"/>
      <c r="H11" s="2095"/>
      <c r="I11" s="2"/>
      <c r="AC11" s="2099"/>
      <c r="AD11" s="2100"/>
      <c r="AE11" s="2101"/>
      <c r="AF11" s="1795"/>
      <c r="AG11" s="1795"/>
    </row>
    <row r="12" spans="1:36" ht="30" customHeight="1" thickTop="1">
      <c r="C12" s="2104" t="s">
        <v>497</v>
      </c>
      <c r="D12" s="2105"/>
      <c r="E12" s="1777"/>
      <c r="F12" s="715"/>
      <c r="G12" s="136"/>
      <c r="H12" s="1273"/>
      <c r="I12" s="2"/>
      <c r="J12" s="552"/>
      <c r="AC12" s="1718" t="s">
        <v>497</v>
      </c>
      <c r="AD12" s="2106"/>
      <c r="AE12" s="1719"/>
      <c r="AF12" s="410">
        <f>ROUND(F12*60%*H12%,)</f>
        <v>0</v>
      </c>
      <c r="AG12" s="410">
        <f>ROUND(G12*60%*H12%,)</f>
        <v>0</v>
      </c>
    </row>
    <row r="13" spans="1:36" ht="30" customHeight="1">
      <c r="C13" s="2107" t="s">
        <v>498</v>
      </c>
      <c r="D13" s="2108"/>
      <c r="E13" s="2109"/>
      <c r="F13" s="276"/>
      <c r="G13" s="151"/>
      <c r="H13" s="1274"/>
      <c r="I13" s="2"/>
      <c r="J13" s="552"/>
      <c r="AC13" s="1718" t="s">
        <v>498</v>
      </c>
      <c r="AD13" s="2106"/>
      <c r="AE13" s="1719"/>
      <c r="AF13" s="410">
        <f>ROUND(F13*20%*H13%,)</f>
        <v>0</v>
      </c>
      <c r="AG13" s="410">
        <f>ROUND(G13*20%*H13%,)</f>
        <v>0</v>
      </c>
    </row>
    <row r="14" spans="1:36" ht="30" customHeight="1">
      <c r="C14" s="2110" t="s">
        <v>499</v>
      </c>
      <c r="D14" s="1841"/>
      <c r="E14" s="1780"/>
      <c r="F14" s="716"/>
      <c r="G14" s="717"/>
      <c r="H14" s="1274"/>
      <c r="I14" s="2"/>
      <c r="J14" s="552"/>
      <c r="AC14" s="1718" t="s">
        <v>499</v>
      </c>
      <c r="AD14" s="2106"/>
      <c r="AE14" s="1719"/>
      <c r="AF14" s="410">
        <f>ROUND(F14*50%*H14%,)</f>
        <v>0</v>
      </c>
      <c r="AG14" s="410">
        <f>ROUND(G14*50%*H14%,)</f>
        <v>0</v>
      </c>
    </row>
    <row r="15" spans="1:36" ht="30" customHeight="1">
      <c r="C15" s="2110" t="s">
        <v>500</v>
      </c>
      <c r="D15" s="1841"/>
      <c r="E15" s="1780"/>
      <c r="F15" s="718"/>
      <c r="G15" s="719"/>
      <c r="H15" s="1274"/>
      <c r="I15" s="2"/>
      <c r="J15" s="552"/>
      <c r="AC15" s="1718" t="s">
        <v>500</v>
      </c>
      <c r="AD15" s="2106"/>
      <c r="AE15" s="1719"/>
      <c r="AF15" s="410">
        <f>ROUND(F15*H15%,)</f>
        <v>0</v>
      </c>
      <c r="AG15" s="410">
        <f>ROUND(G15*H15%,)</f>
        <v>0</v>
      </c>
    </row>
    <row r="16" spans="1:36" ht="30" customHeight="1" thickBot="1">
      <c r="C16" s="2113" t="s">
        <v>501</v>
      </c>
      <c r="D16" s="2114"/>
      <c r="E16" s="1782"/>
      <c r="F16" s="720"/>
      <c r="G16" s="721"/>
      <c r="H16" s="1275"/>
      <c r="I16" s="2"/>
      <c r="J16" s="552"/>
      <c r="AC16" s="2115" t="s">
        <v>501</v>
      </c>
      <c r="AD16" s="2116"/>
      <c r="AE16" s="2117"/>
      <c r="AF16" s="410">
        <f>ROUND(F16*H16%,)</f>
        <v>0</v>
      </c>
      <c r="AG16" s="410">
        <f>ROUND(G16*H16%,)</f>
        <v>0</v>
      </c>
    </row>
    <row r="17" spans="2:42" ht="30" customHeight="1">
      <c r="E17" s="722"/>
      <c r="F17" s="723"/>
      <c r="G17" s="724"/>
      <c r="H17" s="682"/>
      <c r="I17" s="723"/>
      <c r="J17" s="725"/>
      <c r="K17" s="723"/>
      <c r="L17" s="723"/>
      <c r="M17" s="723"/>
      <c r="N17" s="723"/>
      <c r="O17" s="145"/>
      <c r="P17" s="726"/>
      <c r="AC17" s="1718" t="s">
        <v>274</v>
      </c>
      <c r="AD17" s="2106"/>
      <c r="AE17" s="1719"/>
      <c r="AF17" s="410">
        <f>SUM(AF12:AF16)</f>
        <v>0</v>
      </c>
      <c r="AG17" s="410">
        <f>SUM(AG12:AG16)</f>
        <v>0</v>
      </c>
      <c r="AH17" s="21"/>
      <c r="AI17" s="21"/>
    </row>
    <row r="18" spans="2:42" ht="14.1" customHeight="1">
      <c r="E18" s="722"/>
      <c r="F18" s="723"/>
      <c r="G18" s="724"/>
      <c r="H18" s="682"/>
      <c r="I18" s="723"/>
      <c r="J18" s="725"/>
      <c r="K18" s="723"/>
      <c r="L18" s="723"/>
      <c r="M18" s="723"/>
      <c r="N18" s="723"/>
      <c r="O18" s="145"/>
      <c r="P18" s="726"/>
      <c r="AF18" s="50"/>
      <c r="AG18" s="21"/>
      <c r="AH18" s="21"/>
      <c r="AI18" s="21"/>
    </row>
    <row r="19" spans="2:42" ht="18" customHeight="1" thickBot="1">
      <c r="C19" s="130" t="s">
        <v>502</v>
      </c>
      <c r="D19" s="130"/>
      <c r="E19" s="133"/>
      <c r="F19" s="133"/>
      <c r="G19" s="133"/>
      <c r="H19" s="131"/>
      <c r="I19" s="131"/>
      <c r="J19" s="227"/>
      <c r="K19" s="131"/>
      <c r="L19" s="131"/>
      <c r="M19" s="131"/>
      <c r="N19" s="131"/>
      <c r="O19" s="131"/>
      <c r="P19" s="131"/>
      <c r="AC19" s="130" t="s">
        <v>502</v>
      </c>
      <c r="AD19" s="130"/>
      <c r="AF19" s="50"/>
      <c r="AG19" s="21"/>
      <c r="AH19" s="21"/>
      <c r="AI19" s="21"/>
    </row>
    <row r="20" spans="2:42" ht="14.1" customHeight="1">
      <c r="C20" s="1430" t="s">
        <v>503</v>
      </c>
      <c r="D20" s="1431"/>
      <c r="E20" s="1431"/>
      <c r="F20" s="2118" t="s">
        <v>504</v>
      </c>
      <c r="G20" s="1783" t="s">
        <v>332</v>
      </c>
      <c r="N20" s="727"/>
      <c r="O20" s="727"/>
      <c r="AC20" s="1795" t="s">
        <v>503</v>
      </c>
      <c r="AD20" s="1795"/>
      <c r="AE20" s="1795"/>
      <c r="AF20" s="1812" t="s">
        <v>320</v>
      </c>
      <c r="AG20" s="21"/>
      <c r="AI20" s="2122"/>
      <c r="AJ20" s="2122"/>
      <c r="AK20" s="2"/>
      <c r="AL20" s="2"/>
    </row>
    <row r="21" spans="2:42" ht="14.25" customHeight="1">
      <c r="C21" s="1683"/>
      <c r="D21" s="1684"/>
      <c r="E21" s="1684"/>
      <c r="F21" s="2119"/>
      <c r="G21" s="1784"/>
      <c r="N21" s="727"/>
      <c r="O21" s="727"/>
      <c r="AC21" s="1795"/>
      <c r="AD21" s="1795"/>
      <c r="AE21" s="1795"/>
      <c r="AF21" s="1813"/>
      <c r="AG21" s="21"/>
      <c r="AI21" s="2122"/>
      <c r="AJ21" s="2122"/>
      <c r="AK21" s="2"/>
      <c r="AL21" s="2"/>
    </row>
    <row r="22" spans="2:42" ht="14.1" customHeight="1" thickBot="1">
      <c r="C22" s="1433"/>
      <c r="D22" s="1434"/>
      <c r="E22" s="1434"/>
      <c r="F22" s="2120"/>
      <c r="G22" s="2121"/>
      <c r="H22" s="226"/>
      <c r="I22" s="226"/>
      <c r="K22" s="226"/>
      <c r="L22" s="226"/>
      <c r="M22" s="226"/>
      <c r="N22" s="728"/>
      <c r="O22" s="728"/>
      <c r="P22" s="226"/>
      <c r="Q22" s="226"/>
      <c r="R22" s="226"/>
      <c r="S22" s="226"/>
      <c r="T22" s="226"/>
      <c r="U22" s="226"/>
      <c r="V22" s="226"/>
      <c r="W22" s="226"/>
      <c r="X22" s="226"/>
      <c r="Y22" s="226"/>
      <c r="Z22" s="226"/>
      <c r="AA22" s="226"/>
      <c r="AC22" s="1795"/>
      <c r="AD22" s="1795"/>
      <c r="AE22" s="1795"/>
      <c r="AF22" s="1814"/>
      <c r="AG22" s="21"/>
      <c r="AI22" s="2122"/>
      <c r="AJ22" s="2122"/>
      <c r="AK22" s="2"/>
      <c r="AL22" s="2"/>
    </row>
    <row r="23" spans="2:42" ht="30" customHeight="1" thickTop="1" thickBot="1">
      <c r="C23" s="2123" t="s">
        <v>505</v>
      </c>
      <c r="D23" s="2124"/>
      <c r="E23" s="2125"/>
      <c r="F23" s="715"/>
      <c r="G23" s="1276"/>
      <c r="H23" s="226"/>
      <c r="I23" s="226"/>
      <c r="K23" s="226"/>
      <c r="L23" s="226"/>
      <c r="M23" s="226"/>
      <c r="N23" s="728"/>
      <c r="O23" s="728"/>
      <c r="P23" s="226"/>
      <c r="Q23" s="226"/>
      <c r="R23" s="226"/>
      <c r="S23" s="226"/>
      <c r="T23" s="226"/>
      <c r="U23" s="226"/>
      <c r="V23" s="226"/>
      <c r="W23" s="226"/>
      <c r="X23" s="226"/>
      <c r="Y23" s="226"/>
      <c r="Z23" s="226"/>
      <c r="AA23" s="226"/>
      <c r="AC23" s="1623" t="s">
        <v>505</v>
      </c>
      <c r="AD23" s="1623"/>
      <c r="AE23" s="1623"/>
      <c r="AF23" s="410">
        <f>IF(F23&gt;0,ROUND(F23*G23%,),SUM(AF24:AF26))</f>
        <v>0</v>
      </c>
      <c r="AG23" s="21"/>
      <c r="AI23" s="729"/>
      <c r="AJ23" s="604"/>
      <c r="AK23" s="2"/>
      <c r="AL23" s="2"/>
    </row>
    <row r="24" spans="2:42" ht="30" customHeight="1" thickTop="1">
      <c r="C24" s="730"/>
      <c r="D24" s="2111" t="s">
        <v>506</v>
      </c>
      <c r="E24" s="2112"/>
      <c r="F24" s="731"/>
      <c r="G24" s="1277"/>
      <c r="H24" s="226"/>
      <c r="I24" s="226"/>
      <c r="K24" s="226"/>
      <c r="L24" s="226"/>
      <c r="M24" s="226"/>
      <c r="N24" s="728"/>
      <c r="O24" s="226"/>
      <c r="P24" s="226"/>
      <c r="Q24" s="226"/>
      <c r="R24" s="226"/>
      <c r="S24" s="226"/>
      <c r="T24" s="226"/>
      <c r="U24" s="226"/>
      <c r="V24" s="226"/>
      <c r="W24" s="226"/>
      <c r="X24" s="226"/>
      <c r="Y24" s="226"/>
      <c r="Z24" s="226"/>
      <c r="AA24" s="226"/>
      <c r="AC24" s="1703" t="s">
        <v>506</v>
      </c>
      <c r="AD24" s="1703"/>
      <c r="AE24" s="1703"/>
      <c r="AF24" s="410">
        <f>0</f>
        <v>0</v>
      </c>
      <c r="AG24" s="21"/>
      <c r="AH24" s="21"/>
      <c r="AI24" s="732" t="s">
        <v>503</v>
      </c>
      <c r="AJ24" s="327" t="s">
        <v>320</v>
      </c>
      <c r="AK24" s="2"/>
      <c r="AL24" s="2"/>
    </row>
    <row r="25" spans="2:42" ht="30" customHeight="1">
      <c r="C25" s="733"/>
      <c r="D25" s="1779" t="s">
        <v>507</v>
      </c>
      <c r="E25" s="1841"/>
      <c r="F25" s="734"/>
      <c r="G25" s="1278"/>
      <c r="H25" s="226"/>
      <c r="I25" s="226"/>
      <c r="K25" s="226"/>
      <c r="L25" s="226"/>
      <c r="M25" s="226"/>
      <c r="N25" s="728"/>
      <c r="O25" s="226"/>
      <c r="P25" s="226"/>
      <c r="Q25" s="226"/>
      <c r="R25" s="226"/>
      <c r="S25" s="226"/>
      <c r="T25" s="226"/>
      <c r="U25" s="226"/>
      <c r="V25" s="226"/>
      <c r="W25" s="226"/>
      <c r="X25" s="226"/>
      <c r="Y25" s="226"/>
      <c r="Z25" s="226"/>
      <c r="AA25" s="226"/>
      <c r="AC25" s="1703" t="s">
        <v>507</v>
      </c>
      <c r="AD25" s="1703"/>
      <c r="AE25" s="1703"/>
      <c r="AF25" s="410">
        <f>0</f>
        <v>0</v>
      </c>
      <c r="AG25" s="21"/>
      <c r="AH25" s="21"/>
      <c r="AI25" s="735" t="s">
        <v>508</v>
      </c>
      <c r="AJ25" s="410">
        <f>SUM(AF17,AG17,AF23)</f>
        <v>0</v>
      </c>
      <c r="AK25" s="2"/>
      <c r="AL25" s="2"/>
    </row>
    <row r="26" spans="2:42" ht="30" customHeight="1" thickBot="1">
      <c r="C26" s="736"/>
      <c r="D26" s="2126" t="s">
        <v>223</v>
      </c>
      <c r="E26" s="2127"/>
      <c r="F26" s="538"/>
      <c r="G26" s="1279"/>
      <c r="H26" s="226"/>
      <c r="I26" s="226"/>
      <c r="K26" s="226"/>
      <c r="L26" s="226"/>
      <c r="M26" s="226"/>
      <c r="N26" s="728"/>
      <c r="O26" s="226"/>
      <c r="P26" s="226"/>
      <c r="Q26" s="226"/>
      <c r="R26" s="226"/>
      <c r="S26" s="226"/>
      <c r="T26" s="226"/>
      <c r="U26" s="226"/>
      <c r="V26" s="226"/>
      <c r="W26" s="226"/>
      <c r="X26" s="226"/>
      <c r="Y26" s="226"/>
      <c r="Z26" s="226"/>
      <c r="AA26" s="226"/>
      <c r="AC26" s="1703" t="s">
        <v>223</v>
      </c>
      <c r="AD26" s="1703"/>
      <c r="AE26" s="1703"/>
      <c r="AF26" s="410">
        <f>ROUND(F26*G26%,)</f>
        <v>0</v>
      </c>
      <c r="AG26" s="21"/>
      <c r="AH26" s="21"/>
      <c r="AI26" s="21"/>
      <c r="AK26" s="2"/>
      <c r="AL26" s="2"/>
    </row>
    <row r="27" spans="2:42" ht="13.5" customHeight="1">
      <c r="AC27" s="2"/>
      <c r="AD27" s="2"/>
      <c r="AE27" s="2"/>
      <c r="AF27" s="21"/>
      <c r="AG27" s="21"/>
      <c r="AH27" s="21"/>
      <c r="AI27" s="21"/>
    </row>
    <row r="29" spans="2:42" ht="18" customHeight="1">
      <c r="B29" s="187" t="s">
        <v>509</v>
      </c>
      <c r="C29" s="131"/>
      <c r="D29" s="131"/>
      <c r="AA29" s="187" t="s">
        <v>509</v>
      </c>
    </row>
    <row r="30" spans="2:42" ht="18" customHeight="1">
      <c r="B30" s="131"/>
      <c r="C30" s="247" t="s">
        <v>510</v>
      </c>
      <c r="D30" s="247"/>
      <c r="E30" s="144"/>
      <c r="F30" s="144"/>
      <c r="G30" s="144"/>
      <c r="H30" s="144"/>
      <c r="I30" s="144"/>
      <c r="J30" s="387"/>
      <c r="K30" s="144"/>
      <c r="L30" s="144"/>
      <c r="M30" s="144"/>
    </row>
    <row r="31" spans="2:42" ht="14.1" customHeight="1">
      <c r="C31" s="247" t="s">
        <v>511</v>
      </c>
      <c r="D31" s="247"/>
      <c r="E31" s="144"/>
      <c r="F31" s="144"/>
      <c r="G31" s="144"/>
      <c r="H31" s="737"/>
      <c r="I31" s="737"/>
      <c r="J31" s="738"/>
      <c r="K31" s="737"/>
      <c r="L31" s="737"/>
      <c r="M31" s="737"/>
      <c r="N31" s="713"/>
      <c r="O31" s="713"/>
      <c r="P31" s="713"/>
    </row>
    <row r="32" spans="2:42" ht="14.1" customHeight="1">
      <c r="B32" s="131"/>
      <c r="C32" s="246" t="s">
        <v>512</v>
      </c>
      <c r="D32" s="246"/>
      <c r="E32" s="144"/>
      <c r="F32" s="144"/>
      <c r="G32" s="144"/>
      <c r="H32" s="737"/>
      <c r="I32" s="737"/>
      <c r="J32" s="738"/>
      <c r="K32" s="737"/>
      <c r="L32" s="737"/>
      <c r="M32" s="737"/>
      <c r="N32" s="713"/>
      <c r="O32" s="713"/>
      <c r="P32" s="713"/>
      <c r="X32" s="50"/>
      <c r="Y32" s="50"/>
      <c r="Z32" s="50"/>
      <c r="AA32" s="50"/>
      <c r="AB32" s="50"/>
      <c r="AC32" s="50"/>
      <c r="AD32" s="50"/>
      <c r="AE32" s="50"/>
      <c r="AF32" s="50"/>
      <c r="AG32" s="50"/>
      <c r="AK32" s="2"/>
      <c r="AL32" s="2"/>
      <c r="AM32" s="2"/>
      <c r="AN32" s="2"/>
      <c r="AO32" s="2"/>
      <c r="AP32" s="50"/>
    </row>
    <row r="33" spans="1:42" ht="14.1" customHeight="1" thickBot="1">
      <c r="B33" s="131"/>
      <c r="C33" s="246" t="s">
        <v>513</v>
      </c>
      <c r="D33" s="246"/>
      <c r="E33" s="737"/>
      <c r="F33" s="737"/>
      <c r="G33" s="737"/>
      <c r="H33" s="737"/>
      <c r="I33" s="737"/>
      <c r="J33" s="738"/>
      <c r="K33" s="737"/>
      <c r="L33" s="737"/>
      <c r="M33" s="737"/>
      <c r="N33" s="713"/>
      <c r="O33" s="713"/>
      <c r="P33" s="713"/>
      <c r="X33" s="50"/>
      <c r="Y33" s="50"/>
      <c r="Z33" s="50"/>
      <c r="AA33" s="50"/>
      <c r="AB33" s="50"/>
      <c r="AC33" s="50"/>
      <c r="AD33" s="50"/>
      <c r="AE33" s="50"/>
      <c r="AF33" s="50"/>
      <c r="AG33" s="50"/>
      <c r="AK33" s="2"/>
      <c r="AL33" s="2"/>
      <c r="AM33" s="2"/>
      <c r="AN33" s="2"/>
      <c r="AO33" s="2"/>
      <c r="AP33" s="50"/>
    </row>
    <row r="34" spans="1:42" ht="14.1" customHeight="1">
      <c r="C34" s="2128" t="s">
        <v>514</v>
      </c>
      <c r="D34" s="2129"/>
      <c r="E34" s="2130"/>
      <c r="F34" s="1944" t="s">
        <v>515</v>
      </c>
      <c r="G34" s="2137" t="s">
        <v>516</v>
      </c>
      <c r="H34" s="1783" t="s">
        <v>332</v>
      </c>
      <c r="I34" s="295"/>
      <c r="K34" s="295"/>
      <c r="L34" s="295"/>
      <c r="M34" s="295"/>
      <c r="N34" s="295"/>
      <c r="O34" s="295"/>
      <c r="P34" s="295"/>
      <c r="AC34" s="50"/>
      <c r="AD34" s="50"/>
      <c r="AE34" s="50"/>
      <c r="AF34" s="50"/>
      <c r="AG34" s="50"/>
      <c r="AK34" s="2"/>
      <c r="AL34" s="2"/>
      <c r="AM34" s="2"/>
      <c r="AN34" s="2"/>
      <c r="AO34" s="2"/>
    </row>
    <row r="35" spans="1:42" ht="14.25" customHeight="1">
      <c r="C35" s="2131"/>
      <c r="D35" s="2132"/>
      <c r="E35" s="2133"/>
      <c r="F35" s="1945"/>
      <c r="G35" s="2138"/>
      <c r="H35" s="1784"/>
      <c r="I35" s="295"/>
      <c r="K35" s="295"/>
      <c r="L35" s="295"/>
      <c r="M35" s="295"/>
      <c r="N35" s="295"/>
      <c r="O35" s="295"/>
      <c r="P35" s="295"/>
      <c r="AK35" s="2"/>
      <c r="AL35" s="2"/>
      <c r="AM35" s="2"/>
      <c r="AN35" s="2"/>
      <c r="AO35" s="2"/>
    </row>
    <row r="36" spans="1:42" s="50" customFormat="1" ht="14.25" customHeight="1" thickBot="1">
      <c r="A36" s="295"/>
      <c r="B36" s="128"/>
      <c r="C36" s="2134"/>
      <c r="D36" s="2135"/>
      <c r="E36" s="2136"/>
      <c r="F36" s="1946"/>
      <c r="G36" s="2139"/>
      <c r="H36" s="2140"/>
      <c r="J36" s="226"/>
      <c r="K36" s="295"/>
      <c r="L36" s="295"/>
      <c r="M36" s="295"/>
      <c r="N36" s="295"/>
      <c r="O36" s="295"/>
      <c r="P36" s="295"/>
      <c r="Q36" s="295"/>
      <c r="X36" s="295"/>
      <c r="Y36" s="295"/>
      <c r="Z36" s="295"/>
      <c r="AA36" s="295"/>
      <c r="AB36" s="295"/>
      <c r="AC36" s="2141" t="s">
        <v>514</v>
      </c>
      <c r="AD36" s="2142"/>
      <c r="AE36" s="2143"/>
      <c r="AF36" s="2152" t="s">
        <v>515</v>
      </c>
      <c r="AG36" s="2154" t="s">
        <v>516</v>
      </c>
      <c r="AH36" s="2"/>
      <c r="AI36" s="2"/>
      <c r="AJ36" s="2"/>
      <c r="AK36" s="2"/>
      <c r="AL36" s="2"/>
      <c r="AM36" s="2"/>
      <c r="AN36" s="2"/>
      <c r="AO36" s="2"/>
      <c r="AP36" s="295"/>
    </row>
    <row r="37" spans="1:42" s="50" customFormat="1" ht="30" customHeight="1" thickTop="1" thickBot="1">
      <c r="A37" s="295"/>
      <c r="B37" s="128"/>
      <c r="C37" s="2156" t="s">
        <v>274</v>
      </c>
      <c r="D37" s="2157"/>
      <c r="E37" s="2158"/>
      <c r="F37" s="519"/>
      <c r="G37" s="739"/>
      <c r="H37" s="1262"/>
      <c r="J37" s="226"/>
      <c r="K37" s="295"/>
      <c r="L37" s="295"/>
      <c r="M37" s="295"/>
      <c r="N37" s="295"/>
      <c r="O37" s="295"/>
      <c r="P37" s="295"/>
      <c r="Q37" s="295"/>
      <c r="X37" s="295"/>
      <c r="Y37" s="295"/>
      <c r="Z37" s="295"/>
      <c r="AA37" s="295"/>
      <c r="AB37" s="295"/>
      <c r="AC37" s="2144"/>
      <c r="AD37" s="2145"/>
      <c r="AE37" s="2146"/>
      <c r="AF37" s="2153"/>
      <c r="AG37" s="2155"/>
      <c r="AH37" s="2"/>
      <c r="AI37" s="2"/>
      <c r="AJ37" s="2"/>
      <c r="AK37" s="2"/>
      <c r="AL37" s="2"/>
      <c r="AM37" s="2"/>
      <c r="AN37" s="2"/>
      <c r="AO37" s="2"/>
      <c r="AP37" s="295"/>
    </row>
    <row r="38" spans="1:42" ht="29.25" customHeight="1" thickTop="1">
      <c r="A38" s="50"/>
      <c r="C38" s="740"/>
      <c r="D38" s="2147" t="s">
        <v>517</v>
      </c>
      <c r="E38" s="741"/>
      <c r="F38" s="2160"/>
      <c r="G38" s="2161"/>
      <c r="H38" s="2162"/>
      <c r="I38" s="552"/>
      <c r="J38" s="387"/>
      <c r="K38" s="387"/>
      <c r="L38" s="387"/>
      <c r="M38" s="387"/>
      <c r="N38" s="387"/>
      <c r="O38" s="387"/>
      <c r="P38" s="387"/>
      <c r="Q38" s="387"/>
      <c r="R38" s="226"/>
      <c r="S38" s="226"/>
      <c r="T38" s="226"/>
      <c r="AC38" s="2141" t="s">
        <v>274</v>
      </c>
      <c r="AD38" s="2142"/>
      <c r="AE38" s="2143"/>
      <c r="AF38" s="410">
        <f>IF(F37&gt;0,ROUND(F37*H37%,),SUM(AF39:AF41))</f>
        <v>0</v>
      </c>
      <c r="AG38" s="410">
        <f>IF(G37&gt;0,ROUND(G37*H37%,),SUM(AG39:AG41))</f>
        <v>0</v>
      </c>
      <c r="AK38" s="2"/>
      <c r="AL38" s="2"/>
      <c r="AM38" s="2"/>
      <c r="AN38" s="2"/>
      <c r="AO38" s="2"/>
    </row>
    <row r="39" spans="1:42" ht="29.25" customHeight="1">
      <c r="C39" s="740"/>
      <c r="D39" s="2159"/>
      <c r="E39" s="742"/>
      <c r="F39" s="528"/>
      <c r="G39" s="743"/>
      <c r="H39" s="1280"/>
      <c r="I39" s="552"/>
      <c r="K39" s="226"/>
      <c r="L39" s="226"/>
      <c r="M39" s="226"/>
      <c r="N39" s="226"/>
      <c r="O39" s="226"/>
      <c r="P39" s="226"/>
      <c r="Q39" s="226"/>
      <c r="R39" s="226"/>
      <c r="S39" s="226"/>
      <c r="T39" s="226"/>
      <c r="AC39" s="2163" t="s">
        <v>517</v>
      </c>
      <c r="AD39" s="2164"/>
      <c r="AE39" s="2165"/>
      <c r="AF39" s="744">
        <f>SUMPRODUCT(ROUND((F39:F68)*(H39:H68)/100,))</f>
        <v>0</v>
      </c>
      <c r="AG39" s="744">
        <f>SUMPRODUCT(ROUND((G39:G68)*(H39:H68)/100,))</f>
        <v>0</v>
      </c>
      <c r="AK39" s="2"/>
      <c r="AL39" s="2"/>
      <c r="AM39" s="2"/>
      <c r="AN39" s="2"/>
      <c r="AO39" s="2"/>
    </row>
    <row r="40" spans="1:42" ht="29.25" customHeight="1">
      <c r="C40" s="740"/>
      <c r="D40" s="2159"/>
      <c r="E40" s="742"/>
      <c r="F40" s="411"/>
      <c r="G40" s="257"/>
      <c r="H40" s="1281"/>
      <c r="I40" s="552"/>
      <c r="K40" s="226"/>
      <c r="L40" s="226"/>
      <c r="M40" s="226"/>
      <c r="N40" s="226"/>
      <c r="O40" s="226"/>
      <c r="P40" s="226"/>
      <c r="Q40" s="226"/>
      <c r="R40" s="226"/>
      <c r="S40" s="226"/>
      <c r="T40" s="226"/>
      <c r="AC40" s="2163" t="s">
        <v>518</v>
      </c>
      <c r="AD40" s="2164"/>
      <c r="AE40" s="2165"/>
      <c r="AF40" s="744">
        <f>SUMPRODUCT(ROUND((F70:F99)*(H70:H99)/100,))</f>
        <v>0</v>
      </c>
      <c r="AG40" s="744">
        <f>SUMPRODUCT(ROUND((G70:G99)*(H70:H99)/100,))</f>
        <v>0</v>
      </c>
      <c r="AK40" s="2"/>
      <c r="AL40" s="2"/>
      <c r="AM40" s="2"/>
      <c r="AN40" s="2"/>
      <c r="AO40" s="2"/>
    </row>
    <row r="41" spans="1:42" ht="29.25" customHeight="1">
      <c r="C41" s="740"/>
      <c r="D41" s="2159"/>
      <c r="E41" s="742"/>
      <c r="F41" s="528"/>
      <c r="G41" s="743"/>
      <c r="H41" s="1280"/>
      <c r="I41" s="552"/>
      <c r="K41" s="226"/>
      <c r="L41" s="226"/>
      <c r="M41" s="226"/>
      <c r="N41" s="226"/>
      <c r="O41" s="226"/>
      <c r="P41" s="226"/>
      <c r="Q41" s="226"/>
      <c r="R41" s="226"/>
      <c r="S41" s="226"/>
      <c r="T41" s="226"/>
      <c r="AC41" s="2163" t="s">
        <v>519</v>
      </c>
      <c r="AD41" s="2164"/>
      <c r="AE41" s="2165"/>
      <c r="AF41" s="744">
        <f>ROUND(F100*H100%,)</f>
        <v>0</v>
      </c>
      <c r="AG41" s="744">
        <f>ROUND(G100*H100%,)</f>
        <v>0</v>
      </c>
      <c r="AK41" s="2"/>
      <c r="AL41" s="2"/>
      <c r="AM41" s="2"/>
      <c r="AN41" s="2"/>
      <c r="AO41" s="2"/>
    </row>
    <row r="42" spans="1:42" ht="29.25" customHeight="1" collapsed="1">
      <c r="C42" s="740"/>
      <c r="D42" s="2159"/>
      <c r="E42" s="742"/>
      <c r="F42" s="486"/>
      <c r="G42" s="272"/>
      <c r="H42" s="1278"/>
      <c r="I42" s="552"/>
      <c r="K42" s="226"/>
      <c r="L42" s="226"/>
      <c r="M42" s="226"/>
      <c r="N42" s="226"/>
      <c r="O42" s="226"/>
      <c r="P42" s="226"/>
      <c r="Q42" s="226"/>
      <c r="R42" s="226"/>
      <c r="S42" s="226"/>
      <c r="T42" s="226"/>
      <c r="AC42" s="2"/>
      <c r="AD42" s="2"/>
      <c r="AE42" s="2"/>
      <c r="AF42" s="2"/>
      <c r="AK42" s="2"/>
      <c r="AL42" s="2"/>
      <c r="AM42" s="2"/>
      <c r="AN42" s="2"/>
      <c r="AO42" s="2"/>
    </row>
    <row r="43" spans="1:42" ht="29.25" hidden="1" customHeight="1" outlineLevel="1">
      <c r="C43" s="740"/>
      <c r="D43" s="2159"/>
      <c r="E43" s="742"/>
      <c r="F43" s="486"/>
      <c r="G43" s="272"/>
      <c r="H43" s="1278"/>
      <c r="I43" s="552"/>
      <c r="K43" s="226"/>
      <c r="L43" s="226"/>
      <c r="M43" s="226"/>
      <c r="N43" s="226"/>
      <c r="O43" s="226"/>
      <c r="P43" s="226"/>
      <c r="Q43" s="226"/>
      <c r="R43" s="226"/>
      <c r="S43" s="226"/>
      <c r="T43" s="226"/>
      <c r="AC43" s="2"/>
      <c r="AD43" s="2"/>
      <c r="AE43" s="2"/>
      <c r="AF43" s="2"/>
      <c r="AK43" s="2"/>
      <c r="AL43" s="2"/>
      <c r="AM43" s="2"/>
      <c r="AN43" s="2"/>
      <c r="AO43" s="2"/>
    </row>
    <row r="44" spans="1:42" ht="29.25" hidden="1" customHeight="1" outlineLevel="1">
      <c r="C44" s="740"/>
      <c r="D44" s="2159"/>
      <c r="E44" s="742"/>
      <c r="F44" s="486"/>
      <c r="G44" s="272"/>
      <c r="H44" s="1278"/>
      <c r="I44" s="552"/>
      <c r="K44" s="226"/>
      <c r="L44" s="226"/>
      <c r="M44" s="226"/>
      <c r="N44" s="226"/>
      <c r="O44" s="226"/>
      <c r="P44" s="226"/>
      <c r="Q44" s="226"/>
      <c r="R44" s="226"/>
      <c r="S44" s="226"/>
      <c r="T44" s="226"/>
      <c r="AC44" s="2"/>
      <c r="AD44" s="2"/>
      <c r="AE44" s="2"/>
      <c r="AF44" s="2"/>
      <c r="AK44" s="2"/>
      <c r="AL44" s="2"/>
      <c r="AM44" s="2"/>
      <c r="AN44" s="2"/>
      <c r="AO44" s="2"/>
    </row>
    <row r="45" spans="1:42" ht="29.25" hidden="1" customHeight="1" outlineLevel="1">
      <c r="C45" s="740"/>
      <c r="D45" s="2159"/>
      <c r="E45" s="742"/>
      <c r="F45" s="486"/>
      <c r="G45" s="272"/>
      <c r="H45" s="1278"/>
      <c r="I45" s="552"/>
      <c r="K45" s="226"/>
      <c r="L45" s="226"/>
      <c r="M45" s="226"/>
      <c r="N45" s="226"/>
      <c r="O45" s="226"/>
      <c r="P45" s="226"/>
      <c r="Q45" s="226"/>
      <c r="R45" s="226"/>
      <c r="S45" s="226"/>
      <c r="T45" s="226"/>
      <c r="AC45" s="2"/>
      <c r="AD45" s="2"/>
      <c r="AE45" s="2"/>
      <c r="AF45" s="2"/>
      <c r="AK45" s="2"/>
      <c r="AL45" s="2"/>
      <c r="AM45" s="2"/>
      <c r="AN45" s="2"/>
      <c r="AO45" s="2"/>
    </row>
    <row r="46" spans="1:42" ht="29.25" hidden="1" customHeight="1" outlineLevel="1">
      <c r="C46" s="740"/>
      <c r="D46" s="2159"/>
      <c r="E46" s="742"/>
      <c r="F46" s="486"/>
      <c r="G46" s="272"/>
      <c r="H46" s="1278"/>
      <c r="I46" s="552"/>
      <c r="K46" s="226"/>
      <c r="L46" s="226"/>
      <c r="M46" s="226"/>
      <c r="N46" s="226"/>
      <c r="O46" s="226"/>
      <c r="P46" s="226"/>
      <c r="Q46" s="226"/>
      <c r="R46" s="226"/>
      <c r="S46" s="226"/>
      <c r="T46" s="226"/>
      <c r="AC46" s="2"/>
      <c r="AD46" s="2"/>
      <c r="AE46" s="2"/>
      <c r="AF46" s="2"/>
      <c r="AK46" s="2"/>
      <c r="AL46" s="2"/>
      <c r="AM46" s="2"/>
      <c r="AN46" s="2"/>
      <c r="AO46" s="2"/>
    </row>
    <row r="47" spans="1:42" ht="29.25" hidden="1" customHeight="1" outlineLevel="1">
      <c r="C47" s="740"/>
      <c r="D47" s="2159"/>
      <c r="E47" s="742"/>
      <c r="F47" s="486"/>
      <c r="G47" s="272"/>
      <c r="H47" s="1278"/>
      <c r="I47" s="552"/>
      <c r="K47" s="226"/>
      <c r="L47" s="226"/>
      <c r="M47" s="226"/>
      <c r="N47" s="226"/>
      <c r="O47" s="226"/>
      <c r="P47" s="226"/>
      <c r="Q47" s="226"/>
      <c r="R47" s="226"/>
      <c r="S47" s="226"/>
      <c r="T47" s="226"/>
      <c r="AC47" s="2"/>
      <c r="AD47" s="2"/>
      <c r="AE47" s="2"/>
      <c r="AF47" s="2"/>
      <c r="AK47" s="2"/>
      <c r="AL47" s="2"/>
      <c r="AM47" s="2"/>
      <c r="AN47" s="2"/>
      <c r="AO47" s="2"/>
    </row>
    <row r="48" spans="1:42" ht="29.25" hidden="1" customHeight="1" outlineLevel="1">
      <c r="C48" s="740"/>
      <c r="D48" s="2159"/>
      <c r="E48" s="742"/>
      <c r="F48" s="486"/>
      <c r="G48" s="272"/>
      <c r="H48" s="1278"/>
      <c r="I48" s="552"/>
      <c r="K48" s="226"/>
      <c r="L48" s="226"/>
      <c r="M48" s="226"/>
      <c r="N48" s="226"/>
      <c r="O48" s="226"/>
      <c r="P48" s="226"/>
      <c r="Q48" s="226"/>
      <c r="R48" s="226"/>
      <c r="S48" s="226"/>
      <c r="T48" s="226"/>
      <c r="AC48" s="2"/>
      <c r="AD48" s="2"/>
      <c r="AE48" s="2"/>
      <c r="AF48" s="2"/>
      <c r="AK48" s="2"/>
      <c r="AL48" s="2"/>
      <c r="AM48" s="2"/>
      <c r="AN48" s="2"/>
      <c r="AO48" s="2"/>
    </row>
    <row r="49" spans="3:41" ht="29.25" hidden="1" customHeight="1" outlineLevel="1">
      <c r="C49" s="740"/>
      <c r="D49" s="2159"/>
      <c r="E49" s="742"/>
      <c r="F49" s="486"/>
      <c r="G49" s="272"/>
      <c r="H49" s="1278"/>
      <c r="I49" s="552"/>
      <c r="K49" s="226"/>
      <c r="L49" s="226"/>
      <c r="M49" s="226"/>
      <c r="N49" s="226"/>
      <c r="O49" s="226"/>
      <c r="P49" s="226"/>
      <c r="Q49" s="226"/>
      <c r="R49" s="226"/>
      <c r="S49" s="226"/>
      <c r="T49" s="226"/>
      <c r="AC49" s="2"/>
      <c r="AD49" s="2"/>
      <c r="AE49" s="2"/>
      <c r="AF49" s="2"/>
      <c r="AK49" s="2"/>
      <c r="AL49" s="2"/>
      <c r="AM49" s="2"/>
      <c r="AN49" s="2"/>
      <c r="AO49" s="2"/>
    </row>
    <row r="50" spans="3:41" ht="29.25" hidden="1" customHeight="1" outlineLevel="1">
      <c r="C50" s="740"/>
      <c r="D50" s="2159"/>
      <c r="E50" s="742"/>
      <c r="F50" s="486"/>
      <c r="G50" s="272"/>
      <c r="H50" s="1278"/>
      <c r="I50" s="552"/>
      <c r="K50" s="226"/>
      <c r="L50" s="226"/>
      <c r="M50" s="226"/>
      <c r="N50" s="226"/>
      <c r="O50" s="226"/>
      <c r="P50" s="226"/>
      <c r="Q50" s="226"/>
      <c r="R50" s="226"/>
      <c r="S50" s="226"/>
      <c r="T50" s="226"/>
      <c r="AC50" s="2"/>
      <c r="AD50" s="2"/>
      <c r="AE50" s="2"/>
      <c r="AF50" s="2"/>
      <c r="AK50" s="2"/>
      <c r="AL50" s="2"/>
      <c r="AM50" s="2"/>
      <c r="AN50" s="2"/>
      <c r="AO50" s="2"/>
    </row>
    <row r="51" spans="3:41" ht="29.25" hidden="1" customHeight="1" outlineLevel="1">
      <c r="C51" s="740"/>
      <c r="D51" s="2159"/>
      <c r="E51" s="742"/>
      <c r="F51" s="486"/>
      <c r="G51" s="272"/>
      <c r="H51" s="1278"/>
      <c r="I51" s="552"/>
      <c r="K51" s="226"/>
      <c r="L51" s="226"/>
      <c r="M51" s="226"/>
      <c r="N51" s="226"/>
      <c r="O51" s="226"/>
      <c r="P51" s="226"/>
      <c r="Q51" s="226"/>
      <c r="R51" s="226"/>
      <c r="S51" s="226"/>
      <c r="T51" s="226"/>
      <c r="AC51" s="2"/>
      <c r="AD51" s="2"/>
      <c r="AE51" s="2"/>
      <c r="AF51" s="2"/>
      <c r="AK51" s="2"/>
      <c r="AL51" s="2"/>
      <c r="AM51" s="2"/>
      <c r="AN51" s="2"/>
      <c r="AO51" s="2"/>
    </row>
    <row r="52" spans="3:41" ht="29.25" hidden="1" customHeight="1" outlineLevel="1">
      <c r="C52" s="740"/>
      <c r="D52" s="2159"/>
      <c r="E52" s="742"/>
      <c r="F52" s="486"/>
      <c r="G52" s="272"/>
      <c r="H52" s="1278"/>
      <c r="I52" s="552"/>
      <c r="K52" s="226"/>
      <c r="L52" s="226"/>
      <c r="M52" s="226"/>
      <c r="N52" s="226"/>
      <c r="O52" s="226"/>
      <c r="P52" s="226"/>
      <c r="Q52" s="226"/>
      <c r="R52" s="226"/>
      <c r="S52" s="226"/>
      <c r="T52" s="226"/>
      <c r="AC52" s="2"/>
      <c r="AD52" s="2"/>
      <c r="AE52" s="2"/>
      <c r="AF52" s="2"/>
      <c r="AK52" s="2"/>
      <c r="AL52" s="2"/>
      <c r="AM52" s="2"/>
      <c r="AN52" s="2"/>
      <c r="AO52" s="2"/>
    </row>
    <row r="53" spans="3:41" ht="29.25" hidden="1" customHeight="1" outlineLevel="1">
      <c r="C53" s="740"/>
      <c r="D53" s="2159"/>
      <c r="E53" s="742"/>
      <c r="F53" s="486"/>
      <c r="G53" s="272"/>
      <c r="H53" s="1278"/>
      <c r="I53" s="552"/>
      <c r="K53" s="226"/>
      <c r="L53" s="226"/>
      <c r="M53" s="226"/>
      <c r="N53" s="226"/>
      <c r="O53" s="226"/>
      <c r="P53" s="226"/>
      <c r="Q53" s="226"/>
      <c r="R53" s="226"/>
      <c r="S53" s="226"/>
      <c r="T53" s="226"/>
      <c r="AC53" s="2"/>
      <c r="AD53" s="2"/>
      <c r="AE53" s="2"/>
      <c r="AF53" s="2"/>
      <c r="AK53" s="2"/>
      <c r="AL53" s="2"/>
      <c r="AM53" s="2"/>
      <c r="AN53" s="2"/>
      <c r="AO53" s="2"/>
    </row>
    <row r="54" spans="3:41" ht="29.25" hidden="1" customHeight="1" outlineLevel="1">
      <c r="C54" s="740"/>
      <c r="D54" s="2159"/>
      <c r="E54" s="742"/>
      <c r="F54" s="486"/>
      <c r="G54" s="272"/>
      <c r="H54" s="1278"/>
      <c r="I54" s="552"/>
      <c r="K54" s="226"/>
      <c r="L54" s="226"/>
      <c r="M54" s="226"/>
      <c r="N54" s="226"/>
      <c r="O54" s="226"/>
      <c r="P54" s="226"/>
      <c r="Q54" s="226"/>
      <c r="R54" s="226"/>
      <c r="S54" s="226"/>
      <c r="T54" s="226"/>
      <c r="AC54" s="2"/>
      <c r="AD54" s="2"/>
      <c r="AE54" s="2"/>
      <c r="AF54" s="2"/>
      <c r="AK54" s="2"/>
      <c r="AL54" s="2"/>
      <c r="AM54" s="2"/>
      <c r="AN54" s="2"/>
      <c r="AO54" s="2"/>
    </row>
    <row r="55" spans="3:41" ht="29.25" hidden="1" customHeight="1" outlineLevel="1">
      <c r="C55" s="740"/>
      <c r="D55" s="2159"/>
      <c r="E55" s="742"/>
      <c r="F55" s="486"/>
      <c r="G55" s="272"/>
      <c r="H55" s="1278"/>
      <c r="I55" s="552"/>
      <c r="K55" s="226"/>
      <c r="L55" s="226"/>
      <c r="M55" s="226"/>
      <c r="N55" s="226"/>
      <c r="O55" s="226"/>
      <c r="P55" s="226"/>
      <c r="Q55" s="226"/>
      <c r="R55" s="226"/>
      <c r="S55" s="226"/>
      <c r="T55" s="226"/>
      <c r="AC55" s="2"/>
      <c r="AD55" s="2"/>
      <c r="AE55" s="2"/>
      <c r="AF55" s="2"/>
      <c r="AK55" s="2"/>
      <c r="AL55" s="2"/>
      <c r="AM55" s="2"/>
      <c r="AN55" s="2"/>
      <c r="AO55" s="2"/>
    </row>
    <row r="56" spans="3:41" ht="29.25" hidden="1" customHeight="1" outlineLevel="1">
      <c r="C56" s="740"/>
      <c r="D56" s="2159"/>
      <c r="E56" s="742"/>
      <c r="F56" s="486"/>
      <c r="G56" s="272"/>
      <c r="H56" s="1278"/>
      <c r="I56" s="552"/>
      <c r="K56" s="226"/>
      <c r="L56" s="226"/>
      <c r="M56" s="226"/>
      <c r="N56" s="226"/>
      <c r="O56" s="226"/>
      <c r="P56" s="226"/>
      <c r="Q56" s="226"/>
      <c r="R56" s="226"/>
      <c r="S56" s="226"/>
      <c r="T56" s="226"/>
      <c r="AC56" s="2"/>
      <c r="AD56" s="2"/>
      <c r="AE56" s="2"/>
      <c r="AF56" s="2"/>
      <c r="AK56" s="2"/>
      <c r="AL56" s="2"/>
      <c r="AM56" s="2"/>
      <c r="AN56" s="2"/>
      <c r="AO56" s="2"/>
    </row>
    <row r="57" spans="3:41" ht="29.25" hidden="1" customHeight="1" outlineLevel="1">
      <c r="C57" s="740"/>
      <c r="D57" s="2159"/>
      <c r="E57" s="742"/>
      <c r="F57" s="486"/>
      <c r="G57" s="272"/>
      <c r="H57" s="1278"/>
      <c r="I57" s="552"/>
      <c r="K57" s="226"/>
      <c r="L57" s="226"/>
      <c r="M57" s="226"/>
      <c r="N57" s="226"/>
      <c r="O57" s="226"/>
      <c r="P57" s="226"/>
      <c r="Q57" s="226"/>
      <c r="R57" s="226"/>
      <c r="S57" s="226"/>
      <c r="T57" s="226"/>
      <c r="AC57" s="2"/>
      <c r="AD57" s="2"/>
      <c r="AE57" s="2"/>
      <c r="AF57" s="2"/>
      <c r="AK57" s="2"/>
      <c r="AL57" s="2"/>
      <c r="AM57" s="2"/>
      <c r="AN57" s="2"/>
      <c r="AO57" s="2"/>
    </row>
    <row r="58" spans="3:41" ht="29.25" hidden="1" customHeight="1" outlineLevel="1">
      <c r="C58" s="740"/>
      <c r="D58" s="2159"/>
      <c r="E58" s="742"/>
      <c r="F58" s="486"/>
      <c r="G58" s="272"/>
      <c r="H58" s="1278"/>
      <c r="I58" s="552"/>
      <c r="K58" s="226"/>
      <c r="L58" s="226"/>
      <c r="M58" s="226"/>
      <c r="N58" s="226"/>
      <c r="O58" s="226"/>
      <c r="P58" s="226"/>
      <c r="Q58" s="226"/>
      <c r="R58" s="226"/>
      <c r="S58" s="226"/>
      <c r="T58" s="226"/>
      <c r="AC58" s="2"/>
      <c r="AD58" s="2"/>
      <c r="AE58" s="2"/>
      <c r="AF58" s="2"/>
      <c r="AK58" s="2"/>
      <c r="AL58" s="2"/>
      <c r="AM58" s="2"/>
      <c r="AN58" s="2"/>
      <c r="AO58" s="2"/>
    </row>
    <row r="59" spans="3:41" ht="29.25" hidden="1" customHeight="1" outlineLevel="1">
      <c r="C59" s="740"/>
      <c r="D59" s="2159"/>
      <c r="E59" s="742"/>
      <c r="F59" s="486"/>
      <c r="G59" s="272"/>
      <c r="H59" s="1278"/>
      <c r="I59" s="552"/>
      <c r="K59" s="226"/>
      <c r="L59" s="226"/>
      <c r="M59" s="226"/>
      <c r="N59" s="226"/>
      <c r="O59" s="226"/>
      <c r="P59" s="226"/>
      <c r="Q59" s="226"/>
      <c r="R59" s="226"/>
      <c r="S59" s="226"/>
      <c r="T59" s="226"/>
      <c r="AC59" s="2"/>
      <c r="AD59" s="2"/>
      <c r="AE59" s="2"/>
      <c r="AF59" s="2"/>
      <c r="AK59" s="2"/>
      <c r="AL59" s="2"/>
      <c r="AM59" s="2"/>
      <c r="AN59" s="2"/>
      <c r="AO59" s="2"/>
    </row>
    <row r="60" spans="3:41" ht="29.25" hidden="1" customHeight="1" outlineLevel="1">
      <c r="C60" s="740"/>
      <c r="D60" s="2159"/>
      <c r="E60" s="742"/>
      <c r="F60" s="486"/>
      <c r="G60" s="272"/>
      <c r="H60" s="1278"/>
      <c r="I60" s="552"/>
      <c r="K60" s="226"/>
      <c r="L60" s="226"/>
      <c r="M60" s="226"/>
      <c r="N60" s="226"/>
      <c r="O60" s="226"/>
      <c r="P60" s="226"/>
      <c r="Q60" s="226"/>
      <c r="R60" s="226"/>
      <c r="S60" s="226"/>
      <c r="T60" s="226"/>
      <c r="AC60" s="2"/>
      <c r="AD60" s="2"/>
      <c r="AE60" s="2"/>
      <c r="AF60" s="2"/>
      <c r="AK60" s="2"/>
      <c r="AL60" s="2"/>
      <c r="AM60" s="2"/>
      <c r="AN60" s="2"/>
      <c r="AO60" s="2"/>
    </row>
    <row r="61" spans="3:41" ht="29.25" hidden="1" customHeight="1" outlineLevel="1">
      <c r="C61" s="740"/>
      <c r="D61" s="2159"/>
      <c r="E61" s="742"/>
      <c r="F61" s="486"/>
      <c r="G61" s="272"/>
      <c r="H61" s="1278"/>
      <c r="I61" s="552"/>
      <c r="K61" s="226"/>
      <c r="L61" s="226"/>
      <c r="M61" s="226"/>
      <c r="N61" s="226"/>
      <c r="O61" s="226"/>
      <c r="P61" s="226"/>
      <c r="Q61" s="226"/>
      <c r="R61" s="226"/>
      <c r="S61" s="226"/>
      <c r="T61" s="226"/>
      <c r="AC61" s="2"/>
      <c r="AD61" s="2"/>
      <c r="AE61" s="2"/>
      <c r="AF61" s="2"/>
      <c r="AK61" s="2"/>
      <c r="AL61" s="2"/>
      <c r="AM61" s="2"/>
      <c r="AN61" s="2"/>
      <c r="AO61" s="2"/>
    </row>
    <row r="62" spans="3:41" ht="29.25" hidden="1" customHeight="1" outlineLevel="1">
      <c r="C62" s="740"/>
      <c r="D62" s="2159"/>
      <c r="E62" s="742"/>
      <c r="F62" s="486"/>
      <c r="G62" s="272"/>
      <c r="H62" s="1278"/>
      <c r="I62" s="552"/>
      <c r="K62" s="226"/>
      <c r="L62" s="226"/>
      <c r="M62" s="226"/>
      <c r="N62" s="226"/>
      <c r="O62" s="226"/>
      <c r="P62" s="226"/>
      <c r="Q62" s="226"/>
      <c r="R62" s="226"/>
      <c r="S62" s="226"/>
      <c r="T62" s="226"/>
      <c r="AC62" s="2"/>
      <c r="AD62" s="2"/>
      <c r="AE62" s="2"/>
      <c r="AF62" s="2"/>
      <c r="AK62" s="2"/>
      <c r="AL62" s="2"/>
      <c r="AM62" s="2"/>
      <c r="AN62" s="2"/>
      <c r="AO62" s="2"/>
    </row>
    <row r="63" spans="3:41" ht="29.25" hidden="1" customHeight="1" outlineLevel="1">
      <c r="C63" s="740"/>
      <c r="D63" s="2159"/>
      <c r="E63" s="742"/>
      <c r="F63" s="486"/>
      <c r="G63" s="272"/>
      <c r="H63" s="1278"/>
      <c r="I63" s="552"/>
      <c r="K63" s="226"/>
      <c r="L63" s="226"/>
      <c r="M63" s="226"/>
      <c r="N63" s="226"/>
      <c r="O63" s="226"/>
      <c r="P63" s="226"/>
      <c r="Q63" s="226"/>
      <c r="R63" s="226"/>
      <c r="S63" s="226"/>
      <c r="T63" s="226"/>
      <c r="AC63" s="2"/>
      <c r="AD63" s="2"/>
      <c r="AE63" s="2"/>
      <c r="AF63" s="2"/>
      <c r="AK63" s="2"/>
      <c r="AL63" s="2"/>
      <c r="AM63" s="2"/>
      <c r="AN63" s="2"/>
      <c r="AO63" s="2"/>
    </row>
    <row r="64" spans="3:41" ht="29.25" hidden="1" customHeight="1" outlineLevel="1">
      <c r="C64" s="740"/>
      <c r="D64" s="2159"/>
      <c r="E64" s="742"/>
      <c r="F64" s="486"/>
      <c r="G64" s="272"/>
      <c r="H64" s="1278"/>
      <c r="I64" s="552"/>
      <c r="K64" s="226"/>
      <c r="L64" s="226"/>
      <c r="M64" s="226"/>
      <c r="N64" s="226"/>
      <c r="O64" s="226"/>
      <c r="P64" s="226"/>
      <c r="Q64" s="226"/>
      <c r="R64" s="226"/>
      <c r="S64" s="226"/>
      <c r="T64" s="226"/>
      <c r="AC64" s="2"/>
      <c r="AD64" s="2"/>
      <c r="AE64" s="2"/>
      <c r="AF64" s="2"/>
      <c r="AK64" s="2"/>
      <c r="AL64" s="2"/>
      <c r="AM64" s="2"/>
      <c r="AN64" s="2"/>
      <c r="AO64" s="2"/>
    </row>
    <row r="65" spans="3:41" ht="29.25" hidden="1" customHeight="1" outlineLevel="1">
      <c r="C65" s="740"/>
      <c r="D65" s="2159"/>
      <c r="E65" s="742"/>
      <c r="F65" s="486"/>
      <c r="G65" s="272"/>
      <c r="H65" s="1278"/>
      <c r="I65" s="552"/>
      <c r="K65" s="226"/>
      <c r="L65" s="226"/>
      <c r="M65" s="226"/>
      <c r="N65" s="226"/>
      <c r="O65" s="226"/>
      <c r="P65" s="226"/>
      <c r="Q65" s="226"/>
      <c r="R65" s="226"/>
      <c r="S65" s="226"/>
      <c r="T65" s="226"/>
      <c r="AC65" s="2"/>
      <c r="AD65" s="2"/>
      <c r="AE65" s="2"/>
      <c r="AF65" s="2"/>
      <c r="AK65" s="2"/>
      <c r="AL65" s="2"/>
      <c r="AM65" s="2"/>
      <c r="AN65" s="2"/>
      <c r="AO65" s="2"/>
    </row>
    <row r="66" spans="3:41" ht="29.25" hidden="1" customHeight="1" outlineLevel="1">
      <c r="C66" s="740"/>
      <c r="D66" s="2159"/>
      <c r="E66" s="742"/>
      <c r="F66" s="486"/>
      <c r="G66" s="272"/>
      <c r="H66" s="1278"/>
      <c r="I66" s="552"/>
      <c r="K66" s="226"/>
      <c r="L66" s="226"/>
      <c r="M66" s="226"/>
      <c r="N66" s="226"/>
      <c r="O66" s="226"/>
      <c r="P66" s="226"/>
      <c r="Q66" s="226"/>
      <c r="R66" s="226"/>
      <c r="S66" s="226"/>
      <c r="T66" s="226"/>
      <c r="AC66" s="2"/>
      <c r="AD66" s="2"/>
      <c r="AE66" s="2"/>
      <c r="AF66" s="2"/>
      <c r="AK66" s="2"/>
      <c r="AL66" s="2"/>
      <c r="AM66" s="2"/>
      <c r="AN66" s="2"/>
      <c r="AO66" s="2"/>
    </row>
    <row r="67" spans="3:41" ht="29.25" hidden="1" customHeight="1" outlineLevel="1">
      <c r="C67" s="740"/>
      <c r="D67" s="2159"/>
      <c r="E67" s="742"/>
      <c r="F67" s="486"/>
      <c r="G67" s="272"/>
      <c r="H67" s="1278"/>
      <c r="I67" s="552"/>
      <c r="K67" s="226"/>
      <c r="L67" s="226"/>
      <c r="M67" s="226"/>
      <c r="N67" s="226"/>
      <c r="O67" s="226"/>
      <c r="P67" s="226"/>
      <c r="Q67" s="226"/>
      <c r="R67" s="226"/>
      <c r="S67" s="226"/>
      <c r="T67" s="226"/>
      <c r="AC67" s="2"/>
      <c r="AD67" s="2"/>
      <c r="AE67" s="2"/>
      <c r="AF67" s="2"/>
      <c r="AK67" s="2"/>
      <c r="AL67" s="2"/>
      <c r="AM67" s="2"/>
      <c r="AN67" s="2"/>
      <c r="AO67" s="2"/>
    </row>
    <row r="68" spans="3:41" ht="29.25" hidden="1" customHeight="1" outlineLevel="1">
      <c r="C68" s="740"/>
      <c r="D68" s="2159"/>
      <c r="E68" s="742"/>
      <c r="F68" s="484"/>
      <c r="G68" s="272"/>
      <c r="H68" s="1278"/>
      <c r="I68" s="552"/>
      <c r="K68" s="226"/>
      <c r="L68" s="226"/>
      <c r="M68" s="226"/>
      <c r="N68" s="226"/>
      <c r="O68" s="226"/>
      <c r="P68" s="226"/>
      <c r="Q68" s="226"/>
      <c r="R68" s="226"/>
      <c r="S68" s="226"/>
      <c r="T68" s="226"/>
      <c r="AC68" s="2"/>
      <c r="AD68" s="2"/>
      <c r="AE68" s="2"/>
      <c r="AF68" s="2"/>
      <c r="AK68" s="2"/>
      <c r="AL68" s="2"/>
      <c r="AM68" s="2"/>
      <c r="AN68" s="2"/>
      <c r="AO68" s="2"/>
    </row>
    <row r="69" spans="3:41" ht="29.25" customHeight="1">
      <c r="C69" s="740"/>
      <c r="D69" s="2147" t="s">
        <v>520</v>
      </c>
      <c r="E69" s="745"/>
      <c r="F69" s="1901"/>
      <c r="G69" s="1902"/>
      <c r="H69" s="1903"/>
      <c r="I69" s="552"/>
      <c r="K69" s="226"/>
      <c r="L69" s="226"/>
      <c r="M69" s="226"/>
      <c r="N69" s="226"/>
      <c r="O69" s="226"/>
      <c r="P69" s="226"/>
      <c r="Q69" s="226"/>
      <c r="R69" s="226"/>
      <c r="S69" s="226"/>
      <c r="T69" s="226"/>
      <c r="AC69" s="2"/>
      <c r="AD69" s="2"/>
      <c r="AE69" s="2"/>
      <c r="AF69" s="2"/>
      <c r="AK69" s="2"/>
      <c r="AL69" s="2"/>
      <c r="AM69" s="2"/>
      <c r="AN69" s="2"/>
      <c r="AO69" s="2"/>
    </row>
    <row r="70" spans="3:41" ht="29.25" customHeight="1">
      <c r="C70" s="740"/>
      <c r="D70" s="2148"/>
      <c r="E70" s="742"/>
      <c r="F70" s="528"/>
      <c r="G70" s="743"/>
      <c r="H70" s="1280"/>
      <c r="I70" s="552"/>
      <c r="K70" s="226"/>
      <c r="L70" s="226"/>
      <c r="M70" s="226"/>
      <c r="N70" s="226"/>
      <c r="O70" s="226"/>
      <c r="P70" s="226"/>
      <c r="Q70" s="226"/>
      <c r="R70" s="226"/>
      <c r="S70" s="226"/>
      <c r="T70" s="226"/>
      <c r="AC70" s="2"/>
      <c r="AD70" s="2"/>
      <c r="AE70" s="2"/>
      <c r="AF70" s="2"/>
      <c r="AK70" s="2"/>
      <c r="AL70" s="2"/>
      <c r="AM70" s="2"/>
      <c r="AN70" s="2"/>
      <c r="AO70" s="2"/>
    </row>
    <row r="71" spans="3:41" ht="29.25" customHeight="1">
      <c r="C71" s="740"/>
      <c r="D71" s="2148"/>
      <c r="E71" s="742"/>
      <c r="F71" s="528"/>
      <c r="G71" s="272"/>
      <c r="H71" s="1278"/>
      <c r="I71" s="552"/>
      <c r="K71" s="226"/>
      <c r="L71" s="226"/>
      <c r="M71" s="226"/>
      <c r="N71" s="226"/>
      <c r="O71" s="226"/>
      <c r="P71" s="226"/>
      <c r="Q71" s="226"/>
      <c r="R71" s="226"/>
      <c r="S71" s="226"/>
      <c r="T71" s="226"/>
    </row>
    <row r="72" spans="3:41" ht="29.25" customHeight="1">
      <c r="C72" s="740"/>
      <c r="D72" s="2148"/>
      <c r="E72" s="742"/>
      <c r="F72" s="411"/>
      <c r="G72" s="257"/>
      <c r="H72" s="1281"/>
      <c r="I72" s="552"/>
      <c r="K72" s="226"/>
      <c r="L72" s="226"/>
      <c r="M72" s="226"/>
      <c r="N72" s="226"/>
      <c r="O72" s="226"/>
      <c r="P72" s="226"/>
      <c r="Q72" s="226"/>
      <c r="R72" s="226"/>
      <c r="S72" s="226"/>
      <c r="T72" s="226"/>
    </row>
    <row r="73" spans="3:41" ht="29.25" customHeight="1" collapsed="1">
      <c r="C73" s="740"/>
      <c r="D73" s="2148"/>
      <c r="E73" s="742"/>
      <c r="F73" s="528"/>
      <c r="G73" s="272"/>
      <c r="H73" s="1278"/>
      <c r="I73" s="552"/>
      <c r="K73" s="226"/>
      <c r="L73" s="226"/>
      <c r="M73" s="226"/>
      <c r="N73" s="226"/>
      <c r="O73" s="226"/>
      <c r="P73" s="226"/>
      <c r="Q73" s="226"/>
      <c r="R73" s="226"/>
      <c r="S73" s="226"/>
      <c r="T73" s="226"/>
      <c r="AC73" s="2"/>
      <c r="AD73" s="2"/>
      <c r="AE73" s="2"/>
      <c r="AF73" s="2"/>
    </row>
    <row r="74" spans="3:41" ht="29.25" hidden="1" customHeight="1" outlineLevel="1">
      <c r="C74" s="740"/>
      <c r="D74" s="2148"/>
      <c r="E74" s="742"/>
      <c r="F74" s="411"/>
      <c r="G74" s="257"/>
      <c r="H74" s="1281"/>
      <c r="I74" s="552"/>
      <c r="K74" s="226"/>
      <c r="L74" s="226"/>
      <c r="M74" s="226"/>
      <c r="N74" s="226"/>
      <c r="O74" s="226"/>
      <c r="P74" s="226"/>
      <c r="Q74" s="226"/>
      <c r="R74" s="226"/>
      <c r="S74" s="226"/>
      <c r="T74" s="226"/>
    </row>
    <row r="75" spans="3:41" ht="29.25" hidden="1" customHeight="1" outlineLevel="1">
      <c r="C75" s="740"/>
      <c r="D75" s="2148"/>
      <c r="E75" s="742"/>
      <c r="F75" s="528"/>
      <c r="G75" s="272"/>
      <c r="H75" s="1278"/>
      <c r="I75" s="552"/>
      <c r="K75" s="226"/>
      <c r="L75" s="226"/>
      <c r="M75" s="226"/>
      <c r="N75" s="226"/>
      <c r="O75" s="226"/>
      <c r="P75" s="226"/>
      <c r="Q75" s="226"/>
      <c r="R75" s="226"/>
      <c r="S75" s="226"/>
      <c r="T75" s="226"/>
      <c r="AC75" s="2"/>
      <c r="AD75" s="2"/>
      <c r="AE75" s="2"/>
      <c r="AF75" s="2"/>
    </row>
    <row r="76" spans="3:41" ht="29.25" hidden="1" customHeight="1" outlineLevel="1">
      <c r="C76" s="740"/>
      <c r="D76" s="2148"/>
      <c r="E76" s="742"/>
      <c r="F76" s="411"/>
      <c r="G76" s="257"/>
      <c r="H76" s="1281"/>
      <c r="I76" s="552"/>
      <c r="K76" s="226"/>
      <c r="L76" s="226"/>
      <c r="M76" s="226"/>
      <c r="N76" s="226"/>
      <c r="O76" s="226"/>
      <c r="P76" s="226"/>
      <c r="Q76" s="226"/>
      <c r="R76" s="226"/>
      <c r="S76" s="226"/>
      <c r="T76" s="226"/>
    </row>
    <row r="77" spans="3:41" ht="29.25" hidden="1" customHeight="1" outlineLevel="1">
      <c r="C77" s="740"/>
      <c r="D77" s="2148"/>
      <c r="E77" s="742"/>
      <c r="F77" s="528"/>
      <c r="G77" s="272"/>
      <c r="H77" s="1278"/>
      <c r="I77" s="552"/>
      <c r="K77" s="226"/>
      <c r="L77" s="226"/>
      <c r="M77" s="226"/>
      <c r="N77" s="226"/>
      <c r="O77" s="226"/>
      <c r="P77" s="226"/>
      <c r="Q77" s="226"/>
      <c r="R77" s="226"/>
      <c r="S77" s="226"/>
      <c r="T77" s="226"/>
      <c r="AC77" s="2"/>
      <c r="AD77" s="2"/>
      <c r="AE77" s="2"/>
      <c r="AF77" s="2"/>
    </row>
    <row r="78" spans="3:41" ht="29.25" hidden="1" customHeight="1" outlineLevel="1">
      <c r="C78" s="740"/>
      <c r="D78" s="2148"/>
      <c r="E78" s="742"/>
      <c r="F78" s="411"/>
      <c r="G78" s="257"/>
      <c r="H78" s="1281"/>
      <c r="I78" s="552"/>
      <c r="K78" s="226"/>
      <c r="L78" s="226"/>
      <c r="M78" s="226"/>
      <c r="N78" s="226"/>
      <c r="O78" s="226"/>
      <c r="P78" s="226"/>
      <c r="Q78" s="226"/>
      <c r="R78" s="226"/>
      <c r="S78" s="226"/>
      <c r="T78" s="226"/>
    </row>
    <row r="79" spans="3:41" ht="29.25" hidden="1" customHeight="1" outlineLevel="1">
      <c r="C79" s="740"/>
      <c r="D79" s="2148"/>
      <c r="E79" s="742"/>
      <c r="F79" s="528"/>
      <c r="G79" s="272"/>
      <c r="H79" s="1278"/>
      <c r="I79" s="552"/>
      <c r="K79" s="226"/>
      <c r="L79" s="226"/>
      <c r="M79" s="226"/>
      <c r="N79" s="226"/>
      <c r="O79" s="226"/>
      <c r="P79" s="226"/>
      <c r="Q79" s="226"/>
      <c r="R79" s="226"/>
      <c r="S79" s="226"/>
      <c r="T79" s="226"/>
      <c r="AC79" s="2"/>
      <c r="AD79" s="2"/>
      <c r="AE79" s="2"/>
      <c r="AF79" s="2"/>
    </row>
    <row r="80" spans="3:41" ht="29.25" hidden="1" customHeight="1" outlineLevel="1">
      <c r="C80" s="740"/>
      <c r="D80" s="2148"/>
      <c r="E80" s="742"/>
      <c r="F80" s="411"/>
      <c r="G80" s="257"/>
      <c r="H80" s="1281"/>
      <c r="I80" s="552"/>
      <c r="K80" s="226"/>
      <c r="L80" s="226"/>
      <c r="M80" s="226"/>
      <c r="N80" s="226"/>
      <c r="O80" s="226"/>
      <c r="P80" s="226"/>
      <c r="Q80" s="226"/>
      <c r="R80" s="226"/>
      <c r="S80" s="226"/>
      <c r="T80" s="226"/>
    </row>
    <row r="81" spans="3:32" ht="29.25" hidden="1" customHeight="1" outlineLevel="1">
      <c r="C81" s="740"/>
      <c r="D81" s="2148"/>
      <c r="E81" s="742"/>
      <c r="F81" s="528"/>
      <c r="G81" s="272"/>
      <c r="H81" s="1278"/>
      <c r="I81" s="552"/>
      <c r="K81" s="226"/>
      <c r="L81" s="226"/>
      <c r="M81" s="226"/>
      <c r="N81" s="226"/>
      <c r="O81" s="226"/>
      <c r="P81" s="226"/>
      <c r="Q81" s="226"/>
      <c r="R81" s="226"/>
      <c r="S81" s="226"/>
      <c r="T81" s="226"/>
      <c r="AC81" s="2"/>
      <c r="AD81" s="2"/>
      <c r="AE81" s="2"/>
      <c r="AF81" s="2"/>
    </row>
    <row r="82" spans="3:32" ht="29.25" hidden="1" customHeight="1" outlineLevel="1">
      <c r="C82" s="740"/>
      <c r="D82" s="2148"/>
      <c r="E82" s="742"/>
      <c r="F82" s="411"/>
      <c r="G82" s="257"/>
      <c r="H82" s="1281"/>
      <c r="I82" s="552"/>
      <c r="K82" s="226"/>
      <c r="L82" s="226"/>
      <c r="M82" s="226"/>
      <c r="N82" s="226"/>
      <c r="O82" s="226"/>
      <c r="P82" s="226"/>
      <c r="Q82" s="226"/>
      <c r="R82" s="226"/>
      <c r="S82" s="226"/>
      <c r="T82" s="226"/>
    </row>
    <row r="83" spans="3:32" ht="29.25" hidden="1" customHeight="1" outlineLevel="1">
      <c r="C83" s="740"/>
      <c r="D83" s="2148"/>
      <c r="E83" s="742"/>
      <c r="F83" s="528"/>
      <c r="G83" s="272"/>
      <c r="H83" s="1278"/>
      <c r="I83" s="552"/>
      <c r="K83" s="226"/>
      <c r="L83" s="226"/>
      <c r="M83" s="226"/>
      <c r="N83" s="226"/>
      <c r="O83" s="226"/>
      <c r="P83" s="226"/>
      <c r="Q83" s="226"/>
      <c r="R83" s="226"/>
      <c r="S83" s="226"/>
      <c r="T83" s="226"/>
      <c r="AC83" s="2"/>
      <c r="AD83" s="2"/>
      <c r="AE83" s="2"/>
      <c r="AF83" s="2"/>
    </row>
    <row r="84" spans="3:32" ht="29.25" hidden="1" customHeight="1" outlineLevel="1">
      <c r="C84" s="740"/>
      <c r="D84" s="2148"/>
      <c r="E84" s="742"/>
      <c r="F84" s="411"/>
      <c r="G84" s="257"/>
      <c r="H84" s="1281"/>
      <c r="I84" s="552"/>
      <c r="K84" s="226"/>
      <c r="L84" s="226"/>
      <c r="M84" s="226"/>
      <c r="N84" s="226"/>
      <c r="O84" s="226"/>
      <c r="P84" s="226"/>
      <c r="Q84" s="226"/>
      <c r="R84" s="226"/>
      <c r="S84" s="226"/>
      <c r="T84" s="226"/>
    </row>
    <row r="85" spans="3:32" ht="29.25" hidden="1" customHeight="1" outlineLevel="1">
      <c r="C85" s="740"/>
      <c r="D85" s="2148"/>
      <c r="E85" s="742"/>
      <c r="F85" s="528"/>
      <c r="G85" s="272"/>
      <c r="H85" s="1278"/>
      <c r="I85" s="552"/>
      <c r="K85" s="226"/>
      <c r="L85" s="226"/>
      <c r="M85" s="226"/>
      <c r="N85" s="226"/>
      <c r="O85" s="226"/>
      <c r="P85" s="226"/>
      <c r="Q85" s="226"/>
      <c r="R85" s="226"/>
      <c r="S85" s="226"/>
      <c r="T85" s="226"/>
      <c r="AC85" s="2"/>
      <c r="AD85" s="2"/>
      <c r="AE85" s="2"/>
      <c r="AF85" s="2"/>
    </row>
    <row r="86" spans="3:32" ht="29.25" hidden="1" customHeight="1" outlineLevel="1">
      <c r="C86" s="740"/>
      <c r="D86" s="2148"/>
      <c r="E86" s="742"/>
      <c r="F86" s="411"/>
      <c r="G86" s="257"/>
      <c r="H86" s="1281"/>
      <c r="I86" s="552"/>
      <c r="K86" s="226"/>
      <c r="L86" s="226"/>
      <c r="M86" s="226"/>
      <c r="N86" s="226"/>
      <c r="O86" s="226"/>
      <c r="P86" s="226"/>
      <c r="Q86" s="226"/>
      <c r="R86" s="226"/>
      <c r="S86" s="226"/>
      <c r="T86" s="226"/>
    </row>
    <row r="87" spans="3:32" ht="29.25" hidden="1" customHeight="1" outlineLevel="1">
      <c r="C87" s="740"/>
      <c r="D87" s="2148"/>
      <c r="E87" s="742"/>
      <c r="F87" s="528"/>
      <c r="G87" s="272"/>
      <c r="H87" s="1278"/>
      <c r="I87" s="552"/>
      <c r="K87" s="226"/>
      <c r="L87" s="226"/>
      <c r="M87" s="226"/>
      <c r="N87" s="226"/>
      <c r="O87" s="226"/>
      <c r="P87" s="226"/>
      <c r="Q87" s="226"/>
      <c r="R87" s="226"/>
      <c r="S87" s="226"/>
      <c r="T87" s="226"/>
      <c r="AC87" s="2"/>
      <c r="AD87" s="2"/>
      <c r="AE87" s="2"/>
      <c r="AF87" s="2"/>
    </row>
    <row r="88" spans="3:32" ht="29.25" hidden="1" customHeight="1" outlineLevel="1">
      <c r="C88" s="740"/>
      <c r="D88" s="2148"/>
      <c r="E88" s="742"/>
      <c r="F88" s="411"/>
      <c r="G88" s="257"/>
      <c r="H88" s="1281"/>
      <c r="I88" s="552"/>
      <c r="K88" s="226"/>
      <c r="L88" s="226"/>
      <c r="M88" s="226"/>
      <c r="N88" s="226"/>
      <c r="O88" s="226"/>
      <c r="P88" s="226"/>
      <c r="Q88" s="226"/>
      <c r="R88" s="226"/>
      <c r="S88" s="226"/>
      <c r="T88" s="226"/>
    </row>
    <row r="89" spans="3:32" ht="29.25" hidden="1" customHeight="1" outlineLevel="1">
      <c r="C89" s="740"/>
      <c r="D89" s="2148"/>
      <c r="E89" s="742"/>
      <c r="F89" s="528"/>
      <c r="G89" s="272"/>
      <c r="H89" s="1278"/>
      <c r="I89" s="552"/>
      <c r="K89" s="226"/>
      <c r="L89" s="226"/>
      <c r="M89" s="226"/>
      <c r="N89" s="226"/>
      <c r="O89" s="226"/>
      <c r="P89" s="226"/>
      <c r="Q89" s="226"/>
      <c r="R89" s="226"/>
      <c r="S89" s="226"/>
      <c r="T89" s="226"/>
      <c r="AC89" s="2"/>
      <c r="AD89" s="2"/>
      <c r="AE89" s="2"/>
      <c r="AF89" s="2"/>
    </row>
    <row r="90" spans="3:32" ht="29.25" hidden="1" customHeight="1" outlineLevel="1">
      <c r="C90" s="740"/>
      <c r="D90" s="2148"/>
      <c r="E90" s="742"/>
      <c r="F90" s="411"/>
      <c r="G90" s="257"/>
      <c r="H90" s="1281"/>
      <c r="I90" s="552"/>
      <c r="K90" s="226"/>
      <c r="L90" s="226"/>
      <c r="M90" s="226"/>
      <c r="N90" s="226"/>
      <c r="O90" s="226"/>
      <c r="P90" s="226"/>
      <c r="Q90" s="226"/>
      <c r="R90" s="226"/>
      <c r="S90" s="226"/>
      <c r="T90" s="226"/>
    </row>
    <row r="91" spans="3:32" ht="29.25" hidden="1" customHeight="1" outlineLevel="1">
      <c r="C91" s="740"/>
      <c r="D91" s="2148"/>
      <c r="E91" s="742"/>
      <c r="F91" s="528"/>
      <c r="G91" s="272"/>
      <c r="H91" s="1278"/>
      <c r="I91" s="552"/>
      <c r="K91" s="226"/>
      <c r="L91" s="226"/>
      <c r="M91" s="226"/>
      <c r="N91" s="226"/>
      <c r="O91" s="226"/>
      <c r="P91" s="226"/>
      <c r="Q91" s="226"/>
      <c r="R91" s="226"/>
      <c r="S91" s="226"/>
      <c r="T91" s="226"/>
      <c r="AC91" s="2"/>
      <c r="AD91" s="2"/>
      <c r="AE91" s="2"/>
      <c r="AF91" s="2"/>
    </row>
    <row r="92" spans="3:32" ht="29.25" hidden="1" customHeight="1" outlineLevel="1">
      <c r="C92" s="740"/>
      <c r="D92" s="2148"/>
      <c r="E92" s="742"/>
      <c r="F92" s="411"/>
      <c r="G92" s="257"/>
      <c r="H92" s="1281"/>
      <c r="I92" s="552"/>
      <c r="K92" s="226"/>
      <c r="L92" s="226"/>
      <c r="M92" s="226"/>
      <c r="N92" s="226"/>
      <c r="O92" s="226"/>
      <c r="P92" s="226"/>
      <c r="Q92" s="226"/>
      <c r="R92" s="226"/>
      <c r="S92" s="226"/>
      <c r="T92" s="226"/>
    </row>
    <row r="93" spans="3:32" ht="29.25" hidden="1" customHeight="1" outlineLevel="1">
      <c r="C93" s="740"/>
      <c r="D93" s="2148"/>
      <c r="E93" s="742"/>
      <c r="F93" s="528"/>
      <c r="G93" s="272"/>
      <c r="H93" s="1278"/>
      <c r="I93" s="552"/>
      <c r="K93" s="226"/>
      <c r="L93" s="226"/>
      <c r="M93" s="226"/>
      <c r="N93" s="226"/>
      <c r="O93" s="226"/>
      <c r="P93" s="226"/>
      <c r="Q93" s="226"/>
      <c r="R93" s="226"/>
      <c r="S93" s="226"/>
      <c r="T93" s="226"/>
      <c r="AC93" s="2"/>
      <c r="AD93" s="2"/>
      <c r="AE93" s="2"/>
      <c r="AF93" s="2"/>
    </row>
    <row r="94" spans="3:32" ht="29.25" hidden="1" customHeight="1" outlineLevel="1">
      <c r="C94" s="740"/>
      <c r="D94" s="2148"/>
      <c r="E94" s="742"/>
      <c r="F94" s="411"/>
      <c r="G94" s="257"/>
      <c r="H94" s="1281"/>
      <c r="I94" s="552"/>
      <c r="K94" s="226"/>
      <c r="L94" s="226"/>
      <c r="M94" s="226"/>
      <c r="N94" s="226"/>
      <c r="O94" s="226"/>
      <c r="P94" s="226"/>
      <c r="Q94" s="226"/>
      <c r="R94" s="226"/>
      <c r="S94" s="226"/>
      <c r="T94" s="226"/>
    </row>
    <row r="95" spans="3:32" ht="29.25" hidden="1" customHeight="1" outlineLevel="1">
      <c r="C95" s="740"/>
      <c r="D95" s="2148"/>
      <c r="E95" s="742"/>
      <c r="F95" s="528"/>
      <c r="G95" s="272"/>
      <c r="H95" s="1278"/>
      <c r="I95" s="552"/>
      <c r="K95" s="226"/>
      <c r="L95" s="226"/>
      <c r="M95" s="226"/>
      <c r="N95" s="226"/>
      <c r="O95" s="226"/>
      <c r="P95" s="226"/>
      <c r="Q95" s="226"/>
      <c r="R95" s="226"/>
      <c r="S95" s="226"/>
      <c r="T95" s="226"/>
      <c r="AC95" s="2"/>
      <c r="AD95" s="2"/>
      <c r="AE95" s="2"/>
      <c r="AF95" s="2"/>
    </row>
    <row r="96" spans="3:32" ht="29.25" hidden="1" customHeight="1" outlineLevel="1">
      <c r="C96" s="740"/>
      <c r="D96" s="2148"/>
      <c r="E96" s="742"/>
      <c r="F96" s="411"/>
      <c r="G96" s="257"/>
      <c r="H96" s="1281"/>
      <c r="I96" s="552"/>
      <c r="K96" s="226"/>
      <c r="L96" s="226"/>
      <c r="M96" s="226"/>
      <c r="N96" s="226"/>
      <c r="O96" s="226"/>
      <c r="P96" s="226"/>
      <c r="Q96" s="226"/>
      <c r="R96" s="226"/>
      <c r="S96" s="226"/>
      <c r="T96" s="226"/>
    </row>
    <row r="97" spans="1:32" ht="29.25" hidden="1" customHeight="1" outlineLevel="1">
      <c r="C97" s="740"/>
      <c r="D97" s="2148"/>
      <c r="E97" s="742"/>
      <c r="F97" s="528"/>
      <c r="G97" s="272"/>
      <c r="H97" s="1278"/>
      <c r="I97" s="552"/>
      <c r="K97" s="226"/>
      <c r="L97" s="226"/>
      <c r="M97" s="226"/>
      <c r="N97" s="226"/>
      <c r="O97" s="226"/>
      <c r="P97" s="226"/>
      <c r="Q97" s="226"/>
      <c r="R97" s="226"/>
      <c r="S97" s="226"/>
      <c r="T97" s="226"/>
      <c r="AC97" s="2"/>
      <c r="AD97" s="2"/>
      <c r="AE97" s="2"/>
      <c r="AF97" s="2"/>
    </row>
    <row r="98" spans="1:32" ht="29.25" hidden="1" customHeight="1" outlineLevel="1">
      <c r="C98" s="740"/>
      <c r="D98" s="2148"/>
      <c r="E98" s="742"/>
      <c r="F98" s="411"/>
      <c r="G98" s="257"/>
      <c r="H98" s="1281"/>
      <c r="I98" s="552"/>
      <c r="K98" s="226"/>
      <c r="L98" s="226"/>
      <c r="M98" s="226"/>
      <c r="N98" s="226"/>
      <c r="O98" s="226"/>
      <c r="P98" s="226"/>
      <c r="Q98" s="226"/>
      <c r="R98" s="226"/>
      <c r="S98" s="226"/>
      <c r="T98" s="226"/>
    </row>
    <row r="99" spans="1:32" ht="29.25" hidden="1" customHeight="1" outlineLevel="1">
      <c r="C99" s="740"/>
      <c r="D99" s="2149"/>
      <c r="E99" s="742"/>
      <c r="F99" s="406"/>
      <c r="G99" s="272"/>
      <c r="H99" s="1278"/>
      <c r="I99" s="552"/>
      <c r="K99" s="226"/>
      <c r="L99" s="226"/>
      <c r="M99" s="226"/>
      <c r="N99" s="226"/>
      <c r="O99" s="226"/>
      <c r="P99" s="226"/>
      <c r="Q99" s="226"/>
      <c r="R99" s="226"/>
      <c r="S99" s="226"/>
      <c r="T99" s="226"/>
      <c r="AC99" s="2"/>
      <c r="AD99" s="2"/>
      <c r="AE99" s="2"/>
      <c r="AF99" s="2"/>
    </row>
    <row r="100" spans="1:32" ht="29.25" customHeight="1" thickBot="1">
      <c r="C100" s="746"/>
      <c r="D100" s="2150" t="s">
        <v>519</v>
      </c>
      <c r="E100" s="2151"/>
      <c r="F100" s="747"/>
      <c r="G100" s="748"/>
      <c r="H100" s="1282"/>
      <c r="I100" s="552"/>
      <c r="K100" s="226"/>
      <c r="L100" s="226"/>
      <c r="M100" s="226"/>
      <c r="N100" s="226"/>
      <c r="O100" s="226"/>
      <c r="P100" s="226"/>
      <c r="Q100" s="226"/>
      <c r="R100" s="226"/>
      <c r="S100" s="226"/>
      <c r="T100" s="226"/>
    </row>
    <row r="101" spans="1:32" ht="18" customHeight="1">
      <c r="C101" s="229" t="s">
        <v>521</v>
      </c>
      <c r="D101" s="229"/>
      <c r="E101" s="749"/>
      <c r="F101" s="170"/>
      <c r="G101" s="170"/>
      <c r="H101" s="293"/>
      <c r="I101" s="293"/>
      <c r="J101" s="750"/>
      <c r="K101" s="726"/>
      <c r="L101" s="749"/>
      <c r="M101" s="293"/>
      <c r="N101" s="726"/>
      <c r="O101" s="749"/>
      <c r="P101" s="293"/>
    </row>
    <row r="102" spans="1:32" ht="30" customHeight="1">
      <c r="A102" s="2"/>
    </row>
    <row r="103" spans="1:32" ht="14.1" customHeight="1"/>
    <row r="104" spans="1:32" ht="14.1" customHeight="1"/>
    <row r="105" spans="1:32" ht="14.1" customHeight="1"/>
  </sheetData>
  <sheetProtection sheet="1" objects="1" scenarios="1" selectLockedCells="1"/>
  <mergeCells count="52">
    <mergeCell ref="D69:D99"/>
    <mergeCell ref="F69:H69"/>
    <mergeCell ref="D100:E100"/>
    <mergeCell ref="AF36:AF37"/>
    <mergeCell ref="AG36:AG37"/>
    <mergeCell ref="C37:E37"/>
    <mergeCell ref="D38:D68"/>
    <mergeCell ref="F38:H38"/>
    <mergeCell ref="AC38:AE38"/>
    <mergeCell ref="AC39:AE39"/>
    <mergeCell ref="AC40:AE40"/>
    <mergeCell ref="AC41:AE41"/>
    <mergeCell ref="D25:E25"/>
    <mergeCell ref="AC25:AE25"/>
    <mergeCell ref="D26:E26"/>
    <mergeCell ref="AC26:AE26"/>
    <mergeCell ref="C34:E36"/>
    <mergeCell ref="F34:F36"/>
    <mergeCell ref="G34:G36"/>
    <mergeCell ref="H34:H36"/>
    <mergeCell ref="AC36:AE37"/>
    <mergeCell ref="AF20:AF22"/>
    <mergeCell ref="AI20:AI22"/>
    <mergeCell ref="AJ20:AJ22"/>
    <mergeCell ref="C23:E23"/>
    <mergeCell ref="AC23:AE23"/>
    <mergeCell ref="D24:E24"/>
    <mergeCell ref="AC24:AE24"/>
    <mergeCell ref="C15:E15"/>
    <mergeCell ref="AC15:AE15"/>
    <mergeCell ref="C16:E16"/>
    <mergeCell ref="AC16:AE16"/>
    <mergeCell ref="AC17:AE17"/>
    <mergeCell ref="C20:E22"/>
    <mergeCell ref="F20:F22"/>
    <mergeCell ref="G20:G22"/>
    <mergeCell ref="AC20:AE22"/>
    <mergeCell ref="C12:E12"/>
    <mergeCell ref="AC12:AE12"/>
    <mergeCell ref="C13:E13"/>
    <mergeCell ref="AC13:AE13"/>
    <mergeCell ref="C14:E14"/>
    <mergeCell ref="AC14:AE14"/>
    <mergeCell ref="C8:E11"/>
    <mergeCell ref="F8:G9"/>
    <mergeCell ref="H8:H11"/>
    <mergeCell ref="AC8:AE11"/>
    <mergeCell ref="AF8:AG9"/>
    <mergeCell ref="F10:F11"/>
    <mergeCell ref="G10:G11"/>
    <mergeCell ref="AF10:AF11"/>
    <mergeCell ref="AG10:AG11"/>
  </mergeCells>
  <phoneticPr fontId="5"/>
  <dataValidations count="3">
    <dataValidation type="textLength" imeMode="hiragana" operator="greaterThanOrEqual" allowBlank="1" showInputMessage="1" showErrorMessage="1" sqref="E39:E68 E70:E99" xr:uid="{00000000-0002-0000-0F00-000000000000}">
      <formula1>1</formula1>
    </dataValidation>
    <dataValidation type="whole" operator="greaterThan" allowBlank="1" showInputMessage="1" showErrorMessage="1" error="0より大きい数値を整数で入力してください。" sqref="F12:G16 F23:F26 F37:G37 F39:G68 F70:G100" xr:uid="{00000000-0002-0000-0F00-000001000000}">
      <formula1>0</formula1>
    </dataValidation>
    <dataValidation type="custom" allowBlank="1" showInputMessage="1" showErrorMessage="1" error="0.001~100の範囲で小数点第３位までの数値を入力してください。" sqref="H12:H16 G23:G26 H37 H39:H68 H70:H100" xr:uid="{00000000-0002-0000-0F00-000002000000}">
      <formula1>AND(AND(G12*1000=INT(G12*1000)),(G12&gt;0),(G12&lt;=100))</formula1>
    </dataValidation>
  </dataValidations>
  <pageMargins left="0.59055118110236227" right="0.59055118110236227" top="0.59055118110236227" bottom="0.59055118110236227" header="0" footer="0"/>
  <pageSetup paperSize="9" scale="37" orientation="portrait" cellComments="asDisplayed" r:id="rId1"/>
  <headerFooter alignWithMargins="0"/>
  <drawing r:id="rId2"/>
  <legacyDrawing r:id="rId3"/>
  <controls>
    <mc:AlternateContent xmlns:mc="http://schemas.openxmlformats.org/markup-compatibility/2006">
      <mc:Choice Requires="x14">
        <control shapeId="13319" r:id="rId4" name="txt_chouki">
          <controlPr locked="0" defaultSize="0" print="0" autoLine="0" r:id="rId5">
            <anchor moveWithCells="1">
              <from>
                <xdr:col>15</xdr:col>
                <xdr:colOff>76200</xdr:colOff>
                <xdr:row>36</xdr:row>
                <xdr:rowOff>219075</xdr:rowOff>
              </from>
              <to>
                <xdr:col>18</xdr:col>
                <xdr:colOff>9525</xdr:colOff>
                <xdr:row>37</xdr:row>
                <xdr:rowOff>9525</xdr:rowOff>
              </to>
            </anchor>
          </controlPr>
        </control>
      </mc:Choice>
      <mc:Fallback>
        <control shapeId="13319" r:id="rId4" name="txt_chouki"/>
      </mc:Fallback>
    </mc:AlternateContent>
    <mc:AlternateContent xmlns:mc="http://schemas.openxmlformats.org/markup-compatibility/2006">
      <mc:Choice Requires="x14">
        <control shapeId="13318" r:id="rId6" name="Label4">
          <controlPr defaultSize="0" print="0" autoLine="0" r:id="rId7">
            <anchor moveWithCells="1">
              <from>
                <xdr:col>15</xdr:col>
                <xdr:colOff>76200</xdr:colOff>
                <xdr:row>36</xdr:row>
                <xdr:rowOff>47625</xdr:rowOff>
              </from>
              <to>
                <xdr:col>18</xdr:col>
                <xdr:colOff>9525</xdr:colOff>
                <xdr:row>36</xdr:row>
                <xdr:rowOff>219075</xdr:rowOff>
              </to>
            </anchor>
          </controlPr>
        </control>
      </mc:Choice>
      <mc:Fallback>
        <control shapeId="13318" r:id="rId6" name="Label4"/>
      </mc:Fallback>
    </mc:AlternateContent>
    <mc:AlternateContent xmlns:mc="http://schemas.openxmlformats.org/markup-compatibility/2006">
      <mc:Choice Requires="x14">
        <control shapeId="13317" r:id="rId8" name="btnKoushin1">
          <controlPr defaultSize="0" print="0" autoLine="0" r:id="rId9">
            <anchor moveWithCells="1">
              <from>
                <xdr:col>9</xdr:col>
                <xdr:colOff>19050</xdr:colOff>
                <xdr:row>37</xdr:row>
                <xdr:rowOff>19050</xdr:rowOff>
              </from>
              <to>
                <xdr:col>18</xdr:col>
                <xdr:colOff>9525</xdr:colOff>
                <xdr:row>37</xdr:row>
                <xdr:rowOff>361950</xdr:rowOff>
              </to>
            </anchor>
          </controlPr>
        </control>
      </mc:Choice>
      <mc:Fallback>
        <control shapeId="13317" r:id="rId8" name="btnKoushin1"/>
      </mc:Fallback>
    </mc:AlternateContent>
    <mc:AlternateContent xmlns:mc="http://schemas.openxmlformats.org/markup-compatibility/2006">
      <mc:Choice Requires="x14">
        <control shapeId="13316" r:id="rId10" name="txt_tanki">
          <controlPr locked="0" defaultSize="0" print="0" autoLine="0" r:id="rId11">
            <anchor moveWithCells="1">
              <from>
                <xdr:col>12</xdr:col>
                <xdr:colOff>171450</xdr:colOff>
                <xdr:row>36</xdr:row>
                <xdr:rowOff>219075</xdr:rowOff>
              </from>
              <to>
                <xdr:col>15</xdr:col>
                <xdr:colOff>104775</xdr:colOff>
                <xdr:row>37</xdr:row>
                <xdr:rowOff>9525</xdr:rowOff>
              </to>
            </anchor>
          </controlPr>
        </control>
      </mc:Choice>
      <mc:Fallback>
        <control shapeId="13316" r:id="rId10" name="txt_tanki"/>
      </mc:Fallback>
    </mc:AlternateContent>
    <mc:AlternateContent xmlns:mc="http://schemas.openxmlformats.org/markup-compatibility/2006">
      <mc:Choice Requires="x14">
        <control shapeId="13315" r:id="rId12" name="Label3">
          <controlPr defaultSize="0" print="0" autoLine="0" r:id="rId13">
            <anchor moveWithCells="1">
              <from>
                <xdr:col>12</xdr:col>
                <xdr:colOff>171450</xdr:colOff>
                <xdr:row>36</xdr:row>
                <xdr:rowOff>47625</xdr:rowOff>
              </from>
              <to>
                <xdr:col>15</xdr:col>
                <xdr:colOff>104775</xdr:colOff>
                <xdr:row>36</xdr:row>
                <xdr:rowOff>219075</xdr:rowOff>
              </to>
            </anchor>
          </controlPr>
        </control>
      </mc:Choice>
      <mc:Fallback>
        <control shapeId="13315" r:id="rId12" name="Label3"/>
      </mc:Fallback>
    </mc:AlternateContent>
    <mc:AlternateContent xmlns:mc="http://schemas.openxmlformats.org/markup-compatibility/2006">
      <mc:Choice Requires="x14">
        <control shapeId="13314" r:id="rId14" name="Label2">
          <controlPr defaultSize="0" print="0" autoLine="0" r:id="rId15">
            <anchor moveWithCells="1">
              <from>
                <xdr:col>9</xdr:col>
                <xdr:colOff>85725</xdr:colOff>
                <xdr:row>36</xdr:row>
                <xdr:rowOff>152400</xdr:rowOff>
              </from>
              <to>
                <xdr:col>12</xdr:col>
                <xdr:colOff>123825</xdr:colOff>
                <xdr:row>36</xdr:row>
                <xdr:rowOff>285750</xdr:rowOff>
              </to>
            </anchor>
          </controlPr>
        </control>
      </mc:Choice>
      <mc:Fallback>
        <control shapeId="13314" r:id="rId14" name="Label2"/>
      </mc:Fallback>
    </mc:AlternateContent>
    <mc:AlternateContent xmlns:mc="http://schemas.openxmlformats.org/markup-compatibility/2006">
      <mc:Choice Requires="x14">
        <control shapeId="13313" r:id="rId16" name="Label1">
          <controlPr defaultSize="0" print="0" autoLine="0" r:id="rId17">
            <anchor moveWithCells="1">
              <from>
                <xdr:col>9</xdr:col>
                <xdr:colOff>38100</xdr:colOff>
                <xdr:row>36</xdr:row>
                <xdr:rowOff>47625</xdr:rowOff>
              </from>
              <to>
                <xdr:col>12</xdr:col>
                <xdr:colOff>161925</xdr:colOff>
                <xdr:row>37</xdr:row>
                <xdr:rowOff>19050</xdr:rowOff>
              </to>
            </anchor>
          </controlPr>
        </control>
      </mc:Choice>
      <mc:Fallback>
        <control shapeId="13313" r:id="rId16" name="Label1"/>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5">
    <outlinePr summaryBelow="0"/>
    <pageSetUpPr fitToPage="1"/>
  </sheetPr>
  <dimension ref="A1:BB124"/>
  <sheetViews>
    <sheetView showGridLines="0" zoomScale="80" zoomScaleNormal="80" zoomScaleSheetLayoutView="70" workbookViewId="0">
      <pane xSplit="2" ySplit="15" topLeftCell="C16" activePane="bottomRight" state="frozen"/>
      <selection sqref="A1:AH1"/>
      <selection pane="topRight" sqref="A1:AH1"/>
      <selection pane="bottomLeft" sqref="A1:AH1"/>
      <selection pane="bottomRight" activeCell="D16" sqref="D16"/>
    </sheetView>
  </sheetViews>
  <sheetFormatPr defaultColWidth="2.625" defaultRowHeight="14.25" customHeight="1" outlineLevelRow="1" outlineLevelCol="1"/>
  <cols>
    <col min="1" max="1" width="0.875" style="50" customWidth="1"/>
    <col min="2" max="2" width="2.625" style="50" customWidth="1"/>
    <col min="3" max="3" width="3.875" style="50" customWidth="1"/>
    <col min="4" max="4" width="26.375" style="50" customWidth="1"/>
    <col min="5" max="5" width="15.125" style="50" customWidth="1"/>
    <col min="6" max="6" width="21.625" style="50" bestFit="1" customWidth="1"/>
    <col min="7" max="8" width="4.125" style="50" customWidth="1"/>
    <col min="9" max="9" width="5.125" style="50" customWidth="1"/>
    <col min="10" max="10" width="10.75" style="50" customWidth="1"/>
    <col min="11" max="11" width="5.375" style="50" customWidth="1"/>
    <col min="12" max="13" width="24.125" style="50" customWidth="1"/>
    <col min="14" max="14" width="21.375" style="50" customWidth="1"/>
    <col min="15" max="15" width="18.75" style="50" customWidth="1"/>
    <col min="16" max="16" width="7.875" style="50" customWidth="1"/>
    <col min="17" max="17" width="12.125" style="50" hidden="1" customWidth="1"/>
    <col min="18" max="18" width="9" style="50" customWidth="1"/>
    <col min="19" max="19" width="21.25" style="50" customWidth="1"/>
    <col min="20" max="20" width="2.625" style="50" customWidth="1"/>
    <col min="21" max="21" width="2.75" style="2" customWidth="1"/>
    <col min="22" max="22" width="8.375" style="50" customWidth="1" outlineLevel="1"/>
    <col min="23" max="23" width="2.625" style="387" outlineLevel="1"/>
    <col min="24" max="24" width="2.625" style="176" customWidth="1" outlineLevel="1"/>
    <col min="25" max="32" width="10.625" style="751" customWidth="1" outlineLevel="1"/>
    <col min="33" max="33" width="14.625" style="751" customWidth="1" outlineLevel="1"/>
    <col min="34" max="36" width="14.5" style="751" customWidth="1" outlineLevel="1"/>
    <col min="37" max="37" width="10.625" style="751" customWidth="1" outlineLevel="1"/>
    <col min="38" max="38" width="14.5" style="751" customWidth="1" outlineLevel="1"/>
    <col min="39" max="40" width="10.625" style="751" customWidth="1" outlineLevel="1"/>
    <col min="41" max="44" width="14.5" style="751" customWidth="1" outlineLevel="1"/>
    <col min="45" max="47" width="10.625" style="751" customWidth="1" outlineLevel="1"/>
    <col min="48" max="52" width="2.625" style="387"/>
    <col min="53" max="16384" width="2.625" style="50"/>
  </cols>
  <sheetData>
    <row r="1" spans="1:54" ht="14.25" customHeight="1">
      <c r="T1" s="174"/>
      <c r="V1" s="50" t="s">
        <v>121</v>
      </c>
      <c r="W1" s="50"/>
      <c r="Y1" s="176"/>
      <c r="Z1" s="176"/>
      <c r="AA1" s="176"/>
      <c r="AB1" s="176"/>
      <c r="AC1" s="176"/>
      <c r="AD1" s="176"/>
      <c r="AE1" s="176"/>
      <c r="AF1" s="176"/>
      <c r="AG1" s="176"/>
      <c r="AH1" s="176"/>
      <c r="AI1" s="176"/>
      <c r="AJ1" s="176"/>
      <c r="AK1" s="176"/>
      <c r="AL1" s="176"/>
      <c r="AM1" s="176"/>
      <c r="AN1" s="176"/>
      <c r="AO1" s="176"/>
      <c r="AP1" s="176"/>
      <c r="AQ1" s="176"/>
      <c r="AR1" s="176"/>
      <c r="AS1" s="176"/>
      <c r="AT1" s="176"/>
      <c r="AU1" s="176"/>
    </row>
    <row r="2" spans="1:54" ht="14.25" customHeight="1">
      <c r="A2" s="348" t="s">
        <v>522</v>
      </c>
      <c r="V2" s="348" t="s">
        <v>522</v>
      </c>
    </row>
    <row r="3" spans="1:54" ht="14.25" customHeight="1">
      <c r="A3" s="348"/>
    </row>
    <row r="4" spans="1:54" ht="14.25" customHeight="1">
      <c r="A4" s="348" t="s">
        <v>523</v>
      </c>
      <c r="C4" s="712" t="s">
        <v>524</v>
      </c>
    </row>
    <row r="5" spans="1:54" ht="14.25" customHeight="1">
      <c r="A5" s="348"/>
      <c r="C5" s="55" t="s">
        <v>525</v>
      </c>
      <c r="D5" s="712"/>
    </row>
    <row r="6" spans="1:54" ht="14.25" customHeight="1">
      <c r="A6" s="348"/>
      <c r="C6" s="174" t="s">
        <v>526</v>
      </c>
    </row>
    <row r="7" spans="1:54" ht="14.25" customHeight="1">
      <c r="A7" s="348"/>
      <c r="C7" s="174"/>
      <c r="D7" s="752"/>
      <c r="E7" s="753"/>
      <c r="F7" s="754"/>
      <c r="G7" s="752"/>
      <c r="H7" s="752"/>
      <c r="I7" s="752"/>
      <c r="J7" s="752"/>
      <c r="K7" s="752"/>
      <c r="L7" s="752"/>
      <c r="V7" s="50" t="s">
        <v>527</v>
      </c>
      <c r="X7" s="755"/>
    </row>
    <row r="8" spans="1:54" ht="14.25" customHeight="1" thickBot="1">
      <c r="A8" s="348"/>
      <c r="C8" s="174"/>
      <c r="D8" s="754"/>
      <c r="E8" s="752"/>
      <c r="F8" s="754"/>
      <c r="G8" s="752"/>
      <c r="H8" s="752"/>
      <c r="I8" s="752"/>
      <c r="J8" s="752"/>
      <c r="K8" s="752"/>
      <c r="L8" s="752"/>
      <c r="V8" s="2199" t="s">
        <v>528</v>
      </c>
      <c r="W8" s="50"/>
      <c r="X8" s="2"/>
      <c r="Y8" s="2202" t="s">
        <v>529</v>
      </c>
      <c r="Z8" s="2202"/>
      <c r="AA8" s="2202"/>
      <c r="AB8" s="2202"/>
      <c r="AC8" s="2202"/>
      <c r="AD8" s="2202"/>
      <c r="AE8" s="2202"/>
      <c r="AF8" s="2202"/>
      <c r="AG8" s="2166" t="s">
        <v>530</v>
      </c>
      <c r="AH8" s="2167"/>
      <c r="AI8" s="2168"/>
      <c r="AJ8" s="2203" t="s">
        <v>531</v>
      </c>
      <c r="AK8" s="2204"/>
      <c r="AL8" s="2141" t="s">
        <v>532</v>
      </c>
      <c r="AM8" s="2143"/>
      <c r="AN8" s="2207"/>
      <c r="AO8" s="2166" t="s">
        <v>533</v>
      </c>
      <c r="AP8" s="2167"/>
      <c r="AQ8" s="2167"/>
      <c r="AR8" s="2167"/>
      <c r="AS8" s="2167"/>
      <c r="AT8" s="2167"/>
      <c r="AU8" s="2168"/>
      <c r="AV8" s="2"/>
      <c r="AW8" s="2"/>
      <c r="BA8" s="387"/>
      <c r="BB8" s="387"/>
    </row>
    <row r="9" spans="1:54" s="174" customFormat="1" ht="14.25" customHeight="1">
      <c r="C9" s="2172" t="s">
        <v>534</v>
      </c>
      <c r="D9" s="2175" t="s">
        <v>535</v>
      </c>
      <c r="E9" s="2178" t="s">
        <v>536</v>
      </c>
      <c r="F9" s="2181" t="s">
        <v>537</v>
      </c>
      <c r="G9" s="2184" t="s">
        <v>538</v>
      </c>
      <c r="H9" s="2185"/>
      <c r="I9" s="2188" t="s">
        <v>539</v>
      </c>
      <c r="J9" s="2191" t="s">
        <v>540</v>
      </c>
      <c r="K9" s="2192"/>
      <c r="L9" s="2195" t="s">
        <v>541</v>
      </c>
      <c r="M9" s="2197" t="s">
        <v>542</v>
      </c>
      <c r="N9" s="2216" t="s">
        <v>543</v>
      </c>
      <c r="O9" s="2216" t="s">
        <v>544</v>
      </c>
      <c r="P9" s="2218" t="s">
        <v>545</v>
      </c>
      <c r="Q9" s="2221" t="s">
        <v>546</v>
      </c>
      <c r="R9" s="2224" t="s">
        <v>547</v>
      </c>
      <c r="S9" s="2225"/>
      <c r="U9" s="2"/>
      <c r="V9" s="2200"/>
      <c r="X9" s="2"/>
      <c r="Y9" s="1772"/>
      <c r="Z9" s="1772"/>
      <c r="AA9" s="1772"/>
      <c r="AB9" s="1772"/>
      <c r="AC9" s="1772"/>
      <c r="AD9" s="1772"/>
      <c r="AE9" s="1772"/>
      <c r="AF9" s="1772"/>
      <c r="AG9" s="2169"/>
      <c r="AH9" s="2170"/>
      <c r="AI9" s="2171"/>
      <c r="AJ9" s="2205"/>
      <c r="AK9" s="2206"/>
      <c r="AL9" s="2144"/>
      <c r="AM9" s="2146"/>
      <c r="AN9" s="2208"/>
      <c r="AO9" s="2169"/>
      <c r="AP9" s="2170"/>
      <c r="AQ9" s="2170"/>
      <c r="AR9" s="2170"/>
      <c r="AS9" s="2170"/>
      <c r="AT9" s="2170"/>
      <c r="AU9" s="2171"/>
      <c r="AV9" s="2"/>
      <c r="AW9" s="2"/>
      <c r="AX9" s="756"/>
    </row>
    <row r="10" spans="1:54" s="174" customFormat="1" ht="18.75" customHeight="1">
      <c r="C10" s="2173"/>
      <c r="D10" s="2176"/>
      <c r="E10" s="2179"/>
      <c r="F10" s="2182"/>
      <c r="G10" s="2186"/>
      <c r="H10" s="2187"/>
      <c r="I10" s="2189"/>
      <c r="J10" s="2193"/>
      <c r="K10" s="2194"/>
      <c r="L10" s="2196"/>
      <c r="M10" s="2198"/>
      <c r="N10" s="2217"/>
      <c r="O10" s="2217"/>
      <c r="P10" s="2219"/>
      <c r="Q10" s="2222"/>
      <c r="R10" s="2226"/>
      <c r="S10" s="2227"/>
      <c r="U10" s="2"/>
      <c r="V10" s="2200"/>
      <c r="X10" s="2"/>
      <c r="Y10" s="2210" t="s">
        <v>548</v>
      </c>
      <c r="Z10" s="2210" t="s">
        <v>549</v>
      </c>
      <c r="AA10" s="2210" t="s">
        <v>550</v>
      </c>
      <c r="AB10" s="2210" t="s">
        <v>551</v>
      </c>
      <c r="AC10" s="2210" t="s">
        <v>552</v>
      </c>
      <c r="AD10" s="2246" t="s">
        <v>553</v>
      </c>
      <c r="AE10" s="2210" t="s">
        <v>554</v>
      </c>
      <c r="AF10" s="2210" t="s">
        <v>555</v>
      </c>
      <c r="AG10" s="2210" t="s">
        <v>556</v>
      </c>
      <c r="AH10" s="2213" t="s">
        <v>557</v>
      </c>
      <c r="AI10" s="757"/>
      <c r="AJ10" s="2210" t="s">
        <v>558</v>
      </c>
      <c r="AK10" s="2210" t="s">
        <v>559</v>
      </c>
      <c r="AL10" s="2246" t="s">
        <v>560</v>
      </c>
      <c r="AM10" s="2246" t="s">
        <v>561</v>
      </c>
      <c r="AN10" s="2208"/>
      <c r="AO10" s="2230" t="s">
        <v>558</v>
      </c>
      <c r="AP10" s="2249" t="s">
        <v>562</v>
      </c>
      <c r="AQ10" s="758"/>
      <c r="AR10" s="2230" t="s">
        <v>563</v>
      </c>
      <c r="AS10" s="2230" t="s">
        <v>564</v>
      </c>
      <c r="AT10" s="2230" t="s">
        <v>544</v>
      </c>
      <c r="AU10" s="2230" t="s">
        <v>565</v>
      </c>
      <c r="AV10" s="2"/>
      <c r="AW10" s="2"/>
      <c r="AX10" s="756"/>
    </row>
    <row r="11" spans="1:54" s="174" customFormat="1" ht="18.75" customHeight="1">
      <c r="C11" s="2173"/>
      <c r="D11" s="2176"/>
      <c r="E11" s="2179"/>
      <c r="F11" s="2182"/>
      <c r="G11" s="2232" t="s">
        <v>566</v>
      </c>
      <c r="H11" s="2232" t="s">
        <v>567</v>
      </c>
      <c r="I11" s="2189"/>
      <c r="J11" s="2234" t="s">
        <v>568</v>
      </c>
      <c r="K11" s="2237" t="s">
        <v>569</v>
      </c>
      <c r="L11" s="759" t="s">
        <v>570</v>
      </c>
      <c r="M11" s="760" t="s">
        <v>570</v>
      </c>
      <c r="N11" s="759" t="s">
        <v>570</v>
      </c>
      <c r="O11" s="759" t="s">
        <v>570</v>
      </c>
      <c r="P11" s="2219"/>
      <c r="Q11" s="2222"/>
      <c r="R11" s="2239" t="s">
        <v>571</v>
      </c>
      <c r="S11" s="2243" t="s">
        <v>572</v>
      </c>
      <c r="U11" s="2"/>
      <c r="V11" s="2200"/>
      <c r="X11" s="2"/>
      <c r="Y11" s="2211"/>
      <c r="Z11" s="2211"/>
      <c r="AA11" s="2211"/>
      <c r="AB11" s="2211"/>
      <c r="AC11" s="2211"/>
      <c r="AD11" s="2247"/>
      <c r="AE11" s="2211" t="s">
        <v>573</v>
      </c>
      <c r="AF11" s="2211"/>
      <c r="AG11" s="2211" t="s">
        <v>573</v>
      </c>
      <c r="AH11" s="2211" t="s">
        <v>574</v>
      </c>
      <c r="AI11" s="2210" t="s">
        <v>575</v>
      </c>
      <c r="AJ11" s="2211" t="s">
        <v>573</v>
      </c>
      <c r="AK11" s="2211" t="s">
        <v>573</v>
      </c>
      <c r="AL11" s="2247"/>
      <c r="AM11" s="2247"/>
      <c r="AN11" s="2208"/>
      <c r="AO11" s="2219"/>
      <c r="AP11" s="2219" t="s">
        <v>573</v>
      </c>
      <c r="AQ11" s="2230" t="s">
        <v>575</v>
      </c>
      <c r="AR11" s="2219" t="s">
        <v>573</v>
      </c>
      <c r="AS11" s="2219"/>
      <c r="AT11" s="2219"/>
      <c r="AU11" s="2219"/>
      <c r="AV11" s="2"/>
      <c r="AW11" s="2"/>
      <c r="AX11" s="756"/>
    </row>
    <row r="12" spans="1:54" s="174" customFormat="1" ht="18.75" customHeight="1">
      <c r="C12" s="2173"/>
      <c r="D12" s="2176"/>
      <c r="E12" s="2179"/>
      <c r="F12" s="2182"/>
      <c r="G12" s="2233"/>
      <c r="H12" s="2233"/>
      <c r="I12" s="2189"/>
      <c r="J12" s="2235"/>
      <c r="K12" s="2238"/>
      <c r="L12" s="761"/>
      <c r="M12" s="762"/>
      <c r="N12" s="763"/>
      <c r="O12" s="764"/>
      <c r="P12" s="2219"/>
      <c r="Q12" s="2222"/>
      <c r="R12" s="2240"/>
      <c r="S12" s="2244"/>
      <c r="U12" s="2"/>
      <c r="V12" s="2200"/>
      <c r="X12" s="2"/>
      <c r="Y12" s="2211"/>
      <c r="Z12" s="2211"/>
      <c r="AA12" s="2211"/>
      <c r="AB12" s="2211"/>
      <c r="AC12" s="2211"/>
      <c r="AD12" s="2247"/>
      <c r="AE12" s="2211"/>
      <c r="AF12" s="2211"/>
      <c r="AG12" s="2211"/>
      <c r="AH12" s="2211"/>
      <c r="AI12" s="2211"/>
      <c r="AJ12" s="2211"/>
      <c r="AK12" s="2211"/>
      <c r="AL12" s="2247"/>
      <c r="AM12" s="2247"/>
      <c r="AN12" s="2209"/>
      <c r="AO12" s="2231"/>
      <c r="AP12" s="2231"/>
      <c r="AQ12" s="2231"/>
      <c r="AR12" s="2231"/>
      <c r="AS12" s="2231"/>
      <c r="AT12" s="2231"/>
      <c r="AU12" s="2231"/>
      <c r="AV12" s="2"/>
      <c r="AW12" s="2"/>
      <c r="AX12" s="756"/>
    </row>
    <row r="13" spans="1:54" s="174" customFormat="1" ht="28.5" customHeight="1">
      <c r="C13" s="2173"/>
      <c r="D13" s="2176"/>
      <c r="E13" s="2179"/>
      <c r="F13" s="2182"/>
      <c r="G13" s="2233"/>
      <c r="H13" s="2233"/>
      <c r="I13" s="2189"/>
      <c r="J13" s="2235"/>
      <c r="K13" s="2238"/>
      <c r="L13" s="761"/>
      <c r="M13" s="762"/>
      <c r="N13" s="763"/>
      <c r="O13" s="764"/>
      <c r="P13" s="2219"/>
      <c r="Q13" s="2222"/>
      <c r="R13" s="2240"/>
      <c r="S13" s="2244"/>
      <c r="U13" s="2"/>
      <c r="V13" s="2200"/>
      <c r="X13" s="2"/>
      <c r="Y13" s="2211"/>
      <c r="Z13" s="2211"/>
      <c r="AA13" s="2211"/>
      <c r="AB13" s="2211"/>
      <c r="AC13" s="2211"/>
      <c r="AD13" s="2247"/>
      <c r="AE13" s="2211"/>
      <c r="AF13" s="2211"/>
      <c r="AG13" s="2211"/>
      <c r="AH13" s="2211"/>
      <c r="AI13" s="2211"/>
      <c r="AJ13" s="2211"/>
      <c r="AK13" s="2211"/>
      <c r="AL13" s="2247"/>
      <c r="AM13" s="2247"/>
      <c r="AN13" s="735" t="s">
        <v>274</v>
      </c>
      <c r="AO13" s="306">
        <f t="shared" ref="AO13:AT13" si="0">SUM(AO14:AO15)</f>
        <v>0</v>
      </c>
      <c r="AP13" s="306">
        <f t="shared" si="0"/>
        <v>0</v>
      </c>
      <c r="AQ13" s="306">
        <f>SUM(AQ14:AQ15)</f>
        <v>0</v>
      </c>
      <c r="AR13" s="306">
        <f t="shared" si="0"/>
        <v>0</v>
      </c>
      <c r="AS13" s="306">
        <f t="shared" si="0"/>
        <v>0</v>
      </c>
      <c r="AT13" s="306">
        <f t="shared" si="0"/>
        <v>0</v>
      </c>
      <c r="AU13" s="765">
        <f>ROUND(SUM(AS13:AT13),)</f>
        <v>0</v>
      </c>
      <c r="AV13" s="2"/>
      <c r="AW13" s="2"/>
      <c r="AX13" s="756"/>
    </row>
    <row r="14" spans="1:54" s="174" customFormat="1" ht="28.5" customHeight="1">
      <c r="C14" s="2173"/>
      <c r="D14" s="2176"/>
      <c r="E14" s="2179"/>
      <c r="F14" s="2182"/>
      <c r="G14" s="2233"/>
      <c r="H14" s="2233"/>
      <c r="I14" s="2189"/>
      <c r="J14" s="2236"/>
      <c r="K14" s="2238"/>
      <c r="L14" s="761"/>
      <c r="M14" s="762"/>
      <c r="N14" s="763"/>
      <c r="O14" s="764"/>
      <c r="P14" s="2219"/>
      <c r="Q14" s="2222"/>
      <c r="R14" s="2241"/>
      <c r="S14" s="2244"/>
      <c r="U14" s="2"/>
      <c r="V14" s="2200"/>
      <c r="X14" s="2"/>
      <c r="Y14" s="2212"/>
      <c r="Z14" s="2212"/>
      <c r="AA14" s="2212"/>
      <c r="AB14" s="2212"/>
      <c r="AC14" s="2212"/>
      <c r="AD14" s="2248"/>
      <c r="AE14" s="2212"/>
      <c r="AF14" s="2212"/>
      <c r="AG14" s="2212"/>
      <c r="AH14" s="2212"/>
      <c r="AI14" s="2212"/>
      <c r="AJ14" s="2212"/>
      <c r="AK14" s="2212"/>
      <c r="AL14" s="2248"/>
      <c r="AM14" s="2248"/>
      <c r="AN14" s="766" t="s">
        <v>576</v>
      </c>
      <c r="AO14" s="765">
        <f>SUM(SUMIFS(AO16:AO115,$E$16:$E$115,"&lt;&gt;",$E$16:$E$115,"&lt;&gt;[15]コンクリートけい畔",$E$16:$E$115,"&lt;&gt;[16]暗きょ排水施設",$E$16:$E$115,"&lt;&gt;[17]客土",$E$16:$E$115,"&lt;&gt;[19]用水路"))</f>
        <v>0</v>
      </c>
      <c r="AP14" s="765">
        <f>SUM(SUMIFS(AP16:AP115,$E$16:$E$115,"&lt;&gt;",$E$16:$E$115,"&lt;&gt;[15]コンクリートけい畔",$E$16:$E$115,"&lt;&gt;[16]暗きょ排水施設",$E$16:$E$115,"&lt;&gt;[17]客土",$E$16:$E$115,"&lt;&gt;[19]用水路"))</f>
        <v>0</v>
      </c>
      <c r="AQ14" s="765">
        <f>SUM(SUMIFS(AQ16:AQ115,$E$16:$E$115,"&lt;&gt;",$E$16:$E$115,"&lt;&gt;[15]コンクリートけい畔",$E$16:$E$115,"&lt;&gt;[16]暗きょ排水施設",$E$16:$E$115,"&lt;&gt;[17]客土",$E$16:$E$115,"&lt;&gt;[19]用水路"))</f>
        <v>0</v>
      </c>
      <c r="AR14" s="765">
        <f>ROUND(SUM(SUMIFS(AR16:AR115,$E$16:$E$115,"&lt;&gt;",$E$16:$E$115,"&lt;&gt;[15]コンクリートけい畔",$E$16:$E$115,"&lt;&gt;[16]暗きょ排水施設",$E$16:$E$115,"&lt;&gt;[17]客土",$E$16:$E$115,"&lt;&gt;[19]用水路")),)</f>
        <v>0</v>
      </c>
      <c r="AS14" s="765">
        <f>SUM(SUMIFS(AS16:AS115,$E$16:$E$115,"&lt;&gt;",$E$16:$E$115,"&lt;&gt;[15]コンクリートけい畔",$E$16:$E$115,"&lt;&gt;[16]暗きょ排水施設",$E$16:$E$115,"&lt;&gt;[17]客土",$E$16:$E$115,"&lt;&gt;[19]用水路"))</f>
        <v>0</v>
      </c>
      <c r="AT14" s="765">
        <f>SUM(SUMIFS(AT16:AT115,$E$16:$E$115,"&lt;&gt;",$E$16:$E$115,"&lt;&gt;[15]コンクリートけい畔",$E$16:$E$115,"&lt;&gt;[16]暗きょ排水施設",$E$16:$E$115,"&lt;&gt;[17]客土",$E$16:$E$115,"&lt;&gt;[19]用水路"))</f>
        <v>0</v>
      </c>
      <c r="AU14" s="767"/>
      <c r="AV14" s="2"/>
      <c r="AW14" s="2"/>
      <c r="AX14" s="756"/>
    </row>
    <row r="15" spans="1:54" s="174" customFormat="1" ht="29.25" customHeight="1" thickBot="1">
      <c r="C15" s="2174"/>
      <c r="D15" s="2177"/>
      <c r="E15" s="2180"/>
      <c r="F15" s="2183"/>
      <c r="G15" s="2233"/>
      <c r="H15" s="2233"/>
      <c r="I15" s="2190"/>
      <c r="J15" s="2236"/>
      <c r="K15" s="2238"/>
      <c r="L15" s="761"/>
      <c r="M15" s="762"/>
      <c r="N15" s="763"/>
      <c r="O15" s="764"/>
      <c r="P15" s="2220"/>
      <c r="Q15" s="2223"/>
      <c r="R15" s="2242"/>
      <c r="S15" s="2245"/>
      <c r="U15" s="2"/>
      <c r="V15" s="2201"/>
      <c r="X15" s="2"/>
      <c r="Y15" s="768"/>
      <c r="Z15" s="768"/>
      <c r="AA15" s="768"/>
      <c r="AB15" s="768"/>
      <c r="AC15" s="768"/>
      <c r="AD15" s="768"/>
      <c r="AE15" s="768"/>
      <c r="AF15" s="768"/>
      <c r="AG15" s="768"/>
      <c r="AH15" s="768"/>
      <c r="AI15" s="768"/>
      <c r="AJ15" s="768"/>
      <c r="AK15" s="768"/>
      <c r="AL15" s="768"/>
      <c r="AM15" s="768"/>
      <c r="AN15" s="769" t="s">
        <v>577</v>
      </c>
      <c r="AO15" s="770">
        <f>SUM(SUMIFS(AO16:AO115,$E$16:$E$115,{"[15]コンクリートけい畔","[16]暗きょ排水施設","[17]客土","[19]用水路"}))</f>
        <v>0</v>
      </c>
      <c r="AP15" s="770">
        <f>SUM(SUMIFS(AP16:AP115,$E$16:$E$115,{"[15]コンクリートけい畔","[16]暗きょ排水施設","[17]客土","[19]用水路"}))</f>
        <v>0</v>
      </c>
      <c r="AQ15" s="770">
        <f>SUM(SUMIFS(AQ16:AQ115,$E$16:$E$115,{"[15]コンクリートけい畔","[16]暗きょ排水施設","[17]客土","[19]用水路"}))</f>
        <v>0</v>
      </c>
      <c r="AR15" s="770">
        <f>ROUND(SUM(SUMIFS(AR16:AR115,$E$16:$E$115,{"[15]コンクリートけい畔","[16]暗きょ排水施設","[17]客土","[19]用水路"})),)</f>
        <v>0</v>
      </c>
      <c r="AS15" s="770">
        <f>SUM(SUMIFS(AS16:AS115,$E$16:$E$115,{"[15]コンクリートけい畔","[16]暗きょ排水施設","[17]客土","[19]用水路"}))</f>
        <v>0</v>
      </c>
      <c r="AT15" s="770">
        <f>SUM(SUMIFS(AT16:AT115,$E$16:$E$115,{"[15]コンクリートけい畔","[16]暗きょ排水施設","[17]客土","[19]用水路"}))</f>
        <v>0</v>
      </c>
      <c r="AU15" s="771"/>
      <c r="AV15" s="2"/>
      <c r="AW15" s="2"/>
      <c r="AX15" s="756"/>
    </row>
    <row r="16" spans="1:54" s="174" customFormat="1" ht="30" customHeight="1" thickTop="1">
      <c r="C16" s="772">
        <v>1</v>
      </c>
      <c r="D16" s="773"/>
      <c r="E16" s="774"/>
      <c r="F16" s="775"/>
      <c r="G16" s="2228"/>
      <c r="H16" s="2229"/>
      <c r="I16" s="776"/>
      <c r="J16" s="777"/>
      <c r="K16" s="778"/>
      <c r="L16" s="779"/>
      <c r="M16" s="780"/>
      <c r="N16" s="781"/>
      <c r="O16" s="781"/>
      <c r="P16" s="1283"/>
      <c r="Q16" s="782"/>
      <c r="R16" s="783"/>
      <c r="S16" s="781"/>
      <c r="T16" s="784"/>
      <c r="U16" s="2"/>
      <c r="V16" s="1294"/>
      <c r="W16" s="785"/>
      <c r="X16" s="2"/>
      <c r="Y16" s="1256">
        <f>IF(AND(E16&gt;0,F16&gt;0),"["&amp;RIGHT(LEFT(E16,3),2)&amp;RIGHT(LEFT(F16,FIND("]",F16)-1),IF(FIND("]",F16)-1&gt;2,2,1))&amp;"]",)</f>
        <v>0</v>
      </c>
      <c r="Z16" s="786">
        <f>IF(Y16=0,,IF(L16+M16&lt;100000,1,0))</f>
        <v>0</v>
      </c>
      <c r="AA16" s="786">
        <f>IF(Y16=0,,IF(AND(Z16=0,L16+M16&lt;200000),1,))</f>
        <v>0</v>
      </c>
      <c r="AB16" s="786">
        <f>IF(Y16=0,,VLOOKUP(Y16,リスト!CX:CY,2,0))</f>
        <v>0</v>
      </c>
      <c r="AC16" s="786">
        <f t="shared" ref="AC16:AC79" si="1">IF(AA16=1,3,
IF(OR(G16="[2]中古",
F16="[8]その他",
E16="[13]その他の建築物",
AND(OR(E16="[14]稲架",E16="[15]コンクリートけい畔",E16="[16]暗きょ排水施設",E16="[19]用水路",E16="[25]たい肥盤"),F16="[7]その他")),
MIN(AB16,I16),AB16))</f>
        <v>0</v>
      </c>
      <c r="AD16" s="787">
        <f>IF(AC16=0,,VLOOKUP(AC16,リスト!DK:DL,2,0))</f>
        <v>0</v>
      </c>
      <c r="AE16" s="786">
        <f>IF(Y16=0,,
IF(OR(リスト!$C$21="小麦",リスト!$C$21="二条大麦",リスト!$C$21="六条大麦",リスト!$C$21="はだか麦",リスト!$C$21="なたね"),IF(K16&lt;9,調査年-J16,調査年-J16-1),
IF(リスト!$C$21="さとうきび",IF(K16&gt;=4,調査年-J16,調査年-J16+1),
調査年-J16)))</f>
        <v>0</v>
      </c>
      <c r="AF16" s="306">
        <f t="shared" ref="AF16:AF47" si="2">IF(OR(Y16=0,Z16=1),,
IF(AND(AC16&gt;0,AE16&lt;AC16,AG16&lt;=ROUND((L16-1)*AD16,0)),ROUND(AG16*IF(R16="[2]部分取り壊し",IFERROR(1-(V16%),1),1),0),
IF(AND(AC16&gt;0,AE16&lt;AC16),ROUND((L16-1)*AD16*IF(R16="[2]部分取り壊し",IFERROR(1-(V16%),1),1),0),)))</f>
        <v>0</v>
      </c>
      <c r="AG16" s="788">
        <f t="shared" ref="AG16:AG79" si="3">IF(OR(Y16=0,Z16=1),,
IF(AND(AC16&gt;0,AE16&lt;AC16),L16-ROUND((L16-1)*AD16*AE16,0),1
))</f>
        <v>0</v>
      </c>
      <c r="AH16" s="788">
        <f t="shared" ref="AH16:AH79" si="4">IF(OR(Y16=0,Z16=1),,
IF(R16=0,AF16,
IF(R16="[1]取り壊し",SUM(AG16,S16),
IF(R16="[3]売　却",AG16-S16,
IF(AND(R16="[2]部分取り壊し",AG16&gt;1),SUM(ROUND(AG16*(V16%),0),S16,AF16),
IF(AND(S16=0,AF16=0),,SUM(S16,AF16)))))))</f>
        <v>0</v>
      </c>
      <c r="AI16" s="788">
        <f t="shared" ref="AI16:AI79" si="5">IF(AND(AH16=0,AF16=0),,
IF(OR(R16="[1]取り壊し",R16="[2]部分取り壊し",R16="[3]売　却"),SUM(AH16)-SUM(AF16),))</f>
        <v>0</v>
      </c>
      <c r="AJ16" s="788">
        <f t="shared" ref="AJ16:AJ79" si="6">IF(OR(Z16=1,M16=0),,
IF(AND(AC16&gt;0,M16&gt;0,AE16&lt;AC16),M16-ROUND(M16*AD16*AE16,0),))</f>
        <v>0</v>
      </c>
      <c r="AK16" s="788">
        <f>IF(OR(Y16=0,Z16=1),IF(AND(Z16=1,AE16=0),M16,),
IF(AND(AC16&gt;0,AE16&lt;AC16,SUM(AJ16)&gt;0,AJ16&lt;=ROUND(M16*AD16,0)),ROUND(AJ16*IF(R16="[2]部分取り壊し",IFERROR(1-(V16%),1),1),),
IF(AND(AC16&gt;0,AE16&lt;AC16,SUM(M16)&gt;0),ROUND(M16*AD16*IF(R16="[2]部分取り壊し",IFERROR(1-(V16%),1),1),0),)))</f>
        <v>0</v>
      </c>
      <c r="AL16" s="788">
        <f t="shared" ref="AL16:AL79" si="7">IF(AND(L16&gt;0,R16="[2]部分取り壊し"),ROUND(L16*(1-V16%),0),)</f>
        <v>0</v>
      </c>
      <c r="AM16" s="788">
        <f t="shared" ref="AM16:AM79" si="8">IF(AND(M16&gt;0,R16="[2]部分取り壊し"),ROUND(M16*(1-V16%),0),)</f>
        <v>0</v>
      </c>
      <c r="AN16" s="789"/>
      <c r="AO16" s="788">
        <f>IF(OR(P16=0,AG16=0),,
IF(OR(リスト!$C$21="小麦",リスト!$C$21="二条大麦",リスト!$C$21="六条大麦",リスト!$C$21="はだか麦",リスト!$C$21="なたね"),IF(OR(AND(K16&lt;9,J16=調査年),AND(K16&gt;=9,J16=調査年-1)),,ROUND(AG16*P16%,0)),
IF(リスト!$C$21="さとうきび",IF(OR(AND(K16&gt;=4,J16=調査年),AND(K16&lt;4,J16=調査年+1)),,ROUND(AG16*P16%,0)),
IF(J16=調査年,,ROUND(AG16*P16%,0)))))</f>
        <v>0</v>
      </c>
      <c r="AP16" s="788">
        <f t="shared" ref="AP16:AP79" si="9">IF(P16=0,,IF(AH16=0,,ROUND(AH16*P16%,0)))</f>
        <v>0</v>
      </c>
      <c r="AQ16" s="788">
        <f t="shared" ref="AQ16:AQ79" si="10">IF(P16=0,,IF(AI16=0,,ROUND(AI16*P16%,0)))</f>
        <v>0</v>
      </c>
      <c r="AR16" s="788">
        <f t="shared" ref="AR16:AR79" si="11">IF(P16=0,,IF(AG16=0,,ROUND(AG16*P16%,0)))</f>
        <v>0</v>
      </c>
      <c r="AS16" s="306">
        <f>IF(P16=0,,
SUM(
IF(OR(リスト!$C$21="小麦",リスト!$C$21="二条大麦",リスト!$C$21="六条大麦",リスト!$C$21="はだか麦",リスト!$C$21="なたね"),IF(OR(AND(Z16=1,K16&lt;9,J16=調査年),AND(Z16=1,K16&gt;=9,J16=調査年-1)),ROUND(L16*P16%,0),),
IF(リスト!$C$21="さとうきび",IF(OR(AND(Z16=1,K16&gt;=4,J16=調査年),AND(Z16=1,K16&lt;4,J16=調査年+1)),ROUND(L16*P16%,0),),
IF(AND(Z16=1,J16=調査年),ROUND(L16*P16%,0),))),
ROUND(N16*P16%,0),
ROUND(SUM(AK16)*P16%,0)
))</f>
        <v>0</v>
      </c>
      <c r="AT16" s="306">
        <f t="shared" ref="AT16:AT79" si="12">IF(P16=0,,IF(O16=0,,ROUND(O16*P16%,0)))</f>
        <v>0</v>
      </c>
      <c r="AU16" s="788" t="str">
        <f t="shared" ref="AU16:AU79" si="13">IF(OR(AS16&gt;0,AT16&gt;0),SUM(AS16:AT16),"")</f>
        <v/>
      </c>
      <c r="AV16" s="215"/>
      <c r="AW16" s="215"/>
      <c r="AX16" s="756"/>
      <c r="AY16" s="756"/>
      <c r="AZ16" s="756"/>
      <c r="BA16" s="2"/>
    </row>
    <row r="17" spans="3:52" s="174" customFormat="1" ht="30" customHeight="1">
      <c r="C17" s="790">
        <v>2</v>
      </c>
      <c r="D17" s="791"/>
      <c r="E17" s="792"/>
      <c r="F17" s="793"/>
      <c r="G17" s="2214"/>
      <c r="H17" s="2215"/>
      <c r="I17" s="794"/>
      <c r="J17" s="795"/>
      <c r="K17" s="796"/>
      <c r="L17" s="797"/>
      <c r="M17" s="797"/>
      <c r="N17" s="797"/>
      <c r="O17" s="797"/>
      <c r="P17" s="1284"/>
      <c r="Q17" s="798"/>
      <c r="R17" s="799"/>
      <c r="S17" s="797"/>
      <c r="T17" s="784"/>
      <c r="U17" s="2"/>
      <c r="V17" s="1295"/>
      <c r="W17" s="785"/>
      <c r="X17" s="2"/>
      <c r="Y17" s="800">
        <f>IF(AND(E17&gt;0,F17&gt;0),"["&amp;RIGHT(LEFT(E17,3),2)&amp;RIGHT(LEFT(F17,FIND("]",F17)-1),IF(FIND("]",F17)-1&gt;2,2,1))&amp;"]",)</f>
        <v>0</v>
      </c>
      <c r="Z17" s="786">
        <f t="shared" ref="Z17:Z80" si="14">IF(Y17=0,,IF(L17+M17&lt;100000,1,0))</f>
        <v>0</v>
      </c>
      <c r="AA17" s="786">
        <f t="shared" ref="AA17:AA80" si="15">IF(Y17=0,,IF(AND(Z17=0,L17+M17&lt;200000),1,))</f>
        <v>0</v>
      </c>
      <c r="AB17" s="800">
        <f>IF(Y17=0,,VLOOKUP(Y17,リスト!CX:CY,2,0))</f>
        <v>0</v>
      </c>
      <c r="AC17" s="800">
        <f t="shared" si="1"/>
        <v>0</v>
      </c>
      <c r="AD17" s="801">
        <f>IF(AC17=0,,VLOOKUP(AC17,リスト!DK:DL,2,0))</f>
        <v>0</v>
      </c>
      <c r="AE17" s="786">
        <f>IF(Y17=0,,
IF(OR(リスト!$C$21="小麦",リスト!$C$21="二条大麦",リスト!$C$21="六条大麦",リスト!$C$21="はだか麦",リスト!$C$21="なたね"),IF(K17&lt;9,調査年-J17,調査年-J17-1),
IF(リスト!$C$21="さとうきび",IF(K17&gt;=4,調査年-J17,調査年-J17+1),
調査年-J17)))</f>
        <v>0</v>
      </c>
      <c r="AF17" s="306">
        <f t="shared" si="2"/>
        <v>0</v>
      </c>
      <c r="AG17" s="306">
        <f t="shared" si="3"/>
        <v>0</v>
      </c>
      <c r="AH17" s="306">
        <f t="shared" si="4"/>
        <v>0</v>
      </c>
      <c r="AI17" s="306">
        <f t="shared" si="5"/>
        <v>0</v>
      </c>
      <c r="AJ17" s="306">
        <f t="shared" si="6"/>
        <v>0</v>
      </c>
      <c r="AK17" s="306">
        <f t="shared" ref="AK17:AK80" si="16">IF(OR(Y17=0,Z17=1),IF(AND(Z17=1,AE17=0),M17,),
IF(AND(AC17&gt;0,AE17&lt;AC17,SUM(AJ17)&gt;0,AJ17&lt;=ROUND(M17*AD17,0)),ROUND(AJ17*IF(R17="[2]部分取り壊し",IFERROR(1-(V17%),1),1),),
IF(AND(AC17&gt;0,AE17&lt;AC17,SUM(M17)&gt;0),ROUND(M17*AD17*IF(R17="[2]部分取り壊し",IFERROR(1-(V17%),1),1),0),)))</f>
        <v>0</v>
      </c>
      <c r="AL17" s="306">
        <f t="shared" si="7"/>
        <v>0</v>
      </c>
      <c r="AM17" s="306">
        <f t="shared" si="8"/>
        <v>0</v>
      </c>
      <c r="AN17" s="477"/>
      <c r="AO17" s="788">
        <f>IF(OR(P17=0,AG17=0),,
IF(OR(リスト!$C$21="小麦",リスト!$C$21="二条大麦",リスト!$C$21="六条大麦",リスト!$C$21="はだか麦",リスト!$C$21="なたね"),IF(OR(AND(K17&lt;9,J17=調査年),AND(K17&gt;=9,J17=調査年-1)),,ROUND(AG17*P17%,0)),
IF(リスト!$C$21="さとうきび",IF(OR(AND(K17&gt;=4,J17=調査年),AND(K17&lt;4,J17=調査年+1)),,ROUND(AG17*P17%,0)),
IF(J17=調査年,,ROUND(AG17*P17%,0)))))</f>
        <v>0</v>
      </c>
      <c r="AP17" s="788">
        <f t="shared" si="9"/>
        <v>0</v>
      </c>
      <c r="AQ17" s="306">
        <f t="shared" si="10"/>
        <v>0</v>
      </c>
      <c r="AR17" s="788">
        <f t="shared" si="11"/>
        <v>0</v>
      </c>
      <c r="AS17" s="306">
        <f>IF(P17=0,,
SUM(
IF(OR(リスト!$C$21="小麦",リスト!$C$21="二条大麦",リスト!$C$21="六条大麦",リスト!$C$21="はだか麦",リスト!$C$21="なたね"),IF(OR(AND(Z17=1,K17&lt;9,J17=調査年),AND(Z17=1,K17&gt;=9,J17=調査年-1)),ROUND(L17*P17%,0),),
IF(リスト!$C$21="さとうきび",IF(OR(AND(Z17=1,K17&gt;=4,J17=調査年),AND(Z17=1,K17&lt;4,J17=調査年+1)),ROUND(L17*P17%,0),),
IF(AND(Z17=1,J17=調査年),ROUND(L17*P17%,0),))),
ROUND(N17*P17%,0),
ROUND(SUM(AK17)*P17%,0)
))</f>
        <v>0</v>
      </c>
      <c r="AT17" s="306">
        <f t="shared" si="12"/>
        <v>0</v>
      </c>
      <c r="AU17" s="306" t="str">
        <f t="shared" si="13"/>
        <v/>
      </c>
      <c r="AV17" s="802"/>
      <c r="AW17" s="802"/>
      <c r="AX17" s="802"/>
      <c r="AY17" s="802"/>
      <c r="AZ17" s="802"/>
    </row>
    <row r="18" spans="3:52" s="174" customFormat="1" ht="30" customHeight="1">
      <c r="C18" s="790">
        <v>3</v>
      </c>
      <c r="D18" s="803"/>
      <c r="E18" s="792"/>
      <c r="F18" s="793"/>
      <c r="G18" s="2214"/>
      <c r="H18" s="2215"/>
      <c r="I18" s="794"/>
      <c r="J18" s="795"/>
      <c r="K18" s="796"/>
      <c r="L18" s="797"/>
      <c r="M18" s="797"/>
      <c r="N18" s="797"/>
      <c r="O18" s="797"/>
      <c r="P18" s="1284"/>
      <c r="Q18" s="798"/>
      <c r="R18" s="799"/>
      <c r="S18" s="797"/>
      <c r="T18" s="784"/>
      <c r="U18" s="2"/>
      <c r="V18" s="1295"/>
      <c r="W18" s="785"/>
      <c r="X18" s="2"/>
      <c r="Y18" s="800">
        <f t="shared" ref="Y18:Y81" si="17">IF(AND(E18&gt;0,F18&gt;0),"["&amp;RIGHT(LEFT(E18,3),2)&amp;RIGHT(LEFT(F18,FIND("]",F18)-1),IF(FIND("]",F18)-1&gt;2,2,1))&amp;"]",)</f>
        <v>0</v>
      </c>
      <c r="Z18" s="786">
        <f t="shared" si="14"/>
        <v>0</v>
      </c>
      <c r="AA18" s="786">
        <f t="shared" si="15"/>
        <v>0</v>
      </c>
      <c r="AB18" s="800">
        <f>IF(Y18=0,,VLOOKUP(Y18,リスト!CX:CY,2,0))</f>
        <v>0</v>
      </c>
      <c r="AC18" s="800">
        <f t="shared" si="1"/>
        <v>0</v>
      </c>
      <c r="AD18" s="801">
        <f>IF(AC18=0,,VLOOKUP(AC18,リスト!DK:DL,2,0))</f>
        <v>0</v>
      </c>
      <c r="AE18" s="786">
        <f>IF(Y18=0,,
IF(OR(リスト!$C$21="小麦",リスト!$C$21="二条大麦",リスト!$C$21="六条大麦",リスト!$C$21="はだか麦",リスト!$C$21="なたね"),IF(K18&lt;9,調査年-J18,調査年-J18-1),
IF(リスト!$C$21="さとうきび",IF(K18&gt;=4,調査年-J18,調査年-J18+1),
調査年-J18)))</f>
        <v>0</v>
      </c>
      <c r="AF18" s="306">
        <f t="shared" si="2"/>
        <v>0</v>
      </c>
      <c r="AG18" s="306">
        <f t="shared" si="3"/>
        <v>0</v>
      </c>
      <c r="AH18" s="306">
        <f t="shared" si="4"/>
        <v>0</v>
      </c>
      <c r="AI18" s="306">
        <f t="shared" si="5"/>
        <v>0</v>
      </c>
      <c r="AJ18" s="306">
        <f t="shared" si="6"/>
        <v>0</v>
      </c>
      <c r="AK18" s="306">
        <f t="shared" si="16"/>
        <v>0</v>
      </c>
      <c r="AL18" s="306">
        <f t="shared" si="7"/>
        <v>0</v>
      </c>
      <c r="AM18" s="306">
        <f t="shared" si="8"/>
        <v>0</v>
      </c>
      <c r="AN18" s="477"/>
      <c r="AO18" s="788">
        <f>IF(OR(P18=0,AG18=0),,
IF(OR(リスト!$C$21="小麦",リスト!$C$21="二条大麦",リスト!$C$21="六条大麦",リスト!$C$21="はだか麦",リスト!$C$21="なたね"),IF(OR(AND(K18&lt;9,J18=調査年),AND(K18&gt;=9,J18=調査年-1)),,ROUND(AG18*P18%,0)),
IF(リスト!$C$21="さとうきび",IF(OR(AND(K18&gt;=4,J18=調査年),AND(K18&lt;4,J18=調査年+1)),,ROUND(AG18*P18%,0)),
IF(J18=調査年,,ROUND(AG18*P18%,0)))))</f>
        <v>0</v>
      </c>
      <c r="AP18" s="788">
        <f t="shared" si="9"/>
        <v>0</v>
      </c>
      <c r="AQ18" s="306">
        <f t="shared" si="10"/>
        <v>0</v>
      </c>
      <c r="AR18" s="788">
        <f t="shared" si="11"/>
        <v>0</v>
      </c>
      <c r="AS18" s="306">
        <f>IF(P18=0,,
SUM(
IF(OR(リスト!$C$21="小麦",リスト!$C$21="二条大麦",リスト!$C$21="六条大麦",リスト!$C$21="はだか麦",リスト!$C$21="なたね"),IF(OR(AND(Z18=1,K18&lt;9,J18=調査年),AND(Z18=1,K18&gt;=9,J18=調査年-1)),ROUND(L18*P18%,0),),
IF(リスト!$C$21="さとうきび",IF(OR(AND(Z18=1,K18&gt;=4,J18=調査年),AND(Z18=1,K18&lt;4,J18=調査年+1)),ROUND(L18*P18%,0),),
IF(AND(Z18=1,J18=調査年),ROUND(L18*P18%,0),))),
ROUND(N18*P18%,0),
ROUND(SUM(AK18)*P18%,0)
))</f>
        <v>0</v>
      </c>
      <c r="AT18" s="306">
        <f t="shared" si="12"/>
        <v>0</v>
      </c>
      <c r="AU18" s="306" t="str">
        <f t="shared" si="13"/>
        <v/>
      </c>
      <c r="AV18" s="802"/>
      <c r="AW18" s="802"/>
      <c r="AX18" s="802"/>
      <c r="AY18" s="802"/>
      <c r="AZ18" s="802"/>
    </row>
    <row r="19" spans="3:52" s="174" customFormat="1" ht="30" customHeight="1">
      <c r="C19" s="790">
        <v>4</v>
      </c>
      <c r="D19" s="803"/>
      <c r="E19" s="792"/>
      <c r="F19" s="793"/>
      <c r="G19" s="2214"/>
      <c r="H19" s="2215"/>
      <c r="I19" s="794"/>
      <c r="J19" s="795"/>
      <c r="K19" s="796"/>
      <c r="L19" s="797"/>
      <c r="M19" s="797"/>
      <c r="N19" s="797"/>
      <c r="O19" s="797"/>
      <c r="P19" s="1284"/>
      <c r="Q19" s="798"/>
      <c r="R19" s="799"/>
      <c r="S19" s="797"/>
      <c r="T19" s="784"/>
      <c r="U19" s="2"/>
      <c r="V19" s="1295"/>
      <c r="W19" s="785"/>
      <c r="X19" s="2"/>
      <c r="Y19" s="800">
        <f t="shared" si="17"/>
        <v>0</v>
      </c>
      <c r="Z19" s="786">
        <f t="shared" si="14"/>
        <v>0</v>
      </c>
      <c r="AA19" s="786">
        <f t="shared" si="15"/>
        <v>0</v>
      </c>
      <c r="AB19" s="800">
        <f>IF(Y19=0,,VLOOKUP(Y19,リスト!CX:CY,2,0))</f>
        <v>0</v>
      </c>
      <c r="AC19" s="800">
        <f t="shared" si="1"/>
        <v>0</v>
      </c>
      <c r="AD19" s="801">
        <f>IF(AC19=0,,VLOOKUP(AC19,リスト!DK:DL,2,0))</f>
        <v>0</v>
      </c>
      <c r="AE19" s="786">
        <f>IF(Y19=0,,
IF(OR(リスト!$C$21="小麦",リスト!$C$21="二条大麦",リスト!$C$21="六条大麦",リスト!$C$21="はだか麦",リスト!$C$21="なたね"),IF(K19&lt;9,調査年-J19,調査年-J19-1),
IF(リスト!$C$21="さとうきび",IF(K19&gt;=4,調査年-J19,調査年-J19+1),
調査年-J19)))</f>
        <v>0</v>
      </c>
      <c r="AF19" s="306">
        <f t="shared" si="2"/>
        <v>0</v>
      </c>
      <c r="AG19" s="306">
        <f t="shared" si="3"/>
        <v>0</v>
      </c>
      <c r="AH19" s="306">
        <f t="shared" si="4"/>
        <v>0</v>
      </c>
      <c r="AI19" s="306">
        <f t="shared" si="5"/>
        <v>0</v>
      </c>
      <c r="AJ19" s="306">
        <f t="shared" si="6"/>
        <v>0</v>
      </c>
      <c r="AK19" s="306">
        <f t="shared" si="16"/>
        <v>0</v>
      </c>
      <c r="AL19" s="306">
        <f t="shared" si="7"/>
        <v>0</v>
      </c>
      <c r="AM19" s="306">
        <f t="shared" si="8"/>
        <v>0</v>
      </c>
      <c r="AN19" s="477"/>
      <c r="AO19" s="788">
        <f>IF(OR(P19=0,AG19=0),,
IF(OR(リスト!$C$21="小麦",リスト!$C$21="二条大麦",リスト!$C$21="六条大麦",リスト!$C$21="はだか麦",リスト!$C$21="なたね"),IF(OR(AND(K19&lt;9,J19=調査年),AND(K19&gt;=9,J19=調査年-1)),,ROUND(AG19*P19%,0)),
IF(リスト!$C$21="さとうきび",IF(OR(AND(K19&gt;=4,J19=調査年),AND(K19&lt;4,J19=調査年+1)),,ROUND(AG19*P19%,0)),
IF(J19=調査年,,ROUND(AG19*P19%,0)))))</f>
        <v>0</v>
      </c>
      <c r="AP19" s="788">
        <f t="shared" si="9"/>
        <v>0</v>
      </c>
      <c r="AQ19" s="306">
        <f t="shared" si="10"/>
        <v>0</v>
      </c>
      <c r="AR19" s="788">
        <f t="shared" si="11"/>
        <v>0</v>
      </c>
      <c r="AS19" s="306">
        <f>IF(P19=0,,
SUM(
IF(OR(リスト!$C$21="小麦",リスト!$C$21="二条大麦",リスト!$C$21="六条大麦",リスト!$C$21="はだか麦",リスト!$C$21="なたね"),IF(OR(AND(Z19=1,K19&lt;9,J19=調査年),AND(Z19=1,K19&gt;=9,J19=調査年-1)),ROUND(L19*P19%,0),),
IF(リスト!$C$21="さとうきび",IF(OR(AND(Z19=1,K19&gt;=4,J19=調査年),AND(Z19=1,K19&lt;4,J19=調査年+1)),ROUND(L19*P19%,0),),
IF(AND(Z19=1,J19=調査年),ROUND(L19*P19%,0),))),
ROUND(N19*P19%,0),
ROUND(SUM(AK19)*P19%,0)
))</f>
        <v>0</v>
      </c>
      <c r="AT19" s="306">
        <f t="shared" si="12"/>
        <v>0</v>
      </c>
      <c r="AU19" s="306" t="str">
        <f t="shared" si="13"/>
        <v/>
      </c>
      <c r="AV19" s="802"/>
      <c r="AW19" s="802"/>
      <c r="AX19" s="802"/>
      <c r="AY19" s="802"/>
      <c r="AZ19" s="802"/>
    </row>
    <row r="20" spans="3:52" s="174" customFormat="1" ht="30" customHeight="1">
      <c r="C20" s="790">
        <v>5</v>
      </c>
      <c r="D20" s="803"/>
      <c r="E20" s="792"/>
      <c r="F20" s="793"/>
      <c r="G20" s="2214"/>
      <c r="H20" s="2215"/>
      <c r="I20" s="794"/>
      <c r="J20" s="795"/>
      <c r="K20" s="796"/>
      <c r="L20" s="797"/>
      <c r="M20" s="797"/>
      <c r="N20" s="797"/>
      <c r="O20" s="797"/>
      <c r="P20" s="1284"/>
      <c r="Q20" s="798"/>
      <c r="R20" s="799"/>
      <c r="S20" s="797"/>
      <c r="T20" s="784"/>
      <c r="U20" s="2"/>
      <c r="V20" s="1295"/>
      <c r="W20" s="785"/>
      <c r="X20" s="2"/>
      <c r="Y20" s="800">
        <f t="shared" si="17"/>
        <v>0</v>
      </c>
      <c r="Z20" s="786">
        <f t="shared" si="14"/>
        <v>0</v>
      </c>
      <c r="AA20" s="786">
        <f t="shared" si="15"/>
        <v>0</v>
      </c>
      <c r="AB20" s="800">
        <f>IF(Y20=0,,VLOOKUP(Y20,リスト!CX:CY,2,0))</f>
        <v>0</v>
      </c>
      <c r="AC20" s="800">
        <f t="shared" si="1"/>
        <v>0</v>
      </c>
      <c r="AD20" s="801">
        <f>IF(AC20=0,,VLOOKUP(AC20,リスト!DK:DL,2,0))</f>
        <v>0</v>
      </c>
      <c r="AE20" s="786">
        <f>IF(Y20=0,,
IF(OR(リスト!$C$21="小麦",リスト!$C$21="二条大麦",リスト!$C$21="六条大麦",リスト!$C$21="はだか麦",リスト!$C$21="なたね"),IF(K20&lt;9,調査年-J20,調査年-J20-1),
IF(リスト!$C$21="さとうきび",IF(K20&gt;=4,調査年-J20,調査年-J20+1),
調査年-J20)))</f>
        <v>0</v>
      </c>
      <c r="AF20" s="306">
        <f t="shared" si="2"/>
        <v>0</v>
      </c>
      <c r="AG20" s="306">
        <f t="shared" si="3"/>
        <v>0</v>
      </c>
      <c r="AH20" s="306">
        <f t="shared" si="4"/>
        <v>0</v>
      </c>
      <c r="AI20" s="306">
        <f t="shared" si="5"/>
        <v>0</v>
      </c>
      <c r="AJ20" s="306">
        <f t="shared" si="6"/>
        <v>0</v>
      </c>
      <c r="AK20" s="306">
        <f t="shared" si="16"/>
        <v>0</v>
      </c>
      <c r="AL20" s="306">
        <f t="shared" si="7"/>
        <v>0</v>
      </c>
      <c r="AM20" s="306">
        <f t="shared" si="8"/>
        <v>0</v>
      </c>
      <c r="AN20" s="477"/>
      <c r="AO20" s="788">
        <f>IF(OR(P20=0,AG20=0),,
IF(OR(リスト!$C$21="小麦",リスト!$C$21="二条大麦",リスト!$C$21="六条大麦",リスト!$C$21="はだか麦",リスト!$C$21="なたね"),IF(OR(AND(K20&lt;9,J20=調査年),AND(K20&gt;=9,J20=調査年-1)),,ROUND(AG20*P20%,0)),
IF(リスト!$C$21="さとうきび",IF(OR(AND(K20&gt;=4,J20=調査年),AND(K20&lt;4,J20=調査年+1)),,ROUND(AG20*P20%,0)),
IF(J20=調査年,,ROUND(AG20*P20%,0)))))</f>
        <v>0</v>
      </c>
      <c r="AP20" s="788">
        <f t="shared" si="9"/>
        <v>0</v>
      </c>
      <c r="AQ20" s="306">
        <f t="shared" si="10"/>
        <v>0</v>
      </c>
      <c r="AR20" s="788">
        <f t="shared" si="11"/>
        <v>0</v>
      </c>
      <c r="AS20" s="306">
        <f>IF(P20=0,,
SUM(
IF(OR(リスト!$C$21="小麦",リスト!$C$21="二条大麦",リスト!$C$21="六条大麦",リスト!$C$21="はだか麦",リスト!$C$21="なたね"),IF(OR(AND(Z20=1,K20&lt;9,J20=調査年),AND(Z20=1,K20&gt;=9,J20=調査年-1)),ROUND(L20*P20%,0),),
IF(リスト!$C$21="さとうきび",IF(OR(AND(Z20=1,K20&gt;=4,J20=調査年),AND(Z20=1,K20&lt;4,J20=調査年+1)),ROUND(L20*P20%,0),),
IF(AND(Z20=1,J20=調査年),ROUND(L20*P20%,0),))),
ROUND(N20*P20%,0),
ROUND(SUM(AK20)*P20%,0)
))</f>
        <v>0</v>
      </c>
      <c r="AT20" s="306">
        <f t="shared" si="12"/>
        <v>0</v>
      </c>
      <c r="AU20" s="306" t="str">
        <f t="shared" si="13"/>
        <v/>
      </c>
      <c r="AV20" s="802"/>
      <c r="AW20" s="802"/>
      <c r="AX20" s="802"/>
      <c r="AY20" s="802"/>
      <c r="AZ20" s="802"/>
    </row>
    <row r="21" spans="3:52" s="174" customFormat="1" ht="30" customHeight="1">
      <c r="C21" s="790">
        <v>6</v>
      </c>
      <c r="D21" s="803"/>
      <c r="E21" s="792"/>
      <c r="F21" s="793"/>
      <c r="G21" s="2214"/>
      <c r="H21" s="2215"/>
      <c r="I21" s="794"/>
      <c r="J21" s="795"/>
      <c r="K21" s="796"/>
      <c r="L21" s="797"/>
      <c r="M21" s="797"/>
      <c r="N21" s="797"/>
      <c r="O21" s="797"/>
      <c r="P21" s="1284"/>
      <c r="Q21" s="798"/>
      <c r="R21" s="799"/>
      <c r="S21" s="797"/>
      <c r="T21" s="784"/>
      <c r="U21" s="2"/>
      <c r="V21" s="1295"/>
      <c r="W21" s="785"/>
      <c r="X21" s="2"/>
      <c r="Y21" s="800">
        <f t="shared" si="17"/>
        <v>0</v>
      </c>
      <c r="Z21" s="786">
        <f t="shared" si="14"/>
        <v>0</v>
      </c>
      <c r="AA21" s="786">
        <f t="shared" si="15"/>
        <v>0</v>
      </c>
      <c r="AB21" s="800">
        <f>IF(Y21=0,,VLOOKUP(Y21,リスト!CX:CY,2,0))</f>
        <v>0</v>
      </c>
      <c r="AC21" s="800">
        <f t="shared" si="1"/>
        <v>0</v>
      </c>
      <c r="AD21" s="801">
        <f>IF(AC21=0,,VLOOKUP(AC21,リスト!DK:DL,2,0))</f>
        <v>0</v>
      </c>
      <c r="AE21" s="786">
        <f>IF(Y21=0,,
IF(OR(リスト!$C$21="小麦",リスト!$C$21="二条大麦",リスト!$C$21="六条大麦",リスト!$C$21="はだか麦",リスト!$C$21="なたね"),IF(K21&lt;9,調査年-J21,調査年-J21-1),
IF(リスト!$C$21="さとうきび",IF(K21&gt;=4,調査年-J21,調査年-J21+1),
調査年-J21)))</f>
        <v>0</v>
      </c>
      <c r="AF21" s="306">
        <f t="shared" si="2"/>
        <v>0</v>
      </c>
      <c r="AG21" s="306">
        <f t="shared" si="3"/>
        <v>0</v>
      </c>
      <c r="AH21" s="306">
        <f t="shared" si="4"/>
        <v>0</v>
      </c>
      <c r="AI21" s="306">
        <f t="shared" si="5"/>
        <v>0</v>
      </c>
      <c r="AJ21" s="306">
        <f t="shared" si="6"/>
        <v>0</v>
      </c>
      <c r="AK21" s="306">
        <f t="shared" si="16"/>
        <v>0</v>
      </c>
      <c r="AL21" s="306">
        <f t="shared" si="7"/>
        <v>0</v>
      </c>
      <c r="AM21" s="306">
        <f t="shared" si="8"/>
        <v>0</v>
      </c>
      <c r="AN21" s="477"/>
      <c r="AO21" s="788">
        <f>IF(OR(P21=0,AG21=0),,
IF(OR(リスト!$C$21="小麦",リスト!$C$21="二条大麦",リスト!$C$21="六条大麦",リスト!$C$21="はだか麦",リスト!$C$21="なたね"),IF(OR(AND(K21&lt;9,J21=調査年),AND(K21&gt;=9,J21=調査年-1)),,ROUND(AG21*P21%,0)),
IF(リスト!$C$21="さとうきび",IF(OR(AND(K21&gt;=4,J21=調査年),AND(K21&lt;4,J21=調査年+1)),,ROUND(AG21*P21%,0)),
IF(J21=調査年,,ROUND(AG21*P21%,0)))))</f>
        <v>0</v>
      </c>
      <c r="AP21" s="788">
        <f t="shared" si="9"/>
        <v>0</v>
      </c>
      <c r="AQ21" s="306">
        <f t="shared" si="10"/>
        <v>0</v>
      </c>
      <c r="AR21" s="788">
        <f t="shared" si="11"/>
        <v>0</v>
      </c>
      <c r="AS21" s="306">
        <f>IF(P21=0,,
SUM(
IF(OR(リスト!$C$21="小麦",リスト!$C$21="二条大麦",リスト!$C$21="六条大麦",リスト!$C$21="はだか麦",リスト!$C$21="なたね"),IF(OR(AND(Z21=1,K21&lt;9,J21=調査年),AND(Z21=1,K21&gt;=9,J21=調査年-1)),ROUND(L21*P21%,0),),
IF(リスト!$C$21="さとうきび",IF(OR(AND(Z21=1,K21&gt;=4,J21=調査年),AND(Z21=1,K21&lt;4,J21=調査年+1)),ROUND(L21*P21%,0),),
IF(AND(Z21=1,J21=調査年),ROUND(L21*P21%,0),))),
ROUND(N21*P21%,0),
ROUND(SUM(AK21)*P21%,0)
))</f>
        <v>0</v>
      </c>
      <c r="AT21" s="306">
        <f t="shared" si="12"/>
        <v>0</v>
      </c>
      <c r="AU21" s="306" t="str">
        <f t="shared" si="13"/>
        <v/>
      </c>
      <c r="AV21" s="802"/>
      <c r="AW21" s="802"/>
      <c r="AX21" s="802"/>
      <c r="AY21" s="802"/>
      <c r="AZ21" s="802"/>
    </row>
    <row r="22" spans="3:52" s="174" customFormat="1" ht="30" customHeight="1">
      <c r="C22" s="790">
        <v>7</v>
      </c>
      <c r="D22" s="803"/>
      <c r="E22" s="792"/>
      <c r="F22" s="793"/>
      <c r="G22" s="2214"/>
      <c r="H22" s="2215"/>
      <c r="I22" s="794"/>
      <c r="J22" s="795"/>
      <c r="K22" s="796"/>
      <c r="L22" s="797"/>
      <c r="M22" s="797"/>
      <c r="N22" s="797"/>
      <c r="O22" s="797"/>
      <c r="P22" s="1284"/>
      <c r="Q22" s="798"/>
      <c r="R22" s="799"/>
      <c r="S22" s="797"/>
      <c r="T22" s="784"/>
      <c r="U22" s="2"/>
      <c r="V22" s="1295"/>
      <c r="W22" s="785"/>
      <c r="X22" s="2"/>
      <c r="Y22" s="800">
        <f t="shared" si="17"/>
        <v>0</v>
      </c>
      <c r="Z22" s="786">
        <f t="shared" si="14"/>
        <v>0</v>
      </c>
      <c r="AA22" s="786">
        <f t="shared" si="15"/>
        <v>0</v>
      </c>
      <c r="AB22" s="800">
        <f>IF(Y22=0,,VLOOKUP(Y22,リスト!CX:CY,2,0))</f>
        <v>0</v>
      </c>
      <c r="AC22" s="800">
        <f t="shared" si="1"/>
        <v>0</v>
      </c>
      <c r="AD22" s="801">
        <f>IF(AC22=0,,VLOOKUP(AC22,リスト!DK:DL,2,0))</f>
        <v>0</v>
      </c>
      <c r="AE22" s="786">
        <f>IF(Y22=0,,
IF(OR(リスト!$C$21="小麦",リスト!$C$21="二条大麦",リスト!$C$21="六条大麦",リスト!$C$21="はだか麦",リスト!$C$21="なたね"),IF(K22&lt;9,調査年-J22,調査年-J22-1),
IF(リスト!$C$21="さとうきび",IF(K22&gt;=4,調査年-J22,調査年-J22+1),
調査年-J22)))</f>
        <v>0</v>
      </c>
      <c r="AF22" s="306">
        <f t="shared" si="2"/>
        <v>0</v>
      </c>
      <c r="AG22" s="306">
        <f t="shared" si="3"/>
        <v>0</v>
      </c>
      <c r="AH22" s="306">
        <f t="shared" si="4"/>
        <v>0</v>
      </c>
      <c r="AI22" s="306">
        <f t="shared" si="5"/>
        <v>0</v>
      </c>
      <c r="AJ22" s="306">
        <f t="shared" si="6"/>
        <v>0</v>
      </c>
      <c r="AK22" s="306">
        <f t="shared" si="16"/>
        <v>0</v>
      </c>
      <c r="AL22" s="306">
        <f t="shared" si="7"/>
        <v>0</v>
      </c>
      <c r="AM22" s="306">
        <f t="shared" si="8"/>
        <v>0</v>
      </c>
      <c r="AN22" s="477"/>
      <c r="AO22" s="788">
        <f>IF(OR(P22=0,AG22=0),,
IF(OR(リスト!$C$21="小麦",リスト!$C$21="二条大麦",リスト!$C$21="六条大麦",リスト!$C$21="はだか麦",リスト!$C$21="なたね"),IF(OR(AND(K22&lt;9,J22=調査年),AND(K22&gt;=9,J22=調査年-1)),,ROUND(AG22*P22%,0)),
IF(リスト!$C$21="さとうきび",IF(OR(AND(K22&gt;=4,J22=調査年),AND(K22&lt;4,J22=調査年+1)),,ROUND(AG22*P22%,0)),
IF(J22=調査年,,ROUND(AG22*P22%,0)))))</f>
        <v>0</v>
      </c>
      <c r="AP22" s="788">
        <f t="shared" si="9"/>
        <v>0</v>
      </c>
      <c r="AQ22" s="306">
        <f t="shared" si="10"/>
        <v>0</v>
      </c>
      <c r="AR22" s="788">
        <f t="shared" si="11"/>
        <v>0</v>
      </c>
      <c r="AS22" s="306">
        <f>IF(P22=0,,
SUM(
IF(OR(リスト!$C$21="小麦",リスト!$C$21="二条大麦",リスト!$C$21="六条大麦",リスト!$C$21="はだか麦",リスト!$C$21="なたね"),IF(OR(AND(Z22=1,K22&lt;9,J22=調査年),AND(Z22=1,K22&gt;=9,J22=調査年-1)),ROUND(L22*P22%,0),),
IF(リスト!$C$21="さとうきび",IF(OR(AND(Z22=1,K22&gt;=4,J22=調査年),AND(Z22=1,K22&lt;4,J22=調査年+1)),ROUND(L22*P22%,0),),
IF(AND(Z22=1,J22=調査年),ROUND(L22*P22%,0),))),
ROUND(N22*P22%,0),
ROUND(SUM(AK22)*P22%,0)
))</f>
        <v>0</v>
      </c>
      <c r="AT22" s="306">
        <f t="shared" si="12"/>
        <v>0</v>
      </c>
      <c r="AU22" s="306" t="str">
        <f t="shared" si="13"/>
        <v/>
      </c>
      <c r="AV22" s="802"/>
      <c r="AW22" s="802"/>
      <c r="AX22" s="802"/>
      <c r="AY22" s="802"/>
      <c r="AZ22" s="802"/>
    </row>
    <row r="23" spans="3:52" s="174" customFormat="1" ht="30" customHeight="1">
      <c r="C23" s="790">
        <v>8</v>
      </c>
      <c r="D23" s="803"/>
      <c r="E23" s="792"/>
      <c r="F23" s="793"/>
      <c r="G23" s="2214"/>
      <c r="H23" s="2215"/>
      <c r="I23" s="794"/>
      <c r="J23" s="795"/>
      <c r="K23" s="796"/>
      <c r="L23" s="797"/>
      <c r="M23" s="797"/>
      <c r="N23" s="797"/>
      <c r="O23" s="797"/>
      <c r="P23" s="1284"/>
      <c r="Q23" s="798"/>
      <c r="R23" s="799"/>
      <c r="S23" s="797"/>
      <c r="T23" s="784"/>
      <c r="U23" s="2"/>
      <c r="V23" s="1295"/>
      <c r="W23" s="785"/>
      <c r="X23" s="2"/>
      <c r="Y23" s="800">
        <f t="shared" si="17"/>
        <v>0</v>
      </c>
      <c r="Z23" s="786">
        <f t="shared" si="14"/>
        <v>0</v>
      </c>
      <c r="AA23" s="786">
        <f t="shared" si="15"/>
        <v>0</v>
      </c>
      <c r="AB23" s="800">
        <f>IF(Y23=0,,VLOOKUP(Y23,リスト!CX:CY,2,0))</f>
        <v>0</v>
      </c>
      <c r="AC23" s="800">
        <f t="shared" si="1"/>
        <v>0</v>
      </c>
      <c r="AD23" s="801">
        <f>IF(AC23=0,,VLOOKUP(AC23,リスト!DK:DL,2,0))</f>
        <v>0</v>
      </c>
      <c r="AE23" s="786">
        <f>IF(Y23=0,,
IF(OR(リスト!$C$21="小麦",リスト!$C$21="二条大麦",リスト!$C$21="六条大麦",リスト!$C$21="はだか麦",リスト!$C$21="なたね"),IF(K23&lt;9,調査年-J23,調査年-J23-1),
IF(リスト!$C$21="さとうきび",IF(K23&gt;=4,調査年-J23,調査年-J23+1),
調査年-J23)))</f>
        <v>0</v>
      </c>
      <c r="AF23" s="306">
        <f t="shared" si="2"/>
        <v>0</v>
      </c>
      <c r="AG23" s="306">
        <f t="shared" si="3"/>
        <v>0</v>
      </c>
      <c r="AH23" s="306">
        <f t="shared" si="4"/>
        <v>0</v>
      </c>
      <c r="AI23" s="306">
        <f t="shared" si="5"/>
        <v>0</v>
      </c>
      <c r="AJ23" s="306">
        <f t="shared" si="6"/>
        <v>0</v>
      </c>
      <c r="AK23" s="306">
        <f t="shared" si="16"/>
        <v>0</v>
      </c>
      <c r="AL23" s="306">
        <f t="shared" si="7"/>
        <v>0</v>
      </c>
      <c r="AM23" s="306">
        <f t="shared" si="8"/>
        <v>0</v>
      </c>
      <c r="AN23" s="477"/>
      <c r="AO23" s="788">
        <f>IF(OR(P23=0,AG23=0),,
IF(OR(リスト!$C$21="小麦",リスト!$C$21="二条大麦",リスト!$C$21="六条大麦",リスト!$C$21="はだか麦",リスト!$C$21="なたね"),IF(OR(AND(K23&lt;9,J23=調査年),AND(K23&gt;=9,J23=調査年-1)),,ROUND(AG23*P23%,0)),
IF(リスト!$C$21="さとうきび",IF(OR(AND(K23&gt;=4,J23=調査年),AND(K23&lt;4,J23=調査年+1)),,ROUND(AG23*P23%,0)),
IF(J23=調査年,,ROUND(AG23*P23%,0)))))</f>
        <v>0</v>
      </c>
      <c r="AP23" s="788">
        <f t="shared" si="9"/>
        <v>0</v>
      </c>
      <c r="AQ23" s="306">
        <f t="shared" si="10"/>
        <v>0</v>
      </c>
      <c r="AR23" s="788">
        <f t="shared" si="11"/>
        <v>0</v>
      </c>
      <c r="AS23" s="306">
        <f>IF(P23=0,,
SUM(
IF(OR(リスト!$C$21="小麦",リスト!$C$21="二条大麦",リスト!$C$21="六条大麦",リスト!$C$21="はだか麦",リスト!$C$21="なたね"),IF(OR(AND(Z23=1,K23&lt;9,J23=調査年),AND(Z23=1,K23&gt;=9,J23=調査年-1)),ROUND(L23*P23%,0),),
IF(リスト!$C$21="さとうきび",IF(OR(AND(Z23=1,K23&gt;=4,J23=調査年),AND(Z23=1,K23&lt;4,J23=調査年+1)),ROUND(L23*P23%,0),),
IF(AND(Z23=1,J23=調査年),ROUND(L23*P23%,0),))),
ROUND(N23*P23%,0),
ROUND(SUM(AK23)*P23%,0)
))</f>
        <v>0</v>
      </c>
      <c r="AT23" s="306">
        <f t="shared" si="12"/>
        <v>0</v>
      </c>
      <c r="AU23" s="306" t="str">
        <f t="shared" si="13"/>
        <v/>
      </c>
      <c r="AV23" s="802"/>
      <c r="AW23" s="802"/>
      <c r="AX23" s="802"/>
      <c r="AY23" s="802"/>
      <c r="AZ23" s="802"/>
    </row>
    <row r="24" spans="3:52" s="174" customFormat="1" ht="30" customHeight="1">
      <c r="C24" s="790">
        <v>9</v>
      </c>
      <c r="D24" s="803"/>
      <c r="E24" s="792"/>
      <c r="F24" s="793"/>
      <c r="G24" s="2214"/>
      <c r="H24" s="2215"/>
      <c r="I24" s="794"/>
      <c r="J24" s="795"/>
      <c r="K24" s="796"/>
      <c r="L24" s="797"/>
      <c r="M24" s="797"/>
      <c r="N24" s="797"/>
      <c r="O24" s="797"/>
      <c r="P24" s="1284"/>
      <c r="Q24" s="798"/>
      <c r="R24" s="799"/>
      <c r="S24" s="797"/>
      <c r="T24" s="784"/>
      <c r="U24" s="2"/>
      <c r="V24" s="1295"/>
      <c r="W24" s="785"/>
      <c r="X24" s="2"/>
      <c r="Y24" s="800">
        <f t="shared" si="17"/>
        <v>0</v>
      </c>
      <c r="Z24" s="786">
        <f t="shared" si="14"/>
        <v>0</v>
      </c>
      <c r="AA24" s="786">
        <f t="shared" si="15"/>
        <v>0</v>
      </c>
      <c r="AB24" s="800">
        <f>IF(Y24=0,,VLOOKUP(Y24,リスト!CX:CY,2,0))</f>
        <v>0</v>
      </c>
      <c r="AC24" s="800">
        <f t="shared" si="1"/>
        <v>0</v>
      </c>
      <c r="AD24" s="801">
        <f>IF(AC24=0,,VLOOKUP(AC24,リスト!DK:DL,2,0))</f>
        <v>0</v>
      </c>
      <c r="AE24" s="786">
        <f>IF(Y24=0,,
IF(OR(リスト!$C$21="小麦",リスト!$C$21="二条大麦",リスト!$C$21="六条大麦",リスト!$C$21="はだか麦",リスト!$C$21="なたね"),IF(K24&lt;9,調査年-J24,調査年-J24-1),
IF(リスト!$C$21="さとうきび",IF(K24&gt;=4,調査年-J24,調査年-J24+1),
調査年-J24)))</f>
        <v>0</v>
      </c>
      <c r="AF24" s="306">
        <f t="shared" si="2"/>
        <v>0</v>
      </c>
      <c r="AG24" s="306">
        <f t="shared" si="3"/>
        <v>0</v>
      </c>
      <c r="AH24" s="306">
        <f t="shared" si="4"/>
        <v>0</v>
      </c>
      <c r="AI24" s="306">
        <f t="shared" si="5"/>
        <v>0</v>
      </c>
      <c r="AJ24" s="306">
        <f t="shared" si="6"/>
        <v>0</v>
      </c>
      <c r="AK24" s="306">
        <f t="shared" si="16"/>
        <v>0</v>
      </c>
      <c r="AL24" s="306">
        <f t="shared" si="7"/>
        <v>0</v>
      </c>
      <c r="AM24" s="306">
        <f t="shared" si="8"/>
        <v>0</v>
      </c>
      <c r="AN24" s="477"/>
      <c r="AO24" s="788">
        <f>IF(OR(P24=0,AG24=0),,
IF(OR(リスト!$C$21="小麦",リスト!$C$21="二条大麦",リスト!$C$21="六条大麦",リスト!$C$21="はだか麦",リスト!$C$21="なたね"),IF(OR(AND(K24&lt;9,J24=調査年),AND(K24&gt;=9,J24=調査年-1)),,ROUND(AG24*P24%,0)),
IF(リスト!$C$21="さとうきび",IF(OR(AND(K24&gt;=4,J24=調査年),AND(K24&lt;4,J24=調査年+1)),,ROUND(AG24*P24%,0)),
IF(J24=調査年,,ROUND(AG24*P24%,0)))))</f>
        <v>0</v>
      </c>
      <c r="AP24" s="788">
        <f t="shared" si="9"/>
        <v>0</v>
      </c>
      <c r="AQ24" s="306">
        <f t="shared" si="10"/>
        <v>0</v>
      </c>
      <c r="AR24" s="788">
        <f t="shared" si="11"/>
        <v>0</v>
      </c>
      <c r="AS24" s="306">
        <f>IF(P24=0,,
SUM(
IF(OR(リスト!$C$21="小麦",リスト!$C$21="二条大麦",リスト!$C$21="六条大麦",リスト!$C$21="はだか麦",リスト!$C$21="なたね"),IF(OR(AND(Z24=1,K24&lt;9,J24=調査年),AND(Z24=1,K24&gt;=9,J24=調査年-1)),ROUND(L24*P24%,0),),
IF(リスト!$C$21="さとうきび",IF(OR(AND(Z24=1,K24&gt;=4,J24=調査年),AND(Z24=1,K24&lt;4,J24=調査年+1)),ROUND(L24*P24%,0),),
IF(AND(Z24=1,J24=調査年),ROUND(L24*P24%,0),))),
ROUND(N24*P24%,0),
ROUND(SUM(AK24)*P24%,0)
))</f>
        <v>0</v>
      </c>
      <c r="AT24" s="306">
        <f t="shared" si="12"/>
        <v>0</v>
      </c>
      <c r="AU24" s="306" t="str">
        <f t="shared" si="13"/>
        <v/>
      </c>
      <c r="AV24" s="802"/>
      <c r="AW24" s="802"/>
      <c r="AX24" s="802"/>
      <c r="AY24" s="802"/>
      <c r="AZ24" s="802"/>
    </row>
    <row r="25" spans="3:52" s="174" customFormat="1" ht="30" customHeight="1">
      <c r="C25" s="790">
        <v>10</v>
      </c>
      <c r="D25" s="803"/>
      <c r="E25" s="792"/>
      <c r="F25" s="793"/>
      <c r="G25" s="2214"/>
      <c r="H25" s="2215"/>
      <c r="I25" s="794"/>
      <c r="J25" s="795"/>
      <c r="K25" s="796"/>
      <c r="L25" s="797"/>
      <c r="M25" s="797"/>
      <c r="N25" s="797"/>
      <c r="O25" s="797"/>
      <c r="P25" s="1284"/>
      <c r="Q25" s="798"/>
      <c r="R25" s="799"/>
      <c r="S25" s="797"/>
      <c r="T25" s="784"/>
      <c r="U25" s="2"/>
      <c r="V25" s="1295"/>
      <c r="W25" s="785"/>
      <c r="X25" s="2"/>
      <c r="Y25" s="800">
        <f t="shared" si="17"/>
        <v>0</v>
      </c>
      <c r="Z25" s="786">
        <f t="shared" si="14"/>
        <v>0</v>
      </c>
      <c r="AA25" s="786">
        <f t="shared" si="15"/>
        <v>0</v>
      </c>
      <c r="AB25" s="800">
        <f>IF(Y25=0,,VLOOKUP(Y25,リスト!CX:CY,2,0))</f>
        <v>0</v>
      </c>
      <c r="AC25" s="800">
        <f t="shared" si="1"/>
        <v>0</v>
      </c>
      <c r="AD25" s="801">
        <f>IF(AC25=0,,VLOOKUP(AC25,リスト!DK:DL,2,0))</f>
        <v>0</v>
      </c>
      <c r="AE25" s="786">
        <f>IF(Y25=0,,
IF(OR(リスト!$C$21="小麦",リスト!$C$21="二条大麦",リスト!$C$21="六条大麦",リスト!$C$21="はだか麦",リスト!$C$21="なたね"),IF(K25&lt;9,調査年-J25,調査年-J25-1),
IF(リスト!$C$21="さとうきび",IF(K25&gt;=4,調査年-J25,調査年-J25+1),
調査年-J25)))</f>
        <v>0</v>
      </c>
      <c r="AF25" s="306">
        <f t="shared" si="2"/>
        <v>0</v>
      </c>
      <c r="AG25" s="306">
        <f t="shared" si="3"/>
        <v>0</v>
      </c>
      <c r="AH25" s="306">
        <f t="shared" si="4"/>
        <v>0</v>
      </c>
      <c r="AI25" s="306">
        <f t="shared" si="5"/>
        <v>0</v>
      </c>
      <c r="AJ25" s="306">
        <f t="shared" si="6"/>
        <v>0</v>
      </c>
      <c r="AK25" s="306">
        <f t="shared" si="16"/>
        <v>0</v>
      </c>
      <c r="AL25" s="306">
        <f t="shared" si="7"/>
        <v>0</v>
      </c>
      <c r="AM25" s="306">
        <f t="shared" si="8"/>
        <v>0</v>
      </c>
      <c r="AN25" s="477"/>
      <c r="AO25" s="788">
        <f>IF(OR(P25=0,AG25=0),,
IF(OR(リスト!$C$21="小麦",リスト!$C$21="二条大麦",リスト!$C$21="六条大麦",リスト!$C$21="はだか麦",リスト!$C$21="なたね"),IF(OR(AND(K25&lt;9,J25=調査年),AND(K25&gt;=9,J25=調査年-1)),,ROUND(AG25*P25%,0)),
IF(リスト!$C$21="さとうきび",IF(OR(AND(K25&gt;=4,J25=調査年),AND(K25&lt;4,J25=調査年+1)),,ROUND(AG25*P25%,0)),
IF(J25=調査年,,ROUND(AG25*P25%,0)))))</f>
        <v>0</v>
      </c>
      <c r="AP25" s="788">
        <f t="shared" si="9"/>
        <v>0</v>
      </c>
      <c r="AQ25" s="306">
        <f t="shared" si="10"/>
        <v>0</v>
      </c>
      <c r="AR25" s="788">
        <f t="shared" si="11"/>
        <v>0</v>
      </c>
      <c r="AS25" s="306">
        <f>IF(P25=0,,
SUM(
IF(OR(リスト!$C$21="小麦",リスト!$C$21="二条大麦",リスト!$C$21="六条大麦",リスト!$C$21="はだか麦",リスト!$C$21="なたね"),IF(OR(AND(Z25=1,K25&lt;9,J25=調査年),AND(Z25=1,K25&gt;=9,J25=調査年-1)),ROUND(L25*P25%,0),),
IF(リスト!$C$21="さとうきび",IF(OR(AND(Z25=1,K25&gt;=4,J25=調査年),AND(Z25=1,K25&lt;4,J25=調査年+1)),ROUND(L25*P25%,0),),
IF(AND(Z25=1,J25=調査年),ROUND(L25*P25%,0),))),
ROUND(N25*P25%,0),
ROUND(SUM(AK25)*P25%,0)
))</f>
        <v>0</v>
      </c>
      <c r="AT25" s="306">
        <f t="shared" si="12"/>
        <v>0</v>
      </c>
      <c r="AU25" s="306" t="str">
        <f t="shared" si="13"/>
        <v/>
      </c>
      <c r="AV25" s="802"/>
      <c r="AW25" s="802"/>
      <c r="AX25" s="802"/>
      <c r="AY25" s="802"/>
      <c r="AZ25" s="802"/>
    </row>
    <row r="26" spans="3:52" s="174" customFormat="1" ht="30" customHeight="1">
      <c r="C26" s="790">
        <v>11</v>
      </c>
      <c r="D26" s="803"/>
      <c r="E26" s="792"/>
      <c r="F26" s="793"/>
      <c r="G26" s="2214"/>
      <c r="H26" s="2215"/>
      <c r="I26" s="794"/>
      <c r="J26" s="795"/>
      <c r="K26" s="796"/>
      <c r="L26" s="797"/>
      <c r="M26" s="797"/>
      <c r="N26" s="797"/>
      <c r="O26" s="797"/>
      <c r="P26" s="1284"/>
      <c r="Q26" s="798"/>
      <c r="R26" s="799"/>
      <c r="S26" s="797"/>
      <c r="T26" s="784"/>
      <c r="U26" s="2"/>
      <c r="V26" s="1295"/>
      <c r="W26" s="785"/>
      <c r="X26" s="2"/>
      <c r="Y26" s="800">
        <f t="shared" si="17"/>
        <v>0</v>
      </c>
      <c r="Z26" s="786">
        <f t="shared" si="14"/>
        <v>0</v>
      </c>
      <c r="AA26" s="786">
        <f t="shared" si="15"/>
        <v>0</v>
      </c>
      <c r="AB26" s="800">
        <f>IF(Y26=0,,VLOOKUP(Y26,リスト!CX:CY,2,0))</f>
        <v>0</v>
      </c>
      <c r="AC26" s="800">
        <f t="shared" si="1"/>
        <v>0</v>
      </c>
      <c r="AD26" s="801">
        <f>IF(AC26=0,,VLOOKUP(AC26,リスト!DK:DL,2,0))</f>
        <v>0</v>
      </c>
      <c r="AE26" s="786">
        <f>IF(Y26=0,,
IF(OR(リスト!$C$21="小麦",リスト!$C$21="二条大麦",リスト!$C$21="六条大麦",リスト!$C$21="はだか麦",リスト!$C$21="なたね"),IF(K26&lt;9,調査年-J26,調査年-J26-1),
IF(リスト!$C$21="さとうきび",IF(K26&gt;=4,調査年-J26,調査年-J26+1),
調査年-J26)))</f>
        <v>0</v>
      </c>
      <c r="AF26" s="306">
        <f t="shared" si="2"/>
        <v>0</v>
      </c>
      <c r="AG26" s="306">
        <f t="shared" si="3"/>
        <v>0</v>
      </c>
      <c r="AH26" s="306">
        <f t="shared" si="4"/>
        <v>0</v>
      </c>
      <c r="AI26" s="306">
        <f t="shared" si="5"/>
        <v>0</v>
      </c>
      <c r="AJ26" s="306">
        <f t="shared" si="6"/>
        <v>0</v>
      </c>
      <c r="AK26" s="306">
        <f t="shared" si="16"/>
        <v>0</v>
      </c>
      <c r="AL26" s="306">
        <f t="shared" si="7"/>
        <v>0</v>
      </c>
      <c r="AM26" s="306">
        <f t="shared" si="8"/>
        <v>0</v>
      </c>
      <c r="AN26" s="477"/>
      <c r="AO26" s="788">
        <f>IF(OR(P26=0,AG26=0),,
IF(OR(リスト!$C$21="小麦",リスト!$C$21="二条大麦",リスト!$C$21="六条大麦",リスト!$C$21="はだか麦",リスト!$C$21="なたね"),IF(OR(AND(K26&lt;9,J26=調査年),AND(K26&gt;=9,J26=調査年-1)),,ROUND(AG26*P26%,0)),
IF(リスト!$C$21="さとうきび",IF(OR(AND(K26&gt;=4,J26=調査年),AND(K26&lt;4,J26=調査年+1)),,ROUND(AG26*P26%,0)),
IF(J26=調査年,,ROUND(AG26*P26%,0)))))</f>
        <v>0</v>
      </c>
      <c r="AP26" s="788">
        <f t="shared" si="9"/>
        <v>0</v>
      </c>
      <c r="AQ26" s="306">
        <f t="shared" si="10"/>
        <v>0</v>
      </c>
      <c r="AR26" s="788">
        <f t="shared" si="11"/>
        <v>0</v>
      </c>
      <c r="AS26" s="306">
        <f>IF(P26=0,,
SUM(
IF(OR(リスト!$C$21="小麦",リスト!$C$21="二条大麦",リスト!$C$21="六条大麦",リスト!$C$21="はだか麦",リスト!$C$21="なたね"),IF(OR(AND(Z26=1,K26&lt;9,J26=調査年),AND(Z26=1,K26&gt;=9,J26=調査年-1)),ROUND(L26*P26%,0),),
IF(リスト!$C$21="さとうきび",IF(OR(AND(Z26=1,K26&gt;=4,J26=調査年),AND(Z26=1,K26&lt;4,J26=調査年+1)),ROUND(L26*P26%,0),),
IF(AND(Z26=1,J26=調査年),ROUND(L26*P26%,0),))),
ROUND(N26*P26%,0),
ROUND(SUM(AK26)*P26%,0)
))</f>
        <v>0</v>
      </c>
      <c r="AT26" s="306">
        <f t="shared" si="12"/>
        <v>0</v>
      </c>
      <c r="AU26" s="306" t="str">
        <f t="shared" si="13"/>
        <v/>
      </c>
      <c r="AV26" s="802"/>
      <c r="AW26" s="802"/>
      <c r="AX26" s="802"/>
      <c r="AY26" s="802"/>
      <c r="AZ26" s="802"/>
    </row>
    <row r="27" spans="3:52" s="174" customFormat="1" ht="30" customHeight="1">
      <c r="C27" s="790">
        <v>12</v>
      </c>
      <c r="D27" s="803"/>
      <c r="E27" s="792"/>
      <c r="F27" s="793"/>
      <c r="G27" s="2214"/>
      <c r="H27" s="2215"/>
      <c r="I27" s="794"/>
      <c r="J27" s="795"/>
      <c r="K27" s="796"/>
      <c r="L27" s="797"/>
      <c r="M27" s="797"/>
      <c r="N27" s="797"/>
      <c r="O27" s="797"/>
      <c r="P27" s="1284"/>
      <c r="Q27" s="798"/>
      <c r="R27" s="799"/>
      <c r="S27" s="797"/>
      <c r="T27" s="784"/>
      <c r="U27" s="2"/>
      <c r="V27" s="1295"/>
      <c r="W27" s="785"/>
      <c r="X27" s="2"/>
      <c r="Y27" s="800">
        <f t="shared" si="17"/>
        <v>0</v>
      </c>
      <c r="Z27" s="786">
        <f t="shared" si="14"/>
        <v>0</v>
      </c>
      <c r="AA27" s="786">
        <f t="shared" si="15"/>
        <v>0</v>
      </c>
      <c r="AB27" s="800">
        <f>IF(Y27=0,,VLOOKUP(Y27,リスト!CX:CY,2,0))</f>
        <v>0</v>
      </c>
      <c r="AC27" s="800">
        <f t="shared" si="1"/>
        <v>0</v>
      </c>
      <c r="AD27" s="801">
        <f>IF(AC27=0,,VLOOKUP(AC27,リスト!DK:DL,2,0))</f>
        <v>0</v>
      </c>
      <c r="AE27" s="786">
        <f>IF(Y27=0,,
IF(OR(リスト!$C$21="小麦",リスト!$C$21="二条大麦",リスト!$C$21="六条大麦",リスト!$C$21="はだか麦",リスト!$C$21="なたね"),IF(K27&lt;9,調査年-J27,調査年-J27-1),
IF(リスト!$C$21="さとうきび",IF(K27&gt;=4,調査年-J27,調査年-J27+1),
調査年-J27)))</f>
        <v>0</v>
      </c>
      <c r="AF27" s="306">
        <f t="shared" si="2"/>
        <v>0</v>
      </c>
      <c r="AG27" s="306">
        <f t="shared" si="3"/>
        <v>0</v>
      </c>
      <c r="AH27" s="306">
        <f t="shared" si="4"/>
        <v>0</v>
      </c>
      <c r="AI27" s="306">
        <f t="shared" si="5"/>
        <v>0</v>
      </c>
      <c r="AJ27" s="306">
        <f t="shared" si="6"/>
        <v>0</v>
      </c>
      <c r="AK27" s="306">
        <f t="shared" si="16"/>
        <v>0</v>
      </c>
      <c r="AL27" s="306">
        <f t="shared" si="7"/>
        <v>0</v>
      </c>
      <c r="AM27" s="306">
        <f t="shared" si="8"/>
        <v>0</v>
      </c>
      <c r="AN27" s="477"/>
      <c r="AO27" s="788">
        <f>IF(OR(P27=0,AG27=0),,
IF(OR(リスト!$C$21="小麦",リスト!$C$21="二条大麦",リスト!$C$21="六条大麦",リスト!$C$21="はだか麦",リスト!$C$21="なたね"),IF(OR(AND(K27&lt;9,J27=調査年),AND(K27&gt;=9,J27=調査年-1)),,ROUND(AG27*P27%,0)),
IF(リスト!$C$21="さとうきび",IF(OR(AND(K27&gt;=4,J27=調査年),AND(K27&lt;4,J27=調査年+1)),,ROUND(AG27*P27%,0)),
IF(J27=調査年,,ROUND(AG27*P27%,0)))))</f>
        <v>0</v>
      </c>
      <c r="AP27" s="788">
        <f t="shared" si="9"/>
        <v>0</v>
      </c>
      <c r="AQ27" s="306">
        <f t="shared" si="10"/>
        <v>0</v>
      </c>
      <c r="AR27" s="788">
        <f t="shared" si="11"/>
        <v>0</v>
      </c>
      <c r="AS27" s="306">
        <f>IF(P27=0,,
SUM(
IF(OR(リスト!$C$21="小麦",リスト!$C$21="二条大麦",リスト!$C$21="六条大麦",リスト!$C$21="はだか麦",リスト!$C$21="なたね"),IF(OR(AND(Z27=1,K27&lt;9,J27=調査年),AND(Z27=1,K27&gt;=9,J27=調査年-1)),ROUND(L27*P27%,0),),
IF(リスト!$C$21="さとうきび",IF(OR(AND(Z27=1,K27&gt;=4,J27=調査年),AND(Z27=1,K27&lt;4,J27=調査年+1)),ROUND(L27*P27%,0),),
IF(AND(Z27=1,J27=調査年),ROUND(L27*P27%,0),))),
ROUND(N27*P27%,0),
ROUND(SUM(AK27)*P27%,0)
))</f>
        <v>0</v>
      </c>
      <c r="AT27" s="306">
        <f t="shared" si="12"/>
        <v>0</v>
      </c>
      <c r="AU27" s="306" t="str">
        <f t="shared" si="13"/>
        <v/>
      </c>
      <c r="AV27" s="802"/>
      <c r="AW27" s="802"/>
      <c r="AX27" s="802"/>
      <c r="AY27" s="802"/>
      <c r="AZ27" s="802"/>
    </row>
    <row r="28" spans="3:52" s="174" customFormat="1" ht="30" customHeight="1">
      <c r="C28" s="790">
        <v>13</v>
      </c>
      <c r="D28" s="803"/>
      <c r="E28" s="792"/>
      <c r="F28" s="793"/>
      <c r="G28" s="2214"/>
      <c r="H28" s="2215"/>
      <c r="I28" s="794"/>
      <c r="J28" s="795"/>
      <c r="K28" s="796"/>
      <c r="L28" s="797"/>
      <c r="M28" s="797"/>
      <c r="N28" s="797"/>
      <c r="O28" s="797"/>
      <c r="P28" s="1284"/>
      <c r="Q28" s="798"/>
      <c r="R28" s="799"/>
      <c r="S28" s="797"/>
      <c r="T28" s="784"/>
      <c r="U28" s="2"/>
      <c r="V28" s="1295"/>
      <c r="W28" s="785"/>
      <c r="X28" s="2"/>
      <c r="Y28" s="800">
        <f t="shared" si="17"/>
        <v>0</v>
      </c>
      <c r="Z28" s="786">
        <f t="shared" si="14"/>
        <v>0</v>
      </c>
      <c r="AA28" s="786">
        <f t="shared" si="15"/>
        <v>0</v>
      </c>
      <c r="AB28" s="800">
        <f>IF(Y28=0,,VLOOKUP(Y28,リスト!CX:CY,2,0))</f>
        <v>0</v>
      </c>
      <c r="AC28" s="800">
        <f t="shared" si="1"/>
        <v>0</v>
      </c>
      <c r="AD28" s="801">
        <f>IF(AC28=0,,VLOOKUP(AC28,リスト!DK:DL,2,0))</f>
        <v>0</v>
      </c>
      <c r="AE28" s="786">
        <f>IF(Y28=0,,
IF(OR(リスト!$C$21="小麦",リスト!$C$21="二条大麦",リスト!$C$21="六条大麦",リスト!$C$21="はだか麦",リスト!$C$21="なたね"),IF(K28&lt;9,調査年-J28,調査年-J28-1),
IF(リスト!$C$21="さとうきび",IF(K28&gt;=4,調査年-J28,調査年-J28+1),
調査年-J28)))</f>
        <v>0</v>
      </c>
      <c r="AF28" s="306">
        <f t="shared" si="2"/>
        <v>0</v>
      </c>
      <c r="AG28" s="306">
        <f t="shared" si="3"/>
        <v>0</v>
      </c>
      <c r="AH28" s="306">
        <f t="shared" si="4"/>
        <v>0</v>
      </c>
      <c r="AI28" s="306">
        <f t="shared" si="5"/>
        <v>0</v>
      </c>
      <c r="AJ28" s="306">
        <f t="shared" si="6"/>
        <v>0</v>
      </c>
      <c r="AK28" s="306">
        <f t="shared" si="16"/>
        <v>0</v>
      </c>
      <c r="AL28" s="306">
        <f t="shared" si="7"/>
        <v>0</v>
      </c>
      <c r="AM28" s="306">
        <f t="shared" si="8"/>
        <v>0</v>
      </c>
      <c r="AN28" s="477"/>
      <c r="AO28" s="788">
        <f>IF(OR(P28=0,AG28=0),,
IF(OR(リスト!$C$21="小麦",リスト!$C$21="二条大麦",リスト!$C$21="六条大麦",リスト!$C$21="はだか麦",リスト!$C$21="なたね"),IF(OR(AND(K28&lt;9,J28=調査年),AND(K28&gt;=9,J28=調査年-1)),,ROUND(AG28*P28%,0)),
IF(リスト!$C$21="さとうきび",IF(OR(AND(K28&gt;=4,J28=調査年),AND(K28&lt;4,J28=調査年+1)),,ROUND(AG28*P28%,0)),
IF(J28=調査年,,ROUND(AG28*P28%,0)))))</f>
        <v>0</v>
      </c>
      <c r="AP28" s="788">
        <f t="shared" si="9"/>
        <v>0</v>
      </c>
      <c r="AQ28" s="306">
        <f t="shared" si="10"/>
        <v>0</v>
      </c>
      <c r="AR28" s="788">
        <f t="shared" si="11"/>
        <v>0</v>
      </c>
      <c r="AS28" s="306">
        <f>IF(P28=0,,
SUM(
IF(OR(リスト!$C$21="小麦",リスト!$C$21="二条大麦",リスト!$C$21="六条大麦",リスト!$C$21="はだか麦",リスト!$C$21="なたね"),IF(OR(AND(Z28=1,K28&lt;9,J28=調査年),AND(Z28=1,K28&gt;=9,J28=調査年-1)),ROUND(L28*P28%,0),),
IF(リスト!$C$21="さとうきび",IF(OR(AND(Z28=1,K28&gt;=4,J28=調査年),AND(Z28=1,K28&lt;4,J28=調査年+1)),ROUND(L28*P28%,0),),
IF(AND(Z28=1,J28=調査年),ROUND(L28*P28%,0),))),
ROUND(N28*P28%,0),
ROUND(SUM(AK28)*P28%,0)
))</f>
        <v>0</v>
      </c>
      <c r="AT28" s="306">
        <f t="shared" si="12"/>
        <v>0</v>
      </c>
      <c r="AU28" s="306" t="str">
        <f t="shared" si="13"/>
        <v/>
      </c>
      <c r="AV28" s="802"/>
      <c r="AW28" s="802"/>
      <c r="AX28" s="802"/>
      <c r="AY28" s="802"/>
      <c r="AZ28" s="802"/>
    </row>
    <row r="29" spans="3:52" s="174" customFormat="1" ht="30" customHeight="1">
      <c r="C29" s="790">
        <v>14</v>
      </c>
      <c r="D29" s="803"/>
      <c r="E29" s="792"/>
      <c r="F29" s="793"/>
      <c r="G29" s="2214"/>
      <c r="H29" s="2215"/>
      <c r="I29" s="794"/>
      <c r="J29" s="795"/>
      <c r="K29" s="796"/>
      <c r="L29" s="797"/>
      <c r="M29" s="797"/>
      <c r="N29" s="797"/>
      <c r="O29" s="797"/>
      <c r="P29" s="1284"/>
      <c r="Q29" s="798"/>
      <c r="R29" s="799"/>
      <c r="S29" s="797"/>
      <c r="T29" s="784"/>
      <c r="U29" s="2"/>
      <c r="V29" s="1295"/>
      <c r="W29" s="785"/>
      <c r="X29" s="2"/>
      <c r="Y29" s="800">
        <f t="shared" si="17"/>
        <v>0</v>
      </c>
      <c r="Z29" s="786">
        <f t="shared" si="14"/>
        <v>0</v>
      </c>
      <c r="AA29" s="786">
        <f t="shared" si="15"/>
        <v>0</v>
      </c>
      <c r="AB29" s="800">
        <f>IF(Y29=0,,VLOOKUP(Y29,リスト!CX:CY,2,0))</f>
        <v>0</v>
      </c>
      <c r="AC29" s="800">
        <f t="shared" si="1"/>
        <v>0</v>
      </c>
      <c r="AD29" s="801">
        <f>IF(AC29=0,,VLOOKUP(AC29,リスト!DK:DL,2,0))</f>
        <v>0</v>
      </c>
      <c r="AE29" s="786">
        <f>IF(Y29=0,,
IF(OR(リスト!$C$21="小麦",リスト!$C$21="二条大麦",リスト!$C$21="六条大麦",リスト!$C$21="はだか麦",リスト!$C$21="なたね"),IF(K29&lt;9,調査年-J29,調査年-J29-1),
IF(リスト!$C$21="さとうきび",IF(K29&gt;=4,調査年-J29,調査年-J29+1),
調査年-J29)))</f>
        <v>0</v>
      </c>
      <c r="AF29" s="306">
        <f t="shared" si="2"/>
        <v>0</v>
      </c>
      <c r="AG29" s="306">
        <f t="shared" si="3"/>
        <v>0</v>
      </c>
      <c r="AH29" s="306">
        <f t="shared" si="4"/>
        <v>0</v>
      </c>
      <c r="AI29" s="306">
        <f t="shared" si="5"/>
        <v>0</v>
      </c>
      <c r="AJ29" s="306">
        <f t="shared" si="6"/>
        <v>0</v>
      </c>
      <c r="AK29" s="306">
        <f t="shared" si="16"/>
        <v>0</v>
      </c>
      <c r="AL29" s="306">
        <f t="shared" si="7"/>
        <v>0</v>
      </c>
      <c r="AM29" s="306">
        <f t="shared" si="8"/>
        <v>0</v>
      </c>
      <c r="AN29" s="477"/>
      <c r="AO29" s="788">
        <f>IF(OR(P29=0,AG29=0),,
IF(OR(リスト!$C$21="小麦",リスト!$C$21="二条大麦",リスト!$C$21="六条大麦",リスト!$C$21="はだか麦",リスト!$C$21="なたね"),IF(OR(AND(K29&lt;9,J29=調査年),AND(K29&gt;=9,J29=調査年-1)),,ROUND(AG29*P29%,0)),
IF(リスト!$C$21="さとうきび",IF(OR(AND(K29&gt;=4,J29=調査年),AND(K29&lt;4,J29=調査年+1)),,ROUND(AG29*P29%,0)),
IF(J29=調査年,,ROUND(AG29*P29%,0)))))</f>
        <v>0</v>
      </c>
      <c r="AP29" s="788">
        <f t="shared" si="9"/>
        <v>0</v>
      </c>
      <c r="AQ29" s="306">
        <f t="shared" si="10"/>
        <v>0</v>
      </c>
      <c r="AR29" s="788">
        <f t="shared" si="11"/>
        <v>0</v>
      </c>
      <c r="AS29" s="306">
        <f>IF(P29=0,,
SUM(
IF(OR(リスト!$C$21="小麦",リスト!$C$21="二条大麦",リスト!$C$21="六条大麦",リスト!$C$21="はだか麦",リスト!$C$21="なたね"),IF(OR(AND(Z29=1,K29&lt;9,J29=調査年),AND(Z29=1,K29&gt;=9,J29=調査年-1)),ROUND(L29*P29%,0),),
IF(リスト!$C$21="さとうきび",IF(OR(AND(Z29=1,K29&gt;=4,J29=調査年),AND(Z29=1,K29&lt;4,J29=調査年+1)),ROUND(L29*P29%,0),),
IF(AND(Z29=1,J29=調査年),ROUND(L29*P29%,0),))),
ROUND(N29*P29%,0),
ROUND(SUM(AK29)*P29%,0)
))</f>
        <v>0</v>
      </c>
      <c r="AT29" s="306">
        <f t="shared" si="12"/>
        <v>0</v>
      </c>
      <c r="AU29" s="306" t="str">
        <f t="shared" si="13"/>
        <v/>
      </c>
      <c r="AV29" s="802"/>
      <c r="AW29" s="802"/>
      <c r="AX29" s="802"/>
      <c r="AY29" s="802"/>
      <c r="AZ29" s="802"/>
    </row>
    <row r="30" spans="3:52" s="174" customFormat="1" ht="30" customHeight="1" collapsed="1" thickBot="1">
      <c r="C30" s="804">
        <v>15</v>
      </c>
      <c r="D30" s="803"/>
      <c r="E30" s="792"/>
      <c r="F30" s="793"/>
      <c r="G30" s="2214"/>
      <c r="H30" s="2215"/>
      <c r="I30" s="794"/>
      <c r="J30" s="795"/>
      <c r="K30" s="796"/>
      <c r="L30" s="797"/>
      <c r="M30" s="797"/>
      <c r="N30" s="797"/>
      <c r="O30" s="797"/>
      <c r="P30" s="1284"/>
      <c r="Q30" s="798"/>
      <c r="R30" s="799"/>
      <c r="S30" s="797"/>
      <c r="T30" s="784"/>
      <c r="U30" s="2"/>
      <c r="V30" s="1295"/>
      <c r="W30" s="785"/>
      <c r="X30" s="2"/>
      <c r="Y30" s="800">
        <f t="shared" si="17"/>
        <v>0</v>
      </c>
      <c r="Z30" s="786">
        <f t="shared" si="14"/>
        <v>0</v>
      </c>
      <c r="AA30" s="786">
        <f t="shared" si="15"/>
        <v>0</v>
      </c>
      <c r="AB30" s="800">
        <f>IF(Y30=0,,VLOOKUP(Y30,リスト!CX:CY,2,0))</f>
        <v>0</v>
      </c>
      <c r="AC30" s="800">
        <f t="shared" si="1"/>
        <v>0</v>
      </c>
      <c r="AD30" s="801">
        <f>IF(AC30=0,,VLOOKUP(AC30,リスト!DK:DL,2,0))</f>
        <v>0</v>
      </c>
      <c r="AE30" s="786">
        <f>IF(Y30=0,,
IF(OR(リスト!$C$21="小麦",リスト!$C$21="二条大麦",リスト!$C$21="六条大麦",リスト!$C$21="はだか麦",リスト!$C$21="なたね"),IF(K30&lt;9,調査年-J30,調査年-J30-1),
IF(リスト!$C$21="さとうきび",IF(K30&gt;=4,調査年-J30,調査年-J30+1),
調査年-J30)))</f>
        <v>0</v>
      </c>
      <c r="AF30" s="306">
        <f t="shared" si="2"/>
        <v>0</v>
      </c>
      <c r="AG30" s="306">
        <f t="shared" si="3"/>
        <v>0</v>
      </c>
      <c r="AH30" s="306">
        <f t="shared" si="4"/>
        <v>0</v>
      </c>
      <c r="AI30" s="306">
        <f t="shared" si="5"/>
        <v>0</v>
      </c>
      <c r="AJ30" s="306">
        <f t="shared" si="6"/>
        <v>0</v>
      </c>
      <c r="AK30" s="306">
        <f t="shared" si="16"/>
        <v>0</v>
      </c>
      <c r="AL30" s="306">
        <f t="shared" si="7"/>
        <v>0</v>
      </c>
      <c r="AM30" s="306">
        <f t="shared" si="8"/>
        <v>0</v>
      </c>
      <c r="AN30" s="477"/>
      <c r="AO30" s="788">
        <f>IF(OR(P30=0,AG30=0),,
IF(OR(リスト!$C$21="小麦",リスト!$C$21="二条大麦",リスト!$C$21="六条大麦",リスト!$C$21="はだか麦",リスト!$C$21="なたね"),IF(OR(AND(K30&lt;9,J30=調査年),AND(K30&gt;=9,J30=調査年-1)),,ROUND(AG30*P30%,0)),
IF(リスト!$C$21="さとうきび",IF(OR(AND(K30&gt;=4,J30=調査年),AND(K30&lt;4,J30=調査年+1)),,ROUND(AG30*P30%,0)),
IF(J30=調査年,,ROUND(AG30*P30%,0)))))</f>
        <v>0</v>
      </c>
      <c r="AP30" s="788">
        <f t="shared" si="9"/>
        <v>0</v>
      </c>
      <c r="AQ30" s="306">
        <f t="shared" si="10"/>
        <v>0</v>
      </c>
      <c r="AR30" s="788">
        <f t="shared" si="11"/>
        <v>0</v>
      </c>
      <c r="AS30" s="306">
        <f>IF(P30=0,,
SUM(
IF(OR(リスト!$C$21="小麦",リスト!$C$21="二条大麦",リスト!$C$21="六条大麦",リスト!$C$21="はだか麦",リスト!$C$21="なたね"),IF(OR(AND(Z30=1,K30&lt;9,J30=調査年),AND(Z30=1,K30&gt;=9,J30=調査年-1)),ROUND(L30*P30%,0),),
IF(リスト!$C$21="さとうきび",IF(OR(AND(Z30=1,K30&gt;=4,J30=調査年),AND(Z30=1,K30&lt;4,J30=調査年+1)),ROUND(L30*P30%,0),),
IF(AND(Z30=1,J30=調査年),ROUND(L30*P30%,0),))),
ROUND(N30*P30%,0),
ROUND(SUM(AK30)*P30%,0)
))</f>
        <v>0</v>
      </c>
      <c r="AT30" s="306">
        <f t="shared" si="12"/>
        <v>0</v>
      </c>
      <c r="AU30" s="306" t="str">
        <f t="shared" si="13"/>
        <v/>
      </c>
      <c r="AV30" s="802"/>
      <c r="AW30" s="802"/>
      <c r="AX30" s="802"/>
      <c r="AY30" s="802"/>
      <c r="AZ30" s="802"/>
    </row>
    <row r="31" spans="3:52" s="174" customFormat="1" ht="30" hidden="1" customHeight="1" outlineLevel="1">
      <c r="C31" s="790">
        <v>16</v>
      </c>
      <c r="D31" s="803"/>
      <c r="E31" s="792"/>
      <c r="F31" s="793"/>
      <c r="G31" s="2214"/>
      <c r="H31" s="2215"/>
      <c r="I31" s="794"/>
      <c r="J31" s="795"/>
      <c r="K31" s="796"/>
      <c r="L31" s="797"/>
      <c r="M31" s="797"/>
      <c r="N31" s="797"/>
      <c r="O31" s="797"/>
      <c r="P31" s="1284"/>
      <c r="Q31" s="798"/>
      <c r="R31" s="799"/>
      <c r="S31" s="797"/>
      <c r="T31" s="784"/>
      <c r="U31" s="2"/>
      <c r="V31" s="1295"/>
      <c r="W31" s="785"/>
      <c r="X31" s="2"/>
      <c r="Y31" s="800">
        <f t="shared" si="17"/>
        <v>0</v>
      </c>
      <c r="Z31" s="786">
        <f t="shared" si="14"/>
        <v>0</v>
      </c>
      <c r="AA31" s="786">
        <f t="shared" si="15"/>
        <v>0</v>
      </c>
      <c r="AB31" s="800">
        <f>IF(Y31=0,,VLOOKUP(Y31,リスト!CX:CY,2,0))</f>
        <v>0</v>
      </c>
      <c r="AC31" s="800">
        <f t="shared" si="1"/>
        <v>0</v>
      </c>
      <c r="AD31" s="801">
        <f>IF(AC31=0,,VLOOKUP(AC31,リスト!DK:DL,2,0))</f>
        <v>0</v>
      </c>
      <c r="AE31" s="786">
        <f>IF(Y31=0,,
IF(OR(リスト!$C$21="小麦",リスト!$C$21="二条大麦",リスト!$C$21="六条大麦",リスト!$C$21="はだか麦",リスト!$C$21="なたね"),IF(K31&lt;9,調査年-J31,調査年-J31-1),
IF(リスト!$C$21="さとうきび",IF(K31&gt;=4,調査年-J31,調査年-J31+1),
調査年-J31)))</f>
        <v>0</v>
      </c>
      <c r="AF31" s="306">
        <f t="shared" si="2"/>
        <v>0</v>
      </c>
      <c r="AG31" s="306">
        <f t="shared" si="3"/>
        <v>0</v>
      </c>
      <c r="AH31" s="306">
        <f t="shared" si="4"/>
        <v>0</v>
      </c>
      <c r="AI31" s="306">
        <f t="shared" si="5"/>
        <v>0</v>
      </c>
      <c r="AJ31" s="306">
        <f t="shared" si="6"/>
        <v>0</v>
      </c>
      <c r="AK31" s="306">
        <f t="shared" si="16"/>
        <v>0</v>
      </c>
      <c r="AL31" s="306">
        <f t="shared" si="7"/>
        <v>0</v>
      </c>
      <c r="AM31" s="306">
        <f t="shared" si="8"/>
        <v>0</v>
      </c>
      <c r="AN31" s="477"/>
      <c r="AO31" s="788">
        <f>IF(OR(P31=0,AG31=0),,
IF(OR(リスト!$C$21="小麦",リスト!$C$21="二条大麦",リスト!$C$21="六条大麦",リスト!$C$21="はだか麦",リスト!$C$21="なたね"),IF(OR(AND(K31&lt;9,J31=調査年),AND(K31&gt;=9,J31=調査年-1)),,ROUND(AG31*P31%,0)),
IF(リスト!$C$21="さとうきび",IF(OR(AND(K31&gt;=4,J31=調査年),AND(K31&lt;4,J31=調査年+1)),,ROUND(AG31*P31%,0)),
IF(J31=調査年,,ROUND(AG31*P31%,0)))))</f>
        <v>0</v>
      </c>
      <c r="AP31" s="788">
        <f t="shared" si="9"/>
        <v>0</v>
      </c>
      <c r="AQ31" s="306">
        <f t="shared" si="10"/>
        <v>0</v>
      </c>
      <c r="AR31" s="788">
        <f t="shared" si="11"/>
        <v>0</v>
      </c>
      <c r="AS31" s="306">
        <f>IF(P31=0,,
SUM(
IF(OR(リスト!$C$21="小麦",リスト!$C$21="二条大麦",リスト!$C$21="六条大麦",リスト!$C$21="はだか麦",リスト!$C$21="なたね"),IF(OR(AND(Z31=1,K31&lt;9,J31=調査年),AND(Z31=1,K31&gt;=9,J31=調査年-1)),ROUND(L31*P31%,0),),
IF(リスト!$C$21="さとうきび",IF(OR(AND(Z31=1,K31&gt;=4,J31=調査年),AND(Z31=1,K31&lt;4,J31=調査年+1)),ROUND(L31*P31%,0),),
IF(AND(Z31=1,J31=調査年),ROUND(L31*P31%,0),))),
ROUND(N31*P31%,0),
ROUND(SUM(AK31)*P31%,0)
))</f>
        <v>0</v>
      </c>
      <c r="AT31" s="306">
        <f t="shared" si="12"/>
        <v>0</v>
      </c>
      <c r="AU31" s="306" t="str">
        <f t="shared" si="13"/>
        <v/>
      </c>
      <c r="AV31" s="802"/>
      <c r="AW31" s="802"/>
      <c r="AX31" s="802"/>
      <c r="AY31" s="802"/>
      <c r="AZ31" s="802"/>
    </row>
    <row r="32" spans="3:52" s="174" customFormat="1" ht="30" hidden="1" customHeight="1" outlineLevel="1">
      <c r="C32" s="790">
        <v>17</v>
      </c>
      <c r="D32" s="803"/>
      <c r="E32" s="792"/>
      <c r="F32" s="793"/>
      <c r="G32" s="2214"/>
      <c r="H32" s="2215"/>
      <c r="I32" s="794"/>
      <c r="J32" s="795"/>
      <c r="K32" s="796"/>
      <c r="L32" s="797"/>
      <c r="M32" s="797"/>
      <c r="N32" s="797"/>
      <c r="O32" s="797"/>
      <c r="P32" s="1284"/>
      <c r="Q32" s="798"/>
      <c r="R32" s="799"/>
      <c r="S32" s="797"/>
      <c r="T32" s="784"/>
      <c r="U32" s="2"/>
      <c r="V32" s="1295"/>
      <c r="W32" s="785"/>
      <c r="X32" s="2"/>
      <c r="Y32" s="800">
        <f t="shared" si="17"/>
        <v>0</v>
      </c>
      <c r="Z32" s="786">
        <f t="shared" si="14"/>
        <v>0</v>
      </c>
      <c r="AA32" s="786">
        <f t="shared" si="15"/>
        <v>0</v>
      </c>
      <c r="AB32" s="800">
        <f>IF(Y32=0,,VLOOKUP(Y32,リスト!CX:CY,2,0))</f>
        <v>0</v>
      </c>
      <c r="AC32" s="800">
        <f t="shared" si="1"/>
        <v>0</v>
      </c>
      <c r="AD32" s="801">
        <f>IF(AC32=0,,VLOOKUP(AC32,リスト!DK:DL,2,0))</f>
        <v>0</v>
      </c>
      <c r="AE32" s="786">
        <f>IF(Y32=0,,
IF(OR(リスト!$C$21="小麦",リスト!$C$21="二条大麦",リスト!$C$21="六条大麦",リスト!$C$21="はだか麦",リスト!$C$21="なたね"),IF(K32&lt;9,調査年-J32,調査年-J32-1),
IF(リスト!$C$21="さとうきび",IF(K32&gt;=4,調査年-J32,調査年-J32+1),
調査年-J32)))</f>
        <v>0</v>
      </c>
      <c r="AF32" s="306">
        <f t="shared" si="2"/>
        <v>0</v>
      </c>
      <c r="AG32" s="306">
        <f t="shared" si="3"/>
        <v>0</v>
      </c>
      <c r="AH32" s="306">
        <f t="shared" si="4"/>
        <v>0</v>
      </c>
      <c r="AI32" s="306">
        <f t="shared" si="5"/>
        <v>0</v>
      </c>
      <c r="AJ32" s="306">
        <f t="shared" si="6"/>
        <v>0</v>
      </c>
      <c r="AK32" s="306">
        <f t="shared" si="16"/>
        <v>0</v>
      </c>
      <c r="AL32" s="306">
        <f t="shared" si="7"/>
        <v>0</v>
      </c>
      <c r="AM32" s="306">
        <f t="shared" si="8"/>
        <v>0</v>
      </c>
      <c r="AN32" s="477"/>
      <c r="AO32" s="788">
        <f>IF(OR(P32=0,AG32=0),,
IF(OR(リスト!$C$21="小麦",リスト!$C$21="二条大麦",リスト!$C$21="六条大麦",リスト!$C$21="はだか麦",リスト!$C$21="なたね"),IF(OR(AND(K32&lt;9,J32=調査年),AND(K32&gt;=9,J32=調査年-1)),,ROUND(AG32*P32%,0)),
IF(リスト!$C$21="さとうきび",IF(OR(AND(K32&gt;=4,J32=調査年),AND(K32&lt;4,J32=調査年+1)),,ROUND(AG32*P32%,0)),
IF(J32=調査年,,ROUND(AG32*P32%,0)))))</f>
        <v>0</v>
      </c>
      <c r="AP32" s="788">
        <f t="shared" si="9"/>
        <v>0</v>
      </c>
      <c r="AQ32" s="306">
        <f t="shared" si="10"/>
        <v>0</v>
      </c>
      <c r="AR32" s="788">
        <f t="shared" si="11"/>
        <v>0</v>
      </c>
      <c r="AS32" s="306">
        <f>IF(P32=0,,
SUM(
IF(OR(リスト!$C$21="小麦",リスト!$C$21="二条大麦",リスト!$C$21="六条大麦",リスト!$C$21="はだか麦",リスト!$C$21="なたね"),IF(OR(AND(Z32=1,K32&lt;9,J32=調査年),AND(Z32=1,K32&gt;=9,J32=調査年-1)),ROUND(L32*P32%,0),),
IF(リスト!$C$21="さとうきび",IF(OR(AND(Z32=1,K32&gt;=4,J32=調査年),AND(Z32=1,K32&lt;4,J32=調査年+1)),ROUND(L32*P32%,0),),
IF(AND(Z32=1,J32=調査年),ROUND(L32*P32%,0),))),
ROUND(N32*P32%,0),
ROUND(SUM(AK32)*P32%,0)
))</f>
        <v>0</v>
      </c>
      <c r="AT32" s="306">
        <f t="shared" si="12"/>
        <v>0</v>
      </c>
      <c r="AU32" s="306" t="str">
        <f t="shared" si="13"/>
        <v/>
      </c>
      <c r="AV32" s="802"/>
      <c r="AW32" s="802"/>
      <c r="AX32" s="802"/>
      <c r="AY32" s="802"/>
      <c r="AZ32" s="802"/>
    </row>
    <row r="33" spans="3:52" s="174" customFormat="1" ht="30" hidden="1" customHeight="1" outlineLevel="1">
      <c r="C33" s="790">
        <v>18</v>
      </c>
      <c r="D33" s="803"/>
      <c r="E33" s="792"/>
      <c r="F33" s="793"/>
      <c r="G33" s="2214"/>
      <c r="H33" s="2215"/>
      <c r="I33" s="794"/>
      <c r="J33" s="795"/>
      <c r="K33" s="796"/>
      <c r="L33" s="797"/>
      <c r="M33" s="797"/>
      <c r="N33" s="797"/>
      <c r="O33" s="797"/>
      <c r="P33" s="1284"/>
      <c r="Q33" s="798"/>
      <c r="R33" s="799"/>
      <c r="S33" s="797"/>
      <c r="T33" s="784"/>
      <c r="U33" s="2"/>
      <c r="V33" s="1295"/>
      <c r="W33" s="785"/>
      <c r="X33" s="2"/>
      <c r="Y33" s="800">
        <f t="shared" si="17"/>
        <v>0</v>
      </c>
      <c r="Z33" s="786">
        <f t="shared" si="14"/>
        <v>0</v>
      </c>
      <c r="AA33" s="786">
        <f t="shared" si="15"/>
        <v>0</v>
      </c>
      <c r="AB33" s="800">
        <f>IF(Y33=0,,VLOOKUP(Y33,リスト!CX:CY,2,0))</f>
        <v>0</v>
      </c>
      <c r="AC33" s="800">
        <f t="shared" si="1"/>
        <v>0</v>
      </c>
      <c r="AD33" s="801">
        <f>IF(AC33=0,,VLOOKUP(AC33,リスト!DK:DL,2,0))</f>
        <v>0</v>
      </c>
      <c r="AE33" s="786">
        <f>IF(Y33=0,,
IF(OR(リスト!$C$21="小麦",リスト!$C$21="二条大麦",リスト!$C$21="六条大麦",リスト!$C$21="はだか麦",リスト!$C$21="なたね"),IF(K33&lt;9,調査年-J33,調査年-J33-1),
IF(リスト!$C$21="さとうきび",IF(K33&gt;=4,調査年-J33,調査年-J33+1),
調査年-J33)))</f>
        <v>0</v>
      </c>
      <c r="AF33" s="306">
        <f t="shared" si="2"/>
        <v>0</v>
      </c>
      <c r="AG33" s="306">
        <f t="shared" si="3"/>
        <v>0</v>
      </c>
      <c r="AH33" s="306">
        <f t="shared" si="4"/>
        <v>0</v>
      </c>
      <c r="AI33" s="306">
        <f t="shared" si="5"/>
        <v>0</v>
      </c>
      <c r="AJ33" s="306">
        <f t="shared" si="6"/>
        <v>0</v>
      </c>
      <c r="AK33" s="306">
        <f t="shared" si="16"/>
        <v>0</v>
      </c>
      <c r="AL33" s="306">
        <f t="shared" si="7"/>
        <v>0</v>
      </c>
      <c r="AM33" s="306">
        <f t="shared" si="8"/>
        <v>0</v>
      </c>
      <c r="AN33" s="477"/>
      <c r="AO33" s="788">
        <f>IF(OR(P33=0,AG33=0),,
IF(OR(リスト!$C$21="小麦",リスト!$C$21="二条大麦",リスト!$C$21="六条大麦",リスト!$C$21="はだか麦",リスト!$C$21="なたね"),IF(OR(AND(K33&lt;9,J33=調査年),AND(K33&gt;=9,J33=調査年-1)),,ROUND(AG33*P33%,0)),
IF(リスト!$C$21="さとうきび",IF(OR(AND(K33&gt;=4,J33=調査年),AND(K33&lt;4,J33=調査年+1)),,ROUND(AG33*P33%,0)),
IF(J33=調査年,,ROUND(AG33*P33%,0)))))</f>
        <v>0</v>
      </c>
      <c r="AP33" s="788">
        <f t="shared" si="9"/>
        <v>0</v>
      </c>
      <c r="AQ33" s="306">
        <f t="shared" si="10"/>
        <v>0</v>
      </c>
      <c r="AR33" s="788">
        <f t="shared" si="11"/>
        <v>0</v>
      </c>
      <c r="AS33" s="306">
        <f>IF(P33=0,,
SUM(
IF(OR(リスト!$C$21="小麦",リスト!$C$21="二条大麦",リスト!$C$21="六条大麦",リスト!$C$21="はだか麦",リスト!$C$21="なたね"),IF(OR(AND(Z33=1,K33&lt;9,J33=調査年),AND(Z33=1,K33&gt;=9,J33=調査年-1)),ROUND(L33*P33%,0),),
IF(リスト!$C$21="さとうきび",IF(OR(AND(Z33=1,K33&gt;=4,J33=調査年),AND(Z33=1,K33&lt;4,J33=調査年+1)),ROUND(L33*P33%,0),),
IF(AND(Z33=1,J33=調査年),ROUND(L33*P33%,0),))),
ROUND(N33*P33%,0),
ROUND(SUM(AK33)*P33%,0)
))</f>
        <v>0</v>
      </c>
      <c r="AT33" s="306">
        <f t="shared" si="12"/>
        <v>0</v>
      </c>
      <c r="AU33" s="306" t="str">
        <f t="shared" si="13"/>
        <v/>
      </c>
      <c r="AV33" s="802"/>
      <c r="AW33" s="802"/>
      <c r="AX33" s="802"/>
      <c r="AY33" s="802"/>
      <c r="AZ33" s="802"/>
    </row>
    <row r="34" spans="3:52" s="174" customFormat="1" ht="30" hidden="1" customHeight="1" outlineLevel="1">
      <c r="C34" s="790">
        <v>19</v>
      </c>
      <c r="D34" s="803"/>
      <c r="E34" s="792"/>
      <c r="F34" s="793"/>
      <c r="G34" s="2214"/>
      <c r="H34" s="2215"/>
      <c r="I34" s="794"/>
      <c r="J34" s="795"/>
      <c r="K34" s="796"/>
      <c r="L34" s="797"/>
      <c r="M34" s="797"/>
      <c r="N34" s="797"/>
      <c r="O34" s="797"/>
      <c r="P34" s="1284"/>
      <c r="Q34" s="798"/>
      <c r="R34" s="799"/>
      <c r="S34" s="797"/>
      <c r="T34" s="784"/>
      <c r="U34" s="2"/>
      <c r="V34" s="1295"/>
      <c r="W34" s="785"/>
      <c r="X34" s="2"/>
      <c r="Y34" s="800">
        <f t="shared" si="17"/>
        <v>0</v>
      </c>
      <c r="Z34" s="786">
        <f t="shared" si="14"/>
        <v>0</v>
      </c>
      <c r="AA34" s="786">
        <f t="shared" si="15"/>
        <v>0</v>
      </c>
      <c r="AB34" s="800">
        <f>IF(Y34=0,,VLOOKUP(Y34,リスト!CX:CY,2,0))</f>
        <v>0</v>
      </c>
      <c r="AC34" s="800">
        <f t="shared" si="1"/>
        <v>0</v>
      </c>
      <c r="AD34" s="801">
        <f>IF(AC34=0,,VLOOKUP(AC34,リスト!DK:DL,2,0))</f>
        <v>0</v>
      </c>
      <c r="AE34" s="786">
        <f>IF(Y34=0,,
IF(OR(リスト!$C$21="小麦",リスト!$C$21="二条大麦",リスト!$C$21="六条大麦",リスト!$C$21="はだか麦",リスト!$C$21="なたね"),IF(K34&lt;9,調査年-J34,調査年-J34-1),
IF(リスト!$C$21="さとうきび",IF(K34&gt;=4,調査年-J34,調査年-J34+1),
調査年-J34)))</f>
        <v>0</v>
      </c>
      <c r="AF34" s="306">
        <f t="shared" si="2"/>
        <v>0</v>
      </c>
      <c r="AG34" s="306">
        <f t="shared" si="3"/>
        <v>0</v>
      </c>
      <c r="AH34" s="306">
        <f t="shared" si="4"/>
        <v>0</v>
      </c>
      <c r="AI34" s="306">
        <f t="shared" si="5"/>
        <v>0</v>
      </c>
      <c r="AJ34" s="306">
        <f t="shared" si="6"/>
        <v>0</v>
      </c>
      <c r="AK34" s="306">
        <f t="shared" si="16"/>
        <v>0</v>
      </c>
      <c r="AL34" s="306">
        <f t="shared" si="7"/>
        <v>0</v>
      </c>
      <c r="AM34" s="306">
        <f t="shared" si="8"/>
        <v>0</v>
      </c>
      <c r="AN34" s="477"/>
      <c r="AO34" s="788">
        <f>IF(OR(P34=0,AG34=0),,
IF(OR(リスト!$C$21="小麦",リスト!$C$21="二条大麦",リスト!$C$21="六条大麦",リスト!$C$21="はだか麦",リスト!$C$21="なたね"),IF(OR(AND(K34&lt;9,J34=調査年),AND(K34&gt;=9,J34=調査年-1)),,ROUND(AG34*P34%,0)),
IF(リスト!$C$21="さとうきび",IF(OR(AND(K34&gt;=4,J34=調査年),AND(K34&lt;4,J34=調査年+1)),,ROUND(AG34*P34%,0)),
IF(J34=調査年,,ROUND(AG34*P34%,0)))))</f>
        <v>0</v>
      </c>
      <c r="AP34" s="788">
        <f t="shared" si="9"/>
        <v>0</v>
      </c>
      <c r="AQ34" s="306">
        <f t="shared" si="10"/>
        <v>0</v>
      </c>
      <c r="AR34" s="788">
        <f t="shared" si="11"/>
        <v>0</v>
      </c>
      <c r="AS34" s="306">
        <f>IF(P34=0,,
SUM(
IF(OR(リスト!$C$21="小麦",リスト!$C$21="二条大麦",リスト!$C$21="六条大麦",リスト!$C$21="はだか麦",リスト!$C$21="なたね"),IF(OR(AND(Z34=1,K34&lt;9,J34=調査年),AND(Z34=1,K34&gt;=9,J34=調査年-1)),ROUND(L34*P34%,0),),
IF(リスト!$C$21="さとうきび",IF(OR(AND(Z34=1,K34&gt;=4,J34=調査年),AND(Z34=1,K34&lt;4,J34=調査年+1)),ROUND(L34*P34%,0),),
IF(AND(Z34=1,J34=調査年),ROUND(L34*P34%,0),))),
ROUND(N34*P34%,0),
ROUND(SUM(AK34)*P34%,0)
))</f>
        <v>0</v>
      </c>
      <c r="AT34" s="306">
        <f t="shared" si="12"/>
        <v>0</v>
      </c>
      <c r="AU34" s="306" t="str">
        <f t="shared" si="13"/>
        <v/>
      </c>
      <c r="AV34" s="802"/>
      <c r="AW34" s="802"/>
      <c r="AX34" s="802"/>
      <c r="AY34" s="802"/>
      <c r="AZ34" s="802"/>
    </row>
    <row r="35" spans="3:52" s="174" customFormat="1" ht="30" hidden="1" customHeight="1" outlineLevel="1">
      <c r="C35" s="790">
        <v>20</v>
      </c>
      <c r="D35" s="803"/>
      <c r="E35" s="792"/>
      <c r="F35" s="793"/>
      <c r="G35" s="2214"/>
      <c r="H35" s="2215"/>
      <c r="I35" s="794"/>
      <c r="J35" s="795"/>
      <c r="K35" s="796"/>
      <c r="L35" s="797"/>
      <c r="M35" s="797"/>
      <c r="N35" s="797"/>
      <c r="O35" s="797"/>
      <c r="P35" s="1284"/>
      <c r="Q35" s="798"/>
      <c r="R35" s="799"/>
      <c r="S35" s="797"/>
      <c r="T35" s="784"/>
      <c r="U35" s="2"/>
      <c r="V35" s="1295"/>
      <c r="W35" s="785"/>
      <c r="X35" s="2"/>
      <c r="Y35" s="800">
        <f t="shared" si="17"/>
        <v>0</v>
      </c>
      <c r="Z35" s="786">
        <f t="shared" si="14"/>
        <v>0</v>
      </c>
      <c r="AA35" s="786">
        <f t="shared" si="15"/>
        <v>0</v>
      </c>
      <c r="AB35" s="800">
        <f>IF(Y35=0,,VLOOKUP(Y35,リスト!CX:CY,2,0))</f>
        <v>0</v>
      </c>
      <c r="AC35" s="800">
        <f t="shared" si="1"/>
        <v>0</v>
      </c>
      <c r="AD35" s="801">
        <f>IF(AC35=0,,VLOOKUP(AC35,リスト!DK:DL,2,0))</f>
        <v>0</v>
      </c>
      <c r="AE35" s="786">
        <f>IF(Y35=0,,
IF(OR(リスト!$C$21="小麦",リスト!$C$21="二条大麦",リスト!$C$21="六条大麦",リスト!$C$21="はだか麦",リスト!$C$21="なたね"),IF(K35&lt;9,調査年-J35,調査年-J35-1),
IF(リスト!$C$21="さとうきび",IF(K35&gt;=4,調査年-J35,調査年-J35+1),
調査年-J35)))</f>
        <v>0</v>
      </c>
      <c r="AF35" s="306">
        <f t="shared" si="2"/>
        <v>0</v>
      </c>
      <c r="AG35" s="306">
        <f t="shared" si="3"/>
        <v>0</v>
      </c>
      <c r="AH35" s="306">
        <f t="shared" si="4"/>
        <v>0</v>
      </c>
      <c r="AI35" s="306">
        <f t="shared" si="5"/>
        <v>0</v>
      </c>
      <c r="AJ35" s="306">
        <f t="shared" si="6"/>
        <v>0</v>
      </c>
      <c r="AK35" s="306">
        <f t="shared" si="16"/>
        <v>0</v>
      </c>
      <c r="AL35" s="306">
        <f t="shared" si="7"/>
        <v>0</v>
      </c>
      <c r="AM35" s="306">
        <f t="shared" si="8"/>
        <v>0</v>
      </c>
      <c r="AN35" s="477"/>
      <c r="AO35" s="788">
        <f>IF(OR(P35=0,AG35=0),,
IF(OR(リスト!$C$21="小麦",リスト!$C$21="二条大麦",リスト!$C$21="六条大麦",リスト!$C$21="はだか麦",リスト!$C$21="なたね"),IF(OR(AND(K35&lt;9,J35=調査年),AND(K35&gt;=9,J35=調査年-1)),,ROUND(AG35*P35%,0)),
IF(リスト!$C$21="さとうきび",IF(OR(AND(K35&gt;=4,J35=調査年),AND(K35&lt;4,J35=調査年+1)),,ROUND(AG35*P35%,0)),
IF(J35=調査年,,ROUND(AG35*P35%,0)))))</f>
        <v>0</v>
      </c>
      <c r="AP35" s="788">
        <f t="shared" si="9"/>
        <v>0</v>
      </c>
      <c r="AQ35" s="306">
        <f t="shared" si="10"/>
        <v>0</v>
      </c>
      <c r="AR35" s="788">
        <f t="shared" si="11"/>
        <v>0</v>
      </c>
      <c r="AS35" s="306">
        <f>IF(P35=0,,
SUM(
IF(OR(リスト!$C$21="小麦",リスト!$C$21="二条大麦",リスト!$C$21="六条大麦",リスト!$C$21="はだか麦",リスト!$C$21="なたね"),IF(OR(AND(Z35=1,K35&lt;9,J35=調査年),AND(Z35=1,K35&gt;=9,J35=調査年-1)),ROUND(L35*P35%,0),),
IF(リスト!$C$21="さとうきび",IF(OR(AND(Z35=1,K35&gt;=4,J35=調査年),AND(Z35=1,K35&lt;4,J35=調査年+1)),ROUND(L35*P35%,0),),
IF(AND(Z35=1,J35=調査年),ROUND(L35*P35%,0),))),
ROUND(N35*P35%,0),
ROUND(SUM(AK35)*P35%,0)
))</f>
        <v>0</v>
      </c>
      <c r="AT35" s="306">
        <f t="shared" si="12"/>
        <v>0</v>
      </c>
      <c r="AU35" s="306" t="str">
        <f t="shared" si="13"/>
        <v/>
      </c>
      <c r="AV35" s="802"/>
      <c r="AW35" s="802"/>
      <c r="AX35" s="802"/>
      <c r="AY35" s="802"/>
      <c r="AZ35" s="802"/>
    </row>
    <row r="36" spans="3:52" s="174" customFormat="1" ht="30" hidden="1" customHeight="1" outlineLevel="1">
      <c r="C36" s="790">
        <v>21</v>
      </c>
      <c r="D36" s="803"/>
      <c r="E36" s="792"/>
      <c r="F36" s="793"/>
      <c r="G36" s="2214"/>
      <c r="H36" s="2215"/>
      <c r="I36" s="794"/>
      <c r="J36" s="795"/>
      <c r="K36" s="796"/>
      <c r="L36" s="797"/>
      <c r="M36" s="797"/>
      <c r="N36" s="797"/>
      <c r="O36" s="797"/>
      <c r="P36" s="1284"/>
      <c r="Q36" s="798"/>
      <c r="R36" s="799"/>
      <c r="S36" s="797"/>
      <c r="T36" s="784"/>
      <c r="U36" s="2"/>
      <c r="V36" s="1295"/>
      <c r="W36" s="785"/>
      <c r="X36" s="2"/>
      <c r="Y36" s="800">
        <f t="shared" si="17"/>
        <v>0</v>
      </c>
      <c r="Z36" s="786">
        <f t="shared" si="14"/>
        <v>0</v>
      </c>
      <c r="AA36" s="786">
        <f t="shared" si="15"/>
        <v>0</v>
      </c>
      <c r="AB36" s="800">
        <f>IF(Y36=0,,VLOOKUP(Y36,リスト!CX:CY,2,0))</f>
        <v>0</v>
      </c>
      <c r="AC36" s="800">
        <f t="shared" si="1"/>
        <v>0</v>
      </c>
      <c r="AD36" s="801">
        <f>IF(AC36=0,,VLOOKUP(AC36,リスト!DK:DL,2,0))</f>
        <v>0</v>
      </c>
      <c r="AE36" s="786">
        <f>IF(Y36=0,,
IF(OR(リスト!$C$21="小麦",リスト!$C$21="二条大麦",リスト!$C$21="六条大麦",リスト!$C$21="はだか麦",リスト!$C$21="なたね"),IF(K36&lt;9,調査年-J36,調査年-J36-1),
IF(リスト!$C$21="さとうきび",IF(K36&gt;=4,調査年-J36,調査年-J36+1),
調査年-J36)))</f>
        <v>0</v>
      </c>
      <c r="AF36" s="306">
        <f t="shared" si="2"/>
        <v>0</v>
      </c>
      <c r="AG36" s="306">
        <f t="shared" si="3"/>
        <v>0</v>
      </c>
      <c r="AH36" s="306">
        <f t="shared" si="4"/>
        <v>0</v>
      </c>
      <c r="AI36" s="306">
        <f t="shared" si="5"/>
        <v>0</v>
      </c>
      <c r="AJ36" s="306">
        <f t="shared" si="6"/>
        <v>0</v>
      </c>
      <c r="AK36" s="306">
        <f t="shared" si="16"/>
        <v>0</v>
      </c>
      <c r="AL36" s="306">
        <f t="shared" si="7"/>
        <v>0</v>
      </c>
      <c r="AM36" s="306">
        <f t="shared" si="8"/>
        <v>0</v>
      </c>
      <c r="AN36" s="477"/>
      <c r="AO36" s="788">
        <f>IF(OR(P36=0,AG36=0),,
IF(OR(リスト!$C$21="小麦",リスト!$C$21="二条大麦",リスト!$C$21="六条大麦",リスト!$C$21="はだか麦",リスト!$C$21="なたね"),IF(OR(AND(K36&lt;9,J36=調査年),AND(K36&gt;=9,J36=調査年-1)),,ROUND(AG36*P36%,0)),
IF(リスト!$C$21="さとうきび",IF(OR(AND(K36&gt;=4,J36=調査年),AND(K36&lt;4,J36=調査年+1)),,ROUND(AG36*P36%,0)),
IF(J36=調査年,,ROUND(AG36*P36%,0)))))</f>
        <v>0</v>
      </c>
      <c r="AP36" s="788">
        <f t="shared" si="9"/>
        <v>0</v>
      </c>
      <c r="AQ36" s="306">
        <f t="shared" si="10"/>
        <v>0</v>
      </c>
      <c r="AR36" s="788">
        <f t="shared" si="11"/>
        <v>0</v>
      </c>
      <c r="AS36" s="306">
        <f>IF(P36=0,,
SUM(
IF(OR(リスト!$C$21="小麦",リスト!$C$21="二条大麦",リスト!$C$21="六条大麦",リスト!$C$21="はだか麦",リスト!$C$21="なたね"),IF(OR(AND(Z36=1,K36&lt;9,J36=調査年),AND(Z36=1,K36&gt;=9,J36=調査年-1)),ROUND(L36*P36%,0),),
IF(リスト!$C$21="さとうきび",IF(OR(AND(Z36=1,K36&gt;=4,J36=調査年),AND(Z36=1,K36&lt;4,J36=調査年+1)),ROUND(L36*P36%,0),),
IF(AND(Z36=1,J36=調査年),ROUND(L36*P36%,0),))),
ROUND(N36*P36%,0),
ROUND(SUM(AK36)*P36%,0)
))</f>
        <v>0</v>
      </c>
      <c r="AT36" s="306">
        <f t="shared" si="12"/>
        <v>0</v>
      </c>
      <c r="AU36" s="306" t="str">
        <f t="shared" si="13"/>
        <v/>
      </c>
      <c r="AV36" s="802"/>
      <c r="AW36" s="802"/>
      <c r="AX36" s="802"/>
      <c r="AY36" s="802"/>
      <c r="AZ36" s="802"/>
    </row>
    <row r="37" spans="3:52" s="174" customFormat="1" ht="30" hidden="1" customHeight="1" outlineLevel="1">
      <c r="C37" s="790">
        <v>22</v>
      </c>
      <c r="D37" s="803"/>
      <c r="E37" s="792"/>
      <c r="F37" s="793"/>
      <c r="G37" s="2214"/>
      <c r="H37" s="2215"/>
      <c r="I37" s="794"/>
      <c r="J37" s="795"/>
      <c r="K37" s="796"/>
      <c r="L37" s="797"/>
      <c r="M37" s="797"/>
      <c r="N37" s="797"/>
      <c r="O37" s="797"/>
      <c r="P37" s="1284"/>
      <c r="Q37" s="798"/>
      <c r="R37" s="799"/>
      <c r="S37" s="797"/>
      <c r="T37" s="784"/>
      <c r="U37" s="2"/>
      <c r="V37" s="1295"/>
      <c r="W37" s="785"/>
      <c r="X37" s="2"/>
      <c r="Y37" s="800">
        <f t="shared" si="17"/>
        <v>0</v>
      </c>
      <c r="Z37" s="786">
        <f t="shared" si="14"/>
        <v>0</v>
      </c>
      <c r="AA37" s="786">
        <f t="shared" si="15"/>
        <v>0</v>
      </c>
      <c r="AB37" s="800">
        <f>IF(Y37=0,,VLOOKUP(Y37,リスト!CX:CY,2,0))</f>
        <v>0</v>
      </c>
      <c r="AC37" s="800">
        <f t="shared" si="1"/>
        <v>0</v>
      </c>
      <c r="AD37" s="801">
        <f>IF(AC37=0,,VLOOKUP(AC37,リスト!DK:DL,2,0))</f>
        <v>0</v>
      </c>
      <c r="AE37" s="786">
        <f>IF(Y37=0,,
IF(OR(リスト!$C$21="小麦",リスト!$C$21="二条大麦",リスト!$C$21="六条大麦",リスト!$C$21="はだか麦",リスト!$C$21="なたね"),IF(K37&lt;9,調査年-J37,調査年-J37-1),
IF(リスト!$C$21="さとうきび",IF(K37&gt;=4,調査年-J37,調査年-J37+1),
調査年-J37)))</f>
        <v>0</v>
      </c>
      <c r="AF37" s="306">
        <f t="shared" si="2"/>
        <v>0</v>
      </c>
      <c r="AG37" s="306">
        <f t="shared" si="3"/>
        <v>0</v>
      </c>
      <c r="AH37" s="306">
        <f t="shared" si="4"/>
        <v>0</v>
      </c>
      <c r="AI37" s="306">
        <f t="shared" si="5"/>
        <v>0</v>
      </c>
      <c r="AJ37" s="306">
        <f t="shared" si="6"/>
        <v>0</v>
      </c>
      <c r="AK37" s="306">
        <f t="shared" si="16"/>
        <v>0</v>
      </c>
      <c r="AL37" s="306">
        <f t="shared" si="7"/>
        <v>0</v>
      </c>
      <c r="AM37" s="306">
        <f t="shared" si="8"/>
        <v>0</v>
      </c>
      <c r="AN37" s="477"/>
      <c r="AO37" s="788">
        <f>IF(OR(P37=0,AG37=0),,
IF(OR(リスト!$C$21="小麦",リスト!$C$21="二条大麦",リスト!$C$21="六条大麦",リスト!$C$21="はだか麦",リスト!$C$21="なたね"),IF(OR(AND(K37&lt;9,J37=調査年),AND(K37&gt;=9,J37=調査年-1)),,ROUND(AG37*P37%,0)),
IF(リスト!$C$21="さとうきび",IF(OR(AND(K37&gt;=4,J37=調査年),AND(K37&lt;4,J37=調査年+1)),,ROUND(AG37*P37%,0)),
IF(J37=調査年,,ROUND(AG37*P37%,0)))))</f>
        <v>0</v>
      </c>
      <c r="AP37" s="788">
        <f t="shared" si="9"/>
        <v>0</v>
      </c>
      <c r="AQ37" s="306">
        <f t="shared" si="10"/>
        <v>0</v>
      </c>
      <c r="AR37" s="788">
        <f t="shared" si="11"/>
        <v>0</v>
      </c>
      <c r="AS37" s="306">
        <f>IF(P37=0,,
SUM(
IF(OR(リスト!$C$21="小麦",リスト!$C$21="二条大麦",リスト!$C$21="六条大麦",リスト!$C$21="はだか麦",リスト!$C$21="なたね"),IF(OR(AND(Z37=1,K37&lt;9,J37=調査年),AND(Z37=1,K37&gt;=9,J37=調査年-1)),ROUND(L37*P37%,0),),
IF(リスト!$C$21="さとうきび",IF(OR(AND(Z37=1,K37&gt;=4,J37=調査年),AND(Z37=1,K37&lt;4,J37=調査年+1)),ROUND(L37*P37%,0),),
IF(AND(Z37=1,J37=調査年),ROUND(L37*P37%,0),))),
ROUND(N37*P37%,0),
ROUND(SUM(AK37)*P37%,0)
))</f>
        <v>0</v>
      </c>
      <c r="AT37" s="306">
        <f t="shared" si="12"/>
        <v>0</v>
      </c>
      <c r="AU37" s="306" t="str">
        <f t="shared" si="13"/>
        <v/>
      </c>
      <c r="AV37" s="802"/>
      <c r="AW37" s="802"/>
      <c r="AX37" s="802"/>
      <c r="AY37" s="802"/>
      <c r="AZ37" s="802"/>
    </row>
    <row r="38" spans="3:52" s="174" customFormat="1" ht="30" hidden="1" customHeight="1" outlineLevel="1">
      <c r="C38" s="790">
        <v>23</v>
      </c>
      <c r="D38" s="803"/>
      <c r="E38" s="792"/>
      <c r="F38" s="793"/>
      <c r="G38" s="2214"/>
      <c r="H38" s="2215"/>
      <c r="I38" s="794"/>
      <c r="J38" s="795"/>
      <c r="K38" s="796"/>
      <c r="L38" s="797"/>
      <c r="M38" s="797"/>
      <c r="N38" s="797"/>
      <c r="O38" s="797"/>
      <c r="P38" s="1284"/>
      <c r="Q38" s="798"/>
      <c r="R38" s="799"/>
      <c r="S38" s="797"/>
      <c r="T38" s="784"/>
      <c r="U38" s="2"/>
      <c r="V38" s="1295"/>
      <c r="W38" s="785"/>
      <c r="X38" s="2"/>
      <c r="Y38" s="800">
        <f t="shared" si="17"/>
        <v>0</v>
      </c>
      <c r="Z38" s="786">
        <f t="shared" si="14"/>
        <v>0</v>
      </c>
      <c r="AA38" s="786">
        <f t="shared" si="15"/>
        <v>0</v>
      </c>
      <c r="AB38" s="800">
        <f>IF(Y38=0,,VLOOKUP(Y38,リスト!CX:CY,2,0))</f>
        <v>0</v>
      </c>
      <c r="AC38" s="800">
        <f t="shared" si="1"/>
        <v>0</v>
      </c>
      <c r="AD38" s="801">
        <f>IF(AC38=0,,VLOOKUP(AC38,リスト!DK:DL,2,0))</f>
        <v>0</v>
      </c>
      <c r="AE38" s="786">
        <f>IF(Y38=0,,
IF(OR(リスト!$C$21="小麦",リスト!$C$21="二条大麦",リスト!$C$21="六条大麦",リスト!$C$21="はだか麦",リスト!$C$21="なたね"),IF(K38&lt;9,調査年-J38,調査年-J38-1),
IF(リスト!$C$21="さとうきび",IF(K38&gt;=4,調査年-J38,調査年-J38+1),
調査年-J38)))</f>
        <v>0</v>
      </c>
      <c r="AF38" s="306">
        <f t="shared" si="2"/>
        <v>0</v>
      </c>
      <c r="AG38" s="306">
        <f t="shared" si="3"/>
        <v>0</v>
      </c>
      <c r="AH38" s="306">
        <f t="shared" si="4"/>
        <v>0</v>
      </c>
      <c r="AI38" s="306">
        <f t="shared" si="5"/>
        <v>0</v>
      </c>
      <c r="AJ38" s="306">
        <f t="shared" si="6"/>
        <v>0</v>
      </c>
      <c r="AK38" s="306">
        <f t="shared" si="16"/>
        <v>0</v>
      </c>
      <c r="AL38" s="306">
        <f t="shared" si="7"/>
        <v>0</v>
      </c>
      <c r="AM38" s="306">
        <f t="shared" si="8"/>
        <v>0</v>
      </c>
      <c r="AN38" s="477"/>
      <c r="AO38" s="788">
        <f>IF(OR(P38=0,AG38=0),,
IF(OR(リスト!$C$21="小麦",リスト!$C$21="二条大麦",リスト!$C$21="六条大麦",リスト!$C$21="はだか麦",リスト!$C$21="なたね"),IF(OR(AND(K38&lt;9,J38=調査年),AND(K38&gt;=9,J38=調査年-1)),,ROUND(AG38*P38%,0)),
IF(リスト!$C$21="さとうきび",IF(OR(AND(K38&gt;=4,J38=調査年),AND(K38&lt;4,J38=調査年+1)),,ROUND(AG38*P38%,0)),
IF(J38=調査年,,ROUND(AG38*P38%,0)))))</f>
        <v>0</v>
      </c>
      <c r="AP38" s="788">
        <f t="shared" si="9"/>
        <v>0</v>
      </c>
      <c r="AQ38" s="306">
        <f t="shared" si="10"/>
        <v>0</v>
      </c>
      <c r="AR38" s="788">
        <f t="shared" si="11"/>
        <v>0</v>
      </c>
      <c r="AS38" s="306">
        <f>IF(P38=0,,
SUM(
IF(OR(リスト!$C$21="小麦",リスト!$C$21="二条大麦",リスト!$C$21="六条大麦",リスト!$C$21="はだか麦",リスト!$C$21="なたね"),IF(OR(AND(Z38=1,K38&lt;9,J38=調査年),AND(Z38=1,K38&gt;=9,J38=調査年-1)),ROUND(L38*P38%,0),),
IF(リスト!$C$21="さとうきび",IF(OR(AND(Z38=1,K38&gt;=4,J38=調査年),AND(Z38=1,K38&lt;4,J38=調査年+1)),ROUND(L38*P38%,0),),
IF(AND(Z38=1,J38=調査年),ROUND(L38*P38%,0),))),
ROUND(N38*P38%,0),
ROUND(SUM(AK38)*P38%,0)
))</f>
        <v>0</v>
      </c>
      <c r="AT38" s="306">
        <f t="shared" si="12"/>
        <v>0</v>
      </c>
      <c r="AU38" s="306" t="str">
        <f t="shared" si="13"/>
        <v/>
      </c>
      <c r="AV38" s="802"/>
      <c r="AW38" s="802"/>
      <c r="AX38" s="802"/>
      <c r="AY38" s="802"/>
      <c r="AZ38" s="802"/>
    </row>
    <row r="39" spans="3:52" s="174" customFormat="1" ht="30" hidden="1" customHeight="1" outlineLevel="1">
      <c r="C39" s="790">
        <v>24</v>
      </c>
      <c r="D39" s="803"/>
      <c r="E39" s="792"/>
      <c r="F39" s="793"/>
      <c r="G39" s="2214"/>
      <c r="H39" s="2215"/>
      <c r="I39" s="794"/>
      <c r="J39" s="795"/>
      <c r="K39" s="796"/>
      <c r="L39" s="797"/>
      <c r="M39" s="797"/>
      <c r="N39" s="797"/>
      <c r="O39" s="797"/>
      <c r="P39" s="1284"/>
      <c r="Q39" s="798"/>
      <c r="R39" s="799"/>
      <c r="S39" s="797"/>
      <c r="T39" s="784"/>
      <c r="U39" s="2"/>
      <c r="V39" s="1295"/>
      <c r="W39" s="785"/>
      <c r="X39" s="2"/>
      <c r="Y39" s="800">
        <f t="shared" si="17"/>
        <v>0</v>
      </c>
      <c r="Z39" s="786">
        <f t="shared" si="14"/>
        <v>0</v>
      </c>
      <c r="AA39" s="786">
        <f t="shared" si="15"/>
        <v>0</v>
      </c>
      <c r="AB39" s="800">
        <f>IF(Y39=0,,VLOOKUP(Y39,リスト!CX:CY,2,0))</f>
        <v>0</v>
      </c>
      <c r="AC39" s="800">
        <f t="shared" si="1"/>
        <v>0</v>
      </c>
      <c r="AD39" s="801">
        <f>IF(AC39=0,,VLOOKUP(AC39,リスト!DK:DL,2,0))</f>
        <v>0</v>
      </c>
      <c r="AE39" s="786">
        <f>IF(Y39=0,,
IF(OR(リスト!$C$21="小麦",リスト!$C$21="二条大麦",リスト!$C$21="六条大麦",リスト!$C$21="はだか麦",リスト!$C$21="なたね"),IF(K39&lt;9,調査年-J39,調査年-J39-1),
IF(リスト!$C$21="さとうきび",IF(K39&gt;=4,調査年-J39,調査年-J39+1),
調査年-J39)))</f>
        <v>0</v>
      </c>
      <c r="AF39" s="306">
        <f t="shared" si="2"/>
        <v>0</v>
      </c>
      <c r="AG39" s="306">
        <f t="shared" si="3"/>
        <v>0</v>
      </c>
      <c r="AH39" s="306">
        <f t="shared" si="4"/>
        <v>0</v>
      </c>
      <c r="AI39" s="306">
        <f t="shared" si="5"/>
        <v>0</v>
      </c>
      <c r="AJ39" s="306">
        <f t="shared" si="6"/>
        <v>0</v>
      </c>
      <c r="AK39" s="306">
        <f t="shared" si="16"/>
        <v>0</v>
      </c>
      <c r="AL39" s="306">
        <f t="shared" si="7"/>
        <v>0</v>
      </c>
      <c r="AM39" s="306">
        <f t="shared" si="8"/>
        <v>0</v>
      </c>
      <c r="AN39" s="477"/>
      <c r="AO39" s="788">
        <f>IF(OR(P39=0,AG39=0),,
IF(OR(リスト!$C$21="小麦",リスト!$C$21="二条大麦",リスト!$C$21="六条大麦",リスト!$C$21="はだか麦",リスト!$C$21="なたね"),IF(OR(AND(K39&lt;9,J39=調査年),AND(K39&gt;=9,J39=調査年-1)),,ROUND(AG39*P39%,0)),
IF(リスト!$C$21="さとうきび",IF(OR(AND(K39&gt;=4,J39=調査年),AND(K39&lt;4,J39=調査年+1)),,ROUND(AG39*P39%,0)),
IF(J39=調査年,,ROUND(AG39*P39%,0)))))</f>
        <v>0</v>
      </c>
      <c r="AP39" s="788">
        <f t="shared" si="9"/>
        <v>0</v>
      </c>
      <c r="AQ39" s="306">
        <f t="shared" si="10"/>
        <v>0</v>
      </c>
      <c r="AR39" s="788">
        <f t="shared" si="11"/>
        <v>0</v>
      </c>
      <c r="AS39" s="306">
        <f>IF(P39=0,,
SUM(
IF(OR(リスト!$C$21="小麦",リスト!$C$21="二条大麦",リスト!$C$21="六条大麦",リスト!$C$21="はだか麦",リスト!$C$21="なたね"),IF(OR(AND(Z39=1,K39&lt;9,J39=調査年),AND(Z39=1,K39&gt;=9,J39=調査年-1)),ROUND(L39*P39%,0),),
IF(リスト!$C$21="さとうきび",IF(OR(AND(Z39=1,K39&gt;=4,J39=調査年),AND(Z39=1,K39&lt;4,J39=調査年+1)),ROUND(L39*P39%,0),),
IF(AND(Z39=1,J39=調査年),ROUND(L39*P39%,0),))),
ROUND(N39*P39%,0),
ROUND(SUM(AK39)*P39%,0)
))</f>
        <v>0</v>
      </c>
      <c r="AT39" s="306">
        <f t="shared" si="12"/>
        <v>0</v>
      </c>
      <c r="AU39" s="306" t="str">
        <f t="shared" si="13"/>
        <v/>
      </c>
      <c r="AV39" s="802"/>
      <c r="AW39" s="802"/>
      <c r="AX39" s="802"/>
      <c r="AY39" s="802"/>
      <c r="AZ39" s="802"/>
    </row>
    <row r="40" spans="3:52" s="174" customFormat="1" ht="30" hidden="1" customHeight="1" outlineLevel="1">
      <c r="C40" s="790">
        <v>25</v>
      </c>
      <c r="D40" s="803"/>
      <c r="E40" s="792"/>
      <c r="F40" s="793"/>
      <c r="G40" s="2214"/>
      <c r="H40" s="2215"/>
      <c r="I40" s="794"/>
      <c r="J40" s="795"/>
      <c r="K40" s="796"/>
      <c r="L40" s="797"/>
      <c r="M40" s="797"/>
      <c r="N40" s="797"/>
      <c r="O40" s="797"/>
      <c r="P40" s="1284"/>
      <c r="Q40" s="798"/>
      <c r="R40" s="799"/>
      <c r="S40" s="797"/>
      <c r="T40" s="784"/>
      <c r="U40" s="2"/>
      <c r="V40" s="1295"/>
      <c r="W40" s="785"/>
      <c r="X40" s="2"/>
      <c r="Y40" s="800">
        <f t="shared" si="17"/>
        <v>0</v>
      </c>
      <c r="Z40" s="786">
        <f t="shared" si="14"/>
        <v>0</v>
      </c>
      <c r="AA40" s="786">
        <f t="shared" si="15"/>
        <v>0</v>
      </c>
      <c r="AB40" s="800">
        <f>IF(Y40=0,,VLOOKUP(Y40,リスト!CX:CY,2,0))</f>
        <v>0</v>
      </c>
      <c r="AC40" s="800">
        <f t="shared" si="1"/>
        <v>0</v>
      </c>
      <c r="AD40" s="801">
        <f>IF(AC40=0,,VLOOKUP(AC40,リスト!DK:DL,2,0))</f>
        <v>0</v>
      </c>
      <c r="AE40" s="786">
        <f>IF(Y40=0,,
IF(OR(リスト!$C$21="小麦",リスト!$C$21="二条大麦",リスト!$C$21="六条大麦",リスト!$C$21="はだか麦",リスト!$C$21="なたね"),IF(K40&lt;9,調査年-J40,調査年-J40-1),
IF(リスト!$C$21="さとうきび",IF(K40&gt;=4,調査年-J40,調査年-J40+1),
調査年-J40)))</f>
        <v>0</v>
      </c>
      <c r="AF40" s="306">
        <f t="shared" si="2"/>
        <v>0</v>
      </c>
      <c r="AG40" s="306">
        <f t="shared" si="3"/>
        <v>0</v>
      </c>
      <c r="AH40" s="306">
        <f t="shared" si="4"/>
        <v>0</v>
      </c>
      <c r="AI40" s="306">
        <f t="shared" si="5"/>
        <v>0</v>
      </c>
      <c r="AJ40" s="306">
        <f t="shared" si="6"/>
        <v>0</v>
      </c>
      <c r="AK40" s="306">
        <f t="shared" si="16"/>
        <v>0</v>
      </c>
      <c r="AL40" s="306">
        <f t="shared" si="7"/>
        <v>0</v>
      </c>
      <c r="AM40" s="306">
        <f t="shared" si="8"/>
        <v>0</v>
      </c>
      <c r="AN40" s="477"/>
      <c r="AO40" s="788">
        <f>IF(OR(P40=0,AG40=0),,
IF(OR(リスト!$C$21="小麦",リスト!$C$21="二条大麦",リスト!$C$21="六条大麦",リスト!$C$21="はだか麦",リスト!$C$21="なたね"),IF(OR(AND(K40&lt;9,J40=調査年),AND(K40&gt;=9,J40=調査年-1)),,ROUND(AG40*P40%,0)),
IF(リスト!$C$21="さとうきび",IF(OR(AND(K40&gt;=4,J40=調査年),AND(K40&lt;4,J40=調査年+1)),,ROUND(AG40*P40%,0)),
IF(J40=調査年,,ROUND(AG40*P40%,0)))))</f>
        <v>0</v>
      </c>
      <c r="AP40" s="788">
        <f t="shared" si="9"/>
        <v>0</v>
      </c>
      <c r="AQ40" s="306">
        <f t="shared" si="10"/>
        <v>0</v>
      </c>
      <c r="AR40" s="788">
        <f t="shared" si="11"/>
        <v>0</v>
      </c>
      <c r="AS40" s="306">
        <f>IF(P40=0,,
SUM(
IF(OR(リスト!$C$21="小麦",リスト!$C$21="二条大麦",リスト!$C$21="六条大麦",リスト!$C$21="はだか麦",リスト!$C$21="なたね"),IF(OR(AND(Z40=1,K40&lt;9,J40=調査年),AND(Z40=1,K40&gt;=9,J40=調査年-1)),ROUND(L40*P40%,0),),
IF(リスト!$C$21="さとうきび",IF(OR(AND(Z40=1,K40&gt;=4,J40=調査年),AND(Z40=1,K40&lt;4,J40=調査年+1)),ROUND(L40*P40%,0),),
IF(AND(Z40=1,J40=調査年),ROUND(L40*P40%,0),))),
ROUND(N40*P40%,0),
ROUND(SUM(AK40)*P40%,0)
))</f>
        <v>0</v>
      </c>
      <c r="AT40" s="306">
        <f t="shared" si="12"/>
        <v>0</v>
      </c>
      <c r="AU40" s="306" t="str">
        <f t="shared" si="13"/>
        <v/>
      </c>
      <c r="AV40" s="802"/>
      <c r="AW40" s="802"/>
      <c r="AX40" s="802"/>
      <c r="AY40" s="802"/>
      <c r="AZ40" s="802"/>
    </row>
    <row r="41" spans="3:52" s="174" customFormat="1" ht="30" hidden="1" customHeight="1" outlineLevel="1">
      <c r="C41" s="790">
        <v>26</v>
      </c>
      <c r="D41" s="803"/>
      <c r="E41" s="792"/>
      <c r="F41" s="793"/>
      <c r="G41" s="2214"/>
      <c r="H41" s="2215"/>
      <c r="I41" s="794"/>
      <c r="J41" s="795"/>
      <c r="K41" s="796"/>
      <c r="L41" s="797"/>
      <c r="M41" s="797"/>
      <c r="N41" s="797"/>
      <c r="O41" s="797"/>
      <c r="P41" s="1284"/>
      <c r="Q41" s="798"/>
      <c r="R41" s="799"/>
      <c r="S41" s="797"/>
      <c r="T41" s="784"/>
      <c r="U41" s="2"/>
      <c r="V41" s="1295"/>
      <c r="W41" s="785"/>
      <c r="X41" s="2"/>
      <c r="Y41" s="800">
        <f t="shared" si="17"/>
        <v>0</v>
      </c>
      <c r="Z41" s="786">
        <f t="shared" si="14"/>
        <v>0</v>
      </c>
      <c r="AA41" s="786">
        <f t="shared" si="15"/>
        <v>0</v>
      </c>
      <c r="AB41" s="800">
        <f>IF(Y41=0,,VLOOKUP(Y41,リスト!CX:CY,2,0))</f>
        <v>0</v>
      </c>
      <c r="AC41" s="800">
        <f t="shared" si="1"/>
        <v>0</v>
      </c>
      <c r="AD41" s="801">
        <f>IF(AC41=0,,VLOOKUP(AC41,リスト!DK:DL,2,0))</f>
        <v>0</v>
      </c>
      <c r="AE41" s="786">
        <f>IF(Y41=0,,
IF(OR(リスト!$C$21="小麦",リスト!$C$21="二条大麦",リスト!$C$21="六条大麦",リスト!$C$21="はだか麦",リスト!$C$21="なたね"),IF(K41&lt;9,調査年-J41,調査年-J41-1),
IF(リスト!$C$21="さとうきび",IF(K41&gt;=4,調査年-J41,調査年-J41+1),
調査年-J41)))</f>
        <v>0</v>
      </c>
      <c r="AF41" s="306">
        <f t="shared" si="2"/>
        <v>0</v>
      </c>
      <c r="AG41" s="306">
        <f t="shared" si="3"/>
        <v>0</v>
      </c>
      <c r="AH41" s="306">
        <f t="shared" si="4"/>
        <v>0</v>
      </c>
      <c r="AI41" s="306">
        <f t="shared" si="5"/>
        <v>0</v>
      </c>
      <c r="AJ41" s="306">
        <f t="shared" si="6"/>
        <v>0</v>
      </c>
      <c r="AK41" s="306">
        <f t="shared" si="16"/>
        <v>0</v>
      </c>
      <c r="AL41" s="306">
        <f t="shared" si="7"/>
        <v>0</v>
      </c>
      <c r="AM41" s="306">
        <f t="shared" si="8"/>
        <v>0</v>
      </c>
      <c r="AN41" s="477"/>
      <c r="AO41" s="788">
        <f>IF(OR(P41=0,AG41=0),,
IF(OR(リスト!$C$21="小麦",リスト!$C$21="二条大麦",リスト!$C$21="六条大麦",リスト!$C$21="はだか麦",リスト!$C$21="なたね"),IF(OR(AND(K41&lt;9,J41=調査年),AND(K41&gt;=9,J41=調査年-1)),,ROUND(AG41*P41%,0)),
IF(リスト!$C$21="さとうきび",IF(OR(AND(K41&gt;=4,J41=調査年),AND(K41&lt;4,J41=調査年+1)),,ROUND(AG41*P41%,0)),
IF(J41=調査年,,ROUND(AG41*P41%,0)))))</f>
        <v>0</v>
      </c>
      <c r="AP41" s="788">
        <f t="shared" si="9"/>
        <v>0</v>
      </c>
      <c r="AQ41" s="306">
        <f t="shared" si="10"/>
        <v>0</v>
      </c>
      <c r="AR41" s="788">
        <f t="shared" si="11"/>
        <v>0</v>
      </c>
      <c r="AS41" s="306">
        <f>IF(P41=0,,
SUM(
IF(OR(リスト!$C$21="小麦",リスト!$C$21="二条大麦",リスト!$C$21="六条大麦",リスト!$C$21="はだか麦",リスト!$C$21="なたね"),IF(OR(AND(Z41=1,K41&lt;9,J41=調査年),AND(Z41=1,K41&gt;=9,J41=調査年-1)),ROUND(L41*P41%,0),),
IF(リスト!$C$21="さとうきび",IF(OR(AND(Z41=1,K41&gt;=4,J41=調査年),AND(Z41=1,K41&lt;4,J41=調査年+1)),ROUND(L41*P41%,0),),
IF(AND(Z41=1,J41=調査年),ROUND(L41*P41%,0),))),
ROUND(N41*P41%,0),
ROUND(SUM(AK41)*P41%,0)
))</f>
        <v>0</v>
      </c>
      <c r="AT41" s="306">
        <f t="shared" si="12"/>
        <v>0</v>
      </c>
      <c r="AU41" s="306" t="str">
        <f t="shared" si="13"/>
        <v/>
      </c>
      <c r="AV41" s="802"/>
      <c r="AW41" s="802"/>
      <c r="AX41" s="802"/>
      <c r="AY41" s="802"/>
      <c r="AZ41" s="802"/>
    </row>
    <row r="42" spans="3:52" s="174" customFormat="1" ht="30" hidden="1" customHeight="1" outlineLevel="1">
      <c r="C42" s="790">
        <v>27</v>
      </c>
      <c r="D42" s="803"/>
      <c r="E42" s="792"/>
      <c r="F42" s="793"/>
      <c r="G42" s="2214"/>
      <c r="H42" s="2215"/>
      <c r="I42" s="794"/>
      <c r="J42" s="795"/>
      <c r="K42" s="796"/>
      <c r="L42" s="797"/>
      <c r="M42" s="797"/>
      <c r="N42" s="797"/>
      <c r="O42" s="797"/>
      <c r="P42" s="1284"/>
      <c r="Q42" s="798"/>
      <c r="R42" s="799"/>
      <c r="S42" s="797"/>
      <c r="T42" s="784"/>
      <c r="U42" s="2"/>
      <c r="V42" s="1295"/>
      <c r="W42" s="785"/>
      <c r="X42" s="2"/>
      <c r="Y42" s="800">
        <f t="shared" si="17"/>
        <v>0</v>
      </c>
      <c r="Z42" s="786">
        <f t="shared" si="14"/>
        <v>0</v>
      </c>
      <c r="AA42" s="786">
        <f t="shared" si="15"/>
        <v>0</v>
      </c>
      <c r="AB42" s="800">
        <f>IF(Y42=0,,VLOOKUP(Y42,リスト!CX:CY,2,0))</f>
        <v>0</v>
      </c>
      <c r="AC42" s="800">
        <f t="shared" si="1"/>
        <v>0</v>
      </c>
      <c r="AD42" s="801">
        <f>IF(AC42=0,,VLOOKUP(AC42,リスト!DK:DL,2,0))</f>
        <v>0</v>
      </c>
      <c r="AE42" s="786">
        <f>IF(Y42=0,,
IF(OR(リスト!$C$21="小麦",リスト!$C$21="二条大麦",リスト!$C$21="六条大麦",リスト!$C$21="はだか麦",リスト!$C$21="なたね"),IF(K42&lt;9,調査年-J42,調査年-J42-1),
IF(リスト!$C$21="さとうきび",IF(K42&gt;=4,調査年-J42,調査年-J42+1),
調査年-J42)))</f>
        <v>0</v>
      </c>
      <c r="AF42" s="306">
        <f t="shared" si="2"/>
        <v>0</v>
      </c>
      <c r="AG42" s="306">
        <f t="shared" si="3"/>
        <v>0</v>
      </c>
      <c r="AH42" s="306">
        <f t="shared" si="4"/>
        <v>0</v>
      </c>
      <c r="AI42" s="306">
        <f t="shared" si="5"/>
        <v>0</v>
      </c>
      <c r="AJ42" s="306">
        <f t="shared" si="6"/>
        <v>0</v>
      </c>
      <c r="AK42" s="306">
        <f t="shared" si="16"/>
        <v>0</v>
      </c>
      <c r="AL42" s="306">
        <f t="shared" si="7"/>
        <v>0</v>
      </c>
      <c r="AM42" s="306">
        <f t="shared" si="8"/>
        <v>0</v>
      </c>
      <c r="AN42" s="477"/>
      <c r="AO42" s="788">
        <f>IF(OR(P42=0,AG42=0),,
IF(OR(リスト!$C$21="小麦",リスト!$C$21="二条大麦",リスト!$C$21="六条大麦",リスト!$C$21="はだか麦",リスト!$C$21="なたね"),IF(OR(AND(K42&lt;9,J42=調査年),AND(K42&gt;=9,J42=調査年-1)),,ROUND(AG42*P42%,0)),
IF(リスト!$C$21="さとうきび",IF(OR(AND(K42&gt;=4,J42=調査年),AND(K42&lt;4,J42=調査年+1)),,ROUND(AG42*P42%,0)),
IF(J42=調査年,,ROUND(AG42*P42%,0)))))</f>
        <v>0</v>
      </c>
      <c r="AP42" s="788">
        <f t="shared" si="9"/>
        <v>0</v>
      </c>
      <c r="AQ42" s="306">
        <f t="shared" si="10"/>
        <v>0</v>
      </c>
      <c r="AR42" s="788">
        <f t="shared" si="11"/>
        <v>0</v>
      </c>
      <c r="AS42" s="306">
        <f>IF(P42=0,,
SUM(
IF(OR(リスト!$C$21="小麦",リスト!$C$21="二条大麦",リスト!$C$21="六条大麦",リスト!$C$21="はだか麦",リスト!$C$21="なたね"),IF(OR(AND(Z42=1,K42&lt;9,J42=調査年),AND(Z42=1,K42&gt;=9,J42=調査年-1)),ROUND(L42*P42%,0),),
IF(リスト!$C$21="さとうきび",IF(OR(AND(Z42=1,K42&gt;=4,J42=調査年),AND(Z42=1,K42&lt;4,J42=調査年+1)),ROUND(L42*P42%,0),),
IF(AND(Z42=1,J42=調査年),ROUND(L42*P42%,0),))),
ROUND(N42*P42%,0),
ROUND(SUM(AK42)*P42%,0)
))</f>
        <v>0</v>
      </c>
      <c r="AT42" s="306">
        <f t="shared" si="12"/>
        <v>0</v>
      </c>
      <c r="AU42" s="306" t="str">
        <f t="shared" si="13"/>
        <v/>
      </c>
      <c r="AV42" s="802"/>
      <c r="AW42" s="802"/>
      <c r="AX42" s="802"/>
      <c r="AY42" s="802"/>
      <c r="AZ42" s="802"/>
    </row>
    <row r="43" spans="3:52" s="174" customFormat="1" ht="30" hidden="1" customHeight="1" outlineLevel="1">
      <c r="C43" s="790">
        <v>28</v>
      </c>
      <c r="D43" s="803"/>
      <c r="E43" s="792"/>
      <c r="F43" s="793"/>
      <c r="G43" s="2214"/>
      <c r="H43" s="2215"/>
      <c r="I43" s="794"/>
      <c r="J43" s="795"/>
      <c r="K43" s="796"/>
      <c r="L43" s="797"/>
      <c r="M43" s="797"/>
      <c r="N43" s="797"/>
      <c r="O43" s="797"/>
      <c r="P43" s="1284"/>
      <c r="Q43" s="798"/>
      <c r="R43" s="799"/>
      <c r="S43" s="797"/>
      <c r="T43" s="784"/>
      <c r="U43" s="2"/>
      <c r="V43" s="1295"/>
      <c r="W43" s="785"/>
      <c r="X43" s="2"/>
      <c r="Y43" s="800">
        <f t="shared" si="17"/>
        <v>0</v>
      </c>
      <c r="Z43" s="786">
        <f t="shared" si="14"/>
        <v>0</v>
      </c>
      <c r="AA43" s="786">
        <f t="shared" si="15"/>
        <v>0</v>
      </c>
      <c r="AB43" s="800">
        <f>IF(Y43=0,,VLOOKUP(Y43,リスト!CX:CY,2,0))</f>
        <v>0</v>
      </c>
      <c r="AC43" s="800">
        <f t="shared" si="1"/>
        <v>0</v>
      </c>
      <c r="AD43" s="801">
        <f>IF(AC43=0,,VLOOKUP(AC43,リスト!DK:DL,2,0))</f>
        <v>0</v>
      </c>
      <c r="AE43" s="786">
        <f>IF(Y43=0,,
IF(OR(リスト!$C$21="小麦",リスト!$C$21="二条大麦",リスト!$C$21="六条大麦",リスト!$C$21="はだか麦",リスト!$C$21="なたね"),IF(K43&lt;9,調査年-J43,調査年-J43-1),
IF(リスト!$C$21="さとうきび",IF(K43&gt;=4,調査年-J43,調査年-J43+1),
調査年-J43)))</f>
        <v>0</v>
      </c>
      <c r="AF43" s="306">
        <f t="shared" si="2"/>
        <v>0</v>
      </c>
      <c r="AG43" s="306">
        <f t="shared" si="3"/>
        <v>0</v>
      </c>
      <c r="AH43" s="306">
        <f t="shared" si="4"/>
        <v>0</v>
      </c>
      <c r="AI43" s="306">
        <f t="shared" si="5"/>
        <v>0</v>
      </c>
      <c r="AJ43" s="306">
        <f t="shared" si="6"/>
        <v>0</v>
      </c>
      <c r="AK43" s="306">
        <f t="shared" si="16"/>
        <v>0</v>
      </c>
      <c r="AL43" s="306">
        <f t="shared" si="7"/>
        <v>0</v>
      </c>
      <c r="AM43" s="306">
        <f t="shared" si="8"/>
        <v>0</v>
      </c>
      <c r="AN43" s="477"/>
      <c r="AO43" s="788">
        <f>IF(OR(P43=0,AG43=0),,
IF(OR(リスト!$C$21="小麦",リスト!$C$21="二条大麦",リスト!$C$21="六条大麦",リスト!$C$21="はだか麦",リスト!$C$21="なたね"),IF(OR(AND(K43&lt;9,J43=調査年),AND(K43&gt;=9,J43=調査年-1)),,ROUND(AG43*P43%,0)),
IF(リスト!$C$21="さとうきび",IF(OR(AND(K43&gt;=4,J43=調査年),AND(K43&lt;4,J43=調査年+1)),,ROUND(AG43*P43%,0)),
IF(J43=調査年,,ROUND(AG43*P43%,0)))))</f>
        <v>0</v>
      </c>
      <c r="AP43" s="788">
        <f t="shared" si="9"/>
        <v>0</v>
      </c>
      <c r="AQ43" s="306">
        <f t="shared" si="10"/>
        <v>0</v>
      </c>
      <c r="AR43" s="788">
        <f t="shared" si="11"/>
        <v>0</v>
      </c>
      <c r="AS43" s="306">
        <f>IF(P43=0,,
SUM(
IF(OR(リスト!$C$21="小麦",リスト!$C$21="二条大麦",リスト!$C$21="六条大麦",リスト!$C$21="はだか麦",リスト!$C$21="なたね"),IF(OR(AND(Z43=1,K43&lt;9,J43=調査年),AND(Z43=1,K43&gt;=9,J43=調査年-1)),ROUND(L43*P43%,0),),
IF(リスト!$C$21="さとうきび",IF(OR(AND(Z43=1,K43&gt;=4,J43=調査年),AND(Z43=1,K43&lt;4,J43=調査年+1)),ROUND(L43*P43%,0),),
IF(AND(Z43=1,J43=調査年),ROUND(L43*P43%,0),))),
ROUND(N43*P43%,0),
ROUND(SUM(AK43)*P43%,0)
))</f>
        <v>0</v>
      </c>
      <c r="AT43" s="306">
        <f t="shared" si="12"/>
        <v>0</v>
      </c>
      <c r="AU43" s="306" t="str">
        <f t="shared" si="13"/>
        <v/>
      </c>
      <c r="AV43" s="802"/>
      <c r="AW43" s="802"/>
      <c r="AX43" s="802"/>
      <c r="AY43" s="802"/>
      <c r="AZ43" s="802"/>
    </row>
    <row r="44" spans="3:52" s="174" customFormat="1" ht="30" hidden="1" customHeight="1" outlineLevel="1">
      <c r="C44" s="790">
        <v>29</v>
      </c>
      <c r="D44" s="803"/>
      <c r="E44" s="792"/>
      <c r="F44" s="793"/>
      <c r="G44" s="2214"/>
      <c r="H44" s="2215"/>
      <c r="I44" s="794"/>
      <c r="J44" s="795"/>
      <c r="K44" s="796"/>
      <c r="L44" s="797"/>
      <c r="M44" s="797"/>
      <c r="N44" s="797"/>
      <c r="O44" s="797"/>
      <c r="P44" s="1284"/>
      <c r="Q44" s="798"/>
      <c r="R44" s="799"/>
      <c r="S44" s="797"/>
      <c r="T44" s="784"/>
      <c r="U44" s="2"/>
      <c r="V44" s="1295"/>
      <c r="W44" s="785"/>
      <c r="X44" s="2"/>
      <c r="Y44" s="800">
        <f t="shared" si="17"/>
        <v>0</v>
      </c>
      <c r="Z44" s="786">
        <f t="shared" si="14"/>
        <v>0</v>
      </c>
      <c r="AA44" s="786">
        <f t="shared" si="15"/>
        <v>0</v>
      </c>
      <c r="AB44" s="800">
        <f>IF(Y44=0,,VLOOKUP(Y44,リスト!CX:CY,2,0))</f>
        <v>0</v>
      </c>
      <c r="AC44" s="800">
        <f t="shared" si="1"/>
        <v>0</v>
      </c>
      <c r="AD44" s="801">
        <f>IF(AC44=0,,VLOOKUP(AC44,リスト!DK:DL,2,0))</f>
        <v>0</v>
      </c>
      <c r="AE44" s="786">
        <f>IF(Y44=0,,
IF(OR(リスト!$C$21="小麦",リスト!$C$21="二条大麦",リスト!$C$21="六条大麦",リスト!$C$21="はだか麦",リスト!$C$21="なたね"),IF(K44&lt;9,調査年-J44,調査年-J44-1),
IF(リスト!$C$21="さとうきび",IF(K44&gt;=4,調査年-J44,調査年-J44+1),
調査年-J44)))</f>
        <v>0</v>
      </c>
      <c r="AF44" s="306">
        <f t="shared" si="2"/>
        <v>0</v>
      </c>
      <c r="AG44" s="306">
        <f t="shared" si="3"/>
        <v>0</v>
      </c>
      <c r="AH44" s="306">
        <f t="shared" si="4"/>
        <v>0</v>
      </c>
      <c r="AI44" s="306">
        <f t="shared" si="5"/>
        <v>0</v>
      </c>
      <c r="AJ44" s="306">
        <f t="shared" si="6"/>
        <v>0</v>
      </c>
      <c r="AK44" s="306">
        <f t="shared" si="16"/>
        <v>0</v>
      </c>
      <c r="AL44" s="306">
        <f t="shared" si="7"/>
        <v>0</v>
      </c>
      <c r="AM44" s="306">
        <f t="shared" si="8"/>
        <v>0</v>
      </c>
      <c r="AN44" s="477"/>
      <c r="AO44" s="788">
        <f>IF(OR(P44=0,AG44=0),,
IF(OR(リスト!$C$21="小麦",リスト!$C$21="二条大麦",リスト!$C$21="六条大麦",リスト!$C$21="はだか麦",リスト!$C$21="なたね"),IF(OR(AND(K44&lt;9,J44=調査年),AND(K44&gt;=9,J44=調査年-1)),,ROUND(AG44*P44%,0)),
IF(リスト!$C$21="さとうきび",IF(OR(AND(K44&gt;=4,J44=調査年),AND(K44&lt;4,J44=調査年+1)),,ROUND(AG44*P44%,0)),
IF(J44=調査年,,ROUND(AG44*P44%,0)))))</f>
        <v>0</v>
      </c>
      <c r="AP44" s="788">
        <f t="shared" si="9"/>
        <v>0</v>
      </c>
      <c r="AQ44" s="306">
        <f t="shared" si="10"/>
        <v>0</v>
      </c>
      <c r="AR44" s="788">
        <f t="shared" si="11"/>
        <v>0</v>
      </c>
      <c r="AS44" s="306">
        <f>IF(P44=0,,
SUM(
IF(OR(リスト!$C$21="小麦",リスト!$C$21="二条大麦",リスト!$C$21="六条大麦",リスト!$C$21="はだか麦",リスト!$C$21="なたね"),IF(OR(AND(Z44=1,K44&lt;9,J44=調査年),AND(Z44=1,K44&gt;=9,J44=調査年-1)),ROUND(L44*P44%,0),),
IF(リスト!$C$21="さとうきび",IF(OR(AND(Z44=1,K44&gt;=4,J44=調査年),AND(Z44=1,K44&lt;4,J44=調査年+1)),ROUND(L44*P44%,0),),
IF(AND(Z44=1,J44=調査年),ROUND(L44*P44%,0),))),
ROUND(N44*P44%,0),
ROUND(SUM(AK44)*P44%,0)
))</f>
        <v>0</v>
      </c>
      <c r="AT44" s="306">
        <f t="shared" si="12"/>
        <v>0</v>
      </c>
      <c r="AU44" s="306" t="str">
        <f t="shared" si="13"/>
        <v/>
      </c>
      <c r="AV44" s="802"/>
      <c r="AW44" s="802"/>
      <c r="AX44" s="802"/>
      <c r="AY44" s="802"/>
      <c r="AZ44" s="802"/>
    </row>
    <row r="45" spans="3:52" s="174" customFormat="1" ht="30" hidden="1" customHeight="1" outlineLevel="1">
      <c r="C45" s="790">
        <v>30</v>
      </c>
      <c r="D45" s="803"/>
      <c r="E45" s="792"/>
      <c r="F45" s="793"/>
      <c r="G45" s="2214"/>
      <c r="H45" s="2215"/>
      <c r="I45" s="794"/>
      <c r="J45" s="795"/>
      <c r="K45" s="796"/>
      <c r="L45" s="797"/>
      <c r="M45" s="797"/>
      <c r="N45" s="797"/>
      <c r="O45" s="797"/>
      <c r="P45" s="1284"/>
      <c r="Q45" s="798"/>
      <c r="R45" s="799"/>
      <c r="S45" s="797"/>
      <c r="T45" s="784"/>
      <c r="U45" s="2"/>
      <c r="V45" s="1295"/>
      <c r="W45" s="785"/>
      <c r="X45" s="2"/>
      <c r="Y45" s="800">
        <f t="shared" si="17"/>
        <v>0</v>
      </c>
      <c r="Z45" s="786">
        <f t="shared" si="14"/>
        <v>0</v>
      </c>
      <c r="AA45" s="786">
        <f t="shared" si="15"/>
        <v>0</v>
      </c>
      <c r="AB45" s="800">
        <f>IF(Y45=0,,VLOOKUP(Y45,リスト!CX:CY,2,0))</f>
        <v>0</v>
      </c>
      <c r="AC45" s="800">
        <f t="shared" si="1"/>
        <v>0</v>
      </c>
      <c r="AD45" s="801">
        <f>IF(AC45=0,,VLOOKUP(AC45,リスト!DK:DL,2,0))</f>
        <v>0</v>
      </c>
      <c r="AE45" s="786">
        <f>IF(Y45=0,,
IF(OR(リスト!$C$21="小麦",リスト!$C$21="二条大麦",リスト!$C$21="六条大麦",リスト!$C$21="はだか麦",リスト!$C$21="なたね"),IF(K45&lt;9,調査年-J45,調査年-J45-1),
IF(リスト!$C$21="さとうきび",IF(K45&gt;=4,調査年-J45,調査年-J45+1),
調査年-J45)))</f>
        <v>0</v>
      </c>
      <c r="AF45" s="306">
        <f t="shared" si="2"/>
        <v>0</v>
      </c>
      <c r="AG45" s="306">
        <f t="shared" si="3"/>
        <v>0</v>
      </c>
      <c r="AH45" s="306">
        <f t="shared" si="4"/>
        <v>0</v>
      </c>
      <c r="AI45" s="306">
        <f t="shared" si="5"/>
        <v>0</v>
      </c>
      <c r="AJ45" s="306">
        <f t="shared" si="6"/>
        <v>0</v>
      </c>
      <c r="AK45" s="306">
        <f t="shared" si="16"/>
        <v>0</v>
      </c>
      <c r="AL45" s="306">
        <f t="shared" si="7"/>
        <v>0</v>
      </c>
      <c r="AM45" s="306">
        <f t="shared" si="8"/>
        <v>0</v>
      </c>
      <c r="AN45" s="477"/>
      <c r="AO45" s="788">
        <f>IF(OR(P45=0,AG45=0),,
IF(OR(リスト!$C$21="小麦",リスト!$C$21="二条大麦",リスト!$C$21="六条大麦",リスト!$C$21="はだか麦",リスト!$C$21="なたね"),IF(OR(AND(K45&lt;9,J45=調査年),AND(K45&gt;=9,J45=調査年-1)),,ROUND(AG45*P45%,0)),
IF(リスト!$C$21="さとうきび",IF(OR(AND(K45&gt;=4,J45=調査年),AND(K45&lt;4,J45=調査年+1)),,ROUND(AG45*P45%,0)),
IF(J45=調査年,,ROUND(AG45*P45%,0)))))</f>
        <v>0</v>
      </c>
      <c r="AP45" s="788">
        <f t="shared" si="9"/>
        <v>0</v>
      </c>
      <c r="AQ45" s="306">
        <f t="shared" si="10"/>
        <v>0</v>
      </c>
      <c r="AR45" s="788">
        <f t="shared" si="11"/>
        <v>0</v>
      </c>
      <c r="AS45" s="306">
        <f>IF(P45=0,,
SUM(
IF(OR(リスト!$C$21="小麦",リスト!$C$21="二条大麦",リスト!$C$21="六条大麦",リスト!$C$21="はだか麦",リスト!$C$21="なたね"),IF(OR(AND(Z45=1,K45&lt;9,J45=調査年),AND(Z45=1,K45&gt;=9,J45=調査年-1)),ROUND(L45*P45%,0),),
IF(リスト!$C$21="さとうきび",IF(OR(AND(Z45=1,K45&gt;=4,J45=調査年),AND(Z45=1,K45&lt;4,J45=調査年+1)),ROUND(L45*P45%,0),),
IF(AND(Z45=1,J45=調査年),ROUND(L45*P45%,0),))),
ROUND(N45*P45%,0),
ROUND(SUM(AK45)*P45%,0)
))</f>
        <v>0</v>
      </c>
      <c r="AT45" s="306">
        <f t="shared" si="12"/>
        <v>0</v>
      </c>
      <c r="AU45" s="306" t="str">
        <f t="shared" si="13"/>
        <v/>
      </c>
      <c r="AV45" s="802"/>
      <c r="AW45" s="802"/>
      <c r="AX45" s="802"/>
      <c r="AY45" s="802"/>
      <c r="AZ45" s="802"/>
    </row>
    <row r="46" spans="3:52" s="174" customFormat="1" ht="30" hidden="1" customHeight="1" outlineLevel="1">
      <c r="C46" s="790">
        <v>31</v>
      </c>
      <c r="D46" s="803"/>
      <c r="E46" s="792"/>
      <c r="F46" s="793"/>
      <c r="G46" s="2214"/>
      <c r="H46" s="2215"/>
      <c r="I46" s="794"/>
      <c r="J46" s="795"/>
      <c r="K46" s="796"/>
      <c r="L46" s="797"/>
      <c r="M46" s="797"/>
      <c r="N46" s="797"/>
      <c r="O46" s="797"/>
      <c r="P46" s="1284"/>
      <c r="Q46" s="798"/>
      <c r="R46" s="799"/>
      <c r="S46" s="797"/>
      <c r="T46" s="784"/>
      <c r="U46" s="2"/>
      <c r="V46" s="1295"/>
      <c r="W46" s="785"/>
      <c r="X46" s="2"/>
      <c r="Y46" s="800">
        <f t="shared" si="17"/>
        <v>0</v>
      </c>
      <c r="Z46" s="786">
        <f t="shared" si="14"/>
        <v>0</v>
      </c>
      <c r="AA46" s="786">
        <f t="shared" si="15"/>
        <v>0</v>
      </c>
      <c r="AB46" s="800">
        <f>IF(Y46=0,,VLOOKUP(Y46,リスト!CX:CY,2,0))</f>
        <v>0</v>
      </c>
      <c r="AC46" s="800">
        <f t="shared" si="1"/>
        <v>0</v>
      </c>
      <c r="AD46" s="801">
        <f>IF(AC46=0,,VLOOKUP(AC46,リスト!DK:DL,2,0))</f>
        <v>0</v>
      </c>
      <c r="AE46" s="786">
        <f>IF(Y46=0,,
IF(OR(リスト!$C$21="小麦",リスト!$C$21="二条大麦",リスト!$C$21="六条大麦",リスト!$C$21="はだか麦",リスト!$C$21="なたね"),IF(K46&lt;9,調査年-J46,調査年-J46-1),
IF(リスト!$C$21="さとうきび",IF(K46&gt;=4,調査年-J46,調査年-J46+1),
調査年-J46)))</f>
        <v>0</v>
      </c>
      <c r="AF46" s="306">
        <f t="shared" si="2"/>
        <v>0</v>
      </c>
      <c r="AG46" s="306">
        <f t="shared" si="3"/>
        <v>0</v>
      </c>
      <c r="AH46" s="306">
        <f t="shared" si="4"/>
        <v>0</v>
      </c>
      <c r="AI46" s="306">
        <f t="shared" si="5"/>
        <v>0</v>
      </c>
      <c r="AJ46" s="306">
        <f t="shared" si="6"/>
        <v>0</v>
      </c>
      <c r="AK46" s="306">
        <f t="shared" si="16"/>
        <v>0</v>
      </c>
      <c r="AL46" s="306">
        <f t="shared" si="7"/>
        <v>0</v>
      </c>
      <c r="AM46" s="306">
        <f t="shared" si="8"/>
        <v>0</v>
      </c>
      <c r="AN46" s="477"/>
      <c r="AO46" s="788">
        <f>IF(OR(P46=0,AG46=0),,
IF(OR(リスト!$C$21="小麦",リスト!$C$21="二条大麦",リスト!$C$21="六条大麦",リスト!$C$21="はだか麦",リスト!$C$21="なたね"),IF(OR(AND(K46&lt;9,J46=調査年),AND(K46&gt;=9,J46=調査年-1)),,ROUND(AG46*P46%,0)),
IF(リスト!$C$21="さとうきび",IF(OR(AND(K46&gt;=4,J46=調査年),AND(K46&lt;4,J46=調査年+1)),,ROUND(AG46*P46%,0)),
IF(J46=調査年,,ROUND(AG46*P46%,0)))))</f>
        <v>0</v>
      </c>
      <c r="AP46" s="788">
        <f t="shared" si="9"/>
        <v>0</v>
      </c>
      <c r="AQ46" s="306">
        <f t="shared" si="10"/>
        <v>0</v>
      </c>
      <c r="AR46" s="788">
        <f t="shared" si="11"/>
        <v>0</v>
      </c>
      <c r="AS46" s="306">
        <f>IF(P46=0,,
SUM(
IF(OR(リスト!$C$21="小麦",リスト!$C$21="二条大麦",リスト!$C$21="六条大麦",リスト!$C$21="はだか麦",リスト!$C$21="なたね"),IF(OR(AND(Z46=1,K46&lt;9,J46=調査年),AND(Z46=1,K46&gt;=9,J46=調査年-1)),ROUND(L46*P46%,0),),
IF(リスト!$C$21="さとうきび",IF(OR(AND(Z46=1,K46&gt;=4,J46=調査年),AND(Z46=1,K46&lt;4,J46=調査年+1)),ROUND(L46*P46%,0),),
IF(AND(Z46=1,J46=調査年),ROUND(L46*P46%,0),))),
ROUND(N46*P46%,0),
ROUND(SUM(AK46)*P46%,0)
))</f>
        <v>0</v>
      </c>
      <c r="AT46" s="306">
        <f t="shared" si="12"/>
        <v>0</v>
      </c>
      <c r="AU46" s="306" t="str">
        <f t="shared" si="13"/>
        <v/>
      </c>
      <c r="AV46" s="802"/>
      <c r="AW46" s="802"/>
      <c r="AX46" s="802"/>
      <c r="AY46" s="802"/>
      <c r="AZ46" s="802"/>
    </row>
    <row r="47" spans="3:52" s="174" customFormat="1" ht="30" hidden="1" customHeight="1" outlineLevel="1">
      <c r="C47" s="790">
        <v>32</v>
      </c>
      <c r="D47" s="791"/>
      <c r="E47" s="792"/>
      <c r="F47" s="793"/>
      <c r="G47" s="2214"/>
      <c r="H47" s="2215"/>
      <c r="I47" s="794"/>
      <c r="J47" s="795"/>
      <c r="K47" s="796"/>
      <c r="L47" s="797"/>
      <c r="M47" s="797"/>
      <c r="N47" s="797"/>
      <c r="O47" s="797"/>
      <c r="P47" s="1284"/>
      <c r="Q47" s="798"/>
      <c r="R47" s="799"/>
      <c r="S47" s="797"/>
      <c r="T47" s="784"/>
      <c r="U47" s="2"/>
      <c r="V47" s="1295"/>
      <c r="W47" s="785"/>
      <c r="X47" s="2"/>
      <c r="Y47" s="800">
        <f t="shared" si="17"/>
        <v>0</v>
      </c>
      <c r="Z47" s="786">
        <f t="shared" si="14"/>
        <v>0</v>
      </c>
      <c r="AA47" s="786">
        <f t="shared" si="15"/>
        <v>0</v>
      </c>
      <c r="AB47" s="800">
        <f>IF(Y47=0,,VLOOKUP(Y47,リスト!CX:CY,2,0))</f>
        <v>0</v>
      </c>
      <c r="AC47" s="800">
        <f t="shared" si="1"/>
        <v>0</v>
      </c>
      <c r="AD47" s="801">
        <f>IF(AC47=0,,VLOOKUP(AC47,リスト!DK:DL,2,0))</f>
        <v>0</v>
      </c>
      <c r="AE47" s="786">
        <f>IF(Y47=0,,
IF(OR(リスト!$C$21="小麦",リスト!$C$21="二条大麦",リスト!$C$21="六条大麦",リスト!$C$21="はだか麦",リスト!$C$21="なたね"),IF(K47&lt;9,調査年-J47,調査年-J47-1),
IF(リスト!$C$21="さとうきび",IF(K47&gt;=4,調査年-J47,調査年-J47+1),
調査年-J47)))</f>
        <v>0</v>
      </c>
      <c r="AF47" s="306">
        <f t="shared" si="2"/>
        <v>0</v>
      </c>
      <c r="AG47" s="306">
        <f t="shared" si="3"/>
        <v>0</v>
      </c>
      <c r="AH47" s="306">
        <f t="shared" si="4"/>
        <v>0</v>
      </c>
      <c r="AI47" s="306">
        <f t="shared" si="5"/>
        <v>0</v>
      </c>
      <c r="AJ47" s="306">
        <f t="shared" si="6"/>
        <v>0</v>
      </c>
      <c r="AK47" s="306">
        <f t="shared" si="16"/>
        <v>0</v>
      </c>
      <c r="AL47" s="306">
        <f t="shared" si="7"/>
        <v>0</v>
      </c>
      <c r="AM47" s="306">
        <f t="shared" si="8"/>
        <v>0</v>
      </c>
      <c r="AN47" s="477"/>
      <c r="AO47" s="788">
        <f>IF(OR(P47=0,AG47=0),,
IF(OR(リスト!$C$21="小麦",リスト!$C$21="二条大麦",リスト!$C$21="六条大麦",リスト!$C$21="はだか麦",リスト!$C$21="なたね"),IF(OR(AND(K47&lt;9,J47=調査年),AND(K47&gt;=9,J47=調査年-1)),,ROUND(AG47*P47%,0)),
IF(リスト!$C$21="さとうきび",IF(OR(AND(K47&gt;=4,J47=調査年),AND(K47&lt;4,J47=調査年+1)),,ROUND(AG47*P47%,0)),
IF(J47=調査年,,ROUND(AG47*P47%,0)))))</f>
        <v>0</v>
      </c>
      <c r="AP47" s="788">
        <f t="shared" si="9"/>
        <v>0</v>
      </c>
      <c r="AQ47" s="306">
        <f t="shared" si="10"/>
        <v>0</v>
      </c>
      <c r="AR47" s="788">
        <f t="shared" si="11"/>
        <v>0</v>
      </c>
      <c r="AS47" s="306">
        <f>IF(P47=0,,
SUM(
IF(OR(リスト!$C$21="小麦",リスト!$C$21="二条大麦",リスト!$C$21="六条大麦",リスト!$C$21="はだか麦",リスト!$C$21="なたね"),IF(OR(AND(Z47=1,K47&lt;9,J47=調査年),AND(Z47=1,K47&gt;=9,J47=調査年-1)),ROUND(L47*P47%,0),),
IF(リスト!$C$21="さとうきび",IF(OR(AND(Z47=1,K47&gt;=4,J47=調査年),AND(Z47=1,K47&lt;4,J47=調査年+1)),ROUND(L47*P47%,0),),
IF(AND(Z47=1,J47=調査年),ROUND(L47*P47%,0),))),
ROUND(N47*P47%,0),
ROUND(SUM(AK47)*P47%,0)
))</f>
        <v>0</v>
      </c>
      <c r="AT47" s="306">
        <f t="shared" si="12"/>
        <v>0</v>
      </c>
      <c r="AU47" s="306" t="str">
        <f t="shared" si="13"/>
        <v/>
      </c>
      <c r="AV47" s="802"/>
      <c r="AW47" s="802"/>
      <c r="AX47" s="802"/>
      <c r="AY47" s="802"/>
      <c r="AZ47" s="802"/>
    </row>
    <row r="48" spans="3:52" s="174" customFormat="1" ht="30" hidden="1" customHeight="1" outlineLevel="1">
      <c r="C48" s="790">
        <v>33</v>
      </c>
      <c r="D48" s="803"/>
      <c r="E48" s="792"/>
      <c r="F48" s="793"/>
      <c r="G48" s="2214"/>
      <c r="H48" s="2215"/>
      <c r="I48" s="794"/>
      <c r="J48" s="795"/>
      <c r="K48" s="796"/>
      <c r="L48" s="797"/>
      <c r="M48" s="797"/>
      <c r="N48" s="797"/>
      <c r="O48" s="797"/>
      <c r="P48" s="1284"/>
      <c r="Q48" s="798"/>
      <c r="R48" s="799"/>
      <c r="S48" s="797"/>
      <c r="T48" s="784"/>
      <c r="U48" s="2"/>
      <c r="V48" s="1295"/>
      <c r="W48" s="785"/>
      <c r="X48" s="2"/>
      <c r="Y48" s="800">
        <f t="shared" si="17"/>
        <v>0</v>
      </c>
      <c r="Z48" s="786">
        <f t="shared" si="14"/>
        <v>0</v>
      </c>
      <c r="AA48" s="786">
        <f t="shared" si="15"/>
        <v>0</v>
      </c>
      <c r="AB48" s="800">
        <f>IF(Y48=0,,VLOOKUP(Y48,リスト!CX:CY,2,0))</f>
        <v>0</v>
      </c>
      <c r="AC48" s="800">
        <f t="shared" si="1"/>
        <v>0</v>
      </c>
      <c r="AD48" s="801">
        <f>IF(AC48=0,,VLOOKUP(AC48,リスト!DK:DL,2,0))</f>
        <v>0</v>
      </c>
      <c r="AE48" s="786">
        <f>IF(Y48=0,,
IF(OR(リスト!$C$21="小麦",リスト!$C$21="二条大麦",リスト!$C$21="六条大麦",リスト!$C$21="はだか麦",リスト!$C$21="なたね"),IF(K48&lt;9,調査年-J48,調査年-J48-1),
IF(リスト!$C$21="さとうきび",IF(K48&gt;=4,調査年-J48,調査年-J48+1),
調査年-J48)))</f>
        <v>0</v>
      </c>
      <c r="AF48" s="306">
        <f t="shared" ref="AF48:AF79" si="18">IF(OR(Y48=0,Z48=1),,
IF(AND(AC48&gt;0,AE48&lt;AC48,AG48&lt;=ROUND((L48-1)*AD48,0)),ROUND(AG48*IF(R48="[2]部分取り壊し",IFERROR(1-(V48%),1),1),0),
IF(AND(AC48&gt;0,AE48&lt;AC48),ROUND((L48-1)*AD48*IF(R48="[2]部分取り壊し",IFERROR(1-(V48%),1),1),0),)))</f>
        <v>0</v>
      </c>
      <c r="AG48" s="306">
        <f t="shared" si="3"/>
        <v>0</v>
      </c>
      <c r="AH48" s="306">
        <f t="shared" si="4"/>
        <v>0</v>
      </c>
      <c r="AI48" s="306">
        <f t="shared" si="5"/>
        <v>0</v>
      </c>
      <c r="AJ48" s="306">
        <f t="shared" si="6"/>
        <v>0</v>
      </c>
      <c r="AK48" s="306">
        <f t="shared" si="16"/>
        <v>0</v>
      </c>
      <c r="AL48" s="306">
        <f t="shared" si="7"/>
        <v>0</v>
      </c>
      <c r="AM48" s="306">
        <f t="shared" si="8"/>
        <v>0</v>
      </c>
      <c r="AN48" s="477"/>
      <c r="AO48" s="788">
        <f>IF(OR(P48=0,AG48=0),,
IF(OR(リスト!$C$21="小麦",リスト!$C$21="二条大麦",リスト!$C$21="六条大麦",リスト!$C$21="はだか麦",リスト!$C$21="なたね"),IF(OR(AND(K48&lt;9,J48=調査年),AND(K48&gt;=9,J48=調査年-1)),,ROUND(AG48*P48%,0)),
IF(リスト!$C$21="さとうきび",IF(OR(AND(K48&gt;=4,J48=調査年),AND(K48&lt;4,J48=調査年+1)),,ROUND(AG48*P48%,0)),
IF(J48=調査年,,ROUND(AG48*P48%,0)))))</f>
        <v>0</v>
      </c>
      <c r="AP48" s="788">
        <f t="shared" si="9"/>
        <v>0</v>
      </c>
      <c r="AQ48" s="306">
        <f t="shared" si="10"/>
        <v>0</v>
      </c>
      <c r="AR48" s="788">
        <f t="shared" si="11"/>
        <v>0</v>
      </c>
      <c r="AS48" s="306">
        <f>IF(P48=0,,
SUM(
IF(OR(リスト!$C$21="小麦",リスト!$C$21="二条大麦",リスト!$C$21="六条大麦",リスト!$C$21="はだか麦",リスト!$C$21="なたね"),IF(OR(AND(Z48=1,K48&lt;9,J48=調査年),AND(Z48=1,K48&gt;=9,J48=調査年-1)),ROUND(L48*P48%,0),),
IF(リスト!$C$21="さとうきび",IF(OR(AND(Z48=1,K48&gt;=4,J48=調査年),AND(Z48=1,K48&lt;4,J48=調査年+1)),ROUND(L48*P48%,0),),
IF(AND(Z48=1,J48=調査年),ROUND(L48*P48%,0),))),
ROUND(N48*P48%,0),
ROUND(SUM(AK48)*P48%,0)
))</f>
        <v>0</v>
      </c>
      <c r="AT48" s="306">
        <f t="shared" si="12"/>
        <v>0</v>
      </c>
      <c r="AU48" s="306" t="str">
        <f t="shared" si="13"/>
        <v/>
      </c>
      <c r="AV48" s="802"/>
      <c r="AW48" s="802"/>
      <c r="AX48" s="802"/>
      <c r="AY48" s="802"/>
      <c r="AZ48" s="802"/>
    </row>
    <row r="49" spans="3:52" s="174" customFormat="1" ht="30" hidden="1" customHeight="1" outlineLevel="1">
      <c r="C49" s="790">
        <v>34</v>
      </c>
      <c r="D49" s="803"/>
      <c r="E49" s="792"/>
      <c r="F49" s="793"/>
      <c r="G49" s="2214"/>
      <c r="H49" s="2215"/>
      <c r="I49" s="794"/>
      <c r="J49" s="795"/>
      <c r="K49" s="796"/>
      <c r="L49" s="797"/>
      <c r="M49" s="797"/>
      <c r="N49" s="797"/>
      <c r="O49" s="797"/>
      <c r="P49" s="1284"/>
      <c r="Q49" s="798"/>
      <c r="R49" s="799"/>
      <c r="S49" s="797"/>
      <c r="T49" s="784"/>
      <c r="U49" s="2"/>
      <c r="V49" s="1295"/>
      <c r="W49" s="785"/>
      <c r="X49" s="2"/>
      <c r="Y49" s="800">
        <f t="shared" si="17"/>
        <v>0</v>
      </c>
      <c r="Z49" s="786">
        <f t="shared" si="14"/>
        <v>0</v>
      </c>
      <c r="AA49" s="786">
        <f t="shared" si="15"/>
        <v>0</v>
      </c>
      <c r="AB49" s="800">
        <f>IF(Y49=0,,VLOOKUP(Y49,リスト!CX:CY,2,0))</f>
        <v>0</v>
      </c>
      <c r="AC49" s="800">
        <f t="shared" si="1"/>
        <v>0</v>
      </c>
      <c r="AD49" s="801">
        <f>IF(AC49=0,,VLOOKUP(AC49,リスト!DK:DL,2,0))</f>
        <v>0</v>
      </c>
      <c r="AE49" s="786">
        <f>IF(Y49=0,,
IF(OR(リスト!$C$21="小麦",リスト!$C$21="二条大麦",リスト!$C$21="六条大麦",リスト!$C$21="はだか麦",リスト!$C$21="なたね"),IF(K49&lt;9,調査年-J49,調査年-J49-1),
IF(リスト!$C$21="さとうきび",IF(K49&gt;=4,調査年-J49,調査年-J49+1),
調査年-J49)))</f>
        <v>0</v>
      </c>
      <c r="AF49" s="306">
        <f t="shared" si="18"/>
        <v>0</v>
      </c>
      <c r="AG49" s="306">
        <f t="shared" si="3"/>
        <v>0</v>
      </c>
      <c r="AH49" s="306">
        <f t="shared" si="4"/>
        <v>0</v>
      </c>
      <c r="AI49" s="306">
        <f t="shared" si="5"/>
        <v>0</v>
      </c>
      <c r="AJ49" s="306">
        <f t="shared" si="6"/>
        <v>0</v>
      </c>
      <c r="AK49" s="306">
        <f t="shared" si="16"/>
        <v>0</v>
      </c>
      <c r="AL49" s="306">
        <f t="shared" si="7"/>
        <v>0</v>
      </c>
      <c r="AM49" s="306">
        <f t="shared" si="8"/>
        <v>0</v>
      </c>
      <c r="AN49" s="477"/>
      <c r="AO49" s="788">
        <f>IF(OR(P49=0,AG49=0),,
IF(OR(リスト!$C$21="小麦",リスト!$C$21="二条大麦",リスト!$C$21="六条大麦",リスト!$C$21="はだか麦",リスト!$C$21="なたね"),IF(OR(AND(K49&lt;9,J49=調査年),AND(K49&gt;=9,J49=調査年-1)),,ROUND(AG49*P49%,0)),
IF(リスト!$C$21="さとうきび",IF(OR(AND(K49&gt;=4,J49=調査年),AND(K49&lt;4,J49=調査年+1)),,ROUND(AG49*P49%,0)),
IF(J49=調査年,,ROUND(AG49*P49%,0)))))</f>
        <v>0</v>
      </c>
      <c r="AP49" s="788">
        <f t="shared" si="9"/>
        <v>0</v>
      </c>
      <c r="AQ49" s="306">
        <f t="shared" si="10"/>
        <v>0</v>
      </c>
      <c r="AR49" s="788">
        <f t="shared" si="11"/>
        <v>0</v>
      </c>
      <c r="AS49" s="306">
        <f>IF(P49=0,,
SUM(
IF(OR(リスト!$C$21="小麦",リスト!$C$21="二条大麦",リスト!$C$21="六条大麦",リスト!$C$21="はだか麦",リスト!$C$21="なたね"),IF(OR(AND(Z49=1,K49&lt;9,J49=調査年),AND(Z49=1,K49&gt;=9,J49=調査年-1)),ROUND(L49*P49%,0),),
IF(リスト!$C$21="さとうきび",IF(OR(AND(Z49=1,K49&gt;=4,J49=調査年),AND(Z49=1,K49&lt;4,J49=調査年+1)),ROUND(L49*P49%,0),),
IF(AND(Z49=1,J49=調査年),ROUND(L49*P49%,0),))),
ROUND(N49*P49%,0),
ROUND(SUM(AK49)*P49%,0)
))</f>
        <v>0</v>
      </c>
      <c r="AT49" s="306">
        <f t="shared" si="12"/>
        <v>0</v>
      </c>
      <c r="AU49" s="306" t="str">
        <f t="shared" si="13"/>
        <v/>
      </c>
      <c r="AV49" s="802"/>
      <c r="AW49" s="802"/>
      <c r="AX49" s="802"/>
      <c r="AY49" s="802"/>
      <c r="AZ49" s="802"/>
    </row>
    <row r="50" spans="3:52" s="174" customFormat="1" ht="30" hidden="1" customHeight="1" outlineLevel="1">
      <c r="C50" s="790">
        <v>35</v>
      </c>
      <c r="D50" s="803"/>
      <c r="E50" s="792"/>
      <c r="F50" s="793"/>
      <c r="G50" s="2214"/>
      <c r="H50" s="2215"/>
      <c r="I50" s="794"/>
      <c r="J50" s="795"/>
      <c r="K50" s="796"/>
      <c r="L50" s="797"/>
      <c r="M50" s="797"/>
      <c r="N50" s="797"/>
      <c r="O50" s="797"/>
      <c r="P50" s="1284"/>
      <c r="Q50" s="798"/>
      <c r="R50" s="799"/>
      <c r="S50" s="797"/>
      <c r="T50" s="784"/>
      <c r="U50" s="2"/>
      <c r="V50" s="1295"/>
      <c r="W50" s="785"/>
      <c r="X50" s="2"/>
      <c r="Y50" s="800">
        <f t="shared" si="17"/>
        <v>0</v>
      </c>
      <c r="Z50" s="786">
        <f t="shared" si="14"/>
        <v>0</v>
      </c>
      <c r="AA50" s="786">
        <f t="shared" si="15"/>
        <v>0</v>
      </c>
      <c r="AB50" s="800">
        <f>IF(Y50=0,,VLOOKUP(Y50,リスト!CX:CY,2,0))</f>
        <v>0</v>
      </c>
      <c r="AC50" s="800">
        <f t="shared" si="1"/>
        <v>0</v>
      </c>
      <c r="AD50" s="801">
        <f>IF(AC50=0,,VLOOKUP(AC50,リスト!DK:DL,2,0))</f>
        <v>0</v>
      </c>
      <c r="AE50" s="786">
        <f>IF(Y50=0,,
IF(OR(リスト!$C$21="小麦",リスト!$C$21="二条大麦",リスト!$C$21="六条大麦",リスト!$C$21="はだか麦",リスト!$C$21="なたね"),IF(K50&lt;9,調査年-J50,調査年-J50-1),
IF(リスト!$C$21="さとうきび",IF(K50&gt;=4,調査年-J50,調査年-J50+1),
調査年-J50)))</f>
        <v>0</v>
      </c>
      <c r="AF50" s="306">
        <f t="shared" si="18"/>
        <v>0</v>
      </c>
      <c r="AG50" s="306">
        <f t="shared" si="3"/>
        <v>0</v>
      </c>
      <c r="AH50" s="306">
        <f t="shared" si="4"/>
        <v>0</v>
      </c>
      <c r="AI50" s="306">
        <f t="shared" si="5"/>
        <v>0</v>
      </c>
      <c r="AJ50" s="306">
        <f t="shared" si="6"/>
        <v>0</v>
      </c>
      <c r="AK50" s="306">
        <f t="shared" si="16"/>
        <v>0</v>
      </c>
      <c r="AL50" s="306">
        <f t="shared" si="7"/>
        <v>0</v>
      </c>
      <c r="AM50" s="306">
        <f t="shared" si="8"/>
        <v>0</v>
      </c>
      <c r="AN50" s="477"/>
      <c r="AO50" s="788">
        <f>IF(OR(P50=0,AG50=0),,
IF(OR(リスト!$C$21="小麦",リスト!$C$21="二条大麦",リスト!$C$21="六条大麦",リスト!$C$21="はだか麦",リスト!$C$21="なたね"),IF(OR(AND(K50&lt;9,J50=調査年),AND(K50&gt;=9,J50=調査年-1)),,ROUND(AG50*P50%,0)),
IF(リスト!$C$21="さとうきび",IF(OR(AND(K50&gt;=4,J50=調査年),AND(K50&lt;4,J50=調査年+1)),,ROUND(AG50*P50%,0)),
IF(J50=調査年,,ROUND(AG50*P50%,0)))))</f>
        <v>0</v>
      </c>
      <c r="AP50" s="788">
        <f t="shared" si="9"/>
        <v>0</v>
      </c>
      <c r="AQ50" s="306">
        <f t="shared" si="10"/>
        <v>0</v>
      </c>
      <c r="AR50" s="788">
        <f t="shared" si="11"/>
        <v>0</v>
      </c>
      <c r="AS50" s="306">
        <f>IF(P50=0,,
SUM(
IF(OR(リスト!$C$21="小麦",リスト!$C$21="二条大麦",リスト!$C$21="六条大麦",リスト!$C$21="はだか麦",リスト!$C$21="なたね"),IF(OR(AND(Z50=1,K50&lt;9,J50=調査年),AND(Z50=1,K50&gt;=9,J50=調査年-1)),ROUND(L50*P50%,0),),
IF(リスト!$C$21="さとうきび",IF(OR(AND(Z50=1,K50&gt;=4,J50=調査年),AND(Z50=1,K50&lt;4,J50=調査年+1)),ROUND(L50*P50%,0),),
IF(AND(Z50=1,J50=調査年),ROUND(L50*P50%,0),))),
ROUND(N50*P50%,0),
ROUND(SUM(AK50)*P50%,0)
))</f>
        <v>0</v>
      </c>
      <c r="AT50" s="306">
        <f t="shared" si="12"/>
        <v>0</v>
      </c>
      <c r="AU50" s="306" t="str">
        <f t="shared" si="13"/>
        <v/>
      </c>
      <c r="AV50" s="802"/>
      <c r="AW50" s="802"/>
      <c r="AX50" s="802"/>
      <c r="AY50" s="802"/>
      <c r="AZ50" s="802"/>
    </row>
    <row r="51" spans="3:52" s="174" customFormat="1" ht="30" hidden="1" customHeight="1" outlineLevel="1">
      <c r="C51" s="790">
        <v>36</v>
      </c>
      <c r="D51" s="803"/>
      <c r="E51" s="792"/>
      <c r="F51" s="793"/>
      <c r="G51" s="2214"/>
      <c r="H51" s="2215"/>
      <c r="I51" s="794"/>
      <c r="J51" s="795"/>
      <c r="K51" s="796"/>
      <c r="L51" s="797"/>
      <c r="M51" s="797"/>
      <c r="N51" s="797"/>
      <c r="O51" s="797"/>
      <c r="P51" s="1284"/>
      <c r="Q51" s="798"/>
      <c r="R51" s="799"/>
      <c r="S51" s="797"/>
      <c r="T51" s="784"/>
      <c r="U51" s="2"/>
      <c r="V51" s="1295"/>
      <c r="W51" s="785"/>
      <c r="X51" s="2"/>
      <c r="Y51" s="800">
        <f t="shared" si="17"/>
        <v>0</v>
      </c>
      <c r="Z51" s="786">
        <f t="shared" si="14"/>
        <v>0</v>
      </c>
      <c r="AA51" s="786">
        <f t="shared" si="15"/>
        <v>0</v>
      </c>
      <c r="AB51" s="800">
        <f>IF(Y51=0,,VLOOKUP(Y51,リスト!CX:CY,2,0))</f>
        <v>0</v>
      </c>
      <c r="AC51" s="800">
        <f t="shared" si="1"/>
        <v>0</v>
      </c>
      <c r="AD51" s="801">
        <f>IF(AC51=0,,VLOOKUP(AC51,リスト!DK:DL,2,0))</f>
        <v>0</v>
      </c>
      <c r="AE51" s="786">
        <f>IF(Y51=0,,
IF(OR(リスト!$C$21="小麦",リスト!$C$21="二条大麦",リスト!$C$21="六条大麦",リスト!$C$21="はだか麦",リスト!$C$21="なたね"),IF(K51&lt;9,調査年-J51,調査年-J51-1),
IF(リスト!$C$21="さとうきび",IF(K51&gt;=4,調査年-J51,調査年-J51+1),
調査年-J51)))</f>
        <v>0</v>
      </c>
      <c r="AF51" s="306">
        <f t="shared" si="18"/>
        <v>0</v>
      </c>
      <c r="AG51" s="306">
        <f t="shared" si="3"/>
        <v>0</v>
      </c>
      <c r="AH51" s="306">
        <f t="shared" si="4"/>
        <v>0</v>
      </c>
      <c r="AI51" s="306">
        <f t="shared" si="5"/>
        <v>0</v>
      </c>
      <c r="AJ51" s="306">
        <f t="shared" si="6"/>
        <v>0</v>
      </c>
      <c r="AK51" s="306">
        <f t="shared" si="16"/>
        <v>0</v>
      </c>
      <c r="AL51" s="306">
        <f t="shared" si="7"/>
        <v>0</v>
      </c>
      <c r="AM51" s="306">
        <f t="shared" si="8"/>
        <v>0</v>
      </c>
      <c r="AN51" s="477"/>
      <c r="AO51" s="788">
        <f>IF(OR(P51=0,AG51=0),,
IF(OR(リスト!$C$21="小麦",リスト!$C$21="二条大麦",リスト!$C$21="六条大麦",リスト!$C$21="はだか麦",リスト!$C$21="なたね"),IF(OR(AND(K51&lt;9,J51=調査年),AND(K51&gt;=9,J51=調査年-1)),,ROUND(AG51*P51%,0)),
IF(リスト!$C$21="さとうきび",IF(OR(AND(K51&gt;=4,J51=調査年),AND(K51&lt;4,J51=調査年+1)),,ROUND(AG51*P51%,0)),
IF(J51=調査年,,ROUND(AG51*P51%,0)))))</f>
        <v>0</v>
      </c>
      <c r="AP51" s="788">
        <f t="shared" si="9"/>
        <v>0</v>
      </c>
      <c r="AQ51" s="306">
        <f t="shared" si="10"/>
        <v>0</v>
      </c>
      <c r="AR51" s="788">
        <f t="shared" si="11"/>
        <v>0</v>
      </c>
      <c r="AS51" s="306">
        <f>IF(P51=0,,
SUM(
IF(OR(リスト!$C$21="小麦",リスト!$C$21="二条大麦",リスト!$C$21="六条大麦",リスト!$C$21="はだか麦",リスト!$C$21="なたね"),IF(OR(AND(Z51=1,K51&lt;9,J51=調査年),AND(Z51=1,K51&gt;=9,J51=調査年-1)),ROUND(L51*P51%,0),),
IF(リスト!$C$21="さとうきび",IF(OR(AND(Z51=1,K51&gt;=4,J51=調査年),AND(Z51=1,K51&lt;4,J51=調査年+1)),ROUND(L51*P51%,0),),
IF(AND(Z51=1,J51=調査年),ROUND(L51*P51%,0),))),
ROUND(N51*P51%,0),
ROUND(SUM(AK51)*P51%,0)
))</f>
        <v>0</v>
      </c>
      <c r="AT51" s="306">
        <f t="shared" si="12"/>
        <v>0</v>
      </c>
      <c r="AU51" s="306" t="str">
        <f t="shared" si="13"/>
        <v/>
      </c>
      <c r="AV51" s="802"/>
      <c r="AW51" s="802"/>
      <c r="AX51" s="802"/>
      <c r="AY51" s="802"/>
      <c r="AZ51" s="802"/>
    </row>
    <row r="52" spans="3:52" s="174" customFormat="1" ht="30" hidden="1" customHeight="1" outlineLevel="1">
      <c r="C52" s="790">
        <v>37</v>
      </c>
      <c r="D52" s="803"/>
      <c r="E52" s="792"/>
      <c r="F52" s="793"/>
      <c r="G52" s="2214"/>
      <c r="H52" s="2215"/>
      <c r="I52" s="794"/>
      <c r="J52" s="795"/>
      <c r="K52" s="796"/>
      <c r="L52" s="797"/>
      <c r="M52" s="797"/>
      <c r="N52" s="797"/>
      <c r="O52" s="797"/>
      <c r="P52" s="1284"/>
      <c r="Q52" s="798"/>
      <c r="R52" s="799"/>
      <c r="S52" s="797"/>
      <c r="T52" s="784"/>
      <c r="U52" s="2"/>
      <c r="V52" s="1295"/>
      <c r="W52" s="785"/>
      <c r="X52" s="2"/>
      <c r="Y52" s="800">
        <f t="shared" si="17"/>
        <v>0</v>
      </c>
      <c r="Z52" s="786">
        <f t="shared" si="14"/>
        <v>0</v>
      </c>
      <c r="AA52" s="786">
        <f t="shared" si="15"/>
        <v>0</v>
      </c>
      <c r="AB52" s="800">
        <f>IF(Y52=0,,VLOOKUP(Y52,リスト!CX:CY,2,0))</f>
        <v>0</v>
      </c>
      <c r="AC52" s="800">
        <f t="shared" si="1"/>
        <v>0</v>
      </c>
      <c r="AD52" s="801">
        <f>IF(AC52=0,,VLOOKUP(AC52,リスト!DK:DL,2,0))</f>
        <v>0</v>
      </c>
      <c r="AE52" s="786">
        <f>IF(Y52=0,,
IF(OR(リスト!$C$21="小麦",リスト!$C$21="二条大麦",リスト!$C$21="六条大麦",リスト!$C$21="はだか麦",リスト!$C$21="なたね"),IF(K52&lt;9,調査年-J52,調査年-J52-1),
IF(リスト!$C$21="さとうきび",IF(K52&gt;=4,調査年-J52,調査年-J52+1),
調査年-J52)))</f>
        <v>0</v>
      </c>
      <c r="AF52" s="306">
        <f t="shared" si="18"/>
        <v>0</v>
      </c>
      <c r="AG52" s="306">
        <f t="shared" si="3"/>
        <v>0</v>
      </c>
      <c r="AH52" s="306">
        <f t="shared" si="4"/>
        <v>0</v>
      </c>
      <c r="AI52" s="306">
        <f t="shared" si="5"/>
        <v>0</v>
      </c>
      <c r="AJ52" s="306">
        <f t="shared" si="6"/>
        <v>0</v>
      </c>
      <c r="AK52" s="306">
        <f t="shared" si="16"/>
        <v>0</v>
      </c>
      <c r="AL52" s="306">
        <f t="shared" si="7"/>
        <v>0</v>
      </c>
      <c r="AM52" s="306">
        <f t="shared" si="8"/>
        <v>0</v>
      </c>
      <c r="AN52" s="477"/>
      <c r="AO52" s="788">
        <f>IF(OR(P52=0,AG52=0),,
IF(OR(リスト!$C$21="小麦",リスト!$C$21="二条大麦",リスト!$C$21="六条大麦",リスト!$C$21="はだか麦",リスト!$C$21="なたね"),IF(OR(AND(K52&lt;9,J52=調査年),AND(K52&gt;=9,J52=調査年-1)),,ROUND(AG52*P52%,0)),
IF(リスト!$C$21="さとうきび",IF(OR(AND(K52&gt;=4,J52=調査年),AND(K52&lt;4,J52=調査年+1)),,ROUND(AG52*P52%,0)),
IF(J52=調査年,,ROUND(AG52*P52%,0)))))</f>
        <v>0</v>
      </c>
      <c r="AP52" s="788">
        <f t="shared" si="9"/>
        <v>0</v>
      </c>
      <c r="AQ52" s="306">
        <f t="shared" si="10"/>
        <v>0</v>
      </c>
      <c r="AR52" s="788">
        <f t="shared" si="11"/>
        <v>0</v>
      </c>
      <c r="AS52" s="306">
        <f>IF(P52=0,,
SUM(
IF(OR(リスト!$C$21="小麦",リスト!$C$21="二条大麦",リスト!$C$21="六条大麦",リスト!$C$21="はだか麦",リスト!$C$21="なたね"),IF(OR(AND(Z52=1,K52&lt;9,J52=調査年),AND(Z52=1,K52&gt;=9,J52=調査年-1)),ROUND(L52*P52%,0),),
IF(リスト!$C$21="さとうきび",IF(OR(AND(Z52=1,K52&gt;=4,J52=調査年),AND(Z52=1,K52&lt;4,J52=調査年+1)),ROUND(L52*P52%,0),),
IF(AND(Z52=1,J52=調査年),ROUND(L52*P52%,0),))),
ROUND(N52*P52%,0),
ROUND(SUM(AK52)*P52%,0)
))</f>
        <v>0</v>
      </c>
      <c r="AT52" s="306">
        <f t="shared" si="12"/>
        <v>0</v>
      </c>
      <c r="AU52" s="306" t="str">
        <f t="shared" si="13"/>
        <v/>
      </c>
      <c r="AV52" s="802"/>
      <c r="AW52" s="802"/>
      <c r="AX52" s="802"/>
      <c r="AY52" s="802"/>
      <c r="AZ52" s="802"/>
    </row>
    <row r="53" spans="3:52" s="174" customFormat="1" ht="30" hidden="1" customHeight="1" outlineLevel="1">
      <c r="C53" s="790">
        <v>38</v>
      </c>
      <c r="D53" s="803"/>
      <c r="E53" s="792"/>
      <c r="F53" s="793"/>
      <c r="G53" s="2214"/>
      <c r="H53" s="2215"/>
      <c r="I53" s="794"/>
      <c r="J53" s="795"/>
      <c r="K53" s="796"/>
      <c r="L53" s="797"/>
      <c r="M53" s="797"/>
      <c r="N53" s="797"/>
      <c r="O53" s="797"/>
      <c r="P53" s="1284"/>
      <c r="Q53" s="798"/>
      <c r="R53" s="799"/>
      <c r="S53" s="797"/>
      <c r="T53" s="784"/>
      <c r="U53" s="2"/>
      <c r="V53" s="1295"/>
      <c r="W53" s="785"/>
      <c r="X53" s="2"/>
      <c r="Y53" s="800">
        <f t="shared" si="17"/>
        <v>0</v>
      </c>
      <c r="Z53" s="786">
        <f t="shared" si="14"/>
        <v>0</v>
      </c>
      <c r="AA53" s="786">
        <f t="shared" si="15"/>
        <v>0</v>
      </c>
      <c r="AB53" s="800">
        <f>IF(Y53=0,,VLOOKUP(Y53,リスト!CX:CY,2,0))</f>
        <v>0</v>
      </c>
      <c r="AC53" s="800">
        <f t="shared" si="1"/>
        <v>0</v>
      </c>
      <c r="AD53" s="801">
        <f>IF(AC53=0,,VLOOKUP(AC53,リスト!DK:DL,2,0))</f>
        <v>0</v>
      </c>
      <c r="AE53" s="786">
        <f>IF(Y53=0,,
IF(OR(リスト!$C$21="小麦",リスト!$C$21="二条大麦",リスト!$C$21="六条大麦",リスト!$C$21="はだか麦",リスト!$C$21="なたね"),IF(K53&lt;9,調査年-J53,調査年-J53-1),
IF(リスト!$C$21="さとうきび",IF(K53&gt;=4,調査年-J53,調査年-J53+1),
調査年-J53)))</f>
        <v>0</v>
      </c>
      <c r="AF53" s="306">
        <f t="shared" si="18"/>
        <v>0</v>
      </c>
      <c r="AG53" s="306">
        <f t="shared" si="3"/>
        <v>0</v>
      </c>
      <c r="AH53" s="306">
        <f t="shared" si="4"/>
        <v>0</v>
      </c>
      <c r="AI53" s="306">
        <f t="shared" si="5"/>
        <v>0</v>
      </c>
      <c r="AJ53" s="306">
        <f t="shared" si="6"/>
        <v>0</v>
      </c>
      <c r="AK53" s="306">
        <f t="shared" si="16"/>
        <v>0</v>
      </c>
      <c r="AL53" s="306">
        <f t="shared" si="7"/>
        <v>0</v>
      </c>
      <c r="AM53" s="306">
        <f t="shared" si="8"/>
        <v>0</v>
      </c>
      <c r="AN53" s="477"/>
      <c r="AO53" s="788">
        <f>IF(OR(P53=0,AG53=0),,
IF(OR(リスト!$C$21="小麦",リスト!$C$21="二条大麦",リスト!$C$21="六条大麦",リスト!$C$21="はだか麦",リスト!$C$21="なたね"),IF(OR(AND(K53&lt;9,J53=調査年),AND(K53&gt;=9,J53=調査年-1)),,ROUND(AG53*P53%,0)),
IF(リスト!$C$21="さとうきび",IF(OR(AND(K53&gt;=4,J53=調査年),AND(K53&lt;4,J53=調査年+1)),,ROUND(AG53*P53%,0)),
IF(J53=調査年,,ROUND(AG53*P53%,0)))))</f>
        <v>0</v>
      </c>
      <c r="AP53" s="788">
        <f t="shared" si="9"/>
        <v>0</v>
      </c>
      <c r="AQ53" s="306">
        <f t="shared" si="10"/>
        <v>0</v>
      </c>
      <c r="AR53" s="788">
        <f t="shared" si="11"/>
        <v>0</v>
      </c>
      <c r="AS53" s="306">
        <f>IF(P53=0,,
SUM(
IF(OR(リスト!$C$21="小麦",リスト!$C$21="二条大麦",リスト!$C$21="六条大麦",リスト!$C$21="はだか麦",リスト!$C$21="なたね"),IF(OR(AND(Z53=1,K53&lt;9,J53=調査年),AND(Z53=1,K53&gt;=9,J53=調査年-1)),ROUND(L53*P53%,0),),
IF(リスト!$C$21="さとうきび",IF(OR(AND(Z53=1,K53&gt;=4,J53=調査年),AND(Z53=1,K53&lt;4,J53=調査年+1)),ROUND(L53*P53%,0),),
IF(AND(Z53=1,J53=調査年),ROUND(L53*P53%,0),))),
ROUND(N53*P53%,0),
ROUND(SUM(AK53)*P53%,0)
))</f>
        <v>0</v>
      </c>
      <c r="AT53" s="306">
        <f t="shared" si="12"/>
        <v>0</v>
      </c>
      <c r="AU53" s="306" t="str">
        <f t="shared" si="13"/>
        <v/>
      </c>
      <c r="AV53" s="802"/>
      <c r="AW53" s="802"/>
      <c r="AX53" s="802"/>
      <c r="AY53" s="802"/>
      <c r="AZ53" s="802"/>
    </row>
    <row r="54" spans="3:52" s="174" customFormat="1" ht="30" hidden="1" customHeight="1" outlineLevel="1">
      <c r="C54" s="790">
        <v>39</v>
      </c>
      <c r="D54" s="803"/>
      <c r="E54" s="792"/>
      <c r="F54" s="793"/>
      <c r="G54" s="2214"/>
      <c r="H54" s="2215"/>
      <c r="I54" s="794"/>
      <c r="J54" s="795"/>
      <c r="K54" s="796"/>
      <c r="L54" s="797"/>
      <c r="M54" s="797"/>
      <c r="N54" s="797"/>
      <c r="O54" s="797"/>
      <c r="P54" s="1284"/>
      <c r="Q54" s="798"/>
      <c r="R54" s="799"/>
      <c r="S54" s="797"/>
      <c r="T54" s="784"/>
      <c r="U54" s="2"/>
      <c r="V54" s="1295"/>
      <c r="W54" s="785"/>
      <c r="X54" s="2"/>
      <c r="Y54" s="800">
        <f t="shared" si="17"/>
        <v>0</v>
      </c>
      <c r="Z54" s="786">
        <f t="shared" si="14"/>
        <v>0</v>
      </c>
      <c r="AA54" s="786">
        <f t="shared" si="15"/>
        <v>0</v>
      </c>
      <c r="AB54" s="800">
        <f>IF(Y54=0,,VLOOKUP(Y54,リスト!CX:CY,2,0))</f>
        <v>0</v>
      </c>
      <c r="AC54" s="800">
        <f t="shared" si="1"/>
        <v>0</v>
      </c>
      <c r="AD54" s="801">
        <f>IF(AC54=0,,VLOOKUP(AC54,リスト!DK:DL,2,0))</f>
        <v>0</v>
      </c>
      <c r="AE54" s="786">
        <f>IF(Y54=0,,
IF(OR(リスト!$C$21="小麦",リスト!$C$21="二条大麦",リスト!$C$21="六条大麦",リスト!$C$21="はだか麦",リスト!$C$21="なたね"),IF(K54&lt;9,調査年-J54,調査年-J54-1),
IF(リスト!$C$21="さとうきび",IF(K54&gt;=4,調査年-J54,調査年-J54+1),
調査年-J54)))</f>
        <v>0</v>
      </c>
      <c r="AF54" s="306">
        <f t="shared" si="18"/>
        <v>0</v>
      </c>
      <c r="AG54" s="306">
        <f t="shared" si="3"/>
        <v>0</v>
      </c>
      <c r="AH54" s="306">
        <f t="shared" si="4"/>
        <v>0</v>
      </c>
      <c r="AI54" s="306">
        <f t="shared" si="5"/>
        <v>0</v>
      </c>
      <c r="AJ54" s="306">
        <f t="shared" si="6"/>
        <v>0</v>
      </c>
      <c r="AK54" s="306">
        <f t="shared" si="16"/>
        <v>0</v>
      </c>
      <c r="AL54" s="306">
        <f t="shared" si="7"/>
        <v>0</v>
      </c>
      <c r="AM54" s="306">
        <f t="shared" si="8"/>
        <v>0</v>
      </c>
      <c r="AN54" s="477"/>
      <c r="AO54" s="788">
        <f>IF(OR(P54=0,AG54=0),,
IF(OR(リスト!$C$21="小麦",リスト!$C$21="二条大麦",リスト!$C$21="六条大麦",リスト!$C$21="はだか麦",リスト!$C$21="なたね"),IF(OR(AND(K54&lt;9,J54=調査年),AND(K54&gt;=9,J54=調査年-1)),,ROUND(AG54*P54%,0)),
IF(リスト!$C$21="さとうきび",IF(OR(AND(K54&gt;=4,J54=調査年),AND(K54&lt;4,J54=調査年+1)),,ROUND(AG54*P54%,0)),
IF(J54=調査年,,ROUND(AG54*P54%,0)))))</f>
        <v>0</v>
      </c>
      <c r="AP54" s="788">
        <f t="shared" si="9"/>
        <v>0</v>
      </c>
      <c r="AQ54" s="306">
        <f t="shared" si="10"/>
        <v>0</v>
      </c>
      <c r="AR54" s="788">
        <f t="shared" si="11"/>
        <v>0</v>
      </c>
      <c r="AS54" s="306">
        <f>IF(P54=0,,
SUM(
IF(OR(リスト!$C$21="小麦",リスト!$C$21="二条大麦",リスト!$C$21="六条大麦",リスト!$C$21="はだか麦",リスト!$C$21="なたね"),IF(OR(AND(Z54=1,K54&lt;9,J54=調査年),AND(Z54=1,K54&gt;=9,J54=調査年-1)),ROUND(L54*P54%,0),),
IF(リスト!$C$21="さとうきび",IF(OR(AND(Z54=1,K54&gt;=4,J54=調査年),AND(Z54=1,K54&lt;4,J54=調査年+1)),ROUND(L54*P54%,0),),
IF(AND(Z54=1,J54=調査年),ROUND(L54*P54%,0),))),
ROUND(N54*P54%,0),
ROUND(SUM(AK54)*P54%,0)
))</f>
        <v>0</v>
      </c>
      <c r="AT54" s="306">
        <f t="shared" si="12"/>
        <v>0</v>
      </c>
      <c r="AU54" s="306" t="str">
        <f t="shared" si="13"/>
        <v/>
      </c>
      <c r="AV54" s="802"/>
      <c r="AW54" s="802"/>
      <c r="AX54" s="802"/>
      <c r="AY54" s="802"/>
      <c r="AZ54" s="802"/>
    </row>
    <row r="55" spans="3:52" s="174" customFormat="1" ht="30" hidden="1" customHeight="1" outlineLevel="1">
      <c r="C55" s="790">
        <v>40</v>
      </c>
      <c r="D55" s="803"/>
      <c r="E55" s="792"/>
      <c r="F55" s="793"/>
      <c r="G55" s="2214"/>
      <c r="H55" s="2215"/>
      <c r="I55" s="794"/>
      <c r="J55" s="795"/>
      <c r="K55" s="796"/>
      <c r="L55" s="797"/>
      <c r="M55" s="797"/>
      <c r="N55" s="797"/>
      <c r="O55" s="797"/>
      <c r="P55" s="1284"/>
      <c r="Q55" s="798"/>
      <c r="R55" s="799"/>
      <c r="S55" s="797"/>
      <c r="T55" s="784"/>
      <c r="U55" s="2"/>
      <c r="V55" s="1295"/>
      <c r="W55" s="785"/>
      <c r="X55" s="2"/>
      <c r="Y55" s="800">
        <f t="shared" si="17"/>
        <v>0</v>
      </c>
      <c r="Z55" s="786">
        <f t="shared" si="14"/>
        <v>0</v>
      </c>
      <c r="AA55" s="786">
        <f t="shared" si="15"/>
        <v>0</v>
      </c>
      <c r="AB55" s="800">
        <f>IF(Y55=0,,VLOOKUP(Y55,リスト!CX:CY,2,0))</f>
        <v>0</v>
      </c>
      <c r="AC55" s="800">
        <f t="shared" si="1"/>
        <v>0</v>
      </c>
      <c r="AD55" s="801">
        <f>IF(AC55=0,,VLOOKUP(AC55,リスト!DK:DL,2,0))</f>
        <v>0</v>
      </c>
      <c r="AE55" s="786">
        <f>IF(Y55=0,,
IF(OR(リスト!$C$21="小麦",リスト!$C$21="二条大麦",リスト!$C$21="六条大麦",リスト!$C$21="はだか麦",リスト!$C$21="なたね"),IF(K55&lt;9,調査年-J55,調査年-J55-1),
IF(リスト!$C$21="さとうきび",IF(K55&gt;=4,調査年-J55,調査年-J55+1),
調査年-J55)))</f>
        <v>0</v>
      </c>
      <c r="AF55" s="306">
        <f t="shared" si="18"/>
        <v>0</v>
      </c>
      <c r="AG55" s="306">
        <f t="shared" si="3"/>
        <v>0</v>
      </c>
      <c r="AH55" s="306">
        <f t="shared" si="4"/>
        <v>0</v>
      </c>
      <c r="AI55" s="306">
        <f t="shared" si="5"/>
        <v>0</v>
      </c>
      <c r="AJ55" s="306">
        <f t="shared" si="6"/>
        <v>0</v>
      </c>
      <c r="AK55" s="306">
        <f t="shared" si="16"/>
        <v>0</v>
      </c>
      <c r="AL55" s="306">
        <f t="shared" si="7"/>
        <v>0</v>
      </c>
      <c r="AM55" s="306">
        <f t="shared" si="8"/>
        <v>0</v>
      </c>
      <c r="AN55" s="477"/>
      <c r="AO55" s="788">
        <f>IF(OR(P55=0,AG55=0),,
IF(OR(リスト!$C$21="小麦",リスト!$C$21="二条大麦",リスト!$C$21="六条大麦",リスト!$C$21="はだか麦",リスト!$C$21="なたね"),IF(OR(AND(K55&lt;9,J55=調査年),AND(K55&gt;=9,J55=調査年-1)),,ROUND(AG55*P55%,0)),
IF(リスト!$C$21="さとうきび",IF(OR(AND(K55&gt;=4,J55=調査年),AND(K55&lt;4,J55=調査年+1)),,ROUND(AG55*P55%,0)),
IF(J55=調査年,,ROUND(AG55*P55%,0)))))</f>
        <v>0</v>
      </c>
      <c r="AP55" s="788">
        <f t="shared" si="9"/>
        <v>0</v>
      </c>
      <c r="AQ55" s="306">
        <f t="shared" si="10"/>
        <v>0</v>
      </c>
      <c r="AR55" s="788">
        <f t="shared" si="11"/>
        <v>0</v>
      </c>
      <c r="AS55" s="306">
        <f>IF(P55=0,,
SUM(
IF(OR(リスト!$C$21="小麦",リスト!$C$21="二条大麦",リスト!$C$21="六条大麦",リスト!$C$21="はだか麦",リスト!$C$21="なたね"),IF(OR(AND(Z55=1,K55&lt;9,J55=調査年),AND(Z55=1,K55&gt;=9,J55=調査年-1)),ROUND(L55*P55%,0),),
IF(リスト!$C$21="さとうきび",IF(OR(AND(Z55=1,K55&gt;=4,J55=調査年),AND(Z55=1,K55&lt;4,J55=調査年+1)),ROUND(L55*P55%,0),),
IF(AND(Z55=1,J55=調査年),ROUND(L55*P55%,0),))),
ROUND(N55*P55%,0),
ROUND(SUM(AK55)*P55%,0)
))</f>
        <v>0</v>
      </c>
      <c r="AT55" s="306">
        <f t="shared" si="12"/>
        <v>0</v>
      </c>
      <c r="AU55" s="306" t="str">
        <f t="shared" si="13"/>
        <v/>
      </c>
      <c r="AV55" s="802"/>
      <c r="AW55" s="802"/>
      <c r="AX55" s="802"/>
      <c r="AY55" s="802"/>
      <c r="AZ55" s="802"/>
    </row>
    <row r="56" spans="3:52" s="174" customFormat="1" ht="30" hidden="1" customHeight="1" outlineLevel="1">
      <c r="C56" s="790">
        <v>41</v>
      </c>
      <c r="D56" s="803"/>
      <c r="E56" s="792"/>
      <c r="F56" s="793"/>
      <c r="G56" s="2214"/>
      <c r="H56" s="2215"/>
      <c r="I56" s="794"/>
      <c r="J56" s="795"/>
      <c r="K56" s="796"/>
      <c r="L56" s="797"/>
      <c r="M56" s="797"/>
      <c r="N56" s="797"/>
      <c r="O56" s="797"/>
      <c r="P56" s="1284"/>
      <c r="Q56" s="798"/>
      <c r="R56" s="799"/>
      <c r="S56" s="797"/>
      <c r="T56" s="784"/>
      <c r="U56" s="2"/>
      <c r="V56" s="1295"/>
      <c r="W56" s="785"/>
      <c r="X56" s="2"/>
      <c r="Y56" s="800">
        <f t="shared" si="17"/>
        <v>0</v>
      </c>
      <c r="Z56" s="786">
        <f t="shared" si="14"/>
        <v>0</v>
      </c>
      <c r="AA56" s="786">
        <f t="shared" si="15"/>
        <v>0</v>
      </c>
      <c r="AB56" s="800">
        <f>IF(Y56=0,,VLOOKUP(Y56,リスト!CX:CY,2,0))</f>
        <v>0</v>
      </c>
      <c r="AC56" s="800">
        <f t="shared" si="1"/>
        <v>0</v>
      </c>
      <c r="AD56" s="801">
        <f>IF(AC56=0,,VLOOKUP(AC56,リスト!DK:DL,2,0))</f>
        <v>0</v>
      </c>
      <c r="AE56" s="786">
        <f>IF(Y56=0,,
IF(OR(リスト!$C$21="小麦",リスト!$C$21="二条大麦",リスト!$C$21="六条大麦",リスト!$C$21="はだか麦",リスト!$C$21="なたね"),IF(K56&lt;9,調査年-J56,調査年-J56-1),
IF(リスト!$C$21="さとうきび",IF(K56&gt;=4,調査年-J56,調査年-J56+1),
調査年-J56)))</f>
        <v>0</v>
      </c>
      <c r="AF56" s="306">
        <f t="shared" si="18"/>
        <v>0</v>
      </c>
      <c r="AG56" s="306">
        <f t="shared" si="3"/>
        <v>0</v>
      </c>
      <c r="AH56" s="306">
        <f t="shared" si="4"/>
        <v>0</v>
      </c>
      <c r="AI56" s="306">
        <f t="shared" si="5"/>
        <v>0</v>
      </c>
      <c r="AJ56" s="306">
        <f t="shared" si="6"/>
        <v>0</v>
      </c>
      <c r="AK56" s="306">
        <f t="shared" si="16"/>
        <v>0</v>
      </c>
      <c r="AL56" s="306">
        <f t="shared" si="7"/>
        <v>0</v>
      </c>
      <c r="AM56" s="306">
        <f t="shared" si="8"/>
        <v>0</v>
      </c>
      <c r="AN56" s="477"/>
      <c r="AO56" s="788">
        <f>IF(OR(P56=0,AG56=0),,
IF(OR(リスト!$C$21="小麦",リスト!$C$21="二条大麦",リスト!$C$21="六条大麦",リスト!$C$21="はだか麦",リスト!$C$21="なたね"),IF(OR(AND(K56&lt;9,J56=調査年),AND(K56&gt;=9,J56=調査年-1)),,ROUND(AG56*P56%,0)),
IF(リスト!$C$21="さとうきび",IF(OR(AND(K56&gt;=4,J56=調査年),AND(K56&lt;4,J56=調査年+1)),,ROUND(AG56*P56%,0)),
IF(J56=調査年,,ROUND(AG56*P56%,0)))))</f>
        <v>0</v>
      </c>
      <c r="AP56" s="788">
        <f t="shared" si="9"/>
        <v>0</v>
      </c>
      <c r="AQ56" s="306">
        <f t="shared" si="10"/>
        <v>0</v>
      </c>
      <c r="AR56" s="788">
        <f t="shared" si="11"/>
        <v>0</v>
      </c>
      <c r="AS56" s="306">
        <f>IF(P56=0,,
SUM(
IF(OR(リスト!$C$21="小麦",リスト!$C$21="二条大麦",リスト!$C$21="六条大麦",リスト!$C$21="はだか麦",リスト!$C$21="なたね"),IF(OR(AND(Z56=1,K56&lt;9,J56=調査年),AND(Z56=1,K56&gt;=9,J56=調査年-1)),ROUND(L56*P56%,0),),
IF(リスト!$C$21="さとうきび",IF(OR(AND(Z56=1,K56&gt;=4,J56=調査年),AND(Z56=1,K56&lt;4,J56=調査年+1)),ROUND(L56*P56%,0),),
IF(AND(Z56=1,J56=調査年),ROUND(L56*P56%,0),))),
ROUND(N56*P56%,0),
ROUND(SUM(AK56)*P56%,0)
))</f>
        <v>0</v>
      </c>
      <c r="AT56" s="306">
        <f t="shared" si="12"/>
        <v>0</v>
      </c>
      <c r="AU56" s="306" t="str">
        <f t="shared" si="13"/>
        <v/>
      </c>
      <c r="AV56" s="802"/>
      <c r="AW56" s="802"/>
      <c r="AX56" s="802"/>
      <c r="AY56" s="802"/>
      <c r="AZ56" s="802"/>
    </row>
    <row r="57" spans="3:52" s="174" customFormat="1" ht="30" hidden="1" customHeight="1" outlineLevel="1">
      <c r="C57" s="790">
        <v>42</v>
      </c>
      <c r="D57" s="803"/>
      <c r="E57" s="792"/>
      <c r="F57" s="793"/>
      <c r="G57" s="2214"/>
      <c r="H57" s="2215"/>
      <c r="I57" s="794"/>
      <c r="J57" s="795"/>
      <c r="K57" s="796"/>
      <c r="L57" s="797"/>
      <c r="M57" s="797"/>
      <c r="N57" s="797"/>
      <c r="O57" s="797"/>
      <c r="P57" s="1284"/>
      <c r="Q57" s="798"/>
      <c r="R57" s="799"/>
      <c r="S57" s="797"/>
      <c r="T57" s="784"/>
      <c r="U57" s="2"/>
      <c r="V57" s="1295"/>
      <c r="W57" s="785"/>
      <c r="X57" s="2"/>
      <c r="Y57" s="800">
        <f t="shared" si="17"/>
        <v>0</v>
      </c>
      <c r="Z57" s="786">
        <f t="shared" si="14"/>
        <v>0</v>
      </c>
      <c r="AA57" s="786">
        <f t="shared" si="15"/>
        <v>0</v>
      </c>
      <c r="AB57" s="800">
        <f>IF(Y57=0,,VLOOKUP(Y57,リスト!CX:CY,2,0))</f>
        <v>0</v>
      </c>
      <c r="AC57" s="800">
        <f t="shared" si="1"/>
        <v>0</v>
      </c>
      <c r="AD57" s="801">
        <f>IF(AC57=0,,VLOOKUP(AC57,リスト!DK:DL,2,0))</f>
        <v>0</v>
      </c>
      <c r="AE57" s="786">
        <f>IF(Y57=0,,
IF(OR(リスト!$C$21="小麦",リスト!$C$21="二条大麦",リスト!$C$21="六条大麦",リスト!$C$21="はだか麦",リスト!$C$21="なたね"),IF(K57&lt;9,調査年-J57,調査年-J57-1),
IF(リスト!$C$21="さとうきび",IF(K57&gt;=4,調査年-J57,調査年-J57+1),
調査年-J57)))</f>
        <v>0</v>
      </c>
      <c r="AF57" s="306">
        <f t="shared" si="18"/>
        <v>0</v>
      </c>
      <c r="AG57" s="306">
        <f t="shared" si="3"/>
        <v>0</v>
      </c>
      <c r="AH57" s="306">
        <f t="shared" si="4"/>
        <v>0</v>
      </c>
      <c r="AI57" s="306">
        <f t="shared" si="5"/>
        <v>0</v>
      </c>
      <c r="AJ57" s="306">
        <f t="shared" si="6"/>
        <v>0</v>
      </c>
      <c r="AK57" s="306">
        <f t="shared" si="16"/>
        <v>0</v>
      </c>
      <c r="AL57" s="306">
        <f t="shared" si="7"/>
        <v>0</v>
      </c>
      <c r="AM57" s="306">
        <f t="shared" si="8"/>
        <v>0</v>
      </c>
      <c r="AN57" s="477"/>
      <c r="AO57" s="788">
        <f>IF(OR(P57=0,AG57=0),,
IF(OR(リスト!$C$21="小麦",リスト!$C$21="二条大麦",リスト!$C$21="六条大麦",リスト!$C$21="はだか麦",リスト!$C$21="なたね"),IF(OR(AND(K57&lt;9,J57=調査年),AND(K57&gt;=9,J57=調査年-1)),,ROUND(AG57*P57%,0)),
IF(リスト!$C$21="さとうきび",IF(OR(AND(K57&gt;=4,J57=調査年),AND(K57&lt;4,J57=調査年+1)),,ROUND(AG57*P57%,0)),
IF(J57=調査年,,ROUND(AG57*P57%,0)))))</f>
        <v>0</v>
      </c>
      <c r="AP57" s="788">
        <f t="shared" si="9"/>
        <v>0</v>
      </c>
      <c r="AQ57" s="306">
        <f t="shared" si="10"/>
        <v>0</v>
      </c>
      <c r="AR57" s="788">
        <f t="shared" si="11"/>
        <v>0</v>
      </c>
      <c r="AS57" s="306">
        <f>IF(P57=0,,
SUM(
IF(OR(リスト!$C$21="小麦",リスト!$C$21="二条大麦",リスト!$C$21="六条大麦",リスト!$C$21="はだか麦",リスト!$C$21="なたね"),IF(OR(AND(Z57=1,K57&lt;9,J57=調査年),AND(Z57=1,K57&gt;=9,J57=調査年-1)),ROUND(L57*P57%,0),),
IF(リスト!$C$21="さとうきび",IF(OR(AND(Z57=1,K57&gt;=4,J57=調査年),AND(Z57=1,K57&lt;4,J57=調査年+1)),ROUND(L57*P57%,0),),
IF(AND(Z57=1,J57=調査年),ROUND(L57*P57%,0),))),
ROUND(N57*P57%,0),
ROUND(SUM(AK57)*P57%,0)
))</f>
        <v>0</v>
      </c>
      <c r="AT57" s="306">
        <f t="shared" si="12"/>
        <v>0</v>
      </c>
      <c r="AU57" s="306" t="str">
        <f t="shared" si="13"/>
        <v/>
      </c>
      <c r="AV57" s="802"/>
      <c r="AW57" s="802"/>
      <c r="AX57" s="802"/>
      <c r="AY57" s="802"/>
      <c r="AZ57" s="802"/>
    </row>
    <row r="58" spans="3:52" s="174" customFormat="1" ht="30" hidden="1" customHeight="1" outlineLevel="1">
      <c r="C58" s="790">
        <v>43</v>
      </c>
      <c r="D58" s="803"/>
      <c r="E58" s="792"/>
      <c r="F58" s="793"/>
      <c r="G58" s="2214"/>
      <c r="H58" s="2215"/>
      <c r="I58" s="794"/>
      <c r="J58" s="795"/>
      <c r="K58" s="796"/>
      <c r="L58" s="797"/>
      <c r="M58" s="797"/>
      <c r="N58" s="797"/>
      <c r="O58" s="797"/>
      <c r="P58" s="1284"/>
      <c r="Q58" s="798"/>
      <c r="R58" s="799"/>
      <c r="S58" s="797"/>
      <c r="T58" s="784"/>
      <c r="U58" s="2"/>
      <c r="V58" s="1295"/>
      <c r="W58" s="785"/>
      <c r="X58" s="2"/>
      <c r="Y58" s="800">
        <f t="shared" si="17"/>
        <v>0</v>
      </c>
      <c r="Z58" s="786">
        <f t="shared" si="14"/>
        <v>0</v>
      </c>
      <c r="AA58" s="786">
        <f t="shared" si="15"/>
        <v>0</v>
      </c>
      <c r="AB58" s="800">
        <f>IF(Y58=0,,VLOOKUP(Y58,リスト!CX:CY,2,0))</f>
        <v>0</v>
      </c>
      <c r="AC58" s="800">
        <f t="shared" si="1"/>
        <v>0</v>
      </c>
      <c r="AD58" s="801">
        <f>IF(AC58=0,,VLOOKUP(AC58,リスト!DK:DL,2,0))</f>
        <v>0</v>
      </c>
      <c r="AE58" s="786">
        <f>IF(Y58=0,,
IF(OR(リスト!$C$21="小麦",リスト!$C$21="二条大麦",リスト!$C$21="六条大麦",リスト!$C$21="はだか麦",リスト!$C$21="なたね"),IF(K58&lt;9,調査年-J58,調査年-J58-1),
IF(リスト!$C$21="さとうきび",IF(K58&gt;=4,調査年-J58,調査年-J58+1),
調査年-J58)))</f>
        <v>0</v>
      </c>
      <c r="AF58" s="306">
        <f t="shared" si="18"/>
        <v>0</v>
      </c>
      <c r="AG58" s="306">
        <f t="shared" si="3"/>
        <v>0</v>
      </c>
      <c r="AH58" s="306">
        <f t="shared" si="4"/>
        <v>0</v>
      </c>
      <c r="AI58" s="306">
        <f t="shared" si="5"/>
        <v>0</v>
      </c>
      <c r="AJ58" s="306">
        <f t="shared" si="6"/>
        <v>0</v>
      </c>
      <c r="AK58" s="306">
        <f t="shared" si="16"/>
        <v>0</v>
      </c>
      <c r="AL58" s="306">
        <f t="shared" si="7"/>
        <v>0</v>
      </c>
      <c r="AM58" s="306">
        <f t="shared" si="8"/>
        <v>0</v>
      </c>
      <c r="AN58" s="477"/>
      <c r="AO58" s="788">
        <f>IF(OR(P58=0,AG58=0),,
IF(OR(リスト!$C$21="小麦",リスト!$C$21="二条大麦",リスト!$C$21="六条大麦",リスト!$C$21="はだか麦",リスト!$C$21="なたね"),IF(OR(AND(K58&lt;9,J58=調査年),AND(K58&gt;=9,J58=調査年-1)),,ROUND(AG58*P58%,0)),
IF(リスト!$C$21="さとうきび",IF(OR(AND(K58&gt;=4,J58=調査年),AND(K58&lt;4,J58=調査年+1)),,ROUND(AG58*P58%,0)),
IF(J58=調査年,,ROUND(AG58*P58%,0)))))</f>
        <v>0</v>
      </c>
      <c r="AP58" s="788">
        <f t="shared" si="9"/>
        <v>0</v>
      </c>
      <c r="AQ58" s="306">
        <f t="shared" si="10"/>
        <v>0</v>
      </c>
      <c r="AR58" s="788">
        <f t="shared" si="11"/>
        <v>0</v>
      </c>
      <c r="AS58" s="306">
        <f>IF(P58=0,,
SUM(
IF(OR(リスト!$C$21="小麦",リスト!$C$21="二条大麦",リスト!$C$21="六条大麦",リスト!$C$21="はだか麦",リスト!$C$21="なたね"),IF(OR(AND(Z58=1,K58&lt;9,J58=調査年),AND(Z58=1,K58&gt;=9,J58=調査年-1)),ROUND(L58*P58%,0),),
IF(リスト!$C$21="さとうきび",IF(OR(AND(Z58=1,K58&gt;=4,J58=調査年),AND(Z58=1,K58&lt;4,J58=調査年+1)),ROUND(L58*P58%,0),),
IF(AND(Z58=1,J58=調査年),ROUND(L58*P58%,0),))),
ROUND(N58*P58%,0),
ROUND(SUM(AK58)*P58%,0)
))</f>
        <v>0</v>
      </c>
      <c r="AT58" s="306">
        <f t="shared" si="12"/>
        <v>0</v>
      </c>
      <c r="AU58" s="306" t="str">
        <f t="shared" si="13"/>
        <v/>
      </c>
      <c r="AV58" s="802"/>
      <c r="AW58" s="802"/>
      <c r="AX58" s="802"/>
      <c r="AY58" s="802"/>
      <c r="AZ58" s="802"/>
    </row>
    <row r="59" spans="3:52" s="174" customFormat="1" ht="30" hidden="1" customHeight="1" outlineLevel="1">
      <c r="C59" s="790">
        <v>44</v>
      </c>
      <c r="D59" s="803"/>
      <c r="E59" s="792"/>
      <c r="F59" s="793"/>
      <c r="G59" s="2214"/>
      <c r="H59" s="2215"/>
      <c r="I59" s="794"/>
      <c r="J59" s="795"/>
      <c r="K59" s="796"/>
      <c r="L59" s="797"/>
      <c r="M59" s="797"/>
      <c r="N59" s="797"/>
      <c r="O59" s="797"/>
      <c r="P59" s="1284"/>
      <c r="Q59" s="798"/>
      <c r="R59" s="799"/>
      <c r="S59" s="797"/>
      <c r="T59" s="784"/>
      <c r="U59" s="2"/>
      <c r="V59" s="1295"/>
      <c r="W59" s="785"/>
      <c r="X59" s="2"/>
      <c r="Y59" s="800">
        <f t="shared" si="17"/>
        <v>0</v>
      </c>
      <c r="Z59" s="786">
        <f t="shared" si="14"/>
        <v>0</v>
      </c>
      <c r="AA59" s="786">
        <f t="shared" si="15"/>
        <v>0</v>
      </c>
      <c r="AB59" s="800">
        <f>IF(Y59=0,,VLOOKUP(Y59,リスト!CX:CY,2,0))</f>
        <v>0</v>
      </c>
      <c r="AC59" s="800">
        <f t="shared" si="1"/>
        <v>0</v>
      </c>
      <c r="AD59" s="801">
        <f>IF(AC59=0,,VLOOKUP(AC59,リスト!DK:DL,2,0))</f>
        <v>0</v>
      </c>
      <c r="AE59" s="786">
        <f>IF(Y59=0,,
IF(OR(リスト!$C$21="小麦",リスト!$C$21="二条大麦",リスト!$C$21="六条大麦",リスト!$C$21="はだか麦",リスト!$C$21="なたね"),IF(K59&lt;9,調査年-J59,調査年-J59-1),
IF(リスト!$C$21="さとうきび",IF(K59&gt;=4,調査年-J59,調査年-J59+1),
調査年-J59)))</f>
        <v>0</v>
      </c>
      <c r="AF59" s="306">
        <f t="shared" si="18"/>
        <v>0</v>
      </c>
      <c r="AG59" s="306">
        <f t="shared" si="3"/>
        <v>0</v>
      </c>
      <c r="AH59" s="306">
        <f t="shared" si="4"/>
        <v>0</v>
      </c>
      <c r="AI59" s="306">
        <f t="shared" si="5"/>
        <v>0</v>
      </c>
      <c r="AJ59" s="306">
        <f t="shared" si="6"/>
        <v>0</v>
      </c>
      <c r="AK59" s="306">
        <f t="shared" si="16"/>
        <v>0</v>
      </c>
      <c r="AL59" s="306">
        <f t="shared" si="7"/>
        <v>0</v>
      </c>
      <c r="AM59" s="306">
        <f t="shared" si="8"/>
        <v>0</v>
      </c>
      <c r="AN59" s="477"/>
      <c r="AO59" s="788">
        <f>IF(OR(P59=0,AG59=0),,
IF(OR(リスト!$C$21="小麦",リスト!$C$21="二条大麦",リスト!$C$21="六条大麦",リスト!$C$21="はだか麦",リスト!$C$21="なたね"),IF(OR(AND(K59&lt;9,J59=調査年),AND(K59&gt;=9,J59=調査年-1)),,ROUND(AG59*P59%,0)),
IF(リスト!$C$21="さとうきび",IF(OR(AND(K59&gt;=4,J59=調査年),AND(K59&lt;4,J59=調査年+1)),,ROUND(AG59*P59%,0)),
IF(J59=調査年,,ROUND(AG59*P59%,0)))))</f>
        <v>0</v>
      </c>
      <c r="AP59" s="788">
        <f t="shared" si="9"/>
        <v>0</v>
      </c>
      <c r="AQ59" s="306">
        <f t="shared" si="10"/>
        <v>0</v>
      </c>
      <c r="AR59" s="788">
        <f t="shared" si="11"/>
        <v>0</v>
      </c>
      <c r="AS59" s="306">
        <f>IF(P59=0,,
SUM(
IF(OR(リスト!$C$21="小麦",リスト!$C$21="二条大麦",リスト!$C$21="六条大麦",リスト!$C$21="はだか麦",リスト!$C$21="なたね"),IF(OR(AND(Z59=1,K59&lt;9,J59=調査年),AND(Z59=1,K59&gt;=9,J59=調査年-1)),ROUND(L59*P59%,0),),
IF(リスト!$C$21="さとうきび",IF(OR(AND(Z59=1,K59&gt;=4,J59=調査年),AND(Z59=1,K59&lt;4,J59=調査年+1)),ROUND(L59*P59%,0),),
IF(AND(Z59=1,J59=調査年),ROUND(L59*P59%,0),))),
ROUND(N59*P59%,0),
ROUND(SUM(AK59)*P59%,0)
))</f>
        <v>0</v>
      </c>
      <c r="AT59" s="306">
        <f t="shared" si="12"/>
        <v>0</v>
      </c>
      <c r="AU59" s="306" t="str">
        <f t="shared" si="13"/>
        <v/>
      </c>
      <c r="AV59" s="802"/>
      <c r="AW59" s="802"/>
      <c r="AX59" s="802"/>
      <c r="AY59" s="802"/>
      <c r="AZ59" s="802"/>
    </row>
    <row r="60" spans="3:52" s="174" customFormat="1" ht="30" hidden="1" customHeight="1" outlineLevel="1">
      <c r="C60" s="790">
        <v>45</v>
      </c>
      <c r="D60" s="803"/>
      <c r="E60" s="792"/>
      <c r="F60" s="793"/>
      <c r="G60" s="2214"/>
      <c r="H60" s="2215"/>
      <c r="I60" s="794"/>
      <c r="J60" s="795"/>
      <c r="K60" s="796"/>
      <c r="L60" s="797"/>
      <c r="M60" s="797"/>
      <c r="N60" s="797"/>
      <c r="O60" s="797"/>
      <c r="P60" s="1284"/>
      <c r="Q60" s="798"/>
      <c r="R60" s="799"/>
      <c r="S60" s="797"/>
      <c r="T60" s="784"/>
      <c r="U60" s="2"/>
      <c r="V60" s="1295"/>
      <c r="W60" s="785"/>
      <c r="X60" s="2"/>
      <c r="Y60" s="800">
        <f t="shared" si="17"/>
        <v>0</v>
      </c>
      <c r="Z60" s="786">
        <f t="shared" si="14"/>
        <v>0</v>
      </c>
      <c r="AA60" s="786">
        <f t="shared" si="15"/>
        <v>0</v>
      </c>
      <c r="AB60" s="800">
        <f>IF(Y60=0,,VLOOKUP(Y60,リスト!CX:CY,2,0))</f>
        <v>0</v>
      </c>
      <c r="AC60" s="800">
        <f t="shared" si="1"/>
        <v>0</v>
      </c>
      <c r="AD60" s="801">
        <f>IF(AC60=0,,VLOOKUP(AC60,リスト!DK:DL,2,0))</f>
        <v>0</v>
      </c>
      <c r="AE60" s="786">
        <f>IF(Y60=0,,
IF(OR(リスト!$C$21="小麦",リスト!$C$21="二条大麦",リスト!$C$21="六条大麦",リスト!$C$21="はだか麦",リスト!$C$21="なたね"),IF(K60&lt;9,調査年-J60,調査年-J60-1),
IF(リスト!$C$21="さとうきび",IF(K60&gt;=4,調査年-J60,調査年-J60+1),
調査年-J60)))</f>
        <v>0</v>
      </c>
      <c r="AF60" s="306">
        <f t="shared" si="18"/>
        <v>0</v>
      </c>
      <c r="AG60" s="306">
        <f t="shared" si="3"/>
        <v>0</v>
      </c>
      <c r="AH60" s="306">
        <f t="shared" si="4"/>
        <v>0</v>
      </c>
      <c r="AI60" s="306">
        <f t="shared" si="5"/>
        <v>0</v>
      </c>
      <c r="AJ60" s="306">
        <f t="shared" si="6"/>
        <v>0</v>
      </c>
      <c r="AK60" s="306">
        <f t="shared" si="16"/>
        <v>0</v>
      </c>
      <c r="AL60" s="306">
        <f t="shared" si="7"/>
        <v>0</v>
      </c>
      <c r="AM60" s="306">
        <f t="shared" si="8"/>
        <v>0</v>
      </c>
      <c r="AN60" s="477"/>
      <c r="AO60" s="788">
        <f>IF(OR(P60=0,AG60=0),,
IF(OR(リスト!$C$21="小麦",リスト!$C$21="二条大麦",リスト!$C$21="六条大麦",リスト!$C$21="はだか麦",リスト!$C$21="なたね"),IF(OR(AND(K60&lt;9,J60=調査年),AND(K60&gt;=9,J60=調査年-1)),,ROUND(AG60*P60%,0)),
IF(リスト!$C$21="さとうきび",IF(OR(AND(K60&gt;=4,J60=調査年),AND(K60&lt;4,J60=調査年+1)),,ROUND(AG60*P60%,0)),
IF(J60=調査年,,ROUND(AG60*P60%,0)))))</f>
        <v>0</v>
      </c>
      <c r="AP60" s="788">
        <f t="shared" si="9"/>
        <v>0</v>
      </c>
      <c r="AQ60" s="306">
        <f t="shared" si="10"/>
        <v>0</v>
      </c>
      <c r="AR60" s="788">
        <f t="shared" si="11"/>
        <v>0</v>
      </c>
      <c r="AS60" s="306">
        <f>IF(P60=0,,
SUM(
IF(OR(リスト!$C$21="小麦",リスト!$C$21="二条大麦",リスト!$C$21="六条大麦",リスト!$C$21="はだか麦",リスト!$C$21="なたね"),IF(OR(AND(Z60=1,K60&lt;9,J60=調査年),AND(Z60=1,K60&gt;=9,J60=調査年-1)),ROUND(L60*P60%,0),),
IF(リスト!$C$21="さとうきび",IF(OR(AND(Z60=1,K60&gt;=4,J60=調査年),AND(Z60=1,K60&lt;4,J60=調査年+1)),ROUND(L60*P60%,0),),
IF(AND(Z60=1,J60=調査年),ROUND(L60*P60%,0),))),
ROUND(N60*P60%,0),
ROUND(SUM(AK60)*P60%,0)
))</f>
        <v>0</v>
      </c>
      <c r="AT60" s="306">
        <f t="shared" si="12"/>
        <v>0</v>
      </c>
      <c r="AU60" s="306" t="str">
        <f t="shared" si="13"/>
        <v/>
      </c>
      <c r="AV60" s="802"/>
      <c r="AW60" s="802"/>
      <c r="AX60" s="802"/>
      <c r="AY60" s="802"/>
      <c r="AZ60" s="802"/>
    </row>
    <row r="61" spans="3:52" s="174" customFormat="1" ht="30" hidden="1" customHeight="1" outlineLevel="1">
      <c r="C61" s="790">
        <v>46</v>
      </c>
      <c r="D61" s="803"/>
      <c r="E61" s="792"/>
      <c r="F61" s="793"/>
      <c r="G61" s="2214"/>
      <c r="H61" s="2215"/>
      <c r="I61" s="794"/>
      <c r="J61" s="795"/>
      <c r="K61" s="796"/>
      <c r="L61" s="797"/>
      <c r="M61" s="797"/>
      <c r="N61" s="797"/>
      <c r="O61" s="797"/>
      <c r="P61" s="1284"/>
      <c r="Q61" s="798"/>
      <c r="R61" s="799"/>
      <c r="S61" s="797"/>
      <c r="T61" s="784"/>
      <c r="U61" s="2"/>
      <c r="V61" s="1295"/>
      <c r="W61" s="785"/>
      <c r="X61" s="2"/>
      <c r="Y61" s="800">
        <f t="shared" si="17"/>
        <v>0</v>
      </c>
      <c r="Z61" s="786">
        <f t="shared" si="14"/>
        <v>0</v>
      </c>
      <c r="AA61" s="786">
        <f t="shared" si="15"/>
        <v>0</v>
      </c>
      <c r="AB61" s="800">
        <f>IF(Y61=0,,VLOOKUP(Y61,リスト!CX:CY,2,0))</f>
        <v>0</v>
      </c>
      <c r="AC61" s="800">
        <f t="shared" si="1"/>
        <v>0</v>
      </c>
      <c r="AD61" s="801">
        <f>IF(AC61=0,,VLOOKUP(AC61,リスト!DK:DL,2,0))</f>
        <v>0</v>
      </c>
      <c r="AE61" s="786">
        <f>IF(Y61=0,,
IF(OR(リスト!$C$21="小麦",リスト!$C$21="二条大麦",リスト!$C$21="六条大麦",リスト!$C$21="はだか麦",リスト!$C$21="なたね"),IF(K61&lt;9,調査年-J61,調査年-J61-1),
IF(リスト!$C$21="さとうきび",IF(K61&gt;=4,調査年-J61,調査年-J61+1),
調査年-J61)))</f>
        <v>0</v>
      </c>
      <c r="AF61" s="306">
        <f t="shared" si="18"/>
        <v>0</v>
      </c>
      <c r="AG61" s="306">
        <f t="shared" si="3"/>
        <v>0</v>
      </c>
      <c r="AH61" s="306">
        <f t="shared" si="4"/>
        <v>0</v>
      </c>
      <c r="AI61" s="306">
        <f t="shared" si="5"/>
        <v>0</v>
      </c>
      <c r="AJ61" s="306">
        <f t="shared" si="6"/>
        <v>0</v>
      </c>
      <c r="AK61" s="306">
        <f t="shared" si="16"/>
        <v>0</v>
      </c>
      <c r="AL61" s="306">
        <f t="shared" si="7"/>
        <v>0</v>
      </c>
      <c r="AM61" s="306">
        <f t="shared" si="8"/>
        <v>0</v>
      </c>
      <c r="AN61" s="477"/>
      <c r="AO61" s="788">
        <f>IF(OR(P61=0,AG61=0),,
IF(OR(リスト!$C$21="小麦",リスト!$C$21="二条大麦",リスト!$C$21="六条大麦",リスト!$C$21="はだか麦",リスト!$C$21="なたね"),IF(OR(AND(K61&lt;9,J61=調査年),AND(K61&gt;=9,J61=調査年-1)),,ROUND(AG61*P61%,0)),
IF(リスト!$C$21="さとうきび",IF(OR(AND(K61&gt;=4,J61=調査年),AND(K61&lt;4,J61=調査年+1)),,ROUND(AG61*P61%,0)),
IF(J61=調査年,,ROUND(AG61*P61%,0)))))</f>
        <v>0</v>
      </c>
      <c r="AP61" s="788">
        <f t="shared" si="9"/>
        <v>0</v>
      </c>
      <c r="AQ61" s="306">
        <f t="shared" si="10"/>
        <v>0</v>
      </c>
      <c r="AR61" s="788">
        <f t="shared" si="11"/>
        <v>0</v>
      </c>
      <c r="AS61" s="306">
        <f>IF(P61=0,,
SUM(
IF(OR(リスト!$C$21="小麦",リスト!$C$21="二条大麦",リスト!$C$21="六条大麦",リスト!$C$21="はだか麦",リスト!$C$21="なたね"),IF(OR(AND(Z61=1,K61&lt;9,J61=調査年),AND(Z61=1,K61&gt;=9,J61=調査年-1)),ROUND(L61*P61%,0),),
IF(リスト!$C$21="さとうきび",IF(OR(AND(Z61=1,K61&gt;=4,J61=調査年),AND(Z61=1,K61&lt;4,J61=調査年+1)),ROUND(L61*P61%,0),),
IF(AND(Z61=1,J61=調査年),ROUND(L61*P61%,0),))),
ROUND(N61*P61%,0),
ROUND(SUM(AK61)*P61%,0)
))</f>
        <v>0</v>
      </c>
      <c r="AT61" s="306">
        <f t="shared" si="12"/>
        <v>0</v>
      </c>
      <c r="AU61" s="306" t="str">
        <f t="shared" si="13"/>
        <v/>
      </c>
      <c r="AV61" s="802"/>
      <c r="AW61" s="802"/>
      <c r="AX61" s="802"/>
      <c r="AY61" s="802"/>
      <c r="AZ61" s="802"/>
    </row>
    <row r="62" spans="3:52" s="174" customFormat="1" ht="30" hidden="1" customHeight="1" outlineLevel="1">
      <c r="C62" s="790">
        <v>47</v>
      </c>
      <c r="D62" s="803"/>
      <c r="E62" s="792"/>
      <c r="F62" s="793"/>
      <c r="G62" s="2214"/>
      <c r="H62" s="2215"/>
      <c r="I62" s="794"/>
      <c r="J62" s="795"/>
      <c r="K62" s="796"/>
      <c r="L62" s="797"/>
      <c r="M62" s="797"/>
      <c r="N62" s="797"/>
      <c r="O62" s="797"/>
      <c r="P62" s="1284"/>
      <c r="Q62" s="798"/>
      <c r="R62" s="799"/>
      <c r="S62" s="797"/>
      <c r="T62" s="784"/>
      <c r="U62" s="2"/>
      <c r="V62" s="1295"/>
      <c r="W62" s="785"/>
      <c r="X62" s="2"/>
      <c r="Y62" s="800">
        <f t="shared" si="17"/>
        <v>0</v>
      </c>
      <c r="Z62" s="786">
        <f t="shared" si="14"/>
        <v>0</v>
      </c>
      <c r="AA62" s="786">
        <f t="shared" si="15"/>
        <v>0</v>
      </c>
      <c r="AB62" s="800">
        <f>IF(Y62=0,,VLOOKUP(Y62,リスト!CX:CY,2,0))</f>
        <v>0</v>
      </c>
      <c r="AC62" s="800">
        <f t="shared" si="1"/>
        <v>0</v>
      </c>
      <c r="AD62" s="801">
        <f>IF(AC62=0,,VLOOKUP(AC62,リスト!DK:DL,2,0))</f>
        <v>0</v>
      </c>
      <c r="AE62" s="786">
        <f>IF(Y62=0,,
IF(OR(リスト!$C$21="小麦",リスト!$C$21="二条大麦",リスト!$C$21="六条大麦",リスト!$C$21="はだか麦",リスト!$C$21="なたね"),IF(K62&lt;9,調査年-J62,調査年-J62-1),
IF(リスト!$C$21="さとうきび",IF(K62&gt;=4,調査年-J62,調査年-J62+1),
調査年-J62)))</f>
        <v>0</v>
      </c>
      <c r="AF62" s="306">
        <f t="shared" si="18"/>
        <v>0</v>
      </c>
      <c r="AG62" s="306">
        <f t="shared" si="3"/>
        <v>0</v>
      </c>
      <c r="AH62" s="306">
        <f t="shared" si="4"/>
        <v>0</v>
      </c>
      <c r="AI62" s="306">
        <f t="shared" si="5"/>
        <v>0</v>
      </c>
      <c r="AJ62" s="306">
        <f t="shared" si="6"/>
        <v>0</v>
      </c>
      <c r="AK62" s="306">
        <f t="shared" si="16"/>
        <v>0</v>
      </c>
      <c r="AL62" s="306">
        <f t="shared" si="7"/>
        <v>0</v>
      </c>
      <c r="AM62" s="306">
        <f t="shared" si="8"/>
        <v>0</v>
      </c>
      <c r="AN62" s="477"/>
      <c r="AO62" s="788">
        <f>IF(OR(P62=0,AG62=0),,
IF(OR(リスト!$C$21="小麦",リスト!$C$21="二条大麦",リスト!$C$21="六条大麦",リスト!$C$21="はだか麦",リスト!$C$21="なたね"),IF(OR(AND(K62&lt;9,J62=調査年),AND(K62&gt;=9,J62=調査年-1)),,ROUND(AG62*P62%,0)),
IF(リスト!$C$21="さとうきび",IF(OR(AND(K62&gt;=4,J62=調査年),AND(K62&lt;4,J62=調査年+1)),,ROUND(AG62*P62%,0)),
IF(J62=調査年,,ROUND(AG62*P62%,0)))))</f>
        <v>0</v>
      </c>
      <c r="AP62" s="788">
        <f t="shared" si="9"/>
        <v>0</v>
      </c>
      <c r="AQ62" s="306">
        <f t="shared" si="10"/>
        <v>0</v>
      </c>
      <c r="AR62" s="788">
        <f t="shared" si="11"/>
        <v>0</v>
      </c>
      <c r="AS62" s="306">
        <f>IF(P62=0,,
SUM(
IF(OR(リスト!$C$21="小麦",リスト!$C$21="二条大麦",リスト!$C$21="六条大麦",リスト!$C$21="はだか麦",リスト!$C$21="なたね"),IF(OR(AND(Z62=1,K62&lt;9,J62=調査年),AND(Z62=1,K62&gt;=9,J62=調査年-1)),ROUND(L62*P62%,0),),
IF(リスト!$C$21="さとうきび",IF(OR(AND(Z62=1,K62&gt;=4,J62=調査年),AND(Z62=1,K62&lt;4,J62=調査年+1)),ROUND(L62*P62%,0),),
IF(AND(Z62=1,J62=調査年),ROUND(L62*P62%,0),))),
ROUND(N62*P62%,0),
ROUND(SUM(AK62)*P62%,0)
))</f>
        <v>0</v>
      </c>
      <c r="AT62" s="306">
        <f t="shared" si="12"/>
        <v>0</v>
      </c>
      <c r="AU62" s="306" t="str">
        <f t="shared" si="13"/>
        <v/>
      </c>
      <c r="AV62" s="802"/>
      <c r="AW62" s="802"/>
      <c r="AX62" s="802"/>
      <c r="AY62" s="802"/>
      <c r="AZ62" s="802"/>
    </row>
    <row r="63" spans="3:52" s="174" customFormat="1" ht="30" hidden="1" customHeight="1" outlineLevel="1">
      <c r="C63" s="790">
        <v>48</v>
      </c>
      <c r="D63" s="803"/>
      <c r="E63" s="792"/>
      <c r="F63" s="793"/>
      <c r="G63" s="2214"/>
      <c r="H63" s="2215"/>
      <c r="I63" s="794"/>
      <c r="J63" s="795"/>
      <c r="K63" s="796"/>
      <c r="L63" s="797"/>
      <c r="M63" s="797"/>
      <c r="N63" s="797"/>
      <c r="O63" s="797"/>
      <c r="P63" s="1284"/>
      <c r="Q63" s="798"/>
      <c r="R63" s="799"/>
      <c r="S63" s="797"/>
      <c r="T63" s="784"/>
      <c r="U63" s="2"/>
      <c r="V63" s="1295"/>
      <c r="W63" s="785"/>
      <c r="X63" s="2"/>
      <c r="Y63" s="800">
        <f t="shared" si="17"/>
        <v>0</v>
      </c>
      <c r="Z63" s="786">
        <f t="shared" si="14"/>
        <v>0</v>
      </c>
      <c r="AA63" s="786">
        <f t="shared" si="15"/>
        <v>0</v>
      </c>
      <c r="AB63" s="800">
        <f>IF(Y63=0,,VLOOKUP(Y63,リスト!CX:CY,2,0))</f>
        <v>0</v>
      </c>
      <c r="AC63" s="800">
        <f t="shared" si="1"/>
        <v>0</v>
      </c>
      <c r="AD63" s="801">
        <f>IF(AC63=0,,VLOOKUP(AC63,リスト!DK:DL,2,0))</f>
        <v>0</v>
      </c>
      <c r="AE63" s="786">
        <f>IF(Y63=0,,
IF(OR(リスト!$C$21="小麦",リスト!$C$21="二条大麦",リスト!$C$21="六条大麦",リスト!$C$21="はだか麦",リスト!$C$21="なたね"),IF(K63&lt;9,調査年-J63,調査年-J63-1),
IF(リスト!$C$21="さとうきび",IF(K63&gt;=4,調査年-J63,調査年-J63+1),
調査年-J63)))</f>
        <v>0</v>
      </c>
      <c r="AF63" s="306">
        <f t="shared" si="18"/>
        <v>0</v>
      </c>
      <c r="AG63" s="306">
        <f t="shared" si="3"/>
        <v>0</v>
      </c>
      <c r="AH63" s="306">
        <f t="shared" si="4"/>
        <v>0</v>
      </c>
      <c r="AI63" s="306">
        <f t="shared" si="5"/>
        <v>0</v>
      </c>
      <c r="AJ63" s="306">
        <f t="shared" si="6"/>
        <v>0</v>
      </c>
      <c r="AK63" s="306">
        <f t="shared" si="16"/>
        <v>0</v>
      </c>
      <c r="AL63" s="306">
        <f t="shared" si="7"/>
        <v>0</v>
      </c>
      <c r="AM63" s="306">
        <f t="shared" si="8"/>
        <v>0</v>
      </c>
      <c r="AN63" s="477"/>
      <c r="AO63" s="788">
        <f>IF(OR(P63=0,AG63=0),,
IF(OR(リスト!$C$21="小麦",リスト!$C$21="二条大麦",リスト!$C$21="六条大麦",リスト!$C$21="はだか麦",リスト!$C$21="なたね"),IF(OR(AND(K63&lt;9,J63=調査年),AND(K63&gt;=9,J63=調査年-1)),,ROUND(AG63*P63%,0)),
IF(リスト!$C$21="さとうきび",IF(OR(AND(K63&gt;=4,J63=調査年),AND(K63&lt;4,J63=調査年+1)),,ROUND(AG63*P63%,0)),
IF(J63=調査年,,ROUND(AG63*P63%,0)))))</f>
        <v>0</v>
      </c>
      <c r="AP63" s="788">
        <f t="shared" si="9"/>
        <v>0</v>
      </c>
      <c r="AQ63" s="306">
        <f t="shared" si="10"/>
        <v>0</v>
      </c>
      <c r="AR63" s="788">
        <f t="shared" si="11"/>
        <v>0</v>
      </c>
      <c r="AS63" s="306">
        <f>IF(P63=0,,
SUM(
IF(OR(リスト!$C$21="小麦",リスト!$C$21="二条大麦",リスト!$C$21="六条大麦",リスト!$C$21="はだか麦",リスト!$C$21="なたね"),IF(OR(AND(Z63=1,K63&lt;9,J63=調査年),AND(Z63=1,K63&gt;=9,J63=調査年-1)),ROUND(L63*P63%,0),),
IF(リスト!$C$21="さとうきび",IF(OR(AND(Z63=1,K63&gt;=4,J63=調査年),AND(Z63=1,K63&lt;4,J63=調査年+1)),ROUND(L63*P63%,0),),
IF(AND(Z63=1,J63=調査年),ROUND(L63*P63%,0),))),
ROUND(N63*P63%,0),
ROUND(SUM(AK63)*P63%,0)
))</f>
        <v>0</v>
      </c>
      <c r="AT63" s="306">
        <f t="shared" si="12"/>
        <v>0</v>
      </c>
      <c r="AU63" s="306" t="str">
        <f t="shared" si="13"/>
        <v/>
      </c>
      <c r="AV63" s="802"/>
      <c r="AW63" s="802"/>
      <c r="AX63" s="802"/>
      <c r="AY63" s="802"/>
      <c r="AZ63" s="802"/>
    </row>
    <row r="64" spans="3:52" s="174" customFormat="1" ht="30" hidden="1" customHeight="1" outlineLevel="1">
      <c r="C64" s="790">
        <v>49</v>
      </c>
      <c r="D64" s="803"/>
      <c r="E64" s="792"/>
      <c r="F64" s="793"/>
      <c r="G64" s="2214"/>
      <c r="H64" s="2215"/>
      <c r="I64" s="794"/>
      <c r="J64" s="795"/>
      <c r="K64" s="796"/>
      <c r="L64" s="797"/>
      <c r="M64" s="797"/>
      <c r="N64" s="797"/>
      <c r="O64" s="797"/>
      <c r="P64" s="1284"/>
      <c r="Q64" s="798"/>
      <c r="R64" s="799"/>
      <c r="S64" s="797"/>
      <c r="T64" s="784"/>
      <c r="U64" s="2"/>
      <c r="V64" s="1295"/>
      <c r="W64" s="785"/>
      <c r="X64" s="2"/>
      <c r="Y64" s="800">
        <f t="shared" si="17"/>
        <v>0</v>
      </c>
      <c r="Z64" s="786">
        <f t="shared" si="14"/>
        <v>0</v>
      </c>
      <c r="AA64" s="786">
        <f t="shared" si="15"/>
        <v>0</v>
      </c>
      <c r="AB64" s="800">
        <f>IF(Y64=0,,VLOOKUP(Y64,リスト!CX:CY,2,0))</f>
        <v>0</v>
      </c>
      <c r="AC64" s="800">
        <f t="shared" si="1"/>
        <v>0</v>
      </c>
      <c r="AD64" s="801">
        <f>IF(AC64=0,,VLOOKUP(AC64,リスト!DK:DL,2,0))</f>
        <v>0</v>
      </c>
      <c r="AE64" s="786">
        <f>IF(Y64=0,,
IF(OR(リスト!$C$21="小麦",リスト!$C$21="二条大麦",リスト!$C$21="六条大麦",リスト!$C$21="はだか麦",リスト!$C$21="なたね"),IF(K64&lt;9,調査年-J64,調査年-J64-1),
IF(リスト!$C$21="さとうきび",IF(K64&gt;=4,調査年-J64,調査年-J64+1),
調査年-J64)))</f>
        <v>0</v>
      </c>
      <c r="AF64" s="306">
        <f t="shared" si="18"/>
        <v>0</v>
      </c>
      <c r="AG64" s="306">
        <f t="shared" si="3"/>
        <v>0</v>
      </c>
      <c r="AH64" s="306">
        <f t="shared" si="4"/>
        <v>0</v>
      </c>
      <c r="AI64" s="306">
        <f t="shared" si="5"/>
        <v>0</v>
      </c>
      <c r="AJ64" s="306">
        <f t="shared" si="6"/>
        <v>0</v>
      </c>
      <c r="AK64" s="306">
        <f t="shared" si="16"/>
        <v>0</v>
      </c>
      <c r="AL64" s="306">
        <f t="shared" si="7"/>
        <v>0</v>
      </c>
      <c r="AM64" s="306">
        <f t="shared" si="8"/>
        <v>0</v>
      </c>
      <c r="AN64" s="477"/>
      <c r="AO64" s="788">
        <f>IF(OR(P64=0,AG64=0),,
IF(OR(リスト!$C$21="小麦",リスト!$C$21="二条大麦",リスト!$C$21="六条大麦",リスト!$C$21="はだか麦",リスト!$C$21="なたね"),IF(OR(AND(K64&lt;9,J64=調査年),AND(K64&gt;=9,J64=調査年-1)),,ROUND(AG64*P64%,0)),
IF(リスト!$C$21="さとうきび",IF(OR(AND(K64&gt;=4,J64=調査年),AND(K64&lt;4,J64=調査年+1)),,ROUND(AG64*P64%,0)),
IF(J64=調査年,,ROUND(AG64*P64%,0)))))</f>
        <v>0</v>
      </c>
      <c r="AP64" s="788">
        <f t="shared" si="9"/>
        <v>0</v>
      </c>
      <c r="AQ64" s="306">
        <f t="shared" si="10"/>
        <v>0</v>
      </c>
      <c r="AR64" s="788">
        <f t="shared" si="11"/>
        <v>0</v>
      </c>
      <c r="AS64" s="306">
        <f>IF(P64=0,,
SUM(
IF(OR(リスト!$C$21="小麦",リスト!$C$21="二条大麦",リスト!$C$21="六条大麦",リスト!$C$21="はだか麦",リスト!$C$21="なたね"),IF(OR(AND(Z64=1,K64&lt;9,J64=調査年),AND(Z64=1,K64&gt;=9,J64=調査年-1)),ROUND(L64*P64%,0),),
IF(リスト!$C$21="さとうきび",IF(OR(AND(Z64=1,K64&gt;=4,J64=調査年),AND(Z64=1,K64&lt;4,J64=調査年+1)),ROUND(L64*P64%,0),),
IF(AND(Z64=1,J64=調査年),ROUND(L64*P64%,0),))),
ROUND(N64*P64%,0),
ROUND(SUM(AK64)*P64%,0)
))</f>
        <v>0</v>
      </c>
      <c r="AT64" s="306">
        <f t="shared" si="12"/>
        <v>0</v>
      </c>
      <c r="AU64" s="306" t="str">
        <f t="shared" si="13"/>
        <v/>
      </c>
      <c r="AV64" s="802"/>
      <c r="AW64" s="802"/>
      <c r="AX64" s="802"/>
      <c r="AY64" s="802"/>
      <c r="AZ64" s="802"/>
    </row>
    <row r="65" spans="3:52" s="174" customFormat="1" ht="30" hidden="1" customHeight="1" outlineLevel="1">
      <c r="C65" s="790">
        <v>50</v>
      </c>
      <c r="D65" s="803"/>
      <c r="E65" s="792"/>
      <c r="F65" s="793"/>
      <c r="G65" s="2214"/>
      <c r="H65" s="2215"/>
      <c r="I65" s="794"/>
      <c r="J65" s="795"/>
      <c r="K65" s="796"/>
      <c r="L65" s="797"/>
      <c r="M65" s="797"/>
      <c r="N65" s="797"/>
      <c r="O65" s="797"/>
      <c r="P65" s="1284"/>
      <c r="Q65" s="798"/>
      <c r="R65" s="799"/>
      <c r="S65" s="797"/>
      <c r="T65" s="784"/>
      <c r="U65" s="2"/>
      <c r="V65" s="1295"/>
      <c r="W65" s="785"/>
      <c r="X65" s="2"/>
      <c r="Y65" s="800">
        <f t="shared" si="17"/>
        <v>0</v>
      </c>
      <c r="Z65" s="786">
        <f t="shared" si="14"/>
        <v>0</v>
      </c>
      <c r="AA65" s="786">
        <f t="shared" si="15"/>
        <v>0</v>
      </c>
      <c r="AB65" s="800">
        <f>IF(Y65=0,,VLOOKUP(Y65,リスト!CX:CY,2,0))</f>
        <v>0</v>
      </c>
      <c r="AC65" s="800">
        <f t="shared" si="1"/>
        <v>0</v>
      </c>
      <c r="AD65" s="801">
        <f>IF(AC65=0,,VLOOKUP(AC65,リスト!DK:DL,2,0))</f>
        <v>0</v>
      </c>
      <c r="AE65" s="786">
        <f>IF(Y65=0,,
IF(OR(リスト!$C$21="小麦",リスト!$C$21="二条大麦",リスト!$C$21="六条大麦",リスト!$C$21="はだか麦",リスト!$C$21="なたね"),IF(K65&lt;9,調査年-J65,調査年-J65-1),
IF(リスト!$C$21="さとうきび",IF(K65&gt;=4,調査年-J65,調査年-J65+1),
調査年-J65)))</f>
        <v>0</v>
      </c>
      <c r="AF65" s="306">
        <f t="shared" si="18"/>
        <v>0</v>
      </c>
      <c r="AG65" s="306">
        <f t="shared" si="3"/>
        <v>0</v>
      </c>
      <c r="AH65" s="306">
        <f t="shared" si="4"/>
        <v>0</v>
      </c>
      <c r="AI65" s="306">
        <f t="shared" si="5"/>
        <v>0</v>
      </c>
      <c r="AJ65" s="306">
        <f t="shared" si="6"/>
        <v>0</v>
      </c>
      <c r="AK65" s="306">
        <f t="shared" si="16"/>
        <v>0</v>
      </c>
      <c r="AL65" s="306">
        <f t="shared" si="7"/>
        <v>0</v>
      </c>
      <c r="AM65" s="306">
        <f t="shared" si="8"/>
        <v>0</v>
      </c>
      <c r="AN65" s="477"/>
      <c r="AO65" s="788">
        <f>IF(OR(P65=0,AG65=0),,
IF(OR(リスト!$C$21="小麦",リスト!$C$21="二条大麦",リスト!$C$21="六条大麦",リスト!$C$21="はだか麦",リスト!$C$21="なたね"),IF(OR(AND(K65&lt;9,J65=調査年),AND(K65&gt;=9,J65=調査年-1)),,ROUND(AG65*P65%,0)),
IF(リスト!$C$21="さとうきび",IF(OR(AND(K65&gt;=4,J65=調査年),AND(K65&lt;4,J65=調査年+1)),,ROUND(AG65*P65%,0)),
IF(J65=調査年,,ROUND(AG65*P65%,0)))))</f>
        <v>0</v>
      </c>
      <c r="AP65" s="788">
        <f t="shared" si="9"/>
        <v>0</v>
      </c>
      <c r="AQ65" s="306">
        <f t="shared" si="10"/>
        <v>0</v>
      </c>
      <c r="AR65" s="788">
        <f t="shared" si="11"/>
        <v>0</v>
      </c>
      <c r="AS65" s="306">
        <f>IF(P65=0,,
SUM(
IF(OR(リスト!$C$21="小麦",リスト!$C$21="二条大麦",リスト!$C$21="六条大麦",リスト!$C$21="はだか麦",リスト!$C$21="なたね"),IF(OR(AND(Z65=1,K65&lt;9,J65=調査年),AND(Z65=1,K65&gt;=9,J65=調査年-1)),ROUND(L65*P65%,0),),
IF(リスト!$C$21="さとうきび",IF(OR(AND(Z65=1,K65&gt;=4,J65=調査年),AND(Z65=1,K65&lt;4,J65=調査年+1)),ROUND(L65*P65%,0),),
IF(AND(Z65=1,J65=調査年),ROUND(L65*P65%,0),))),
ROUND(N65*P65%,0),
ROUND(SUM(AK65)*P65%,0)
))</f>
        <v>0</v>
      </c>
      <c r="AT65" s="306">
        <f t="shared" si="12"/>
        <v>0</v>
      </c>
      <c r="AU65" s="306" t="str">
        <f t="shared" si="13"/>
        <v/>
      </c>
      <c r="AV65" s="802"/>
      <c r="AW65" s="802"/>
      <c r="AX65" s="802"/>
      <c r="AY65" s="802"/>
      <c r="AZ65" s="802"/>
    </row>
    <row r="66" spans="3:52" s="174" customFormat="1" ht="30" hidden="1" customHeight="1" outlineLevel="1">
      <c r="C66" s="790">
        <v>51</v>
      </c>
      <c r="D66" s="803"/>
      <c r="E66" s="792"/>
      <c r="F66" s="793"/>
      <c r="G66" s="2214"/>
      <c r="H66" s="2215"/>
      <c r="I66" s="794"/>
      <c r="J66" s="795"/>
      <c r="K66" s="796"/>
      <c r="L66" s="797"/>
      <c r="M66" s="797"/>
      <c r="N66" s="797"/>
      <c r="O66" s="797"/>
      <c r="P66" s="1284"/>
      <c r="Q66" s="798"/>
      <c r="R66" s="799"/>
      <c r="S66" s="797"/>
      <c r="T66" s="784"/>
      <c r="U66" s="2"/>
      <c r="V66" s="1295"/>
      <c r="W66" s="785"/>
      <c r="X66" s="2"/>
      <c r="Y66" s="800">
        <f t="shared" si="17"/>
        <v>0</v>
      </c>
      <c r="Z66" s="786">
        <f t="shared" si="14"/>
        <v>0</v>
      </c>
      <c r="AA66" s="786">
        <f t="shared" si="15"/>
        <v>0</v>
      </c>
      <c r="AB66" s="800">
        <f>IF(Y66=0,,VLOOKUP(Y66,リスト!CX:CY,2,0))</f>
        <v>0</v>
      </c>
      <c r="AC66" s="800">
        <f t="shared" si="1"/>
        <v>0</v>
      </c>
      <c r="AD66" s="801">
        <f>IF(AC66=0,,VLOOKUP(AC66,リスト!DK:DL,2,0))</f>
        <v>0</v>
      </c>
      <c r="AE66" s="786">
        <f>IF(Y66=0,,
IF(OR(リスト!$C$21="小麦",リスト!$C$21="二条大麦",リスト!$C$21="六条大麦",リスト!$C$21="はだか麦",リスト!$C$21="なたね"),IF(K66&lt;9,調査年-J66,調査年-J66-1),
IF(リスト!$C$21="さとうきび",IF(K66&gt;=4,調査年-J66,調査年-J66+1),
調査年-J66)))</f>
        <v>0</v>
      </c>
      <c r="AF66" s="306">
        <f t="shared" si="18"/>
        <v>0</v>
      </c>
      <c r="AG66" s="306">
        <f t="shared" si="3"/>
        <v>0</v>
      </c>
      <c r="AH66" s="306">
        <f t="shared" si="4"/>
        <v>0</v>
      </c>
      <c r="AI66" s="306">
        <f t="shared" si="5"/>
        <v>0</v>
      </c>
      <c r="AJ66" s="306">
        <f t="shared" si="6"/>
        <v>0</v>
      </c>
      <c r="AK66" s="306">
        <f t="shared" si="16"/>
        <v>0</v>
      </c>
      <c r="AL66" s="306">
        <f t="shared" si="7"/>
        <v>0</v>
      </c>
      <c r="AM66" s="306">
        <f t="shared" si="8"/>
        <v>0</v>
      </c>
      <c r="AN66" s="477"/>
      <c r="AO66" s="788">
        <f>IF(OR(P66=0,AG66=0),,
IF(OR(リスト!$C$21="小麦",リスト!$C$21="二条大麦",リスト!$C$21="六条大麦",リスト!$C$21="はだか麦",リスト!$C$21="なたね"),IF(OR(AND(K66&lt;9,J66=調査年),AND(K66&gt;=9,J66=調査年-1)),,ROUND(AG66*P66%,0)),
IF(リスト!$C$21="さとうきび",IF(OR(AND(K66&gt;=4,J66=調査年),AND(K66&lt;4,J66=調査年+1)),,ROUND(AG66*P66%,0)),
IF(J66=調査年,,ROUND(AG66*P66%,0)))))</f>
        <v>0</v>
      </c>
      <c r="AP66" s="788">
        <f t="shared" si="9"/>
        <v>0</v>
      </c>
      <c r="AQ66" s="306">
        <f t="shared" si="10"/>
        <v>0</v>
      </c>
      <c r="AR66" s="788">
        <f t="shared" si="11"/>
        <v>0</v>
      </c>
      <c r="AS66" s="306">
        <f>IF(P66=0,,
SUM(
IF(OR(リスト!$C$21="小麦",リスト!$C$21="二条大麦",リスト!$C$21="六条大麦",リスト!$C$21="はだか麦",リスト!$C$21="なたね"),IF(OR(AND(Z66=1,K66&lt;9,J66=調査年),AND(Z66=1,K66&gt;=9,J66=調査年-1)),ROUND(L66*P66%,0),),
IF(リスト!$C$21="さとうきび",IF(OR(AND(Z66=1,K66&gt;=4,J66=調査年),AND(Z66=1,K66&lt;4,J66=調査年+1)),ROUND(L66*P66%,0),),
IF(AND(Z66=1,J66=調査年),ROUND(L66*P66%,0),))),
ROUND(N66*P66%,0),
ROUND(SUM(AK66)*P66%,0)
))</f>
        <v>0</v>
      </c>
      <c r="AT66" s="306">
        <f t="shared" si="12"/>
        <v>0</v>
      </c>
      <c r="AU66" s="306" t="str">
        <f t="shared" si="13"/>
        <v/>
      </c>
      <c r="AV66" s="802"/>
      <c r="AW66" s="802"/>
      <c r="AX66" s="802"/>
      <c r="AY66" s="802"/>
      <c r="AZ66" s="802"/>
    </row>
    <row r="67" spans="3:52" s="174" customFormat="1" ht="30" hidden="1" customHeight="1" outlineLevel="1">
      <c r="C67" s="790">
        <v>52</v>
      </c>
      <c r="D67" s="803"/>
      <c r="E67" s="792"/>
      <c r="F67" s="793"/>
      <c r="G67" s="2214"/>
      <c r="H67" s="2215"/>
      <c r="I67" s="794"/>
      <c r="J67" s="795"/>
      <c r="K67" s="796"/>
      <c r="L67" s="797"/>
      <c r="M67" s="797"/>
      <c r="N67" s="797"/>
      <c r="O67" s="797"/>
      <c r="P67" s="1284"/>
      <c r="Q67" s="798"/>
      <c r="R67" s="799"/>
      <c r="S67" s="797"/>
      <c r="T67" s="784"/>
      <c r="U67" s="2"/>
      <c r="V67" s="1295"/>
      <c r="W67" s="785"/>
      <c r="X67" s="2"/>
      <c r="Y67" s="800">
        <f t="shared" si="17"/>
        <v>0</v>
      </c>
      <c r="Z67" s="786">
        <f t="shared" si="14"/>
        <v>0</v>
      </c>
      <c r="AA67" s="786">
        <f t="shared" si="15"/>
        <v>0</v>
      </c>
      <c r="AB67" s="800">
        <f>IF(Y67=0,,VLOOKUP(Y67,リスト!CX:CY,2,0))</f>
        <v>0</v>
      </c>
      <c r="AC67" s="800">
        <f t="shared" si="1"/>
        <v>0</v>
      </c>
      <c r="AD67" s="801">
        <f>IF(AC67=0,,VLOOKUP(AC67,リスト!DK:DL,2,0))</f>
        <v>0</v>
      </c>
      <c r="AE67" s="786">
        <f>IF(Y67=0,,
IF(OR(リスト!$C$21="小麦",リスト!$C$21="二条大麦",リスト!$C$21="六条大麦",リスト!$C$21="はだか麦",リスト!$C$21="なたね"),IF(K67&lt;9,調査年-J67,調査年-J67-1),
IF(リスト!$C$21="さとうきび",IF(K67&gt;=4,調査年-J67,調査年-J67+1),
調査年-J67)))</f>
        <v>0</v>
      </c>
      <c r="AF67" s="306">
        <f t="shared" si="18"/>
        <v>0</v>
      </c>
      <c r="AG67" s="306">
        <f t="shared" si="3"/>
        <v>0</v>
      </c>
      <c r="AH67" s="306">
        <f t="shared" si="4"/>
        <v>0</v>
      </c>
      <c r="AI67" s="306">
        <f t="shared" si="5"/>
        <v>0</v>
      </c>
      <c r="AJ67" s="306">
        <f t="shared" si="6"/>
        <v>0</v>
      </c>
      <c r="AK67" s="306">
        <f t="shared" si="16"/>
        <v>0</v>
      </c>
      <c r="AL67" s="306">
        <f t="shared" si="7"/>
        <v>0</v>
      </c>
      <c r="AM67" s="306">
        <f t="shared" si="8"/>
        <v>0</v>
      </c>
      <c r="AN67" s="477"/>
      <c r="AO67" s="788">
        <f>IF(OR(P67=0,AG67=0),,
IF(OR(リスト!$C$21="小麦",リスト!$C$21="二条大麦",リスト!$C$21="六条大麦",リスト!$C$21="はだか麦",リスト!$C$21="なたね"),IF(OR(AND(K67&lt;9,J67=調査年),AND(K67&gt;=9,J67=調査年-1)),,ROUND(AG67*P67%,0)),
IF(リスト!$C$21="さとうきび",IF(OR(AND(K67&gt;=4,J67=調査年),AND(K67&lt;4,J67=調査年+1)),,ROUND(AG67*P67%,0)),
IF(J67=調査年,,ROUND(AG67*P67%,0)))))</f>
        <v>0</v>
      </c>
      <c r="AP67" s="788">
        <f t="shared" si="9"/>
        <v>0</v>
      </c>
      <c r="AQ67" s="306">
        <f t="shared" si="10"/>
        <v>0</v>
      </c>
      <c r="AR67" s="788">
        <f t="shared" si="11"/>
        <v>0</v>
      </c>
      <c r="AS67" s="306">
        <f>IF(P67=0,,
SUM(
IF(OR(リスト!$C$21="小麦",リスト!$C$21="二条大麦",リスト!$C$21="六条大麦",リスト!$C$21="はだか麦",リスト!$C$21="なたね"),IF(OR(AND(Z67=1,K67&lt;9,J67=調査年),AND(Z67=1,K67&gt;=9,J67=調査年-1)),ROUND(L67*P67%,0),),
IF(リスト!$C$21="さとうきび",IF(OR(AND(Z67=1,K67&gt;=4,J67=調査年),AND(Z67=1,K67&lt;4,J67=調査年+1)),ROUND(L67*P67%,0),),
IF(AND(Z67=1,J67=調査年),ROUND(L67*P67%,0),))),
ROUND(N67*P67%,0),
ROUND(SUM(AK67)*P67%,0)
))</f>
        <v>0</v>
      </c>
      <c r="AT67" s="306">
        <f t="shared" si="12"/>
        <v>0</v>
      </c>
      <c r="AU67" s="306" t="str">
        <f t="shared" si="13"/>
        <v/>
      </c>
      <c r="AV67" s="802"/>
      <c r="AW67" s="802"/>
      <c r="AX67" s="802"/>
      <c r="AY67" s="802"/>
      <c r="AZ67" s="802"/>
    </row>
    <row r="68" spans="3:52" s="174" customFormat="1" ht="30" hidden="1" customHeight="1" outlineLevel="1">
      <c r="C68" s="790">
        <v>53</v>
      </c>
      <c r="D68" s="803"/>
      <c r="E68" s="792"/>
      <c r="F68" s="793"/>
      <c r="G68" s="2214"/>
      <c r="H68" s="2215"/>
      <c r="I68" s="794"/>
      <c r="J68" s="795"/>
      <c r="K68" s="796"/>
      <c r="L68" s="797"/>
      <c r="M68" s="797"/>
      <c r="N68" s="797"/>
      <c r="O68" s="797"/>
      <c r="P68" s="1284"/>
      <c r="Q68" s="798"/>
      <c r="R68" s="799"/>
      <c r="S68" s="797"/>
      <c r="T68" s="784"/>
      <c r="U68" s="2"/>
      <c r="V68" s="1295"/>
      <c r="W68" s="785"/>
      <c r="X68" s="2"/>
      <c r="Y68" s="800">
        <f t="shared" si="17"/>
        <v>0</v>
      </c>
      <c r="Z68" s="786">
        <f t="shared" si="14"/>
        <v>0</v>
      </c>
      <c r="AA68" s="786">
        <f t="shared" si="15"/>
        <v>0</v>
      </c>
      <c r="AB68" s="800">
        <f>IF(Y68=0,,VLOOKUP(Y68,リスト!CX:CY,2,0))</f>
        <v>0</v>
      </c>
      <c r="AC68" s="800">
        <f t="shared" si="1"/>
        <v>0</v>
      </c>
      <c r="AD68" s="801">
        <f>IF(AC68=0,,VLOOKUP(AC68,リスト!DK:DL,2,0))</f>
        <v>0</v>
      </c>
      <c r="AE68" s="786">
        <f>IF(Y68=0,,
IF(OR(リスト!$C$21="小麦",リスト!$C$21="二条大麦",リスト!$C$21="六条大麦",リスト!$C$21="はだか麦",リスト!$C$21="なたね"),IF(K68&lt;9,調査年-J68,調査年-J68-1),
IF(リスト!$C$21="さとうきび",IF(K68&gt;=4,調査年-J68,調査年-J68+1),
調査年-J68)))</f>
        <v>0</v>
      </c>
      <c r="AF68" s="306">
        <f t="shared" si="18"/>
        <v>0</v>
      </c>
      <c r="AG68" s="306">
        <f t="shared" si="3"/>
        <v>0</v>
      </c>
      <c r="AH68" s="306">
        <f t="shared" si="4"/>
        <v>0</v>
      </c>
      <c r="AI68" s="306">
        <f t="shared" si="5"/>
        <v>0</v>
      </c>
      <c r="AJ68" s="306">
        <f t="shared" si="6"/>
        <v>0</v>
      </c>
      <c r="AK68" s="306">
        <f t="shared" si="16"/>
        <v>0</v>
      </c>
      <c r="AL68" s="306">
        <f t="shared" si="7"/>
        <v>0</v>
      </c>
      <c r="AM68" s="306">
        <f t="shared" si="8"/>
        <v>0</v>
      </c>
      <c r="AN68" s="477"/>
      <c r="AO68" s="788">
        <f>IF(OR(P68=0,AG68=0),,
IF(OR(リスト!$C$21="小麦",リスト!$C$21="二条大麦",リスト!$C$21="六条大麦",リスト!$C$21="はだか麦",リスト!$C$21="なたね"),IF(OR(AND(K68&lt;9,J68=調査年),AND(K68&gt;=9,J68=調査年-1)),,ROUND(AG68*P68%,0)),
IF(リスト!$C$21="さとうきび",IF(OR(AND(K68&gt;=4,J68=調査年),AND(K68&lt;4,J68=調査年+1)),,ROUND(AG68*P68%,0)),
IF(J68=調査年,,ROUND(AG68*P68%,0)))))</f>
        <v>0</v>
      </c>
      <c r="AP68" s="788">
        <f t="shared" si="9"/>
        <v>0</v>
      </c>
      <c r="AQ68" s="306">
        <f t="shared" si="10"/>
        <v>0</v>
      </c>
      <c r="AR68" s="788">
        <f t="shared" si="11"/>
        <v>0</v>
      </c>
      <c r="AS68" s="306">
        <f>IF(P68=0,,
SUM(
IF(OR(リスト!$C$21="小麦",リスト!$C$21="二条大麦",リスト!$C$21="六条大麦",リスト!$C$21="はだか麦",リスト!$C$21="なたね"),IF(OR(AND(Z68=1,K68&lt;9,J68=調査年),AND(Z68=1,K68&gt;=9,J68=調査年-1)),ROUND(L68*P68%,0),),
IF(リスト!$C$21="さとうきび",IF(OR(AND(Z68=1,K68&gt;=4,J68=調査年),AND(Z68=1,K68&lt;4,J68=調査年+1)),ROUND(L68*P68%,0),),
IF(AND(Z68=1,J68=調査年),ROUND(L68*P68%,0),))),
ROUND(N68*P68%,0),
ROUND(SUM(AK68)*P68%,0)
))</f>
        <v>0</v>
      </c>
      <c r="AT68" s="306">
        <f t="shared" si="12"/>
        <v>0</v>
      </c>
      <c r="AU68" s="306" t="str">
        <f t="shared" si="13"/>
        <v/>
      </c>
      <c r="AV68" s="802"/>
      <c r="AW68" s="802"/>
      <c r="AX68" s="802"/>
      <c r="AY68" s="802"/>
      <c r="AZ68" s="802"/>
    </row>
    <row r="69" spans="3:52" s="174" customFormat="1" ht="30" hidden="1" customHeight="1" outlineLevel="1">
      <c r="C69" s="790">
        <v>54</v>
      </c>
      <c r="D69" s="803"/>
      <c r="E69" s="792"/>
      <c r="F69" s="793"/>
      <c r="G69" s="2214"/>
      <c r="H69" s="2215"/>
      <c r="I69" s="794"/>
      <c r="J69" s="795"/>
      <c r="K69" s="796"/>
      <c r="L69" s="797"/>
      <c r="M69" s="797"/>
      <c r="N69" s="797"/>
      <c r="O69" s="797"/>
      <c r="P69" s="1284"/>
      <c r="Q69" s="798"/>
      <c r="R69" s="799"/>
      <c r="S69" s="797"/>
      <c r="T69" s="784"/>
      <c r="U69" s="2"/>
      <c r="V69" s="1295"/>
      <c r="W69" s="785"/>
      <c r="X69" s="2"/>
      <c r="Y69" s="800">
        <f t="shared" si="17"/>
        <v>0</v>
      </c>
      <c r="Z69" s="786">
        <f t="shared" si="14"/>
        <v>0</v>
      </c>
      <c r="AA69" s="786">
        <f t="shared" si="15"/>
        <v>0</v>
      </c>
      <c r="AB69" s="800">
        <f>IF(Y69=0,,VLOOKUP(Y69,リスト!CX:CY,2,0))</f>
        <v>0</v>
      </c>
      <c r="AC69" s="800">
        <f t="shared" si="1"/>
        <v>0</v>
      </c>
      <c r="AD69" s="801">
        <f>IF(AC69=0,,VLOOKUP(AC69,リスト!DK:DL,2,0))</f>
        <v>0</v>
      </c>
      <c r="AE69" s="786">
        <f>IF(Y69=0,,
IF(OR(リスト!$C$21="小麦",リスト!$C$21="二条大麦",リスト!$C$21="六条大麦",リスト!$C$21="はだか麦",リスト!$C$21="なたね"),IF(K69&lt;9,調査年-J69,調査年-J69-1),
IF(リスト!$C$21="さとうきび",IF(K69&gt;=4,調査年-J69,調査年-J69+1),
調査年-J69)))</f>
        <v>0</v>
      </c>
      <c r="AF69" s="306">
        <f t="shared" si="18"/>
        <v>0</v>
      </c>
      <c r="AG69" s="306">
        <f t="shared" si="3"/>
        <v>0</v>
      </c>
      <c r="AH69" s="306">
        <f t="shared" si="4"/>
        <v>0</v>
      </c>
      <c r="AI69" s="306">
        <f t="shared" si="5"/>
        <v>0</v>
      </c>
      <c r="AJ69" s="306">
        <f t="shared" si="6"/>
        <v>0</v>
      </c>
      <c r="AK69" s="306">
        <f t="shared" si="16"/>
        <v>0</v>
      </c>
      <c r="AL69" s="306">
        <f t="shared" si="7"/>
        <v>0</v>
      </c>
      <c r="AM69" s="306">
        <f t="shared" si="8"/>
        <v>0</v>
      </c>
      <c r="AN69" s="477"/>
      <c r="AO69" s="788">
        <f>IF(OR(P69=0,AG69=0),,
IF(OR(リスト!$C$21="小麦",リスト!$C$21="二条大麦",リスト!$C$21="六条大麦",リスト!$C$21="はだか麦",リスト!$C$21="なたね"),IF(OR(AND(K69&lt;9,J69=調査年),AND(K69&gt;=9,J69=調査年-1)),,ROUND(AG69*P69%,0)),
IF(リスト!$C$21="さとうきび",IF(OR(AND(K69&gt;=4,J69=調査年),AND(K69&lt;4,J69=調査年+1)),,ROUND(AG69*P69%,0)),
IF(J69=調査年,,ROUND(AG69*P69%,0)))))</f>
        <v>0</v>
      </c>
      <c r="AP69" s="788">
        <f t="shared" si="9"/>
        <v>0</v>
      </c>
      <c r="AQ69" s="306">
        <f t="shared" si="10"/>
        <v>0</v>
      </c>
      <c r="AR69" s="788">
        <f t="shared" si="11"/>
        <v>0</v>
      </c>
      <c r="AS69" s="306">
        <f>IF(P69=0,,
SUM(
IF(OR(リスト!$C$21="小麦",リスト!$C$21="二条大麦",リスト!$C$21="六条大麦",リスト!$C$21="はだか麦",リスト!$C$21="なたね"),IF(OR(AND(Z69=1,K69&lt;9,J69=調査年),AND(Z69=1,K69&gt;=9,J69=調査年-1)),ROUND(L69*P69%,0),),
IF(リスト!$C$21="さとうきび",IF(OR(AND(Z69=1,K69&gt;=4,J69=調査年),AND(Z69=1,K69&lt;4,J69=調査年+1)),ROUND(L69*P69%,0),),
IF(AND(Z69=1,J69=調査年),ROUND(L69*P69%,0),))),
ROUND(N69*P69%,0),
ROUND(SUM(AK69)*P69%,0)
))</f>
        <v>0</v>
      </c>
      <c r="AT69" s="306">
        <f t="shared" si="12"/>
        <v>0</v>
      </c>
      <c r="AU69" s="306" t="str">
        <f t="shared" si="13"/>
        <v/>
      </c>
      <c r="AV69" s="802"/>
      <c r="AW69" s="802"/>
      <c r="AX69" s="802"/>
      <c r="AY69" s="802"/>
      <c r="AZ69" s="802"/>
    </row>
    <row r="70" spans="3:52" s="174" customFormat="1" ht="30" hidden="1" customHeight="1" outlineLevel="1">
      <c r="C70" s="790">
        <v>55</v>
      </c>
      <c r="D70" s="803"/>
      <c r="E70" s="792"/>
      <c r="F70" s="793"/>
      <c r="G70" s="2214"/>
      <c r="H70" s="2215"/>
      <c r="I70" s="794"/>
      <c r="J70" s="795"/>
      <c r="K70" s="796"/>
      <c r="L70" s="797"/>
      <c r="M70" s="797"/>
      <c r="N70" s="797"/>
      <c r="O70" s="797"/>
      <c r="P70" s="1284"/>
      <c r="Q70" s="798"/>
      <c r="R70" s="799"/>
      <c r="S70" s="797"/>
      <c r="T70" s="784"/>
      <c r="U70" s="2"/>
      <c r="V70" s="1295"/>
      <c r="W70" s="785"/>
      <c r="X70" s="2"/>
      <c r="Y70" s="800">
        <f t="shared" si="17"/>
        <v>0</v>
      </c>
      <c r="Z70" s="786">
        <f t="shared" si="14"/>
        <v>0</v>
      </c>
      <c r="AA70" s="786">
        <f t="shared" si="15"/>
        <v>0</v>
      </c>
      <c r="AB70" s="800">
        <f>IF(Y70=0,,VLOOKUP(Y70,リスト!CX:CY,2,0))</f>
        <v>0</v>
      </c>
      <c r="AC70" s="800">
        <f t="shared" si="1"/>
        <v>0</v>
      </c>
      <c r="AD70" s="801">
        <f>IF(AC70=0,,VLOOKUP(AC70,リスト!DK:DL,2,0))</f>
        <v>0</v>
      </c>
      <c r="AE70" s="786">
        <f>IF(Y70=0,,
IF(OR(リスト!$C$21="小麦",リスト!$C$21="二条大麦",リスト!$C$21="六条大麦",リスト!$C$21="はだか麦",リスト!$C$21="なたね"),IF(K70&lt;9,調査年-J70,調査年-J70-1),
IF(リスト!$C$21="さとうきび",IF(K70&gt;=4,調査年-J70,調査年-J70+1),
調査年-J70)))</f>
        <v>0</v>
      </c>
      <c r="AF70" s="306">
        <f t="shared" si="18"/>
        <v>0</v>
      </c>
      <c r="AG70" s="306">
        <f t="shared" si="3"/>
        <v>0</v>
      </c>
      <c r="AH70" s="306">
        <f t="shared" si="4"/>
        <v>0</v>
      </c>
      <c r="AI70" s="306">
        <f t="shared" si="5"/>
        <v>0</v>
      </c>
      <c r="AJ70" s="306">
        <f t="shared" si="6"/>
        <v>0</v>
      </c>
      <c r="AK70" s="306">
        <f t="shared" si="16"/>
        <v>0</v>
      </c>
      <c r="AL70" s="306">
        <f t="shared" si="7"/>
        <v>0</v>
      </c>
      <c r="AM70" s="306">
        <f t="shared" si="8"/>
        <v>0</v>
      </c>
      <c r="AN70" s="477"/>
      <c r="AO70" s="788">
        <f>IF(OR(P70=0,AG70=0),,
IF(OR(リスト!$C$21="小麦",リスト!$C$21="二条大麦",リスト!$C$21="六条大麦",リスト!$C$21="はだか麦",リスト!$C$21="なたね"),IF(OR(AND(K70&lt;9,J70=調査年),AND(K70&gt;=9,J70=調査年-1)),,ROUND(AG70*P70%,0)),
IF(リスト!$C$21="さとうきび",IF(OR(AND(K70&gt;=4,J70=調査年),AND(K70&lt;4,J70=調査年+1)),,ROUND(AG70*P70%,0)),
IF(J70=調査年,,ROUND(AG70*P70%,0)))))</f>
        <v>0</v>
      </c>
      <c r="AP70" s="788">
        <f t="shared" si="9"/>
        <v>0</v>
      </c>
      <c r="AQ70" s="306">
        <f t="shared" si="10"/>
        <v>0</v>
      </c>
      <c r="AR70" s="788">
        <f t="shared" si="11"/>
        <v>0</v>
      </c>
      <c r="AS70" s="306">
        <f>IF(P70=0,,
SUM(
IF(OR(リスト!$C$21="小麦",リスト!$C$21="二条大麦",リスト!$C$21="六条大麦",リスト!$C$21="はだか麦",リスト!$C$21="なたね"),IF(OR(AND(Z70=1,K70&lt;9,J70=調査年),AND(Z70=1,K70&gt;=9,J70=調査年-1)),ROUND(L70*P70%,0),),
IF(リスト!$C$21="さとうきび",IF(OR(AND(Z70=1,K70&gt;=4,J70=調査年),AND(Z70=1,K70&lt;4,J70=調査年+1)),ROUND(L70*P70%,0),),
IF(AND(Z70=1,J70=調査年),ROUND(L70*P70%,0),))),
ROUND(N70*P70%,0),
ROUND(SUM(AK70)*P70%,0)
))</f>
        <v>0</v>
      </c>
      <c r="AT70" s="306">
        <f t="shared" si="12"/>
        <v>0</v>
      </c>
      <c r="AU70" s="306" t="str">
        <f t="shared" si="13"/>
        <v/>
      </c>
      <c r="AV70" s="802"/>
      <c r="AW70" s="802"/>
      <c r="AX70" s="802"/>
      <c r="AY70" s="802"/>
      <c r="AZ70" s="802"/>
    </row>
    <row r="71" spans="3:52" s="174" customFormat="1" ht="30" hidden="1" customHeight="1" outlineLevel="1">
      <c r="C71" s="790">
        <v>56</v>
      </c>
      <c r="D71" s="803"/>
      <c r="E71" s="792"/>
      <c r="F71" s="793"/>
      <c r="G71" s="2214"/>
      <c r="H71" s="2215"/>
      <c r="I71" s="794"/>
      <c r="J71" s="795"/>
      <c r="K71" s="796"/>
      <c r="L71" s="797"/>
      <c r="M71" s="797"/>
      <c r="N71" s="797"/>
      <c r="O71" s="797"/>
      <c r="P71" s="1284"/>
      <c r="Q71" s="798"/>
      <c r="R71" s="799"/>
      <c r="S71" s="797"/>
      <c r="T71" s="784"/>
      <c r="U71" s="2"/>
      <c r="V71" s="1295"/>
      <c r="W71" s="785"/>
      <c r="X71" s="2"/>
      <c r="Y71" s="800">
        <f t="shared" si="17"/>
        <v>0</v>
      </c>
      <c r="Z71" s="786">
        <f t="shared" si="14"/>
        <v>0</v>
      </c>
      <c r="AA71" s="786">
        <f t="shared" si="15"/>
        <v>0</v>
      </c>
      <c r="AB71" s="800">
        <f>IF(Y71=0,,VLOOKUP(Y71,リスト!CX:CY,2,0))</f>
        <v>0</v>
      </c>
      <c r="AC71" s="800">
        <f t="shared" si="1"/>
        <v>0</v>
      </c>
      <c r="AD71" s="801">
        <f>IF(AC71=0,,VLOOKUP(AC71,リスト!DK:DL,2,0))</f>
        <v>0</v>
      </c>
      <c r="AE71" s="786">
        <f>IF(Y71=0,,
IF(OR(リスト!$C$21="小麦",リスト!$C$21="二条大麦",リスト!$C$21="六条大麦",リスト!$C$21="はだか麦",リスト!$C$21="なたね"),IF(K71&lt;9,調査年-J71,調査年-J71-1),
IF(リスト!$C$21="さとうきび",IF(K71&gt;=4,調査年-J71,調査年-J71+1),
調査年-J71)))</f>
        <v>0</v>
      </c>
      <c r="AF71" s="306">
        <f t="shared" si="18"/>
        <v>0</v>
      </c>
      <c r="AG71" s="306">
        <f t="shared" si="3"/>
        <v>0</v>
      </c>
      <c r="AH71" s="306">
        <f t="shared" si="4"/>
        <v>0</v>
      </c>
      <c r="AI71" s="306">
        <f t="shared" si="5"/>
        <v>0</v>
      </c>
      <c r="AJ71" s="306">
        <f t="shared" si="6"/>
        <v>0</v>
      </c>
      <c r="AK71" s="306">
        <f t="shared" si="16"/>
        <v>0</v>
      </c>
      <c r="AL71" s="306">
        <f t="shared" si="7"/>
        <v>0</v>
      </c>
      <c r="AM71" s="306">
        <f t="shared" si="8"/>
        <v>0</v>
      </c>
      <c r="AN71" s="477"/>
      <c r="AO71" s="788">
        <f>IF(OR(P71=0,AG71=0),,
IF(OR(リスト!$C$21="小麦",リスト!$C$21="二条大麦",リスト!$C$21="六条大麦",リスト!$C$21="はだか麦",リスト!$C$21="なたね"),IF(OR(AND(K71&lt;9,J71=調査年),AND(K71&gt;=9,J71=調査年-1)),,ROUND(AG71*P71%,0)),
IF(リスト!$C$21="さとうきび",IF(OR(AND(K71&gt;=4,J71=調査年),AND(K71&lt;4,J71=調査年+1)),,ROUND(AG71*P71%,0)),
IF(J71=調査年,,ROUND(AG71*P71%,0)))))</f>
        <v>0</v>
      </c>
      <c r="AP71" s="788">
        <f t="shared" si="9"/>
        <v>0</v>
      </c>
      <c r="AQ71" s="306">
        <f t="shared" si="10"/>
        <v>0</v>
      </c>
      <c r="AR71" s="788">
        <f t="shared" si="11"/>
        <v>0</v>
      </c>
      <c r="AS71" s="306">
        <f>IF(P71=0,,
SUM(
IF(OR(リスト!$C$21="小麦",リスト!$C$21="二条大麦",リスト!$C$21="六条大麦",リスト!$C$21="はだか麦",リスト!$C$21="なたね"),IF(OR(AND(Z71=1,K71&lt;9,J71=調査年),AND(Z71=1,K71&gt;=9,J71=調査年-1)),ROUND(L71*P71%,0),),
IF(リスト!$C$21="さとうきび",IF(OR(AND(Z71=1,K71&gt;=4,J71=調査年),AND(Z71=1,K71&lt;4,J71=調査年+1)),ROUND(L71*P71%,0),),
IF(AND(Z71=1,J71=調査年),ROUND(L71*P71%,0),))),
ROUND(N71*P71%,0),
ROUND(SUM(AK71)*P71%,0)
))</f>
        <v>0</v>
      </c>
      <c r="AT71" s="306">
        <f t="shared" si="12"/>
        <v>0</v>
      </c>
      <c r="AU71" s="306" t="str">
        <f t="shared" si="13"/>
        <v/>
      </c>
      <c r="AV71" s="802"/>
      <c r="AW71" s="802"/>
      <c r="AX71" s="802"/>
      <c r="AY71" s="802"/>
      <c r="AZ71" s="802"/>
    </row>
    <row r="72" spans="3:52" s="174" customFormat="1" ht="30" hidden="1" customHeight="1" outlineLevel="1">
      <c r="C72" s="790">
        <v>57</v>
      </c>
      <c r="D72" s="803"/>
      <c r="E72" s="792"/>
      <c r="F72" s="793"/>
      <c r="G72" s="2214"/>
      <c r="H72" s="2215"/>
      <c r="I72" s="794"/>
      <c r="J72" s="795"/>
      <c r="K72" s="796"/>
      <c r="L72" s="797"/>
      <c r="M72" s="797"/>
      <c r="N72" s="797"/>
      <c r="O72" s="797"/>
      <c r="P72" s="1284"/>
      <c r="Q72" s="798"/>
      <c r="R72" s="799"/>
      <c r="S72" s="797"/>
      <c r="T72" s="784"/>
      <c r="U72" s="2"/>
      <c r="V72" s="1295"/>
      <c r="W72" s="785"/>
      <c r="X72" s="2"/>
      <c r="Y72" s="800">
        <f t="shared" si="17"/>
        <v>0</v>
      </c>
      <c r="Z72" s="786">
        <f t="shared" si="14"/>
        <v>0</v>
      </c>
      <c r="AA72" s="786">
        <f t="shared" si="15"/>
        <v>0</v>
      </c>
      <c r="AB72" s="800">
        <f>IF(Y72=0,,VLOOKUP(Y72,リスト!CX:CY,2,0))</f>
        <v>0</v>
      </c>
      <c r="AC72" s="800">
        <f t="shared" si="1"/>
        <v>0</v>
      </c>
      <c r="AD72" s="801">
        <f>IF(AC72=0,,VLOOKUP(AC72,リスト!DK:DL,2,0))</f>
        <v>0</v>
      </c>
      <c r="AE72" s="786">
        <f>IF(Y72=0,,
IF(OR(リスト!$C$21="小麦",リスト!$C$21="二条大麦",リスト!$C$21="六条大麦",リスト!$C$21="はだか麦",リスト!$C$21="なたね"),IF(K72&lt;9,調査年-J72,調査年-J72-1),
IF(リスト!$C$21="さとうきび",IF(K72&gt;=4,調査年-J72,調査年-J72+1),
調査年-J72)))</f>
        <v>0</v>
      </c>
      <c r="AF72" s="306">
        <f t="shared" si="18"/>
        <v>0</v>
      </c>
      <c r="AG72" s="306">
        <f t="shared" si="3"/>
        <v>0</v>
      </c>
      <c r="AH72" s="306">
        <f t="shared" si="4"/>
        <v>0</v>
      </c>
      <c r="AI72" s="306">
        <f t="shared" si="5"/>
        <v>0</v>
      </c>
      <c r="AJ72" s="306">
        <f t="shared" si="6"/>
        <v>0</v>
      </c>
      <c r="AK72" s="306">
        <f t="shared" si="16"/>
        <v>0</v>
      </c>
      <c r="AL72" s="306">
        <f t="shared" si="7"/>
        <v>0</v>
      </c>
      <c r="AM72" s="306">
        <f t="shared" si="8"/>
        <v>0</v>
      </c>
      <c r="AN72" s="477"/>
      <c r="AO72" s="788">
        <f>IF(OR(P72=0,AG72=0),,
IF(OR(リスト!$C$21="小麦",リスト!$C$21="二条大麦",リスト!$C$21="六条大麦",リスト!$C$21="はだか麦",リスト!$C$21="なたね"),IF(OR(AND(K72&lt;9,J72=調査年),AND(K72&gt;=9,J72=調査年-1)),,ROUND(AG72*P72%,0)),
IF(リスト!$C$21="さとうきび",IF(OR(AND(K72&gt;=4,J72=調査年),AND(K72&lt;4,J72=調査年+1)),,ROUND(AG72*P72%,0)),
IF(J72=調査年,,ROUND(AG72*P72%,0)))))</f>
        <v>0</v>
      </c>
      <c r="AP72" s="788">
        <f t="shared" si="9"/>
        <v>0</v>
      </c>
      <c r="AQ72" s="306">
        <f t="shared" si="10"/>
        <v>0</v>
      </c>
      <c r="AR72" s="788">
        <f t="shared" si="11"/>
        <v>0</v>
      </c>
      <c r="AS72" s="306">
        <f>IF(P72=0,,
SUM(
IF(OR(リスト!$C$21="小麦",リスト!$C$21="二条大麦",リスト!$C$21="六条大麦",リスト!$C$21="はだか麦",リスト!$C$21="なたね"),IF(OR(AND(Z72=1,K72&lt;9,J72=調査年),AND(Z72=1,K72&gt;=9,J72=調査年-1)),ROUND(L72*P72%,0),),
IF(リスト!$C$21="さとうきび",IF(OR(AND(Z72=1,K72&gt;=4,J72=調査年),AND(Z72=1,K72&lt;4,J72=調査年+1)),ROUND(L72*P72%,0),),
IF(AND(Z72=1,J72=調査年),ROUND(L72*P72%,0),))),
ROUND(N72*P72%,0),
ROUND(SUM(AK72)*P72%,0)
))</f>
        <v>0</v>
      </c>
      <c r="AT72" s="306">
        <f t="shared" si="12"/>
        <v>0</v>
      </c>
      <c r="AU72" s="306" t="str">
        <f t="shared" si="13"/>
        <v/>
      </c>
      <c r="AV72" s="802"/>
      <c r="AW72" s="802"/>
      <c r="AX72" s="802"/>
      <c r="AY72" s="802"/>
      <c r="AZ72" s="802"/>
    </row>
    <row r="73" spans="3:52" s="174" customFormat="1" ht="30" hidden="1" customHeight="1" outlineLevel="1">
      <c r="C73" s="790">
        <v>58</v>
      </c>
      <c r="D73" s="803"/>
      <c r="E73" s="792"/>
      <c r="F73" s="793"/>
      <c r="G73" s="2214"/>
      <c r="H73" s="2215"/>
      <c r="I73" s="794"/>
      <c r="J73" s="795"/>
      <c r="K73" s="796"/>
      <c r="L73" s="797"/>
      <c r="M73" s="797"/>
      <c r="N73" s="797"/>
      <c r="O73" s="797"/>
      <c r="P73" s="1284"/>
      <c r="Q73" s="798"/>
      <c r="R73" s="799"/>
      <c r="S73" s="797"/>
      <c r="T73" s="784"/>
      <c r="U73" s="2"/>
      <c r="V73" s="1295"/>
      <c r="W73" s="785"/>
      <c r="X73" s="2"/>
      <c r="Y73" s="800">
        <f t="shared" si="17"/>
        <v>0</v>
      </c>
      <c r="Z73" s="786">
        <f t="shared" si="14"/>
        <v>0</v>
      </c>
      <c r="AA73" s="786">
        <f t="shared" si="15"/>
        <v>0</v>
      </c>
      <c r="AB73" s="800">
        <f>IF(Y73=0,,VLOOKUP(Y73,リスト!CX:CY,2,0))</f>
        <v>0</v>
      </c>
      <c r="AC73" s="800">
        <f t="shared" si="1"/>
        <v>0</v>
      </c>
      <c r="AD73" s="801">
        <f>IF(AC73=0,,VLOOKUP(AC73,リスト!DK:DL,2,0))</f>
        <v>0</v>
      </c>
      <c r="AE73" s="786">
        <f>IF(Y73=0,,
IF(OR(リスト!$C$21="小麦",リスト!$C$21="二条大麦",リスト!$C$21="六条大麦",リスト!$C$21="はだか麦",リスト!$C$21="なたね"),IF(K73&lt;9,調査年-J73,調査年-J73-1),
IF(リスト!$C$21="さとうきび",IF(K73&gt;=4,調査年-J73,調査年-J73+1),
調査年-J73)))</f>
        <v>0</v>
      </c>
      <c r="AF73" s="306">
        <f t="shared" si="18"/>
        <v>0</v>
      </c>
      <c r="AG73" s="306">
        <f t="shared" si="3"/>
        <v>0</v>
      </c>
      <c r="AH73" s="306">
        <f t="shared" si="4"/>
        <v>0</v>
      </c>
      <c r="AI73" s="306">
        <f t="shared" si="5"/>
        <v>0</v>
      </c>
      <c r="AJ73" s="306">
        <f t="shared" si="6"/>
        <v>0</v>
      </c>
      <c r="AK73" s="306">
        <f t="shared" si="16"/>
        <v>0</v>
      </c>
      <c r="AL73" s="306">
        <f t="shared" si="7"/>
        <v>0</v>
      </c>
      <c r="AM73" s="306">
        <f t="shared" si="8"/>
        <v>0</v>
      </c>
      <c r="AN73" s="477"/>
      <c r="AO73" s="788">
        <f>IF(OR(P73=0,AG73=0),,
IF(OR(リスト!$C$21="小麦",リスト!$C$21="二条大麦",リスト!$C$21="六条大麦",リスト!$C$21="はだか麦",リスト!$C$21="なたね"),IF(OR(AND(K73&lt;9,J73=調査年),AND(K73&gt;=9,J73=調査年-1)),,ROUND(AG73*P73%,0)),
IF(リスト!$C$21="さとうきび",IF(OR(AND(K73&gt;=4,J73=調査年),AND(K73&lt;4,J73=調査年+1)),,ROUND(AG73*P73%,0)),
IF(J73=調査年,,ROUND(AG73*P73%,0)))))</f>
        <v>0</v>
      </c>
      <c r="AP73" s="788">
        <f t="shared" si="9"/>
        <v>0</v>
      </c>
      <c r="AQ73" s="306">
        <f t="shared" si="10"/>
        <v>0</v>
      </c>
      <c r="AR73" s="788">
        <f t="shared" si="11"/>
        <v>0</v>
      </c>
      <c r="AS73" s="306">
        <f>IF(P73=0,,
SUM(
IF(OR(リスト!$C$21="小麦",リスト!$C$21="二条大麦",リスト!$C$21="六条大麦",リスト!$C$21="はだか麦",リスト!$C$21="なたね"),IF(OR(AND(Z73=1,K73&lt;9,J73=調査年),AND(Z73=1,K73&gt;=9,J73=調査年-1)),ROUND(L73*P73%,0),),
IF(リスト!$C$21="さとうきび",IF(OR(AND(Z73=1,K73&gt;=4,J73=調査年),AND(Z73=1,K73&lt;4,J73=調査年+1)),ROUND(L73*P73%,0),),
IF(AND(Z73=1,J73=調査年),ROUND(L73*P73%,0),))),
ROUND(N73*P73%,0),
ROUND(SUM(AK73)*P73%,0)
))</f>
        <v>0</v>
      </c>
      <c r="AT73" s="306">
        <f t="shared" si="12"/>
        <v>0</v>
      </c>
      <c r="AU73" s="306" t="str">
        <f t="shared" si="13"/>
        <v/>
      </c>
      <c r="AV73" s="802"/>
      <c r="AW73" s="802"/>
      <c r="AX73" s="802"/>
      <c r="AY73" s="802"/>
      <c r="AZ73" s="802"/>
    </row>
    <row r="74" spans="3:52" s="174" customFormat="1" ht="30" hidden="1" customHeight="1" outlineLevel="1">
      <c r="C74" s="790">
        <v>59</v>
      </c>
      <c r="D74" s="803"/>
      <c r="E74" s="792"/>
      <c r="F74" s="793"/>
      <c r="G74" s="2214"/>
      <c r="H74" s="2215"/>
      <c r="I74" s="794"/>
      <c r="J74" s="795"/>
      <c r="K74" s="796"/>
      <c r="L74" s="797"/>
      <c r="M74" s="797"/>
      <c r="N74" s="797"/>
      <c r="O74" s="797"/>
      <c r="P74" s="1284"/>
      <c r="Q74" s="798"/>
      <c r="R74" s="799"/>
      <c r="S74" s="797"/>
      <c r="T74" s="784"/>
      <c r="U74" s="2"/>
      <c r="V74" s="1295"/>
      <c r="W74" s="785"/>
      <c r="X74" s="2"/>
      <c r="Y74" s="800">
        <f t="shared" si="17"/>
        <v>0</v>
      </c>
      <c r="Z74" s="786">
        <f t="shared" si="14"/>
        <v>0</v>
      </c>
      <c r="AA74" s="786">
        <f t="shared" si="15"/>
        <v>0</v>
      </c>
      <c r="AB74" s="800">
        <f>IF(Y74=0,,VLOOKUP(Y74,リスト!CX:CY,2,0))</f>
        <v>0</v>
      </c>
      <c r="AC74" s="800">
        <f t="shared" si="1"/>
        <v>0</v>
      </c>
      <c r="AD74" s="801">
        <f>IF(AC74=0,,VLOOKUP(AC74,リスト!DK:DL,2,0))</f>
        <v>0</v>
      </c>
      <c r="AE74" s="786">
        <f>IF(Y74=0,,
IF(OR(リスト!$C$21="小麦",リスト!$C$21="二条大麦",リスト!$C$21="六条大麦",リスト!$C$21="はだか麦",リスト!$C$21="なたね"),IF(K74&lt;9,調査年-J74,調査年-J74-1),
IF(リスト!$C$21="さとうきび",IF(K74&gt;=4,調査年-J74,調査年-J74+1),
調査年-J74)))</f>
        <v>0</v>
      </c>
      <c r="AF74" s="306">
        <f t="shared" si="18"/>
        <v>0</v>
      </c>
      <c r="AG74" s="306">
        <f t="shared" si="3"/>
        <v>0</v>
      </c>
      <c r="AH74" s="306">
        <f t="shared" si="4"/>
        <v>0</v>
      </c>
      <c r="AI74" s="306">
        <f t="shared" si="5"/>
        <v>0</v>
      </c>
      <c r="AJ74" s="306">
        <f t="shared" si="6"/>
        <v>0</v>
      </c>
      <c r="AK74" s="306">
        <f t="shared" si="16"/>
        <v>0</v>
      </c>
      <c r="AL74" s="306">
        <f t="shared" si="7"/>
        <v>0</v>
      </c>
      <c r="AM74" s="306">
        <f t="shared" si="8"/>
        <v>0</v>
      </c>
      <c r="AN74" s="477"/>
      <c r="AO74" s="788">
        <f>IF(OR(P74=0,AG74=0),,
IF(OR(リスト!$C$21="小麦",リスト!$C$21="二条大麦",リスト!$C$21="六条大麦",リスト!$C$21="はだか麦",リスト!$C$21="なたね"),IF(OR(AND(K74&lt;9,J74=調査年),AND(K74&gt;=9,J74=調査年-1)),,ROUND(AG74*P74%,0)),
IF(リスト!$C$21="さとうきび",IF(OR(AND(K74&gt;=4,J74=調査年),AND(K74&lt;4,J74=調査年+1)),,ROUND(AG74*P74%,0)),
IF(J74=調査年,,ROUND(AG74*P74%,0)))))</f>
        <v>0</v>
      </c>
      <c r="AP74" s="788">
        <f t="shared" si="9"/>
        <v>0</v>
      </c>
      <c r="AQ74" s="306">
        <f t="shared" si="10"/>
        <v>0</v>
      </c>
      <c r="AR74" s="788">
        <f t="shared" si="11"/>
        <v>0</v>
      </c>
      <c r="AS74" s="306">
        <f>IF(P74=0,,
SUM(
IF(OR(リスト!$C$21="小麦",リスト!$C$21="二条大麦",リスト!$C$21="六条大麦",リスト!$C$21="はだか麦",リスト!$C$21="なたね"),IF(OR(AND(Z74=1,K74&lt;9,J74=調査年),AND(Z74=1,K74&gt;=9,J74=調査年-1)),ROUND(L74*P74%,0),),
IF(リスト!$C$21="さとうきび",IF(OR(AND(Z74=1,K74&gt;=4,J74=調査年),AND(Z74=1,K74&lt;4,J74=調査年+1)),ROUND(L74*P74%,0),),
IF(AND(Z74=1,J74=調査年),ROUND(L74*P74%,0),))),
ROUND(N74*P74%,0),
ROUND(SUM(AK74)*P74%,0)
))</f>
        <v>0</v>
      </c>
      <c r="AT74" s="306">
        <f t="shared" si="12"/>
        <v>0</v>
      </c>
      <c r="AU74" s="306" t="str">
        <f t="shared" si="13"/>
        <v/>
      </c>
      <c r="AV74" s="802"/>
      <c r="AW74" s="802"/>
      <c r="AX74" s="802"/>
      <c r="AY74" s="802"/>
      <c r="AZ74" s="802"/>
    </row>
    <row r="75" spans="3:52" s="174" customFormat="1" ht="30" hidden="1" customHeight="1" outlineLevel="1">
      <c r="C75" s="790">
        <v>60</v>
      </c>
      <c r="D75" s="803"/>
      <c r="E75" s="792"/>
      <c r="F75" s="793"/>
      <c r="G75" s="2214"/>
      <c r="H75" s="2215"/>
      <c r="I75" s="794"/>
      <c r="J75" s="795"/>
      <c r="K75" s="796"/>
      <c r="L75" s="797"/>
      <c r="M75" s="797"/>
      <c r="N75" s="797"/>
      <c r="O75" s="797"/>
      <c r="P75" s="1284"/>
      <c r="Q75" s="798"/>
      <c r="R75" s="799"/>
      <c r="S75" s="797"/>
      <c r="T75" s="784"/>
      <c r="U75" s="2"/>
      <c r="V75" s="1295"/>
      <c r="W75" s="785"/>
      <c r="X75" s="2"/>
      <c r="Y75" s="800">
        <f t="shared" si="17"/>
        <v>0</v>
      </c>
      <c r="Z75" s="786">
        <f t="shared" si="14"/>
        <v>0</v>
      </c>
      <c r="AA75" s="786">
        <f t="shared" si="15"/>
        <v>0</v>
      </c>
      <c r="AB75" s="800">
        <f>IF(Y75=0,,VLOOKUP(Y75,リスト!CX:CY,2,0))</f>
        <v>0</v>
      </c>
      <c r="AC75" s="800">
        <f t="shared" si="1"/>
        <v>0</v>
      </c>
      <c r="AD75" s="801">
        <f>IF(AC75=0,,VLOOKUP(AC75,リスト!DK:DL,2,0))</f>
        <v>0</v>
      </c>
      <c r="AE75" s="786">
        <f>IF(Y75=0,,
IF(OR(リスト!$C$21="小麦",リスト!$C$21="二条大麦",リスト!$C$21="六条大麦",リスト!$C$21="はだか麦",リスト!$C$21="なたね"),IF(K75&lt;9,調査年-J75,調査年-J75-1),
IF(リスト!$C$21="さとうきび",IF(K75&gt;=4,調査年-J75,調査年-J75+1),
調査年-J75)))</f>
        <v>0</v>
      </c>
      <c r="AF75" s="306">
        <f t="shared" si="18"/>
        <v>0</v>
      </c>
      <c r="AG75" s="306">
        <f t="shared" si="3"/>
        <v>0</v>
      </c>
      <c r="AH75" s="306">
        <f t="shared" si="4"/>
        <v>0</v>
      </c>
      <c r="AI75" s="306">
        <f t="shared" si="5"/>
        <v>0</v>
      </c>
      <c r="AJ75" s="306">
        <f t="shared" si="6"/>
        <v>0</v>
      </c>
      <c r="AK75" s="306">
        <f t="shared" si="16"/>
        <v>0</v>
      </c>
      <c r="AL75" s="306">
        <f t="shared" si="7"/>
        <v>0</v>
      </c>
      <c r="AM75" s="306">
        <f t="shared" si="8"/>
        <v>0</v>
      </c>
      <c r="AN75" s="477"/>
      <c r="AO75" s="788">
        <f>IF(OR(P75=0,AG75=0),,
IF(OR(リスト!$C$21="小麦",リスト!$C$21="二条大麦",リスト!$C$21="六条大麦",リスト!$C$21="はだか麦",リスト!$C$21="なたね"),IF(OR(AND(K75&lt;9,J75=調査年),AND(K75&gt;=9,J75=調査年-1)),,ROUND(AG75*P75%,0)),
IF(リスト!$C$21="さとうきび",IF(OR(AND(K75&gt;=4,J75=調査年),AND(K75&lt;4,J75=調査年+1)),,ROUND(AG75*P75%,0)),
IF(J75=調査年,,ROUND(AG75*P75%,0)))))</f>
        <v>0</v>
      </c>
      <c r="AP75" s="788">
        <f t="shared" si="9"/>
        <v>0</v>
      </c>
      <c r="AQ75" s="306">
        <f t="shared" si="10"/>
        <v>0</v>
      </c>
      <c r="AR75" s="788">
        <f t="shared" si="11"/>
        <v>0</v>
      </c>
      <c r="AS75" s="306">
        <f>IF(P75=0,,
SUM(
IF(OR(リスト!$C$21="小麦",リスト!$C$21="二条大麦",リスト!$C$21="六条大麦",リスト!$C$21="はだか麦",リスト!$C$21="なたね"),IF(OR(AND(Z75=1,K75&lt;9,J75=調査年),AND(Z75=1,K75&gt;=9,J75=調査年-1)),ROUND(L75*P75%,0),),
IF(リスト!$C$21="さとうきび",IF(OR(AND(Z75=1,K75&gt;=4,J75=調査年),AND(Z75=1,K75&lt;4,J75=調査年+1)),ROUND(L75*P75%,0),),
IF(AND(Z75=1,J75=調査年),ROUND(L75*P75%,0),))),
ROUND(N75*P75%,0),
ROUND(SUM(AK75)*P75%,0)
))</f>
        <v>0</v>
      </c>
      <c r="AT75" s="306">
        <f t="shared" si="12"/>
        <v>0</v>
      </c>
      <c r="AU75" s="306" t="str">
        <f t="shared" si="13"/>
        <v/>
      </c>
      <c r="AV75" s="802"/>
      <c r="AW75" s="802"/>
      <c r="AX75" s="802"/>
      <c r="AY75" s="802"/>
      <c r="AZ75" s="802"/>
    </row>
    <row r="76" spans="3:52" s="174" customFormat="1" ht="30" hidden="1" customHeight="1" outlineLevel="1">
      <c r="C76" s="790">
        <v>61</v>
      </c>
      <c r="D76" s="803"/>
      <c r="E76" s="792"/>
      <c r="F76" s="793"/>
      <c r="G76" s="2214"/>
      <c r="H76" s="2215"/>
      <c r="I76" s="794"/>
      <c r="J76" s="795"/>
      <c r="K76" s="796"/>
      <c r="L76" s="797"/>
      <c r="M76" s="797"/>
      <c r="N76" s="797"/>
      <c r="O76" s="797"/>
      <c r="P76" s="1284"/>
      <c r="Q76" s="798"/>
      <c r="R76" s="799"/>
      <c r="S76" s="797"/>
      <c r="T76" s="784"/>
      <c r="U76" s="2"/>
      <c r="V76" s="1295"/>
      <c r="W76" s="785"/>
      <c r="X76" s="2"/>
      <c r="Y76" s="800">
        <f t="shared" si="17"/>
        <v>0</v>
      </c>
      <c r="Z76" s="786">
        <f t="shared" si="14"/>
        <v>0</v>
      </c>
      <c r="AA76" s="786">
        <f t="shared" si="15"/>
        <v>0</v>
      </c>
      <c r="AB76" s="800">
        <f>IF(Y76=0,,VLOOKUP(Y76,リスト!CX:CY,2,0))</f>
        <v>0</v>
      </c>
      <c r="AC76" s="800">
        <f t="shared" si="1"/>
        <v>0</v>
      </c>
      <c r="AD76" s="801">
        <f>IF(AC76=0,,VLOOKUP(AC76,リスト!DK:DL,2,0))</f>
        <v>0</v>
      </c>
      <c r="AE76" s="786">
        <f>IF(Y76=0,,
IF(OR(リスト!$C$21="小麦",リスト!$C$21="二条大麦",リスト!$C$21="六条大麦",リスト!$C$21="はだか麦",リスト!$C$21="なたね"),IF(K76&lt;9,調査年-J76,調査年-J76-1),
IF(リスト!$C$21="さとうきび",IF(K76&gt;=4,調査年-J76,調査年-J76+1),
調査年-J76)))</f>
        <v>0</v>
      </c>
      <c r="AF76" s="306">
        <f t="shared" si="18"/>
        <v>0</v>
      </c>
      <c r="AG76" s="306">
        <f t="shared" si="3"/>
        <v>0</v>
      </c>
      <c r="AH76" s="306">
        <f t="shared" si="4"/>
        <v>0</v>
      </c>
      <c r="AI76" s="306">
        <f t="shared" si="5"/>
        <v>0</v>
      </c>
      <c r="AJ76" s="306">
        <f t="shared" si="6"/>
        <v>0</v>
      </c>
      <c r="AK76" s="306">
        <f t="shared" si="16"/>
        <v>0</v>
      </c>
      <c r="AL76" s="306">
        <f t="shared" si="7"/>
        <v>0</v>
      </c>
      <c r="AM76" s="306">
        <f t="shared" si="8"/>
        <v>0</v>
      </c>
      <c r="AN76" s="477"/>
      <c r="AO76" s="788">
        <f>IF(OR(P76=0,AG76=0),,
IF(OR(リスト!$C$21="小麦",リスト!$C$21="二条大麦",リスト!$C$21="六条大麦",リスト!$C$21="はだか麦",リスト!$C$21="なたね"),IF(OR(AND(K76&lt;9,J76=調査年),AND(K76&gt;=9,J76=調査年-1)),,ROUND(AG76*P76%,0)),
IF(リスト!$C$21="さとうきび",IF(OR(AND(K76&gt;=4,J76=調査年),AND(K76&lt;4,J76=調査年+1)),,ROUND(AG76*P76%,0)),
IF(J76=調査年,,ROUND(AG76*P76%,0)))))</f>
        <v>0</v>
      </c>
      <c r="AP76" s="788">
        <f t="shared" si="9"/>
        <v>0</v>
      </c>
      <c r="AQ76" s="306">
        <f t="shared" si="10"/>
        <v>0</v>
      </c>
      <c r="AR76" s="788">
        <f t="shared" si="11"/>
        <v>0</v>
      </c>
      <c r="AS76" s="306">
        <f>IF(P76=0,,
SUM(
IF(OR(リスト!$C$21="小麦",リスト!$C$21="二条大麦",リスト!$C$21="六条大麦",リスト!$C$21="はだか麦",リスト!$C$21="なたね"),IF(OR(AND(Z76=1,K76&lt;9,J76=調査年),AND(Z76=1,K76&gt;=9,J76=調査年-1)),ROUND(L76*P76%,0),),
IF(リスト!$C$21="さとうきび",IF(OR(AND(Z76=1,K76&gt;=4,J76=調査年),AND(Z76=1,K76&lt;4,J76=調査年+1)),ROUND(L76*P76%,0),),
IF(AND(Z76=1,J76=調査年),ROUND(L76*P76%,0),))),
ROUND(N76*P76%,0),
ROUND(SUM(AK76)*P76%,0)
))</f>
        <v>0</v>
      </c>
      <c r="AT76" s="306">
        <f t="shared" si="12"/>
        <v>0</v>
      </c>
      <c r="AU76" s="306" t="str">
        <f t="shared" si="13"/>
        <v/>
      </c>
      <c r="AV76" s="802"/>
      <c r="AW76" s="802"/>
      <c r="AX76" s="802"/>
      <c r="AY76" s="802"/>
      <c r="AZ76" s="802"/>
    </row>
    <row r="77" spans="3:52" s="174" customFormat="1" ht="30" hidden="1" customHeight="1" outlineLevel="1">
      <c r="C77" s="790">
        <v>62</v>
      </c>
      <c r="D77" s="791"/>
      <c r="E77" s="792"/>
      <c r="F77" s="793"/>
      <c r="G77" s="2214"/>
      <c r="H77" s="2215"/>
      <c r="I77" s="794"/>
      <c r="J77" s="795"/>
      <c r="K77" s="796"/>
      <c r="L77" s="797"/>
      <c r="M77" s="797"/>
      <c r="N77" s="797"/>
      <c r="O77" s="797"/>
      <c r="P77" s="1284"/>
      <c r="Q77" s="798"/>
      <c r="R77" s="799"/>
      <c r="S77" s="797"/>
      <c r="T77" s="784"/>
      <c r="U77" s="2"/>
      <c r="V77" s="1295"/>
      <c r="W77" s="785"/>
      <c r="X77" s="2"/>
      <c r="Y77" s="800">
        <f t="shared" si="17"/>
        <v>0</v>
      </c>
      <c r="Z77" s="786">
        <f t="shared" si="14"/>
        <v>0</v>
      </c>
      <c r="AA77" s="786">
        <f t="shared" si="15"/>
        <v>0</v>
      </c>
      <c r="AB77" s="800">
        <f>IF(Y77=0,,VLOOKUP(Y77,リスト!CX:CY,2,0))</f>
        <v>0</v>
      </c>
      <c r="AC77" s="800">
        <f t="shared" si="1"/>
        <v>0</v>
      </c>
      <c r="AD77" s="801">
        <f>IF(AC77=0,,VLOOKUP(AC77,リスト!DK:DL,2,0))</f>
        <v>0</v>
      </c>
      <c r="AE77" s="786">
        <f>IF(Y77=0,,
IF(OR(リスト!$C$21="小麦",リスト!$C$21="二条大麦",リスト!$C$21="六条大麦",リスト!$C$21="はだか麦",リスト!$C$21="なたね"),IF(K77&lt;9,調査年-J77,調査年-J77-1),
IF(リスト!$C$21="さとうきび",IF(K77&gt;=4,調査年-J77,調査年-J77+1),
調査年-J77)))</f>
        <v>0</v>
      </c>
      <c r="AF77" s="306">
        <f t="shared" si="18"/>
        <v>0</v>
      </c>
      <c r="AG77" s="306">
        <f t="shared" si="3"/>
        <v>0</v>
      </c>
      <c r="AH77" s="306">
        <f t="shared" si="4"/>
        <v>0</v>
      </c>
      <c r="AI77" s="306">
        <f t="shared" si="5"/>
        <v>0</v>
      </c>
      <c r="AJ77" s="306">
        <f t="shared" si="6"/>
        <v>0</v>
      </c>
      <c r="AK77" s="306">
        <f t="shared" si="16"/>
        <v>0</v>
      </c>
      <c r="AL77" s="306">
        <f t="shared" si="7"/>
        <v>0</v>
      </c>
      <c r="AM77" s="306">
        <f t="shared" si="8"/>
        <v>0</v>
      </c>
      <c r="AN77" s="477"/>
      <c r="AO77" s="788">
        <f>IF(OR(P77=0,AG77=0),,
IF(OR(リスト!$C$21="小麦",リスト!$C$21="二条大麦",リスト!$C$21="六条大麦",リスト!$C$21="はだか麦",リスト!$C$21="なたね"),IF(OR(AND(K77&lt;9,J77=調査年),AND(K77&gt;=9,J77=調査年-1)),,ROUND(AG77*P77%,0)),
IF(リスト!$C$21="さとうきび",IF(OR(AND(K77&gt;=4,J77=調査年),AND(K77&lt;4,J77=調査年+1)),,ROUND(AG77*P77%,0)),
IF(J77=調査年,,ROUND(AG77*P77%,0)))))</f>
        <v>0</v>
      </c>
      <c r="AP77" s="788">
        <f t="shared" si="9"/>
        <v>0</v>
      </c>
      <c r="AQ77" s="306">
        <f t="shared" si="10"/>
        <v>0</v>
      </c>
      <c r="AR77" s="788">
        <f t="shared" si="11"/>
        <v>0</v>
      </c>
      <c r="AS77" s="306">
        <f>IF(P77=0,,
SUM(
IF(OR(リスト!$C$21="小麦",リスト!$C$21="二条大麦",リスト!$C$21="六条大麦",リスト!$C$21="はだか麦",リスト!$C$21="なたね"),IF(OR(AND(Z77=1,K77&lt;9,J77=調査年),AND(Z77=1,K77&gt;=9,J77=調査年-1)),ROUND(L77*P77%,0),),
IF(リスト!$C$21="さとうきび",IF(OR(AND(Z77=1,K77&gt;=4,J77=調査年),AND(Z77=1,K77&lt;4,J77=調査年+1)),ROUND(L77*P77%,0),),
IF(AND(Z77=1,J77=調査年),ROUND(L77*P77%,0),))),
ROUND(N77*P77%,0),
ROUND(SUM(AK77)*P77%,0)
))</f>
        <v>0</v>
      </c>
      <c r="AT77" s="306">
        <f t="shared" si="12"/>
        <v>0</v>
      </c>
      <c r="AU77" s="306" t="str">
        <f t="shared" si="13"/>
        <v/>
      </c>
      <c r="AV77" s="802"/>
      <c r="AW77" s="802"/>
      <c r="AX77" s="802"/>
      <c r="AY77" s="802"/>
      <c r="AZ77" s="802"/>
    </row>
    <row r="78" spans="3:52" s="174" customFormat="1" ht="30" hidden="1" customHeight="1" outlineLevel="1">
      <c r="C78" s="790">
        <v>63</v>
      </c>
      <c r="D78" s="803"/>
      <c r="E78" s="792"/>
      <c r="F78" s="793"/>
      <c r="G78" s="2214"/>
      <c r="H78" s="2215"/>
      <c r="I78" s="794"/>
      <c r="J78" s="795"/>
      <c r="K78" s="796"/>
      <c r="L78" s="797"/>
      <c r="M78" s="797"/>
      <c r="N78" s="797"/>
      <c r="O78" s="797"/>
      <c r="P78" s="1284"/>
      <c r="Q78" s="798"/>
      <c r="R78" s="799"/>
      <c r="S78" s="797"/>
      <c r="T78" s="784"/>
      <c r="U78" s="2"/>
      <c r="V78" s="1295"/>
      <c r="W78" s="785"/>
      <c r="X78" s="2"/>
      <c r="Y78" s="800">
        <f t="shared" si="17"/>
        <v>0</v>
      </c>
      <c r="Z78" s="786">
        <f t="shared" si="14"/>
        <v>0</v>
      </c>
      <c r="AA78" s="786">
        <f t="shared" si="15"/>
        <v>0</v>
      </c>
      <c r="AB78" s="800">
        <f>IF(Y78=0,,VLOOKUP(Y78,リスト!CX:CY,2,0))</f>
        <v>0</v>
      </c>
      <c r="AC78" s="800">
        <f t="shared" si="1"/>
        <v>0</v>
      </c>
      <c r="AD78" s="801">
        <f>IF(AC78=0,,VLOOKUP(AC78,リスト!DK:DL,2,0))</f>
        <v>0</v>
      </c>
      <c r="AE78" s="786">
        <f>IF(Y78=0,,
IF(OR(リスト!$C$21="小麦",リスト!$C$21="二条大麦",リスト!$C$21="六条大麦",リスト!$C$21="はだか麦",リスト!$C$21="なたね"),IF(K78&lt;9,調査年-J78,調査年-J78-1),
IF(リスト!$C$21="さとうきび",IF(K78&gt;=4,調査年-J78,調査年-J78+1),
調査年-J78)))</f>
        <v>0</v>
      </c>
      <c r="AF78" s="306">
        <f t="shared" si="18"/>
        <v>0</v>
      </c>
      <c r="AG78" s="306">
        <f t="shared" si="3"/>
        <v>0</v>
      </c>
      <c r="AH78" s="306">
        <f t="shared" si="4"/>
        <v>0</v>
      </c>
      <c r="AI78" s="306">
        <f t="shared" si="5"/>
        <v>0</v>
      </c>
      <c r="AJ78" s="306">
        <f t="shared" si="6"/>
        <v>0</v>
      </c>
      <c r="AK78" s="306">
        <f t="shared" si="16"/>
        <v>0</v>
      </c>
      <c r="AL78" s="306">
        <f t="shared" si="7"/>
        <v>0</v>
      </c>
      <c r="AM78" s="306">
        <f t="shared" si="8"/>
        <v>0</v>
      </c>
      <c r="AN78" s="477"/>
      <c r="AO78" s="788">
        <f>IF(OR(P78=0,AG78=0),,
IF(OR(リスト!$C$21="小麦",リスト!$C$21="二条大麦",リスト!$C$21="六条大麦",リスト!$C$21="はだか麦",リスト!$C$21="なたね"),IF(OR(AND(K78&lt;9,J78=調査年),AND(K78&gt;=9,J78=調査年-1)),,ROUND(AG78*P78%,0)),
IF(リスト!$C$21="さとうきび",IF(OR(AND(K78&gt;=4,J78=調査年),AND(K78&lt;4,J78=調査年+1)),,ROUND(AG78*P78%,0)),
IF(J78=調査年,,ROUND(AG78*P78%,0)))))</f>
        <v>0</v>
      </c>
      <c r="AP78" s="788">
        <f t="shared" si="9"/>
        <v>0</v>
      </c>
      <c r="AQ78" s="306">
        <f t="shared" si="10"/>
        <v>0</v>
      </c>
      <c r="AR78" s="788">
        <f t="shared" si="11"/>
        <v>0</v>
      </c>
      <c r="AS78" s="306">
        <f>IF(P78=0,,
SUM(
IF(OR(リスト!$C$21="小麦",リスト!$C$21="二条大麦",リスト!$C$21="六条大麦",リスト!$C$21="はだか麦",リスト!$C$21="なたね"),IF(OR(AND(Z78=1,K78&lt;9,J78=調査年),AND(Z78=1,K78&gt;=9,J78=調査年-1)),ROUND(L78*P78%,0),),
IF(リスト!$C$21="さとうきび",IF(OR(AND(Z78=1,K78&gt;=4,J78=調査年),AND(Z78=1,K78&lt;4,J78=調査年+1)),ROUND(L78*P78%,0),),
IF(AND(Z78=1,J78=調査年),ROUND(L78*P78%,0),))),
ROUND(N78*P78%,0),
ROUND(SUM(AK78)*P78%,0)
))</f>
        <v>0</v>
      </c>
      <c r="AT78" s="306">
        <f t="shared" si="12"/>
        <v>0</v>
      </c>
      <c r="AU78" s="306" t="str">
        <f t="shared" si="13"/>
        <v/>
      </c>
      <c r="AV78" s="802"/>
      <c r="AW78" s="802"/>
      <c r="AX78" s="802"/>
      <c r="AY78" s="802"/>
      <c r="AZ78" s="802"/>
    </row>
    <row r="79" spans="3:52" s="174" customFormat="1" ht="30" hidden="1" customHeight="1" outlineLevel="1">
      <c r="C79" s="790">
        <v>64</v>
      </c>
      <c r="D79" s="803"/>
      <c r="E79" s="792"/>
      <c r="F79" s="793"/>
      <c r="G79" s="2214"/>
      <c r="H79" s="2215"/>
      <c r="I79" s="794"/>
      <c r="J79" s="795"/>
      <c r="K79" s="796"/>
      <c r="L79" s="797"/>
      <c r="M79" s="797"/>
      <c r="N79" s="797"/>
      <c r="O79" s="797"/>
      <c r="P79" s="1284"/>
      <c r="Q79" s="798"/>
      <c r="R79" s="799"/>
      <c r="S79" s="797"/>
      <c r="T79" s="784"/>
      <c r="U79" s="2"/>
      <c r="V79" s="1295"/>
      <c r="W79" s="785"/>
      <c r="X79" s="2"/>
      <c r="Y79" s="800">
        <f t="shared" si="17"/>
        <v>0</v>
      </c>
      <c r="Z79" s="786">
        <f t="shared" si="14"/>
        <v>0</v>
      </c>
      <c r="AA79" s="786">
        <f t="shared" si="15"/>
        <v>0</v>
      </c>
      <c r="AB79" s="800">
        <f>IF(Y79=0,,VLOOKUP(Y79,リスト!CX:CY,2,0))</f>
        <v>0</v>
      </c>
      <c r="AC79" s="800">
        <f t="shared" si="1"/>
        <v>0</v>
      </c>
      <c r="AD79" s="801">
        <f>IF(AC79=0,,VLOOKUP(AC79,リスト!DK:DL,2,0))</f>
        <v>0</v>
      </c>
      <c r="AE79" s="786">
        <f>IF(Y79=0,,
IF(OR(リスト!$C$21="小麦",リスト!$C$21="二条大麦",リスト!$C$21="六条大麦",リスト!$C$21="はだか麦",リスト!$C$21="なたね"),IF(K79&lt;9,調査年-J79,調査年-J79-1),
IF(リスト!$C$21="さとうきび",IF(K79&gt;=4,調査年-J79,調査年-J79+1),
調査年-J79)))</f>
        <v>0</v>
      </c>
      <c r="AF79" s="306">
        <f t="shared" si="18"/>
        <v>0</v>
      </c>
      <c r="AG79" s="306">
        <f t="shared" si="3"/>
        <v>0</v>
      </c>
      <c r="AH79" s="306">
        <f t="shared" si="4"/>
        <v>0</v>
      </c>
      <c r="AI79" s="306">
        <f t="shared" si="5"/>
        <v>0</v>
      </c>
      <c r="AJ79" s="306">
        <f t="shared" si="6"/>
        <v>0</v>
      </c>
      <c r="AK79" s="306">
        <f t="shared" si="16"/>
        <v>0</v>
      </c>
      <c r="AL79" s="306">
        <f t="shared" si="7"/>
        <v>0</v>
      </c>
      <c r="AM79" s="306">
        <f t="shared" si="8"/>
        <v>0</v>
      </c>
      <c r="AN79" s="477"/>
      <c r="AO79" s="788">
        <f>IF(OR(P79=0,AG79=0),,
IF(OR(リスト!$C$21="小麦",リスト!$C$21="二条大麦",リスト!$C$21="六条大麦",リスト!$C$21="はだか麦",リスト!$C$21="なたね"),IF(OR(AND(K79&lt;9,J79=調査年),AND(K79&gt;=9,J79=調査年-1)),,ROUND(AG79*P79%,0)),
IF(リスト!$C$21="さとうきび",IF(OR(AND(K79&gt;=4,J79=調査年),AND(K79&lt;4,J79=調査年+1)),,ROUND(AG79*P79%,0)),
IF(J79=調査年,,ROUND(AG79*P79%,0)))))</f>
        <v>0</v>
      </c>
      <c r="AP79" s="788">
        <f t="shared" si="9"/>
        <v>0</v>
      </c>
      <c r="AQ79" s="306">
        <f t="shared" si="10"/>
        <v>0</v>
      </c>
      <c r="AR79" s="788">
        <f t="shared" si="11"/>
        <v>0</v>
      </c>
      <c r="AS79" s="306">
        <f>IF(P79=0,,
SUM(
IF(OR(リスト!$C$21="小麦",リスト!$C$21="二条大麦",リスト!$C$21="六条大麦",リスト!$C$21="はだか麦",リスト!$C$21="なたね"),IF(OR(AND(Z79=1,K79&lt;9,J79=調査年),AND(Z79=1,K79&gt;=9,J79=調査年-1)),ROUND(L79*P79%,0),),
IF(リスト!$C$21="さとうきび",IF(OR(AND(Z79=1,K79&gt;=4,J79=調査年),AND(Z79=1,K79&lt;4,J79=調査年+1)),ROUND(L79*P79%,0),),
IF(AND(Z79=1,J79=調査年),ROUND(L79*P79%,0),))),
ROUND(N79*P79%,0),
ROUND(SUM(AK79)*P79%,0)
))</f>
        <v>0</v>
      </c>
      <c r="AT79" s="306">
        <f t="shared" si="12"/>
        <v>0</v>
      </c>
      <c r="AU79" s="306" t="str">
        <f t="shared" si="13"/>
        <v/>
      </c>
      <c r="AV79" s="802"/>
      <c r="AW79" s="802"/>
      <c r="AX79" s="802"/>
      <c r="AY79" s="802"/>
      <c r="AZ79" s="802"/>
    </row>
    <row r="80" spans="3:52" s="174" customFormat="1" ht="30" hidden="1" customHeight="1" outlineLevel="1">
      <c r="C80" s="790">
        <v>65</v>
      </c>
      <c r="D80" s="803"/>
      <c r="E80" s="792"/>
      <c r="F80" s="793"/>
      <c r="G80" s="2214"/>
      <c r="H80" s="2215"/>
      <c r="I80" s="794"/>
      <c r="J80" s="795"/>
      <c r="K80" s="796"/>
      <c r="L80" s="797"/>
      <c r="M80" s="797"/>
      <c r="N80" s="797"/>
      <c r="O80" s="797"/>
      <c r="P80" s="1284"/>
      <c r="Q80" s="798"/>
      <c r="R80" s="799"/>
      <c r="S80" s="797"/>
      <c r="T80" s="784"/>
      <c r="U80" s="2"/>
      <c r="V80" s="1295"/>
      <c r="W80" s="785"/>
      <c r="X80" s="2"/>
      <c r="Y80" s="800">
        <f t="shared" si="17"/>
        <v>0</v>
      </c>
      <c r="Z80" s="786">
        <f t="shared" si="14"/>
        <v>0</v>
      </c>
      <c r="AA80" s="786">
        <f t="shared" si="15"/>
        <v>0</v>
      </c>
      <c r="AB80" s="800">
        <f>IF(Y80=0,,VLOOKUP(Y80,リスト!CX:CY,2,0))</f>
        <v>0</v>
      </c>
      <c r="AC80" s="800">
        <f t="shared" ref="AC80:AC115" si="19">IF(AA80=1,3,
IF(OR(G80="[2]中古",
F80="[8]その他",
E80="[13]その他の建築物",
AND(OR(E80="[14]稲架",E80="[15]コンクリートけい畔",E80="[16]暗きょ排水施設",E80="[19]用水路",E80="[25]たい肥盤"),F80="[7]その他")),
MIN(AB80,I80),AB80))</f>
        <v>0</v>
      </c>
      <c r="AD80" s="801">
        <f>IF(AC80=0,,VLOOKUP(AC80,リスト!DK:DL,2,0))</f>
        <v>0</v>
      </c>
      <c r="AE80" s="786">
        <f>IF(Y80=0,,
IF(OR(リスト!$C$21="小麦",リスト!$C$21="二条大麦",リスト!$C$21="六条大麦",リスト!$C$21="はだか麦",リスト!$C$21="なたね"),IF(K80&lt;9,調査年-J80,調査年-J80-1),
IF(リスト!$C$21="さとうきび",IF(K80&gt;=4,調査年-J80,調査年-J80+1),
調査年-J80)))</f>
        <v>0</v>
      </c>
      <c r="AF80" s="306">
        <f t="shared" ref="AF80:AF111" si="20">IF(OR(Y80=0,Z80=1),,
IF(AND(AC80&gt;0,AE80&lt;AC80,AG80&lt;=ROUND((L80-1)*AD80,0)),ROUND(AG80*IF(R80="[2]部分取り壊し",IFERROR(1-(V80%),1),1),0),
IF(AND(AC80&gt;0,AE80&lt;AC80),ROUND((L80-1)*AD80*IF(R80="[2]部分取り壊し",IFERROR(1-(V80%),1),1),0),)))</f>
        <v>0</v>
      </c>
      <c r="AG80" s="306">
        <f t="shared" ref="AG80:AG115" si="21">IF(OR(Y80=0,Z80=1),,
IF(AND(AC80&gt;0,AE80&lt;AC80),L80-ROUND((L80-1)*AD80*AE80,0),1
))</f>
        <v>0</v>
      </c>
      <c r="AH80" s="306">
        <f t="shared" ref="AH80:AH115" si="22">IF(OR(Y80=0,Z80=1),,
IF(R80=0,AF80,
IF(R80="[1]取り壊し",SUM(AG80,S80),
IF(R80="[3]売　却",AG80-S80,
IF(AND(R80="[2]部分取り壊し",AG80&gt;1),SUM(ROUND(AG80*(V80%),0),S80,AF80),
IF(AND(S80=0,AF80=0),,SUM(S80,AF80)))))))</f>
        <v>0</v>
      </c>
      <c r="AI80" s="306">
        <f t="shared" ref="AI80:AI115" si="23">IF(AND(AH80=0,AF80=0),,
IF(OR(R80="[1]取り壊し",R80="[2]部分取り壊し",R80="[3]売　却"),SUM(AH80)-SUM(AF80),))</f>
        <v>0</v>
      </c>
      <c r="AJ80" s="306">
        <f t="shared" ref="AJ80:AJ115" si="24">IF(OR(Z80=1,M80=0),,
IF(AND(AC80&gt;0,M80&gt;0,AE80&lt;AC80),M80-ROUND(M80*AD80*AE80,0),))</f>
        <v>0</v>
      </c>
      <c r="AK80" s="306">
        <f t="shared" si="16"/>
        <v>0</v>
      </c>
      <c r="AL80" s="306">
        <f t="shared" ref="AL80:AL115" si="25">IF(AND(L80&gt;0,R80="[2]部分取り壊し"),ROUND(L80*(1-V80%),0),)</f>
        <v>0</v>
      </c>
      <c r="AM80" s="306">
        <f t="shared" ref="AM80:AM115" si="26">IF(AND(M80&gt;0,R80="[2]部分取り壊し"),ROUND(M80*(1-V80%),0),)</f>
        <v>0</v>
      </c>
      <c r="AN80" s="477"/>
      <c r="AO80" s="788">
        <f>IF(OR(P80=0,AG80=0),,
IF(OR(リスト!$C$21="小麦",リスト!$C$21="二条大麦",リスト!$C$21="六条大麦",リスト!$C$21="はだか麦",リスト!$C$21="なたね"),IF(OR(AND(K80&lt;9,J80=調査年),AND(K80&gt;=9,J80=調査年-1)),,ROUND(AG80*P80%,0)),
IF(リスト!$C$21="さとうきび",IF(OR(AND(K80&gt;=4,J80=調査年),AND(K80&lt;4,J80=調査年+1)),,ROUND(AG80*P80%,0)),
IF(J80=調査年,,ROUND(AG80*P80%,0)))))</f>
        <v>0</v>
      </c>
      <c r="AP80" s="788">
        <f t="shared" ref="AP80:AP115" si="27">IF(P80=0,,IF(AH80=0,,ROUND(AH80*P80%,0)))</f>
        <v>0</v>
      </c>
      <c r="AQ80" s="306">
        <f t="shared" ref="AQ80:AQ115" si="28">IF(P80=0,,IF(AI80=0,,ROUND(AI80*P80%,0)))</f>
        <v>0</v>
      </c>
      <c r="AR80" s="788">
        <f t="shared" ref="AR80:AR115" si="29">IF(P80=0,,IF(AG80=0,,ROUND(AG80*P80%,0)))</f>
        <v>0</v>
      </c>
      <c r="AS80" s="306">
        <f>IF(P80=0,,
SUM(
IF(OR(リスト!$C$21="小麦",リスト!$C$21="二条大麦",リスト!$C$21="六条大麦",リスト!$C$21="はだか麦",リスト!$C$21="なたね"),IF(OR(AND(Z80=1,K80&lt;9,J80=調査年),AND(Z80=1,K80&gt;=9,J80=調査年-1)),ROUND(L80*P80%,0),),
IF(リスト!$C$21="さとうきび",IF(OR(AND(Z80=1,K80&gt;=4,J80=調査年),AND(Z80=1,K80&lt;4,J80=調査年+1)),ROUND(L80*P80%,0),),
IF(AND(Z80=1,J80=調査年),ROUND(L80*P80%,0),))),
ROUND(N80*P80%,0),
ROUND(SUM(AK80)*P80%,0)
))</f>
        <v>0</v>
      </c>
      <c r="AT80" s="306">
        <f t="shared" ref="AT80:AT115" si="30">IF(P80=0,,IF(O80=0,,ROUND(O80*P80%,0)))</f>
        <v>0</v>
      </c>
      <c r="AU80" s="306" t="str">
        <f t="shared" ref="AU80:AU115" si="31">IF(OR(AS80&gt;0,AT80&gt;0),SUM(AS80:AT80),"")</f>
        <v/>
      </c>
      <c r="AV80" s="802"/>
      <c r="AW80" s="802"/>
      <c r="AX80" s="802"/>
      <c r="AY80" s="802"/>
      <c r="AZ80" s="802"/>
    </row>
    <row r="81" spans="3:52" s="174" customFormat="1" ht="30" hidden="1" customHeight="1" outlineLevel="1">
      <c r="C81" s="790">
        <v>66</v>
      </c>
      <c r="D81" s="803"/>
      <c r="E81" s="792"/>
      <c r="F81" s="793"/>
      <c r="G81" s="2214"/>
      <c r="H81" s="2215"/>
      <c r="I81" s="794"/>
      <c r="J81" s="795"/>
      <c r="K81" s="796"/>
      <c r="L81" s="797"/>
      <c r="M81" s="797"/>
      <c r="N81" s="797"/>
      <c r="O81" s="797"/>
      <c r="P81" s="1284"/>
      <c r="Q81" s="798"/>
      <c r="R81" s="799"/>
      <c r="S81" s="797"/>
      <c r="T81" s="784"/>
      <c r="U81" s="2"/>
      <c r="V81" s="1295"/>
      <c r="W81" s="785"/>
      <c r="X81" s="2"/>
      <c r="Y81" s="800">
        <f t="shared" si="17"/>
        <v>0</v>
      </c>
      <c r="Z81" s="786">
        <f t="shared" ref="Z81:Z115" si="32">IF(Y81=0,,IF(L81+M81&lt;100000,1,0))</f>
        <v>0</v>
      </c>
      <c r="AA81" s="786">
        <f t="shared" ref="AA81:AA115" si="33">IF(Y81=0,,IF(AND(Z81=0,L81+M81&lt;200000),1,))</f>
        <v>0</v>
      </c>
      <c r="AB81" s="800">
        <f>IF(Y81=0,,VLOOKUP(Y81,リスト!CX:CY,2,0))</f>
        <v>0</v>
      </c>
      <c r="AC81" s="800">
        <f t="shared" si="19"/>
        <v>0</v>
      </c>
      <c r="AD81" s="801">
        <f>IF(AC81=0,,VLOOKUP(AC81,リスト!DK:DL,2,0))</f>
        <v>0</v>
      </c>
      <c r="AE81" s="786">
        <f>IF(Y81=0,,
IF(OR(リスト!$C$21="小麦",リスト!$C$21="二条大麦",リスト!$C$21="六条大麦",リスト!$C$21="はだか麦",リスト!$C$21="なたね"),IF(K81&lt;9,調査年-J81,調査年-J81-1),
IF(リスト!$C$21="さとうきび",IF(K81&gt;=4,調査年-J81,調査年-J81+1),
調査年-J81)))</f>
        <v>0</v>
      </c>
      <c r="AF81" s="306">
        <f t="shared" si="20"/>
        <v>0</v>
      </c>
      <c r="AG81" s="306">
        <f t="shared" si="21"/>
        <v>0</v>
      </c>
      <c r="AH81" s="306">
        <f t="shared" si="22"/>
        <v>0</v>
      </c>
      <c r="AI81" s="306">
        <f t="shared" si="23"/>
        <v>0</v>
      </c>
      <c r="AJ81" s="306">
        <f t="shared" si="24"/>
        <v>0</v>
      </c>
      <c r="AK81" s="306">
        <f t="shared" ref="AK81:AK115" si="34">IF(OR(Y81=0,Z81=1),IF(AND(Z81=1,AE81=0),M81,),
IF(AND(AC81&gt;0,AE81&lt;AC81,SUM(AJ81)&gt;0,AJ81&lt;=ROUND(M81*AD81,0)),ROUND(AJ81*IF(R81="[2]部分取り壊し",IFERROR(1-(V81%),1),1),),
IF(AND(AC81&gt;0,AE81&lt;AC81,SUM(M81)&gt;0),ROUND(M81*AD81*IF(R81="[2]部分取り壊し",IFERROR(1-(V81%),1),1),0),)))</f>
        <v>0</v>
      </c>
      <c r="AL81" s="306">
        <f t="shared" si="25"/>
        <v>0</v>
      </c>
      <c r="AM81" s="306">
        <f t="shared" si="26"/>
        <v>0</v>
      </c>
      <c r="AN81" s="477"/>
      <c r="AO81" s="788">
        <f>IF(OR(P81=0,AG81=0),,
IF(OR(リスト!$C$21="小麦",リスト!$C$21="二条大麦",リスト!$C$21="六条大麦",リスト!$C$21="はだか麦",リスト!$C$21="なたね"),IF(OR(AND(K81&lt;9,J81=調査年),AND(K81&gt;=9,J81=調査年-1)),,ROUND(AG81*P81%,0)),
IF(リスト!$C$21="さとうきび",IF(OR(AND(K81&gt;=4,J81=調査年),AND(K81&lt;4,J81=調査年+1)),,ROUND(AG81*P81%,0)),
IF(J81=調査年,,ROUND(AG81*P81%,0)))))</f>
        <v>0</v>
      </c>
      <c r="AP81" s="788">
        <f t="shared" si="27"/>
        <v>0</v>
      </c>
      <c r="AQ81" s="306">
        <f t="shared" si="28"/>
        <v>0</v>
      </c>
      <c r="AR81" s="788">
        <f t="shared" si="29"/>
        <v>0</v>
      </c>
      <c r="AS81" s="306">
        <f>IF(P81=0,,
SUM(
IF(OR(リスト!$C$21="小麦",リスト!$C$21="二条大麦",リスト!$C$21="六条大麦",リスト!$C$21="はだか麦",リスト!$C$21="なたね"),IF(OR(AND(Z81=1,K81&lt;9,J81=調査年),AND(Z81=1,K81&gt;=9,J81=調査年-1)),ROUND(L81*P81%,0),),
IF(リスト!$C$21="さとうきび",IF(OR(AND(Z81=1,K81&gt;=4,J81=調査年),AND(Z81=1,K81&lt;4,J81=調査年+1)),ROUND(L81*P81%,0),),
IF(AND(Z81=1,J81=調査年),ROUND(L81*P81%,0),))),
ROUND(N81*P81%,0),
ROUND(SUM(AK81)*P81%,0)
))</f>
        <v>0</v>
      </c>
      <c r="AT81" s="306">
        <f t="shared" si="30"/>
        <v>0</v>
      </c>
      <c r="AU81" s="306" t="str">
        <f t="shared" si="31"/>
        <v/>
      </c>
      <c r="AV81" s="802"/>
      <c r="AW81" s="802"/>
      <c r="AX81" s="802"/>
      <c r="AY81" s="802"/>
      <c r="AZ81" s="802"/>
    </row>
    <row r="82" spans="3:52" s="174" customFormat="1" ht="30" hidden="1" customHeight="1" outlineLevel="1">
      <c r="C82" s="790">
        <v>67</v>
      </c>
      <c r="D82" s="803"/>
      <c r="E82" s="792"/>
      <c r="F82" s="793"/>
      <c r="G82" s="2214"/>
      <c r="H82" s="2215"/>
      <c r="I82" s="794"/>
      <c r="J82" s="795"/>
      <c r="K82" s="796"/>
      <c r="L82" s="797"/>
      <c r="M82" s="797"/>
      <c r="N82" s="797"/>
      <c r="O82" s="797"/>
      <c r="P82" s="1284"/>
      <c r="Q82" s="798"/>
      <c r="R82" s="799"/>
      <c r="S82" s="797"/>
      <c r="T82" s="784"/>
      <c r="U82" s="2"/>
      <c r="V82" s="1295"/>
      <c r="W82" s="785"/>
      <c r="X82" s="2"/>
      <c r="Y82" s="800">
        <f t="shared" ref="Y82:Y114" si="35">IF(AND(E82&gt;0,F82&gt;0),"["&amp;RIGHT(LEFT(E82,3),2)&amp;RIGHT(LEFT(F82,FIND("]",F82)-1),IF(FIND("]",F82)-1&gt;2,2,1))&amp;"]",)</f>
        <v>0</v>
      </c>
      <c r="Z82" s="786">
        <f t="shared" si="32"/>
        <v>0</v>
      </c>
      <c r="AA82" s="786">
        <f t="shared" si="33"/>
        <v>0</v>
      </c>
      <c r="AB82" s="800">
        <f>IF(Y82=0,,VLOOKUP(Y82,リスト!CX:CY,2,0))</f>
        <v>0</v>
      </c>
      <c r="AC82" s="800">
        <f t="shared" si="19"/>
        <v>0</v>
      </c>
      <c r="AD82" s="801">
        <f>IF(AC82=0,,VLOOKUP(AC82,リスト!DK:DL,2,0))</f>
        <v>0</v>
      </c>
      <c r="AE82" s="786">
        <f>IF(Y82=0,,
IF(OR(リスト!$C$21="小麦",リスト!$C$21="二条大麦",リスト!$C$21="六条大麦",リスト!$C$21="はだか麦",リスト!$C$21="なたね"),IF(K82&lt;9,調査年-J82,調査年-J82-1),
IF(リスト!$C$21="さとうきび",IF(K82&gt;=4,調査年-J82,調査年-J82+1),
調査年-J82)))</f>
        <v>0</v>
      </c>
      <c r="AF82" s="306">
        <f t="shared" si="20"/>
        <v>0</v>
      </c>
      <c r="AG82" s="306">
        <f t="shared" si="21"/>
        <v>0</v>
      </c>
      <c r="AH82" s="306">
        <f t="shared" si="22"/>
        <v>0</v>
      </c>
      <c r="AI82" s="306">
        <f t="shared" si="23"/>
        <v>0</v>
      </c>
      <c r="AJ82" s="306">
        <f t="shared" si="24"/>
        <v>0</v>
      </c>
      <c r="AK82" s="306">
        <f t="shared" si="34"/>
        <v>0</v>
      </c>
      <c r="AL82" s="306">
        <f t="shared" si="25"/>
        <v>0</v>
      </c>
      <c r="AM82" s="306">
        <f t="shared" si="26"/>
        <v>0</v>
      </c>
      <c r="AN82" s="477"/>
      <c r="AO82" s="788">
        <f>IF(OR(P82=0,AG82=0),,
IF(OR(リスト!$C$21="小麦",リスト!$C$21="二条大麦",リスト!$C$21="六条大麦",リスト!$C$21="はだか麦",リスト!$C$21="なたね"),IF(OR(AND(K82&lt;9,J82=調査年),AND(K82&gt;=9,J82=調査年-1)),,ROUND(AG82*P82%,0)),
IF(リスト!$C$21="さとうきび",IF(OR(AND(K82&gt;=4,J82=調査年),AND(K82&lt;4,J82=調査年+1)),,ROUND(AG82*P82%,0)),
IF(J82=調査年,,ROUND(AG82*P82%,0)))))</f>
        <v>0</v>
      </c>
      <c r="AP82" s="788">
        <f t="shared" si="27"/>
        <v>0</v>
      </c>
      <c r="AQ82" s="306">
        <f t="shared" si="28"/>
        <v>0</v>
      </c>
      <c r="AR82" s="788">
        <f t="shared" si="29"/>
        <v>0</v>
      </c>
      <c r="AS82" s="306">
        <f>IF(P82=0,,
SUM(
IF(OR(リスト!$C$21="小麦",リスト!$C$21="二条大麦",リスト!$C$21="六条大麦",リスト!$C$21="はだか麦",リスト!$C$21="なたね"),IF(OR(AND(Z82=1,K82&lt;9,J82=調査年),AND(Z82=1,K82&gt;=9,J82=調査年-1)),ROUND(L82*P82%,0),),
IF(リスト!$C$21="さとうきび",IF(OR(AND(Z82=1,K82&gt;=4,J82=調査年),AND(Z82=1,K82&lt;4,J82=調査年+1)),ROUND(L82*P82%,0),),
IF(AND(Z82=1,J82=調査年),ROUND(L82*P82%,0),))),
ROUND(N82*P82%,0),
ROUND(SUM(AK82)*P82%,0)
))</f>
        <v>0</v>
      </c>
      <c r="AT82" s="306">
        <f t="shared" si="30"/>
        <v>0</v>
      </c>
      <c r="AU82" s="306" t="str">
        <f t="shared" si="31"/>
        <v/>
      </c>
      <c r="AV82" s="802"/>
      <c r="AW82" s="802"/>
      <c r="AX82" s="802"/>
      <c r="AY82" s="802"/>
      <c r="AZ82" s="802"/>
    </row>
    <row r="83" spans="3:52" s="174" customFormat="1" ht="30" hidden="1" customHeight="1" outlineLevel="1">
      <c r="C83" s="790">
        <v>68</v>
      </c>
      <c r="D83" s="803"/>
      <c r="E83" s="792"/>
      <c r="F83" s="793"/>
      <c r="G83" s="2214"/>
      <c r="H83" s="2215"/>
      <c r="I83" s="794"/>
      <c r="J83" s="795"/>
      <c r="K83" s="796"/>
      <c r="L83" s="797"/>
      <c r="M83" s="797"/>
      <c r="N83" s="797"/>
      <c r="O83" s="797"/>
      <c r="P83" s="1284"/>
      <c r="Q83" s="798"/>
      <c r="R83" s="799"/>
      <c r="S83" s="797"/>
      <c r="T83" s="784"/>
      <c r="U83" s="2"/>
      <c r="V83" s="1295"/>
      <c r="W83" s="785"/>
      <c r="X83" s="2"/>
      <c r="Y83" s="800">
        <f t="shared" si="35"/>
        <v>0</v>
      </c>
      <c r="Z83" s="786">
        <f t="shared" si="32"/>
        <v>0</v>
      </c>
      <c r="AA83" s="786">
        <f t="shared" si="33"/>
        <v>0</v>
      </c>
      <c r="AB83" s="800">
        <f>IF(Y83=0,,VLOOKUP(Y83,リスト!CX:CY,2,0))</f>
        <v>0</v>
      </c>
      <c r="AC83" s="800">
        <f t="shared" si="19"/>
        <v>0</v>
      </c>
      <c r="AD83" s="801">
        <f>IF(AC83=0,,VLOOKUP(AC83,リスト!DK:DL,2,0))</f>
        <v>0</v>
      </c>
      <c r="AE83" s="786">
        <f>IF(Y83=0,,
IF(OR(リスト!$C$21="小麦",リスト!$C$21="二条大麦",リスト!$C$21="六条大麦",リスト!$C$21="はだか麦",リスト!$C$21="なたね"),IF(K83&lt;9,調査年-J83,調査年-J83-1),
IF(リスト!$C$21="さとうきび",IF(K83&gt;=4,調査年-J83,調査年-J83+1),
調査年-J83)))</f>
        <v>0</v>
      </c>
      <c r="AF83" s="306">
        <f t="shared" si="20"/>
        <v>0</v>
      </c>
      <c r="AG83" s="306">
        <f t="shared" si="21"/>
        <v>0</v>
      </c>
      <c r="AH83" s="306">
        <f t="shared" si="22"/>
        <v>0</v>
      </c>
      <c r="AI83" s="306">
        <f t="shared" si="23"/>
        <v>0</v>
      </c>
      <c r="AJ83" s="306">
        <f t="shared" si="24"/>
        <v>0</v>
      </c>
      <c r="AK83" s="306">
        <f t="shared" si="34"/>
        <v>0</v>
      </c>
      <c r="AL83" s="306">
        <f t="shared" si="25"/>
        <v>0</v>
      </c>
      <c r="AM83" s="306">
        <f t="shared" si="26"/>
        <v>0</v>
      </c>
      <c r="AN83" s="477"/>
      <c r="AO83" s="788">
        <f>IF(OR(P83=0,AG83=0),,
IF(OR(リスト!$C$21="小麦",リスト!$C$21="二条大麦",リスト!$C$21="六条大麦",リスト!$C$21="はだか麦",リスト!$C$21="なたね"),IF(OR(AND(K83&lt;9,J83=調査年),AND(K83&gt;=9,J83=調査年-1)),,ROUND(AG83*P83%,0)),
IF(リスト!$C$21="さとうきび",IF(OR(AND(K83&gt;=4,J83=調査年),AND(K83&lt;4,J83=調査年+1)),,ROUND(AG83*P83%,0)),
IF(J83=調査年,,ROUND(AG83*P83%,0)))))</f>
        <v>0</v>
      </c>
      <c r="AP83" s="788">
        <f t="shared" si="27"/>
        <v>0</v>
      </c>
      <c r="AQ83" s="306">
        <f t="shared" si="28"/>
        <v>0</v>
      </c>
      <c r="AR83" s="788">
        <f t="shared" si="29"/>
        <v>0</v>
      </c>
      <c r="AS83" s="306">
        <f>IF(P83=0,,
SUM(
IF(OR(リスト!$C$21="小麦",リスト!$C$21="二条大麦",リスト!$C$21="六条大麦",リスト!$C$21="はだか麦",リスト!$C$21="なたね"),IF(OR(AND(Z83=1,K83&lt;9,J83=調査年),AND(Z83=1,K83&gt;=9,J83=調査年-1)),ROUND(L83*P83%,0),),
IF(リスト!$C$21="さとうきび",IF(OR(AND(Z83=1,K83&gt;=4,J83=調査年),AND(Z83=1,K83&lt;4,J83=調査年+1)),ROUND(L83*P83%,0),),
IF(AND(Z83=1,J83=調査年),ROUND(L83*P83%,0),))),
ROUND(N83*P83%,0),
ROUND(SUM(AK83)*P83%,0)
))</f>
        <v>0</v>
      </c>
      <c r="AT83" s="306">
        <f t="shared" si="30"/>
        <v>0</v>
      </c>
      <c r="AU83" s="306" t="str">
        <f t="shared" si="31"/>
        <v/>
      </c>
      <c r="AV83" s="802"/>
      <c r="AW83" s="802"/>
      <c r="AX83" s="802"/>
      <c r="AY83" s="802"/>
      <c r="AZ83" s="802"/>
    </row>
    <row r="84" spans="3:52" s="174" customFormat="1" ht="30" hidden="1" customHeight="1" outlineLevel="1">
      <c r="C84" s="790">
        <v>69</v>
      </c>
      <c r="D84" s="803"/>
      <c r="E84" s="792"/>
      <c r="F84" s="793"/>
      <c r="G84" s="2214"/>
      <c r="H84" s="2215"/>
      <c r="I84" s="794"/>
      <c r="J84" s="795"/>
      <c r="K84" s="796"/>
      <c r="L84" s="797"/>
      <c r="M84" s="797"/>
      <c r="N84" s="797"/>
      <c r="O84" s="797"/>
      <c r="P84" s="1284"/>
      <c r="Q84" s="798"/>
      <c r="R84" s="799"/>
      <c r="S84" s="797"/>
      <c r="T84" s="784"/>
      <c r="U84" s="2"/>
      <c r="V84" s="1295"/>
      <c r="W84" s="785"/>
      <c r="X84" s="2"/>
      <c r="Y84" s="800">
        <f t="shared" si="35"/>
        <v>0</v>
      </c>
      <c r="Z84" s="786">
        <f t="shared" si="32"/>
        <v>0</v>
      </c>
      <c r="AA84" s="786">
        <f t="shared" si="33"/>
        <v>0</v>
      </c>
      <c r="AB84" s="800">
        <f>IF(Y84=0,,VLOOKUP(Y84,リスト!CX:CY,2,0))</f>
        <v>0</v>
      </c>
      <c r="AC84" s="800">
        <f t="shared" si="19"/>
        <v>0</v>
      </c>
      <c r="AD84" s="801">
        <f>IF(AC84=0,,VLOOKUP(AC84,リスト!DK:DL,2,0))</f>
        <v>0</v>
      </c>
      <c r="AE84" s="786">
        <f>IF(Y84=0,,
IF(OR(リスト!$C$21="小麦",リスト!$C$21="二条大麦",リスト!$C$21="六条大麦",リスト!$C$21="はだか麦",リスト!$C$21="なたね"),IF(K84&lt;9,調査年-J84,調査年-J84-1),
IF(リスト!$C$21="さとうきび",IF(K84&gt;=4,調査年-J84,調査年-J84+1),
調査年-J84)))</f>
        <v>0</v>
      </c>
      <c r="AF84" s="306">
        <f t="shared" si="20"/>
        <v>0</v>
      </c>
      <c r="AG84" s="306">
        <f t="shared" si="21"/>
        <v>0</v>
      </c>
      <c r="AH84" s="306">
        <f t="shared" si="22"/>
        <v>0</v>
      </c>
      <c r="AI84" s="306">
        <f t="shared" si="23"/>
        <v>0</v>
      </c>
      <c r="AJ84" s="306">
        <f t="shared" si="24"/>
        <v>0</v>
      </c>
      <c r="AK84" s="306">
        <f t="shared" si="34"/>
        <v>0</v>
      </c>
      <c r="AL84" s="306">
        <f t="shared" si="25"/>
        <v>0</v>
      </c>
      <c r="AM84" s="306">
        <f t="shared" si="26"/>
        <v>0</v>
      </c>
      <c r="AN84" s="477"/>
      <c r="AO84" s="788">
        <f>IF(OR(P84=0,AG84=0),,
IF(OR(リスト!$C$21="小麦",リスト!$C$21="二条大麦",リスト!$C$21="六条大麦",リスト!$C$21="はだか麦",リスト!$C$21="なたね"),IF(OR(AND(K84&lt;9,J84=調査年),AND(K84&gt;=9,J84=調査年-1)),,ROUND(AG84*P84%,0)),
IF(リスト!$C$21="さとうきび",IF(OR(AND(K84&gt;=4,J84=調査年),AND(K84&lt;4,J84=調査年+1)),,ROUND(AG84*P84%,0)),
IF(J84=調査年,,ROUND(AG84*P84%,0)))))</f>
        <v>0</v>
      </c>
      <c r="AP84" s="788">
        <f t="shared" si="27"/>
        <v>0</v>
      </c>
      <c r="AQ84" s="306">
        <f t="shared" si="28"/>
        <v>0</v>
      </c>
      <c r="AR84" s="788">
        <f t="shared" si="29"/>
        <v>0</v>
      </c>
      <c r="AS84" s="306">
        <f>IF(P84=0,,
SUM(
IF(OR(リスト!$C$21="小麦",リスト!$C$21="二条大麦",リスト!$C$21="六条大麦",リスト!$C$21="はだか麦",リスト!$C$21="なたね"),IF(OR(AND(Z84=1,K84&lt;9,J84=調査年),AND(Z84=1,K84&gt;=9,J84=調査年-1)),ROUND(L84*P84%,0),),
IF(リスト!$C$21="さとうきび",IF(OR(AND(Z84=1,K84&gt;=4,J84=調査年),AND(Z84=1,K84&lt;4,J84=調査年+1)),ROUND(L84*P84%,0),),
IF(AND(Z84=1,J84=調査年),ROUND(L84*P84%,0),))),
ROUND(N84*P84%,0),
ROUND(SUM(AK84)*P84%,0)
))</f>
        <v>0</v>
      </c>
      <c r="AT84" s="306">
        <f t="shared" si="30"/>
        <v>0</v>
      </c>
      <c r="AU84" s="306" t="str">
        <f t="shared" si="31"/>
        <v/>
      </c>
      <c r="AV84" s="802"/>
      <c r="AW84" s="802"/>
      <c r="AX84" s="802"/>
      <c r="AY84" s="802"/>
      <c r="AZ84" s="802"/>
    </row>
    <row r="85" spans="3:52" s="174" customFormat="1" ht="30" hidden="1" customHeight="1" outlineLevel="1">
      <c r="C85" s="790">
        <v>70</v>
      </c>
      <c r="D85" s="803"/>
      <c r="E85" s="792"/>
      <c r="F85" s="793"/>
      <c r="G85" s="2214"/>
      <c r="H85" s="2215"/>
      <c r="I85" s="794"/>
      <c r="J85" s="795"/>
      <c r="K85" s="796"/>
      <c r="L85" s="797"/>
      <c r="M85" s="797"/>
      <c r="N85" s="797"/>
      <c r="O85" s="797"/>
      <c r="P85" s="1284"/>
      <c r="Q85" s="798"/>
      <c r="R85" s="799"/>
      <c r="S85" s="797"/>
      <c r="T85" s="784"/>
      <c r="U85" s="2"/>
      <c r="V85" s="1295"/>
      <c r="W85" s="785"/>
      <c r="X85" s="2"/>
      <c r="Y85" s="800">
        <f t="shared" si="35"/>
        <v>0</v>
      </c>
      <c r="Z85" s="786">
        <f t="shared" si="32"/>
        <v>0</v>
      </c>
      <c r="AA85" s="786">
        <f t="shared" si="33"/>
        <v>0</v>
      </c>
      <c r="AB85" s="800">
        <f>IF(Y85=0,,VLOOKUP(Y85,リスト!CX:CY,2,0))</f>
        <v>0</v>
      </c>
      <c r="AC85" s="800">
        <f t="shared" si="19"/>
        <v>0</v>
      </c>
      <c r="AD85" s="801">
        <f>IF(AC85=0,,VLOOKUP(AC85,リスト!DK:DL,2,0))</f>
        <v>0</v>
      </c>
      <c r="AE85" s="786">
        <f>IF(Y85=0,,
IF(OR(リスト!$C$21="小麦",リスト!$C$21="二条大麦",リスト!$C$21="六条大麦",リスト!$C$21="はだか麦",リスト!$C$21="なたね"),IF(K85&lt;9,調査年-J85,調査年-J85-1),
IF(リスト!$C$21="さとうきび",IF(K85&gt;=4,調査年-J85,調査年-J85+1),
調査年-J85)))</f>
        <v>0</v>
      </c>
      <c r="AF85" s="306">
        <f t="shared" si="20"/>
        <v>0</v>
      </c>
      <c r="AG85" s="306">
        <f t="shared" si="21"/>
        <v>0</v>
      </c>
      <c r="AH85" s="306">
        <f t="shared" si="22"/>
        <v>0</v>
      </c>
      <c r="AI85" s="306">
        <f t="shared" si="23"/>
        <v>0</v>
      </c>
      <c r="AJ85" s="306">
        <f t="shared" si="24"/>
        <v>0</v>
      </c>
      <c r="AK85" s="306">
        <f t="shared" si="34"/>
        <v>0</v>
      </c>
      <c r="AL85" s="306">
        <f t="shared" si="25"/>
        <v>0</v>
      </c>
      <c r="AM85" s="306">
        <f t="shared" si="26"/>
        <v>0</v>
      </c>
      <c r="AN85" s="477"/>
      <c r="AO85" s="788">
        <f>IF(OR(P85=0,AG85=0),,
IF(OR(リスト!$C$21="小麦",リスト!$C$21="二条大麦",リスト!$C$21="六条大麦",リスト!$C$21="はだか麦",リスト!$C$21="なたね"),IF(OR(AND(K85&lt;9,J85=調査年),AND(K85&gt;=9,J85=調査年-1)),,ROUND(AG85*P85%,0)),
IF(リスト!$C$21="さとうきび",IF(OR(AND(K85&gt;=4,J85=調査年),AND(K85&lt;4,J85=調査年+1)),,ROUND(AG85*P85%,0)),
IF(J85=調査年,,ROUND(AG85*P85%,0)))))</f>
        <v>0</v>
      </c>
      <c r="AP85" s="788">
        <f t="shared" si="27"/>
        <v>0</v>
      </c>
      <c r="AQ85" s="306">
        <f t="shared" si="28"/>
        <v>0</v>
      </c>
      <c r="AR85" s="788">
        <f t="shared" si="29"/>
        <v>0</v>
      </c>
      <c r="AS85" s="306">
        <f>IF(P85=0,,
SUM(
IF(OR(リスト!$C$21="小麦",リスト!$C$21="二条大麦",リスト!$C$21="六条大麦",リスト!$C$21="はだか麦",リスト!$C$21="なたね"),IF(OR(AND(Z85=1,K85&lt;9,J85=調査年),AND(Z85=1,K85&gt;=9,J85=調査年-1)),ROUND(L85*P85%,0),),
IF(リスト!$C$21="さとうきび",IF(OR(AND(Z85=1,K85&gt;=4,J85=調査年),AND(Z85=1,K85&lt;4,J85=調査年+1)),ROUND(L85*P85%,0),),
IF(AND(Z85=1,J85=調査年),ROUND(L85*P85%,0),))),
ROUND(N85*P85%,0),
ROUND(SUM(AK85)*P85%,0)
))</f>
        <v>0</v>
      </c>
      <c r="AT85" s="306">
        <f t="shared" si="30"/>
        <v>0</v>
      </c>
      <c r="AU85" s="306" t="str">
        <f t="shared" si="31"/>
        <v/>
      </c>
      <c r="AV85" s="802"/>
      <c r="AW85" s="802"/>
      <c r="AX85" s="802"/>
      <c r="AY85" s="802"/>
      <c r="AZ85" s="802"/>
    </row>
    <row r="86" spans="3:52" s="174" customFormat="1" ht="30" hidden="1" customHeight="1" outlineLevel="1">
      <c r="C86" s="790">
        <v>71</v>
      </c>
      <c r="D86" s="803"/>
      <c r="E86" s="792"/>
      <c r="F86" s="793"/>
      <c r="G86" s="2214"/>
      <c r="H86" s="2215"/>
      <c r="I86" s="794"/>
      <c r="J86" s="795"/>
      <c r="K86" s="796"/>
      <c r="L86" s="797"/>
      <c r="M86" s="797"/>
      <c r="N86" s="797"/>
      <c r="O86" s="797"/>
      <c r="P86" s="1284"/>
      <c r="Q86" s="798"/>
      <c r="R86" s="799"/>
      <c r="S86" s="797"/>
      <c r="T86" s="784"/>
      <c r="U86" s="2"/>
      <c r="V86" s="1295"/>
      <c r="W86" s="785"/>
      <c r="X86" s="2"/>
      <c r="Y86" s="800">
        <f t="shared" si="35"/>
        <v>0</v>
      </c>
      <c r="Z86" s="786">
        <f t="shared" si="32"/>
        <v>0</v>
      </c>
      <c r="AA86" s="786">
        <f t="shared" si="33"/>
        <v>0</v>
      </c>
      <c r="AB86" s="800">
        <f>IF(Y86=0,,VLOOKUP(Y86,リスト!CX:CY,2,0))</f>
        <v>0</v>
      </c>
      <c r="AC86" s="800">
        <f t="shared" si="19"/>
        <v>0</v>
      </c>
      <c r="AD86" s="801">
        <f>IF(AC86=0,,VLOOKUP(AC86,リスト!DK:DL,2,0))</f>
        <v>0</v>
      </c>
      <c r="AE86" s="786">
        <f>IF(Y86=0,,
IF(OR(リスト!$C$21="小麦",リスト!$C$21="二条大麦",リスト!$C$21="六条大麦",リスト!$C$21="はだか麦",リスト!$C$21="なたね"),IF(K86&lt;9,調査年-J86,調査年-J86-1),
IF(リスト!$C$21="さとうきび",IF(K86&gt;=4,調査年-J86,調査年-J86+1),
調査年-J86)))</f>
        <v>0</v>
      </c>
      <c r="AF86" s="306">
        <f t="shared" si="20"/>
        <v>0</v>
      </c>
      <c r="AG86" s="306">
        <f t="shared" si="21"/>
        <v>0</v>
      </c>
      <c r="AH86" s="306">
        <f t="shared" si="22"/>
        <v>0</v>
      </c>
      <c r="AI86" s="306">
        <f t="shared" si="23"/>
        <v>0</v>
      </c>
      <c r="AJ86" s="306">
        <f t="shared" si="24"/>
        <v>0</v>
      </c>
      <c r="AK86" s="306">
        <f t="shared" si="34"/>
        <v>0</v>
      </c>
      <c r="AL86" s="306">
        <f t="shared" si="25"/>
        <v>0</v>
      </c>
      <c r="AM86" s="306">
        <f t="shared" si="26"/>
        <v>0</v>
      </c>
      <c r="AN86" s="477"/>
      <c r="AO86" s="788">
        <f>IF(OR(P86=0,AG86=0),,
IF(OR(リスト!$C$21="小麦",リスト!$C$21="二条大麦",リスト!$C$21="六条大麦",リスト!$C$21="はだか麦",リスト!$C$21="なたね"),IF(OR(AND(K86&lt;9,J86=調査年),AND(K86&gt;=9,J86=調査年-1)),,ROUND(AG86*P86%,0)),
IF(リスト!$C$21="さとうきび",IF(OR(AND(K86&gt;=4,J86=調査年),AND(K86&lt;4,J86=調査年+1)),,ROUND(AG86*P86%,0)),
IF(J86=調査年,,ROUND(AG86*P86%,0)))))</f>
        <v>0</v>
      </c>
      <c r="AP86" s="788">
        <f t="shared" si="27"/>
        <v>0</v>
      </c>
      <c r="AQ86" s="306">
        <f t="shared" si="28"/>
        <v>0</v>
      </c>
      <c r="AR86" s="788">
        <f t="shared" si="29"/>
        <v>0</v>
      </c>
      <c r="AS86" s="306">
        <f>IF(P86=0,,
SUM(
IF(OR(リスト!$C$21="小麦",リスト!$C$21="二条大麦",リスト!$C$21="六条大麦",リスト!$C$21="はだか麦",リスト!$C$21="なたね"),IF(OR(AND(Z86=1,K86&lt;9,J86=調査年),AND(Z86=1,K86&gt;=9,J86=調査年-1)),ROUND(L86*P86%,0),),
IF(リスト!$C$21="さとうきび",IF(OR(AND(Z86=1,K86&gt;=4,J86=調査年),AND(Z86=1,K86&lt;4,J86=調査年+1)),ROUND(L86*P86%,0),),
IF(AND(Z86=1,J86=調査年),ROUND(L86*P86%,0),))),
ROUND(N86*P86%,0),
ROUND(SUM(AK86)*P86%,0)
))</f>
        <v>0</v>
      </c>
      <c r="AT86" s="306">
        <f t="shared" si="30"/>
        <v>0</v>
      </c>
      <c r="AU86" s="306" t="str">
        <f t="shared" si="31"/>
        <v/>
      </c>
      <c r="AV86" s="802"/>
      <c r="AW86" s="802"/>
      <c r="AX86" s="802"/>
      <c r="AY86" s="802"/>
      <c r="AZ86" s="802"/>
    </row>
    <row r="87" spans="3:52" s="174" customFormat="1" ht="30" hidden="1" customHeight="1" outlineLevel="1">
      <c r="C87" s="790">
        <v>72</v>
      </c>
      <c r="D87" s="803"/>
      <c r="E87" s="792"/>
      <c r="F87" s="793"/>
      <c r="G87" s="2214"/>
      <c r="H87" s="2215"/>
      <c r="I87" s="794"/>
      <c r="J87" s="795"/>
      <c r="K87" s="796"/>
      <c r="L87" s="797"/>
      <c r="M87" s="797"/>
      <c r="N87" s="797"/>
      <c r="O87" s="797"/>
      <c r="P87" s="1284"/>
      <c r="Q87" s="798"/>
      <c r="R87" s="799"/>
      <c r="S87" s="797"/>
      <c r="T87" s="784"/>
      <c r="U87" s="2"/>
      <c r="V87" s="1295"/>
      <c r="W87" s="785"/>
      <c r="X87" s="2"/>
      <c r="Y87" s="800">
        <f t="shared" si="35"/>
        <v>0</v>
      </c>
      <c r="Z87" s="786">
        <f t="shared" si="32"/>
        <v>0</v>
      </c>
      <c r="AA87" s="786">
        <f t="shared" si="33"/>
        <v>0</v>
      </c>
      <c r="AB87" s="800">
        <f>IF(Y87=0,,VLOOKUP(Y87,リスト!CX:CY,2,0))</f>
        <v>0</v>
      </c>
      <c r="AC87" s="800">
        <f t="shared" si="19"/>
        <v>0</v>
      </c>
      <c r="AD87" s="801">
        <f>IF(AC87=0,,VLOOKUP(AC87,リスト!DK:DL,2,0))</f>
        <v>0</v>
      </c>
      <c r="AE87" s="786">
        <f>IF(Y87=0,,
IF(OR(リスト!$C$21="小麦",リスト!$C$21="二条大麦",リスト!$C$21="六条大麦",リスト!$C$21="はだか麦",リスト!$C$21="なたね"),IF(K87&lt;9,調査年-J87,調査年-J87-1),
IF(リスト!$C$21="さとうきび",IF(K87&gt;=4,調査年-J87,調査年-J87+1),
調査年-J87)))</f>
        <v>0</v>
      </c>
      <c r="AF87" s="306">
        <f t="shared" si="20"/>
        <v>0</v>
      </c>
      <c r="AG87" s="306">
        <f t="shared" si="21"/>
        <v>0</v>
      </c>
      <c r="AH87" s="306">
        <f t="shared" si="22"/>
        <v>0</v>
      </c>
      <c r="AI87" s="306">
        <f t="shared" si="23"/>
        <v>0</v>
      </c>
      <c r="AJ87" s="306">
        <f t="shared" si="24"/>
        <v>0</v>
      </c>
      <c r="AK87" s="306">
        <f t="shared" si="34"/>
        <v>0</v>
      </c>
      <c r="AL87" s="306">
        <f t="shared" si="25"/>
        <v>0</v>
      </c>
      <c r="AM87" s="306">
        <f t="shared" si="26"/>
        <v>0</v>
      </c>
      <c r="AN87" s="477"/>
      <c r="AO87" s="788">
        <f>IF(OR(P87=0,AG87=0),,
IF(OR(リスト!$C$21="小麦",リスト!$C$21="二条大麦",リスト!$C$21="六条大麦",リスト!$C$21="はだか麦",リスト!$C$21="なたね"),IF(OR(AND(K87&lt;9,J87=調査年),AND(K87&gt;=9,J87=調査年-1)),,ROUND(AG87*P87%,0)),
IF(リスト!$C$21="さとうきび",IF(OR(AND(K87&gt;=4,J87=調査年),AND(K87&lt;4,J87=調査年+1)),,ROUND(AG87*P87%,0)),
IF(J87=調査年,,ROUND(AG87*P87%,0)))))</f>
        <v>0</v>
      </c>
      <c r="AP87" s="788">
        <f t="shared" si="27"/>
        <v>0</v>
      </c>
      <c r="AQ87" s="306">
        <f t="shared" si="28"/>
        <v>0</v>
      </c>
      <c r="AR87" s="788">
        <f t="shared" si="29"/>
        <v>0</v>
      </c>
      <c r="AS87" s="306">
        <f>IF(P87=0,,
SUM(
IF(OR(リスト!$C$21="小麦",リスト!$C$21="二条大麦",リスト!$C$21="六条大麦",リスト!$C$21="はだか麦",リスト!$C$21="なたね"),IF(OR(AND(Z87=1,K87&lt;9,J87=調査年),AND(Z87=1,K87&gt;=9,J87=調査年-1)),ROUND(L87*P87%,0),),
IF(リスト!$C$21="さとうきび",IF(OR(AND(Z87=1,K87&gt;=4,J87=調査年),AND(Z87=1,K87&lt;4,J87=調査年+1)),ROUND(L87*P87%,0),),
IF(AND(Z87=1,J87=調査年),ROUND(L87*P87%,0),))),
ROUND(N87*P87%,0),
ROUND(SUM(AK87)*P87%,0)
))</f>
        <v>0</v>
      </c>
      <c r="AT87" s="306">
        <f t="shared" si="30"/>
        <v>0</v>
      </c>
      <c r="AU87" s="306" t="str">
        <f t="shared" si="31"/>
        <v/>
      </c>
      <c r="AV87" s="802"/>
      <c r="AW87" s="802"/>
      <c r="AX87" s="802"/>
      <c r="AY87" s="802"/>
      <c r="AZ87" s="802"/>
    </row>
    <row r="88" spans="3:52" s="174" customFormat="1" ht="30" hidden="1" customHeight="1" outlineLevel="1">
      <c r="C88" s="790">
        <v>73</v>
      </c>
      <c r="D88" s="803"/>
      <c r="E88" s="792"/>
      <c r="F88" s="793"/>
      <c r="G88" s="2214"/>
      <c r="H88" s="2215"/>
      <c r="I88" s="794"/>
      <c r="J88" s="795"/>
      <c r="K88" s="796"/>
      <c r="L88" s="797"/>
      <c r="M88" s="797"/>
      <c r="N88" s="797"/>
      <c r="O88" s="797"/>
      <c r="P88" s="1284"/>
      <c r="Q88" s="798"/>
      <c r="R88" s="799"/>
      <c r="S88" s="797"/>
      <c r="T88" s="784"/>
      <c r="U88" s="2"/>
      <c r="V88" s="1295"/>
      <c r="W88" s="785"/>
      <c r="X88" s="2"/>
      <c r="Y88" s="800">
        <f t="shared" si="35"/>
        <v>0</v>
      </c>
      <c r="Z88" s="786">
        <f t="shared" si="32"/>
        <v>0</v>
      </c>
      <c r="AA88" s="786">
        <f t="shared" si="33"/>
        <v>0</v>
      </c>
      <c r="AB88" s="800">
        <f>IF(Y88=0,,VLOOKUP(Y88,リスト!CX:CY,2,0))</f>
        <v>0</v>
      </c>
      <c r="AC88" s="800">
        <f t="shared" si="19"/>
        <v>0</v>
      </c>
      <c r="AD88" s="801">
        <f>IF(AC88=0,,VLOOKUP(AC88,リスト!DK:DL,2,0))</f>
        <v>0</v>
      </c>
      <c r="AE88" s="786">
        <f>IF(Y88=0,,
IF(OR(リスト!$C$21="小麦",リスト!$C$21="二条大麦",リスト!$C$21="六条大麦",リスト!$C$21="はだか麦",リスト!$C$21="なたね"),IF(K88&lt;9,調査年-J88,調査年-J88-1),
IF(リスト!$C$21="さとうきび",IF(K88&gt;=4,調査年-J88,調査年-J88+1),
調査年-J88)))</f>
        <v>0</v>
      </c>
      <c r="AF88" s="306">
        <f t="shared" si="20"/>
        <v>0</v>
      </c>
      <c r="AG88" s="306">
        <f t="shared" si="21"/>
        <v>0</v>
      </c>
      <c r="AH88" s="306">
        <f t="shared" si="22"/>
        <v>0</v>
      </c>
      <c r="AI88" s="306">
        <f t="shared" si="23"/>
        <v>0</v>
      </c>
      <c r="AJ88" s="306">
        <f t="shared" si="24"/>
        <v>0</v>
      </c>
      <c r="AK88" s="306">
        <f t="shared" si="34"/>
        <v>0</v>
      </c>
      <c r="AL88" s="306">
        <f t="shared" si="25"/>
        <v>0</v>
      </c>
      <c r="AM88" s="306">
        <f t="shared" si="26"/>
        <v>0</v>
      </c>
      <c r="AN88" s="477"/>
      <c r="AO88" s="788">
        <f>IF(OR(P88=0,AG88=0),,
IF(OR(リスト!$C$21="小麦",リスト!$C$21="二条大麦",リスト!$C$21="六条大麦",リスト!$C$21="はだか麦",リスト!$C$21="なたね"),IF(OR(AND(K88&lt;9,J88=調査年),AND(K88&gt;=9,J88=調査年-1)),,ROUND(AG88*P88%,0)),
IF(リスト!$C$21="さとうきび",IF(OR(AND(K88&gt;=4,J88=調査年),AND(K88&lt;4,J88=調査年+1)),,ROUND(AG88*P88%,0)),
IF(J88=調査年,,ROUND(AG88*P88%,0)))))</f>
        <v>0</v>
      </c>
      <c r="AP88" s="788">
        <f t="shared" si="27"/>
        <v>0</v>
      </c>
      <c r="AQ88" s="306">
        <f t="shared" si="28"/>
        <v>0</v>
      </c>
      <c r="AR88" s="788">
        <f t="shared" si="29"/>
        <v>0</v>
      </c>
      <c r="AS88" s="306">
        <f>IF(P88=0,,
SUM(
IF(OR(リスト!$C$21="小麦",リスト!$C$21="二条大麦",リスト!$C$21="六条大麦",リスト!$C$21="はだか麦",リスト!$C$21="なたね"),IF(OR(AND(Z88=1,K88&lt;9,J88=調査年),AND(Z88=1,K88&gt;=9,J88=調査年-1)),ROUND(L88*P88%,0),),
IF(リスト!$C$21="さとうきび",IF(OR(AND(Z88=1,K88&gt;=4,J88=調査年),AND(Z88=1,K88&lt;4,J88=調査年+1)),ROUND(L88*P88%,0),),
IF(AND(Z88=1,J88=調査年),ROUND(L88*P88%,0),))),
ROUND(N88*P88%,0),
ROUND(SUM(AK88)*P88%,0)
))</f>
        <v>0</v>
      </c>
      <c r="AT88" s="306">
        <f t="shared" si="30"/>
        <v>0</v>
      </c>
      <c r="AU88" s="306" t="str">
        <f t="shared" si="31"/>
        <v/>
      </c>
      <c r="AV88" s="802"/>
      <c r="AW88" s="802"/>
      <c r="AX88" s="802"/>
      <c r="AY88" s="802"/>
      <c r="AZ88" s="802"/>
    </row>
    <row r="89" spans="3:52" s="174" customFormat="1" ht="30" hidden="1" customHeight="1" outlineLevel="1">
      <c r="C89" s="790">
        <v>74</v>
      </c>
      <c r="D89" s="803"/>
      <c r="E89" s="792"/>
      <c r="F89" s="793"/>
      <c r="G89" s="2214"/>
      <c r="H89" s="2215"/>
      <c r="I89" s="794"/>
      <c r="J89" s="795"/>
      <c r="K89" s="796"/>
      <c r="L89" s="797"/>
      <c r="M89" s="797"/>
      <c r="N89" s="797"/>
      <c r="O89" s="797"/>
      <c r="P89" s="1284"/>
      <c r="Q89" s="798"/>
      <c r="R89" s="799"/>
      <c r="S89" s="797"/>
      <c r="T89" s="784"/>
      <c r="U89" s="2"/>
      <c r="V89" s="1295"/>
      <c r="W89" s="785"/>
      <c r="X89" s="2"/>
      <c r="Y89" s="800">
        <f t="shared" si="35"/>
        <v>0</v>
      </c>
      <c r="Z89" s="786">
        <f t="shared" si="32"/>
        <v>0</v>
      </c>
      <c r="AA89" s="786">
        <f t="shared" si="33"/>
        <v>0</v>
      </c>
      <c r="AB89" s="800">
        <f>IF(Y89=0,,VLOOKUP(Y89,リスト!CX:CY,2,0))</f>
        <v>0</v>
      </c>
      <c r="AC89" s="800">
        <f t="shared" si="19"/>
        <v>0</v>
      </c>
      <c r="AD89" s="801">
        <f>IF(AC89=0,,VLOOKUP(AC89,リスト!DK:DL,2,0))</f>
        <v>0</v>
      </c>
      <c r="AE89" s="786">
        <f>IF(Y89=0,,
IF(OR(リスト!$C$21="小麦",リスト!$C$21="二条大麦",リスト!$C$21="六条大麦",リスト!$C$21="はだか麦",リスト!$C$21="なたね"),IF(K89&lt;9,調査年-J89,調査年-J89-1),
IF(リスト!$C$21="さとうきび",IF(K89&gt;=4,調査年-J89,調査年-J89+1),
調査年-J89)))</f>
        <v>0</v>
      </c>
      <c r="AF89" s="306">
        <f t="shared" si="20"/>
        <v>0</v>
      </c>
      <c r="AG89" s="306">
        <f t="shared" si="21"/>
        <v>0</v>
      </c>
      <c r="AH89" s="306">
        <f t="shared" si="22"/>
        <v>0</v>
      </c>
      <c r="AI89" s="306">
        <f t="shared" si="23"/>
        <v>0</v>
      </c>
      <c r="AJ89" s="306">
        <f t="shared" si="24"/>
        <v>0</v>
      </c>
      <c r="AK89" s="306">
        <f t="shared" si="34"/>
        <v>0</v>
      </c>
      <c r="AL89" s="306">
        <f t="shared" si="25"/>
        <v>0</v>
      </c>
      <c r="AM89" s="306">
        <f t="shared" si="26"/>
        <v>0</v>
      </c>
      <c r="AN89" s="477"/>
      <c r="AO89" s="788">
        <f>IF(OR(P89=0,AG89=0),,
IF(OR(リスト!$C$21="小麦",リスト!$C$21="二条大麦",リスト!$C$21="六条大麦",リスト!$C$21="はだか麦",リスト!$C$21="なたね"),IF(OR(AND(K89&lt;9,J89=調査年),AND(K89&gt;=9,J89=調査年-1)),,ROUND(AG89*P89%,0)),
IF(リスト!$C$21="さとうきび",IF(OR(AND(K89&gt;=4,J89=調査年),AND(K89&lt;4,J89=調査年+1)),,ROUND(AG89*P89%,0)),
IF(J89=調査年,,ROUND(AG89*P89%,0)))))</f>
        <v>0</v>
      </c>
      <c r="AP89" s="788">
        <f t="shared" si="27"/>
        <v>0</v>
      </c>
      <c r="AQ89" s="306">
        <f t="shared" si="28"/>
        <v>0</v>
      </c>
      <c r="AR89" s="788">
        <f t="shared" si="29"/>
        <v>0</v>
      </c>
      <c r="AS89" s="306">
        <f>IF(P89=0,,
SUM(
IF(OR(リスト!$C$21="小麦",リスト!$C$21="二条大麦",リスト!$C$21="六条大麦",リスト!$C$21="はだか麦",リスト!$C$21="なたね"),IF(OR(AND(Z89=1,K89&lt;9,J89=調査年),AND(Z89=1,K89&gt;=9,J89=調査年-1)),ROUND(L89*P89%,0),),
IF(リスト!$C$21="さとうきび",IF(OR(AND(Z89=1,K89&gt;=4,J89=調査年),AND(Z89=1,K89&lt;4,J89=調査年+1)),ROUND(L89*P89%,0),),
IF(AND(Z89=1,J89=調査年),ROUND(L89*P89%,0),))),
ROUND(N89*P89%,0),
ROUND(SUM(AK89)*P89%,0)
))</f>
        <v>0</v>
      </c>
      <c r="AT89" s="306">
        <f t="shared" si="30"/>
        <v>0</v>
      </c>
      <c r="AU89" s="306" t="str">
        <f t="shared" si="31"/>
        <v/>
      </c>
      <c r="AV89" s="802"/>
      <c r="AW89" s="802"/>
      <c r="AX89" s="802"/>
      <c r="AY89" s="802"/>
      <c r="AZ89" s="802"/>
    </row>
    <row r="90" spans="3:52" s="174" customFormat="1" ht="30" hidden="1" customHeight="1" outlineLevel="1">
      <c r="C90" s="790">
        <v>75</v>
      </c>
      <c r="D90" s="803"/>
      <c r="E90" s="792"/>
      <c r="F90" s="793"/>
      <c r="G90" s="2214"/>
      <c r="H90" s="2215"/>
      <c r="I90" s="794"/>
      <c r="J90" s="795"/>
      <c r="K90" s="796"/>
      <c r="L90" s="797"/>
      <c r="M90" s="797"/>
      <c r="N90" s="797"/>
      <c r="O90" s="797"/>
      <c r="P90" s="1284"/>
      <c r="Q90" s="798"/>
      <c r="R90" s="799"/>
      <c r="S90" s="797"/>
      <c r="T90" s="784"/>
      <c r="U90" s="2"/>
      <c r="V90" s="1295"/>
      <c r="W90" s="785"/>
      <c r="X90" s="2"/>
      <c r="Y90" s="800">
        <f t="shared" si="35"/>
        <v>0</v>
      </c>
      <c r="Z90" s="786">
        <f t="shared" si="32"/>
        <v>0</v>
      </c>
      <c r="AA90" s="786">
        <f t="shared" si="33"/>
        <v>0</v>
      </c>
      <c r="AB90" s="800">
        <f>IF(Y90=0,,VLOOKUP(Y90,リスト!CX:CY,2,0))</f>
        <v>0</v>
      </c>
      <c r="AC90" s="800">
        <f t="shared" si="19"/>
        <v>0</v>
      </c>
      <c r="AD90" s="801">
        <f>IF(AC90=0,,VLOOKUP(AC90,リスト!DK:DL,2,0))</f>
        <v>0</v>
      </c>
      <c r="AE90" s="786">
        <f>IF(Y90=0,,
IF(OR(リスト!$C$21="小麦",リスト!$C$21="二条大麦",リスト!$C$21="六条大麦",リスト!$C$21="はだか麦",リスト!$C$21="なたね"),IF(K90&lt;9,調査年-J90,調査年-J90-1),
IF(リスト!$C$21="さとうきび",IF(K90&gt;=4,調査年-J90,調査年-J90+1),
調査年-J90)))</f>
        <v>0</v>
      </c>
      <c r="AF90" s="306">
        <f t="shared" si="20"/>
        <v>0</v>
      </c>
      <c r="AG90" s="306">
        <f t="shared" si="21"/>
        <v>0</v>
      </c>
      <c r="AH90" s="306">
        <f t="shared" si="22"/>
        <v>0</v>
      </c>
      <c r="AI90" s="306">
        <f t="shared" si="23"/>
        <v>0</v>
      </c>
      <c r="AJ90" s="306">
        <f t="shared" si="24"/>
        <v>0</v>
      </c>
      <c r="AK90" s="306">
        <f t="shared" si="34"/>
        <v>0</v>
      </c>
      <c r="AL90" s="306">
        <f t="shared" si="25"/>
        <v>0</v>
      </c>
      <c r="AM90" s="306">
        <f t="shared" si="26"/>
        <v>0</v>
      </c>
      <c r="AN90" s="477"/>
      <c r="AO90" s="788">
        <f>IF(OR(P90=0,AG90=0),,
IF(OR(リスト!$C$21="小麦",リスト!$C$21="二条大麦",リスト!$C$21="六条大麦",リスト!$C$21="はだか麦",リスト!$C$21="なたね"),IF(OR(AND(K90&lt;9,J90=調査年),AND(K90&gt;=9,J90=調査年-1)),,ROUND(AG90*P90%,0)),
IF(リスト!$C$21="さとうきび",IF(OR(AND(K90&gt;=4,J90=調査年),AND(K90&lt;4,J90=調査年+1)),,ROUND(AG90*P90%,0)),
IF(J90=調査年,,ROUND(AG90*P90%,0)))))</f>
        <v>0</v>
      </c>
      <c r="AP90" s="788">
        <f t="shared" si="27"/>
        <v>0</v>
      </c>
      <c r="AQ90" s="306">
        <f t="shared" si="28"/>
        <v>0</v>
      </c>
      <c r="AR90" s="788">
        <f t="shared" si="29"/>
        <v>0</v>
      </c>
      <c r="AS90" s="306">
        <f>IF(P90=0,,
SUM(
IF(OR(リスト!$C$21="小麦",リスト!$C$21="二条大麦",リスト!$C$21="六条大麦",リスト!$C$21="はだか麦",リスト!$C$21="なたね"),IF(OR(AND(Z90=1,K90&lt;9,J90=調査年),AND(Z90=1,K90&gt;=9,J90=調査年-1)),ROUND(L90*P90%,0),),
IF(リスト!$C$21="さとうきび",IF(OR(AND(Z90=1,K90&gt;=4,J90=調査年),AND(Z90=1,K90&lt;4,J90=調査年+1)),ROUND(L90*P90%,0),),
IF(AND(Z90=1,J90=調査年),ROUND(L90*P90%,0),))),
ROUND(N90*P90%,0),
ROUND(SUM(AK90)*P90%,0)
))</f>
        <v>0</v>
      </c>
      <c r="AT90" s="306">
        <f t="shared" si="30"/>
        <v>0</v>
      </c>
      <c r="AU90" s="306" t="str">
        <f t="shared" si="31"/>
        <v/>
      </c>
      <c r="AV90" s="802"/>
      <c r="AW90" s="802"/>
      <c r="AX90" s="802"/>
      <c r="AY90" s="802"/>
      <c r="AZ90" s="802"/>
    </row>
    <row r="91" spans="3:52" s="174" customFormat="1" ht="30" hidden="1" customHeight="1" outlineLevel="1">
      <c r="C91" s="790">
        <v>76</v>
      </c>
      <c r="D91" s="803"/>
      <c r="E91" s="792"/>
      <c r="F91" s="793"/>
      <c r="G91" s="2214"/>
      <c r="H91" s="2215"/>
      <c r="I91" s="794"/>
      <c r="J91" s="795"/>
      <c r="K91" s="796"/>
      <c r="L91" s="797"/>
      <c r="M91" s="797"/>
      <c r="N91" s="797"/>
      <c r="O91" s="797"/>
      <c r="P91" s="1284"/>
      <c r="Q91" s="798"/>
      <c r="R91" s="799"/>
      <c r="S91" s="797"/>
      <c r="T91" s="784"/>
      <c r="U91" s="2"/>
      <c r="V91" s="1295"/>
      <c r="W91" s="785"/>
      <c r="X91" s="2"/>
      <c r="Y91" s="800">
        <f t="shared" si="35"/>
        <v>0</v>
      </c>
      <c r="Z91" s="786">
        <f t="shared" si="32"/>
        <v>0</v>
      </c>
      <c r="AA91" s="786">
        <f t="shared" si="33"/>
        <v>0</v>
      </c>
      <c r="AB91" s="800">
        <f>IF(Y91=0,,VLOOKUP(Y91,リスト!CX:CY,2,0))</f>
        <v>0</v>
      </c>
      <c r="AC91" s="800">
        <f t="shared" si="19"/>
        <v>0</v>
      </c>
      <c r="AD91" s="801">
        <f>IF(AC91=0,,VLOOKUP(AC91,リスト!DK:DL,2,0))</f>
        <v>0</v>
      </c>
      <c r="AE91" s="786">
        <f>IF(Y91=0,,
IF(OR(リスト!$C$21="小麦",リスト!$C$21="二条大麦",リスト!$C$21="六条大麦",リスト!$C$21="はだか麦",リスト!$C$21="なたね"),IF(K91&lt;9,調査年-J91,調査年-J91-1),
IF(リスト!$C$21="さとうきび",IF(K91&gt;=4,調査年-J91,調査年-J91+1),
調査年-J91)))</f>
        <v>0</v>
      </c>
      <c r="AF91" s="306">
        <f t="shared" si="20"/>
        <v>0</v>
      </c>
      <c r="AG91" s="306">
        <f t="shared" si="21"/>
        <v>0</v>
      </c>
      <c r="AH91" s="306">
        <f t="shared" si="22"/>
        <v>0</v>
      </c>
      <c r="AI91" s="306">
        <f t="shared" si="23"/>
        <v>0</v>
      </c>
      <c r="AJ91" s="306">
        <f t="shared" si="24"/>
        <v>0</v>
      </c>
      <c r="AK91" s="306">
        <f t="shared" si="34"/>
        <v>0</v>
      </c>
      <c r="AL91" s="306">
        <f t="shared" si="25"/>
        <v>0</v>
      </c>
      <c r="AM91" s="306">
        <f t="shared" si="26"/>
        <v>0</v>
      </c>
      <c r="AN91" s="477"/>
      <c r="AO91" s="788">
        <f>IF(OR(P91=0,AG91=0),,
IF(OR(リスト!$C$21="小麦",リスト!$C$21="二条大麦",リスト!$C$21="六条大麦",リスト!$C$21="はだか麦",リスト!$C$21="なたね"),IF(OR(AND(K91&lt;9,J91=調査年),AND(K91&gt;=9,J91=調査年-1)),,ROUND(AG91*P91%,0)),
IF(リスト!$C$21="さとうきび",IF(OR(AND(K91&gt;=4,J91=調査年),AND(K91&lt;4,J91=調査年+1)),,ROUND(AG91*P91%,0)),
IF(J91=調査年,,ROUND(AG91*P91%,0)))))</f>
        <v>0</v>
      </c>
      <c r="AP91" s="788">
        <f t="shared" si="27"/>
        <v>0</v>
      </c>
      <c r="AQ91" s="306">
        <f t="shared" si="28"/>
        <v>0</v>
      </c>
      <c r="AR91" s="788">
        <f t="shared" si="29"/>
        <v>0</v>
      </c>
      <c r="AS91" s="306">
        <f>IF(P91=0,,
SUM(
IF(OR(リスト!$C$21="小麦",リスト!$C$21="二条大麦",リスト!$C$21="六条大麦",リスト!$C$21="はだか麦",リスト!$C$21="なたね"),IF(OR(AND(Z91=1,K91&lt;9,J91=調査年),AND(Z91=1,K91&gt;=9,J91=調査年-1)),ROUND(L91*P91%,0),),
IF(リスト!$C$21="さとうきび",IF(OR(AND(Z91=1,K91&gt;=4,J91=調査年),AND(Z91=1,K91&lt;4,J91=調査年+1)),ROUND(L91*P91%,0),),
IF(AND(Z91=1,J91=調査年),ROUND(L91*P91%,0),))),
ROUND(N91*P91%,0),
ROUND(SUM(AK91)*P91%,0)
))</f>
        <v>0</v>
      </c>
      <c r="AT91" s="306">
        <f t="shared" si="30"/>
        <v>0</v>
      </c>
      <c r="AU91" s="306" t="str">
        <f t="shared" si="31"/>
        <v/>
      </c>
      <c r="AV91" s="802"/>
      <c r="AW91" s="802"/>
      <c r="AX91" s="802"/>
      <c r="AY91" s="802"/>
      <c r="AZ91" s="802"/>
    </row>
    <row r="92" spans="3:52" s="174" customFormat="1" ht="30" hidden="1" customHeight="1" outlineLevel="1">
      <c r="C92" s="790">
        <v>77</v>
      </c>
      <c r="D92" s="803"/>
      <c r="E92" s="792"/>
      <c r="F92" s="793"/>
      <c r="G92" s="2214"/>
      <c r="H92" s="2215"/>
      <c r="I92" s="794"/>
      <c r="J92" s="795"/>
      <c r="K92" s="796"/>
      <c r="L92" s="797"/>
      <c r="M92" s="797"/>
      <c r="N92" s="797"/>
      <c r="O92" s="797"/>
      <c r="P92" s="1284"/>
      <c r="Q92" s="798"/>
      <c r="R92" s="799"/>
      <c r="S92" s="797"/>
      <c r="T92" s="784"/>
      <c r="U92" s="2"/>
      <c r="V92" s="1295"/>
      <c r="W92" s="785"/>
      <c r="X92" s="2"/>
      <c r="Y92" s="800">
        <f t="shared" si="35"/>
        <v>0</v>
      </c>
      <c r="Z92" s="786">
        <f t="shared" si="32"/>
        <v>0</v>
      </c>
      <c r="AA92" s="786">
        <f t="shared" si="33"/>
        <v>0</v>
      </c>
      <c r="AB92" s="800">
        <f>IF(Y92=0,,VLOOKUP(Y92,リスト!CX:CY,2,0))</f>
        <v>0</v>
      </c>
      <c r="AC92" s="800">
        <f t="shared" si="19"/>
        <v>0</v>
      </c>
      <c r="AD92" s="801">
        <f>IF(AC92=0,,VLOOKUP(AC92,リスト!DK:DL,2,0))</f>
        <v>0</v>
      </c>
      <c r="AE92" s="786">
        <f>IF(Y92=0,,
IF(OR(リスト!$C$21="小麦",リスト!$C$21="二条大麦",リスト!$C$21="六条大麦",リスト!$C$21="はだか麦",リスト!$C$21="なたね"),IF(K92&lt;9,調査年-J92,調査年-J92-1),
IF(リスト!$C$21="さとうきび",IF(K92&gt;=4,調査年-J92,調査年-J92+1),
調査年-J92)))</f>
        <v>0</v>
      </c>
      <c r="AF92" s="306">
        <f t="shared" si="20"/>
        <v>0</v>
      </c>
      <c r="AG92" s="306">
        <f t="shared" si="21"/>
        <v>0</v>
      </c>
      <c r="AH92" s="306">
        <f t="shared" si="22"/>
        <v>0</v>
      </c>
      <c r="AI92" s="306">
        <f t="shared" si="23"/>
        <v>0</v>
      </c>
      <c r="AJ92" s="306">
        <f t="shared" si="24"/>
        <v>0</v>
      </c>
      <c r="AK92" s="306">
        <f t="shared" si="34"/>
        <v>0</v>
      </c>
      <c r="AL92" s="306">
        <f t="shared" si="25"/>
        <v>0</v>
      </c>
      <c r="AM92" s="306">
        <f t="shared" si="26"/>
        <v>0</v>
      </c>
      <c r="AN92" s="477"/>
      <c r="AO92" s="788">
        <f>IF(OR(P92=0,AG92=0),,
IF(OR(リスト!$C$21="小麦",リスト!$C$21="二条大麦",リスト!$C$21="六条大麦",リスト!$C$21="はだか麦",リスト!$C$21="なたね"),IF(OR(AND(K92&lt;9,J92=調査年),AND(K92&gt;=9,J92=調査年-1)),,ROUND(AG92*P92%,0)),
IF(リスト!$C$21="さとうきび",IF(OR(AND(K92&gt;=4,J92=調査年),AND(K92&lt;4,J92=調査年+1)),,ROUND(AG92*P92%,0)),
IF(J92=調査年,,ROUND(AG92*P92%,0)))))</f>
        <v>0</v>
      </c>
      <c r="AP92" s="788">
        <f t="shared" si="27"/>
        <v>0</v>
      </c>
      <c r="AQ92" s="306">
        <f t="shared" si="28"/>
        <v>0</v>
      </c>
      <c r="AR92" s="788">
        <f t="shared" si="29"/>
        <v>0</v>
      </c>
      <c r="AS92" s="306">
        <f>IF(P92=0,,
SUM(
IF(OR(リスト!$C$21="小麦",リスト!$C$21="二条大麦",リスト!$C$21="六条大麦",リスト!$C$21="はだか麦",リスト!$C$21="なたね"),IF(OR(AND(Z92=1,K92&lt;9,J92=調査年),AND(Z92=1,K92&gt;=9,J92=調査年-1)),ROUND(L92*P92%,0),),
IF(リスト!$C$21="さとうきび",IF(OR(AND(Z92=1,K92&gt;=4,J92=調査年),AND(Z92=1,K92&lt;4,J92=調査年+1)),ROUND(L92*P92%,0),),
IF(AND(Z92=1,J92=調査年),ROUND(L92*P92%,0),))),
ROUND(N92*P92%,0),
ROUND(SUM(AK92)*P92%,0)
))</f>
        <v>0</v>
      </c>
      <c r="AT92" s="306">
        <f t="shared" si="30"/>
        <v>0</v>
      </c>
      <c r="AU92" s="306" t="str">
        <f t="shared" si="31"/>
        <v/>
      </c>
      <c r="AV92" s="802"/>
      <c r="AW92" s="802"/>
      <c r="AX92" s="802"/>
      <c r="AY92" s="802"/>
      <c r="AZ92" s="802"/>
    </row>
    <row r="93" spans="3:52" s="174" customFormat="1" ht="30" hidden="1" customHeight="1" outlineLevel="1">
      <c r="C93" s="790">
        <v>78</v>
      </c>
      <c r="D93" s="803"/>
      <c r="E93" s="792"/>
      <c r="F93" s="793"/>
      <c r="G93" s="2214"/>
      <c r="H93" s="2215"/>
      <c r="I93" s="794"/>
      <c r="J93" s="795"/>
      <c r="K93" s="796"/>
      <c r="L93" s="797"/>
      <c r="M93" s="797"/>
      <c r="N93" s="797"/>
      <c r="O93" s="797"/>
      <c r="P93" s="1284"/>
      <c r="Q93" s="798"/>
      <c r="R93" s="799"/>
      <c r="S93" s="797"/>
      <c r="T93" s="784"/>
      <c r="U93" s="2"/>
      <c r="V93" s="1295"/>
      <c r="W93" s="785"/>
      <c r="X93" s="2"/>
      <c r="Y93" s="800">
        <f t="shared" si="35"/>
        <v>0</v>
      </c>
      <c r="Z93" s="786">
        <f t="shared" si="32"/>
        <v>0</v>
      </c>
      <c r="AA93" s="786">
        <f t="shared" si="33"/>
        <v>0</v>
      </c>
      <c r="AB93" s="800">
        <f>IF(Y93=0,,VLOOKUP(Y93,リスト!CX:CY,2,0))</f>
        <v>0</v>
      </c>
      <c r="AC93" s="800">
        <f t="shared" si="19"/>
        <v>0</v>
      </c>
      <c r="AD93" s="801">
        <f>IF(AC93=0,,VLOOKUP(AC93,リスト!DK:DL,2,0))</f>
        <v>0</v>
      </c>
      <c r="AE93" s="786">
        <f>IF(Y93=0,,
IF(OR(リスト!$C$21="小麦",リスト!$C$21="二条大麦",リスト!$C$21="六条大麦",リスト!$C$21="はだか麦",リスト!$C$21="なたね"),IF(K93&lt;9,調査年-J93,調査年-J93-1),
IF(リスト!$C$21="さとうきび",IF(K93&gt;=4,調査年-J93,調査年-J93+1),
調査年-J93)))</f>
        <v>0</v>
      </c>
      <c r="AF93" s="306">
        <f t="shared" si="20"/>
        <v>0</v>
      </c>
      <c r="AG93" s="306">
        <f t="shared" si="21"/>
        <v>0</v>
      </c>
      <c r="AH93" s="306">
        <f t="shared" si="22"/>
        <v>0</v>
      </c>
      <c r="AI93" s="306">
        <f t="shared" si="23"/>
        <v>0</v>
      </c>
      <c r="AJ93" s="306">
        <f t="shared" si="24"/>
        <v>0</v>
      </c>
      <c r="AK93" s="306">
        <f t="shared" si="34"/>
        <v>0</v>
      </c>
      <c r="AL93" s="306">
        <f t="shared" si="25"/>
        <v>0</v>
      </c>
      <c r="AM93" s="306">
        <f t="shared" si="26"/>
        <v>0</v>
      </c>
      <c r="AN93" s="477"/>
      <c r="AO93" s="788">
        <f>IF(OR(P93=0,AG93=0),,
IF(OR(リスト!$C$21="小麦",リスト!$C$21="二条大麦",リスト!$C$21="六条大麦",リスト!$C$21="はだか麦",リスト!$C$21="なたね"),IF(OR(AND(K93&lt;9,J93=調査年),AND(K93&gt;=9,J93=調査年-1)),,ROUND(AG93*P93%,0)),
IF(リスト!$C$21="さとうきび",IF(OR(AND(K93&gt;=4,J93=調査年),AND(K93&lt;4,J93=調査年+1)),,ROUND(AG93*P93%,0)),
IF(J93=調査年,,ROUND(AG93*P93%,0)))))</f>
        <v>0</v>
      </c>
      <c r="AP93" s="788">
        <f t="shared" si="27"/>
        <v>0</v>
      </c>
      <c r="AQ93" s="306">
        <f t="shared" si="28"/>
        <v>0</v>
      </c>
      <c r="AR93" s="788">
        <f t="shared" si="29"/>
        <v>0</v>
      </c>
      <c r="AS93" s="306">
        <f>IF(P93=0,,
SUM(
IF(OR(リスト!$C$21="小麦",リスト!$C$21="二条大麦",リスト!$C$21="六条大麦",リスト!$C$21="はだか麦",リスト!$C$21="なたね"),IF(OR(AND(Z93=1,K93&lt;9,J93=調査年),AND(Z93=1,K93&gt;=9,J93=調査年-1)),ROUND(L93*P93%,0),),
IF(リスト!$C$21="さとうきび",IF(OR(AND(Z93=1,K93&gt;=4,J93=調査年),AND(Z93=1,K93&lt;4,J93=調査年+1)),ROUND(L93*P93%,0),),
IF(AND(Z93=1,J93=調査年),ROUND(L93*P93%,0),))),
ROUND(N93*P93%,0),
ROUND(SUM(AK93)*P93%,0)
))</f>
        <v>0</v>
      </c>
      <c r="AT93" s="306">
        <f t="shared" si="30"/>
        <v>0</v>
      </c>
      <c r="AU93" s="306" t="str">
        <f t="shared" si="31"/>
        <v/>
      </c>
      <c r="AV93" s="802"/>
      <c r="AW93" s="802"/>
      <c r="AX93" s="802"/>
      <c r="AY93" s="802"/>
      <c r="AZ93" s="802"/>
    </row>
    <row r="94" spans="3:52" s="174" customFormat="1" ht="30" hidden="1" customHeight="1" outlineLevel="1">
      <c r="C94" s="790">
        <v>79</v>
      </c>
      <c r="D94" s="803"/>
      <c r="E94" s="792"/>
      <c r="F94" s="793"/>
      <c r="G94" s="2214"/>
      <c r="H94" s="2215"/>
      <c r="I94" s="794"/>
      <c r="J94" s="795"/>
      <c r="K94" s="796"/>
      <c r="L94" s="797"/>
      <c r="M94" s="797"/>
      <c r="N94" s="797"/>
      <c r="O94" s="797"/>
      <c r="P94" s="1284"/>
      <c r="Q94" s="798"/>
      <c r="R94" s="799"/>
      <c r="S94" s="797"/>
      <c r="T94" s="784"/>
      <c r="U94" s="2"/>
      <c r="V94" s="1295"/>
      <c r="W94" s="785"/>
      <c r="X94" s="2"/>
      <c r="Y94" s="800">
        <f t="shared" si="35"/>
        <v>0</v>
      </c>
      <c r="Z94" s="786">
        <f t="shared" si="32"/>
        <v>0</v>
      </c>
      <c r="AA94" s="786">
        <f t="shared" si="33"/>
        <v>0</v>
      </c>
      <c r="AB94" s="800">
        <f>IF(Y94=0,,VLOOKUP(Y94,リスト!CX:CY,2,0))</f>
        <v>0</v>
      </c>
      <c r="AC94" s="800">
        <f t="shared" si="19"/>
        <v>0</v>
      </c>
      <c r="AD94" s="801">
        <f>IF(AC94=0,,VLOOKUP(AC94,リスト!DK:DL,2,0))</f>
        <v>0</v>
      </c>
      <c r="AE94" s="786">
        <f>IF(Y94=0,,
IF(OR(リスト!$C$21="小麦",リスト!$C$21="二条大麦",リスト!$C$21="六条大麦",リスト!$C$21="はだか麦",リスト!$C$21="なたね"),IF(K94&lt;9,調査年-J94,調査年-J94-1),
IF(リスト!$C$21="さとうきび",IF(K94&gt;=4,調査年-J94,調査年-J94+1),
調査年-J94)))</f>
        <v>0</v>
      </c>
      <c r="AF94" s="306">
        <f t="shared" si="20"/>
        <v>0</v>
      </c>
      <c r="AG94" s="306">
        <f t="shared" si="21"/>
        <v>0</v>
      </c>
      <c r="AH94" s="306">
        <f t="shared" si="22"/>
        <v>0</v>
      </c>
      <c r="AI94" s="306">
        <f t="shared" si="23"/>
        <v>0</v>
      </c>
      <c r="AJ94" s="306">
        <f t="shared" si="24"/>
        <v>0</v>
      </c>
      <c r="AK94" s="306">
        <f t="shared" si="34"/>
        <v>0</v>
      </c>
      <c r="AL94" s="306">
        <f t="shared" si="25"/>
        <v>0</v>
      </c>
      <c r="AM94" s="306">
        <f t="shared" si="26"/>
        <v>0</v>
      </c>
      <c r="AN94" s="477"/>
      <c r="AO94" s="788">
        <f>IF(OR(P94=0,AG94=0),,
IF(OR(リスト!$C$21="小麦",リスト!$C$21="二条大麦",リスト!$C$21="六条大麦",リスト!$C$21="はだか麦",リスト!$C$21="なたね"),IF(OR(AND(K94&lt;9,J94=調査年),AND(K94&gt;=9,J94=調査年-1)),,ROUND(AG94*P94%,0)),
IF(リスト!$C$21="さとうきび",IF(OR(AND(K94&gt;=4,J94=調査年),AND(K94&lt;4,J94=調査年+1)),,ROUND(AG94*P94%,0)),
IF(J94=調査年,,ROUND(AG94*P94%,0)))))</f>
        <v>0</v>
      </c>
      <c r="AP94" s="788">
        <f t="shared" si="27"/>
        <v>0</v>
      </c>
      <c r="AQ94" s="306">
        <f t="shared" si="28"/>
        <v>0</v>
      </c>
      <c r="AR94" s="788">
        <f t="shared" si="29"/>
        <v>0</v>
      </c>
      <c r="AS94" s="306">
        <f>IF(P94=0,,
SUM(
IF(OR(リスト!$C$21="小麦",リスト!$C$21="二条大麦",リスト!$C$21="六条大麦",リスト!$C$21="はだか麦",リスト!$C$21="なたね"),IF(OR(AND(Z94=1,K94&lt;9,J94=調査年),AND(Z94=1,K94&gt;=9,J94=調査年-1)),ROUND(L94*P94%,0),),
IF(リスト!$C$21="さとうきび",IF(OR(AND(Z94=1,K94&gt;=4,J94=調査年),AND(Z94=1,K94&lt;4,J94=調査年+1)),ROUND(L94*P94%,0),),
IF(AND(Z94=1,J94=調査年),ROUND(L94*P94%,0),))),
ROUND(N94*P94%,0),
ROUND(SUM(AK94)*P94%,0)
))</f>
        <v>0</v>
      </c>
      <c r="AT94" s="306">
        <f t="shared" si="30"/>
        <v>0</v>
      </c>
      <c r="AU94" s="306" t="str">
        <f t="shared" si="31"/>
        <v/>
      </c>
      <c r="AV94" s="802"/>
      <c r="AW94" s="802"/>
      <c r="AX94" s="802"/>
      <c r="AY94" s="802"/>
      <c r="AZ94" s="802"/>
    </row>
    <row r="95" spans="3:52" s="174" customFormat="1" ht="30" hidden="1" customHeight="1" outlineLevel="1">
      <c r="C95" s="790">
        <v>80</v>
      </c>
      <c r="D95" s="803"/>
      <c r="E95" s="792"/>
      <c r="F95" s="793"/>
      <c r="G95" s="2214"/>
      <c r="H95" s="2215"/>
      <c r="I95" s="794"/>
      <c r="J95" s="795"/>
      <c r="K95" s="796"/>
      <c r="L95" s="797"/>
      <c r="M95" s="797"/>
      <c r="N95" s="797"/>
      <c r="O95" s="797"/>
      <c r="P95" s="1284"/>
      <c r="Q95" s="798"/>
      <c r="R95" s="799"/>
      <c r="S95" s="797"/>
      <c r="T95" s="784"/>
      <c r="U95" s="2"/>
      <c r="V95" s="1295"/>
      <c r="W95" s="785"/>
      <c r="X95" s="2"/>
      <c r="Y95" s="800">
        <f t="shared" si="35"/>
        <v>0</v>
      </c>
      <c r="Z95" s="786">
        <f t="shared" si="32"/>
        <v>0</v>
      </c>
      <c r="AA95" s="786">
        <f t="shared" si="33"/>
        <v>0</v>
      </c>
      <c r="AB95" s="800">
        <f>IF(Y95=0,,VLOOKUP(Y95,リスト!CX:CY,2,0))</f>
        <v>0</v>
      </c>
      <c r="AC95" s="800">
        <f t="shared" si="19"/>
        <v>0</v>
      </c>
      <c r="AD95" s="801">
        <f>IF(AC95=0,,VLOOKUP(AC95,リスト!DK:DL,2,0))</f>
        <v>0</v>
      </c>
      <c r="AE95" s="786">
        <f>IF(Y95=0,,
IF(OR(リスト!$C$21="小麦",リスト!$C$21="二条大麦",リスト!$C$21="六条大麦",リスト!$C$21="はだか麦",リスト!$C$21="なたね"),IF(K95&lt;9,調査年-J95,調査年-J95-1),
IF(リスト!$C$21="さとうきび",IF(K95&gt;=4,調査年-J95,調査年-J95+1),
調査年-J95)))</f>
        <v>0</v>
      </c>
      <c r="AF95" s="306">
        <f t="shared" si="20"/>
        <v>0</v>
      </c>
      <c r="AG95" s="306">
        <f t="shared" si="21"/>
        <v>0</v>
      </c>
      <c r="AH95" s="306">
        <f t="shared" si="22"/>
        <v>0</v>
      </c>
      <c r="AI95" s="306">
        <f t="shared" si="23"/>
        <v>0</v>
      </c>
      <c r="AJ95" s="306">
        <f t="shared" si="24"/>
        <v>0</v>
      </c>
      <c r="AK95" s="306">
        <f t="shared" si="34"/>
        <v>0</v>
      </c>
      <c r="AL95" s="306">
        <f t="shared" si="25"/>
        <v>0</v>
      </c>
      <c r="AM95" s="306">
        <f t="shared" si="26"/>
        <v>0</v>
      </c>
      <c r="AN95" s="477"/>
      <c r="AO95" s="788">
        <f>IF(OR(P95=0,AG95=0),,
IF(OR(リスト!$C$21="小麦",リスト!$C$21="二条大麦",リスト!$C$21="六条大麦",リスト!$C$21="はだか麦",リスト!$C$21="なたね"),IF(OR(AND(K95&lt;9,J95=調査年),AND(K95&gt;=9,J95=調査年-1)),,ROUND(AG95*P95%,0)),
IF(リスト!$C$21="さとうきび",IF(OR(AND(K95&gt;=4,J95=調査年),AND(K95&lt;4,J95=調査年+1)),,ROUND(AG95*P95%,0)),
IF(J95=調査年,,ROUND(AG95*P95%,0)))))</f>
        <v>0</v>
      </c>
      <c r="AP95" s="788">
        <f t="shared" si="27"/>
        <v>0</v>
      </c>
      <c r="AQ95" s="306">
        <f t="shared" si="28"/>
        <v>0</v>
      </c>
      <c r="AR95" s="788">
        <f t="shared" si="29"/>
        <v>0</v>
      </c>
      <c r="AS95" s="306">
        <f>IF(P95=0,,
SUM(
IF(OR(リスト!$C$21="小麦",リスト!$C$21="二条大麦",リスト!$C$21="六条大麦",リスト!$C$21="はだか麦",リスト!$C$21="なたね"),IF(OR(AND(Z95=1,K95&lt;9,J95=調査年),AND(Z95=1,K95&gt;=9,J95=調査年-1)),ROUND(L95*P95%,0),),
IF(リスト!$C$21="さとうきび",IF(OR(AND(Z95=1,K95&gt;=4,J95=調査年),AND(Z95=1,K95&lt;4,J95=調査年+1)),ROUND(L95*P95%,0),),
IF(AND(Z95=1,J95=調査年),ROUND(L95*P95%,0),))),
ROUND(N95*P95%,0),
ROUND(SUM(AK95)*P95%,0)
))</f>
        <v>0</v>
      </c>
      <c r="AT95" s="306">
        <f t="shared" si="30"/>
        <v>0</v>
      </c>
      <c r="AU95" s="306" t="str">
        <f t="shared" si="31"/>
        <v/>
      </c>
      <c r="AV95" s="802"/>
      <c r="AW95" s="802"/>
      <c r="AX95" s="802"/>
      <c r="AY95" s="802"/>
      <c r="AZ95" s="802"/>
    </row>
    <row r="96" spans="3:52" s="174" customFormat="1" ht="30" hidden="1" customHeight="1" outlineLevel="1">
      <c r="C96" s="790">
        <v>81</v>
      </c>
      <c r="D96" s="803"/>
      <c r="E96" s="792"/>
      <c r="F96" s="793"/>
      <c r="G96" s="2214"/>
      <c r="H96" s="2215"/>
      <c r="I96" s="794"/>
      <c r="J96" s="795"/>
      <c r="K96" s="796"/>
      <c r="L96" s="797"/>
      <c r="M96" s="797"/>
      <c r="N96" s="797"/>
      <c r="O96" s="797"/>
      <c r="P96" s="1284"/>
      <c r="Q96" s="798"/>
      <c r="R96" s="799"/>
      <c r="S96" s="797"/>
      <c r="T96" s="784"/>
      <c r="U96" s="2"/>
      <c r="V96" s="1295"/>
      <c r="W96" s="785"/>
      <c r="X96" s="2"/>
      <c r="Y96" s="800">
        <f t="shared" si="35"/>
        <v>0</v>
      </c>
      <c r="Z96" s="786">
        <f t="shared" si="32"/>
        <v>0</v>
      </c>
      <c r="AA96" s="786">
        <f t="shared" si="33"/>
        <v>0</v>
      </c>
      <c r="AB96" s="800">
        <f>IF(Y96=0,,VLOOKUP(Y96,リスト!CX:CY,2,0))</f>
        <v>0</v>
      </c>
      <c r="AC96" s="800">
        <f t="shared" si="19"/>
        <v>0</v>
      </c>
      <c r="AD96" s="801">
        <f>IF(AC96=0,,VLOOKUP(AC96,リスト!DK:DL,2,0))</f>
        <v>0</v>
      </c>
      <c r="AE96" s="786">
        <f>IF(Y96=0,,
IF(OR(リスト!$C$21="小麦",リスト!$C$21="二条大麦",リスト!$C$21="六条大麦",リスト!$C$21="はだか麦",リスト!$C$21="なたね"),IF(K96&lt;9,調査年-J96,調査年-J96-1),
IF(リスト!$C$21="さとうきび",IF(K96&gt;=4,調査年-J96,調査年-J96+1),
調査年-J96)))</f>
        <v>0</v>
      </c>
      <c r="AF96" s="306">
        <f t="shared" si="20"/>
        <v>0</v>
      </c>
      <c r="AG96" s="306">
        <f t="shared" si="21"/>
        <v>0</v>
      </c>
      <c r="AH96" s="306">
        <f t="shared" si="22"/>
        <v>0</v>
      </c>
      <c r="AI96" s="306">
        <f t="shared" si="23"/>
        <v>0</v>
      </c>
      <c r="AJ96" s="306">
        <f t="shared" si="24"/>
        <v>0</v>
      </c>
      <c r="AK96" s="306">
        <f t="shared" si="34"/>
        <v>0</v>
      </c>
      <c r="AL96" s="306">
        <f t="shared" si="25"/>
        <v>0</v>
      </c>
      <c r="AM96" s="306">
        <f t="shared" si="26"/>
        <v>0</v>
      </c>
      <c r="AN96" s="477"/>
      <c r="AO96" s="788">
        <f>IF(OR(P96=0,AG96=0),,
IF(OR(リスト!$C$21="小麦",リスト!$C$21="二条大麦",リスト!$C$21="六条大麦",リスト!$C$21="はだか麦",リスト!$C$21="なたね"),IF(OR(AND(K96&lt;9,J96=調査年),AND(K96&gt;=9,J96=調査年-1)),,ROUND(AG96*P96%,0)),
IF(リスト!$C$21="さとうきび",IF(OR(AND(K96&gt;=4,J96=調査年),AND(K96&lt;4,J96=調査年+1)),,ROUND(AG96*P96%,0)),
IF(J96=調査年,,ROUND(AG96*P96%,0)))))</f>
        <v>0</v>
      </c>
      <c r="AP96" s="788">
        <f t="shared" si="27"/>
        <v>0</v>
      </c>
      <c r="AQ96" s="306">
        <f t="shared" si="28"/>
        <v>0</v>
      </c>
      <c r="AR96" s="788">
        <f t="shared" si="29"/>
        <v>0</v>
      </c>
      <c r="AS96" s="306">
        <f>IF(P96=0,,
SUM(
IF(OR(リスト!$C$21="小麦",リスト!$C$21="二条大麦",リスト!$C$21="六条大麦",リスト!$C$21="はだか麦",リスト!$C$21="なたね"),IF(OR(AND(Z96=1,K96&lt;9,J96=調査年),AND(Z96=1,K96&gt;=9,J96=調査年-1)),ROUND(L96*P96%,0),),
IF(リスト!$C$21="さとうきび",IF(OR(AND(Z96=1,K96&gt;=4,J96=調査年),AND(Z96=1,K96&lt;4,J96=調査年+1)),ROUND(L96*P96%,0),),
IF(AND(Z96=1,J96=調査年),ROUND(L96*P96%,0),))),
ROUND(N96*P96%,0),
ROUND(SUM(AK96)*P96%,0)
))</f>
        <v>0</v>
      </c>
      <c r="AT96" s="306">
        <f t="shared" si="30"/>
        <v>0</v>
      </c>
      <c r="AU96" s="306" t="str">
        <f t="shared" si="31"/>
        <v/>
      </c>
      <c r="AV96" s="802"/>
      <c r="AW96" s="802"/>
      <c r="AX96" s="802"/>
      <c r="AY96" s="802"/>
      <c r="AZ96" s="802"/>
    </row>
    <row r="97" spans="3:52" s="174" customFormat="1" ht="30" hidden="1" customHeight="1" outlineLevel="1">
      <c r="C97" s="790">
        <v>82</v>
      </c>
      <c r="D97" s="803"/>
      <c r="E97" s="792"/>
      <c r="F97" s="793"/>
      <c r="G97" s="2214"/>
      <c r="H97" s="2215"/>
      <c r="I97" s="794"/>
      <c r="J97" s="795"/>
      <c r="K97" s="796"/>
      <c r="L97" s="797"/>
      <c r="M97" s="797"/>
      <c r="N97" s="797"/>
      <c r="O97" s="797"/>
      <c r="P97" s="1284"/>
      <c r="Q97" s="798"/>
      <c r="R97" s="799"/>
      <c r="S97" s="797"/>
      <c r="T97" s="784"/>
      <c r="U97" s="2"/>
      <c r="V97" s="1295"/>
      <c r="W97" s="785"/>
      <c r="X97" s="2"/>
      <c r="Y97" s="800">
        <f t="shared" si="35"/>
        <v>0</v>
      </c>
      <c r="Z97" s="786">
        <f t="shared" si="32"/>
        <v>0</v>
      </c>
      <c r="AA97" s="786">
        <f t="shared" si="33"/>
        <v>0</v>
      </c>
      <c r="AB97" s="800">
        <f>IF(Y97=0,,VLOOKUP(Y97,リスト!CX:CY,2,0))</f>
        <v>0</v>
      </c>
      <c r="AC97" s="800">
        <f t="shared" si="19"/>
        <v>0</v>
      </c>
      <c r="AD97" s="801">
        <f>IF(AC97=0,,VLOOKUP(AC97,リスト!DK:DL,2,0))</f>
        <v>0</v>
      </c>
      <c r="AE97" s="786">
        <f>IF(Y97=0,,
IF(OR(リスト!$C$21="小麦",リスト!$C$21="二条大麦",リスト!$C$21="六条大麦",リスト!$C$21="はだか麦",リスト!$C$21="なたね"),IF(K97&lt;9,調査年-J97,調査年-J97-1),
IF(リスト!$C$21="さとうきび",IF(K97&gt;=4,調査年-J97,調査年-J97+1),
調査年-J97)))</f>
        <v>0</v>
      </c>
      <c r="AF97" s="306">
        <f t="shared" si="20"/>
        <v>0</v>
      </c>
      <c r="AG97" s="306">
        <f t="shared" si="21"/>
        <v>0</v>
      </c>
      <c r="AH97" s="306">
        <f t="shared" si="22"/>
        <v>0</v>
      </c>
      <c r="AI97" s="306">
        <f t="shared" si="23"/>
        <v>0</v>
      </c>
      <c r="AJ97" s="306">
        <f t="shared" si="24"/>
        <v>0</v>
      </c>
      <c r="AK97" s="306">
        <f t="shared" si="34"/>
        <v>0</v>
      </c>
      <c r="AL97" s="306">
        <f t="shared" si="25"/>
        <v>0</v>
      </c>
      <c r="AM97" s="306">
        <f t="shared" si="26"/>
        <v>0</v>
      </c>
      <c r="AN97" s="477"/>
      <c r="AO97" s="788">
        <f>IF(OR(P97=0,AG97=0),,
IF(OR(リスト!$C$21="小麦",リスト!$C$21="二条大麦",リスト!$C$21="六条大麦",リスト!$C$21="はだか麦",リスト!$C$21="なたね"),IF(OR(AND(K97&lt;9,J97=調査年),AND(K97&gt;=9,J97=調査年-1)),,ROUND(AG97*P97%,0)),
IF(リスト!$C$21="さとうきび",IF(OR(AND(K97&gt;=4,J97=調査年),AND(K97&lt;4,J97=調査年+1)),,ROUND(AG97*P97%,0)),
IF(J97=調査年,,ROUND(AG97*P97%,0)))))</f>
        <v>0</v>
      </c>
      <c r="AP97" s="788">
        <f t="shared" si="27"/>
        <v>0</v>
      </c>
      <c r="AQ97" s="306">
        <f t="shared" si="28"/>
        <v>0</v>
      </c>
      <c r="AR97" s="788">
        <f t="shared" si="29"/>
        <v>0</v>
      </c>
      <c r="AS97" s="306">
        <f>IF(P97=0,,
SUM(
IF(OR(リスト!$C$21="小麦",リスト!$C$21="二条大麦",リスト!$C$21="六条大麦",リスト!$C$21="はだか麦",リスト!$C$21="なたね"),IF(OR(AND(Z97=1,K97&lt;9,J97=調査年),AND(Z97=1,K97&gt;=9,J97=調査年-1)),ROUND(L97*P97%,0),),
IF(リスト!$C$21="さとうきび",IF(OR(AND(Z97=1,K97&gt;=4,J97=調査年),AND(Z97=1,K97&lt;4,J97=調査年+1)),ROUND(L97*P97%,0),),
IF(AND(Z97=1,J97=調査年),ROUND(L97*P97%,0),))),
ROUND(N97*P97%,0),
ROUND(SUM(AK97)*P97%,0)
))</f>
        <v>0</v>
      </c>
      <c r="AT97" s="306">
        <f t="shared" si="30"/>
        <v>0</v>
      </c>
      <c r="AU97" s="306" t="str">
        <f t="shared" si="31"/>
        <v/>
      </c>
      <c r="AV97" s="802"/>
      <c r="AW97" s="802"/>
      <c r="AX97" s="802"/>
      <c r="AY97" s="802"/>
      <c r="AZ97" s="802"/>
    </row>
    <row r="98" spans="3:52" s="174" customFormat="1" ht="30" hidden="1" customHeight="1" outlineLevel="1">
      <c r="C98" s="790">
        <v>83</v>
      </c>
      <c r="D98" s="803"/>
      <c r="E98" s="792"/>
      <c r="F98" s="793"/>
      <c r="G98" s="2214"/>
      <c r="H98" s="2215"/>
      <c r="I98" s="794"/>
      <c r="J98" s="795"/>
      <c r="K98" s="796"/>
      <c r="L98" s="797"/>
      <c r="M98" s="797"/>
      <c r="N98" s="797"/>
      <c r="O98" s="797"/>
      <c r="P98" s="1284"/>
      <c r="Q98" s="798"/>
      <c r="R98" s="799"/>
      <c r="S98" s="797"/>
      <c r="T98" s="784"/>
      <c r="U98" s="2"/>
      <c r="V98" s="1295"/>
      <c r="W98" s="785"/>
      <c r="X98" s="2"/>
      <c r="Y98" s="800">
        <f t="shared" si="35"/>
        <v>0</v>
      </c>
      <c r="Z98" s="786">
        <f t="shared" si="32"/>
        <v>0</v>
      </c>
      <c r="AA98" s="786">
        <f t="shared" si="33"/>
        <v>0</v>
      </c>
      <c r="AB98" s="800">
        <f>IF(Y98=0,,VLOOKUP(Y98,リスト!CX:CY,2,0))</f>
        <v>0</v>
      </c>
      <c r="AC98" s="800">
        <f t="shared" si="19"/>
        <v>0</v>
      </c>
      <c r="AD98" s="801">
        <f>IF(AC98=0,,VLOOKUP(AC98,リスト!DK:DL,2,0))</f>
        <v>0</v>
      </c>
      <c r="AE98" s="786">
        <f>IF(Y98=0,,
IF(OR(リスト!$C$21="小麦",リスト!$C$21="二条大麦",リスト!$C$21="六条大麦",リスト!$C$21="はだか麦",リスト!$C$21="なたね"),IF(K98&lt;9,調査年-J98,調査年-J98-1),
IF(リスト!$C$21="さとうきび",IF(K98&gt;=4,調査年-J98,調査年-J98+1),
調査年-J98)))</f>
        <v>0</v>
      </c>
      <c r="AF98" s="306">
        <f t="shared" si="20"/>
        <v>0</v>
      </c>
      <c r="AG98" s="306">
        <f t="shared" si="21"/>
        <v>0</v>
      </c>
      <c r="AH98" s="306">
        <f t="shared" si="22"/>
        <v>0</v>
      </c>
      <c r="AI98" s="306">
        <f t="shared" si="23"/>
        <v>0</v>
      </c>
      <c r="AJ98" s="306">
        <f t="shared" si="24"/>
        <v>0</v>
      </c>
      <c r="AK98" s="306">
        <f t="shared" si="34"/>
        <v>0</v>
      </c>
      <c r="AL98" s="306">
        <f t="shared" si="25"/>
        <v>0</v>
      </c>
      <c r="AM98" s="306">
        <f t="shared" si="26"/>
        <v>0</v>
      </c>
      <c r="AN98" s="477"/>
      <c r="AO98" s="788">
        <f>IF(OR(P98=0,AG98=0),,
IF(OR(リスト!$C$21="小麦",リスト!$C$21="二条大麦",リスト!$C$21="六条大麦",リスト!$C$21="はだか麦",リスト!$C$21="なたね"),IF(OR(AND(K98&lt;9,J98=調査年),AND(K98&gt;=9,J98=調査年-1)),,ROUND(AG98*P98%,0)),
IF(リスト!$C$21="さとうきび",IF(OR(AND(K98&gt;=4,J98=調査年),AND(K98&lt;4,J98=調査年+1)),,ROUND(AG98*P98%,0)),
IF(J98=調査年,,ROUND(AG98*P98%,0)))))</f>
        <v>0</v>
      </c>
      <c r="AP98" s="788">
        <f t="shared" si="27"/>
        <v>0</v>
      </c>
      <c r="AQ98" s="306">
        <f t="shared" si="28"/>
        <v>0</v>
      </c>
      <c r="AR98" s="788">
        <f t="shared" si="29"/>
        <v>0</v>
      </c>
      <c r="AS98" s="306">
        <f>IF(P98=0,,
SUM(
IF(OR(リスト!$C$21="小麦",リスト!$C$21="二条大麦",リスト!$C$21="六条大麦",リスト!$C$21="はだか麦",リスト!$C$21="なたね"),IF(OR(AND(Z98=1,K98&lt;9,J98=調査年),AND(Z98=1,K98&gt;=9,J98=調査年-1)),ROUND(L98*P98%,0),),
IF(リスト!$C$21="さとうきび",IF(OR(AND(Z98=1,K98&gt;=4,J98=調査年),AND(Z98=1,K98&lt;4,J98=調査年+1)),ROUND(L98*P98%,0),),
IF(AND(Z98=1,J98=調査年),ROUND(L98*P98%,0),))),
ROUND(N98*P98%,0),
ROUND(SUM(AK98)*P98%,0)
))</f>
        <v>0</v>
      </c>
      <c r="AT98" s="306">
        <f t="shared" si="30"/>
        <v>0</v>
      </c>
      <c r="AU98" s="306" t="str">
        <f t="shared" si="31"/>
        <v/>
      </c>
      <c r="AV98" s="802"/>
      <c r="AW98" s="802"/>
      <c r="AX98" s="802"/>
      <c r="AY98" s="802"/>
      <c r="AZ98" s="802"/>
    </row>
    <row r="99" spans="3:52" s="174" customFormat="1" ht="30" hidden="1" customHeight="1" outlineLevel="1">
      <c r="C99" s="790">
        <v>84</v>
      </c>
      <c r="D99" s="803"/>
      <c r="E99" s="792"/>
      <c r="F99" s="793"/>
      <c r="G99" s="2214"/>
      <c r="H99" s="2215"/>
      <c r="I99" s="794"/>
      <c r="J99" s="795"/>
      <c r="K99" s="796"/>
      <c r="L99" s="797"/>
      <c r="M99" s="797"/>
      <c r="N99" s="797"/>
      <c r="O99" s="797"/>
      <c r="P99" s="1284"/>
      <c r="Q99" s="798"/>
      <c r="R99" s="799"/>
      <c r="S99" s="797"/>
      <c r="T99" s="784"/>
      <c r="U99" s="2"/>
      <c r="V99" s="1295"/>
      <c r="W99" s="785"/>
      <c r="X99" s="2"/>
      <c r="Y99" s="800">
        <f t="shared" si="35"/>
        <v>0</v>
      </c>
      <c r="Z99" s="786">
        <f t="shared" si="32"/>
        <v>0</v>
      </c>
      <c r="AA99" s="786">
        <f t="shared" si="33"/>
        <v>0</v>
      </c>
      <c r="AB99" s="800">
        <f>IF(Y99=0,,VLOOKUP(Y99,リスト!CX:CY,2,0))</f>
        <v>0</v>
      </c>
      <c r="AC99" s="800">
        <f t="shared" si="19"/>
        <v>0</v>
      </c>
      <c r="AD99" s="801">
        <f>IF(AC99=0,,VLOOKUP(AC99,リスト!DK:DL,2,0))</f>
        <v>0</v>
      </c>
      <c r="AE99" s="786">
        <f>IF(Y99=0,,
IF(OR(リスト!$C$21="小麦",リスト!$C$21="二条大麦",リスト!$C$21="六条大麦",リスト!$C$21="はだか麦",リスト!$C$21="なたね"),IF(K99&lt;9,調査年-J99,調査年-J99-1),
IF(リスト!$C$21="さとうきび",IF(K99&gt;=4,調査年-J99,調査年-J99+1),
調査年-J99)))</f>
        <v>0</v>
      </c>
      <c r="AF99" s="306">
        <f t="shared" si="20"/>
        <v>0</v>
      </c>
      <c r="AG99" s="306">
        <f t="shared" si="21"/>
        <v>0</v>
      </c>
      <c r="AH99" s="306">
        <f t="shared" si="22"/>
        <v>0</v>
      </c>
      <c r="AI99" s="306">
        <f t="shared" si="23"/>
        <v>0</v>
      </c>
      <c r="AJ99" s="306">
        <f t="shared" si="24"/>
        <v>0</v>
      </c>
      <c r="AK99" s="306">
        <f t="shared" si="34"/>
        <v>0</v>
      </c>
      <c r="AL99" s="306">
        <f t="shared" si="25"/>
        <v>0</v>
      </c>
      <c r="AM99" s="306">
        <f t="shared" si="26"/>
        <v>0</v>
      </c>
      <c r="AN99" s="477"/>
      <c r="AO99" s="788">
        <f>IF(OR(P99=0,AG99=0),,
IF(OR(リスト!$C$21="小麦",リスト!$C$21="二条大麦",リスト!$C$21="六条大麦",リスト!$C$21="はだか麦",リスト!$C$21="なたね"),IF(OR(AND(K99&lt;9,J99=調査年),AND(K99&gt;=9,J99=調査年-1)),,ROUND(AG99*P99%,0)),
IF(リスト!$C$21="さとうきび",IF(OR(AND(K99&gt;=4,J99=調査年),AND(K99&lt;4,J99=調査年+1)),,ROUND(AG99*P99%,0)),
IF(J99=調査年,,ROUND(AG99*P99%,0)))))</f>
        <v>0</v>
      </c>
      <c r="AP99" s="788">
        <f t="shared" si="27"/>
        <v>0</v>
      </c>
      <c r="AQ99" s="306">
        <f t="shared" si="28"/>
        <v>0</v>
      </c>
      <c r="AR99" s="788">
        <f t="shared" si="29"/>
        <v>0</v>
      </c>
      <c r="AS99" s="306">
        <f>IF(P99=0,,
SUM(
IF(OR(リスト!$C$21="小麦",リスト!$C$21="二条大麦",リスト!$C$21="六条大麦",リスト!$C$21="はだか麦",リスト!$C$21="なたね"),IF(OR(AND(Z99=1,K99&lt;9,J99=調査年),AND(Z99=1,K99&gt;=9,J99=調査年-1)),ROUND(L99*P99%,0),),
IF(リスト!$C$21="さとうきび",IF(OR(AND(Z99=1,K99&gt;=4,J99=調査年),AND(Z99=1,K99&lt;4,J99=調査年+1)),ROUND(L99*P99%,0),),
IF(AND(Z99=1,J99=調査年),ROUND(L99*P99%,0),))),
ROUND(N99*P99%,0),
ROUND(SUM(AK99)*P99%,0)
))</f>
        <v>0</v>
      </c>
      <c r="AT99" s="306">
        <f t="shared" si="30"/>
        <v>0</v>
      </c>
      <c r="AU99" s="306" t="str">
        <f t="shared" si="31"/>
        <v/>
      </c>
      <c r="AV99" s="802"/>
      <c r="AW99" s="802"/>
      <c r="AX99" s="802"/>
      <c r="AY99" s="802"/>
      <c r="AZ99" s="802"/>
    </row>
    <row r="100" spans="3:52" s="174" customFormat="1" ht="30" hidden="1" customHeight="1" outlineLevel="1">
      <c r="C100" s="790">
        <v>85</v>
      </c>
      <c r="D100" s="803"/>
      <c r="E100" s="792"/>
      <c r="F100" s="793"/>
      <c r="G100" s="2214"/>
      <c r="H100" s="2215"/>
      <c r="I100" s="794"/>
      <c r="J100" s="795"/>
      <c r="K100" s="796"/>
      <c r="L100" s="797"/>
      <c r="M100" s="797"/>
      <c r="N100" s="797"/>
      <c r="O100" s="797"/>
      <c r="P100" s="1284"/>
      <c r="Q100" s="798"/>
      <c r="R100" s="799"/>
      <c r="S100" s="797"/>
      <c r="T100" s="784"/>
      <c r="U100" s="2"/>
      <c r="V100" s="1295"/>
      <c r="W100" s="785"/>
      <c r="X100" s="2"/>
      <c r="Y100" s="800">
        <f t="shared" si="35"/>
        <v>0</v>
      </c>
      <c r="Z100" s="786">
        <f t="shared" si="32"/>
        <v>0</v>
      </c>
      <c r="AA100" s="786">
        <f t="shared" si="33"/>
        <v>0</v>
      </c>
      <c r="AB100" s="800">
        <f>IF(Y100=0,,VLOOKUP(Y100,リスト!CX:CY,2,0))</f>
        <v>0</v>
      </c>
      <c r="AC100" s="800">
        <f t="shared" si="19"/>
        <v>0</v>
      </c>
      <c r="AD100" s="801">
        <f>IF(AC100=0,,VLOOKUP(AC100,リスト!DK:DL,2,0))</f>
        <v>0</v>
      </c>
      <c r="AE100" s="786">
        <f>IF(Y100=0,,
IF(OR(リスト!$C$21="小麦",リスト!$C$21="二条大麦",リスト!$C$21="六条大麦",リスト!$C$21="はだか麦",リスト!$C$21="なたね"),IF(K100&lt;9,調査年-J100,調査年-J100-1),
IF(リスト!$C$21="さとうきび",IF(K100&gt;=4,調査年-J100,調査年-J100+1),
調査年-J100)))</f>
        <v>0</v>
      </c>
      <c r="AF100" s="306">
        <f t="shared" si="20"/>
        <v>0</v>
      </c>
      <c r="AG100" s="306">
        <f t="shared" si="21"/>
        <v>0</v>
      </c>
      <c r="AH100" s="306">
        <f t="shared" si="22"/>
        <v>0</v>
      </c>
      <c r="AI100" s="306">
        <f t="shared" si="23"/>
        <v>0</v>
      </c>
      <c r="AJ100" s="306">
        <f t="shared" si="24"/>
        <v>0</v>
      </c>
      <c r="AK100" s="306">
        <f t="shared" si="34"/>
        <v>0</v>
      </c>
      <c r="AL100" s="306">
        <f t="shared" si="25"/>
        <v>0</v>
      </c>
      <c r="AM100" s="306">
        <f t="shared" si="26"/>
        <v>0</v>
      </c>
      <c r="AN100" s="477"/>
      <c r="AO100" s="788">
        <f>IF(OR(P100=0,AG100=0),,
IF(OR(リスト!$C$21="小麦",リスト!$C$21="二条大麦",リスト!$C$21="六条大麦",リスト!$C$21="はだか麦",リスト!$C$21="なたね"),IF(OR(AND(K100&lt;9,J100=調査年),AND(K100&gt;=9,J100=調査年-1)),,ROUND(AG100*P100%,0)),
IF(リスト!$C$21="さとうきび",IF(OR(AND(K100&gt;=4,J100=調査年),AND(K100&lt;4,J100=調査年+1)),,ROUND(AG100*P100%,0)),
IF(J100=調査年,,ROUND(AG100*P100%,0)))))</f>
        <v>0</v>
      </c>
      <c r="AP100" s="788">
        <f t="shared" si="27"/>
        <v>0</v>
      </c>
      <c r="AQ100" s="306">
        <f t="shared" si="28"/>
        <v>0</v>
      </c>
      <c r="AR100" s="788">
        <f t="shared" si="29"/>
        <v>0</v>
      </c>
      <c r="AS100" s="306">
        <f>IF(P100=0,,
SUM(
IF(OR(リスト!$C$21="小麦",リスト!$C$21="二条大麦",リスト!$C$21="六条大麦",リスト!$C$21="はだか麦",リスト!$C$21="なたね"),IF(OR(AND(Z100=1,K100&lt;9,J100=調査年),AND(Z100=1,K100&gt;=9,J100=調査年-1)),ROUND(L100*P100%,0),),
IF(リスト!$C$21="さとうきび",IF(OR(AND(Z100=1,K100&gt;=4,J100=調査年),AND(Z100=1,K100&lt;4,J100=調査年+1)),ROUND(L100*P100%,0),),
IF(AND(Z100=1,J100=調査年),ROUND(L100*P100%,0),))),
ROUND(N100*P100%,0),
ROUND(SUM(AK100)*P100%,0)
))</f>
        <v>0</v>
      </c>
      <c r="AT100" s="306">
        <f t="shared" si="30"/>
        <v>0</v>
      </c>
      <c r="AU100" s="306" t="str">
        <f t="shared" si="31"/>
        <v/>
      </c>
      <c r="AV100" s="802"/>
      <c r="AW100" s="802"/>
      <c r="AX100" s="802"/>
      <c r="AY100" s="802"/>
      <c r="AZ100" s="802"/>
    </row>
    <row r="101" spans="3:52" s="174" customFormat="1" ht="30" hidden="1" customHeight="1" outlineLevel="1">
      <c r="C101" s="790">
        <v>86</v>
      </c>
      <c r="D101" s="803"/>
      <c r="E101" s="792"/>
      <c r="F101" s="793"/>
      <c r="G101" s="2214"/>
      <c r="H101" s="2215"/>
      <c r="I101" s="794"/>
      <c r="J101" s="795"/>
      <c r="K101" s="796"/>
      <c r="L101" s="797"/>
      <c r="M101" s="797"/>
      <c r="N101" s="797"/>
      <c r="O101" s="797"/>
      <c r="P101" s="1284"/>
      <c r="Q101" s="798"/>
      <c r="R101" s="799"/>
      <c r="S101" s="797"/>
      <c r="T101" s="784"/>
      <c r="U101" s="2"/>
      <c r="V101" s="1295"/>
      <c r="W101" s="785"/>
      <c r="X101" s="2"/>
      <c r="Y101" s="800">
        <f t="shared" si="35"/>
        <v>0</v>
      </c>
      <c r="Z101" s="786">
        <f t="shared" si="32"/>
        <v>0</v>
      </c>
      <c r="AA101" s="786">
        <f t="shared" si="33"/>
        <v>0</v>
      </c>
      <c r="AB101" s="800">
        <f>IF(Y101=0,,VLOOKUP(Y101,リスト!CX:CY,2,0))</f>
        <v>0</v>
      </c>
      <c r="AC101" s="800">
        <f t="shared" si="19"/>
        <v>0</v>
      </c>
      <c r="AD101" s="801">
        <f>IF(AC101=0,,VLOOKUP(AC101,リスト!DK:DL,2,0))</f>
        <v>0</v>
      </c>
      <c r="AE101" s="786">
        <f>IF(Y101=0,,
IF(OR(リスト!$C$21="小麦",リスト!$C$21="二条大麦",リスト!$C$21="六条大麦",リスト!$C$21="はだか麦",リスト!$C$21="なたね"),IF(K101&lt;9,調査年-J101,調査年-J101-1),
IF(リスト!$C$21="さとうきび",IF(K101&gt;=4,調査年-J101,調査年-J101+1),
調査年-J101)))</f>
        <v>0</v>
      </c>
      <c r="AF101" s="306">
        <f t="shared" si="20"/>
        <v>0</v>
      </c>
      <c r="AG101" s="306">
        <f t="shared" si="21"/>
        <v>0</v>
      </c>
      <c r="AH101" s="306">
        <f t="shared" si="22"/>
        <v>0</v>
      </c>
      <c r="AI101" s="306">
        <f t="shared" si="23"/>
        <v>0</v>
      </c>
      <c r="AJ101" s="306">
        <f t="shared" si="24"/>
        <v>0</v>
      </c>
      <c r="AK101" s="306">
        <f t="shared" si="34"/>
        <v>0</v>
      </c>
      <c r="AL101" s="306">
        <f t="shared" si="25"/>
        <v>0</v>
      </c>
      <c r="AM101" s="306">
        <f t="shared" si="26"/>
        <v>0</v>
      </c>
      <c r="AN101" s="477"/>
      <c r="AO101" s="788">
        <f>IF(OR(P101=0,AG101=0),,
IF(OR(リスト!$C$21="小麦",リスト!$C$21="二条大麦",リスト!$C$21="六条大麦",リスト!$C$21="はだか麦",リスト!$C$21="なたね"),IF(OR(AND(K101&lt;9,J101=調査年),AND(K101&gt;=9,J101=調査年-1)),,ROUND(AG101*P101%,0)),
IF(リスト!$C$21="さとうきび",IF(OR(AND(K101&gt;=4,J101=調査年),AND(K101&lt;4,J101=調査年+1)),,ROUND(AG101*P101%,0)),
IF(J101=調査年,,ROUND(AG101*P101%,0)))))</f>
        <v>0</v>
      </c>
      <c r="AP101" s="788">
        <f t="shared" si="27"/>
        <v>0</v>
      </c>
      <c r="AQ101" s="306">
        <f t="shared" si="28"/>
        <v>0</v>
      </c>
      <c r="AR101" s="788">
        <f t="shared" si="29"/>
        <v>0</v>
      </c>
      <c r="AS101" s="306">
        <f>IF(P101=0,,
SUM(
IF(OR(リスト!$C$21="小麦",リスト!$C$21="二条大麦",リスト!$C$21="六条大麦",リスト!$C$21="はだか麦",リスト!$C$21="なたね"),IF(OR(AND(Z101=1,K101&lt;9,J101=調査年),AND(Z101=1,K101&gt;=9,J101=調査年-1)),ROUND(L101*P101%,0),),
IF(リスト!$C$21="さとうきび",IF(OR(AND(Z101=1,K101&gt;=4,J101=調査年),AND(Z101=1,K101&lt;4,J101=調査年+1)),ROUND(L101*P101%,0),),
IF(AND(Z101=1,J101=調査年),ROUND(L101*P101%,0),))),
ROUND(N101*P101%,0),
ROUND(SUM(AK101)*P101%,0)
))</f>
        <v>0</v>
      </c>
      <c r="AT101" s="306">
        <f t="shared" si="30"/>
        <v>0</v>
      </c>
      <c r="AU101" s="306" t="str">
        <f t="shared" si="31"/>
        <v/>
      </c>
      <c r="AV101" s="802"/>
      <c r="AW101" s="802"/>
      <c r="AX101" s="802"/>
      <c r="AY101" s="802"/>
      <c r="AZ101" s="802"/>
    </row>
    <row r="102" spans="3:52" s="174" customFormat="1" ht="30" hidden="1" customHeight="1" outlineLevel="1">
      <c r="C102" s="790">
        <v>87</v>
      </c>
      <c r="D102" s="803"/>
      <c r="E102" s="792"/>
      <c r="F102" s="793"/>
      <c r="G102" s="2214"/>
      <c r="H102" s="2215"/>
      <c r="I102" s="794"/>
      <c r="J102" s="795"/>
      <c r="K102" s="796"/>
      <c r="L102" s="797"/>
      <c r="M102" s="797"/>
      <c r="N102" s="797"/>
      <c r="O102" s="797"/>
      <c r="P102" s="1284"/>
      <c r="Q102" s="798"/>
      <c r="R102" s="799"/>
      <c r="S102" s="797"/>
      <c r="T102" s="784"/>
      <c r="U102" s="2"/>
      <c r="V102" s="1295"/>
      <c r="W102" s="785"/>
      <c r="X102" s="2"/>
      <c r="Y102" s="800">
        <f t="shared" si="35"/>
        <v>0</v>
      </c>
      <c r="Z102" s="786">
        <f t="shared" si="32"/>
        <v>0</v>
      </c>
      <c r="AA102" s="786">
        <f t="shared" si="33"/>
        <v>0</v>
      </c>
      <c r="AB102" s="800">
        <f>IF(Y102=0,,VLOOKUP(Y102,リスト!CX:CY,2,0))</f>
        <v>0</v>
      </c>
      <c r="AC102" s="800">
        <f t="shared" si="19"/>
        <v>0</v>
      </c>
      <c r="AD102" s="801">
        <f>IF(AC102=0,,VLOOKUP(AC102,リスト!DK:DL,2,0))</f>
        <v>0</v>
      </c>
      <c r="AE102" s="786">
        <f>IF(Y102=0,,
IF(OR(リスト!$C$21="小麦",リスト!$C$21="二条大麦",リスト!$C$21="六条大麦",リスト!$C$21="はだか麦",リスト!$C$21="なたね"),IF(K102&lt;9,調査年-J102,調査年-J102-1),
IF(リスト!$C$21="さとうきび",IF(K102&gt;=4,調査年-J102,調査年-J102+1),
調査年-J102)))</f>
        <v>0</v>
      </c>
      <c r="AF102" s="306">
        <f t="shared" si="20"/>
        <v>0</v>
      </c>
      <c r="AG102" s="306">
        <f t="shared" si="21"/>
        <v>0</v>
      </c>
      <c r="AH102" s="306">
        <f t="shared" si="22"/>
        <v>0</v>
      </c>
      <c r="AI102" s="306">
        <f t="shared" si="23"/>
        <v>0</v>
      </c>
      <c r="AJ102" s="306">
        <f t="shared" si="24"/>
        <v>0</v>
      </c>
      <c r="AK102" s="306">
        <f t="shared" si="34"/>
        <v>0</v>
      </c>
      <c r="AL102" s="306">
        <f t="shared" si="25"/>
        <v>0</v>
      </c>
      <c r="AM102" s="306">
        <f t="shared" si="26"/>
        <v>0</v>
      </c>
      <c r="AN102" s="477"/>
      <c r="AO102" s="788">
        <f>IF(OR(P102=0,AG102=0),,
IF(OR(リスト!$C$21="小麦",リスト!$C$21="二条大麦",リスト!$C$21="六条大麦",リスト!$C$21="はだか麦",リスト!$C$21="なたね"),IF(OR(AND(K102&lt;9,J102=調査年),AND(K102&gt;=9,J102=調査年-1)),,ROUND(AG102*P102%,0)),
IF(リスト!$C$21="さとうきび",IF(OR(AND(K102&gt;=4,J102=調査年),AND(K102&lt;4,J102=調査年+1)),,ROUND(AG102*P102%,0)),
IF(J102=調査年,,ROUND(AG102*P102%,0)))))</f>
        <v>0</v>
      </c>
      <c r="AP102" s="788">
        <f t="shared" si="27"/>
        <v>0</v>
      </c>
      <c r="AQ102" s="306">
        <f t="shared" si="28"/>
        <v>0</v>
      </c>
      <c r="AR102" s="788">
        <f t="shared" si="29"/>
        <v>0</v>
      </c>
      <c r="AS102" s="306">
        <f>IF(P102=0,,
SUM(
IF(OR(リスト!$C$21="小麦",リスト!$C$21="二条大麦",リスト!$C$21="六条大麦",リスト!$C$21="はだか麦",リスト!$C$21="なたね"),IF(OR(AND(Z102=1,K102&lt;9,J102=調査年),AND(Z102=1,K102&gt;=9,J102=調査年-1)),ROUND(L102*P102%,0),),
IF(リスト!$C$21="さとうきび",IF(OR(AND(Z102=1,K102&gt;=4,J102=調査年),AND(Z102=1,K102&lt;4,J102=調査年+1)),ROUND(L102*P102%,0),),
IF(AND(Z102=1,J102=調査年),ROUND(L102*P102%,0),))),
ROUND(N102*P102%,0),
ROUND(SUM(AK102)*P102%,0)
))</f>
        <v>0</v>
      </c>
      <c r="AT102" s="306">
        <f t="shared" si="30"/>
        <v>0</v>
      </c>
      <c r="AU102" s="306" t="str">
        <f t="shared" si="31"/>
        <v/>
      </c>
      <c r="AV102" s="802"/>
      <c r="AW102" s="802"/>
      <c r="AX102" s="802"/>
      <c r="AY102" s="802"/>
      <c r="AZ102" s="802"/>
    </row>
    <row r="103" spans="3:52" s="174" customFormat="1" ht="30" hidden="1" customHeight="1" outlineLevel="1">
      <c r="C103" s="790">
        <v>88</v>
      </c>
      <c r="D103" s="803"/>
      <c r="E103" s="792"/>
      <c r="F103" s="793"/>
      <c r="G103" s="2214"/>
      <c r="H103" s="2215"/>
      <c r="I103" s="794"/>
      <c r="J103" s="795"/>
      <c r="K103" s="796"/>
      <c r="L103" s="797"/>
      <c r="M103" s="797"/>
      <c r="N103" s="797"/>
      <c r="O103" s="797"/>
      <c r="P103" s="1284"/>
      <c r="Q103" s="798"/>
      <c r="R103" s="799"/>
      <c r="S103" s="797"/>
      <c r="T103" s="784"/>
      <c r="U103" s="2"/>
      <c r="V103" s="1295"/>
      <c r="W103" s="785"/>
      <c r="X103" s="2"/>
      <c r="Y103" s="800">
        <f t="shared" si="35"/>
        <v>0</v>
      </c>
      <c r="Z103" s="786">
        <f t="shared" si="32"/>
        <v>0</v>
      </c>
      <c r="AA103" s="786">
        <f t="shared" si="33"/>
        <v>0</v>
      </c>
      <c r="AB103" s="800">
        <f>IF(Y103=0,,VLOOKUP(Y103,リスト!CX:CY,2,0))</f>
        <v>0</v>
      </c>
      <c r="AC103" s="800">
        <f t="shared" si="19"/>
        <v>0</v>
      </c>
      <c r="AD103" s="801">
        <f>IF(AC103=0,,VLOOKUP(AC103,リスト!DK:DL,2,0))</f>
        <v>0</v>
      </c>
      <c r="AE103" s="786">
        <f>IF(Y103=0,,
IF(OR(リスト!$C$21="小麦",リスト!$C$21="二条大麦",リスト!$C$21="六条大麦",リスト!$C$21="はだか麦",リスト!$C$21="なたね"),IF(K103&lt;9,調査年-J103,調査年-J103-1),
IF(リスト!$C$21="さとうきび",IF(K103&gt;=4,調査年-J103,調査年-J103+1),
調査年-J103)))</f>
        <v>0</v>
      </c>
      <c r="AF103" s="306">
        <f t="shared" si="20"/>
        <v>0</v>
      </c>
      <c r="AG103" s="306">
        <f t="shared" si="21"/>
        <v>0</v>
      </c>
      <c r="AH103" s="306">
        <f t="shared" si="22"/>
        <v>0</v>
      </c>
      <c r="AI103" s="306">
        <f t="shared" si="23"/>
        <v>0</v>
      </c>
      <c r="AJ103" s="306">
        <f t="shared" si="24"/>
        <v>0</v>
      </c>
      <c r="AK103" s="306">
        <f t="shared" si="34"/>
        <v>0</v>
      </c>
      <c r="AL103" s="306">
        <f t="shared" si="25"/>
        <v>0</v>
      </c>
      <c r="AM103" s="306">
        <f t="shared" si="26"/>
        <v>0</v>
      </c>
      <c r="AN103" s="477"/>
      <c r="AO103" s="788">
        <f>IF(OR(P103=0,AG103=0),,
IF(OR(リスト!$C$21="小麦",リスト!$C$21="二条大麦",リスト!$C$21="六条大麦",リスト!$C$21="はだか麦",リスト!$C$21="なたね"),IF(OR(AND(K103&lt;9,J103=調査年),AND(K103&gt;=9,J103=調査年-1)),,ROUND(AG103*P103%,0)),
IF(リスト!$C$21="さとうきび",IF(OR(AND(K103&gt;=4,J103=調査年),AND(K103&lt;4,J103=調査年+1)),,ROUND(AG103*P103%,0)),
IF(J103=調査年,,ROUND(AG103*P103%,0)))))</f>
        <v>0</v>
      </c>
      <c r="AP103" s="788">
        <f t="shared" si="27"/>
        <v>0</v>
      </c>
      <c r="AQ103" s="306">
        <f t="shared" si="28"/>
        <v>0</v>
      </c>
      <c r="AR103" s="788">
        <f t="shared" si="29"/>
        <v>0</v>
      </c>
      <c r="AS103" s="306">
        <f>IF(P103=0,,
SUM(
IF(OR(リスト!$C$21="小麦",リスト!$C$21="二条大麦",リスト!$C$21="六条大麦",リスト!$C$21="はだか麦",リスト!$C$21="なたね"),IF(OR(AND(Z103=1,K103&lt;9,J103=調査年),AND(Z103=1,K103&gt;=9,J103=調査年-1)),ROUND(L103*P103%,0),),
IF(リスト!$C$21="さとうきび",IF(OR(AND(Z103=1,K103&gt;=4,J103=調査年),AND(Z103=1,K103&lt;4,J103=調査年+1)),ROUND(L103*P103%,0),),
IF(AND(Z103=1,J103=調査年),ROUND(L103*P103%,0),))),
ROUND(N103*P103%,0),
ROUND(SUM(AK103)*P103%,0)
))</f>
        <v>0</v>
      </c>
      <c r="AT103" s="306">
        <f t="shared" si="30"/>
        <v>0</v>
      </c>
      <c r="AU103" s="306" t="str">
        <f t="shared" si="31"/>
        <v/>
      </c>
      <c r="AV103" s="802"/>
      <c r="AW103" s="802"/>
      <c r="AX103" s="802"/>
      <c r="AY103" s="802"/>
      <c r="AZ103" s="802"/>
    </row>
    <row r="104" spans="3:52" s="174" customFormat="1" ht="30" hidden="1" customHeight="1" outlineLevel="1">
      <c r="C104" s="790">
        <v>89</v>
      </c>
      <c r="D104" s="803"/>
      <c r="E104" s="792"/>
      <c r="F104" s="793"/>
      <c r="G104" s="2214"/>
      <c r="H104" s="2215"/>
      <c r="I104" s="794"/>
      <c r="J104" s="795"/>
      <c r="K104" s="796"/>
      <c r="L104" s="797"/>
      <c r="M104" s="797"/>
      <c r="N104" s="797"/>
      <c r="O104" s="797"/>
      <c r="P104" s="1284"/>
      <c r="Q104" s="798"/>
      <c r="R104" s="799"/>
      <c r="S104" s="797"/>
      <c r="T104" s="784"/>
      <c r="U104" s="2"/>
      <c r="V104" s="1295"/>
      <c r="W104" s="785"/>
      <c r="X104" s="2"/>
      <c r="Y104" s="800">
        <f t="shared" si="35"/>
        <v>0</v>
      </c>
      <c r="Z104" s="786">
        <f t="shared" si="32"/>
        <v>0</v>
      </c>
      <c r="AA104" s="786">
        <f t="shared" si="33"/>
        <v>0</v>
      </c>
      <c r="AB104" s="800">
        <f>IF(Y104=0,,VLOOKUP(Y104,リスト!CX:CY,2,0))</f>
        <v>0</v>
      </c>
      <c r="AC104" s="800">
        <f t="shared" si="19"/>
        <v>0</v>
      </c>
      <c r="AD104" s="801">
        <f>IF(AC104=0,,VLOOKUP(AC104,リスト!DK:DL,2,0))</f>
        <v>0</v>
      </c>
      <c r="AE104" s="786">
        <f>IF(Y104=0,,
IF(OR(リスト!$C$21="小麦",リスト!$C$21="二条大麦",リスト!$C$21="六条大麦",リスト!$C$21="はだか麦",リスト!$C$21="なたね"),IF(K104&lt;9,調査年-J104,調査年-J104-1),
IF(リスト!$C$21="さとうきび",IF(K104&gt;=4,調査年-J104,調査年-J104+1),
調査年-J104)))</f>
        <v>0</v>
      </c>
      <c r="AF104" s="306">
        <f t="shared" si="20"/>
        <v>0</v>
      </c>
      <c r="AG104" s="306">
        <f t="shared" si="21"/>
        <v>0</v>
      </c>
      <c r="AH104" s="306">
        <f t="shared" si="22"/>
        <v>0</v>
      </c>
      <c r="AI104" s="306">
        <f t="shared" si="23"/>
        <v>0</v>
      </c>
      <c r="AJ104" s="306">
        <f t="shared" si="24"/>
        <v>0</v>
      </c>
      <c r="AK104" s="306">
        <f t="shared" si="34"/>
        <v>0</v>
      </c>
      <c r="AL104" s="306">
        <f t="shared" si="25"/>
        <v>0</v>
      </c>
      <c r="AM104" s="306">
        <f t="shared" si="26"/>
        <v>0</v>
      </c>
      <c r="AN104" s="477"/>
      <c r="AO104" s="788">
        <f>IF(OR(P104=0,AG104=0),,
IF(OR(リスト!$C$21="小麦",リスト!$C$21="二条大麦",リスト!$C$21="六条大麦",リスト!$C$21="はだか麦",リスト!$C$21="なたね"),IF(OR(AND(K104&lt;9,J104=調査年),AND(K104&gt;=9,J104=調査年-1)),,ROUND(AG104*P104%,0)),
IF(リスト!$C$21="さとうきび",IF(OR(AND(K104&gt;=4,J104=調査年),AND(K104&lt;4,J104=調査年+1)),,ROUND(AG104*P104%,0)),
IF(J104=調査年,,ROUND(AG104*P104%,0)))))</f>
        <v>0</v>
      </c>
      <c r="AP104" s="788">
        <f t="shared" si="27"/>
        <v>0</v>
      </c>
      <c r="AQ104" s="306">
        <f t="shared" si="28"/>
        <v>0</v>
      </c>
      <c r="AR104" s="788">
        <f t="shared" si="29"/>
        <v>0</v>
      </c>
      <c r="AS104" s="306">
        <f>IF(P104=0,,
SUM(
IF(OR(リスト!$C$21="小麦",リスト!$C$21="二条大麦",リスト!$C$21="六条大麦",リスト!$C$21="はだか麦",リスト!$C$21="なたね"),IF(OR(AND(Z104=1,K104&lt;9,J104=調査年),AND(Z104=1,K104&gt;=9,J104=調査年-1)),ROUND(L104*P104%,0),),
IF(リスト!$C$21="さとうきび",IF(OR(AND(Z104=1,K104&gt;=4,J104=調査年),AND(Z104=1,K104&lt;4,J104=調査年+1)),ROUND(L104*P104%,0),),
IF(AND(Z104=1,J104=調査年),ROUND(L104*P104%,0),))),
ROUND(N104*P104%,0),
ROUND(SUM(AK104)*P104%,0)
))</f>
        <v>0</v>
      </c>
      <c r="AT104" s="306">
        <f t="shared" si="30"/>
        <v>0</v>
      </c>
      <c r="AU104" s="306" t="str">
        <f t="shared" si="31"/>
        <v/>
      </c>
      <c r="AV104" s="802"/>
      <c r="AW104" s="802"/>
      <c r="AX104" s="802"/>
      <c r="AY104" s="802"/>
      <c r="AZ104" s="802"/>
    </row>
    <row r="105" spans="3:52" s="174" customFormat="1" ht="30" hidden="1" customHeight="1" outlineLevel="1">
      <c r="C105" s="790">
        <v>90</v>
      </c>
      <c r="D105" s="803"/>
      <c r="E105" s="792"/>
      <c r="F105" s="793"/>
      <c r="G105" s="2214"/>
      <c r="H105" s="2215"/>
      <c r="I105" s="794"/>
      <c r="J105" s="795"/>
      <c r="K105" s="796"/>
      <c r="L105" s="797"/>
      <c r="M105" s="797"/>
      <c r="N105" s="797"/>
      <c r="O105" s="797"/>
      <c r="P105" s="1284"/>
      <c r="Q105" s="798"/>
      <c r="R105" s="799"/>
      <c r="S105" s="797"/>
      <c r="T105" s="784"/>
      <c r="U105" s="2"/>
      <c r="V105" s="1295"/>
      <c r="W105" s="785"/>
      <c r="X105" s="2"/>
      <c r="Y105" s="800">
        <f t="shared" si="35"/>
        <v>0</v>
      </c>
      <c r="Z105" s="786">
        <f t="shared" si="32"/>
        <v>0</v>
      </c>
      <c r="AA105" s="786">
        <f t="shared" si="33"/>
        <v>0</v>
      </c>
      <c r="AB105" s="800">
        <f>IF(Y105=0,,VLOOKUP(Y105,リスト!CX:CY,2,0))</f>
        <v>0</v>
      </c>
      <c r="AC105" s="800">
        <f t="shared" si="19"/>
        <v>0</v>
      </c>
      <c r="AD105" s="801">
        <f>IF(AC105=0,,VLOOKUP(AC105,リスト!DK:DL,2,0))</f>
        <v>0</v>
      </c>
      <c r="AE105" s="786">
        <f>IF(Y105=0,,
IF(OR(リスト!$C$21="小麦",リスト!$C$21="二条大麦",リスト!$C$21="六条大麦",リスト!$C$21="はだか麦",リスト!$C$21="なたね"),IF(K105&lt;9,調査年-J105,調査年-J105-1),
IF(リスト!$C$21="さとうきび",IF(K105&gt;=4,調査年-J105,調査年-J105+1),
調査年-J105)))</f>
        <v>0</v>
      </c>
      <c r="AF105" s="306">
        <f t="shared" si="20"/>
        <v>0</v>
      </c>
      <c r="AG105" s="306">
        <f t="shared" si="21"/>
        <v>0</v>
      </c>
      <c r="AH105" s="306">
        <f t="shared" si="22"/>
        <v>0</v>
      </c>
      <c r="AI105" s="306">
        <f t="shared" si="23"/>
        <v>0</v>
      </c>
      <c r="AJ105" s="306">
        <f t="shared" si="24"/>
        <v>0</v>
      </c>
      <c r="AK105" s="306">
        <f t="shared" si="34"/>
        <v>0</v>
      </c>
      <c r="AL105" s="306">
        <f t="shared" si="25"/>
        <v>0</v>
      </c>
      <c r="AM105" s="306">
        <f t="shared" si="26"/>
        <v>0</v>
      </c>
      <c r="AN105" s="477"/>
      <c r="AO105" s="788">
        <f>IF(OR(P105=0,AG105=0),,
IF(OR(リスト!$C$21="小麦",リスト!$C$21="二条大麦",リスト!$C$21="六条大麦",リスト!$C$21="はだか麦",リスト!$C$21="なたね"),IF(OR(AND(K105&lt;9,J105=調査年),AND(K105&gt;=9,J105=調査年-1)),,ROUND(AG105*P105%,0)),
IF(リスト!$C$21="さとうきび",IF(OR(AND(K105&gt;=4,J105=調査年),AND(K105&lt;4,J105=調査年+1)),,ROUND(AG105*P105%,0)),
IF(J105=調査年,,ROUND(AG105*P105%,0)))))</f>
        <v>0</v>
      </c>
      <c r="AP105" s="788">
        <f t="shared" si="27"/>
        <v>0</v>
      </c>
      <c r="AQ105" s="306">
        <f t="shared" si="28"/>
        <v>0</v>
      </c>
      <c r="AR105" s="788">
        <f t="shared" si="29"/>
        <v>0</v>
      </c>
      <c r="AS105" s="306">
        <f>IF(P105=0,,
SUM(
IF(OR(リスト!$C$21="小麦",リスト!$C$21="二条大麦",リスト!$C$21="六条大麦",リスト!$C$21="はだか麦",リスト!$C$21="なたね"),IF(OR(AND(Z105=1,K105&lt;9,J105=調査年),AND(Z105=1,K105&gt;=9,J105=調査年-1)),ROUND(L105*P105%,0),),
IF(リスト!$C$21="さとうきび",IF(OR(AND(Z105=1,K105&gt;=4,J105=調査年),AND(Z105=1,K105&lt;4,J105=調査年+1)),ROUND(L105*P105%,0),),
IF(AND(Z105=1,J105=調査年),ROUND(L105*P105%,0),))),
ROUND(N105*P105%,0),
ROUND(SUM(AK105)*P105%,0)
))</f>
        <v>0</v>
      </c>
      <c r="AT105" s="306">
        <f t="shared" si="30"/>
        <v>0</v>
      </c>
      <c r="AU105" s="306" t="str">
        <f t="shared" si="31"/>
        <v/>
      </c>
      <c r="AV105" s="802"/>
      <c r="AW105" s="802"/>
      <c r="AX105" s="802"/>
      <c r="AY105" s="802"/>
      <c r="AZ105" s="802"/>
    </row>
    <row r="106" spans="3:52" s="174" customFormat="1" ht="30" hidden="1" customHeight="1" outlineLevel="1">
      <c r="C106" s="790">
        <v>91</v>
      </c>
      <c r="D106" s="803"/>
      <c r="E106" s="792"/>
      <c r="F106" s="793"/>
      <c r="G106" s="2214"/>
      <c r="H106" s="2215"/>
      <c r="I106" s="794"/>
      <c r="J106" s="795"/>
      <c r="K106" s="796"/>
      <c r="L106" s="797"/>
      <c r="M106" s="797"/>
      <c r="N106" s="797"/>
      <c r="O106" s="797"/>
      <c r="P106" s="1284"/>
      <c r="Q106" s="798"/>
      <c r="R106" s="799"/>
      <c r="S106" s="797"/>
      <c r="T106" s="784"/>
      <c r="U106" s="2"/>
      <c r="V106" s="1295"/>
      <c r="W106" s="785"/>
      <c r="X106" s="2"/>
      <c r="Y106" s="800">
        <f t="shared" si="35"/>
        <v>0</v>
      </c>
      <c r="Z106" s="786">
        <f t="shared" si="32"/>
        <v>0</v>
      </c>
      <c r="AA106" s="786">
        <f t="shared" si="33"/>
        <v>0</v>
      </c>
      <c r="AB106" s="800">
        <f>IF(Y106=0,,VLOOKUP(Y106,リスト!CX:CY,2,0))</f>
        <v>0</v>
      </c>
      <c r="AC106" s="800">
        <f t="shared" si="19"/>
        <v>0</v>
      </c>
      <c r="AD106" s="801">
        <f>IF(AC106=0,,VLOOKUP(AC106,リスト!DK:DL,2,0))</f>
        <v>0</v>
      </c>
      <c r="AE106" s="786">
        <f>IF(Y106=0,,
IF(OR(リスト!$C$21="小麦",リスト!$C$21="二条大麦",リスト!$C$21="六条大麦",リスト!$C$21="はだか麦",リスト!$C$21="なたね"),IF(K106&lt;9,調査年-J106,調査年-J106-1),
IF(リスト!$C$21="さとうきび",IF(K106&gt;=4,調査年-J106,調査年-J106+1),
調査年-J106)))</f>
        <v>0</v>
      </c>
      <c r="AF106" s="306">
        <f t="shared" si="20"/>
        <v>0</v>
      </c>
      <c r="AG106" s="306">
        <f t="shared" si="21"/>
        <v>0</v>
      </c>
      <c r="AH106" s="306">
        <f t="shared" si="22"/>
        <v>0</v>
      </c>
      <c r="AI106" s="306">
        <f t="shared" si="23"/>
        <v>0</v>
      </c>
      <c r="AJ106" s="306">
        <f t="shared" si="24"/>
        <v>0</v>
      </c>
      <c r="AK106" s="306">
        <f t="shared" si="34"/>
        <v>0</v>
      </c>
      <c r="AL106" s="306">
        <f t="shared" si="25"/>
        <v>0</v>
      </c>
      <c r="AM106" s="306">
        <f t="shared" si="26"/>
        <v>0</v>
      </c>
      <c r="AN106" s="477"/>
      <c r="AO106" s="788">
        <f>IF(OR(P106=0,AG106=0),,
IF(OR(リスト!$C$21="小麦",リスト!$C$21="二条大麦",リスト!$C$21="六条大麦",リスト!$C$21="はだか麦",リスト!$C$21="なたね"),IF(OR(AND(K106&lt;9,J106=調査年),AND(K106&gt;=9,J106=調査年-1)),,ROUND(AG106*P106%,0)),
IF(リスト!$C$21="さとうきび",IF(OR(AND(K106&gt;=4,J106=調査年),AND(K106&lt;4,J106=調査年+1)),,ROUND(AG106*P106%,0)),
IF(J106=調査年,,ROUND(AG106*P106%,0)))))</f>
        <v>0</v>
      </c>
      <c r="AP106" s="788">
        <f t="shared" si="27"/>
        <v>0</v>
      </c>
      <c r="AQ106" s="306">
        <f t="shared" si="28"/>
        <v>0</v>
      </c>
      <c r="AR106" s="788">
        <f t="shared" si="29"/>
        <v>0</v>
      </c>
      <c r="AS106" s="306">
        <f>IF(P106=0,,
SUM(
IF(OR(リスト!$C$21="小麦",リスト!$C$21="二条大麦",リスト!$C$21="六条大麦",リスト!$C$21="はだか麦",リスト!$C$21="なたね"),IF(OR(AND(Z106=1,K106&lt;9,J106=調査年),AND(Z106=1,K106&gt;=9,J106=調査年-1)),ROUND(L106*P106%,0),),
IF(リスト!$C$21="さとうきび",IF(OR(AND(Z106=1,K106&gt;=4,J106=調査年),AND(Z106=1,K106&lt;4,J106=調査年+1)),ROUND(L106*P106%,0),),
IF(AND(Z106=1,J106=調査年),ROUND(L106*P106%,0),))),
ROUND(N106*P106%,0),
ROUND(SUM(AK106)*P106%,0)
))</f>
        <v>0</v>
      </c>
      <c r="AT106" s="306">
        <f t="shared" si="30"/>
        <v>0</v>
      </c>
      <c r="AU106" s="306" t="str">
        <f t="shared" si="31"/>
        <v/>
      </c>
      <c r="AV106" s="802"/>
      <c r="AW106" s="802"/>
      <c r="AX106" s="802"/>
      <c r="AY106" s="802"/>
      <c r="AZ106" s="802"/>
    </row>
    <row r="107" spans="3:52" s="174" customFormat="1" ht="30" hidden="1" customHeight="1" outlineLevel="1">
      <c r="C107" s="790">
        <v>92</v>
      </c>
      <c r="D107" s="803"/>
      <c r="E107" s="792"/>
      <c r="F107" s="793"/>
      <c r="G107" s="2214"/>
      <c r="H107" s="2215"/>
      <c r="I107" s="794"/>
      <c r="J107" s="795"/>
      <c r="K107" s="796"/>
      <c r="L107" s="797"/>
      <c r="M107" s="797"/>
      <c r="N107" s="797"/>
      <c r="O107" s="797"/>
      <c r="P107" s="1284"/>
      <c r="Q107" s="798"/>
      <c r="R107" s="799"/>
      <c r="S107" s="797"/>
      <c r="T107" s="784"/>
      <c r="U107" s="2"/>
      <c r="V107" s="1295"/>
      <c r="W107" s="785"/>
      <c r="X107" s="2"/>
      <c r="Y107" s="800">
        <f t="shared" si="35"/>
        <v>0</v>
      </c>
      <c r="Z107" s="786">
        <f t="shared" si="32"/>
        <v>0</v>
      </c>
      <c r="AA107" s="786">
        <f t="shared" si="33"/>
        <v>0</v>
      </c>
      <c r="AB107" s="800">
        <f>IF(Y107=0,,VLOOKUP(Y107,リスト!CX:CY,2,0))</f>
        <v>0</v>
      </c>
      <c r="AC107" s="800">
        <f t="shared" si="19"/>
        <v>0</v>
      </c>
      <c r="AD107" s="801">
        <f>IF(AC107=0,,VLOOKUP(AC107,リスト!DK:DL,2,0))</f>
        <v>0</v>
      </c>
      <c r="AE107" s="786">
        <f>IF(Y107=0,,
IF(OR(リスト!$C$21="小麦",リスト!$C$21="二条大麦",リスト!$C$21="六条大麦",リスト!$C$21="はだか麦",リスト!$C$21="なたね"),IF(K107&lt;9,調査年-J107,調査年-J107-1),
IF(リスト!$C$21="さとうきび",IF(K107&gt;=4,調査年-J107,調査年-J107+1),
調査年-J107)))</f>
        <v>0</v>
      </c>
      <c r="AF107" s="306">
        <f t="shared" si="20"/>
        <v>0</v>
      </c>
      <c r="AG107" s="306">
        <f t="shared" si="21"/>
        <v>0</v>
      </c>
      <c r="AH107" s="306">
        <f t="shared" si="22"/>
        <v>0</v>
      </c>
      <c r="AI107" s="306">
        <f t="shared" si="23"/>
        <v>0</v>
      </c>
      <c r="AJ107" s="306">
        <f t="shared" si="24"/>
        <v>0</v>
      </c>
      <c r="AK107" s="306">
        <f t="shared" si="34"/>
        <v>0</v>
      </c>
      <c r="AL107" s="306">
        <f t="shared" si="25"/>
        <v>0</v>
      </c>
      <c r="AM107" s="306">
        <f t="shared" si="26"/>
        <v>0</v>
      </c>
      <c r="AN107" s="477"/>
      <c r="AO107" s="788">
        <f>IF(OR(P107=0,AG107=0),,
IF(OR(リスト!$C$21="小麦",リスト!$C$21="二条大麦",リスト!$C$21="六条大麦",リスト!$C$21="はだか麦",リスト!$C$21="なたね"),IF(OR(AND(K107&lt;9,J107=調査年),AND(K107&gt;=9,J107=調査年-1)),,ROUND(AG107*P107%,0)),
IF(リスト!$C$21="さとうきび",IF(OR(AND(K107&gt;=4,J107=調査年),AND(K107&lt;4,J107=調査年+1)),,ROUND(AG107*P107%,0)),
IF(J107=調査年,,ROUND(AG107*P107%,0)))))</f>
        <v>0</v>
      </c>
      <c r="AP107" s="788">
        <f t="shared" si="27"/>
        <v>0</v>
      </c>
      <c r="AQ107" s="306">
        <f t="shared" si="28"/>
        <v>0</v>
      </c>
      <c r="AR107" s="788">
        <f t="shared" si="29"/>
        <v>0</v>
      </c>
      <c r="AS107" s="306">
        <f>IF(P107=0,,
SUM(
IF(OR(リスト!$C$21="小麦",リスト!$C$21="二条大麦",リスト!$C$21="六条大麦",リスト!$C$21="はだか麦",リスト!$C$21="なたね"),IF(OR(AND(Z107=1,K107&lt;9,J107=調査年),AND(Z107=1,K107&gt;=9,J107=調査年-1)),ROUND(L107*P107%,0),),
IF(リスト!$C$21="さとうきび",IF(OR(AND(Z107=1,K107&gt;=4,J107=調査年),AND(Z107=1,K107&lt;4,J107=調査年+1)),ROUND(L107*P107%,0),),
IF(AND(Z107=1,J107=調査年),ROUND(L107*P107%,0),))),
ROUND(N107*P107%,0),
ROUND(SUM(AK107)*P107%,0)
))</f>
        <v>0</v>
      </c>
      <c r="AT107" s="306">
        <f t="shared" si="30"/>
        <v>0</v>
      </c>
      <c r="AU107" s="306" t="str">
        <f t="shared" si="31"/>
        <v/>
      </c>
      <c r="AV107" s="802"/>
      <c r="AW107" s="802"/>
      <c r="AX107" s="802"/>
      <c r="AY107" s="802"/>
      <c r="AZ107" s="802"/>
    </row>
    <row r="108" spans="3:52" s="174" customFormat="1" ht="30" hidden="1" customHeight="1" outlineLevel="1">
      <c r="C108" s="790">
        <v>93</v>
      </c>
      <c r="D108" s="803"/>
      <c r="E108" s="792"/>
      <c r="F108" s="793"/>
      <c r="G108" s="2214"/>
      <c r="H108" s="2215"/>
      <c r="I108" s="794"/>
      <c r="J108" s="795"/>
      <c r="K108" s="796"/>
      <c r="L108" s="797"/>
      <c r="M108" s="797"/>
      <c r="N108" s="797"/>
      <c r="O108" s="797"/>
      <c r="P108" s="1284"/>
      <c r="Q108" s="798"/>
      <c r="R108" s="799"/>
      <c r="S108" s="797"/>
      <c r="T108" s="784"/>
      <c r="U108" s="2"/>
      <c r="V108" s="1295"/>
      <c r="W108" s="785"/>
      <c r="X108" s="2"/>
      <c r="Y108" s="800">
        <f t="shared" si="35"/>
        <v>0</v>
      </c>
      <c r="Z108" s="786">
        <f t="shared" si="32"/>
        <v>0</v>
      </c>
      <c r="AA108" s="786">
        <f t="shared" si="33"/>
        <v>0</v>
      </c>
      <c r="AB108" s="800">
        <f>IF(Y108=0,,VLOOKUP(Y108,リスト!CX:CY,2,0))</f>
        <v>0</v>
      </c>
      <c r="AC108" s="800">
        <f t="shared" si="19"/>
        <v>0</v>
      </c>
      <c r="AD108" s="801">
        <f>IF(AC108=0,,VLOOKUP(AC108,リスト!DK:DL,2,0))</f>
        <v>0</v>
      </c>
      <c r="AE108" s="786">
        <f>IF(Y108=0,,
IF(OR(リスト!$C$21="小麦",リスト!$C$21="二条大麦",リスト!$C$21="六条大麦",リスト!$C$21="はだか麦",リスト!$C$21="なたね"),IF(K108&lt;9,調査年-J108,調査年-J108-1),
IF(リスト!$C$21="さとうきび",IF(K108&gt;=4,調査年-J108,調査年-J108+1),
調査年-J108)))</f>
        <v>0</v>
      </c>
      <c r="AF108" s="306">
        <f t="shared" si="20"/>
        <v>0</v>
      </c>
      <c r="AG108" s="306">
        <f t="shared" si="21"/>
        <v>0</v>
      </c>
      <c r="AH108" s="306">
        <f t="shared" si="22"/>
        <v>0</v>
      </c>
      <c r="AI108" s="306">
        <f t="shared" si="23"/>
        <v>0</v>
      </c>
      <c r="AJ108" s="306">
        <f t="shared" si="24"/>
        <v>0</v>
      </c>
      <c r="AK108" s="306">
        <f t="shared" si="34"/>
        <v>0</v>
      </c>
      <c r="AL108" s="306">
        <f t="shared" si="25"/>
        <v>0</v>
      </c>
      <c r="AM108" s="306">
        <f t="shared" si="26"/>
        <v>0</v>
      </c>
      <c r="AN108" s="477"/>
      <c r="AO108" s="788">
        <f>IF(OR(P108=0,AG108=0),,
IF(OR(リスト!$C$21="小麦",リスト!$C$21="二条大麦",リスト!$C$21="六条大麦",リスト!$C$21="はだか麦",リスト!$C$21="なたね"),IF(OR(AND(K108&lt;9,J108=調査年),AND(K108&gt;=9,J108=調査年-1)),,ROUND(AG108*P108%,0)),
IF(リスト!$C$21="さとうきび",IF(OR(AND(K108&gt;=4,J108=調査年),AND(K108&lt;4,J108=調査年+1)),,ROUND(AG108*P108%,0)),
IF(J108=調査年,,ROUND(AG108*P108%,0)))))</f>
        <v>0</v>
      </c>
      <c r="AP108" s="788">
        <f t="shared" si="27"/>
        <v>0</v>
      </c>
      <c r="AQ108" s="306">
        <f t="shared" si="28"/>
        <v>0</v>
      </c>
      <c r="AR108" s="788">
        <f t="shared" si="29"/>
        <v>0</v>
      </c>
      <c r="AS108" s="306">
        <f>IF(P108=0,,
SUM(
IF(OR(リスト!$C$21="小麦",リスト!$C$21="二条大麦",リスト!$C$21="六条大麦",リスト!$C$21="はだか麦",リスト!$C$21="なたね"),IF(OR(AND(Z108=1,K108&lt;9,J108=調査年),AND(Z108=1,K108&gt;=9,J108=調査年-1)),ROUND(L108*P108%,0),),
IF(リスト!$C$21="さとうきび",IF(OR(AND(Z108=1,K108&gt;=4,J108=調査年),AND(Z108=1,K108&lt;4,J108=調査年+1)),ROUND(L108*P108%,0),),
IF(AND(Z108=1,J108=調査年),ROUND(L108*P108%,0),))),
ROUND(N108*P108%,0),
ROUND(SUM(AK108)*P108%,0)
))</f>
        <v>0</v>
      </c>
      <c r="AT108" s="306">
        <f t="shared" si="30"/>
        <v>0</v>
      </c>
      <c r="AU108" s="306" t="str">
        <f t="shared" si="31"/>
        <v/>
      </c>
      <c r="AV108" s="802"/>
      <c r="AW108" s="802"/>
      <c r="AX108" s="802"/>
      <c r="AY108" s="802"/>
      <c r="AZ108" s="802"/>
    </row>
    <row r="109" spans="3:52" s="174" customFormat="1" ht="30" hidden="1" customHeight="1" outlineLevel="1">
      <c r="C109" s="790">
        <v>94</v>
      </c>
      <c r="D109" s="803"/>
      <c r="E109" s="792"/>
      <c r="F109" s="793"/>
      <c r="G109" s="2214"/>
      <c r="H109" s="2215"/>
      <c r="I109" s="794"/>
      <c r="J109" s="795"/>
      <c r="K109" s="796"/>
      <c r="L109" s="797"/>
      <c r="M109" s="797"/>
      <c r="N109" s="797"/>
      <c r="O109" s="797"/>
      <c r="P109" s="1284"/>
      <c r="Q109" s="798"/>
      <c r="R109" s="799"/>
      <c r="S109" s="797"/>
      <c r="T109" s="784"/>
      <c r="U109" s="2"/>
      <c r="V109" s="1295"/>
      <c r="W109" s="785"/>
      <c r="X109" s="2"/>
      <c r="Y109" s="800">
        <f t="shared" si="35"/>
        <v>0</v>
      </c>
      <c r="Z109" s="786">
        <f t="shared" si="32"/>
        <v>0</v>
      </c>
      <c r="AA109" s="786">
        <f t="shared" si="33"/>
        <v>0</v>
      </c>
      <c r="AB109" s="800">
        <f>IF(Y109=0,,VLOOKUP(Y109,リスト!CX:CY,2,0))</f>
        <v>0</v>
      </c>
      <c r="AC109" s="800">
        <f t="shared" si="19"/>
        <v>0</v>
      </c>
      <c r="AD109" s="801">
        <f>IF(AC109=0,,VLOOKUP(AC109,リスト!DK:DL,2,0))</f>
        <v>0</v>
      </c>
      <c r="AE109" s="786">
        <f>IF(Y109=0,,
IF(OR(リスト!$C$21="小麦",リスト!$C$21="二条大麦",リスト!$C$21="六条大麦",リスト!$C$21="はだか麦",リスト!$C$21="なたね"),IF(K109&lt;9,調査年-J109,調査年-J109-1),
IF(リスト!$C$21="さとうきび",IF(K109&gt;=4,調査年-J109,調査年-J109+1),
調査年-J109)))</f>
        <v>0</v>
      </c>
      <c r="AF109" s="306">
        <f t="shared" si="20"/>
        <v>0</v>
      </c>
      <c r="AG109" s="306">
        <f t="shared" si="21"/>
        <v>0</v>
      </c>
      <c r="AH109" s="306">
        <f t="shared" si="22"/>
        <v>0</v>
      </c>
      <c r="AI109" s="306">
        <f t="shared" si="23"/>
        <v>0</v>
      </c>
      <c r="AJ109" s="306">
        <f t="shared" si="24"/>
        <v>0</v>
      </c>
      <c r="AK109" s="306">
        <f t="shared" si="34"/>
        <v>0</v>
      </c>
      <c r="AL109" s="306">
        <f t="shared" si="25"/>
        <v>0</v>
      </c>
      <c r="AM109" s="306">
        <f t="shared" si="26"/>
        <v>0</v>
      </c>
      <c r="AN109" s="477"/>
      <c r="AO109" s="788">
        <f>IF(OR(P109=0,AG109=0),,
IF(OR(リスト!$C$21="小麦",リスト!$C$21="二条大麦",リスト!$C$21="六条大麦",リスト!$C$21="はだか麦",リスト!$C$21="なたね"),IF(OR(AND(K109&lt;9,J109=調査年),AND(K109&gt;=9,J109=調査年-1)),,ROUND(AG109*P109%,0)),
IF(リスト!$C$21="さとうきび",IF(OR(AND(K109&gt;=4,J109=調査年),AND(K109&lt;4,J109=調査年+1)),,ROUND(AG109*P109%,0)),
IF(J109=調査年,,ROUND(AG109*P109%,0)))))</f>
        <v>0</v>
      </c>
      <c r="AP109" s="788">
        <f t="shared" si="27"/>
        <v>0</v>
      </c>
      <c r="AQ109" s="306">
        <f t="shared" si="28"/>
        <v>0</v>
      </c>
      <c r="AR109" s="788">
        <f t="shared" si="29"/>
        <v>0</v>
      </c>
      <c r="AS109" s="306">
        <f>IF(P109=0,,
SUM(
IF(OR(リスト!$C$21="小麦",リスト!$C$21="二条大麦",リスト!$C$21="六条大麦",リスト!$C$21="はだか麦",リスト!$C$21="なたね"),IF(OR(AND(Z109=1,K109&lt;9,J109=調査年),AND(Z109=1,K109&gt;=9,J109=調査年-1)),ROUND(L109*P109%,0),),
IF(リスト!$C$21="さとうきび",IF(OR(AND(Z109=1,K109&gt;=4,J109=調査年),AND(Z109=1,K109&lt;4,J109=調査年+1)),ROUND(L109*P109%,0),),
IF(AND(Z109=1,J109=調査年),ROUND(L109*P109%,0),))),
ROUND(N109*P109%,0),
ROUND(SUM(AK109)*P109%,0)
))</f>
        <v>0</v>
      </c>
      <c r="AT109" s="306">
        <f t="shared" si="30"/>
        <v>0</v>
      </c>
      <c r="AU109" s="306" t="str">
        <f t="shared" si="31"/>
        <v/>
      </c>
      <c r="AV109" s="802"/>
      <c r="AW109" s="802"/>
      <c r="AX109" s="802"/>
      <c r="AY109" s="802"/>
      <c r="AZ109" s="802"/>
    </row>
    <row r="110" spans="3:52" s="174" customFormat="1" ht="30" hidden="1" customHeight="1" outlineLevel="1">
      <c r="C110" s="790">
        <v>95</v>
      </c>
      <c r="D110" s="803"/>
      <c r="E110" s="792"/>
      <c r="F110" s="793"/>
      <c r="G110" s="2214"/>
      <c r="H110" s="2215"/>
      <c r="I110" s="794"/>
      <c r="J110" s="795"/>
      <c r="K110" s="796"/>
      <c r="L110" s="797"/>
      <c r="M110" s="797"/>
      <c r="N110" s="797"/>
      <c r="O110" s="797"/>
      <c r="P110" s="1284"/>
      <c r="Q110" s="798"/>
      <c r="R110" s="799"/>
      <c r="S110" s="797"/>
      <c r="T110" s="784"/>
      <c r="U110" s="2"/>
      <c r="V110" s="1295"/>
      <c r="W110" s="785"/>
      <c r="X110" s="2"/>
      <c r="Y110" s="800">
        <f t="shared" si="35"/>
        <v>0</v>
      </c>
      <c r="Z110" s="786">
        <f t="shared" si="32"/>
        <v>0</v>
      </c>
      <c r="AA110" s="786">
        <f t="shared" si="33"/>
        <v>0</v>
      </c>
      <c r="AB110" s="800">
        <f>IF(Y110=0,,VLOOKUP(Y110,リスト!CX:CY,2,0))</f>
        <v>0</v>
      </c>
      <c r="AC110" s="800">
        <f t="shared" si="19"/>
        <v>0</v>
      </c>
      <c r="AD110" s="801">
        <f>IF(AC110=0,,VLOOKUP(AC110,リスト!DK:DL,2,0))</f>
        <v>0</v>
      </c>
      <c r="AE110" s="786">
        <f>IF(Y110=0,,
IF(OR(リスト!$C$21="小麦",リスト!$C$21="二条大麦",リスト!$C$21="六条大麦",リスト!$C$21="はだか麦",リスト!$C$21="なたね"),IF(K110&lt;9,調査年-J110,調査年-J110-1),
IF(リスト!$C$21="さとうきび",IF(K110&gt;=4,調査年-J110,調査年-J110+1),
調査年-J110)))</f>
        <v>0</v>
      </c>
      <c r="AF110" s="306">
        <f t="shared" si="20"/>
        <v>0</v>
      </c>
      <c r="AG110" s="306">
        <f t="shared" si="21"/>
        <v>0</v>
      </c>
      <c r="AH110" s="306">
        <f t="shared" si="22"/>
        <v>0</v>
      </c>
      <c r="AI110" s="306">
        <f t="shared" si="23"/>
        <v>0</v>
      </c>
      <c r="AJ110" s="306">
        <f t="shared" si="24"/>
        <v>0</v>
      </c>
      <c r="AK110" s="306">
        <f t="shared" si="34"/>
        <v>0</v>
      </c>
      <c r="AL110" s="306">
        <f t="shared" si="25"/>
        <v>0</v>
      </c>
      <c r="AM110" s="306">
        <f t="shared" si="26"/>
        <v>0</v>
      </c>
      <c r="AN110" s="477"/>
      <c r="AO110" s="788">
        <f>IF(OR(P110=0,AG110=0),,
IF(OR(リスト!$C$21="小麦",リスト!$C$21="二条大麦",リスト!$C$21="六条大麦",リスト!$C$21="はだか麦",リスト!$C$21="なたね"),IF(OR(AND(K110&lt;9,J110=調査年),AND(K110&gt;=9,J110=調査年-1)),,ROUND(AG110*P110%,0)),
IF(リスト!$C$21="さとうきび",IF(OR(AND(K110&gt;=4,J110=調査年),AND(K110&lt;4,J110=調査年+1)),,ROUND(AG110*P110%,0)),
IF(J110=調査年,,ROUND(AG110*P110%,0)))))</f>
        <v>0</v>
      </c>
      <c r="AP110" s="788">
        <f t="shared" si="27"/>
        <v>0</v>
      </c>
      <c r="AQ110" s="306">
        <f t="shared" si="28"/>
        <v>0</v>
      </c>
      <c r="AR110" s="788">
        <f t="shared" si="29"/>
        <v>0</v>
      </c>
      <c r="AS110" s="306">
        <f>IF(P110=0,,
SUM(
IF(OR(リスト!$C$21="小麦",リスト!$C$21="二条大麦",リスト!$C$21="六条大麦",リスト!$C$21="はだか麦",リスト!$C$21="なたね"),IF(OR(AND(Z110=1,K110&lt;9,J110=調査年),AND(Z110=1,K110&gt;=9,J110=調査年-1)),ROUND(L110*P110%,0),),
IF(リスト!$C$21="さとうきび",IF(OR(AND(Z110=1,K110&gt;=4,J110=調査年),AND(Z110=1,K110&lt;4,J110=調査年+1)),ROUND(L110*P110%,0),),
IF(AND(Z110=1,J110=調査年),ROUND(L110*P110%,0),))),
ROUND(N110*P110%,0),
ROUND(SUM(AK110)*P110%,0)
))</f>
        <v>0</v>
      </c>
      <c r="AT110" s="306">
        <f t="shared" si="30"/>
        <v>0</v>
      </c>
      <c r="AU110" s="306" t="str">
        <f t="shared" si="31"/>
        <v/>
      </c>
      <c r="AV110" s="802"/>
      <c r="AW110" s="802"/>
      <c r="AX110" s="802"/>
      <c r="AY110" s="802"/>
      <c r="AZ110" s="802"/>
    </row>
    <row r="111" spans="3:52" s="174" customFormat="1" ht="30" hidden="1" customHeight="1" outlineLevel="1">
      <c r="C111" s="790">
        <v>96</v>
      </c>
      <c r="D111" s="803"/>
      <c r="E111" s="792"/>
      <c r="F111" s="793"/>
      <c r="G111" s="2214"/>
      <c r="H111" s="2215"/>
      <c r="I111" s="794"/>
      <c r="J111" s="795"/>
      <c r="K111" s="796"/>
      <c r="L111" s="797"/>
      <c r="M111" s="797"/>
      <c r="N111" s="797"/>
      <c r="O111" s="797"/>
      <c r="P111" s="1284"/>
      <c r="Q111" s="798"/>
      <c r="R111" s="799"/>
      <c r="S111" s="797"/>
      <c r="T111" s="784"/>
      <c r="U111" s="2"/>
      <c r="V111" s="1295"/>
      <c r="W111" s="785"/>
      <c r="X111" s="2"/>
      <c r="Y111" s="800">
        <f t="shared" si="35"/>
        <v>0</v>
      </c>
      <c r="Z111" s="786">
        <f t="shared" si="32"/>
        <v>0</v>
      </c>
      <c r="AA111" s="786">
        <f t="shared" si="33"/>
        <v>0</v>
      </c>
      <c r="AB111" s="800">
        <f>IF(Y111=0,,VLOOKUP(Y111,リスト!CX:CY,2,0))</f>
        <v>0</v>
      </c>
      <c r="AC111" s="800">
        <f t="shared" si="19"/>
        <v>0</v>
      </c>
      <c r="AD111" s="801">
        <f>IF(AC111=0,,VLOOKUP(AC111,リスト!DK:DL,2,0))</f>
        <v>0</v>
      </c>
      <c r="AE111" s="786">
        <f>IF(Y111=0,,
IF(OR(リスト!$C$21="小麦",リスト!$C$21="二条大麦",リスト!$C$21="六条大麦",リスト!$C$21="はだか麦",リスト!$C$21="なたね"),IF(K111&lt;9,調査年-J111,調査年-J111-1),
IF(リスト!$C$21="さとうきび",IF(K111&gt;=4,調査年-J111,調査年-J111+1),
調査年-J111)))</f>
        <v>0</v>
      </c>
      <c r="AF111" s="306">
        <f t="shared" si="20"/>
        <v>0</v>
      </c>
      <c r="AG111" s="306">
        <f t="shared" si="21"/>
        <v>0</v>
      </c>
      <c r="AH111" s="306">
        <f t="shared" si="22"/>
        <v>0</v>
      </c>
      <c r="AI111" s="306">
        <f t="shared" si="23"/>
        <v>0</v>
      </c>
      <c r="AJ111" s="306">
        <f t="shared" si="24"/>
        <v>0</v>
      </c>
      <c r="AK111" s="306">
        <f t="shared" si="34"/>
        <v>0</v>
      </c>
      <c r="AL111" s="306">
        <f t="shared" si="25"/>
        <v>0</v>
      </c>
      <c r="AM111" s="306">
        <f t="shared" si="26"/>
        <v>0</v>
      </c>
      <c r="AN111" s="477"/>
      <c r="AO111" s="788">
        <f>IF(OR(P111=0,AG111=0),,
IF(OR(リスト!$C$21="小麦",リスト!$C$21="二条大麦",リスト!$C$21="六条大麦",リスト!$C$21="はだか麦",リスト!$C$21="なたね"),IF(OR(AND(K111&lt;9,J111=調査年),AND(K111&gt;=9,J111=調査年-1)),,ROUND(AG111*P111%,0)),
IF(リスト!$C$21="さとうきび",IF(OR(AND(K111&gt;=4,J111=調査年),AND(K111&lt;4,J111=調査年+1)),,ROUND(AG111*P111%,0)),
IF(J111=調査年,,ROUND(AG111*P111%,0)))))</f>
        <v>0</v>
      </c>
      <c r="AP111" s="788">
        <f t="shared" si="27"/>
        <v>0</v>
      </c>
      <c r="AQ111" s="306">
        <f t="shared" si="28"/>
        <v>0</v>
      </c>
      <c r="AR111" s="788">
        <f t="shared" si="29"/>
        <v>0</v>
      </c>
      <c r="AS111" s="306">
        <f>IF(P111=0,,
SUM(
IF(OR(リスト!$C$21="小麦",リスト!$C$21="二条大麦",リスト!$C$21="六条大麦",リスト!$C$21="はだか麦",リスト!$C$21="なたね"),IF(OR(AND(Z111=1,K111&lt;9,J111=調査年),AND(Z111=1,K111&gt;=9,J111=調査年-1)),ROUND(L111*P111%,0),),
IF(リスト!$C$21="さとうきび",IF(OR(AND(Z111=1,K111&gt;=4,J111=調査年),AND(Z111=1,K111&lt;4,J111=調査年+1)),ROUND(L111*P111%,0),),
IF(AND(Z111=1,J111=調査年),ROUND(L111*P111%,0),))),
ROUND(N111*P111%,0),
ROUND(SUM(AK111)*P111%,0)
))</f>
        <v>0</v>
      </c>
      <c r="AT111" s="306">
        <f t="shared" si="30"/>
        <v>0</v>
      </c>
      <c r="AU111" s="306" t="str">
        <f t="shared" si="31"/>
        <v/>
      </c>
      <c r="AV111" s="802"/>
      <c r="AW111" s="802"/>
      <c r="AX111" s="802"/>
      <c r="AY111" s="802"/>
      <c r="AZ111" s="802"/>
    </row>
    <row r="112" spans="3:52" s="174" customFormat="1" ht="30" hidden="1" customHeight="1" outlineLevel="1">
      <c r="C112" s="790">
        <v>97</v>
      </c>
      <c r="D112" s="803"/>
      <c r="E112" s="792"/>
      <c r="F112" s="793"/>
      <c r="G112" s="2214"/>
      <c r="H112" s="2215"/>
      <c r="I112" s="794"/>
      <c r="J112" s="795"/>
      <c r="K112" s="796"/>
      <c r="L112" s="797"/>
      <c r="M112" s="797"/>
      <c r="N112" s="797"/>
      <c r="O112" s="797"/>
      <c r="P112" s="1284"/>
      <c r="Q112" s="798"/>
      <c r="R112" s="799"/>
      <c r="S112" s="797"/>
      <c r="T112" s="784"/>
      <c r="U112" s="2"/>
      <c r="V112" s="1295"/>
      <c r="W112" s="785"/>
      <c r="X112" s="2"/>
      <c r="Y112" s="800">
        <f t="shared" si="35"/>
        <v>0</v>
      </c>
      <c r="Z112" s="786">
        <f t="shared" si="32"/>
        <v>0</v>
      </c>
      <c r="AA112" s="786">
        <f t="shared" si="33"/>
        <v>0</v>
      </c>
      <c r="AB112" s="800">
        <f>IF(Y112=0,,VLOOKUP(Y112,リスト!CX:CY,2,0))</f>
        <v>0</v>
      </c>
      <c r="AC112" s="800">
        <f t="shared" si="19"/>
        <v>0</v>
      </c>
      <c r="AD112" s="801">
        <f>IF(AC112=0,,VLOOKUP(AC112,リスト!DK:DL,2,0))</f>
        <v>0</v>
      </c>
      <c r="AE112" s="786">
        <f>IF(Y112=0,,
IF(OR(リスト!$C$21="小麦",リスト!$C$21="二条大麦",リスト!$C$21="六条大麦",リスト!$C$21="はだか麦",リスト!$C$21="なたね"),IF(K112&lt;9,調査年-J112,調査年-J112-1),
IF(リスト!$C$21="さとうきび",IF(K112&gt;=4,調査年-J112,調査年-J112+1),
調査年-J112)))</f>
        <v>0</v>
      </c>
      <c r="AF112" s="306">
        <f t="shared" ref="AF112:AF115" si="36">IF(OR(Y112=0,Z112=1),,
IF(AND(AC112&gt;0,AE112&lt;AC112,AG112&lt;=ROUND((L112-1)*AD112,0)),ROUND(AG112*IF(R112="[2]部分取り壊し",IFERROR(1-(V112%),1),1),0),
IF(AND(AC112&gt;0,AE112&lt;AC112),ROUND((L112-1)*AD112*IF(R112="[2]部分取り壊し",IFERROR(1-(V112%),1),1),0),)))</f>
        <v>0</v>
      </c>
      <c r="AG112" s="306">
        <f t="shared" si="21"/>
        <v>0</v>
      </c>
      <c r="AH112" s="306">
        <f t="shared" si="22"/>
        <v>0</v>
      </c>
      <c r="AI112" s="306">
        <f t="shared" si="23"/>
        <v>0</v>
      </c>
      <c r="AJ112" s="306">
        <f t="shared" si="24"/>
        <v>0</v>
      </c>
      <c r="AK112" s="306">
        <f t="shared" si="34"/>
        <v>0</v>
      </c>
      <c r="AL112" s="306">
        <f t="shared" si="25"/>
        <v>0</v>
      </c>
      <c r="AM112" s="306">
        <f t="shared" si="26"/>
        <v>0</v>
      </c>
      <c r="AN112" s="477"/>
      <c r="AO112" s="788">
        <f>IF(OR(P112=0,AG112=0),,
IF(OR(リスト!$C$21="小麦",リスト!$C$21="二条大麦",リスト!$C$21="六条大麦",リスト!$C$21="はだか麦",リスト!$C$21="なたね"),IF(OR(AND(K112&lt;9,J112=調査年),AND(K112&gt;=9,J112=調査年-1)),,ROUND(AG112*P112%,0)),
IF(リスト!$C$21="さとうきび",IF(OR(AND(K112&gt;=4,J112=調査年),AND(K112&lt;4,J112=調査年+1)),,ROUND(AG112*P112%,0)),
IF(J112=調査年,,ROUND(AG112*P112%,0)))))</f>
        <v>0</v>
      </c>
      <c r="AP112" s="788">
        <f t="shared" si="27"/>
        <v>0</v>
      </c>
      <c r="AQ112" s="306">
        <f t="shared" si="28"/>
        <v>0</v>
      </c>
      <c r="AR112" s="788">
        <f t="shared" si="29"/>
        <v>0</v>
      </c>
      <c r="AS112" s="306">
        <f>IF(P112=0,,
SUM(
IF(OR(リスト!$C$21="小麦",リスト!$C$21="二条大麦",リスト!$C$21="六条大麦",リスト!$C$21="はだか麦",リスト!$C$21="なたね"),IF(OR(AND(Z112=1,K112&lt;9,J112=調査年),AND(Z112=1,K112&gt;=9,J112=調査年-1)),ROUND(L112*P112%,0),),
IF(リスト!$C$21="さとうきび",IF(OR(AND(Z112=1,K112&gt;=4,J112=調査年),AND(Z112=1,K112&lt;4,J112=調査年+1)),ROUND(L112*P112%,0),),
IF(AND(Z112=1,J112=調査年),ROUND(L112*P112%,0),))),
ROUND(N112*P112%,0),
ROUND(SUM(AK112)*P112%,0)
))</f>
        <v>0</v>
      </c>
      <c r="AT112" s="306">
        <f t="shared" si="30"/>
        <v>0</v>
      </c>
      <c r="AU112" s="306" t="str">
        <f t="shared" si="31"/>
        <v/>
      </c>
      <c r="AV112" s="802"/>
      <c r="AW112" s="802"/>
      <c r="AX112" s="802"/>
      <c r="AY112" s="802"/>
      <c r="AZ112" s="802"/>
    </row>
    <row r="113" spans="3:52" s="174" customFormat="1" ht="30" hidden="1" customHeight="1" outlineLevel="1">
      <c r="C113" s="790">
        <v>98</v>
      </c>
      <c r="D113" s="803"/>
      <c r="E113" s="792"/>
      <c r="F113" s="793"/>
      <c r="G113" s="2214"/>
      <c r="H113" s="2215"/>
      <c r="I113" s="794"/>
      <c r="J113" s="795"/>
      <c r="K113" s="796"/>
      <c r="L113" s="797"/>
      <c r="M113" s="797"/>
      <c r="N113" s="797"/>
      <c r="O113" s="797"/>
      <c r="P113" s="1284"/>
      <c r="Q113" s="798"/>
      <c r="R113" s="799"/>
      <c r="S113" s="797"/>
      <c r="T113" s="784"/>
      <c r="U113" s="2"/>
      <c r="V113" s="1295"/>
      <c r="W113" s="785"/>
      <c r="X113" s="2"/>
      <c r="Y113" s="800">
        <f t="shared" si="35"/>
        <v>0</v>
      </c>
      <c r="Z113" s="786">
        <f t="shared" si="32"/>
        <v>0</v>
      </c>
      <c r="AA113" s="786">
        <f t="shared" si="33"/>
        <v>0</v>
      </c>
      <c r="AB113" s="800">
        <f>IF(Y113=0,,VLOOKUP(Y113,リスト!CX:CY,2,0))</f>
        <v>0</v>
      </c>
      <c r="AC113" s="800">
        <f t="shared" si="19"/>
        <v>0</v>
      </c>
      <c r="AD113" s="801">
        <f>IF(AC113=0,,VLOOKUP(AC113,リスト!DK:DL,2,0))</f>
        <v>0</v>
      </c>
      <c r="AE113" s="786">
        <f>IF(Y113=0,,
IF(OR(リスト!$C$21="小麦",リスト!$C$21="二条大麦",リスト!$C$21="六条大麦",リスト!$C$21="はだか麦",リスト!$C$21="なたね"),IF(K113&lt;9,調査年-J113,調査年-J113-1),
IF(リスト!$C$21="さとうきび",IF(K113&gt;=4,調査年-J113,調査年-J113+1),
調査年-J113)))</f>
        <v>0</v>
      </c>
      <c r="AF113" s="306">
        <f t="shared" si="36"/>
        <v>0</v>
      </c>
      <c r="AG113" s="306">
        <f t="shared" si="21"/>
        <v>0</v>
      </c>
      <c r="AH113" s="306">
        <f t="shared" si="22"/>
        <v>0</v>
      </c>
      <c r="AI113" s="306">
        <f t="shared" si="23"/>
        <v>0</v>
      </c>
      <c r="AJ113" s="306">
        <f t="shared" si="24"/>
        <v>0</v>
      </c>
      <c r="AK113" s="306">
        <f t="shared" si="34"/>
        <v>0</v>
      </c>
      <c r="AL113" s="306">
        <f t="shared" si="25"/>
        <v>0</v>
      </c>
      <c r="AM113" s="306">
        <f t="shared" si="26"/>
        <v>0</v>
      </c>
      <c r="AN113" s="477"/>
      <c r="AO113" s="788">
        <f>IF(OR(P113=0,AG113=0),,
IF(OR(リスト!$C$21="小麦",リスト!$C$21="二条大麦",リスト!$C$21="六条大麦",リスト!$C$21="はだか麦",リスト!$C$21="なたね"),IF(OR(AND(K113&lt;9,J113=調査年),AND(K113&gt;=9,J113=調査年-1)),,ROUND(AG113*P113%,0)),
IF(リスト!$C$21="さとうきび",IF(OR(AND(K113&gt;=4,J113=調査年),AND(K113&lt;4,J113=調査年+1)),,ROUND(AG113*P113%,0)),
IF(J113=調査年,,ROUND(AG113*P113%,0)))))</f>
        <v>0</v>
      </c>
      <c r="AP113" s="788">
        <f t="shared" si="27"/>
        <v>0</v>
      </c>
      <c r="AQ113" s="306">
        <f t="shared" si="28"/>
        <v>0</v>
      </c>
      <c r="AR113" s="788">
        <f t="shared" si="29"/>
        <v>0</v>
      </c>
      <c r="AS113" s="306">
        <f>IF(P113=0,,
SUM(
IF(OR(リスト!$C$21="小麦",リスト!$C$21="二条大麦",リスト!$C$21="六条大麦",リスト!$C$21="はだか麦",リスト!$C$21="なたね"),IF(OR(AND(Z113=1,K113&lt;9,J113=調査年),AND(Z113=1,K113&gt;=9,J113=調査年-1)),ROUND(L113*P113%,0),),
IF(リスト!$C$21="さとうきび",IF(OR(AND(Z113=1,K113&gt;=4,J113=調査年),AND(Z113=1,K113&lt;4,J113=調査年+1)),ROUND(L113*P113%,0),),
IF(AND(Z113=1,J113=調査年),ROUND(L113*P113%,0),))),
ROUND(N113*P113%,0),
ROUND(SUM(AK113)*P113%,0)
))</f>
        <v>0</v>
      </c>
      <c r="AT113" s="306">
        <f t="shared" si="30"/>
        <v>0</v>
      </c>
      <c r="AU113" s="306" t="str">
        <f t="shared" si="31"/>
        <v/>
      </c>
      <c r="AV113" s="802"/>
      <c r="AW113" s="802"/>
      <c r="AX113" s="802"/>
      <c r="AY113" s="802"/>
      <c r="AZ113" s="802"/>
    </row>
    <row r="114" spans="3:52" s="174" customFormat="1" ht="30" hidden="1" customHeight="1" outlineLevel="1">
      <c r="C114" s="790">
        <v>99</v>
      </c>
      <c r="D114" s="803"/>
      <c r="E114" s="792"/>
      <c r="F114" s="793"/>
      <c r="G114" s="2214"/>
      <c r="H114" s="2215"/>
      <c r="I114" s="794"/>
      <c r="J114" s="795"/>
      <c r="K114" s="796"/>
      <c r="L114" s="797"/>
      <c r="M114" s="797"/>
      <c r="N114" s="797"/>
      <c r="O114" s="797"/>
      <c r="P114" s="1284"/>
      <c r="Q114" s="798"/>
      <c r="R114" s="799"/>
      <c r="S114" s="797"/>
      <c r="T114" s="784"/>
      <c r="U114" s="2"/>
      <c r="V114" s="1295"/>
      <c r="W114" s="785"/>
      <c r="X114" s="2"/>
      <c r="Y114" s="800">
        <f t="shared" si="35"/>
        <v>0</v>
      </c>
      <c r="Z114" s="786">
        <f>IF(Y114=0,,IF(L114+M114&lt;100000,1,0))</f>
        <v>0</v>
      </c>
      <c r="AA114" s="786">
        <f t="shared" si="33"/>
        <v>0</v>
      </c>
      <c r="AB114" s="800">
        <f>IF(Y114=0,,VLOOKUP(Y114,リスト!CX:CY,2,0))</f>
        <v>0</v>
      </c>
      <c r="AC114" s="800">
        <f t="shared" si="19"/>
        <v>0</v>
      </c>
      <c r="AD114" s="801">
        <f>IF(AC114=0,,VLOOKUP(AC114,リスト!DK:DL,2,0))</f>
        <v>0</v>
      </c>
      <c r="AE114" s="786">
        <f>IF(Y114=0,,
IF(OR(リスト!$C$21="小麦",リスト!$C$21="二条大麦",リスト!$C$21="六条大麦",リスト!$C$21="はだか麦",リスト!$C$21="なたね"),IF(K114&lt;9,調査年-J114,調査年-J114-1),
IF(リスト!$C$21="さとうきび",IF(K114&gt;=4,調査年-J114,調査年-J114+1),
調査年-J114)))</f>
        <v>0</v>
      </c>
      <c r="AF114" s="306">
        <f t="shared" si="36"/>
        <v>0</v>
      </c>
      <c r="AG114" s="306">
        <f t="shared" si="21"/>
        <v>0</v>
      </c>
      <c r="AH114" s="306">
        <f t="shared" si="22"/>
        <v>0</v>
      </c>
      <c r="AI114" s="306">
        <f t="shared" si="23"/>
        <v>0</v>
      </c>
      <c r="AJ114" s="306">
        <f t="shared" si="24"/>
        <v>0</v>
      </c>
      <c r="AK114" s="306">
        <f t="shared" si="34"/>
        <v>0</v>
      </c>
      <c r="AL114" s="306">
        <f t="shared" si="25"/>
        <v>0</v>
      </c>
      <c r="AM114" s="306">
        <f t="shared" si="26"/>
        <v>0</v>
      </c>
      <c r="AN114" s="477"/>
      <c r="AO114" s="788">
        <f>IF(OR(P114=0,AG114=0),,
IF(OR(リスト!$C$21="小麦",リスト!$C$21="二条大麦",リスト!$C$21="六条大麦",リスト!$C$21="はだか麦",リスト!$C$21="なたね"),IF(OR(AND(K114&lt;9,J114=調査年),AND(K114&gt;=9,J114=調査年-1)),,ROUND(AG114*P114%,0)),
IF(リスト!$C$21="さとうきび",IF(OR(AND(K114&gt;=4,J114=調査年),AND(K114&lt;4,J114=調査年+1)),,ROUND(AG114*P114%,0)),
IF(J114=調査年,,ROUND(AG114*P114%,0)))))</f>
        <v>0</v>
      </c>
      <c r="AP114" s="788">
        <f t="shared" si="27"/>
        <v>0</v>
      </c>
      <c r="AQ114" s="306">
        <f t="shared" si="28"/>
        <v>0</v>
      </c>
      <c r="AR114" s="788">
        <f t="shared" si="29"/>
        <v>0</v>
      </c>
      <c r="AS114" s="306">
        <f>IF(P114=0,,
SUM(
IF(OR(リスト!$C$21="小麦",リスト!$C$21="二条大麦",リスト!$C$21="六条大麦",リスト!$C$21="はだか麦",リスト!$C$21="なたね"),IF(OR(AND(Z114=1,K114&lt;9,J114=調査年),AND(Z114=1,K114&gt;=9,J114=調査年-1)),ROUND(L114*P114%,0),),
IF(リスト!$C$21="さとうきび",IF(OR(AND(Z114=1,K114&gt;=4,J114=調査年),AND(Z114=1,K114&lt;4,J114=調査年+1)),ROUND(L114*P114%,0),),
IF(AND(Z114=1,J114=調査年),ROUND(L114*P114%,0),))),
ROUND(N114*P114%,0),
ROUND(SUM(AK114)*P114%,0)
))</f>
        <v>0</v>
      </c>
      <c r="AT114" s="306">
        <f t="shared" si="30"/>
        <v>0</v>
      </c>
      <c r="AU114" s="306" t="str">
        <f t="shared" si="31"/>
        <v/>
      </c>
      <c r="AV114" s="802"/>
      <c r="AW114" s="802"/>
      <c r="AX114" s="802"/>
      <c r="AY114" s="802"/>
      <c r="AZ114" s="802"/>
    </row>
    <row r="115" spans="3:52" s="174" customFormat="1" ht="30" hidden="1" customHeight="1" outlineLevel="1" thickBot="1">
      <c r="C115" s="790">
        <v>100</v>
      </c>
      <c r="D115" s="805"/>
      <c r="E115" s="806"/>
      <c r="F115" s="807"/>
      <c r="G115" s="2250"/>
      <c r="H115" s="2251"/>
      <c r="I115" s="808"/>
      <c r="J115" s="809"/>
      <c r="K115" s="810"/>
      <c r="L115" s="811"/>
      <c r="M115" s="811"/>
      <c r="N115" s="811"/>
      <c r="O115" s="811"/>
      <c r="P115" s="1285"/>
      <c r="Q115" s="812"/>
      <c r="R115" s="813"/>
      <c r="S115" s="814"/>
      <c r="T115" s="784"/>
      <c r="U115" s="2"/>
      <c r="V115" s="1296"/>
      <c r="W115" s="785"/>
      <c r="X115" s="2"/>
      <c r="Y115" s="800">
        <f>IF(AND(E115&gt;0,F115&gt;0),"["&amp;RIGHT(LEFT(E115,3),2)&amp;RIGHT(LEFT(F115,FIND("]",F115)-1),IF(FIND("]",F115)-1&gt;2,2,1))&amp;"]",)</f>
        <v>0</v>
      </c>
      <c r="Z115" s="786">
        <f t="shared" si="32"/>
        <v>0</v>
      </c>
      <c r="AA115" s="786">
        <f t="shared" si="33"/>
        <v>0</v>
      </c>
      <c r="AB115" s="800">
        <f>IF(Y115=0,,VLOOKUP(Y115,リスト!CX:CY,2,0))</f>
        <v>0</v>
      </c>
      <c r="AC115" s="800">
        <f t="shared" si="19"/>
        <v>0</v>
      </c>
      <c r="AD115" s="801">
        <f>IF(AC115=0,,VLOOKUP(AC115,リスト!DK:DL,2,0))</f>
        <v>0</v>
      </c>
      <c r="AE115" s="786">
        <f>IF(Y115=0,,
IF(OR(リスト!$C$21="小麦",リスト!$C$21="二条大麦",リスト!$C$21="六条大麦",リスト!$C$21="はだか麦",リスト!$C$21="なたね"),IF(K115&lt;9,調査年-J115,調査年-J115-1),
IF(リスト!$C$21="さとうきび",IF(K115&gt;=4,調査年-J115,調査年-J115+1),
調査年-J115)))</f>
        <v>0</v>
      </c>
      <c r="AF115" s="306">
        <f t="shared" si="36"/>
        <v>0</v>
      </c>
      <c r="AG115" s="306">
        <f t="shared" si="21"/>
        <v>0</v>
      </c>
      <c r="AH115" s="306">
        <f t="shared" si="22"/>
        <v>0</v>
      </c>
      <c r="AI115" s="306">
        <f t="shared" si="23"/>
        <v>0</v>
      </c>
      <c r="AJ115" s="306">
        <f t="shared" si="24"/>
        <v>0</v>
      </c>
      <c r="AK115" s="306">
        <f t="shared" si="34"/>
        <v>0</v>
      </c>
      <c r="AL115" s="306">
        <f t="shared" si="25"/>
        <v>0</v>
      </c>
      <c r="AM115" s="306">
        <f t="shared" si="26"/>
        <v>0</v>
      </c>
      <c r="AN115" s="477"/>
      <c r="AO115" s="788">
        <f>IF(OR(P115=0,AG115=0),,
IF(OR(リスト!$C$21="小麦",リスト!$C$21="二条大麦",リスト!$C$21="六条大麦",リスト!$C$21="はだか麦",リスト!$C$21="なたね"),IF(OR(AND(K115&lt;9,J115=調査年),AND(K115&gt;=9,J115=調査年-1)),,ROUND(AG115*P115%,0)),
IF(リスト!$C$21="さとうきび",IF(OR(AND(K115&gt;=4,J115=調査年),AND(K115&lt;4,J115=調査年+1)),,ROUND(AG115*P115%,0)),
IF(J115=調査年,,ROUND(AG115*P115%,0)))))</f>
        <v>0</v>
      </c>
      <c r="AP115" s="788">
        <f t="shared" si="27"/>
        <v>0</v>
      </c>
      <c r="AQ115" s="306">
        <f t="shared" si="28"/>
        <v>0</v>
      </c>
      <c r="AR115" s="788">
        <f t="shared" si="29"/>
        <v>0</v>
      </c>
      <c r="AS115" s="306">
        <f>IF(P115=0,,
SUM(
IF(OR(リスト!$C$21="小麦",リスト!$C$21="二条大麦",リスト!$C$21="六条大麦",リスト!$C$21="はだか麦",リスト!$C$21="なたね"),IF(OR(AND(Z115=1,K115&lt;9,J115=調査年),AND(Z115=1,K115&gt;=9,J115=調査年-1)),ROUND(L115*P115%,0),),
IF(リスト!$C$21="さとうきび",IF(OR(AND(Z115=1,K115&gt;=4,J115=調査年),AND(Z115=1,K115&lt;4,J115=調査年+1)),ROUND(L115*P115%,0),),
IF(AND(Z115=1,J115=調査年),ROUND(L115*P115%,0),))),
ROUND(N115*P115%,0),
ROUND(SUM(AK115)*P115%,0)
))</f>
        <v>0</v>
      </c>
      <c r="AT115" s="306">
        <f t="shared" si="30"/>
        <v>0</v>
      </c>
      <c r="AU115" s="306" t="str">
        <f t="shared" si="31"/>
        <v/>
      </c>
      <c r="AV115" s="802"/>
      <c r="AW115" s="802"/>
      <c r="AX115" s="802"/>
      <c r="AY115" s="802"/>
      <c r="AZ115" s="802"/>
    </row>
    <row r="116" spans="3:52" ht="14.25" customHeight="1" collapsed="1" thickTop="1">
      <c r="C116" s="815"/>
      <c r="D116" s="815"/>
      <c r="E116" s="816"/>
      <c r="F116" s="816"/>
      <c r="G116" s="816"/>
      <c r="H116" s="816"/>
      <c r="I116" s="816"/>
      <c r="J116" s="816"/>
      <c r="K116" s="816"/>
      <c r="L116" s="816"/>
      <c r="M116" s="816"/>
      <c r="N116" s="816"/>
      <c r="O116" s="816"/>
      <c r="P116" s="816"/>
      <c r="Q116" s="584"/>
      <c r="R116" s="816"/>
      <c r="S116" s="816"/>
      <c r="V116" s="817"/>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c r="AW116" s="2"/>
      <c r="AX116" s="2"/>
      <c r="AY116" s="2"/>
      <c r="AZ116" s="2"/>
    </row>
    <row r="117" spans="3:52" ht="14.25" customHeight="1">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c r="AW117" s="2"/>
      <c r="AX117" s="2"/>
      <c r="AY117" s="2"/>
      <c r="AZ117" s="2"/>
    </row>
    <row r="118" spans="3:52" ht="14.25" customHeight="1">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c r="AW118" s="2"/>
      <c r="AX118" s="2"/>
      <c r="AY118" s="2"/>
      <c r="AZ118" s="2"/>
    </row>
    <row r="119" spans="3:52" ht="14.25" customHeight="1">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c r="AW119" s="2"/>
      <c r="AX119" s="2"/>
      <c r="AY119" s="2"/>
      <c r="AZ119" s="2"/>
    </row>
    <row r="120" spans="3:52" ht="14.25" customHeight="1">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c r="AW120" s="2"/>
      <c r="AX120" s="2"/>
      <c r="AY120" s="2"/>
      <c r="AZ120" s="2"/>
    </row>
    <row r="121" spans="3:52" ht="14.25" customHeight="1">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c r="AW121" s="2"/>
      <c r="AX121" s="2"/>
      <c r="AY121" s="2"/>
      <c r="AZ121" s="2"/>
    </row>
    <row r="122" spans="3:52" ht="14.25" customHeight="1">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c r="AW122" s="2"/>
      <c r="AX122" s="2"/>
      <c r="AY122" s="2"/>
      <c r="AZ122" s="2"/>
    </row>
    <row r="123" spans="3:52" ht="14.25" customHeight="1">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c r="AW123" s="2"/>
      <c r="AX123" s="2"/>
      <c r="AY123" s="2"/>
      <c r="AZ123" s="2"/>
    </row>
    <row r="124" spans="3:52" ht="14.25" customHeight="1">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c r="AW124" s="2"/>
      <c r="AX124" s="2"/>
      <c r="AY124" s="2"/>
      <c r="AZ124" s="2"/>
    </row>
  </sheetData>
  <sheetProtection sheet="1" objects="1" scenarios="1" selectLockedCells="1"/>
  <mergeCells count="149">
    <mergeCell ref="G112:H112"/>
    <mergeCell ref="G113:H113"/>
    <mergeCell ref="G114:H114"/>
    <mergeCell ref="G115:H115"/>
    <mergeCell ref="G106:H106"/>
    <mergeCell ref="G107:H107"/>
    <mergeCell ref="G108:H108"/>
    <mergeCell ref="G109:H109"/>
    <mergeCell ref="G110:H110"/>
    <mergeCell ref="G111:H111"/>
    <mergeCell ref="G100:H100"/>
    <mergeCell ref="G101:H101"/>
    <mergeCell ref="G102:H102"/>
    <mergeCell ref="G103:H103"/>
    <mergeCell ref="G104:H104"/>
    <mergeCell ref="G105:H105"/>
    <mergeCell ref="G94:H94"/>
    <mergeCell ref="G95:H95"/>
    <mergeCell ref="G96:H96"/>
    <mergeCell ref="G97:H97"/>
    <mergeCell ref="G98:H98"/>
    <mergeCell ref="G99:H99"/>
    <mergeCell ref="G88:H88"/>
    <mergeCell ref="G89:H89"/>
    <mergeCell ref="G90:H90"/>
    <mergeCell ref="G91:H91"/>
    <mergeCell ref="G92:H92"/>
    <mergeCell ref="G93:H93"/>
    <mergeCell ref="G82:H82"/>
    <mergeCell ref="G83:H83"/>
    <mergeCell ref="G84:H84"/>
    <mergeCell ref="G85:H85"/>
    <mergeCell ref="G86:H86"/>
    <mergeCell ref="G87:H87"/>
    <mergeCell ref="G76:H76"/>
    <mergeCell ref="G77:H77"/>
    <mergeCell ref="G78:H78"/>
    <mergeCell ref="G79:H79"/>
    <mergeCell ref="G80:H80"/>
    <mergeCell ref="G81:H81"/>
    <mergeCell ref="G70:H70"/>
    <mergeCell ref="G71:H71"/>
    <mergeCell ref="G72:H72"/>
    <mergeCell ref="G73:H73"/>
    <mergeCell ref="G74:H74"/>
    <mergeCell ref="G75:H75"/>
    <mergeCell ref="G64:H64"/>
    <mergeCell ref="G65:H65"/>
    <mergeCell ref="G66:H66"/>
    <mergeCell ref="G67:H67"/>
    <mergeCell ref="G68:H68"/>
    <mergeCell ref="G69:H69"/>
    <mergeCell ref="G58:H58"/>
    <mergeCell ref="G59:H59"/>
    <mergeCell ref="G60:H60"/>
    <mergeCell ref="G61:H61"/>
    <mergeCell ref="G62:H62"/>
    <mergeCell ref="G63:H63"/>
    <mergeCell ref="G52:H52"/>
    <mergeCell ref="G53:H53"/>
    <mergeCell ref="G54:H54"/>
    <mergeCell ref="G55:H55"/>
    <mergeCell ref="G56:H56"/>
    <mergeCell ref="G57:H57"/>
    <mergeCell ref="G46:H46"/>
    <mergeCell ref="G47:H47"/>
    <mergeCell ref="G48:H48"/>
    <mergeCell ref="G49:H49"/>
    <mergeCell ref="G50:H50"/>
    <mergeCell ref="G51:H51"/>
    <mergeCell ref="G40:H40"/>
    <mergeCell ref="G41:H41"/>
    <mergeCell ref="G42:H42"/>
    <mergeCell ref="G43:H43"/>
    <mergeCell ref="G44:H44"/>
    <mergeCell ref="G45:H45"/>
    <mergeCell ref="G34:H34"/>
    <mergeCell ref="G35:H35"/>
    <mergeCell ref="G36:H36"/>
    <mergeCell ref="G37:H37"/>
    <mergeCell ref="G38:H38"/>
    <mergeCell ref="G39:H39"/>
    <mergeCell ref="G28:H28"/>
    <mergeCell ref="G29:H29"/>
    <mergeCell ref="G30:H30"/>
    <mergeCell ref="G31:H31"/>
    <mergeCell ref="G32:H32"/>
    <mergeCell ref="G33:H33"/>
    <mergeCell ref="G22:H22"/>
    <mergeCell ref="G23:H23"/>
    <mergeCell ref="G24:H24"/>
    <mergeCell ref="G25:H25"/>
    <mergeCell ref="G26:H26"/>
    <mergeCell ref="G27:H27"/>
    <mergeCell ref="G20:H20"/>
    <mergeCell ref="G21:H21"/>
    <mergeCell ref="AS10:AS12"/>
    <mergeCell ref="AT10:AT12"/>
    <mergeCell ref="AU10:AU12"/>
    <mergeCell ref="G11:G15"/>
    <mergeCell ref="H11:H15"/>
    <mergeCell ref="J11:J15"/>
    <mergeCell ref="K11:K15"/>
    <mergeCell ref="R11:R15"/>
    <mergeCell ref="S11:S15"/>
    <mergeCell ref="AI11:AI14"/>
    <mergeCell ref="AK10:AK14"/>
    <mergeCell ref="AL10:AL14"/>
    <mergeCell ref="AM10:AM14"/>
    <mergeCell ref="AO10:AO12"/>
    <mergeCell ref="AP10:AP12"/>
    <mergeCell ref="AR10:AR12"/>
    <mergeCell ref="AQ11:AQ12"/>
    <mergeCell ref="AD10:AD14"/>
    <mergeCell ref="AJ10:AJ14"/>
    <mergeCell ref="N9:N10"/>
    <mergeCell ref="AA10:AA14"/>
    <mergeCell ref="AB10:AB14"/>
    <mergeCell ref="G18:H18"/>
    <mergeCell ref="G19:H19"/>
    <mergeCell ref="O9:O10"/>
    <mergeCell ref="P9:P15"/>
    <mergeCell ref="Q9:Q15"/>
    <mergeCell ref="R9:S10"/>
    <mergeCell ref="Y10:Y14"/>
    <mergeCell ref="G16:H16"/>
    <mergeCell ref="G17:H17"/>
    <mergeCell ref="AO8:AU9"/>
    <mergeCell ref="C9:C15"/>
    <mergeCell ref="D9:D15"/>
    <mergeCell ref="E9:E15"/>
    <mergeCell ref="F9:F15"/>
    <mergeCell ref="G9:H10"/>
    <mergeCell ref="I9:I15"/>
    <mergeCell ref="J9:K10"/>
    <mergeCell ref="L9:L10"/>
    <mergeCell ref="M9:M10"/>
    <mergeCell ref="V8:V15"/>
    <mergeCell ref="Y8:AF9"/>
    <mergeCell ref="AG8:AI9"/>
    <mergeCell ref="AJ8:AK9"/>
    <mergeCell ref="AL8:AM9"/>
    <mergeCell ref="AN8:AN12"/>
    <mergeCell ref="Z10:Z14"/>
    <mergeCell ref="AC10:AC14"/>
    <mergeCell ref="AE10:AE14"/>
    <mergeCell ref="AF10:AF14"/>
    <mergeCell ref="AG10:AG14"/>
    <mergeCell ref="AH10:AH14"/>
  </mergeCells>
  <phoneticPr fontId="5"/>
  <dataValidations count="7">
    <dataValidation type="whole" allowBlank="1" showInputMessage="1" showErrorMessage="1" sqref="J16:J115" xr:uid="{00000000-0002-0000-1000-000000000000}">
      <formula1>1700</formula1>
      <formula2>9999</formula2>
    </dataValidation>
    <dataValidation type="whole" operator="greaterThan" allowBlank="1" showInputMessage="1" showErrorMessage="1" error="0より大きい数値を整数で入力してください。" sqref="L16:O115 S16:S115" xr:uid="{00000000-0002-0000-1000-000001000000}">
      <formula1>0</formula1>
    </dataValidation>
    <dataValidation type="custom" allowBlank="1" showInputMessage="1" showErrorMessage="1" error="0.001~100の範囲で小数点第３位までの数値を入力してください。" sqref="P16:P115 V16:V115" xr:uid="{00000000-0002-0000-1000-000002000000}">
      <formula1>AND(AND(P16*1000=INT(P16*1000)),(P16&gt;0),(P16&lt;=100))</formula1>
    </dataValidation>
    <dataValidation type="whole" allowBlank="1" showInputMessage="1" showErrorMessage="1" error="1～12の値を入力してください。" sqref="K16:K115" xr:uid="{00000000-0002-0000-1000-000003000000}">
      <formula1>1</formula1>
      <formula2>12</formula2>
    </dataValidation>
    <dataValidation type="whole" operator="greaterThanOrEqual" allowBlank="1" showInputMessage="1" showErrorMessage="1" error="2以上の値を入力してください。" sqref="I16:I115" xr:uid="{00000000-0002-0000-1000-000004000000}">
      <formula1>2</formula1>
    </dataValidation>
    <dataValidation type="textLength" imeMode="hiragana" operator="greaterThanOrEqual" allowBlank="1" showInputMessage="1" showErrorMessage="1" sqref="D16:D115" xr:uid="{00000000-0002-0000-1000-000005000000}">
      <formula1>1</formula1>
    </dataValidation>
    <dataValidation type="list" showInputMessage="1" showErrorMessage="1" sqref="F16:F115" xr:uid="{00000000-0002-0000-1000-000006000000}">
      <formula1>INDIRECT($E16)</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4339" r:id="rId5" name="btnKoushin1">
          <controlPr defaultSize="0" print="0" autoLine="0" r:id="rId6">
            <anchor moveWithCells="1">
              <from>
                <xdr:col>11</xdr:col>
                <xdr:colOff>523875</xdr:colOff>
                <xdr:row>0</xdr:row>
                <xdr:rowOff>142875</xdr:rowOff>
              </from>
              <to>
                <xdr:col>11</xdr:col>
                <xdr:colOff>1790700</xdr:colOff>
                <xdr:row>3</xdr:row>
                <xdr:rowOff>19050</xdr:rowOff>
              </to>
            </anchor>
          </controlPr>
        </control>
      </mc:Choice>
      <mc:Fallback>
        <control shapeId="14339" r:id="rId5" name="btnKoushin1"/>
      </mc:Fallback>
    </mc:AlternateContent>
    <mc:AlternateContent xmlns:mc="http://schemas.openxmlformats.org/markup-compatibility/2006">
      <mc:Choice Requires="x14">
        <control shapeId="14338" r:id="rId7" name="txt_hyouji">
          <controlPr locked="0" defaultSize="0" print="0" autoLine="0" r:id="rId8">
            <anchor moveWithCells="1">
              <from>
                <xdr:col>10</xdr:col>
                <xdr:colOff>0</xdr:colOff>
                <xdr:row>1</xdr:row>
                <xdr:rowOff>161925</xdr:rowOff>
              </from>
              <to>
                <xdr:col>11</xdr:col>
                <xdr:colOff>476250</xdr:colOff>
                <xdr:row>3</xdr:row>
                <xdr:rowOff>19050</xdr:rowOff>
              </to>
            </anchor>
          </controlPr>
        </control>
      </mc:Choice>
      <mc:Fallback>
        <control shapeId="14338" r:id="rId7" name="txt_hyouji"/>
      </mc:Fallback>
    </mc:AlternateContent>
    <mc:AlternateContent xmlns:mc="http://schemas.openxmlformats.org/markup-compatibility/2006">
      <mc:Choice Requires="x14">
        <control shapeId="14337" r:id="rId9" name="Label1">
          <controlPr defaultSize="0" print="0" autoLine="0" r:id="rId10">
            <anchor moveWithCells="1">
              <from>
                <xdr:col>10</xdr:col>
                <xdr:colOff>0</xdr:colOff>
                <xdr:row>0</xdr:row>
                <xdr:rowOff>142875</xdr:rowOff>
              </from>
              <to>
                <xdr:col>11</xdr:col>
                <xdr:colOff>476250</xdr:colOff>
                <xdr:row>1</xdr:row>
                <xdr:rowOff>161925</xdr:rowOff>
              </to>
            </anchor>
          </controlPr>
        </control>
      </mc:Choice>
      <mc:Fallback>
        <control shapeId="14337"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000-000007000000}">
          <x14:formula1>
            <xm:f>リスト!$AZ$5:$AZ$7</xm:f>
          </x14:formula1>
          <xm:sqref>R16:R115</xm:sqref>
        </x14:dataValidation>
        <x14:dataValidation type="list" allowBlank="1" showInputMessage="1" showErrorMessage="1" xr:uid="{00000000-0002-0000-1000-000008000000}">
          <x14:formula1>
            <xm:f>リスト!$AX$5:$AX$6</xm:f>
          </x14:formula1>
          <xm:sqref>G16:H115</xm:sqref>
        </x14:dataValidation>
        <x14:dataValidation type="list" allowBlank="1" showInputMessage="1" showErrorMessage="1" xr:uid="{00000000-0002-0000-1000-000009000000}">
          <x14:formula1>
            <xm:f>リスト!$AS$5:$AS$20</xm:f>
          </x14:formula1>
          <xm:sqref>E16:E115</xm:sqref>
        </x14:dataValidation>
        <x14:dataValidation type="list" allowBlank="1" showInputMessage="1" showErrorMessage="1" xr:uid="{00000000-0002-0000-1000-00000A000000}">
          <x14:formula1>
            <xm:f>リスト!$BB$5:$BB$6</xm:f>
          </x14:formula1>
          <xm:sqref>Q16:Q115</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6">
    <outlinePr summaryBelow="0"/>
    <pageSetUpPr fitToPage="1"/>
  </sheetPr>
  <dimension ref="A1:AY122"/>
  <sheetViews>
    <sheetView showGridLines="0" zoomScale="70" zoomScaleNormal="70" zoomScaleSheetLayoutView="70" workbookViewId="0">
      <pane xSplit="2" ySplit="17" topLeftCell="C18" activePane="bottomRight" state="frozen"/>
      <selection sqref="A1:AH1"/>
      <selection pane="topRight" sqref="A1:AH1"/>
      <selection pane="bottomLeft" sqref="A1:AH1"/>
      <selection pane="bottomRight" activeCell="D18" sqref="D18"/>
    </sheetView>
  </sheetViews>
  <sheetFormatPr defaultColWidth="2.625" defaultRowHeight="14.25" customHeight="1" outlineLevelRow="1" outlineLevelCol="1"/>
  <cols>
    <col min="1" max="1" width="0.875" style="295" customWidth="1"/>
    <col min="2" max="2" width="2.625" style="295" customWidth="1"/>
    <col min="3" max="3" width="3.875" style="295" customWidth="1"/>
    <col min="4" max="4" width="24.625" style="295" customWidth="1"/>
    <col min="5" max="5" width="11.375" style="295" customWidth="1"/>
    <col min="6" max="6" width="18.75" style="295" customWidth="1"/>
    <col min="7" max="8" width="3.625" style="295" customWidth="1"/>
    <col min="9" max="9" width="5.25" style="295" customWidth="1"/>
    <col min="10" max="10" width="10.375" style="295" customWidth="1"/>
    <col min="11" max="11" width="5.25" style="295" customWidth="1"/>
    <col min="12" max="12" width="21.125" style="295" customWidth="1"/>
    <col min="13" max="13" width="18.375" style="295" customWidth="1"/>
    <col min="14" max="14" width="16.125" style="295" customWidth="1"/>
    <col min="15" max="15" width="15.75" style="295" customWidth="1"/>
    <col min="16" max="16" width="13.25" style="295" customWidth="1"/>
    <col min="17" max="17" width="13.375" style="295" customWidth="1"/>
    <col min="18" max="18" width="8.125" style="295" customWidth="1"/>
    <col min="19" max="19" width="12.125" style="295" hidden="1" customWidth="1"/>
    <col min="20" max="20" width="12.125" style="295" bestFit="1" customWidth="1"/>
    <col min="21" max="21" width="21.125" style="295" customWidth="1"/>
    <col min="22" max="22" width="2.625" style="387" customWidth="1"/>
    <col min="23" max="24" width="8.125" style="2" customWidth="1" outlineLevel="1"/>
    <col min="25" max="25" width="2.625" style="50" outlineLevel="1"/>
    <col min="26" max="33" width="10.625" style="295" customWidth="1" outlineLevel="1"/>
    <col min="34" max="36" width="13.625" style="295" customWidth="1" outlineLevel="1"/>
    <col min="37" max="37" width="10.625" style="295" customWidth="1" outlineLevel="1"/>
    <col min="38" max="41" width="13.625" style="295" customWidth="1" outlineLevel="1"/>
    <col min="42" max="48" width="10.625" style="295" customWidth="1" outlineLevel="1"/>
    <col min="49" max="49" width="10.625" style="751" customWidth="1" outlineLevel="1"/>
    <col min="50" max="16384" width="2.625" style="295"/>
  </cols>
  <sheetData>
    <row r="1" spans="1:49" ht="14.25" customHeight="1">
      <c r="W1" s="50" t="s">
        <v>410</v>
      </c>
      <c r="X1" s="50"/>
      <c r="Y1" s="387"/>
      <c r="AA1" s="50"/>
      <c r="AB1" s="50"/>
      <c r="AC1" s="174"/>
      <c r="AD1" s="174"/>
      <c r="AE1" s="50"/>
      <c r="AF1" s="50"/>
      <c r="AG1" s="50"/>
      <c r="AH1" s="50"/>
      <c r="AI1" s="50"/>
      <c r="AJ1" s="50"/>
      <c r="AK1" s="50"/>
      <c r="AL1" s="50"/>
      <c r="AM1" s="50"/>
      <c r="AN1" s="50"/>
      <c r="AO1" s="50"/>
      <c r="AP1" s="50"/>
      <c r="AQ1" s="174"/>
      <c r="AR1" s="174"/>
      <c r="AS1" s="50"/>
      <c r="AT1" s="50"/>
      <c r="AU1" s="50"/>
      <c r="AV1" s="50"/>
      <c r="AW1" s="176"/>
    </row>
    <row r="2" spans="1:49" ht="14.25" customHeight="1">
      <c r="A2" s="348" t="s">
        <v>578</v>
      </c>
      <c r="W2" s="492" t="s">
        <v>578</v>
      </c>
      <c r="X2" s="492"/>
    </row>
    <row r="3" spans="1:49" s="50" customFormat="1" ht="14.25" customHeight="1">
      <c r="A3" s="348"/>
      <c r="V3" s="387"/>
      <c r="W3" s="2"/>
      <c r="X3" s="2"/>
      <c r="AW3" s="751"/>
    </row>
    <row r="4" spans="1:49" s="50" customFormat="1" ht="14.25" customHeight="1">
      <c r="A4" s="348" t="s">
        <v>579</v>
      </c>
      <c r="C4" s="712" t="s">
        <v>580</v>
      </c>
      <c r="V4" s="387"/>
      <c r="W4" s="2"/>
      <c r="X4" s="2"/>
      <c r="AW4" s="751"/>
    </row>
    <row r="5" spans="1:49" s="50" customFormat="1" ht="14.25" customHeight="1">
      <c r="A5" s="348"/>
      <c r="C5" s="174" t="s">
        <v>581</v>
      </c>
      <c r="V5" s="387"/>
      <c r="W5" s="2"/>
      <c r="X5" s="2"/>
      <c r="AW5" s="751"/>
    </row>
    <row r="6" spans="1:49" ht="14.25" customHeight="1">
      <c r="B6" s="684"/>
      <c r="C6" s="55" t="s">
        <v>582</v>
      </c>
      <c r="D6" s="684"/>
      <c r="E6" s="684"/>
      <c r="F6" s="684"/>
      <c r="G6" s="684"/>
      <c r="H6" s="684"/>
      <c r="I6" s="684"/>
      <c r="J6" s="684"/>
      <c r="K6" s="684"/>
      <c r="L6" s="684"/>
    </row>
    <row r="7" spans="1:49" ht="14.25" customHeight="1">
      <c r="B7" s="684"/>
      <c r="C7" s="174" t="s">
        <v>583</v>
      </c>
      <c r="D7" s="684"/>
      <c r="E7" s="684"/>
      <c r="F7" s="684"/>
      <c r="G7" s="684"/>
      <c r="H7" s="684"/>
      <c r="I7" s="684"/>
      <c r="J7" s="684"/>
      <c r="K7" s="684"/>
      <c r="L7" s="684"/>
    </row>
    <row r="8" spans="1:49" ht="14.25" customHeight="1">
      <c r="B8" s="684"/>
      <c r="C8" s="55"/>
      <c r="D8" s="684"/>
      <c r="E8" s="684"/>
      <c r="F8" s="684"/>
      <c r="G8" s="684"/>
      <c r="H8" s="684"/>
      <c r="I8" s="684"/>
      <c r="J8" s="684"/>
      <c r="K8" s="684"/>
      <c r="L8" s="684"/>
      <c r="W8" s="46" t="s">
        <v>584</v>
      </c>
      <c r="X8" s="46"/>
      <c r="AW8" s="295"/>
    </row>
    <row r="9" spans="1:49" ht="14.25" customHeight="1">
      <c r="B9" s="684"/>
      <c r="C9" s="55"/>
      <c r="D9" s="684"/>
      <c r="E9" s="684"/>
      <c r="F9" s="684"/>
      <c r="G9" s="684"/>
      <c r="H9" s="684"/>
      <c r="I9" s="684"/>
      <c r="J9" s="684"/>
      <c r="K9" s="684"/>
      <c r="L9" s="684"/>
      <c r="W9" s="818" t="s">
        <v>585</v>
      </c>
      <c r="X9" s="818"/>
      <c r="AW9" s="295"/>
    </row>
    <row r="10" spans="1:49" ht="14.25" customHeight="1" thickBot="1">
      <c r="B10" s="684"/>
      <c r="C10" s="55"/>
      <c r="D10" s="684"/>
      <c r="E10" s="684"/>
      <c r="F10" s="684"/>
      <c r="G10" s="684"/>
      <c r="H10" s="684"/>
      <c r="I10" s="684"/>
      <c r="J10" s="684"/>
      <c r="K10" s="684"/>
      <c r="L10" s="684"/>
      <c r="W10" s="2199" t="s">
        <v>586</v>
      </c>
      <c r="X10" s="2199" t="s">
        <v>587</v>
      </c>
      <c r="Z10" s="2202" t="s">
        <v>529</v>
      </c>
      <c r="AA10" s="2202"/>
      <c r="AB10" s="2202"/>
      <c r="AC10" s="2202"/>
      <c r="AD10" s="2202"/>
      <c r="AE10" s="2202"/>
      <c r="AF10" s="2202"/>
      <c r="AG10" s="2202"/>
      <c r="AH10" s="2166" t="s">
        <v>530</v>
      </c>
      <c r="AI10" s="2167"/>
      <c r="AJ10" s="2168"/>
      <c r="AK10" s="2207"/>
      <c r="AL10" s="2166" t="s">
        <v>533</v>
      </c>
      <c r="AM10" s="2167"/>
      <c r="AN10" s="2167"/>
      <c r="AO10" s="2167"/>
      <c r="AP10" s="2167"/>
      <c r="AQ10" s="2167"/>
      <c r="AR10" s="2167"/>
      <c r="AS10" s="2167"/>
      <c r="AT10" s="2167"/>
      <c r="AU10" s="2167"/>
      <c r="AV10" s="2167"/>
      <c r="AW10" s="2168"/>
    </row>
    <row r="11" spans="1:49" s="55" customFormat="1" ht="14.25" customHeight="1">
      <c r="C11" s="2172" t="s">
        <v>534</v>
      </c>
      <c r="D11" s="2252" t="s">
        <v>535</v>
      </c>
      <c r="E11" s="2255" t="s">
        <v>588</v>
      </c>
      <c r="F11" s="2258" t="s">
        <v>589</v>
      </c>
      <c r="G11" s="2184" t="s">
        <v>538</v>
      </c>
      <c r="H11" s="2185"/>
      <c r="I11" s="2188" t="s">
        <v>539</v>
      </c>
      <c r="J11" s="2267" t="s">
        <v>540</v>
      </c>
      <c r="K11" s="2268"/>
      <c r="L11" s="2216" t="s">
        <v>541</v>
      </c>
      <c r="M11" s="2184" t="s">
        <v>543</v>
      </c>
      <c r="N11" s="2184" t="s">
        <v>590</v>
      </c>
      <c r="O11" s="2184" t="s">
        <v>591</v>
      </c>
      <c r="P11" s="2271" t="s">
        <v>592</v>
      </c>
      <c r="Q11" s="2272"/>
      <c r="R11" s="2218" t="s">
        <v>593</v>
      </c>
      <c r="S11" s="2221" t="s">
        <v>546</v>
      </c>
      <c r="T11" s="2224" t="s">
        <v>547</v>
      </c>
      <c r="U11" s="2225"/>
      <c r="V11" s="802"/>
      <c r="W11" s="2200"/>
      <c r="X11" s="2200"/>
      <c r="Y11" s="174"/>
      <c r="Z11" s="1772"/>
      <c r="AA11" s="1772"/>
      <c r="AB11" s="1772"/>
      <c r="AC11" s="1772"/>
      <c r="AD11" s="1772"/>
      <c r="AE11" s="1772"/>
      <c r="AF11" s="1772"/>
      <c r="AG11" s="1772"/>
      <c r="AH11" s="2169"/>
      <c r="AI11" s="2170"/>
      <c r="AJ11" s="2171"/>
      <c r="AK11" s="2208"/>
      <c r="AL11" s="2169"/>
      <c r="AM11" s="2170"/>
      <c r="AN11" s="2170"/>
      <c r="AO11" s="2170"/>
      <c r="AP11" s="2170"/>
      <c r="AQ11" s="2170"/>
      <c r="AR11" s="2170"/>
      <c r="AS11" s="2170"/>
      <c r="AT11" s="2170"/>
      <c r="AU11" s="2170"/>
      <c r="AV11" s="2170"/>
      <c r="AW11" s="2171"/>
    </row>
    <row r="12" spans="1:49" s="55" customFormat="1" ht="14.25" customHeight="1">
      <c r="C12" s="2173"/>
      <c r="D12" s="2253"/>
      <c r="E12" s="2256"/>
      <c r="F12" s="2259"/>
      <c r="G12" s="2186"/>
      <c r="H12" s="2187"/>
      <c r="I12" s="2189"/>
      <c r="J12" s="2269"/>
      <c r="K12" s="2270"/>
      <c r="L12" s="2217"/>
      <c r="M12" s="2262"/>
      <c r="N12" s="2262"/>
      <c r="O12" s="2262"/>
      <c r="P12" s="2273"/>
      <c r="Q12" s="2274"/>
      <c r="R12" s="2277"/>
      <c r="S12" s="2222"/>
      <c r="T12" s="2226"/>
      <c r="U12" s="2227"/>
      <c r="V12" s="802"/>
      <c r="W12" s="2200"/>
      <c r="X12" s="2200"/>
      <c r="Y12" s="174"/>
      <c r="Z12" s="2210" t="s">
        <v>548</v>
      </c>
      <c r="AA12" s="2210" t="s">
        <v>549</v>
      </c>
      <c r="AB12" s="2210" t="s">
        <v>550</v>
      </c>
      <c r="AC12" s="2210" t="s">
        <v>551</v>
      </c>
      <c r="AD12" s="2210" t="s">
        <v>552</v>
      </c>
      <c r="AE12" s="2246" t="s">
        <v>553</v>
      </c>
      <c r="AF12" s="2210" t="s">
        <v>554</v>
      </c>
      <c r="AG12" s="2210" t="s">
        <v>555</v>
      </c>
      <c r="AH12" s="2210" t="s">
        <v>556</v>
      </c>
      <c r="AI12" s="2213" t="s">
        <v>557</v>
      </c>
      <c r="AJ12" s="757"/>
      <c r="AK12" s="2208"/>
      <c r="AL12" s="2230" t="s">
        <v>558</v>
      </c>
      <c r="AM12" s="2249" t="s">
        <v>562</v>
      </c>
      <c r="AN12" s="758"/>
      <c r="AO12" s="2230" t="s">
        <v>563</v>
      </c>
      <c r="AP12" s="2230" t="s">
        <v>564</v>
      </c>
      <c r="AQ12" s="2230" t="s">
        <v>594</v>
      </c>
      <c r="AR12" s="2230" t="s">
        <v>595</v>
      </c>
      <c r="AS12" s="2230" t="s">
        <v>596</v>
      </c>
      <c r="AT12" s="2230" t="s">
        <v>597</v>
      </c>
      <c r="AU12" s="2230" t="s">
        <v>598</v>
      </c>
      <c r="AV12" s="2230" t="s">
        <v>484</v>
      </c>
      <c r="AW12" s="2230" t="s">
        <v>599</v>
      </c>
    </row>
    <row r="13" spans="1:49" s="55" customFormat="1" ht="14.25" customHeight="1">
      <c r="C13" s="2173"/>
      <c r="D13" s="2253"/>
      <c r="E13" s="2256"/>
      <c r="F13" s="2259"/>
      <c r="G13" s="2232" t="s">
        <v>600</v>
      </c>
      <c r="H13" s="2232" t="s">
        <v>567</v>
      </c>
      <c r="I13" s="2189"/>
      <c r="J13" s="2237" t="s">
        <v>568</v>
      </c>
      <c r="K13" s="2237" t="s">
        <v>569</v>
      </c>
      <c r="L13" s="819" t="s">
        <v>570</v>
      </c>
      <c r="M13" s="820" t="s">
        <v>570</v>
      </c>
      <c r="N13" s="821" t="s">
        <v>570</v>
      </c>
      <c r="O13" s="821" t="s">
        <v>570</v>
      </c>
      <c r="P13" s="2275"/>
      <c r="Q13" s="2276"/>
      <c r="R13" s="2277"/>
      <c r="S13" s="2222"/>
      <c r="T13" s="2239" t="s">
        <v>571</v>
      </c>
      <c r="U13" s="2243" t="s">
        <v>601</v>
      </c>
      <c r="V13" s="802"/>
      <c r="W13" s="2200"/>
      <c r="X13" s="2200"/>
      <c r="Y13" s="174"/>
      <c r="Z13" s="2211"/>
      <c r="AA13" s="2211"/>
      <c r="AB13" s="2211"/>
      <c r="AC13" s="2211"/>
      <c r="AD13" s="2211"/>
      <c r="AE13" s="2247"/>
      <c r="AF13" s="2211" t="s">
        <v>602</v>
      </c>
      <c r="AG13" s="2211"/>
      <c r="AH13" s="2211" t="s">
        <v>603</v>
      </c>
      <c r="AI13" s="2211" t="s">
        <v>603</v>
      </c>
      <c r="AJ13" s="2210" t="s">
        <v>575</v>
      </c>
      <c r="AK13" s="2208"/>
      <c r="AL13" s="2219"/>
      <c r="AM13" s="2285"/>
      <c r="AN13" s="2230" t="s">
        <v>575</v>
      </c>
      <c r="AO13" s="2219" t="s">
        <v>603</v>
      </c>
      <c r="AP13" s="2219"/>
      <c r="AQ13" s="2219"/>
      <c r="AR13" s="2219"/>
      <c r="AS13" s="2219"/>
      <c r="AT13" s="2219"/>
      <c r="AU13" s="2219"/>
      <c r="AV13" s="2219"/>
      <c r="AW13" s="2219"/>
    </row>
    <row r="14" spans="1:49" s="55" customFormat="1" ht="14.25" customHeight="1">
      <c r="C14" s="2173"/>
      <c r="D14" s="2253"/>
      <c r="E14" s="2256"/>
      <c r="F14" s="2259"/>
      <c r="G14" s="2233"/>
      <c r="H14" s="2233"/>
      <c r="I14" s="2189"/>
      <c r="J14" s="2238"/>
      <c r="K14" s="2238"/>
      <c r="L14" s="822"/>
      <c r="M14" s="823"/>
      <c r="N14" s="763"/>
      <c r="O14" s="824"/>
      <c r="P14" s="2261" t="s">
        <v>604</v>
      </c>
      <c r="Q14" s="2261" t="s">
        <v>484</v>
      </c>
      <c r="R14" s="2277"/>
      <c r="S14" s="2222"/>
      <c r="T14" s="2240"/>
      <c r="U14" s="2244"/>
      <c r="V14" s="802"/>
      <c r="W14" s="2200"/>
      <c r="X14" s="2200"/>
      <c r="Y14" s="174"/>
      <c r="Z14" s="2211"/>
      <c r="AA14" s="2211"/>
      <c r="AB14" s="2211"/>
      <c r="AC14" s="2211"/>
      <c r="AD14" s="2211"/>
      <c r="AE14" s="2247"/>
      <c r="AF14" s="2211"/>
      <c r="AG14" s="2211"/>
      <c r="AH14" s="2211"/>
      <c r="AI14" s="2211"/>
      <c r="AJ14" s="2211"/>
      <c r="AK14" s="2208"/>
      <c r="AL14" s="2219"/>
      <c r="AM14" s="2285"/>
      <c r="AN14" s="2219"/>
      <c r="AO14" s="2219"/>
      <c r="AP14" s="2219"/>
      <c r="AQ14" s="2219"/>
      <c r="AR14" s="2219"/>
      <c r="AS14" s="2219"/>
      <c r="AT14" s="2219"/>
      <c r="AU14" s="2219"/>
      <c r="AV14" s="2219"/>
      <c r="AW14" s="2219"/>
    </row>
    <row r="15" spans="1:49" s="55" customFormat="1" ht="14.25" customHeight="1">
      <c r="C15" s="2173"/>
      <c r="D15" s="2253"/>
      <c r="E15" s="2256"/>
      <c r="F15" s="2259"/>
      <c r="G15" s="2233"/>
      <c r="H15" s="2233"/>
      <c r="I15" s="2189"/>
      <c r="J15" s="2238"/>
      <c r="K15" s="2238"/>
      <c r="L15" s="822"/>
      <c r="M15" s="823"/>
      <c r="N15" s="763"/>
      <c r="O15" s="824"/>
      <c r="P15" s="2262"/>
      <c r="Q15" s="2262"/>
      <c r="R15" s="2277"/>
      <c r="S15" s="2222"/>
      <c r="T15" s="2240"/>
      <c r="U15" s="825"/>
      <c r="V15" s="802"/>
      <c r="W15" s="2200"/>
      <c r="X15" s="2200"/>
      <c r="Y15" s="174"/>
      <c r="Z15" s="2211"/>
      <c r="AA15" s="2211"/>
      <c r="AB15" s="2211"/>
      <c r="AC15" s="2211"/>
      <c r="AD15" s="2211"/>
      <c r="AE15" s="2247"/>
      <c r="AF15" s="2211"/>
      <c r="AG15" s="2211"/>
      <c r="AH15" s="2211"/>
      <c r="AI15" s="2211"/>
      <c r="AJ15" s="2211"/>
      <c r="AK15" s="2208"/>
      <c r="AL15" s="2219"/>
      <c r="AM15" s="2285"/>
      <c r="AN15" s="2219"/>
      <c r="AO15" s="2219"/>
      <c r="AP15" s="2219"/>
      <c r="AQ15" s="2219"/>
      <c r="AR15" s="2219"/>
      <c r="AS15" s="2219"/>
      <c r="AT15" s="2219"/>
      <c r="AU15" s="2219"/>
      <c r="AV15" s="2219"/>
      <c r="AW15" s="2219"/>
    </row>
    <row r="16" spans="1:49" s="55" customFormat="1" ht="14.25" customHeight="1">
      <c r="C16" s="2173"/>
      <c r="D16" s="2253"/>
      <c r="E16" s="2256"/>
      <c r="F16" s="2259"/>
      <c r="G16" s="2233"/>
      <c r="H16" s="2233"/>
      <c r="I16" s="2189"/>
      <c r="J16" s="2238"/>
      <c r="K16" s="2238"/>
      <c r="L16" s="822"/>
      <c r="M16" s="823"/>
      <c r="N16" s="763"/>
      <c r="O16" s="824"/>
      <c r="P16" s="2263" t="s">
        <v>570</v>
      </c>
      <c r="Q16" s="2265" t="s">
        <v>570</v>
      </c>
      <c r="R16" s="2277"/>
      <c r="S16" s="2222"/>
      <c r="T16" s="2283"/>
      <c r="U16" s="825"/>
      <c r="V16" s="802"/>
      <c r="W16" s="2200"/>
      <c r="X16" s="2200"/>
      <c r="Y16" s="174"/>
      <c r="Z16" s="2212"/>
      <c r="AA16" s="2212"/>
      <c r="AB16" s="2212"/>
      <c r="AC16" s="2212"/>
      <c r="AD16" s="2212"/>
      <c r="AE16" s="2248"/>
      <c r="AF16" s="2212"/>
      <c r="AG16" s="2212"/>
      <c r="AH16" s="2212"/>
      <c r="AI16" s="2212"/>
      <c r="AJ16" s="2212"/>
      <c r="AK16" s="2209"/>
      <c r="AL16" s="2231"/>
      <c r="AM16" s="2286"/>
      <c r="AN16" s="2231"/>
      <c r="AO16" s="2231"/>
      <c r="AP16" s="2231"/>
      <c r="AQ16" s="2231"/>
      <c r="AR16" s="2231"/>
      <c r="AS16" s="2231"/>
      <c r="AT16" s="2231"/>
      <c r="AU16" s="2231"/>
      <c r="AV16" s="2231"/>
      <c r="AW16" s="2231"/>
    </row>
    <row r="17" spans="3:51" s="55" customFormat="1" ht="30" customHeight="1" thickBot="1">
      <c r="C17" s="2174"/>
      <c r="D17" s="2254"/>
      <c r="E17" s="2257"/>
      <c r="F17" s="2260"/>
      <c r="G17" s="2233"/>
      <c r="H17" s="2233"/>
      <c r="I17" s="2190"/>
      <c r="J17" s="2238"/>
      <c r="K17" s="2238"/>
      <c r="L17" s="826"/>
      <c r="M17" s="823"/>
      <c r="N17" s="763"/>
      <c r="O17" s="827"/>
      <c r="P17" s="2264"/>
      <c r="Q17" s="2266"/>
      <c r="R17" s="2278"/>
      <c r="S17" s="2223"/>
      <c r="T17" s="2284"/>
      <c r="U17" s="828"/>
      <c r="V17" s="802"/>
      <c r="W17" s="2201"/>
      <c r="X17" s="2201"/>
      <c r="Y17" s="174"/>
      <c r="Z17" s="829"/>
      <c r="AA17" s="829"/>
      <c r="AB17" s="829"/>
      <c r="AC17" s="829"/>
      <c r="AD17" s="829"/>
      <c r="AE17" s="829"/>
      <c r="AF17" s="829"/>
      <c r="AG17" s="829"/>
      <c r="AH17" s="829"/>
      <c r="AI17" s="829"/>
      <c r="AJ17" s="829"/>
      <c r="AK17" s="830" t="s">
        <v>605</v>
      </c>
      <c r="AL17" s="831">
        <f t="shared" ref="AL17:AQ17" si="0">SUM(AL18:AL117)</f>
        <v>0</v>
      </c>
      <c r="AM17" s="831">
        <f t="shared" si="0"/>
        <v>0</v>
      </c>
      <c r="AN17" s="831">
        <f t="shared" si="0"/>
        <v>0</v>
      </c>
      <c r="AO17" s="831">
        <f>ROUND(SUM(AO18:AO117),)</f>
        <v>0</v>
      </c>
      <c r="AP17" s="831">
        <f t="shared" si="0"/>
        <v>0</v>
      </c>
      <c r="AQ17" s="831">
        <f t="shared" si="0"/>
        <v>0</v>
      </c>
      <c r="AR17" s="831">
        <f>ROUND(SUM(AP17:AQ17),)</f>
        <v>0</v>
      </c>
      <c r="AS17" s="831">
        <f t="shared" ref="AS17:AU17" si="1">SUM(AS18:AS117)</f>
        <v>0</v>
      </c>
      <c r="AT17" s="831">
        <f>SUM(AT18:AT117)</f>
        <v>0</v>
      </c>
      <c r="AU17" s="831">
        <f t="shared" si="1"/>
        <v>0</v>
      </c>
      <c r="AV17" s="831">
        <f>SUM(AV18:AV117)</f>
        <v>0</v>
      </c>
      <c r="AW17" s="829"/>
    </row>
    <row r="18" spans="3:51" s="55" customFormat="1" ht="30.75" customHeight="1" thickTop="1">
      <c r="C18" s="832">
        <v>1</v>
      </c>
      <c r="D18" s="773"/>
      <c r="E18" s="833"/>
      <c r="F18" s="834"/>
      <c r="G18" s="2279"/>
      <c r="H18" s="2280"/>
      <c r="I18" s="776"/>
      <c r="J18" s="777"/>
      <c r="K18" s="778"/>
      <c r="L18" s="781"/>
      <c r="M18" s="781"/>
      <c r="N18" s="781"/>
      <c r="O18" s="781"/>
      <c r="P18" s="780"/>
      <c r="Q18" s="780"/>
      <c r="R18" s="1286"/>
      <c r="S18" s="782"/>
      <c r="T18" s="835"/>
      <c r="U18" s="836"/>
      <c r="V18" s="837"/>
      <c r="W18" s="838"/>
      <c r="X18" s="839"/>
      <c r="Y18" s="174"/>
      <c r="Z18" s="786">
        <f t="shared" ref="Z18:Z81" si="2">IF(AND(E18&gt;0,F18&gt;0),"["&amp;RIGHT(LEFT(E18,2),1)&amp;RIGHT(LEFT(F18,2),1)&amp;"]",)</f>
        <v>0</v>
      </c>
      <c r="AA18" s="786">
        <f t="shared" ref="AA18:AA81" si="3">IF(Z18=0,,IF(L18&lt;100000,1,0))</f>
        <v>0</v>
      </c>
      <c r="AB18" s="786">
        <f t="shared" ref="AB18:AB81" si="4">IF(Z18=0,,IF(AND(AA18=0,L18&lt;200000),1,))</f>
        <v>0</v>
      </c>
      <c r="AC18" s="786">
        <f>IF(Z18=0,,VLOOKUP(Z18,リスト!DC:DD,2,0))</f>
        <v>0</v>
      </c>
      <c r="AD18" s="786">
        <f t="shared" ref="AD18:AD81" si="5">IF(AB18=1,3,IF(G18="[2]中古",MIN(AC18,I18),AC18))</f>
        <v>0</v>
      </c>
      <c r="AE18" s="787">
        <f>IF(AD18=0,,VLOOKUP(AD18,リスト!DK:DL,2,0))</f>
        <v>0</v>
      </c>
      <c r="AF18" s="786">
        <f>IF(Z18=0,,
IF(OR(リスト!$C$21="小麦",リスト!$C$21="二条大麦",リスト!$C$21="六条大麦",リスト!$C$21="はだか麦",リスト!$C$21="なたね"),IF(K18&lt;9,調査年-J18,調査年-J18-1),
IF(リスト!$C$21="さとうきび",IF(K18&gt;=4,調査年-J18,調査年-J18+1),
調査年-J18)))</f>
        <v>0</v>
      </c>
      <c r="AG18" s="788">
        <f t="shared" ref="AG18:AG49" si="6">IF(OR(Z18=0,AA18=1),,
IF(AND(AD18&gt;0,AF18&lt;AD18,AH18&lt;=ROUND((L18-1)*AE18,0)),ROUND(AH18,0),
IF(AND(AD18&gt;0,AF18&lt;AD18),ROUND((L18-1)*AE18,0),)))</f>
        <v>0</v>
      </c>
      <c r="AH18" s="788">
        <f t="shared" ref="AH18:AH81" si="7">IF(OR(Z18=0,AA18=1),,
IF(AND(AD18&gt;0,AF18&lt;AD18),L18-ROUND((L18-1)*AE18*AF18,0),1
))</f>
        <v>0</v>
      </c>
      <c r="AI18" s="788">
        <f t="shared" ref="AI18:AI81" si="8">IF(OR(Z18=0,AA18=1),,
IF(T18=0,AG18,
IF(T18="[2]廃棄等",SUM(AH18,U18),
IF(T18="[1]売却",AH18-U18,))))</f>
        <v>0</v>
      </c>
      <c r="AJ18" s="788">
        <f t="shared" ref="AJ18:AJ81" si="9">IF(AND(AI18=0,AG18=0),,
IF(OR(T18="[1]売却",T18="[2]廃棄等"),SUM(AI18)-SUM(AG18),))</f>
        <v>0</v>
      </c>
      <c r="AK18" s="840"/>
      <c r="AL18" s="788">
        <f>IF(OR(R18=0,AH18=""),,
IF(OR(リスト!$C$21="小麦",リスト!$C$21="二条大麦",リスト!$C$21="六条大麦",リスト!$C$21="はだか麦",リスト!$C$21="なたね"),IF(OR(AND(K18&lt;9,J18=調査年),AND(K18&gt;=9,J18=調査年-1)),,ROUND(AH18*R18%,0)),
IF(リスト!$C$21="さとうきび",IF(OR(AND(K18&gt;=4,J18=調査年),AND(K18&lt;4,J18=調査年+1)),,ROUND(AH18*R18%,0)),
IF(J18=調査年,,ROUND(AH18*R18%,0)))))</f>
        <v>0</v>
      </c>
      <c r="AM18" s="788">
        <f t="shared" ref="AM18:AM81" si="10">IF(R18=0,,IF(AI18=0,,ROUND(AI18*R18%,0)))</f>
        <v>0</v>
      </c>
      <c r="AN18" s="788">
        <f t="shared" ref="AN18:AN81" si="11">IF(R18=0,,IF(AJ18=0,,ROUND(AJ18*R18%,0)))</f>
        <v>0</v>
      </c>
      <c r="AO18" s="788">
        <f t="shared" ref="AO18:AO81" si="12">IF(R18=0,,IF(AH18=0,,ROUND(AH18*R18%,0)))</f>
        <v>0</v>
      </c>
      <c r="AP18" s="788">
        <f>IF(R18=0,,
SUM(
IF(OR(リスト!$C$21="小麦",リスト!$C$21="二条大麦",リスト!$C$21="六条大麦",リスト!$C$21="はだか麦",リスト!$C$21="なたね"),IF(OR(AND(AA18=1,K18&lt;9,J18=調査年),AND(AA18=1,K18&gt;=9,J18=調査年-1)),ROUND(L18*R18%,0),),
IF(リスト!$C$21="さとうきび",IF(OR(AND(AA18=1,K18&gt;=4,J18=調査年),AND(AA18=1,K18&lt;4,J18=調査年+1)),ROUND(L18*R18%,0),),
IF(AND(AA18=1,J18=調査年),ROUND(L18*R18%,0),))),
ROUND(M18*R18%,0)
))</f>
        <v>0</v>
      </c>
      <c r="AQ18" s="788">
        <f t="shared" ref="AQ18:AQ81" si="13">IF(R18=0,,IF(N18=0,,ROUND(N18*R18%,0)))</f>
        <v>0</v>
      </c>
      <c r="AR18" s="788">
        <f t="shared" ref="AR18:AR81" si="14">IF(OR(AP18&gt;0,AQ18&gt;0),SUM(AP18:AQ18),)</f>
        <v>0</v>
      </c>
      <c r="AS18" s="788">
        <f>IF(O18&gt;0,IF(AND(F18&lt;&gt;"[1]軽自動車",F18&lt;&gt;"[3]自動二輪・三輪"),ROUND(O18*R18%,),),)</f>
        <v>0</v>
      </c>
      <c r="AT18" s="788">
        <f>IF(O18&gt;0,IF(OR(F18="[1]軽自動車",F18="[3]自動二輪・三輪"),ROUND(O18*R18%,),),)</f>
        <v>0</v>
      </c>
      <c r="AU18" s="788">
        <f t="shared" ref="AU18:AU81" si="15">IF(P18&gt;0,ROUND(P18*R18%,),)</f>
        <v>0</v>
      </c>
      <c r="AV18" s="788">
        <f t="shared" ref="AV18:AV81" si="16">IF(Q18&gt;0,ROUND(Q18*$R18%,),)</f>
        <v>0</v>
      </c>
      <c r="AW18" s="841">
        <f t="shared" ref="AW18:AW81" si="17">IF(X18="○",,IF(AND(W18&gt;0,R18&gt;0),ROUND(1/W18,1),IF(R18&gt;0,ROUND(1,1),)))</f>
        <v>0</v>
      </c>
      <c r="AX18" s="842"/>
      <c r="AY18" s="842"/>
    </row>
    <row r="19" spans="3:51" s="55" customFormat="1" ht="30.75" customHeight="1">
      <c r="C19" s="843">
        <v>2</v>
      </c>
      <c r="D19" s="791"/>
      <c r="E19" s="844"/>
      <c r="F19" s="845"/>
      <c r="G19" s="2281"/>
      <c r="H19" s="2282"/>
      <c r="I19" s="794"/>
      <c r="J19" s="846"/>
      <c r="K19" s="796"/>
      <c r="L19" s="797"/>
      <c r="M19" s="797"/>
      <c r="N19" s="797"/>
      <c r="O19" s="797"/>
      <c r="P19" s="797"/>
      <c r="Q19" s="797"/>
      <c r="R19" s="1284"/>
      <c r="S19" s="798"/>
      <c r="T19" s="847"/>
      <c r="U19" s="848"/>
      <c r="V19" s="837"/>
      <c r="W19" s="849"/>
      <c r="X19" s="850"/>
      <c r="Y19" s="752"/>
      <c r="Z19" s="786">
        <f t="shared" si="2"/>
        <v>0</v>
      </c>
      <c r="AA19" s="786">
        <f t="shared" si="3"/>
        <v>0</v>
      </c>
      <c r="AB19" s="786">
        <f t="shared" si="4"/>
        <v>0</v>
      </c>
      <c r="AC19" s="786">
        <f>IF(Z19=0,,VLOOKUP(Z19,リスト!DC:DD,2,0))</f>
        <v>0</v>
      </c>
      <c r="AD19" s="786">
        <f t="shared" si="5"/>
        <v>0</v>
      </c>
      <c r="AE19" s="787">
        <f>IF(AD19=0,,VLOOKUP(AD19,リスト!DK:DL,2,0))</f>
        <v>0</v>
      </c>
      <c r="AF19" s="786">
        <f>IF(Z19=0,,
IF(OR(リスト!$C$21="小麦",リスト!$C$21="二条大麦",リスト!$C$21="六条大麦",リスト!$C$21="はだか麦",リスト!$C$21="なたね"),IF(K19&lt;9,調査年-J19,調査年-J19-1),
IF(リスト!$C$21="さとうきび",IF(K19&gt;=4,調査年-J19,調査年-J19+1),
調査年-J19)))</f>
        <v>0</v>
      </c>
      <c r="AG19" s="788">
        <f t="shared" si="6"/>
        <v>0</v>
      </c>
      <c r="AH19" s="788">
        <f t="shared" si="7"/>
        <v>0</v>
      </c>
      <c r="AI19" s="788">
        <f t="shared" si="8"/>
        <v>0</v>
      </c>
      <c r="AJ19" s="788">
        <f t="shared" si="9"/>
        <v>0</v>
      </c>
      <c r="AK19" s="477"/>
      <c r="AL19" s="788">
        <f>IF(OR(R19=0,AH19=""),,
IF(OR(リスト!$C$21="小麦",リスト!$C$21="二条大麦",リスト!$C$21="六条大麦",リスト!$C$21="はだか麦",リスト!$C$21="なたね"),IF(OR(AND(K19&lt;9,J19=調査年),AND(K19&gt;=9,J19=調査年-1)),,ROUND(AH19*R19%,0)),
IF(リスト!$C$21="さとうきび",IF(OR(AND(K19&gt;=4,J19=調査年),AND(K19&lt;4,J19=調査年+1)),,ROUND(AH19*R19%,0)),
IF(J19=調査年,,ROUND(AH19*R19%,0)))))</f>
        <v>0</v>
      </c>
      <c r="AM19" s="788">
        <f t="shared" si="10"/>
        <v>0</v>
      </c>
      <c r="AN19" s="788">
        <f t="shared" si="11"/>
        <v>0</v>
      </c>
      <c r="AO19" s="788">
        <f t="shared" si="12"/>
        <v>0</v>
      </c>
      <c r="AP19" s="788">
        <f>IF(R19=0,,
SUM(
IF(OR(リスト!$C$21="小麦",リスト!$C$21="二条大麦",リスト!$C$21="六条大麦",リスト!$C$21="はだか麦",リスト!$C$21="なたね"),IF(OR(AND(AA19=1,K19&lt;9,J19=調査年),AND(AA19=1,K19&gt;=9,J19=調査年-1)),ROUND(L19*R19%,0),),
IF(リスト!$C$21="さとうきび",IF(OR(AND(AA19=1,K19&gt;=4,J19=調査年),AND(AA19=1,K19&lt;4,J19=調査年+1)),ROUND(L19*R19%,0),),
IF(AND(AA19=1,J19=調査年),ROUND(L19*R19%,0),))),
ROUND(M19*R19%,0)
))</f>
        <v>0</v>
      </c>
      <c r="AQ19" s="788">
        <f t="shared" si="13"/>
        <v>0</v>
      </c>
      <c r="AR19" s="788">
        <f t="shared" si="14"/>
        <v>0</v>
      </c>
      <c r="AS19" s="788">
        <f t="shared" ref="AS19:AS24" si="18">IF(O19&gt;0,IF(AND(F19&lt;&gt;"[1]軽自動車",F19&lt;&gt;"[3]自動二輪・三輪"),ROUND(O19*R19%,),),)</f>
        <v>0</v>
      </c>
      <c r="AT19" s="788">
        <f t="shared" ref="AT19:AT24" si="19">IF(O19&gt;0,IF(OR(F19="[1]軽自動車",F19="[3]自動二輪・三輪"),ROUND(O19*R19%,),),)</f>
        <v>0</v>
      </c>
      <c r="AU19" s="788">
        <f t="shared" si="15"/>
        <v>0</v>
      </c>
      <c r="AV19" s="788">
        <f t="shared" si="16"/>
        <v>0</v>
      </c>
      <c r="AW19" s="841">
        <f t="shared" si="17"/>
        <v>0</v>
      </c>
      <c r="AX19" s="842"/>
      <c r="AY19" s="842"/>
    </row>
    <row r="20" spans="3:51" s="55" customFormat="1" ht="30.75" customHeight="1">
      <c r="C20" s="843">
        <v>3</v>
      </c>
      <c r="D20" s="803"/>
      <c r="E20" s="844"/>
      <c r="F20" s="845"/>
      <c r="G20" s="2281"/>
      <c r="H20" s="2282"/>
      <c r="I20" s="794"/>
      <c r="J20" s="846"/>
      <c r="K20" s="796"/>
      <c r="L20" s="797"/>
      <c r="M20" s="797"/>
      <c r="N20" s="797"/>
      <c r="O20" s="797"/>
      <c r="P20" s="797"/>
      <c r="Q20" s="797"/>
      <c r="R20" s="1284"/>
      <c r="S20" s="798"/>
      <c r="T20" s="847"/>
      <c r="U20" s="848"/>
      <c r="V20" s="837"/>
      <c r="W20" s="849"/>
      <c r="X20" s="850"/>
      <c r="Y20" s="752"/>
      <c r="Z20" s="786">
        <f t="shared" si="2"/>
        <v>0</v>
      </c>
      <c r="AA20" s="786">
        <f t="shared" si="3"/>
        <v>0</v>
      </c>
      <c r="AB20" s="786">
        <f t="shared" si="4"/>
        <v>0</v>
      </c>
      <c r="AC20" s="786">
        <f>IF(Z20=0,,VLOOKUP(Z20,リスト!DC:DD,2,0))</f>
        <v>0</v>
      </c>
      <c r="AD20" s="786">
        <f t="shared" si="5"/>
        <v>0</v>
      </c>
      <c r="AE20" s="787">
        <f>IF(AD20=0,,VLOOKUP(AD20,リスト!DK:DL,2,0))</f>
        <v>0</v>
      </c>
      <c r="AF20" s="786">
        <f>IF(Z20=0,,
IF(OR(リスト!$C$21="小麦",リスト!$C$21="二条大麦",リスト!$C$21="六条大麦",リスト!$C$21="はだか麦",リスト!$C$21="なたね"),IF(K20&lt;9,調査年-J20,調査年-J20-1),
IF(リスト!$C$21="さとうきび",IF(K20&gt;=4,調査年-J20,調査年-J20+1),
調査年-J20)))</f>
        <v>0</v>
      </c>
      <c r="AG20" s="788">
        <f t="shared" si="6"/>
        <v>0</v>
      </c>
      <c r="AH20" s="788">
        <f t="shared" si="7"/>
        <v>0</v>
      </c>
      <c r="AI20" s="788">
        <f t="shared" si="8"/>
        <v>0</v>
      </c>
      <c r="AJ20" s="788">
        <f t="shared" si="9"/>
        <v>0</v>
      </c>
      <c r="AK20" s="477"/>
      <c r="AL20" s="788">
        <f>IF(OR(R20=0,AH20=""),,
IF(OR(リスト!$C$21="小麦",リスト!$C$21="二条大麦",リスト!$C$21="六条大麦",リスト!$C$21="はだか麦",リスト!$C$21="なたね"),IF(OR(AND(K20&lt;9,J20=調査年),AND(K20&gt;=9,J20=調査年-1)),,ROUND(AH20*R20%,0)),
IF(リスト!$C$21="さとうきび",IF(OR(AND(K20&gt;=4,J20=調査年),AND(K20&lt;4,J20=調査年+1)),,ROUND(AH20*R20%,0)),
IF(J20=調査年,,ROUND(AH20*R20%,0)))))</f>
        <v>0</v>
      </c>
      <c r="AM20" s="788">
        <f t="shared" si="10"/>
        <v>0</v>
      </c>
      <c r="AN20" s="788">
        <f t="shared" si="11"/>
        <v>0</v>
      </c>
      <c r="AO20" s="788">
        <f t="shared" si="12"/>
        <v>0</v>
      </c>
      <c r="AP20" s="788">
        <f>IF(R20=0,,
SUM(
IF(OR(リスト!$C$21="小麦",リスト!$C$21="二条大麦",リスト!$C$21="六条大麦",リスト!$C$21="はだか麦",リスト!$C$21="なたね"),IF(OR(AND(AA20=1,K20&lt;9,J20=調査年),AND(AA20=1,K20&gt;=9,J20=調査年-1)),ROUND(L20*R20%,0),),
IF(リスト!$C$21="さとうきび",IF(OR(AND(AA20=1,K20&gt;=4,J20=調査年),AND(AA20=1,K20&lt;4,J20=調査年+1)),ROUND(L20*R20%,0),),
IF(AND(AA20=1,J20=調査年),ROUND(L20*R20%,0),))),
ROUND(M20*R20%,0)
))</f>
        <v>0</v>
      </c>
      <c r="AQ20" s="788">
        <f t="shared" si="13"/>
        <v>0</v>
      </c>
      <c r="AR20" s="788">
        <f t="shared" si="14"/>
        <v>0</v>
      </c>
      <c r="AS20" s="788">
        <f t="shared" si="18"/>
        <v>0</v>
      </c>
      <c r="AT20" s="788">
        <f t="shared" si="19"/>
        <v>0</v>
      </c>
      <c r="AU20" s="788">
        <f t="shared" si="15"/>
        <v>0</v>
      </c>
      <c r="AV20" s="788">
        <f t="shared" si="16"/>
        <v>0</v>
      </c>
      <c r="AW20" s="841">
        <f t="shared" si="17"/>
        <v>0</v>
      </c>
      <c r="AX20" s="842"/>
      <c r="AY20" s="842"/>
    </row>
    <row r="21" spans="3:51" s="55" customFormat="1" ht="30.75" customHeight="1">
      <c r="C21" s="843">
        <v>4</v>
      </c>
      <c r="D21" s="803"/>
      <c r="E21" s="844"/>
      <c r="F21" s="845"/>
      <c r="G21" s="2281"/>
      <c r="H21" s="2282"/>
      <c r="I21" s="851"/>
      <c r="J21" s="846"/>
      <c r="K21" s="796"/>
      <c r="L21" s="797"/>
      <c r="M21" s="797"/>
      <c r="N21" s="797"/>
      <c r="O21" s="797"/>
      <c r="P21" s="797"/>
      <c r="Q21" s="797"/>
      <c r="R21" s="1284"/>
      <c r="S21" s="798"/>
      <c r="T21" s="847"/>
      <c r="U21" s="848"/>
      <c r="V21" s="837"/>
      <c r="W21" s="849"/>
      <c r="X21" s="850"/>
      <c r="Y21" s="752"/>
      <c r="Z21" s="786">
        <f t="shared" si="2"/>
        <v>0</v>
      </c>
      <c r="AA21" s="786">
        <f t="shared" si="3"/>
        <v>0</v>
      </c>
      <c r="AB21" s="786">
        <f t="shared" si="4"/>
        <v>0</v>
      </c>
      <c r="AC21" s="786">
        <f>IF(Z21=0,,VLOOKUP(Z21,リスト!DC:DD,2,0))</f>
        <v>0</v>
      </c>
      <c r="AD21" s="786">
        <f t="shared" si="5"/>
        <v>0</v>
      </c>
      <c r="AE21" s="787">
        <f>IF(AD21=0,,VLOOKUP(AD21,リスト!DK:DL,2,0))</f>
        <v>0</v>
      </c>
      <c r="AF21" s="786">
        <f>IF(Z21=0,,
IF(OR(リスト!$C$21="小麦",リスト!$C$21="二条大麦",リスト!$C$21="六条大麦",リスト!$C$21="はだか麦",リスト!$C$21="なたね"),IF(K21&lt;9,調査年-J21,調査年-J21-1),
IF(リスト!$C$21="さとうきび",IF(K21&gt;=4,調査年-J21,調査年-J21+1),
調査年-J21)))</f>
        <v>0</v>
      </c>
      <c r="AG21" s="788">
        <f t="shared" si="6"/>
        <v>0</v>
      </c>
      <c r="AH21" s="788">
        <f t="shared" si="7"/>
        <v>0</v>
      </c>
      <c r="AI21" s="788">
        <f t="shared" si="8"/>
        <v>0</v>
      </c>
      <c r="AJ21" s="788">
        <f t="shared" si="9"/>
        <v>0</v>
      </c>
      <c r="AK21" s="477"/>
      <c r="AL21" s="788">
        <f>IF(OR(R21=0,AH21=""),,
IF(OR(リスト!$C$21="小麦",リスト!$C$21="二条大麦",リスト!$C$21="六条大麦",リスト!$C$21="はだか麦",リスト!$C$21="なたね"),IF(OR(AND(K21&lt;9,J21=調査年),AND(K21&gt;=9,J21=調査年-1)),,ROUND(AH21*R21%,0)),
IF(リスト!$C$21="さとうきび",IF(OR(AND(K21&gt;=4,J21=調査年),AND(K21&lt;4,J21=調査年+1)),,ROUND(AH21*R21%,0)),
IF(J21=調査年,,ROUND(AH21*R21%,0)))))</f>
        <v>0</v>
      </c>
      <c r="AM21" s="788">
        <f t="shared" si="10"/>
        <v>0</v>
      </c>
      <c r="AN21" s="788">
        <f t="shared" si="11"/>
        <v>0</v>
      </c>
      <c r="AO21" s="788">
        <f t="shared" si="12"/>
        <v>0</v>
      </c>
      <c r="AP21" s="788">
        <f>IF(R21=0,,
SUM(
IF(OR(リスト!$C$21="小麦",リスト!$C$21="二条大麦",リスト!$C$21="六条大麦",リスト!$C$21="はだか麦",リスト!$C$21="なたね"),IF(OR(AND(AA21=1,K21&lt;9,J21=調査年),AND(AA21=1,K21&gt;=9,J21=調査年-1)),ROUND(L21*R21%,0),),
IF(リスト!$C$21="さとうきび",IF(OR(AND(AA21=1,K21&gt;=4,J21=調査年),AND(AA21=1,K21&lt;4,J21=調査年+1)),ROUND(L21*R21%,0),),
IF(AND(AA21=1,J21=調査年),ROUND(L21*R21%,0),))),
ROUND(M21*R21%,0)
))</f>
        <v>0</v>
      </c>
      <c r="AQ21" s="788">
        <f t="shared" si="13"/>
        <v>0</v>
      </c>
      <c r="AR21" s="788">
        <f t="shared" si="14"/>
        <v>0</v>
      </c>
      <c r="AS21" s="788">
        <f t="shared" si="18"/>
        <v>0</v>
      </c>
      <c r="AT21" s="788">
        <f t="shared" si="19"/>
        <v>0</v>
      </c>
      <c r="AU21" s="788">
        <f t="shared" si="15"/>
        <v>0</v>
      </c>
      <c r="AV21" s="788">
        <f t="shared" si="16"/>
        <v>0</v>
      </c>
      <c r="AW21" s="841">
        <f t="shared" si="17"/>
        <v>0</v>
      </c>
      <c r="AX21" s="842"/>
      <c r="AY21" s="842"/>
    </row>
    <row r="22" spans="3:51" s="55" customFormat="1" ht="30.75" customHeight="1">
      <c r="C22" s="843">
        <v>5</v>
      </c>
      <c r="D22" s="803"/>
      <c r="E22" s="844"/>
      <c r="F22" s="845"/>
      <c r="G22" s="2281"/>
      <c r="H22" s="2282"/>
      <c r="I22" s="851"/>
      <c r="J22" s="846"/>
      <c r="K22" s="796"/>
      <c r="L22" s="797"/>
      <c r="M22" s="797"/>
      <c r="N22" s="797"/>
      <c r="O22" s="797"/>
      <c r="P22" s="797"/>
      <c r="Q22" s="797"/>
      <c r="R22" s="1284"/>
      <c r="S22" s="798"/>
      <c r="T22" s="847"/>
      <c r="U22" s="848"/>
      <c r="V22" s="837"/>
      <c r="W22" s="849"/>
      <c r="X22" s="850"/>
      <c r="Y22" s="174"/>
      <c r="Z22" s="786">
        <f t="shared" si="2"/>
        <v>0</v>
      </c>
      <c r="AA22" s="786">
        <f t="shared" si="3"/>
        <v>0</v>
      </c>
      <c r="AB22" s="786">
        <f t="shared" si="4"/>
        <v>0</v>
      </c>
      <c r="AC22" s="786">
        <f>IF(Z22=0,,VLOOKUP(Z22,リスト!DC:DD,2,0))</f>
        <v>0</v>
      </c>
      <c r="AD22" s="786">
        <f t="shared" si="5"/>
        <v>0</v>
      </c>
      <c r="AE22" s="787">
        <f>IF(AD22=0,,VLOOKUP(AD22,リスト!DK:DL,2,0))</f>
        <v>0</v>
      </c>
      <c r="AF22" s="786">
        <f>IF(Z22=0,,
IF(OR(リスト!$C$21="小麦",リスト!$C$21="二条大麦",リスト!$C$21="六条大麦",リスト!$C$21="はだか麦",リスト!$C$21="なたね"),IF(K22&lt;9,調査年-J22,調査年-J22-1),
IF(リスト!$C$21="さとうきび",IF(K22&gt;=4,調査年-J22,調査年-J22+1),
調査年-J22)))</f>
        <v>0</v>
      </c>
      <c r="AG22" s="788">
        <f t="shared" si="6"/>
        <v>0</v>
      </c>
      <c r="AH22" s="788">
        <f t="shared" si="7"/>
        <v>0</v>
      </c>
      <c r="AI22" s="788">
        <f t="shared" si="8"/>
        <v>0</v>
      </c>
      <c r="AJ22" s="788">
        <f t="shared" si="9"/>
        <v>0</v>
      </c>
      <c r="AK22" s="477"/>
      <c r="AL22" s="788">
        <f>IF(OR(R22=0,AH22=""),,
IF(OR(リスト!$C$21="小麦",リスト!$C$21="二条大麦",リスト!$C$21="六条大麦",リスト!$C$21="はだか麦",リスト!$C$21="なたね"),IF(OR(AND(K22&lt;9,J22=調査年),AND(K22&gt;=9,J22=調査年-1)),,ROUND(AH22*R22%,0)),
IF(リスト!$C$21="さとうきび",IF(OR(AND(K22&gt;=4,J22=調査年),AND(K22&lt;4,J22=調査年+1)),,ROUND(AH22*R22%,0)),
IF(J22=調査年,,ROUND(AH22*R22%,0)))))</f>
        <v>0</v>
      </c>
      <c r="AM22" s="788">
        <f t="shared" si="10"/>
        <v>0</v>
      </c>
      <c r="AN22" s="788">
        <f t="shared" si="11"/>
        <v>0</v>
      </c>
      <c r="AO22" s="788">
        <f t="shared" si="12"/>
        <v>0</v>
      </c>
      <c r="AP22" s="788">
        <f>IF(R22=0,,
SUM(
IF(OR(リスト!$C$21="小麦",リスト!$C$21="二条大麦",リスト!$C$21="六条大麦",リスト!$C$21="はだか麦",リスト!$C$21="なたね"),IF(OR(AND(AA22=1,K22&lt;9,J22=調査年),AND(AA22=1,K22&gt;=9,J22=調査年-1)),ROUND(L22*R22%,0),),
IF(リスト!$C$21="さとうきび",IF(OR(AND(AA22=1,K22&gt;=4,J22=調査年),AND(AA22=1,K22&lt;4,J22=調査年+1)),ROUND(L22*R22%,0),),
IF(AND(AA22=1,J22=調査年),ROUND(L22*R22%,0),))),
ROUND(M22*R22%,0)
))</f>
        <v>0</v>
      </c>
      <c r="AQ22" s="788">
        <f t="shared" si="13"/>
        <v>0</v>
      </c>
      <c r="AR22" s="788">
        <f t="shared" si="14"/>
        <v>0</v>
      </c>
      <c r="AS22" s="788">
        <f t="shared" si="18"/>
        <v>0</v>
      </c>
      <c r="AT22" s="788">
        <f t="shared" si="19"/>
        <v>0</v>
      </c>
      <c r="AU22" s="788">
        <f t="shared" si="15"/>
        <v>0</v>
      </c>
      <c r="AV22" s="788">
        <f t="shared" si="16"/>
        <v>0</v>
      </c>
      <c r="AW22" s="841">
        <f t="shared" si="17"/>
        <v>0</v>
      </c>
      <c r="AX22" s="842"/>
      <c r="AY22" s="842"/>
    </row>
    <row r="23" spans="3:51" s="55" customFormat="1" ht="30.75" customHeight="1">
      <c r="C23" s="843">
        <v>6</v>
      </c>
      <c r="D23" s="803"/>
      <c r="E23" s="844"/>
      <c r="F23" s="845"/>
      <c r="G23" s="2281"/>
      <c r="H23" s="2282"/>
      <c r="I23" s="851"/>
      <c r="J23" s="846"/>
      <c r="K23" s="796"/>
      <c r="L23" s="797"/>
      <c r="M23" s="797"/>
      <c r="N23" s="797"/>
      <c r="O23" s="797"/>
      <c r="P23" s="797"/>
      <c r="Q23" s="797"/>
      <c r="R23" s="1284"/>
      <c r="S23" s="798"/>
      <c r="T23" s="847"/>
      <c r="U23" s="848"/>
      <c r="V23" s="837"/>
      <c r="W23" s="849"/>
      <c r="X23" s="850"/>
      <c r="Y23" s="752"/>
      <c r="Z23" s="786">
        <f t="shared" si="2"/>
        <v>0</v>
      </c>
      <c r="AA23" s="786">
        <f t="shared" si="3"/>
        <v>0</v>
      </c>
      <c r="AB23" s="786">
        <f t="shared" si="4"/>
        <v>0</v>
      </c>
      <c r="AC23" s="786">
        <f>IF(Z23=0,,VLOOKUP(Z23,リスト!DC:DD,2,0))</f>
        <v>0</v>
      </c>
      <c r="AD23" s="786">
        <f t="shared" si="5"/>
        <v>0</v>
      </c>
      <c r="AE23" s="787">
        <f>IF(AD23=0,,VLOOKUP(AD23,リスト!DK:DL,2,0))</f>
        <v>0</v>
      </c>
      <c r="AF23" s="786">
        <f>IF(Z23=0,,
IF(OR(リスト!$C$21="小麦",リスト!$C$21="二条大麦",リスト!$C$21="六条大麦",リスト!$C$21="はだか麦",リスト!$C$21="なたね"),IF(K23&lt;9,調査年-J23,調査年-J23-1),
IF(リスト!$C$21="さとうきび",IF(K23&gt;=4,調査年-J23,調査年-J23+1),
調査年-J23)))</f>
        <v>0</v>
      </c>
      <c r="AG23" s="788">
        <f t="shared" si="6"/>
        <v>0</v>
      </c>
      <c r="AH23" s="788">
        <f t="shared" si="7"/>
        <v>0</v>
      </c>
      <c r="AI23" s="788">
        <f t="shared" si="8"/>
        <v>0</v>
      </c>
      <c r="AJ23" s="788">
        <f t="shared" si="9"/>
        <v>0</v>
      </c>
      <c r="AK23" s="477"/>
      <c r="AL23" s="788">
        <f>IF(OR(R23=0,AH23=""),,
IF(OR(リスト!$C$21="小麦",リスト!$C$21="二条大麦",リスト!$C$21="六条大麦",リスト!$C$21="はだか麦",リスト!$C$21="なたね"),IF(OR(AND(K23&lt;9,J23=調査年),AND(K23&gt;=9,J23=調査年-1)),,ROUND(AH23*R23%,0)),
IF(リスト!$C$21="さとうきび",IF(OR(AND(K23&gt;=4,J23=調査年),AND(K23&lt;4,J23=調査年+1)),,ROUND(AH23*R23%,0)),
IF(J23=調査年,,ROUND(AH23*R23%,0)))))</f>
        <v>0</v>
      </c>
      <c r="AM23" s="788">
        <f t="shared" si="10"/>
        <v>0</v>
      </c>
      <c r="AN23" s="788">
        <f t="shared" si="11"/>
        <v>0</v>
      </c>
      <c r="AO23" s="788">
        <f t="shared" si="12"/>
        <v>0</v>
      </c>
      <c r="AP23" s="788">
        <f>IF(R23=0,,
SUM(
IF(OR(リスト!$C$21="小麦",リスト!$C$21="二条大麦",リスト!$C$21="六条大麦",リスト!$C$21="はだか麦",リスト!$C$21="なたね"),IF(OR(AND(AA23=1,K23&lt;9,J23=調査年),AND(AA23=1,K23&gt;=9,J23=調査年-1)),ROUND(L23*R23%,0),),
IF(リスト!$C$21="さとうきび",IF(OR(AND(AA23=1,K23&gt;=4,J23=調査年),AND(AA23=1,K23&lt;4,J23=調査年+1)),ROUND(L23*R23%,0),),
IF(AND(AA23=1,J23=調査年),ROUND(L23*R23%,0),))),
ROUND(M23*R23%,0)
))</f>
        <v>0</v>
      </c>
      <c r="AQ23" s="788">
        <f t="shared" si="13"/>
        <v>0</v>
      </c>
      <c r="AR23" s="788">
        <f t="shared" si="14"/>
        <v>0</v>
      </c>
      <c r="AS23" s="788">
        <f t="shared" si="18"/>
        <v>0</v>
      </c>
      <c r="AT23" s="788">
        <f t="shared" si="19"/>
        <v>0</v>
      </c>
      <c r="AU23" s="788">
        <f t="shared" si="15"/>
        <v>0</v>
      </c>
      <c r="AV23" s="788">
        <f t="shared" si="16"/>
        <v>0</v>
      </c>
      <c r="AW23" s="841">
        <f t="shared" si="17"/>
        <v>0</v>
      </c>
      <c r="AX23" s="842"/>
      <c r="AY23" s="842"/>
    </row>
    <row r="24" spans="3:51" s="55" customFormat="1" ht="30.75" customHeight="1">
      <c r="C24" s="843">
        <v>7</v>
      </c>
      <c r="D24" s="803"/>
      <c r="E24" s="844"/>
      <c r="F24" s="845"/>
      <c r="G24" s="2281"/>
      <c r="H24" s="2282"/>
      <c r="I24" s="851"/>
      <c r="J24" s="846"/>
      <c r="K24" s="796"/>
      <c r="L24" s="797"/>
      <c r="M24" s="797"/>
      <c r="N24" s="797"/>
      <c r="O24" s="797"/>
      <c r="P24" s="797"/>
      <c r="Q24" s="797"/>
      <c r="R24" s="1284"/>
      <c r="S24" s="798"/>
      <c r="T24" s="847"/>
      <c r="U24" s="848"/>
      <c r="V24" s="837"/>
      <c r="W24" s="849"/>
      <c r="X24" s="850"/>
      <c r="Y24" s="752"/>
      <c r="Z24" s="786">
        <f t="shared" si="2"/>
        <v>0</v>
      </c>
      <c r="AA24" s="786">
        <f t="shared" si="3"/>
        <v>0</v>
      </c>
      <c r="AB24" s="786">
        <f t="shared" si="4"/>
        <v>0</v>
      </c>
      <c r="AC24" s="786">
        <f>IF(Z24=0,,VLOOKUP(Z24,リスト!DC:DD,2,0))</f>
        <v>0</v>
      </c>
      <c r="AD24" s="786">
        <f t="shared" si="5"/>
        <v>0</v>
      </c>
      <c r="AE24" s="787">
        <f>IF(AD24=0,,VLOOKUP(AD24,リスト!DK:DL,2,0))</f>
        <v>0</v>
      </c>
      <c r="AF24" s="786">
        <f>IF(Z24=0,,
IF(OR(リスト!$C$21="小麦",リスト!$C$21="二条大麦",リスト!$C$21="六条大麦",リスト!$C$21="はだか麦",リスト!$C$21="なたね"),IF(K24&lt;9,調査年-J24,調査年-J24-1),
IF(リスト!$C$21="さとうきび",IF(K24&gt;=4,調査年-J24,調査年-J24+1),
調査年-J24)))</f>
        <v>0</v>
      </c>
      <c r="AG24" s="788">
        <f t="shared" si="6"/>
        <v>0</v>
      </c>
      <c r="AH24" s="788">
        <f t="shared" si="7"/>
        <v>0</v>
      </c>
      <c r="AI24" s="788">
        <f t="shared" si="8"/>
        <v>0</v>
      </c>
      <c r="AJ24" s="788">
        <f t="shared" si="9"/>
        <v>0</v>
      </c>
      <c r="AK24" s="477"/>
      <c r="AL24" s="788">
        <f>IF(OR(R24=0,AH24=""),,
IF(OR(リスト!$C$21="小麦",リスト!$C$21="二条大麦",リスト!$C$21="六条大麦",リスト!$C$21="はだか麦",リスト!$C$21="なたね"),IF(OR(AND(K24&lt;9,J24=調査年),AND(K24&gt;=9,J24=調査年-1)),,ROUND(AH24*R24%,0)),
IF(リスト!$C$21="さとうきび",IF(OR(AND(K24&gt;=4,J24=調査年),AND(K24&lt;4,J24=調査年+1)),,ROUND(AH24*R24%,0)),
IF(J24=調査年,,ROUND(AH24*R24%,0)))))</f>
        <v>0</v>
      </c>
      <c r="AM24" s="788">
        <f t="shared" si="10"/>
        <v>0</v>
      </c>
      <c r="AN24" s="788">
        <f t="shared" si="11"/>
        <v>0</v>
      </c>
      <c r="AO24" s="788">
        <f t="shared" si="12"/>
        <v>0</v>
      </c>
      <c r="AP24" s="788">
        <f>IF(R24=0,,
SUM(
IF(OR(リスト!$C$21="小麦",リスト!$C$21="二条大麦",リスト!$C$21="六条大麦",リスト!$C$21="はだか麦",リスト!$C$21="なたね"),IF(OR(AND(AA24=1,K24&lt;9,J24=調査年),AND(AA24=1,K24&gt;=9,J24=調査年-1)),ROUND(L24*R24%,0),),
IF(リスト!$C$21="さとうきび",IF(OR(AND(AA24=1,K24&gt;=4,J24=調査年),AND(AA24=1,K24&lt;4,J24=調査年+1)),ROUND(L24*R24%,0),),
IF(AND(AA24=1,J24=調査年),ROUND(L24*R24%,0),))),
ROUND(M24*R24%,0)
))</f>
        <v>0</v>
      </c>
      <c r="AQ24" s="788">
        <f t="shared" si="13"/>
        <v>0</v>
      </c>
      <c r="AR24" s="788">
        <f t="shared" si="14"/>
        <v>0</v>
      </c>
      <c r="AS24" s="788">
        <f t="shared" si="18"/>
        <v>0</v>
      </c>
      <c r="AT24" s="788">
        <f t="shared" si="19"/>
        <v>0</v>
      </c>
      <c r="AU24" s="788">
        <f t="shared" si="15"/>
        <v>0</v>
      </c>
      <c r="AV24" s="788">
        <f t="shared" si="16"/>
        <v>0</v>
      </c>
      <c r="AW24" s="841">
        <f t="shared" si="17"/>
        <v>0</v>
      </c>
      <c r="AX24" s="842"/>
      <c r="AY24" s="842"/>
    </row>
    <row r="25" spans="3:51" s="55" customFormat="1" ht="30.75" customHeight="1">
      <c r="C25" s="843">
        <v>8</v>
      </c>
      <c r="D25" s="803"/>
      <c r="E25" s="844"/>
      <c r="F25" s="845"/>
      <c r="G25" s="2281"/>
      <c r="H25" s="2282"/>
      <c r="I25" s="851"/>
      <c r="J25" s="846"/>
      <c r="K25" s="796"/>
      <c r="L25" s="797"/>
      <c r="M25" s="797"/>
      <c r="N25" s="797"/>
      <c r="O25" s="797"/>
      <c r="P25" s="797"/>
      <c r="Q25" s="797"/>
      <c r="R25" s="1284"/>
      <c r="S25" s="798"/>
      <c r="T25" s="847"/>
      <c r="U25" s="848"/>
      <c r="V25" s="837"/>
      <c r="W25" s="849"/>
      <c r="X25" s="850"/>
      <c r="Y25" s="247"/>
      <c r="Z25" s="786">
        <f t="shared" si="2"/>
        <v>0</v>
      </c>
      <c r="AA25" s="786">
        <f t="shared" si="3"/>
        <v>0</v>
      </c>
      <c r="AB25" s="786">
        <f t="shared" si="4"/>
        <v>0</v>
      </c>
      <c r="AC25" s="786">
        <f>IF(Z25=0,,VLOOKUP(Z25,リスト!DC:DD,2,0))</f>
        <v>0</v>
      </c>
      <c r="AD25" s="786">
        <f t="shared" si="5"/>
        <v>0</v>
      </c>
      <c r="AE25" s="787">
        <f>IF(AD25=0,,VLOOKUP(AD25,リスト!DK:DL,2,0))</f>
        <v>0</v>
      </c>
      <c r="AF25" s="786">
        <f>IF(Z25=0,,
IF(OR(リスト!$C$21="小麦",リスト!$C$21="二条大麦",リスト!$C$21="六条大麦",リスト!$C$21="はだか麦",リスト!$C$21="なたね"),IF(K25&lt;9,調査年-J25,調査年-J25-1),
IF(リスト!$C$21="さとうきび",IF(K25&gt;=4,調査年-J25,調査年-J25+1),
調査年-J25)))</f>
        <v>0</v>
      </c>
      <c r="AG25" s="788">
        <f t="shared" si="6"/>
        <v>0</v>
      </c>
      <c r="AH25" s="788">
        <f t="shared" si="7"/>
        <v>0</v>
      </c>
      <c r="AI25" s="788">
        <f t="shared" si="8"/>
        <v>0</v>
      </c>
      <c r="AJ25" s="788">
        <f t="shared" si="9"/>
        <v>0</v>
      </c>
      <c r="AK25" s="477"/>
      <c r="AL25" s="788">
        <f>IF(OR(R25=0,AH25=""),,
IF(OR(リスト!$C$21="小麦",リスト!$C$21="二条大麦",リスト!$C$21="六条大麦",リスト!$C$21="はだか麦",リスト!$C$21="なたね"),IF(OR(AND(K25&lt;9,J25=調査年),AND(K25&gt;=9,J25=調査年-1)),,ROUND(AH25*R25%,0)),
IF(リスト!$C$21="さとうきび",IF(OR(AND(K25&gt;=4,J25=調査年),AND(K25&lt;4,J25=調査年+1)),,ROUND(AH25*R25%,0)),
IF(J25=調査年,,ROUND(AH25*R25%,0)))))</f>
        <v>0</v>
      </c>
      <c r="AM25" s="788">
        <f t="shared" si="10"/>
        <v>0</v>
      </c>
      <c r="AN25" s="788">
        <f t="shared" si="11"/>
        <v>0</v>
      </c>
      <c r="AO25" s="788">
        <f t="shared" si="12"/>
        <v>0</v>
      </c>
      <c r="AP25" s="788">
        <f>IF(R25=0,,
SUM(
IF(OR(リスト!$C$21="小麦",リスト!$C$21="二条大麦",リスト!$C$21="六条大麦",リスト!$C$21="はだか麦",リスト!$C$21="なたね"),IF(OR(AND(AA25=1,K25&lt;9,J25=調査年),AND(AA25=1,K25&gt;=9,J25=調査年-1)),ROUND(L25*R25%,0),),
IF(リスト!$C$21="さとうきび",IF(OR(AND(AA25=1,K25&gt;=4,J25=調査年),AND(AA25=1,K25&lt;4,J25=調査年+1)),ROUND(L25*R25%,0),),
IF(AND(AA25=1,J25=調査年),ROUND(L25*R25%,0),))),
ROUND(M25*R25%,0)
))</f>
        <v>0</v>
      </c>
      <c r="AQ25" s="788">
        <f t="shared" si="13"/>
        <v>0</v>
      </c>
      <c r="AR25" s="788">
        <f t="shared" si="14"/>
        <v>0</v>
      </c>
      <c r="AS25" s="788">
        <f t="shared" ref="AS25:AS88" si="20">IF(O25&gt;0,IF(AND(F25&lt;&gt;"[1]軽自動車",F25&lt;&gt;"[3]自動二輪・三輪"),ROUND(O25*R25%,),),)</f>
        <v>0</v>
      </c>
      <c r="AT25" s="788">
        <f t="shared" ref="AT25:AT88" si="21">IF(O25&gt;0,IF(OR(F25="[1]軽自動車",F25="[3]自動二輪・三輪"),ROUND(O25*R25%,),),)</f>
        <v>0</v>
      </c>
      <c r="AU25" s="788">
        <f t="shared" si="15"/>
        <v>0</v>
      </c>
      <c r="AV25" s="788">
        <f t="shared" si="16"/>
        <v>0</v>
      </c>
      <c r="AW25" s="841">
        <f t="shared" si="17"/>
        <v>0</v>
      </c>
      <c r="AX25" s="842"/>
      <c r="AY25" s="842"/>
    </row>
    <row r="26" spans="3:51" s="55" customFormat="1" ht="30.75" customHeight="1">
      <c r="C26" s="843">
        <v>9</v>
      </c>
      <c r="D26" s="803"/>
      <c r="E26" s="844"/>
      <c r="F26" s="845"/>
      <c r="G26" s="2281"/>
      <c r="H26" s="2282"/>
      <c r="I26" s="851"/>
      <c r="J26" s="846"/>
      <c r="K26" s="796"/>
      <c r="L26" s="797"/>
      <c r="M26" s="797"/>
      <c r="N26" s="797"/>
      <c r="O26" s="797"/>
      <c r="P26" s="797"/>
      <c r="Q26" s="797"/>
      <c r="R26" s="1284"/>
      <c r="S26" s="798"/>
      <c r="T26" s="847"/>
      <c r="U26" s="848"/>
      <c r="V26" s="837"/>
      <c r="W26" s="849"/>
      <c r="X26" s="850"/>
      <c r="Y26" s="247"/>
      <c r="Z26" s="786">
        <f t="shared" si="2"/>
        <v>0</v>
      </c>
      <c r="AA26" s="786">
        <f t="shared" si="3"/>
        <v>0</v>
      </c>
      <c r="AB26" s="786">
        <f t="shared" si="4"/>
        <v>0</v>
      </c>
      <c r="AC26" s="786">
        <f>IF(Z26=0,,VLOOKUP(Z26,リスト!DC:DD,2,0))</f>
        <v>0</v>
      </c>
      <c r="AD26" s="786">
        <f t="shared" si="5"/>
        <v>0</v>
      </c>
      <c r="AE26" s="787">
        <f>IF(AD26=0,,VLOOKUP(AD26,リスト!DK:DL,2,0))</f>
        <v>0</v>
      </c>
      <c r="AF26" s="786">
        <f>IF(Z26=0,,
IF(OR(リスト!$C$21="小麦",リスト!$C$21="二条大麦",リスト!$C$21="六条大麦",リスト!$C$21="はだか麦",リスト!$C$21="なたね"),IF(K26&lt;9,調査年-J26,調査年-J26-1),
IF(リスト!$C$21="さとうきび",IF(K26&gt;=4,調査年-J26,調査年-J26+1),
調査年-J26)))</f>
        <v>0</v>
      </c>
      <c r="AG26" s="788">
        <f t="shared" si="6"/>
        <v>0</v>
      </c>
      <c r="AH26" s="788">
        <f t="shared" si="7"/>
        <v>0</v>
      </c>
      <c r="AI26" s="788">
        <f t="shared" si="8"/>
        <v>0</v>
      </c>
      <c r="AJ26" s="788">
        <f t="shared" si="9"/>
        <v>0</v>
      </c>
      <c r="AK26" s="477"/>
      <c r="AL26" s="788">
        <f>IF(OR(R26=0,AH26=""),,
IF(OR(リスト!$C$21="小麦",リスト!$C$21="二条大麦",リスト!$C$21="六条大麦",リスト!$C$21="はだか麦",リスト!$C$21="なたね"),IF(OR(AND(K26&lt;9,J26=調査年),AND(K26&gt;=9,J26=調査年-1)),,ROUND(AH26*R26%,0)),
IF(リスト!$C$21="さとうきび",IF(OR(AND(K26&gt;=4,J26=調査年),AND(K26&lt;4,J26=調査年+1)),,ROUND(AH26*R26%,0)),
IF(J26=調査年,,ROUND(AH26*R26%,0)))))</f>
        <v>0</v>
      </c>
      <c r="AM26" s="788">
        <f t="shared" si="10"/>
        <v>0</v>
      </c>
      <c r="AN26" s="788">
        <f t="shared" si="11"/>
        <v>0</v>
      </c>
      <c r="AO26" s="788">
        <f t="shared" si="12"/>
        <v>0</v>
      </c>
      <c r="AP26" s="788">
        <f>IF(R26=0,,
SUM(
IF(OR(リスト!$C$21="小麦",リスト!$C$21="二条大麦",リスト!$C$21="六条大麦",リスト!$C$21="はだか麦",リスト!$C$21="なたね"),IF(OR(AND(AA26=1,K26&lt;9,J26=調査年),AND(AA26=1,K26&gt;=9,J26=調査年-1)),ROUND(L26*R26%,0),),
IF(リスト!$C$21="さとうきび",IF(OR(AND(AA26=1,K26&gt;=4,J26=調査年),AND(AA26=1,K26&lt;4,J26=調査年+1)),ROUND(L26*R26%,0),),
IF(AND(AA26=1,J26=調査年),ROUND(L26*R26%,0),))),
ROUND(M26*R26%,0)
))</f>
        <v>0</v>
      </c>
      <c r="AQ26" s="788">
        <f t="shared" si="13"/>
        <v>0</v>
      </c>
      <c r="AR26" s="788">
        <f t="shared" si="14"/>
        <v>0</v>
      </c>
      <c r="AS26" s="788">
        <f t="shared" si="20"/>
        <v>0</v>
      </c>
      <c r="AT26" s="788">
        <f t="shared" si="21"/>
        <v>0</v>
      </c>
      <c r="AU26" s="788">
        <f t="shared" si="15"/>
        <v>0</v>
      </c>
      <c r="AV26" s="788">
        <f t="shared" si="16"/>
        <v>0</v>
      </c>
      <c r="AW26" s="841">
        <f t="shared" si="17"/>
        <v>0</v>
      </c>
      <c r="AX26" s="842"/>
      <c r="AY26" s="842"/>
    </row>
    <row r="27" spans="3:51" s="55" customFormat="1" ht="30.75" customHeight="1">
      <c r="C27" s="843">
        <v>10</v>
      </c>
      <c r="D27" s="803"/>
      <c r="E27" s="844"/>
      <c r="F27" s="845"/>
      <c r="G27" s="2281"/>
      <c r="H27" s="2282"/>
      <c r="I27" s="851"/>
      <c r="J27" s="846"/>
      <c r="K27" s="796"/>
      <c r="L27" s="797"/>
      <c r="M27" s="797"/>
      <c r="N27" s="797"/>
      <c r="O27" s="797"/>
      <c r="P27" s="797"/>
      <c r="Q27" s="797"/>
      <c r="R27" s="1284"/>
      <c r="S27" s="798"/>
      <c r="T27" s="847"/>
      <c r="U27" s="848"/>
      <c r="V27" s="837"/>
      <c r="W27" s="849"/>
      <c r="X27" s="850"/>
      <c r="Y27" s="247"/>
      <c r="Z27" s="786">
        <f t="shared" si="2"/>
        <v>0</v>
      </c>
      <c r="AA27" s="786">
        <f t="shared" si="3"/>
        <v>0</v>
      </c>
      <c r="AB27" s="786">
        <f t="shared" si="4"/>
        <v>0</v>
      </c>
      <c r="AC27" s="786">
        <f>IF(Z27=0,,VLOOKUP(Z27,リスト!DC:DD,2,0))</f>
        <v>0</v>
      </c>
      <c r="AD27" s="786">
        <f t="shared" si="5"/>
        <v>0</v>
      </c>
      <c r="AE27" s="787">
        <f>IF(AD27=0,,VLOOKUP(AD27,リスト!DK:DL,2,0))</f>
        <v>0</v>
      </c>
      <c r="AF27" s="786">
        <f>IF(Z27=0,,
IF(OR(リスト!$C$21="小麦",リスト!$C$21="二条大麦",リスト!$C$21="六条大麦",リスト!$C$21="はだか麦",リスト!$C$21="なたね"),IF(K27&lt;9,調査年-J27,調査年-J27-1),
IF(リスト!$C$21="さとうきび",IF(K27&gt;=4,調査年-J27,調査年-J27+1),
調査年-J27)))</f>
        <v>0</v>
      </c>
      <c r="AG27" s="788">
        <f t="shared" si="6"/>
        <v>0</v>
      </c>
      <c r="AH27" s="788">
        <f t="shared" si="7"/>
        <v>0</v>
      </c>
      <c r="AI27" s="788">
        <f t="shared" si="8"/>
        <v>0</v>
      </c>
      <c r="AJ27" s="788">
        <f t="shared" si="9"/>
        <v>0</v>
      </c>
      <c r="AK27" s="477"/>
      <c r="AL27" s="788">
        <f>IF(OR(R27=0,AH27=""),,
IF(OR(リスト!$C$21="小麦",リスト!$C$21="二条大麦",リスト!$C$21="六条大麦",リスト!$C$21="はだか麦",リスト!$C$21="なたね"),IF(OR(AND(K27&lt;9,J27=調査年),AND(K27&gt;=9,J27=調査年-1)),,ROUND(AH27*R27%,0)),
IF(リスト!$C$21="さとうきび",IF(OR(AND(K27&gt;=4,J27=調査年),AND(K27&lt;4,J27=調査年+1)),,ROUND(AH27*R27%,0)),
IF(J27=調査年,,ROUND(AH27*R27%,0)))))</f>
        <v>0</v>
      </c>
      <c r="AM27" s="788">
        <f t="shared" si="10"/>
        <v>0</v>
      </c>
      <c r="AN27" s="788">
        <f t="shared" si="11"/>
        <v>0</v>
      </c>
      <c r="AO27" s="788">
        <f t="shared" si="12"/>
        <v>0</v>
      </c>
      <c r="AP27" s="788">
        <f>IF(R27=0,,
SUM(
IF(OR(リスト!$C$21="小麦",リスト!$C$21="二条大麦",リスト!$C$21="六条大麦",リスト!$C$21="はだか麦",リスト!$C$21="なたね"),IF(OR(AND(AA27=1,K27&lt;9,J27=調査年),AND(AA27=1,K27&gt;=9,J27=調査年-1)),ROUND(L27*R27%,0),),
IF(リスト!$C$21="さとうきび",IF(OR(AND(AA27=1,K27&gt;=4,J27=調査年),AND(AA27=1,K27&lt;4,J27=調査年+1)),ROUND(L27*R27%,0),),
IF(AND(AA27=1,J27=調査年),ROUND(L27*R27%,0),))),
ROUND(M27*R27%,0)
))</f>
        <v>0</v>
      </c>
      <c r="AQ27" s="788">
        <f t="shared" si="13"/>
        <v>0</v>
      </c>
      <c r="AR27" s="788">
        <f t="shared" si="14"/>
        <v>0</v>
      </c>
      <c r="AS27" s="788">
        <f t="shared" si="20"/>
        <v>0</v>
      </c>
      <c r="AT27" s="788">
        <f t="shared" si="21"/>
        <v>0</v>
      </c>
      <c r="AU27" s="788">
        <f t="shared" si="15"/>
        <v>0</v>
      </c>
      <c r="AV27" s="788">
        <f t="shared" si="16"/>
        <v>0</v>
      </c>
      <c r="AW27" s="841">
        <f t="shared" si="17"/>
        <v>0</v>
      </c>
      <c r="AX27" s="842"/>
      <c r="AY27" s="842"/>
    </row>
    <row r="28" spans="3:51" s="55" customFormat="1" ht="30.75" customHeight="1">
      <c r="C28" s="843">
        <v>11</v>
      </c>
      <c r="D28" s="803"/>
      <c r="E28" s="844"/>
      <c r="F28" s="845"/>
      <c r="G28" s="2281"/>
      <c r="H28" s="2282"/>
      <c r="I28" s="851"/>
      <c r="J28" s="846"/>
      <c r="K28" s="796"/>
      <c r="L28" s="797"/>
      <c r="M28" s="797"/>
      <c r="N28" s="797"/>
      <c r="O28" s="797"/>
      <c r="P28" s="797"/>
      <c r="Q28" s="797"/>
      <c r="R28" s="1284"/>
      <c r="S28" s="798"/>
      <c r="T28" s="847"/>
      <c r="U28" s="848"/>
      <c r="V28" s="837"/>
      <c r="W28" s="849"/>
      <c r="X28" s="850"/>
      <c r="Y28" s="247"/>
      <c r="Z28" s="786">
        <f t="shared" si="2"/>
        <v>0</v>
      </c>
      <c r="AA28" s="786">
        <f t="shared" si="3"/>
        <v>0</v>
      </c>
      <c r="AB28" s="786">
        <f t="shared" si="4"/>
        <v>0</v>
      </c>
      <c r="AC28" s="786">
        <f>IF(Z28=0,,VLOOKUP(Z28,リスト!DC:DD,2,0))</f>
        <v>0</v>
      </c>
      <c r="AD28" s="786">
        <f t="shared" si="5"/>
        <v>0</v>
      </c>
      <c r="AE28" s="787">
        <f>IF(AD28=0,,VLOOKUP(AD28,リスト!DK:DL,2,0))</f>
        <v>0</v>
      </c>
      <c r="AF28" s="786">
        <f>IF(Z28=0,,
IF(OR(リスト!$C$21="小麦",リスト!$C$21="二条大麦",リスト!$C$21="六条大麦",リスト!$C$21="はだか麦",リスト!$C$21="なたね"),IF(K28&lt;9,調査年-J28,調査年-J28-1),
IF(リスト!$C$21="さとうきび",IF(K28&gt;=4,調査年-J28,調査年-J28+1),
調査年-J28)))</f>
        <v>0</v>
      </c>
      <c r="AG28" s="788">
        <f t="shared" si="6"/>
        <v>0</v>
      </c>
      <c r="AH28" s="788">
        <f t="shared" si="7"/>
        <v>0</v>
      </c>
      <c r="AI28" s="788">
        <f t="shared" si="8"/>
        <v>0</v>
      </c>
      <c r="AJ28" s="788">
        <f t="shared" si="9"/>
        <v>0</v>
      </c>
      <c r="AK28" s="477"/>
      <c r="AL28" s="788">
        <f>IF(OR(R28=0,AH28=""),,
IF(OR(リスト!$C$21="小麦",リスト!$C$21="二条大麦",リスト!$C$21="六条大麦",リスト!$C$21="はだか麦",リスト!$C$21="なたね"),IF(OR(AND(K28&lt;9,J28=調査年),AND(K28&gt;=9,J28=調査年-1)),,ROUND(AH28*R28%,0)),
IF(リスト!$C$21="さとうきび",IF(OR(AND(K28&gt;=4,J28=調査年),AND(K28&lt;4,J28=調査年+1)),,ROUND(AH28*R28%,0)),
IF(J28=調査年,,ROUND(AH28*R28%,0)))))</f>
        <v>0</v>
      </c>
      <c r="AM28" s="788">
        <f t="shared" si="10"/>
        <v>0</v>
      </c>
      <c r="AN28" s="788">
        <f t="shared" si="11"/>
        <v>0</v>
      </c>
      <c r="AO28" s="788">
        <f t="shared" si="12"/>
        <v>0</v>
      </c>
      <c r="AP28" s="788">
        <f>IF(R28=0,,
SUM(
IF(OR(リスト!$C$21="小麦",リスト!$C$21="二条大麦",リスト!$C$21="六条大麦",リスト!$C$21="はだか麦",リスト!$C$21="なたね"),IF(OR(AND(AA28=1,K28&lt;9,J28=調査年),AND(AA28=1,K28&gt;=9,J28=調査年-1)),ROUND(L28*R28%,0),),
IF(リスト!$C$21="さとうきび",IF(OR(AND(AA28=1,K28&gt;=4,J28=調査年),AND(AA28=1,K28&lt;4,J28=調査年+1)),ROUND(L28*R28%,0),),
IF(AND(AA28=1,J28=調査年),ROUND(L28*R28%,0),))),
ROUND(M28*R28%,0)
))</f>
        <v>0</v>
      </c>
      <c r="AQ28" s="788">
        <f t="shared" si="13"/>
        <v>0</v>
      </c>
      <c r="AR28" s="788">
        <f t="shared" si="14"/>
        <v>0</v>
      </c>
      <c r="AS28" s="788">
        <f t="shared" si="20"/>
        <v>0</v>
      </c>
      <c r="AT28" s="788">
        <f t="shared" si="21"/>
        <v>0</v>
      </c>
      <c r="AU28" s="788">
        <f t="shared" si="15"/>
        <v>0</v>
      </c>
      <c r="AV28" s="788">
        <f t="shared" si="16"/>
        <v>0</v>
      </c>
      <c r="AW28" s="841">
        <f t="shared" si="17"/>
        <v>0</v>
      </c>
      <c r="AX28" s="842"/>
      <c r="AY28" s="842"/>
    </row>
    <row r="29" spans="3:51" s="55" customFormat="1" ht="30.75" customHeight="1">
      <c r="C29" s="843">
        <v>12</v>
      </c>
      <c r="D29" s="803"/>
      <c r="E29" s="844"/>
      <c r="F29" s="845"/>
      <c r="G29" s="2281"/>
      <c r="H29" s="2282"/>
      <c r="I29" s="851"/>
      <c r="J29" s="846"/>
      <c r="K29" s="796"/>
      <c r="L29" s="797"/>
      <c r="M29" s="797"/>
      <c r="N29" s="797"/>
      <c r="O29" s="797"/>
      <c r="P29" s="797"/>
      <c r="Q29" s="797"/>
      <c r="R29" s="1284"/>
      <c r="S29" s="798"/>
      <c r="T29" s="847"/>
      <c r="U29" s="848"/>
      <c r="V29" s="837"/>
      <c r="W29" s="849"/>
      <c r="X29" s="850"/>
      <c r="Y29" s="247"/>
      <c r="Z29" s="786">
        <f t="shared" si="2"/>
        <v>0</v>
      </c>
      <c r="AA29" s="786">
        <f t="shared" si="3"/>
        <v>0</v>
      </c>
      <c r="AB29" s="786">
        <f t="shared" si="4"/>
        <v>0</v>
      </c>
      <c r="AC29" s="786">
        <f>IF(Z29=0,,VLOOKUP(Z29,リスト!DC:DD,2,0))</f>
        <v>0</v>
      </c>
      <c r="AD29" s="786">
        <f t="shared" si="5"/>
        <v>0</v>
      </c>
      <c r="AE29" s="787">
        <f>IF(AD29=0,,VLOOKUP(AD29,リスト!DK:DL,2,0))</f>
        <v>0</v>
      </c>
      <c r="AF29" s="786">
        <f>IF(Z29=0,,
IF(OR(リスト!$C$21="小麦",リスト!$C$21="二条大麦",リスト!$C$21="六条大麦",リスト!$C$21="はだか麦",リスト!$C$21="なたね"),IF(K29&lt;9,調査年-J29,調査年-J29-1),
IF(リスト!$C$21="さとうきび",IF(K29&gt;=4,調査年-J29,調査年-J29+1),
調査年-J29)))</f>
        <v>0</v>
      </c>
      <c r="AG29" s="788">
        <f t="shared" si="6"/>
        <v>0</v>
      </c>
      <c r="AH29" s="788">
        <f t="shared" si="7"/>
        <v>0</v>
      </c>
      <c r="AI29" s="788">
        <f t="shared" si="8"/>
        <v>0</v>
      </c>
      <c r="AJ29" s="788">
        <f t="shared" si="9"/>
        <v>0</v>
      </c>
      <c r="AK29" s="477"/>
      <c r="AL29" s="788">
        <f>IF(OR(R29=0,AH29=""),,
IF(OR(リスト!$C$21="小麦",リスト!$C$21="二条大麦",リスト!$C$21="六条大麦",リスト!$C$21="はだか麦",リスト!$C$21="なたね"),IF(OR(AND(K29&lt;9,J29=調査年),AND(K29&gt;=9,J29=調査年-1)),,ROUND(AH29*R29%,0)),
IF(リスト!$C$21="さとうきび",IF(OR(AND(K29&gt;=4,J29=調査年),AND(K29&lt;4,J29=調査年+1)),,ROUND(AH29*R29%,0)),
IF(J29=調査年,,ROUND(AH29*R29%,0)))))</f>
        <v>0</v>
      </c>
      <c r="AM29" s="788">
        <f t="shared" si="10"/>
        <v>0</v>
      </c>
      <c r="AN29" s="788">
        <f t="shared" si="11"/>
        <v>0</v>
      </c>
      <c r="AO29" s="788">
        <f t="shared" si="12"/>
        <v>0</v>
      </c>
      <c r="AP29" s="788">
        <f>IF(R29=0,,
SUM(
IF(OR(リスト!$C$21="小麦",リスト!$C$21="二条大麦",リスト!$C$21="六条大麦",リスト!$C$21="はだか麦",リスト!$C$21="なたね"),IF(OR(AND(AA29=1,K29&lt;9,J29=調査年),AND(AA29=1,K29&gt;=9,J29=調査年-1)),ROUND(L29*R29%,0),),
IF(リスト!$C$21="さとうきび",IF(OR(AND(AA29=1,K29&gt;=4,J29=調査年),AND(AA29=1,K29&lt;4,J29=調査年+1)),ROUND(L29*R29%,0),),
IF(AND(AA29=1,J29=調査年),ROUND(L29*R29%,0),))),
ROUND(M29*R29%,0)
))</f>
        <v>0</v>
      </c>
      <c r="AQ29" s="788">
        <f t="shared" si="13"/>
        <v>0</v>
      </c>
      <c r="AR29" s="788">
        <f t="shared" si="14"/>
        <v>0</v>
      </c>
      <c r="AS29" s="788">
        <f t="shared" si="20"/>
        <v>0</v>
      </c>
      <c r="AT29" s="788">
        <f t="shared" si="21"/>
        <v>0</v>
      </c>
      <c r="AU29" s="788">
        <f t="shared" si="15"/>
        <v>0</v>
      </c>
      <c r="AV29" s="788">
        <f t="shared" si="16"/>
        <v>0</v>
      </c>
      <c r="AW29" s="841">
        <f t="shared" si="17"/>
        <v>0</v>
      </c>
      <c r="AX29" s="842"/>
      <c r="AY29" s="842"/>
    </row>
    <row r="30" spans="3:51" s="55" customFormat="1" ht="30.75" customHeight="1">
      <c r="C30" s="843">
        <v>13</v>
      </c>
      <c r="D30" s="803"/>
      <c r="E30" s="844"/>
      <c r="F30" s="845"/>
      <c r="G30" s="2281"/>
      <c r="H30" s="2282"/>
      <c r="I30" s="851"/>
      <c r="J30" s="846"/>
      <c r="K30" s="796"/>
      <c r="L30" s="797"/>
      <c r="M30" s="797"/>
      <c r="N30" s="797"/>
      <c r="O30" s="797"/>
      <c r="P30" s="797"/>
      <c r="Q30" s="797"/>
      <c r="R30" s="1284"/>
      <c r="S30" s="798"/>
      <c r="T30" s="847"/>
      <c r="U30" s="848"/>
      <c r="V30" s="837"/>
      <c r="W30" s="849"/>
      <c r="X30" s="850"/>
      <c r="Y30" s="247"/>
      <c r="Z30" s="786">
        <f t="shared" si="2"/>
        <v>0</v>
      </c>
      <c r="AA30" s="786">
        <f t="shared" si="3"/>
        <v>0</v>
      </c>
      <c r="AB30" s="786">
        <f t="shared" si="4"/>
        <v>0</v>
      </c>
      <c r="AC30" s="786">
        <f>IF(Z30=0,,VLOOKUP(Z30,リスト!DC:DD,2,0))</f>
        <v>0</v>
      </c>
      <c r="AD30" s="786">
        <f t="shared" si="5"/>
        <v>0</v>
      </c>
      <c r="AE30" s="787">
        <f>IF(AD30=0,,VLOOKUP(AD30,リスト!DK:DL,2,0))</f>
        <v>0</v>
      </c>
      <c r="AF30" s="786">
        <f>IF(Z30=0,,
IF(OR(リスト!$C$21="小麦",リスト!$C$21="二条大麦",リスト!$C$21="六条大麦",リスト!$C$21="はだか麦",リスト!$C$21="なたね"),IF(K30&lt;9,調査年-J30,調査年-J30-1),
IF(リスト!$C$21="さとうきび",IF(K30&gt;=4,調査年-J30,調査年-J30+1),
調査年-J30)))</f>
        <v>0</v>
      </c>
      <c r="AG30" s="788">
        <f t="shared" si="6"/>
        <v>0</v>
      </c>
      <c r="AH30" s="788">
        <f t="shared" si="7"/>
        <v>0</v>
      </c>
      <c r="AI30" s="788">
        <f t="shared" si="8"/>
        <v>0</v>
      </c>
      <c r="AJ30" s="788">
        <f t="shared" si="9"/>
        <v>0</v>
      </c>
      <c r="AK30" s="477"/>
      <c r="AL30" s="788">
        <f>IF(OR(R30=0,AH30=""),,
IF(OR(リスト!$C$21="小麦",リスト!$C$21="二条大麦",リスト!$C$21="六条大麦",リスト!$C$21="はだか麦",リスト!$C$21="なたね"),IF(OR(AND(K30&lt;9,J30=調査年),AND(K30&gt;=9,J30=調査年-1)),,ROUND(AH30*R30%,0)),
IF(リスト!$C$21="さとうきび",IF(OR(AND(K30&gt;=4,J30=調査年),AND(K30&lt;4,J30=調査年+1)),,ROUND(AH30*R30%,0)),
IF(J30=調査年,,ROUND(AH30*R30%,0)))))</f>
        <v>0</v>
      </c>
      <c r="AM30" s="788">
        <f t="shared" si="10"/>
        <v>0</v>
      </c>
      <c r="AN30" s="788">
        <f t="shared" si="11"/>
        <v>0</v>
      </c>
      <c r="AO30" s="788">
        <f t="shared" si="12"/>
        <v>0</v>
      </c>
      <c r="AP30" s="788">
        <f>IF(R30=0,,
SUM(
IF(OR(リスト!$C$21="小麦",リスト!$C$21="二条大麦",リスト!$C$21="六条大麦",リスト!$C$21="はだか麦",リスト!$C$21="なたね"),IF(OR(AND(AA30=1,K30&lt;9,J30=調査年),AND(AA30=1,K30&gt;=9,J30=調査年-1)),ROUND(L30*R30%,0),),
IF(リスト!$C$21="さとうきび",IF(OR(AND(AA30=1,K30&gt;=4,J30=調査年),AND(AA30=1,K30&lt;4,J30=調査年+1)),ROUND(L30*R30%,0),),
IF(AND(AA30=1,J30=調査年),ROUND(L30*R30%,0),))),
ROUND(M30*R30%,0)
))</f>
        <v>0</v>
      </c>
      <c r="AQ30" s="788">
        <f t="shared" si="13"/>
        <v>0</v>
      </c>
      <c r="AR30" s="788">
        <f t="shared" si="14"/>
        <v>0</v>
      </c>
      <c r="AS30" s="788">
        <f t="shared" si="20"/>
        <v>0</v>
      </c>
      <c r="AT30" s="788">
        <f t="shared" si="21"/>
        <v>0</v>
      </c>
      <c r="AU30" s="788">
        <f t="shared" si="15"/>
        <v>0</v>
      </c>
      <c r="AV30" s="788">
        <f t="shared" si="16"/>
        <v>0</v>
      </c>
      <c r="AW30" s="841">
        <f t="shared" si="17"/>
        <v>0</v>
      </c>
      <c r="AX30" s="842"/>
      <c r="AY30" s="842"/>
    </row>
    <row r="31" spans="3:51" s="55" customFormat="1" ht="30.75" customHeight="1">
      <c r="C31" s="843">
        <v>14</v>
      </c>
      <c r="D31" s="803"/>
      <c r="E31" s="844"/>
      <c r="F31" s="845"/>
      <c r="G31" s="2281"/>
      <c r="H31" s="2282"/>
      <c r="I31" s="851"/>
      <c r="J31" s="846"/>
      <c r="K31" s="796"/>
      <c r="L31" s="797"/>
      <c r="M31" s="797"/>
      <c r="N31" s="797"/>
      <c r="O31" s="797"/>
      <c r="P31" s="797"/>
      <c r="Q31" s="797"/>
      <c r="R31" s="1284"/>
      <c r="S31" s="798"/>
      <c r="T31" s="847"/>
      <c r="U31" s="848"/>
      <c r="V31" s="837"/>
      <c r="W31" s="849"/>
      <c r="X31" s="850"/>
      <c r="Y31" s="247"/>
      <c r="Z31" s="786">
        <f t="shared" si="2"/>
        <v>0</v>
      </c>
      <c r="AA31" s="786">
        <f t="shared" si="3"/>
        <v>0</v>
      </c>
      <c r="AB31" s="786">
        <f t="shared" si="4"/>
        <v>0</v>
      </c>
      <c r="AC31" s="786">
        <f>IF(Z31=0,,VLOOKUP(Z31,リスト!DC:DD,2,0))</f>
        <v>0</v>
      </c>
      <c r="AD31" s="786">
        <f t="shared" si="5"/>
        <v>0</v>
      </c>
      <c r="AE31" s="787">
        <f>IF(AD31=0,,VLOOKUP(AD31,リスト!DK:DL,2,0))</f>
        <v>0</v>
      </c>
      <c r="AF31" s="786">
        <f>IF(Z31=0,,
IF(OR(リスト!$C$21="小麦",リスト!$C$21="二条大麦",リスト!$C$21="六条大麦",リスト!$C$21="はだか麦",リスト!$C$21="なたね"),IF(K31&lt;9,調査年-J31,調査年-J31-1),
IF(リスト!$C$21="さとうきび",IF(K31&gt;=4,調査年-J31,調査年-J31+1),
調査年-J31)))</f>
        <v>0</v>
      </c>
      <c r="AG31" s="788">
        <f t="shared" si="6"/>
        <v>0</v>
      </c>
      <c r="AH31" s="788">
        <f t="shared" si="7"/>
        <v>0</v>
      </c>
      <c r="AI31" s="788">
        <f t="shared" si="8"/>
        <v>0</v>
      </c>
      <c r="AJ31" s="788">
        <f t="shared" si="9"/>
        <v>0</v>
      </c>
      <c r="AK31" s="477"/>
      <c r="AL31" s="788">
        <f>IF(OR(R31=0,AH31=""),,
IF(OR(リスト!$C$21="小麦",リスト!$C$21="二条大麦",リスト!$C$21="六条大麦",リスト!$C$21="はだか麦",リスト!$C$21="なたね"),IF(OR(AND(K31&lt;9,J31=調査年),AND(K31&gt;=9,J31=調査年-1)),,ROUND(AH31*R31%,0)),
IF(リスト!$C$21="さとうきび",IF(OR(AND(K31&gt;=4,J31=調査年),AND(K31&lt;4,J31=調査年+1)),,ROUND(AH31*R31%,0)),
IF(J31=調査年,,ROUND(AH31*R31%,0)))))</f>
        <v>0</v>
      </c>
      <c r="AM31" s="788">
        <f t="shared" si="10"/>
        <v>0</v>
      </c>
      <c r="AN31" s="788">
        <f t="shared" si="11"/>
        <v>0</v>
      </c>
      <c r="AO31" s="788">
        <f t="shared" si="12"/>
        <v>0</v>
      </c>
      <c r="AP31" s="788">
        <f>IF(R31=0,,
SUM(
IF(OR(リスト!$C$21="小麦",リスト!$C$21="二条大麦",リスト!$C$21="六条大麦",リスト!$C$21="はだか麦",リスト!$C$21="なたね"),IF(OR(AND(AA31=1,K31&lt;9,J31=調査年),AND(AA31=1,K31&gt;=9,J31=調査年-1)),ROUND(L31*R31%,0),),
IF(リスト!$C$21="さとうきび",IF(OR(AND(AA31=1,K31&gt;=4,J31=調査年),AND(AA31=1,K31&lt;4,J31=調査年+1)),ROUND(L31*R31%,0),),
IF(AND(AA31=1,J31=調査年),ROUND(L31*R31%,0),))),
ROUND(M31*R31%,0)
))</f>
        <v>0</v>
      </c>
      <c r="AQ31" s="788">
        <f t="shared" si="13"/>
        <v>0</v>
      </c>
      <c r="AR31" s="788">
        <f t="shared" si="14"/>
        <v>0</v>
      </c>
      <c r="AS31" s="788">
        <f t="shared" si="20"/>
        <v>0</v>
      </c>
      <c r="AT31" s="788">
        <f t="shared" si="21"/>
        <v>0</v>
      </c>
      <c r="AU31" s="788">
        <f t="shared" si="15"/>
        <v>0</v>
      </c>
      <c r="AV31" s="788">
        <f t="shared" si="16"/>
        <v>0</v>
      </c>
      <c r="AW31" s="841">
        <f t="shared" si="17"/>
        <v>0</v>
      </c>
      <c r="AX31" s="842"/>
      <c r="AY31" s="842"/>
    </row>
    <row r="32" spans="3:51" s="55" customFormat="1" ht="30.75" customHeight="1" collapsed="1" thickBot="1">
      <c r="C32" s="852">
        <v>15</v>
      </c>
      <c r="D32" s="803"/>
      <c r="E32" s="844"/>
      <c r="F32" s="845"/>
      <c r="G32" s="2281"/>
      <c r="H32" s="2282"/>
      <c r="I32" s="851"/>
      <c r="J32" s="846"/>
      <c r="K32" s="796"/>
      <c r="L32" s="797"/>
      <c r="M32" s="797"/>
      <c r="N32" s="797"/>
      <c r="O32" s="797"/>
      <c r="P32" s="797"/>
      <c r="Q32" s="797"/>
      <c r="R32" s="1284"/>
      <c r="S32" s="798"/>
      <c r="T32" s="847"/>
      <c r="U32" s="848"/>
      <c r="V32" s="837"/>
      <c r="W32" s="849"/>
      <c r="X32" s="850"/>
      <c r="Y32" s="174"/>
      <c r="Z32" s="786">
        <f t="shared" si="2"/>
        <v>0</v>
      </c>
      <c r="AA32" s="786">
        <f t="shared" si="3"/>
        <v>0</v>
      </c>
      <c r="AB32" s="786">
        <f t="shared" si="4"/>
        <v>0</v>
      </c>
      <c r="AC32" s="786">
        <f>IF(Z32=0,,VLOOKUP(Z32,リスト!DC:DD,2,0))</f>
        <v>0</v>
      </c>
      <c r="AD32" s="786">
        <f t="shared" si="5"/>
        <v>0</v>
      </c>
      <c r="AE32" s="787">
        <f>IF(AD32=0,,VLOOKUP(AD32,リスト!DK:DL,2,0))</f>
        <v>0</v>
      </c>
      <c r="AF32" s="786">
        <f>IF(Z32=0,,
IF(OR(リスト!$C$21="小麦",リスト!$C$21="二条大麦",リスト!$C$21="六条大麦",リスト!$C$21="はだか麦",リスト!$C$21="なたね"),IF(K32&lt;9,調査年-J32,調査年-J32-1),
IF(リスト!$C$21="さとうきび",IF(K32&gt;=4,調査年-J32,調査年-J32+1),
調査年-J32)))</f>
        <v>0</v>
      </c>
      <c r="AG32" s="788">
        <f t="shared" si="6"/>
        <v>0</v>
      </c>
      <c r="AH32" s="788">
        <f t="shared" si="7"/>
        <v>0</v>
      </c>
      <c r="AI32" s="788">
        <f t="shared" si="8"/>
        <v>0</v>
      </c>
      <c r="AJ32" s="788">
        <f t="shared" si="9"/>
        <v>0</v>
      </c>
      <c r="AK32" s="477"/>
      <c r="AL32" s="788">
        <f>IF(OR(R32=0,AH32=""),,
IF(OR(リスト!$C$21="小麦",リスト!$C$21="二条大麦",リスト!$C$21="六条大麦",リスト!$C$21="はだか麦",リスト!$C$21="なたね"),IF(OR(AND(K32&lt;9,J32=調査年),AND(K32&gt;=9,J32=調査年-1)),,ROUND(AH32*R32%,0)),
IF(リスト!$C$21="さとうきび",IF(OR(AND(K32&gt;=4,J32=調査年),AND(K32&lt;4,J32=調査年+1)),,ROUND(AH32*R32%,0)),
IF(J32=調査年,,ROUND(AH32*R32%,0)))))</f>
        <v>0</v>
      </c>
      <c r="AM32" s="788">
        <f t="shared" si="10"/>
        <v>0</v>
      </c>
      <c r="AN32" s="788">
        <f t="shared" si="11"/>
        <v>0</v>
      </c>
      <c r="AO32" s="788">
        <f t="shared" si="12"/>
        <v>0</v>
      </c>
      <c r="AP32" s="788">
        <f>IF(R32=0,,
SUM(
IF(OR(リスト!$C$21="小麦",リスト!$C$21="二条大麦",リスト!$C$21="六条大麦",リスト!$C$21="はだか麦",リスト!$C$21="なたね"),IF(OR(AND(AA32=1,K32&lt;9,J32=調査年),AND(AA32=1,K32&gt;=9,J32=調査年-1)),ROUND(L32*R32%,0),),
IF(リスト!$C$21="さとうきび",IF(OR(AND(AA32=1,K32&gt;=4,J32=調査年),AND(AA32=1,K32&lt;4,J32=調査年+1)),ROUND(L32*R32%,0),),
IF(AND(AA32=1,J32=調査年),ROUND(L32*R32%,0),))),
ROUND(M32*R32%,0)
))</f>
        <v>0</v>
      </c>
      <c r="AQ32" s="788">
        <f t="shared" si="13"/>
        <v>0</v>
      </c>
      <c r="AR32" s="788">
        <f t="shared" si="14"/>
        <v>0</v>
      </c>
      <c r="AS32" s="788">
        <f t="shared" si="20"/>
        <v>0</v>
      </c>
      <c r="AT32" s="788">
        <f t="shared" si="21"/>
        <v>0</v>
      </c>
      <c r="AU32" s="788">
        <f t="shared" si="15"/>
        <v>0</v>
      </c>
      <c r="AV32" s="788">
        <f t="shared" si="16"/>
        <v>0</v>
      </c>
      <c r="AW32" s="841">
        <f t="shared" si="17"/>
        <v>0</v>
      </c>
      <c r="AX32" s="842"/>
      <c r="AY32" s="842"/>
    </row>
    <row r="33" spans="3:51" s="55" customFormat="1" ht="30.75" hidden="1" customHeight="1" outlineLevel="1">
      <c r="C33" s="843">
        <v>16</v>
      </c>
      <c r="D33" s="803"/>
      <c r="E33" s="844"/>
      <c r="F33" s="845"/>
      <c r="G33" s="2281"/>
      <c r="H33" s="2282"/>
      <c r="I33" s="851"/>
      <c r="J33" s="846"/>
      <c r="K33" s="796"/>
      <c r="L33" s="797"/>
      <c r="M33" s="797"/>
      <c r="N33" s="797"/>
      <c r="O33" s="797"/>
      <c r="P33" s="797"/>
      <c r="Q33" s="797"/>
      <c r="R33" s="1284"/>
      <c r="S33" s="798"/>
      <c r="T33" s="847"/>
      <c r="U33" s="848"/>
      <c r="V33" s="837"/>
      <c r="W33" s="849"/>
      <c r="X33" s="850"/>
      <c r="Y33" s="174"/>
      <c r="Z33" s="786">
        <f t="shared" si="2"/>
        <v>0</v>
      </c>
      <c r="AA33" s="786">
        <f t="shared" si="3"/>
        <v>0</v>
      </c>
      <c r="AB33" s="786">
        <f t="shared" si="4"/>
        <v>0</v>
      </c>
      <c r="AC33" s="786">
        <f>IF(Z33=0,,VLOOKUP(Z33,リスト!DC:DD,2,0))</f>
        <v>0</v>
      </c>
      <c r="AD33" s="786">
        <f t="shared" si="5"/>
        <v>0</v>
      </c>
      <c r="AE33" s="787">
        <f>IF(AD33=0,,VLOOKUP(AD33,リスト!DK:DL,2,0))</f>
        <v>0</v>
      </c>
      <c r="AF33" s="786">
        <f>IF(Z33=0,,
IF(OR(リスト!$C$21="小麦",リスト!$C$21="二条大麦",リスト!$C$21="六条大麦",リスト!$C$21="はだか麦",リスト!$C$21="なたね"),IF(K33&lt;9,調査年-J33,調査年-J33-1),
IF(リスト!$C$21="さとうきび",IF(K33&gt;=4,調査年-J33,調査年-J33+1),
調査年-J33)))</f>
        <v>0</v>
      </c>
      <c r="AG33" s="788">
        <f t="shared" si="6"/>
        <v>0</v>
      </c>
      <c r="AH33" s="788">
        <f t="shared" si="7"/>
        <v>0</v>
      </c>
      <c r="AI33" s="788">
        <f t="shared" si="8"/>
        <v>0</v>
      </c>
      <c r="AJ33" s="788">
        <f t="shared" si="9"/>
        <v>0</v>
      </c>
      <c r="AK33" s="477"/>
      <c r="AL33" s="788">
        <f>IF(OR(R33=0,AH33=""),,
IF(OR(リスト!$C$21="小麦",リスト!$C$21="二条大麦",リスト!$C$21="六条大麦",リスト!$C$21="はだか麦",リスト!$C$21="なたね"),IF(OR(AND(K33&lt;9,J33=調査年),AND(K33&gt;=9,J33=調査年-1)),,ROUND(AH33*R33%,0)),
IF(リスト!$C$21="さとうきび",IF(OR(AND(K33&gt;=4,J33=調査年),AND(K33&lt;4,J33=調査年+1)),,ROUND(AH33*R33%,0)),
IF(J33=調査年,,ROUND(AH33*R33%,0)))))</f>
        <v>0</v>
      </c>
      <c r="AM33" s="788">
        <f t="shared" si="10"/>
        <v>0</v>
      </c>
      <c r="AN33" s="788">
        <f t="shared" si="11"/>
        <v>0</v>
      </c>
      <c r="AO33" s="788">
        <f t="shared" si="12"/>
        <v>0</v>
      </c>
      <c r="AP33" s="788">
        <f>IF(R33=0,,
SUM(
IF(OR(リスト!$C$21="小麦",リスト!$C$21="二条大麦",リスト!$C$21="六条大麦",リスト!$C$21="はだか麦",リスト!$C$21="なたね"),IF(OR(AND(AA33=1,K33&lt;9,J33=調査年),AND(AA33=1,K33&gt;=9,J33=調査年-1)),ROUND(L33*R33%,0),),
IF(リスト!$C$21="さとうきび",IF(OR(AND(AA33=1,K33&gt;=4,J33=調査年),AND(AA33=1,K33&lt;4,J33=調査年+1)),ROUND(L33*R33%,0),),
IF(AND(AA33=1,J33=調査年),ROUND(L33*R33%,0),))),
ROUND(M33*R33%,0)
))</f>
        <v>0</v>
      </c>
      <c r="AQ33" s="788">
        <f t="shared" si="13"/>
        <v>0</v>
      </c>
      <c r="AR33" s="788">
        <f t="shared" si="14"/>
        <v>0</v>
      </c>
      <c r="AS33" s="788">
        <f t="shared" si="20"/>
        <v>0</v>
      </c>
      <c r="AT33" s="788">
        <f t="shared" si="21"/>
        <v>0</v>
      </c>
      <c r="AU33" s="788">
        <f t="shared" si="15"/>
        <v>0</v>
      </c>
      <c r="AV33" s="788">
        <f t="shared" si="16"/>
        <v>0</v>
      </c>
      <c r="AW33" s="841">
        <f t="shared" si="17"/>
        <v>0</v>
      </c>
      <c r="AX33" s="842"/>
      <c r="AY33" s="842"/>
    </row>
    <row r="34" spans="3:51" s="55" customFormat="1" ht="30.75" hidden="1" customHeight="1" outlineLevel="1">
      <c r="C34" s="843">
        <v>17</v>
      </c>
      <c r="D34" s="803"/>
      <c r="E34" s="844"/>
      <c r="F34" s="845"/>
      <c r="G34" s="2281"/>
      <c r="H34" s="2282"/>
      <c r="I34" s="851"/>
      <c r="J34" s="846"/>
      <c r="K34" s="796"/>
      <c r="L34" s="797"/>
      <c r="M34" s="797"/>
      <c r="N34" s="797"/>
      <c r="O34" s="797"/>
      <c r="P34" s="797"/>
      <c r="Q34" s="797"/>
      <c r="R34" s="1284"/>
      <c r="S34" s="798"/>
      <c r="T34" s="847"/>
      <c r="U34" s="848"/>
      <c r="V34" s="837"/>
      <c r="W34" s="849"/>
      <c r="X34" s="850"/>
      <c r="Y34" s="174"/>
      <c r="Z34" s="786">
        <f t="shared" si="2"/>
        <v>0</v>
      </c>
      <c r="AA34" s="786">
        <f t="shared" si="3"/>
        <v>0</v>
      </c>
      <c r="AB34" s="786">
        <f t="shared" si="4"/>
        <v>0</v>
      </c>
      <c r="AC34" s="786">
        <f>IF(Z34=0,,VLOOKUP(Z34,リスト!DC:DD,2,0))</f>
        <v>0</v>
      </c>
      <c r="AD34" s="786">
        <f t="shared" si="5"/>
        <v>0</v>
      </c>
      <c r="AE34" s="787">
        <f>IF(AD34=0,,VLOOKUP(AD34,リスト!DK:DL,2,0))</f>
        <v>0</v>
      </c>
      <c r="AF34" s="786">
        <f>IF(Z34=0,,
IF(OR(リスト!$C$21="小麦",リスト!$C$21="二条大麦",リスト!$C$21="六条大麦",リスト!$C$21="はだか麦",リスト!$C$21="なたね"),IF(K34&lt;9,調査年-J34,調査年-J34-1),
IF(リスト!$C$21="さとうきび",IF(K34&gt;=4,調査年-J34,調査年-J34+1),
調査年-J34)))</f>
        <v>0</v>
      </c>
      <c r="AG34" s="788">
        <f t="shared" si="6"/>
        <v>0</v>
      </c>
      <c r="AH34" s="788">
        <f t="shared" si="7"/>
        <v>0</v>
      </c>
      <c r="AI34" s="788">
        <f t="shared" si="8"/>
        <v>0</v>
      </c>
      <c r="AJ34" s="788">
        <f t="shared" si="9"/>
        <v>0</v>
      </c>
      <c r="AK34" s="477"/>
      <c r="AL34" s="788">
        <f>IF(OR(R34=0,AH34=""),,
IF(OR(リスト!$C$21="小麦",リスト!$C$21="二条大麦",リスト!$C$21="六条大麦",リスト!$C$21="はだか麦",リスト!$C$21="なたね"),IF(OR(AND(K34&lt;9,J34=調査年),AND(K34&gt;=9,J34=調査年-1)),,ROUND(AH34*R34%,0)),
IF(リスト!$C$21="さとうきび",IF(OR(AND(K34&gt;=4,J34=調査年),AND(K34&lt;4,J34=調査年+1)),,ROUND(AH34*R34%,0)),
IF(J34=調査年,,ROUND(AH34*R34%,0)))))</f>
        <v>0</v>
      </c>
      <c r="AM34" s="788">
        <f t="shared" si="10"/>
        <v>0</v>
      </c>
      <c r="AN34" s="788">
        <f t="shared" si="11"/>
        <v>0</v>
      </c>
      <c r="AO34" s="788">
        <f t="shared" si="12"/>
        <v>0</v>
      </c>
      <c r="AP34" s="788">
        <f>IF(R34=0,,
SUM(
IF(OR(リスト!$C$21="小麦",リスト!$C$21="二条大麦",リスト!$C$21="六条大麦",リスト!$C$21="はだか麦",リスト!$C$21="なたね"),IF(OR(AND(AA34=1,K34&lt;9,J34=調査年),AND(AA34=1,K34&gt;=9,J34=調査年-1)),ROUND(L34*R34%,0),),
IF(リスト!$C$21="さとうきび",IF(OR(AND(AA34=1,K34&gt;=4,J34=調査年),AND(AA34=1,K34&lt;4,J34=調査年+1)),ROUND(L34*R34%,0),),
IF(AND(AA34=1,J34=調査年),ROUND(L34*R34%,0),))),
ROUND(M34*R34%,0)
))</f>
        <v>0</v>
      </c>
      <c r="AQ34" s="788">
        <f t="shared" si="13"/>
        <v>0</v>
      </c>
      <c r="AR34" s="788">
        <f t="shared" si="14"/>
        <v>0</v>
      </c>
      <c r="AS34" s="788">
        <f t="shared" si="20"/>
        <v>0</v>
      </c>
      <c r="AT34" s="788">
        <f t="shared" si="21"/>
        <v>0</v>
      </c>
      <c r="AU34" s="788">
        <f t="shared" si="15"/>
        <v>0</v>
      </c>
      <c r="AV34" s="788">
        <f t="shared" si="16"/>
        <v>0</v>
      </c>
      <c r="AW34" s="841">
        <f t="shared" si="17"/>
        <v>0</v>
      </c>
      <c r="AX34" s="842"/>
      <c r="AY34" s="842"/>
    </row>
    <row r="35" spans="3:51" s="55" customFormat="1" ht="30.75" hidden="1" customHeight="1" outlineLevel="1">
      <c r="C35" s="843">
        <v>18</v>
      </c>
      <c r="D35" s="803"/>
      <c r="E35" s="844"/>
      <c r="F35" s="845"/>
      <c r="G35" s="2281"/>
      <c r="H35" s="2282"/>
      <c r="I35" s="851"/>
      <c r="J35" s="846"/>
      <c r="K35" s="796"/>
      <c r="L35" s="797"/>
      <c r="M35" s="797"/>
      <c r="N35" s="797"/>
      <c r="O35" s="797"/>
      <c r="P35" s="797"/>
      <c r="Q35" s="797"/>
      <c r="R35" s="1284"/>
      <c r="S35" s="798"/>
      <c r="T35" s="847"/>
      <c r="U35" s="848"/>
      <c r="V35" s="837"/>
      <c r="W35" s="849"/>
      <c r="X35" s="850"/>
      <c r="Y35" s="174"/>
      <c r="Z35" s="786">
        <f t="shared" si="2"/>
        <v>0</v>
      </c>
      <c r="AA35" s="786">
        <f t="shared" si="3"/>
        <v>0</v>
      </c>
      <c r="AB35" s="786">
        <f t="shared" si="4"/>
        <v>0</v>
      </c>
      <c r="AC35" s="786">
        <f>IF(Z35=0,,VLOOKUP(Z35,リスト!DC:DD,2,0))</f>
        <v>0</v>
      </c>
      <c r="AD35" s="786">
        <f t="shared" si="5"/>
        <v>0</v>
      </c>
      <c r="AE35" s="787">
        <f>IF(AD35=0,,VLOOKUP(AD35,リスト!DK:DL,2,0))</f>
        <v>0</v>
      </c>
      <c r="AF35" s="786">
        <f>IF(Z35=0,,
IF(OR(リスト!$C$21="小麦",リスト!$C$21="二条大麦",リスト!$C$21="六条大麦",リスト!$C$21="はだか麦",リスト!$C$21="なたね"),IF(K35&lt;9,調査年-J35,調査年-J35-1),
IF(リスト!$C$21="さとうきび",IF(K35&gt;=4,調査年-J35,調査年-J35+1),
調査年-J35)))</f>
        <v>0</v>
      </c>
      <c r="AG35" s="788">
        <f t="shared" si="6"/>
        <v>0</v>
      </c>
      <c r="AH35" s="788">
        <f t="shared" si="7"/>
        <v>0</v>
      </c>
      <c r="AI35" s="788">
        <f t="shared" si="8"/>
        <v>0</v>
      </c>
      <c r="AJ35" s="788">
        <f t="shared" si="9"/>
        <v>0</v>
      </c>
      <c r="AK35" s="477"/>
      <c r="AL35" s="788">
        <f>IF(OR(R35=0,AH35=""),,
IF(OR(リスト!$C$21="小麦",リスト!$C$21="二条大麦",リスト!$C$21="六条大麦",リスト!$C$21="はだか麦",リスト!$C$21="なたね"),IF(OR(AND(K35&lt;9,J35=調査年),AND(K35&gt;=9,J35=調査年-1)),,ROUND(AH35*R35%,0)),
IF(リスト!$C$21="さとうきび",IF(OR(AND(K35&gt;=4,J35=調査年),AND(K35&lt;4,J35=調査年+1)),,ROUND(AH35*R35%,0)),
IF(J35=調査年,,ROUND(AH35*R35%,0)))))</f>
        <v>0</v>
      </c>
      <c r="AM35" s="788">
        <f t="shared" si="10"/>
        <v>0</v>
      </c>
      <c r="AN35" s="788">
        <f t="shared" si="11"/>
        <v>0</v>
      </c>
      <c r="AO35" s="788">
        <f t="shared" si="12"/>
        <v>0</v>
      </c>
      <c r="AP35" s="788">
        <f>IF(R35=0,,
SUM(
IF(OR(リスト!$C$21="小麦",リスト!$C$21="二条大麦",リスト!$C$21="六条大麦",リスト!$C$21="はだか麦",リスト!$C$21="なたね"),IF(OR(AND(AA35=1,K35&lt;9,J35=調査年),AND(AA35=1,K35&gt;=9,J35=調査年-1)),ROUND(L35*R35%,0),),
IF(リスト!$C$21="さとうきび",IF(OR(AND(AA35=1,K35&gt;=4,J35=調査年),AND(AA35=1,K35&lt;4,J35=調査年+1)),ROUND(L35*R35%,0),),
IF(AND(AA35=1,J35=調査年),ROUND(L35*R35%,0),))),
ROUND(M35*R35%,0)
))</f>
        <v>0</v>
      </c>
      <c r="AQ35" s="788">
        <f t="shared" si="13"/>
        <v>0</v>
      </c>
      <c r="AR35" s="788">
        <f t="shared" si="14"/>
        <v>0</v>
      </c>
      <c r="AS35" s="788">
        <f t="shared" si="20"/>
        <v>0</v>
      </c>
      <c r="AT35" s="788">
        <f t="shared" si="21"/>
        <v>0</v>
      </c>
      <c r="AU35" s="788">
        <f t="shared" si="15"/>
        <v>0</v>
      </c>
      <c r="AV35" s="788">
        <f t="shared" si="16"/>
        <v>0</v>
      </c>
      <c r="AW35" s="841">
        <f t="shared" si="17"/>
        <v>0</v>
      </c>
      <c r="AX35" s="842"/>
      <c r="AY35" s="842"/>
    </row>
    <row r="36" spans="3:51" s="55" customFormat="1" ht="30.75" hidden="1" customHeight="1" outlineLevel="1">
      <c r="C36" s="843">
        <v>19</v>
      </c>
      <c r="D36" s="803"/>
      <c r="E36" s="844"/>
      <c r="F36" s="845"/>
      <c r="G36" s="2281"/>
      <c r="H36" s="2282"/>
      <c r="I36" s="851"/>
      <c r="J36" s="846"/>
      <c r="K36" s="796"/>
      <c r="L36" s="797"/>
      <c r="M36" s="797"/>
      <c r="N36" s="797"/>
      <c r="O36" s="797"/>
      <c r="P36" s="797"/>
      <c r="Q36" s="797"/>
      <c r="R36" s="1284"/>
      <c r="S36" s="798"/>
      <c r="T36" s="847"/>
      <c r="U36" s="848"/>
      <c r="V36" s="837"/>
      <c r="W36" s="849"/>
      <c r="X36" s="850"/>
      <c r="Y36" s="174"/>
      <c r="Z36" s="786">
        <f t="shared" si="2"/>
        <v>0</v>
      </c>
      <c r="AA36" s="786">
        <f t="shared" si="3"/>
        <v>0</v>
      </c>
      <c r="AB36" s="786">
        <f t="shared" si="4"/>
        <v>0</v>
      </c>
      <c r="AC36" s="786">
        <f>IF(Z36=0,,VLOOKUP(Z36,リスト!DC:DD,2,0))</f>
        <v>0</v>
      </c>
      <c r="AD36" s="786">
        <f t="shared" si="5"/>
        <v>0</v>
      </c>
      <c r="AE36" s="787">
        <f>IF(AD36=0,,VLOOKUP(AD36,リスト!DK:DL,2,0))</f>
        <v>0</v>
      </c>
      <c r="AF36" s="786">
        <f>IF(Z36=0,,
IF(OR(リスト!$C$21="小麦",リスト!$C$21="二条大麦",リスト!$C$21="六条大麦",リスト!$C$21="はだか麦",リスト!$C$21="なたね"),IF(K36&lt;9,調査年-J36,調査年-J36-1),
IF(リスト!$C$21="さとうきび",IF(K36&gt;=4,調査年-J36,調査年-J36+1),
調査年-J36)))</f>
        <v>0</v>
      </c>
      <c r="AG36" s="788">
        <f t="shared" si="6"/>
        <v>0</v>
      </c>
      <c r="AH36" s="788">
        <f t="shared" si="7"/>
        <v>0</v>
      </c>
      <c r="AI36" s="788">
        <f t="shared" si="8"/>
        <v>0</v>
      </c>
      <c r="AJ36" s="788">
        <f t="shared" si="9"/>
        <v>0</v>
      </c>
      <c r="AK36" s="477"/>
      <c r="AL36" s="788">
        <f>IF(OR(R36=0,AH36=""),,
IF(OR(リスト!$C$21="小麦",リスト!$C$21="二条大麦",リスト!$C$21="六条大麦",リスト!$C$21="はだか麦",リスト!$C$21="なたね"),IF(OR(AND(K36&lt;9,J36=調査年),AND(K36&gt;=9,J36=調査年-1)),,ROUND(AH36*R36%,0)),
IF(リスト!$C$21="さとうきび",IF(OR(AND(K36&gt;=4,J36=調査年),AND(K36&lt;4,J36=調査年+1)),,ROUND(AH36*R36%,0)),
IF(J36=調査年,,ROUND(AH36*R36%,0)))))</f>
        <v>0</v>
      </c>
      <c r="AM36" s="788">
        <f t="shared" si="10"/>
        <v>0</v>
      </c>
      <c r="AN36" s="788">
        <f t="shared" si="11"/>
        <v>0</v>
      </c>
      <c r="AO36" s="788">
        <f t="shared" si="12"/>
        <v>0</v>
      </c>
      <c r="AP36" s="788">
        <f>IF(R36=0,,
SUM(
IF(OR(リスト!$C$21="小麦",リスト!$C$21="二条大麦",リスト!$C$21="六条大麦",リスト!$C$21="はだか麦",リスト!$C$21="なたね"),IF(OR(AND(AA36=1,K36&lt;9,J36=調査年),AND(AA36=1,K36&gt;=9,J36=調査年-1)),ROUND(L36*R36%,0),),
IF(リスト!$C$21="さとうきび",IF(OR(AND(AA36=1,K36&gt;=4,J36=調査年),AND(AA36=1,K36&lt;4,J36=調査年+1)),ROUND(L36*R36%,0),),
IF(AND(AA36=1,J36=調査年),ROUND(L36*R36%,0),))),
ROUND(M36*R36%,0)
))</f>
        <v>0</v>
      </c>
      <c r="AQ36" s="788">
        <f t="shared" si="13"/>
        <v>0</v>
      </c>
      <c r="AR36" s="788">
        <f t="shared" si="14"/>
        <v>0</v>
      </c>
      <c r="AS36" s="788">
        <f t="shared" si="20"/>
        <v>0</v>
      </c>
      <c r="AT36" s="788">
        <f t="shared" si="21"/>
        <v>0</v>
      </c>
      <c r="AU36" s="788">
        <f t="shared" si="15"/>
        <v>0</v>
      </c>
      <c r="AV36" s="788">
        <f t="shared" si="16"/>
        <v>0</v>
      </c>
      <c r="AW36" s="841">
        <f t="shared" si="17"/>
        <v>0</v>
      </c>
      <c r="AX36" s="842"/>
      <c r="AY36" s="842"/>
    </row>
    <row r="37" spans="3:51" s="55" customFormat="1" ht="30.75" hidden="1" customHeight="1" outlineLevel="1">
      <c r="C37" s="843">
        <v>20</v>
      </c>
      <c r="D37" s="803"/>
      <c r="E37" s="844"/>
      <c r="F37" s="845"/>
      <c r="G37" s="2281"/>
      <c r="H37" s="2282"/>
      <c r="I37" s="851"/>
      <c r="J37" s="846"/>
      <c r="K37" s="796"/>
      <c r="L37" s="797"/>
      <c r="M37" s="797"/>
      <c r="N37" s="797"/>
      <c r="O37" s="797"/>
      <c r="P37" s="797"/>
      <c r="Q37" s="797"/>
      <c r="R37" s="1284"/>
      <c r="S37" s="798"/>
      <c r="T37" s="847"/>
      <c r="U37" s="848"/>
      <c r="V37" s="837"/>
      <c r="W37" s="849"/>
      <c r="X37" s="850"/>
      <c r="Y37" s="174"/>
      <c r="Z37" s="786">
        <f t="shared" si="2"/>
        <v>0</v>
      </c>
      <c r="AA37" s="786">
        <f t="shared" si="3"/>
        <v>0</v>
      </c>
      <c r="AB37" s="786">
        <f t="shared" si="4"/>
        <v>0</v>
      </c>
      <c r="AC37" s="786">
        <f>IF(Z37=0,,VLOOKUP(Z37,リスト!DC:DD,2,0))</f>
        <v>0</v>
      </c>
      <c r="AD37" s="786">
        <f t="shared" si="5"/>
        <v>0</v>
      </c>
      <c r="AE37" s="787">
        <f>IF(AD37=0,,VLOOKUP(AD37,リスト!DK:DL,2,0))</f>
        <v>0</v>
      </c>
      <c r="AF37" s="786">
        <f>IF(Z37=0,,
IF(OR(リスト!$C$21="小麦",リスト!$C$21="二条大麦",リスト!$C$21="六条大麦",リスト!$C$21="はだか麦",リスト!$C$21="なたね"),IF(K37&lt;9,調査年-J37,調査年-J37-1),
IF(リスト!$C$21="さとうきび",IF(K37&gt;=4,調査年-J37,調査年-J37+1),
調査年-J37)))</f>
        <v>0</v>
      </c>
      <c r="AG37" s="788">
        <f t="shared" si="6"/>
        <v>0</v>
      </c>
      <c r="AH37" s="788">
        <f t="shared" si="7"/>
        <v>0</v>
      </c>
      <c r="AI37" s="788">
        <f t="shared" si="8"/>
        <v>0</v>
      </c>
      <c r="AJ37" s="788">
        <f t="shared" si="9"/>
        <v>0</v>
      </c>
      <c r="AK37" s="477"/>
      <c r="AL37" s="788">
        <f>IF(OR(R37=0,AH37=""),,
IF(OR(リスト!$C$21="小麦",リスト!$C$21="二条大麦",リスト!$C$21="六条大麦",リスト!$C$21="はだか麦",リスト!$C$21="なたね"),IF(OR(AND(K37&lt;9,J37=調査年),AND(K37&gt;=9,J37=調査年-1)),,ROUND(AH37*R37%,0)),
IF(リスト!$C$21="さとうきび",IF(OR(AND(K37&gt;=4,J37=調査年),AND(K37&lt;4,J37=調査年+1)),,ROUND(AH37*R37%,0)),
IF(J37=調査年,,ROUND(AH37*R37%,0)))))</f>
        <v>0</v>
      </c>
      <c r="AM37" s="788">
        <f t="shared" si="10"/>
        <v>0</v>
      </c>
      <c r="AN37" s="788">
        <f t="shared" si="11"/>
        <v>0</v>
      </c>
      <c r="AO37" s="788">
        <f t="shared" si="12"/>
        <v>0</v>
      </c>
      <c r="AP37" s="788">
        <f>IF(R37=0,,
SUM(
IF(OR(リスト!$C$21="小麦",リスト!$C$21="二条大麦",リスト!$C$21="六条大麦",リスト!$C$21="はだか麦",リスト!$C$21="なたね"),IF(OR(AND(AA37=1,K37&lt;9,J37=調査年),AND(AA37=1,K37&gt;=9,J37=調査年-1)),ROUND(L37*R37%,0),),
IF(リスト!$C$21="さとうきび",IF(OR(AND(AA37=1,K37&gt;=4,J37=調査年),AND(AA37=1,K37&lt;4,J37=調査年+1)),ROUND(L37*R37%,0),),
IF(AND(AA37=1,J37=調査年),ROUND(L37*R37%,0),))),
ROUND(M37*R37%,0)
))</f>
        <v>0</v>
      </c>
      <c r="AQ37" s="788">
        <f t="shared" si="13"/>
        <v>0</v>
      </c>
      <c r="AR37" s="788">
        <f t="shared" si="14"/>
        <v>0</v>
      </c>
      <c r="AS37" s="788">
        <f t="shared" si="20"/>
        <v>0</v>
      </c>
      <c r="AT37" s="788">
        <f t="shared" si="21"/>
        <v>0</v>
      </c>
      <c r="AU37" s="788">
        <f t="shared" si="15"/>
        <v>0</v>
      </c>
      <c r="AV37" s="788">
        <f t="shared" si="16"/>
        <v>0</v>
      </c>
      <c r="AW37" s="841">
        <f t="shared" si="17"/>
        <v>0</v>
      </c>
      <c r="AX37" s="842"/>
      <c r="AY37" s="842"/>
    </row>
    <row r="38" spans="3:51" s="55" customFormat="1" ht="30.75" hidden="1" customHeight="1" outlineLevel="1">
      <c r="C38" s="843">
        <v>21</v>
      </c>
      <c r="D38" s="803"/>
      <c r="E38" s="844"/>
      <c r="F38" s="845"/>
      <c r="G38" s="2281"/>
      <c r="H38" s="2282"/>
      <c r="I38" s="851"/>
      <c r="J38" s="846"/>
      <c r="K38" s="796"/>
      <c r="L38" s="797"/>
      <c r="M38" s="797"/>
      <c r="N38" s="797"/>
      <c r="O38" s="797"/>
      <c r="P38" s="797"/>
      <c r="Q38" s="797"/>
      <c r="R38" s="1284"/>
      <c r="S38" s="798"/>
      <c r="T38" s="847"/>
      <c r="U38" s="848"/>
      <c r="V38" s="837"/>
      <c r="W38" s="849"/>
      <c r="X38" s="850"/>
      <c r="Y38" s="174"/>
      <c r="Z38" s="786">
        <f t="shared" si="2"/>
        <v>0</v>
      </c>
      <c r="AA38" s="786">
        <f t="shared" si="3"/>
        <v>0</v>
      </c>
      <c r="AB38" s="786">
        <f t="shared" si="4"/>
        <v>0</v>
      </c>
      <c r="AC38" s="786">
        <f>IF(Z38=0,,VLOOKUP(Z38,リスト!DC:DD,2,0))</f>
        <v>0</v>
      </c>
      <c r="AD38" s="786">
        <f t="shared" si="5"/>
        <v>0</v>
      </c>
      <c r="AE38" s="787">
        <f>IF(AD38=0,,VLOOKUP(AD38,リスト!DK:DL,2,0))</f>
        <v>0</v>
      </c>
      <c r="AF38" s="786">
        <f>IF(Z38=0,,
IF(OR(リスト!$C$21="小麦",リスト!$C$21="二条大麦",リスト!$C$21="六条大麦",リスト!$C$21="はだか麦",リスト!$C$21="なたね"),IF(K38&lt;9,調査年-J38,調査年-J38-1),
IF(リスト!$C$21="さとうきび",IF(K38&gt;=4,調査年-J38,調査年-J38+1),
調査年-J38)))</f>
        <v>0</v>
      </c>
      <c r="AG38" s="788">
        <f t="shared" si="6"/>
        <v>0</v>
      </c>
      <c r="AH38" s="788">
        <f t="shared" si="7"/>
        <v>0</v>
      </c>
      <c r="AI38" s="788">
        <f t="shared" si="8"/>
        <v>0</v>
      </c>
      <c r="AJ38" s="788">
        <f t="shared" si="9"/>
        <v>0</v>
      </c>
      <c r="AK38" s="477"/>
      <c r="AL38" s="788">
        <f>IF(OR(R38=0,AH38=""),,
IF(OR(リスト!$C$21="小麦",リスト!$C$21="二条大麦",リスト!$C$21="六条大麦",リスト!$C$21="はだか麦",リスト!$C$21="なたね"),IF(OR(AND(K38&lt;9,J38=調査年),AND(K38&gt;=9,J38=調査年-1)),,ROUND(AH38*R38%,0)),
IF(リスト!$C$21="さとうきび",IF(OR(AND(K38&gt;=4,J38=調査年),AND(K38&lt;4,J38=調査年+1)),,ROUND(AH38*R38%,0)),
IF(J38=調査年,,ROUND(AH38*R38%,0)))))</f>
        <v>0</v>
      </c>
      <c r="AM38" s="788">
        <f t="shared" si="10"/>
        <v>0</v>
      </c>
      <c r="AN38" s="788">
        <f t="shared" si="11"/>
        <v>0</v>
      </c>
      <c r="AO38" s="788">
        <f t="shared" si="12"/>
        <v>0</v>
      </c>
      <c r="AP38" s="788">
        <f>IF(R38=0,,
SUM(
IF(OR(リスト!$C$21="小麦",リスト!$C$21="二条大麦",リスト!$C$21="六条大麦",リスト!$C$21="はだか麦",リスト!$C$21="なたね"),IF(OR(AND(AA38=1,K38&lt;9,J38=調査年),AND(AA38=1,K38&gt;=9,J38=調査年-1)),ROUND(L38*R38%,0),),
IF(リスト!$C$21="さとうきび",IF(OR(AND(AA38=1,K38&gt;=4,J38=調査年),AND(AA38=1,K38&lt;4,J38=調査年+1)),ROUND(L38*R38%,0),),
IF(AND(AA38=1,J38=調査年),ROUND(L38*R38%,0),))),
ROUND(M38*R38%,0)
))</f>
        <v>0</v>
      </c>
      <c r="AQ38" s="788">
        <f t="shared" si="13"/>
        <v>0</v>
      </c>
      <c r="AR38" s="788">
        <f t="shared" si="14"/>
        <v>0</v>
      </c>
      <c r="AS38" s="788">
        <f t="shared" si="20"/>
        <v>0</v>
      </c>
      <c r="AT38" s="788">
        <f t="shared" si="21"/>
        <v>0</v>
      </c>
      <c r="AU38" s="788">
        <f t="shared" si="15"/>
        <v>0</v>
      </c>
      <c r="AV38" s="788">
        <f t="shared" si="16"/>
        <v>0</v>
      </c>
      <c r="AW38" s="841">
        <f t="shared" si="17"/>
        <v>0</v>
      </c>
      <c r="AX38" s="842"/>
      <c r="AY38" s="842"/>
    </row>
    <row r="39" spans="3:51" s="55" customFormat="1" ht="30.75" hidden="1" customHeight="1" outlineLevel="1">
      <c r="C39" s="843">
        <v>22</v>
      </c>
      <c r="D39" s="803"/>
      <c r="E39" s="844"/>
      <c r="F39" s="845"/>
      <c r="G39" s="2281"/>
      <c r="H39" s="2282"/>
      <c r="I39" s="851"/>
      <c r="J39" s="846"/>
      <c r="K39" s="796"/>
      <c r="L39" s="797"/>
      <c r="M39" s="797"/>
      <c r="N39" s="797"/>
      <c r="O39" s="797"/>
      <c r="P39" s="797"/>
      <c r="Q39" s="797"/>
      <c r="R39" s="1284"/>
      <c r="S39" s="798"/>
      <c r="T39" s="847"/>
      <c r="U39" s="848"/>
      <c r="V39" s="837"/>
      <c r="W39" s="849"/>
      <c r="X39" s="850"/>
      <c r="Y39" s="174"/>
      <c r="Z39" s="786">
        <f t="shared" si="2"/>
        <v>0</v>
      </c>
      <c r="AA39" s="786">
        <f t="shared" si="3"/>
        <v>0</v>
      </c>
      <c r="AB39" s="786">
        <f t="shared" si="4"/>
        <v>0</v>
      </c>
      <c r="AC39" s="786">
        <f>IF(Z39=0,,VLOOKUP(Z39,リスト!DC:DD,2,0))</f>
        <v>0</v>
      </c>
      <c r="AD39" s="786">
        <f t="shared" si="5"/>
        <v>0</v>
      </c>
      <c r="AE39" s="787">
        <f>IF(AD39=0,,VLOOKUP(AD39,リスト!DK:DL,2,0))</f>
        <v>0</v>
      </c>
      <c r="AF39" s="786">
        <f>IF(Z39=0,,
IF(OR(リスト!$C$21="小麦",リスト!$C$21="二条大麦",リスト!$C$21="六条大麦",リスト!$C$21="はだか麦",リスト!$C$21="なたね"),IF(K39&lt;9,調査年-J39,調査年-J39-1),
IF(リスト!$C$21="さとうきび",IF(K39&gt;=4,調査年-J39,調査年-J39+1),
調査年-J39)))</f>
        <v>0</v>
      </c>
      <c r="AG39" s="788">
        <f t="shared" si="6"/>
        <v>0</v>
      </c>
      <c r="AH39" s="788">
        <f t="shared" si="7"/>
        <v>0</v>
      </c>
      <c r="AI39" s="788">
        <f t="shared" si="8"/>
        <v>0</v>
      </c>
      <c r="AJ39" s="788">
        <f t="shared" si="9"/>
        <v>0</v>
      </c>
      <c r="AK39" s="477"/>
      <c r="AL39" s="788">
        <f>IF(OR(R39=0,AH39=""),,
IF(OR(リスト!$C$21="小麦",リスト!$C$21="二条大麦",リスト!$C$21="六条大麦",リスト!$C$21="はだか麦",リスト!$C$21="なたね"),IF(OR(AND(K39&lt;9,J39=調査年),AND(K39&gt;=9,J39=調査年-1)),,ROUND(AH39*R39%,0)),
IF(リスト!$C$21="さとうきび",IF(OR(AND(K39&gt;=4,J39=調査年),AND(K39&lt;4,J39=調査年+1)),,ROUND(AH39*R39%,0)),
IF(J39=調査年,,ROUND(AH39*R39%,0)))))</f>
        <v>0</v>
      </c>
      <c r="AM39" s="788">
        <f t="shared" si="10"/>
        <v>0</v>
      </c>
      <c r="AN39" s="788">
        <f t="shared" si="11"/>
        <v>0</v>
      </c>
      <c r="AO39" s="788">
        <f t="shared" si="12"/>
        <v>0</v>
      </c>
      <c r="AP39" s="788">
        <f>IF(R39=0,,
SUM(
IF(OR(リスト!$C$21="小麦",リスト!$C$21="二条大麦",リスト!$C$21="六条大麦",リスト!$C$21="はだか麦",リスト!$C$21="なたね"),IF(OR(AND(AA39=1,K39&lt;9,J39=調査年),AND(AA39=1,K39&gt;=9,J39=調査年-1)),ROUND(L39*R39%,0),),
IF(リスト!$C$21="さとうきび",IF(OR(AND(AA39=1,K39&gt;=4,J39=調査年),AND(AA39=1,K39&lt;4,J39=調査年+1)),ROUND(L39*R39%,0),),
IF(AND(AA39=1,J39=調査年),ROUND(L39*R39%,0),))),
ROUND(M39*R39%,0)
))</f>
        <v>0</v>
      </c>
      <c r="AQ39" s="788">
        <f t="shared" si="13"/>
        <v>0</v>
      </c>
      <c r="AR39" s="788">
        <f t="shared" si="14"/>
        <v>0</v>
      </c>
      <c r="AS39" s="788">
        <f t="shared" si="20"/>
        <v>0</v>
      </c>
      <c r="AT39" s="788">
        <f t="shared" si="21"/>
        <v>0</v>
      </c>
      <c r="AU39" s="788">
        <f t="shared" si="15"/>
        <v>0</v>
      </c>
      <c r="AV39" s="788">
        <f t="shared" si="16"/>
        <v>0</v>
      </c>
      <c r="AW39" s="841">
        <f t="shared" si="17"/>
        <v>0</v>
      </c>
      <c r="AX39" s="842"/>
      <c r="AY39" s="842"/>
    </row>
    <row r="40" spans="3:51" s="55" customFormat="1" ht="30.75" hidden="1" customHeight="1" outlineLevel="1">
      <c r="C40" s="843">
        <v>23</v>
      </c>
      <c r="D40" s="803"/>
      <c r="E40" s="844"/>
      <c r="F40" s="845"/>
      <c r="G40" s="2281"/>
      <c r="H40" s="2282"/>
      <c r="I40" s="851"/>
      <c r="J40" s="846"/>
      <c r="K40" s="796"/>
      <c r="L40" s="797"/>
      <c r="M40" s="797"/>
      <c r="N40" s="797"/>
      <c r="O40" s="797"/>
      <c r="P40" s="797"/>
      <c r="Q40" s="797"/>
      <c r="R40" s="1284"/>
      <c r="S40" s="798"/>
      <c r="T40" s="847"/>
      <c r="U40" s="848"/>
      <c r="V40" s="837"/>
      <c r="W40" s="849"/>
      <c r="X40" s="850"/>
      <c r="Y40" s="174"/>
      <c r="Z40" s="786">
        <f t="shared" si="2"/>
        <v>0</v>
      </c>
      <c r="AA40" s="786">
        <f t="shared" si="3"/>
        <v>0</v>
      </c>
      <c r="AB40" s="786">
        <f t="shared" si="4"/>
        <v>0</v>
      </c>
      <c r="AC40" s="786">
        <f>IF(Z40=0,,VLOOKUP(Z40,リスト!DC:DD,2,0))</f>
        <v>0</v>
      </c>
      <c r="AD40" s="786">
        <f t="shared" si="5"/>
        <v>0</v>
      </c>
      <c r="AE40" s="787">
        <f>IF(AD40=0,,VLOOKUP(AD40,リスト!DK:DL,2,0))</f>
        <v>0</v>
      </c>
      <c r="AF40" s="786">
        <f>IF(Z40=0,,
IF(OR(リスト!$C$21="小麦",リスト!$C$21="二条大麦",リスト!$C$21="六条大麦",リスト!$C$21="はだか麦",リスト!$C$21="なたね"),IF(K40&lt;9,調査年-J40,調査年-J40-1),
IF(リスト!$C$21="さとうきび",IF(K40&gt;=4,調査年-J40,調査年-J40+1),
調査年-J40)))</f>
        <v>0</v>
      </c>
      <c r="AG40" s="788">
        <f t="shared" si="6"/>
        <v>0</v>
      </c>
      <c r="AH40" s="788">
        <f t="shared" si="7"/>
        <v>0</v>
      </c>
      <c r="AI40" s="788">
        <f t="shared" si="8"/>
        <v>0</v>
      </c>
      <c r="AJ40" s="788">
        <f t="shared" si="9"/>
        <v>0</v>
      </c>
      <c r="AK40" s="477"/>
      <c r="AL40" s="788">
        <f>IF(OR(R40=0,AH40=""),,
IF(OR(リスト!$C$21="小麦",リスト!$C$21="二条大麦",リスト!$C$21="六条大麦",リスト!$C$21="はだか麦",リスト!$C$21="なたね"),IF(OR(AND(K40&lt;9,J40=調査年),AND(K40&gt;=9,J40=調査年-1)),,ROUND(AH40*R40%,0)),
IF(リスト!$C$21="さとうきび",IF(OR(AND(K40&gt;=4,J40=調査年),AND(K40&lt;4,J40=調査年+1)),,ROUND(AH40*R40%,0)),
IF(J40=調査年,,ROUND(AH40*R40%,0)))))</f>
        <v>0</v>
      </c>
      <c r="AM40" s="788">
        <f t="shared" si="10"/>
        <v>0</v>
      </c>
      <c r="AN40" s="788">
        <f t="shared" si="11"/>
        <v>0</v>
      </c>
      <c r="AO40" s="788">
        <f t="shared" si="12"/>
        <v>0</v>
      </c>
      <c r="AP40" s="788">
        <f>IF(R40=0,,
SUM(
IF(OR(リスト!$C$21="小麦",リスト!$C$21="二条大麦",リスト!$C$21="六条大麦",リスト!$C$21="はだか麦",リスト!$C$21="なたね"),IF(OR(AND(AA40=1,K40&lt;9,J40=調査年),AND(AA40=1,K40&gt;=9,J40=調査年-1)),ROUND(L40*R40%,0),),
IF(リスト!$C$21="さとうきび",IF(OR(AND(AA40=1,K40&gt;=4,J40=調査年),AND(AA40=1,K40&lt;4,J40=調査年+1)),ROUND(L40*R40%,0),),
IF(AND(AA40=1,J40=調査年),ROUND(L40*R40%,0),))),
ROUND(M40*R40%,0)
))</f>
        <v>0</v>
      </c>
      <c r="AQ40" s="788">
        <f t="shared" si="13"/>
        <v>0</v>
      </c>
      <c r="AR40" s="788">
        <f t="shared" si="14"/>
        <v>0</v>
      </c>
      <c r="AS40" s="788">
        <f t="shared" si="20"/>
        <v>0</v>
      </c>
      <c r="AT40" s="788">
        <f t="shared" si="21"/>
        <v>0</v>
      </c>
      <c r="AU40" s="788">
        <f t="shared" si="15"/>
        <v>0</v>
      </c>
      <c r="AV40" s="788">
        <f t="shared" si="16"/>
        <v>0</v>
      </c>
      <c r="AW40" s="841">
        <f t="shared" si="17"/>
        <v>0</v>
      </c>
      <c r="AX40" s="842"/>
      <c r="AY40" s="842"/>
    </row>
    <row r="41" spans="3:51" s="55" customFormat="1" ht="30.75" hidden="1" customHeight="1" outlineLevel="1">
      <c r="C41" s="843">
        <v>24</v>
      </c>
      <c r="D41" s="803"/>
      <c r="E41" s="844"/>
      <c r="F41" s="845"/>
      <c r="G41" s="2281"/>
      <c r="H41" s="2282"/>
      <c r="I41" s="851"/>
      <c r="J41" s="846"/>
      <c r="K41" s="796"/>
      <c r="L41" s="797"/>
      <c r="M41" s="797"/>
      <c r="N41" s="797"/>
      <c r="O41" s="797"/>
      <c r="P41" s="797"/>
      <c r="Q41" s="797"/>
      <c r="R41" s="1284"/>
      <c r="S41" s="798"/>
      <c r="T41" s="847"/>
      <c r="U41" s="848"/>
      <c r="V41" s="837"/>
      <c r="W41" s="849"/>
      <c r="X41" s="850"/>
      <c r="Y41" s="174"/>
      <c r="Z41" s="786">
        <f t="shared" si="2"/>
        <v>0</v>
      </c>
      <c r="AA41" s="786">
        <f t="shared" si="3"/>
        <v>0</v>
      </c>
      <c r="AB41" s="786">
        <f t="shared" si="4"/>
        <v>0</v>
      </c>
      <c r="AC41" s="786">
        <f>IF(Z41=0,,VLOOKUP(Z41,リスト!DC:DD,2,0))</f>
        <v>0</v>
      </c>
      <c r="AD41" s="786">
        <f t="shared" si="5"/>
        <v>0</v>
      </c>
      <c r="AE41" s="787">
        <f>IF(AD41=0,,VLOOKUP(AD41,リスト!DK:DL,2,0))</f>
        <v>0</v>
      </c>
      <c r="AF41" s="786">
        <f>IF(Z41=0,,
IF(OR(リスト!$C$21="小麦",リスト!$C$21="二条大麦",リスト!$C$21="六条大麦",リスト!$C$21="はだか麦",リスト!$C$21="なたね"),IF(K41&lt;9,調査年-J41,調査年-J41-1),
IF(リスト!$C$21="さとうきび",IF(K41&gt;=4,調査年-J41,調査年-J41+1),
調査年-J41)))</f>
        <v>0</v>
      </c>
      <c r="AG41" s="788">
        <f t="shared" si="6"/>
        <v>0</v>
      </c>
      <c r="AH41" s="788">
        <f t="shared" si="7"/>
        <v>0</v>
      </c>
      <c r="AI41" s="788">
        <f t="shared" si="8"/>
        <v>0</v>
      </c>
      <c r="AJ41" s="788">
        <f t="shared" si="9"/>
        <v>0</v>
      </c>
      <c r="AK41" s="477"/>
      <c r="AL41" s="788">
        <f>IF(OR(R41=0,AH41=""),,
IF(OR(リスト!$C$21="小麦",リスト!$C$21="二条大麦",リスト!$C$21="六条大麦",リスト!$C$21="はだか麦",リスト!$C$21="なたね"),IF(OR(AND(K41&lt;9,J41=調査年),AND(K41&gt;=9,J41=調査年-1)),,ROUND(AH41*R41%,0)),
IF(リスト!$C$21="さとうきび",IF(OR(AND(K41&gt;=4,J41=調査年),AND(K41&lt;4,J41=調査年+1)),,ROUND(AH41*R41%,0)),
IF(J41=調査年,,ROUND(AH41*R41%,0)))))</f>
        <v>0</v>
      </c>
      <c r="AM41" s="788">
        <f t="shared" si="10"/>
        <v>0</v>
      </c>
      <c r="AN41" s="788">
        <f t="shared" si="11"/>
        <v>0</v>
      </c>
      <c r="AO41" s="788">
        <f t="shared" si="12"/>
        <v>0</v>
      </c>
      <c r="AP41" s="788">
        <f>IF(R41=0,,
SUM(
IF(OR(リスト!$C$21="小麦",リスト!$C$21="二条大麦",リスト!$C$21="六条大麦",リスト!$C$21="はだか麦",リスト!$C$21="なたね"),IF(OR(AND(AA41=1,K41&lt;9,J41=調査年),AND(AA41=1,K41&gt;=9,J41=調査年-1)),ROUND(L41*R41%,0),),
IF(リスト!$C$21="さとうきび",IF(OR(AND(AA41=1,K41&gt;=4,J41=調査年),AND(AA41=1,K41&lt;4,J41=調査年+1)),ROUND(L41*R41%,0),),
IF(AND(AA41=1,J41=調査年),ROUND(L41*R41%,0),))),
ROUND(M41*R41%,0)
))</f>
        <v>0</v>
      </c>
      <c r="AQ41" s="788">
        <f t="shared" si="13"/>
        <v>0</v>
      </c>
      <c r="AR41" s="788">
        <f t="shared" si="14"/>
        <v>0</v>
      </c>
      <c r="AS41" s="788">
        <f t="shared" si="20"/>
        <v>0</v>
      </c>
      <c r="AT41" s="788">
        <f t="shared" si="21"/>
        <v>0</v>
      </c>
      <c r="AU41" s="788">
        <f t="shared" si="15"/>
        <v>0</v>
      </c>
      <c r="AV41" s="788">
        <f t="shared" si="16"/>
        <v>0</v>
      </c>
      <c r="AW41" s="841">
        <f t="shared" si="17"/>
        <v>0</v>
      </c>
      <c r="AX41" s="842"/>
      <c r="AY41" s="842"/>
    </row>
    <row r="42" spans="3:51" s="55" customFormat="1" ht="30.75" hidden="1" customHeight="1" outlineLevel="1">
      <c r="C42" s="843">
        <v>25</v>
      </c>
      <c r="D42" s="803"/>
      <c r="E42" s="844"/>
      <c r="F42" s="845"/>
      <c r="G42" s="2281"/>
      <c r="H42" s="2282"/>
      <c r="I42" s="851"/>
      <c r="J42" s="846"/>
      <c r="K42" s="796"/>
      <c r="L42" s="797"/>
      <c r="M42" s="797"/>
      <c r="N42" s="797"/>
      <c r="O42" s="797"/>
      <c r="P42" s="797"/>
      <c r="Q42" s="797"/>
      <c r="R42" s="1284"/>
      <c r="S42" s="798"/>
      <c r="T42" s="847"/>
      <c r="U42" s="848"/>
      <c r="V42" s="837"/>
      <c r="W42" s="849"/>
      <c r="X42" s="850"/>
      <c r="Y42" s="174"/>
      <c r="Z42" s="786">
        <f t="shared" si="2"/>
        <v>0</v>
      </c>
      <c r="AA42" s="786">
        <f t="shared" si="3"/>
        <v>0</v>
      </c>
      <c r="AB42" s="786">
        <f t="shared" si="4"/>
        <v>0</v>
      </c>
      <c r="AC42" s="786">
        <f>IF(Z42=0,,VLOOKUP(Z42,リスト!DC:DD,2,0))</f>
        <v>0</v>
      </c>
      <c r="AD42" s="786">
        <f t="shared" si="5"/>
        <v>0</v>
      </c>
      <c r="AE42" s="787">
        <f>IF(AD42=0,,VLOOKUP(AD42,リスト!DK:DL,2,0))</f>
        <v>0</v>
      </c>
      <c r="AF42" s="786">
        <f>IF(Z42=0,,
IF(OR(リスト!$C$21="小麦",リスト!$C$21="二条大麦",リスト!$C$21="六条大麦",リスト!$C$21="はだか麦",リスト!$C$21="なたね"),IF(K42&lt;9,調査年-J42,調査年-J42-1),
IF(リスト!$C$21="さとうきび",IF(K42&gt;=4,調査年-J42,調査年-J42+1),
調査年-J42)))</f>
        <v>0</v>
      </c>
      <c r="AG42" s="788">
        <f t="shared" si="6"/>
        <v>0</v>
      </c>
      <c r="AH42" s="788">
        <f t="shared" si="7"/>
        <v>0</v>
      </c>
      <c r="AI42" s="788">
        <f t="shared" si="8"/>
        <v>0</v>
      </c>
      <c r="AJ42" s="788">
        <f t="shared" si="9"/>
        <v>0</v>
      </c>
      <c r="AK42" s="477"/>
      <c r="AL42" s="788">
        <f>IF(OR(R42=0,AH42=""),,
IF(OR(リスト!$C$21="小麦",リスト!$C$21="二条大麦",リスト!$C$21="六条大麦",リスト!$C$21="はだか麦",リスト!$C$21="なたね"),IF(OR(AND(K42&lt;9,J42=調査年),AND(K42&gt;=9,J42=調査年-1)),,ROUND(AH42*R42%,0)),
IF(リスト!$C$21="さとうきび",IF(OR(AND(K42&gt;=4,J42=調査年),AND(K42&lt;4,J42=調査年+1)),,ROUND(AH42*R42%,0)),
IF(J42=調査年,,ROUND(AH42*R42%,0)))))</f>
        <v>0</v>
      </c>
      <c r="AM42" s="788">
        <f t="shared" si="10"/>
        <v>0</v>
      </c>
      <c r="AN42" s="788">
        <f t="shared" si="11"/>
        <v>0</v>
      </c>
      <c r="AO42" s="788">
        <f t="shared" si="12"/>
        <v>0</v>
      </c>
      <c r="AP42" s="788">
        <f>IF(R42=0,,
SUM(
IF(OR(リスト!$C$21="小麦",リスト!$C$21="二条大麦",リスト!$C$21="六条大麦",リスト!$C$21="はだか麦",リスト!$C$21="なたね"),IF(OR(AND(AA42=1,K42&lt;9,J42=調査年),AND(AA42=1,K42&gt;=9,J42=調査年-1)),ROUND(L42*R42%,0),),
IF(リスト!$C$21="さとうきび",IF(OR(AND(AA42=1,K42&gt;=4,J42=調査年),AND(AA42=1,K42&lt;4,J42=調査年+1)),ROUND(L42*R42%,0),),
IF(AND(AA42=1,J42=調査年),ROUND(L42*R42%,0),))),
ROUND(M42*R42%,0)
))</f>
        <v>0</v>
      </c>
      <c r="AQ42" s="788">
        <f t="shared" si="13"/>
        <v>0</v>
      </c>
      <c r="AR42" s="788">
        <f t="shared" si="14"/>
        <v>0</v>
      </c>
      <c r="AS42" s="788">
        <f t="shared" si="20"/>
        <v>0</v>
      </c>
      <c r="AT42" s="788">
        <f t="shared" si="21"/>
        <v>0</v>
      </c>
      <c r="AU42" s="788">
        <f t="shared" si="15"/>
        <v>0</v>
      </c>
      <c r="AV42" s="788">
        <f t="shared" si="16"/>
        <v>0</v>
      </c>
      <c r="AW42" s="841">
        <f t="shared" si="17"/>
        <v>0</v>
      </c>
      <c r="AX42" s="842"/>
      <c r="AY42" s="842"/>
    </row>
    <row r="43" spans="3:51" s="55" customFormat="1" ht="30.75" hidden="1" customHeight="1" outlineLevel="1">
      <c r="C43" s="843">
        <v>26</v>
      </c>
      <c r="D43" s="803"/>
      <c r="E43" s="853"/>
      <c r="F43" s="854"/>
      <c r="G43" s="2287"/>
      <c r="H43" s="2288"/>
      <c r="I43" s="855"/>
      <c r="J43" s="856"/>
      <c r="K43" s="857"/>
      <c r="L43" s="858"/>
      <c r="M43" s="858"/>
      <c r="N43" s="858"/>
      <c r="O43" s="858"/>
      <c r="P43" s="858"/>
      <c r="Q43" s="858"/>
      <c r="R43" s="1284"/>
      <c r="S43" s="859"/>
      <c r="T43" s="860"/>
      <c r="U43" s="861"/>
      <c r="V43" s="837"/>
      <c r="W43" s="849"/>
      <c r="X43" s="850"/>
      <c r="Y43" s="174"/>
      <c r="Z43" s="786">
        <f t="shared" si="2"/>
        <v>0</v>
      </c>
      <c r="AA43" s="786">
        <f t="shared" si="3"/>
        <v>0</v>
      </c>
      <c r="AB43" s="786">
        <f t="shared" si="4"/>
        <v>0</v>
      </c>
      <c r="AC43" s="786">
        <f>IF(Z43=0,,VLOOKUP(Z43,リスト!DC:DD,2,0))</f>
        <v>0</v>
      </c>
      <c r="AD43" s="786">
        <f t="shared" si="5"/>
        <v>0</v>
      </c>
      <c r="AE43" s="787">
        <f>IF(AD43=0,,VLOOKUP(AD43,リスト!DK:DL,2,0))</f>
        <v>0</v>
      </c>
      <c r="AF43" s="786">
        <f>IF(Z43=0,,
IF(OR(リスト!$C$21="小麦",リスト!$C$21="二条大麦",リスト!$C$21="六条大麦",リスト!$C$21="はだか麦",リスト!$C$21="なたね"),IF(K43&lt;9,調査年-J43,調査年-J43-1),
IF(リスト!$C$21="さとうきび",IF(K43&gt;=4,調査年-J43,調査年-J43+1),
調査年-J43)))</f>
        <v>0</v>
      </c>
      <c r="AG43" s="788">
        <f t="shared" si="6"/>
        <v>0</v>
      </c>
      <c r="AH43" s="788">
        <f t="shared" si="7"/>
        <v>0</v>
      </c>
      <c r="AI43" s="788">
        <f t="shared" si="8"/>
        <v>0</v>
      </c>
      <c r="AJ43" s="788">
        <f t="shared" si="9"/>
        <v>0</v>
      </c>
      <c r="AK43" s="477"/>
      <c r="AL43" s="788">
        <f>IF(OR(R43=0,AH43=""),,
IF(OR(リスト!$C$21="小麦",リスト!$C$21="二条大麦",リスト!$C$21="六条大麦",リスト!$C$21="はだか麦",リスト!$C$21="なたね"),IF(OR(AND(K43&lt;9,J43=調査年),AND(K43&gt;=9,J43=調査年-1)),,ROUND(AH43*R43%,0)),
IF(リスト!$C$21="さとうきび",IF(OR(AND(K43&gt;=4,J43=調査年),AND(K43&lt;4,J43=調査年+1)),,ROUND(AH43*R43%,0)),
IF(J43=調査年,,ROUND(AH43*R43%,0)))))</f>
        <v>0</v>
      </c>
      <c r="AM43" s="788">
        <f t="shared" si="10"/>
        <v>0</v>
      </c>
      <c r="AN43" s="788">
        <f t="shared" si="11"/>
        <v>0</v>
      </c>
      <c r="AO43" s="788">
        <f t="shared" si="12"/>
        <v>0</v>
      </c>
      <c r="AP43" s="788">
        <f>IF(R43=0,,
SUM(
IF(OR(リスト!$C$21="小麦",リスト!$C$21="二条大麦",リスト!$C$21="六条大麦",リスト!$C$21="はだか麦",リスト!$C$21="なたね"),IF(OR(AND(AA43=1,K43&lt;9,J43=調査年),AND(AA43=1,K43&gt;=9,J43=調査年-1)),ROUND(L43*R43%,0),),
IF(リスト!$C$21="さとうきび",IF(OR(AND(AA43=1,K43&gt;=4,J43=調査年),AND(AA43=1,K43&lt;4,J43=調査年+1)),ROUND(L43*R43%,0),),
IF(AND(AA43=1,J43=調査年),ROUND(L43*R43%,0),))),
ROUND(M43*R43%,0)
))</f>
        <v>0</v>
      </c>
      <c r="AQ43" s="788">
        <f t="shared" si="13"/>
        <v>0</v>
      </c>
      <c r="AR43" s="788">
        <f t="shared" si="14"/>
        <v>0</v>
      </c>
      <c r="AS43" s="788">
        <f t="shared" si="20"/>
        <v>0</v>
      </c>
      <c r="AT43" s="788">
        <f t="shared" si="21"/>
        <v>0</v>
      </c>
      <c r="AU43" s="788">
        <f t="shared" si="15"/>
        <v>0</v>
      </c>
      <c r="AV43" s="788">
        <f t="shared" si="16"/>
        <v>0</v>
      </c>
      <c r="AW43" s="841">
        <f t="shared" si="17"/>
        <v>0</v>
      </c>
      <c r="AX43" s="842"/>
      <c r="AY43" s="842"/>
    </row>
    <row r="44" spans="3:51" s="55" customFormat="1" ht="30.75" hidden="1" customHeight="1" outlineLevel="1">
      <c r="C44" s="843">
        <v>27</v>
      </c>
      <c r="D44" s="803"/>
      <c r="E44" s="844"/>
      <c r="F44" s="845"/>
      <c r="G44" s="2281"/>
      <c r="H44" s="2282"/>
      <c r="I44" s="851"/>
      <c r="J44" s="846"/>
      <c r="K44" s="796"/>
      <c r="L44" s="797"/>
      <c r="M44" s="797"/>
      <c r="N44" s="797"/>
      <c r="O44" s="797"/>
      <c r="P44" s="797"/>
      <c r="Q44" s="797"/>
      <c r="R44" s="1284"/>
      <c r="S44" s="798"/>
      <c r="T44" s="847"/>
      <c r="U44" s="848"/>
      <c r="V44" s="837"/>
      <c r="W44" s="849"/>
      <c r="X44" s="850"/>
      <c r="Y44" s="174"/>
      <c r="Z44" s="786">
        <f t="shared" si="2"/>
        <v>0</v>
      </c>
      <c r="AA44" s="786">
        <f t="shared" si="3"/>
        <v>0</v>
      </c>
      <c r="AB44" s="786">
        <f t="shared" si="4"/>
        <v>0</v>
      </c>
      <c r="AC44" s="786">
        <f>IF(Z44=0,,VLOOKUP(Z44,リスト!DC:DD,2,0))</f>
        <v>0</v>
      </c>
      <c r="AD44" s="786">
        <f t="shared" si="5"/>
        <v>0</v>
      </c>
      <c r="AE44" s="787">
        <f>IF(AD44=0,,VLOOKUP(AD44,リスト!DK:DL,2,0))</f>
        <v>0</v>
      </c>
      <c r="AF44" s="786">
        <f>IF(Z44=0,,
IF(OR(リスト!$C$21="小麦",リスト!$C$21="二条大麦",リスト!$C$21="六条大麦",リスト!$C$21="はだか麦",リスト!$C$21="なたね"),IF(K44&lt;9,調査年-J44,調査年-J44-1),
IF(リスト!$C$21="さとうきび",IF(K44&gt;=4,調査年-J44,調査年-J44+1),
調査年-J44)))</f>
        <v>0</v>
      </c>
      <c r="AG44" s="788">
        <f t="shared" si="6"/>
        <v>0</v>
      </c>
      <c r="AH44" s="788">
        <f t="shared" si="7"/>
        <v>0</v>
      </c>
      <c r="AI44" s="788">
        <f t="shared" si="8"/>
        <v>0</v>
      </c>
      <c r="AJ44" s="788">
        <f t="shared" si="9"/>
        <v>0</v>
      </c>
      <c r="AK44" s="477"/>
      <c r="AL44" s="788">
        <f>IF(OR(R44=0,AH44=""),,
IF(OR(リスト!$C$21="小麦",リスト!$C$21="二条大麦",リスト!$C$21="六条大麦",リスト!$C$21="はだか麦",リスト!$C$21="なたね"),IF(OR(AND(K44&lt;9,J44=調査年),AND(K44&gt;=9,J44=調査年-1)),,ROUND(AH44*R44%,0)),
IF(リスト!$C$21="さとうきび",IF(OR(AND(K44&gt;=4,J44=調査年),AND(K44&lt;4,J44=調査年+1)),,ROUND(AH44*R44%,0)),
IF(J44=調査年,,ROUND(AH44*R44%,0)))))</f>
        <v>0</v>
      </c>
      <c r="AM44" s="788">
        <f t="shared" si="10"/>
        <v>0</v>
      </c>
      <c r="AN44" s="788">
        <f t="shared" si="11"/>
        <v>0</v>
      </c>
      <c r="AO44" s="788">
        <f t="shared" si="12"/>
        <v>0</v>
      </c>
      <c r="AP44" s="788">
        <f>IF(R44=0,,
SUM(
IF(OR(リスト!$C$21="小麦",リスト!$C$21="二条大麦",リスト!$C$21="六条大麦",リスト!$C$21="はだか麦",リスト!$C$21="なたね"),IF(OR(AND(AA44=1,K44&lt;9,J44=調査年),AND(AA44=1,K44&gt;=9,J44=調査年-1)),ROUND(L44*R44%,0),),
IF(リスト!$C$21="さとうきび",IF(OR(AND(AA44=1,K44&gt;=4,J44=調査年),AND(AA44=1,K44&lt;4,J44=調査年+1)),ROUND(L44*R44%,0),),
IF(AND(AA44=1,J44=調査年),ROUND(L44*R44%,0),))),
ROUND(M44*R44%,0)
))</f>
        <v>0</v>
      </c>
      <c r="AQ44" s="788">
        <f t="shared" si="13"/>
        <v>0</v>
      </c>
      <c r="AR44" s="788">
        <f t="shared" si="14"/>
        <v>0</v>
      </c>
      <c r="AS44" s="788">
        <f t="shared" si="20"/>
        <v>0</v>
      </c>
      <c r="AT44" s="788">
        <f t="shared" si="21"/>
        <v>0</v>
      </c>
      <c r="AU44" s="788">
        <f t="shared" si="15"/>
        <v>0</v>
      </c>
      <c r="AV44" s="788">
        <f t="shared" si="16"/>
        <v>0</v>
      </c>
      <c r="AW44" s="841">
        <f t="shared" si="17"/>
        <v>0</v>
      </c>
      <c r="AX44" s="842"/>
      <c r="AY44" s="842"/>
    </row>
    <row r="45" spans="3:51" s="55" customFormat="1" ht="30.75" hidden="1" customHeight="1" outlineLevel="1">
      <c r="C45" s="843">
        <v>28</v>
      </c>
      <c r="D45" s="803"/>
      <c r="E45" s="844"/>
      <c r="F45" s="845"/>
      <c r="G45" s="2281"/>
      <c r="H45" s="2282"/>
      <c r="I45" s="851"/>
      <c r="J45" s="846"/>
      <c r="K45" s="796"/>
      <c r="L45" s="797"/>
      <c r="M45" s="797"/>
      <c r="N45" s="797"/>
      <c r="O45" s="797"/>
      <c r="P45" s="797"/>
      <c r="Q45" s="797"/>
      <c r="R45" s="1284"/>
      <c r="S45" s="798"/>
      <c r="T45" s="847"/>
      <c r="U45" s="848"/>
      <c r="V45" s="837"/>
      <c r="W45" s="849"/>
      <c r="X45" s="850"/>
      <c r="Y45" s="174"/>
      <c r="Z45" s="786">
        <f t="shared" si="2"/>
        <v>0</v>
      </c>
      <c r="AA45" s="786">
        <f t="shared" si="3"/>
        <v>0</v>
      </c>
      <c r="AB45" s="786">
        <f t="shared" si="4"/>
        <v>0</v>
      </c>
      <c r="AC45" s="786">
        <f>IF(Z45=0,,VLOOKUP(Z45,リスト!DC:DD,2,0))</f>
        <v>0</v>
      </c>
      <c r="AD45" s="786">
        <f t="shared" si="5"/>
        <v>0</v>
      </c>
      <c r="AE45" s="787">
        <f>IF(AD45=0,,VLOOKUP(AD45,リスト!DK:DL,2,0))</f>
        <v>0</v>
      </c>
      <c r="AF45" s="786">
        <f>IF(Z45=0,,
IF(OR(リスト!$C$21="小麦",リスト!$C$21="二条大麦",リスト!$C$21="六条大麦",リスト!$C$21="はだか麦",リスト!$C$21="なたね"),IF(K45&lt;9,調査年-J45,調査年-J45-1),
IF(リスト!$C$21="さとうきび",IF(K45&gt;=4,調査年-J45,調査年-J45+1),
調査年-J45)))</f>
        <v>0</v>
      </c>
      <c r="AG45" s="788">
        <f t="shared" si="6"/>
        <v>0</v>
      </c>
      <c r="AH45" s="788">
        <f t="shared" si="7"/>
        <v>0</v>
      </c>
      <c r="AI45" s="788">
        <f t="shared" si="8"/>
        <v>0</v>
      </c>
      <c r="AJ45" s="788">
        <f t="shared" si="9"/>
        <v>0</v>
      </c>
      <c r="AK45" s="477"/>
      <c r="AL45" s="788">
        <f>IF(OR(R45=0,AH45=""),,
IF(OR(リスト!$C$21="小麦",リスト!$C$21="二条大麦",リスト!$C$21="六条大麦",リスト!$C$21="はだか麦",リスト!$C$21="なたね"),IF(OR(AND(K45&lt;9,J45=調査年),AND(K45&gt;=9,J45=調査年-1)),,ROUND(AH45*R45%,0)),
IF(リスト!$C$21="さとうきび",IF(OR(AND(K45&gt;=4,J45=調査年),AND(K45&lt;4,J45=調査年+1)),,ROUND(AH45*R45%,0)),
IF(J45=調査年,,ROUND(AH45*R45%,0)))))</f>
        <v>0</v>
      </c>
      <c r="AM45" s="788">
        <f t="shared" si="10"/>
        <v>0</v>
      </c>
      <c r="AN45" s="788">
        <f t="shared" si="11"/>
        <v>0</v>
      </c>
      <c r="AO45" s="788">
        <f t="shared" si="12"/>
        <v>0</v>
      </c>
      <c r="AP45" s="788">
        <f>IF(R45=0,,
SUM(
IF(OR(リスト!$C$21="小麦",リスト!$C$21="二条大麦",リスト!$C$21="六条大麦",リスト!$C$21="はだか麦",リスト!$C$21="なたね"),IF(OR(AND(AA45=1,K45&lt;9,J45=調査年),AND(AA45=1,K45&gt;=9,J45=調査年-1)),ROUND(L45*R45%,0),),
IF(リスト!$C$21="さとうきび",IF(OR(AND(AA45=1,K45&gt;=4,J45=調査年),AND(AA45=1,K45&lt;4,J45=調査年+1)),ROUND(L45*R45%,0),),
IF(AND(AA45=1,J45=調査年),ROUND(L45*R45%,0),))),
ROUND(M45*R45%,0)
))</f>
        <v>0</v>
      </c>
      <c r="AQ45" s="788">
        <f t="shared" si="13"/>
        <v>0</v>
      </c>
      <c r="AR45" s="788">
        <f t="shared" si="14"/>
        <v>0</v>
      </c>
      <c r="AS45" s="788">
        <f t="shared" si="20"/>
        <v>0</v>
      </c>
      <c r="AT45" s="788">
        <f t="shared" si="21"/>
        <v>0</v>
      </c>
      <c r="AU45" s="788">
        <f t="shared" si="15"/>
        <v>0</v>
      </c>
      <c r="AV45" s="788">
        <f t="shared" si="16"/>
        <v>0</v>
      </c>
      <c r="AW45" s="841">
        <f t="shared" si="17"/>
        <v>0</v>
      </c>
      <c r="AX45" s="842"/>
      <c r="AY45" s="842"/>
    </row>
    <row r="46" spans="3:51" s="55" customFormat="1" ht="30.75" hidden="1" customHeight="1" outlineLevel="1">
      <c r="C46" s="843">
        <v>29</v>
      </c>
      <c r="D46" s="803"/>
      <c r="E46" s="844"/>
      <c r="F46" s="845"/>
      <c r="G46" s="2281"/>
      <c r="H46" s="2282"/>
      <c r="I46" s="851"/>
      <c r="J46" s="846"/>
      <c r="K46" s="796"/>
      <c r="L46" s="797"/>
      <c r="M46" s="797"/>
      <c r="N46" s="797"/>
      <c r="O46" s="797"/>
      <c r="P46" s="797"/>
      <c r="Q46" s="797"/>
      <c r="R46" s="1284"/>
      <c r="S46" s="798"/>
      <c r="T46" s="847"/>
      <c r="U46" s="848"/>
      <c r="V46" s="837"/>
      <c r="W46" s="849"/>
      <c r="X46" s="850"/>
      <c r="Y46" s="174"/>
      <c r="Z46" s="786">
        <f t="shared" si="2"/>
        <v>0</v>
      </c>
      <c r="AA46" s="786">
        <f t="shared" si="3"/>
        <v>0</v>
      </c>
      <c r="AB46" s="786">
        <f t="shared" si="4"/>
        <v>0</v>
      </c>
      <c r="AC46" s="786">
        <f>IF(Z46=0,,VLOOKUP(Z46,リスト!DC:DD,2,0))</f>
        <v>0</v>
      </c>
      <c r="AD46" s="786">
        <f t="shared" si="5"/>
        <v>0</v>
      </c>
      <c r="AE46" s="787">
        <f>IF(AD46=0,,VLOOKUP(AD46,リスト!DK:DL,2,0))</f>
        <v>0</v>
      </c>
      <c r="AF46" s="786">
        <f>IF(Z46=0,,
IF(OR(リスト!$C$21="小麦",リスト!$C$21="二条大麦",リスト!$C$21="六条大麦",リスト!$C$21="はだか麦",リスト!$C$21="なたね"),IF(K46&lt;9,調査年-J46,調査年-J46-1),
IF(リスト!$C$21="さとうきび",IF(K46&gt;=4,調査年-J46,調査年-J46+1),
調査年-J46)))</f>
        <v>0</v>
      </c>
      <c r="AG46" s="788">
        <f t="shared" si="6"/>
        <v>0</v>
      </c>
      <c r="AH46" s="788">
        <f t="shared" si="7"/>
        <v>0</v>
      </c>
      <c r="AI46" s="788">
        <f t="shared" si="8"/>
        <v>0</v>
      </c>
      <c r="AJ46" s="788">
        <f t="shared" si="9"/>
        <v>0</v>
      </c>
      <c r="AK46" s="477"/>
      <c r="AL46" s="788">
        <f>IF(OR(R46=0,AH46=""),,
IF(OR(リスト!$C$21="小麦",リスト!$C$21="二条大麦",リスト!$C$21="六条大麦",リスト!$C$21="はだか麦",リスト!$C$21="なたね"),IF(OR(AND(K46&lt;9,J46=調査年),AND(K46&gt;=9,J46=調査年-1)),,ROUND(AH46*R46%,0)),
IF(リスト!$C$21="さとうきび",IF(OR(AND(K46&gt;=4,J46=調査年),AND(K46&lt;4,J46=調査年+1)),,ROUND(AH46*R46%,0)),
IF(J46=調査年,,ROUND(AH46*R46%,0)))))</f>
        <v>0</v>
      </c>
      <c r="AM46" s="788">
        <f t="shared" si="10"/>
        <v>0</v>
      </c>
      <c r="AN46" s="788">
        <f t="shared" si="11"/>
        <v>0</v>
      </c>
      <c r="AO46" s="788">
        <f t="shared" si="12"/>
        <v>0</v>
      </c>
      <c r="AP46" s="788">
        <f>IF(R46=0,,
SUM(
IF(OR(リスト!$C$21="小麦",リスト!$C$21="二条大麦",リスト!$C$21="六条大麦",リスト!$C$21="はだか麦",リスト!$C$21="なたね"),IF(OR(AND(AA46=1,K46&lt;9,J46=調査年),AND(AA46=1,K46&gt;=9,J46=調査年-1)),ROUND(L46*R46%,0),),
IF(リスト!$C$21="さとうきび",IF(OR(AND(AA46=1,K46&gt;=4,J46=調査年),AND(AA46=1,K46&lt;4,J46=調査年+1)),ROUND(L46*R46%,0),),
IF(AND(AA46=1,J46=調査年),ROUND(L46*R46%,0),))),
ROUND(M46*R46%,0)
))</f>
        <v>0</v>
      </c>
      <c r="AQ46" s="788">
        <f t="shared" si="13"/>
        <v>0</v>
      </c>
      <c r="AR46" s="788">
        <f t="shared" si="14"/>
        <v>0</v>
      </c>
      <c r="AS46" s="788">
        <f t="shared" si="20"/>
        <v>0</v>
      </c>
      <c r="AT46" s="788">
        <f t="shared" si="21"/>
        <v>0</v>
      </c>
      <c r="AU46" s="788">
        <f t="shared" si="15"/>
        <v>0</v>
      </c>
      <c r="AV46" s="788">
        <f t="shared" si="16"/>
        <v>0</v>
      </c>
      <c r="AW46" s="841">
        <f t="shared" si="17"/>
        <v>0</v>
      </c>
      <c r="AX46" s="842"/>
      <c r="AY46" s="842"/>
    </row>
    <row r="47" spans="3:51" s="55" customFormat="1" ht="30.75" hidden="1" customHeight="1" outlineLevel="1">
      <c r="C47" s="843">
        <v>30</v>
      </c>
      <c r="D47" s="803"/>
      <c r="E47" s="844"/>
      <c r="F47" s="845"/>
      <c r="G47" s="2281"/>
      <c r="H47" s="2282"/>
      <c r="I47" s="851"/>
      <c r="J47" s="846"/>
      <c r="K47" s="796"/>
      <c r="L47" s="797"/>
      <c r="M47" s="797"/>
      <c r="N47" s="797"/>
      <c r="O47" s="797"/>
      <c r="P47" s="797"/>
      <c r="Q47" s="797"/>
      <c r="R47" s="1284"/>
      <c r="S47" s="798"/>
      <c r="T47" s="847"/>
      <c r="U47" s="848"/>
      <c r="V47" s="837"/>
      <c r="W47" s="849"/>
      <c r="X47" s="850"/>
      <c r="Y47" s="174"/>
      <c r="Z47" s="786">
        <f t="shared" si="2"/>
        <v>0</v>
      </c>
      <c r="AA47" s="786">
        <f t="shared" si="3"/>
        <v>0</v>
      </c>
      <c r="AB47" s="786">
        <f t="shared" si="4"/>
        <v>0</v>
      </c>
      <c r="AC47" s="786">
        <f>IF(Z47=0,,VLOOKUP(Z47,リスト!DC:DD,2,0))</f>
        <v>0</v>
      </c>
      <c r="AD47" s="786">
        <f t="shared" si="5"/>
        <v>0</v>
      </c>
      <c r="AE47" s="787">
        <f>IF(AD47=0,,VLOOKUP(AD47,リスト!DK:DL,2,0))</f>
        <v>0</v>
      </c>
      <c r="AF47" s="786">
        <f>IF(Z47=0,,
IF(OR(リスト!$C$21="小麦",リスト!$C$21="二条大麦",リスト!$C$21="六条大麦",リスト!$C$21="はだか麦",リスト!$C$21="なたね"),IF(K47&lt;9,調査年-J47,調査年-J47-1),
IF(リスト!$C$21="さとうきび",IF(K47&gt;=4,調査年-J47,調査年-J47+1),
調査年-J47)))</f>
        <v>0</v>
      </c>
      <c r="AG47" s="788">
        <f t="shared" si="6"/>
        <v>0</v>
      </c>
      <c r="AH47" s="788">
        <f t="shared" si="7"/>
        <v>0</v>
      </c>
      <c r="AI47" s="788">
        <f t="shared" si="8"/>
        <v>0</v>
      </c>
      <c r="AJ47" s="788">
        <f t="shared" si="9"/>
        <v>0</v>
      </c>
      <c r="AK47" s="477"/>
      <c r="AL47" s="788">
        <f>IF(OR(R47=0,AH47=""),,
IF(OR(リスト!$C$21="小麦",リスト!$C$21="二条大麦",リスト!$C$21="六条大麦",リスト!$C$21="はだか麦",リスト!$C$21="なたね"),IF(OR(AND(K47&lt;9,J47=調査年),AND(K47&gt;=9,J47=調査年-1)),,ROUND(AH47*R47%,0)),
IF(リスト!$C$21="さとうきび",IF(OR(AND(K47&gt;=4,J47=調査年),AND(K47&lt;4,J47=調査年+1)),,ROUND(AH47*R47%,0)),
IF(J47=調査年,,ROUND(AH47*R47%,0)))))</f>
        <v>0</v>
      </c>
      <c r="AM47" s="788">
        <f t="shared" si="10"/>
        <v>0</v>
      </c>
      <c r="AN47" s="788">
        <f t="shared" si="11"/>
        <v>0</v>
      </c>
      <c r="AO47" s="788">
        <f t="shared" si="12"/>
        <v>0</v>
      </c>
      <c r="AP47" s="788">
        <f>IF(R47=0,,
SUM(
IF(OR(リスト!$C$21="小麦",リスト!$C$21="二条大麦",リスト!$C$21="六条大麦",リスト!$C$21="はだか麦",リスト!$C$21="なたね"),IF(OR(AND(AA47=1,K47&lt;9,J47=調査年),AND(AA47=1,K47&gt;=9,J47=調査年-1)),ROUND(L47*R47%,0),),
IF(リスト!$C$21="さとうきび",IF(OR(AND(AA47=1,K47&gt;=4,J47=調査年),AND(AA47=1,K47&lt;4,J47=調査年+1)),ROUND(L47*R47%,0),),
IF(AND(AA47=1,J47=調査年),ROUND(L47*R47%,0),))),
ROUND(M47*R47%,0)
))</f>
        <v>0</v>
      </c>
      <c r="AQ47" s="788">
        <f t="shared" si="13"/>
        <v>0</v>
      </c>
      <c r="AR47" s="788">
        <f t="shared" si="14"/>
        <v>0</v>
      </c>
      <c r="AS47" s="788">
        <f t="shared" si="20"/>
        <v>0</v>
      </c>
      <c r="AT47" s="788">
        <f t="shared" si="21"/>
        <v>0</v>
      </c>
      <c r="AU47" s="788">
        <f t="shared" si="15"/>
        <v>0</v>
      </c>
      <c r="AV47" s="788">
        <f t="shared" si="16"/>
        <v>0</v>
      </c>
      <c r="AW47" s="841">
        <f t="shared" si="17"/>
        <v>0</v>
      </c>
      <c r="AX47" s="842"/>
      <c r="AY47" s="842"/>
    </row>
    <row r="48" spans="3:51" s="55" customFormat="1" ht="30.75" hidden="1" customHeight="1" outlineLevel="1">
      <c r="C48" s="843">
        <v>31</v>
      </c>
      <c r="D48" s="803"/>
      <c r="E48" s="844"/>
      <c r="F48" s="845"/>
      <c r="G48" s="2281"/>
      <c r="H48" s="2282"/>
      <c r="I48" s="851"/>
      <c r="J48" s="846"/>
      <c r="K48" s="796"/>
      <c r="L48" s="797"/>
      <c r="M48" s="797"/>
      <c r="N48" s="797"/>
      <c r="O48" s="797"/>
      <c r="P48" s="797"/>
      <c r="Q48" s="797"/>
      <c r="R48" s="1284"/>
      <c r="S48" s="798"/>
      <c r="T48" s="847"/>
      <c r="U48" s="848"/>
      <c r="V48" s="837"/>
      <c r="W48" s="849"/>
      <c r="X48" s="850"/>
      <c r="Y48" s="174"/>
      <c r="Z48" s="786">
        <f t="shared" si="2"/>
        <v>0</v>
      </c>
      <c r="AA48" s="786">
        <f t="shared" si="3"/>
        <v>0</v>
      </c>
      <c r="AB48" s="786">
        <f t="shared" si="4"/>
        <v>0</v>
      </c>
      <c r="AC48" s="786">
        <f>IF(Z48=0,,VLOOKUP(Z48,リスト!DC:DD,2,0))</f>
        <v>0</v>
      </c>
      <c r="AD48" s="786">
        <f t="shared" si="5"/>
        <v>0</v>
      </c>
      <c r="AE48" s="787">
        <f>IF(AD48=0,,VLOOKUP(AD48,リスト!DK:DL,2,0))</f>
        <v>0</v>
      </c>
      <c r="AF48" s="786">
        <f>IF(Z48=0,,
IF(OR(リスト!$C$21="小麦",リスト!$C$21="二条大麦",リスト!$C$21="六条大麦",リスト!$C$21="はだか麦",リスト!$C$21="なたね"),IF(K48&lt;9,調査年-J48,調査年-J48-1),
IF(リスト!$C$21="さとうきび",IF(K48&gt;=4,調査年-J48,調査年-J48+1),
調査年-J48)))</f>
        <v>0</v>
      </c>
      <c r="AG48" s="788">
        <f t="shared" si="6"/>
        <v>0</v>
      </c>
      <c r="AH48" s="788">
        <f t="shared" si="7"/>
        <v>0</v>
      </c>
      <c r="AI48" s="788">
        <f t="shared" si="8"/>
        <v>0</v>
      </c>
      <c r="AJ48" s="788">
        <f t="shared" si="9"/>
        <v>0</v>
      </c>
      <c r="AK48" s="477"/>
      <c r="AL48" s="788">
        <f>IF(OR(R48=0,AH48=""),,
IF(OR(リスト!$C$21="小麦",リスト!$C$21="二条大麦",リスト!$C$21="六条大麦",リスト!$C$21="はだか麦",リスト!$C$21="なたね"),IF(OR(AND(K48&lt;9,J48=調査年),AND(K48&gt;=9,J48=調査年-1)),,ROUND(AH48*R48%,0)),
IF(リスト!$C$21="さとうきび",IF(OR(AND(K48&gt;=4,J48=調査年),AND(K48&lt;4,J48=調査年+1)),,ROUND(AH48*R48%,0)),
IF(J48=調査年,,ROUND(AH48*R48%,0)))))</f>
        <v>0</v>
      </c>
      <c r="AM48" s="788">
        <f t="shared" si="10"/>
        <v>0</v>
      </c>
      <c r="AN48" s="788">
        <f t="shared" si="11"/>
        <v>0</v>
      </c>
      <c r="AO48" s="788">
        <f t="shared" si="12"/>
        <v>0</v>
      </c>
      <c r="AP48" s="788">
        <f>IF(R48=0,,
SUM(
IF(OR(リスト!$C$21="小麦",リスト!$C$21="二条大麦",リスト!$C$21="六条大麦",リスト!$C$21="はだか麦",リスト!$C$21="なたね"),IF(OR(AND(AA48=1,K48&lt;9,J48=調査年),AND(AA48=1,K48&gt;=9,J48=調査年-1)),ROUND(L48*R48%,0),),
IF(リスト!$C$21="さとうきび",IF(OR(AND(AA48=1,K48&gt;=4,J48=調査年),AND(AA48=1,K48&lt;4,J48=調査年+1)),ROUND(L48*R48%,0),),
IF(AND(AA48=1,J48=調査年),ROUND(L48*R48%,0),))),
ROUND(M48*R48%,0)
))</f>
        <v>0</v>
      </c>
      <c r="AQ48" s="788">
        <f t="shared" si="13"/>
        <v>0</v>
      </c>
      <c r="AR48" s="788">
        <f t="shared" si="14"/>
        <v>0</v>
      </c>
      <c r="AS48" s="788">
        <f t="shared" si="20"/>
        <v>0</v>
      </c>
      <c r="AT48" s="788">
        <f t="shared" si="21"/>
        <v>0</v>
      </c>
      <c r="AU48" s="788">
        <f t="shared" si="15"/>
        <v>0</v>
      </c>
      <c r="AV48" s="788">
        <f t="shared" si="16"/>
        <v>0</v>
      </c>
      <c r="AW48" s="841">
        <f t="shared" si="17"/>
        <v>0</v>
      </c>
      <c r="AX48" s="842"/>
      <c r="AY48" s="842"/>
    </row>
    <row r="49" spans="3:51" s="55" customFormat="1" ht="30.75" hidden="1" customHeight="1" outlineLevel="1">
      <c r="C49" s="843">
        <v>32</v>
      </c>
      <c r="D49" s="791"/>
      <c r="E49" s="844"/>
      <c r="F49" s="845"/>
      <c r="G49" s="2281"/>
      <c r="H49" s="2282"/>
      <c r="I49" s="851"/>
      <c r="J49" s="846"/>
      <c r="K49" s="796"/>
      <c r="L49" s="797"/>
      <c r="M49" s="797"/>
      <c r="N49" s="797"/>
      <c r="O49" s="797"/>
      <c r="P49" s="797"/>
      <c r="Q49" s="797"/>
      <c r="R49" s="1284"/>
      <c r="S49" s="798"/>
      <c r="T49" s="847"/>
      <c r="U49" s="848"/>
      <c r="V49" s="837"/>
      <c r="W49" s="849"/>
      <c r="X49" s="850"/>
      <c r="Y49" s="174"/>
      <c r="Z49" s="786">
        <f t="shared" si="2"/>
        <v>0</v>
      </c>
      <c r="AA49" s="786">
        <f t="shared" si="3"/>
        <v>0</v>
      </c>
      <c r="AB49" s="786">
        <f t="shared" si="4"/>
        <v>0</v>
      </c>
      <c r="AC49" s="786">
        <f>IF(Z49=0,,VLOOKUP(Z49,リスト!DC:DD,2,0))</f>
        <v>0</v>
      </c>
      <c r="AD49" s="786">
        <f t="shared" si="5"/>
        <v>0</v>
      </c>
      <c r="AE49" s="787">
        <f>IF(AD49=0,,VLOOKUP(AD49,リスト!DK:DL,2,0))</f>
        <v>0</v>
      </c>
      <c r="AF49" s="786">
        <f>IF(Z49=0,,
IF(OR(リスト!$C$21="小麦",リスト!$C$21="二条大麦",リスト!$C$21="六条大麦",リスト!$C$21="はだか麦",リスト!$C$21="なたね"),IF(K49&lt;9,調査年-J49,調査年-J49-1),
IF(リスト!$C$21="さとうきび",IF(K49&gt;=4,調査年-J49,調査年-J49+1),
調査年-J49)))</f>
        <v>0</v>
      </c>
      <c r="AG49" s="788">
        <f t="shared" si="6"/>
        <v>0</v>
      </c>
      <c r="AH49" s="788">
        <f t="shared" si="7"/>
        <v>0</v>
      </c>
      <c r="AI49" s="788">
        <f t="shared" si="8"/>
        <v>0</v>
      </c>
      <c r="AJ49" s="788">
        <f t="shared" si="9"/>
        <v>0</v>
      </c>
      <c r="AK49" s="477"/>
      <c r="AL49" s="788">
        <f>IF(OR(R49=0,AH49=""),,
IF(OR(リスト!$C$21="小麦",リスト!$C$21="二条大麦",リスト!$C$21="六条大麦",リスト!$C$21="はだか麦",リスト!$C$21="なたね"),IF(OR(AND(K49&lt;9,J49=調査年),AND(K49&gt;=9,J49=調査年-1)),,ROUND(AH49*R49%,0)),
IF(リスト!$C$21="さとうきび",IF(OR(AND(K49&gt;=4,J49=調査年),AND(K49&lt;4,J49=調査年+1)),,ROUND(AH49*R49%,0)),
IF(J49=調査年,,ROUND(AH49*R49%,0)))))</f>
        <v>0</v>
      </c>
      <c r="AM49" s="788">
        <f t="shared" si="10"/>
        <v>0</v>
      </c>
      <c r="AN49" s="788">
        <f t="shared" si="11"/>
        <v>0</v>
      </c>
      <c r="AO49" s="788">
        <f t="shared" si="12"/>
        <v>0</v>
      </c>
      <c r="AP49" s="788">
        <f>IF(R49=0,,
SUM(
IF(OR(リスト!$C$21="小麦",リスト!$C$21="二条大麦",リスト!$C$21="六条大麦",リスト!$C$21="はだか麦",リスト!$C$21="なたね"),IF(OR(AND(AA49=1,K49&lt;9,J49=調査年),AND(AA49=1,K49&gt;=9,J49=調査年-1)),ROUND(L49*R49%,0),),
IF(リスト!$C$21="さとうきび",IF(OR(AND(AA49=1,K49&gt;=4,J49=調査年),AND(AA49=1,K49&lt;4,J49=調査年+1)),ROUND(L49*R49%,0),),
IF(AND(AA49=1,J49=調査年),ROUND(L49*R49%,0),))),
ROUND(M49*R49%,0)
))</f>
        <v>0</v>
      </c>
      <c r="AQ49" s="788">
        <f t="shared" si="13"/>
        <v>0</v>
      </c>
      <c r="AR49" s="788">
        <f t="shared" si="14"/>
        <v>0</v>
      </c>
      <c r="AS49" s="788">
        <f t="shared" si="20"/>
        <v>0</v>
      </c>
      <c r="AT49" s="788">
        <f t="shared" si="21"/>
        <v>0</v>
      </c>
      <c r="AU49" s="788">
        <f t="shared" si="15"/>
        <v>0</v>
      </c>
      <c r="AV49" s="788">
        <f t="shared" si="16"/>
        <v>0</v>
      </c>
      <c r="AW49" s="841">
        <f t="shared" si="17"/>
        <v>0</v>
      </c>
      <c r="AX49" s="842"/>
      <c r="AY49" s="842"/>
    </row>
    <row r="50" spans="3:51" s="55" customFormat="1" ht="30.75" hidden="1" customHeight="1" outlineLevel="1">
      <c r="C50" s="843">
        <v>33</v>
      </c>
      <c r="D50" s="803"/>
      <c r="E50" s="844"/>
      <c r="F50" s="845"/>
      <c r="G50" s="2281"/>
      <c r="H50" s="2282"/>
      <c r="I50" s="851"/>
      <c r="J50" s="846"/>
      <c r="K50" s="796"/>
      <c r="L50" s="797"/>
      <c r="M50" s="797"/>
      <c r="N50" s="797"/>
      <c r="O50" s="797"/>
      <c r="P50" s="797"/>
      <c r="Q50" s="797"/>
      <c r="R50" s="1284"/>
      <c r="S50" s="798"/>
      <c r="T50" s="847"/>
      <c r="U50" s="848"/>
      <c r="V50" s="837"/>
      <c r="W50" s="849"/>
      <c r="X50" s="850"/>
      <c r="Y50" s="174"/>
      <c r="Z50" s="786">
        <f t="shared" si="2"/>
        <v>0</v>
      </c>
      <c r="AA50" s="786">
        <f t="shared" si="3"/>
        <v>0</v>
      </c>
      <c r="AB50" s="786">
        <f t="shared" si="4"/>
        <v>0</v>
      </c>
      <c r="AC50" s="786">
        <f>IF(Z50=0,,VLOOKUP(Z50,リスト!DC:DD,2,0))</f>
        <v>0</v>
      </c>
      <c r="AD50" s="786">
        <f t="shared" si="5"/>
        <v>0</v>
      </c>
      <c r="AE50" s="787">
        <f>IF(AD50=0,,VLOOKUP(AD50,リスト!DK:DL,2,0))</f>
        <v>0</v>
      </c>
      <c r="AF50" s="786">
        <f>IF(Z50=0,,
IF(OR(リスト!$C$21="小麦",リスト!$C$21="二条大麦",リスト!$C$21="六条大麦",リスト!$C$21="はだか麦",リスト!$C$21="なたね"),IF(K50&lt;9,調査年-J50,調査年-J50-1),
IF(リスト!$C$21="さとうきび",IF(K50&gt;=4,調査年-J50,調査年-J50+1),
調査年-J50)))</f>
        <v>0</v>
      </c>
      <c r="AG50" s="788">
        <f t="shared" ref="AG50:AG81" si="22">IF(OR(Z50=0,AA50=1),,
IF(AND(AD50&gt;0,AF50&lt;AD50,AH50&lt;=ROUND((L50-1)*AE50,0)),ROUND(AH50,0),
IF(AND(AD50&gt;0,AF50&lt;AD50),ROUND((L50-1)*AE50,0),)))</f>
        <v>0</v>
      </c>
      <c r="AH50" s="788">
        <f t="shared" si="7"/>
        <v>0</v>
      </c>
      <c r="AI50" s="788">
        <f t="shared" si="8"/>
        <v>0</v>
      </c>
      <c r="AJ50" s="788">
        <f t="shared" si="9"/>
        <v>0</v>
      </c>
      <c r="AK50" s="477"/>
      <c r="AL50" s="788">
        <f>IF(OR(R50=0,AH50=""),,
IF(OR(リスト!$C$21="小麦",リスト!$C$21="二条大麦",リスト!$C$21="六条大麦",リスト!$C$21="はだか麦",リスト!$C$21="なたね"),IF(OR(AND(K50&lt;9,J50=調査年),AND(K50&gt;=9,J50=調査年-1)),,ROUND(AH50*R50%,0)),
IF(リスト!$C$21="さとうきび",IF(OR(AND(K50&gt;=4,J50=調査年),AND(K50&lt;4,J50=調査年+1)),,ROUND(AH50*R50%,0)),
IF(J50=調査年,,ROUND(AH50*R50%,0)))))</f>
        <v>0</v>
      </c>
      <c r="AM50" s="788">
        <f t="shared" si="10"/>
        <v>0</v>
      </c>
      <c r="AN50" s="788">
        <f t="shared" si="11"/>
        <v>0</v>
      </c>
      <c r="AO50" s="788">
        <f t="shared" si="12"/>
        <v>0</v>
      </c>
      <c r="AP50" s="788">
        <f>IF(R50=0,,
SUM(
IF(OR(リスト!$C$21="小麦",リスト!$C$21="二条大麦",リスト!$C$21="六条大麦",リスト!$C$21="はだか麦",リスト!$C$21="なたね"),IF(OR(AND(AA50=1,K50&lt;9,J50=調査年),AND(AA50=1,K50&gt;=9,J50=調査年-1)),ROUND(L50*R50%,0),),
IF(リスト!$C$21="さとうきび",IF(OR(AND(AA50=1,K50&gt;=4,J50=調査年),AND(AA50=1,K50&lt;4,J50=調査年+1)),ROUND(L50*R50%,0),),
IF(AND(AA50=1,J50=調査年),ROUND(L50*R50%,0),))),
ROUND(M50*R50%,0)
))</f>
        <v>0</v>
      </c>
      <c r="AQ50" s="788">
        <f t="shared" si="13"/>
        <v>0</v>
      </c>
      <c r="AR50" s="788">
        <f t="shared" si="14"/>
        <v>0</v>
      </c>
      <c r="AS50" s="788">
        <f t="shared" si="20"/>
        <v>0</v>
      </c>
      <c r="AT50" s="788">
        <f t="shared" si="21"/>
        <v>0</v>
      </c>
      <c r="AU50" s="788">
        <f t="shared" si="15"/>
        <v>0</v>
      </c>
      <c r="AV50" s="788">
        <f t="shared" si="16"/>
        <v>0</v>
      </c>
      <c r="AW50" s="841">
        <f t="shared" si="17"/>
        <v>0</v>
      </c>
      <c r="AX50" s="842"/>
      <c r="AY50" s="842"/>
    </row>
    <row r="51" spans="3:51" s="55" customFormat="1" ht="30.75" hidden="1" customHeight="1" outlineLevel="1">
      <c r="C51" s="843">
        <v>34</v>
      </c>
      <c r="D51" s="803"/>
      <c r="E51" s="844"/>
      <c r="F51" s="845"/>
      <c r="G51" s="2281"/>
      <c r="H51" s="2282"/>
      <c r="I51" s="851"/>
      <c r="J51" s="846"/>
      <c r="K51" s="796"/>
      <c r="L51" s="797"/>
      <c r="M51" s="797"/>
      <c r="N51" s="797"/>
      <c r="O51" s="797"/>
      <c r="P51" s="797"/>
      <c r="Q51" s="797"/>
      <c r="R51" s="1284"/>
      <c r="S51" s="798"/>
      <c r="T51" s="847"/>
      <c r="U51" s="848"/>
      <c r="V51" s="837"/>
      <c r="W51" s="849"/>
      <c r="X51" s="850"/>
      <c r="Y51" s="174"/>
      <c r="Z51" s="786">
        <f t="shared" si="2"/>
        <v>0</v>
      </c>
      <c r="AA51" s="786">
        <f t="shared" si="3"/>
        <v>0</v>
      </c>
      <c r="AB51" s="786">
        <f t="shared" si="4"/>
        <v>0</v>
      </c>
      <c r="AC51" s="786">
        <f>IF(Z51=0,,VLOOKUP(Z51,リスト!DC:DD,2,0))</f>
        <v>0</v>
      </c>
      <c r="AD51" s="786">
        <f t="shared" si="5"/>
        <v>0</v>
      </c>
      <c r="AE51" s="787">
        <f>IF(AD51=0,,VLOOKUP(AD51,リスト!DK:DL,2,0))</f>
        <v>0</v>
      </c>
      <c r="AF51" s="786">
        <f>IF(Z51=0,,
IF(OR(リスト!$C$21="小麦",リスト!$C$21="二条大麦",リスト!$C$21="六条大麦",リスト!$C$21="はだか麦",リスト!$C$21="なたね"),IF(K51&lt;9,調査年-J51,調査年-J51-1),
IF(リスト!$C$21="さとうきび",IF(K51&gt;=4,調査年-J51,調査年-J51+1),
調査年-J51)))</f>
        <v>0</v>
      </c>
      <c r="AG51" s="788">
        <f t="shared" si="22"/>
        <v>0</v>
      </c>
      <c r="AH51" s="788">
        <f t="shared" si="7"/>
        <v>0</v>
      </c>
      <c r="AI51" s="788">
        <f t="shared" si="8"/>
        <v>0</v>
      </c>
      <c r="AJ51" s="788">
        <f t="shared" si="9"/>
        <v>0</v>
      </c>
      <c r="AK51" s="477"/>
      <c r="AL51" s="788">
        <f>IF(OR(R51=0,AH51=""),,
IF(OR(リスト!$C$21="小麦",リスト!$C$21="二条大麦",リスト!$C$21="六条大麦",リスト!$C$21="はだか麦",リスト!$C$21="なたね"),IF(OR(AND(K51&lt;9,J51=調査年),AND(K51&gt;=9,J51=調査年-1)),,ROUND(AH51*R51%,0)),
IF(リスト!$C$21="さとうきび",IF(OR(AND(K51&gt;=4,J51=調査年),AND(K51&lt;4,J51=調査年+1)),,ROUND(AH51*R51%,0)),
IF(J51=調査年,,ROUND(AH51*R51%,0)))))</f>
        <v>0</v>
      </c>
      <c r="AM51" s="788">
        <f t="shared" si="10"/>
        <v>0</v>
      </c>
      <c r="AN51" s="788">
        <f t="shared" si="11"/>
        <v>0</v>
      </c>
      <c r="AO51" s="788">
        <f t="shared" si="12"/>
        <v>0</v>
      </c>
      <c r="AP51" s="788">
        <f>IF(R51=0,,
SUM(
IF(OR(リスト!$C$21="小麦",リスト!$C$21="二条大麦",リスト!$C$21="六条大麦",リスト!$C$21="はだか麦",リスト!$C$21="なたね"),IF(OR(AND(AA51=1,K51&lt;9,J51=調査年),AND(AA51=1,K51&gt;=9,J51=調査年-1)),ROUND(L51*R51%,0),),
IF(リスト!$C$21="さとうきび",IF(OR(AND(AA51=1,K51&gt;=4,J51=調査年),AND(AA51=1,K51&lt;4,J51=調査年+1)),ROUND(L51*R51%,0),),
IF(AND(AA51=1,J51=調査年),ROUND(L51*R51%,0),))),
ROUND(M51*R51%,0)
))</f>
        <v>0</v>
      </c>
      <c r="AQ51" s="788">
        <f t="shared" si="13"/>
        <v>0</v>
      </c>
      <c r="AR51" s="788">
        <f t="shared" si="14"/>
        <v>0</v>
      </c>
      <c r="AS51" s="788">
        <f t="shared" si="20"/>
        <v>0</v>
      </c>
      <c r="AT51" s="788">
        <f t="shared" si="21"/>
        <v>0</v>
      </c>
      <c r="AU51" s="788">
        <f t="shared" si="15"/>
        <v>0</v>
      </c>
      <c r="AV51" s="788">
        <f t="shared" si="16"/>
        <v>0</v>
      </c>
      <c r="AW51" s="841">
        <f t="shared" si="17"/>
        <v>0</v>
      </c>
      <c r="AX51" s="842"/>
      <c r="AY51" s="842"/>
    </row>
    <row r="52" spans="3:51" s="55" customFormat="1" ht="30.75" hidden="1" customHeight="1" outlineLevel="1">
      <c r="C52" s="843">
        <v>35</v>
      </c>
      <c r="D52" s="803"/>
      <c r="E52" s="844"/>
      <c r="F52" s="845"/>
      <c r="G52" s="2281"/>
      <c r="H52" s="2282"/>
      <c r="I52" s="851"/>
      <c r="J52" s="846"/>
      <c r="K52" s="796"/>
      <c r="L52" s="797"/>
      <c r="M52" s="797"/>
      <c r="N52" s="797"/>
      <c r="O52" s="797"/>
      <c r="P52" s="797"/>
      <c r="Q52" s="797"/>
      <c r="R52" s="1284"/>
      <c r="S52" s="798"/>
      <c r="T52" s="847"/>
      <c r="U52" s="848"/>
      <c r="V52" s="837"/>
      <c r="W52" s="849"/>
      <c r="X52" s="850"/>
      <c r="Y52" s="174"/>
      <c r="Z52" s="786">
        <f t="shared" si="2"/>
        <v>0</v>
      </c>
      <c r="AA52" s="786">
        <f t="shared" si="3"/>
        <v>0</v>
      </c>
      <c r="AB52" s="786">
        <f t="shared" si="4"/>
        <v>0</v>
      </c>
      <c r="AC52" s="786">
        <f>IF(Z52=0,,VLOOKUP(Z52,リスト!DC:DD,2,0))</f>
        <v>0</v>
      </c>
      <c r="AD52" s="786">
        <f t="shared" si="5"/>
        <v>0</v>
      </c>
      <c r="AE52" s="787">
        <f>IF(AD52=0,,VLOOKUP(AD52,リスト!DK:DL,2,0))</f>
        <v>0</v>
      </c>
      <c r="AF52" s="786">
        <f>IF(Z52=0,,
IF(OR(リスト!$C$21="小麦",リスト!$C$21="二条大麦",リスト!$C$21="六条大麦",リスト!$C$21="はだか麦",リスト!$C$21="なたね"),IF(K52&lt;9,調査年-J52,調査年-J52-1),
IF(リスト!$C$21="さとうきび",IF(K52&gt;=4,調査年-J52,調査年-J52+1),
調査年-J52)))</f>
        <v>0</v>
      </c>
      <c r="AG52" s="788">
        <f t="shared" si="22"/>
        <v>0</v>
      </c>
      <c r="AH52" s="788">
        <f t="shared" si="7"/>
        <v>0</v>
      </c>
      <c r="AI52" s="788">
        <f t="shared" si="8"/>
        <v>0</v>
      </c>
      <c r="AJ52" s="788">
        <f t="shared" si="9"/>
        <v>0</v>
      </c>
      <c r="AK52" s="477"/>
      <c r="AL52" s="788">
        <f>IF(OR(R52=0,AH52=""),,
IF(OR(リスト!$C$21="小麦",リスト!$C$21="二条大麦",リスト!$C$21="六条大麦",リスト!$C$21="はだか麦",リスト!$C$21="なたね"),IF(OR(AND(K52&lt;9,J52=調査年),AND(K52&gt;=9,J52=調査年-1)),,ROUND(AH52*R52%,0)),
IF(リスト!$C$21="さとうきび",IF(OR(AND(K52&gt;=4,J52=調査年),AND(K52&lt;4,J52=調査年+1)),,ROUND(AH52*R52%,0)),
IF(J52=調査年,,ROUND(AH52*R52%,0)))))</f>
        <v>0</v>
      </c>
      <c r="AM52" s="788">
        <f t="shared" si="10"/>
        <v>0</v>
      </c>
      <c r="AN52" s="788">
        <f t="shared" si="11"/>
        <v>0</v>
      </c>
      <c r="AO52" s="788">
        <f t="shared" si="12"/>
        <v>0</v>
      </c>
      <c r="AP52" s="788">
        <f>IF(R52=0,,
SUM(
IF(OR(リスト!$C$21="小麦",リスト!$C$21="二条大麦",リスト!$C$21="六条大麦",リスト!$C$21="はだか麦",リスト!$C$21="なたね"),IF(OR(AND(AA52=1,K52&lt;9,J52=調査年),AND(AA52=1,K52&gt;=9,J52=調査年-1)),ROUND(L52*R52%,0),),
IF(リスト!$C$21="さとうきび",IF(OR(AND(AA52=1,K52&gt;=4,J52=調査年),AND(AA52=1,K52&lt;4,J52=調査年+1)),ROUND(L52*R52%,0),),
IF(AND(AA52=1,J52=調査年),ROUND(L52*R52%,0),))),
ROUND(M52*R52%,0)
))</f>
        <v>0</v>
      </c>
      <c r="AQ52" s="788">
        <f t="shared" si="13"/>
        <v>0</v>
      </c>
      <c r="AR52" s="788">
        <f t="shared" si="14"/>
        <v>0</v>
      </c>
      <c r="AS52" s="788">
        <f t="shared" si="20"/>
        <v>0</v>
      </c>
      <c r="AT52" s="788">
        <f t="shared" si="21"/>
        <v>0</v>
      </c>
      <c r="AU52" s="788">
        <f t="shared" si="15"/>
        <v>0</v>
      </c>
      <c r="AV52" s="788">
        <f t="shared" si="16"/>
        <v>0</v>
      </c>
      <c r="AW52" s="841">
        <f t="shared" si="17"/>
        <v>0</v>
      </c>
      <c r="AX52" s="842"/>
      <c r="AY52" s="842"/>
    </row>
    <row r="53" spans="3:51" s="55" customFormat="1" ht="30.75" hidden="1" customHeight="1" outlineLevel="1">
      <c r="C53" s="843">
        <v>36</v>
      </c>
      <c r="D53" s="803"/>
      <c r="E53" s="853"/>
      <c r="F53" s="854"/>
      <c r="G53" s="2287"/>
      <c r="H53" s="2288"/>
      <c r="I53" s="855"/>
      <c r="J53" s="856"/>
      <c r="K53" s="857"/>
      <c r="L53" s="858"/>
      <c r="M53" s="858"/>
      <c r="N53" s="858"/>
      <c r="O53" s="858"/>
      <c r="P53" s="858"/>
      <c r="Q53" s="858"/>
      <c r="R53" s="1284"/>
      <c r="S53" s="859"/>
      <c r="T53" s="860"/>
      <c r="U53" s="861"/>
      <c r="V53" s="837"/>
      <c r="W53" s="849"/>
      <c r="X53" s="850"/>
      <c r="Y53" s="174"/>
      <c r="Z53" s="786">
        <f t="shared" si="2"/>
        <v>0</v>
      </c>
      <c r="AA53" s="786">
        <f t="shared" si="3"/>
        <v>0</v>
      </c>
      <c r="AB53" s="786">
        <f t="shared" si="4"/>
        <v>0</v>
      </c>
      <c r="AC53" s="786">
        <f>IF(Z53=0,,VLOOKUP(Z53,リスト!DC:DD,2,0))</f>
        <v>0</v>
      </c>
      <c r="AD53" s="786">
        <f t="shared" si="5"/>
        <v>0</v>
      </c>
      <c r="AE53" s="787">
        <f>IF(AD53=0,,VLOOKUP(AD53,リスト!DK:DL,2,0))</f>
        <v>0</v>
      </c>
      <c r="AF53" s="786">
        <f>IF(Z53=0,,
IF(OR(リスト!$C$21="小麦",リスト!$C$21="二条大麦",リスト!$C$21="六条大麦",リスト!$C$21="はだか麦",リスト!$C$21="なたね"),IF(K53&lt;9,調査年-J53,調査年-J53-1),
IF(リスト!$C$21="さとうきび",IF(K53&gt;=4,調査年-J53,調査年-J53+1),
調査年-J53)))</f>
        <v>0</v>
      </c>
      <c r="AG53" s="788">
        <f t="shared" si="22"/>
        <v>0</v>
      </c>
      <c r="AH53" s="788">
        <f t="shared" si="7"/>
        <v>0</v>
      </c>
      <c r="AI53" s="788">
        <f t="shared" si="8"/>
        <v>0</v>
      </c>
      <c r="AJ53" s="788">
        <f t="shared" si="9"/>
        <v>0</v>
      </c>
      <c r="AK53" s="477"/>
      <c r="AL53" s="788">
        <f>IF(OR(R53=0,AH53=""),,
IF(OR(リスト!$C$21="小麦",リスト!$C$21="二条大麦",リスト!$C$21="六条大麦",リスト!$C$21="はだか麦",リスト!$C$21="なたね"),IF(OR(AND(K53&lt;9,J53=調査年),AND(K53&gt;=9,J53=調査年-1)),,ROUND(AH53*R53%,0)),
IF(リスト!$C$21="さとうきび",IF(OR(AND(K53&gt;=4,J53=調査年),AND(K53&lt;4,J53=調査年+1)),,ROUND(AH53*R53%,0)),
IF(J53=調査年,,ROUND(AH53*R53%,0)))))</f>
        <v>0</v>
      </c>
      <c r="AM53" s="788">
        <f t="shared" si="10"/>
        <v>0</v>
      </c>
      <c r="AN53" s="788">
        <f t="shared" si="11"/>
        <v>0</v>
      </c>
      <c r="AO53" s="788">
        <f t="shared" si="12"/>
        <v>0</v>
      </c>
      <c r="AP53" s="788">
        <f>IF(R53=0,,
SUM(
IF(OR(リスト!$C$21="小麦",リスト!$C$21="二条大麦",リスト!$C$21="六条大麦",リスト!$C$21="はだか麦",リスト!$C$21="なたね"),IF(OR(AND(AA53=1,K53&lt;9,J53=調査年),AND(AA53=1,K53&gt;=9,J53=調査年-1)),ROUND(L53*R53%,0),),
IF(リスト!$C$21="さとうきび",IF(OR(AND(AA53=1,K53&gt;=4,J53=調査年),AND(AA53=1,K53&lt;4,J53=調査年+1)),ROUND(L53*R53%,0),),
IF(AND(AA53=1,J53=調査年),ROUND(L53*R53%,0),))),
ROUND(M53*R53%,0)
))</f>
        <v>0</v>
      </c>
      <c r="AQ53" s="788">
        <f t="shared" si="13"/>
        <v>0</v>
      </c>
      <c r="AR53" s="788">
        <f t="shared" si="14"/>
        <v>0</v>
      </c>
      <c r="AS53" s="788">
        <f t="shared" si="20"/>
        <v>0</v>
      </c>
      <c r="AT53" s="788">
        <f t="shared" si="21"/>
        <v>0</v>
      </c>
      <c r="AU53" s="788">
        <f t="shared" si="15"/>
        <v>0</v>
      </c>
      <c r="AV53" s="788">
        <f t="shared" si="16"/>
        <v>0</v>
      </c>
      <c r="AW53" s="841">
        <f t="shared" si="17"/>
        <v>0</v>
      </c>
      <c r="AX53" s="842"/>
      <c r="AY53" s="842"/>
    </row>
    <row r="54" spans="3:51" s="55" customFormat="1" ht="30.75" hidden="1" customHeight="1" outlineLevel="1">
      <c r="C54" s="843">
        <v>37</v>
      </c>
      <c r="D54" s="803"/>
      <c r="E54" s="844"/>
      <c r="F54" s="845"/>
      <c r="G54" s="2281"/>
      <c r="H54" s="2282"/>
      <c r="I54" s="851"/>
      <c r="J54" s="846"/>
      <c r="K54" s="796"/>
      <c r="L54" s="797"/>
      <c r="M54" s="797"/>
      <c r="N54" s="797"/>
      <c r="O54" s="797"/>
      <c r="P54" s="797"/>
      <c r="Q54" s="797"/>
      <c r="R54" s="1284"/>
      <c r="S54" s="798"/>
      <c r="T54" s="847"/>
      <c r="U54" s="848"/>
      <c r="V54" s="837"/>
      <c r="W54" s="849"/>
      <c r="X54" s="850"/>
      <c r="Y54" s="174"/>
      <c r="Z54" s="786">
        <f t="shared" si="2"/>
        <v>0</v>
      </c>
      <c r="AA54" s="786">
        <f t="shared" si="3"/>
        <v>0</v>
      </c>
      <c r="AB54" s="786">
        <f t="shared" si="4"/>
        <v>0</v>
      </c>
      <c r="AC54" s="786">
        <f>IF(Z54=0,,VLOOKUP(Z54,リスト!DC:DD,2,0))</f>
        <v>0</v>
      </c>
      <c r="AD54" s="786">
        <f t="shared" si="5"/>
        <v>0</v>
      </c>
      <c r="AE54" s="787">
        <f>IF(AD54=0,,VLOOKUP(AD54,リスト!DK:DL,2,0))</f>
        <v>0</v>
      </c>
      <c r="AF54" s="786">
        <f>IF(Z54=0,,
IF(OR(リスト!$C$21="小麦",リスト!$C$21="二条大麦",リスト!$C$21="六条大麦",リスト!$C$21="はだか麦",リスト!$C$21="なたね"),IF(K54&lt;9,調査年-J54,調査年-J54-1),
IF(リスト!$C$21="さとうきび",IF(K54&gt;=4,調査年-J54,調査年-J54+1),
調査年-J54)))</f>
        <v>0</v>
      </c>
      <c r="AG54" s="788">
        <f t="shared" si="22"/>
        <v>0</v>
      </c>
      <c r="AH54" s="788">
        <f t="shared" si="7"/>
        <v>0</v>
      </c>
      <c r="AI54" s="788">
        <f t="shared" si="8"/>
        <v>0</v>
      </c>
      <c r="AJ54" s="788">
        <f t="shared" si="9"/>
        <v>0</v>
      </c>
      <c r="AK54" s="477"/>
      <c r="AL54" s="788">
        <f>IF(OR(R54=0,AH54=""),,
IF(OR(リスト!$C$21="小麦",リスト!$C$21="二条大麦",リスト!$C$21="六条大麦",リスト!$C$21="はだか麦",リスト!$C$21="なたね"),IF(OR(AND(K54&lt;9,J54=調査年),AND(K54&gt;=9,J54=調査年-1)),,ROUND(AH54*R54%,0)),
IF(リスト!$C$21="さとうきび",IF(OR(AND(K54&gt;=4,J54=調査年),AND(K54&lt;4,J54=調査年+1)),,ROUND(AH54*R54%,0)),
IF(J54=調査年,,ROUND(AH54*R54%,0)))))</f>
        <v>0</v>
      </c>
      <c r="AM54" s="788">
        <f t="shared" si="10"/>
        <v>0</v>
      </c>
      <c r="AN54" s="788">
        <f t="shared" si="11"/>
        <v>0</v>
      </c>
      <c r="AO54" s="788">
        <f t="shared" si="12"/>
        <v>0</v>
      </c>
      <c r="AP54" s="788">
        <f>IF(R54=0,,
SUM(
IF(OR(リスト!$C$21="小麦",リスト!$C$21="二条大麦",リスト!$C$21="六条大麦",リスト!$C$21="はだか麦",リスト!$C$21="なたね"),IF(OR(AND(AA54=1,K54&lt;9,J54=調査年),AND(AA54=1,K54&gt;=9,J54=調査年-1)),ROUND(L54*R54%,0),),
IF(リスト!$C$21="さとうきび",IF(OR(AND(AA54=1,K54&gt;=4,J54=調査年),AND(AA54=1,K54&lt;4,J54=調査年+1)),ROUND(L54*R54%,0),),
IF(AND(AA54=1,J54=調査年),ROUND(L54*R54%,0),))),
ROUND(M54*R54%,0)
))</f>
        <v>0</v>
      </c>
      <c r="AQ54" s="788">
        <f t="shared" si="13"/>
        <v>0</v>
      </c>
      <c r="AR54" s="788">
        <f t="shared" si="14"/>
        <v>0</v>
      </c>
      <c r="AS54" s="788">
        <f t="shared" si="20"/>
        <v>0</v>
      </c>
      <c r="AT54" s="788">
        <f t="shared" si="21"/>
        <v>0</v>
      </c>
      <c r="AU54" s="788">
        <f t="shared" si="15"/>
        <v>0</v>
      </c>
      <c r="AV54" s="788">
        <f t="shared" si="16"/>
        <v>0</v>
      </c>
      <c r="AW54" s="841">
        <f t="shared" si="17"/>
        <v>0</v>
      </c>
      <c r="AX54" s="842"/>
      <c r="AY54" s="842"/>
    </row>
    <row r="55" spans="3:51" s="55" customFormat="1" ht="30.75" hidden="1" customHeight="1" outlineLevel="1">
      <c r="C55" s="843">
        <v>38</v>
      </c>
      <c r="D55" s="803"/>
      <c r="E55" s="844"/>
      <c r="F55" s="845"/>
      <c r="G55" s="2281"/>
      <c r="H55" s="2282"/>
      <c r="I55" s="851"/>
      <c r="J55" s="846"/>
      <c r="K55" s="796"/>
      <c r="L55" s="797"/>
      <c r="M55" s="797"/>
      <c r="N55" s="797"/>
      <c r="O55" s="797"/>
      <c r="P55" s="797"/>
      <c r="Q55" s="797"/>
      <c r="R55" s="1284"/>
      <c r="S55" s="798"/>
      <c r="T55" s="847"/>
      <c r="U55" s="848"/>
      <c r="V55" s="837"/>
      <c r="W55" s="849"/>
      <c r="X55" s="850"/>
      <c r="Y55" s="174"/>
      <c r="Z55" s="786">
        <f t="shared" si="2"/>
        <v>0</v>
      </c>
      <c r="AA55" s="786">
        <f t="shared" si="3"/>
        <v>0</v>
      </c>
      <c r="AB55" s="786">
        <f t="shared" si="4"/>
        <v>0</v>
      </c>
      <c r="AC55" s="786">
        <f>IF(Z55=0,,VLOOKUP(Z55,リスト!DC:DD,2,0))</f>
        <v>0</v>
      </c>
      <c r="AD55" s="786">
        <f t="shared" si="5"/>
        <v>0</v>
      </c>
      <c r="AE55" s="787">
        <f>IF(AD55=0,,VLOOKUP(AD55,リスト!DK:DL,2,0))</f>
        <v>0</v>
      </c>
      <c r="AF55" s="786">
        <f>IF(Z55=0,,
IF(OR(リスト!$C$21="小麦",リスト!$C$21="二条大麦",リスト!$C$21="六条大麦",リスト!$C$21="はだか麦",リスト!$C$21="なたね"),IF(K55&lt;9,調査年-J55,調査年-J55-1),
IF(リスト!$C$21="さとうきび",IF(K55&gt;=4,調査年-J55,調査年-J55+1),
調査年-J55)))</f>
        <v>0</v>
      </c>
      <c r="AG55" s="788">
        <f t="shared" si="22"/>
        <v>0</v>
      </c>
      <c r="AH55" s="788">
        <f t="shared" si="7"/>
        <v>0</v>
      </c>
      <c r="AI55" s="788">
        <f t="shared" si="8"/>
        <v>0</v>
      </c>
      <c r="AJ55" s="788">
        <f t="shared" si="9"/>
        <v>0</v>
      </c>
      <c r="AK55" s="477"/>
      <c r="AL55" s="788">
        <f>IF(OR(R55=0,AH55=""),,
IF(OR(リスト!$C$21="小麦",リスト!$C$21="二条大麦",リスト!$C$21="六条大麦",リスト!$C$21="はだか麦",リスト!$C$21="なたね"),IF(OR(AND(K55&lt;9,J55=調査年),AND(K55&gt;=9,J55=調査年-1)),,ROUND(AH55*R55%,0)),
IF(リスト!$C$21="さとうきび",IF(OR(AND(K55&gt;=4,J55=調査年),AND(K55&lt;4,J55=調査年+1)),,ROUND(AH55*R55%,0)),
IF(J55=調査年,,ROUND(AH55*R55%,0)))))</f>
        <v>0</v>
      </c>
      <c r="AM55" s="788">
        <f t="shared" si="10"/>
        <v>0</v>
      </c>
      <c r="AN55" s="788">
        <f t="shared" si="11"/>
        <v>0</v>
      </c>
      <c r="AO55" s="788">
        <f t="shared" si="12"/>
        <v>0</v>
      </c>
      <c r="AP55" s="788">
        <f>IF(R55=0,,
SUM(
IF(OR(リスト!$C$21="小麦",リスト!$C$21="二条大麦",リスト!$C$21="六条大麦",リスト!$C$21="はだか麦",リスト!$C$21="なたね"),IF(OR(AND(AA55=1,K55&lt;9,J55=調査年),AND(AA55=1,K55&gt;=9,J55=調査年-1)),ROUND(L55*R55%,0),),
IF(リスト!$C$21="さとうきび",IF(OR(AND(AA55=1,K55&gt;=4,J55=調査年),AND(AA55=1,K55&lt;4,J55=調査年+1)),ROUND(L55*R55%,0),),
IF(AND(AA55=1,J55=調査年),ROUND(L55*R55%,0),))),
ROUND(M55*R55%,0)
))</f>
        <v>0</v>
      </c>
      <c r="AQ55" s="788">
        <f t="shared" si="13"/>
        <v>0</v>
      </c>
      <c r="AR55" s="788">
        <f t="shared" si="14"/>
        <v>0</v>
      </c>
      <c r="AS55" s="788">
        <f t="shared" si="20"/>
        <v>0</v>
      </c>
      <c r="AT55" s="788">
        <f t="shared" si="21"/>
        <v>0</v>
      </c>
      <c r="AU55" s="788">
        <f t="shared" si="15"/>
        <v>0</v>
      </c>
      <c r="AV55" s="788">
        <f t="shared" si="16"/>
        <v>0</v>
      </c>
      <c r="AW55" s="841">
        <f t="shared" si="17"/>
        <v>0</v>
      </c>
      <c r="AX55" s="842"/>
      <c r="AY55" s="842"/>
    </row>
    <row r="56" spans="3:51" s="55" customFormat="1" ht="30.75" hidden="1" customHeight="1" outlineLevel="1">
      <c r="C56" s="843">
        <v>39</v>
      </c>
      <c r="D56" s="803"/>
      <c r="E56" s="844"/>
      <c r="F56" s="845"/>
      <c r="G56" s="2281"/>
      <c r="H56" s="2282"/>
      <c r="I56" s="851"/>
      <c r="J56" s="846"/>
      <c r="K56" s="796"/>
      <c r="L56" s="797"/>
      <c r="M56" s="797"/>
      <c r="N56" s="797"/>
      <c r="O56" s="797"/>
      <c r="P56" s="797"/>
      <c r="Q56" s="797"/>
      <c r="R56" s="1284"/>
      <c r="S56" s="798"/>
      <c r="T56" s="847"/>
      <c r="U56" s="848"/>
      <c r="V56" s="837"/>
      <c r="W56" s="849"/>
      <c r="X56" s="850"/>
      <c r="Y56" s="174"/>
      <c r="Z56" s="786">
        <f t="shared" si="2"/>
        <v>0</v>
      </c>
      <c r="AA56" s="786">
        <f t="shared" si="3"/>
        <v>0</v>
      </c>
      <c r="AB56" s="786">
        <f t="shared" si="4"/>
        <v>0</v>
      </c>
      <c r="AC56" s="786">
        <f>IF(Z56=0,,VLOOKUP(Z56,リスト!DC:DD,2,0))</f>
        <v>0</v>
      </c>
      <c r="AD56" s="786">
        <f t="shared" si="5"/>
        <v>0</v>
      </c>
      <c r="AE56" s="787">
        <f>IF(AD56=0,,VLOOKUP(AD56,リスト!DK:DL,2,0))</f>
        <v>0</v>
      </c>
      <c r="AF56" s="786">
        <f>IF(Z56=0,,
IF(OR(リスト!$C$21="小麦",リスト!$C$21="二条大麦",リスト!$C$21="六条大麦",リスト!$C$21="はだか麦",リスト!$C$21="なたね"),IF(K56&lt;9,調査年-J56,調査年-J56-1),
IF(リスト!$C$21="さとうきび",IF(K56&gt;=4,調査年-J56,調査年-J56+1),
調査年-J56)))</f>
        <v>0</v>
      </c>
      <c r="AG56" s="788">
        <f t="shared" si="22"/>
        <v>0</v>
      </c>
      <c r="AH56" s="788">
        <f t="shared" si="7"/>
        <v>0</v>
      </c>
      <c r="AI56" s="788">
        <f t="shared" si="8"/>
        <v>0</v>
      </c>
      <c r="AJ56" s="788">
        <f t="shared" si="9"/>
        <v>0</v>
      </c>
      <c r="AK56" s="477"/>
      <c r="AL56" s="788">
        <f>IF(OR(R56=0,AH56=""),,
IF(OR(リスト!$C$21="小麦",リスト!$C$21="二条大麦",リスト!$C$21="六条大麦",リスト!$C$21="はだか麦",リスト!$C$21="なたね"),IF(OR(AND(K56&lt;9,J56=調査年),AND(K56&gt;=9,J56=調査年-1)),,ROUND(AH56*R56%,0)),
IF(リスト!$C$21="さとうきび",IF(OR(AND(K56&gt;=4,J56=調査年),AND(K56&lt;4,J56=調査年+1)),,ROUND(AH56*R56%,0)),
IF(J56=調査年,,ROUND(AH56*R56%,0)))))</f>
        <v>0</v>
      </c>
      <c r="AM56" s="788">
        <f t="shared" si="10"/>
        <v>0</v>
      </c>
      <c r="AN56" s="788">
        <f t="shared" si="11"/>
        <v>0</v>
      </c>
      <c r="AO56" s="788">
        <f t="shared" si="12"/>
        <v>0</v>
      </c>
      <c r="AP56" s="788">
        <f>IF(R56=0,,
SUM(
IF(OR(リスト!$C$21="小麦",リスト!$C$21="二条大麦",リスト!$C$21="六条大麦",リスト!$C$21="はだか麦",リスト!$C$21="なたね"),IF(OR(AND(AA56=1,K56&lt;9,J56=調査年),AND(AA56=1,K56&gt;=9,J56=調査年-1)),ROUND(L56*R56%,0),),
IF(リスト!$C$21="さとうきび",IF(OR(AND(AA56=1,K56&gt;=4,J56=調査年),AND(AA56=1,K56&lt;4,J56=調査年+1)),ROUND(L56*R56%,0),),
IF(AND(AA56=1,J56=調査年),ROUND(L56*R56%,0),))),
ROUND(M56*R56%,0)
))</f>
        <v>0</v>
      </c>
      <c r="AQ56" s="788">
        <f t="shared" si="13"/>
        <v>0</v>
      </c>
      <c r="AR56" s="788">
        <f t="shared" si="14"/>
        <v>0</v>
      </c>
      <c r="AS56" s="788">
        <f t="shared" si="20"/>
        <v>0</v>
      </c>
      <c r="AT56" s="788">
        <f t="shared" si="21"/>
        <v>0</v>
      </c>
      <c r="AU56" s="788">
        <f t="shared" si="15"/>
        <v>0</v>
      </c>
      <c r="AV56" s="788">
        <f t="shared" si="16"/>
        <v>0</v>
      </c>
      <c r="AW56" s="841">
        <f t="shared" si="17"/>
        <v>0</v>
      </c>
      <c r="AX56" s="842"/>
      <c r="AY56" s="842"/>
    </row>
    <row r="57" spans="3:51" s="55" customFormat="1" ht="30.75" hidden="1" customHeight="1" outlineLevel="1">
      <c r="C57" s="843">
        <v>40</v>
      </c>
      <c r="D57" s="803"/>
      <c r="E57" s="844"/>
      <c r="F57" s="845"/>
      <c r="G57" s="2281"/>
      <c r="H57" s="2282"/>
      <c r="I57" s="851"/>
      <c r="J57" s="846"/>
      <c r="K57" s="796"/>
      <c r="L57" s="797"/>
      <c r="M57" s="797"/>
      <c r="N57" s="797"/>
      <c r="O57" s="797"/>
      <c r="P57" s="797"/>
      <c r="Q57" s="797"/>
      <c r="R57" s="1284"/>
      <c r="S57" s="798"/>
      <c r="T57" s="847"/>
      <c r="U57" s="848"/>
      <c r="V57" s="837"/>
      <c r="W57" s="849"/>
      <c r="X57" s="850"/>
      <c r="Y57" s="174"/>
      <c r="Z57" s="786">
        <f t="shared" si="2"/>
        <v>0</v>
      </c>
      <c r="AA57" s="786">
        <f t="shared" si="3"/>
        <v>0</v>
      </c>
      <c r="AB57" s="786">
        <f t="shared" si="4"/>
        <v>0</v>
      </c>
      <c r="AC57" s="786">
        <f>IF(Z57=0,,VLOOKUP(Z57,リスト!DC:DD,2,0))</f>
        <v>0</v>
      </c>
      <c r="AD57" s="786">
        <f t="shared" si="5"/>
        <v>0</v>
      </c>
      <c r="AE57" s="787">
        <f>IF(AD57=0,,VLOOKUP(AD57,リスト!DK:DL,2,0))</f>
        <v>0</v>
      </c>
      <c r="AF57" s="786">
        <f>IF(Z57=0,,
IF(OR(リスト!$C$21="小麦",リスト!$C$21="二条大麦",リスト!$C$21="六条大麦",リスト!$C$21="はだか麦",リスト!$C$21="なたね"),IF(K57&lt;9,調査年-J57,調査年-J57-1),
IF(リスト!$C$21="さとうきび",IF(K57&gt;=4,調査年-J57,調査年-J57+1),
調査年-J57)))</f>
        <v>0</v>
      </c>
      <c r="AG57" s="788">
        <f t="shared" si="22"/>
        <v>0</v>
      </c>
      <c r="AH57" s="788">
        <f t="shared" si="7"/>
        <v>0</v>
      </c>
      <c r="AI57" s="788">
        <f t="shared" si="8"/>
        <v>0</v>
      </c>
      <c r="AJ57" s="788">
        <f t="shared" si="9"/>
        <v>0</v>
      </c>
      <c r="AK57" s="477"/>
      <c r="AL57" s="788">
        <f>IF(OR(R57=0,AH57=""),,
IF(OR(リスト!$C$21="小麦",リスト!$C$21="二条大麦",リスト!$C$21="六条大麦",リスト!$C$21="はだか麦",リスト!$C$21="なたね"),IF(OR(AND(K57&lt;9,J57=調査年),AND(K57&gt;=9,J57=調査年-1)),,ROUND(AH57*R57%,0)),
IF(リスト!$C$21="さとうきび",IF(OR(AND(K57&gt;=4,J57=調査年),AND(K57&lt;4,J57=調査年+1)),,ROUND(AH57*R57%,0)),
IF(J57=調査年,,ROUND(AH57*R57%,0)))))</f>
        <v>0</v>
      </c>
      <c r="AM57" s="788">
        <f t="shared" si="10"/>
        <v>0</v>
      </c>
      <c r="AN57" s="788">
        <f t="shared" si="11"/>
        <v>0</v>
      </c>
      <c r="AO57" s="788">
        <f t="shared" si="12"/>
        <v>0</v>
      </c>
      <c r="AP57" s="788">
        <f>IF(R57=0,,
SUM(
IF(OR(リスト!$C$21="小麦",リスト!$C$21="二条大麦",リスト!$C$21="六条大麦",リスト!$C$21="はだか麦",リスト!$C$21="なたね"),IF(OR(AND(AA57=1,K57&lt;9,J57=調査年),AND(AA57=1,K57&gt;=9,J57=調査年-1)),ROUND(L57*R57%,0),),
IF(リスト!$C$21="さとうきび",IF(OR(AND(AA57=1,K57&gt;=4,J57=調査年),AND(AA57=1,K57&lt;4,J57=調査年+1)),ROUND(L57*R57%,0),),
IF(AND(AA57=1,J57=調査年),ROUND(L57*R57%,0),))),
ROUND(M57*R57%,0)
))</f>
        <v>0</v>
      </c>
      <c r="AQ57" s="788">
        <f t="shared" si="13"/>
        <v>0</v>
      </c>
      <c r="AR57" s="788">
        <f t="shared" si="14"/>
        <v>0</v>
      </c>
      <c r="AS57" s="788">
        <f t="shared" si="20"/>
        <v>0</v>
      </c>
      <c r="AT57" s="788">
        <f t="shared" si="21"/>
        <v>0</v>
      </c>
      <c r="AU57" s="788">
        <f t="shared" si="15"/>
        <v>0</v>
      </c>
      <c r="AV57" s="788">
        <f t="shared" si="16"/>
        <v>0</v>
      </c>
      <c r="AW57" s="841">
        <f t="shared" si="17"/>
        <v>0</v>
      </c>
      <c r="AX57" s="842"/>
      <c r="AY57" s="842"/>
    </row>
    <row r="58" spans="3:51" s="55" customFormat="1" ht="30.75" hidden="1" customHeight="1" outlineLevel="1">
      <c r="C58" s="843">
        <v>41</v>
      </c>
      <c r="D58" s="803"/>
      <c r="E58" s="853"/>
      <c r="F58" s="854"/>
      <c r="G58" s="2287"/>
      <c r="H58" s="2288"/>
      <c r="I58" s="855"/>
      <c r="J58" s="856"/>
      <c r="K58" s="857"/>
      <c r="L58" s="858"/>
      <c r="M58" s="858"/>
      <c r="N58" s="858"/>
      <c r="O58" s="858"/>
      <c r="P58" s="858"/>
      <c r="Q58" s="858"/>
      <c r="R58" s="1284"/>
      <c r="S58" s="859"/>
      <c r="T58" s="860"/>
      <c r="U58" s="861"/>
      <c r="V58" s="837"/>
      <c r="W58" s="849"/>
      <c r="X58" s="850"/>
      <c r="Y58" s="174"/>
      <c r="Z58" s="786">
        <f t="shared" si="2"/>
        <v>0</v>
      </c>
      <c r="AA58" s="786">
        <f t="shared" si="3"/>
        <v>0</v>
      </c>
      <c r="AB58" s="786">
        <f t="shared" si="4"/>
        <v>0</v>
      </c>
      <c r="AC58" s="786">
        <f>IF(Z58=0,,VLOOKUP(Z58,リスト!DC:DD,2,0))</f>
        <v>0</v>
      </c>
      <c r="AD58" s="786">
        <f t="shared" si="5"/>
        <v>0</v>
      </c>
      <c r="AE58" s="787">
        <f>IF(AD58=0,,VLOOKUP(AD58,リスト!DK:DL,2,0))</f>
        <v>0</v>
      </c>
      <c r="AF58" s="786">
        <f>IF(Z58=0,,
IF(OR(リスト!$C$21="小麦",リスト!$C$21="二条大麦",リスト!$C$21="六条大麦",リスト!$C$21="はだか麦",リスト!$C$21="なたね"),IF(K58&lt;9,調査年-J58,調査年-J58-1),
IF(リスト!$C$21="さとうきび",IF(K58&gt;=4,調査年-J58,調査年-J58+1),
調査年-J58)))</f>
        <v>0</v>
      </c>
      <c r="AG58" s="788">
        <f t="shared" si="22"/>
        <v>0</v>
      </c>
      <c r="AH58" s="788">
        <f t="shared" si="7"/>
        <v>0</v>
      </c>
      <c r="AI58" s="788">
        <f t="shared" si="8"/>
        <v>0</v>
      </c>
      <c r="AJ58" s="788">
        <f t="shared" si="9"/>
        <v>0</v>
      </c>
      <c r="AK58" s="477"/>
      <c r="AL58" s="788">
        <f>IF(OR(R58=0,AH58=""),,
IF(OR(リスト!$C$21="小麦",リスト!$C$21="二条大麦",リスト!$C$21="六条大麦",リスト!$C$21="はだか麦",リスト!$C$21="なたね"),IF(OR(AND(K58&lt;9,J58=調査年),AND(K58&gt;=9,J58=調査年-1)),,ROUND(AH58*R58%,0)),
IF(リスト!$C$21="さとうきび",IF(OR(AND(K58&gt;=4,J58=調査年),AND(K58&lt;4,J58=調査年+1)),,ROUND(AH58*R58%,0)),
IF(J58=調査年,,ROUND(AH58*R58%,0)))))</f>
        <v>0</v>
      </c>
      <c r="AM58" s="788">
        <f t="shared" si="10"/>
        <v>0</v>
      </c>
      <c r="AN58" s="788">
        <f t="shared" si="11"/>
        <v>0</v>
      </c>
      <c r="AO58" s="788">
        <f t="shared" si="12"/>
        <v>0</v>
      </c>
      <c r="AP58" s="788">
        <f>IF(R58=0,,
SUM(
IF(OR(リスト!$C$21="小麦",リスト!$C$21="二条大麦",リスト!$C$21="六条大麦",リスト!$C$21="はだか麦",リスト!$C$21="なたね"),IF(OR(AND(AA58=1,K58&lt;9,J58=調査年),AND(AA58=1,K58&gt;=9,J58=調査年-1)),ROUND(L58*R58%,0),),
IF(リスト!$C$21="さとうきび",IF(OR(AND(AA58=1,K58&gt;=4,J58=調査年),AND(AA58=1,K58&lt;4,J58=調査年+1)),ROUND(L58*R58%,0),),
IF(AND(AA58=1,J58=調査年),ROUND(L58*R58%,0),))),
ROUND(M58*R58%,0)
))</f>
        <v>0</v>
      </c>
      <c r="AQ58" s="788">
        <f t="shared" si="13"/>
        <v>0</v>
      </c>
      <c r="AR58" s="788">
        <f t="shared" si="14"/>
        <v>0</v>
      </c>
      <c r="AS58" s="788">
        <f t="shared" si="20"/>
        <v>0</v>
      </c>
      <c r="AT58" s="788">
        <f t="shared" si="21"/>
        <v>0</v>
      </c>
      <c r="AU58" s="788">
        <f t="shared" si="15"/>
        <v>0</v>
      </c>
      <c r="AV58" s="788">
        <f t="shared" si="16"/>
        <v>0</v>
      </c>
      <c r="AW58" s="841">
        <f t="shared" si="17"/>
        <v>0</v>
      </c>
      <c r="AX58" s="842"/>
      <c r="AY58" s="842"/>
    </row>
    <row r="59" spans="3:51" s="55" customFormat="1" ht="30.75" hidden="1" customHeight="1" outlineLevel="1">
      <c r="C59" s="843">
        <v>42</v>
      </c>
      <c r="D59" s="803"/>
      <c r="E59" s="844"/>
      <c r="F59" s="845"/>
      <c r="G59" s="2281"/>
      <c r="H59" s="2282"/>
      <c r="I59" s="851"/>
      <c r="J59" s="846"/>
      <c r="K59" s="796"/>
      <c r="L59" s="797"/>
      <c r="M59" s="797"/>
      <c r="N59" s="797"/>
      <c r="O59" s="797"/>
      <c r="P59" s="797"/>
      <c r="Q59" s="797"/>
      <c r="R59" s="1284"/>
      <c r="S59" s="798"/>
      <c r="T59" s="847"/>
      <c r="U59" s="848"/>
      <c r="V59" s="837"/>
      <c r="W59" s="849"/>
      <c r="X59" s="850"/>
      <c r="Y59" s="174"/>
      <c r="Z59" s="786">
        <f t="shared" si="2"/>
        <v>0</v>
      </c>
      <c r="AA59" s="786">
        <f t="shared" si="3"/>
        <v>0</v>
      </c>
      <c r="AB59" s="786">
        <f t="shared" si="4"/>
        <v>0</v>
      </c>
      <c r="AC59" s="786">
        <f>IF(Z59=0,,VLOOKUP(Z59,リスト!DC:DD,2,0))</f>
        <v>0</v>
      </c>
      <c r="AD59" s="786">
        <f t="shared" si="5"/>
        <v>0</v>
      </c>
      <c r="AE59" s="787">
        <f>IF(AD59=0,,VLOOKUP(AD59,リスト!DK:DL,2,0))</f>
        <v>0</v>
      </c>
      <c r="AF59" s="786">
        <f>IF(Z59=0,,
IF(OR(リスト!$C$21="小麦",リスト!$C$21="二条大麦",リスト!$C$21="六条大麦",リスト!$C$21="はだか麦",リスト!$C$21="なたね"),IF(K59&lt;9,調査年-J59,調査年-J59-1),
IF(リスト!$C$21="さとうきび",IF(K59&gt;=4,調査年-J59,調査年-J59+1),
調査年-J59)))</f>
        <v>0</v>
      </c>
      <c r="AG59" s="788">
        <f t="shared" si="22"/>
        <v>0</v>
      </c>
      <c r="AH59" s="788">
        <f t="shared" si="7"/>
        <v>0</v>
      </c>
      <c r="AI59" s="788">
        <f t="shared" si="8"/>
        <v>0</v>
      </c>
      <c r="AJ59" s="788">
        <f t="shared" si="9"/>
        <v>0</v>
      </c>
      <c r="AK59" s="477"/>
      <c r="AL59" s="788">
        <f>IF(OR(R59=0,AH59=""),,
IF(OR(リスト!$C$21="小麦",リスト!$C$21="二条大麦",リスト!$C$21="六条大麦",リスト!$C$21="はだか麦",リスト!$C$21="なたね"),IF(OR(AND(K59&lt;9,J59=調査年),AND(K59&gt;=9,J59=調査年-1)),,ROUND(AH59*R59%,0)),
IF(リスト!$C$21="さとうきび",IF(OR(AND(K59&gt;=4,J59=調査年),AND(K59&lt;4,J59=調査年+1)),,ROUND(AH59*R59%,0)),
IF(J59=調査年,,ROUND(AH59*R59%,0)))))</f>
        <v>0</v>
      </c>
      <c r="AM59" s="788">
        <f t="shared" si="10"/>
        <v>0</v>
      </c>
      <c r="AN59" s="788">
        <f t="shared" si="11"/>
        <v>0</v>
      </c>
      <c r="AO59" s="788">
        <f t="shared" si="12"/>
        <v>0</v>
      </c>
      <c r="AP59" s="788">
        <f>IF(R59=0,,
SUM(
IF(OR(リスト!$C$21="小麦",リスト!$C$21="二条大麦",リスト!$C$21="六条大麦",リスト!$C$21="はだか麦",リスト!$C$21="なたね"),IF(OR(AND(AA59=1,K59&lt;9,J59=調査年),AND(AA59=1,K59&gt;=9,J59=調査年-1)),ROUND(L59*R59%,0),),
IF(リスト!$C$21="さとうきび",IF(OR(AND(AA59=1,K59&gt;=4,J59=調査年),AND(AA59=1,K59&lt;4,J59=調査年+1)),ROUND(L59*R59%,0),),
IF(AND(AA59=1,J59=調査年),ROUND(L59*R59%,0),))),
ROUND(M59*R59%,0)
))</f>
        <v>0</v>
      </c>
      <c r="AQ59" s="788">
        <f t="shared" si="13"/>
        <v>0</v>
      </c>
      <c r="AR59" s="788">
        <f t="shared" si="14"/>
        <v>0</v>
      </c>
      <c r="AS59" s="788">
        <f t="shared" si="20"/>
        <v>0</v>
      </c>
      <c r="AT59" s="788">
        <f t="shared" si="21"/>
        <v>0</v>
      </c>
      <c r="AU59" s="788">
        <f t="shared" si="15"/>
        <v>0</v>
      </c>
      <c r="AV59" s="788">
        <f t="shared" si="16"/>
        <v>0</v>
      </c>
      <c r="AW59" s="841">
        <f t="shared" si="17"/>
        <v>0</v>
      </c>
      <c r="AX59" s="842"/>
      <c r="AY59" s="842"/>
    </row>
    <row r="60" spans="3:51" s="55" customFormat="1" ht="30.75" hidden="1" customHeight="1" outlineLevel="1">
      <c r="C60" s="843">
        <v>43</v>
      </c>
      <c r="D60" s="803"/>
      <c r="E60" s="844"/>
      <c r="F60" s="845"/>
      <c r="G60" s="2281"/>
      <c r="H60" s="2282"/>
      <c r="I60" s="851"/>
      <c r="J60" s="846"/>
      <c r="K60" s="796"/>
      <c r="L60" s="797"/>
      <c r="M60" s="797"/>
      <c r="N60" s="797"/>
      <c r="O60" s="797"/>
      <c r="P60" s="797"/>
      <c r="Q60" s="797"/>
      <c r="R60" s="1284"/>
      <c r="S60" s="798"/>
      <c r="T60" s="847"/>
      <c r="U60" s="848"/>
      <c r="V60" s="837"/>
      <c r="W60" s="849"/>
      <c r="X60" s="850"/>
      <c r="Y60" s="174"/>
      <c r="Z60" s="786">
        <f t="shared" si="2"/>
        <v>0</v>
      </c>
      <c r="AA60" s="786">
        <f t="shared" si="3"/>
        <v>0</v>
      </c>
      <c r="AB60" s="786">
        <f t="shared" si="4"/>
        <v>0</v>
      </c>
      <c r="AC60" s="786">
        <f>IF(Z60=0,,VLOOKUP(Z60,リスト!DC:DD,2,0))</f>
        <v>0</v>
      </c>
      <c r="AD60" s="786">
        <f t="shared" si="5"/>
        <v>0</v>
      </c>
      <c r="AE60" s="787">
        <f>IF(AD60=0,,VLOOKUP(AD60,リスト!DK:DL,2,0))</f>
        <v>0</v>
      </c>
      <c r="AF60" s="786">
        <f>IF(Z60=0,,
IF(OR(リスト!$C$21="小麦",リスト!$C$21="二条大麦",リスト!$C$21="六条大麦",リスト!$C$21="はだか麦",リスト!$C$21="なたね"),IF(K60&lt;9,調査年-J60,調査年-J60-1),
IF(リスト!$C$21="さとうきび",IF(K60&gt;=4,調査年-J60,調査年-J60+1),
調査年-J60)))</f>
        <v>0</v>
      </c>
      <c r="AG60" s="788">
        <f t="shared" si="22"/>
        <v>0</v>
      </c>
      <c r="AH60" s="788">
        <f t="shared" si="7"/>
        <v>0</v>
      </c>
      <c r="AI60" s="788">
        <f t="shared" si="8"/>
        <v>0</v>
      </c>
      <c r="AJ60" s="788">
        <f t="shared" si="9"/>
        <v>0</v>
      </c>
      <c r="AK60" s="477"/>
      <c r="AL60" s="788">
        <f>IF(OR(R60=0,AH60=""),,
IF(OR(リスト!$C$21="小麦",リスト!$C$21="二条大麦",リスト!$C$21="六条大麦",リスト!$C$21="はだか麦",リスト!$C$21="なたね"),IF(OR(AND(K60&lt;9,J60=調査年),AND(K60&gt;=9,J60=調査年-1)),,ROUND(AH60*R60%,0)),
IF(リスト!$C$21="さとうきび",IF(OR(AND(K60&gt;=4,J60=調査年),AND(K60&lt;4,J60=調査年+1)),,ROUND(AH60*R60%,0)),
IF(J60=調査年,,ROUND(AH60*R60%,0)))))</f>
        <v>0</v>
      </c>
      <c r="AM60" s="788">
        <f t="shared" si="10"/>
        <v>0</v>
      </c>
      <c r="AN60" s="788">
        <f t="shared" si="11"/>
        <v>0</v>
      </c>
      <c r="AO60" s="788">
        <f t="shared" si="12"/>
        <v>0</v>
      </c>
      <c r="AP60" s="788">
        <f>IF(R60=0,,
SUM(
IF(OR(リスト!$C$21="小麦",リスト!$C$21="二条大麦",リスト!$C$21="六条大麦",リスト!$C$21="はだか麦",リスト!$C$21="なたね"),IF(OR(AND(AA60=1,K60&lt;9,J60=調査年),AND(AA60=1,K60&gt;=9,J60=調査年-1)),ROUND(L60*R60%,0),),
IF(リスト!$C$21="さとうきび",IF(OR(AND(AA60=1,K60&gt;=4,J60=調査年),AND(AA60=1,K60&lt;4,J60=調査年+1)),ROUND(L60*R60%,0),),
IF(AND(AA60=1,J60=調査年),ROUND(L60*R60%,0),))),
ROUND(M60*R60%,0)
))</f>
        <v>0</v>
      </c>
      <c r="AQ60" s="788">
        <f t="shared" si="13"/>
        <v>0</v>
      </c>
      <c r="AR60" s="788">
        <f t="shared" si="14"/>
        <v>0</v>
      </c>
      <c r="AS60" s="788">
        <f t="shared" si="20"/>
        <v>0</v>
      </c>
      <c r="AT60" s="788">
        <f t="shared" si="21"/>
        <v>0</v>
      </c>
      <c r="AU60" s="788">
        <f t="shared" si="15"/>
        <v>0</v>
      </c>
      <c r="AV60" s="788">
        <f t="shared" si="16"/>
        <v>0</v>
      </c>
      <c r="AW60" s="841">
        <f t="shared" si="17"/>
        <v>0</v>
      </c>
      <c r="AX60" s="842"/>
      <c r="AY60" s="842"/>
    </row>
    <row r="61" spans="3:51" s="55" customFormat="1" ht="30.75" hidden="1" customHeight="1" outlineLevel="1">
      <c r="C61" s="843">
        <v>44</v>
      </c>
      <c r="D61" s="803"/>
      <c r="E61" s="844"/>
      <c r="F61" s="845"/>
      <c r="G61" s="2281"/>
      <c r="H61" s="2282"/>
      <c r="I61" s="851"/>
      <c r="J61" s="846"/>
      <c r="K61" s="796"/>
      <c r="L61" s="797"/>
      <c r="M61" s="797"/>
      <c r="N61" s="797"/>
      <c r="O61" s="797"/>
      <c r="P61" s="797"/>
      <c r="Q61" s="797"/>
      <c r="R61" s="1284"/>
      <c r="S61" s="798"/>
      <c r="T61" s="847"/>
      <c r="U61" s="848"/>
      <c r="V61" s="837"/>
      <c r="W61" s="849"/>
      <c r="X61" s="850"/>
      <c r="Y61" s="174"/>
      <c r="Z61" s="786">
        <f t="shared" si="2"/>
        <v>0</v>
      </c>
      <c r="AA61" s="786">
        <f t="shared" si="3"/>
        <v>0</v>
      </c>
      <c r="AB61" s="786">
        <f t="shared" si="4"/>
        <v>0</v>
      </c>
      <c r="AC61" s="786">
        <f>IF(Z61=0,,VLOOKUP(Z61,リスト!DC:DD,2,0))</f>
        <v>0</v>
      </c>
      <c r="AD61" s="786">
        <f t="shared" si="5"/>
        <v>0</v>
      </c>
      <c r="AE61" s="787">
        <f>IF(AD61=0,,VLOOKUP(AD61,リスト!DK:DL,2,0))</f>
        <v>0</v>
      </c>
      <c r="AF61" s="786">
        <f>IF(Z61=0,,
IF(OR(リスト!$C$21="小麦",リスト!$C$21="二条大麦",リスト!$C$21="六条大麦",リスト!$C$21="はだか麦",リスト!$C$21="なたね"),IF(K61&lt;9,調査年-J61,調査年-J61-1),
IF(リスト!$C$21="さとうきび",IF(K61&gt;=4,調査年-J61,調査年-J61+1),
調査年-J61)))</f>
        <v>0</v>
      </c>
      <c r="AG61" s="788">
        <f t="shared" si="22"/>
        <v>0</v>
      </c>
      <c r="AH61" s="788">
        <f t="shared" si="7"/>
        <v>0</v>
      </c>
      <c r="AI61" s="788">
        <f t="shared" si="8"/>
        <v>0</v>
      </c>
      <c r="AJ61" s="788">
        <f t="shared" si="9"/>
        <v>0</v>
      </c>
      <c r="AK61" s="477"/>
      <c r="AL61" s="788">
        <f>IF(OR(R61=0,AH61=""),,
IF(OR(リスト!$C$21="小麦",リスト!$C$21="二条大麦",リスト!$C$21="六条大麦",リスト!$C$21="はだか麦",リスト!$C$21="なたね"),IF(OR(AND(K61&lt;9,J61=調査年),AND(K61&gt;=9,J61=調査年-1)),,ROUND(AH61*R61%,0)),
IF(リスト!$C$21="さとうきび",IF(OR(AND(K61&gt;=4,J61=調査年),AND(K61&lt;4,J61=調査年+1)),,ROUND(AH61*R61%,0)),
IF(J61=調査年,,ROUND(AH61*R61%,0)))))</f>
        <v>0</v>
      </c>
      <c r="AM61" s="788">
        <f t="shared" si="10"/>
        <v>0</v>
      </c>
      <c r="AN61" s="788">
        <f t="shared" si="11"/>
        <v>0</v>
      </c>
      <c r="AO61" s="788">
        <f t="shared" si="12"/>
        <v>0</v>
      </c>
      <c r="AP61" s="788">
        <f>IF(R61=0,,
SUM(
IF(OR(リスト!$C$21="小麦",リスト!$C$21="二条大麦",リスト!$C$21="六条大麦",リスト!$C$21="はだか麦",リスト!$C$21="なたね"),IF(OR(AND(AA61=1,K61&lt;9,J61=調査年),AND(AA61=1,K61&gt;=9,J61=調査年-1)),ROUND(L61*R61%,0),),
IF(リスト!$C$21="さとうきび",IF(OR(AND(AA61=1,K61&gt;=4,J61=調査年),AND(AA61=1,K61&lt;4,J61=調査年+1)),ROUND(L61*R61%,0),),
IF(AND(AA61=1,J61=調査年),ROUND(L61*R61%,0),))),
ROUND(M61*R61%,0)
))</f>
        <v>0</v>
      </c>
      <c r="AQ61" s="788">
        <f t="shared" si="13"/>
        <v>0</v>
      </c>
      <c r="AR61" s="788">
        <f t="shared" si="14"/>
        <v>0</v>
      </c>
      <c r="AS61" s="788">
        <f t="shared" si="20"/>
        <v>0</v>
      </c>
      <c r="AT61" s="788">
        <f t="shared" si="21"/>
        <v>0</v>
      </c>
      <c r="AU61" s="788">
        <f t="shared" si="15"/>
        <v>0</v>
      </c>
      <c r="AV61" s="788">
        <f t="shared" si="16"/>
        <v>0</v>
      </c>
      <c r="AW61" s="841">
        <f t="shared" si="17"/>
        <v>0</v>
      </c>
      <c r="AX61" s="842"/>
      <c r="AY61" s="842"/>
    </row>
    <row r="62" spans="3:51" s="55" customFormat="1" ht="30.75" hidden="1" customHeight="1" outlineLevel="1">
      <c r="C62" s="843">
        <v>45</v>
      </c>
      <c r="D62" s="803"/>
      <c r="E62" s="844"/>
      <c r="F62" s="845"/>
      <c r="G62" s="2281"/>
      <c r="H62" s="2282"/>
      <c r="I62" s="851"/>
      <c r="J62" s="846"/>
      <c r="K62" s="796"/>
      <c r="L62" s="797"/>
      <c r="M62" s="797"/>
      <c r="N62" s="797"/>
      <c r="O62" s="797"/>
      <c r="P62" s="797"/>
      <c r="Q62" s="797"/>
      <c r="R62" s="1284"/>
      <c r="S62" s="798"/>
      <c r="T62" s="847"/>
      <c r="U62" s="848"/>
      <c r="V62" s="837"/>
      <c r="W62" s="849"/>
      <c r="X62" s="850"/>
      <c r="Y62" s="174"/>
      <c r="Z62" s="786">
        <f t="shared" si="2"/>
        <v>0</v>
      </c>
      <c r="AA62" s="786">
        <f t="shared" si="3"/>
        <v>0</v>
      </c>
      <c r="AB62" s="786">
        <f t="shared" si="4"/>
        <v>0</v>
      </c>
      <c r="AC62" s="786">
        <f>IF(Z62=0,,VLOOKUP(Z62,リスト!DC:DD,2,0))</f>
        <v>0</v>
      </c>
      <c r="AD62" s="786">
        <f t="shared" si="5"/>
        <v>0</v>
      </c>
      <c r="AE62" s="787">
        <f>IF(AD62=0,,VLOOKUP(AD62,リスト!DK:DL,2,0))</f>
        <v>0</v>
      </c>
      <c r="AF62" s="786">
        <f>IF(Z62=0,,
IF(OR(リスト!$C$21="小麦",リスト!$C$21="二条大麦",リスト!$C$21="六条大麦",リスト!$C$21="はだか麦",リスト!$C$21="なたね"),IF(K62&lt;9,調査年-J62,調査年-J62-1),
IF(リスト!$C$21="さとうきび",IF(K62&gt;=4,調査年-J62,調査年-J62+1),
調査年-J62)))</f>
        <v>0</v>
      </c>
      <c r="AG62" s="788">
        <f t="shared" si="22"/>
        <v>0</v>
      </c>
      <c r="AH62" s="788">
        <f t="shared" si="7"/>
        <v>0</v>
      </c>
      <c r="AI62" s="788">
        <f t="shared" si="8"/>
        <v>0</v>
      </c>
      <c r="AJ62" s="788">
        <f t="shared" si="9"/>
        <v>0</v>
      </c>
      <c r="AK62" s="477"/>
      <c r="AL62" s="788">
        <f>IF(OR(R62=0,AH62=""),,
IF(OR(リスト!$C$21="小麦",リスト!$C$21="二条大麦",リスト!$C$21="六条大麦",リスト!$C$21="はだか麦",リスト!$C$21="なたね"),IF(OR(AND(K62&lt;9,J62=調査年),AND(K62&gt;=9,J62=調査年-1)),,ROUND(AH62*R62%,0)),
IF(リスト!$C$21="さとうきび",IF(OR(AND(K62&gt;=4,J62=調査年),AND(K62&lt;4,J62=調査年+1)),,ROUND(AH62*R62%,0)),
IF(J62=調査年,,ROUND(AH62*R62%,0)))))</f>
        <v>0</v>
      </c>
      <c r="AM62" s="788">
        <f t="shared" si="10"/>
        <v>0</v>
      </c>
      <c r="AN62" s="788">
        <f t="shared" si="11"/>
        <v>0</v>
      </c>
      <c r="AO62" s="788">
        <f t="shared" si="12"/>
        <v>0</v>
      </c>
      <c r="AP62" s="788">
        <f>IF(R62=0,,
SUM(
IF(OR(リスト!$C$21="小麦",リスト!$C$21="二条大麦",リスト!$C$21="六条大麦",リスト!$C$21="はだか麦",リスト!$C$21="なたね"),IF(OR(AND(AA62=1,K62&lt;9,J62=調査年),AND(AA62=1,K62&gt;=9,J62=調査年-1)),ROUND(L62*R62%,0),),
IF(リスト!$C$21="さとうきび",IF(OR(AND(AA62=1,K62&gt;=4,J62=調査年),AND(AA62=1,K62&lt;4,J62=調査年+1)),ROUND(L62*R62%,0),),
IF(AND(AA62=1,J62=調査年),ROUND(L62*R62%,0),))),
ROUND(M62*R62%,0)
))</f>
        <v>0</v>
      </c>
      <c r="AQ62" s="788">
        <f t="shared" si="13"/>
        <v>0</v>
      </c>
      <c r="AR62" s="788">
        <f t="shared" si="14"/>
        <v>0</v>
      </c>
      <c r="AS62" s="788">
        <f t="shared" si="20"/>
        <v>0</v>
      </c>
      <c r="AT62" s="788">
        <f t="shared" si="21"/>
        <v>0</v>
      </c>
      <c r="AU62" s="788">
        <f t="shared" si="15"/>
        <v>0</v>
      </c>
      <c r="AV62" s="788">
        <f t="shared" si="16"/>
        <v>0</v>
      </c>
      <c r="AW62" s="841">
        <f t="shared" si="17"/>
        <v>0</v>
      </c>
      <c r="AX62" s="842"/>
      <c r="AY62" s="842"/>
    </row>
    <row r="63" spans="3:51" s="55" customFormat="1" ht="30.75" hidden="1" customHeight="1" outlineLevel="1">
      <c r="C63" s="843">
        <v>46</v>
      </c>
      <c r="D63" s="803"/>
      <c r="E63" s="853"/>
      <c r="F63" s="854"/>
      <c r="G63" s="2287"/>
      <c r="H63" s="2288"/>
      <c r="I63" s="855"/>
      <c r="J63" s="856"/>
      <c r="K63" s="857"/>
      <c r="L63" s="858"/>
      <c r="M63" s="858"/>
      <c r="N63" s="858"/>
      <c r="O63" s="858"/>
      <c r="P63" s="858"/>
      <c r="Q63" s="858"/>
      <c r="R63" s="1284"/>
      <c r="S63" s="859"/>
      <c r="T63" s="860"/>
      <c r="U63" s="861"/>
      <c r="V63" s="837"/>
      <c r="W63" s="849"/>
      <c r="X63" s="850"/>
      <c r="Y63" s="174"/>
      <c r="Z63" s="786">
        <f t="shared" si="2"/>
        <v>0</v>
      </c>
      <c r="AA63" s="786">
        <f t="shared" si="3"/>
        <v>0</v>
      </c>
      <c r="AB63" s="786">
        <f t="shared" si="4"/>
        <v>0</v>
      </c>
      <c r="AC63" s="786">
        <f>IF(Z63=0,,VLOOKUP(Z63,リスト!DC:DD,2,0))</f>
        <v>0</v>
      </c>
      <c r="AD63" s="786">
        <f t="shared" si="5"/>
        <v>0</v>
      </c>
      <c r="AE63" s="787">
        <f>IF(AD63=0,,VLOOKUP(AD63,リスト!DK:DL,2,0))</f>
        <v>0</v>
      </c>
      <c r="AF63" s="786">
        <f>IF(Z63=0,,
IF(OR(リスト!$C$21="小麦",リスト!$C$21="二条大麦",リスト!$C$21="六条大麦",リスト!$C$21="はだか麦",リスト!$C$21="なたね"),IF(K63&lt;9,調査年-J63,調査年-J63-1),
IF(リスト!$C$21="さとうきび",IF(K63&gt;=4,調査年-J63,調査年-J63+1),
調査年-J63)))</f>
        <v>0</v>
      </c>
      <c r="AG63" s="788">
        <f t="shared" si="22"/>
        <v>0</v>
      </c>
      <c r="AH63" s="788">
        <f t="shared" si="7"/>
        <v>0</v>
      </c>
      <c r="AI63" s="788">
        <f t="shared" si="8"/>
        <v>0</v>
      </c>
      <c r="AJ63" s="788">
        <f t="shared" si="9"/>
        <v>0</v>
      </c>
      <c r="AK63" s="477"/>
      <c r="AL63" s="788">
        <f>IF(OR(R63=0,AH63=""),,
IF(OR(リスト!$C$21="小麦",リスト!$C$21="二条大麦",リスト!$C$21="六条大麦",リスト!$C$21="はだか麦",リスト!$C$21="なたね"),IF(OR(AND(K63&lt;9,J63=調査年),AND(K63&gt;=9,J63=調査年-1)),,ROUND(AH63*R63%,0)),
IF(リスト!$C$21="さとうきび",IF(OR(AND(K63&gt;=4,J63=調査年),AND(K63&lt;4,J63=調査年+1)),,ROUND(AH63*R63%,0)),
IF(J63=調査年,,ROUND(AH63*R63%,0)))))</f>
        <v>0</v>
      </c>
      <c r="AM63" s="788">
        <f t="shared" si="10"/>
        <v>0</v>
      </c>
      <c r="AN63" s="788">
        <f t="shared" si="11"/>
        <v>0</v>
      </c>
      <c r="AO63" s="788">
        <f t="shared" si="12"/>
        <v>0</v>
      </c>
      <c r="AP63" s="788">
        <f>IF(R63=0,,
SUM(
IF(OR(リスト!$C$21="小麦",リスト!$C$21="二条大麦",リスト!$C$21="六条大麦",リスト!$C$21="はだか麦",リスト!$C$21="なたね"),IF(OR(AND(AA63=1,K63&lt;9,J63=調査年),AND(AA63=1,K63&gt;=9,J63=調査年-1)),ROUND(L63*R63%,0),),
IF(リスト!$C$21="さとうきび",IF(OR(AND(AA63=1,K63&gt;=4,J63=調査年),AND(AA63=1,K63&lt;4,J63=調査年+1)),ROUND(L63*R63%,0),),
IF(AND(AA63=1,J63=調査年),ROUND(L63*R63%,0),))),
ROUND(M63*R63%,0)
))</f>
        <v>0</v>
      </c>
      <c r="AQ63" s="788">
        <f t="shared" si="13"/>
        <v>0</v>
      </c>
      <c r="AR63" s="788">
        <f t="shared" si="14"/>
        <v>0</v>
      </c>
      <c r="AS63" s="788">
        <f t="shared" si="20"/>
        <v>0</v>
      </c>
      <c r="AT63" s="788">
        <f t="shared" si="21"/>
        <v>0</v>
      </c>
      <c r="AU63" s="788">
        <f t="shared" si="15"/>
        <v>0</v>
      </c>
      <c r="AV63" s="788">
        <f t="shared" si="16"/>
        <v>0</v>
      </c>
      <c r="AW63" s="841">
        <f t="shared" si="17"/>
        <v>0</v>
      </c>
      <c r="AX63" s="842"/>
      <c r="AY63" s="842"/>
    </row>
    <row r="64" spans="3:51" s="55" customFormat="1" ht="30.75" hidden="1" customHeight="1" outlineLevel="1">
      <c r="C64" s="843">
        <v>47</v>
      </c>
      <c r="D64" s="803"/>
      <c r="E64" s="844"/>
      <c r="F64" s="845"/>
      <c r="G64" s="2281"/>
      <c r="H64" s="2282"/>
      <c r="I64" s="851"/>
      <c r="J64" s="846"/>
      <c r="K64" s="796"/>
      <c r="L64" s="797"/>
      <c r="M64" s="797"/>
      <c r="N64" s="797"/>
      <c r="O64" s="797"/>
      <c r="P64" s="797"/>
      <c r="Q64" s="797"/>
      <c r="R64" s="1284"/>
      <c r="S64" s="798"/>
      <c r="T64" s="847"/>
      <c r="U64" s="848"/>
      <c r="V64" s="837"/>
      <c r="W64" s="849"/>
      <c r="X64" s="850"/>
      <c r="Y64" s="174"/>
      <c r="Z64" s="786">
        <f t="shared" si="2"/>
        <v>0</v>
      </c>
      <c r="AA64" s="786">
        <f t="shared" si="3"/>
        <v>0</v>
      </c>
      <c r="AB64" s="786">
        <f t="shared" si="4"/>
        <v>0</v>
      </c>
      <c r="AC64" s="786">
        <f>IF(Z64=0,,VLOOKUP(Z64,リスト!DC:DD,2,0))</f>
        <v>0</v>
      </c>
      <c r="AD64" s="786">
        <f t="shared" si="5"/>
        <v>0</v>
      </c>
      <c r="AE64" s="787">
        <f>IF(AD64=0,,VLOOKUP(AD64,リスト!DK:DL,2,0))</f>
        <v>0</v>
      </c>
      <c r="AF64" s="786">
        <f>IF(Z64=0,,
IF(OR(リスト!$C$21="小麦",リスト!$C$21="二条大麦",リスト!$C$21="六条大麦",リスト!$C$21="はだか麦",リスト!$C$21="なたね"),IF(K64&lt;9,調査年-J64,調査年-J64-1),
IF(リスト!$C$21="さとうきび",IF(K64&gt;=4,調査年-J64,調査年-J64+1),
調査年-J64)))</f>
        <v>0</v>
      </c>
      <c r="AG64" s="788">
        <f t="shared" si="22"/>
        <v>0</v>
      </c>
      <c r="AH64" s="788">
        <f t="shared" si="7"/>
        <v>0</v>
      </c>
      <c r="AI64" s="788">
        <f t="shared" si="8"/>
        <v>0</v>
      </c>
      <c r="AJ64" s="788">
        <f t="shared" si="9"/>
        <v>0</v>
      </c>
      <c r="AK64" s="477"/>
      <c r="AL64" s="788">
        <f>IF(OR(R64=0,AH64=""),,
IF(OR(リスト!$C$21="小麦",リスト!$C$21="二条大麦",リスト!$C$21="六条大麦",リスト!$C$21="はだか麦",リスト!$C$21="なたね"),IF(OR(AND(K64&lt;9,J64=調査年),AND(K64&gt;=9,J64=調査年-1)),,ROUND(AH64*R64%,0)),
IF(リスト!$C$21="さとうきび",IF(OR(AND(K64&gt;=4,J64=調査年),AND(K64&lt;4,J64=調査年+1)),,ROUND(AH64*R64%,0)),
IF(J64=調査年,,ROUND(AH64*R64%,0)))))</f>
        <v>0</v>
      </c>
      <c r="AM64" s="788">
        <f t="shared" si="10"/>
        <v>0</v>
      </c>
      <c r="AN64" s="788">
        <f t="shared" si="11"/>
        <v>0</v>
      </c>
      <c r="AO64" s="788">
        <f t="shared" si="12"/>
        <v>0</v>
      </c>
      <c r="AP64" s="788">
        <f>IF(R64=0,,
SUM(
IF(OR(リスト!$C$21="小麦",リスト!$C$21="二条大麦",リスト!$C$21="六条大麦",リスト!$C$21="はだか麦",リスト!$C$21="なたね"),IF(OR(AND(AA64=1,K64&lt;9,J64=調査年),AND(AA64=1,K64&gt;=9,J64=調査年-1)),ROUND(L64*R64%,0),),
IF(リスト!$C$21="さとうきび",IF(OR(AND(AA64=1,K64&gt;=4,J64=調査年),AND(AA64=1,K64&lt;4,J64=調査年+1)),ROUND(L64*R64%,0),),
IF(AND(AA64=1,J64=調査年),ROUND(L64*R64%,0),))),
ROUND(M64*R64%,0)
))</f>
        <v>0</v>
      </c>
      <c r="AQ64" s="788">
        <f t="shared" si="13"/>
        <v>0</v>
      </c>
      <c r="AR64" s="788">
        <f t="shared" si="14"/>
        <v>0</v>
      </c>
      <c r="AS64" s="788">
        <f t="shared" si="20"/>
        <v>0</v>
      </c>
      <c r="AT64" s="788">
        <f t="shared" si="21"/>
        <v>0</v>
      </c>
      <c r="AU64" s="788">
        <f t="shared" si="15"/>
        <v>0</v>
      </c>
      <c r="AV64" s="788">
        <f t="shared" si="16"/>
        <v>0</v>
      </c>
      <c r="AW64" s="841">
        <f t="shared" si="17"/>
        <v>0</v>
      </c>
      <c r="AX64" s="842"/>
      <c r="AY64" s="842"/>
    </row>
    <row r="65" spans="3:51" s="55" customFormat="1" ht="30.75" hidden="1" customHeight="1" outlineLevel="1">
      <c r="C65" s="843">
        <v>48</v>
      </c>
      <c r="D65" s="803"/>
      <c r="E65" s="844"/>
      <c r="F65" s="845"/>
      <c r="G65" s="2281"/>
      <c r="H65" s="2282"/>
      <c r="I65" s="851"/>
      <c r="J65" s="846"/>
      <c r="K65" s="796"/>
      <c r="L65" s="797"/>
      <c r="M65" s="797"/>
      <c r="N65" s="797"/>
      <c r="O65" s="797"/>
      <c r="P65" s="797"/>
      <c r="Q65" s="797"/>
      <c r="R65" s="1284"/>
      <c r="S65" s="798"/>
      <c r="T65" s="847"/>
      <c r="U65" s="848"/>
      <c r="V65" s="837"/>
      <c r="W65" s="849"/>
      <c r="X65" s="850"/>
      <c r="Y65" s="174"/>
      <c r="Z65" s="786">
        <f t="shared" si="2"/>
        <v>0</v>
      </c>
      <c r="AA65" s="786">
        <f t="shared" si="3"/>
        <v>0</v>
      </c>
      <c r="AB65" s="786">
        <f t="shared" si="4"/>
        <v>0</v>
      </c>
      <c r="AC65" s="786">
        <f>IF(Z65=0,,VLOOKUP(Z65,リスト!DC:DD,2,0))</f>
        <v>0</v>
      </c>
      <c r="AD65" s="786">
        <f t="shared" si="5"/>
        <v>0</v>
      </c>
      <c r="AE65" s="787">
        <f>IF(AD65=0,,VLOOKUP(AD65,リスト!DK:DL,2,0))</f>
        <v>0</v>
      </c>
      <c r="AF65" s="786">
        <f>IF(Z65=0,,
IF(OR(リスト!$C$21="小麦",リスト!$C$21="二条大麦",リスト!$C$21="六条大麦",リスト!$C$21="はだか麦",リスト!$C$21="なたね"),IF(K65&lt;9,調査年-J65,調査年-J65-1),
IF(リスト!$C$21="さとうきび",IF(K65&gt;=4,調査年-J65,調査年-J65+1),
調査年-J65)))</f>
        <v>0</v>
      </c>
      <c r="AG65" s="788">
        <f t="shared" si="22"/>
        <v>0</v>
      </c>
      <c r="AH65" s="788">
        <f t="shared" si="7"/>
        <v>0</v>
      </c>
      <c r="AI65" s="788">
        <f t="shared" si="8"/>
        <v>0</v>
      </c>
      <c r="AJ65" s="788">
        <f t="shared" si="9"/>
        <v>0</v>
      </c>
      <c r="AK65" s="477"/>
      <c r="AL65" s="788">
        <f>IF(OR(R65=0,AH65=""),,
IF(OR(リスト!$C$21="小麦",リスト!$C$21="二条大麦",リスト!$C$21="六条大麦",リスト!$C$21="はだか麦",リスト!$C$21="なたね"),IF(OR(AND(K65&lt;9,J65=調査年),AND(K65&gt;=9,J65=調査年-1)),,ROUND(AH65*R65%,0)),
IF(リスト!$C$21="さとうきび",IF(OR(AND(K65&gt;=4,J65=調査年),AND(K65&lt;4,J65=調査年+1)),,ROUND(AH65*R65%,0)),
IF(J65=調査年,,ROUND(AH65*R65%,0)))))</f>
        <v>0</v>
      </c>
      <c r="AM65" s="788">
        <f t="shared" si="10"/>
        <v>0</v>
      </c>
      <c r="AN65" s="788">
        <f t="shared" si="11"/>
        <v>0</v>
      </c>
      <c r="AO65" s="788">
        <f t="shared" si="12"/>
        <v>0</v>
      </c>
      <c r="AP65" s="788">
        <f>IF(R65=0,,
SUM(
IF(OR(リスト!$C$21="小麦",リスト!$C$21="二条大麦",リスト!$C$21="六条大麦",リスト!$C$21="はだか麦",リスト!$C$21="なたね"),IF(OR(AND(AA65=1,K65&lt;9,J65=調査年),AND(AA65=1,K65&gt;=9,J65=調査年-1)),ROUND(L65*R65%,0),),
IF(リスト!$C$21="さとうきび",IF(OR(AND(AA65=1,K65&gt;=4,J65=調査年),AND(AA65=1,K65&lt;4,J65=調査年+1)),ROUND(L65*R65%,0),),
IF(AND(AA65=1,J65=調査年),ROUND(L65*R65%,0),))),
ROUND(M65*R65%,0)
))</f>
        <v>0</v>
      </c>
      <c r="AQ65" s="788">
        <f t="shared" si="13"/>
        <v>0</v>
      </c>
      <c r="AR65" s="788">
        <f t="shared" si="14"/>
        <v>0</v>
      </c>
      <c r="AS65" s="788">
        <f t="shared" si="20"/>
        <v>0</v>
      </c>
      <c r="AT65" s="788">
        <f t="shared" si="21"/>
        <v>0</v>
      </c>
      <c r="AU65" s="788">
        <f t="shared" si="15"/>
        <v>0</v>
      </c>
      <c r="AV65" s="788">
        <f t="shared" si="16"/>
        <v>0</v>
      </c>
      <c r="AW65" s="841">
        <f t="shared" si="17"/>
        <v>0</v>
      </c>
      <c r="AX65" s="842"/>
      <c r="AY65" s="842"/>
    </row>
    <row r="66" spans="3:51" s="55" customFormat="1" ht="30.75" hidden="1" customHeight="1" outlineLevel="1">
      <c r="C66" s="843">
        <v>49</v>
      </c>
      <c r="D66" s="803"/>
      <c r="E66" s="844"/>
      <c r="F66" s="845"/>
      <c r="G66" s="2281"/>
      <c r="H66" s="2282"/>
      <c r="I66" s="851"/>
      <c r="J66" s="846"/>
      <c r="K66" s="796"/>
      <c r="L66" s="797"/>
      <c r="M66" s="797"/>
      <c r="N66" s="797"/>
      <c r="O66" s="797"/>
      <c r="P66" s="797"/>
      <c r="Q66" s="797"/>
      <c r="R66" s="1284"/>
      <c r="S66" s="798"/>
      <c r="T66" s="847"/>
      <c r="U66" s="848"/>
      <c r="V66" s="837"/>
      <c r="W66" s="849"/>
      <c r="X66" s="850"/>
      <c r="Y66" s="174"/>
      <c r="Z66" s="786">
        <f t="shared" si="2"/>
        <v>0</v>
      </c>
      <c r="AA66" s="786">
        <f t="shared" si="3"/>
        <v>0</v>
      </c>
      <c r="AB66" s="786">
        <f t="shared" si="4"/>
        <v>0</v>
      </c>
      <c r="AC66" s="786">
        <f>IF(Z66=0,,VLOOKUP(Z66,リスト!DC:DD,2,0))</f>
        <v>0</v>
      </c>
      <c r="AD66" s="786">
        <f t="shared" si="5"/>
        <v>0</v>
      </c>
      <c r="AE66" s="787">
        <f>IF(AD66=0,,VLOOKUP(AD66,リスト!DK:DL,2,0))</f>
        <v>0</v>
      </c>
      <c r="AF66" s="786">
        <f>IF(Z66=0,,
IF(OR(リスト!$C$21="小麦",リスト!$C$21="二条大麦",リスト!$C$21="六条大麦",リスト!$C$21="はだか麦",リスト!$C$21="なたね"),IF(K66&lt;9,調査年-J66,調査年-J66-1),
IF(リスト!$C$21="さとうきび",IF(K66&gt;=4,調査年-J66,調査年-J66+1),
調査年-J66)))</f>
        <v>0</v>
      </c>
      <c r="AG66" s="788">
        <f t="shared" si="22"/>
        <v>0</v>
      </c>
      <c r="AH66" s="788">
        <f t="shared" si="7"/>
        <v>0</v>
      </c>
      <c r="AI66" s="788">
        <f t="shared" si="8"/>
        <v>0</v>
      </c>
      <c r="AJ66" s="788">
        <f t="shared" si="9"/>
        <v>0</v>
      </c>
      <c r="AK66" s="477"/>
      <c r="AL66" s="788">
        <f>IF(OR(R66=0,AH66=""),,
IF(OR(リスト!$C$21="小麦",リスト!$C$21="二条大麦",リスト!$C$21="六条大麦",リスト!$C$21="はだか麦",リスト!$C$21="なたね"),IF(OR(AND(K66&lt;9,J66=調査年),AND(K66&gt;=9,J66=調査年-1)),,ROUND(AH66*R66%,0)),
IF(リスト!$C$21="さとうきび",IF(OR(AND(K66&gt;=4,J66=調査年),AND(K66&lt;4,J66=調査年+1)),,ROUND(AH66*R66%,0)),
IF(J66=調査年,,ROUND(AH66*R66%,0)))))</f>
        <v>0</v>
      </c>
      <c r="AM66" s="788">
        <f t="shared" si="10"/>
        <v>0</v>
      </c>
      <c r="AN66" s="788">
        <f t="shared" si="11"/>
        <v>0</v>
      </c>
      <c r="AO66" s="788">
        <f t="shared" si="12"/>
        <v>0</v>
      </c>
      <c r="AP66" s="788">
        <f>IF(R66=0,,
SUM(
IF(OR(リスト!$C$21="小麦",リスト!$C$21="二条大麦",リスト!$C$21="六条大麦",リスト!$C$21="はだか麦",リスト!$C$21="なたね"),IF(OR(AND(AA66=1,K66&lt;9,J66=調査年),AND(AA66=1,K66&gt;=9,J66=調査年-1)),ROUND(L66*R66%,0),),
IF(リスト!$C$21="さとうきび",IF(OR(AND(AA66=1,K66&gt;=4,J66=調査年),AND(AA66=1,K66&lt;4,J66=調査年+1)),ROUND(L66*R66%,0),),
IF(AND(AA66=1,J66=調査年),ROUND(L66*R66%,0),))),
ROUND(M66*R66%,0)
))</f>
        <v>0</v>
      </c>
      <c r="AQ66" s="788">
        <f t="shared" si="13"/>
        <v>0</v>
      </c>
      <c r="AR66" s="788">
        <f t="shared" si="14"/>
        <v>0</v>
      </c>
      <c r="AS66" s="788">
        <f t="shared" si="20"/>
        <v>0</v>
      </c>
      <c r="AT66" s="788">
        <f t="shared" si="21"/>
        <v>0</v>
      </c>
      <c r="AU66" s="788">
        <f t="shared" si="15"/>
        <v>0</v>
      </c>
      <c r="AV66" s="788">
        <f t="shared" si="16"/>
        <v>0</v>
      </c>
      <c r="AW66" s="841">
        <f t="shared" si="17"/>
        <v>0</v>
      </c>
      <c r="AX66" s="842"/>
      <c r="AY66" s="842"/>
    </row>
    <row r="67" spans="3:51" s="55" customFormat="1" ht="30.75" hidden="1" customHeight="1" outlineLevel="1">
      <c r="C67" s="843">
        <v>50</v>
      </c>
      <c r="D67" s="803"/>
      <c r="E67" s="844"/>
      <c r="F67" s="845"/>
      <c r="G67" s="2281"/>
      <c r="H67" s="2282"/>
      <c r="I67" s="851"/>
      <c r="J67" s="846"/>
      <c r="K67" s="796"/>
      <c r="L67" s="797"/>
      <c r="M67" s="797"/>
      <c r="N67" s="797"/>
      <c r="O67" s="797"/>
      <c r="P67" s="797"/>
      <c r="Q67" s="797"/>
      <c r="R67" s="1284"/>
      <c r="S67" s="798"/>
      <c r="T67" s="847"/>
      <c r="U67" s="848"/>
      <c r="V67" s="837"/>
      <c r="W67" s="849"/>
      <c r="X67" s="850"/>
      <c r="Y67" s="174"/>
      <c r="Z67" s="786">
        <f t="shared" si="2"/>
        <v>0</v>
      </c>
      <c r="AA67" s="786">
        <f t="shared" si="3"/>
        <v>0</v>
      </c>
      <c r="AB67" s="786">
        <f t="shared" si="4"/>
        <v>0</v>
      </c>
      <c r="AC67" s="786">
        <f>IF(Z67=0,,VLOOKUP(Z67,リスト!DC:DD,2,0))</f>
        <v>0</v>
      </c>
      <c r="AD67" s="786">
        <f t="shared" si="5"/>
        <v>0</v>
      </c>
      <c r="AE67" s="787">
        <f>IF(AD67=0,,VLOOKUP(AD67,リスト!DK:DL,2,0))</f>
        <v>0</v>
      </c>
      <c r="AF67" s="786">
        <f>IF(Z67=0,,
IF(OR(リスト!$C$21="小麦",リスト!$C$21="二条大麦",リスト!$C$21="六条大麦",リスト!$C$21="はだか麦",リスト!$C$21="なたね"),IF(K67&lt;9,調査年-J67,調査年-J67-1),
IF(リスト!$C$21="さとうきび",IF(K67&gt;=4,調査年-J67,調査年-J67+1),
調査年-J67)))</f>
        <v>0</v>
      </c>
      <c r="AG67" s="788">
        <f t="shared" si="22"/>
        <v>0</v>
      </c>
      <c r="AH67" s="788">
        <f t="shared" si="7"/>
        <v>0</v>
      </c>
      <c r="AI67" s="788">
        <f t="shared" si="8"/>
        <v>0</v>
      </c>
      <c r="AJ67" s="788">
        <f t="shared" si="9"/>
        <v>0</v>
      </c>
      <c r="AK67" s="477"/>
      <c r="AL67" s="788">
        <f>IF(OR(R67=0,AH67=""),,
IF(OR(リスト!$C$21="小麦",リスト!$C$21="二条大麦",リスト!$C$21="六条大麦",リスト!$C$21="はだか麦",リスト!$C$21="なたね"),IF(OR(AND(K67&lt;9,J67=調査年),AND(K67&gt;=9,J67=調査年-1)),,ROUND(AH67*R67%,0)),
IF(リスト!$C$21="さとうきび",IF(OR(AND(K67&gt;=4,J67=調査年),AND(K67&lt;4,J67=調査年+1)),,ROUND(AH67*R67%,0)),
IF(J67=調査年,,ROUND(AH67*R67%,0)))))</f>
        <v>0</v>
      </c>
      <c r="AM67" s="788">
        <f t="shared" si="10"/>
        <v>0</v>
      </c>
      <c r="AN67" s="788">
        <f t="shared" si="11"/>
        <v>0</v>
      </c>
      <c r="AO67" s="788">
        <f t="shared" si="12"/>
        <v>0</v>
      </c>
      <c r="AP67" s="788">
        <f>IF(R67=0,,
SUM(
IF(OR(リスト!$C$21="小麦",リスト!$C$21="二条大麦",リスト!$C$21="六条大麦",リスト!$C$21="はだか麦",リスト!$C$21="なたね"),IF(OR(AND(AA67=1,K67&lt;9,J67=調査年),AND(AA67=1,K67&gt;=9,J67=調査年-1)),ROUND(L67*R67%,0),),
IF(リスト!$C$21="さとうきび",IF(OR(AND(AA67=1,K67&gt;=4,J67=調査年),AND(AA67=1,K67&lt;4,J67=調査年+1)),ROUND(L67*R67%,0),),
IF(AND(AA67=1,J67=調査年),ROUND(L67*R67%,0),))),
ROUND(M67*R67%,0)
))</f>
        <v>0</v>
      </c>
      <c r="AQ67" s="788">
        <f t="shared" si="13"/>
        <v>0</v>
      </c>
      <c r="AR67" s="788">
        <f t="shared" si="14"/>
        <v>0</v>
      </c>
      <c r="AS67" s="788">
        <f t="shared" si="20"/>
        <v>0</v>
      </c>
      <c r="AT67" s="788">
        <f t="shared" si="21"/>
        <v>0</v>
      </c>
      <c r="AU67" s="788">
        <f t="shared" si="15"/>
        <v>0</v>
      </c>
      <c r="AV67" s="788">
        <f t="shared" si="16"/>
        <v>0</v>
      </c>
      <c r="AW67" s="841">
        <f t="shared" si="17"/>
        <v>0</v>
      </c>
      <c r="AX67" s="842"/>
      <c r="AY67" s="842"/>
    </row>
    <row r="68" spans="3:51" s="55" customFormat="1" ht="30.75" hidden="1" customHeight="1" outlineLevel="1">
      <c r="C68" s="843">
        <v>51</v>
      </c>
      <c r="D68" s="803"/>
      <c r="E68" s="844"/>
      <c r="F68" s="845"/>
      <c r="G68" s="2281"/>
      <c r="H68" s="2282"/>
      <c r="I68" s="851"/>
      <c r="J68" s="846"/>
      <c r="K68" s="796"/>
      <c r="L68" s="797"/>
      <c r="M68" s="797"/>
      <c r="N68" s="797"/>
      <c r="O68" s="797"/>
      <c r="P68" s="797"/>
      <c r="Q68" s="797"/>
      <c r="R68" s="1284"/>
      <c r="S68" s="798"/>
      <c r="T68" s="847"/>
      <c r="U68" s="848"/>
      <c r="V68" s="837"/>
      <c r="W68" s="849"/>
      <c r="X68" s="850"/>
      <c r="Y68" s="174"/>
      <c r="Z68" s="786">
        <f t="shared" si="2"/>
        <v>0</v>
      </c>
      <c r="AA68" s="786">
        <f t="shared" si="3"/>
        <v>0</v>
      </c>
      <c r="AB68" s="786">
        <f t="shared" si="4"/>
        <v>0</v>
      </c>
      <c r="AC68" s="786">
        <f>IF(Z68=0,,VLOOKUP(Z68,リスト!DC:DD,2,0))</f>
        <v>0</v>
      </c>
      <c r="AD68" s="786">
        <f t="shared" si="5"/>
        <v>0</v>
      </c>
      <c r="AE68" s="787">
        <f>IF(AD68=0,,VLOOKUP(AD68,リスト!DK:DL,2,0))</f>
        <v>0</v>
      </c>
      <c r="AF68" s="786">
        <f>IF(Z68=0,,
IF(OR(リスト!$C$21="小麦",リスト!$C$21="二条大麦",リスト!$C$21="六条大麦",リスト!$C$21="はだか麦",リスト!$C$21="なたね"),IF(K68&lt;9,調査年-J68,調査年-J68-1),
IF(リスト!$C$21="さとうきび",IF(K68&gt;=4,調査年-J68,調査年-J68+1),
調査年-J68)))</f>
        <v>0</v>
      </c>
      <c r="AG68" s="788">
        <f t="shared" si="22"/>
        <v>0</v>
      </c>
      <c r="AH68" s="788">
        <f t="shared" si="7"/>
        <v>0</v>
      </c>
      <c r="AI68" s="788">
        <f t="shared" si="8"/>
        <v>0</v>
      </c>
      <c r="AJ68" s="788">
        <f t="shared" si="9"/>
        <v>0</v>
      </c>
      <c r="AK68" s="477"/>
      <c r="AL68" s="788">
        <f>IF(OR(R68=0,AH68=""),,
IF(OR(リスト!$C$21="小麦",リスト!$C$21="二条大麦",リスト!$C$21="六条大麦",リスト!$C$21="はだか麦",リスト!$C$21="なたね"),IF(OR(AND(K68&lt;9,J68=調査年),AND(K68&gt;=9,J68=調査年-1)),,ROUND(AH68*R68%,0)),
IF(リスト!$C$21="さとうきび",IF(OR(AND(K68&gt;=4,J68=調査年),AND(K68&lt;4,J68=調査年+1)),,ROUND(AH68*R68%,0)),
IF(J68=調査年,,ROUND(AH68*R68%,0)))))</f>
        <v>0</v>
      </c>
      <c r="AM68" s="788">
        <f t="shared" si="10"/>
        <v>0</v>
      </c>
      <c r="AN68" s="788">
        <f t="shared" si="11"/>
        <v>0</v>
      </c>
      <c r="AO68" s="788">
        <f t="shared" si="12"/>
        <v>0</v>
      </c>
      <c r="AP68" s="788">
        <f>IF(R68=0,,
SUM(
IF(OR(リスト!$C$21="小麦",リスト!$C$21="二条大麦",リスト!$C$21="六条大麦",リスト!$C$21="はだか麦",リスト!$C$21="なたね"),IF(OR(AND(AA68=1,K68&lt;9,J68=調査年),AND(AA68=1,K68&gt;=9,J68=調査年-1)),ROUND(L68*R68%,0),),
IF(リスト!$C$21="さとうきび",IF(OR(AND(AA68=1,K68&gt;=4,J68=調査年),AND(AA68=1,K68&lt;4,J68=調査年+1)),ROUND(L68*R68%,0),),
IF(AND(AA68=1,J68=調査年),ROUND(L68*R68%,0),))),
ROUND(M68*R68%,0)
))</f>
        <v>0</v>
      </c>
      <c r="AQ68" s="788">
        <f t="shared" si="13"/>
        <v>0</v>
      </c>
      <c r="AR68" s="788">
        <f t="shared" si="14"/>
        <v>0</v>
      </c>
      <c r="AS68" s="788">
        <f t="shared" si="20"/>
        <v>0</v>
      </c>
      <c r="AT68" s="788">
        <f t="shared" si="21"/>
        <v>0</v>
      </c>
      <c r="AU68" s="788">
        <f t="shared" si="15"/>
        <v>0</v>
      </c>
      <c r="AV68" s="788">
        <f t="shared" si="16"/>
        <v>0</v>
      </c>
      <c r="AW68" s="841">
        <f t="shared" si="17"/>
        <v>0</v>
      </c>
      <c r="AX68" s="842"/>
      <c r="AY68" s="842"/>
    </row>
    <row r="69" spans="3:51" s="55" customFormat="1" ht="30.75" hidden="1" customHeight="1" outlineLevel="1">
      <c r="C69" s="843">
        <v>52</v>
      </c>
      <c r="D69" s="803"/>
      <c r="E69" s="844"/>
      <c r="F69" s="845"/>
      <c r="G69" s="2281"/>
      <c r="H69" s="2282"/>
      <c r="I69" s="851"/>
      <c r="J69" s="846"/>
      <c r="K69" s="796"/>
      <c r="L69" s="797"/>
      <c r="M69" s="797"/>
      <c r="N69" s="797"/>
      <c r="O69" s="797"/>
      <c r="P69" s="797"/>
      <c r="Q69" s="797"/>
      <c r="R69" s="1284"/>
      <c r="S69" s="798"/>
      <c r="T69" s="847"/>
      <c r="U69" s="848"/>
      <c r="V69" s="837"/>
      <c r="W69" s="849"/>
      <c r="X69" s="850"/>
      <c r="Y69" s="174"/>
      <c r="Z69" s="786">
        <f t="shared" si="2"/>
        <v>0</v>
      </c>
      <c r="AA69" s="786">
        <f t="shared" si="3"/>
        <v>0</v>
      </c>
      <c r="AB69" s="786">
        <f t="shared" si="4"/>
        <v>0</v>
      </c>
      <c r="AC69" s="786">
        <f>IF(Z69=0,,VLOOKUP(Z69,リスト!DC:DD,2,0))</f>
        <v>0</v>
      </c>
      <c r="AD69" s="786">
        <f t="shared" si="5"/>
        <v>0</v>
      </c>
      <c r="AE69" s="787">
        <f>IF(AD69=0,,VLOOKUP(AD69,リスト!DK:DL,2,0))</f>
        <v>0</v>
      </c>
      <c r="AF69" s="786">
        <f>IF(Z69=0,,
IF(OR(リスト!$C$21="小麦",リスト!$C$21="二条大麦",リスト!$C$21="六条大麦",リスト!$C$21="はだか麦",リスト!$C$21="なたね"),IF(K69&lt;9,調査年-J69,調査年-J69-1),
IF(リスト!$C$21="さとうきび",IF(K69&gt;=4,調査年-J69,調査年-J69+1),
調査年-J69)))</f>
        <v>0</v>
      </c>
      <c r="AG69" s="788">
        <f t="shared" si="22"/>
        <v>0</v>
      </c>
      <c r="AH69" s="788">
        <f t="shared" si="7"/>
        <v>0</v>
      </c>
      <c r="AI69" s="788">
        <f t="shared" si="8"/>
        <v>0</v>
      </c>
      <c r="AJ69" s="788">
        <f t="shared" si="9"/>
        <v>0</v>
      </c>
      <c r="AK69" s="477"/>
      <c r="AL69" s="788">
        <f>IF(OR(R69=0,AH69=""),,
IF(OR(リスト!$C$21="小麦",リスト!$C$21="二条大麦",リスト!$C$21="六条大麦",リスト!$C$21="はだか麦",リスト!$C$21="なたね"),IF(OR(AND(K69&lt;9,J69=調査年),AND(K69&gt;=9,J69=調査年-1)),,ROUND(AH69*R69%,0)),
IF(リスト!$C$21="さとうきび",IF(OR(AND(K69&gt;=4,J69=調査年),AND(K69&lt;4,J69=調査年+1)),,ROUND(AH69*R69%,0)),
IF(J69=調査年,,ROUND(AH69*R69%,0)))))</f>
        <v>0</v>
      </c>
      <c r="AM69" s="788">
        <f t="shared" si="10"/>
        <v>0</v>
      </c>
      <c r="AN69" s="788">
        <f t="shared" si="11"/>
        <v>0</v>
      </c>
      <c r="AO69" s="788">
        <f t="shared" si="12"/>
        <v>0</v>
      </c>
      <c r="AP69" s="788">
        <f>IF(R69=0,,
SUM(
IF(OR(リスト!$C$21="小麦",リスト!$C$21="二条大麦",リスト!$C$21="六条大麦",リスト!$C$21="はだか麦",リスト!$C$21="なたね"),IF(OR(AND(AA69=1,K69&lt;9,J69=調査年),AND(AA69=1,K69&gt;=9,J69=調査年-1)),ROUND(L69*R69%,0),),
IF(リスト!$C$21="さとうきび",IF(OR(AND(AA69=1,K69&gt;=4,J69=調査年),AND(AA69=1,K69&lt;4,J69=調査年+1)),ROUND(L69*R69%,0),),
IF(AND(AA69=1,J69=調査年),ROUND(L69*R69%,0),))),
ROUND(M69*R69%,0)
))</f>
        <v>0</v>
      </c>
      <c r="AQ69" s="788">
        <f t="shared" si="13"/>
        <v>0</v>
      </c>
      <c r="AR69" s="788">
        <f t="shared" si="14"/>
        <v>0</v>
      </c>
      <c r="AS69" s="788">
        <f t="shared" si="20"/>
        <v>0</v>
      </c>
      <c r="AT69" s="788">
        <f t="shared" si="21"/>
        <v>0</v>
      </c>
      <c r="AU69" s="788">
        <f t="shared" si="15"/>
        <v>0</v>
      </c>
      <c r="AV69" s="788">
        <f t="shared" si="16"/>
        <v>0</v>
      </c>
      <c r="AW69" s="841">
        <f t="shared" si="17"/>
        <v>0</v>
      </c>
      <c r="AX69" s="842"/>
      <c r="AY69" s="842"/>
    </row>
    <row r="70" spans="3:51" s="55" customFormat="1" ht="30.75" hidden="1" customHeight="1" outlineLevel="1">
      <c r="C70" s="843">
        <v>53</v>
      </c>
      <c r="D70" s="803"/>
      <c r="E70" s="844"/>
      <c r="F70" s="845"/>
      <c r="G70" s="2281"/>
      <c r="H70" s="2282"/>
      <c r="I70" s="851"/>
      <c r="J70" s="846"/>
      <c r="K70" s="796"/>
      <c r="L70" s="797"/>
      <c r="M70" s="797"/>
      <c r="N70" s="797"/>
      <c r="O70" s="797"/>
      <c r="P70" s="797"/>
      <c r="Q70" s="797"/>
      <c r="R70" s="1284"/>
      <c r="S70" s="798"/>
      <c r="T70" s="847"/>
      <c r="U70" s="848"/>
      <c r="V70" s="837"/>
      <c r="W70" s="849"/>
      <c r="X70" s="850"/>
      <c r="Y70" s="174"/>
      <c r="Z70" s="786">
        <f t="shared" si="2"/>
        <v>0</v>
      </c>
      <c r="AA70" s="786">
        <f t="shared" si="3"/>
        <v>0</v>
      </c>
      <c r="AB70" s="786">
        <f t="shared" si="4"/>
        <v>0</v>
      </c>
      <c r="AC70" s="786">
        <f>IF(Z70=0,,VLOOKUP(Z70,リスト!DC:DD,2,0))</f>
        <v>0</v>
      </c>
      <c r="AD70" s="786">
        <f t="shared" si="5"/>
        <v>0</v>
      </c>
      <c r="AE70" s="787">
        <f>IF(AD70=0,,VLOOKUP(AD70,リスト!DK:DL,2,0))</f>
        <v>0</v>
      </c>
      <c r="AF70" s="786">
        <f>IF(Z70=0,,
IF(OR(リスト!$C$21="小麦",リスト!$C$21="二条大麦",リスト!$C$21="六条大麦",リスト!$C$21="はだか麦",リスト!$C$21="なたね"),IF(K70&lt;9,調査年-J70,調査年-J70-1),
IF(リスト!$C$21="さとうきび",IF(K70&gt;=4,調査年-J70,調査年-J70+1),
調査年-J70)))</f>
        <v>0</v>
      </c>
      <c r="AG70" s="788">
        <f t="shared" si="22"/>
        <v>0</v>
      </c>
      <c r="AH70" s="788">
        <f t="shared" si="7"/>
        <v>0</v>
      </c>
      <c r="AI70" s="788">
        <f t="shared" si="8"/>
        <v>0</v>
      </c>
      <c r="AJ70" s="788">
        <f t="shared" si="9"/>
        <v>0</v>
      </c>
      <c r="AK70" s="477"/>
      <c r="AL70" s="788">
        <f>IF(OR(R70=0,AH70=""),,
IF(OR(リスト!$C$21="小麦",リスト!$C$21="二条大麦",リスト!$C$21="六条大麦",リスト!$C$21="はだか麦",リスト!$C$21="なたね"),IF(OR(AND(K70&lt;9,J70=調査年),AND(K70&gt;=9,J70=調査年-1)),,ROUND(AH70*R70%,0)),
IF(リスト!$C$21="さとうきび",IF(OR(AND(K70&gt;=4,J70=調査年),AND(K70&lt;4,J70=調査年+1)),,ROUND(AH70*R70%,0)),
IF(J70=調査年,,ROUND(AH70*R70%,0)))))</f>
        <v>0</v>
      </c>
      <c r="AM70" s="788">
        <f t="shared" si="10"/>
        <v>0</v>
      </c>
      <c r="AN70" s="788">
        <f t="shared" si="11"/>
        <v>0</v>
      </c>
      <c r="AO70" s="788">
        <f t="shared" si="12"/>
        <v>0</v>
      </c>
      <c r="AP70" s="788">
        <f>IF(R70=0,,
SUM(
IF(OR(リスト!$C$21="小麦",リスト!$C$21="二条大麦",リスト!$C$21="六条大麦",リスト!$C$21="はだか麦",リスト!$C$21="なたね"),IF(OR(AND(AA70=1,K70&lt;9,J70=調査年),AND(AA70=1,K70&gt;=9,J70=調査年-1)),ROUND(L70*R70%,0),),
IF(リスト!$C$21="さとうきび",IF(OR(AND(AA70=1,K70&gt;=4,J70=調査年),AND(AA70=1,K70&lt;4,J70=調査年+1)),ROUND(L70*R70%,0),),
IF(AND(AA70=1,J70=調査年),ROUND(L70*R70%,0),))),
ROUND(M70*R70%,0)
))</f>
        <v>0</v>
      </c>
      <c r="AQ70" s="788">
        <f t="shared" si="13"/>
        <v>0</v>
      </c>
      <c r="AR70" s="788">
        <f t="shared" si="14"/>
        <v>0</v>
      </c>
      <c r="AS70" s="788">
        <f t="shared" si="20"/>
        <v>0</v>
      </c>
      <c r="AT70" s="788">
        <f t="shared" si="21"/>
        <v>0</v>
      </c>
      <c r="AU70" s="788">
        <f t="shared" si="15"/>
        <v>0</v>
      </c>
      <c r="AV70" s="788">
        <f t="shared" si="16"/>
        <v>0</v>
      </c>
      <c r="AW70" s="841">
        <f t="shared" si="17"/>
        <v>0</v>
      </c>
      <c r="AX70" s="842"/>
      <c r="AY70" s="842"/>
    </row>
    <row r="71" spans="3:51" s="55" customFormat="1" ht="30.75" hidden="1" customHeight="1" outlineLevel="1">
      <c r="C71" s="843">
        <v>54</v>
      </c>
      <c r="D71" s="803"/>
      <c r="E71" s="844"/>
      <c r="F71" s="845"/>
      <c r="G71" s="2281"/>
      <c r="H71" s="2282"/>
      <c r="I71" s="851"/>
      <c r="J71" s="846"/>
      <c r="K71" s="796"/>
      <c r="L71" s="797"/>
      <c r="M71" s="797"/>
      <c r="N71" s="797"/>
      <c r="O71" s="797"/>
      <c r="P71" s="797"/>
      <c r="Q71" s="797"/>
      <c r="R71" s="1284"/>
      <c r="S71" s="798"/>
      <c r="T71" s="847"/>
      <c r="U71" s="848"/>
      <c r="V71" s="837"/>
      <c r="W71" s="849"/>
      <c r="X71" s="850"/>
      <c r="Y71" s="174"/>
      <c r="Z71" s="786">
        <f t="shared" si="2"/>
        <v>0</v>
      </c>
      <c r="AA71" s="786">
        <f t="shared" si="3"/>
        <v>0</v>
      </c>
      <c r="AB71" s="786">
        <f t="shared" si="4"/>
        <v>0</v>
      </c>
      <c r="AC71" s="786">
        <f>IF(Z71=0,,VLOOKUP(Z71,リスト!DC:DD,2,0))</f>
        <v>0</v>
      </c>
      <c r="AD71" s="786">
        <f t="shared" si="5"/>
        <v>0</v>
      </c>
      <c r="AE71" s="787">
        <f>IF(AD71=0,,VLOOKUP(AD71,リスト!DK:DL,2,0))</f>
        <v>0</v>
      </c>
      <c r="AF71" s="786">
        <f>IF(Z71=0,,
IF(OR(リスト!$C$21="小麦",リスト!$C$21="二条大麦",リスト!$C$21="六条大麦",リスト!$C$21="はだか麦",リスト!$C$21="なたね"),IF(K71&lt;9,調査年-J71,調査年-J71-1),
IF(リスト!$C$21="さとうきび",IF(K71&gt;=4,調査年-J71,調査年-J71+1),
調査年-J71)))</f>
        <v>0</v>
      </c>
      <c r="AG71" s="788">
        <f t="shared" si="22"/>
        <v>0</v>
      </c>
      <c r="AH71" s="788">
        <f t="shared" si="7"/>
        <v>0</v>
      </c>
      <c r="AI71" s="788">
        <f t="shared" si="8"/>
        <v>0</v>
      </c>
      <c r="AJ71" s="788">
        <f t="shared" si="9"/>
        <v>0</v>
      </c>
      <c r="AK71" s="477"/>
      <c r="AL71" s="788">
        <f>IF(OR(R71=0,AH71=""),,
IF(OR(リスト!$C$21="小麦",リスト!$C$21="二条大麦",リスト!$C$21="六条大麦",リスト!$C$21="はだか麦",リスト!$C$21="なたね"),IF(OR(AND(K71&lt;9,J71=調査年),AND(K71&gt;=9,J71=調査年-1)),,ROUND(AH71*R71%,0)),
IF(リスト!$C$21="さとうきび",IF(OR(AND(K71&gt;=4,J71=調査年),AND(K71&lt;4,J71=調査年+1)),,ROUND(AH71*R71%,0)),
IF(J71=調査年,,ROUND(AH71*R71%,0)))))</f>
        <v>0</v>
      </c>
      <c r="AM71" s="788">
        <f t="shared" si="10"/>
        <v>0</v>
      </c>
      <c r="AN71" s="788">
        <f t="shared" si="11"/>
        <v>0</v>
      </c>
      <c r="AO71" s="788">
        <f t="shared" si="12"/>
        <v>0</v>
      </c>
      <c r="AP71" s="788">
        <f>IF(R71=0,,
SUM(
IF(OR(リスト!$C$21="小麦",リスト!$C$21="二条大麦",リスト!$C$21="六条大麦",リスト!$C$21="はだか麦",リスト!$C$21="なたね"),IF(OR(AND(AA71=1,K71&lt;9,J71=調査年),AND(AA71=1,K71&gt;=9,J71=調査年-1)),ROUND(L71*R71%,0),),
IF(リスト!$C$21="さとうきび",IF(OR(AND(AA71=1,K71&gt;=4,J71=調査年),AND(AA71=1,K71&lt;4,J71=調査年+1)),ROUND(L71*R71%,0),),
IF(AND(AA71=1,J71=調査年),ROUND(L71*R71%,0),))),
ROUND(M71*R71%,0)
))</f>
        <v>0</v>
      </c>
      <c r="AQ71" s="788">
        <f t="shared" si="13"/>
        <v>0</v>
      </c>
      <c r="AR71" s="788">
        <f t="shared" si="14"/>
        <v>0</v>
      </c>
      <c r="AS71" s="788">
        <f t="shared" si="20"/>
        <v>0</v>
      </c>
      <c r="AT71" s="788">
        <f t="shared" si="21"/>
        <v>0</v>
      </c>
      <c r="AU71" s="788">
        <f t="shared" si="15"/>
        <v>0</v>
      </c>
      <c r="AV71" s="788">
        <f t="shared" si="16"/>
        <v>0</v>
      </c>
      <c r="AW71" s="841">
        <f t="shared" si="17"/>
        <v>0</v>
      </c>
      <c r="AX71" s="842"/>
      <c r="AY71" s="842"/>
    </row>
    <row r="72" spans="3:51" s="55" customFormat="1" ht="30.75" hidden="1" customHeight="1" outlineLevel="1">
      <c r="C72" s="843">
        <v>55</v>
      </c>
      <c r="D72" s="803"/>
      <c r="E72" s="844"/>
      <c r="F72" s="845"/>
      <c r="G72" s="2281"/>
      <c r="H72" s="2282"/>
      <c r="I72" s="851"/>
      <c r="J72" s="846"/>
      <c r="K72" s="796"/>
      <c r="L72" s="797"/>
      <c r="M72" s="797"/>
      <c r="N72" s="797"/>
      <c r="O72" s="797"/>
      <c r="P72" s="797"/>
      <c r="Q72" s="797"/>
      <c r="R72" s="1284"/>
      <c r="S72" s="798"/>
      <c r="T72" s="847"/>
      <c r="U72" s="848"/>
      <c r="V72" s="837"/>
      <c r="W72" s="849"/>
      <c r="X72" s="850"/>
      <c r="Y72" s="174"/>
      <c r="Z72" s="786">
        <f t="shared" si="2"/>
        <v>0</v>
      </c>
      <c r="AA72" s="786">
        <f t="shared" si="3"/>
        <v>0</v>
      </c>
      <c r="AB72" s="786">
        <f t="shared" si="4"/>
        <v>0</v>
      </c>
      <c r="AC72" s="786">
        <f>IF(Z72=0,,VLOOKUP(Z72,リスト!DC:DD,2,0))</f>
        <v>0</v>
      </c>
      <c r="AD72" s="786">
        <f t="shared" si="5"/>
        <v>0</v>
      </c>
      <c r="AE72" s="787">
        <f>IF(AD72=0,,VLOOKUP(AD72,リスト!DK:DL,2,0))</f>
        <v>0</v>
      </c>
      <c r="AF72" s="786">
        <f>IF(Z72=0,,
IF(OR(リスト!$C$21="小麦",リスト!$C$21="二条大麦",リスト!$C$21="六条大麦",リスト!$C$21="はだか麦",リスト!$C$21="なたね"),IF(K72&lt;9,調査年-J72,調査年-J72-1),
IF(リスト!$C$21="さとうきび",IF(K72&gt;=4,調査年-J72,調査年-J72+1),
調査年-J72)))</f>
        <v>0</v>
      </c>
      <c r="AG72" s="788">
        <f t="shared" si="22"/>
        <v>0</v>
      </c>
      <c r="AH72" s="788">
        <f t="shared" si="7"/>
        <v>0</v>
      </c>
      <c r="AI72" s="788">
        <f t="shared" si="8"/>
        <v>0</v>
      </c>
      <c r="AJ72" s="788">
        <f t="shared" si="9"/>
        <v>0</v>
      </c>
      <c r="AK72" s="477"/>
      <c r="AL72" s="788">
        <f>IF(OR(R72=0,AH72=""),,
IF(OR(リスト!$C$21="小麦",リスト!$C$21="二条大麦",リスト!$C$21="六条大麦",リスト!$C$21="はだか麦",リスト!$C$21="なたね"),IF(OR(AND(K72&lt;9,J72=調査年),AND(K72&gt;=9,J72=調査年-1)),,ROUND(AH72*R72%,0)),
IF(リスト!$C$21="さとうきび",IF(OR(AND(K72&gt;=4,J72=調査年),AND(K72&lt;4,J72=調査年+1)),,ROUND(AH72*R72%,0)),
IF(J72=調査年,,ROUND(AH72*R72%,0)))))</f>
        <v>0</v>
      </c>
      <c r="AM72" s="788">
        <f t="shared" si="10"/>
        <v>0</v>
      </c>
      <c r="AN72" s="788">
        <f t="shared" si="11"/>
        <v>0</v>
      </c>
      <c r="AO72" s="788">
        <f t="shared" si="12"/>
        <v>0</v>
      </c>
      <c r="AP72" s="788">
        <f>IF(R72=0,,
SUM(
IF(OR(リスト!$C$21="小麦",リスト!$C$21="二条大麦",リスト!$C$21="六条大麦",リスト!$C$21="はだか麦",リスト!$C$21="なたね"),IF(OR(AND(AA72=1,K72&lt;9,J72=調査年),AND(AA72=1,K72&gt;=9,J72=調査年-1)),ROUND(L72*R72%,0),),
IF(リスト!$C$21="さとうきび",IF(OR(AND(AA72=1,K72&gt;=4,J72=調査年),AND(AA72=1,K72&lt;4,J72=調査年+1)),ROUND(L72*R72%,0),),
IF(AND(AA72=1,J72=調査年),ROUND(L72*R72%,0),))),
ROUND(M72*R72%,0)
))</f>
        <v>0</v>
      </c>
      <c r="AQ72" s="788">
        <f t="shared" si="13"/>
        <v>0</v>
      </c>
      <c r="AR72" s="788">
        <f t="shared" si="14"/>
        <v>0</v>
      </c>
      <c r="AS72" s="788">
        <f t="shared" si="20"/>
        <v>0</v>
      </c>
      <c r="AT72" s="788">
        <f t="shared" si="21"/>
        <v>0</v>
      </c>
      <c r="AU72" s="788">
        <f t="shared" si="15"/>
        <v>0</v>
      </c>
      <c r="AV72" s="788">
        <f t="shared" si="16"/>
        <v>0</v>
      </c>
      <c r="AW72" s="841">
        <f t="shared" si="17"/>
        <v>0</v>
      </c>
      <c r="AX72" s="842"/>
      <c r="AY72" s="842"/>
    </row>
    <row r="73" spans="3:51" s="55" customFormat="1" ht="30.75" hidden="1" customHeight="1" outlineLevel="1">
      <c r="C73" s="843">
        <v>56</v>
      </c>
      <c r="D73" s="803"/>
      <c r="E73" s="853"/>
      <c r="F73" s="854"/>
      <c r="G73" s="2287"/>
      <c r="H73" s="2288"/>
      <c r="I73" s="855"/>
      <c r="J73" s="856"/>
      <c r="K73" s="857"/>
      <c r="L73" s="858"/>
      <c r="M73" s="858"/>
      <c r="N73" s="858"/>
      <c r="O73" s="858"/>
      <c r="P73" s="858"/>
      <c r="Q73" s="858"/>
      <c r="R73" s="1284"/>
      <c r="S73" s="859"/>
      <c r="T73" s="860"/>
      <c r="U73" s="861"/>
      <c r="V73" s="837"/>
      <c r="W73" s="849"/>
      <c r="X73" s="850"/>
      <c r="Y73" s="174"/>
      <c r="Z73" s="786">
        <f t="shared" si="2"/>
        <v>0</v>
      </c>
      <c r="AA73" s="786">
        <f t="shared" si="3"/>
        <v>0</v>
      </c>
      <c r="AB73" s="786">
        <f t="shared" si="4"/>
        <v>0</v>
      </c>
      <c r="AC73" s="786">
        <f>IF(Z73=0,,VLOOKUP(Z73,リスト!DC:DD,2,0))</f>
        <v>0</v>
      </c>
      <c r="AD73" s="786">
        <f t="shared" si="5"/>
        <v>0</v>
      </c>
      <c r="AE73" s="787">
        <f>IF(AD73=0,,VLOOKUP(AD73,リスト!DK:DL,2,0))</f>
        <v>0</v>
      </c>
      <c r="AF73" s="786">
        <f>IF(Z73=0,,
IF(OR(リスト!$C$21="小麦",リスト!$C$21="二条大麦",リスト!$C$21="六条大麦",リスト!$C$21="はだか麦",リスト!$C$21="なたね"),IF(K73&lt;9,調査年-J73,調査年-J73-1),
IF(リスト!$C$21="さとうきび",IF(K73&gt;=4,調査年-J73,調査年-J73+1),
調査年-J73)))</f>
        <v>0</v>
      </c>
      <c r="AG73" s="788">
        <f t="shared" si="22"/>
        <v>0</v>
      </c>
      <c r="AH73" s="788">
        <f t="shared" si="7"/>
        <v>0</v>
      </c>
      <c r="AI73" s="788">
        <f t="shared" si="8"/>
        <v>0</v>
      </c>
      <c r="AJ73" s="788">
        <f t="shared" si="9"/>
        <v>0</v>
      </c>
      <c r="AK73" s="477"/>
      <c r="AL73" s="788">
        <f>IF(OR(R73=0,AH73=""),,
IF(OR(リスト!$C$21="小麦",リスト!$C$21="二条大麦",リスト!$C$21="六条大麦",リスト!$C$21="はだか麦",リスト!$C$21="なたね"),IF(OR(AND(K73&lt;9,J73=調査年),AND(K73&gt;=9,J73=調査年-1)),,ROUND(AH73*R73%,0)),
IF(リスト!$C$21="さとうきび",IF(OR(AND(K73&gt;=4,J73=調査年),AND(K73&lt;4,J73=調査年+1)),,ROUND(AH73*R73%,0)),
IF(J73=調査年,,ROUND(AH73*R73%,0)))))</f>
        <v>0</v>
      </c>
      <c r="AM73" s="788">
        <f t="shared" si="10"/>
        <v>0</v>
      </c>
      <c r="AN73" s="788">
        <f t="shared" si="11"/>
        <v>0</v>
      </c>
      <c r="AO73" s="788">
        <f t="shared" si="12"/>
        <v>0</v>
      </c>
      <c r="AP73" s="788">
        <f>IF(R73=0,,
SUM(
IF(OR(リスト!$C$21="小麦",リスト!$C$21="二条大麦",リスト!$C$21="六条大麦",リスト!$C$21="はだか麦",リスト!$C$21="なたね"),IF(OR(AND(AA73=1,K73&lt;9,J73=調査年),AND(AA73=1,K73&gt;=9,J73=調査年-1)),ROUND(L73*R73%,0),),
IF(リスト!$C$21="さとうきび",IF(OR(AND(AA73=1,K73&gt;=4,J73=調査年),AND(AA73=1,K73&lt;4,J73=調査年+1)),ROUND(L73*R73%,0),),
IF(AND(AA73=1,J73=調査年),ROUND(L73*R73%,0),))),
ROUND(M73*R73%,0)
))</f>
        <v>0</v>
      </c>
      <c r="AQ73" s="788">
        <f t="shared" si="13"/>
        <v>0</v>
      </c>
      <c r="AR73" s="788">
        <f t="shared" si="14"/>
        <v>0</v>
      </c>
      <c r="AS73" s="788">
        <f t="shared" si="20"/>
        <v>0</v>
      </c>
      <c r="AT73" s="788">
        <f t="shared" si="21"/>
        <v>0</v>
      </c>
      <c r="AU73" s="788">
        <f t="shared" si="15"/>
        <v>0</v>
      </c>
      <c r="AV73" s="788">
        <f t="shared" si="16"/>
        <v>0</v>
      </c>
      <c r="AW73" s="841">
        <f t="shared" si="17"/>
        <v>0</v>
      </c>
      <c r="AX73" s="842"/>
      <c r="AY73" s="842"/>
    </row>
    <row r="74" spans="3:51" s="55" customFormat="1" ht="30.75" hidden="1" customHeight="1" outlineLevel="1">
      <c r="C74" s="843">
        <v>57</v>
      </c>
      <c r="D74" s="803"/>
      <c r="E74" s="844"/>
      <c r="F74" s="845"/>
      <c r="G74" s="2281"/>
      <c r="H74" s="2282"/>
      <c r="I74" s="851"/>
      <c r="J74" s="846"/>
      <c r="K74" s="796"/>
      <c r="L74" s="797"/>
      <c r="M74" s="797"/>
      <c r="N74" s="797"/>
      <c r="O74" s="797"/>
      <c r="P74" s="797"/>
      <c r="Q74" s="797"/>
      <c r="R74" s="1284"/>
      <c r="S74" s="798"/>
      <c r="T74" s="847"/>
      <c r="U74" s="848"/>
      <c r="V74" s="837"/>
      <c r="W74" s="849"/>
      <c r="X74" s="850"/>
      <c r="Y74" s="174"/>
      <c r="Z74" s="786">
        <f t="shared" si="2"/>
        <v>0</v>
      </c>
      <c r="AA74" s="786">
        <f t="shared" si="3"/>
        <v>0</v>
      </c>
      <c r="AB74" s="786">
        <f t="shared" si="4"/>
        <v>0</v>
      </c>
      <c r="AC74" s="786">
        <f>IF(Z74=0,,VLOOKUP(Z74,リスト!DC:DD,2,0))</f>
        <v>0</v>
      </c>
      <c r="AD74" s="786">
        <f t="shared" si="5"/>
        <v>0</v>
      </c>
      <c r="AE74" s="787">
        <f>IF(AD74=0,,VLOOKUP(AD74,リスト!DK:DL,2,0))</f>
        <v>0</v>
      </c>
      <c r="AF74" s="786">
        <f>IF(Z74=0,,
IF(OR(リスト!$C$21="小麦",リスト!$C$21="二条大麦",リスト!$C$21="六条大麦",リスト!$C$21="はだか麦",リスト!$C$21="なたね"),IF(K74&lt;9,調査年-J74,調査年-J74-1),
IF(リスト!$C$21="さとうきび",IF(K74&gt;=4,調査年-J74,調査年-J74+1),
調査年-J74)))</f>
        <v>0</v>
      </c>
      <c r="AG74" s="788">
        <f t="shared" si="22"/>
        <v>0</v>
      </c>
      <c r="AH74" s="788">
        <f t="shared" si="7"/>
        <v>0</v>
      </c>
      <c r="AI74" s="788">
        <f t="shared" si="8"/>
        <v>0</v>
      </c>
      <c r="AJ74" s="788">
        <f t="shared" si="9"/>
        <v>0</v>
      </c>
      <c r="AK74" s="477"/>
      <c r="AL74" s="788">
        <f>IF(OR(R74=0,AH74=""),,
IF(OR(リスト!$C$21="小麦",リスト!$C$21="二条大麦",リスト!$C$21="六条大麦",リスト!$C$21="はだか麦",リスト!$C$21="なたね"),IF(OR(AND(K74&lt;9,J74=調査年),AND(K74&gt;=9,J74=調査年-1)),,ROUND(AH74*R74%,0)),
IF(リスト!$C$21="さとうきび",IF(OR(AND(K74&gt;=4,J74=調査年),AND(K74&lt;4,J74=調査年+1)),,ROUND(AH74*R74%,0)),
IF(J74=調査年,,ROUND(AH74*R74%,0)))))</f>
        <v>0</v>
      </c>
      <c r="AM74" s="788">
        <f t="shared" si="10"/>
        <v>0</v>
      </c>
      <c r="AN74" s="788">
        <f t="shared" si="11"/>
        <v>0</v>
      </c>
      <c r="AO74" s="788">
        <f t="shared" si="12"/>
        <v>0</v>
      </c>
      <c r="AP74" s="788">
        <f>IF(R74=0,,
SUM(
IF(OR(リスト!$C$21="小麦",リスト!$C$21="二条大麦",リスト!$C$21="六条大麦",リスト!$C$21="はだか麦",リスト!$C$21="なたね"),IF(OR(AND(AA74=1,K74&lt;9,J74=調査年),AND(AA74=1,K74&gt;=9,J74=調査年-1)),ROUND(L74*R74%,0),),
IF(リスト!$C$21="さとうきび",IF(OR(AND(AA74=1,K74&gt;=4,J74=調査年),AND(AA74=1,K74&lt;4,J74=調査年+1)),ROUND(L74*R74%,0),),
IF(AND(AA74=1,J74=調査年),ROUND(L74*R74%,0),))),
ROUND(M74*R74%,0)
))</f>
        <v>0</v>
      </c>
      <c r="AQ74" s="788">
        <f t="shared" si="13"/>
        <v>0</v>
      </c>
      <c r="AR74" s="788">
        <f t="shared" si="14"/>
        <v>0</v>
      </c>
      <c r="AS74" s="788">
        <f t="shared" si="20"/>
        <v>0</v>
      </c>
      <c r="AT74" s="788">
        <f t="shared" si="21"/>
        <v>0</v>
      </c>
      <c r="AU74" s="788">
        <f t="shared" si="15"/>
        <v>0</v>
      </c>
      <c r="AV74" s="788">
        <f t="shared" si="16"/>
        <v>0</v>
      </c>
      <c r="AW74" s="841">
        <f t="shared" si="17"/>
        <v>0</v>
      </c>
      <c r="AX74" s="842"/>
      <c r="AY74" s="842"/>
    </row>
    <row r="75" spans="3:51" s="55" customFormat="1" ht="30.75" hidden="1" customHeight="1" outlineLevel="1">
      <c r="C75" s="843">
        <v>58</v>
      </c>
      <c r="D75" s="803"/>
      <c r="E75" s="844"/>
      <c r="F75" s="845"/>
      <c r="G75" s="2281"/>
      <c r="H75" s="2282"/>
      <c r="I75" s="851"/>
      <c r="J75" s="846"/>
      <c r="K75" s="796"/>
      <c r="L75" s="797"/>
      <c r="M75" s="797"/>
      <c r="N75" s="797"/>
      <c r="O75" s="797"/>
      <c r="P75" s="797"/>
      <c r="Q75" s="797"/>
      <c r="R75" s="1284"/>
      <c r="S75" s="798"/>
      <c r="T75" s="847"/>
      <c r="U75" s="848"/>
      <c r="V75" s="837"/>
      <c r="W75" s="849"/>
      <c r="X75" s="850"/>
      <c r="Y75" s="174"/>
      <c r="Z75" s="786">
        <f t="shared" si="2"/>
        <v>0</v>
      </c>
      <c r="AA75" s="786">
        <f t="shared" si="3"/>
        <v>0</v>
      </c>
      <c r="AB75" s="786">
        <f t="shared" si="4"/>
        <v>0</v>
      </c>
      <c r="AC75" s="786">
        <f>IF(Z75=0,,VLOOKUP(Z75,リスト!DC:DD,2,0))</f>
        <v>0</v>
      </c>
      <c r="AD75" s="786">
        <f t="shared" si="5"/>
        <v>0</v>
      </c>
      <c r="AE75" s="787">
        <f>IF(AD75=0,,VLOOKUP(AD75,リスト!DK:DL,2,0))</f>
        <v>0</v>
      </c>
      <c r="AF75" s="786">
        <f>IF(Z75=0,,
IF(OR(リスト!$C$21="小麦",リスト!$C$21="二条大麦",リスト!$C$21="六条大麦",リスト!$C$21="はだか麦",リスト!$C$21="なたね"),IF(K75&lt;9,調査年-J75,調査年-J75-1),
IF(リスト!$C$21="さとうきび",IF(K75&gt;=4,調査年-J75,調査年-J75+1),
調査年-J75)))</f>
        <v>0</v>
      </c>
      <c r="AG75" s="788">
        <f t="shared" si="22"/>
        <v>0</v>
      </c>
      <c r="AH75" s="788">
        <f t="shared" si="7"/>
        <v>0</v>
      </c>
      <c r="AI75" s="788">
        <f t="shared" si="8"/>
        <v>0</v>
      </c>
      <c r="AJ75" s="788">
        <f t="shared" si="9"/>
        <v>0</v>
      </c>
      <c r="AK75" s="477"/>
      <c r="AL75" s="788">
        <f>IF(OR(R75=0,AH75=""),,
IF(OR(リスト!$C$21="小麦",リスト!$C$21="二条大麦",リスト!$C$21="六条大麦",リスト!$C$21="はだか麦",リスト!$C$21="なたね"),IF(OR(AND(K75&lt;9,J75=調査年),AND(K75&gt;=9,J75=調査年-1)),,ROUND(AH75*R75%,0)),
IF(リスト!$C$21="さとうきび",IF(OR(AND(K75&gt;=4,J75=調査年),AND(K75&lt;4,J75=調査年+1)),,ROUND(AH75*R75%,0)),
IF(J75=調査年,,ROUND(AH75*R75%,0)))))</f>
        <v>0</v>
      </c>
      <c r="AM75" s="788">
        <f t="shared" si="10"/>
        <v>0</v>
      </c>
      <c r="AN75" s="788">
        <f t="shared" si="11"/>
        <v>0</v>
      </c>
      <c r="AO75" s="788">
        <f t="shared" si="12"/>
        <v>0</v>
      </c>
      <c r="AP75" s="788">
        <f>IF(R75=0,,
SUM(
IF(OR(リスト!$C$21="小麦",リスト!$C$21="二条大麦",リスト!$C$21="六条大麦",リスト!$C$21="はだか麦",リスト!$C$21="なたね"),IF(OR(AND(AA75=1,K75&lt;9,J75=調査年),AND(AA75=1,K75&gt;=9,J75=調査年-1)),ROUND(L75*R75%,0),),
IF(リスト!$C$21="さとうきび",IF(OR(AND(AA75=1,K75&gt;=4,J75=調査年),AND(AA75=1,K75&lt;4,J75=調査年+1)),ROUND(L75*R75%,0),),
IF(AND(AA75=1,J75=調査年),ROUND(L75*R75%,0),))),
ROUND(M75*R75%,0)
))</f>
        <v>0</v>
      </c>
      <c r="AQ75" s="788">
        <f t="shared" si="13"/>
        <v>0</v>
      </c>
      <c r="AR75" s="788">
        <f t="shared" si="14"/>
        <v>0</v>
      </c>
      <c r="AS75" s="788">
        <f t="shared" si="20"/>
        <v>0</v>
      </c>
      <c r="AT75" s="788">
        <f t="shared" si="21"/>
        <v>0</v>
      </c>
      <c r="AU75" s="788">
        <f t="shared" si="15"/>
        <v>0</v>
      </c>
      <c r="AV75" s="788">
        <f t="shared" si="16"/>
        <v>0</v>
      </c>
      <c r="AW75" s="841">
        <f t="shared" si="17"/>
        <v>0</v>
      </c>
      <c r="AX75" s="842"/>
      <c r="AY75" s="842"/>
    </row>
    <row r="76" spans="3:51" s="55" customFormat="1" ht="30.75" hidden="1" customHeight="1" outlineLevel="1">
      <c r="C76" s="843">
        <v>59</v>
      </c>
      <c r="D76" s="803"/>
      <c r="E76" s="844"/>
      <c r="F76" s="845"/>
      <c r="G76" s="2281"/>
      <c r="H76" s="2282"/>
      <c r="I76" s="851"/>
      <c r="J76" s="846"/>
      <c r="K76" s="796"/>
      <c r="L76" s="797"/>
      <c r="M76" s="797"/>
      <c r="N76" s="797"/>
      <c r="O76" s="797"/>
      <c r="P76" s="797"/>
      <c r="Q76" s="797"/>
      <c r="R76" s="1284"/>
      <c r="S76" s="798"/>
      <c r="T76" s="847"/>
      <c r="U76" s="848"/>
      <c r="V76" s="837"/>
      <c r="W76" s="849"/>
      <c r="X76" s="850"/>
      <c r="Y76" s="174"/>
      <c r="Z76" s="786">
        <f t="shared" si="2"/>
        <v>0</v>
      </c>
      <c r="AA76" s="786">
        <f t="shared" si="3"/>
        <v>0</v>
      </c>
      <c r="AB76" s="786">
        <f t="shared" si="4"/>
        <v>0</v>
      </c>
      <c r="AC76" s="786">
        <f>IF(Z76=0,,VLOOKUP(Z76,リスト!DC:DD,2,0))</f>
        <v>0</v>
      </c>
      <c r="AD76" s="786">
        <f t="shared" si="5"/>
        <v>0</v>
      </c>
      <c r="AE76" s="787">
        <f>IF(AD76=0,,VLOOKUP(AD76,リスト!DK:DL,2,0))</f>
        <v>0</v>
      </c>
      <c r="AF76" s="786">
        <f>IF(Z76=0,,
IF(OR(リスト!$C$21="小麦",リスト!$C$21="二条大麦",リスト!$C$21="六条大麦",リスト!$C$21="はだか麦",リスト!$C$21="なたね"),IF(K76&lt;9,調査年-J76,調査年-J76-1),
IF(リスト!$C$21="さとうきび",IF(K76&gt;=4,調査年-J76,調査年-J76+1),
調査年-J76)))</f>
        <v>0</v>
      </c>
      <c r="AG76" s="788">
        <f t="shared" si="22"/>
        <v>0</v>
      </c>
      <c r="AH76" s="788">
        <f t="shared" si="7"/>
        <v>0</v>
      </c>
      <c r="AI76" s="788">
        <f t="shared" si="8"/>
        <v>0</v>
      </c>
      <c r="AJ76" s="788">
        <f t="shared" si="9"/>
        <v>0</v>
      </c>
      <c r="AK76" s="477"/>
      <c r="AL76" s="788">
        <f>IF(OR(R76=0,AH76=""),,
IF(OR(リスト!$C$21="小麦",リスト!$C$21="二条大麦",リスト!$C$21="六条大麦",リスト!$C$21="はだか麦",リスト!$C$21="なたね"),IF(OR(AND(K76&lt;9,J76=調査年),AND(K76&gt;=9,J76=調査年-1)),,ROUND(AH76*R76%,0)),
IF(リスト!$C$21="さとうきび",IF(OR(AND(K76&gt;=4,J76=調査年),AND(K76&lt;4,J76=調査年+1)),,ROUND(AH76*R76%,0)),
IF(J76=調査年,,ROUND(AH76*R76%,0)))))</f>
        <v>0</v>
      </c>
      <c r="AM76" s="788">
        <f t="shared" si="10"/>
        <v>0</v>
      </c>
      <c r="AN76" s="788">
        <f t="shared" si="11"/>
        <v>0</v>
      </c>
      <c r="AO76" s="788">
        <f t="shared" si="12"/>
        <v>0</v>
      </c>
      <c r="AP76" s="788">
        <f>IF(R76=0,,
SUM(
IF(OR(リスト!$C$21="小麦",リスト!$C$21="二条大麦",リスト!$C$21="六条大麦",リスト!$C$21="はだか麦",リスト!$C$21="なたね"),IF(OR(AND(AA76=1,K76&lt;9,J76=調査年),AND(AA76=1,K76&gt;=9,J76=調査年-1)),ROUND(L76*R76%,0),),
IF(リスト!$C$21="さとうきび",IF(OR(AND(AA76=1,K76&gt;=4,J76=調査年),AND(AA76=1,K76&lt;4,J76=調査年+1)),ROUND(L76*R76%,0),),
IF(AND(AA76=1,J76=調査年),ROUND(L76*R76%,0),))),
ROUND(M76*R76%,0)
))</f>
        <v>0</v>
      </c>
      <c r="AQ76" s="788">
        <f t="shared" si="13"/>
        <v>0</v>
      </c>
      <c r="AR76" s="788">
        <f t="shared" si="14"/>
        <v>0</v>
      </c>
      <c r="AS76" s="788">
        <f t="shared" si="20"/>
        <v>0</v>
      </c>
      <c r="AT76" s="788">
        <f t="shared" si="21"/>
        <v>0</v>
      </c>
      <c r="AU76" s="788">
        <f t="shared" si="15"/>
        <v>0</v>
      </c>
      <c r="AV76" s="788">
        <f t="shared" si="16"/>
        <v>0</v>
      </c>
      <c r="AW76" s="841">
        <f t="shared" si="17"/>
        <v>0</v>
      </c>
      <c r="AX76" s="842"/>
      <c r="AY76" s="842"/>
    </row>
    <row r="77" spans="3:51" s="55" customFormat="1" ht="30.75" hidden="1" customHeight="1" outlineLevel="1">
      <c r="C77" s="843">
        <v>60</v>
      </c>
      <c r="D77" s="803"/>
      <c r="E77" s="844"/>
      <c r="F77" s="845"/>
      <c r="G77" s="2281"/>
      <c r="H77" s="2282"/>
      <c r="I77" s="851"/>
      <c r="J77" s="846"/>
      <c r="K77" s="796"/>
      <c r="L77" s="797"/>
      <c r="M77" s="797"/>
      <c r="N77" s="797"/>
      <c r="O77" s="797"/>
      <c r="P77" s="797"/>
      <c r="Q77" s="797"/>
      <c r="R77" s="1284"/>
      <c r="S77" s="798"/>
      <c r="T77" s="847"/>
      <c r="U77" s="848"/>
      <c r="V77" s="837"/>
      <c r="W77" s="849"/>
      <c r="X77" s="850"/>
      <c r="Y77" s="174"/>
      <c r="Z77" s="786">
        <f t="shared" si="2"/>
        <v>0</v>
      </c>
      <c r="AA77" s="786">
        <f t="shared" si="3"/>
        <v>0</v>
      </c>
      <c r="AB77" s="786">
        <f t="shared" si="4"/>
        <v>0</v>
      </c>
      <c r="AC77" s="786">
        <f>IF(Z77=0,,VLOOKUP(Z77,リスト!DC:DD,2,0))</f>
        <v>0</v>
      </c>
      <c r="AD77" s="786">
        <f t="shared" si="5"/>
        <v>0</v>
      </c>
      <c r="AE77" s="787">
        <f>IF(AD77=0,,VLOOKUP(AD77,リスト!DK:DL,2,0))</f>
        <v>0</v>
      </c>
      <c r="AF77" s="786">
        <f>IF(Z77=0,,
IF(OR(リスト!$C$21="小麦",リスト!$C$21="二条大麦",リスト!$C$21="六条大麦",リスト!$C$21="はだか麦",リスト!$C$21="なたね"),IF(K77&lt;9,調査年-J77,調査年-J77-1),
IF(リスト!$C$21="さとうきび",IF(K77&gt;=4,調査年-J77,調査年-J77+1),
調査年-J77)))</f>
        <v>0</v>
      </c>
      <c r="AG77" s="788">
        <f t="shared" si="22"/>
        <v>0</v>
      </c>
      <c r="AH77" s="788">
        <f t="shared" si="7"/>
        <v>0</v>
      </c>
      <c r="AI77" s="788">
        <f t="shared" si="8"/>
        <v>0</v>
      </c>
      <c r="AJ77" s="788">
        <f t="shared" si="9"/>
        <v>0</v>
      </c>
      <c r="AK77" s="477"/>
      <c r="AL77" s="788">
        <f>IF(OR(R77=0,AH77=""),,
IF(OR(リスト!$C$21="小麦",リスト!$C$21="二条大麦",リスト!$C$21="六条大麦",リスト!$C$21="はだか麦",リスト!$C$21="なたね"),IF(OR(AND(K77&lt;9,J77=調査年),AND(K77&gt;=9,J77=調査年-1)),,ROUND(AH77*R77%,0)),
IF(リスト!$C$21="さとうきび",IF(OR(AND(K77&gt;=4,J77=調査年),AND(K77&lt;4,J77=調査年+1)),,ROUND(AH77*R77%,0)),
IF(J77=調査年,,ROUND(AH77*R77%,0)))))</f>
        <v>0</v>
      </c>
      <c r="AM77" s="788">
        <f t="shared" si="10"/>
        <v>0</v>
      </c>
      <c r="AN77" s="788">
        <f t="shared" si="11"/>
        <v>0</v>
      </c>
      <c r="AO77" s="788">
        <f t="shared" si="12"/>
        <v>0</v>
      </c>
      <c r="AP77" s="788">
        <f>IF(R77=0,,
SUM(
IF(OR(リスト!$C$21="小麦",リスト!$C$21="二条大麦",リスト!$C$21="六条大麦",リスト!$C$21="はだか麦",リスト!$C$21="なたね"),IF(OR(AND(AA77=1,K77&lt;9,J77=調査年),AND(AA77=1,K77&gt;=9,J77=調査年-1)),ROUND(L77*R77%,0),),
IF(リスト!$C$21="さとうきび",IF(OR(AND(AA77=1,K77&gt;=4,J77=調査年),AND(AA77=1,K77&lt;4,J77=調査年+1)),ROUND(L77*R77%,0),),
IF(AND(AA77=1,J77=調査年),ROUND(L77*R77%,0),))),
ROUND(M77*R77%,0)
))</f>
        <v>0</v>
      </c>
      <c r="AQ77" s="788">
        <f t="shared" si="13"/>
        <v>0</v>
      </c>
      <c r="AR77" s="788">
        <f t="shared" si="14"/>
        <v>0</v>
      </c>
      <c r="AS77" s="788">
        <f t="shared" si="20"/>
        <v>0</v>
      </c>
      <c r="AT77" s="788">
        <f t="shared" si="21"/>
        <v>0</v>
      </c>
      <c r="AU77" s="788">
        <f t="shared" si="15"/>
        <v>0</v>
      </c>
      <c r="AV77" s="788">
        <f t="shared" si="16"/>
        <v>0</v>
      </c>
      <c r="AW77" s="841">
        <f t="shared" si="17"/>
        <v>0</v>
      </c>
      <c r="AX77" s="842"/>
      <c r="AY77" s="842"/>
    </row>
    <row r="78" spans="3:51" s="55" customFormat="1" ht="30.75" hidden="1" customHeight="1" outlineLevel="1">
      <c r="C78" s="843">
        <v>61</v>
      </c>
      <c r="D78" s="803"/>
      <c r="E78" s="853"/>
      <c r="F78" s="854"/>
      <c r="G78" s="2287"/>
      <c r="H78" s="2288"/>
      <c r="I78" s="855"/>
      <c r="J78" s="856"/>
      <c r="K78" s="857"/>
      <c r="L78" s="858"/>
      <c r="M78" s="858"/>
      <c r="N78" s="858"/>
      <c r="O78" s="858"/>
      <c r="P78" s="858"/>
      <c r="Q78" s="858"/>
      <c r="R78" s="1284"/>
      <c r="S78" s="859"/>
      <c r="T78" s="860"/>
      <c r="U78" s="861"/>
      <c r="V78" s="837"/>
      <c r="W78" s="849"/>
      <c r="X78" s="850"/>
      <c r="Y78" s="174"/>
      <c r="Z78" s="786">
        <f t="shared" si="2"/>
        <v>0</v>
      </c>
      <c r="AA78" s="786">
        <f t="shared" si="3"/>
        <v>0</v>
      </c>
      <c r="AB78" s="786">
        <f t="shared" si="4"/>
        <v>0</v>
      </c>
      <c r="AC78" s="786">
        <f>IF(Z78=0,,VLOOKUP(Z78,リスト!DC:DD,2,0))</f>
        <v>0</v>
      </c>
      <c r="AD78" s="786">
        <f t="shared" si="5"/>
        <v>0</v>
      </c>
      <c r="AE78" s="787">
        <f>IF(AD78=0,,VLOOKUP(AD78,リスト!DK:DL,2,0))</f>
        <v>0</v>
      </c>
      <c r="AF78" s="786">
        <f>IF(Z78=0,,
IF(OR(リスト!$C$21="小麦",リスト!$C$21="二条大麦",リスト!$C$21="六条大麦",リスト!$C$21="はだか麦",リスト!$C$21="なたね"),IF(K78&lt;9,調査年-J78,調査年-J78-1),
IF(リスト!$C$21="さとうきび",IF(K78&gt;=4,調査年-J78,調査年-J78+1),
調査年-J78)))</f>
        <v>0</v>
      </c>
      <c r="AG78" s="788">
        <f t="shared" si="22"/>
        <v>0</v>
      </c>
      <c r="AH78" s="788">
        <f t="shared" si="7"/>
        <v>0</v>
      </c>
      <c r="AI78" s="788">
        <f t="shared" si="8"/>
        <v>0</v>
      </c>
      <c r="AJ78" s="788">
        <f t="shared" si="9"/>
        <v>0</v>
      </c>
      <c r="AK78" s="477"/>
      <c r="AL78" s="788">
        <f>IF(OR(R78=0,AH78=""),,
IF(OR(リスト!$C$21="小麦",リスト!$C$21="二条大麦",リスト!$C$21="六条大麦",リスト!$C$21="はだか麦",リスト!$C$21="なたね"),IF(OR(AND(K78&lt;9,J78=調査年),AND(K78&gt;=9,J78=調査年-1)),,ROUND(AH78*R78%,0)),
IF(リスト!$C$21="さとうきび",IF(OR(AND(K78&gt;=4,J78=調査年),AND(K78&lt;4,J78=調査年+1)),,ROUND(AH78*R78%,0)),
IF(J78=調査年,,ROUND(AH78*R78%,0)))))</f>
        <v>0</v>
      </c>
      <c r="AM78" s="788">
        <f t="shared" si="10"/>
        <v>0</v>
      </c>
      <c r="AN78" s="788">
        <f t="shared" si="11"/>
        <v>0</v>
      </c>
      <c r="AO78" s="788">
        <f t="shared" si="12"/>
        <v>0</v>
      </c>
      <c r="AP78" s="788">
        <f>IF(R78=0,,
SUM(
IF(OR(リスト!$C$21="小麦",リスト!$C$21="二条大麦",リスト!$C$21="六条大麦",リスト!$C$21="はだか麦",リスト!$C$21="なたね"),IF(OR(AND(AA78=1,K78&lt;9,J78=調査年),AND(AA78=1,K78&gt;=9,J78=調査年-1)),ROUND(L78*R78%,0),),
IF(リスト!$C$21="さとうきび",IF(OR(AND(AA78=1,K78&gt;=4,J78=調査年),AND(AA78=1,K78&lt;4,J78=調査年+1)),ROUND(L78*R78%,0),),
IF(AND(AA78=1,J78=調査年),ROUND(L78*R78%,0),))),
ROUND(M78*R78%,0)
))</f>
        <v>0</v>
      </c>
      <c r="AQ78" s="788">
        <f t="shared" si="13"/>
        <v>0</v>
      </c>
      <c r="AR78" s="788">
        <f t="shared" si="14"/>
        <v>0</v>
      </c>
      <c r="AS78" s="788">
        <f t="shared" si="20"/>
        <v>0</v>
      </c>
      <c r="AT78" s="788">
        <f t="shared" si="21"/>
        <v>0</v>
      </c>
      <c r="AU78" s="788">
        <f t="shared" si="15"/>
        <v>0</v>
      </c>
      <c r="AV78" s="788">
        <f t="shared" si="16"/>
        <v>0</v>
      </c>
      <c r="AW78" s="841">
        <f t="shared" si="17"/>
        <v>0</v>
      </c>
      <c r="AX78" s="842"/>
      <c r="AY78" s="842"/>
    </row>
    <row r="79" spans="3:51" s="55" customFormat="1" ht="30.75" hidden="1" customHeight="1" outlineLevel="1">
      <c r="C79" s="843">
        <v>62</v>
      </c>
      <c r="D79" s="791"/>
      <c r="E79" s="844"/>
      <c r="F79" s="845"/>
      <c r="G79" s="2281"/>
      <c r="H79" s="2282"/>
      <c r="I79" s="851"/>
      <c r="J79" s="846"/>
      <c r="K79" s="796"/>
      <c r="L79" s="797"/>
      <c r="M79" s="797"/>
      <c r="N79" s="797"/>
      <c r="O79" s="797"/>
      <c r="P79" s="797"/>
      <c r="Q79" s="797"/>
      <c r="R79" s="1284"/>
      <c r="S79" s="798"/>
      <c r="T79" s="847"/>
      <c r="U79" s="848"/>
      <c r="V79" s="837"/>
      <c r="W79" s="849"/>
      <c r="X79" s="850"/>
      <c r="Y79" s="174"/>
      <c r="Z79" s="786">
        <f t="shared" si="2"/>
        <v>0</v>
      </c>
      <c r="AA79" s="786">
        <f t="shared" si="3"/>
        <v>0</v>
      </c>
      <c r="AB79" s="786">
        <f t="shared" si="4"/>
        <v>0</v>
      </c>
      <c r="AC79" s="786">
        <f>IF(Z79=0,,VLOOKUP(Z79,リスト!DC:DD,2,0))</f>
        <v>0</v>
      </c>
      <c r="AD79" s="786">
        <f t="shared" si="5"/>
        <v>0</v>
      </c>
      <c r="AE79" s="787">
        <f>IF(AD79=0,,VLOOKUP(AD79,リスト!DK:DL,2,0))</f>
        <v>0</v>
      </c>
      <c r="AF79" s="786">
        <f>IF(Z79=0,,
IF(OR(リスト!$C$21="小麦",リスト!$C$21="二条大麦",リスト!$C$21="六条大麦",リスト!$C$21="はだか麦",リスト!$C$21="なたね"),IF(K79&lt;9,調査年-J79,調査年-J79-1),
IF(リスト!$C$21="さとうきび",IF(K79&gt;=4,調査年-J79,調査年-J79+1),
調査年-J79)))</f>
        <v>0</v>
      </c>
      <c r="AG79" s="788">
        <f t="shared" si="22"/>
        <v>0</v>
      </c>
      <c r="AH79" s="788">
        <f t="shared" si="7"/>
        <v>0</v>
      </c>
      <c r="AI79" s="788">
        <f t="shared" si="8"/>
        <v>0</v>
      </c>
      <c r="AJ79" s="788">
        <f t="shared" si="9"/>
        <v>0</v>
      </c>
      <c r="AK79" s="477"/>
      <c r="AL79" s="788">
        <f>IF(OR(R79=0,AH79=""),,
IF(OR(リスト!$C$21="小麦",リスト!$C$21="二条大麦",リスト!$C$21="六条大麦",リスト!$C$21="はだか麦",リスト!$C$21="なたね"),IF(OR(AND(K79&lt;9,J79=調査年),AND(K79&gt;=9,J79=調査年-1)),,ROUND(AH79*R79%,0)),
IF(リスト!$C$21="さとうきび",IF(OR(AND(K79&gt;=4,J79=調査年),AND(K79&lt;4,J79=調査年+1)),,ROUND(AH79*R79%,0)),
IF(J79=調査年,,ROUND(AH79*R79%,0)))))</f>
        <v>0</v>
      </c>
      <c r="AM79" s="788">
        <f t="shared" si="10"/>
        <v>0</v>
      </c>
      <c r="AN79" s="788">
        <f t="shared" si="11"/>
        <v>0</v>
      </c>
      <c r="AO79" s="788">
        <f t="shared" si="12"/>
        <v>0</v>
      </c>
      <c r="AP79" s="788">
        <f>IF(R79=0,,
SUM(
IF(OR(リスト!$C$21="小麦",リスト!$C$21="二条大麦",リスト!$C$21="六条大麦",リスト!$C$21="はだか麦",リスト!$C$21="なたね"),IF(OR(AND(AA79=1,K79&lt;9,J79=調査年),AND(AA79=1,K79&gt;=9,J79=調査年-1)),ROUND(L79*R79%,0),),
IF(リスト!$C$21="さとうきび",IF(OR(AND(AA79=1,K79&gt;=4,J79=調査年),AND(AA79=1,K79&lt;4,J79=調査年+1)),ROUND(L79*R79%,0),),
IF(AND(AA79=1,J79=調査年),ROUND(L79*R79%,0),))),
ROUND(M79*R79%,0)
))</f>
        <v>0</v>
      </c>
      <c r="AQ79" s="788">
        <f t="shared" si="13"/>
        <v>0</v>
      </c>
      <c r="AR79" s="788">
        <f t="shared" si="14"/>
        <v>0</v>
      </c>
      <c r="AS79" s="788">
        <f t="shared" si="20"/>
        <v>0</v>
      </c>
      <c r="AT79" s="788">
        <f t="shared" si="21"/>
        <v>0</v>
      </c>
      <c r="AU79" s="788">
        <f t="shared" si="15"/>
        <v>0</v>
      </c>
      <c r="AV79" s="788">
        <f t="shared" si="16"/>
        <v>0</v>
      </c>
      <c r="AW79" s="841">
        <f t="shared" si="17"/>
        <v>0</v>
      </c>
      <c r="AX79" s="842"/>
      <c r="AY79" s="842"/>
    </row>
    <row r="80" spans="3:51" s="55" customFormat="1" ht="30.75" hidden="1" customHeight="1" outlineLevel="1">
      <c r="C80" s="843">
        <v>63</v>
      </c>
      <c r="D80" s="803"/>
      <c r="E80" s="844"/>
      <c r="F80" s="845"/>
      <c r="G80" s="2281"/>
      <c r="H80" s="2282"/>
      <c r="I80" s="851"/>
      <c r="J80" s="846"/>
      <c r="K80" s="796"/>
      <c r="L80" s="797"/>
      <c r="M80" s="797"/>
      <c r="N80" s="797"/>
      <c r="O80" s="797"/>
      <c r="P80" s="797"/>
      <c r="Q80" s="797"/>
      <c r="R80" s="1284"/>
      <c r="S80" s="798"/>
      <c r="T80" s="847"/>
      <c r="U80" s="848"/>
      <c r="V80" s="837"/>
      <c r="W80" s="849"/>
      <c r="X80" s="850"/>
      <c r="Y80" s="174"/>
      <c r="Z80" s="786">
        <f t="shared" si="2"/>
        <v>0</v>
      </c>
      <c r="AA80" s="786">
        <f t="shared" si="3"/>
        <v>0</v>
      </c>
      <c r="AB80" s="786">
        <f t="shared" si="4"/>
        <v>0</v>
      </c>
      <c r="AC80" s="786">
        <f>IF(Z80=0,,VLOOKUP(Z80,リスト!DC:DD,2,0))</f>
        <v>0</v>
      </c>
      <c r="AD80" s="786">
        <f t="shared" si="5"/>
        <v>0</v>
      </c>
      <c r="AE80" s="787">
        <f>IF(AD80=0,,VLOOKUP(AD80,リスト!DK:DL,2,0))</f>
        <v>0</v>
      </c>
      <c r="AF80" s="786">
        <f>IF(Z80=0,,
IF(OR(リスト!$C$21="小麦",リスト!$C$21="二条大麦",リスト!$C$21="六条大麦",リスト!$C$21="はだか麦",リスト!$C$21="なたね"),IF(K80&lt;9,調査年-J80,調査年-J80-1),
IF(リスト!$C$21="さとうきび",IF(K80&gt;=4,調査年-J80,調査年-J80+1),
調査年-J80)))</f>
        <v>0</v>
      </c>
      <c r="AG80" s="788">
        <f t="shared" si="22"/>
        <v>0</v>
      </c>
      <c r="AH80" s="788">
        <f t="shared" si="7"/>
        <v>0</v>
      </c>
      <c r="AI80" s="788">
        <f t="shared" si="8"/>
        <v>0</v>
      </c>
      <c r="AJ80" s="788">
        <f t="shared" si="9"/>
        <v>0</v>
      </c>
      <c r="AK80" s="477"/>
      <c r="AL80" s="788">
        <f>IF(OR(R80=0,AH80=""),,
IF(OR(リスト!$C$21="小麦",リスト!$C$21="二条大麦",リスト!$C$21="六条大麦",リスト!$C$21="はだか麦",リスト!$C$21="なたね"),IF(OR(AND(K80&lt;9,J80=調査年),AND(K80&gt;=9,J80=調査年-1)),,ROUND(AH80*R80%,0)),
IF(リスト!$C$21="さとうきび",IF(OR(AND(K80&gt;=4,J80=調査年),AND(K80&lt;4,J80=調査年+1)),,ROUND(AH80*R80%,0)),
IF(J80=調査年,,ROUND(AH80*R80%,0)))))</f>
        <v>0</v>
      </c>
      <c r="AM80" s="788">
        <f t="shared" si="10"/>
        <v>0</v>
      </c>
      <c r="AN80" s="788">
        <f t="shared" si="11"/>
        <v>0</v>
      </c>
      <c r="AO80" s="788">
        <f t="shared" si="12"/>
        <v>0</v>
      </c>
      <c r="AP80" s="788">
        <f>IF(R80=0,,
SUM(
IF(OR(リスト!$C$21="小麦",リスト!$C$21="二条大麦",リスト!$C$21="六条大麦",リスト!$C$21="はだか麦",リスト!$C$21="なたね"),IF(OR(AND(AA80=1,K80&lt;9,J80=調査年),AND(AA80=1,K80&gt;=9,J80=調査年-1)),ROUND(L80*R80%,0),),
IF(リスト!$C$21="さとうきび",IF(OR(AND(AA80=1,K80&gt;=4,J80=調査年),AND(AA80=1,K80&lt;4,J80=調査年+1)),ROUND(L80*R80%,0),),
IF(AND(AA80=1,J80=調査年),ROUND(L80*R80%,0),))),
ROUND(M80*R80%,0)
))</f>
        <v>0</v>
      </c>
      <c r="AQ80" s="788">
        <f t="shared" si="13"/>
        <v>0</v>
      </c>
      <c r="AR80" s="788">
        <f t="shared" si="14"/>
        <v>0</v>
      </c>
      <c r="AS80" s="788">
        <f t="shared" si="20"/>
        <v>0</v>
      </c>
      <c r="AT80" s="788">
        <f t="shared" si="21"/>
        <v>0</v>
      </c>
      <c r="AU80" s="788">
        <f t="shared" si="15"/>
        <v>0</v>
      </c>
      <c r="AV80" s="788">
        <f t="shared" si="16"/>
        <v>0</v>
      </c>
      <c r="AW80" s="841">
        <f t="shared" si="17"/>
        <v>0</v>
      </c>
      <c r="AX80" s="842"/>
      <c r="AY80" s="842"/>
    </row>
    <row r="81" spans="3:51" s="55" customFormat="1" ht="30.75" hidden="1" customHeight="1" outlineLevel="1">
      <c r="C81" s="843">
        <v>64</v>
      </c>
      <c r="D81" s="803"/>
      <c r="E81" s="844"/>
      <c r="F81" s="845"/>
      <c r="G81" s="2281"/>
      <c r="H81" s="2282"/>
      <c r="I81" s="851"/>
      <c r="J81" s="846"/>
      <c r="K81" s="796"/>
      <c r="L81" s="797"/>
      <c r="M81" s="797"/>
      <c r="N81" s="797"/>
      <c r="O81" s="797"/>
      <c r="P81" s="797"/>
      <c r="Q81" s="797"/>
      <c r="R81" s="1284"/>
      <c r="S81" s="798"/>
      <c r="T81" s="847"/>
      <c r="U81" s="848"/>
      <c r="V81" s="837"/>
      <c r="W81" s="849"/>
      <c r="X81" s="850"/>
      <c r="Y81" s="174"/>
      <c r="Z81" s="786">
        <f t="shared" si="2"/>
        <v>0</v>
      </c>
      <c r="AA81" s="786">
        <f t="shared" si="3"/>
        <v>0</v>
      </c>
      <c r="AB81" s="786">
        <f t="shared" si="4"/>
        <v>0</v>
      </c>
      <c r="AC81" s="786">
        <f>IF(Z81=0,,VLOOKUP(Z81,リスト!DC:DD,2,0))</f>
        <v>0</v>
      </c>
      <c r="AD81" s="786">
        <f t="shared" si="5"/>
        <v>0</v>
      </c>
      <c r="AE81" s="787">
        <f>IF(AD81=0,,VLOOKUP(AD81,リスト!DK:DL,2,0))</f>
        <v>0</v>
      </c>
      <c r="AF81" s="786">
        <f>IF(Z81=0,,
IF(OR(リスト!$C$21="小麦",リスト!$C$21="二条大麦",リスト!$C$21="六条大麦",リスト!$C$21="はだか麦",リスト!$C$21="なたね"),IF(K81&lt;9,調査年-J81,調査年-J81-1),
IF(リスト!$C$21="さとうきび",IF(K81&gt;=4,調査年-J81,調査年-J81+1),
調査年-J81)))</f>
        <v>0</v>
      </c>
      <c r="AG81" s="788">
        <f t="shared" si="22"/>
        <v>0</v>
      </c>
      <c r="AH81" s="788">
        <f t="shared" si="7"/>
        <v>0</v>
      </c>
      <c r="AI81" s="788">
        <f t="shared" si="8"/>
        <v>0</v>
      </c>
      <c r="AJ81" s="788">
        <f t="shared" si="9"/>
        <v>0</v>
      </c>
      <c r="AK81" s="477"/>
      <c r="AL81" s="788">
        <f>IF(OR(R81=0,AH81=""),,
IF(OR(リスト!$C$21="小麦",リスト!$C$21="二条大麦",リスト!$C$21="六条大麦",リスト!$C$21="はだか麦",リスト!$C$21="なたね"),IF(OR(AND(K81&lt;9,J81=調査年),AND(K81&gt;=9,J81=調査年-1)),,ROUND(AH81*R81%,0)),
IF(リスト!$C$21="さとうきび",IF(OR(AND(K81&gt;=4,J81=調査年),AND(K81&lt;4,J81=調査年+1)),,ROUND(AH81*R81%,0)),
IF(J81=調査年,,ROUND(AH81*R81%,0)))))</f>
        <v>0</v>
      </c>
      <c r="AM81" s="788">
        <f t="shared" si="10"/>
        <v>0</v>
      </c>
      <c r="AN81" s="788">
        <f t="shared" si="11"/>
        <v>0</v>
      </c>
      <c r="AO81" s="788">
        <f t="shared" si="12"/>
        <v>0</v>
      </c>
      <c r="AP81" s="788">
        <f>IF(R81=0,,
SUM(
IF(OR(リスト!$C$21="小麦",リスト!$C$21="二条大麦",リスト!$C$21="六条大麦",リスト!$C$21="はだか麦",リスト!$C$21="なたね"),IF(OR(AND(AA81=1,K81&lt;9,J81=調査年),AND(AA81=1,K81&gt;=9,J81=調査年-1)),ROUND(L81*R81%,0),),
IF(リスト!$C$21="さとうきび",IF(OR(AND(AA81=1,K81&gt;=4,J81=調査年),AND(AA81=1,K81&lt;4,J81=調査年+1)),ROUND(L81*R81%,0),),
IF(AND(AA81=1,J81=調査年),ROUND(L81*R81%,0),))),
ROUND(M81*R81%,0)
))</f>
        <v>0</v>
      </c>
      <c r="AQ81" s="788">
        <f t="shared" si="13"/>
        <v>0</v>
      </c>
      <c r="AR81" s="788">
        <f t="shared" si="14"/>
        <v>0</v>
      </c>
      <c r="AS81" s="788">
        <f t="shared" si="20"/>
        <v>0</v>
      </c>
      <c r="AT81" s="788">
        <f t="shared" si="21"/>
        <v>0</v>
      </c>
      <c r="AU81" s="788">
        <f t="shared" si="15"/>
        <v>0</v>
      </c>
      <c r="AV81" s="788">
        <f t="shared" si="16"/>
        <v>0</v>
      </c>
      <c r="AW81" s="841">
        <f t="shared" si="17"/>
        <v>0</v>
      </c>
      <c r="AX81" s="842"/>
      <c r="AY81" s="842"/>
    </row>
    <row r="82" spans="3:51" s="55" customFormat="1" ht="30.75" hidden="1" customHeight="1" outlineLevel="1">
      <c r="C82" s="843">
        <v>65</v>
      </c>
      <c r="D82" s="803"/>
      <c r="E82" s="844"/>
      <c r="F82" s="845"/>
      <c r="G82" s="2281"/>
      <c r="H82" s="2282"/>
      <c r="I82" s="851"/>
      <c r="J82" s="846"/>
      <c r="K82" s="796"/>
      <c r="L82" s="797"/>
      <c r="M82" s="797"/>
      <c r="N82" s="797"/>
      <c r="O82" s="797"/>
      <c r="P82" s="797"/>
      <c r="Q82" s="797"/>
      <c r="R82" s="1284"/>
      <c r="S82" s="798"/>
      <c r="T82" s="847"/>
      <c r="U82" s="848"/>
      <c r="V82" s="837"/>
      <c r="W82" s="849"/>
      <c r="X82" s="850"/>
      <c r="Y82" s="174"/>
      <c r="Z82" s="786">
        <f t="shared" ref="Z82:Z117" si="23">IF(AND(E82&gt;0,F82&gt;0),"["&amp;RIGHT(LEFT(E82,2),1)&amp;RIGHT(LEFT(F82,2),1)&amp;"]",)</f>
        <v>0</v>
      </c>
      <c r="AA82" s="786">
        <f t="shared" ref="AA82:AA117" si="24">IF(Z82=0,,IF(L82&lt;100000,1,0))</f>
        <v>0</v>
      </c>
      <c r="AB82" s="786">
        <f t="shared" ref="AB82:AB117" si="25">IF(Z82=0,,IF(AND(AA82=0,L82&lt;200000),1,))</f>
        <v>0</v>
      </c>
      <c r="AC82" s="786">
        <f>IF(Z82=0,,VLOOKUP(Z82,リスト!DC:DD,2,0))</f>
        <v>0</v>
      </c>
      <c r="AD82" s="786">
        <f t="shared" ref="AD82:AD117" si="26">IF(AB82=1,3,IF(G82="[2]中古",MIN(AC82,I82),AC82))</f>
        <v>0</v>
      </c>
      <c r="AE82" s="787">
        <f>IF(AD82=0,,VLOOKUP(AD82,リスト!DK:DL,2,0))</f>
        <v>0</v>
      </c>
      <c r="AF82" s="786">
        <f>IF(Z82=0,,
IF(OR(リスト!$C$21="小麦",リスト!$C$21="二条大麦",リスト!$C$21="六条大麦",リスト!$C$21="はだか麦",リスト!$C$21="なたね"),IF(K82&lt;9,調査年-J82,調査年-J82-1),
IF(リスト!$C$21="さとうきび",IF(K82&gt;=4,調査年-J82,調査年-J82+1),
調査年-J82)))</f>
        <v>0</v>
      </c>
      <c r="AG82" s="788">
        <f t="shared" ref="AG82:AG113" si="27">IF(OR(Z82=0,AA82=1),,
IF(AND(AD82&gt;0,AF82&lt;AD82,AH82&lt;=ROUND((L82-1)*AE82,0)),ROUND(AH82,0),
IF(AND(AD82&gt;0,AF82&lt;AD82),ROUND((L82-1)*AE82,0),)))</f>
        <v>0</v>
      </c>
      <c r="AH82" s="788">
        <f t="shared" ref="AH82:AH117" si="28">IF(OR(Z82=0,AA82=1),,
IF(AND(AD82&gt;0,AF82&lt;AD82),L82-ROUND((L82-1)*AE82*AF82,0),1
))</f>
        <v>0</v>
      </c>
      <c r="AI82" s="788">
        <f t="shared" ref="AI82:AI117" si="29">IF(OR(Z82=0,AA82=1),,
IF(T82=0,AG82,
IF(T82="[2]廃棄等",SUM(AH82,U82),
IF(T82="[1]売却",AH82-U82,))))</f>
        <v>0</v>
      </c>
      <c r="AJ82" s="788">
        <f t="shared" ref="AJ82:AJ117" si="30">IF(AND(AI82=0,AG82=0),,
IF(OR(T82="[1]売却",T82="[2]廃棄等"),SUM(AI82)-SUM(AG82),))</f>
        <v>0</v>
      </c>
      <c r="AK82" s="477"/>
      <c r="AL82" s="788">
        <f>IF(OR(R82=0,AH82=""),,
IF(OR(リスト!$C$21="小麦",リスト!$C$21="二条大麦",リスト!$C$21="六条大麦",リスト!$C$21="はだか麦",リスト!$C$21="なたね"),IF(OR(AND(K82&lt;9,J82=調査年),AND(K82&gt;=9,J82=調査年-1)),,ROUND(AH82*R82%,0)),
IF(リスト!$C$21="さとうきび",IF(OR(AND(K82&gt;=4,J82=調査年),AND(K82&lt;4,J82=調査年+1)),,ROUND(AH82*R82%,0)),
IF(J82=調査年,,ROUND(AH82*R82%,0)))))</f>
        <v>0</v>
      </c>
      <c r="AM82" s="788">
        <f t="shared" ref="AM82:AM117" si="31">IF(R82=0,,IF(AI82=0,,ROUND(AI82*R82%,0)))</f>
        <v>0</v>
      </c>
      <c r="AN82" s="788">
        <f t="shared" ref="AN82:AN117" si="32">IF(R82=0,,IF(AJ82=0,,ROUND(AJ82*R82%,0)))</f>
        <v>0</v>
      </c>
      <c r="AO82" s="788">
        <f t="shared" ref="AO82:AO117" si="33">IF(R82=0,,IF(AH82=0,,ROUND(AH82*R82%,0)))</f>
        <v>0</v>
      </c>
      <c r="AP82" s="788">
        <f>IF(R82=0,,
SUM(
IF(OR(リスト!$C$21="小麦",リスト!$C$21="二条大麦",リスト!$C$21="六条大麦",リスト!$C$21="はだか麦",リスト!$C$21="なたね"),IF(OR(AND(AA82=1,K82&lt;9,J82=調査年),AND(AA82=1,K82&gt;=9,J82=調査年-1)),ROUND(L82*R82%,0),),
IF(リスト!$C$21="さとうきび",IF(OR(AND(AA82=1,K82&gt;=4,J82=調査年),AND(AA82=1,K82&lt;4,J82=調査年+1)),ROUND(L82*R82%,0),),
IF(AND(AA82=1,J82=調査年),ROUND(L82*R82%,0),))),
ROUND(M82*R82%,0)
))</f>
        <v>0</v>
      </c>
      <c r="AQ82" s="788">
        <f t="shared" ref="AQ82:AQ117" si="34">IF(R82=0,,IF(N82=0,,ROUND(N82*R82%,0)))</f>
        <v>0</v>
      </c>
      <c r="AR82" s="788">
        <f t="shared" ref="AR82:AR117" si="35">IF(OR(AP82&gt;0,AQ82&gt;0),SUM(AP82:AQ82),)</f>
        <v>0</v>
      </c>
      <c r="AS82" s="788">
        <f t="shared" si="20"/>
        <v>0</v>
      </c>
      <c r="AT82" s="788">
        <f t="shared" si="21"/>
        <v>0</v>
      </c>
      <c r="AU82" s="788">
        <f t="shared" ref="AU82:AU117" si="36">IF(P82&gt;0,ROUND(P82*R82%,),)</f>
        <v>0</v>
      </c>
      <c r="AV82" s="788">
        <f t="shared" ref="AV82:AV117" si="37">IF(Q82&gt;0,ROUND(Q82*$R82%,),)</f>
        <v>0</v>
      </c>
      <c r="AW82" s="841">
        <f t="shared" ref="AW82:AW117" si="38">IF(X82="○",,IF(AND(W82&gt;0,R82&gt;0),ROUND(1/W82,1),IF(R82&gt;0,ROUND(1,1),)))</f>
        <v>0</v>
      </c>
      <c r="AX82" s="842"/>
      <c r="AY82" s="842"/>
    </row>
    <row r="83" spans="3:51" s="55" customFormat="1" ht="30.75" hidden="1" customHeight="1" outlineLevel="1">
      <c r="C83" s="843">
        <v>66</v>
      </c>
      <c r="D83" s="803"/>
      <c r="E83" s="853"/>
      <c r="F83" s="854"/>
      <c r="G83" s="2287"/>
      <c r="H83" s="2288"/>
      <c r="I83" s="855"/>
      <c r="J83" s="856"/>
      <c r="K83" s="857"/>
      <c r="L83" s="858"/>
      <c r="M83" s="858"/>
      <c r="N83" s="858"/>
      <c r="O83" s="858"/>
      <c r="P83" s="858"/>
      <c r="Q83" s="858"/>
      <c r="R83" s="1284"/>
      <c r="S83" s="859"/>
      <c r="T83" s="860"/>
      <c r="U83" s="861"/>
      <c r="V83" s="837"/>
      <c r="W83" s="849"/>
      <c r="X83" s="850"/>
      <c r="Y83" s="174"/>
      <c r="Z83" s="786">
        <f t="shared" si="23"/>
        <v>0</v>
      </c>
      <c r="AA83" s="786">
        <f t="shared" si="24"/>
        <v>0</v>
      </c>
      <c r="AB83" s="786">
        <f t="shared" si="25"/>
        <v>0</v>
      </c>
      <c r="AC83" s="786">
        <f>IF(Z83=0,,VLOOKUP(Z83,リスト!DC:DD,2,0))</f>
        <v>0</v>
      </c>
      <c r="AD83" s="786">
        <f t="shared" si="26"/>
        <v>0</v>
      </c>
      <c r="AE83" s="787">
        <f>IF(AD83=0,,VLOOKUP(AD83,リスト!DK:DL,2,0))</f>
        <v>0</v>
      </c>
      <c r="AF83" s="786">
        <f>IF(Z83=0,,
IF(OR(リスト!$C$21="小麦",リスト!$C$21="二条大麦",リスト!$C$21="六条大麦",リスト!$C$21="はだか麦",リスト!$C$21="なたね"),IF(K83&lt;9,調査年-J83,調査年-J83-1),
IF(リスト!$C$21="さとうきび",IF(K83&gt;=4,調査年-J83,調査年-J83+1),
調査年-J83)))</f>
        <v>0</v>
      </c>
      <c r="AG83" s="788">
        <f t="shared" si="27"/>
        <v>0</v>
      </c>
      <c r="AH83" s="788">
        <f t="shared" si="28"/>
        <v>0</v>
      </c>
      <c r="AI83" s="788">
        <f t="shared" si="29"/>
        <v>0</v>
      </c>
      <c r="AJ83" s="788">
        <f t="shared" si="30"/>
        <v>0</v>
      </c>
      <c r="AK83" s="477"/>
      <c r="AL83" s="788">
        <f>IF(OR(R83=0,AH83=""),,
IF(OR(リスト!$C$21="小麦",リスト!$C$21="二条大麦",リスト!$C$21="六条大麦",リスト!$C$21="はだか麦",リスト!$C$21="なたね"),IF(OR(AND(K83&lt;9,J83=調査年),AND(K83&gt;=9,J83=調査年-1)),,ROUND(AH83*R83%,0)),
IF(リスト!$C$21="さとうきび",IF(OR(AND(K83&gt;=4,J83=調査年),AND(K83&lt;4,J83=調査年+1)),,ROUND(AH83*R83%,0)),
IF(J83=調査年,,ROUND(AH83*R83%,0)))))</f>
        <v>0</v>
      </c>
      <c r="AM83" s="788">
        <f t="shared" si="31"/>
        <v>0</v>
      </c>
      <c r="AN83" s="788">
        <f t="shared" si="32"/>
        <v>0</v>
      </c>
      <c r="AO83" s="788">
        <f t="shared" si="33"/>
        <v>0</v>
      </c>
      <c r="AP83" s="788">
        <f>IF(R83=0,,
SUM(
IF(OR(リスト!$C$21="小麦",リスト!$C$21="二条大麦",リスト!$C$21="六条大麦",リスト!$C$21="はだか麦",リスト!$C$21="なたね"),IF(OR(AND(AA83=1,K83&lt;9,J83=調査年),AND(AA83=1,K83&gt;=9,J83=調査年-1)),ROUND(L83*R83%,0),),
IF(リスト!$C$21="さとうきび",IF(OR(AND(AA83=1,K83&gt;=4,J83=調査年),AND(AA83=1,K83&lt;4,J83=調査年+1)),ROUND(L83*R83%,0),),
IF(AND(AA83=1,J83=調査年),ROUND(L83*R83%,0),))),
ROUND(M83*R83%,0)
))</f>
        <v>0</v>
      </c>
      <c r="AQ83" s="788">
        <f t="shared" si="34"/>
        <v>0</v>
      </c>
      <c r="AR83" s="788">
        <f t="shared" si="35"/>
        <v>0</v>
      </c>
      <c r="AS83" s="788">
        <f t="shared" si="20"/>
        <v>0</v>
      </c>
      <c r="AT83" s="788">
        <f t="shared" si="21"/>
        <v>0</v>
      </c>
      <c r="AU83" s="788">
        <f t="shared" si="36"/>
        <v>0</v>
      </c>
      <c r="AV83" s="788">
        <f t="shared" si="37"/>
        <v>0</v>
      </c>
      <c r="AW83" s="841">
        <f t="shared" si="38"/>
        <v>0</v>
      </c>
      <c r="AX83" s="842"/>
      <c r="AY83" s="842"/>
    </row>
    <row r="84" spans="3:51" s="55" customFormat="1" ht="30.75" hidden="1" customHeight="1" outlineLevel="1">
      <c r="C84" s="843">
        <v>67</v>
      </c>
      <c r="D84" s="803"/>
      <c r="E84" s="844"/>
      <c r="F84" s="845"/>
      <c r="G84" s="2281"/>
      <c r="H84" s="2282"/>
      <c r="I84" s="851"/>
      <c r="J84" s="846"/>
      <c r="K84" s="796"/>
      <c r="L84" s="797"/>
      <c r="M84" s="797"/>
      <c r="N84" s="797"/>
      <c r="O84" s="797"/>
      <c r="P84" s="797"/>
      <c r="Q84" s="797"/>
      <c r="R84" s="1284"/>
      <c r="S84" s="798"/>
      <c r="T84" s="847"/>
      <c r="U84" s="848"/>
      <c r="V84" s="837"/>
      <c r="W84" s="849"/>
      <c r="X84" s="850"/>
      <c r="Y84" s="174"/>
      <c r="Z84" s="786">
        <f t="shared" si="23"/>
        <v>0</v>
      </c>
      <c r="AA84" s="786">
        <f t="shared" si="24"/>
        <v>0</v>
      </c>
      <c r="AB84" s="786">
        <f t="shared" si="25"/>
        <v>0</v>
      </c>
      <c r="AC84" s="786">
        <f>IF(Z84=0,,VLOOKUP(Z84,リスト!DC:DD,2,0))</f>
        <v>0</v>
      </c>
      <c r="AD84" s="786">
        <f t="shared" si="26"/>
        <v>0</v>
      </c>
      <c r="AE84" s="787">
        <f>IF(AD84=0,,VLOOKUP(AD84,リスト!DK:DL,2,0))</f>
        <v>0</v>
      </c>
      <c r="AF84" s="786">
        <f>IF(Z84=0,,
IF(OR(リスト!$C$21="小麦",リスト!$C$21="二条大麦",リスト!$C$21="六条大麦",リスト!$C$21="はだか麦",リスト!$C$21="なたね"),IF(K84&lt;9,調査年-J84,調査年-J84-1),
IF(リスト!$C$21="さとうきび",IF(K84&gt;=4,調査年-J84,調査年-J84+1),
調査年-J84)))</f>
        <v>0</v>
      </c>
      <c r="AG84" s="788">
        <f t="shared" si="27"/>
        <v>0</v>
      </c>
      <c r="AH84" s="788">
        <f t="shared" si="28"/>
        <v>0</v>
      </c>
      <c r="AI84" s="788">
        <f t="shared" si="29"/>
        <v>0</v>
      </c>
      <c r="AJ84" s="788">
        <f t="shared" si="30"/>
        <v>0</v>
      </c>
      <c r="AK84" s="477"/>
      <c r="AL84" s="788">
        <f>IF(OR(R84=0,AH84=""),,
IF(OR(リスト!$C$21="小麦",リスト!$C$21="二条大麦",リスト!$C$21="六条大麦",リスト!$C$21="はだか麦",リスト!$C$21="なたね"),IF(OR(AND(K84&lt;9,J84=調査年),AND(K84&gt;=9,J84=調査年-1)),,ROUND(AH84*R84%,0)),
IF(リスト!$C$21="さとうきび",IF(OR(AND(K84&gt;=4,J84=調査年),AND(K84&lt;4,J84=調査年+1)),,ROUND(AH84*R84%,0)),
IF(J84=調査年,,ROUND(AH84*R84%,0)))))</f>
        <v>0</v>
      </c>
      <c r="AM84" s="788">
        <f t="shared" si="31"/>
        <v>0</v>
      </c>
      <c r="AN84" s="788">
        <f t="shared" si="32"/>
        <v>0</v>
      </c>
      <c r="AO84" s="788">
        <f t="shared" si="33"/>
        <v>0</v>
      </c>
      <c r="AP84" s="788">
        <f>IF(R84=0,,
SUM(
IF(OR(リスト!$C$21="小麦",リスト!$C$21="二条大麦",リスト!$C$21="六条大麦",リスト!$C$21="はだか麦",リスト!$C$21="なたね"),IF(OR(AND(AA84=1,K84&lt;9,J84=調査年),AND(AA84=1,K84&gt;=9,J84=調査年-1)),ROUND(L84*R84%,0),),
IF(リスト!$C$21="さとうきび",IF(OR(AND(AA84=1,K84&gt;=4,J84=調査年),AND(AA84=1,K84&lt;4,J84=調査年+1)),ROUND(L84*R84%,0),),
IF(AND(AA84=1,J84=調査年),ROUND(L84*R84%,0),))),
ROUND(M84*R84%,0)
))</f>
        <v>0</v>
      </c>
      <c r="AQ84" s="788">
        <f t="shared" si="34"/>
        <v>0</v>
      </c>
      <c r="AR84" s="788">
        <f t="shared" si="35"/>
        <v>0</v>
      </c>
      <c r="AS84" s="788">
        <f t="shared" si="20"/>
        <v>0</v>
      </c>
      <c r="AT84" s="788">
        <f t="shared" si="21"/>
        <v>0</v>
      </c>
      <c r="AU84" s="788">
        <f t="shared" si="36"/>
        <v>0</v>
      </c>
      <c r="AV84" s="788">
        <f t="shared" si="37"/>
        <v>0</v>
      </c>
      <c r="AW84" s="841">
        <f t="shared" si="38"/>
        <v>0</v>
      </c>
      <c r="AX84" s="842"/>
      <c r="AY84" s="842"/>
    </row>
    <row r="85" spans="3:51" s="55" customFormat="1" ht="30.75" hidden="1" customHeight="1" outlineLevel="1">
      <c r="C85" s="843">
        <v>68</v>
      </c>
      <c r="D85" s="803"/>
      <c r="E85" s="844"/>
      <c r="F85" s="845"/>
      <c r="G85" s="2281"/>
      <c r="H85" s="2282"/>
      <c r="I85" s="851"/>
      <c r="J85" s="846"/>
      <c r="K85" s="796"/>
      <c r="L85" s="797"/>
      <c r="M85" s="797"/>
      <c r="N85" s="797"/>
      <c r="O85" s="797"/>
      <c r="P85" s="797"/>
      <c r="Q85" s="797"/>
      <c r="R85" s="1284"/>
      <c r="S85" s="798"/>
      <c r="T85" s="847"/>
      <c r="U85" s="848"/>
      <c r="V85" s="837"/>
      <c r="W85" s="849"/>
      <c r="X85" s="850"/>
      <c r="Y85" s="174"/>
      <c r="Z85" s="786">
        <f t="shared" si="23"/>
        <v>0</v>
      </c>
      <c r="AA85" s="786">
        <f t="shared" si="24"/>
        <v>0</v>
      </c>
      <c r="AB85" s="786">
        <f t="shared" si="25"/>
        <v>0</v>
      </c>
      <c r="AC85" s="786">
        <f>IF(Z85=0,,VLOOKUP(Z85,リスト!DC:DD,2,0))</f>
        <v>0</v>
      </c>
      <c r="AD85" s="786">
        <f t="shared" si="26"/>
        <v>0</v>
      </c>
      <c r="AE85" s="787">
        <f>IF(AD85=0,,VLOOKUP(AD85,リスト!DK:DL,2,0))</f>
        <v>0</v>
      </c>
      <c r="AF85" s="786">
        <f>IF(Z85=0,,
IF(OR(リスト!$C$21="小麦",リスト!$C$21="二条大麦",リスト!$C$21="六条大麦",リスト!$C$21="はだか麦",リスト!$C$21="なたね"),IF(K85&lt;9,調査年-J85,調査年-J85-1),
IF(リスト!$C$21="さとうきび",IF(K85&gt;=4,調査年-J85,調査年-J85+1),
調査年-J85)))</f>
        <v>0</v>
      </c>
      <c r="AG85" s="788">
        <f t="shared" si="27"/>
        <v>0</v>
      </c>
      <c r="AH85" s="788">
        <f t="shared" si="28"/>
        <v>0</v>
      </c>
      <c r="AI85" s="788">
        <f t="shared" si="29"/>
        <v>0</v>
      </c>
      <c r="AJ85" s="788">
        <f t="shared" si="30"/>
        <v>0</v>
      </c>
      <c r="AK85" s="477"/>
      <c r="AL85" s="788">
        <f>IF(OR(R85=0,AH85=""),,
IF(OR(リスト!$C$21="小麦",リスト!$C$21="二条大麦",リスト!$C$21="六条大麦",リスト!$C$21="はだか麦",リスト!$C$21="なたね"),IF(OR(AND(K85&lt;9,J85=調査年),AND(K85&gt;=9,J85=調査年-1)),,ROUND(AH85*R85%,0)),
IF(リスト!$C$21="さとうきび",IF(OR(AND(K85&gt;=4,J85=調査年),AND(K85&lt;4,J85=調査年+1)),,ROUND(AH85*R85%,0)),
IF(J85=調査年,,ROUND(AH85*R85%,0)))))</f>
        <v>0</v>
      </c>
      <c r="AM85" s="788">
        <f t="shared" si="31"/>
        <v>0</v>
      </c>
      <c r="AN85" s="788">
        <f t="shared" si="32"/>
        <v>0</v>
      </c>
      <c r="AO85" s="788">
        <f t="shared" si="33"/>
        <v>0</v>
      </c>
      <c r="AP85" s="788">
        <f>IF(R85=0,,
SUM(
IF(OR(リスト!$C$21="小麦",リスト!$C$21="二条大麦",リスト!$C$21="六条大麦",リスト!$C$21="はだか麦",リスト!$C$21="なたね"),IF(OR(AND(AA85=1,K85&lt;9,J85=調査年),AND(AA85=1,K85&gt;=9,J85=調査年-1)),ROUND(L85*R85%,0),),
IF(リスト!$C$21="さとうきび",IF(OR(AND(AA85=1,K85&gt;=4,J85=調査年),AND(AA85=1,K85&lt;4,J85=調査年+1)),ROUND(L85*R85%,0),),
IF(AND(AA85=1,J85=調査年),ROUND(L85*R85%,0),))),
ROUND(M85*R85%,0)
))</f>
        <v>0</v>
      </c>
      <c r="AQ85" s="788">
        <f t="shared" si="34"/>
        <v>0</v>
      </c>
      <c r="AR85" s="788">
        <f t="shared" si="35"/>
        <v>0</v>
      </c>
      <c r="AS85" s="788">
        <f t="shared" si="20"/>
        <v>0</v>
      </c>
      <c r="AT85" s="788">
        <f t="shared" si="21"/>
        <v>0</v>
      </c>
      <c r="AU85" s="788">
        <f t="shared" si="36"/>
        <v>0</v>
      </c>
      <c r="AV85" s="788">
        <f t="shared" si="37"/>
        <v>0</v>
      </c>
      <c r="AW85" s="841">
        <f t="shared" si="38"/>
        <v>0</v>
      </c>
      <c r="AX85" s="842"/>
      <c r="AY85" s="842"/>
    </row>
    <row r="86" spans="3:51" s="55" customFormat="1" ht="30.75" hidden="1" customHeight="1" outlineLevel="1">
      <c r="C86" s="843">
        <v>69</v>
      </c>
      <c r="D86" s="803"/>
      <c r="E86" s="844"/>
      <c r="F86" s="845"/>
      <c r="G86" s="2281"/>
      <c r="H86" s="2282"/>
      <c r="I86" s="851"/>
      <c r="J86" s="846"/>
      <c r="K86" s="796"/>
      <c r="L86" s="797"/>
      <c r="M86" s="797"/>
      <c r="N86" s="797"/>
      <c r="O86" s="797"/>
      <c r="P86" s="797"/>
      <c r="Q86" s="797"/>
      <c r="R86" s="1284"/>
      <c r="S86" s="798"/>
      <c r="T86" s="847"/>
      <c r="U86" s="848"/>
      <c r="V86" s="837"/>
      <c r="W86" s="849"/>
      <c r="X86" s="850"/>
      <c r="Y86" s="174"/>
      <c r="Z86" s="786">
        <f t="shared" si="23"/>
        <v>0</v>
      </c>
      <c r="AA86" s="786">
        <f t="shared" si="24"/>
        <v>0</v>
      </c>
      <c r="AB86" s="786">
        <f t="shared" si="25"/>
        <v>0</v>
      </c>
      <c r="AC86" s="786">
        <f>IF(Z86=0,,VLOOKUP(Z86,リスト!DC:DD,2,0))</f>
        <v>0</v>
      </c>
      <c r="AD86" s="786">
        <f t="shared" si="26"/>
        <v>0</v>
      </c>
      <c r="AE86" s="787">
        <f>IF(AD86=0,,VLOOKUP(AD86,リスト!DK:DL,2,0))</f>
        <v>0</v>
      </c>
      <c r="AF86" s="786">
        <f>IF(Z86=0,,
IF(OR(リスト!$C$21="小麦",リスト!$C$21="二条大麦",リスト!$C$21="六条大麦",リスト!$C$21="はだか麦",リスト!$C$21="なたね"),IF(K86&lt;9,調査年-J86,調査年-J86-1),
IF(リスト!$C$21="さとうきび",IF(K86&gt;=4,調査年-J86,調査年-J86+1),
調査年-J86)))</f>
        <v>0</v>
      </c>
      <c r="AG86" s="788">
        <f t="shared" si="27"/>
        <v>0</v>
      </c>
      <c r="AH86" s="788">
        <f t="shared" si="28"/>
        <v>0</v>
      </c>
      <c r="AI86" s="788">
        <f t="shared" si="29"/>
        <v>0</v>
      </c>
      <c r="AJ86" s="788">
        <f t="shared" si="30"/>
        <v>0</v>
      </c>
      <c r="AK86" s="477"/>
      <c r="AL86" s="788">
        <f>IF(OR(R86=0,AH86=""),,
IF(OR(リスト!$C$21="小麦",リスト!$C$21="二条大麦",リスト!$C$21="六条大麦",リスト!$C$21="はだか麦",リスト!$C$21="なたね"),IF(OR(AND(K86&lt;9,J86=調査年),AND(K86&gt;=9,J86=調査年-1)),,ROUND(AH86*R86%,0)),
IF(リスト!$C$21="さとうきび",IF(OR(AND(K86&gt;=4,J86=調査年),AND(K86&lt;4,J86=調査年+1)),,ROUND(AH86*R86%,0)),
IF(J86=調査年,,ROUND(AH86*R86%,0)))))</f>
        <v>0</v>
      </c>
      <c r="AM86" s="788">
        <f t="shared" si="31"/>
        <v>0</v>
      </c>
      <c r="AN86" s="788">
        <f t="shared" si="32"/>
        <v>0</v>
      </c>
      <c r="AO86" s="788">
        <f t="shared" si="33"/>
        <v>0</v>
      </c>
      <c r="AP86" s="788">
        <f>IF(R86=0,,
SUM(
IF(OR(リスト!$C$21="小麦",リスト!$C$21="二条大麦",リスト!$C$21="六条大麦",リスト!$C$21="はだか麦",リスト!$C$21="なたね"),IF(OR(AND(AA86=1,K86&lt;9,J86=調査年),AND(AA86=1,K86&gt;=9,J86=調査年-1)),ROUND(L86*R86%,0),),
IF(リスト!$C$21="さとうきび",IF(OR(AND(AA86=1,K86&gt;=4,J86=調査年),AND(AA86=1,K86&lt;4,J86=調査年+1)),ROUND(L86*R86%,0),),
IF(AND(AA86=1,J86=調査年),ROUND(L86*R86%,0),))),
ROUND(M86*R86%,0)
))</f>
        <v>0</v>
      </c>
      <c r="AQ86" s="788">
        <f t="shared" si="34"/>
        <v>0</v>
      </c>
      <c r="AR86" s="788">
        <f t="shared" si="35"/>
        <v>0</v>
      </c>
      <c r="AS86" s="788">
        <f t="shared" si="20"/>
        <v>0</v>
      </c>
      <c r="AT86" s="788">
        <f t="shared" si="21"/>
        <v>0</v>
      </c>
      <c r="AU86" s="788">
        <f t="shared" si="36"/>
        <v>0</v>
      </c>
      <c r="AV86" s="788">
        <f t="shared" si="37"/>
        <v>0</v>
      </c>
      <c r="AW86" s="841">
        <f t="shared" si="38"/>
        <v>0</v>
      </c>
      <c r="AX86" s="842"/>
      <c r="AY86" s="842"/>
    </row>
    <row r="87" spans="3:51" s="55" customFormat="1" ht="30.75" hidden="1" customHeight="1" outlineLevel="1">
      <c r="C87" s="843">
        <v>70</v>
      </c>
      <c r="D87" s="803"/>
      <c r="E87" s="844"/>
      <c r="F87" s="845"/>
      <c r="G87" s="2281"/>
      <c r="H87" s="2282"/>
      <c r="I87" s="851"/>
      <c r="J87" s="846"/>
      <c r="K87" s="796"/>
      <c r="L87" s="797"/>
      <c r="M87" s="797"/>
      <c r="N87" s="797"/>
      <c r="O87" s="797"/>
      <c r="P87" s="797"/>
      <c r="Q87" s="797"/>
      <c r="R87" s="1284"/>
      <c r="S87" s="798"/>
      <c r="T87" s="847"/>
      <c r="U87" s="848"/>
      <c r="V87" s="837"/>
      <c r="W87" s="849"/>
      <c r="X87" s="850"/>
      <c r="Y87" s="174"/>
      <c r="Z87" s="786">
        <f t="shared" si="23"/>
        <v>0</v>
      </c>
      <c r="AA87" s="786">
        <f t="shared" si="24"/>
        <v>0</v>
      </c>
      <c r="AB87" s="786">
        <f t="shared" si="25"/>
        <v>0</v>
      </c>
      <c r="AC87" s="786">
        <f>IF(Z87=0,,VLOOKUP(Z87,リスト!DC:DD,2,0))</f>
        <v>0</v>
      </c>
      <c r="AD87" s="786">
        <f t="shared" si="26"/>
        <v>0</v>
      </c>
      <c r="AE87" s="787">
        <f>IF(AD87=0,,VLOOKUP(AD87,リスト!DK:DL,2,0))</f>
        <v>0</v>
      </c>
      <c r="AF87" s="786">
        <f>IF(Z87=0,,
IF(OR(リスト!$C$21="小麦",リスト!$C$21="二条大麦",リスト!$C$21="六条大麦",リスト!$C$21="はだか麦",リスト!$C$21="なたね"),IF(K87&lt;9,調査年-J87,調査年-J87-1),
IF(リスト!$C$21="さとうきび",IF(K87&gt;=4,調査年-J87,調査年-J87+1),
調査年-J87)))</f>
        <v>0</v>
      </c>
      <c r="AG87" s="788">
        <f t="shared" si="27"/>
        <v>0</v>
      </c>
      <c r="AH87" s="788">
        <f t="shared" si="28"/>
        <v>0</v>
      </c>
      <c r="AI87" s="788">
        <f t="shared" si="29"/>
        <v>0</v>
      </c>
      <c r="AJ87" s="788">
        <f t="shared" si="30"/>
        <v>0</v>
      </c>
      <c r="AK87" s="477"/>
      <c r="AL87" s="788">
        <f>IF(OR(R87=0,AH87=""),,
IF(OR(リスト!$C$21="小麦",リスト!$C$21="二条大麦",リスト!$C$21="六条大麦",リスト!$C$21="はだか麦",リスト!$C$21="なたね"),IF(OR(AND(K87&lt;9,J87=調査年),AND(K87&gt;=9,J87=調査年-1)),,ROUND(AH87*R87%,0)),
IF(リスト!$C$21="さとうきび",IF(OR(AND(K87&gt;=4,J87=調査年),AND(K87&lt;4,J87=調査年+1)),,ROUND(AH87*R87%,0)),
IF(J87=調査年,,ROUND(AH87*R87%,0)))))</f>
        <v>0</v>
      </c>
      <c r="AM87" s="788">
        <f t="shared" si="31"/>
        <v>0</v>
      </c>
      <c r="AN87" s="788">
        <f t="shared" si="32"/>
        <v>0</v>
      </c>
      <c r="AO87" s="788">
        <f t="shared" si="33"/>
        <v>0</v>
      </c>
      <c r="AP87" s="788">
        <f>IF(R87=0,,
SUM(
IF(OR(リスト!$C$21="小麦",リスト!$C$21="二条大麦",リスト!$C$21="六条大麦",リスト!$C$21="はだか麦",リスト!$C$21="なたね"),IF(OR(AND(AA87=1,K87&lt;9,J87=調査年),AND(AA87=1,K87&gt;=9,J87=調査年-1)),ROUND(L87*R87%,0),),
IF(リスト!$C$21="さとうきび",IF(OR(AND(AA87=1,K87&gt;=4,J87=調査年),AND(AA87=1,K87&lt;4,J87=調査年+1)),ROUND(L87*R87%,0),),
IF(AND(AA87=1,J87=調査年),ROUND(L87*R87%,0),))),
ROUND(M87*R87%,0)
))</f>
        <v>0</v>
      </c>
      <c r="AQ87" s="788">
        <f t="shared" si="34"/>
        <v>0</v>
      </c>
      <c r="AR87" s="788">
        <f t="shared" si="35"/>
        <v>0</v>
      </c>
      <c r="AS87" s="788">
        <f t="shared" si="20"/>
        <v>0</v>
      </c>
      <c r="AT87" s="788">
        <f t="shared" si="21"/>
        <v>0</v>
      </c>
      <c r="AU87" s="788">
        <f t="shared" si="36"/>
        <v>0</v>
      </c>
      <c r="AV87" s="788">
        <f t="shared" si="37"/>
        <v>0</v>
      </c>
      <c r="AW87" s="841">
        <f t="shared" si="38"/>
        <v>0</v>
      </c>
      <c r="AX87" s="842"/>
      <c r="AY87" s="842"/>
    </row>
    <row r="88" spans="3:51" s="55" customFormat="1" ht="30.75" hidden="1" customHeight="1" outlineLevel="1">
      <c r="C88" s="843">
        <v>71</v>
      </c>
      <c r="D88" s="803"/>
      <c r="E88" s="844"/>
      <c r="F88" s="845"/>
      <c r="G88" s="2281"/>
      <c r="H88" s="2282"/>
      <c r="I88" s="851"/>
      <c r="J88" s="846"/>
      <c r="K88" s="796"/>
      <c r="L88" s="797"/>
      <c r="M88" s="797"/>
      <c r="N88" s="797"/>
      <c r="O88" s="797"/>
      <c r="P88" s="797"/>
      <c r="Q88" s="797"/>
      <c r="R88" s="1284"/>
      <c r="S88" s="798"/>
      <c r="T88" s="847"/>
      <c r="U88" s="848"/>
      <c r="V88" s="837"/>
      <c r="W88" s="849"/>
      <c r="X88" s="850"/>
      <c r="Y88" s="174"/>
      <c r="Z88" s="786">
        <f t="shared" si="23"/>
        <v>0</v>
      </c>
      <c r="AA88" s="786">
        <f t="shared" si="24"/>
        <v>0</v>
      </c>
      <c r="AB88" s="786">
        <f t="shared" si="25"/>
        <v>0</v>
      </c>
      <c r="AC88" s="786">
        <f>IF(Z88=0,,VLOOKUP(Z88,リスト!DC:DD,2,0))</f>
        <v>0</v>
      </c>
      <c r="AD88" s="786">
        <f t="shared" si="26"/>
        <v>0</v>
      </c>
      <c r="AE88" s="787">
        <f>IF(AD88=0,,VLOOKUP(AD88,リスト!DK:DL,2,0))</f>
        <v>0</v>
      </c>
      <c r="AF88" s="786">
        <f>IF(Z88=0,,
IF(OR(リスト!$C$21="小麦",リスト!$C$21="二条大麦",リスト!$C$21="六条大麦",リスト!$C$21="はだか麦",リスト!$C$21="なたね"),IF(K88&lt;9,調査年-J88,調査年-J88-1),
IF(リスト!$C$21="さとうきび",IF(K88&gt;=4,調査年-J88,調査年-J88+1),
調査年-J88)))</f>
        <v>0</v>
      </c>
      <c r="AG88" s="788">
        <f t="shared" si="27"/>
        <v>0</v>
      </c>
      <c r="AH88" s="788">
        <f t="shared" si="28"/>
        <v>0</v>
      </c>
      <c r="AI88" s="788">
        <f t="shared" si="29"/>
        <v>0</v>
      </c>
      <c r="AJ88" s="788">
        <f t="shared" si="30"/>
        <v>0</v>
      </c>
      <c r="AK88" s="477"/>
      <c r="AL88" s="788">
        <f>IF(OR(R88=0,AH88=""),,
IF(OR(リスト!$C$21="小麦",リスト!$C$21="二条大麦",リスト!$C$21="六条大麦",リスト!$C$21="はだか麦",リスト!$C$21="なたね"),IF(OR(AND(K88&lt;9,J88=調査年),AND(K88&gt;=9,J88=調査年-1)),,ROUND(AH88*R88%,0)),
IF(リスト!$C$21="さとうきび",IF(OR(AND(K88&gt;=4,J88=調査年),AND(K88&lt;4,J88=調査年+1)),,ROUND(AH88*R88%,0)),
IF(J88=調査年,,ROUND(AH88*R88%,0)))))</f>
        <v>0</v>
      </c>
      <c r="AM88" s="788">
        <f t="shared" si="31"/>
        <v>0</v>
      </c>
      <c r="AN88" s="788">
        <f t="shared" si="32"/>
        <v>0</v>
      </c>
      <c r="AO88" s="788">
        <f t="shared" si="33"/>
        <v>0</v>
      </c>
      <c r="AP88" s="788">
        <f>IF(R88=0,,
SUM(
IF(OR(リスト!$C$21="小麦",リスト!$C$21="二条大麦",リスト!$C$21="六条大麦",リスト!$C$21="はだか麦",リスト!$C$21="なたね"),IF(OR(AND(AA88=1,K88&lt;9,J88=調査年),AND(AA88=1,K88&gt;=9,J88=調査年-1)),ROUND(L88*R88%,0),),
IF(リスト!$C$21="さとうきび",IF(OR(AND(AA88=1,K88&gt;=4,J88=調査年),AND(AA88=1,K88&lt;4,J88=調査年+1)),ROUND(L88*R88%,0),),
IF(AND(AA88=1,J88=調査年),ROUND(L88*R88%,0),))),
ROUND(M88*R88%,0)
))</f>
        <v>0</v>
      </c>
      <c r="AQ88" s="788">
        <f t="shared" si="34"/>
        <v>0</v>
      </c>
      <c r="AR88" s="788">
        <f t="shared" si="35"/>
        <v>0</v>
      </c>
      <c r="AS88" s="788">
        <f t="shared" si="20"/>
        <v>0</v>
      </c>
      <c r="AT88" s="788">
        <f t="shared" si="21"/>
        <v>0</v>
      </c>
      <c r="AU88" s="788">
        <f t="shared" si="36"/>
        <v>0</v>
      </c>
      <c r="AV88" s="788">
        <f t="shared" si="37"/>
        <v>0</v>
      </c>
      <c r="AW88" s="841">
        <f t="shared" si="38"/>
        <v>0</v>
      </c>
      <c r="AX88" s="842"/>
      <c r="AY88" s="842"/>
    </row>
    <row r="89" spans="3:51" s="55" customFormat="1" ht="30.75" hidden="1" customHeight="1" outlineLevel="1">
      <c r="C89" s="843">
        <v>72</v>
      </c>
      <c r="D89" s="803"/>
      <c r="E89" s="844"/>
      <c r="F89" s="845"/>
      <c r="G89" s="2281"/>
      <c r="H89" s="2282"/>
      <c r="I89" s="851"/>
      <c r="J89" s="846"/>
      <c r="K89" s="796"/>
      <c r="L89" s="797"/>
      <c r="M89" s="797"/>
      <c r="N89" s="797"/>
      <c r="O89" s="797"/>
      <c r="P89" s="797"/>
      <c r="Q89" s="797"/>
      <c r="R89" s="1284"/>
      <c r="S89" s="798"/>
      <c r="T89" s="847"/>
      <c r="U89" s="848"/>
      <c r="V89" s="837"/>
      <c r="W89" s="849"/>
      <c r="X89" s="850"/>
      <c r="Y89" s="174"/>
      <c r="Z89" s="786">
        <f t="shared" si="23"/>
        <v>0</v>
      </c>
      <c r="AA89" s="786">
        <f t="shared" si="24"/>
        <v>0</v>
      </c>
      <c r="AB89" s="786">
        <f t="shared" si="25"/>
        <v>0</v>
      </c>
      <c r="AC89" s="786">
        <f>IF(Z89=0,,VLOOKUP(Z89,リスト!DC:DD,2,0))</f>
        <v>0</v>
      </c>
      <c r="AD89" s="786">
        <f t="shared" si="26"/>
        <v>0</v>
      </c>
      <c r="AE89" s="787">
        <f>IF(AD89=0,,VLOOKUP(AD89,リスト!DK:DL,2,0))</f>
        <v>0</v>
      </c>
      <c r="AF89" s="786">
        <f>IF(Z89=0,,
IF(OR(リスト!$C$21="小麦",リスト!$C$21="二条大麦",リスト!$C$21="六条大麦",リスト!$C$21="はだか麦",リスト!$C$21="なたね"),IF(K89&lt;9,調査年-J89,調査年-J89-1),
IF(リスト!$C$21="さとうきび",IF(K89&gt;=4,調査年-J89,調査年-J89+1),
調査年-J89)))</f>
        <v>0</v>
      </c>
      <c r="AG89" s="788">
        <f t="shared" si="27"/>
        <v>0</v>
      </c>
      <c r="AH89" s="788">
        <f t="shared" si="28"/>
        <v>0</v>
      </c>
      <c r="AI89" s="788">
        <f t="shared" si="29"/>
        <v>0</v>
      </c>
      <c r="AJ89" s="788">
        <f t="shared" si="30"/>
        <v>0</v>
      </c>
      <c r="AK89" s="477"/>
      <c r="AL89" s="788">
        <f>IF(OR(R89=0,AH89=""),,
IF(OR(リスト!$C$21="小麦",リスト!$C$21="二条大麦",リスト!$C$21="六条大麦",リスト!$C$21="はだか麦",リスト!$C$21="なたね"),IF(OR(AND(K89&lt;9,J89=調査年),AND(K89&gt;=9,J89=調査年-1)),,ROUND(AH89*R89%,0)),
IF(リスト!$C$21="さとうきび",IF(OR(AND(K89&gt;=4,J89=調査年),AND(K89&lt;4,J89=調査年+1)),,ROUND(AH89*R89%,0)),
IF(J89=調査年,,ROUND(AH89*R89%,0)))))</f>
        <v>0</v>
      </c>
      <c r="AM89" s="788">
        <f t="shared" si="31"/>
        <v>0</v>
      </c>
      <c r="AN89" s="788">
        <f t="shared" si="32"/>
        <v>0</v>
      </c>
      <c r="AO89" s="788">
        <f t="shared" si="33"/>
        <v>0</v>
      </c>
      <c r="AP89" s="788">
        <f>IF(R89=0,,
SUM(
IF(OR(リスト!$C$21="小麦",リスト!$C$21="二条大麦",リスト!$C$21="六条大麦",リスト!$C$21="はだか麦",リスト!$C$21="なたね"),IF(OR(AND(AA89=1,K89&lt;9,J89=調査年),AND(AA89=1,K89&gt;=9,J89=調査年-1)),ROUND(L89*R89%,0),),
IF(リスト!$C$21="さとうきび",IF(OR(AND(AA89=1,K89&gt;=4,J89=調査年),AND(AA89=1,K89&lt;4,J89=調査年+1)),ROUND(L89*R89%,0),),
IF(AND(AA89=1,J89=調査年),ROUND(L89*R89%,0),))),
ROUND(M89*R89%,0)
))</f>
        <v>0</v>
      </c>
      <c r="AQ89" s="788">
        <f t="shared" si="34"/>
        <v>0</v>
      </c>
      <c r="AR89" s="788">
        <f t="shared" si="35"/>
        <v>0</v>
      </c>
      <c r="AS89" s="788">
        <f t="shared" ref="AS89:AS117" si="39">IF(O89&gt;0,IF(AND(F89&lt;&gt;"[1]軽自動車",F89&lt;&gt;"[3]自動二輪・三輪"),ROUND(O89*R89%,),),)</f>
        <v>0</v>
      </c>
      <c r="AT89" s="788">
        <f t="shared" ref="AT89:AT117" si="40">IF(O89&gt;0,IF(OR(F89="[1]軽自動車",F89="[3]自動二輪・三輪"),ROUND(O89*R89%,),),)</f>
        <v>0</v>
      </c>
      <c r="AU89" s="788">
        <f t="shared" si="36"/>
        <v>0</v>
      </c>
      <c r="AV89" s="788">
        <f t="shared" si="37"/>
        <v>0</v>
      </c>
      <c r="AW89" s="841">
        <f t="shared" si="38"/>
        <v>0</v>
      </c>
      <c r="AX89" s="842"/>
      <c r="AY89" s="842"/>
    </row>
    <row r="90" spans="3:51" s="55" customFormat="1" ht="30.75" hidden="1" customHeight="1" outlineLevel="1">
      <c r="C90" s="843">
        <v>73</v>
      </c>
      <c r="D90" s="803"/>
      <c r="E90" s="844"/>
      <c r="F90" s="845"/>
      <c r="G90" s="2281"/>
      <c r="H90" s="2282"/>
      <c r="I90" s="851"/>
      <c r="J90" s="846"/>
      <c r="K90" s="796"/>
      <c r="L90" s="797"/>
      <c r="M90" s="797"/>
      <c r="N90" s="797"/>
      <c r="O90" s="797"/>
      <c r="P90" s="797"/>
      <c r="Q90" s="797"/>
      <c r="R90" s="1284"/>
      <c r="S90" s="798"/>
      <c r="T90" s="847"/>
      <c r="U90" s="848"/>
      <c r="V90" s="837"/>
      <c r="W90" s="849"/>
      <c r="X90" s="850"/>
      <c r="Y90" s="174"/>
      <c r="Z90" s="786">
        <f t="shared" si="23"/>
        <v>0</v>
      </c>
      <c r="AA90" s="786">
        <f t="shared" si="24"/>
        <v>0</v>
      </c>
      <c r="AB90" s="786">
        <f t="shared" si="25"/>
        <v>0</v>
      </c>
      <c r="AC90" s="786">
        <f>IF(Z90=0,,VLOOKUP(Z90,リスト!DC:DD,2,0))</f>
        <v>0</v>
      </c>
      <c r="AD90" s="786">
        <f t="shared" si="26"/>
        <v>0</v>
      </c>
      <c r="AE90" s="787">
        <f>IF(AD90=0,,VLOOKUP(AD90,リスト!DK:DL,2,0))</f>
        <v>0</v>
      </c>
      <c r="AF90" s="786">
        <f>IF(Z90=0,,
IF(OR(リスト!$C$21="小麦",リスト!$C$21="二条大麦",リスト!$C$21="六条大麦",リスト!$C$21="はだか麦",リスト!$C$21="なたね"),IF(K90&lt;9,調査年-J90,調査年-J90-1),
IF(リスト!$C$21="さとうきび",IF(K90&gt;=4,調査年-J90,調査年-J90+1),
調査年-J90)))</f>
        <v>0</v>
      </c>
      <c r="AG90" s="788">
        <f t="shared" si="27"/>
        <v>0</v>
      </c>
      <c r="AH90" s="788">
        <f t="shared" si="28"/>
        <v>0</v>
      </c>
      <c r="AI90" s="788">
        <f t="shared" si="29"/>
        <v>0</v>
      </c>
      <c r="AJ90" s="788">
        <f t="shared" si="30"/>
        <v>0</v>
      </c>
      <c r="AK90" s="477"/>
      <c r="AL90" s="788">
        <f>IF(OR(R90=0,AH90=""),,
IF(OR(リスト!$C$21="小麦",リスト!$C$21="二条大麦",リスト!$C$21="六条大麦",リスト!$C$21="はだか麦",リスト!$C$21="なたね"),IF(OR(AND(K90&lt;9,J90=調査年),AND(K90&gt;=9,J90=調査年-1)),,ROUND(AH90*R90%,0)),
IF(リスト!$C$21="さとうきび",IF(OR(AND(K90&gt;=4,J90=調査年),AND(K90&lt;4,J90=調査年+1)),,ROUND(AH90*R90%,0)),
IF(J90=調査年,,ROUND(AH90*R90%,0)))))</f>
        <v>0</v>
      </c>
      <c r="AM90" s="788">
        <f t="shared" si="31"/>
        <v>0</v>
      </c>
      <c r="AN90" s="788">
        <f t="shared" si="32"/>
        <v>0</v>
      </c>
      <c r="AO90" s="788">
        <f t="shared" si="33"/>
        <v>0</v>
      </c>
      <c r="AP90" s="788">
        <f>IF(R90=0,,
SUM(
IF(OR(リスト!$C$21="小麦",リスト!$C$21="二条大麦",リスト!$C$21="六条大麦",リスト!$C$21="はだか麦",リスト!$C$21="なたね"),IF(OR(AND(AA90=1,K90&lt;9,J90=調査年),AND(AA90=1,K90&gt;=9,J90=調査年-1)),ROUND(L90*R90%,0),),
IF(リスト!$C$21="さとうきび",IF(OR(AND(AA90=1,K90&gt;=4,J90=調査年),AND(AA90=1,K90&lt;4,J90=調査年+1)),ROUND(L90*R90%,0),),
IF(AND(AA90=1,J90=調査年),ROUND(L90*R90%,0),))),
ROUND(M90*R90%,0)
))</f>
        <v>0</v>
      </c>
      <c r="AQ90" s="788">
        <f t="shared" si="34"/>
        <v>0</v>
      </c>
      <c r="AR90" s="788">
        <f t="shared" si="35"/>
        <v>0</v>
      </c>
      <c r="AS90" s="788">
        <f t="shared" si="39"/>
        <v>0</v>
      </c>
      <c r="AT90" s="788">
        <f t="shared" si="40"/>
        <v>0</v>
      </c>
      <c r="AU90" s="788">
        <f t="shared" si="36"/>
        <v>0</v>
      </c>
      <c r="AV90" s="788">
        <f t="shared" si="37"/>
        <v>0</v>
      </c>
      <c r="AW90" s="841">
        <f t="shared" si="38"/>
        <v>0</v>
      </c>
      <c r="AX90" s="842"/>
      <c r="AY90" s="842"/>
    </row>
    <row r="91" spans="3:51" s="55" customFormat="1" ht="30.75" hidden="1" customHeight="1" outlineLevel="1">
      <c r="C91" s="843">
        <v>74</v>
      </c>
      <c r="D91" s="803"/>
      <c r="E91" s="844"/>
      <c r="F91" s="845"/>
      <c r="G91" s="2281"/>
      <c r="H91" s="2282"/>
      <c r="I91" s="851"/>
      <c r="J91" s="846"/>
      <c r="K91" s="796"/>
      <c r="L91" s="797"/>
      <c r="M91" s="797"/>
      <c r="N91" s="797"/>
      <c r="O91" s="797"/>
      <c r="P91" s="797"/>
      <c r="Q91" s="797"/>
      <c r="R91" s="1284"/>
      <c r="S91" s="798"/>
      <c r="T91" s="847"/>
      <c r="U91" s="848"/>
      <c r="V91" s="837"/>
      <c r="W91" s="849"/>
      <c r="X91" s="850"/>
      <c r="Y91" s="174"/>
      <c r="Z91" s="786">
        <f t="shared" si="23"/>
        <v>0</v>
      </c>
      <c r="AA91" s="786">
        <f t="shared" si="24"/>
        <v>0</v>
      </c>
      <c r="AB91" s="786">
        <f t="shared" si="25"/>
        <v>0</v>
      </c>
      <c r="AC91" s="786">
        <f>IF(Z91=0,,VLOOKUP(Z91,リスト!DC:DD,2,0))</f>
        <v>0</v>
      </c>
      <c r="AD91" s="786">
        <f t="shared" si="26"/>
        <v>0</v>
      </c>
      <c r="AE91" s="787">
        <f>IF(AD91=0,,VLOOKUP(AD91,リスト!DK:DL,2,0))</f>
        <v>0</v>
      </c>
      <c r="AF91" s="786">
        <f>IF(Z91=0,,
IF(OR(リスト!$C$21="小麦",リスト!$C$21="二条大麦",リスト!$C$21="六条大麦",リスト!$C$21="はだか麦",リスト!$C$21="なたね"),IF(K91&lt;9,調査年-J91,調査年-J91-1),
IF(リスト!$C$21="さとうきび",IF(K91&gt;=4,調査年-J91,調査年-J91+1),
調査年-J91)))</f>
        <v>0</v>
      </c>
      <c r="AG91" s="788">
        <f t="shared" si="27"/>
        <v>0</v>
      </c>
      <c r="AH91" s="788">
        <f t="shared" si="28"/>
        <v>0</v>
      </c>
      <c r="AI91" s="788">
        <f t="shared" si="29"/>
        <v>0</v>
      </c>
      <c r="AJ91" s="788">
        <f t="shared" si="30"/>
        <v>0</v>
      </c>
      <c r="AK91" s="477"/>
      <c r="AL91" s="788">
        <f>IF(OR(R91=0,AH91=""),,
IF(OR(リスト!$C$21="小麦",リスト!$C$21="二条大麦",リスト!$C$21="六条大麦",リスト!$C$21="はだか麦",リスト!$C$21="なたね"),IF(OR(AND(K91&lt;9,J91=調査年),AND(K91&gt;=9,J91=調査年-1)),,ROUND(AH91*R91%,0)),
IF(リスト!$C$21="さとうきび",IF(OR(AND(K91&gt;=4,J91=調査年),AND(K91&lt;4,J91=調査年+1)),,ROUND(AH91*R91%,0)),
IF(J91=調査年,,ROUND(AH91*R91%,0)))))</f>
        <v>0</v>
      </c>
      <c r="AM91" s="788">
        <f t="shared" si="31"/>
        <v>0</v>
      </c>
      <c r="AN91" s="788">
        <f t="shared" si="32"/>
        <v>0</v>
      </c>
      <c r="AO91" s="788">
        <f t="shared" si="33"/>
        <v>0</v>
      </c>
      <c r="AP91" s="788">
        <f>IF(R91=0,,
SUM(
IF(OR(リスト!$C$21="小麦",リスト!$C$21="二条大麦",リスト!$C$21="六条大麦",リスト!$C$21="はだか麦",リスト!$C$21="なたね"),IF(OR(AND(AA91=1,K91&lt;9,J91=調査年),AND(AA91=1,K91&gt;=9,J91=調査年-1)),ROUND(L91*R91%,0),),
IF(リスト!$C$21="さとうきび",IF(OR(AND(AA91=1,K91&gt;=4,J91=調査年),AND(AA91=1,K91&lt;4,J91=調査年+1)),ROUND(L91*R91%,0),),
IF(AND(AA91=1,J91=調査年),ROUND(L91*R91%,0),))),
ROUND(M91*R91%,0)
))</f>
        <v>0</v>
      </c>
      <c r="AQ91" s="788">
        <f t="shared" si="34"/>
        <v>0</v>
      </c>
      <c r="AR91" s="788">
        <f t="shared" si="35"/>
        <v>0</v>
      </c>
      <c r="AS91" s="788">
        <f t="shared" si="39"/>
        <v>0</v>
      </c>
      <c r="AT91" s="788">
        <f t="shared" si="40"/>
        <v>0</v>
      </c>
      <c r="AU91" s="788">
        <f t="shared" si="36"/>
        <v>0</v>
      </c>
      <c r="AV91" s="788">
        <f t="shared" si="37"/>
        <v>0</v>
      </c>
      <c r="AW91" s="841">
        <f t="shared" si="38"/>
        <v>0</v>
      </c>
      <c r="AX91" s="842"/>
      <c r="AY91" s="842"/>
    </row>
    <row r="92" spans="3:51" s="55" customFormat="1" ht="30.75" hidden="1" customHeight="1" outlineLevel="1">
      <c r="C92" s="843">
        <v>75</v>
      </c>
      <c r="D92" s="803"/>
      <c r="E92" s="844"/>
      <c r="F92" s="845"/>
      <c r="G92" s="2281"/>
      <c r="H92" s="2282"/>
      <c r="I92" s="851"/>
      <c r="J92" s="846"/>
      <c r="K92" s="796"/>
      <c r="L92" s="797"/>
      <c r="M92" s="797"/>
      <c r="N92" s="797"/>
      <c r="O92" s="797"/>
      <c r="P92" s="797"/>
      <c r="Q92" s="797"/>
      <c r="R92" s="1284"/>
      <c r="S92" s="798"/>
      <c r="T92" s="847"/>
      <c r="U92" s="848"/>
      <c r="V92" s="837"/>
      <c r="W92" s="849"/>
      <c r="X92" s="850"/>
      <c r="Y92" s="174"/>
      <c r="Z92" s="786">
        <f t="shared" si="23"/>
        <v>0</v>
      </c>
      <c r="AA92" s="786">
        <f t="shared" si="24"/>
        <v>0</v>
      </c>
      <c r="AB92" s="786">
        <f t="shared" si="25"/>
        <v>0</v>
      </c>
      <c r="AC92" s="786">
        <f>IF(Z92=0,,VLOOKUP(Z92,リスト!DC:DD,2,0))</f>
        <v>0</v>
      </c>
      <c r="AD92" s="786">
        <f t="shared" si="26"/>
        <v>0</v>
      </c>
      <c r="AE92" s="787">
        <f>IF(AD92=0,,VLOOKUP(AD92,リスト!DK:DL,2,0))</f>
        <v>0</v>
      </c>
      <c r="AF92" s="786">
        <f>IF(Z92=0,,
IF(OR(リスト!$C$21="小麦",リスト!$C$21="二条大麦",リスト!$C$21="六条大麦",リスト!$C$21="はだか麦",リスト!$C$21="なたね"),IF(K92&lt;9,調査年-J92,調査年-J92-1),
IF(リスト!$C$21="さとうきび",IF(K92&gt;=4,調査年-J92,調査年-J92+1),
調査年-J92)))</f>
        <v>0</v>
      </c>
      <c r="AG92" s="788">
        <f t="shared" si="27"/>
        <v>0</v>
      </c>
      <c r="AH92" s="788">
        <f t="shared" si="28"/>
        <v>0</v>
      </c>
      <c r="AI92" s="788">
        <f t="shared" si="29"/>
        <v>0</v>
      </c>
      <c r="AJ92" s="788">
        <f t="shared" si="30"/>
        <v>0</v>
      </c>
      <c r="AK92" s="477"/>
      <c r="AL92" s="788">
        <f>IF(OR(R92=0,AH92=""),,
IF(OR(リスト!$C$21="小麦",リスト!$C$21="二条大麦",リスト!$C$21="六条大麦",リスト!$C$21="はだか麦",リスト!$C$21="なたね"),IF(OR(AND(K92&lt;9,J92=調査年),AND(K92&gt;=9,J92=調査年-1)),,ROUND(AH92*R92%,0)),
IF(リスト!$C$21="さとうきび",IF(OR(AND(K92&gt;=4,J92=調査年),AND(K92&lt;4,J92=調査年+1)),,ROUND(AH92*R92%,0)),
IF(J92=調査年,,ROUND(AH92*R92%,0)))))</f>
        <v>0</v>
      </c>
      <c r="AM92" s="788">
        <f t="shared" si="31"/>
        <v>0</v>
      </c>
      <c r="AN92" s="788">
        <f t="shared" si="32"/>
        <v>0</v>
      </c>
      <c r="AO92" s="788">
        <f t="shared" si="33"/>
        <v>0</v>
      </c>
      <c r="AP92" s="788">
        <f>IF(R92=0,,
SUM(
IF(OR(リスト!$C$21="小麦",リスト!$C$21="二条大麦",リスト!$C$21="六条大麦",リスト!$C$21="はだか麦",リスト!$C$21="なたね"),IF(OR(AND(AA92=1,K92&lt;9,J92=調査年),AND(AA92=1,K92&gt;=9,J92=調査年-1)),ROUND(L92*R92%,0),),
IF(リスト!$C$21="さとうきび",IF(OR(AND(AA92=1,K92&gt;=4,J92=調査年),AND(AA92=1,K92&lt;4,J92=調査年+1)),ROUND(L92*R92%,0),),
IF(AND(AA92=1,J92=調査年),ROUND(L92*R92%,0),))),
ROUND(M92*R92%,0)
))</f>
        <v>0</v>
      </c>
      <c r="AQ92" s="788">
        <f t="shared" si="34"/>
        <v>0</v>
      </c>
      <c r="AR92" s="788">
        <f t="shared" si="35"/>
        <v>0</v>
      </c>
      <c r="AS92" s="788">
        <f t="shared" si="39"/>
        <v>0</v>
      </c>
      <c r="AT92" s="788">
        <f t="shared" si="40"/>
        <v>0</v>
      </c>
      <c r="AU92" s="788">
        <f t="shared" si="36"/>
        <v>0</v>
      </c>
      <c r="AV92" s="788">
        <f t="shared" si="37"/>
        <v>0</v>
      </c>
      <c r="AW92" s="841">
        <f t="shared" si="38"/>
        <v>0</v>
      </c>
      <c r="AX92" s="842"/>
      <c r="AY92" s="842"/>
    </row>
    <row r="93" spans="3:51" s="55" customFormat="1" ht="30.75" hidden="1" customHeight="1" outlineLevel="1">
      <c r="C93" s="843">
        <v>76</v>
      </c>
      <c r="D93" s="803"/>
      <c r="E93" s="853"/>
      <c r="F93" s="854"/>
      <c r="G93" s="2287"/>
      <c r="H93" s="2288"/>
      <c r="I93" s="855"/>
      <c r="J93" s="856"/>
      <c r="K93" s="857"/>
      <c r="L93" s="858"/>
      <c r="M93" s="858"/>
      <c r="N93" s="858"/>
      <c r="O93" s="858"/>
      <c r="P93" s="858"/>
      <c r="Q93" s="858"/>
      <c r="R93" s="1284"/>
      <c r="S93" s="859"/>
      <c r="T93" s="860"/>
      <c r="U93" s="861"/>
      <c r="V93" s="837"/>
      <c r="W93" s="849"/>
      <c r="X93" s="850"/>
      <c r="Y93" s="174"/>
      <c r="Z93" s="786">
        <f t="shared" si="23"/>
        <v>0</v>
      </c>
      <c r="AA93" s="786">
        <f t="shared" si="24"/>
        <v>0</v>
      </c>
      <c r="AB93" s="786">
        <f t="shared" si="25"/>
        <v>0</v>
      </c>
      <c r="AC93" s="786">
        <f>IF(Z93=0,,VLOOKUP(Z93,リスト!DC:DD,2,0))</f>
        <v>0</v>
      </c>
      <c r="AD93" s="786">
        <f t="shared" si="26"/>
        <v>0</v>
      </c>
      <c r="AE93" s="787">
        <f>IF(AD93=0,,VLOOKUP(AD93,リスト!DK:DL,2,0))</f>
        <v>0</v>
      </c>
      <c r="AF93" s="786">
        <f>IF(Z93=0,,
IF(OR(リスト!$C$21="小麦",リスト!$C$21="二条大麦",リスト!$C$21="六条大麦",リスト!$C$21="はだか麦",リスト!$C$21="なたね"),IF(K93&lt;9,調査年-J93,調査年-J93-1),
IF(リスト!$C$21="さとうきび",IF(K93&gt;=4,調査年-J93,調査年-J93+1),
調査年-J93)))</f>
        <v>0</v>
      </c>
      <c r="AG93" s="788">
        <f t="shared" si="27"/>
        <v>0</v>
      </c>
      <c r="AH93" s="788">
        <f t="shared" si="28"/>
        <v>0</v>
      </c>
      <c r="AI93" s="788">
        <f t="shared" si="29"/>
        <v>0</v>
      </c>
      <c r="AJ93" s="788">
        <f t="shared" si="30"/>
        <v>0</v>
      </c>
      <c r="AK93" s="477"/>
      <c r="AL93" s="788">
        <f>IF(OR(R93=0,AH93=""),,
IF(OR(リスト!$C$21="小麦",リスト!$C$21="二条大麦",リスト!$C$21="六条大麦",リスト!$C$21="はだか麦",リスト!$C$21="なたね"),IF(OR(AND(K93&lt;9,J93=調査年),AND(K93&gt;=9,J93=調査年-1)),,ROUND(AH93*R93%,0)),
IF(リスト!$C$21="さとうきび",IF(OR(AND(K93&gt;=4,J93=調査年),AND(K93&lt;4,J93=調査年+1)),,ROUND(AH93*R93%,0)),
IF(J93=調査年,,ROUND(AH93*R93%,0)))))</f>
        <v>0</v>
      </c>
      <c r="AM93" s="788">
        <f t="shared" si="31"/>
        <v>0</v>
      </c>
      <c r="AN93" s="788">
        <f t="shared" si="32"/>
        <v>0</v>
      </c>
      <c r="AO93" s="788">
        <f t="shared" si="33"/>
        <v>0</v>
      </c>
      <c r="AP93" s="788">
        <f>IF(R93=0,,
SUM(
IF(OR(リスト!$C$21="小麦",リスト!$C$21="二条大麦",リスト!$C$21="六条大麦",リスト!$C$21="はだか麦",リスト!$C$21="なたね"),IF(OR(AND(AA93=1,K93&lt;9,J93=調査年),AND(AA93=1,K93&gt;=9,J93=調査年-1)),ROUND(L93*R93%,0),),
IF(リスト!$C$21="さとうきび",IF(OR(AND(AA93=1,K93&gt;=4,J93=調査年),AND(AA93=1,K93&lt;4,J93=調査年+1)),ROUND(L93*R93%,0),),
IF(AND(AA93=1,J93=調査年),ROUND(L93*R93%,0),))),
ROUND(M93*R93%,0)
))</f>
        <v>0</v>
      </c>
      <c r="AQ93" s="788">
        <f t="shared" si="34"/>
        <v>0</v>
      </c>
      <c r="AR93" s="788">
        <f t="shared" si="35"/>
        <v>0</v>
      </c>
      <c r="AS93" s="788">
        <f t="shared" si="39"/>
        <v>0</v>
      </c>
      <c r="AT93" s="788">
        <f t="shared" si="40"/>
        <v>0</v>
      </c>
      <c r="AU93" s="788">
        <f t="shared" si="36"/>
        <v>0</v>
      </c>
      <c r="AV93" s="788">
        <f t="shared" si="37"/>
        <v>0</v>
      </c>
      <c r="AW93" s="841">
        <f t="shared" si="38"/>
        <v>0</v>
      </c>
      <c r="AX93" s="842"/>
      <c r="AY93" s="842"/>
    </row>
    <row r="94" spans="3:51" s="55" customFormat="1" ht="30.75" hidden="1" customHeight="1" outlineLevel="1">
      <c r="C94" s="843">
        <v>77</v>
      </c>
      <c r="D94" s="803"/>
      <c r="E94" s="844"/>
      <c r="F94" s="845"/>
      <c r="G94" s="2281"/>
      <c r="H94" s="2282"/>
      <c r="I94" s="851"/>
      <c r="J94" s="846"/>
      <c r="K94" s="796"/>
      <c r="L94" s="797"/>
      <c r="M94" s="797"/>
      <c r="N94" s="797"/>
      <c r="O94" s="797"/>
      <c r="P94" s="797"/>
      <c r="Q94" s="797"/>
      <c r="R94" s="1284"/>
      <c r="S94" s="798"/>
      <c r="T94" s="847"/>
      <c r="U94" s="848"/>
      <c r="V94" s="837"/>
      <c r="W94" s="849"/>
      <c r="X94" s="850"/>
      <c r="Y94" s="174"/>
      <c r="Z94" s="786">
        <f t="shared" si="23"/>
        <v>0</v>
      </c>
      <c r="AA94" s="786">
        <f t="shared" si="24"/>
        <v>0</v>
      </c>
      <c r="AB94" s="786">
        <f t="shared" si="25"/>
        <v>0</v>
      </c>
      <c r="AC94" s="786">
        <f>IF(Z94=0,,VLOOKUP(Z94,リスト!DC:DD,2,0))</f>
        <v>0</v>
      </c>
      <c r="AD94" s="786">
        <f t="shared" si="26"/>
        <v>0</v>
      </c>
      <c r="AE94" s="787">
        <f>IF(AD94=0,,VLOOKUP(AD94,リスト!DK:DL,2,0))</f>
        <v>0</v>
      </c>
      <c r="AF94" s="786">
        <f>IF(Z94=0,,
IF(OR(リスト!$C$21="小麦",リスト!$C$21="二条大麦",リスト!$C$21="六条大麦",リスト!$C$21="はだか麦",リスト!$C$21="なたね"),IF(K94&lt;9,調査年-J94,調査年-J94-1),
IF(リスト!$C$21="さとうきび",IF(K94&gt;=4,調査年-J94,調査年-J94+1),
調査年-J94)))</f>
        <v>0</v>
      </c>
      <c r="AG94" s="788">
        <f t="shared" si="27"/>
        <v>0</v>
      </c>
      <c r="AH94" s="788">
        <f t="shared" si="28"/>
        <v>0</v>
      </c>
      <c r="AI94" s="788">
        <f t="shared" si="29"/>
        <v>0</v>
      </c>
      <c r="AJ94" s="788">
        <f t="shared" si="30"/>
        <v>0</v>
      </c>
      <c r="AK94" s="477"/>
      <c r="AL94" s="788">
        <f>IF(OR(R94=0,AH94=""),,
IF(OR(リスト!$C$21="小麦",リスト!$C$21="二条大麦",リスト!$C$21="六条大麦",リスト!$C$21="はだか麦",リスト!$C$21="なたね"),IF(OR(AND(K94&lt;9,J94=調査年),AND(K94&gt;=9,J94=調査年-1)),,ROUND(AH94*R94%,0)),
IF(リスト!$C$21="さとうきび",IF(OR(AND(K94&gt;=4,J94=調査年),AND(K94&lt;4,J94=調査年+1)),,ROUND(AH94*R94%,0)),
IF(J94=調査年,,ROUND(AH94*R94%,0)))))</f>
        <v>0</v>
      </c>
      <c r="AM94" s="788">
        <f t="shared" si="31"/>
        <v>0</v>
      </c>
      <c r="AN94" s="788">
        <f t="shared" si="32"/>
        <v>0</v>
      </c>
      <c r="AO94" s="788">
        <f t="shared" si="33"/>
        <v>0</v>
      </c>
      <c r="AP94" s="788">
        <f>IF(R94=0,,
SUM(
IF(OR(リスト!$C$21="小麦",リスト!$C$21="二条大麦",リスト!$C$21="六条大麦",リスト!$C$21="はだか麦",リスト!$C$21="なたね"),IF(OR(AND(AA94=1,K94&lt;9,J94=調査年),AND(AA94=1,K94&gt;=9,J94=調査年-1)),ROUND(L94*R94%,0),),
IF(リスト!$C$21="さとうきび",IF(OR(AND(AA94=1,K94&gt;=4,J94=調査年),AND(AA94=1,K94&lt;4,J94=調査年+1)),ROUND(L94*R94%,0),),
IF(AND(AA94=1,J94=調査年),ROUND(L94*R94%,0),))),
ROUND(M94*R94%,0)
))</f>
        <v>0</v>
      </c>
      <c r="AQ94" s="788">
        <f t="shared" si="34"/>
        <v>0</v>
      </c>
      <c r="AR94" s="788">
        <f t="shared" si="35"/>
        <v>0</v>
      </c>
      <c r="AS94" s="788">
        <f t="shared" si="39"/>
        <v>0</v>
      </c>
      <c r="AT94" s="788">
        <f t="shared" si="40"/>
        <v>0</v>
      </c>
      <c r="AU94" s="788">
        <f t="shared" si="36"/>
        <v>0</v>
      </c>
      <c r="AV94" s="788">
        <f t="shared" si="37"/>
        <v>0</v>
      </c>
      <c r="AW94" s="841">
        <f t="shared" si="38"/>
        <v>0</v>
      </c>
      <c r="AX94" s="842"/>
      <c r="AY94" s="842"/>
    </row>
    <row r="95" spans="3:51" s="55" customFormat="1" ht="30.75" hidden="1" customHeight="1" outlineLevel="1">
      <c r="C95" s="843">
        <v>78</v>
      </c>
      <c r="D95" s="803"/>
      <c r="E95" s="844"/>
      <c r="F95" s="845"/>
      <c r="G95" s="2281"/>
      <c r="H95" s="2282"/>
      <c r="I95" s="851"/>
      <c r="J95" s="846"/>
      <c r="K95" s="796"/>
      <c r="L95" s="797"/>
      <c r="M95" s="797"/>
      <c r="N95" s="797"/>
      <c r="O95" s="797"/>
      <c r="P95" s="797"/>
      <c r="Q95" s="797"/>
      <c r="R95" s="1284"/>
      <c r="S95" s="798"/>
      <c r="T95" s="847"/>
      <c r="U95" s="848"/>
      <c r="V95" s="837"/>
      <c r="W95" s="849"/>
      <c r="X95" s="850"/>
      <c r="Y95" s="174"/>
      <c r="Z95" s="786">
        <f t="shared" si="23"/>
        <v>0</v>
      </c>
      <c r="AA95" s="786">
        <f t="shared" si="24"/>
        <v>0</v>
      </c>
      <c r="AB95" s="786">
        <f t="shared" si="25"/>
        <v>0</v>
      </c>
      <c r="AC95" s="786">
        <f>IF(Z95=0,,VLOOKUP(Z95,リスト!DC:DD,2,0))</f>
        <v>0</v>
      </c>
      <c r="AD95" s="786">
        <f t="shared" si="26"/>
        <v>0</v>
      </c>
      <c r="AE95" s="787">
        <f>IF(AD95=0,,VLOOKUP(AD95,リスト!DK:DL,2,0))</f>
        <v>0</v>
      </c>
      <c r="AF95" s="786">
        <f>IF(Z95=0,,
IF(OR(リスト!$C$21="小麦",リスト!$C$21="二条大麦",リスト!$C$21="六条大麦",リスト!$C$21="はだか麦",リスト!$C$21="なたね"),IF(K95&lt;9,調査年-J95,調査年-J95-1),
IF(リスト!$C$21="さとうきび",IF(K95&gt;=4,調査年-J95,調査年-J95+1),
調査年-J95)))</f>
        <v>0</v>
      </c>
      <c r="AG95" s="788">
        <f t="shared" si="27"/>
        <v>0</v>
      </c>
      <c r="AH95" s="788">
        <f t="shared" si="28"/>
        <v>0</v>
      </c>
      <c r="AI95" s="788">
        <f t="shared" si="29"/>
        <v>0</v>
      </c>
      <c r="AJ95" s="788">
        <f t="shared" si="30"/>
        <v>0</v>
      </c>
      <c r="AK95" s="477"/>
      <c r="AL95" s="788">
        <f>IF(OR(R95=0,AH95=""),,
IF(OR(リスト!$C$21="小麦",リスト!$C$21="二条大麦",リスト!$C$21="六条大麦",リスト!$C$21="はだか麦",リスト!$C$21="なたね"),IF(OR(AND(K95&lt;9,J95=調査年),AND(K95&gt;=9,J95=調査年-1)),,ROUND(AH95*R95%,0)),
IF(リスト!$C$21="さとうきび",IF(OR(AND(K95&gt;=4,J95=調査年),AND(K95&lt;4,J95=調査年+1)),,ROUND(AH95*R95%,0)),
IF(J95=調査年,,ROUND(AH95*R95%,0)))))</f>
        <v>0</v>
      </c>
      <c r="AM95" s="788">
        <f t="shared" si="31"/>
        <v>0</v>
      </c>
      <c r="AN95" s="788">
        <f t="shared" si="32"/>
        <v>0</v>
      </c>
      <c r="AO95" s="788">
        <f t="shared" si="33"/>
        <v>0</v>
      </c>
      <c r="AP95" s="788">
        <f>IF(R95=0,,
SUM(
IF(OR(リスト!$C$21="小麦",リスト!$C$21="二条大麦",リスト!$C$21="六条大麦",リスト!$C$21="はだか麦",リスト!$C$21="なたね"),IF(OR(AND(AA95=1,K95&lt;9,J95=調査年),AND(AA95=1,K95&gt;=9,J95=調査年-1)),ROUND(L95*R95%,0),),
IF(リスト!$C$21="さとうきび",IF(OR(AND(AA95=1,K95&gt;=4,J95=調査年),AND(AA95=1,K95&lt;4,J95=調査年+1)),ROUND(L95*R95%,0),),
IF(AND(AA95=1,J95=調査年),ROUND(L95*R95%,0),))),
ROUND(M95*R95%,0)
))</f>
        <v>0</v>
      </c>
      <c r="AQ95" s="788">
        <f t="shared" si="34"/>
        <v>0</v>
      </c>
      <c r="AR95" s="788">
        <f t="shared" si="35"/>
        <v>0</v>
      </c>
      <c r="AS95" s="788">
        <f t="shared" si="39"/>
        <v>0</v>
      </c>
      <c r="AT95" s="788">
        <f t="shared" si="40"/>
        <v>0</v>
      </c>
      <c r="AU95" s="788">
        <f t="shared" si="36"/>
        <v>0</v>
      </c>
      <c r="AV95" s="788">
        <f t="shared" si="37"/>
        <v>0</v>
      </c>
      <c r="AW95" s="841">
        <f t="shared" si="38"/>
        <v>0</v>
      </c>
      <c r="AX95" s="842"/>
      <c r="AY95" s="842"/>
    </row>
    <row r="96" spans="3:51" s="55" customFormat="1" ht="30.75" hidden="1" customHeight="1" outlineLevel="1">
      <c r="C96" s="843">
        <v>79</v>
      </c>
      <c r="D96" s="803"/>
      <c r="E96" s="844"/>
      <c r="F96" s="845"/>
      <c r="G96" s="2281"/>
      <c r="H96" s="2282"/>
      <c r="I96" s="851"/>
      <c r="J96" s="846"/>
      <c r="K96" s="796"/>
      <c r="L96" s="797"/>
      <c r="M96" s="797"/>
      <c r="N96" s="797"/>
      <c r="O96" s="797"/>
      <c r="P96" s="797"/>
      <c r="Q96" s="797"/>
      <c r="R96" s="1284"/>
      <c r="S96" s="798"/>
      <c r="T96" s="847"/>
      <c r="U96" s="848"/>
      <c r="V96" s="837"/>
      <c r="W96" s="849"/>
      <c r="X96" s="850"/>
      <c r="Y96" s="174"/>
      <c r="Z96" s="786">
        <f t="shared" si="23"/>
        <v>0</v>
      </c>
      <c r="AA96" s="786">
        <f t="shared" si="24"/>
        <v>0</v>
      </c>
      <c r="AB96" s="786">
        <f t="shared" si="25"/>
        <v>0</v>
      </c>
      <c r="AC96" s="786">
        <f>IF(Z96=0,,VLOOKUP(Z96,リスト!DC:DD,2,0))</f>
        <v>0</v>
      </c>
      <c r="AD96" s="786">
        <f t="shared" si="26"/>
        <v>0</v>
      </c>
      <c r="AE96" s="787">
        <f>IF(AD96=0,,VLOOKUP(AD96,リスト!DK:DL,2,0))</f>
        <v>0</v>
      </c>
      <c r="AF96" s="786">
        <f>IF(Z96=0,,
IF(OR(リスト!$C$21="小麦",リスト!$C$21="二条大麦",リスト!$C$21="六条大麦",リスト!$C$21="はだか麦",リスト!$C$21="なたね"),IF(K96&lt;9,調査年-J96,調査年-J96-1),
IF(リスト!$C$21="さとうきび",IF(K96&gt;=4,調査年-J96,調査年-J96+1),
調査年-J96)))</f>
        <v>0</v>
      </c>
      <c r="AG96" s="788">
        <f t="shared" si="27"/>
        <v>0</v>
      </c>
      <c r="AH96" s="788">
        <f t="shared" si="28"/>
        <v>0</v>
      </c>
      <c r="AI96" s="788">
        <f t="shared" si="29"/>
        <v>0</v>
      </c>
      <c r="AJ96" s="788">
        <f t="shared" si="30"/>
        <v>0</v>
      </c>
      <c r="AK96" s="477"/>
      <c r="AL96" s="788">
        <f>IF(OR(R96=0,AH96=""),,
IF(OR(リスト!$C$21="小麦",リスト!$C$21="二条大麦",リスト!$C$21="六条大麦",リスト!$C$21="はだか麦",リスト!$C$21="なたね"),IF(OR(AND(K96&lt;9,J96=調査年),AND(K96&gt;=9,J96=調査年-1)),,ROUND(AH96*R96%,0)),
IF(リスト!$C$21="さとうきび",IF(OR(AND(K96&gt;=4,J96=調査年),AND(K96&lt;4,J96=調査年+1)),,ROUND(AH96*R96%,0)),
IF(J96=調査年,,ROUND(AH96*R96%,0)))))</f>
        <v>0</v>
      </c>
      <c r="AM96" s="788">
        <f t="shared" si="31"/>
        <v>0</v>
      </c>
      <c r="AN96" s="788">
        <f t="shared" si="32"/>
        <v>0</v>
      </c>
      <c r="AO96" s="788">
        <f t="shared" si="33"/>
        <v>0</v>
      </c>
      <c r="AP96" s="788">
        <f>IF(R96=0,,
SUM(
IF(OR(リスト!$C$21="小麦",リスト!$C$21="二条大麦",リスト!$C$21="六条大麦",リスト!$C$21="はだか麦",リスト!$C$21="なたね"),IF(OR(AND(AA96=1,K96&lt;9,J96=調査年),AND(AA96=1,K96&gt;=9,J96=調査年-1)),ROUND(L96*R96%,0),),
IF(リスト!$C$21="さとうきび",IF(OR(AND(AA96=1,K96&gt;=4,J96=調査年),AND(AA96=1,K96&lt;4,J96=調査年+1)),ROUND(L96*R96%,0),),
IF(AND(AA96=1,J96=調査年),ROUND(L96*R96%,0),))),
ROUND(M96*R96%,0)
))</f>
        <v>0</v>
      </c>
      <c r="AQ96" s="788">
        <f t="shared" si="34"/>
        <v>0</v>
      </c>
      <c r="AR96" s="788">
        <f t="shared" si="35"/>
        <v>0</v>
      </c>
      <c r="AS96" s="788">
        <f t="shared" si="39"/>
        <v>0</v>
      </c>
      <c r="AT96" s="788">
        <f t="shared" si="40"/>
        <v>0</v>
      </c>
      <c r="AU96" s="788">
        <f t="shared" si="36"/>
        <v>0</v>
      </c>
      <c r="AV96" s="788">
        <f t="shared" si="37"/>
        <v>0</v>
      </c>
      <c r="AW96" s="841">
        <f t="shared" si="38"/>
        <v>0</v>
      </c>
      <c r="AX96" s="842"/>
      <c r="AY96" s="842"/>
    </row>
    <row r="97" spans="3:51" s="55" customFormat="1" ht="30.75" hidden="1" customHeight="1" outlineLevel="1">
      <c r="C97" s="843">
        <v>80</v>
      </c>
      <c r="D97" s="803"/>
      <c r="E97" s="844"/>
      <c r="F97" s="845"/>
      <c r="G97" s="2281"/>
      <c r="H97" s="2282"/>
      <c r="I97" s="851"/>
      <c r="J97" s="846"/>
      <c r="K97" s="796"/>
      <c r="L97" s="797"/>
      <c r="M97" s="797"/>
      <c r="N97" s="797"/>
      <c r="O97" s="797"/>
      <c r="P97" s="797"/>
      <c r="Q97" s="797"/>
      <c r="R97" s="1284"/>
      <c r="S97" s="798"/>
      <c r="T97" s="847"/>
      <c r="U97" s="848"/>
      <c r="V97" s="837"/>
      <c r="W97" s="849"/>
      <c r="X97" s="850"/>
      <c r="Y97" s="174"/>
      <c r="Z97" s="786">
        <f t="shared" si="23"/>
        <v>0</v>
      </c>
      <c r="AA97" s="786">
        <f t="shared" si="24"/>
        <v>0</v>
      </c>
      <c r="AB97" s="786">
        <f t="shared" si="25"/>
        <v>0</v>
      </c>
      <c r="AC97" s="786">
        <f>IF(Z97=0,,VLOOKUP(Z97,リスト!DC:DD,2,0))</f>
        <v>0</v>
      </c>
      <c r="AD97" s="786">
        <f t="shared" si="26"/>
        <v>0</v>
      </c>
      <c r="AE97" s="787">
        <f>IF(AD97=0,,VLOOKUP(AD97,リスト!DK:DL,2,0))</f>
        <v>0</v>
      </c>
      <c r="AF97" s="786">
        <f>IF(Z97=0,,
IF(OR(リスト!$C$21="小麦",リスト!$C$21="二条大麦",リスト!$C$21="六条大麦",リスト!$C$21="はだか麦",リスト!$C$21="なたね"),IF(K97&lt;9,調査年-J97,調査年-J97-1),
IF(リスト!$C$21="さとうきび",IF(K97&gt;=4,調査年-J97,調査年-J97+1),
調査年-J97)))</f>
        <v>0</v>
      </c>
      <c r="AG97" s="788">
        <f t="shared" si="27"/>
        <v>0</v>
      </c>
      <c r="AH97" s="788">
        <f t="shared" si="28"/>
        <v>0</v>
      </c>
      <c r="AI97" s="788">
        <f t="shared" si="29"/>
        <v>0</v>
      </c>
      <c r="AJ97" s="788">
        <f t="shared" si="30"/>
        <v>0</v>
      </c>
      <c r="AK97" s="477"/>
      <c r="AL97" s="788">
        <f>IF(OR(R97=0,AH97=""),,
IF(OR(リスト!$C$21="小麦",リスト!$C$21="二条大麦",リスト!$C$21="六条大麦",リスト!$C$21="はだか麦",リスト!$C$21="なたね"),IF(OR(AND(K97&lt;9,J97=調査年),AND(K97&gt;=9,J97=調査年-1)),,ROUND(AH97*R97%,0)),
IF(リスト!$C$21="さとうきび",IF(OR(AND(K97&gt;=4,J97=調査年),AND(K97&lt;4,J97=調査年+1)),,ROUND(AH97*R97%,0)),
IF(J97=調査年,,ROUND(AH97*R97%,0)))))</f>
        <v>0</v>
      </c>
      <c r="AM97" s="788">
        <f t="shared" si="31"/>
        <v>0</v>
      </c>
      <c r="AN97" s="788">
        <f t="shared" si="32"/>
        <v>0</v>
      </c>
      <c r="AO97" s="788">
        <f t="shared" si="33"/>
        <v>0</v>
      </c>
      <c r="AP97" s="788">
        <f>IF(R97=0,,
SUM(
IF(OR(リスト!$C$21="小麦",リスト!$C$21="二条大麦",リスト!$C$21="六条大麦",リスト!$C$21="はだか麦",リスト!$C$21="なたね"),IF(OR(AND(AA97=1,K97&lt;9,J97=調査年),AND(AA97=1,K97&gt;=9,J97=調査年-1)),ROUND(L97*R97%,0),),
IF(リスト!$C$21="さとうきび",IF(OR(AND(AA97=1,K97&gt;=4,J97=調査年),AND(AA97=1,K97&lt;4,J97=調査年+1)),ROUND(L97*R97%,0),),
IF(AND(AA97=1,J97=調査年),ROUND(L97*R97%,0),))),
ROUND(M97*R97%,0)
))</f>
        <v>0</v>
      </c>
      <c r="AQ97" s="788">
        <f t="shared" si="34"/>
        <v>0</v>
      </c>
      <c r="AR97" s="788">
        <f t="shared" si="35"/>
        <v>0</v>
      </c>
      <c r="AS97" s="788">
        <f t="shared" si="39"/>
        <v>0</v>
      </c>
      <c r="AT97" s="788">
        <f t="shared" si="40"/>
        <v>0</v>
      </c>
      <c r="AU97" s="788">
        <f t="shared" si="36"/>
        <v>0</v>
      </c>
      <c r="AV97" s="788">
        <f t="shared" si="37"/>
        <v>0</v>
      </c>
      <c r="AW97" s="841">
        <f t="shared" si="38"/>
        <v>0</v>
      </c>
      <c r="AX97" s="842"/>
      <c r="AY97" s="842"/>
    </row>
    <row r="98" spans="3:51" s="55" customFormat="1" ht="30.75" hidden="1" customHeight="1" outlineLevel="1">
      <c r="C98" s="843">
        <v>81</v>
      </c>
      <c r="D98" s="803"/>
      <c r="E98" s="853"/>
      <c r="F98" s="854"/>
      <c r="G98" s="2287"/>
      <c r="H98" s="2288"/>
      <c r="I98" s="855"/>
      <c r="J98" s="856"/>
      <c r="K98" s="857"/>
      <c r="L98" s="858"/>
      <c r="M98" s="858"/>
      <c r="N98" s="858"/>
      <c r="O98" s="858"/>
      <c r="P98" s="858"/>
      <c r="Q98" s="858"/>
      <c r="R98" s="1284"/>
      <c r="S98" s="859"/>
      <c r="T98" s="860"/>
      <c r="U98" s="861"/>
      <c r="V98" s="837"/>
      <c r="W98" s="849"/>
      <c r="X98" s="850"/>
      <c r="Y98" s="174"/>
      <c r="Z98" s="786">
        <f t="shared" si="23"/>
        <v>0</v>
      </c>
      <c r="AA98" s="786">
        <f t="shared" si="24"/>
        <v>0</v>
      </c>
      <c r="AB98" s="786">
        <f t="shared" si="25"/>
        <v>0</v>
      </c>
      <c r="AC98" s="786">
        <f>IF(Z98=0,,VLOOKUP(Z98,リスト!DC:DD,2,0))</f>
        <v>0</v>
      </c>
      <c r="AD98" s="786">
        <f t="shared" si="26"/>
        <v>0</v>
      </c>
      <c r="AE98" s="787">
        <f>IF(AD98=0,,VLOOKUP(AD98,リスト!DK:DL,2,0))</f>
        <v>0</v>
      </c>
      <c r="AF98" s="786">
        <f>IF(Z98=0,,
IF(OR(リスト!$C$21="小麦",リスト!$C$21="二条大麦",リスト!$C$21="六条大麦",リスト!$C$21="はだか麦",リスト!$C$21="なたね"),IF(K98&lt;9,調査年-J98,調査年-J98-1),
IF(リスト!$C$21="さとうきび",IF(K98&gt;=4,調査年-J98,調査年-J98+1),
調査年-J98)))</f>
        <v>0</v>
      </c>
      <c r="AG98" s="788">
        <f t="shared" si="27"/>
        <v>0</v>
      </c>
      <c r="AH98" s="788">
        <f t="shared" si="28"/>
        <v>0</v>
      </c>
      <c r="AI98" s="788">
        <f t="shared" si="29"/>
        <v>0</v>
      </c>
      <c r="AJ98" s="788">
        <f t="shared" si="30"/>
        <v>0</v>
      </c>
      <c r="AK98" s="477"/>
      <c r="AL98" s="788">
        <f>IF(OR(R98=0,AH98=""),,
IF(OR(リスト!$C$21="小麦",リスト!$C$21="二条大麦",リスト!$C$21="六条大麦",リスト!$C$21="はだか麦",リスト!$C$21="なたね"),IF(OR(AND(K98&lt;9,J98=調査年),AND(K98&gt;=9,J98=調査年-1)),,ROUND(AH98*R98%,0)),
IF(リスト!$C$21="さとうきび",IF(OR(AND(K98&gt;=4,J98=調査年),AND(K98&lt;4,J98=調査年+1)),,ROUND(AH98*R98%,0)),
IF(J98=調査年,,ROUND(AH98*R98%,0)))))</f>
        <v>0</v>
      </c>
      <c r="AM98" s="788">
        <f t="shared" si="31"/>
        <v>0</v>
      </c>
      <c r="AN98" s="788">
        <f t="shared" si="32"/>
        <v>0</v>
      </c>
      <c r="AO98" s="788">
        <f t="shared" si="33"/>
        <v>0</v>
      </c>
      <c r="AP98" s="788">
        <f>IF(R98=0,,
SUM(
IF(OR(リスト!$C$21="小麦",リスト!$C$21="二条大麦",リスト!$C$21="六条大麦",リスト!$C$21="はだか麦",リスト!$C$21="なたね"),IF(OR(AND(AA98=1,K98&lt;9,J98=調査年),AND(AA98=1,K98&gt;=9,J98=調査年-1)),ROUND(L98*R98%,0),),
IF(リスト!$C$21="さとうきび",IF(OR(AND(AA98=1,K98&gt;=4,J98=調査年),AND(AA98=1,K98&lt;4,J98=調査年+1)),ROUND(L98*R98%,0),),
IF(AND(AA98=1,J98=調査年),ROUND(L98*R98%,0),))),
ROUND(M98*R98%,0)
))</f>
        <v>0</v>
      </c>
      <c r="AQ98" s="788">
        <f t="shared" si="34"/>
        <v>0</v>
      </c>
      <c r="AR98" s="788">
        <f t="shared" si="35"/>
        <v>0</v>
      </c>
      <c r="AS98" s="788">
        <f t="shared" si="39"/>
        <v>0</v>
      </c>
      <c r="AT98" s="788">
        <f t="shared" si="40"/>
        <v>0</v>
      </c>
      <c r="AU98" s="788">
        <f t="shared" si="36"/>
        <v>0</v>
      </c>
      <c r="AV98" s="788">
        <f t="shared" si="37"/>
        <v>0</v>
      </c>
      <c r="AW98" s="841">
        <f t="shared" si="38"/>
        <v>0</v>
      </c>
      <c r="AX98" s="842"/>
      <c r="AY98" s="842"/>
    </row>
    <row r="99" spans="3:51" s="55" customFormat="1" ht="30.75" hidden="1" customHeight="1" outlineLevel="1">
      <c r="C99" s="843">
        <v>82</v>
      </c>
      <c r="D99" s="803"/>
      <c r="E99" s="844"/>
      <c r="F99" s="845"/>
      <c r="G99" s="2281"/>
      <c r="H99" s="2282"/>
      <c r="I99" s="851"/>
      <c r="J99" s="846"/>
      <c r="K99" s="796"/>
      <c r="L99" s="797"/>
      <c r="M99" s="797"/>
      <c r="N99" s="797"/>
      <c r="O99" s="797"/>
      <c r="P99" s="797"/>
      <c r="Q99" s="797"/>
      <c r="R99" s="1284"/>
      <c r="S99" s="798"/>
      <c r="T99" s="847"/>
      <c r="U99" s="848"/>
      <c r="V99" s="837"/>
      <c r="W99" s="849"/>
      <c r="X99" s="850"/>
      <c r="Y99" s="174"/>
      <c r="Z99" s="786">
        <f t="shared" si="23"/>
        <v>0</v>
      </c>
      <c r="AA99" s="786">
        <f t="shared" si="24"/>
        <v>0</v>
      </c>
      <c r="AB99" s="786">
        <f t="shared" si="25"/>
        <v>0</v>
      </c>
      <c r="AC99" s="786">
        <f>IF(Z99=0,,VLOOKUP(Z99,リスト!DC:DD,2,0))</f>
        <v>0</v>
      </c>
      <c r="AD99" s="786">
        <f t="shared" si="26"/>
        <v>0</v>
      </c>
      <c r="AE99" s="787">
        <f>IF(AD99=0,,VLOOKUP(AD99,リスト!DK:DL,2,0))</f>
        <v>0</v>
      </c>
      <c r="AF99" s="786">
        <f>IF(Z99=0,,
IF(OR(リスト!$C$21="小麦",リスト!$C$21="二条大麦",リスト!$C$21="六条大麦",リスト!$C$21="はだか麦",リスト!$C$21="なたね"),IF(K99&lt;9,調査年-J99,調査年-J99-1),
IF(リスト!$C$21="さとうきび",IF(K99&gt;=4,調査年-J99,調査年-J99+1),
調査年-J99)))</f>
        <v>0</v>
      </c>
      <c r="AG99" s="788">
        <f t="shared" si="27"/>
        <v>0</v>
      </c>
      <c r="AH99" s="788">
        <f t="shared" si="28"/>
        <v>0</v>
      </c>
      <c r="AI99" s="788">
        <f t="shared" si="29"/>
        <v>0</v>
      </c>
      <c r="AJ99" s="788">
        <f t="shared" si="30"/>
        <v>0</v>
      </c>
      <c r="AK99" s="477"/>
      <c r="AL99" s="788">
        <f>IF(OR(R99=0,AH99=""),,
IF(OR(リスト!$C$21="小麦",リスト!$C$21="二条大麦",リスト!$C$21="六条大麦",リスト!$C$21="はだか麦",リスト!$C$21="なたね"),IF(OR(AND(K99&lt;9,J99=調査年),AND(K99&gt;=9,J99=調査年-1)),,ROUND(AH99*R99%,0)),
IF(リスト!$C$21="さとうきび",IF(OR(AND(K99&gt;=4,J99=調査年),AND(K99&lt;4,J99=調査年+1)),,ROUND(AH99*R99%,0)),
IF(J99=調査年,,ROUND(AH99*R99%,0)))))</f>
        <v>0</v>
      </c>
      <c r="AM99" s="788">
        <f t="shared" si="31"/>
        <v>0</v>
      </c>
      <c r="AN99" s="788">
        <f t="shared" si="32"/>
        <v>0</v>
      </c>
      <c r="AO99" s="788">
        <f t="shared" si="33"/>
        <v>0</v>
      </c>
      <c r="AP99" s="788">
        <f>IF(R99=0,,
SUM(
IF(OR(リスト!$C$21="小麦",リスト!$C$21="二条大麦",リスト!$C$21="六条大麦",リスト!$C$21="はだか麦",リスト!$C$21="なたね"),IF(OR(AND(AA99=1,K99&lt;9,J99=調査年),AND(AA99=1,K99&gt;=9,J99=調査年-1)),ROUND(L99*R99%,0),),
IF(リスト!$C$21="さとうきび",IF(OR(AND(AA99=1,K99&gt;=4,J99=調査年),AND(AA99=1,K99&lt;4,J99=調査年+1)),ROUND(L99*R99%,0),),
IF(AND(AA99=1,J99=調査年),ROUND(L99*R99%,0),))),
ROUND(M99*R99%,0)
))</f>
        <v>0</v>
      </c>
      <c r="AQ99" s="788">
        <f t="shared" si="34"/>
        <v>0</v>
      </c>
      <c r="AR99" s="788">
        <f t="shared" si="35"/>
        <v>0</v>
      </c>
      <c r="AS99" s="788">
        <f t="shared" si="39"/>
        <v>0</v>
      </c>
      <c r="AT99" s="788">
        <f t="shared" si="40"/>
        <v>0</v>
      </c>
      <c r="AU99" s="788">
        <f t="shared" si="36"/>
        <v>0</v>
      </c>
      <c r="AV99" s="788">
        <f t="shared" si="37"/>
        <v>0</v>
      </c>
      <c r="AW99" s="841">
        <f t="shared" si="38"/>
        <v>0</v>
      </c>
      <c r="AX99" s="842"/>
      <c r="AY99" s="842"/>
    </row>
    <row r="100" spans="3:51" s="55" customFormat="1" ht="30.75" hidden="1" customHeight="1" outlineLevel="1">
      <c r="C100" s="843">
        <v>83</v>
      </c>
      <c r="D100" s="803"/>
      <c r="E100" s="844"/>
      <c r="F100" s="845"/>
      <c r="G100" s="2281"/>
      <c r="H100" s="2282"/>
      <c r="I100" s="851"/>
      <c r="J100" s="846"/>
      <c r="K100" s="796"/>
      <c r="L100" s="797"/>
      <c r="M100" s="797"/>
      <c r="N100" s="797"/>
      <c r="O100" s="797"/>
      <c r="P100" s="797"/>
      <c r="Q100" s="797"/>
      <c r="R100" s="1284"/>
      <c r="S100" s="798"/>
      <c r="T100" s="847"/>
      <c r="U100" s="848"/>
      <c r="V100" s="837"/>
      <c r="W100" s="849"/>
      <c r="X100" s="850"/>
      <c r="Y100" s="174"/>
      <c r="Z100" s="786">
        <f t="shared" si="23"/>
        <v>0</v>
      </c>
      <c r="AA100" s="786">
        <f t="shared" si="24"/>
        <v>0</v>
      </c>
      <c r="AB100" s="786">
        <f t="shared" si="25"/>
        <v>0</v>
      </c>
      <c r="AC100" s="786">
        <f>IF(Z100=0,,VLOOKUP(Z100,リスト!DC:DD,2,0))</f>
        <v>0</v>
      </c>
      <c r="AD100" s="786">
        <f t="shared" si="26"/>
        <v>0</v>
      </c>
      <c r="AE100" s="787">
        <f>IF(AD100=0,,VLOOKUP(AD100,リスト!DK:DL,2,0))</f>
        <v>0</v>
      </c>
      <c r="AF100" s="786">
        <f>IF(Z100=0,,
IF(OR(リスト!$C$21="小麦",リスト!$C$21="二条大麦",リスト!$C$21="六条大麦",リスト!$C$21="はだか麦",リスト!$C$21="なたね"),IF(K100&lt;9,調査年-J100,調査年-J100-1),
IF(リスト!$C$21="さとうきび",IF(K100&gt;=4,調査年-J100,調査年-J100+1),
調査年-J100)))</f>
        <v>0</v>
      </c>
      <c r="AG100" s="788">
        <f t="shared" si="27"/>
        <v>0</v>
      </c>
      <c r="AH100" s="788">
        <f t="shared" si="28"/>
        <v>0</v>
      </c>
      <c r="AI100" s="788">
        <f t="shared" si="29"/>
        <v>0</v>
      </c>
      <c r="AJ100" s="788">
        <f t="shared" si="30"/>
        <v>0</v>
      </c>
      <c r="AK100" s="477"/>
      <c r="AL100" s="788">
        <f>IF(OR(R100=0,AH100=""),,
IF(OR(リスト!$C$21="小麦",リスト!$C$21="二条大麦",リスト!$C$21="六条大麦",リスト!$C$21="はだか麦",リスト!$C$21="なたね"),IF(OR(AND(K100&lt;9,J100=調査年),AND(K100&gt;=9,J100=調査年-1)),,ROUND(AH100*R100%,0)),
IF(リスト!$C$21="さとうきび",IF(OR(AND(K100&gt;=4,J100=調査年),AND(K100&lt;4,J100=調査年+1)),,ROUND(AH100*R100%,0)),
IF(J100=調査年,,ROUND(AH100*R100%,0)))))</f>
        <v>0</v>
      </c>
      <c r="AM100" s="788">
        <f t="shared" si="31"/>
        <v>0</v>
      </c>
      <c r="AN100" s="788">
        <f t="shared" si="32"/>
        <v>0</v>
      </c>
      <c r="AO100" s="788">
        <f t="shared" si="33"/>
        <v>0</v>
      </c>
      <c r="AP100" s="788">
        <f>IF(R100=0,,
SUM(
IF(OR(リスト!$C$21="小麦",リスト!$C$21="二条大麦",リスト!$C$21="六条大麦",リスト!$C$21="はだか麦",リスト!$C$21="なたね"),IF(OR(AND(AA100=1,K100&lt;9,J100=調査年),AND(AA100=1,K100&gt;=9,J100=調査年-1)),ROUND(L100*R100%,0),),
IF(リスト!$C$21="さとうきび",IF(OR(AND(AA100=1,K100&gt;=4,J100=調査年),AND(AA100=1,K100&lt;4,J100=調査年+1)),ROUND(L100*R100%,0),),
IF(AND(AA100=1,J100=調査年),ROUND(L100*R100%,0),))),
ROUND(M100*R100%,0)
))</f>
        <v>0</v>
      </c>
      <c r="AQ100" s="788">
        <f t="shared" si="34"/>
        <v>0</v>
      </c>
      <c r="AR100" s="788">
        <f t="shared" si="35"/>
        <v>0</v>
      </c>
      <c r="AS100" s="788">
        <f t="shared" si="39"/>
        <v>0</v>
      </c>
      <c r="AT100" s="788">
        <f t="shared" si="40"/>
        <v>0</v>
      </c>
      <c r="AU100" s="788">
        <f t="shared" si="36"/>
        <v>0</v>
      </c>
      <c r="AV100" s="788">
        <f t="shared" si="37"/>
        <v>0</v>
      </c>
      <c r="AW100" s="841">
        <f t="shared" si="38"/>
        <v>0</v>
      </c>
      <c r="AX100" s="842"/>
      <c r="AY100" s="842"/>
    </row>
    <row r="101" spans="3:51" s="55" customFormat="1" ht="30.75" hidden="1" customHeight="1" outlineLevel="1">
      <c r="C101" s="843">
        <v>84</v>
      </c>
      <c r="D101" s="803"/>
      <c r="E101" s="844"/>
      <c r="F101" s="845"/>
      <c r="G101" s="2281"/>
      <c r="H101" s="2282"/>
      <c r="I101" s="851"/>
      <c r="J101" s="846"/>
      <c r="K101" s="796"/>
      <c r="L101" s="797"/>
      <c r="M101" s="797"/>
      <c r="N101" s="797"/>
      <c r="O101" s="797"/>
      <c r="P101" s="797"/>
      <c r="Q101" s="797"/>
      <c r="R101" s="1284"/>
      <c r="S101" s="798"/>
      <c r="T101" s="847"/>
      <c r="U101" s="848"/>
      <c r="V101" s="837"/>
      <c r="W101" s="849"/>
      <c r="X101" s="850"/>
      <c r="Y101" s="174"/>
      <c r="Z101" s="786">
        <f t="shared" si="23"/>
        <v>0</v>
      </c>
      <c r="AA101" s="786">
        <f t="shared" si="24"/>
        <v>0</v>
      </c>
      <c r="AB101" s="786">
        <f t="shared" si="25"/>
        <v>0</v>
      </c>
      <c r="AC101" s="786">
        <f>IF(Z101=0,,VLOOKUP(Z101,リスト!DC:DD,2,0))</f>
        <v>0</v>
      </c>
      <c r="AD101" s="786">
        <f t="shared" si="26"/>
        <v>0</v>
      </c>
      <c r="AE101" s="787">
        <f>IF(AD101=0,,VLOOKUP(AD101,リスト!DK:DL,2,0))</f>
        <v>0</v>
      </c>
      <c r="AF101" s="786">
        <f>IF(Z101=0,,
IF(OR(リスト!$C$21="小麦",リスト!$C$21="二条大麦",リスト!$C$21="六条大麦",リスト!$C$21="はだか麦",リスト!$C$21="なたね"),IF(K101&lt;9,調査年-J101,調査年-J101-1),
IF(リスト!$C$21="さとうきび",IF(K101&gt;=4,調査年-J101,調査年-J101+1),
調査年-J101)))</f>
        <v>0</v>
      </c>
      <c r="AG101" s="788">
        <f t="shared" si="27"/>
        <v>0</v>
      </c>
      <c r="AH101" s="788">
        <f t="shared" si="28"/>
        <v>0</v>
      </c>
      <c r="AI101" s="788">
        <f t="shared" si="29"/>
        <v>0</v>
      </c>
      <c r="AJ101" s="788">
        <f t="shared" si="30"/>
        <v>0</v>
      </c>
      <c r="AK101" s="477"/>
      <c r="AL101" s="788">
        <f>IF(OR(R101=0,AH101=""),,
IF(OR(リスト!$C$21="小麦",リスト!$C$21="二条大麦",リスト!$C$21="六条大麦",リスト!$C$21="はだか麦",リスト!$C$21="なたね"),IF(OR(AND(K101&lt;9,J101=調査年),AND(K101&gt;=9,J101=調査年-1)),,ROUND(AH101*R101%,0)),
IF(リスト!$C$21="さとうきび",IF(OR(AND(K101&gt;=4,J101=調査年),AND(K101&lt;4,J101=調査年+1)),,ROUND(AH101*R101%,0)),
IF(J101=調査年,,ROUND(AH101*R101%,0)))))</f>
        <v>0</v>
      </c>
      <c r="AM101" s="788">
        <f t="shared" si="31"/>
        <v>0</v>
      </c>
      <c r="AN101" s="788">
        <f t="shared" si="32"/>
        <v>0</v>
      </c>
      <c r="AO101" s="788">
        <f t="shared" si="33"/>
        <v>0</v>
      </c>
      <c r="AP101" s="788">
        <f>IF(R101=0,,
SUM(
IF(OR(リスト!$C$21="小麦",リスト!$C$21="二条大麦",リスト!$C$21="六条大麦",リスト!$C$21="はだか麦",リスト!$C$21="なたね"),IF(OR(AND(AA101=1,K101&lt;9,J101=調査年),AND(AA101=1,K101&gt;=9,J101=調査年-1)),ROUND(L101*R101%,0),),
IF(リスト!$C$21="さとうきび",IF(OR(AND(AA101=1,K101&gt;=4,J101=調査年),AND(AA101=1,K101&lt;4,J101=調査年+1)),ROUND(L101*R101%,0),),
IF(AND(AA101=1,J101=調査年),ROUND(L101*R101%,0),))),
ROUND(M101*R101%,0)
))</f>
        <v>0</v>
      </c>
      <c r="AQ101" s="788">
        <f t="shared" si="34"/>
        <v>0</v>
      </c>
      <c r="AR101" s="788">
        <f t="shared" si="35"/>
        <v>0</v>
      </c>
      <c r="AS101" s="788">
        <f t="shared" si="39"/>
        <v>0</v>
      </c>
      <c r="AT101" s="788">
        <f t="shared" si="40"/>
        <v>0</v>
      </c>
      <c r="AU101" s="788">
        <f t="shared" si="36"/>
        <v>0</v>
      </c>
      <c r="AV101" s="788">
        <f t="shared" si="37"/>
        <v>0</v>
      </c>
      <c r="AW101" s="841">
        <f t="shared" si="38"/>
        <v>0</v>
      </c>
      <c r="AX101" s="842"/>
      <c r="AY101" s="842"/>
    </row>
    <row r="102" spans="3:51" s="55" customFormat="1" ht="30.75" hidden="1" customHeight="1" outlineLevel="1">
      <c r="C102" s="843">
        <v>85</v>
      </c>
      <c r="D102" s="803"/>
      <c r="E102" s="844"/>
      <c r="F102" s="845"/>
      <c r="G102" s="2281"/>
      <c r="H102" s="2282"/>
      <c r="I102" s="851"/>
      <c r="J102" s="846"/>
      <c r="K102" s="796"/>
      <c r="L102" s="797"/>
      <c r="M102" s="797"/>
      <c r="N102" s="797"/>
      <c r="O102" s="797"/>
      <c r="P102" s="797"/>
      <c r="Q102" s="797"/>
      <c r="R102" s="1284"/>
      <c r="S102" s="798"/>
      <c r="T102" s="847"/>
      <c r="U102" s="848"/>
      <c r="V102" s="837"/>
      <c r="W102" s="849"/>
      <c r="X102" s="850"/>
      <c r="Y102" s="174"/>
      <c r="Z102" s="786">
        <f t="shared" si="23"/>
        <v>0</v>
      </c>
      <c r="AA102" s="786">
        <f t="shared" si="24"/>
        <v>0</v>
      </c>
      <c r="AB102" s="786">
        <f t="shared" si="25"/>
        <v>0</v>
      </c>
      <c r="AC102" s="786">
        <f>IF(Z102=0,,VLOOKUP(Z102,リスト!DC:DD,2,0))</f>
        <v>0</v>
      </c>
      <c r="AD102" s="786">
        <f t="shared" si="26"/>
        <v>0</v>
      </c>
      <c r="AE102" s="787">
        <f>IF(AD102=0,,VLOOKUP(AD102,リスト!DK:DL,2,0))</f>
        <v>0</v>
      </c>
      <c r="AF102" s="786">
        <f>IF(Z102=0,,
IF(OR(リスト!$C$21="小麦",リスト!$C$21="二条大麦",リスト!$C$21="六条大麦",リスト!$C$21="はだか麦",リスト!$C$21="なたね"),IF(K102&lt;9,調査年-J102,調査年-J102-1),
IF(リスト!$C$21="さとうきび",IF(K102&gt;=4,調査年-J102,調査年-J102+1),
調査年-J102)))</f>
        <v>0</v>
      </c>
      <c r="AG102" s="788">
        <f t="shared" si="27"/>
        <v>0</v>
      </c>
      <c r="AH102" s="788">
        <f t="shared" si="28"/>
        <v>0</v>
      </c>
      <c r="AI102" s="788">
        <f t="shared" si="29"/>
        <v>0</v>
      </c>
      <c r="AJ102" s="788">
        <f t="shared" si="30"/>
        <v>0</v>
      </c>
      <c r="AK102" s="477"/>
      <c r="AL102" s="788">
        <f>IF(OR(R102=0,AH102=""),,
IF(OR(リスト!$C$21="小麦",リスト!$C$21="二条大麦",リスト!$C$21="六条大麦",リスト!$C$21="はだか麦",リスト!$C$21="なたね"),IF(OR(AND(K102&lt;9,J102=調査年),AND(K102&gt;=9,J102=調査年-1)),,ROUND(AH102*R102%,0)),
IF(リスト!$C$21="さとうきび",IF(OR(AND(K102&gt;=4,J102=調査年),AND(K102&lt;4,J102=調査年+1)),,ROUND(AH102*R102%,0)),
IF(J102=調査年,,ROUND(AH102*R102%,0)))))</f>
        <v>0</v>
      </c>
      <c r="AM102" s="788">
        <f t="shared" si="31"/>
        <v>0</v>
      </c>
      <c r="AN102" s="788">
        <f t="shared" si="32"/>
        <v>0</v>
      </c>
      <c r="AO102" s="788">
        <f t="shared" si="33"/>
        <v>0</v>
      </c>
      <c r="AP102" s="788">
        <f>IF(R102=0,,
SUM(
IF(OR(リスト!$C$21="小麦",リスト!$C$21="二条大麦",リスト!$C$21="六条大麦",リスト!$C$21="はだか麦",リスト!$C$21="なたね"),IF(OR(AND(AA102=1,K102&lt;9,J102=調査年),AND(AA102=1,K102&gt;=9,J102=調査年-1)),ROUND(L102*R102%,0),),
IF(リスト!$C$21="さとうきび",IF(OR(AND(AA102=1,K102&gt;=4,J102=調査年),AND(AA102=1,K102&lt;4,J102=調査年+1)),ROUND(L102*R102%,0),),
IF(AND(AA102=1,J102=調査年),ROUND(L102*R102%,0),))),
ROUND(M102*R102%,0)
))</f>
        <v>0</v>
      </c>
      <c r="AQ102" s="788">
        <f t="shared" si="34"/>
        <v>0</v>
      </c>
      <c r="AR102" s="788">
        <f t="shared" si="35"/>
        <v>0</v>
      </c>
      <c r="AS102" s="788">
        <f t="shared" si="39"/>
        <v>0</v>
      </c>
      <c r="AT102" s="788">
        <f t="shared" si="40"/>
        <v>0</v>
      </c>
      <c r="AU102" s="788">
        <f t="shared" si="36"/>
        <v>0</v>
      </c>
      <c r="AV102" s="788">
        <f t="shared" si="37"/>
        <v>0</v>
      </c>
      <c r="AW102" s="841">
        <f t="shared" si="38"/>
        <v>0</v>
      </c>
      <c r="AX102" s="842"/>
      <c r="AY102" s="842"/>
    </row>
    <row r="103" spans="3:51" s="55" customFormat="1" ht="30.75" hidden="1" customHeight="1" outlineLevel="1">
      <c r="C103" s="843">
        <v>86</v>
      </c>
      <c r="D103" s="803"/>
      <c r="E103" s="844"/>
      <c r="F103" s="845"/>
      <c r="G103" s="2281"/>
      <c r="H103" s="2282"/>
      <c r="I103" s="851"/>
      <c r="J103" s="846"/>
      <c r="K103" s="796"/>
      <c r="L103" s="797"/>
      <c r="M103" s="797"/>
      <c r="N103" s="797"/>
      <c r="O103" s="797"/>
      <c r="P103" s="797"/>
      <c r="Q103" s="797"/>
      <c r="R103" s="1284"/>
      <c r="S103" s="798"/>
      <c r="T103" s="847"/>
      <c r="U103" s="848"/>
      <c r="V103" s="837"/>
      <c r="W103" s="849"/>
      <c r="X103" s="850"/>
      <c r="Y103" s="174"/>
      <c r="Z103" s="786">
        <f t="shared" si="23"/>
        <v>0</v>
      </c>
      <c r="AA103" s="786">
        <f t="shared" si="24"/>
        <v>0</v>
      </c>
      <c r="AB103" s="786">
        <f t="shared" si="25"/>
        <v>0</v>
      </c>
      <c r="AC103" s="786">
        <f>IF(Z103=0,,VLOOKUP(Z103,リスト!DC:DD,2,0))</f>
        <v>0</v>
      </c>
      <c r="AD103" s="786">
        <f t="shared" si="26"/>
        <v>0</v>
      </c>
      <c r="AE103" s="787">
        <f>IF(AD103=0,,VLOOKUP(AD103,リスト!DK:DL,2,0))</f>
        <v>0</v>
      </c>
      <c r="AF103" s="786">
        <f>IF(Z103=0,,
IF(OR(リスト!$C$21="小麦",リスト!$C$21="二条大麦",リスト!$C$21="六条大麦",リスト!$C$21="はだか麦",リスト!$C$21="なたね"),IF(K103&lt;9,調査年-J103,調査年-J103-1),
IF(リスト!$C$21="さとうきび",IF(K103&gt;=4,調査年-J103,調査年-J103+1),
調査年-J103)))</f>
        <v>0</v>
      </c>
      <c r="AG103" s="788">
        <f t="shared" si="27"/>
        <v>0</v>
      </c>
      <c r="AH103" s="788">
        <f t="shared" si="28"/>
        <v>0</v>
      </c>
      <c r="AI103" s="788">
        <f t="shared" si="29"/>
        <v>0</v>
      </c>
      <c r="AJ103" s="788">
        <f t="shared" si="30"/>
        <v>0</v>
      </c>
      <c r="AK103" s="477"/>
      <c r="AL103" s="788">
        <f>IF(OR(R103=0,AH103=""),,
IF(OR(リスト!$C$21="小麦",リスト!$C$21="二条大麦",リスト!$C$21="六条大麦",リスト!$C$21="はだか麦",リスト!$C$21="なたね"),IF(OR(AND(K103&lt;9,J103=調査年),AND(K103&gt;=9,J103=調査年-1)),,ROUND(AH103*R103%,0)),
IF(リスト!$C$21="さとうきび",IF(OR(AND(K103&gt;=4,J103=調査年),AND(K103&lt;4,J103=調査年+1)),,ROUND(AH103*R103%,0)),
IF(J103=調査年,,ROUND(AH103*R103%,0)))))</f>
        <v>0</v>
      </c>
      <c r="AM103" s="788">
        <f t="shared" si="31"/>
        <v>0</v>
      </c>
      <c r="AN103" s="788">
        <f t="shared" si="32"/>
        <v>0</v>
      </c>
      <c r="AO103" s="788">
        <f t="shared" si="33"/>
        <v>0</v>
      </c>
      <c r="AP103" s="788">
        <f>IF(R103=0,,
SUM(
IF(OR(リスト!$C$21="小麦",リスト!$C$21="二条大麦",リスト!$C$21="六条大麦",リスト!$C$21="はだか麦",リスト!$C$21="なたね"),IF(OR(AND(AA103=1,K103&lt;9,J103=調査年),AND(AA103=1,K103&gt;=9,J103=調査年-1)),ROUND(L103*R103%,0),),
IF(リスト!$C$21="さとうきび",IF(OR(AND(AA103=1,K103&gt;=4,J103=調査年),AND(AA103=1,K103&lt;4,J103=調査年+1)),ROUND(L103*R103%,0),),
IF(AND(AA103=1,J103=調査年),ROUND(L103*R103%,0),))),
ROUND(M103*R103%,0)
))</f>
        <v>0</v>
      </c>
      <c r="AQ103" s="788">
        <f t="shared" si="34"/>
        <v>0</v>
      </c>
      <c r="AR103" s="788">
        <f t="shared" si="35"/>
        <v>0</v>
      </c>
      <c r="AS103" s="788">
        <f t="shared" si="39"/>
        <v>0</v>
      </c>
      <c r="AT103" s="788">
        <f t="shared" si="40"/>
        <v>0</v>
      </c>
      <c r="AU103" s="788">
        <f t="shared" si="36"/>
        <v>0</v>
      </c>
      <c r="AV103" s="788">
        <f t="shared" si="37"/>
        <v>0</v>
      </c>
      <c r="AW103" s="841">
        <f t="shared" si="38"/>
        <v>0</v>
      </c>
      <c r="AX103" s="842"/>
      <c r="AY103" s="842"/>
    </row>
    <row r="104" spans="3:51" s="55" customFormat="1" ht="30.75" hidden="1" customHeight="1" outlineLevel="1">
      <c r="C104" s="843">
        <v>87</v>
      </c>
      <c r="D104" s="803"/>
      <c r="E104" s="844"/>
      <c r="F104" s="845"/>
      <c r="G104" s="2281"/>
      <c r="H104" s="2282"/>
      <c r="I104" s="851"/>
      <c r="J104" s="846"/>
      <c r="K104" s="796"/>
      <c r="L104" s="797"/>
      <c r="M104" s="797"/>
      <c r="N104" s="797"/>
      <c r="O104" s="797"/>
      <c r="P104" s="797"/>
      <c r="Q104" s="797"/>
      <c r="R104" s="1284"/>
      <c r="S104" s="798"/>
      <c r="T104" s="847"/>
      <c r="U104" s="848"/>
      <c r="V104" s="837"/>
      <c r="W104" s="849"/>
      <c r="X104" s="850"/>
      <c r="Y104" s="174"/>
      <c r="Z104" s="786">
        <f t="shared" si="23"/>
        <v>0</v>
      </c>
      <c r="AA104" s="786">
        <f t="shared" si="24"/>
        <v>0</v>
      </c>
      <c r="AB104" s="786">
        <f t="shared" si="25"/>
        <v>0</v>
      </c>
      <c r="AC104" s="786">
        <f>IF(Z104=0,,VLOOKUP(Z104,リスト!DC:DD,2,0))</f>
        <v>0</v>
      </c>
      <c r="AD104" s="786">
        <f t="shared" si="26"/>
        <v>0</v>
      </c>
      <c r="AE104" s="787">
        <f>IF(AD104=0,,VLOOKUP(AD104,リスト!DK:DL,2,0))</f>
        <v>0</v>
      </c>
      <c r="AF104" s="786">
        <f>IF(Z104=0,,
IF(OR(リスト!$C$21="小麦",リスト!$C$21="二条大麦",リスト!$C$21="六条大麦",リスト!$C$21="はだか麦",リスト!$C$21="なたね"),IF(K104&lt;9,調査年-J104,調査年-J104-1),
IF(リスト!$C$21="さとうきび",IF(K104&gt;=4,調査年-J104,調査年-J104+1),
調査年-J104)))</f>
        <v>0</v>
      </c>
      <c r="AG104" s="788">
        <f t="shared" si="27"/>
        <v>0</v>
      </c>
      <c r="AH104" s="788">
        <f t="shared" si="28"/>
        <v>0</v>
      </c>
      <c r="AI104" s="788">
        <f t="shared" si="29"/>
        <v>0</v>
      </c>
      <c r="AJ104" s="788">
        <f t="shared" si="30"/>
        <v>0</v>
      </c>
      <c r="AK104" s="477"/>
      <c r="AL104" s="788">
        <f>IF(OR(R104=0,AH104=""),,
IF(OR(リスト!$C$21="小麦",リスト!$C$21="二条大麦",リスト!$C$21="六条大麦",リスト!$C$21="はだか麦",リスト!$C$21="なたね"),IF(OR(AND(K104&lt;9,J104=調査年),AND(K104&gt;=9,J104=調査年-1)),,ROUND(AH104*R104%,0)),
IF(リスト!$C$21="さとうきび",IF(OR(AND(K104&gt;=4,J104=調査年),AND(K104&lt;4,J104=調査年+1)),,ROUND(AH104*R104%,0)),
IF(J104=調査年,,ROUND(AH104*R104%,0)))))</f>
        <v>0</v>
      </c>
      <c r="AM104" s="788">
        <f t="shared" si="31"/>
        <v>0</v>
      </c>
      <c r="AN104" s="788">
        <f t="shared" si="32"/>
        <v>0</v>
      </c>
      <c r="AO104" s="788">
        <f t="shared" si="33"/>
        <v>0</v>
      </c>
      <c r="AP104" s="788">
        <f>IF(R104=0,,
SUM(
IF(OR(リスト!$C$21="小麦",リスト!$C$21="二条大麦",リスト!$C$21="六条大麦",リスト!$C$21="はだか麦",リスト!$C$21="なたね"),IF(OR(AND(AA104=1,K104&lt;9,J104=調査年),AND(AA104=1,K104&gt;=9,J104=調査年-1)),ROUND(L104*R104%,0),),
IF(リスト!$C$21="さとうきび",IF(OR(AND(AA104=1,K104&gt;=4,J104=調査年),AND(AA104=1,K104&lt;4,J104=調査年+1)),ROUND(L104*R104%,0),),
IF(AND(AA104=1,J104=調査年),ROUND(L104*R104%,0),))),
ROUND(M104*R104%,0)
))</f>
        <v>0</v>
      </c>
      <c r="AQ104" s="788">
        <f t="shared" si="34"/>
        <v>0</v>
      </c>
      <c r="AR104" s="788">
        <f t="shared" si="35"/>
        <v>0</v>
      </c>
      <c r="AS104" s="788">
        <f t="shared" si="39"/>
        <v>0</v>
      </c>
      <c r="AT104" s="788">
        <f t="shared" si="40"/>
        <v>0</v>
      </c>
      <c r="AU104" s="788">
        <f t="shared" si="36"/>
        <v>0</v>
      </c>
      <c r="AV104" s="788">
        <f t="shared" si="37"/>
        <v>0</v>
      </c>
      <c r="AW104" s="841">
        <f t="shared" si="38"/>
        <v>0</v>
      </c>
      <c r="AX104" s="842"/>
      <c r="AY104" s="842"/>
    </row>
    <row r="105" spans="3:51" s="55" customFormat="1" ht="30.75" hidden="1" customHeight="1" outlineLevel="1">
      <c r="C105" s="843">
        <v>88</v>
      </c>
      <c r="D105" s="803"/>
      <c r="E105" s="844"/>
      <c r="F105" s="845"/>
      <c r="G105" s="2281"/>
      <c r="H105" s="2282"/>
      <c r="I105" s="851"/>
      <c r="J105" s="846"/>
      <c r="K105" s="796"/>
      <c r="L105" s="797"/>
      <c r="M105" s="797"/>
      <c r="N105" s="797"/>
      <c r="O105" s="797"/>
      <c r="P105" s="797"/>
      <c r="Q105" s="797"/>
      <c r="R105" s="1284"/>
      <c r="S105" s="798"/>
      <c r="T105" s="847"/>
      <c r="U105" s="848"/>
      <c r="V105" s="837"/>
      <c r="W105" s="849"/>
      <c r="X105" s="850"/>
      <c r="Y105" s="174"/>
      <c r="Z105" s="786">
        <f t="shared" si="23"/>
        <v>0</v>
      </c>
      <c r="AA105" s="786">
        <f t="shared" si="24"/>
        <v>0</v>
      </c>
      <c r="AB105" s="786">
        <f t="shared" si="25"/>
        <v>0</v>
      </c>
      <c r="AC105" s="786">
        <f>IF(Z105=0,,VLOOKUP(Z105,リスト!DC:DD,2,0))</f>
        <v>0</v>
      </c>
      <c r="AD105" s="786">
        <f t="shared" si="26"/>
        <v>0</v>
      </c>
      <c r="AE105" s="787">
        <f>IF(AD105=0,,VLOOKUP(AD105,リスト!DK:DL,2,0))</f>
        <v>0</v>
      </c>
      <c r="AF105" s="786">
        <f>IF(Z105=0,,
IF(OR(リスト!$C$21="小麦",リスト!$C$21="二条大麦",リスト!$C$21="六条大麦",リスト!$C$21="はだか麦",リスト!$C$21="なたね"),IF(K105&lt;9,調査年-J105,調査年-J105-1),
IF(リスト!$C$21="さとうきび",IF(K105&gt;=4,調査年-J105,調査年-J105+1),
調査年-J105)))</f>
        <v>0</v>
      </c>
      <c r="AG105" s="788">
        <f t="shared" si="27"/>
        <v>0</v>
      </c>
      <c r="AH105" s="788">
        <f t="shared" si="28"/>
        <v>0</v>
      </c>
      <c r="AI105" s="788">
        <f t="shared" si="29"/>
        <v>0</v>
      </c>
      <c r="AJ105" s="788">
        <f t="shared" si="30"/>
        <v>0</v>
      </c>
      <c r="AK105" s="477"/>
      <c r="AL105" s="788">
        <f>IF(OR(R105=0,AH105=""),,
IF(OR(リスト!$C$21="小麦",リスト!$C$21="二条大麦",リスト!$C$21="六条大麦",リスト!$C$21="はだか麦",リスト!$C$21="なたね"),IF(OR(AND(K105&lt;9,J105=調査年),AND(K105&gt;=9,J105=調査年-1)),,ROUND(AH105*R105%,0)),
IF(リスト!$C$21="さとうきび",IF(OR(AND(K105&gt;=4,J105=調査年),AND(K105&lt;4,J105=調査年+1)),,ROUND(AH105*R105%,0)),
IF(J105=調査年,,ROUND(AH105*R105%,0)))))</f>
        <v>0</v>
      </c>
      <c r="AM105" s="788">
        <f t="shared" si="31"/>
        <v>0</v>
      </c>
      <c r="AN105" s="788">
        <f t="shared" si="32"/>
        <v>0</v>
      </c>
      <c r="AO105" s="788">
        <f t="shared" si="33"/>
        <v>0</v>
      </c>
      <c r="AP105" s="788">
        <f>IF(R105=0,,
SUM(
IF(OR(リスト!$C$21="小麦",リスト!$C$21="二条大麦",リスト!$C$21="六条大麦",リスト!$C$21="はだか麦",リスト!$C$21="なたね"),IF(OR(AND(AA105=1,K105&lt;9,J105=調査年),AND(AA105=1,K105&gt;=9,J105=調査年-1)),ROUND(L105*R105%,0),),
IF(リスト!$C$21="さとうきび",IF(OR(AND(AA105=1,K105&gt;=4,J105=調査年),AND(AA105=1,K105&lt;4,J105=調査年+1)),ROUND(L105*R105%,0),),
IF(AND(AA105=1,J105=調査年),ROUND(L105*R105%,0),))),
ROUND(M105*R105%,0)
))</f>
        <v>0</v>
      </c>
      <c r="AQ105" s="788">
        <f t="shared" si="34"/>
        <v>0</v>
      </c>
      <c r="AR105" s="788">
        <f t="shared" si="35"/>
        <v>0</v>
      </c>
      <c r="AS105" s="788">
        <f t="shared" si="39"/>
        <v>0</v>
      </c>
      <c r="AT105" s="788">
        <f t="shared" si="40"/>
        <v>0</v>
      </c>
      <c r="AU105" s="788">
        <f t="shared" si="36"/>
        <v>0</v>
      </c>
      <c r="AV105" s="788">
        <f t="shared" si="37"/>
        <v>0</v>
      </c>
      <c r="AW105" s="841">
        <f t="shared" si="38"/>
        <v>0</v>
      </c>
      <c r="AX105" s="842"/>
      <c r="AY105" s="842"/>
    </row>
    <row r="106" spans="3:51" s="55" customFormat="1" ht="30.75" hidden="1" customHeight="1" outlineLevel="1">
      <c r="C106" s="843">
        <v>89</v>
      </c>
      <c r="D106" s="803"/>
      <c r="E106" s="844"/>
      <c r="F106" s="845"/>
      <c r="G106" s="2281"/>
      <c r="H106" s="2282"/>
      <c r="I106" s="851"/>
      <c r="J106" s="846"/>
      <c r="K106" s="796"/>
      <c r="L106" s="797"/>
      <c r="M106" s="797"/>
      <c r="N106" s="797"/>
      <c r="O106" s="797"/>
      <c r="P106" s="797"/>
      <c r="Q106" s="797"/>
      <c r="R106" s="1284"/>
      <c r="S106" s="798"/>
      <c r="T106" s="847"/>
      <c r="U106" s="848"/>
      <c r="V106" s="837"/>
      <c r="W106" s="849"/>
      <c r="X106" s="850"/>
      <c r="Y106" s="174"/>
      <c r="Z106" s="786">
        <f t="shared" si="23"/>
        <v>0</v>
      </c>
      <c r="AA106" s="786">
        <f t="shared" si="24"/>
        <v>0</v>
      </c>
      <c r="AB106" s="786">
        <f t="shared" si="25"/>
        <v>0</v>
      </c>
      <c r="AC106" s="786">
        <f>IF(Z106=0,,VLOOKUP(Z106,リスト!DC:DD,2,0))</f>
        <v>0</v>
      </c>
      <c r="AD106" s="786">
        <f t="shared" si="26"/>
        <v>0</v>
      </c>
      <c r="AE106" s="787">
        <f>IF(AD106=0,,VLOOKUP(AD106,リスト!DK:DL,2,0))</f>
        <v>0</v>
      </c>
      <c r="AF106" s="786">
        <f>IF(Z106=0,,
IF(OR(リスト!$C$21="小麦",リスト!$C$21="二条大麦",リスト!$C$21="六条大麦",リスト!$C$21="はだか麦",リスト!$C$21="なたね"),IF(K106&lt;9,調査年-J106,調査年-J106-1),
IF(リスト!$C$21="さとうきび",IF(K106&gt;=4,調査年-J106,調査年-J106+1),
調査年-J106)))</f>
        <v>0</v>
      </c>
      <c r="AG106" s="788">
        <f t="shared" si="27"/>
        <v>0</v>
      </c>
      <c r="AH106" s="788">
        <f t="shared" si="28"/>
        <v>0</v>
      </c>
      <c r="AI106" s="788">
        <f t="shared" si="29"/>
        <v>0</v>
      </c>
      <c r="AJ106" s="788">
        <f t="shared" si="30"/>
        <v>0</v>
      </c>
      <c r="AK106" s="477"/>
      <c r="AL106" s="788">
        <f>IF(OR(R106=0,AH106=""),,
IF(OR(リスト!$C$21="小麦",リスト!$C$21="二条大麦",リスト!$C$21="六条大麦",リスト!$C$21="はだか麦",リスト!$C$21="なたね"),IF(OR(AND(K106&lt;9,J106=調査年),AND(K106&gt;=9,J106=調査年-1)),,ROUND(AH106*R106%,0)),
IF(リスト!$C$21="さとうきび",IF(OR(AND(K106&gt;=4,J106=調査年),AND(K106&lt;4,J106=調査年+1)),,ROUND(AH106*R106%,0)),
IF(J106=調査年,,ROUND(AH106*R106%,0)))))</f>
        <v>0</v>
      </c>
      <c r="AM106" s="788">
        <f t="shared" si="31"/>
        <v>0</v>
      </c>
      <c r="AN106" s="788">
        <f t="shared" si="32"/>
        <v>0</v>
      </c>
      <c r="AO106" s="788">
        <f t="shared" si="33"/>
        <v>0</v>
      </c>
      <c r="AP106" s="788">
        <f>IF(R106=0,,
SUM(
IF(OR(リスト!$C$21="小麦",リスト!$C$21="二条大麦",リスト!$C$21="六条大麦",リスト!$C$21="はだか麦",リスト!$C$21="なたね"),IF(OR(AND(AA106=1,K106&lt;9,J106=調査年),AND(AA106=1,K106&gt;=9,J106=調査年-1)),ROUND(L106*R106%,0),),
IF(リスト!$C$21="さとうきび",IF(OR(AND(AA106=1,K106&gt;=4,J106=調査年),AND(AA106=1,K106&lt;4,J106=調査年+1)),ROUND(L106*R106%,0),),
IF(AND(AA106=1,J106=調査年),ROUND(L106*R106%,0),))),
ROUND(M106*R106%,0)
))</f>
        <v>0</v>
      </c>
      <c r="AQ106" s="788">
        <f t="shared" si="34"/>
        <v>0</v>
      </c>
      <c r="AR106" s="788">
        <f t="shared" si="35"/>
        <v>0</v>
      </c>
      <c r="AS106" s="788">
        <f t="shared" si="39"/>
        <v>0</v>
      </c>
      <c r="AT106" s="788">
        <f t="shared" si="40"/>
        <v>0</v>
      </c>
      <c r="AU106" s="788">
        <f t="shared" si="36"/>
        <v>0</v>
      </c>
      <c r="AV106" s="788">
        <f t="shared" si="37"/>
        <v>0</v>
      </c>
      <c r="AW106" s="841">
        <f t="shared" si="38"/>
        <v>0</v>
      </c>
      <c r="AX106" s="842"/>
      <c r="AY106" s="842"/>
    </row>
    <row r="107" spans="3:51" s="55" customFormat="1" ht="30.75" hidden="1" customHeight="1" outlineLevel="1">
      <c r="C107" s="843">
        <v>90</v>
      </c>
      <c r="D107" s="803"/>
      <c r="E107" s="844"/>
      <c r="F107" s="845"/>
      <c r="G107" s="2281"/>
      <c r="H107" s="2282"/>
      <c r="I107" s="851"/>
      <c r="J107" s="846"/>
      <c r="K107" s="796"/>
      <c r="L107" s="797"/>
      <c r="M107" s="797"/>
      <c r="N107" s="797"/>
      <c r="O107" s="797"/>
      <c r="P107" s="797"/>
      <c r="Q107" s="797"/>
      <c r="R107" s="1284"/>
      <c r="S107" s="798"/>
      <c r="T107" s="847"/>
      <c r="U107" s="848"/>
      <c r="V107" s="837"/>
      <c r="W107" s="849"/>
      <c r="X107" s="850"/>
      <c r="Y107" s="174"/>
      <c r="Z107" s="786">
        <f t="shared" si="23"/>
        <v>0</v>
      </c>
      <c r="AA107" s="786">
        <f t="shared" si="24"/>
        <v>0</v>
      </c>
      <c r="AB107" s="786">
        <f t="shared" si="25"/>
        <v>0</v>
      </c>
      <c r="AC107" s="786">
        <f>IF(Z107=0,,VLOOKUP(Z107,リスト!DC:DD,2,0))</f>
        <v>0</v>
      </c>
      <c r="AD107" s="786">
        <f t="shared" si="26"/>
        <v>0</v>
      </c>
      <c r="AE107" s="787">
        <f>IF(AD107=0,,VLOOKUP(AD107,リスト!DK:DL,2,0))</f>
        <v>0</v>
      </c>
      <c r="AF107" s="786">
        <f>IF(Z107=0,,
IF(OR(リスト!$C$21="小麦",リスト!$C$21="二条大麦",リスト!$C$21="六条大麦",リスト!$C$21="はだか麦",リスト!$C$21="なたね"),IF(K107&lt;9,調査年-J107,調査年-J107-1),
IF(リスト!$C$21="さとうきび",IF(K107&gt;=4,調査年-J107,調査年-J107+1),
調査年-J107)))</f>
        <v>0</v>
      </c>
      <c r="AG107" s="788">
        <f t="shared" si="27"/>
        <v>0</v>
      </c>
      <c r="AH107" s="788">
        <f t="shared" si="28"/>
        <v>0</v>
      </c>
      <c r="AI107" s="788">
        <f t="shared" si="29"/>
        <v>0</v>
      </c>
      <c r="AJ107" s="788">
        <f t="shared" si="30"/>
        <v>0</v>
      </c>
      <c r="AK107" s="477"/>
      <c r="AL107" s="788">
        <f>IF(OR(R107=0,AH107=""),,
IF(OR(リスト!$C$21="小麦",リスト!$C$21="二条大麦",リスト!$C$21="六条大麦",リスト!$C$21="はだか麦",リスト!$C$21="なたね"),IF(OR(AND(K107&lt;9,J107=調査年),AND(K107&gt;=9,J107=調査年-1)),,ROUND(AH107*R107%,0)),
IF(リスト!$C$21="さとうきび",IF(OR(AND(K107&gt;=4,J107=調査年),AND(K107&lt;4,J107=調査年+1)),,ROUND(AH107*R107%,0)),
IF(J107=調査年,,ROUND(AH107*R107%,0)))))</f>
        <v>0</v>
      </c>
      <c r="AM107" s="788">
        <f t="shared" si="31"/>
        <v>0</v>
      </c>
      <c r="AN107" s="788">
        <f t="shared" si="32"/>
        <v>0</v>
      </c>
      <c r="AO107" s="788">
        <f t="shared" si="33"/>
        <v>0</v>
      </c>
      <c r="AP107" s="788">
        <f>IF(R107=0,,
SUM(
IF(OR(リスト!$C$21="小麦",リスト!$C$21="二条大麦",リスト!$C$21="六条大麦",リスト!$C$21="はだか麦",リスト!$C$21="なたね"),IF(OR(AND(AA107=1,K107&lt;9,J107=調査年),AND(AA107=1,K107&gt;=9,J107=調査年-1)),ROUND(L107*R107%,0),),
IF(リスト!$C$21="さとうきび",IF(OR(AND(AA107=1,K107&gt;=4,J107=調査年),AND(AA107=1,K107&lt;4,J107=調査年+1)),ROUND(L107*R107%,0),),
IF(AND(AA107=1,J107=調査年),ROUND(L107*R107%,0),))),
ROUND(M107*R107%,0)
))</f>
        <v>0</v>
      </c>
      <c r="AQ107" s="788">
        <f t="shared" si="34"/>
        <v>0</v>
      </c>
      <c r="AR107" s="788">
        <f t="shared" si="35"/>
        <v>0</v>
      </c>
      <c r="AS107" s="788">
        <f t="shared" si="39"/>
        <v>0</v>
      </c>
      <c r="AT107" s="788">
        <f t="shared" si="40"/>
        <v>0</v>
      </c>
      <c r="AU107" s="788">
        <f t="shared" si="36"/>
        <v>0</v>
      </c>
      <c r="AV107" s="788">
        <f t="shared" si="37"/>
        <v>0</v>
      </c>
      <c r="AW107" s="841">
        <f t="shared" si="38"/>
        <v>0</v>
      </c>
      <c r="AX107" s="842"/>
      <c r="AY107" s="842"/>
    </row>
    <row r="108" spans="3:51" s="55" customFormat="1" ht="30.75" hidden="1" customHeight="1" outlineLevel="1">
      <c r="C108" s="843">
        <v>91</v>
      </c>
      <c r="D108" s="803"/>
      <c r="E108" s="853"/>
      <c r="F108" s="854"/>
      <c r="G108" s="2287"/>
      <c r="H108" s="2288"/>
      <c r="I108" s="855"/>
      <c r="J108" s="856"/>
      <c r="K108" s="857"/>
      <c r="L108" s="858"/>
      <c r="M108" s="858"/>
      <c r="N108" s="858"/>
      <c r="O108" s="858"/>
      <c r="P108" s="858"/>
      <c r="Q108" s="858"/>
      <c r="R108" s="1284"/>
      <c r="S108" s="859"/>
      <c r="T108" s="860"/>
      <c r="U108" s="861"/>
      <c r="V108" s="837"/>
      <c r="W108" s="849"/>
      <c r="X108" s="850"/>
      <c r="Y108" s="174"/>
      <c r="Z108" s="786">
        <f t="shared" si="23"/>
        <v>0</v>
      </c>
      <c r="AA108" s="786">
        <f t="shared" si="24"/>
        <v>0</v>
      </c>
      <c r="AB108" s="786">
        <f t="shared" si="25"/>
        <v>0</v>
      </c>
      <c r="AC108" s="786">
        <f>IF(Z108=0,,VLOOKUP(Z108,リスト!DC:DD,2,0))</f>
        <v>0</v>
      </c>
      <c r="AD108" s="786">
        <f t="shared" si="26"/>
        <v>0</v>
      </c>
      <c r="AE108" s="787">
        <f>IF(AD108=0,,VLOOKUP(AD108,リスト!DK:DL,2,0))</f>
        <v>0</v>
      </c>
      <c r="AF108" s="786">
        <f>IF(Z108=0,,
IF(OR(リスト!$C$21="小麦",リスト!$C$21="二条大麦",リスト!$C$21="六条大麦",リスト!$C$21="はだか麦",リスト!$C$21="なたね"),IF(K108&lt;9,調査年-J108,調査年-J108-1),
IF(リスト!$C$21="さとうきび",IF(K108&gt;=4,調査年-J108,調査年-J108+1),
調査年-J108)))</f>
        <v>0</v>
      </c>
      <c r="AG108" s="788">
        <f t="shared" si="27"/>
        <v>0</v>
      </c>
      <c r="AH108" s="788">
        <f t="shared" si="28"/>
        <v>0</v>
      </c>
      <c r="AI108" s="788">
        <f t="shared" si="29"/>
        <v>0</v>
      </c>
      <c r="AJ108" s="788">
        <f t="shared" si="30"/>
        <v>0</v>
      </c>
      <c r="AK108" s="477"/>
      <c r="AL108" s="788">
        <f>IF(OR(R108=0,AH108=""),,
IF(OR(リスト!$C$21="小麦",リスト!$C$21="二条大麦",リスト!$C$21="六条大麦",リスト!$C$21="はだか麦",リスト!$C$21="なたね"),IF(OR(AND(K108&lt;9,J108=調査年),AND(K108&gt;=9,J108=調査年-1)),,ROUND(AH108*R108%,0)),
IF(リスト!$C$21="さとうきび",IF(OR(AND(K108&gt;=4,J108=調査年),AND(K108&lt;4,J108=調査年+1)),,ROUND(AH108*R108%,0)),
IF(J108=調査年,,ROUND(AH108*R108%,0)))))</f>
        <v>0</v>
      </c>
      <c r="AM108" s="788">
        <f t="shared" si="31"/>
        <v>0</v>
      </c>
      <c r="AN108" s="788">
        <f t="shared" si="32"/>
        <v>0</v>
      </c>
      <c r="AO108" s="788">
        <f t="shared" si="33"/>
        <v>0</v>
      </c>
      <c r="AP108" s="788">
        <f>IF(R108=0,,
SUM(
IF(OR(リスト!$C$21="小麦",リスト!$C$21="二条大麦",リスト!$C$21="六条大麦",リスト!$C$21="はだか麦",リスト!$C$21="なたね"),IF(OR(AND(AA108=1,K108&lt;9,J108=調査年),AND(AA108=1,K108&gt;=9,J108=調査年-1)),ROUND(L108*R108%,0),),
IF(リスト!$C$21="さとうきび",IF(OR(AND(AA108=1,K108&gt;=4,J108=調査年),AND(AA108=1,K108&lt;4,J108=調査年+1)),ROUND(L108*R108%,0),),
IF(AND(AA108=1,J108=調査年),ROUND(L108*R108%,0),))),
ROUND(M108*R108%,0)
))</f>
        <v>0</v>
      </c>
      <c r="AQ108" s="788">
        <f t="shared" si="34"/>
        <v>0</v>
      </c>
      <c r="AR108" s="788">
        <f t="shared" si="35"/>
        <v>0</v>
      </c>
      <c r="AS108" s="788">
        <f t="shared" si="39"/>
        <v>0</v>
      </c>
      <c r="AT108" s="788">
        <f t="shared" si="40"/>
        <v>0</v>
      </c>
      <c r="AU108" s="788">
        <f t="shared" si="36"/>
        <v>0</v>
      </c>
      <c r="AV108" s="788">
        <f t="shared" si="37"/>
        <v>0</v>
      </c>
      <c r="AW108" s="841">
        <f t="shared" si="38"/>
        <v>0</v>
      </c>
      <c r="AX108" s="842"/>
      <c r="AY108" s="842"/>
    </row>
    <row r="109" spans="3:51" s="55" customFormat="1" ht="30.75" hidden="1" customHeight="1" outlineLevel="1">
      <c r="C109" s="843">
        <v>92</v>
      </c>
      <c r="D109" s="803"/>
      <c r="E109" s="844"/>
      <c r="F109" s="845"/>
      <c r="G109" s="2281"/>
      <c r="H109" s="2282"/>
      <c r="I109" s="851"/>
      <c r="J109" s="846"/>
      <c r="K109" s="796"/>
      <c r="L109" s="797"/>
      <c r="M109" s="797"/>
      <c r="N109" s="797"/>
      <c r="O109" s="797"/>
      <c r="P109" s="797"/>
      <c r="Q109" s="797"/>
      <c r="R109" s="1284"/>
      <c r="S109" s="798"/>
      <c r="T109" s="847"/>
      <c r="U109" s="848"/>
      <c r="V109" s="837"/>
      <c r="W109" s="849"/>
      <c r="X109" s="850"/>
      <c r="Y109" s="174"/>
      <c r="Z109" s="786">
        <f t="shared" si="23"/>
        <v>0</v>
      </c>
      <c r="AA109" s="786">
        <f t="shared" si="24"/>
        <v>0</v>
      </c>
      <c r="AB109" s="786">
        <f t="shared" si="25"/>
        <v>0</v>
      </c>
      <c r="AC109" s="786">
        <f>IF(Z109=0,,VLOOKUP(Z109,リスト!DC:DD,2,0))</f>
        <v>0</v>
      </c>
      <c r="AD109" s="786">
        <f t="shared" si="26"/>
        <v>0</v>
      </c>
      <c r="AE109" s="787">
        <f>IF(AD109=0,,VLOOKUP(AD109,リスト!DK:DL,2,0))</f>
        <v>0</v>
      </c>
      <c r="AF109" s="786">
        <f>IF(Z109=0,,
IF(OR(リスト!$C$21="小麦",リスト!$C$21="二条大麦",リスト!$C$21="六条大麦",リスト!$C$21="はだか麦",リスト!$C$21="なたね"),IF(K109&lt;9,調査年-J109,調査年-J109-1),
IF(リスト!$C$21="さとうきび",IF(K109&gt;=4,調査年-J109,調査年-J109+1),
調査年-J109)))</f>
        <v>0</v>
      </c>
      <c r="AG109" s="788">
        <f t="shared" si="27"/>
        <v>0</v>
      </c>
      <c r="AH109" s="788">
        <f t="shared" si="28"/>
        <v>0</v>
      </c>
      <c r="AI109" s="788">
        <f t="shared" si="29"/>
        <v>0</v>
      </c>
      <c r="AJ109" s="788">
        <f t="shared" si="30"/>
        <v>0</v>
      </c>
      <c r="AK109" s="477"/>
      <c r="AL109" s="788">
        <f>IF(OR(R109=0,AH109=""),,
IF(OR(リスト!$C$21="小麦",リスト!$C$21="二条大麦",リスト!$C$21="六条大麦",リスト!$C$21="はだか麦",リスト!$C$21="なたね"),IF(OR(AND(K109&lt;9,J109=調査年),AND(K109&gt;=9,J109=調査年-1)),,ROUND(AH109*R109%,0)),
IF(リスト!$C$21="さとうきび",IF(OR(AND(K109&gt;=4,J109=調査年),AND(K109&lt;4,J109=調査年+1)),,ROUND(AH109*R109%,0)),
IF(J109=調査年,,ROUND(AH109*R109%,0)))))</f>
        <v>0</v>
      </c>
      <c r="AM109" s="788">
        <f t="shared" si="31"/>
        <v>0</v>
      </c>
      <c r="AN109" s="788">
        <f t="shared" si="32"/>
        <v>0</v>
      </c>
      <c r="AO109" s="788">
        <f t="shared" si="33"/>
        <v>0</v>
      </c>
      <c r="AP109" s="788">
        <f>IF(R109=0,,
SUM(
IF(OR(リスト!$C$21="小麦",リスト!$C$21="二条大麦",リスト!$C$21="六条大麦",リスト!$C$21="はだか麦",リスト!$C$21="なたね"),IF(OR(AND(AA109=1,K109&lt;9,J109=調査年),AND(AA109=1,K109&gt;=9,J109=調査年-1)),ROUND(L109*R109%,0),),
IF(リスト!$C$21="さとうきび",IF(OR(AND(AA109=1,K109&gt;=4,J109=調査年),AND(AA109=1,K109&lt;4,J109=調査年+1)),ROUND(L109*R109%,0),),
IF(AND(AA109=1,J109=調査年),ROUND(L109*R109%,0),))),
ROUND(M109*R109%,0)
))</f>
        <v>0</v>
      </c>
      <c r="AQ109" s="788">
        <f t="shared" si="34"/>
        <v>0</v>
      </c>
      <c r="AR109" s="788">
        <f t="shared" si="35"/>
        <v>0</v>
      </c>
      <c r="AS109" s="788">
        <f t="shared" si="39"/>
        <v>0</v>
      </c>
      <c r="AT109" s="788">
        <f t="shared" si="40"/>
        <v>0</v>
      </c>
      <c r="AU109" s="788">
        <f t="shared" si="36"/>
        <v>0</v>
      </c>
      <c r="AV109" s="788">
        <f t="shared" si="37"/>
        <v>0</v>
      </c>
      <c r="AW109" s="841">
        <f t="shared" si="38"/>
        <v>0</v>
      </c>
      <c r="AX109" s="842"/>
      <c r="AY109" s="842"/>
    </row>
    <row r="110" spans="3:51" s="55" customFormat="1" ht="30.75" hidden="1" customHeight="1" outlineLevel="1">
      <c r="C110" s="843">
        <v>93</v>
      </c>
      <c r="D110" s="803"/>
      <c r="E110" s="844"/>
      <c r="F110" s="845"/>
      <c r="G110" s="2281"/>
      <c r="H110" s="2282"/>
      <c r="I110" s="851"/>
      <c r="J110" s="846"/>
      <c r="K110" s="796"/>
      <c r="L110" s="797"/>
      <c r="M110" s="797"/>
      <c r="N110" s="797"/>
      <c r="O110" s="797"/>
      <c r="P110" s="797"/>
      <c r="Q110" s="797"/>
      <c r="R110" s="1284"/>
      <c r="S110" s="798"/>
      <c r="T110" s="847"/>
      <c r="U110" s="848"/>
      <c r="V110" s="837"/>
      <c r="W110" s="849"/>
      <c r="X110" s="850"/>
      <c r="Y110" s="174"/>
      <c r="Z110" s="786">
        <f t="shared" si="23"/>
        <v>0</v>
      </c>
      <c r="AA110" s="786">
        <f t="shared" si="24"/>
        <v>0</v>
      </c>
      <c r="AB110" s="786">
        <f t="shared" si="25"/>
        <v>0</v>
      </c>
      <c r="AC110" s="786">
        <f>IF(Z110=0,,VLOOKUP(Z110,リスト!DC:DD,2,0))</f>
        <v>0</v>
      </c>
      <c r="AD110" s="786">
        <f t="shared" si="26"/>
        <v>0</v>
      </c>
      <c r="AE110" s="787">
        <f>IF(AD110=0,,VLOOKUP(AD110,リスト!DK:DL,2,0))</f>
        <v>0</v>
      </c>
      <c r="AF110" s="786">
        <f>IF(Z110=0,,
IF(OR(リスト!$C$21="小麦",リスト!$C$21="二条大麦",リスト!$C$21="六条大麦",リスト!$C$21="はだか麦",リスト!$C$21="なたね"),IF(K110&lt;9,調査年-J110,調査年-J110-1),
IF(リスト!$C$21="さとうきび",IF(K110&gt;=4,調査年-J110,調査年-J110+1),
調査年-J110)))</f>
        <v>0</v>
      </c>
      <c r="AG110" s="788">
        <f t="shared" si="27"/>
        <v>0</v>
      </c>
      <c r="AH110" s="788">
        <f t="shared" si="28"/>
        <v>0</v>
      </c>
      <c r="AI110" s="788">
        <f t="shared" si="29"/>
        <v>0</v>
      </c>
      <c r="AJ110" s="788">
        <f t="shared" si="30"/>
        <v>0</v>
      </c>
      <c r="AK110" s="477"/>
      <c r="AL110" s="788">
        <f>IF(OR(R110=0,AH110=""),,
IF(OR(リスト!$C$21="小麦",リスト!$C$21="二条大麦",リスト!$C$21="六条大麦",リスト!$C$21="はだか麦",リスト!$C$21="なたね"),IF(OR(AND(K110&lt;9,J110=調査年),AND(K110&gt;=9,J110=調査年-1)),,ROUND(AH110*R110%,0)),
IF(リスト!$C$21="さとうきび",IF(OR(AND(K110&gt;=4,J110=調査年),AND(K110&lt;4,J110=調査年+1)),,ROUND(AH110*R110%,0)),
IF(J110=調査年,,ROUND(AH110*R110%,0)))))</f>
        <v>0</v>
      </c>
      <c r="AM110" s="788">
        <f t="shared" si="31"/>
        <v>0</v>
      </c>
      <c r="AN110" s="788">
        <f t="shared" si="32"/>
        <v>0</v>
      </c>
      <c r="AO110" s="788">
        <f t="shared" si="33"/>
        <v>0</v>
      </c>
      <c r="AP110" s="788">
        <f>IF(R110=0,,
SUM(
IF(OR(リスト!$C$21="小麦",リスト!$C$21="二条大麦",リスト!$C$21="六条大麦",リスト!$C$21="はだか麦",リスト!$C$21="なたね"),IF(OR(AND(AA110=1,K110&lt;9,J110=調査年),AND(AA110=1,K110&gt;=9,J110=調査年-1)),ROUND(L110*R110%,0),),
IF(リスト!$C$21="さとうきび",IF(OR(AND(AA110=1,K110&gt;=4,J110=調査年),AND(AA110=1,K110&lt;4,J110=調査年+1)),ROUND(L110*R110%,0),),
IF(AND(AA110=1,J110=調査年),ROUND(L110*R110%,0),))),
ROUND(M110*R110%,0)
))</f>
        <v>0</v>
      </c>
      <c r="AQ110" s="788">
        <f t="shared" si="34"/>
        <v>0</v>
      </c>
      <c r="AR110" s="788">
        <f t="shared" si="35"/>
        <v>0</v>
      </c>
      <c r="AS110" s="788">
        <f t="shared" si="39"/>
        <v>0</v>
      </c>
      <c r="AT110" s="788">
        <f t="shared" si="40"/>
        <v>0</v>
      </c>
      <c r="AU110" s="788">
        <f t="shared" si="36"/>
        <v>0</v>
      </c>
      <c r="AV110" s="788">
        <f t="shared" si="37"/>
        <v>0</v>
      </c>
      <c r="AW110" s="841">
        <f t="shared" si="38"/>
        <v>0</v>
      </c>
      <c r="AX110" s="842"/>
      <c r="AY110" s="842"/>
    </row>
    <row r="111" spans="3:51" s="55" customFormat="1" ht="30.75" hidden="1" customHeight="1" outlineLevel="1">
      <c r="C111" s="843">
        <v>94</v>
      </c>
      <c r="D111" s="803"/>
      <c r="E111" s="844"/>
      <c r="F111" s="845"/>
      <c r="G111" s="2281"/>
      <c r="H111" s="2282"/>
      <c r="I111" s="851"/>
      <c r="J111" s="846"/>
      <c r="K111" s="796"/>
      <c r="L111" s="797"/>
      <c r="M111" s="797"/>
      <c r="N111" s="797"/>
      <c r="O111" s="797"/>
      <c r="P111" s="797"/>
      <c r="Q111" s="797"/>
      <c r="R111" s="1284"/>
      <c r="S111" s="798"/>
      <c r="T111" s="847"/>
      <c r="U111" s="848"/>
      <c r="V111" s="837"/>
      <c r="W111" s="849"/>
      <c r="X111" s="850"/>
      <c r="Y111" s="174"/>
      <c r="Z111" s="786">
        <f t="shared" si="23"/>
        <v>0</v>
      </c>
      <c r="AA111" s="786">
        <f t="shared" si="24"/>
        <v>0</v>
      </c>
      <c r="AB111" s="786">
        <f t="shared" si="25"/>
        <v>0</v>
      </c>
      <c r="AC111" s="786">
        <f>IF(Z111=0,,VLOOKUP(Z111,リスト!DC:DD,2,0))</f>
        <v>0</v>
      </c>
      <c r="AD111" s="786">
        <f t="shared" si="26"/>
        <v>0</v>
      </c>
      <c r="AE111" s="787">
        <f>IF(AD111=0,,VLOOKUP(AD111,リスト!DK:DL,2,0))</f>
        <v>0</v>
      </c>
      <c r="AF111" s="786">
        <f>IF(Z111=0,,
IF(OR(リスト!$C$21="小麦",リスト!$C$21="二条大麦",リスト!$C$21="六条大麦",リスト!$C$21="はだか麦",リスト!$C$21="なたね"),IF(K111&lt;9,調査年-J111,調査年-J111-1),
IF(リスト!$C$21="さとうきび",IF(K111&gt;=4,調査年-J111,調査年-J111+1),
調査年-J111)))</f>
        <v>0</v>
      </c>
      <c r="AG111" s="788">
        <f t="shared" si="27"/>
        <v>0</v>
      </c>
      <c r="AH111" s="788">
        <f t="shared" si="28"/>
        <v>0</v>
      </c>
      <c r="AI111" s="788">
        <f t="shared" si="29"/>
        <v>0</v>
      </c>
      <c r="AJ111" s="788">
        <f t="shared" si="30"/>
        <v>0</v>
      </c>
      <c r="AK111" s="477"/>
      <c r="AL111" s="788">
        <f>IF(OR(R111=0,AH111=""),,
IF(OR(リスト!$C$21="小麦",リスト!$C$21="二条大麦",リスト!$C$21="六条大麦",リスト!$C$21="はだか麦",リスト!$C$21="なたね"),IF(OR(AND(K111&lt;9,J111=調査年),AND(K111&gt;=9,J111=調査年-1)),,ROUND(AH111*R111%,0)),
IF(リスト!$C$21="さとうきび",IF(OR(AND(K111&gt;=4,J111=調査年),AND(K111&lt;4,J111=調査年+1)),,ROUND(AH111*R111%,0)),
IF(J111=調査年,,ROUND(AH111*R111%,0)))))</f>
        <v>0</v>
      </c>
      <c r="AM111" s="788">
        <f t="shared" si="31"/>
        <v>0</v>
      </c>
      <c r="AN111" s="788">
        <f t="shared" si="32"/>
        <v>0</v>
      </c>
      <c r="AO111" s="788">
        <f t="shared" si="33"/>
        <v>0</v>
      </c>
      <c r="AP111" s="788">
        <f>IF(R111=0,,
SUM(
IF(OR(リスト!$C$21="小麦",リスト!$C$21="二条大麦",リスト!$C$21="六条大麦",リスト!$C$21="はだか麦",リスト!$C$21="なたね"),IF(OR(AND(AA111=1,K111&lt;9,J111=調査年),AND(AA111=1,K111&gt;=9,J111=調査年-1)),ROUND(L111*R111%,0),),
IF(リスト!$C$21="さとうきび",IF(OR(AND(AA111=1,K111&gt;=4,J111=調査年),AND(AA111=1,K111&lt;4,J111=調査年+1)),ROUND(L111*R111%,0),),
IF(AND(AA111=1,J111=調査年),ROUND(L111*R111%,0),))),
ROUND(M111*R111%,0)
))</f>
        <v>0</v>
      </c>
      <c r="AQ111" s="788">
        <f t="shared" si="34"/>
        <v>0</v>
      </c>
      <c r="AR111" s="788">
        <f t="shared" si="35"/>
        <v>0</v>
      </c>
      <c r="AS111" s="788">
        <f t="shared" si="39"/>
        <v>0</v>
      </c>
      <c r="AT111" s="788">
        <f t="shared" si="40"/>
        <v>0</v>
      </c>
      <c r="AU111" s="788">
        <f t="shared" si="36"/>
        <v>0</v>
      </c>
      <c r="AV111" s="788">
        <f t="shared" si="37"/>
        <v>0</v>
      </c>
      <c r="AW111" s="841">
        <f t="shared" si="38"/>
        <v>0</v>
      </c>
      <c r="AX111" s="842"/>
      <c r="AY111" s="842"/>
    </row>
    <row r="112" spans="3:51" s="55" customFormat="1" ht="30.75" hidden="1" customHeight="1" outlineLevel="1">
      <c r="C112" s="843">
        <v>95</v>
      </c>
      <c r="D112" s="803"/>
      <c r="E112" s="844"/>
      <c r="F112" s="845"/>
      <c r="G112" s="2281"/>
      <c r="H112" s="2282"/>
      <c r="I112" s="851"/>
      <c r="J112" s="846"/>
      <c r="K112" s="796"/>
      <c r="L112" s="797"/>
      <c r="M112" s="797"/>
      <c r="N112" s="797"/>
      <c r="O112" s="797"/>
      <c r="P112" s="797"/>
      <c r="Q112" s="797"/>
      <c r="R112" s="1284"/>
      <c r="S112" s="798"/>
      <c r="T112" s="847"/>
      <c r="U112" s="848"/>
      <c r="V112" s="837"/>
      <c r="W112" s="849"/>
      <c r="X112" s="850"/>
      <c r="Y112" s="174"/>
      <c r="Z112" s="786">
        <f t="shared" si="23"/>
        <v>0</v>
      </c>
      <c r="AA112" s="786">
        <f t="shared" si="24"/>
        <v>0</v>
      </c>
      <c r="AB112" s="786">
        <f t="shared" si="25"/>
        <v>0</v>
      </c>
      <c r="AC112" s="786">
        <f>IF(Z112=0,,VLOOKUP(Z112,リスト!DC:DD,2,0))</f>
        <v>0</v>
      </c>
      <c r="AD112" s="786">
        <f t="shared" si="26"/>
        <v>0</v>
      </c>
      <c r="AE112" s="787">
        <f>IF(AD112=0,,VLOOKUP(AD112,リスト!DK:DL,2,0))</f>
        <v>0</v>
      </c>
      <c r="AF112" s="786">
        <f>IF(Z112=0,,
IF(OR(リスト!$C$21="小麦",リスト!$C$21="二条大麦",リスト!$C$21="六条大麦",リスト!$C$21="はだか麦",リスト!$C$21="なたね"),IF(K112&lt;9,調査年-J112,調査年-J112-1),
IF(リスト!$C$21="さとうきび",IF(K112&gt;=4,調査年-J112,調査年-J112+1),
調査年-J112)))</f>
        <v>0</v>
      </c>
      <c r="AG112" s="788">
        <f t="shared" si="27"/>
        <v>0</v>
      </c>
      <c r="AH112" s="788">
        <f t="shared" si="28"/>
        <v>0</v>
      </c>
      <c r="AI112" s="788">
        <f t="shared" si="29"/>
        <v>0</v>
      </c>
      <c r="AJ112" s="788">
        <f t="shared" si="30"/>
        <v>0</v>
      </c>
      <c r="AK112" s="477"/>
      <c r="AL112" s="788">
        <f>IF(OR(R112=0,AH112=""),,
IF(OR(リスト!$C$21="小麦",リスト!$C$21="二条大麦",リスト!$C$21="六条大麦",リスト!$C$21="はだか麦",リスト!$C$21="なたね"),IF(OR(AND(K112&lt;9,J112=調査年),AND(K112&gt;=9,J112=調査年-1)),,ROUND(AH112*R112%,0)),
IF(リスト!$C$21="さとうきび",IF(OR(AND(K112&gt;=4,J112=調査年),AND(K112&lt;4,J112=調査年+1)),,ROUND(AH112*R112%,0)),
IF(J112=調査年,,ROUND(AH112*R112%,0)))))</f>
        <v>0</v>
      </c>
      <c r="AM112" s="788">
        <f t="shared" si="31"/>
        <v>0</v>
      </c>
      <c r="AN112" s="788">
        <f t="shared" si="32"/>
        <v>0</v>
      </c>
      <c r="AO112" s="788">
        <f t="shared" si="33"/>
        <v>0</v>
      </c>
      <c r="AP112" s="788">
        <f>IF(R112=0,,
SUM(
IF(OR(リスト!$C$21="小麦",リスト!$C$21="二条大麦",リスト!$C$21="六条大麦",リスト!$C$21="はだか麦",リスト!$C$21="なたね"),IF(OR(AND(AA112=1,K112&lt;9,J112=調査年),AND(AA112=1,K112&gt;=9,J112=調査年-1)),ROUND(L112*R112%,0),),
IF(リスト!$C$21="さとうきび",IF(OR(AND(AA112=1,K112&gt;=4,J112=調査年),AND(AA112=1,K112&lt;4,J112=調査年+1)),ROUND(L112*R112%,0),),
IF(AND(AA112=1,J112=調査年),ROUND(L112*R112%,0),))),
ROUND(M112*R112%,0)
))</f>
        <v>0</v>
      </c>
      <c r="AQ112" s="788">
        <f t="shared" si="34"/>
        <v>0</v>
      </c>
      <c r="AR112" s="788">
        <f t="shared" si="35"/>
        <v>0</v>
      </c>
      <c r="AS112" s="788">
        <f t="shared" si="39"/>
        <v>0</v>
      </c>
      <c r="AT112" s="788">
        <f t="shared" si="40"/>
        <v>0</v>
      </c>
      <c r="AU112" s="788">
        <f t="shared" si="36"/>
        <v>0</v>
      </c>
      <c r="AV112" s="788">
        <f t="shared" si="37"/>
        <v>0</v>
      </c>
      <c r="AW112" s="841">
        <f t="shared" si="38"/>
        <v>0</v>
      </c>
      <c r="AX112" s="842"/>
      <c r="AY112" s="842"/>
    </row>
    <row r="113" spans="3:51" s="55" customFormat="1" ht="30.75" hidden="1" customHeight="1" outlineLevel="1">
      <c r="C113" s="843">
        <v>96</v>
      </c>
      <c r="D113" s="803"/>
      <c r="E113" s="844"/>
      <c r="F113" s="845"/>
      <c r="G113" s="2281"/>
      <c r="H113" s="2282"/>
      <c r="I113" s="851"/>
      <c r="J113" s="846"/>
      <c r="K113" s="796"/>
      <c r="L113" s="797"/>
      <c r="M113" s="797"/>
      <c r="N113" s="797"/>
      <c r="O113" s="797"/>
      <c r="P113" s="797"/>
      <c r="Q113" s="797"/>
      <c r="R113" s="1284"/>
      <c r="S113" s="798"/>
      <c r="T113" s="847"/>
      <c r="U113" s="848"/>
      <c r="V113" s="837"/>
      <c r="W113" s="849"/>
      <c r="X113" s="850"/>
      <c r="Y113" s="174"/>
      <c r="Z113" s="786">
        <f t="shared" si="23"/>
        <v>0</v>
      </c>
      <c r="AA113" s="786">
        <f t="shared" si="24"/>
        <v>0</v>
      </c>
      <c r="AB113" s="786">
        <f t="shared" si="25"/>
        <v>0</v>
      </c>
      <c r="AC113" s="786">
        <f>IF(Z113=0,,VLOOKUP(Z113,リスト!DC:DD,2,0))</f>
        <v>0</v>
      </c>
      <c r="AD113" s="786">
        <f t="shared" si="26"/>
        <v>0</v>
      </c>
      <c r="AE113" s="787">
        <f>IF(AD113=0,,VLOOKUP(AD113,リスト!DK:DL,2,0))</f>
        <v>0</v>
      </c>
      <c r="AF113" s="786">
        <f>IF(Z113=0,,
IF(OR(リスト!$C$21="小麦",リスト!$C$21="二条大麦",リスト!$C$21="六条大麦",リスト!$C$21="はだか麦",リスト!$C$21="なたね"),IF(K113&lt;9,調査年-J113,調査年-J113-1),
IF(リスト!$C$21="さとうきび",IF(K113&gt;=4,調査年-J113,調査年-J113+1),
調査年-J113)))</f>
        <v>0</v>
      </c>
      <c r="AG113" s="788">
        <f t="shared" si="27"/>
        <v>0</v>
      </c>
      <c r="AH113" s="788">
        <f t="shared" si="28"/>
        <v>0</v>
      </c>
      <c r="AI113" s="788">
        <f t="shared" si="29"/>
        <v>0</v>
      </c>
      <c r="AJ113" s="788">
        <f t="shared" si="30"/>
        <v>0</v>
      </c>
      <c r="AK113" s="477"/>
      <c r="AL113" s="788">
        <f>IF(OR(R113=0,AH113=""),,
IF(OR(リスト!$C$21="小麦",リスト!$C$21="二条大麦",リスト!$C$21="六条大麦",リスト!$C$21="はだか麦",リスト!$C$21="なたね"),IF(OR(AND(K113&lt;9,J113=調査年),AND(K113&gt;=9,J113=調査年-1)),,ROUND(AH113*R113%,0)),
IF(リスト!$C$21="さとうきび",IF(OR(AND(K113&gt;=4,J113=調査年),AND(K113&lt;4,J113=調査年+1)),,ROUND(AH113*R113%,0)),
IF(J113=調査年,,ROUND(AH113*R113%,0)))))</f>
        <v>0</v>
      </c>
      <c r="AM113" s="788">
        <f t="shared" si="31"/>
        <v>0</v>
      </c>
      <c r="AN113" s="788">
        <f t="shared" si="32"/>
        <v>0</v>
      </c>
      <c r="AO113" s="788">
        <f t="shared" si="33"/>
        <v>0</v>
      </c>
      <c r="AP113" s="788">
        <f>IF(R113=0,,
SUM(
IF(OR(リスト!$C$21="小麦",リスト!$C$21="二条大麦",リスト!$C$21="六条大麦",リスト!$C$21="はだか麦",リスト!$C$21="なたね"),IF(OR(AND(AA113=1,K113&lt;9,J113=調査年),AND(AA113=1,K113&gt;=9,J113=調査年-1)),ROUND(L113*R113%,0),),
IF(リスト!$C$21="さとうきび",IF(OR(AND(AA113=1,K113&gt;=4,J113=調査年),AND(AA113=1,K113&lt;4,J113=調査年+1)),ROUND(L113*R113%,0),),
IF(AND(AA113=1,J113=調査年),ROUND(L113*R113%,0),))),
ROUND(M113*R113%,0)
))</f>
        <v>0</v>
      </c>
      <c r="AQ113" s="788">
        <f t="shared" si="34"/>
        <v>0</v>
      </c>
      <c r="AR113" s="788">
        <f t="shared" si="35"/>
        <v>0</v>
      </c>
      <c r="AS113" s="788">
        <f t="shared" si="39"/>
        <v>0</v>
      </c>
      <c r="AT113" s="788">
        <f t="shared" si="40"/>
        <v>0</v>
      </c>
      <c r="AU113" s="788">
        <f t="shared" si="36"/>
        <v>0</v>
      </c>
      <c r="AV113" s="788">
        <f t="shared" si="37"/>
        <v>0</v>
      </c>
      <c r="AW113" s="841">
        <f t="shared" si="38"/>
        <v>0</v>
      </c>
      <c r="AX113" s="842"/>
      <c r="AY113" s="842"/>
    </row>
    <row r="114" spans="3:51" s="55" customFormat="1" ht="30.75" hidden="1" customHeight="1" outlineLevel="1">
      <c r="C114" s="843">
        <v>97</v>
      </c>
      <c r="D114" s="803"/>
      <c r="E114" s="844"/>
      <c r="F114" s="845"/>
      <c r="G114" s="2281"/>
      <c r="H114" s="2282"/>
      <c r="I114" s="851"/>
      <c r="J114" s="846"/>
      <c r="K114" s="796"/>
      <c r="L114" s="797"/>
      <c r="M114" s="797"/>
      <c r="N114" s="797"/>
      <c r="O114" s="797"/>
      <c r="P114" s="797"/>
      <c r="Q114" s="797"/>
      <c r="R114" s="1284"/>
      <c r="S114" s="798"/>
      <c r="T114" s="847"/>
      <c r="U114" s="848"/>
      <c r="V114" s="837"/>
      <c r="W114" s="849"/>
      <c r="X114" s="850"/>
      <c r="Y114" s="174"/>
      <c r="Z114" s="786">
        <f t="shared" si="23"/>
        <v>0</v>
      </c>
      <c r="AA114" s="786">
        <f t="shared" si="24"/>
        <v>0</v>
      </c>
      <c r="AB114" s="786">
        <f t="shared" si="25"/>
        <v>0</v>
      </c>
      <c r="AC114" s="786">
        <f>IF(Z114=0,,VLOOKUP(Z114,リスト!DC:DD,2,0))</f>
        <v>0</v>
      </c>
      <c r="AD114" s="786">
        <f t="shared" si="26"/>
        <v>0</v>
      </c>
      <c r="AE114" s="787">
        <f>IF(AD114=0,,VLOOKUP(AD114,リスト!DK:DL,2,0))</f>
        <v>0</v>
      </c>
      <c r="AF114" s="786">
        <f>IF(Z114=0,,
IF(OR(リスト!$C$21="小麦",リスト!$C$21="二条大麦",リスト!$C$21="六条大麦",リスト!$C$21="はだか麦",リスト!$C$21="なたね"),IF(K114&lt;9,調査年-J114,調査年-J114-1),
IF(リスト!$C$21="さとうきび",IF(K114&gt;=4,調査年-J114,調査年-J114+1),
調査年-J114)))</f>
        <v>0</v>
      </c>
      <c r="AG114" s="788">
        <f t="shared" ref="AG114:AG117" si="41">IF(OR(Z114=0,AA114=1),,
IF(AND(AD114&gt;0,AF114&lt;AD114,AH114&lt;=ROUND((L114-1)*AE114,0)),ROUND(AH114,0),
IF(AND(AD114&gt;0,AF114&lt;AD114),ROUND((L114-1)*AE114,0),)))</f>
        <v>0</v>
      </c>
      <c r="AH114" s="788">
        <f t="shared" si="28"/>
        <v>0</v>
      </c>
      <c r="AI114" s="788">
        <f t="shared" si="29"/>
        <v>0</v>
      </c>
      <c r="AJ114" s="788">
        <f t="shared" si="30"/>
        <v>0</v>
      </c>
      <c r="AK114" s="477"/>
      <c r="AL114" s="788">
        <f>IF(OR(R114=0,AH114=""),,
IF(OR(リスト!$C$21="小麦",リスト!$C$21="二条大麦",リスト!$C$21="六条大麦",リスト!$C$21="はだか麦",リスト!$C$21="なたね"),IF(OR(AND(K114&lt;9,J114=調査年),AND(K114&gt;=9,J114=調査年-1)),,ROUND(AH114*R114%,0)),
IF(リスト!$C$21="さとうきび",IF(OR(AND(K114&gt;=4,J114=調査年),AND(K114&lt;4,J114=調査年+1)),,ROUND(AH114*R114%,0)),
IF(J114=調査年,,ROUND(AH114*R114%,0)))))</f>
        <v>0</v>
      </c>
      <c r="AM114" s="788">
        <f t="shared" si="31"/>
        <v>0</v>
      </c>
      <c r="AN114" s="788">
        <f t="shared" si="32"/>
        <v>0</v>
      </c>
      <c r="AO114" s="788">
        <f t="shared" si="33"/>
        <v>0</v>
      </c>
      <c r="AP114" s="788">
        <f>IF(R114=0,,
SUM(
IF(OR(リスト!$C$21="小麦",リスト!$C$21="二条大麦",リスト!$C$21="六条大麦",リスト!$C$21="はだか麦",リスト!$C$21="なたね"),IF(OR(AND(AA114=1,K114&lt;9,J114=調査年),AND(AA114=1,K114&gt;=9,J114=調査年-1)),ROUND(L114*R114%,0),),
IF(リスト!$C$21="さとうきび",IF(OR(AND(AA114=1,K114&gt;=4,J114=調査年),AND(AA114=1,K114&lt;4,J114=調査年+1)),ROUND(L114*R114%,0),),
IF(AND(AA114=1,J114=調査年),ROUND(L114*R114%,0),))),
ROUND(M114*R114%,0)
))</f>
        <v>0</v>
      </c>
      <c r="AQ114" s="788">
        <f t="shared" si="34"/>
        <v>0</v>
      </c>
      <c r="AR114" s="788">
        <f t="shared" si="35"/>
        <v>0</v>
      </c>
      <c r="AS114" s="788">
        <f t="shared" si="39"/>
        <v>0</v>
      </c>
      <c r="AT114" s="788">
        <f t="shared" si="40"/>
        <v>0</v>
      </c>
      <c r="AU114" s="788">
        <f t="shared" si="36"/>
        <v>0</v>
      </c>
      <c r="AV114" s="788">
        <f t="shared" si="37"/>
        <v>0</v>
      </c>
      <c r="AW114" s="841">
        <f t="shared" si="38"/>
        <v>0</v>
      </c>
      <c r="AX114" s="842"/>
      <c r="AY114" s="842"/>
    </row>
    <row r="115" spans="3:51" s="55" customFormat="1" ht="30.75" hidden="1" customHeight="1" outlineLevel="1">
      <c r="C115" s="843">
        <v>98</v>
      </c>
      <c r="D115" s="803"/>
      <c r="E115" s="844"/>
      <c r="F115" s="845"/>
      <c r="G115" s="2281"/>
      <c r="H115" s="2282"/>
      <c r="I115" s="851"/>
      <c r="J115" s="846"/>
      <c r="K115" s="796"/>
      <c r="L115" s="797"/>
      <c r="M115" s="797"/>
      <c r="N115" s="797"/>
      <c r="O115" s="797"/>
      <c r="P115" s="797"/>
      <c r="Q115" s="797"/>
      <c r="R115" s="1284"/>
      <c r="S115" s="798"/>
      <c r="T115" s="847"/>
      <c r="U115" s="848"/>
      <c r="V115" s="837"/>
      <c r="W115" s="849"/>
      <c r="X115" s="850"/>
      <c r="Y115" s="174"/>
      <c r="Z115" s="786">
        <f t="shared" si="23"/>
        <v>0</v>
      </c>
      <c r="AA115" s="786">
        <f t="shared" si="24"/>
        <v>0</v>
      </c>
      <c r="AB115" s="786">
        <f t="shared" si="25"/>
        <v>0</v>
      </c>
      <c r="AC115" s="786">
        <f>IF(Z115=0,,VLOOKUP(Z115,リスト!DC:DD,2,0))</f>
        <v>0</v>
      </c>
      <c r="AD115" s="786">
        <f t="shared" si="26"/>
        <v>0</v>
      </c>
      <c r="AE115" s="787">
        <f>IF(AD115=0,,VLOOKUP(AD115,リスト!DK:DL,2,0))</f>
        <v>0</v>
      </c>
      <c r="AF115" s="786">
        <f>IF(Z115=0,,
IF(OR(リスト!$C$21="小麦",リスト!$C$21="二条大麦",リスト!$C$21="六条大麦",リスト!$C$21="はだか麦",リスト!$C$21="なたね"),IF(K115&lt;9,調査年-J115,調査年-J115-1),
IF(リスト!$C$21="さとうきび",IF(K115&gt;=4,調査年-J115,調査年-J115+1),
調査年-J115)))</f>
        <v>0</v>
      </c>
      <c r="AG115" s="788">
        <f t="shared" si="41"/>
        <v>0</v>
      </c>
      <c r="AH115" s="788">
        <f t="shared" si="28"/>
        <v>0</v>
      </c>
      <c r="AI115" s="788">
        <f t="shared" si="29"/>
        <v>0</v>
      </c>
      <c r="AJ115" s="788">
        <f t="shared" si="30"/>
        <v>0</v>
      </c>
      <c r="AK115" s="477"/>
      <c r="AL115" s="788">
        <f>IF(OR(R115=0,AH115=""),,
IF(OR(リスト!$C$21="小麦",リスト!$C$21="二条大麦",リスト!$C$21="六条大麦",リスト!$C$21="はだか麦",リスト!$C$21="なたね"),IF(OR(AND(K115&lt;9,J115=調査年),AND(K115&gt;=9,J115=調査年-1)),,ROUND(AH115*R115%,0)),
IF(リスト!$C$21="さとうきび",IF(OR(AND(K115&gt;=4,J115=調査年),AND(K115&lt;4,J115=調査年+1)),,ROUND(AH115*R115%,0)),
IF(J115=調査年,,ROUND(AH115*R115%,0)))))</f>
        <v>0</v>
      </c>
      <c r="AM115" s="788">
        <f t="shared" si="31"/>
        <v>0</v>
      </c>
      <c r="AN115" s="788">
        <f t="shared" si="32"/>
        <v>0</v>
      </c>
      <c r="AO115" s="788">
        <f t="shared" si="33"/>
        <v>0</v>
      </c>
      <c r="AP115" s="788">
        <f>IF(R115=0,,
SUM(
IF(OR(リスト!$C$21="小麦",リスト!$C$21="二条大麦",リスト!$C$21="六条大麦",リスト!$C$21="はだか麦",リスト!$C$21="なたね"),IF(OR(AND(AA115=1,K115&lt;9,J115=調査年),AND(AA115=1,K115&gt;=9,J115=調査年-1)),ROUND(L115*R115%,0),),
IF(リスト!$C$21="さとうきび",IF(OR(AND(AA115=1,K115&gt;=4,J115=調査年),AND(AA115=1,K115&lt;4,J115=調査年+1)),ROUND(L115*R115%,0),),
IF(AND(AA115=1,J115=調査年),ROUND(L115*R115%,0),))),
ROUND(M115*R115%,0)
))</f>
        <v>0</v>
      </c>
      <c r="AQ115" s="788">
        <f t="shared" si="34"/>
        <v>0</v>
      </c>
      <c r="AR115" s="788">
        <f t="shared" si="35"/>
        <v>0</v>
      </c>
      <c r="AS115" s="788">
        <f t="shared" si="39"/>
        <v>0</v>
      </c>
      <c r="AT115" s="788">
        <f t="shared" si="40"/>
        <v>0</v>
      </c>
      <c r="AU115" s="788">
        <f t="shared" si="36"/>
        <v>0</v>
      </c>
      <c r="AV115" s="788">
        <f t="shared" si="37"/>
        <v>0</v>
      </c>
      <c r="AW115" s="841">
        <f t="shared" si="38"/>
        <v>0</v>
      </c>
      <c r="AX115" s="842"/>
      <c r="AY115" s="842"/>
    </row>
    <row r="116" spans="3:51" s="55" customFormat="1" ht="30.75" hidden="1" customHeight="1" outlineLevel="1">
      <c r="C116" s="843">
        <v>99</v>
      </c>
      <c r="D116" s="803"/>
      <c r="E116" s="844"/>
      <c r="F116" s="845"/>
      <c r="G116" s="2281"/>
      <c r="H116" s="2282"/>
      <c r="I116" s="851"/>
      <c r="J116" s="846"/>
      <c r="K116" s="796"/>
      <c r="L116" s="797"/>
      <c r="M116" s="797"/>
      <c r="N116" s="797"/>
      <c r="O116" s="797"/>
      <c r="P116" s="797"/>
      <c r="Q116" s="797"/>
      <c r="R116" s="1284"/>
      <c r="S116" s="798"/>
      <c r="T116" s="847"/>
      <c r="U116" s="848"/>
      <c r="V116" s="837"/>
      <c r="W116" s="849"/>
      <c r="X116" s="850"/>
      <c r="Y116" s="174"/>
      <c r="Z116" s="786">
        <f t="shared" si="23"/>
        <v>0</v>
      </c>
      <c r="AA116" s="786">
        <f t="shared" si="24"/>
        <v>0</v>
      </c>
      <c r="AB116" s="786">
        <f t="shared" si="25"/>
        <v>0</v>
      </c>
      <c r="AC116" s="786">
        <f>IF(Z116=0,,VLOOKUP(Z116,リスト!DC:DD,2,0))</f>
        <v>0</v>
      </c>
      <c r="AD116" s="786">
        <f t="shared" si="26"/>
        <v>0</v>
      </c>
      <c r="AE116" s="787">
        <f>IF(AD116=0,,VLOOKUP(AD116,リスト!DK:DL,2,0))</f>
        <v>0</v>
      </c>
      <c r="AF116" s="786">
        <f>IF(Z116=0,,
IF(OR(リスト!$C$21="小麦",リスト!$C$21="二条大麦",リスト!$C$21="六条大麦",リスト!$C$21="はだか麦",リスト!$C$21="なたね"),IF(K116&lt;9,調査年-J116,調査年-J116-1),
IF(リスト!$C$21="さとうきび",IF(K116&gt;=4,調査年-J116,調査年-J116+1),
調査年-J116)))</f>
        <v>0</v>
      </c>
      <c r="AG116" s="788">
        <f t="shared" si="41"/>
        <v>0</v>
      </c>
      <c r="AH116" s="788">
        <f t="shared" si="28"/>
        <v>0</v>
      </c>
      <c r="AI116" s="788">
        <f t="shared" si="29"/>
        <v>0</v>
      </c>
      <c r="AJ116" s="788">
        <f t="shared" si="30"/>
        <v>0</v>
      </c>
      <c r="AK116" s="477"/>
      <c r="AL116" s="788">
        <f>IF(OR(R116=0,AH116=""),,
IF(OR(リスト!$C$21="小麦",リスト!$C$21="二条大麦",リスト!$C$21="六条大麦",リスト!$C$21="はだか麦",リスト!$C$21="なたね"),IF(OR(AND(K116&lt;9,J116=調査年),AND(K116&gt;=9,J116=調査年-1)),,ROUND(AH116*R116%,0)),
IF(リスト!$C$21="さとうきび",IF(OR(AND(K116&gt;=4,J116=調査年),AND(K116&lt;4,J116=調査年+1)),,ROUND(AH116*R116%,0)),
IF(J116=調査年,,ROUND(AH116*R116%,0)))))</f>
        <v>0</v>
      </c>
      <c r="AM116" s="788">
        <f t="shared" si="31"/>
        <v>0</v>
      </c>
      <c r="AN116" s="788">
        <f t="shared" si="32"/>
        <v>0</v>
      </c>
      <c r="AO116" s="788">
        <f t="shared" si="33"/>
        <v>0</v>
      </c>
      <c r="AP116" s="788">
        <f>IF(R116=0,,
SUM(
IF(OR(リスト!$C$21="小麦",リスト!$C$21="二条大麦",リスト!$C$21="六条大麦",リスト!$C$21="はだか麦",リスト!$C$21="なたね"),IF(OR(AND(AA116=1,K116&lt;9,J116=調査年),AND(AA116=1,K116&gt;=9,J116=調査年-1)),ROUND(L116*R116%,0),),
IF(リスト!$C$21="さとうきび",IF(OR(AND(AA116=1,K116&gt;=4,J116=調査年),AND(AA116=1,K116&lt;4,J116=調査年+1)),ROUND(L116*R116%,0),),
IF(AND(AA116=1,J116=調査年),ROUND(L116*R116%,0),))),
ROUND(M116*R116%,0)
))</f>
        <v>0</v>
      </c>
      <c r="AQ116" s="788">
        <f t="shared" si="34"/>
        <v>0</v>
      </c>
      <c r="AR116" s="788">
        <f t="shared" si="35"/>
        <v>0</v>
      </c>
      <c r="AS116" s="788">
        <f t="shared" si="39"/>
        <v>0</v>
      </c>
      <c r="AT116" s="788">
        <f t="shared" si="40"/>
        <v>0</v>
      </c>
      <c r="AU116" s="788">
        <f t="shared" si="36"/>
        <v>0</v>
      </c>
      <c r="AV116" s="788">
        <f t="shared" si="37"/>
        <v>0</v>
      </c>
      <c r="AW116" s="841">
        <f t="shared" si="38"/>
        <v>0</v>
      </c>
      <c r="AX116" s="842"/>
      <c r="AY116" s="842"/>
    </row>
    <row r="117" spans="3:51" s="55" customFormat="1" ht="30.75" hidden="1" customHeight="1" outlineLevel="1" thickBot="1">
      <c r="C117" s="862">
        <v>100</v>
      </c>
      <c r="D117" s="805"/>
      <c r="E117" s="863"/>
      <c r="F117" s="864"/>
      <c r="G117" s="2289"/>
      <c r="H117" s="2290"/>
      <c r="I117" s="865"/>
      <c r="J117" s="866"/>
      <c r="K117" s="810"/>
      <c r="L117" s="811"/>
      <c r="M117" s="811"/>
      <c r="N117" s="811"/>
      <c r="O117" s="811"/>
      <c r="P117" s="811"/>
      <c r="Q117" s="811"/>
      <c r="R117" s="1285"/>
      <c r="S117" s="812"/>
      <c r="T117" s="867"/>
      <c r="U117" s="868"/>
      <c r="V117" s="837"/>
      <c r="W117" s="869"/>
      <c r="X117" s="870"/>
      <c r="Y117" s="174"/>
      <c r="Z117" s="786">
        <f t="shared" si="23"/>
        <v>0</v>
      </c>
      <c r="AA117" s="786">
        <f t="shared" si="24"/>
        <v>0</v>
      </c>
      <c r="AB117" s="786">
        <f t="shared" si="25"/>
        <v>0</v>
      </c>
      <c r="AC117" s="786">
        <f>IF(Z117=0,,VLOOKUP(Z117,リスト!DC:DD,2,0))</f>
        <v>0</v>
      </c>
      <c r="AD117" s="786">
        <f t="shared" si="26"/>
        <v>0</v>
      </c>
      <c r="AE117" s="787">
        <f>IF(AD117=0,,VLOOKUP(AD117,リスト!DK:DL,2,0))</f>
        <v>0</v>
      </c>
      <c r="AF117" s="786">
        <f>IF(Z117=0,,
IF(OR(リスト!$C$21="小麦",リスト!$C$21="二条大麦",リスト!$C$21="六条大麦",リスト!$C$21="はだか麦",リスト!$C$21="なたね"),IF(K117&lt;9,調査年-J117,調査年-J117-1),
IF(リスト!$C$21="さとうきび",IF(K117&gt;=4,調査年-J117,調査年-J117+1),
調査年-J117)))</f>
        <v>0</v>
      </c>
      <c r="AG117" s="788">
        <f t="shared" si="41"/>
        <v>0</v>
      </c>
      <c r="AH117" s="788">
        <f t="shared" si="28"/>
        <v>0</v>
      </c>
      <c r="AI117" s="788">
        <f t="shared" si="29"/>
        <v>0</v>
      </c>
      <c r="AJ117" s="788">
        <f t="shared" si="30"/>
        <v>0</v>
      </c>
      <c r="AK117" s="477"/>
      <c r="AL117" s="788">
        <f>IF(OR(R117=0,AH117=""),,
IF(OR(リスト!$C$21="小麦",リスト!$C$21="二条大麦",リスト!$C$21="六条大麦",リスト!$C$21="はだか麦",リスト!$C$21="なたね"),IF(OR(AND(K117&lt;9,J117=調査年),AND(K117&gt;=9,J117=調査年-1)),,ROUND(AH117*R117%,0)),
IF(リスト!$C$21="さとうきび",IF(OR(AND(K117&gt;=4,J117=調査年),AND(K117&lt;4,J117=調査年+1)),,ROUND(AH117*R117%,0)),
IF(J117=調査年,,ROUND(AH117*R117%,0)))))</f>
        <v>0</v>
      </c>
      <c r="AM117" s="788">
        <f t="shared" si="31"/>
        <v>0</v>
      </c>
      <c r="AN117" s="788">
        <f t="shared" si="32"/>
        <v>0</v>
      </c>
      <c r="AO117" s="788">
        <f t="shared" si="33"/>
        <v>0</v>
      </c>
      <c r="AP117" s="788">
        <f>IF(R117=0,,
SUM(
IF(OR(リスト!$C$21="小麦",リスト!$C$21="二条大麦",リスト!$C$21="六条大麦",リスト!$C$21="はだか麦",リスト!$C$21="なたね"),IF(OR(AND(AA117=1,K117&lt;9,J117=調査年),AND(AA117=1,K117&gt;=9,J117=調査年-1)),ROUND(L117*R117%,0),),
IF(リスト!$C$21="さとうきび",IF(OR(AND(AA117=1,K117&gt;=4,J117=調査年),AND(AA117=1,K117&lt;4,J117=調査年+1)),ROUND(L117*R117%,0),),
IF(AND(AA117=1,J117=調査年),ROUND(L117*R117%,0),))),
ROUND(M117*R117%,0)
))</f>
        <v>0</v>
      </c>
      <c r="AQ117" s="788">
        <f t="shared" si="34"/>
        <v>0</v>
      </c>
      <c r="AR117" s="788">
        <f t="shared" si="35"/>
        <v>0</v>
      </c>
      <c r="AS117" s="788">
        <f t="shared" si="39"/>
        <v>0</v>
      </c>
      <c r="AT117" s="788">
        <f t="shared" si="40"/>
        <v>0</v>
      </c>
      <c r="AU117" s="788">
        <f t="shared" si="36"/>
        <v>0</v>
      </c>
      <c r="AV117" s="788">
        <f t="shared" si="37"/>
        <v>0</v>
      </c>
      <c r="AW117" s="841">
        <f t="shared" si="38"/>
        <v>0</v>
      </c>
      <c r="AX117" s="842"/>
      <c r="AY117" s="842"/>
    </row>
    <row r="118" spans="3:51" ht="14.25" customHeight="1" thickTop="1">
      <c r="C118" s="623"/>
      <c r="D118" s="623"/>
      <c r="E118" s="624"/>
      <c r="F118" s="624"/>
      <c r="G118" s="624"/>
      <c r="H118" s="624"/>
      <c r="I118" s="624"/>
      <c r="J118" s="624"/>
      <c r="K118" s="624"/>
      <c r="L118" s="624"/>
      <c r="M118" s="624"/>
      <c r="N118" s="624"/>
      <c r="O118" s="624"/>
      <c r="P118" s="624"/>
      <c r="Q118" s="624"/>
      <c r="R118" s="624"/>
      <c r="S118" s="584"/>
      <c r="T118" s="624"/>
      <c r="U118" s="624"/>
      <c r="W118" s="871"/>
      <c r="X118" s="817"/>
      <c r="AW118" s="414"/>
    </row>
    <row r="119" spans="3:51" ht="14.25" customHeight="1">
      <c r="S119" s="2"/>
      <c r="AW119" s="414"/>
    </row>
    <row r="120" spans="3:51" ht="14.25" customHeight="1">
      <c r="S120" s="2"/>
      <c r="AW120" s="414"/>
    </row>
    <row r="121" spans="3:51" ht="14.25" customHeight="1">
      <c r="AW121" s="414"/>
    </row>
    <row r="122" spans="3:51" ht="14.25" customHeight="1">
      <c r="AW122" s="414"/>
    </row>
  </sheetData>
  <sheetProtection sheet="1" objects="1" scenarios="1" selectLockedCells="1"/>
  <mergeCells count="154">
    <mergeCell ref="G116:H116"/>
    <mergeCell ref="G117:H117"/>
    <mergeCell ref="G110:H110"/>
    <mergeCell ref="G111:H111"/>
    <mergeCell ref="G112:H112"/>
    <mergeCell ref="G113:H113"/>
    <mergeCell ref="G114:H114"/>
    <mergeCell ref="G115:H115"/>
    <mergeCell ref="G104:H104"/>
    <mergeCell ref="G105:H105"/>
    <mergeCell ref="G106:H106"/>
    <mergeCell ref="G107:H107"/>
    <mergeCell ref="G108:H108"/>
    <mergeCell ref="G109:H109"/>
    <mergeCell ref="G98:H98"/>
    <mergeCell ref="G99:H99"/>
    <mergeCell ref="G100:H100"/>
    <mergeCell ref="G101:H101"/>
    <mergeCell ref="G102:H102"/>
    <mergeCell ref="G103:H103"/>
    <mergeCell ref="G92:H92"/>
    <mergeCell ref="G93:H93"/>
    <mergeCell ref="G94:H94"/>
    <mergeCell ref="G95:H95"/>
    <mergeCell ref="G96:H96"/>
    <mergeCell ref="G97:H97"/>
    <mergeCell ref="G86:H86"/>
    <mergeCell ref="G87:H87"/>
    <mergeCell ref="G88:H88"/>
    <mergeCell ref="G89:H89"/>
    <mergeCell ref="G90:H90"/>
    <mergeCell ref="G91:H91"/>
    <mergeCell ref="G80:H80"/>
    <mergeCell ref="G81:H81"/>
    <mergeCell ref="G82:H82"/>
    <mergeCell ref="G83:H83"/>
    <mergeCell ref="G84:H84"/>
    <mergeCell ref="G85:H85"/>
    <mergeCell ref="G74:H74"/>
    <mergeCell ref="G75:H75"/>
    <mergeCell ref="G76:H76"/>
    <mergeCell ref="G77:H77"/>
    <mergeCell ref="G78:H78"/>
    <mergeCell ref="G79:H79"/>
    <mergeCell ref="G68:H68"/>
    <mergeCell ref="G69:H69"/>
    <mergeCell ref="G70:H70"/>
    <mergeCell ref="G71:H71"/>
    <mergeCell ref="G72:H72"/>
    <mergeCell ref="G73:H73"/>
    <mergeCell ref="G62:H62"/>
    <mergeCell ref="G63:H63"/>
    <mergeCell ref="G64:H64"/>
    <mergeCell ref="G65:H65"/>
    <mergeCell ref="G66:H66"/>
    <mergeCell ref="G67:H67"/>
    <mergeCell ref="G56:H56"/>
    <mergeCell ref="G57:H57"/>
    <mergeCell ref="G58:H58"/>
    <mergeCell ref="G59:H59"/>
    <mergeCell ref="G60:H60"/>
    <mergeCell ref="G61:H61"/>
    <mergeCell ref="G50:H50"/>
    <mergeCell ref="G51:H51"/>
    <mergeCell ref="G52:H52"/>
    <mergeCell ref="G53:H53"/>
    <mergeCell ref="G54:H54"/>
    <mergeCell ref="G55:H55"/>
    <mergeCell ref="G44:H44"/>
    <mergeCell ref="G45:H45"/>
    <mergeCell ref="G46:H46"/>
    <mergeCell ref="G47:H47"/>
    <mergeCell ref="G48:H48"/>
    <mergeCell ref="G49:H49"/>
    <mergeCell ref="G38:H38"/>
    <mergeCell ref="G39:H39"/>
    <mergeCell ref="G40:H40"/>
    <mergeCell ref="G41:H41"/>
    <mergeCell ref="G42:H42"/>
    <mergeCell ref="G43:H43"/>
    <mergeCell ref="G32:H32"/>
    <mergeCell ref="G33:H33"/>
    <mergeCell ref="G34:H34"/>
    <mergeCell ref="G35:H35"/>
    <mergeCell ref="G36:H36"/>
    <mergeCell ref="G37:H37"/>
    <mergeCell ref="G26:H26"/>
    <mergeCell ref="G27:H27"/>
    <mergeCell ref="G28:H28"/>
    <mergeCell ref="G29:H29"/>
    <mergeCell ref="G30:H30"/>
    <mergeCell ref="G31:H31"/>
    <mergeCell ref="G20:H20"/>
    <mergeCell ref="G21:H21"/>
    <mergeCell ref="G22:H22"/>
    <mergeCell ref="G23:H23"/>
    <mergeCell ref="G24:H24"/>
    <mergeCell ref="G25:H25"/>
    <mergeCell ref="G18:H18"/>
    <mergeCell ref="G19:H19"/>
    <mergeCell ref="AV12:AV16"/>
    <mergeCell ref="AW12:AW16"/>
    <mergeCell ref="G13:G17"/>
    <mergeCell ref="H13:H17"/>
    <mergeCell ref="J13:J17"/>
    <mergeCell ref="K13:K17"/>
    <mergeCell ref="T13:T17"/>
    <mergeCell ref="U13:U14"/>
    <mergeCell ref="AJ13:AJ16"/>
    <mergeCell ref="AN13:AN16"/>
    <mergeCell ref="AP12:AP16"/>
    <mergeCell ref="AQ12:AQ16"/>
    <mergeCell ref="AR12:AR16"/>
    <mergeCell ref="AS12:AS16"/>
    <mergeCell ref="AT12:AT16"/>
    <mergeCell ref="AU12:AU16"/>
    <mergeCell ref="AG12:AG16"/>
    <mergeCell ref="AH12:AH16"/>
    <mergeCell ref="AI12:AI16"/>
    <mergeCell ref="AL12:AL16"/>
    <mergeCell ref="AM12:AM16"/>
    <mergeCell ref="AO12:AO16"/>
    <mergeCell ref="AH10:AJ11"/>
    <mergeCell ref="AK10:AK16"/>
    <mergeCell ref="AL10:AW11"/>
    <mergeCell ref="AC12:AC16"/>
    <mergeCell ref="AD12:AD16"/>
    <mergeCell ref="AE12:AE16"/>
    <mergeCell ref="AF12:AF16"/>
    <mergeCell ref="J11:K12"/>
    <mergeCell ref="L11:L12"/>
    <mergeCell ref="M11:M12"/>
    <mergeCell ref="N11:N12"/>
    <mergeCell ref="O11:O12"/>
    <mergeCell ref="P11:Q13"/>
    <mergeCell ref="R11:R17"/>
    <mergeCell ref="S11:S17"/>
    <mergeCell ref="T11:U12"/>
    <mergeCell ref="Z12:Z16"/>
    <mergeCell ref="AA12:AA16"/>
    <mergeCell ref="AB12:AB16"/>
    <mergeCell ref="W10:W17"/>
    <mergeCell ref="X10:X17"/>
    <mergeCell ref="Z10:AG11"/>
    <mergeCell ref="C11:C17"/>
    <mergeCell ref="D11:D17"/>
    <mergeCell ref="E11:E17"/>
    <mergeCell ref="F11:F17"/>
    <mergeCell ref="G11:H12"/>
    <mergeCell ref="I11:I17"/>
    <mergeCell ref="P14:P15"/>
    <mergeCell ref="Q14:Q15"/>
    <mergeCell ref="P16:P17"/>
    <mergeCell ref="Q16:Q17"/>
  </mergeCells>
  <phoneticPr fontId="5"/>
  <dataValidations count="8">
    <dataValidation type="list" showInputMessage="1" showErrorMessage="1" sqref="F18:F117" xr:uid="{00000000-0002-0000-1100-000000000000}">
      <formula1>INDIRECT($E18)</formula1>
    </dataValidation>
    <dataValidation type="whole" allowBlank="1" showInputMessage="1" showErrorMessage="1" sqref="J18:J117" xr:uid="{00000000-0002-0000-1100-000001000000}">
      <formula1>1700</formula1>
      <formula2>9999</formula2>
    </dataValidation>
    <dataValidation type="whole" operator="greaterThanOrEqual" allowBlank="1" showInputMessage="1" showErrorMessage="1" error="０以上の数値を整数で入力してください。" sqref="U18:U117" xr:uid="{00000000-0002-0000-1100-000002000000}">
      <formula1>0</formula1>
    </dataValidation>
    <dataValidation type="textLength" imeMode="hiragana" operator="greaterThanOrEqual" allowBlank="1" showInputMessage="1" showErrorMessage="1" sqref="D18:D117" xr:uid="{00000000-0002-0000-1100-000003000000}">
      <formula1>1</formula1>
    </dataValidation>
    <dataValidation type="whole" operator="greaterThan" allowBlank="1" showInputMessage="1" showErrorMessage="1" error="0より大きい数値を整数で入力してください。" sqref="L18:Q117 W18:W117" xr:uid="{00000000-0002-0000-1100-000004000000}">
      <formula1>0</formula1>
    </dataValidation>
    <dataValidation type="whole" allowBlank="1" showInputMessage="1" showErrorMessage="1" error="1～12の値を入力してください。" sqref="K18:K117" xr:uid="{00000000-0002-0000-1100-000005000000}">
      <formula1>1</formula1>
      <formula2>12</formula2>
    </dataValidation>
    <dataValidation type="whole" operator="greaterThanOrEqual" allowBlank="1" showInputMessage="1" showErrorMessage="1" error="２以上の数値を入力してください。" sqref="I18:I117" xr:uid="{00000000-0002-0000-1100-000006000000}">
      <formula1>2</formula1>
    </dataValidation>
    <dataValidation type="custom" allowBlank="1" showInputMessage="1" showErrorMessage="1" error="0.001~100の範囲で小数点第３位までの数値を入力してください。" sqref="R18:R117" xr:uid="{00000000-0002-0000-1100-000007000000}">
      <formula1>AND(AND(R18*1000=INT(R18*1000)),(R18&gt;0),(R18&lt;=100))</formula1>
    </dataValidation>
  </dataValidations>
  <pageMargins left="0.59055118110236227" right="0.59055118110236227" top="0.59055118110236227" bottom="0.59055118110236227" header="0" footer="0"/>
  <pageSetup paperSize="9" scale="19" orientation="landscape" cellComments="asDisplayed" r:id="rId1"/>
  <headerFooter alignWithMargins="0"/>
  <drawing r:id="rId2"/>
  <legacyDrawing r:id="rId3"/>
  <legacyDrawingHF r:id="rId4"/>
  <controls>
    <mc:AlternateContent xmlns:mc="http://schemas.openxmlformats.org/markup-compatibility/2006">
      <mc:Choice Requires="x14">
        <control shapeId="15363" r:id="rId5" name="btnKoushin1">
          <controlPr defaultSize="0" print="0" autoLine="0" r:id="rId6">
            <anchor moveWithCells="1">
              <from>
                <xdr:col>11</xdr:col>
                <xdr:colOff>247650</xdr:colOff>
                <xdr:row>1</xdr:row>
                <xdr:rowOff>0</xdr:rowOff>
              </from>
              <to>
                <xdr:col>11</xdr:col>
                <xdr:colOff>1514475</xdr:colOff>
                <xdr:row>3</xdr:row>
                <xdr:rowOff>57150</xdr:rowOff>
              </to>
            </anchor>
          </controlPr>
        </control>
      </mc:Choice>
      <mc:Fallback>
        <control shapeId="15363" r:id="rId5" name="btnKoushin1"/>
      </mc:Fallback>
    </mc:AlternateContent>
    <mc:AlternateContent xmlns:mc="http://schemas.openxmlformats.org/markup-compatibility/2006">
      <mc:Choice Requires="x14">
        <control shapeId="15362" r:id="rId7" name="txt_hyouji">
          <controlPr locked="0" defaultSize="0" print="0" autoLine="0" r:id="rId8">
            <anchor moveWithCells="1">
              <from>
                <xdr:col>9</xdr:col>
                <xdr:colOff>428625</xdr:colOff>
                <xdr:row>2</xdr:row>
                <xdr:rowOff>19050</xdr:rowOff>
              </from>
              <to>
                <xdr:col>11</xdr:col>
                <xdr:colOff>123825</xdr:colOff>
                <xdr:row>3</xdr:row>
                <xdr:rowOff>47625</xdr:rowOff>
              </to>
            </anchor>
          </controlPr>
        </control>
      </mc:Choice>
      <mc:Fallback>
        <control shapeId="15362" r:id="rId7" name="txt_hyouji"/>
      </mc:Fallback>
    </mc:AlternateContent>
    <mc:AlternateContent xmlns:mc="http://schemas.openxmlformats.org/markup-compatibility/2006">
      <mc:Choice Requires="x14">
        <control shapeId="15361" r:id="rId9" name="Label1">
          <controlPr defaultSize="0" print="0" autoLine="0" r:id="rId10">
            <anchor moveWithCells="1">
              <from>
                <xdr:col>9</xdr:col>
                <xdr:colOff>428625</xdr:colOff>
                <xdr:row>1</xdr:row>
                <xdr:rowOff>0</xdr:rowOff>
              </from>
              <to>
                <xdr:col>11</xdr:col>
                <xdr:colOff>123825</xdr:colOff>
                <xdr:row>2</xdr:row>
                <xdr:rowOff>28575</xdr:rowOff>
              </to>
            </anchor>
          </controlPr>
        </control>
      </mc:Choice>
      <mc:Fallback>
        <control shapeId="15361" r:id="rId9" name="Label1"/>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100-000008000000}">
          <x14:formula1>
            <xm:f>リスト!$DN$5</xm:f>
          </x14:formula1>
          <xm:sqref>X18:X117</xm:sqref>
        </x14:dataValidation>
        <x14:dataValidation type="list" allowBlank="1" showInputMessage="1" showErrorMessage="1" xr:uid="{00000000-0002-0000-1100-000009000000}">
          <x14:formula1>
            <xm:f>リスト!$BK$5:$BK$6</xm:f>
          </x14:formula1>
          <xm:sqref>T18:T117</xm:sqref>
        </x14:dataValidation>
        <x14:dataValidation type="list" allowBlank="1" showInputMessage="1" showErrorMessage="1" xr:uid="{00000000-0002-0000-1100-00000A000000}">
          <x14:formula1>
            <xm:f>リスト!$BI$5:$BI$6</xm:f>
          </x14:formula1>
          <xm:sqref>G18:H117</xm:sqref>
        </x14:dataValidation>
        <x14:dataValidation type="list" allowBlank="1" showInputMessage="1" showErrorMessage="1" xr:uid="{00000000-0002-0000-1100-00000B000000}">
          <x14:formula1>
            <xm:f>リスト!$BD$5:$BD$6</xm:f>
          </x14:formula1>
          <xm:sqref>E18:E117</xm:sqref>
        </x14:dataValidation>
        <x14:dataValidation type="list" allowBlank="1" showInputMessage="1" showErrorMessage="1" xr:uid="{00000000-0002-0000-1100-00000C000000}">
          <x14:formula1>
            <xm:f>リスト!$BB$5:$BB$6</xm:f>
          </x14:formula1>
          <xm:sqref>S18:S117</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7">
    <outlinePr summaryBelow="0"/>
    <pageSetUpPr fitToPage="1"/>
  </sheetPr>
  <dimension ref="A1:BO133"/>
  <sheetViews>
    <sheetView showGridLines="0" zoomScale="70" zoomScaleNormal="70" zoomScaleSheetLayoutView="70" workbookViewId="0">
      <pane xSplit="2" ySplit="16" topLeftCell="C17" activePane="bottomRight" state="frozen"/>
      <selection sqref="A1:AH1"/>
      <selection pane="topRight" sqref="A1:AH1"/>
      <selection pane="bottomLeft" sqref="A1:AH1"/>
      <selection pane="bottomRight" activeCell="D17" sqref="D17"/>
    </sheetView>
  </sheetViews>
  <sheetFormatPr defaultColWidth="2.625" defaultRowHeight="14.25" customHeight="1" outlineLevelRow="1" outlineLevelCol="1"/>
  <cols>
    <col min="1" max="1" width="0.875" style="295" customWidth="1"/>
    <col min="2" max="2" width="2.625" style="295" customWidth="1"/>
    <col min="3" max="3" width="3.75" style="295" customWidth="1"/>
    <col min="4" max="4" width="26.25" style="295" customWidth="1"/>
    <col min="5" max="5" width="13.75" style="295" customWidth="1"/>
    <col min="6" max="6" width="17.125" style="295" customWidth="1"/>
    <col min="7" max="8" width="4.875" style="295" customWidth="1"/>
    <col min="9" max="9" width="5.25" style="295" customWidth="1"/>
    <col min="10" max="10" width="10.625" style="295" customWidth="1"/>
    <col min="11" max="11" width="5.125" style="295" customWidth="1"/>
    <col min="12" max="12" width="22.125" style="295" customWidth="1"/>
    <col min="13" max="13" width="22.125" style="50" customWidth="1"/>
    <col min="14" max="14" width="18.625" style="50" customWidth="1"/>
    <col min="15" max="15" width="15.875" style="50" customWidth="1"/>
    <col min="16" max="16" width="10.625" style="50" customWidth="1"/>
    <col min="17" max="18" width="9.625" style="295" customWidth="1"/>
    <col min="19" max="19" width="7.875" style="295" customWidth="1"/>
    <col min="20" max="20" width="12.125" style="295" hidden="1" customWidth="1"/>
    <col min="21" max="21" width="12.125" style="295" bestFit="1" customWidth="1"/>
    <col min="22" max="22" width="21" style="295" customWidth="1"/>
    <col min="23" max="23" width="4.5" style="226" customWidth="1"/>
    <col min="24" max="24" width="8.125" style="2" customWidth="1" outlineLevel="1"/>
    <col min="25" max="25" width="8.125" style="50" customWidth="1" outlineLevel="1"/>
    <col min="26" max="26" width="2.625" style="50" outlineLevel="1"/>
    <col min="27" max="33" width="10.625" style="295" customWidth="1" outlineLevel="1"/>
    <col min="34" max="39" width="14.5" style="295" customWidth="1" outlineLevel="1"/>
    <col min="40" max="40" width="10.625" style="295" customWidth="1" outlineLevel="1"/>
    <col min="41" max="45" width="14.5" style="295" customWidth="1" outlineLevel="1"/>
    <col min="46" max="46" width="10.625" style="295" customWidth="1" outlineLevel="1"/>
    <col min="47" max="47" width="12.375" style="295" bestFit="1" customWidth="1" outlineLevel="1"/>
    <col min="48" max="50" width="10.625" style="295" customWidth="1" outlineLevel="1"/>
    <col min="51" max="51" width="10.625" style="751" customWidth="1" outlineLevel="1"/>
    <col min="52" max="67" width="2.625" style="50"/>
    <col min="68" max="16384" width="2.625" style="295"/>
  </cols>
  <sheetData>
    <row r="1" spans="1:67" ht="14.25" customHeight="1">
      <c r="W1" s="387"/>
      <c r="X1" s="50" t="s">
        <v>410</v>
      </c>
      <c r="AB1" s="50"/>
      <c r="AC1" s="50"/>
      <c r="AD1" s="174"/>
      <c r="AE1" s="174"/>
      <c r="AF1" s="50"/>
      <c r="AG1" s="50"/>
      <c r="AH1" s="50"/>
      <c r="AI1" s="50"/>
      <c r="AJ1" s="50"/>
      <c r="AK1" s="50"/>
      <c r="AL1" s="174"/>
      <c r="AM1" s="174"/>
      <c r="AN1" s="50"/>
      <c r="AO1" s="50"/>
      <c r="AP1" s="174"/>
      <c r="AQ1" s="174"/>
      <c r="AR1" s="174"/>
      <c r="AS1" s="50"/>
      <c r="AT1" s="50"/>
      <c r="AU1" s="50"/>
      <c r="AV1" s="50"/>
      <c r="AW1" s="50"/>
      <c r="AX1" s="50"/>
      <c r="AY1" s="176"/>
    </row>
    <row r="2" spans="1:67" ht="14.25" customHeight="1">
      <c r="A2" s="348" t="s">
        <v>606</v>
      </c>
      <c r="X2" s="348" t="s">
        <v>606</v>
      </c>
    </row>
    <row r="3" spans="1:67" ht="14.25" customHeight="1">
      <c r="A3" s="348"/>
      <c r="B3" s="872"/>
      <c r="C3" s="712"/>
      <c r="D3" s="684"/>
      <c r="E3" s="684"/>
      <c r="F3" s="684"/>
      <c r="G3" s="684"/>
      <c r="H3" s="684"/>
      <c r="I3" s="684"/>
      <c r="J3" s="684"/>
      <c r="K3" s="684"/>
      <c r="L3" s="684"/>
      <c r="AZ3" s="295"/>
      <c r="BA3" s="295"/>
      <c r="BB3" s="295"/>
      <c r="BC3" s="295"/>
      <c r="BD3" s="295"/>
      <c r="BE3" s="295"/>
      <c r="BF3" s="295"/>
      <c r="BG3" s="295"/>
      <c r="BH3" s="295"/>
      <c r="BI3" s="295"/>
      <c r="BJ3" s="295"/>
      <c r="BK3" s="295"/>
      <c r="BL3" s="295"/>
      <c r="BM3" s="295"/>
      <c r="BN3" s="295"/>
      <c r="BO3" s="295"/>
    </row>
    <row r="4" spans="1:67" ht="14.25" customHeight="1">
      <c r="A4" s="873"/>
      <c r="B4" s="684"/>
      <c r="C4" s="712" t="s">
        <v>607</v>
      </c>
      <c r="D4" s="684"/>
      <c r="E4" s="684"/>
      <c r="F4" s="684"/>
      <c r="G4" s="684"/>
      <c r="H4" s="684"/>
      <c r="I4" s="684"/>
      <c r="J4" s="684"/>
      <c r="K4" s="684"/>
      <c r="L4" s="684"/>
      <c r="AZ4" s="295"/>
      <c r="BA4" s="295"/>
      <c r="BB4" s="295"/>
      <c r="BC4" s="295"/>
      <c r="BD4" s="295"/>
      <c r="BE4" s="295"/>
      <c r="BF4" s="295"/>
      <c r="BG4" s="295"/>
      <c r="BH4" s="295"/>
      <c r="BI4" s="295"/>
      <c r="BJ4" s="295"/>
      <c r="BK4" s="295"/>
      <c r="BL4" s="295"/>
      <c r="BM4" s="295"/>
      <c r="BN4" s="295"/>
      <c r="BO4" s="295"/>
    </row>
    <row r="5" spans="1:67" ht="14.25" customHeight="1">
      <c r="B5" s="684"/>
      <c r="C5" s="55" t="s">
        <v>608</v>
      </c>
      <c r="E5" s="684"/>
      <c r="F5" s="684"/>
      <c r="G5" s="684"/>
      <c r="H5" s="684"/>
      <c r="I5" s="684"/>
      <c r="J5" s="684"/>
      <c r="K5" s="684"/>
      <c r="L5" s="684"/>
      <c r="AZ5" s="295"/>
      <c r="BA5" s="295"/>
      <c r="BB5" s="295"/>
      <c r="BC5" s="295"/>
      <c r="BD5" s="295"/>
      <c r="BE5" s="295"/>
      <c r="BF5" s="295"/>
      <c r="BG5" s="295"/>
      <c r="BH5" s="295"/>
      <c r="BI5" s="295"/>
      <c r="BJ5" s="295"/>
      <c r="BK5" s="295"/>
      <c r="BL5" s="295"/>
      <c r="BM5" s="295"/>
      <c r="BN5" s="295"/>
      <c r="BO5" s="295"/>
    </row>
    <row r="6" spans="1:67" ht="14.25" customHeight="1">
      <c r="B6" s="684"/>
      <c r="D6" s="684"/>
      <c r="E6" s="684"/>
      <c r="F6" s="684"/>
      <c r="G6" s="684"/>
      <c r="H6" s="684"/>
      <c r="I6" s="684"/>
      <c r="J6" s="684"/>
      <c r="K6" s="684"/>
      <c r="L6" s="684"/>
      <c r="X6" s="46" t="s">
        <v>584</v>
      </c>
      <c r="AZ6" s="295"/>
      <c r="BA6" s="295"/>
      <c r="BB6" s="295"/>
      <c r="BC6" s="295"/>
      <c r="BD6" s="295"/>
      <c r="BE6" s="295"/>
      <c r="BF6" s="295"/>
      <c r="BG6" s="295"/>
      <c r="BH6" s="295"/>
      <c r="BI6" s="295"/>
      <c r="BJ6" s="295"/>
      <c r="BK6" s="295"/>
      <c r="BL6" s="295"/>
      <c r="BM6" s="295"/>
      <c r="BN6" s="295"/>
      <c r="BO6" s="295"/>
    </row>
    <row r="7" spans="1:67" ht="14.25" customHeight="1">
      <c r="A7" s="295" t="s">
        <v>609</v>
      </c>
      <c r="B7" s="684"/>
      <c r="C7" s="174"/>
      <c r="D7" s="684"/>
      <c r="E7" s="684"/>
      <c r="F7" s="684"/>
      <c r="G7" s="684"/>
      <c r="H7" s="684"/>
      <c r="I7" s="684"/>
      <c r="J7" s="684"/>
      <c r="K7" s="684"/>
      <c r="L7" s="684"/>
      <c r="X7" s="874" t="s">
        <v>585</v>
      </c>
      <c r="AY7" s="295"/>
      <c r="AZ7" s="295"/>
      <c r="BA7" s="295"/>
      <c r="BB7" s="295"/>
      <c r="BC7" s="295"/>
      <c r="BD7" s="295"/>
      <c r="BE7" s="295"/>
      <c r="BF7" s="295"/>
      <c r="BG7" s="295"/>
      <c r="BH7" s="295"/>
      <c r="BI7" s="295"/>
      <c r="BJ7" s="295"/>
      <c r="BK7" s="295"/>
      <c r="BL7" s="295"/>
      <c r="BM7" s="295"/>
      <c r="BN7" s="295"/>
      <c r="BO7" s="295"/>
    </row>
    <row r="8" spans="1:67" ht="14.25" customHeight="1">
      <c r="B8" s="684"/>
      <c r="C8" s="55"/>
      <c r="D8" s="684"/>
      <c r="E8" s="684"/>
      <c r="F8" s="684"/>
      <c r="G8" s="684"/>
      <c r="H8" s="684"/>
      <c r="I8" s="684"/>
      <c r="J8" s="684"/>
      <c r="K8" s="684"/>
      <c r="L8" s="684"/>
      <c r="X8" s="2199" t="s">
        <v>586</v>
      </c>
      <c r="Y8" s="2199" t="s">
        <v>610</v>
      </c>
      <c r="AA8" s="2202" t="s">
        <v>529</v>
      </c>
      <c r="AB8" s="2202"/>
      <c r="AC8" s="2202"/>
      <c r="AD8" s="2202"/>
      <c r="AE8" s="2202"/>
      <c r="AF8" s="2202"/>
      <c r="AG8" s="2202"/>
      <c r="AH8" s="2202"/>
      <c r="AI8" s="2166" t="s">
        <v>530</v>
      </c>
      <c r="AJ8" s="2167"/>
      <c r="AK8" s="2168"/>
      <c r="AL8" s="2203" t="s">
        <v>531</v>
      </c>
      <c r="AM8" s="2204"/>
      <c r="AN8" s="2207"/>
      <c r="AO8" s="2166" t="s">
        <v>533</v>
      </c>
      <c r="AP8" s="2167"/>
      <c r="AQ8" s="2167"/>
      <c r="AR8" s="2167"/>
      <c r="AS8" s="2167"/>
      <c r="AT8" s="2167"/>
      <c r="AU8" s="2167"/>
      <c r="AV8" s="2167"/>
      <c r="AW8" s="2167"/>
      <c r="AX8" s="2167"/>
      <c r="AY8" s="2168"/>
      <c r="AZ8" s="295"/>
      <c r="BA8" s="295"/>
      <c r="BB8" s="295"/>
      <c r="BC8" s="295"/>
      <c r="BD8" s="295"/>
      <c r="BE8" s="295"/>
      <c r="BF8" s="295"/>
      <c r="BG8" s="295"/>
      <c r="BH8" s="295"/>
      <c r="BI8" s="295"/>
      <c r="BJ8" s="295"/>
      <c r="BK8" s="295"/>
      <c r="BL8" s="295"/>
      <c r="BM8" s="295"/>
      <c r="BN8" s="295"/>
      <c r="BO8" s="295"/>
    </row>
    <row r="9" spans="1:67" ht="14.25" customHeight="1" thickBot="1">
      <c r="B9" s="684"/>
      <c r="C9" s="55"/>
      <c r="D9" s="684"/>
      <c r="E9" s="684"/>
      <c r="F9" s="684"/>
      <c r="G9" s="684"/>
      <c r="H9" s="684"/>
      <c r="I9" s="684"/>
      <c r="J9" s="684"/>
      <c r="K9" s="684"/>
      <c r="L9" s="684"/>
      <c r="X9" s="2200"/>
      <c r="Y9" s="2200"/>
      <c r="Z9" s="174"/>
      <c r="AA9" s="1772"/>
      <c r="AB9" s="1772"/>
      <c r="AC9" s="1772"/>
      <c r="AD9" s="1772"/>
      <c r="AE9" s="1772"/>
      <c r="AF9" s="1772"/>
      <c r="AG9" s="1772"/>
      <c r="AH9" s="1772"/>
      <c r="AI9" s="2169"/>
      <c r="AJ9" s="2170"/>
      <c r="AK9" s="2171"/>
      <c r="AL9" s="2205"/>
      <c r="AM9" s="2206"/>
      <c r="AN9" s="2208"/>
      <c r="AO9" s="2169"/>
      <c r="AP9" s="2170"/>
      <c r="AQ9" s="2170"/>
      <c r="AR9" s="2170"/>
      <c r="AS9" s="2170"/>
      <c r="AT9" s="2170"/>
      <c r="AU9" s="2170"/>
      <c r="AV9" s="2170"/>
      <c r="AW9" s="2170"/>
      <c r="AX9" s="2170"/>
      <c r="AY9" s="2171"/>
      <c r="BD9" s="295"/>
      <c r="BG9" s="295"/>
      <c r="BH9" s="295"/>
      <c r="BI9" s="295"/>
      <c r="BJ9" s="295"/>
      <c r="BK9" s="295"/>
      <c r="BL9" s="295"/>
      <c r="BM9" s="295"/>
      <c r="BN9" s="295"/>
      <c r="BO9" s="295"/>
    </row>
    <row r="10" spans="1:67" s="55" customFormat="1" ht="14.25" customHeight="1">
      <c r="C10" s="2172" t="s">
        <v>534</v>
      </c>
      <c r="D10" s="2175" t="s">
        <v>535</v>
      </c>
      <c r="E10" s="2297" t="s">
        <v>611</v>
      </c>
      <c r="F10" s="2188" t="s">
        <v>612</v>
      </c>
      <c r="G10" s="2184" t="s">
        <v>538</v>
      </c>
      <c r="H10" s="2185"/>
      <c r="I10" s="2188" t="s">
        <v>539</v>
      </c>
      <c r="J10" s="2191" t="s">
        <v>540</v>
      </c>
      <c r="K10" s="2192"/>
      <c r="L10" s="2216" t="s">
        <v>541</v>
      </c>
      <c r="M10" s="2300" t="s">
        <v>542</v>
      </c>
      <c r="N10" s="2310" t="s">
        <v>543</v>
      </c>
      <c r="O10" s="2310" t="s">
        <v>544</v>
      </c>
      <c r="P10" s="2312" t="s">
        <v>471</v>
      </c>
      <c r="Q10" s="2302" t="s">
        <v>1382</v>
      </c>
      <c r="R10" s="2303"/>
      <c r="S10" s="2218" t="s">
        <v>593</v>
      </c>
      <c r="T10" s="2221" t="s">
        <v>546</v>
      </c>
      <c r="U10" s="2224" t="s">
        <v>547</v>
      </c>
      <c r="V10" s="2225"/>
      <c r="W10" s="842"/>
      <c r="X10" s="2200"/>
      <c r="Y10" s="2200"/>
      <c r="Z10" s="174"/>
      <c r="AA10" s="2210" t="s">
        <v>548</v>
      </c>
      <c r="AB10" s="2210" t="s">
        <v>549</v>
      </c>
      <c r="AC10" s="2210" t="s">
        <v>550</v>
      </c>
      <c r="AD10" s="2210" t="s">
        <v>551</v>
      </c>
      <c r="AE10" s="2210" t="s">
        <v>552</v>
      </c>
      <c r="AF10" s="2246" t="s">
        <v>553</v>
      </c>
      <c r="AG10" s="2210" t="s">
        <v>554</v>
      </c>
      <c r="AH10" s="2210" t="s">
        <v>555</v>
      </c>
      <c r="AI10" s="2210" t="s">
        <v>556</v>
      </c>
      <c r="AJ10" s="2213" t="s">
        <v>557</v>
      </c>
      <c r="AK10" s="757"/>
      <c r="AL10" s="2210" t="s">
        <v>558</v>
      </c>
      <c r="AM10" s="2210" t="s">
        <v>559</v>
      </c>
      <c r="AN10" s="2208"/>
      <c r="AO10" s="2230" t="s">
        <v>558</v>
      </c>
      <c r="AP10" s="2249" t="s">
        <v>562</v>
      </c>
      <c r="AQ10" s="758"/>
      <c r="AR10" s="2230" t="s">
        <v>563</v>
      </c>
      <c r="AS10" s="2230" t="s">
        <v>564</v>
      </c>
      <c r="AT10" s="2230" t="s">
        <v>544</v>
      </c>
      <c r="AU10" s="2230" t="s">
        <v>565</v>
      </c>
      <c r="AV10" s="2230" t="s">
        <v>613</v>
      </c>
      <c r="AW10" s="2230" t="s">
        <v>598</v>
      </c>
      <c r="AX10" s="2230" t="s">
        <v>1383</v>
      </c>
      <c r="AY10" s="2230" t="s">
        <v>599</v>
      </c>
      <c r="AZ10" s="174"/>
      <c r="BA10" s="174"/>
      <c r="BB10" s="174"/>
      <c r="BC10" s="174"/>
      <c r="BE10" s="174"/>
      <c r="BF10" s="174"/>
    </row>
    <row r="11" spans="1:67" s="55" customFormat="1" ht="14.25" customHeight="1">
      <c r="C11" s="2173"/>
      <c r="D11" s="2295"/>
      <c r="E11" s="2298"/>
      <c r="F11" s="2299"/>
      <c r="G11" s="2186"/>
      <c r="H11" s="2187"/>
      <c r="I11" s="2189"/>
      <c r="J11" s="2193"/>
      <c r="K11" s="2194"/>
      <c r="L11" s="2217"/>
      <c r="M11" s="2301"/>
      <c r="N11" s="2311"/>
      <c r="O11" s="2311"/>
      <c r="P11" s="2313"/>
      <c r="Q11" s="2304"/>
      <c r="R11" s="2305"/>
      <c r="S11" s="2277"/>
      <c r="T11" s="2222"/>
      <c r="U11" s="2226"/>
      <c r="V11" s="2227"/>
      <c r="W11" s="842"/>
      <c r="X11" s="2200"/>
      <c r="Y11" s="2200"/>
      <c r="Z11" s="174"/>
      <c r="AA11" s="2211"/>
      <c r="AB11" s="2211"/>
      <c r="AC11" s="2211"/>
      <c r="AD11" s="2211"/>
      <c r="AE11" s="2211"/>
      <c r="AF11" s="2247"/>
      <c r="AG11" s="2211" t="s">
        <v>602</v>
      </c>
      <c r="AH11" s="2211"/>
      <c r="AI11" s="2211" t="s">
        <v>614</v>
      </c>
      <c r="AJ11" s="2211" t="s">
        <v>614</v>
      </c>
      <c r="AK11" s="2210" t="s">
        <v>575</v>
      </c>
      <c r="AL11" s="2211" t="s">
        <v>614</v>
      </c>
      <c r="AM11" s="2211" t="s">
        <v>614</v>
      </c>
      <c r="AN11" s="2208"/>
      <c r="AO11" s="2219"/>
      <c r="AP11" s="2219" t="s">
        <v>614</v>
      </c>
      <c r="AQ11" s="2230" t="s">
        <v>575</v>
      </c>
      <c r="AR11" s="2219" t="s">
        <v>614</v>
      </c>
      <c r="AS11" s="2219"/>
      <c r="AT11" s="2219"/>
      <c r="AU11" s="2219"/>
      <c r="AV11" s="2219"/>
      <c r="AW11" s="2219"/>
      <c r="AX11" s="2219"/>
      <c r="AY11" s="2219"/>
      <c r="AZ11" s="174"/>
      <c r="BA11" s="174"/>
      <c r="BB11" s="174"/>
      <c r="BC11" s="174"/>
      <c r="BE11" s="174"/>
      <c r="BF11" s="174"/>
      <c r="BG11" s="174"/>
      <c r="BH11" s="174"/>
      <c r="BI11" s="174"/>
      <c r="BJ11" s="174"/>
      <c r="BK11" s="174"/>
      <c r="BL11" s="174"/>
      <c r="BM11" s="174"/>
      <c r="BN11" s="174"/>
      <c r="BO11" s="174"/>
    </row>
    <row r="12" spans="1:67" s="55" customFormat="1" ht="14.25" customHeight="1">
      <c r="C12" s="2173"/>
      <c r="D12" s="2295"/>
      <c r="E12" s="2298"/>
      <c r="F12" s="2299"/>
      <c r="G12" s="2232" t="s">
        <v>600</v>
      </c>
      <c r="H12" s="2232" t="s">
        <v>567</v>
      </c>
      <c r="I12" s="2189"/>
      <c r="J12" s="2234" t="s">
        <v>568</v>
      </c>
      <c r="K12" s="2237" t="s">
        <v>569</v>
      </c>
      <c r="L12" s="819" t="s">
        <v>570</v>
      </c>
      <c r="M12" s="875" t="s">
        <v>570</v>
      </c>
      <c r="N12" s="821" t="s">
        <v>570</v>
      </c>
      <c r="O12" s="876" t="s">
        <v>570</v>
      </c>
      <c r="P12" s="877" t="s">
        <v>570</v>
      </c>
      <c r="Q12" s="2306"/>
      <c r="R12" s="2307"/>
      <c r="S12" s="2277"/>
      <c r="T12" s="2222"/>
      <c r="U12" s="2308" t="s">
        <v>571</v>
      </c>
      <c r="V12" s="2243" t="s">
        <v>601</v>
      </c>
      <c r="W12" s="842"/>
      <c r="X12" s="2200"/>
      <c r="Y12" s="2200"/>
      <c r="Z12" s="174"/>
      <c r="AA12" s="2211"/>
      <c r="AB12" s="2211"/>
      <c r="AC12" s="2211"/>
      <c r="AD12" s="2211"/>
      <c r="AE12" s="2211"/>
      <c r="AF12" s="2247"/>
      <c r="AG12" s="2211"/>
      <c r="AH12" s="2211"/>
      <c r="AI12" s="2211"/>
      <c r="AJ12" s="2211"/>
      <c r="AK12" s="2211"/>
      <c r="AL12" s="2211"/>
      <c r="AM12" s="2211"/>
      <c r="AN12" s="2208"/>
      <c r="AO12" s="2219"/>
      <c r="AP12" s="2219"/>
      <c r="AQ12" s="2219"/>
      <c r="AR12" s="2219"/>
      <c r="AS12" s="2219"/>
      <c r="AT12" s="2219"/>
      <c r="AU12" s="2219"/>
      <c r="AV12" s="2219"/>
      <c r="AW12" s="2219"/>
      <c r="AX12" s="2219"/>
      <c r="AY12" s="2219"/>
      <c r="AZ12" s="174"/>
      <c r="BA12" s="174"/>
      <c r="BB12" s="174"/>
      <c r="BC12" s="174"/>
      <c r="BE12" s="174"/>
      <c r="BF12" s="174"/>
      <c r="BG12" s="174"/>
      <c r="BH12" s="174"/>
      <c r="BI12" s="174"/>
      <c r="BJ12" s="174"/>
      <c r="BK12" s="174"/>
      <c r="BL12" s="174"/>
      <c r="BM12" s="174"/>
      <c r="BN12" s="174"/>
      <c r="BO12" s="174"/>
    </row>
    <row r="13" spans="1:67" s="55" customFormat="1" ht="14.25" customHeight="1">
      <c r="C13" s="2173"/>
      <c r="D13" s="2295"/>
      <c r="E13" s="2298"/>
      <c r="F13" s="2299"/>
      <c r="G13" s="2233"/>
      <c r="H13" s="2233"/>
      <c r="I13" s="2189"/>
      <c r="J13" s="2235"/>
      <c r="K13" s="2238"/>
      <c r="L13" s="822"/>
      <c r="M13" s="878"/>
      <c r="N13" s="763"/>
      <c r="O13" s="879"/>
      <c r="P13" s="823"/>
      <c r="Q13" s="2291" t="s">
        <v>604</v>
      </c>
      <c r="R13" s="2291" t="s">
        <v>484</v>
      </c>
      <c r="S13" s="2277"/>
      <c r="T13" s="2222"/>
      <c r="U13" s="2189"/>
      <c r="V13" s="2244"/>
      <c r="W13" s="842"/>
      <c r="X13" s="2200"/>
      <c r="Y13" s="2200"/>
      <c r="Z13" s="174"/>
      <c r="AA13" s="2211"/>
      <c r="AB13" s="2211"/>
      <c r="AC13" s="2211"/>
      <c r="AD13" s="2211"/>
      <c r="AE13" s="2211"/>
      <c r="AF13" s="2247"/>
      <c r="AG13" s="2211"/>
      <c r="AH13" s="2211"/>
      <c r="AI13" s="2211"/>
      <c r="AJ13" s="2211"/>
      <c r="AK13" s="2211"/>
      <c r="AL13" s="2211"/>
      <c r="AM13" s="2211"/>
      <c r="AN13" s="2209"/>
      <c r="AO13" s="2231"/>
      <c r="AP13" s="2231"/>
      <c r="AQ13" s="2231"/>
      <c r="AR13" s="2231"/>
      <c r="AS13" s="2231"/>
      <c r="AT13" s="2231"/>
      <c r="AU13" s="2231"/>
      <c r="AV13" s="2231"/>
      <c r="AW13" s="2231"/>
      <c r="AX13" s="2231"/>
      <c r="AY13" s="2231"/>
      <c r="AZ13" s="174"/>
      <c r="BA13" s="174"/>
      <c r="BB13" s="174"/>
      <c r="BC13" s="174"/>
      <c r="BD13" s="174"/>
      <c r="BE13" s="174"/>
      <c r="BF13" s="174"/>
      <c r="BG13" s="174"/>
      <c r="BH13" s="174"/>
      <c r="BI13" s="174"/>
      <c r="BJ13" s="174"/>
      <c r="BK13" s="174"/>
      <c r="BL13" s="174"/>
      <c r="BM13" s="174"/>
      <c r="BN13" s="174"/>
      <c r="BO13" s="174"/>
    </row>
    <row r="14" spans="1:67" s="55" customFormat="1" ht="30" customHeight="1">
      <c r="C14" s="2173"/>
      <c r="D14" s="2295"/>
      <c r="E14" s="2298"/>
      <c r="F14" s="2299"/>
      <c r="G14" s="2233"/>
      <c r="H14" s="2233"/>
      <c r="I14" s="2189"/>
      <c r="J14" s="2235"/>
      <c r="K14" s="2238"/>
      <c r="L14" s="822"/>
      <c r="M14" s="878"/>
      <c r="N14" s="763"/>
      <c r="O14" s="879"/>
      <c r="P14" s="823"/>
      <c r="Q14" s="2292"/>
      <c r="R14" s="2292"/>
      <c r="S14" s="2277"/>
      <c r="T14" s="2222"/>
      <c r="U14" s="2189"/>
      <c r="V14" s="825"/>
      <c r="W14" s="842"/>
      <c r="X14" s="2200"/>
      <c r="Y14" s="2200"/>
      <c r="Z14" s="174"/>
      <c r="AA14" s="2212"/>
      <c r="AB14" s="2212"/>
      <c r="AC14" s="2212"/>
      <c r="AD14" s="2212"/>
      <c r="AE14" s="2212"/>
      <c r="AF14" s="2248"/>
      <c r="AG14" s="2212"/>
      <c r="AH14" s="2212"/>
      <c r="AI14" s="2212"/>
      <c r="AJ14" s="2212"/>
      <c r="AK14" s="2212"/>
      <c r="AL14" s="2212"/>
      <c r="AM14" s="2212"/>
      <c r="AN14" s="880" t="s">
        <v>274</v>
      </c>
      <c r="AO14" s="251">
        <f t="shared" ref="AO14:AT14" si="0">SUM(AO15:AO16)</f>
        <v>0</v>
      </c>
      <c r="AP14" s="251">
        <f t="shared" si="0"/>
        <v>0</v>
      </c>
      <c r="AQ14" s="251">
        <f t="shared" si="0"/>
        <v>0</v>
      </c>
      <c r="AR14" s="251">
        <f>ROUND(SUM(AR15:AR16),)</f>
        <v>0</v>
      </c>
      <c r="AS14" s="251">
        <f t="shared" si="0"/>
        <v>0</v>
      </c>
      <c r="AT14" s="251">
        <f t="shared" si="0"/>
        <v>0</v>
      </c>
      <c r="AU14" s="251">
        <f>SUM(AS14:AT14)</f>
        <v>0</v>
      </c>
      <c r="AV14" s="306">
        <f>SUM(AV17:AV116)</f>
        <v>0</v>
      </c>
      <c r="AW14" s="306">
        <f>SUM(AW17:AW116)</f>
        <v>0</v>
      </c>
      <c r="AX14" s="306">
        <f>SUM(AX17:AX116)</f>
        <v>0</v>
      </c>
      <c r="AY14" s="477"/>
      <c r="AZ14" s="174"/>
      <c r="BA14" s="174"/>
      <c r="BB14" s="174"/>
      <c r="BC14" s="174"/>
      <c r="BD14" s="174"/>
      <c r="BE14" s="174"/>
      <c r="BF14" s="174"/>
      <c r="BG14" s="174"/>
      <c r="BH14" s="174"/>
      <c r="BI14" s="174"/>
      <c r="BJ14" s="174"/>
      <c r="BK14" s="174"/>
      <c r="BL14" s="174"/>
      <c r="BM14" s="174"/>
      <c r="BN14" s="174"/>
      <c r="BO14" s="174"/>
    </row>
    <row r="15" spans="1:67" s="55" customFormat="1" ht="30" customHeight="1">
      <c r="C15" s="2173"/>
      <c r="D15" s="2295"/>
      <c r="E15" s="2298"/>
      <c r="F15" s="2299"/>
      <c r="G15" s="2233"/>
      <c r="H15" s="2233"/>
      <c r="I15" s="2189"/>
      <c r="J15" s="2236"/>
      <c r="K15" s="2238"/>
      <c r="L15" s="822"/>
      <c r="M15" s="878"/>
      <c r="N15" s="763"/>
      <c r="O15" s="879"/>
      <c r="P15" s="823"/>
      <c r="Q15" s="2293" t="s">
        <v>570</v>
      </c>
      <c r="R15" s="2293" t="s">
        <v>570</v>
      </c>
      <c r="S15" s="2277"/>
      <c r="T15" s="2222"/>
      <c r="U15" s="1645"/>
      <c r="V15" s="825"/>
      <c r="W15" s="842"/>
      <c r="X15" s="2200"/>
      <c r="Y15" s="2200"/>
      <c r="Z15" s="174"/>
      <c r="AA15" s="881"/>
      <c r="AB15" s="881"/>
      <c r="AC15" s="881"/>
      <c r="AD15" s="881"/>
      <c r="AE15" s="881"/>
      <c r="AF15" s="881"/>
      <c r="AG15" s="881"/>
      <c r="AH15" s="881"/>
      <c r="AI15" s="881"/>
      <c r="AJ15" s="881"/>
      <c r="AK15" s="881"/>
      <c r="AL15" s="881"/>
      <c r="AM15" s="881"/>
      <c r="AN15" s="882" t="s">
        <v>615</v>
      </c>
      <c r="AO15" s="306">
        <f t="shared" ref="AO15:AR15" si="1">SUM(SUMIFS(AO17:AO116,$E$17:$E$116,"&lt;&gt;",$E$17:$E$116,"&lt;&gt;[57]パソコン",$E$17:$E$116,"&lt;&gt;[58]その他の生産管理機器"))</f>
        <v>0</v>
      </c>
      <c r="AP15" s="306">
        <f t="shared" si="1"/>
        <v>0</v>
      </c>
      <c r="AQ15" s="306">
        <f t="shared" si="1"/>
        <v>0</v>
      </c>
      <c r="AR15" s="306">
        <f t="shared" si="1"/>
        <v>0</v>
      </c>
      <c r="AS15" s="306">
        <f>SUM(SUMIFS(AS17:AS116,$E$17:$E$116,"&lt;&gt;",$E$17:$E$116,"&lt;&gt;[57]パソコン",$E$17:$E$116,"&lt;&gt;[58]その他の生産管理機器"),【10】農具の購入費等!CC14)</f>
        <v>0</v>
      </c>
      <c r="AT15" s="306">
        <f>SUM(SUMIFS(AT17:AT116,$E$17:$E$116,"&lt;&gt;",$E$17:$E$116,"&lt;&gt;[57]パソコン",$E$17:$E$116,"&lt;&gt;[58]その他の生産管理機器"))</f>
        <v>0</v>
      </c>
      <c r="AU15" s="251">
        <f>ROUND(SUM(AS15:AT15),)</f>
        <v>0</v>
      </c>
      <c r="AV15" s="477"/>
      <c r="AW15" s="477"/>
      <c r="AX15" s="477"/>
      <c r="AY15" s="477"/>
      <c r="AZ15" s="174"/>
      <c r="BA15" s="174"/>
      <c r="BB15" s="174"/>
      <c r="BC15" s="174"/>
      <c r="BD15" s="174"/>
      <c r="BE15" s="174"/>
      <c r="BF15" s="174"/>
      <c r="BG15" s="174"/>
      <c r="BH15" s="174"/>
      <c r="BI15" s="174"/>
      <c r="BJ15" s="174"/>
      <c r="BK15" s="174"/>
      <c r="BL15" s="174"/>
      <c r="BM15" s="174"/>
      <c r="BN15" s="174"/>
      <c r="BO15" s="174"/>
    </row>
    <row r="16" spans="1:67" s="55" customFormat="1" ht="30" customHeight="1" thickBot="1">
      <c r="C16" s="2174"/>
      <c r="D16" s="2296"/>
      <c r="E16" s="2298"/>
      <c r="F16" s="2299"/>
      <c r="G16" s="2233"/>
      <c r="H16" s="2233"/>
      <c r="I16" s="2190"/>
      <c r="J16" s="2236"/>
      <c r="K16" s="2238"/>
      <c r="L16" s="826"/>
      <c r="M16" s="878"/>
      <c r="N16" s="763"/>
      <c r="O16" s="883"/>
      <c r="P16" s="823"/>
      <c r="Q16" s="2294"/>
      <c r="R16" s="2294"/>
      <c r="S16" s="2278"/>
      <c r="T16" s="2223"/>
      <c r="U16" s="2309"/>
      <c r="V16" s="828"/>
      <c r="W16" s="842"/>
      <c r="X16" s="2201"/>
      <c r="Y16" s="2201"/>
      <c r="AA16" s="829"/>
      <c r="AB16" s="829"/>
      <c r="AC16" s="829"/>
      <c r="AD16" s="829"/>
      <c r="AE16" s="829"/>
      <c r="AF16" s="829"/>
      <c r="AG16" s="829"/>
      <c r="AH16" s="829"/>
      <c r="AI16" s="829"/>
      <c r="AJ16" s="829"/>
      <c r="AK16" s="829"/>
      <c r="AL16" s="829"/>
      <c r="AM16" s="829"/>
      <c r="AN16" s="884" t="s">
        <v>616</v>
      </c>
      <c r="AO16" s="885">
        <f>SUM(SUMIFS(AO17:AO116,$E$17:$E$116,{"[57]パソコン","[58]その他の生産管理機器"}))</f>
        <v>0</v>
      </c>
      <c r="AP16" s="885">
        <f>SUM(SUMIFS(AP17:AP116,$E$17:$E$116,{"[57]パソコン","[58]その他の生産管理機器"}))</f>
        <v>0</v>
      </c>
      <c r="AQ16" s="885">
        <f>SUM(SUMIFS(AQ17:AQ116,$E$17:$E$116,{"[57]パソコン","[58]その他の生産管理機器"}))</f>
        <v>0</v>
      </c>
      <c r="AR16" s="885">
        <f>SUM(SUMIFS(AR17:AR116,$E$17:$E$116,{"[57]パソコン","[58]その他の生産管理機器"}))</f>
        <v>0</v>
      </c>
      <c r="AS16" s="885">
        <f>SUM(SUMIFS(AS17:AS116,$E$17:$E$116,{"[57]パソコン","[58]その他の生産管理機器"}),【10】農具の購入費等!CC15)</f>
        <v>0</v>
      </c>
      <c r="AT16" s="885">
        <f>SUM(SUMIFS(AT17:AT116,$E$17:$E$116,{"[57]パソコン","[58]その他の生産管理機器"}))</f>
        <v>0</v>
      </c>
      <c r="AU16" s="886">
        <f>ROUND(SUM(AS16:AT16),)</f>
        <v>0</v>
      </c>
      <c r="AV16" s="887"/>
      <c r="AW16" s="887"/>
      <c r="AX16" s="887"/>
      <c r="AY16" s="888"/>
      <c r="AZ16" s="174"/>
      <c r="BA16" s="174"/>
      <c r="BB16" s="174"/>
      <c r="BC16" s="174"/>
      <c r="BD16" s="174"/>
      <c r="BE16" s="174"/>
      <c r="BF16" s="174"/>
      <c r="BG16" s="174"/>
      <c r="BH16" s="174"/>
      <c r="BI16" s="174"/>
      <c r="BJ16" s="174"/>
      <c r="BK16" s="174"/>
      <c r="BL16" s="174"/>
      <c r="BM16" s="174"/>
      <c r="BN16" s="174"/>
      <c r="BO16" s="174"/>
    </row>
    <row r="17" spans="3:67" s="55" customFormat="1" ht="30.75" customHeight="1" thickTop="1">
      <c r="C17" s="889">
        <v>1</v>
      </c>
      <c r="D17" s="773"/>
      <c r="E17" s="890"/>
      <c r="F17" s="834"/>
      <c r="G17" s="2279"/>
      <c r="H17" s="2280"/>
      <c r="I17" s="891"/>
      <c r="J17" s="777"/>
      <c r="K17" s="778"/>
      <c r="L17" s="781"/>
      <c r="M17" s="781"/>
      <c r="N17" s="781"/>
      <c r="O17" s="781"/>
      <c r="P17" s="781"/>
      <c r="Q17" s="781"/>
      <c r="R17" s="781"/>
      <c r="S17" s="1286"/>
      <c r="T17" s="782"/>
      <c r="U17" s="835"/>
      <c r="V17" s="836"/>
      <c r="W17" s="892"/>
      <c r="X17" s="838"/>
      <c r="Y17" s="839"/>
      <c r="Z17" s="174"/>
      <c r="AA17" s="893">
        <f t="shared" ref="AA17:AA80" si="2">IF(AND(E17&gt;0,F17&gt;0),"["&amp;RIGHT(LEFT(E17,3),2)&amp;RIGHT(LEFT(F17,2),1)&amp;"]",)</f>
        <v>0</v>
      </c>
      <c r="AB17" s="893">
        <f>IF(AA17=0,,IF(L17+M17&lt;100000,1,0))</f>
        <v>0</v>
      </c>
      <c r="AC17" s="893">
        <f>IF(AA17=0,,IF(AND(AB17=0,L17+M17&lt;200000),1,))</f>
        <v>0</v>
      </c>
      <c r="AD17" s="893">
        <f>IF(AA17=0,,VLOOKUP(AA17,リスト!DH:DI,2,0))</f>
        <v>0</v>
      </c>
      <c r="AE17" s="893">
        <f t="shared" ref="AE17:AE80" si="3">IF(AC17=1,3,IF(G17="[2]中古",MIN(AD17,I17),AD17))</f>
        <v>0</v>
      </c>
      <c r="AF17" s="894">
        <f>IF(AE17=0,,VLOOKUP(AE17,リスト!DK:DL,2,0))</f>
        <v>0</v>
      </c>
      <c r="AG17" s="893">
        <f>IF(AA17=0,,
IF(OR(リスト!$C$21="小麦",リスト!$C$21="二条大麦",リスト!$C$21="六条大麦",リスト!$C$21="はだか麦",リスト!$C$21="なたね"),IF(K17&lt;9,調査年-J17,調査年-J17-1),
IF(リスト!$C$21="さとうきび",IF(K17&gt;=4,調査年-J17,調査年-J17+1),
調査年-J17)))</f>
        <v>0</v>
      </c>
      <c r="AH17" s="895">
        <f t="shared" ref="AH17:AH48" si="4">IF(OR(AA17=0,AB17=1),,
IF(AND(AE17&gt;0,AG17&lt;AE17,AI17&lt;=ROUND((L17-1)*AF17,0)),ROUND(AI17,0),
IF(AND(AE17&gt;0,AG17&lt;AE17),ROUND((L17-1)*AF17,0),)))</f>
        <v>0</v>
      </c>
      <c r="AI17" s="895">
        <f t="shared" ref="AI17:AI80" si="5">IF(OR(AA17=0,AB17=1),,
IF(AND(AE17&gt;0,AG17&lt;AE17),L17-ROUND((L17-1)*AF17*AG17,0),1
))</f>
        <v>0</v>
      </c>
      <c r="AJ17" s="895">
        <f t="shared" ref="AJ17:AJ80" si="6">IF(OR(AA17=0,AB17=1),,
IF(U17=0,AH17,
IF(U17="[2]廃棄等",SUM(AI17,V17),
IF(U17="[1]売却",AI17-V17,))))</f>
        <v>0</v>
      </c>
      <c r="AK17" s="895">
        <f t="shared" ref="AK17:AK80" si="7">IF(AND(AJ17=0,AH17=0),,
IF(OR(U17="[1]売却",U17="[2]廃棄等"),SUM(AJ17)-SUM(AH17),))</f>
        <v>0</v>
      </c>
      <c r="AL17" s="895">
        <f t="shared" ref="AL17:AL80" si="8">IF(OR(AB17=1,M17=0),,
IF(AND(AE17&gt;0,M17&gt;0,AG17&lt;AE17),M17-ROUND(M17*AF17*AG17,0),))</f>
        <v>0</v>
      </c>
      <c r="AM17" s="895">
        <f>IF(OR(AA17=0,AB17=1),IF(AND(AB17=1,AG17=0),M17,),
IF(AND(AE17&gt;0,AG17&lt;AE17,SUM(AL17)&gt;0,AL17&lt;=ROUND(M17*AF17,0)),AL17,
IF(AND(AE17&gt;0,AG17&lt;AE17,SUM(M17)&gt;0),ROUND(M17*AF17,0),)))</f>
        <v>0</v>
      </c>
      <c r="AN17" s="840"/>
      <c r="AO17" s="896">
        <f>IF(OR(S17=0,AI17=0),,
IF(OR(リスト!$C$21="小麦",リスト!$C$21="二条大麦",リスト!$C$21="六条大麦",リスト!$C$21="はだか麦",リスト!$C$21="なたね"),IF(OR(AND(K17&lt;9,J17=調査年),AND(K17&gt;=9,J17=調査年-1)),,ROUND(AI17*S17%,0)),
IF(リスト!$C$21="さとうきび",IF(OR(AND(K17&gt;=4,J17=調査年),AND(K17&lt;4,J17=調査年+1)),,ROUND(AI17*S17%,0)),
IF(J17=調査年,,ROUND(AI17*S17%,0)))))</f>
        <v>0</v>
      </c>
      <c r="AP17" s="896">
        <f t="shared" ref="AP17:AP80" si="9">IF(S17=0,,IF(AJ17=0,,ROUND(AJ17*S17%,0)))</f>
        <v>0</v>
      </c>
      <c r="AQ17" s="896">
        <f t="shared" ref="AQ17:AQ80" si="10">IF(S17=0,,IF(AK17=0,,ROUND(AK17*S17%,0)))</f>
        <v>0</v>
      </c>
      <c r="AR17" s="896">
        <f t="shared" ref="AR17:AR80" si="11">IF(S17=0,,IF(AI17=0,,ROUND(AI17*S17%,0)))</f>
        <v>0</v>
      </c>
      <c r="AS17" s="896">
        <f>IF(S17=0,,
SUM(
IF(OR(リスト!$C$21="小麦",リスト!$C$21="二条大麦",リスト!$C$21="六条大麦",リスト!$C$21="はだか麦",リスト!$C$21="なたね"),IF(OR(AND(AB17=1,K17&lt;9,J17=調査年),AND(AB17=1,K17&gt;=9,J17=調査年-1)),ROUND(L17*S17%,0),),
IF(リスト!$C$21="さとうきび",IF(OR(AND(AB17=1,K17&gt;=4,J17=調査年),AND(AB17=1,K17&lt;4,J17=調査年+1)),ROUND(L17*S17%,0),),
IF(AND(AB17=1,J17=調査年),ROUND(L17*S17%,0),))),
ROUND(N17*S17%,0),
ROUND(SUM(AM17)*S17%,0)
))</f>
        <v>0</v>
      </c>
      <c r="AT17" s="896">
        <f t="shared" ref="AT17:AT80" si="12">IF(O17&gt;0,ROUND(O17*$S17%,),)</f>
        <v>0</v>
      </c>
      <c r="AU17" s="896">
        <f t="shared" ref="AU17:AU80" si="13">IF(OR(AS17&gt;0,AT17&gt;0),SUM(AS17:AT17),)</f>
        <v>0</v>
      </c>
      <c r="AV17" s="895">
        <f t="shared" ref="AV17:AX80" si="14">IF(P17&gt;0,ROUND(P17*$S17%,),)</f>
        <v>0</v>
      </c>
      <c r="AW17" s="895">
        <f>IF(Q17&gt;0,ROUND(Q17*$S17%,),)</f>
        <v>0</v>
      </c>
      <c r="AX17" s="895">
        <f>IF(R17&gt;0,ROUND(R17*$S17%,),)</f>
        <v>0</v>
      </c>
      <c r="AY17" s="841">
        <f t="shared" ref="AY17:AY80" si="15">IF(Y17="○",,IF(AND(X17&gt;0,S17&gt;0),ROUND(1/X17,1),IF(S17&gt;0,ROUND(1,1),)))</f>
        <v>0</v>
      </c>
      <c r="AZ17" s="802"/>
      <c r="BA17" s="802"/>
      <c r="BB17" s="802"/>
      <c r="BC17" s="802"/>
      <c r="BD17" s="174"/>
      <c r="BE17" s="174"/>
      <c r="BF17" s="174"/>
      <c r="BG17" s="174"/>
      <c r="BH17" s="174"/>
      <c r="BI17" s="174"/>
      <c r="BJ17" s="174"/>
      <c r="BK17" s="174"/>
      <c r="BL17" s="174"/>
      <c r="BM17" s="174"/>
      <c r="BN17" s="174"/>
      <c r="BO17" s="174"/>
    </row>
    <row r="18" spans="3:67" s="55" customFormat="1" ht="30.75" customHeight="1">
      <c r="C18" s="862">
        <v>2</v>
      </c>
      <c r="D18" s="791"/>
      <c r="E18" s="897"/>
      <c r="F18" s="898"/>
      <c r="G18" s="2281"/>
      <c r="H18" s="2282"/>
      <c r="I18" s="851"/>
      <c r="J18" s="846"/>
      <c r="K18" s="796"/>
      <c r="L18" s="797"/>
      <c r="M18" s="797"/>
      <c r="N18" s="797"/>
      <c r="O18" s="797"/>
      <c r="P18" s="797"/>
      <c r="Q18" s="997"/>
      <c r="R18" s="1255"/>
      <c r="S18" s="1284"/>
      <c r="T18" s="798"/>
      <c r="U18" s="847"/>
      <c r="V18" s="848"/>
      <c r="W18" s="892"/>
      <c r="X18" s="849"/>
      <c r="Y18" s="850"/>
      <c r="Z18" s="752"/>
      <c r="AA18" s="800">
        <f t="shared" si="2"/>
        <v>0</v>
      </c>
      <c r="AB18" s="800">
        <f>IF(AA18=0,,IF(L18+M18&lt;100000,1,0))</f>
        <v>0</v>
      </c>
      <c r="AC18" s="800">
        <f>IF(AA18=0,,IF(AND(AB18=0,L18+M18&lt;200000),1,))</f>
        <v>0</v>
      </c>
      <c r="AD18" s="800">
        <f>IF(AA18=0,,VLOOKUP(AA18,リスト!DH:DI,2,0))</f>
        <v>0</v>
      </c>
      <c r="AE18" s="800">
        <f t="shared" si="3"/>
        <v>0</v>
      </c>
      <c r="AF18" s="801">
        <f>IF(AE18=0,,VLOOKUP(AE18,リスト!DK:DL,2,0))</f>
        <v>0</v>
      </c>
      <c r="AG18" s="800">
        <f>IF(AA18=0,,
IF(OR(リスト!$C$21="小麦",リスト!$C$21="二条大麦",リスト!$C$21="六条大麦",リスト!$C$21="はだか麦",リスト!$C$21="なたね"),IF(K18&lt;9,調査年-J18,調査年-J18-1),
IF(リスト!$C$21="さとうきび",IF(K18&gt;=4,調査年-J18,調査年-J18+1),
調査年-J18)))</f>
        <v>0</v>
      </c>
      <c r="AH18" s="306">
        <f t="shared" si="4"/>
        <v>0</v>
      </c>
      <c r="AI18" s="306">
        <f t="shared" si="5"/>
        <v>0</v>
      </c>
      <c r="AJ18" s="306">
        <f t="shared" si="6"/>
        <v>0</v>
      </c>
      <c r="AK18" s="306">
        <f t="shared" si="7"/>
        <v>0</v>
      </c>
      <c r="AL18" s="306">
        <f t="shared" si="8"/>
        <v>0</v>
      </c>
      <c r="AM18" s="306">
        <f t="shared" ref="AM18:AM81" si="16">IF(OR(AA18=0,AB18=1),IF(AND(AB18=1,AG18=0),M18,),
IF(AND(AE18&gt;0,AG18&lt;AE18,SUM(AL18)&gt;0,AL18&lt;=ROUND(M18*AF18,0)),AL18,
IF(AND(AE18&gt;0,AG18&lt;AE18,SUM(M18)&gt;0),ROUND(M18*AF18,0),)))</f>
        <v>0</v>
      </c>
      <c r="AN18" s="477"/>
      <c r="AO18" s="306">
        <f>IF(OR(S18=0,AI18=0),,
IF(OR(リスト!$C$21="小麦",リスト!$C$21="二条大麦",リスト!$C$21="六条大麦",リスト!$C$21="はだか麦",リスト!$C$21="なたね"),IF(OR(AND(K18&lt;9,J18=調査年),AND(K18&gt;=9,J18=調査年-1)),,ROUND(AI18*S18%,0)),
IF(リスト!$C$21="さとうきび",IF(OR(AND(K18&gt;=4,J18=調査年),AND(K18&lt;4,J18=調査年+1)),,ROUND(AI18*S18%,0)),
IF(J18=調査年,,ROUND(AI18*S18%,0)))))</f>
        <v>0</v>
      </c>
      <c r="AP18" s="306">
        <f t="shared" si="9"/>
        <v>0</v>
      </c>
      <c r="AQ18" s="306">
        <f t="shared" si="10"/>
        <v>0</v>
      </c>
      <c r="AR18" s="306">
        <f t="shared" si="11"/>
        <v>0</v>
      </c>
      <c r="AS18" s="306">
        <f>IF(S18=0,,
SUM(
IF(OR(リスト!$C$21="小麦",リスト!$C$21="二条大麦",リスト!$C$21="六条大麦",リスト!$C$21="はだか麦",リスト!$C$21="なたね"),IF(OR(AND(AB18=1,K18&lt;9,J18=調査年),AND(AB18=1,K18&gt;=9,J18=調査年-1)),ROUND(L18*S18%,0),),
IF(リスト!$C$21="さとうきび",IF(OR(AND(AB18=1,K18&gt;=4,J18=調査年),AND(AB18=1,K18&lt;4,J18=調査年+1)),ROUND(L18*S18%,0),),
IF(AND(AB18=1,J18=調査年),ROUND(L18*S18%,0),))),
ROUND(N18*S18%,0),
ROUND(SUM(AM18)*S18%,0)
))</f>
        <v>0</v>
      </c>
      <c r="AT18" s="306">
        <f t="shared" si="12"/>
        <v>0</v>
      </c>
      <c r="AU18" s="306">
        <f t="shared" si="13"/>
        <v>0</v>
      </c>
      <c r="AV18" s="306">
        <f t="shared" si="14"/>
        <v>0</v>
      </c>
      <c r="AW18" s="306">
        <f>IF(Q18&gt;0,ROUND(Q18*$S18%,),)</f>
        <v>0</v>
      </c>
      <c r="AX18" s="306">
        <f>IF(R18&gt;0,ROUND(R18*$S18%,),)</f>
        <v>0</v>
      </c>
      <c r="AY18" s="841">
        <f t="shared" si="15"/>
        <v>0</v>
      </c>
      <c r="AZ18" s="802"/>
      <c r="BA18" s="802"/>
      <c r="BB18" s="802"/>
      <c r="BC18" s="802"/>
      <c r="BD18" s="174"/>
      <c r="BE18" s="174"/>
      <c r="BF18" s="174"/>
      <c r="BG18" s="174"/>
      <c r="BH18" s="174"/>
      <c r="BI18" s="174"/>
      <c r="BJ18" s="174"/>
      <c r="BK18" s="174"/>
      <c r="BL18" s="174"/>
      <c r="BM18" s="174"/>
      <c r="BN18" s="174"/>
      <c r="BO18" s="174"/>
    </row>
    <row r="19" spans="3:67" s="55" customFormat="1" ht="30.75" customHeight="1">
      <c r="C19" s="862">
        <v>3</v>
      </c>
      <c r="D19" s="803"/>
      <c r="E19" s="899"/>
      <c r="F19" s="900"/>
      <c r="G19" s="2281"/>
      <c r="H19" s="2282"/>
      <c r="I19" s="851"/>
      <c r="J19" s="846"/>
      <c r="K19" s="796"/>
      <c r="L19" s="797"/>
      <c r="M19" s="797"/>
      <c r="N19" s="797"/>
      <c r="O19" s="797"/>
      <c r="P19" s="797"/>
      <c r="Q19" s="997"/>
      <c r="R19" s="1255"/>
      <c r="S19" s="1284"/>
      <c r="T19" s="798"/>
      <c r="U19" s="847"/>
      <c r="V19" s="848"/>
      <c r="W19" s="892"/>
      <c r="X19" s="849"/>
      <c r="Y19" s="850"/>
      <c r="Z19" s="901"/>
      <c r="AA19" s="800">
        <f t="shared" si="2"/>
        <v>0</v>
      </c>
      <c r="AB19" s="800">
        <f t="shared" ref="AB19:AB82" si="17">IF(AA19=0,,IF(L19+M19&lt;100000,1,0))</f>
        <v>0</v>
      </c>
      <c r="AC19" s="800">
        <f t="shared" ref="AC19:AC82" si="18">IF(AA19=0,,IF(AND(AB19=0,L19+M19&lt;200000),1,))</f>
        <v>0</v>
      </c>
      <c r="AD19" s="800">
        <f>IF(AA19=0,,VLOOKUP(AA19,リスト!DH:DI,2,0))</f>
        <v>0</v>
      </c>
      <c r="AE19" s="800">
        <f t="shared" si="3"/>
        <v>0</v>
      </c>
      <c r="AF19" s="801">
        <f>IF(AE19=0,,VLOOKUP(AE19,リスト!DK:DL,2,0))</f>
        <v>0</v>
      </c>
      <c r="AG19" s="800">
        <f>IF(AA19=0,,
IF(OR(リスト!$C$21="小麦",リスト!$C$21="二条大麦",リスト!$C$21="六条大麦",リスト!$C$21="はだか麦",リスト!$C$21="なたね"),IF(K19&lt;9,調査年-J19,調査年-J19-1),
IF(リスト!$C$21="さとうきび",IF(K19&gt;=4,調査年-J19,調査年-J19+1),
調査年-J19)))</f>
        <v>0</v>
      </c>
      <c r="AH19" s="306">
        <f t="shared" si="4"/>
        <v>0</v>
      </c>
      <c r="AI19" s="306">
        <f t="shared" si="5"/>
        <v>0</v>
      </c>
      <c r="AJ19" s="306">
        <f t="shared" si="6"/>
        <v>0</v>
      </c>
      <c r="AK19" s="306">
        <f t="shared" si="7"/>
        <v>0</v>
      </c>
      <c r="AL19" s="306">
        <f t="shared" si="8"/>
        <v>0</v>
      </c>
      <c r="AM19" s="306">
        <f t="shared" si="16"/>
        <v>0</v>
      </c>
      <c r="AN19" s="477"/>
      <c r="AO19" s="306">
        <f>IF(OR(S19=0,AI19=0),,
IF(OR(リスト!$C$21="小麦",リスト!$C$21="二条大麦",リスト!$C$21="六条大麦",リスト!$C$21="はだか麦",リスト!$C$21="なたね"),IF(OR(AND(K19&lt;9,J19=調査年),AND(K19&gt;=9,J19=調査年-1)),,ROUND(AI19*S19%,0)),
IF(リスト!$C$21="さとうきび",IF(OR(AND(K19&gt;=4,J19=調査年),AND(K19&lt;4,J19=調査年+1)),,ROUND(AI19*S19%,0)),
IF(J19=調査年,,ROUND(AI19*S19%,0)))))</f>
        <v>0</v>
      </c>
      <c r="AP19" s="306">
        <f t="shared" si="9"/>
        <v>0</v>
      </c>
      <c r="AQ19" s="306">
        <f t="shared" si="10"/>
        <v>0</v>
      </c>
      <c r="AR19" s="306">
        <f t="shared" si="11"/>
        <v>0</v>
      </c>
      <c r="AS19" s="306">
        <f>IF(S19=0,,
SUM(
IF(OR(リスト!$C$21="小麦",リスト!$C$21="二条大麦",リスト!$C$21="六条大麦",リスト!$C$21="はだか麦",リスト!$C$21="なたね"),IF(OR(AND(AB19=1,K19&lt;9,J19=調査年),AND(AB19=1,K19&gt;=9,J19=調査年-1)),ROUND(L19*S19%,0),),
IF(リスト!$C$21="さとうきび",IF(OR(AND(AB19=1,K19&gt;=4,J19=調査年),AND(AB19=1,K19&lt;4,J19=調査年+1)),ROUND(L19*S19%,0),),
IF(AND(AB19=1,J19=調査年),ROUND(L19*S19%,0),))),
ROUND(N19*S19%,0),
ROUND(SUM(AM19)*S19%,0)
))</f>
        <v>0</v>
      </c>
      <c r="AT19" s="306">
        <f t="shared" si="12"/>
        <v>0</v>
      </c>
      <c r="AU19" s="306">
        <f t="shared" si="13"/>
        <v>0</v>
      </c>
      <c r="AV19" s="306">
        <f t="shared" si="14"/>
        <v>0</v>
      </c>
      <c r="AW19" s="306">
        <f t="shared" si="14"/>
        <v>0</v>
      </c>
      <c r="AX19" s="306">
        <f t="shared" si="14"/>
        <v>0</v>
      </c>
      <c r="AY19" s="841">
        <f t="shared" si="15"/>
        <v>0</v>
      </c>
      <c r="AZ19" s="802"/>
      <c r="BA19" s="802"/>
      <c r="BB19" s="802"/>
      <c r="BC19" s="802"/>
      <c r="BD19" s="174"/>
      <c r="BE19" s="174"/>
      <c r="BF19" s="174"/>
      <c r="BG19" s="174"/>
      <c r="BH19" s="174"/>
      <c r="BI19" s="174"/>
      <c r="BJ19" s="174"/>
      <c r="BK19" s="174"/>
      <c r="BL19" s="174"/>
      <c r="BM19" s="174"/>
      <c r="BN19" s="174"/>
      <c r="BO19" s="174"/>
    </row>
    <row r="20" spans="3:67" s="55" customFormat="1" ht="30.75" customHeight="1">
      <c r="C20" s="862">
        <v>4</v>
      </c>
      <c r="D20" s="803"/>
      <c r="E20" s="902"/>
      <c r="F20" s="898"/>
      <c r="G20" s="2281"/>
      <c r="H20" s="2282"/>
      <c r="I20" s="851"/>
      <c r="J20" s="846"/>
      <c r="K20" s="796"/>
      <c r="L20" s="797"/>
      <c r="M20" s="797"/>
      <c r="N20" s="797"/>
      <c r="O20" s="797"/>
      <c r="P20" s="797"/>
      <c r="Q20" s="997"/>
      <c r="R20" s="1255"/>
      <c r="S20" s="1284"/>
      <c r="T20" s="798"/>
      <c r="U20" s="847"/>
      <c r="V20" s="848"/>
      <c r="W20" s="892"/>
      <c r="X20" s="849"/>
      <c r="Y20" s="850"/>
      <c r="Z20" s="901"/>
      <c r="AA20" s="800">
        <f t="shared" si="2"/>
        <v>0</v>
      </c>
      <c r="AB20" s="800">
        <f t="shared" si="17"/>
        <v>0</v>
      </c>
      <c r="AC20" s="800">
        <f t="shared" si="18"/>
        <v>0</v>
      </c>
      <c r="AD20" s="800">
        <f>IF(AA20=0,,VLOOKUP(AA20,リスト!DH:DI,2,0))</f>
        <v>0</v>
      </c>
      <c r="AE20" s="800">
        <f t="shared" si="3"/>
        <v>0</v>
      </c>
      <c r="AF20" s="801">
        <f>IF(AE20=0,,VLOOKUP(AE20,リスト!DK:DL,2,0))</f>
        <v>0</v>
      </c>
      <c r="AG20" s="800">
        <f>IF(AA20=0,,
IF(OR(リスト!$C$21="小麦",リスト!$C$21="二条大麦",リスト!$C$21="六条大麦",リスト!$C$21="はだか麦",リスト!$C$21="なたね"),IF(K20&lt;9,調査年-J20,調査年-J20-1),
IF(リスト!$C$21="さとうきび",IF(K20&gt;=4,調査年-J20,調査年-J20+1),
調査年-J20)))</f>
        <v>0</v>
      </c>
      <c r="AH20" s="306">
        <f t="shared" si="4"/>
        <v>0</v>
      </c>
      <c r="AI20" s="306">
        <f t="shared" si="5"/>
        <v>0</v>
      </c>
      <c r="AJ20" s="306">
        <f t="shared" si="6"/>
        <v>0</v>
      </c>
      <c r="AK20" s="306">
        <f t="shared" si="7"/>
        <v>0</v>
      </c>
      <c r="AL20" s="306">
        <f t="shared" si="8"/>
        <v>0</v>
      </c>
      <c r="AM20" s="306">
        <f t="shared" si="16"/>
        <v>0</v>
      </c>
      <c r="AN20" s="477"/>
      <c r="AO20" s="306">
        <f>IF(OR(S20=0,AI20=0),,
IF(OR(リスト!$C$21="小麦",リスト!$C$21="二条大麦",リスト!$C$21="六条大麦",リスト!$C$21="はだか麦",リスト!$C$21="なたね"),IF(OR(AND(K20&lt;9,J20=調査年),AND(K20&gt;=9,J20=調査年-1)),,ROUND(AI20*S20%,0)),
IF(リスト!$C$21="さとうきび",IF(OR(AND(K20&gt;=4,J20=調査年),AND(K20&lt;4,J20=調査年+1)),,ROUND(AI20*S20%,0)),
IF(J20=調査年,,ROUND(AI20*S20%,0)))))</f>
        <v>0</v>
      </c>
      <c r="AP20" s="306">
        <f t="shared" si="9"/>
        <v>0</v>
      </c>
      <c r="AQ20" s="306">
        <f t="shared" si="10"/>
        <v>0</v>
      </c>
      <c r="AR20" s="306">
        <f t="shared" si="11"/>
        <v>0</v>
      </c>
      <c r="AS20" s="306">
        <f>IF(S20=0,,
SUM(
IF(OR(リスト!$C$21="小麦",リスト!$C$21="二条大麦",リスト!$C$21="六条大麦",リスト!$C$21="はだか麦",リスト!$C$21="なたね"),IF(OR(AND(AB20=1,K20&lt;9,J20=調査年),AND(AB20=1,K20&gt;=9,J20=調査年-1)),ROUND(L20*S20%,0),),
IF(リスト!$C$21="さとうきび",IF(OR(AND(AB20=1,K20&gt;=4,J20=調査年),AND(AB20=1,K20&lt;4,J20=調査年+1)),ROUND(L20*S20%,0),),
IF(AND(AB20=1,J20=調査年),ROUND(L20*S20%,0),))),
ROUND(N20*S20%,0),
ROUND(SUM(AM20)*S20%,0)
))</f>
        <v>0</v>
      </c>
      <c r="AT20" s="306">
        <f t="shared" si="12"/>
        <v>0</v>
      </c>
      <c r="AU20" s="306">
        <f t="shared" si="13"/>
        <v>0</v>
      </c>
      <c r="AV20" s="306">
        <f t="shared" si="14"/>
        <v>0</v>
      </c>
      <c r="AW20" s="306">
        <f t="shared" si="14"/>
        <v>0</v>
      </c>
      <c r="AX20" s="306">
        <f t="shared" si="14"/>
        <v>0</v>
      </c>
      <c r="AY20" s="841">
        <f t="shared" si="15"/>
        <v>0</v>
      </c>
      <c r="AZ20" s="802"/>
      <c r="BA20" s="802"/>
      <c r="BB20" s="802"/>
      <c r="BC20" s="802"/>
      <c r="BD20" s="174"/>
      <c r="BE20" s="174"/>
      <c r="BF20" s="174"/>
      <c r="BG20" s="174"/>
      <c r="BH20" s="174"/>
      <c r="BI20" s="174"/>
      <c r="BJ20" s="174"/>
      <c r="BK20" s="174"/>
      <c r="BL20" s="174"/>
      <c r="BM20" s="174"/>
      <c r="BN20" s="174"/>
      <c r="BO20" s="174"/>
    </row>
    <row r="21" spans="3:67" s="55" customFormat="1" ht="30.75" customHeight="1">
      <c r="C21" s="862">
        <v>5</v>
      </c>
      <c r="D21" s="803"/>
      <c r="E21" s="902"/>
      <c r="F21" s="898"/>
      <c r="G21" s="2281"/>
      <c r="H21" s="2282"/>
      <c r="I21" s="851"/>
      <c r="J21" s="846"/>
      <c r="K21" s="796"/>
      <c r="L21" s="797"/>
      <c r="M21" s="797"/>
      <c r="N21" s="797"/>
      <c r="O21" s="797"/>
      <c r="P21" s="797"/>
      <c r="Q21" s="997"/>
      <c r="R21" s="1255"/>
      <c r="S21" s="1284"/>
      <c r="T21" s="798"/>
      <c r="U21" s="847"/>
      <c r="V21" s="848"/>
      <c r="W21" s="892"/>
      <c r="X21" s="849"/>
      <c r="Y21" s="850"/>
      <c r="Z21" s="901"/>
      <c r="AA21" s="800">
        <f t="shared" si="2"/>
        <v>0</v>
      </c>
      <c r="AB21" s="800">
        <f t="shared" si="17"/>
        <v>0</v>
      </c>
      <c r="AC21" s="800">
        <f t="shared" si="18"/>
        <v>0</v>
      </c>
      <c r="AD21" s="800">
        <f>IF(AA21=0,,VLOOKUP(AA21,リスト!DH:DI,2,0))</f>
        <v>0</v>
      </c>
      <c r="AE21" s="800">
        <f t="shared" si="3"/>
        <v>0</v>
      </c>
      <c r="AF21" s="801">
        <f>IF(AE21=0,,VLOOKUP(AE21,リスト!DK:DL,2,0))</f>
        <v>0</v>
      </c>
      <c r="AG21" s="800">
        <f>IF(AA21=0,,
IF(OR(リスト!$C$21="小麦",リスト!$C$21="二条大麦",リスト!$C$21="六条大麦",リスト!$C$21="はだか麦",リスト!$C$21="なたね"),IF(K21&lt;9,調査年-J21,調査年-J21-1),
IF(リスト!$C$21="さとうきび",IF(K21&gt;=4,調査年-J21,調査年-J21+1),
調査年-J21)))</f>
        <v>0</v>
      </c>
      <c r="AH21" s="306">
        <f t="shared" si="4"/>
        <v>0</v>
      </c>
      <c r="AI21" s="306">
        <f t="shared" si="5"/>
        <v>0</v>
      </c>
      <c r="AJ21" s="306">
        <f t="shared" si="6"/>
        <v>0</v>
      </c>
      <c r="AK21" s="306">
        <f t="shared" si="7"/>
        <v>0</v>
      </c>
      <c r="AL21" s="306">
        <f t="shared" si="8"/>
        <v>0</v>
      </c>
      <c r="AM21" s="306">
        <f t="shared" si="16"/>
        <v>0</v>
      </c>
      <c r="AN21" s="477"/>
      <c r="AO21" s="306">
        <f>IF(OR(S21=0,AI21=0),,
IF(OR(リスト!$C$21="小麦",リスト!$C$21="二条大麦",リスト!$C$21="六条大麦",リスト!$C$21="はだか麦",リスト!$C$21="なたね"),IF(OR(AND(K21&lt;9,J21=調査年),AND(K21&gt;=9,J21=調査年-1)),,ROUND(AI21*S21%,0)),
IF(リスト!$C$21="さとうきび",IF(OR(AND(K21&gt;=4,J21=調査年),AND(K21&lt;4,J21=調査年+1)),,ROUND(AI21*S21%,0)),
IF(J21=調査年,,ROUND(AI21*S21%,0)))))</f>
        <v>0</v>
      </c>
      <c r="AP21" s="306">
        <f t="shared" si="9"/>
        <v>0</v>
      </c>
      <c r="AQ21" s="306">
        <f t="shared" si="10"/>
        <v>0</v>
      </c>
      <c r="AR21" s="306">
        <f t="shared" si="11"/>
        <v>0</v>
      </c>
      <c r="AS21" s="306">
        <f>IF(S21=0,,
SUM(
IF(OR(リスト!$C$21="小麦",リスト!$C$21="二条大麦",リスト!$C$21="六条大麦",リスト!$C$21="はだか麦",リスト!$C$21="なたね"),IF(OR(AND(AB21=1,K21&lt;9,J21=調査年),AND(AB21=1,K21&gt;=9,J21=調査年-1)),ROUND(L21*S21%,0),),
IF(リスト!$C$21="さとうきび",IF(OR(AND(AB21=1,K21&gt;=4,J21=調査年),AND(AB21=1,K21&lt;4,J21=調査年+1)),ROUND(L21*S21%,0),),
IF(AND(AB21=1,J21=調査年),ROUND(L21*S21%,0),))),
ROUND(N21*S21%,0),
ROUND(SUM(AM21)*S21%,0)
))</f>
        <v>0</v>
      </c>
      <c r="AT21" s="306">
        <f t="shared" si="12"/>
        <v>0</v>
      </c>
      <c r="AU21" s="306">
        <f t="shared" si="13"/>
        <v>0</v>
      </c>
      <c r="AV21" s="306">
        <f t="shared" si="14"/>
        <v>0</v>
      </c>
      <c r="AW21" s="306">
        <f t="shared" si="14"/>
        <v>0</v>
      </c>
      <c r="AX21" s="306">
        <f t="shared" si="14"/>
        <v>0</v>
      </c>
      <c r="AY21" s="841">
        <f t="shared" si="15"/>
        <v>0</v>
      </c>
      <c r="AZ21" s="802"/>
      <c r="BA21" s="802"/>
      <c r="BB21" s="802"/>
      <c r="BC21" s="802"/>
      <c r="BD21" s="174"/>
      <c r="BE21" s="174"/>
      <c r="BF21" s="174"/>
      <c r="BG21" s="174"/>
      <c r="BH21" s="174"/>
      <c r="BI21" s="174"/>
      <c r="BJ21" s="174"/>
      <c r="BK21" s="174"/>
      <c r="BL21" s="174"/>
      <c r="BM21" s="174"/>
      <c r="BN21" s="174"/>
      <c r="BO21" s="174"/>
    </row>
    <row r="22" spans="3:67" s="55" customFormat="1" ht="30.75" customHeight="1">
      <c r="C22" s="862">
        <v>6</v>
      </c>
      <c r="D22" s="803"/>
      <c r="E22" s="902"/>
      <c r="F22" s="898"/>
      <c r="G22" s="2281"/>
      <c r="H22" s="2282"/>
      <c r="I22" s="851"/>
      <c r="J22" s="846"/>
      <c r="K22" s="796"/>
      <c r="L22" s="797"/>
      <c r="M22" s="797"/>
      <c r="N22" s="797"/>
      <c r="O22" s="797"/>
      <c r="P22" s="797"/>
      <c r="Q22" s="997"/>
      <c r="R22" s="1255"/>
      <c r="S22" s="1284"/>
      <c r="T22" s="798"/>
      <c r="U22" s="847"/>
      <c r="V22" s="848"/>
      <c r="W22" s="892"/>
      <c r="X22" s="849"/>
      <c r="Y22" s="850"/>
      <c r="Z22" s="901"/>
      <c r="AA22" s="800">
        <f t="shared" si="2"/>
        <v>0</v>
      </c>
      <c r="AB22" s="800">
        <f t="shared" si="17"/>
        <v>0</v>
      </c>
      <c r="AC22" s="800">
        <f t="shared" si="18"/>
        <v>0</v>
      </c>
      <c r="AD22" s="800">
        <f>IF(AA22=0,,VLOOKUP(AA22,リスト!DH:DI,2,0))</f>
        <v>0</v>
      </c>
      <c r="AE22" s="800">
        <f t="shared" si="3"/>
        <v>0</v>
      </c>
      <c r="AF22" s="801">
        <f>IF(AE22=0,,VLOOKUP(AE22,リスト!DK:DL,2,0))</f>
        <v>0</v>
      </c>
      <c r="AG22" s="800">
        <f>IF(AA22=0,,
IF(OR(リスト!$C$21="小麦",リスト!$C$21="二条大麦",リスト!$C$21="六条大麦",リスト!$C$21="はだか麦",リスト!$C$21="なたね"),IF(K22&lt;9,調査年-J22,調査年-J22-1),
IF(リスト!$C$21="さとうきび",IF(K22&gt;=4,調査年-J22,調査年-J22+1),
調査年-J22)))</f>
        <v>0</v>
      </c>
      <c r="AH22" s="306">
        <f t="shared" si="4"/>
        <v>0</v>
      </c>
      <c r="AI22" s="306">
        <f t="shared" si="5"/>
        <v>0</v>
      </c>
      <c r="AJ22" s="306">
        <f t="shared" si="6"/>
        <v>0</v>
      </c>
      <c r="AK22" s="306">
        <f t="shared" si="7"/>
        <v>0</v>
      </c>
      <c r="AL22" s="306">
        <f t="shared" si="8"/>
        <v>0</v>
      </c>
      <c r="AM22" s="306">
        <f t="shared" si="16"/>
        <v>0</v>
      </c>
      <c r="AN22" s="477"/>
      <c r="AO22" s="306">
        <f>IF(OR(S22=0,AI22=0),,
IF(OR(リスト!$C$21="小麦",リスト!$C$21="二条大麦",リスト!$C$21="六条大麦",リスト!$C$21="はだか麦",リスト!$C$21="なたね"),IF(OR(AND(K22&lt;9,J22=調査年),AND(K22&gt;=9,J22=調査年-1)),,ROUND(AI22*S22%,0)),
IF(リスト!$C$21="さとうきび",IF(OR(AND(K22&gt;=4,J22=調査年),AND(K22&lt;4,J22=調査年+1)),,ROUND(AI22*S22%,0)),
IF(J22=調査年,,ROUND(AI22*S22%,0)))))</f>
        <v>0</v>
      </c>
      <c r="AP22" s="306">
        <f t="shared" si="9"/>
        <v>0</v>
      </c>
      <c r="AQ22" s="306">
        <f t="shared" si="10"/>
        <v>0</v>
      </c>
      <c r="AR22" s="306">
        <f t="shared" si="11"/>
        <v>0</v>
      </c>
      <c r="AS22" s="306">
        <f>IF(S22=0,,
SUM(
IF(OR(リスト!$C$21="小麦",リスト!$C$21="二条大麦",リスト!$C$21="六条大麦",リスト!$C$21="はだか麦",リスト!$C$21="なたね"),IF(OR(AND(AB22=1,K22&lt;9,J22=調査年),AND(AB22=1,K22&gt;=9,J22=調査年-1)),ROUND(L22*S22%,0),),
IF(リスト!$C$21="さとうきび",IF(OR(AND(AB22=1,K22&gt;=4,J22=調査年),AND(AB22=1,K22&lt;4,J22=調査年+1)),ROUND(L22*S22%,0),),
IF(AND(AB22=1,J22=調査年),ROUND(L22*S22%,0),))),
ROUND(N22*S22%,0),
ROUND(SUM(AM22)*S22%,0)
))</f>
        <v>0</v>
      </c>
      <c r="AT22" s="306">
        <f t="shared" si="12"/>
        <v>0</v>
      </c>
      <c r="AU22" s="306">
        <f t="shared" si="13"/>
        <v>0</v>
      </c>
      <c r="AV22" s="306">
        <f t="shared" si="14"/>
        <v>0</v>
      </c>
      <c r="AW22" s="306">
        <f t="shared" si="14"/>
        <v>0</v>
      </c>
      <c r="AX22" s="306">
        <f t="shared" si="14"/>
        <v>0</v>
      </c>
      <c r="AY22" s="841">
        <f t="shared" si="15"/>
        <v>0</v>
      </c>
      <c r="AZ22" s="802"/>
      <c r="BA22" s="802"/>
      <c r="BB22" s="802"/>
      <c r="BC22" s="802"/>
      <c r="BD22" s="174"/>
      <c r="BE22" s="174"/>
      <c r="BF22" s="174"/>
      <c r="BG22" s="174"/>
      <c r="BH22" s="174"/>
      <c r="BI22" s="174"/>
      <c r="BJ22" s="174"/>
      <c r="BK22" s="174"/>
      <c r="BL22" s="174"/>
      <c r="BM22" s="174"/>
      <c r="BN22" s="174"/>
      <c r="BO22" s="174"/>
    </row>
    <row r="23" spans="3:67" s="55" customFormat="1" ht="30.75" customHeight="1">
      <c r="C23" s="862">
        <v>7</v>
      </c>
      <c r="D23" s="803"/>
      <c r="E23" s="902"/>
      <c r="F23" s="898"/>
      <c r="G23" s="2281"/>
      <c r="H23" s="2282"/>
      <c r="I23" s="851"/>
      <c r="J23" s="846"/>
      <c r="K23" s="796"/>
      <c r="L23" s="797"/>
      <c r="M23" s="797"/>
      <c r="N23" s="797"/>
      <c r="O23" s="797"/>
      <c r="P23" s="797"/>
      <c r="Q23" s="997"/>
      <c r="R23" s="1255"/>
      <c r="S23" s="1284"/>
      <c r="T23" s="798"/>
      <c r="U23" s="847"/>
      <c r="V23" s="848"/>
      <c r="W23" s="892"/>
      <c r="X23" s="849"/>
      <c r="Y23" s="850"/>
      <c r="Z23" s="901"/>
      <c r="AA23" s="800">
        <f t="shared" si="2"/>
        <v>0</v>
      </c>
      <c r="AB23" s="800">
        <f t="shared" si="17"/>
        <v>0</v>
      </c>
      <c r="AC23" s="800">
        <f t="shared" si="18"/>
        <v>0</v>
      </c>
      <c r="AD23" s="800">
        <f>IF(AA23=0,,VLOOKUP(AA23,リスト!DH:DI,2,0))</f>
        <v>0</v>
      </c>
      <c r="AE23" s="800">
        <f t="shared" si="3"/>
        <v>0</v>
      </c>
      <c r="AF23" s="801">
        <f>IF(AE23=0,,VLOOKUP(AE23,リスト!DK:DL,2,0))</f>
        <v>0</v>
      </c>
      <c r="AG23" s="800">
        <f>IF(AA23=0,,
IF(OR(リスト!$C$21="小麦",リスト!$C$21="二条大麦",リスト!$C$21="六条大麦",リスト!$C$21="はだか麦",リスト!$C$21="なたね"),IF(K23&lt;9,調査年-J23,調査年-J23-1),
IF(リスト!$C$21="さとうきび",IF(K23&gt;=4,調査年-J23,調査年-J23+1),
調査年-J23)))</f>
        <v>0</v>
      </c>
      <c r="AH23" s="306">
        <f t="shared" si="4"/>
        <v>0</v>
      </c>
      <c r="AI23" s="306">
        <f t="shared" si="5"/>
        <v>0</v>
      </c>
      <c r="AJ23" s="306">
        <f t="shared" si="6"/>
        <v>0</v>
      </c>
      <c r="AK23" s="306">
        <f t="shared" si="7"/>
        <v>0</v>
      </c>
      <c r="AL23" s="306">
        <f t="shared" si="8"/>
        <v>0</v>
      </c>
      <c r="AM23" s="306">
        <f t="shared" si="16"/>
        <v>0</v>
      </c>
      <c r="AN23" s="477"/>
      <c r="AO23" s="306">
        <f>IF(OR(S23=0,AI23=0),,
IF(OR(リスト!$C$21="小麦",リスト!$C$21="二条大麦",リスト!$C$21="六条大麦",リスト!$C$21="はだか麦",リスト!$C$21="なたね"),IF(OR(AND(K23&lt;9,J23=調査年),AND(K23&gt;=9,J23=調査年-1)),,ROUND(AI23*S23%,0)),
IF(リスト!$C$21="さとうきび",IF(OR(AND(K23&gt;=4,J23=調査年),AND(K23&lt;4,J23=調査年+1)),,ROUND(AI23*S23%,0)),
IF(J23=調査年,,ROUND(AI23*S23%,0)))))</f>
        <v>0</v>
      </c>
      <c r="AP23" s="306">
        <f t="shared" si="9"/>
        <v>0</v>
      </c>
      <c r="AQ23" s="306">
        <f t="shared" si="10"/>
        <v>0</v>
      </c>
      <c r="AR23" s="306">
        <f t="shared" si="11"/>
        <v>0</v>
      </c>
      <c r="AS23" s="306">
        <f>IF(S23=0,,
SUM(
IF(OR(リスト!$C$21="小麦",リスト!$C$21="二条大麦",リスト!$C$21="六条大麦",リスト!$C$21="はだか麦",リスト!$C$21="なたね"),IF(OR(AND(AB23=1,K23&lt;9,J23=調査年),AND(AB23=1,K23&gt;=9,J23=調査年-1)),ROUND(L23*S23%,0),),
IF(リスト!$C$21="さとうきび",IF(OR(AND(AB23=1,K23&gt;=4,J23=調査年),AND(AB23=1,K23&lt;4,J23=調査年+1)),ROUND(L23*S23%,0),),
IF(AND(AB23=1,J23=調査年),ROUND(L23*S23%,0),))),
ROUND(N23*S23%,0),
ROUND(SUM(AM23)*S23%,0)
))</f>
        <v>0</v>
      </c>
      <c r="AT23" s="306">
        <f t="shared" si="12"/>
        <v>0</v>
      </c>
      <c r="AU23" s="306">
        <f t="shared" si="13"/>
        <v>0</v>
      </c>
      <c r="AV23" s="306">
        <f t="shared" si="14"/>
        <v>0</v>
      </c>
      <c r="AW23" s="306">
        <f t="shared" si="14"/>
        <v>0</v>
      </c>
      <c r="AX23" s="306">
        <f t="shared" si="14"/>
        <v>0</v>
      </c>
      <c r="AY23" s="841">
        <f t="shared" si="15"/>
        <v>0</v>
      </c>
      <c r="AZ23" s="802"/>
      <c r="BA23" s="802"/>
      <c r="BB23" s="802"/>
      <c r="BC23" s="802"/>
      <c r="BD23" s="174"/>
      <c r="BE23" s="174"/>
      <c r="BF23" s="174"/>
      <c r="BG23" s="174"/>
      <c r="BH23" s="174"/>
      <c r="BI23" s="174"/>
      <c r="BJ23" s="174"/>
      <c r="BK23" s="174"/>
      <c r="BL23" s="174"/>
      <c r="BM23" s="174"/>
      <c r="BN23" s="174"/>
      <c r="BO23" s="174"/>
    </row>
    <row r="24" spans="3:67" s="55" customFormat="1" ht="30.75" customHeight="1">
      <c r="C24" s="862">
        <v>8</v>
      </c>
      <c r="D24" s="803"/>
      <c r="E24" s="902"/>
      <c r="F24" s="898"/>
      <c r="G24" s="2281"/>
      <c r="H24" s="2282"/>
      <c r="I24" s="851"/>
      <c r="J24" s="846"/>
      <c r="K24" s="796"/>
      <c r="L24" s="797"/>
      <c r="M24" s="797"/>
      <c r="N24" s="797"/>
      <c r="O24" s="797"/>
      <c r="P24" s="797"/>
      <c r="Q24" s="997"/>
      <c r="R24" s="1255"/>
      <c r="S24" s="1284"/>
      <c r="T24" s="798"/>
      <c r="U24" s="847"/>
      <c r="V24" s="848"/>
      <c r="W24" s="892"/>
      <c r="X24" s="849"/>
      <c r="Y24" s="850"/>
      <c r="Z24" s="901"/>
      <c r="AA24" s="800">
        <f t="shared" si="2"/>
        <v>0</v>
      </c>
      <c r="AB24" s="800">
        <f t="shared" si="17"/>
        <v>0</v>
      </c>
      <c r="AC24" s="800">
        <f t="shared" si="18"/>
        <v>0</v>
      </c>
      <c r="AD24" s="800">
        <f>IF(AA24=0,,VLOOKUP(AA24,リスト!DH:DI,2,0))</f>
        <v>0</v>
      </c>
      <c r="AE24" s="800">
        <f t="shared" si="3"/>
        <v>0</v>
      </c>
      <c r="AF24" s="801">
        <f>IF(AE24=0,,VLOOKUP(AE24,リスト!DK:DL,2,0))</f>
        <v>0</v>
      </c>
      <c r="AG24" s="800">
        <f>IF(AA24=0,,
IF(OR(リスト!$C$21="小麦",リスト!$C$21="二条大麦",リスト!$C$21="六条大麦",リスト!$C$21="はだか麦",リスト!$C$21="なたね"),IF(K24&lt;9,調査年-J24,調査年-J24-1),
IF(リスト!$C$21="さとうきび",IF(K24&gt;=4,調査年-J24,調査年-J24+1),
調査年-J24)))</f>
        <v>0</v>
      </c>
      <c r="AH24" s="306">
        <f t="shared" si="4"/>
        <v>0</v>
      </c>
      <c r="AI24" s="306">
        <f t="shared" si="5"/>
        <v>0</v>
      </c>
      <c r="AJ24" s="306">
        <f t="shared" si="6"/>
        <v>0</v>
      </c>
      <c r="AK24" s="306">
        <f t="shared" si="7"/>
        <v>0</v>
      </c>
      <c r="AL24" s="306">
        <f t="shared" si="8"/>
        <v>0</v>
      </c>
      <c r="AM24" s="306">
        <f t="shared" si="16"/>
        <v>0</v>
      </c>
      <c r="AN24" s="477"/>
      <c r="AO24" s="306">
        <f>IF(OR(S24=0,AI24=0),,
IF(OR(リスト!$C$21="小麦",リスト!$C$21="二条大麦",リスト!$C$21="六条大麦",リスト!$C$21="はだか麦",リスト!$C$21="なたね"),IF(OR(AND(K24&lt;9,J24=調査年),AND(K24&gt;=9,J24=調査年-1)),,ROUND(AI24*S24%,0)),
IF(リスト!$C$21="さとうきび",IF(OR(AND(K24&gt;=4,J24=調査年),AND(K24&lt;4,J24=調査年+1)),,ROUND(AI24*S24%,0)),
IF(J24=調査年,,ROUND(AI24*S24%,0)))))</f>
        <v>0</v>
      </c>
      <c r="AP24" s="306">
        <f t="shared" si="9"/>
        <v>0</v>
      </c>
      <c r="AQ24" s="306">
        <f t="shared" si="10"/>
        <v>0</v>
      </c>
      <c r="AR24" s="306">
        <f t="shared" si="11"/>
        <v>0</v>
      </c>
      <c r="AS24" s="306">
        <f>IF(S24=0,,
SUM(
IF(OR(リスト!$C$21="小麦",リスト!$C$21="二条大麦",リスト!$C$21="六条大麦",リスト!$C$21="はだか麦",リスト!$C$21="なたね"),IF(OR(AND(AB24=1,K24&lt;9,J24=調査年),AND(AB24=1,K24&gt;=9,J24=調査年-1)),ROUND(L24*S24%,0),),
IF(リスト!$C$21="さとうきび",IF(OR(AND(AB24=1,K24&gt;=4,J24=調査年),AND(AB24=1,K24&lt;4,J24=調査年+1)),ROUND(L24*S24%,0),),
IF(AND(AB24=1,J24=調査年),ROUND(L24*S24%,0),))),
ROUND(N24*S24%,0),
ROUND(SUM(AM24)*S24%,0)
))</f>
        <v>0</v>
      </c>
      <c r="AT24" s="306">
        <f t="shared" si="12"/>
        <v>0</v>
      </c>
      <c r="AU24" s="306">
        <f t="shared" si="13"/>
        <v>0</v>
      </c>
      <c r="AV24" s="306">
        <f t="shared" si="14"/>
        <v>0</v>
      </c>
      <c r="AW24" s="306">
        <f t="shared" si="14"/>
        <v>0</v>
      </c>
      <c r="AX24" s="306">
        <f t="shared" si="14"/>
        <v>0</v>
      </c>
      <c r="AY24" s="841">
        <f t="shared" si="15"/>
        <v>0</v>
      </c>
      <c r="AZ24" s="802"/>
      <c r="BA24" s="802"/>
      <c r="BB24" s="802"/>
      <c r="BC24" s="802"/>
      <c r="BD24" s="174"/>
      <c r="BE24" s="174"/>
      <c r="BF24" s="174"/>
      <c r="BG24" s="174"/>
      <c r="BH24" s="174"/>
      <c r="BI24" s="174"/>
      <c r="BJ24" s="174"/>
      <c r="BK24" s="174"/>
      <c r="BL24" s="174"/>
      <c r="BM24" s="174"/>
      <c r="BN24" s="174"/>
      <c r="BO24" s="174"/>
    </row>
    <row r="25" spans="3:67" s="55" customFormat="1" ht="30.75" customHeight="1">
      <c r="C25" s="862">
        <v>9</v>
      </c>
      <c r="D25" s="803"/>
      <c r="E25" s="902"/>
      <c r="F25" s="898"/>
      <c r="G25" s="2281"/>
      <c r="H25" s="2282"/>
      <c r="I25" s="851"/>
      <c r="J25" s="846"/>
      <c r="K25" s="796"/>
      <c r="L25" s="797"/>
      <c r="M25" s="797"/>
      <c r="N25" s="797"/>
      <c r="O25" s="797"/>
      <c r="P25" s="797"/>
      <c r="Q25" s="997"/>
      <c r="R25" s="1255"/>
      <c r="S25" s="1284"/>
      <c r="T25" s="798"/>
      <c r="U25" s="847"/>
      <c r="V25" s="848"/>
      <c r="W25" s="892"/>
      <c r="X25" s="849"/>
      <c r="Y25" s="850"/>
      <c r="Z25" s="901"/>
      <c r="AA25" s="800">
        <f t="shared" si="2"/>
        <v>0</v>
      </c>
      <c r="AB25" s="800">
        <f t="shared" si="17"/>
        <v>0</v>
      </c>
      <c r="AC25" s="800">
        <f t="shared" si="18"/>
        <v>0</v>
      </c>
      <c r="AD25" s="800">
        <f>IF(AA25=0,,VLOOKUP(AA25,リスト!DH:DI,2,0))</f>
        <v>0</v>
      </c>
      <c r="AE25" s="800">
        <f t="shared" si="3"/>
        <v>0</v>
      </c>
      <c r="AF25" s="801">
        <f>IF(AE25=0,,VLOOKUP(AE25,リスト!DK:DL,2,0))</f>
        <v>0</v>
      </c>
      <c r="AG25" s="800">
        <f>IF(AA25=0,,
IF(OR(リスト!$C$21="小麦",リスト!$C$21="二条大麦",リスト!$C$21="六条大麦",リスト!$C$21="はだか麦",リスト!$C$21="なたね"),IF(K25&lt;9,調査年-J25,調査年-J25-1),
IF(リスト!$C$21="さとうきび",IF(K25&gt;=4,調査年-J25,調査年-J25+1),
調査年-J25)))</f>
        <v>0</v>
      </c>
      <c r="AH25" s="306">
        <f t="shared" si="4"/>
        <v>0</v>
      </c>
      <c r="AI25" s="306">
        <f t="shared" si="5"/>
        <v>0</v>
      </c>
      <c r="AJ25" s="306">
        <f t="shared" si="6"/>
        <v>0</v>
      </c>
      <c r="AK25" s="306">
        <f t="shared" si="7"/>
        <v>0</v>
      </c>
      <c r="AL25" s="306">
        <f t="shared" si="8"/>
        <v>0</v>
      </c>
      <c r="AM25" s="306">
        <f t="shared" si="16"/>
        <v>0</v>
      </c>
      <c r="AN25" s="477"/>
      <c r="AO25" s="306">
        <f>IF(OR(S25=0,AI25=0),,
IF(OR(リスト!$C$21="小麦",リスト!$C$21="二条大麦",リスト!$C$21="六条大麦",リスト!$C$21="はだか麦",リスト!$C$21="なたね"),IF(OR(AND(K25&lt;9,J25=調査年),AND(K25&gt;=9,J25=調査年-1)),,ROUND(AI25*S25%,0)),
IF(リスト!$C$21="さとうきび",IF(OR(AND(K25&gt;=4,J25=調査年),AND(K25&lt;4,J25=調査年+1)),,ROUND(AI25*S25%,0)),
IF(J25=調査年,,ROUND(AI25*S25%,0)))))</f>
        <v>0</v>
      </c>
      <c r="AP25" s="306">
        <f t="shared" si="9"/>
        <v>0</v>
      </c>
      <c r="AQ25" s="306">
        <f t="shared" si="10"/>
        <v>0</v>
      </c>
      <c r="AR25" s="306">
        <f t="shared" si="11"/>
        <v>0</v>
      </c>
      <c r="AS25" s="306">
        <f>IF(S25=0,,
SUM(
IF(OR(リスト!$C$21="小麦",リスト!$C$21="二条大麦",リスト!$C$21="六条大麦",リスト!$C$21="はだか麦",リスト!$C$21="なたね"),IF(OR(AND(AB25=1,K25&lt;9,J25=調査年),AND(AB25=1,K25&gt;=9,J25=調査年-1)),ROUND(L25*S25%,0),),
IF(リスト!$C$21="さとうきび",IF(OR(AND(AB25=1,K25&gt;=4,J25=調査年),AND(AB25=1,K25&lt;4,J25=調査年+1)),ROUND(L25*S25%,0),),
IF(AND(AB25=1,J25=調査年),ROUND(L25*S25%,0),))),
ROUND(N25*S25%,0),
ROUND(SUM(AM25)*S25%,0)
))</f>
        <v>0</v>
      </c>
      <c r="AT25" s="306">
        <f t="shared" si="12"/>
        <v>0</v>
      </c>
      <c r="AU25" s="306">
        <f t="shared" si="13"/>
        <v>0</v>
      </c>
      <c r="AV25" s="306">
        <f t="shared" si="14"/>
        <v>0</v>
      </c>
      <c r="AW25" s="306">
        <f t="shared" si="14"/>
        <v>0</v>
      </c>
      <c r="AX25" s="306">
        <f t="shared" si="14"/>
        <v>0</v>
      </c>
      <c r="AY25" s="841">
        <f t="shared" si="15"/>
        <v>0</v>
      </c>
      <c r="AZ25" s="802"/>
      <c r="BA25" s="802"/>
      <c r="BB25" s="802"/>
      <c r="BC25" s="802"/>
      <c r="BD25" s="174"/>
      <c r="BE25" s="174"/>
      <c r="BF25" s="174"/>
      <c r="BG25" s="174"/>
      <c r="BH25" s="174"/>
      <c r="BI25" s="174"/>
      <c r="BJ25" s="174"/>
      <c r="BK25" s="174"/>
      <c r="BL25" s="174"/>
      <c r="BM25" s="174"/>
      <c r="BN25" s="174"/>
      <c r="BO25" s="174"/>
    </row>
    <row r="26" spans="3:67" s="55" customFormat="1" ht="30.75" customHeight="1">
      <c r="C26" s="862">
        <v>10</v>
      </c>
      <c r="D26" s="803"/>
      <c r="E26" s="902"/>
      <c r="F26" s="898"/>
      <c r="G26" s="2281"/>
      <c r="H26" s="2282"/>
      <c r="I26" s="851"/>
      <c r="J26" s="846"/>
      <c r="K26" s="796"/>
      <c r="L26" s="797"/>
      <c r="M26" s="797"/>
      <c r="N26" s="797"/>
      <c r="O26" s="797"/>
      <c r="P26" s="797"/>
      <c r="Q26" s="997"/>
      <c r="R26" s="1255"/>
      <c r="S26" s="1284"/>
      <c r="T26" s="798"/>
      <c r="U26" s="847"/>
      <c r="V26" s="848"/>
      <c r="W26" s="892"/>
      <c r="X26" s="849"/>
      <c r="Y26" s="850"/>
      <c r="Z26" s="901"/>
      <c r="AA26" s="800">
        <f t="shared" si="2"/>
        <v>0</v>
      </c>
      <c r="AB26" s="800">
        <f t="shared" si="17"/>
        <v>0</v>
      </c>
      <c r="AC26" s="800">
        <f t="shared" si="18"/>
        <v>0</v>
      </c>
      <c r="AD26" s="800">
        <f>IF(AA26=0,,VLOOKUP(AA26,リスト!DH:DI,2,0))</f>
        <v>0</v>
      </c>
      <c r="AE26" s="800">
        <f t="shared" si="3"/>
        <v>0</v>
      </c>
      <c r="AF26" s="801">
        <f>IF(AE26=0,,VLOOKUP(AE26,リスト!DK:DL,2,0))</f>
        <v>0</v>
      </c>
      <c r="AG26" s="800">
        <f>IF(AA26=0,,
IF(OR(リスト!$C$21="小麦",リスト!$C$21="二条大麦",リスト!$C$21="六条大麦",リスト!$C$21="はだか麦",リスト!$C$21="なたね"),IF(K26&lt;9,調査年-J26,調査年-J26-1),
IF(リスト!$C$21="さとうきび",IF(K26&gt;=4,調査年-J26,調査年-J26+1),
調査年-J26)))</f>
        <v>0</v>
      </c>
      <c r="AH26" s="306">
        <f t="shared" si="4"/>
        <v>0</v>
      </c>
      <c r="AI26" s="306">
        <f t="shared" si="5"/>
        <v>0</v>
      </c>
      <c r="AJ26" s="306">
        <f t="shared" si="6"/>
        <v>0</v>
      </c>
      <c r="AK26" s="306">
        <f t="shared" si="7"/>
        <v>0</v>
      </c>
      <c r="AL26" s="306">
        <f t="shared" si="8"/>
        <v>0</v>
      </c>
      <c r="AM26" s="306">
        <f t="shared" si="16"/>
        <v>0</v>
      </c>
      <c r="AN26" s="477"/>
      <c r="AO26" s="306">
        <f>IF(OR(S26=0,AI26=0),,
IF(OR(リスト!$C$21="小麦",リスト!$C$21="二条大麦",リスト!$C$21="六条大麦",リスト!$C$21="はだか麦",リスト!$C$21="なたね"),IF(OR(AND(K26&lt;9,J26=調査年),AND(K26&gt;=9,J26=調査年-1)),,ROUND(AI26*S26%,0)),
IF(リスト!$C$21="さとうきび",IF(OR(AND(K26&gt;=4,J26=調査年),AND(K26&lt;4,J26=調査年+1)),,ROUND(AI26*S26%,0)),
IF(J26=調査年,,ROUND(AI26*S26%,0)))))</f>
        <v>0</v>
      </c>
      <c r="AP26" s="306">
        <f t="shared" si="9"/>
        <v>0</v>
      </c>
      <c r="AQ26" s="306">
        <f t="shared" si="10"/>
        <v>0</v>
      </c>
      <c r="AR26" s="306">
        <f t="shared" si="11"/>
        <v>0</v>
      </c>
      <c r="AS26" s="306">
        <f>IF(S26=0,,
SUM(
IF(OR(リスト!$C$21="小麦",リスト!$C$21="二条大麦",リスト!$C$21="六条大麦",リスト!$C$21="はだか麦",リスト!$C$21="なたね"),IF(OR(AND(AB26=1,K26&lt;9,J26=調査年),AND(AB26=1,K26&gt;=9,J26=調査年-1)),ROUND(L26*S26%,0),),
IF(リスト!$C$21="さとうきび",IF(OR(AND(AB26=1,K26&gt;=4,J26=調査年),AND(AB26=1,K26&lt;4,J26=調査年+1)),ROUND(L26*S26%,0),),
IF(AND(AB26=1,J26=調査年),ROUND(L26*S26%,0),))),
ROUND(N26*S26%,0),
ROUND(SUM(AM26)*S26%,0)
))</f>
        <v>0</v>
      </c>
      <c r="AT26" s="306">
        <f t="shared" si="12"/>
        <v>0</v>
      </c>
      <c r="AU26" s="306">
        <f t="shared" si="13"/>
        <v>0</v>
      </c>
      <c r="AV26" s="306">
        <f t="shared" si="14"/>
        <v>0</v>
      </c>
      <c r="AW26" s="306">
        <f t="shared" si="14"/>
        <v>0</v>
      </c>
      <c r="AX26" s="306">
        <f t="shared" si="14"/>
        <v>0</v>
      </c>
      <c r="AY26" s="841">
        <f t="shared" si="15"/>
        <v>0</v>
      </c>
      <c r="AZ26" s="802"/>
      <c r="BA26" s="802"/>
      <c r="BB26" s="802"/>
      <c r="BC26" s="802"/>
      <c r="BD26" s="174"/>
      <c r="BE26" s="174"/>
      <c r="BF26" s="174"/>
      <c r="BG26" s="174"/>
      <c r="BH26" s="174"/>
      <c r="BI26" s="174"/>
      <c r="BJ26" s="174"/>
      <c r="BK26" s="174"/>
      <c r="BL26" s="174"/>
      <c r="BM26" s="174"/>
      <c r="BN26" s="174"/>
      <c r="BO26" s="174"/>
    </row>
    <row r="27" spans="3:67" s="55" customFormat="1" ht="30.75" customHeight="1">
      <c r="C27" s="862">
        <v>11</v>
      </c>
      <c r="D27" s="803"/>
      <c r="E27" s="902"/>
      <c r="F27" s="898"/>
      <c r="G27" s="2281"/>
      <c r="H27" s="2282"/>
      <c r="I27" s="851"/>
      <c r="J27" s="846"/>
      <c r="K27" s="796"/>
      <c r="L27" s="797"/>
      <c r="M27" s="797"/>
      <c r="N27" s="797"/>
      <c r="O27" s="797"/>
      <c r="P27" s="797"/>
      <c r="Q27" s="997"/>
      <c r="R27" s="1255"/>
      <c r="S27" s="1284"/>
      <c r="T27" s="798"/>
      <c r="U27" s="847"/>
      <c r="V27" s="848"/>
      <c r="W27" s="892"/>
      <c r="X27" s="849"/>
      <c r="Y27" s="850"/>
      <c r="Z27" s="901"/>
      <c r="AA27" s="800">
        <f t="shared" si="2"/>
        <v>0</v>
      </c>
      <c r="AB27" s="800">
        <f t="shared" si="17"/>
        <v>0</v>
      </c>
      <c r="AC27" s="800">
        <f t="shared" si="18"/>
        <v>0</v>
      </c>
      <c r="AD27" s="800">
        <f>IF(AA27=0,,VLOOKUP(AA27,リスト!DH:DI,2,0))</f>
        <v>0</v>
      </c>
      <c r="AE27" s="800">
        <f t="shared" si="3"/>
        <v>0</v>
      </c>
      <c r="AF27" s="801">
        <f>IF(AE27=0,,VLOOKUP(AE27,リスト!DK:DL,2,0))</f>
        <v>0</v>
      </c>
      <c r="AG27" s="800">
        <f>IF(AA27=0,,
IF(OR(リスト!$C$21="小麦",リスト!$C$21="二条大麦",リスト!$C$21="六条大麦",リスト!$C$21="はだか麦",リスト!$C$21="なたね"),IF(K27&lt;9,調査年-J27,調査年-J27-1),
IF(リスト!$C$21="さとうきび",IF(K27&gt;=4,調査年-J27,調査年-J27+1),
調査年-J27)))</f>
        <v>0</v>
      </c>
      <c r="AH27" s="306">
        <f t="shared" si="4"/>
        <v>0</v>
      </c>
      <c r="AI27" s="306">
        <f t="shared" si="5"/>
        <v>0</v>
      </c>
      <c r="AJ27" s="306">
        <f t="shared" si="6"/>
        <v>0</v>
      </c>
      <c r="AK27" s="306">
        <f t="shared" si="7"/>
        <v>0</v>
      </c>
      <c r="AL27" s="306">
        <f t="shared" si="8"/>
        <v>0</v>
      </c>
      <c r="AM27" s="306">
        <f t="shared" si="16"/>
        <v>0</v>
      </c>
      <c r="AN27" s="477"/>
      <c r="AO27" s="306">
        <f>IF(OR(S27=0,AI27=0),,
IF(OR(リスト!$C$21="小麦",リスト!$C$21="二条大麦",リスト!$C$21="六条大麦",リスト!$C$21="はだか麦",リスト!$C$21="なたね"),IF(OR(AND(K27&lt;9,J27=調査年),AND(K27&gt;=9,J27=調査年-1)),,ROUND(AI27*S27%,0)),
IF(リスト!$C$21="さとうきび",IF(OR(AND(K27&gt;=4,J27=調査年),AND(K27&lt;4,J27=調査年+1)),,ROUND(AI27*S27%,0)),
IF(J27=調査年,,ROUND(AI27*S27%,0)))))</f>
        <v>0</v>
      </c>
      <c r="AP27" s="306">
        <f t="shared" si="9"/>
        <v>0</v>
      </c>
      <c r="AQ27" s="306">
        <f t="shared" si="10"/>
        <v>0</v>
      </c>
      <c r="AR27" s="306">
        <f t="shared" si="11"/>
        <v>0</v>
      </c>
      <c r="AS27" s="306">
        <f>IF(S27=0,,
SUM(
IF(OR(リスト!$C$21="小麦",リスト!$C$21="二条大麦",リスト!$C$21="六条大麦",リスト!$C$21="はだか麦",リスト!$C$21="なたね"),IF(OR(AND(AB27=1,K27&lt;9,J27=調査年),AND(AB27=1,K27&gt;=9,J27=調査年-1)),ROUND(L27*S27%,0),),
IF(リスト!$C$21="さとうきび",IF(OR(AND(AB27=1,K27&gt;=4,J27=調査年),AND(AB27=1,K27&lt;4,J27=調査年+1)),ROUND(L27*S27%,0),),
IF(AND(AB27=1,J27=調査年),ROUND(L27*S27%,0),))),
ROUND(N27*S27%,0),
ROUND(SUM(AM27)*S27%,0)
))</f>
        <v>0</v>
      </c>
      <c r="AT27" s="306">
        <f t="shared" si="12"/>
        <v>0</v>
      </c>
      <c r="AU27" s="306">
        <f t="shared" si="13"/>
        <v>0</v>
      </c>
      <c r="AV27" s="306">
        <f t="shared" si="14"/>
        <v>0</v>
      </c>
      <c r="AW27" s="306">
        <f t="shared" si="14"/>
        <v>0</v>
      </c>
      <c r="AX27" s="306">
        <f t="shared" si="14"/>
        <v>0</v>
      </c>
      <c r="AY27" s="841">
        <f t="shared" si="15"/>
        <v>0</v>
      </c>
      <c r="AZ27" s="802"/>
      <c r="BA27" s="802"/>
      <c r="BB27" s="802"/>
      <c r="BC27" s="802"/>
      <c r="BD27" s="174"/>
      <c r="BE27" s="174"/>
      <c r="BF27" s="174"/>
      <c r="BG27" s="174"/>
      <c r="BH27" s="174"/>
      <c r="BI27" s="174"/>
      <c r="BJ27" s="174"/>
      <c r="BK27" s="174"/>
      <c r="BL27" s="174"/>
      <c r="BM27" s="174"/>
      <c r="BN27" s="174"/>
      <c r="BO27" s="174"/>
    </row>
    <row r="28" spans="3:67" s="55" customFormat="1" ht="30.75" customHeight="1">
      <c r="C28" s="862">
        <v>12</v>
      </c>
      <c r="D28" s="803"/>
      <c r="E28" s="902"/>
      <c r="F28" s="898"/>
      <c r="G28" s="2281"/>
      <c r="H28" s="2282"/>
      <c r="I28" s="851"/>
      <c r="J28" s="846"/>
      <c r="K28" s="796"/>
      <c r="L28" s="797"/>
      <c r="M28" s="797"/>
      <c r="N28" s="797"/>
      <c r="O28" s="797"/>
      <c r="P28" s="797"/>
      <c r="Q28" s="997"/>
      <c r="R28" s="1255"/>
      <c r="S28" s="1284"/>
      <c r="T28" s="798"/>
      <c r="U28" s="847"/>
      <c r="V28" s="848"/>
      <c r="W28" s="892"/>
      <c r="X28" s="849"/>
      <c r="Y28" s="850"/>
      <c r="Z28" s="901"/>
      <c r="AA28" s="800">
        <f t="shared" si="2"/>
        <v>0</v>
      </c>
      <c r="AB28" s="800">
        <f t="shared" si="17"/>
        <v>0</v>
      </c>
      <c r="AC28" s="800">
        <f t="shared" si="18"/>
        <v>0</v>
      </c>
      <c r="AD28" s="800">
        <f>IF(AA28=0,,VLOOKUP(AA28,リスト!DH:DI,2,0))</f>
        <v>0</v>
      </c>
      <c r="AE28" s="800">
        <f t="shared" si="3"/>
        <v>0</v>
      </c>
      <c r="AF28" s="801">
        <f>IF(AE28=0,,VLOOKUP(AE28,リスト!DK:DL,2,0))</f>
        <v>0</v>
      </c>
      <c r="AG28" s="800">
        <f>IF(AA28=0,,
IF(OR(リスト!$C$21="小麦",リスト!$C$21="二条大麦",リスト!$C$21="六条大麦",リスト!$C$21="はだか麦",リスト!$C$21="なたね"),IF(K28&lt;9,調査年-J28,調査年-J28-1),
IF(リスト!$C$21="さとうきび",IF(K28&gt;=4,調査年-J28,調査年-J28+1),
調査年-J28)))</f>
        <v>0</v>
      </c>
      <c r="AH28" s="306">
        <f t="shared" si="4"/>
        <v>0</v>
      </c>
      <c r="AI28" s="306">
        <f t="shared" si="5"/>
        <v>0</v>
      </c>
      <c r="AJ28" s="306">
        <f t="shared" si="6"/>
        <v>0</v>
      </c>
      <c r="AK28" s="306">
        <f t="shared" si="7"/>
        <v>0</v>
      </c>
      <c r="AL28" s="306">
        <f t="shared" si="8"/>
        <v>0</v>
      </c>
      <c r="AM28" s="306">
        <f t="shared" si="16"/>
        <v>0</v>
      </c>
      <c r="AN28" s="477"/>
      <c r="AO28" s="306">
        <f>IF(OR(S28=0,AI28=0),,
IF(OR(リスト!$C$21="小麦",リスト!$C$21="二条大麦",リスト!$C$21="六条大麦",リスト!$C$21="はだか麦",リスト!$C$21="なたね"),IF(OR(AND(K28&lt;9,J28=調査年),AND(K28&gt;=9,J28=調査年-1)),,ROUND(AI28*S28%,0)),
IF(リスト!$C$21="さとうきび",IF(OR(AND(K28&gt;=4,J28=調査年),AND(K28&lt;4,J28=調査年+1)),,ROUND(AI28*S28%,0)),
IF(J28=調査年,,ROUND(AI28*S28%,0)))))</f>
        <v>0</v>
      </c>
      <c r="AP28" s="306">
        <f t="shared" si="9"/>
        <v>0</v>
      </c>
      <c r="AQ28" s="306">
        <f t="shared" si="10"/>
        <v>0</v>
      </c>
      <c r="AR28" s="306">
        <f t="shared" si="11"/>
        <v>0</v>
      </c>
      <c r="AS28" s="306">
        <f>IF(S28=0,,
SUM(
IF(OR(リスト!$C$21="小麦",リスト!$C$21="二条大麦",リスト!$C$21="六条大麦",リスト!$C$21="はだか麦",リスト!$C$21="なたね"),IF(OR(AND(AB28=1,K28&lt;9,J28=調査年),AND(AB28=1,K28&gt;=9,J28=調査年-1)),ROUND(L28*S28%,0),),
IF(リスト!$C$21="さとうきび",IF(OR(AND(AB28=1,K28&gt;=4,J28=調査年),AND(AB28=1,K28&lt;4,J28=調査年+1)),ROUND(L28*S28%,0),),
IF(AND(AB28=1,J28=調査年),ROUND(L28*S28%,0),))),
ROUND(N28*S28%,0),
ROUND(SUM(AM28)*S28%,0)
))</f>
        <v>0</v>
      </c>
      <c r="AT28" s="306">
        <f t="shared" si="12"/>
        <v>0</v>
      </c>
      <c r="AU28" s="306">
        <f t="shared" si="13"/>
        <v>0</v>
      </c>
      <c r="AV28" s="306">
        <f t="shared" si="14"/>
        <v>0</v>
      </c>
      <c r="AW28" s="306">
        <f t="shared" si="14"/>
        <v>0</v>
      </c>
      <c r="AX28" s="306">
        <f t="shared" si="14"/>
        <v>0</v>
      </c>
      <c r="AY28" s="841">
        <f t="shared" si="15"/>
        <v>0</v>
      </c>
      <c r="AZ28" s="802"/>
      <c r="BA28" s="802"/>
      <c r="BB28" s="802"/>
      <c r="BC28" s="802"/>
      <c r="BD28" s="174"/>
      <c r="BE28" s="174"/>
      <c r="BF28" s="174"/>
      <c r="BG28" s="174"/>
      <c r="BH28" s="174"/>
      <c r="BI28" s="174"/>
      <c r="BJ28" s="174"/>
      <c r="BK28" s="174"/>
      <c r="BL28" s="174"/>
      <c r="BM28" s="174"/>
      <c r="BN28" s="174"/>
      <c r="BO28" s="174"/>
    </row>
    <row r="29" spans="3:67" s="55" customFormat="1" ht="30.75" customHeight="1">
      <c r="C29" s="862">
        <v>13</v>
      </c>
      <c r="D29" s="803"/>
      <c r="E29" s="902"/>
      <c r="F29" s="898"/>
      <c r="G29" s="2281"/>
      <c r="H29" s="2282"/>
      <c r="I29" s="851"/>
      <c r="J29" s="846"/>
      <c r="K29" s="796"/>
      <c r="L29" s="797"/>
      <c r="M29" s="797"/>
      <c r="N29" s="797"/>
      <c r="O29" s="797"/>
      <c r="P29" s="797"/>
      <c r="Q29" s="997"/>
      <c r="R29" s="1255"/>
      <c r="S29" s="1284"/>
      <c r="T29" s="798"/>
      <c r="U29" s="847"/>
      <c r="V29" s="848"/>
      <c r="W29" s="892"/>
      <c r="X29" s="849"/>
      <c r="Y29" s="850"/>
      <c r="Z29" s="901"/>
      <c r="AA29" s="800">
        <f t="shared" si="2"/>
        <v>0</v>
      </c>
      <c r="AB29" s="800">
        <f t="shared" si="17"/>
        <v>0</v>
      </c>
      <c r="AC29" s="800">
        <f t="shared" si="18"/>
        <v>0</v>
      </c>
      <c r="AD29" s="800">
        <f>IF(AA29=0,,VLOOKUP(AA29,リスト!DH:DI,2,0))</f>
        <v>0</v>
      </c>
      <c r="AE29" s="800">
        <f t="shared" si="3"/>
        <v>0</v>
      </c>
      <c r="AF29" s="801">
        <f>IF(AE29=0,,VLOOKUP(AE29,リスト!DK:DL,2,0))</f>
        <v>0</v>
      </c>
      <c r="AG29" s="800">
        <f>IF(AA29=0,,
IF(OR(リスト!$C$21="小麦",リスト!$C$21="二条大麦",リスト!$C$21="六条大麦",リスト!$C$21="はだか麦",リスト!$C$21="なたね"),IF(K29&lt;9,調査年-J29,調査年-J29-1),
IF(リスト!$C$21="さとうきび",IF(K29&gt;=4,調査年-J29,調査年-J29+1),
調査年-J29)))</f>
        <v>0</v>
      </c>
      <c r="AH29" s="306">
        <f t="shared" si="4"/>
        <v>0</v>
      </c>
      <c r="AI29" s="306">
        <f t="shared" si="5"/>
        <v>0</v>
      </c>
      <c r="AJ29" s="306">
        <f t="shared" si="6"/>
        <v>0</v>
      </c>
      <c r="AK29" s="306">
        <f t="shared" si="7"/>
        <v>0</v>
      </c>
      <c r="AL29" s="306">
        <f t="shared" si="8"/>
        <v>0</v>
      </c>
      <c r="AM29" s="306">
        <f t="shared" si="16"/>
        <v>0</v>
      </c>
      <c r="AN29" s="477"/>
      <c r="AO29" s="306">
        <f>IF(OR(S29=0,AI29=0),,
IF(OR(リスト!$C$21="小麦",リスト!$C$21="二条大麦",リスト!$C$21="六条大麦",リスト!$C$21="はだか麦",リスト!$C$21="なたね"),IF(OR(AND(K29&lt;9,J29=調査年),AND(K29&gt;=9,J29=調査年-1)),,ROUND(AI29*S29%,0)),
IF(リスト!$C$21="さとうきび",IF(OR(AND(K29&gt;=4,J29=調査年),AND(K29&lt;4,J29=調査年+1)),,ROUND(AI29*S29%,0)),
IF(J29=調査年,,ROUND(AI29*S29%,0)))))</f>
        <v>0</v>
      </c>
      <c r="AP29" s="306">
        <f t="shared" si="9"/>
        <v>0</v>
      </c>
      <c r="AQ29" s="306">
        <f t="shared" si="10"/>
        <v>0</v>
      </c>
      <c r="AR29" s="306">
        <f t="shared" si="11"/>
        <v>0</v>
      </c>
      <c r="AS29" s="306">
        <f>IF(S29=0,,
SUM(
IF(OR(リスト!$C$21="小麦",リスト!$C$21="二条大麦",リスト!$C$21="六条大麦",リスト!$C$21="はだか麦",リスト!$C$21="なたね"),IF(OR(AND(AB29=1,K29&lt;9,J29=調査年),AND(AB29=1,K29&gt;=9,J29=調査年-1)),ROUND(L29*S29%,0),),
IF(リスト!$C$21="さとうきび",IF(OR(AND(AB29=1,K29&gt;=4,J29=調査年),AND(AB29=1,K29&lt;4,J29=調査年+1)),ROUND(L29*S29%,0),),
IF(AND(AB29=1,J29=調査年),ROUND(L29*S29%,0),))),
ROUND(N29*S29%,0),
ROUND(SUM(AM29)*S29%,0)
))</f>
        <v>0</v>
      </c>
      <c r="AT29" s="306">
        <f t="shared" si="12"/>
        <v>0</v>
      </c>
      <c r="AU29" s="306">
        <f t="shared" si="13"/>
        <v>0</v>
      </c>
      <c r="AV29" s="306">
        <f t="shared" si="14"/>
        <v>0</v>
      </c>
      <c r="AW29" s="306">
        <f t="shared" si="14"/>
        <v>0</v>
      </c>
      <c r="AX29" s="306">
        <f t="shared" si="14"/>
        <v>0</v>
      </c>
      <c r="AY29" s="841">
        <f t="shared" si="15"/>
        <v>0</v>
      </c>
      <c r="AZ29" s="802"/>
      <c r="BA29" s="802"/>
      <c r="BB29" s="802"/>
      <c r="BC29" s="802"/>
      <c r="BD29" s="174"/>
      <c r="BE29" s="174"/>
      <c r="BF29" s="174"/>
      <c r="BG29" s="174"/>
      <c r="BH29" s="174"/>
      <c r="BI29" s="174"/>
      <c r="BJ29" s="174"/>
      <c r="BK29" s="174"/>
      <c r="BL29" s="174"/>
      <c r="BM29" s="174"/>
      <c r="BN29" s="174"/>
      <c r="BO29" s="174"/>
    </row>
    <row r="30" spans="3:67" s="55" customFormat="1" ht="30.75" customHeight="1">
      <c r="C30" s="862">
        <v>14</v>
      </c>
      <c r="D30" s="803"/>
      <c r="E30" s="902"/>
      <c r="F30" s="898"/>
      <c r="G30" s="2281"/>
      <c r="H30" s="2282"/>
      <c r="I30" s="851"/>
      <c r="J30" s="846"/>
      <c r="K30" s="796"/>
      <c r="L30" s="797"/>
      <c r="M30" s="797"/>
      <c r="N30" s="797"/>
      <c r="O30" s="797"/>
      <c r="P30" s="797"/>
      <c r="Q30" s="997"/>
      <c r="R30" s="1255"/>
      <c r="S30" s="1284"/>
      <c r="T30" s="798"/>
      <c r="U30" s="847"/>
      <c r="V30" s="848"/>
      <c r="W30" s="892"/>
      <c r="X30" s="849"/>
      <c r="Y30" s="850"/>
      <c r="Z30" s="901"/>
      <c r="AA30" s="800">
        <f t="shared" si="2"/>
        <v>0</v>
      </c>
      <c r="AB30" s="800">
        <f t="shared" si="17"/>
        <v>0</v>
      </c>
      <c r="AC30" s="800">
        <f t="shared" si="18"/>
        <v>0</v>
      </c>
      <c r="AD30" s="800">
        <f>IF(AA30=0,,VLOOKUP(AA30,リスト!DH:DI,2,0))</f>
        <v>0</v>
      </c>
      <c r="AE30" s="800">
        <f t="shared" si="3"/>
        <v>0</v>
      </c>
      <c r="AF30" s="801">
        <f>IF(AE30=0,,VLOOKUP(AE30,リスト!DK:DL,2,0))</f>
        <v>0</v>
      </c>
      <c r="AG30" s="800">
        <f>IF(AA30=0,,
IF(OR(リスト!$C$21="小麦",リスト!$C$21="二条大麦",リスト!$C$21="六条大麦",リスト!$C$21="はだか麦",リスト!$C$21="なたね"),IF(K30&lt;9,調査年-J30,調査年-J30-1),
IF(リスト!$C$21="さとうきび",IF(K30&gt;=4,調査年-J30,調査年-J30+1),
調査年-J30)))</f>
        <v>0</v>
      </c>
      <c r="AH30" s="306">
        <f t="shared" si="4"/>
        <v>0</v>
      </c>
      <c r="AI30" s="306">
        <f t="shared" si="5"/>
        <v>0</v>
      </c>
      <c r="AJ30" s="306">
        <f t="shared" si="6"/>
        <v>0</v>
      </c>
      <c r="AK30" s="306">
        <f t="shared" si="7"/>
        <v>0</v>
      </c>
      <c r="AL30" s="306">
        <f t="shared" si="8"/>
        <v>0</v>
      </c>
      <c r="AM30" s="306">
        <f t="shared" si="16"/>
        <v>0</v>
      </c>
      <c r="AN30" s="477"/>
      <c r="AO30" s="306">
        <f>IF(OR(S30=0,AI30=0),,
IF(OR(リスト!$C$21="小麦",リスト!$C$21="二条大麦",リスト!$C$21="六条大麦",リスト!$C$21="はだか麦",リスト!$C$21="なたね"),IF(OR(AND(K30&lt;9,J30=調査年),AND(K30&gt;=9,J30=調査年-1)),,ROUND(AI30*S30%,0)),
IF(リスト!$C$21="さとうきび",IF(OR(AND(K30&gt;=4,J30=調査年),AND(K30&lt;4,J30=調査年+1)),,ROUND(AI30*S30%,0)),
IF(J30=調査年,,ROUND(AI30*S30%,0)))))</f>
        <v>0</v>
      </c>
      <c r="AP30" s="306">
        <f t="shared" si="9"/>
        <v>0</v>
      </c>
      <c r="AQ30" s="306">
        <f t="shared" si="10"/>
        <v>0</v>
      </c>
      <c r="AR30" s="306">
        <f t="shared" si="11"/>
        <v>0</v>
      </c>
      <c r="AS30" s="306">
        <f>IF(S30=0,,
SUM(
IF(OR(リスト!$C$21="小麦",リスト!$C$21="二条大麦",リスト!$C$21="六条大麦",リスト!$C$21="はだか麦",リスト!$C$21="なたね"),IF(OR(AND(AB30=1,K30&lt;9,J30=調査年),AND(AB30=1,K30&gt;=9,J30=調査年-1)),ROUND(L30*S30%,0),),
IF(リスト!$C$21="さとうきび",IF(OR(AND(AB30=1,K30&gt;=4,J30=調査年),AND(AB30=1,K30&lt;4,J30=調査年+1)),ROUND(L30*S30%,0),),
IF(AND(AB30=1,J30=調査年),ROUND(L30*S30%,0),))),
ROUND(N30*S30%,0),
ROUND(SUM(AM30)*S30%,0)
))</f>
        <v>0</v>
      </c>
      <c r="AT30" s="306">
        <f t="shared" si="12"/>
        <v>0</v>
      </c>
      <c r="AU30" s="306">
        <f t="shared" si="13"/>
        <v>0</v>
      </c>
      <c r="AV30" s="306">
        <f t="shared" si="14"/>
        <v>0</v>
      </c>
      <c r="AW30" s="306">
        <f t="shared" si="14"/>
        <v>0</v>
      </c>
      <c r="AX30" s="306">
        <f t="shared" si="14"/>
        <v>0</v>
      </c>
      <c r="AY30" s="841">
        <f t="shared" si="15"/>
        <v>0</v>
      </c>
      <c r="AZ30" s="802"/>
      <c r="BA30" s="802"/>
      <c r="BB30" s="802"/>
      <c r="BC30" s="802"/>
      <c r="BD30" s="174"/>
      <c r="BE30" s="174"/>
      <c r="BF30" s="174"/>
      <c r="BG30" s="174"/>
      <c r="BH30" s="174"/>
      <c r="BI30" s="174"/>
      <c r="BJ30" s="174"/>
      <c r="BK30" s="174"/>
      <c r="BL30" s="174"/>
      <c r="BM30" s="174"/>
      <c r="BN30" s="174"/>
      <c r="BO30" s="174"/>
    </row>
    <row r="31" spans="3:67" s="55" customFormat="1" ht="30.75" customHeight="1" collapsed="1" thickBot="1">
      <c r="C31" s="903">
        <v>15</v>
      </c>
      <c r="D31" s="803"/>
      <c r="E31" s="902"/>
      <c r="F31" s="898"/>
      <c r="G31" s="2281"/>
      <c r="H31" s="2282"/>
      <c r="I31" s="851"/>
      <c r="J31" s="846"/>
      <c r="K31" s="796"/>
      <c r="L31" s="797"/>
      <c r="M31" s="797"/>
      <c r="N31" s="797"/>
      <c r="O31" s="797"/>
      <c r="P31" s="797"/>
      <c r="Q31" s="997"/>
      <c r="R31" s="1255"/>
      <c r="S31" s="1284"/>
      <c r="T31" s="798"/>
      <c r="U31" s="847"/>
      <c r="V31" s="848"/>
      <c r="W31" s="892"/>
      <c r="X31" s="904"/>
      <c r="Y31" s="905"/>
      <c r="Z31" s="901"/>
      <c r="AA31" s="800">
        <f t="shared" si="2"/>
        <v>0</v>
      </c>
      <c r="AB31" s="800">
        <f t="shared" si="17"/>
        <v>0</v>
      </c>
      <c r="AC31" s="800">
        <f t="shared" si="18"/>
        <v>0</v>
      </c>
      <c r="AD31" s="800">
        <f>IF(AA31=0,,VLOOKUP(AA31,リスト!DH:DI,2,0))</f>
        <v>0</v>
      </c>
      <c r="AE31" s="800">
        <f t="shared" si="3"/>
        <v>0</v>
      </c>
      <c r="AF31" s="801">
        <f>IF(AE31=0,,VLOOKUP(AE31,リスト!DK:DL,2,0))</f>
        <v>0</v>
      </c>
      <c r="AG31" s="800">
        <f>IF(AA31=0,,
IF(OR(リスト!$C$21="小麦",リスト!$C$21="二条大麦",リスト!$C$21="六条大麦",リスト!$C$21="はだか麦",リスト!$C$21="なたね"),IF(K31&lt;9,調査年-J31,調査年-J31-1),
IF(リスト!$C$21="さとうきび",IF(K31&gt;=4,調査年-J31,調査年-J31+1),
調査年-J31)))</f>
        <v>0</v>
      </c>
      <c r="AH31" s="306">
        <f t="shared" si="4"/>
        <v>0</v>
      </c>
      <c r="AI31" s="306">
        <f t="shared" si="5"/>
        <v>0</v>
      </c>
      <c r="AJ31" s="306">
        <f t="shared" si="6"/>
        <v>0</v>
      </c>
      <c r="AK31" s="306">
        <f t="shared" si="7"/>
        <v>0</v>
      </c>
      <c r="AL31" s="306">
        <f t="shared" si="8"/>
        <v>0</v>
      </c>
      <c r="AM31" s="306">
        <f t="shared" si="16"/>
        <v>0</v>
      </c>
      <c r="AN31" s="477"/>
      <c r="AO31" s="306">
        <f>IF(OR(S31=0,AI31=0),,
IF(OR(リスト!$C$21="小麦",リスト!$C$21="二条大麦",リスト!$C$21="六条大麦",リスト!$C$21="はだか麦",リスト!$C$21="なたね"),IF(OR(AND(K31&lt;9,J31=調査年),AND(K31&gt;=9,J31=調査年-1)),,ROUND(AI31*S31%,0)),
IF(リスト!$C$21="さとうきび",IF(OR(AND(K31&gt;=4,J31=調査年),AND(K31&lt;4,J31=調査年+1)),,ROUND(AI31*S31%,0)),
IF(J31=調査年,,ROUND(AI31*S31%,0)))))</f>
        <v>0</v>
      </c>
      <c r="AP31" s="306">
        <f t="shared" si="9"/>
        <v>0</v>
      </c>
      <c r="AQ31" s="306">
        <f t="shared" si="10"/>
        <v>0</v>
      </c>
      <c r="AR31" s="306">
        <f t="shared" si="11"/>
        <v>0</v>
      </c>
      <c r="AS31" s="306">
        <f>IF(S31=0,,
SUM(
IF(OR(リスト!$C$21="小麦",リスト!$C$21="二条大麦",リスト!$C$21="六条大麦",リスト!$C$21="はだか麦",リスト!$C$21="なたね"),IF(OR(AND(AB31=1,K31&lt;9,J31=調査年),AND(AB31=1,K31&gt;=9,J31=調査年-1)),ROUND(L31*S31%,0),),
IF(リスト!$C$21="さとうきび",IF(OR(AND(AB31=1,K31&gt;=4,J31=調査年),AND(AB31=1,K31&lt;4,J31=調査年+1)),ROUND(L31*S31%,0),),
IF(AND(AB31=1,J31=調査年),ROUND(L31*S31%,0),))),
ROUND(N31*S31%,0),
ROUND(SUM(AM31)*S31%,0)
))</f>
        <v>0</v>
      </c>
      <c r="AT31" s="306">
        <f t="shared" si="12"/>
        <v>0</v>
      </c>
      <c r="AU31" s="306">
        <f t="shared" si="13"/>
        <v>0</v>
      </c>
      <c r="AV31" s="306">
        <f t="shared" si="14"/>
        <v>0</v>
      </c>
      <c r="AW31" s="306">
        <f t="shared" si="14"/>
        <v>0</v>
      </c>
      <c r="AX31" s="306">
        <f t="shared" si="14"/>
        <v>0</v>
      </c>
      <c r="AY31" s="841">
        <f t="shared" si="15"/>
        <v>0</v>
      </c>
      <c r="AZ31" s="802"/>
      <c r="BA31" s="802"/>
      <c r="BB31" s="802"/>
      <c r="BC31" s="802"/>
      <c r="BD31" s="174"/>
      <c r="BE31" s="174"/>
      <c r="BF31" s="174"/>
      <c r="BG31" s="174"/>
      <c r="BH31" s="174"/>
      <c r="BI31" s="174"/>
      <c r="BJ31" s="174"/>
      <c r="BK31" s="174"/>
      <c r="BL31" s="174"/>
      <c r="BM31" s="174"/>
      <c r="BN31" s="174"/>
      <c r="BO31" s="174"/>
    </row>
    <row r="32" spans="3:67" s="55" customFormat="1" ht="30.75" hidden="1" customHeight="1" outlineLevel="1">
      <c r="C32" s="903">
        <v>16</v>
      </c>
      <c r="D32" s="803"/>
      <c r="E32" s="902"/>
      <c r="F32" s="898"/>
      <c r="G32" s="2281"/>
      <c r="H32" s="2282"/>
      <c r="I32" s="851"/>
      <c r="J32" s="846"/>
      <c r="K32" s="796"/>
      <c r="L32" s="797"/>
      <c r="M32" s="797"/>
      <c r="N32" s="797"/>
      <c r="O32" s="797"/>
      <c r="P32" s="797"/>
      <c r="Q32" s="997"/>
      <c r="R32" s="1255"/>
      <c r="S32" s="1284"/>
      <c r="T32" s="798"/>
      <c r="U32" s="847"/>
      <c r="V32" s="848"/>
      <c r="W32" s="892"/>
      <c r="X32" s="904"/>
      <c r="Y32" s="905"/>
      <c r="Z32" s="901"/>
      <c r="AA32" s="800">
        <f t="shared" si="2"/>
        <v>0</v>
      </c>
      <c r="AB32" s="800">
        <f t="shared" si="17"/>
        <v>0</v>
      </c>
      <c r="AC32" s="800">
        <f t="shared" si="18"/>
        <v>0</v>
      </c>
      <c r="AD32" s="800">
        <f>IF(AA32=0,,VLOOKUP(AA32,リスト!DH:DI,2,0))</f>
        <v>0</v>
      </c>
      <c r="AE32" s="800">
        <f t="shared" si="3"/>
        <v>0</v>
      </c>
      <c r="AF32" s="801">
        <f>IF(AE32=0,,VLOOKUP(AE32,リスト!DK:DL,2,0))</f>
        <v>0</v>
      </c>
      <c r="AG32" s="800">
        <f>IF(AA32=0,,
IF(OR(リスト!$C$21="小麦",リスト!$C$21="二条大麦",リスト!$C$21="六条大麦",リスト!$C$21="はだか麦",リスト!$C$21="なたね"),IF(K32&lt;9,調査年-J32,調査年-J32-1),
IF(リスト!$C$21="さとうきび",IF(K32&gt;=4,調査年-J32,調査年-J32+1),
調査年-J32)))</f>
        <v>0</v>
      </c>
      <c r="AH32" s="306">
        <f t="shared" si="4"/>
        <v>0</v>
      </c>
      <c r="AI32" s="306">
        <f t="shared" si="5"/>
        <v>0</v>
      </c>
      <c r="AJ32" s="306">
        <f t="shared" si="6"/>
        <v>0</v>
      </c>
      <c r="AK32" s="306">
        <f t="shared" si="7"/>
        <v>0</v>
      </c>
      <c r="AL32" s="306">
        <f t="shared" si="8"/>
        <v>0</v>
      </c>
      <c r="AM32" s="306">
        <f t="shared" si="16"/>
        <v>0</v>
      </c>
      <c r="AN32" s="477"/>
      <c r="AO32" s="306">
        <f>IF(OR(S32=0,AI32=0),,
IF(OR(リスト!$C$21="小麦",リスト!$C$21="二条大麦",リスト!$C$21="六条大麦",リスト!$C$21="はだか麦",リスト!$C$21="なたね"),IF(OR(AND(K32&lt;9,J32=調査年),AND(K32&gt;=9,J32=調査年-1)),,ROUND(AI32*S32%,0)),
IF(リスト!$C$21="さとうきび",IF(OR(AND(K32&gt;=4,J32=調査年),AND(K32&lt;4,J32=調査年+1)),,ROUND(AI32*S32%,0)),
IF(J32=調査年,,ROUND(AI32*S32%,0)))))</f>
        <v>0</v>
      </c>
      <c r="AP32" s="306">
        <f t="shared" si="9"/>
        <v>0</v>
      </c>
      <c r="AQ32" s="306">
        <f t="shared" si="10"/>
        <v>0</v>
      </c>
      <c r="AR32" s="306">
        <f t="shared" si="11"/>
        <v>0</v>
      </c>
      <c r="AS32" s="306">
        <f>IF(S32=0,,
SUM(
IF(OR(リスト!$C$21="小麦",リスト!$C$21="二条大麦",リスト!$C$21="六条大麦",リスト!$C$21="はだか麦",リスト!$C$21="なたね"),IF(OR(AND(AB32=1,K32&lt;9,J32=調査年),AND(AB32=1,K32&gt;=9,J32=調査年-1)),ROUND(L32*S32%,0),),
IF(リスト!$C$21="さとうきび",IF(OR(AND(AB32=1,K32&gt;=4,J32=調査年),AND(AB32=1,K32&lt;4,J32=調査年+1)),ROUND(L32*S32%,0),),
IF(AND(AB32=1,J32=調査年),ROUND(L32*S32%,0),))),
ROUND(N32*S32%,0),
ROUND(SUM(AM32)*S32%,0)
))</f>
        <v>0</v>
      </c>
      <c r="AT32" s="306">
        <f t="shared" si="12"/>
        <v>0</v>
      </c>
      <c r="AU32" s="306">
        <f t="shared" si="13"/>
        <v>0</v>
      </c>
      <c r="AV32" s="306">
        <f t="shared" si="14"/>
        <v>0</v>
      </c>
      <c r="AW32" s="306">
        <f t="shared" si="14"/>
        <v>0</v>
      </c>
      <c r="AX32" s="306">
        <f t="shared" si="14"/>
        <v>0</v>
      </c>
      <c r="AY32" s="841">
        <f t="shared" si="15"/>
        <v>0</v>
      </c>
      <c r="AZ32" s="802"/>
      <c r="BA32" s="802"/>
      <c r="BB32" s="802"/>
      <c r="BC32" s="802"/>
      <c r="BD32" s="174"/>
      <c r="BE32" s="174"/>
      <c r="BF32" s="174"/>
      <c r="BG32" s="174"/>
      <c r="BH32" s="174"/>
      <c r="BI32" s="174"/>
      <c r="BJ32" s="174"/>
      <c r="BK32" s="174"/>
      <c r="BL32" s="174"/>
      <c r="BM32" s="174"/>
      <c r="BN32" s="174"/>
      <c r="BO32" s="174"/>
    </row>
    <row r="33" spans="3:67" s="55" customFormat="1" ht="30.75" hidden="1" customHeight="1" outlineLevel="1">
      <c r="C33" s="862">
        <v>17</v>
      </c>
      <c r="D33" s="803"/>
      <c r="E33" s="902"/>
      <c r="F33" s="898"/>
      <c r="G33" s="2281"/>
      <c r="H33" s="2282"/>
      <c r="I33" s="851"/>
      <c r="J33" s="846"/>
      <c r="K33" s="796"/>
      <c r="L33" s="797"/>
      <c r="M33" s="797"/>
      <c r="N33" s="797"/>
      <c r="O33" s="797"/>
      <c r="P33" s="797"/>
      <c r="Q33" s="997"/>
      <c r="R33" s="1255"/>
      <c r="S33" s="1284"/>
      <c r="T33" s="798"/>
      <c r="U33" s="847"/>
      <c r="V33" s="848"/>
      <c r="W33" s="892"/>
      <c r="X33" s="904"/>
      <c r="Y33" s="905"/>
      <c r="Z33" s="901"/>
      <c r="AA33" s="800">
        <f t="shared" si="2"/>
        <v>0</v>
      </c>
      <c r="AB33" s="800">
        <f t="shared" si="17"/>
        <v>0</v>
      </c>
      <c r="AC33" s="800">
        <f t="shared" si="18"/>
        <v>0</v>
      </c>
      <c r="AD33" s="800">
        <f>IF(AA33=0,,VLOOKUP(AA33,リスト!DH:DI,2,0))</f>
        <v>0</v>
      </c>
      <c r="AE33" s="800">
        <f t="shared" si="3"/>
        <v>0</v>
      </c>
      <c r="AF33" s="801">
        <f>IF(AE33=0,,VLOOKUP(AE33,リスト!DK:DL,2,0))</f>
        <v>0</v>
      </c>
      <c r="AG33" s="800">
        <f>IF(AA33=0,,
IF(OR(リスト!$C$21="小麦",リスト!$C$21="二条大麦",リスト!$C$21="六条大麦",リスト!$C$21="はだか麦",リスト!$C$21="なたね"),IF(K33&lt;9,調査年-J33,調査年-J33-1),
IF(リスト!$C$21="さとうきび",IF(K33&gt;=4,調査年-J33,調査年-J33+1),
調査年-J33)))</f>
        <v>0</v>
      </c>
      <c r="AH33" s="306">
        <f t="shared" si="4"/>
        <v>0</v>
      </c>
      <c r="AI33" s="306">
        <f t="shared" si="5"/>
        <v>0</v>
      </c>
      <c r="AJ33" s="306">
        <f t="shared" si="6"/>
        <v>0</v>
      </c>
      <c r="AK33" s="306">
        <f t="shared" si="7"/>
        <v>0</v>
      </c>
      <c r="AL33" s="306">
        <f t="shared" si="8"/>
        <v>0</v>
      </c>
      <c r="AM33" s="306">
        <f t="shared" si="16"/>
        <v>0</v>
      </c>
      <c r="AN33" s="477"/>
      <c r="AO33" s="306">
        <f>IF(OR(S33=0,AI33=0),,
IF(OR(リスト!$C$21="小麦",リスト!$C$21="二条大麦",リスト!$C$21="六条大麦",リスト!$C$21="はだか麦",リスト!$C$21="なたね"),IF(OR(AND(K33&lt;9,J33=調査年),AND(K33&gt;=9,J33=調査年-1)),,ROUND(AI33*S33%,0)),
IF(リスト!$C$21="さとうきび",IF(OR(AND(K33&gt;=4,J33=調査年),AND(K33&lt;4,J33=調査年+1)),,ROUND(AI33*S33%,0)),
IF(J33=調査年,,ROUND(AI33*S33%,0)))))</f>
        <v>0</v>
      </c>
      <c r="AP33" s="306">
        <f t="shared" si="9"/>
        <v>0</v>
      </c>
      <c r="AQ33" s="306">
        <f t="shared" si="10"/>
        <v>0</v>
      </c>
      <c r="AR33" s="306">
        <f t="shared" si="11"/>
        <v>0</v>
      </c>
      <c r="AS33" s="306">
        <f>IF(S33=0,,
SUM(
IF(OR(リスト!$C$21="小麦",リスト!$C$21="二条大麦",リスト!$C$21="六条大麦",リスト!$C$21="はだか麦",リスト!$C$21="なたね"),IF(OR(AND(AB33=1,K33&lt;9,J33=調査年),AND(AB33=1,K33&gt;=9,J33=調査年-1)),ROUND(L33*S33%,0),),
IF(リスト!$C$21="さとうきび",IF(OR(AND(AB33=1,K33&gt;=4,J33=調査年),AND(AB33=1,K33&lt;4,J33=調査年+1)),ROUND(L33*S33%,0),),
IF(AND(AB33=1,J33=調査年),ROUND(L33*S33%,0),))),
ROUND(N33*S33%,0),
ROUND(SUM(AM33)*S33%,0)
))</f>
        <v>0</v>
      </c>
      <c r="AT33" s="306">
        <f t="shared" si="12"/>
        <v>0</v>
      </c>
      <c r="AU33" s="306">
        <f t="shared" si="13"/>
        <v>0</v>
      </c>
      <c r="AV33" s="306">
        <f t="shared" si="14"/>
        <v>0</v>
      </c>
      <c r="AW33" s="306">
        <f t="shared" si="14"/>
        <v>0</v>
      </c>
      <c r="AX33" s="306">
        <f t="shared" si="14"/>
        <v>0</v>
      </c>
      <c r="AY33" s="841">
        <f t="shared" si="15"/>
        <v>0</v>
      </c>
      <c r="AZ33" s="802"/>
      <c r="BA33" s="802"/>
      <c r="BB33" s="802"/>
      <c r="BC33" s="802"/>
      <c r="BD33" s="174"/>
      <c r="BE33" s="174"/>
      <c r="BF33" s="174"/>
      <c r="BG33" s="174"/>
      <c r="BH33" s="174"/>
      <c r="BI33" s="174"/>
      <c r="BJ33" s="174"/>
      <c r="BK33" s="174"/>
      <c r="BL33" s="174"/>
      <c r="BM33" s="174"/>
      <c r="BN33" s="174"/>
      <c r="BO33" s="174"/>
    </row>
    <row r="34" spans="3:67" s="55" customFormat="1" ht="30.75" hidden="1" customHeight="1" outlineLevel="1">
      <c r="C34" s="862">
        <v>18</v>
      </c>
      <c r="D34" s="803"/>
      <c r="E34" s="902"/>
      <c r="F34" s="898"/>
      <c r="G34" s="2281"/>
      <c r="H34" s="2282"/>
      <c r="I34" s="851"/>
      <c r="J34" s="846"/>
      <c r="K34" s="796"/>
      <c r="L34" s="797"/>
      <c r="M34" s="797"/>
      <c r="N34" s="797"/>
      <c r="O34" s="797"/>
      <c r="P34" s="797"/>
      <c r="Q34" s="997"/>
      <c r="R34" s="1255"/>
      <c r="S34" s="1284"/>
      <c r="T34" s="798"/>
      <c r="U34" s="847"/>
      <c r="V34" s="848"/>
      <c r="W34" s="892"/>
      <c r="X34" s="904"/>
      <c r="Y34" s="905"/>
      <c r="Z34" s="901"/>
      <c r="AA34" s="800">
        <f t="shared" si="2"/>
        <v>0</v>
      </c>
      <c r="AB34" s="800">
        <f t="shared" si="17"/>
        <v>0</v>
      </c>
      <c r="AC34" s="800">
        <f t="shared" si="18"/>
        <v>0</v>
      </c>
      <c r="AD34" s="800">
        <f>IF(AA34=0,,VLOOKUP(AA34,リスト!DH:DI,2,0))</f>
        <v>0</v>
      </c>
      <c r="AE34" s="800">
        <f t="shared" si="3"/>
        <v>0</v>
      </c>
      <c r="AF34" s="801">
        <f>IF(AE34=0,,VLOOKUP(AE34,リスト!DK:DL,2,0))</f>
        <v>0</v>
      </c>
      <c r="AG34" s="800">
        <f>IF(AA34=0,,
IF(OR(リスト!$C$21="小麦",リスト!$C$21="二条大麦",リスト!$C$21="六条大麦",リスト!$C$21="はだか麦",リスト!$C$21="なたね"),IF(K34&lt;9,調査年-J34,調査年-J34-1),
IF(リスト!$C$21="さとうきび",IF(K34&gt;=4,調査年-J34,調査年-J34+1),
調査年-J34)))</f>
        <v>0</v>
      </c>
      <c r="AH34" s="306">
        <f t="shared" si="4"/>
        <v>0</v>
      </c>
      <c r="AI34" s="306">
        <f t="shared" si="5"/>
        <v>0</v>
      </c>
      <c r="AJ34" s="306">
        <f t="shared" si="6"/>
        <v>0</v>
      </c>
      <c r="AK34" s="306">
        <f t="shared" si="7"/>
        <v>0</v>
      </c>
      <c r="AL34" s="306">
        <f t="shared" si="8"/>
        <v>0</v>
      </c>
      <c r="AM34" s="306">
        <f t="shared" si="16"/>
        <v>0</v>
      </c>
      <c r="AN34" s="477"/>
      <c r="AO34" s="306">
        <f>IF(OR(S34=0,AI34=0),,
IF(OR(リスト!$C$21="小麦",リスト!$C$21="二条大麦",リスト!$C$21="六条大麦",リスト!$C$21="はだか麦",リスト!$C$21="なたね"),IF(OR(AND(K34&lt;9,J34=調査年),AND(K34&gt;=9,J34=調査年-1)),,ROUND(AI34*S34%,0)),
IF(リスト!$C$21="さとうきび",IF(OR(AND(K34&gt;=4,J34=調査年),AND(K34&lt;4,J34=調査年+1)),,ROUND(AI34*S34%,0)),
IF(J34=調査年,,ROUND(AI34*S34%,0)))))</f>
        <v>0</v>
      </c>
      <c r="AP34" s="306">
        <f t="shared" si="9"/>
        <v>0</v>
      </c>
      <c r="AQ34" s="306">
        <f t="shared" si="10"/>
        <v>0</v>
      </c>
      <c r="AR34" s="306">
        <f t="shared" si="11"/>
        <v>0</v>
      </c>
      <c r="AS34" s="306">
        <f>IF(S34=0,,
SUM(
IF(OR(リスト!$C$21="小麦",リスト!$C$21="二条大麦",リスト!$C$21="六条大麦",リスト!$C$21="はだか麦",リスト!$C$21="なたね"),IF(OR(AND(AB34=1,K34&lt;9,J34=調査年),AND(AB34=1,K34&gt;=9,J34=調査年-1)),ROUND(L34*S34%,0),),
IF(リスト!$C$21="さとうきび",IF(OR(AND(AB34=1,K34&gt;=4,J34=調査年),AND(AB34=1,K34&lt;4,J34=調査年+1)),ROUND(L34*S34%,0),),
IF(AND(AB34=1,J34=調査年),ROUND(L34*S34%,0),))),
ROUND(N34*S34%,0),
ROUND(SUM(AM34)*S34%,0)
))</f>
        <v>0</v>
      </c>
      <c r="AT34" s="306">
        <f t="shared" si="12"/>
        <v>0</v>
      </c>
      <c r="AU34" s="306">
        <f t="shared" si="13"/>
        <v>0</v>
      </c>
      <c r="AV34" s="306">
        <f t="shared" si="14"/>
        <v>0</v>
      </c>
      <c r="AW34" s="306">
        <f t="shared" si="14"/>
        <v>0</v>
      </c>
      <c r="AX34" s="306">
        <f t="shared" si="14"/>
        <v>0</v>
      </c>
      <c r="AY34" s="841">
        <f t="shared" si="15"/>
        <v>0</v>
      </c>
      <c r="AZ34" s="802"/>
      <c r="BA34" s="802"/>
      <c r="BB34" s="802"/>
      <c r="BC34" s="802"/>
      <c r="BD34" s="174"/>
      <c r="BE34" s="174"/>
      <c r="BF34" s="174"/>
      <c r="BG34" s="174"/>
      <c r="BH34" s="174"/>
      <c r="BI34" s="174"/>
      <c r="BJ34" s="174"/>
      <c r="BK34" s="174"/>
      <c r="BL34" s="174"/>
      <c r="BM34" s="174"/>
      <c r="BN34" s="174"/>
      <c r="BO34" s="174"/>
    </row>
    <row r="35" spans="3:67" s="55" customFormat="1" ht="30.75" hidden="1" customHeight="1" outlineLevel="1">
      <c r="C35" s="862">
        <v>19</v>
      </c>
      <c r="D35" s="803"/>
      <c r="E35" s="902"/>
      <c r="F35" s="898"/>
      <c r="G35" s="2281"/>
      <c r="H35" s="2282"/>
      <c r="I35" s="851"/>
      <c r="J35" s="846"/>
      <c r="K35" s="796"/>
      <c r="L35" s="797"/>
      <c r="M35" s="797"/>
      <c r="N35" s="797"/>
      <c r="O35" s="797"/>
      <c r="P35" s="797"/>
      <c r="Q35" s="997"/>
      <c r="R35" s="1255"/>
      <c r="S35" s="1284"/>
      <c r="T35" s="798"/>
      <c r="U35" s="847"/>
      <c r="V35" s="848"/>
      <c r="W35" s="892"/>
      <c r="X35" s="904"/>
      <c r="Y35" s="905"/>
      <c r="Z35" s="901"/>
      <c r="AA35" s="800">
        <f t="shared" si="2"/>
        <v>0</v>
      </c>
      <c r="AB35" s="800">
        <f t="shared" si="17"/>
        <v>0</v>
      </c>
      <c r="AC35" s="800">
        <f t="shared" si="18"/>
        <v>0</v>
      </c>
      <c r="AD35" s="800">
        <f>IF(AA35=0,,VLOOKUP(AA35,リスト!DH:DI,2,0))</f>
        <v>0</v>
      </c>
      <c r="AE35" s="800">
        <f t="shared" si="3"/>
        <v>0</v>
      </c>
      <c r="AF35" s="801">
        <f>IF(AE35=0,,VLOOKUP(AE35,リスト!DK:DL,2,0))</f>
        <v>0</v>
      </c>
      <c r="AG35" s="800">
        <f>IF(AA35=0,,
IF(OR(リスト!$C$21="小麦",リスト!$C$21="二条大麦",リスト!$C$21="六条大麦",リスト!$C$21="はだか麦",リスト!$C$21="なたね"),IF(K35&lt;9,調査年-J35,調査年-J35-1),
IF(リスト!$C$21="さとうきび",IF(K35&gt;=4,調査年-J35,調査年-J35+1),
調査年-J35)))</f>
        <v>0</v>
      </c>
      <c r="AH35" s="306">
        <f t="shared" si="4"/>
        <v>0</v>
      </c>
      <c r="AI35" s="306">
        <f t="shared" si="5"/>
        <v>0</v>
      </c>
      <c r="AJ35" s="306">
        <f t="shared" si="6"/>
        <v>0</v>
      </c>
      <c r="AK35" s="306">
        <f t="shared" si="7"/>
        <v>0</v>
      </c>
      <c r="AL35" s="306">
        <f t="shared" si="8"/>
        <v>0</v>
      </c>
      <c r="AM35" s="306">
        <f t="shared" si="16"/>
        <v>0</v>
      </c>
      <c r="AN35" s="477"/>
      <c r="AO35" s="306">
        <f>IF(OR(S35=0,AI35=0),,
IF(OR(リスト!$C$21="小麦",リスト!$C$21="二条大麦",リスト!$C$21="六条大麦",リスト!$C$21="はだか麦",リスト!$C$21="なたね"),IF(OR(AND(K35&lt;9,J35=調査年),AND(K35&gt;=9,J35=調査年-1)),,ROUND(AI35*S35%,0)),
IF(リスト!$C$21="さとうきび",IF(OR(AND(K35&gt;=4,J35=調査年),AND(K35&lt;4,J35=調査年+1)),,ROUND(AI35*S35%,0)),
IF(J35=調査年,,ROUND(AI35*S35%,0)))))</f>
        <v>0</v>
      </c>
      <c r="AP35" s="306">
        <f t="shared" si="9"/>
        <v>0</v>
      </c>
      <c r="AQ35" s="306">
        <f t="shared" si="10"/>
        <v>0</v>
      </c>
      <c r="AR35" s="306">
        <f t="shared" si="11"/>
        <v>0</v>
      </c>
      <c r="AS35" s="306">
        <f>IF(S35=0,,
SUM(
IF(OR(リスト!$C$21="小麦",リスト!$C$21="二条大麦",リスト!$C$21="六条大麦",リスト!$C$21="はだか麦",リスト!$C$21="なたね"),IF(OR(AND(AB35=1,K35&lt;9,J35=調査年),AND(AB35=1,K35&gt;=9,J35=調査年-1)),ROUND(L35*S35%,0),),
IF(リスト!$C$21="さとうきび",IF(OR(AND(AB35=1,K35&gt;=4,J35=調査年),AND(AB35=1,K35&lt;4,J35=調査年+1)),ROUND(L35*S35%,0),),
IF(AND(AB35=1,J35=調査年),ROUND(L35*S35%,0),))),
ROUND(N35*S35%,0),
ROUND(SUM(AM35)*S35%,0)
))</f>
        <v>0</v>
      </c>
      <c r="AT35" s="306">
        <f t="shared" si="12"/>
        <v>0</v>
      </c>
      <c r="AU35" s="306">
        <f t="shared" si="13"/>
        <v>0</v>
      </c>
      <c r="AV35" s="306">
        <f t="shared" si="14"/>
        <v>0</v>
      </c>
      <c r="AW35" s="306">
        <f t="shared" si="14"/>
        <v>0</v>
      </c>
      <c r="AX35" s="306">
        <f t="shared" si="14"/>
        <v>0</v>
      </c>
      <c r="AY35" s="841">
        <f t="shared" si="15"/>
        <v>0</v>
      </c>
      <c r="AZ35" s="802"/>
      <c r="BA35" s="802"/>
      <c r="BB35" s="802"/>
      <c r="BC35" s="802"/>
      <c r="BD35" s="174"/>
      <c r="BE35" s="174"/>
      <c r="BF35" s="174"/>
      <c r="BG35" s="174"/>
      <c r="BH35" s="174"/>
      <c r="BI35" s="174"/>
      <c r="BJ35" s="174"/>
      <c r="BK35" s="174"/>
      <c r="BL35" s="174"/>
      <c r="BM35" s="174"/>
      <c r="BN35" s="174"/>
      <c r="BO35" s="174"/>
    </row>
    <row r="36" spans="3:67" s="55" customFormat="1" ht="30.75" hidden="1" customHeight="1" outlineLevel="1">
      <c r="C36" s="862">
        <v>20</v>
      </c>
      <c r="D36" s="803"/>
      <c r="E36" s="902"/>
      <c r="F36" s="898"/>
      <c r="G36" s="2281"/>
      <c r="H36" s="2282"/>
      <c r="I36" s="851"/>
      <c r="J36" s="846"/>
      <c r="K36" s="796"/>
      <c r="L36" s="797"/>
      <c r="M36" s="797"/>
      <c r="N36" s="797"/>
      <c r="O36" s="797"/>
      <c r="P36" s="797"/>
      <c r="Q36" s="997"/>
      <c r="R36" s="1255"/>
      <c r="S36" s="1284"/>
      <c r="T36" s="798"/>
      <c r="U36" s="847"/>
      <c r="V36" s="848"/>
      <c r="W36" s="892"/>
      <c r="X36" s="904"/>
      <c r="Y36" s="905"/>
      <c r="Z36" s="901"/>
      <c r="AA36" s="800">
        <f t="shared" si="2"/>
        <v>0</v>
      </c>
      <c r="AB36" s="800">
        <f t="shared" si="17"/>
        <v>0</v>
      </c>
      <c r="AC36" s="800">
        <f t="shared" si="18"/>
        <v>0</v>
      </c>
      <c r="AD36" s="800">
        <f>IF(AA36=0,,VLOOKUP(AA36,リスト!DH:DI,2,0))</f>
        <v>0</v>
      </c>
      <c r="AE36" s="800">
        <f t="shared" si="3"/>
        <v>0</v>
      </c>
      <c r="AF36" s="801">
        <f>IF(AE36=0,,VLOOKUP(AE36,リスト!DK:DL,2,0))</f>
        <v>0</v>
      </c>
      <c r="AG36" s="800">
        <f>IF(AA36=0,,
IF(OR(リスト!$C$21="小麦",リスト!$C$21="二条大麦",リスト!$C$21="六条大麦",リスト!$C$21="はだか麦",リスト!$C$21="なたね"),IF(K36&lt;9,調査年-J36,調査年-J36-1),
IF(リスト!$C$21="さとうきび",IF(K36&gt;=4,調査年-J36,調査年-J36+1),
調査年-J36)))</f>
        <v>0</v>
      </c>
      <c r="AH36" s="306">
        <f t="shared" si="4"/>
        <v>0</v>
      </c>
      <c r="AI36" s="306">
        <f t="shared" si="5"/>
        <v>0</v>
      </c>
      <c r="AJ36" s="306">
        <f t="shared" si="6"/>
        <v>0</v>
      </c>
      <c r="AK36" s="306">
        <f t="shared" si="7"/>
        <v>0</v>
      </c>
      <c r="AL36" s="306">
        <f t="shared" si="8"/>
        <v>0</v>
      </c>
      <c r="AM36" s="306">
        <f t="shared" si="16"/>
        <v>0</v>
      </c>
      <c r="AN36" s="477"/>
      <c r="AO36" s="306">
        <f>IF(OR(S36=0,AI36=0),,
IF(OR(リスト!$C$21="小麦",リスト!$C$21="二条大麦",リスト!$C$21="六条大麦",リスト!$C$21="はだか麦",リスト!$C$21="なたね"),IF(OR(AND(K36&lt;9,J36=調査年),AND(K36&gt;=9,J36=調査年-1)),,ROUND(AI36*S36%,0)),
IF(リスト!$C$21="さとうきび",IF(OR(AND(K36&gt;=4,J36=調査年),AND(K36&lt;4,J36=調査年+1)),,ROUND(AI36*S36%,0)),
IF(J36=調査年,,ROUND(AI36*S36%,0)))))</f>
        <v>0</v>
      </c>
      <c r="AP36" s="306">
        <f t="shared" si="9"/>
        <v>0</v>
      </c>
      <c r="AQ36" s="306">
        <f t="shared" si="10"/>
        <v>0</v>
      </c>
      <c r="AR36" s="306">
        <f t="shared" si="11"/>
        <v>0</v>
      </c>
      <c r="AS36" s="306">
        <f>IF(S36=0,,
SUM(
IF(OR(リスト!$C$21="小麦",リスト!$C$21="二条大麦",リスト!$C$21="六条大麦",リスト!$C$21="はだか麦",リスト!$C$21="なたね"),IF(OR(AND(AB36=1,K36&lt;9,J36=調査年),AND(AB36=1,K36&gt;=9,J36=調査年-1)),ROUND(L36*S36%,0),),
IF(リスト!$C$21="さとうきび",IF(OR(AND(AB36=1,K36&gt;=4,J36=調査年),AND(AB36=1,K36&lt;4,J36=調査年+1)),ROUND(L36*S36%,0),),
IF(AND(AB36=1,J36=調査年),ROUND(L36*S36%,0),))),
ROUND(N36*S36%,0),
ROUND(SUM(AM36)*S36%,0)
))</f>
        <v>0</v>
      </c>
      <c r="AT36" s="306">
        <f t="shared" si="12"/>
        <v>0</v>
      </c>
      <c r="AU36" s="306">
        <f t="shared" si="13"/>
        <v>0</v>
      </c>
      <c r="AV36" s="306">
        <f t="shared" si="14"/>
        <v>0</v>
      </c>
      <c r="AW36" s="306">
        <f t="shared" si="14"/>
        <v>0</v>
      </c>
      <c r="AX36" s="306">
        <f t="shared" si="14"/>
        <v>0</v>
      </c>
      <c r="AY36" s="841">
        <f t="shared" si="15"/>
        <v>0</v>
      </c>
      <c r="AZ36" s="802"/>
      <c r="BA36" s="802"/>
      <c r="BB36" s="802"/>
      <c r="BC36" s="802"/>
      <c r="BD36" s="174"/>
      <c r="BE36" s="174"/>
      <c r="BF36" s="174"/>
      <c r="BG36" s="174"/>
      <c r="BH36" s="174"/>
      <c r="BI36" s="174"/>
      <c r="BJ36" s="174"/>
      <c r="BK36" s="174"/>
      <c r="BL36" s="174"/>
      <c r="BM36" s="174"/>
      <c r="BN36" s="174"/>
      <c r="BO36" s="174"/>
    </row>
    <row r="37" spans="3:67" s="55" customFormat="1" ht="30.75" hidden="1" customHeight="1" outlineLevel="1">
      <c r="C37" s="862">
        <v>21</v>
      </c>
      <c r="D37" s="803"/>
      <c r="E37" s="902"/>
      <c r="F37" s="898"/>
      <c r="G37" s="2281"/>
      <c r="H37" s="2282"/>
      <c r="I37" s="851"/>
      <c r="J37" s="846"/>
      <c r="K37" s="796"/>
      <c r="L37" s="797"/>
      <c r="M37" s="797"/>
      <c r="N37" s="797"/>
      <c r="O37" s="797"/>
      <c r="P37" s="797"/>
      <c r="Q37" s="997"/>
      <c r="R37" s="1255"/>
      <c r="S37" s="1284"/>
      <c r="T37" s="798"/>
      <c r="U37" s="847"/>
      <c r="V37" s="848"/>
      <c r="W37" s="892"/>
      <c r="X37" s="904"/>
      <c r="Y37" s="905"/>
      <c r="Z37" s="901"/>
      <c r="AA37" s="800">
        <f t="shared" si="2"/>
        <v>0</v>
      </c>
      <c r="AB37" s="800">
        <f t="shared" si="17"/>
        <v>0</v>
      </c>
      <c r="AC37" s="800">
        <f t="shared" si="18"/>
        <v>0</v>
      </c>
      <c r="AD37" s="800">
        <f>IF(AA37=0,,VLOOKUP(AA37,リスト!DH:DI,2,0))</f>
        <v>0</v>
      </c>
      <c r="AE37" s="800">
        <f t="shared" si="3"/>
        <v>0</v>
      </c>
      <c r="AF37" s="801">
        <f>IF(AE37=0,,VLOOKUP(AE37,リスト!DK:DL,2,0))</f>
        <v>0</v>
      </c>
      <c r="AG37" s="800">
        <f>IF(AA37=0,,
IF(OR(リスト!$C$21="小麦",リスト!$C$21="二条大麦",リスト!$C$21="六条大麦",リスト!$C$21="はだか麦",リスト!$C$21="なたね"),IF(K37&lt;9,調査年-J37,調査年-J37-1),
IF(リスト!$C$21="さとうきび",IF(K37&gt;=4,調査年-J37,調査年-J37+1),
調査年-J37)))</f>
        <v>0</v>
      </c>
      <c r="AH37" s="306">
        <f t="shared" si="4"/>
        <v>0</v>
      </c>
      <c r="AI37" s="306">
        <f t="shared" si="5"/>
        <v>0</v>
      </c>
      <c r="AJ37" s="306">
        <f t="shared" si="6"/>
        <v>0</v>
      </c>
      <c r="AK37" s="306">
        <f t="shared" si="7"/>
        <v>0</v>
      </c>
      <c r="AL37" s="306">
        <f t="shared" si="8"/>
        <v>0</v>
      </c>
      <c r="AM37" s="306">
        <f t="shared" si="16"/>
        <v>0</v>
      </c>
      <c r="AN37" s="477"/>
      <c r="AO37" s="306">
        <f>IF(OR(S37=0,AI37=0),,
IF(OR(リスト!$C$21="小麦",リスト!$C$21="二条大麦",リスト!$C$21="六条大麦",リスト!$C$21="はだか麦",リスト!$C$21="なたね"),IF(OR(AND(K37&lt;9,J37=調査年),AND(K37&gt;=9,J37=調査年-1)),,ROUND(AI37*S37%,0)),
IF(リスト!$C$21="さとうきび",IF(OR(AND(K37&gt;=4,J37=調査年),AND(K37&lt;4,J37=調査年+1)),,ROUND(AI37*S37%,0)),
IF(J37=調査年,,ROUND(AI37*S37%,0)))))</f>
        <v>0</v>
      </c>
      <c r="AP37" s="306">
        <f t="shared" si="9"/>
        <v>0</v>
      </c>
      <c r="AQ37" s="306">
        <f t="shared" si="10"/>
        <v>0</v>
      </c>
      <c r="AR37" s="306">
        <f t="shared" si="11"/>
        <v>0</v>
      </c>
      <c r="AS37" s="306">
        <f>IF(S37=0,,
SUM(
IF(OR(リスト!$C$21="小麦",リスト!$C$21="二条大麦",リスト!$C$21="六条大麦",リスト!$C$21="はだか麦",リスト!$C$21="なたね"),IF(OR(AND(AB37=1,K37&lt;9,J37=調査年),AND(AB37=1,K37&gt;=9,J37=調査年-1)),ROUND(L37*S37%,0),),
IF(リスト!$C$21="さとうきび",IF(OR(AND(AB37=1,K37&gt;=4,J37=調査年),AND(AB37=1,K37&lt;4,J37=調査年+1)),ROUND(L37*S37%,0),),
IF(AND(AB37=1,J37=調査年),ROUND(L37*S37%,0),))),
ROUND(N37*S37%,0),
ROUND(SUM(AM37)*S37%,0)
))</f>
        <v>0</v>
      </c>
      <c r="AT37" s="306">
        <f t="shared" si="12"/>
        <v>0</v>
      </c>
      <c r="AU37" s="306">
        <f t="shared" si="13"/>
        <v>0</v>
      </c>
      <c r="AV37" s="306">
        <f t="shared" si="14"/>
        <v>0</v>
      </c>
      <c r="AW37" s="306">
        <f t="shared" si="14"/>
        <v>0</v>
      </c>
      <c r="AX37" s="306">
        <f t="shared" si="14"/>
        <v>0</v>
      </c>
      <c r="AY37" s="841">
        <f t="shared" si="15"/>
        <v>0</v>
      </c>
      <c r="AZ37" s="802"/>
      <c r="BA37" s="802"/>
      <c r="BB37" s="802"/>
      <c r="BC37" s="802"/>
      <c r="BD37" s="174"/>
      <c r="BE37" s="174"/>
      <c r="BF37" s="174"/>
      <c r="BG37" s="174"/>
      <c r="BH37" s="174"/>
      <c r="BI37" s="174"/>
      <c r="BJ37" s="174"/>
      <c r="BK37" s="174"/>
      <c r="BL37" s="174"/>
      <c r="BM37" s="174"/>
      <c r="BN37" s="174"/>
      <c r="BO37" s="174"/>
    </row>
    <row r="38" spans="3:67" s="55" customFormat="1" ht="30.75" hidden="1" customHeight="1" outlineLevel="1">
      <c r="C38" s="862">
        <v>22</v>
      </c>
      <c r="D38" s="803"/>
      <c r="E38" s="902"/>
      <c r="F38" s="898"/>
      <c r="G38" s="2281"/>
      <c r="H38" s="2282"/>
      <c r="I38" s="851"/>
      <c r="J38" s="846"/>
      <c r="K38" s="796"/>
      <c r="L38" s="797"/>
      <c r="M38" s="797"/>
      <c r="N38" s="797"/>
      <c r="O38" s="797"/>
      <c r="P38" s="797"/>
      <c r="Q38" s="997"/>
      <c r="R38" s="1255"/>
      <c r="S38" s="1284"/>
      <c r="T38" s="798"/>
      <c r="U38" s="847"/>
      <c r="V38" s="848"/>
      <c r="W38" s="892"/>
      <c r="X38" s="904"/>
      <c r="Y38" s="905"/>
      <c r="Z38" s="901"/>
      <c r="AA38" s="800">
        <f t="shared" si="2"/>
        <v>0</v>
      </c>
      <c r="AB38" s="800">
        <f t="shared" si="17"/>
        <v>0</v>
      </c>
      <c r="AC38" s="800">
        <f t="shared" si="18"/>
        <v>0</v>
      </c>
      <c r="AD38" s="800">
        <f>IF(AA38=0,,VLOOKUP(AA38,リスト!DH:DI,2,0))</f>
        <v>0</v>
      </c>
      <c r="AE38" s="800">
        <f t="shared" si="3"/>
        <v>0</v>
      </c>
      <c r="AF38" s="801">
        <f>IF(AE38=0,,VLOOKUP(AE38,リスト!DK:DL,2,0))</f>
        <v>0</v>
      </c>
      <c r="AG38" s="800">
        <f>IF(AA38=0,,
IF(OR(リスト!$C$21="小麦",リスト!$C$21="二条大麦",リスト!$C$21="六条大麦",リスト!$C$21="はだか麦",リスト!$C$21="なたね"),IF(K38&lt;9,調査年-J38,調査年-J38-1),
IF(リスト!$C$21="さとうきび",IF(K38&gt;=4,調査年-J38,調査年-J38+1),
調査年-J38)))</f>
        <v>0</v>
      </c>
      <c r="AH38" s="306">
        <f t="shared" si="4"/>
        <v>0</v>
      </c>
      <c r="AI38" s="306">
        <f t="shared" si="5"/>
        <v>0</v>
      </c>
      <c r="AJ38" s="306">
        <f t="shared" si="6"/>
        <v>0</v>
      </c>
      <c r="AK38" s="306">
        <f t="shared" si="7"/>
        <v>0</v>
      </c>
      <c r="AL38" s="306">
        <f t="shared" si="8"/>
        <v>0</v>
      </c>
      <c r="AM38" s="306">
        <f t="shared" si="16"/>
        <v>0</v>
      </c>
      <c r="AN38" s="477"/>
      <c r="AO38" s="306">
        <f>IF(OR(S38=0,AI38=0),,
IF(OR(リスト!$C$21="小麦",リスト!$C$21="二条大麦",リスト!$C$21="六条大麦",リスト!$C$21="はだか麦",リスト!$C$21="なたね"),IF(OR(AND(K38&lt;9,J38=調査年),AND(K38&gt;=9,J38=調査年-1)),,ROUND(AI38*S38%,0)),
IF(リスト!$C$21="さとうきび",IF(OR(AND(K38&gt;=4,J38=調査年),AND(K38&lt;4,J38=調査年+1)),,ROUND(AI38*S38%,0)),
IF(J38=調査年,,ROUND(AI38*S38%,0)))))</f>
        <v>0</v>
      </c>
      <c r="AP38" s="306">
        <f t="shared" si="9"/>
        <v>0</v>
      </c>
      <c r="AQ38" s="306">
        <f t="shared" si="10"/>
        <v>0</v>
      </c>
      <c r="AR38" s="306">
        <f t="shared" si="11"/>
        <v>0</v>
      </c>
      <c r="AS38" s="306">
        <f>IF(S38=0,,
SUM(
IF(OR(リスト!$C$21="小麦",リスト!$C$21="二条大麦",リスト!$C$21="六条大麦",リスト!$C$21="はだか麦",リスト!$C$21="なたね"),IF(OR(AND(AB38=1,K38&lt;9,J38=調査年),AND(AB38=1,K38&gt;=9,J38=調査年-1)),ROUND(L38*S38%,0),),
IF(リスト!$C$21="さとうきび",IF(OR(AND(AB38=1,K38&gt;=4,J38=調査年),AND(AB38=1,K38&lt;4,J38=調査年+1)),ROUND(L38*S38%,0),),
IF(AND(AB38=1,J38=調査年),ROUND(L38*S38%,0),))),
ROUND(N38*S38%,0),
ROUND(SUM(AM38)*S38%,0)
))</f>
        <v>0</v>
      </c>
      <c r="AT38" s="306">
        <f t="shared" si="12"/>
        <v>0</v>
      </c>
      <c r="AU38" s="306">
        <f t="shared" si="13"/>
        <v>0</v>
      </c>
      <c r="AV38" s="306">
        <f t="shared" si="14"/>
        <v>0</v>
      </c>
      <c r="AW38" s="306">
        <f t="shared" si="14"/>
        <v>0</v>
      </c>
      <c r="AX38" s="306">
        <f t="shared" si="14"/>
        <v>0</v>
      </c>
      <c r="AY38" s="841">
        <f t="shared" si="15"/>
        <v>0</v>
      </c>
      <c r="AZ38" s="802"/>
      <c r="BA38" s="802"/>
      <c r="BB38" s="802"/>
      <c r="BC38" s="802"/>
      <c r="BD38" s="174"/>
      <c r="BE38" s="174"/>
      <c r="BF38" s="174"/>
      <c r="BG38" s="174"/>
      <c r="BH38" s="174"/>
      <c r="BI38" s="174"/>
      <c r="BJ38" s="174"/>
      <c r="BK38" s="174"/>
      <c r="BL38" s="174"/>
      <c r="BM38" s="174"/>
      <c r="BN38" s="174"/>
      <c r="BO38" s="174"/>
    </row>
    <row r="39" spans="3:67" s="55" customFormat="1" ht="30.75" hidden="1" customHeight="1" outlineLevel="1">
      <c r="C39" s="862">
        <v>23</v>
      </c>
      <c r="D39" s="803"/>
      <c r="E39" s="902"/>
      <c r="F39" s="898"/>
      <c r="G39" s="2281"/>
      <c r="H39" s="2282"/>
      <c r="I39" s="851"/>
      <c r="J39" s="846"/>
      <c r="K39" s="796"/>
      <c r="L39" s="797"/>
      <c r="M39" s="797"/>
      <c r="N39" s="797"/>
      <c r="O39" s="797"/>
      <c r="P39" s="797"/>
      <c r="Q39" s="997"/>
      <c r="R39" s="1255"/>
      <c r="S39" s="1284"/>
      <c r="T39" s="798"/>
      <c r="U39" s="847"/>
      <c r="V39" s="848"/>
      <c r="W39" s="892"/>
      <c r="X39" s="904"/>
      <c r="Y39" s="905"/>
      <c r="Z39" s="901"/>
      <c r="AA39" s="800">
        <f t="shared" si="2"/>
        <v>0</v>
      </c>
      <c r="AB39" s="800">
        <f t="shared" si="17"/>
        <v>0</v>
      </c>
      <c r="AC39" s="800">
        <f t="shared" si="18"/>
        <v>0</v>
      </c>
      <c r="AD39" s="800">
        <f>IF(AA39=0,,VLOOKUP(AA39,リスト!DH:DI,2,0))</f>
        <v>0</v>
      </c>
      <c r="AE39" s="800">
        <f t="shared" si="3"/>
        <v>0</v>
      </c>
      <c r="AF39" s="801">
        <f>IF(AE39=0,,VLOOKUP(AE39,リスト!DK:DL,2,0))</f>
        <v>0</v>
      </c>
      <c r="AG39" s="800">
        <f>IF(AA39=0,,
IF(OR(リスト!$C$21="小麦",リスト!$C$21="二条大麦",リスト!$C$21="六条大麦",リスト!$C$21="はだか麦",リスト!$C$21="なたね"),IF(K39&lt;9,調査年-J39,調査年-J39-1),
IF(リスト!$C$21="さとうきび",IF(K39&gt;=4,調査年-J39,調査年-J39+1),
調査年-J39)))</f>
        <v>0</v>
      </c>
      <c r="AH39" s="306">
        <f t="shared" si="4"/>
        <v>0</v>
      </c>
      <c r="AI39" s="306">
        <f t="shared" si="5"/>
        <v>0</v>
      </c>
      <c r="AJ39" s="306">
        <f t="shared" si="6"/>
        <v>0</v>
      </c>
      <c r="AK39" s="306">
        <f t="shared" si="7"/>
        <v>0</v>
      </c>
      <c r="AL39" s="306">
        <f t="shared" si="8"/>
        <v>0</v>
      </c>
      <c r="AM39" s="306">
        <f t="shared" si="16"/>
        <v>0</v>
      </c>
      <c r="AN39" s="477"/>
      <c r="AO39" s="306">
        <f>IF(OR(S39=0,AI39=0),,
IF(OR(リスト!$C$21="小麦",リスト!$C$21="二条大麦",リスト!$C$21="六条大麦",リスト!$C$21="はだか麦",リスト!$C$21="なたね"),IF(OR(AND(K39&lt;9,J39=調査年),AND(K39&gt;=9,J39=調査年-1)),,ROUND(AI39*S39%,0)),
IF(リスト!$C$21="さとうきび",IF(OR(AND(K39&gt;=4,J39=調査年),AND(K39&lt;4,J39=調査年+1)),,ROUND(AI39*S39%,0)),
IF(J39=調査年,,ROUND(AI39*S39%,0)))))</f>
        <v>0</v>
      </c>
      <c r="AP39" s="306">
        <f t="shared" si="9"/>
        <v>0</v>
      </c>
      <c r="AQ39" s="306">
        <f t="shared" si="10"/>
        <v>0</v>
      </c>
      <c r="AR39" s="306">
        <f t="shared" si="11"/>
        <v>0</v>
      </c>
      <c r="AS39" s="306">
        <f>IF(S39=0,,
SUM(
IF(OR(リスト!$C$21="小麦",リスト!$C$21="二条大麦",リスト!$C$21="六条大麦",リスト!$C$21="はだか麦",リスト!$C$21="なたね"),IF(OR(AND(AB39=1,K39&lt;9,J39=調査年),AND(AB39=1,K39&gt;=9,J39=調査年-1)),ROUND(L39*S39%,0),),
IF(リスト!$C$21="さとうきび",IF(OR(AND(AB39=1,K39&gt;=4,J39=調査年),AND(AB39=1,K39&lt;4,J39=調査年+1)),ROUND(L39*S39%,0),),
IF(AND(AB39=1,J39=調査年),ROUND(L39*S39%,0),))),
ROUND(N39*S39%,0),
ROUND(SUM(AM39)*S39%,0)
))</f>
        <v>0</v>
      </c>
      <c r="AT39" s="306">
        <f t="shared" si="12"/>
        <v>0</v>
      </c>
      <c r="AU39" s="306">
        <f t="shared" si="13"/>
        <v>0</v>
      </c>
      <c r="AV39" s="306">
        <f t="shared" si="14"/>
        <v>0</v>
      </c>
      <c r="AW39" s="306">
        <f t="shared" si="14"/>
        <v>0</v>
      </c>
      <c r="AX39" s="306">
        <f t="shared" si="14"/>
        <v>0</v>
      </c>
      <c r="AY39" s="841">
        <f t="shared" si="15"/>
        <v>0</v>
      </c>
      <c r="AZ39" s="802"/>
      <c r="BA39" s="802"/>
      <c r="BB39" s="802"/>
      <c r="BC39" s="802"/>
      <c r="BD39" s="174"/>
      <c r="BE39" s="174"/>
      <c r="BF39" s="174"/>
      <c r="BG39" s="174"/>
      <c r="BH39" s="174"/>
      <c r="BI39" s="174"/>
      <c r="BJ39" s="174"/>
      <c r="BK39" s="174"/>
      <c r="BL39" s="174"/>
      <c r="BM39" s="174"/>
      <c r="BN39" s="174"/>
      <c r="BO39" s="174"/>
    </row>
    <row r="40" spans="3:67" s="55" customFormat="1" ht="30.75" hidden="1" customHeight="1" outlineLevel="1">
      <c r="C40" s="862">
        <v>24</v>
      </c>
      <c r="D40" s="803"/>
      <c r="E40" s="902"/>
      <c r="F40" s="898"/>
      <c r="G40" s="2281"/>
      <c r="H40" s="2282"/>
      <c r="I40" s="851"/>
      <c r="J40" s="846"/>
      <c r="K40" s="796"/>
      <c r="L40" s="797"/>
      <c r="M40" s="797"/>
      <c r="N40" s="797"/>
      <c r="O40" s="797"/>
      <c r="P40" s="797"/>
      <c r="Q40" s="997"/>
      <c r="R40" s="1255"/>
      <c r="S40" s="1284"/>
      <c r="T40" s="798"/>
      <c r="U40" s="847"/>
      <c r="V40" s="848"/>
      <c r="W40" s="892"/>
      <c r="X40" s="904"/>
      <c r="Y40" s="905"/>
      <c r="Z40" s="901"/>
      <c r="AA40" s="800">
        <f t="shared" si="2"/>
        <v>0</v>
      </c>
      <c r="AB40" s="800">
        <f t="shared" si="17"/>
        <v>0</v>
      </c>
      <c r="AC40" s="800">
        <f t="shared" si="18"/>
        <v>0</v>
      </c>
      <c r="AD40" s="800">
        <f>IF(AA40=0,,VLOOKUP(AA40,リスト!DH:DI,2,0))</f>
        <v>0</v>
      </c>
      <c r="AE40" s="800">
        <f t="shared" si="3"/>
        <v>0</v>
      </c>
      <c r="AF40" s="801">
        <f>IF(AE40=0,,VLOOKUP(AE40,リスト!DK:DL,2,0))</f>
        <v>0</v>
      </c>
      <c r="AG40" s="800">
        <f>IF(AA40=0,,
IF(OR(リスト!$C$21="小麦",リスト!$C$21="二条大麦",リスト!$C$21="六条大麦",リスト!$C$21="はだか麦",リスト!$C$21="なたね"),IF(K40&lt;9,調査年-J40,調査年-J40-1),
IF(リスト!$C$21="さとうきび",IF(K40&gt;=4,調査年-J40,調査年-J40+1),
調査年-J40)))</f>
        <v>0</v>
      </c>
      <c r="AH40" s="306">
        <f t="shared" si="4"/>
        <v>0</v>
      </c>
      <c r="AI40" s="306">
        <f t="shared" si="5"/>
        <v>0</v>
      </c>
      <c r="AJ40" s="306">
        <f t="shared" si="6"/>
        <v>0</v>
      </c>
      <c r="AK40" s="306">
        <f t="shared" si="7"/>
        <v>0</v>
      </c>
      <c r="AL40" s="306">
        <f t="shared" si="8"/>
        <v>0</v>
      </c>
      <c r="AM40" s="306">
        <f t="shared" si="16"/>
        <v>0</v>
      </c>
      <c r="AN40" s="477"/>
      <c r="AO40" s="306">
        <f>IF(OR(S40=0,AI40=0),,
IF(OR(リスト!$C$21="小麦",リスト!$C$21="二条大麦",リスト!$C$21="六条大麦",リスト!$C$21="はだか麦",リスト!$C$21="なたね"),IF(OR(AND(K40&lt;9,J40=調査年),AND(K40&gt;=9,J40=調査年-1)),,ROUND(AI40*S40%,0)),
IF(リスト!$C$21="さとうきび",IF(OR(AND(K40&gt;=4,J40=調査年),AND(K40&lt;4,J40=調査年+1)),,ROUND(AI40*S40%,0)),
IF(J40=調査年,,ROUND(AI40*S40%,0)))))</f>
        <v>0</v>
      </c>
      <c r="AP40" s="306">
        <f t="shared" si="9"/>
        <v>0</v>
      </c>
      <c r="AQ40" s="306">
        <f t="shared" si="10"/>
        <v>0</v>
      </c>
      <c r="AR40" s="306">
        <f t="shared" si="11"/>
        <v>0</v>
      </c>
      <c r="AS40" s="306">
        <f>IF(S40=0,,
SUM(
IF(OR(リスト!$C$21="小麦",リスト!$C$21="二条大麦",リスト!$C$21="六条大麦",リスト!$C$21="はだか麦",リスト!$C$21="なたね"),IF(OR(AND(AB40=1,K40&lt;9,J40=調査年),AND(AB40=1,K40&gt;=9,J40=調査年-1)),ROUND(L40*S40%,0),),
IF(リスト!$C$21="さとうきび",IF(OR(AND(AB40=1,K40&gt;=4,J40=調査年),AND(AB40=1,K40&lt;4,J40=調査年+1)),ROUND(L40*S40%,0),),
IF(AND(AB40=1,J40=調査年),ROUND(L40*S40%,0),))),
ROUND(N40*S40%,0),
ROUND(SUM(AM40)*S40%,0)
))</f>
        <v>0</v>
      </c>
      <c r="AT40" s="306">
        <f t="shared" si="12"/>
        <v>0</v>
      </c>
      <c r="AU40" s="306">
        <f t="shared" si="13"/>
        <v>0</v>
      </c>
      <c r="AV40" s="306">
        <f t="shared" si="14"/>
        <v>0</v>
      </c>
      <c r="AW40" s="306">
        <f t="shared" si="14"/>
        <v>0</v>
      </c>
      <c r="AX40" s="306">
        <f t="shared" si="14"/>
        <v>0</v>
      </c>
      <c r="AY40" s="841">
        <f t="shared" si="15"/>
        <v>0</v>
      </c>
      <c r="AZ40" s="802"/>
      <c r="BA40" s="802"/>
      <c r="BB40" s="802"/>
      <c r="BC40" s="802"/>
      <c r="BD40" s="174"/>
      <c r="BE40" s="174"/>
      <c r="BF40" s="174"/>
      <c r="BG40" s="174"/>
      <c r="BH40" s="174"/>
      <c r="BI40" s="174"/>
      <c r="BJ40" s="174"/>
      <c r="BK40" s="174"/>
      <c r="BL40" s="174"/>
      <c r="BM40" s="174"/>
      <c r="BN40" s="174"/>
      <c r="BO40" s="174"/>
    </row>
    <row r="41" spans="3:67" s="55" customFormat="1" ht="30.75" hidden="1" customHeight="1" outlineLevel="1">
      <c r="C41" s="862">
        <v>25</v>
      </c>
      <c r="D41" s="803"/>
      <c r="E41" s="902"/>
      <c r="F41" s="898"/>
      <c r="G41" s="2281"/>
      <c r="H41" s="2282"/>
      <c r="I41" s="851"/>
      <c r="J41" s="846"/>
      <c r="K41" s="796"/>
      <c r="L41" s="797"/>
      <c r="M41" s="797"/>
      <c r="N41" s="797"/>
      <c r="O41" s="797"/>
      <c r="P41" s="797"/>
      <c r="Q41" s="997"/>
      <c r="R41" s="1255"/>
      <c r="S41" s="1284"/>
      <c r="T41" s="798"/>
      <c r="U41" s="847"/>
      <c r="V41" s="848"/>
      <c r="W41" s="892"/>
      <c r="X41" s="904"/>
      <c r="Y41" s="905"/>
      <c r="Z41" s="901"/>
      <c r="AA41" s="800">
        <f t="shared" si="2"/>
        <v>0</v>
      </c>
      <c r="AB41" s="800">
        <f t="shared" si="17"/>
        <v>0</v>
      </c>
      <c r="AC41" s="800">
        <f t="shared" si="18"/>
        <v>0</v>
      </c>
      <c r="AD41" s="800">
        <f>IF(AA41=0,,VLOOKUP(AA41,リスト!DH:DI,2,0))</f>
        <v>0</v>
      </c>
      <c r="AE41" s="800">
        <f t="shared" si="3"/>
        <v>0</v>
      </c>
      <c r="AF41" s="801">
        <f>IF(AE41=0,,VLOOKUP(AE41,リスト!DK:DL,2,0))</f>
        <v>0</v>
      </c>
      <c r="AG41" s="800">
        <f>IF(AA41=0,,
IF(OR(リスト!$C$21="小麦",リスト!$C$21="二条大麦",リスト!$C$21="六条大麦",リスト!$C$21="はだか麦",リスト!$C$21="なたね"),IF(K41&lt;9,調査年-J41,調査年-J41-1),
IF(リスト!$C$21="さとうきび",IF(K41&gt;=4,調査年-J41,調査年-J41+1),
調査年-J41)))</f>
        <v>0</v>
      </c>
      <c r="AH41" s="306">
        <f t="shared" si="4"/>
        <v>0</v>
      </c>
      <c r="AI41" s="306">
        <f t="shared" si="5"/>
        <v>0</v>
      </c>
      <c r="AJ41" s="306">
        <f t="shared" si="6"/>
        <v>0</v>
      </c>
      <c r="AK41" s="306">
        <f t="shared" si="7"/>
        <v>0</v>
      </c>
      <c r="AL41" s="306">
        <f t="shared" si="8"/>
        <v>0</v>
      </c>
      <c r="AM41" s="306">
        <f t="shared" si="16"/>
        <v>0</v>
      </c>
      <c r="AN41" s="477"/>
      <c r="AO41" s="306">
        <f>IF(OR(S41=0,AI41=0),,
IF(OR(リスト!$C$21="小麦",リスト!$C$21="二条大麦",リスト!$C$21="六条大麦",リスト!$C$21="はだか麦",リスト!$C$21="なたね"),IF(OR(AND(K41&lt;9,J41=調査年),AND(K41&gt;=9,J41=調査年-1)),,ROUND(AI41*S41%,0)),
IF(リスト!$C$21="さとうきび",IF(OR(AND(K41&gt;=4,J41=調査年),AND(K41&lt;4,J41=調査年+1)),,ROUND(AI41*S41%,0)),
IF(J41=調査年,,ROUND(AI41*S41%,0)))))</f>
        <v>0</v>
      </c>
      <c r="AP41" s="306">
        <f t="shared" si="9"/>
        <v>0</v>
      </c>
      <c r="AQ41" s="306">
        <f t="shared" si="10"/>
        <v>0</v>
      </c>
      <c r="AR41" s="306">
        <f t="shared" si="11"/>
        <v>0</v>
      </c>
      <c r="AS41" s="306">
        <f>IF(S41=0,,
SUM(
IF(OR(リスト!$C$21="小麦",リスト!$C$21="二条大麦",リスト!$C$21="六条大麦",リスト!$C$21="はだか麦",リスト!$C$21="なたね"),IF(OR(AND(AB41=1,K41&lt;9,J41=調査年),AND(AB41=1,K41&gt;=9,J41=調査年-1)),ROUND(L41*S41%,0),),
IF(リスト!$C$21="さとうきび",IF(OR(AND(AB41=1,K41&gt;=4,J41=調査年),AND(AB41=1,K41&lt;4,J41=調査年+1)),ROUND(L41*S41%,0),),
IF(AND(AB41=1,J41=調査年),ROUND(L41*S41%,0),))),
ROUND(N41*S41%,0),
ROUND(SUM(AM41)*S41%,0)
))</f>
        <v>0</v>
      </c>
      <c r="AT41" s="306">
        <f t="shared" si="12"/>
        <v>0</v>
      </c>
      <c r="AU41" s="306">
        <f t="shared" si="13"/>
        <v>0</v>
      </c>
      <c r="AV41" s="306">
        <f t="shared" si="14"/>
        <v>0</v>
      </c>
      <c r="AW41" s="306">
        <f t="shared" si="14"/>
        <v>0</v>
      </c>
      <c r="AX41" s="306">
        <f>IF(R41&gt;0,ROUND(R41*$S41%,),)</f>
        <v>0</v>
      </c>
      <c r="AY41" s="841">
        <f t="shared" si="15"/>
        <v>0</v>
      </c>
      <c r="AZ41" s="802"/>
      <c r="BA41" s="802"/>
      <c r="BB41" s="802"/>
      <c r="BC41" s="802"/>
      <c r="BD41" s="174"/>
      <c r="BE41" s="174"/>
      <c r="BF41" s="174"/>
      <c r="BG41" s="174"/>
      <c r="BH41" s="174"/>
      <c r="BI41" s="174"/>
      <c r="BJ41" s="174"/>
      <c r="BK41" s="174"/>
      <c r="BL41" s="174"/>
      <c r="BM41" s="174"/>
      <c r="BN41" s="174"/>
      <c r="BO41" s="174"/>
    </row>
    <row r="42" spans="3:67" s="55" customFormat="1" ht="30.75" hidden="1" customHeight="1" outlineLevel="1">
      <c r="C42" s="862">
        <v>26</v>
      </c>
      <c r="D42" s="803"/>
      <c r="E42" s="902"/>
      <c r="F42" s="898"/>
      <c r="G42" s="2281"/>
      <c r="H42" s="2282"/>
      <c r="I42" s="851"/>
      <c r="J42" s="846"/>
      <c r="K42" s="796"/>
      <c r="L42" s="797"/>
      <c r="M42" s="797"/>
      <c r="N42" s="797"/>
      <c r="O42" s="797"/>
      <c r="P42" s="797"/>
      <c r="Q42" s="997"/>
      <c r="R42" s="1255"/>
      <c r="S42" s="1284"/>
      <c r="T42" s="798"/>
      <c r="U42" s="847"/>
      <c r="V42" s="848"/>
      <c r="W42" s="892"/>
      <c r="X42" s="904"/>
      <c r="Y42" s="905"/>
      <c r="Z42" s="901"/>
      <c r="AA42" s="800">
        <f t="shared" si="2"/>
        <v>0</v>
      </c>
      <c r="AB42" s="800">
        <f t="shared" si="17"/>
        <v>0</v>
      </c>
      <c r="AC42" s="800">
        <f t="shared" si="18"/>
        <v>0</v>
      </c>
      <c r="AD42" s="800">
        <f>IF(AA42=0,,VLOOKUP(AA42,リスト!DH:DI,2,0))</f>
        <v>0</v>
      </c>
      <c r="AE42" s="800">
        <f t="shared" si="3"/>
        <v>0</v>
      </c>
      <c r="AF42" s="801">
        <f>IF(AE42=0,,VLOOKUP(AE42,リスト!DK:DL,2,0))</f>
        <v>0</v>
      </c>
      <c r="AG42" s="800">
        <f>IF(AA42=0,,
IF(OR(リスト!$C$21="小麦",リスト!$C$21="二条大麦",リスト!$C$21="六条大麦",リスト!$C$21="はだか麦",リスト!$C$21="なたね"),IF(K42&lt;9,調査年-J42,調査年-J42-1),
IF(リスト!$C$21="さとうきび",IF(K42&gt;=4,調査年-J42,調査年-J42+1),
調査年-J42)))</f>
        <v>0</v>
      </c>
      <c r="AH42" s="306">
        <f t="shared" si="4"/>
        <v>0</v>
      </c>
      <c r="AI42" s="306">
        <f t="shared" si="5"/>
        <v>0</v>
      </c>
      <c r="AJ42" s="306">
        <f t="shared" si="6"/>
        <v>0</v>
      </c>
      <c r="AK42" s="306">
        <f t="shared" si="7"/>
        <v>0</v>
      </c>
      <c r="AL42" s="306">
        <f t="shared" si="8"/>
        <v>0</v>
      </c>
      <c r="AM42" s="306">
        <f t="shared" si="16"/>
        <v>0</v>
      </c>
      <c r="AN42" s="477"/>
      <c r="AO42" s="306">
        <f>IF(OR(S42=0,AI42=0),,
IF(OR(リスト!$C$21="小麦",リスト!$C$21="二条大麦",リスト!$C$21="六条大麦",リスト!$C$21="はだか麦",リスト!$C$21="なたね"),IF(OR(AND(K42&lt;9,J42=調査年),AND(K42&gt;=9,J42=調査年-1)),,ROUND(AI42*S42%,0)),
IF(リスト!$C$21="さとうきび",IF(OR(AND(K42&gt;=4,J42=調査年),AND(K42&lt;4,J42=調査年+1)),,ROUND(AI42*S42%,0)),
IF(J42=調査年,,ROUND(AI42*S42%,0)))))</f>
        <v>0</v>
      </c>
      <c r="AP42" s="306">
        <f t="shared" si="9"/>
        <v>0</v>
      </c>
      <c r="AQ42" s="306">
        <f t="shared" si="10"/>
        <v>0</v>
      </c>
      <c r="AR42" s="306">
        <f t="shared" si="11"/>
        <v>0</v>
      </c>
      <c r="AS42" s="306">
        <f>IF(S42=0,,
SUM(
IF(OR(リスト!$C$21="小麦",リスト!$C$21="二条大麦",リスト!$C$21="六条大麦",リスト!$C$21="はだか麦",リスト!$C$21="なたね"),IF(OR(AND(AB42=1,K42&lt;9,J42=調査年),AND(AB42=1,K42&gt;=9,J42=調査年-1)),ROUND(L42*S42%,0),),
IF(リスト!$C$21="さとうきび",IF(OR(AND(AB42=1,K42&gt;=4,J42=調査年),AND(AB42=1,K42&lt;4,J42=調査年+1)),ROUND(L42*S42%,0),),
IF(AND(AB42=1,J42=調査年),ROUND(L42*S42%,0),))),
ROUND(N42*S42%,0),
ROUND(SUM(AM42)*S42%,0)
))</f>
        <v>0</v>
      </c>
      <c r="AT42" s="306">
        <f t="shared" si="12"/>
        <v>0</v>
      </c>
      <c r="AU42" s="306">
        <f t="shared" si="13"/>
        <v>0</v>
      </c>
      <c r="AV42" s="306">
        <f t="shared" si="14"/>
        <v>0</v>
      </c>
      <c r="AW42" s="306">
        <f t="shared" si="14"/>
        <v>0</v>
      </c>
      <c r="AX42" s="306">
        <f t="shared" si="14"/>
        <v>0</v>
      </c>
      <c r="AY42" s="841">
        <f t="shared" si="15"/>
        <v>0</v>
      </c>
      <c r="AZ42" s="802"/>
      <c r="BA42" s="802"/>
      <c r="BB42" s="802"/>
      <c r="BC42" s="802"/>
      <c r="BD42" s="174"/>
      <c r="BE42" s="174"/>
      <c r="BF42" s="174"/>
      <c r="BG42" s="174"/>
      <c r="BH42" s="174"/>
      <c r="BI42" s="174"/>
      <c r="BJ42" s="174"/>
      <c r="BK42" s="174"/>
      <c r="BL42" s="174"/>
      <c r="BM42" s="174"/>
      <c r="BN42" s="174"/>
      <c r="BO42" s="174"/>
    </row>
    <row r="43" spans="3:67" s="55" customFormat="1" ht="30.75" hidden="1" customHeight="1" outlineLevel="1">
      <c r="C43" s="862">
        <v>27</v>
      </c>
      <c r="D43" s="803"/>
      <c r="E43" s="902"/>
      <c r="F43" s="898"/>
      <c r="G43" s="2281"/>
      <c r="H43" s="2282"/>
      <c r="I43" s="851"/>
      <c r="J43" s="846"/>
      <c r="K43" s="796"/>
      <c r="L43" s="797"/>
      <c r="M43" s="797"/>
      <c r="N43" s="797"/>
      <c r="O43" s="797"/>
      <c r="P43" s="797"/>
      <c r="Q43" s="997"/>
      <c r="R43" s="1255"/>
      <c r="S43" s="1284"/>
      <c r="T43" s="798"/>
      <c r="U43" s="847"/>
      <c r="V43" s="848"/>
      <c r="W43" s="892"/>
      <c r="X43" s="904"/>
      <c r="Y43" s="905"/>
      <c r="Z43" s="901"/>
      <c r="AA43" s="800">
        <f t="shared" si="2"/>
        <v>0</v>
      </c>
      <c r="AB43" s="800">
        <f t="shared" si="17"/>
        <v>0</v>
      </c>
      <c r="AC43" s="800">
        <f t="shared" si="18"/>
        <v>0</v>
      </c>
      <c r="AD43" s="800">
        <f>IF(AA43=0,,VLOOKUP(AA43,リスト!DH:DI,2,0))</f>
        <v>0</v>
      </c>
      <c r="AE43" s="800">
        <f t="shared" si="3"/>
        <v>0</v>
      </c>
      <c r="AF43" s="801">
        <f>IF(AE43=0,,VLOOKUP(AE43,リスト!DK:DL,2,0))</f>
        <v>0</v>
      </c>
      <c r="AG43" s="800">
        <f>IF(AA43=0,,
IF(OR(リスト!$C$21="小麦",リスト!$C$21="二条大麦",リスト!$C$21="六条大麦",リスト!$C$21="はだか麦",リスト!$C$21="なたね"),IF(K43&lt;9,調査年-J43,調査年-J43-1),
IF(リスト!$C$21="さとうきび",IF(K43&gt;=4,調査年-J43,調査年-J43+1),
調査年-J43)))</f>
        <v>0</v>
      </c>
      <c r="AH43" s="306">
        <f t="shared" si="4"/>
        <v>0</v>
      </c>
      <c r="AI43" s="306">
        <f t="shared" si="5"/>
        <v>0</v>
      </c>
      <c r="AJ43" s="306">
        <f t="shared" si="6"/>
        <v>0</v>
      </c>
      <c r="AK43" s="306">
        <f t="shared" si="7"/>
        <v>0</v>
      </c>
      <c r="AL43" s="306">
        <f t="shared" si="8"/>
        <v>0</v>
      </c>
      <c r="AM43" s="306">
        <f t="shared" si="16"/>
        <v>0</v>
      </c>
      <c r="AN43" s="477"/>
      <c r="AO43" s="306">
        <f>IF(OR(S43=0,AI43=0),,
IF(OR(リスト!$C$21="小麦",リスト!$C$21="二条大麦",リスト!$C$21="六条大麦",リスト!$C$21="はだか麦",リスト!$C$21="なたね"),IF(OR(AND(K43&lt;9,J43=調査年),AND(K43&gt;=9,J43=調査年-1)),,ROUND(AI43*S43%,0)),
IF(リスト!$C$21="さとうきび",IF(OR(AND(K43&gt;=4,J43=調査年),AND(K43&lt;4,J43=調査年+1)),,ROUND(AI43*S43%,0)),
IF(J43=調査年,,ROUND(AI43*S43%,0)))))</f>
        <v>0</v>
      </c>
      <c r="AP43" s="306">
        <f t="shared" si="9"/>
        <v>0</v>
      </c>
      <c r="AQ43" s="306">
        <f t="shared" si="10"/>
        <v>0</v>
      </c>
      <c r="AR43" s="306">
        <f t="shared" si="11"/>
        <v>0</v>
      </c>
      <c r="AS43" s="306">
        <f>IF(S43=0,,
SUM(
IF(OR(リスト!$C$21="小麦",リスト!$C$21="二条大麦",リスト!$C$21="六条大麦",リスト!$C$21="はだか麦",リスト!$C$21="なたね"),IF(OR(AND(AB43=1,K43&lt;9,J43=調査年),AND(AB43=1,K43&gt;=9,J43=調査年-1)),ROUND(L43*S43%,0),),
IF(リスト!$C$21="さとうきび",IF(OR(AND(AB43=1,K43&gt;=4,J43=調査年),AND(AB43=1,K43&lt;4,J43=調査年+1)),ROUND(L43*S43%,0),),
IF(AND(AB43=1,J43=調査年),ROUND(L43*S43%,0),))),
ROUND(N43*S43%,0),
ROUND(SUM(AM43)*S43%,0)
))</f>
        <v>0</v>
      </c>
      <c r="AT43" s="306">
        <f t="shared" si="12"/>
        <v>0</v>
      </c>
      <c r="AU43" s="306">
        <f t="shared" si="13"/>
        <v>0</v>
      </c>
      <c r="AV43" s="306">
        <f t="shared" si="14"/>
        <v>0</v>
      </c>
      <c r="AW43" s="306">
        <f t="shared" si="14"/>
        <v>0</v>
      </c>
      <c r="AX43" s="306">
        <f t="shared" si="14"/>
        <v>0</v>
      </c>
      <c r="AY43" s="841">
        <f t="shared" si="15"/>
        <v>0</v>
      </c>
      <c r="AZ43" s="802"/>
      <c r="BA43" s="802"/>
      <c r="BB43" s="802"/>
      <c r="BC43" s="802"/>
      <c r="BD43" s="174"/>
      <c r="BE43" s="174"/>
      <c r="BF43" s="174"/>
      <c r="BG43" s="174"/>
      <c r="BH43" s="174"/>
      <c r="BI43" s="174"/>
      <c r="BJ43" s="174"/>
      <c r="BK43" s="174"/>
      <c r="BL43" s="174"/>
      <c r="BM43" s="174"/>
      <c r="BN43" s="174"/>
      <c r="BO43" s="174"/>
    </row>
    <row r="44" spans="3:67" s="55" customFormat="1" ht="30.75" hidden="1" customHeight="1" outlineLevel="1">
      <c r="C44" s="862">
        <v>28</v>
      </c>
      <c r="D44" s="803"/>
      <c r="E44" s="902"/>
      <c r="F44" s="898"/>
      <c r="G44" s="2281"/>
      <c r="H44" s="2282"/>
      <c r="I44" s="851"/>
      <c r="J44" s="846"/>
      <c r="K44" s="796"/>
      <c r="L44" s="797"/>
      <c r="M44" s="797"/>
      <c r="N44" s="797"/>
      <c r="O44" s="797"/>
      <c r="P44" s="797"/>
      <c r="Q44" s="997"/>
      <c r="R44" s="1255"/>
      <c r="S44" s="1284"/>
      <c r="T44" s="798"/>
      <c r="U44" s="847"/>
      <c r="V44" s="848"/>
      <c r="W44" s="892"/>
      <c r="X44" s="904"/>
      <c r="Y44" s="905"/>
      <c r="Z44" s="901"/>
      <c r="AA44" s="800">
        <f t="shared" si="2"/>
        <v>0</v>
      </c>
      <c r="AB44" s="800">
        <f t="shared" si="17"/>
        <v>0</v>
      </c>
      <c r="AC44" s="800">
        <f t="shared" si="18"/>
        <v>0</v>
      </c>
      <c r="AD44" s="800">
        <f>IF(AA44=0,,VLOOKUP(AA44,リスト!DH:DI,2,0))</f>
        <v>0</v>
      </c>
      <c r="AE44" s="800">
        <f t="shared" si="3"/>
        <v>0</v>
      </c>
      <c r="AF44" s="801">
        <f>IF(AE44=0,,VLOOKUP(AE44,リスト!DK:DL,2,0))</f>
        <v>0</v>
      </c>
      <c r="AG44" s="800">
        <f>IF(AA44=0,,
IF(OR(リスト!$C$21="小麦",リスト!$C$21="二条大麦",リスト!$C$21="六条大麦",リスト!$C$21="はだか麦",リスト!$C$21="なたね"),IF(K44&lt;9,調査年-J44,調査年-J44-1),
IF(リスト!$C$21="さとうきび",IF(K44&gt;=4,調査年-J44,調査年-J44+1),
調査年-J44)))</f>
        <v>0</v>
      </c>
      <c r="AH44" s="306">
        <f t="shared" si="4"/>
        <v>0</v>
      </c>
      <c r="AI44" s="306">
        <f t="shared" si="5"/>
        <v>0</v>
      </c>
      <c r="AJ44" s="306">
        <f t="shared" si="6"/>
        <v>0</v>
      </c>
      <c r="AK44" s="306">
        <f t="shared" si="7"/>
        <v>0</v>
      </c>
      <c r="AL44" s="306">
        <f t="shared" si="8"/>
        <v>0</v>
      </c>
      <c r="AM44" s="306">
        <f t="shared" si="16"/>
        <v>0</v>
      </c>
      <c r="AN44" s="477"/>
      <c r="AO44" s="306">
        <f>IF(OR(S44=0,AI44=0),,
IF(OR(リスト!$C$21="小麦",リスト!$C$21="二条大麦",リスト!$C$21="六条大麦",リスト!$C$21="はだか麦",リスト!$C$21="なたね"),IF(OR(AND(K44&lt;9,J44=調査年),AND(K44&gt;=9,J44=調査年-1)),,ROUND(AI44*S44%,0)),
IF(リスト!$C$21="さとうきび",IF(OR(AND(K44&gt;=4,J44=調査年),AND(K44&lt;4,J44=調査年+1)),,ROUND(AI44*S44%,0)),
IF(J44=調査年,,ROUND(AI44*S44%,0)))))</f>
        <v>0</v>
      </c>
      <c r="AP44" s="306">
        <f t="shared" si="9"/>
        <v>0</v>
      </c>
      <c r="AQ44" s="306">
        <f t="shared" si="10"/>
        <v>0</v>
      </c>
      <c r="AR44" s="306">
        <f t="shared" si="11"/>
        <v>0</v>
      </c>
      <c r="AS44" s="306">
        <f>IF(S44=0,,
SUM(
IF(OR(リスト!$C$21="小麦",リスト!$C$21="二条大麦",リスト!$C$21="六条大麦",リスト!$C$21="はだか麦",リスト!$C$21="なたね"),IF(OR(AND(AB44=1,K44&lt;9,J44=調査年),AND(AB44=1,K44&gt;=9,J44=調査年-1)),ROUND(L44*S44%,0),),
IF(リスト!$C$21="さとうきび",IF(OR(AND(AB44=1,K44&gt;=4,J44=調査年),AND(AB44=1,K44&lt;4,J44=調査年+1)),ROUND(L44*S44%,0),),
IF(AND(AB44=1,J44=調査年),ROUND(L44*S44%,0),))),
ROUND(N44*S44%,0),
ROUND(SUM(AM44)*S44%,0)
))</f>
        <v>0</v>
      </c>
      <c r="AT44" s="306">
        <f t="shared" si="12"/>
        <v>0</v>
      </c>
      <c r="AU44" s="306">
        <f t="shared" si="13"/>
        <v>0</v>
      </c>
      <c r="AV44" s="306">
        <f t="shared" si="14"/>
        <v>0</v>
      </c>
      <c r="AW44" s="306">
        <f t="shared" si="14"/>
        <v>0</v>
      </c>
      <c r="AX44" s="306">
        <f t="shared" si="14"/>
        <v>0</v>
      </c>
      <c r="AY44" s="841">
        <f t="shared" si="15"/>
        <v>0</v>
      </c>
      <c r="AZ44" s="802"/>
      <c r="BA44" s="802"/>
      <c r="BB44" s="802"/>
      <c r="BC44" s="802"/>
      <c r="BD44" s="174"/>
      <c r="BE44" s="174"/>
      <c r="BF44" s="174"/>
      <c r="BG44" s="174"/>
      <c r="BH44" s="174"/>
      <c r="BI44" s="174"/>
      <c r="BJ44" s="174"/>
      <c r="BK44" s="174"/>
      <c r="BL44" s="174"/>
      <c r="BM44" s="174"/>
      <c r="BN44" s="174"/>
      <c r="BO44" s="174"/>
    </row>
    <row r="45" spans="3:67" s="55" customFormat="1" ht="30.75" hidden="1" customHeight="1" outlineLevel="1">
      <c r="C45" s="862">
        <v>29</v>
      </c>
      <c r="D45" s="803"/>
      <c r="E45" s="902"/>
      <c r="F45" s="898"/>
      <c r="G45" s="2281"/>
      <c r="H45" s="2282"/>
      <c r="I45" s="851"/>
      <c r="J45" s="846"/>
      <c r="K45" s="796"/>
      <c r="L45" s="797"/>
      <c r="M45" s="797"/>
      <c r="N45" s="797"/>
      <c r="O45" s="797"/>
      <c r="P45" s="797"/>
      <c r="Q45" s="997"/>
      <c r="R45" s="1255"/>
      <c r="S45" s="1284"/>
      <c r="T45" s="798"/>
      <c r="U45" s="847"/>
      <c r="V45" s="848"/>
      <c r="W45" s="892"/>
      <c r="X45" s="904"/>
      <c r="Y45" s="905"/>
      <c r="Z45" s="901"/>
      <c r="AA45" s="800">
        <f t="shared" si="2"/>
        <v>0</v>
      </c>
      <c r="AB45" s="800">
        <f t="shared" si="17"/>
        <v>0</v>
      </c>
      <c r="AC45" s="800">
        <f t="shared" si="18"/>
        <v>0</v>
      </c>
      <c r="AD45" s="800">
        <f>IF(AA45=0,,VLOOKUP(AA45,リスト!DH:DI,2,0))</f>
        <v>0</v>
      </c>
      <c r="AE45" s="800">
        <f t="shared" si="3"/>
        <v>0</v>
      </c>
      <c r="AF45" s="801">
        <f>IF(AE45=0,,VLOOKUP(AE45,リスト!DK:DL,2,0))</f>
        <v>0</v>
      </c>
      <c r="AG45" s="800">
        <f>IF(AA45=0,,
IF(OR(リスト!$C$21="小麦",リスト!$C$21="二条大麦",リスト!$C$21="六条大麦",リスト!$C$21="はだか麦",リスト!$C$21="なたね"),IF(K45&lt;9,調査年-J45,調査年-J45-1),
IF(リスト!$C$21="さとうきび",IF(K45&gt;=4,調査年-J45,調査年-J45+1),
調査年-J45)))</f>
        <v>0</v>
      </c>
      <c r="AH45" s="306">
        <f t="shared" si="4"/>
        <v>0</v>
      </c>
      <c r="AI45" s="306">
        <f t="shared" si="5"/>
        <v>0</v>
      </c>
      <c r="AJ45" s="306">
        <f t="shared" si="6"/>
        <v>0</v>
      </c>
      <c r="AK45" s="306">
        <f t="shared" si="7"/>
        <v>0</v>
      </c>
      <c r="AL45" s="306">
        <f t="shared" si="8"/>
        <v>0</v>
      </c>
      <c r="AM45" s="306">
        <f t="shared" si="16"/>
        <v>0</v>
      </c>
      <c r="AN45" s="477"/>
      <c r="AO45" s="306">
        <f>IF(OR(S45=0,AI45=0),,
IF(OR(リスト!$C$21="小麦",リスト!$C$21="二条大麦",リスト!$C$21="六条大麦",リスト!$C$21="はだか麦",リスト!$C$21="なたね"),IF(OR(AND(K45&lt;9,J45=調査年),AND(K45&gt;=9,J45=調査年-1)),,ROUND(AI45*S45%,0)),
IF(リスト!$C$21="さとうきび",IF(OR(AND(K45&gt;=4,J45=調査年),AND(K45&lt;4,J45=調査年+1)),,ROUND(AI45*S45%,0)),
IF(J45=調査年,,ROUND(AI45*S45%,0)))))</f>
        <v>0</v>
      </c>
      <c r="AP45" s="306">
        <f t="shared" si="9"/>
        <v>0</v>
      </c>
      <c r="AQ45" s="306">
        <f t="shared" si="10"/>
        <v>0</v>
      </c>
      <c r="AR45" s="306">
        <f t="shared" si="11"/>
        <v>0</v>
      </c>
      <c r="AS45" s="306">
        <f>IF(S45=0,,
SUM(
IF(OR(リスト!$C$21="小麦",リスト!$C$21="二条大麦",リスト!$C$21="六条大麦",リスト!$C$21="はだか麦",リスト!$C$21="なたね"),IF(OR(AND(AB45=1,K45&lt;9,J45=調査年),AND(AB45=1,K45&gt;=9,J45=調査年-1)),ROUND(L45*S45%,0),),
IF(リスト!$C$21="さとうきび",IF(OR(AND(AB45=1,K45&gt;=4,J45=調査年),AND(AB45=1,K45&lt;4,J45=調査年+1)),ROUND(L45*S45%,0),),
IF(AND(AB45=1,J45=調査年),ROUND(L45*S45%,0),))),
ROUND(N45*S45%,0),
ROUND(SUM(AM45)*S45%,0)
))</f>
        <v>0</v>
      </c>
      <c r="AT45" s="306">
        <f t="shared" si="12"/>
        <v>0</v>
      </c>
      <c r="AU45" s="306">
        <f t="shared" si="13"/>
        <v>0</v>
      </c>
      <c r="AV45" s="306">
        <f t="shared" si="14"/>
        <v>0</v>
      </c>
      <c r="AW45" s="306">
        <f t="shared" si="14"/>
        <v>0</v>
      </c>
      <c r="AX45" s="306">
        <f t="shared" si="14"/>
        <v>0</v>
      </c>
      <c r="AY45" s="841">
        <f t="shared" si="15"/>
        <v>0</v>
      </c>
      <c r="AZ45" s="802"/>
      <c r="BA45" s="802"/>
      <c r="BB45" s="802"/>
      <c r="BC45" s="802"/>
      <c r="BD45" s="174"/>
      <c r="BE45" s="174"/>
      <c r="BF45" s="174"/>
      <c r="BG45" s="174"/>
      <c r="BH45" s="174"/>
      <c r="BI45" s="174"/>
      <c r="BJ45" s="174"/>
      <c r="BK45" s="174"/>
      <c r="BL45" s="174"/>
      <c r="BM45" s="174"/>
      <c r="BN45" s="174"/>
      <c r="BO45" s="174"/>
    </row>
    <row r="46" spans="3:67" s="55" customFormat="1" ht="30.75" hidden="1" customHeight="1" outlineLevel="1">
      <c r="C46" s="862">
        <v>30</v>
      </c>
      <c r="D46" s="803"/>
      <c r="E46" s="902"/>
      <c r="F46" s="898"/>
      <c r="G46" s="2281"/>
      <c r="H46" s="2282"/>
      <c r="I46" s="851"/>
      <c r="J46" s="846"/>
      <c r="K46" s="796"/>
      <c r="L46" s="797"/>
      <c r="M46" s="797"/>
      <c r="N46" s="797"/>
      <c r="O46" s="797"/>
      <c r="P46" s="797"/>
      <c r="Q46" s="997"/>
      <c r="R46" s="1255"/>
      <c r="S46" s="1284"/>
      <c r="T46" s="798"/>
      <c r="U46" s="847"/>
      <c r="V46" s="848"/>
      <c r="W46" s="892"/>
      <c r="X46" s="904"/>
      <c r="Y46" s="905"/>
      <c r="Z46" s="901"/>
      <c r="AA46" s="800">
        <f t="shared" si="2"/>
        <v>0</v>
      </c>
      <c r="AB46" s="800">
        <f t="shared" si="17"/>
        <v>0</v>
      </c>
      <c r="AC46" s="800">
        <f t="shared" si="18"/>
        <v>0</v>
      </c>
      <c r="AD46" s="800">
        <f>IF(AA46=0,,VLOOKUP(AA46,リスト!DH:DI,2,0))</f>
        <v>0</v>
      </c>
      <c r="AE46" s="800">
        <f t="shared" si="3"/>
        <v>0</v>
      </c>
      <c r="AF46" s="801">
        <f>IF(AE46=0,,VLOOKUP(AE46,リスト!DK:DL,2,0))</f>
        <v>0</v>
      </c>
      <c r="AG46" s="800">
        <f>IF(AA46=0,,
IF(OR(リスト!$C$21="小麦",リスト!$C$21="二条大麦",リスト!$C$21="六条大麦",リスト!$C$21="はだか麦",リスト!$C$21="なたね"),IF(K46&lt;9,調査年-J46,調査年-J46-1),
IF(リスト!$C$21="さとうきび",IF(K46&gt;=4,調査年-J46,調査年-J46+1),
調査年-J46)))</f>
        <v>0</v>
      </c>
      <c r="AH46" s="306">
        <f t="shared" si="4"/>
        <v>0</v>
      </c>
      <c r="AI46" s="306">
        <f t="shared" si="5"/>
        <v>0</v>
      </c>
      <c r="AJ46" s="306">
        <f t="shared" si="6"/>
        <v>0</v>
      </c>
      <c r="AK46" s="306">
        <f t="shared" si="7"/>
        <v>0</v>
      </c>
      <c r="AL46" s="306">
        <f t="shared" si="8"/>
        <v>0</v>
      </c>
      <c r="AM46" s="306">
        <f t="shared" si="16"/>
        <v>0</v>
      </c>
      <c r="AN46" s="477"/>
      <c r="AO46" s="306">
        <f>IF(OR(S46=0,AI46=0),,
IF(OR(リスト!$C$21="小麦",リスト!$C$21="二条大麦",リスト!$C$21="六条大麦",リスト!$C$21="はだか麦",リスト!$C$21="なたね"),IF(OR(AND(K46&lt;9,J46=調査年),AND(K46&gt;=9,J46=調査年-1)),,ROUND(AI46*S46%,0)),
IF(リスト!$C$21="さとうきび",IF(OR(AND(K46&gt;=4,J46=調査年),AND(K46&lt;4,J46=調査年+1)),,ROUND(AI46*S46%,0)),
IF(J46=調査年,,ROUND(AI46*S46%,0)))))</f>
        <v>0</v>
      </c>
      <c r="AP46" s="306">
        <f t="shared" si="9"/>
        <v>0</v>
      </c>
      <c r="AQ46" s="306">
        <f t="shared" si="10"/>
        <v>0</v>
      </c>
      <c r="AR46" s="306">
        <f t="shared" si="11"/>
        <v>0</v>
      </c>
      <c r="AS46" s="306">
        <f>IF(S46=0,,
SUM(
IF(OR(リスト!$C$21="小麦",リスト!$C$21="二条大麦",リスト!$C$21="六条大麦",リスト!$C$21="はだか麦",リスト!$C$21="なたね"),IF(OR(AND(AB46=1,K46&lt;9,J46=調査年),AND(AB46=1,K46&gt;=9,J46=調査年-1)),ROUND(L46*S46%,0),),
IF(リスト!$C$21="さとうきび",IF(OR(AND(AB46=1,K46&gt;=4,J46=調査年),AND(AB46=1,K46&lt;4,J46=調査年+1)),ROUND(L46*S46%,0),),
IF(AND(AB46=1,J46=調査年),ROUND(L46*S46%,0),))),
ROUND(N46*S46%,0),
ROUND(SUM(AM46)*S46%,0)
))</f>
        <v>0</v>
      </c>
      <c r="AT46" s="306">
        <f t="shared" si="12"/>
        <v>0</v>
      </c>
      <c r="AU46" s="306">
        <f t="shared" si="13"/>
        <v>0</v>
      </c>
      <c r="AV46" s="306">
        <f t="shared" si="14"/>
        <v>0</v>
      </c>
      <c r="AW46" s="306">
        <f t="shared" si="14"/>
        <v>0</v>
      </c>
      <c r="AX46" s="306">
        <f t="shared" si="14"/>
        <v>0</v>
      </c>
      <c r="AY46" s="841">
        <f t="shared" si="15"/>
        <v>0</v>
      </c>
      <c r="AZ46" s="802"/>
      <c r="BA46" s="802"/>
      <c r="BB46" s="802"/>
      <c r="BC46" s="802"/>
      <c r="BD46" s="174"/>
      <c r="BE46" s="174"/>
      <c r="BF46" s="174"/>
      <c r="BG46" s="174"/>
      <c r="BH46" s="174"/>
      <c r="BI46" s="174"/>
      <c r="BJ46" s="174"/>
      <c r="BK46" s="174"/>
      <c r="BL46" s="174"/>
      <c r="BM46" s="174"/>
      <c r="BN46" s="174"/>
      <c r="BO46" s="174"/>
    </row>
    <row r="47" spans="3:67" s="55" customFormat="1" ht="30.75" hidden="1" customHeight="1" outlineLevel="1">
      <c r="C47" s="862">
        <v>31</v>
      </c>
      <c r="D47" s="803"/>
      <c r="E47" s="902"/>
      <c r="F47" s="898"/>
      <c r="G47" s="2281"/>
      <c r="H47" s="2282"/>
      <c r="I47" s="851"/>
      <c r="J47" s="846"/>
      <c r="K47" s="796"/>
      <c r="L47" s="797"/>
      <c r="M47" s="797"/>
      <c r="N47" s="797"/>
      <c r="O47" s="797"/>
      <c r="P47" s="797"/>
      <c r="Q47" s="997"/>
      <c r="R47" s="1255"/>
      <c r="S47" s="1284"/>
      <c r="T47" s="798"/>
      <c r="U47" s="847"/>
      <c r="V47" s="848"/>
      <c r="W47" s="892"/>
      <c r="X47" s="904"/>
      <c r="Y47" s="905"/>
      <c r="Z47" s="901"/>
      <c r="AA47" s="800">
        <f t="shared" si="2"/>
        <v>0</v>
      </c>
      <c r="AB47" s="800">
        <f t="shared" si="17"/>
        <v>0</v>
      </c>
      <c r="AC47" s="800">
        <f t="shared" si="18"/>
        <v>0</v>
      </c>
      <c r="AD47" s="800">
        <f>IF(AA47=0,,VLOOKUP(AA47,リスト!DH:DI,2,0))</f>
        <v>0</v>
      </c>
      <c r="AE47" s="800">
        <f t="shared" si="3"/>
        <v>0</v>
      </c>
      <c r="AF47" s="801">
        <f>IF(AE47=0,,VLOOKUP(AE47,リスト!DK:DL,2,0))</f>
        <v>0</v>
      </c>
      <c r="AG47" s="800">
        <f>IF(AA47=0,,
IF(OR(リスト!$C$21="小麦",リスト!$C$21="二条大麦",リスト!$C$21="六条大麦",リスト!$C$21="はだか麦",リスト!$C$21="なたね"),IF(K47&lt;9,調査年-J47,調査年-J47-1),
IF(リスト!$C$21="さとうきび",IF(K47&gt;=4,調査年-J47,調査年-J47+1),
調査年-J47)))</f>
        <v>0</v>
      </c>
      <c r="AH47" s="306">
        <f t="shared" si="4"/>
        <v>0</v>
      </c>
      <c r="AI47" s="306">
        <f t="shared" si="5"/>
        <v>0</v>
      </c>
      <c r="AJ47" s="306">
        <f t="shared" si="6"/>
        <v>0</v>
      </c>
      <c r="AK47" s="306">
        <f t="shared" si="7"/>
        <v>0</v>
      </c>
      <c r="AL47" s="306">
        <f t="shared" si="8"/>
        <v>0</v>
      </c>
      <c r="AM47" s="306">
        <f t="shared" si="16"/>
        <v>0</v>
      </c>
      <c r="AN47" s="477"/>
      <c r="AO47" s="306">
        <f>IF(OR(S47=0,AI47=0),,
IF(OR(リスト!$C$21="小麦",リスト!$C$21="二条大麦",リスト!$C$21="六条大麦",リスト!$C$21="はだか麦",リスト!$C$21="なたね"),IF(OR(AND(K47&lt;9,J47=調査年),AND(K47&gt;=9,J47=調査年-1)),,ROUND(AI47*S47%,0)),
IF(リスト!$C$21="さとうきび",IF(OR(AND(K47&gt;=4,J47=調査年),AND(K47&lt;4,J47=調査年+1)),,ROUND(AI47*S47%,0)),
IF(J47=調査年,,ROUND(AI47*S47%,0)))))</f>
        <v>0</v>
      </c>
      <c r="AP47" s="306">
        <f t="shared" si="9"/>
        <v>0</v>
      </c>
      <c r="AQ47" s="306">
        <f t="shared" si="10"/>
        <v>0</v>
      </c>
      <c r="AR47" s="306">
        <f t="shared" si="11"/>
        <v>0</v>
      </c>
      <c r="AS47" s="306">
        <f>IF(S47=0,,
SUM(
IF(OR(リスト!$C$21="小麦",リスト!$C$21="二条大麦",リスト!$C$21="六条大麦",リスト!$C$21="はだか麦",リスト!$C$21="なたね"),IF(OR(AND(AB47=1,K47&lt;9,J47=調査年),AND(AB47=1,K47&gt;=9,J47=調査年-1)),ROUND(L47*S47%,0),),
IF(リスト!$C$21="さとうきび",IF(OR(AND(AB47=1,K47&gt;=4,J47=調査年),AND(AB47=1,K47&lt;4,J47=調査年+1)),ROUND(L47*S47%,0),),
IF(AND(AB47=1,J47=調査年),ROUND(L47*S47%,0),))),
ROUND(N47*S47%,0),
ROUND(SUM(AM47)*S47%,0)
))</f>
        <v>0</v>
      </c>
      <c r="AT47" s="306">
        <f t="shared" si="12"/>
        <v>0</v>
      </c>
      <c r="AU47" s="306">
        <f t="shared" si="13"/>
        <v>0</v>
      </c>
      <c r="AV47" s="306">
        <f t="shared" si="14"/>
        <v>0</v>
      </c>
      <c r="AW47" s="306">
        <f t="shared" si="14"/>
        <v>0</v>
      </c>
      <c r="AX47" s="306">
        <f t="shared" si="14"/>
        <v>0</v>
      </c>
      <c r="AY47" s="841">
        <f t="shared" si="15"/>
        <v>0</v>
      </c>
      <c r="AZ47" s="802"/>
      <c r="BA47" s="802"/>
      <c r="BB47" s="802"/>
      <c r="BC47" s="802"/>
      <c r="BD47" s="174"/>
      <c r="BE47" s="174"/>
      <c r="BF47" s="174"/>
      <c r="BG47" s="174"/>
      <c r="BH47" s="174"/>
      <c r="BI47" s="174"/>
      <c r="BJ47" s="174"/>
      <c r="BK47" s="174"/>
      <c r="BL47" s="174"/>
      <c r="BM47" s="174"/>
      <c r="BN47" s="174"/>
      <c r="BO47" s="174"/>
    </row>
    <row r="48" spans="3:67" s="55" customFormat="1" ht="30.75" hidden="1" customHeight="1" outlineLevel="1">
      <c r="C48" s="862">
        <v>32</v>
      </c>
      <c r="D48" s="791"/>
      <c r="E48" s="902"/>
      <c r="F48" s="898"/>
      <c r="G48" s="2281"/>
      <c r="H48" s="2282"/>
      <c r="I48" s="851"/>
      <c r="J48" s="846"/>
      <c r="K48" s="796"/>
      <c r="L48" s="797"/>
      <c r="M48" s="797"/>
      <c r="N48" s="797"/>
      <c r="O48" s="797"/>
      <c r="P48" s="797"/>
      <c r="Q48" s="997"/>
      <c r="R48" s="1255"/>
      <c r="S48" s="1284"/>
      <c r="T48" s="798"/>
      <c r="U48" s="847"/>
      <c r="V48" s="848"/>
      <c r="W48" s="892"/>
      <c r="X48" s="904"/>
      <c r="Y48" s="905"/>
      <c r="Z48" s="901"/>
      <c r="AA48" s="800">
        <f t="shared" si="2"/>
        <v>0</v>
      </c>
      <c r="AB48" s="800">
        <f t="shared" si="17"/>
        <v>0</v>
      </c>
      <c r="AC48" s="800">
        <f t="shared" si="18"/>
        <v>0</v>
      </c>
      <c r="AD48" s="800">
        <f>IF(AA48=0,,VLOOKUP(AA48,リスト!DH:DI,2,0))</f>
        <v>0</v>
      </c>
      <c r="AE48" s="800">
        <f t="shared" si="3"/>
        <v>0</v>
      </c>
      <c r="AF48" s="801">
        <f>IF(AE48=0,,VLOOKUP(AE48,リスト!DK:DL,2,0))</f>
        <v>0</v>
      </c>
      <c r="AG48" s="800">
        <f>IF(AA48=0,,
IF(OR(リスト!$C$21="小麦",リスト!$C$21="二条大麦",リスト!$C$21="六条大麦",リスト!$C$21="はだか麦",リスト!$C$21="なたね"),IF(K48&lt;9,調査年-J48,調査年-J48-1),
IF(リスト!$C$21="さとうきび",IF(K48&gt;=4,調査年-J48,調査年-J48+1),
調査年-J48)))</f>
        <v>0</v>
      </c>
      <c r="AH48" s="306">
        <f t="shared" si="4"/>
        <v>0</v>
      </c>
      <c r="AI48" s="306">
        <f t="shared" si="5"/>
        <v>0</v>
      </c>
      <c r="AJ48" s="306">
        <f t="shared" si="6"/>
        <v>0</v>
      </c>
      <c r="AK48" s="306">
        <f t="shared" si="7"/>
        <v>0</v>
      </c>
      <c r="AL48" s="306">
        <f t="shared" si="8"/>
        <v>0</v>
      </c>
      <c r="AM48" s="306">
        <f t="shared" si="16"/>
        <v>0</v>
      </c>
      <c r="AN48" s="477"/>
      <c r="AO48" s="306">
        <f>IF(OR(S48=0,AI48=0),,
IF(OR(リスト!$C$21="小麦",リスト!$C$21="二条大麦",リスト!$C$21="六条大麦",リスト!$C$21="はだか麦",リスト!$C$21="なたね"),IF(OR(AND(K48&lt;9,J48=調査年),AND(K48&gt;=9,J48=調査年-1)),,ROUND(AI48*S48%,0)),
IF(リスト!$C$21="さとうきび",IF(OR(AND(K48&gt;=4,J48=調査年),AND(K48&lt;4,J48=調査年+1)),,ROUND(AI48*S48%,0)),
IF(J48=調査年,,ROUND(AI48*S48%,0)))))</f>
        <v>0</v>
      </c>
      <c r="AP48" s="306">
        <f t="shared" si="9"/>
        <v>0</v>
      </c>
      <c r="AQ48" s="306">
        <f t="shared" si="10"/>
        <v>0</v>
      </c>
      <c r="AR48" s="306">
        <f t="shared" si="11"/>
        <v>0</v>
      </c>
      <c r="AS48" s="306">
        <f>IF(S48=0,,
SUM(
IF(OR(リスト!$C$21="小麦",リスト!$C$21="二条大麦",リスト!$C$21="六条大麦",リスト!$C$21="はだか麦",リスト!$C$21="なたね"),IF(OR(AND(AB48=1,K48&lt;9,J48=調査年),AND(AB48=1,K48&gt;=9,J48=調査年-1)),ROUND(L48*S48%,0),),
IF(リスト!$C$21="さとうきび",IF(OR(AND(AB48=1,K48&gt;=4,J48=調査年),AND(AB48=1,K48&lt;4,J48=調査年+1)),ROUND(L48*S48%,0),),
IF(AND(AB48=1,J48=調査年),ROUND(L48*S48%,0),))),
ROUND(N48*S48%,0),
ROUND(SUM(AM48)*S48%,0)
))</f>
        <v>0</v>
      </c>
      <c r="AT48" s="306">
        <f t="shared" si="12"/>
        <v>0</v>
      </c>
      <c r="AU48" s="306">
        <f t="shared" si="13"/>
        <v>0</v>
      </c>
      <c r="AV48" s="306">
        <f t="shared" si="14"/>
        <v>0</v>
      </c>
      <c r="AW48" s="306">
        <f t="shared" si="14"/>
        <v>0</v>
      </c>
      <c r="AX48" s="306">
        <f t="shared" si="14"/>
        <v>0</v>
      </c>
      <c r="AY48" s="841">
        <f t="shared" si="15"/>
        <v>0</v>
      </c>
      <c r="AZ48" s="802"/>
      <c r="BA48" s="802"/>
      <c r="BB48" s="802"/>
      <c r="BC48" s="802"/>
      <c r="BD48" s="174"/>
      <c r="BE48" s="174"/>
      <c r="BF48" s="174"/>
      <c r="BG48" s="174"/>
      <c r="BH48" s="174"/>
      <c r="BI48" s="174"/>
      <c r="BJ48" s="174"/>
      <c r="BK48" s="174"/>
      <c r="BL48" s="174"/>
      <c r="BM48" s="174"/>
      <c r="BN48" s="174"/>
      <c r="BO48" s="174"/>
    </row>
    <row r="49" spans="3:67" s="55" customFormat="1" ht="30.75" hidden="1" customHeight="1" outlineLevel="1">
      <c r="C49" s="862">
        <v>33</v>
      </c>
      <c r="D49" s="803"/>
      <c r="E49" s="902"/>
      <c r="F49" s="898"/>
      <c r="G49" s="2281"/>
      <c r="H49" s="2282"/>
      <c r="I49" s="851"/>
      <c r="J49" s="846"/>
      <c r="K49" s="796"/>
      <c r="L49" s="797"/>
      <c r="M49" s="797"/>
      <c r="N49" s="797"/>
      <c r="O49" s="797"/>
      <c r="P49" s="797"/>
      <c r="Q49" s="997"/>
      <c r="R49" s="1255"/>
      <c r="S49" s="1284"/>
      <c r="T49" s="798"/>
      <c r="U49" s="847"/>
      <c r="V49" s="848"/>
      <c r="W49" s="892"/>
      <c r="X49" s="904"/>
      <c r="Y49" s="905"/>
      <c r="Z49" s="901"/>
      <c r="AA49" s="800">
        <f t="shared" si="2"/>
        <v>0</v>
      </c>
      <c r="AB49" s="800">
        <f t="shared" si="17"/>
        <v>0</v>
      </c>
      <c r="AC49" s="800">
        <f t="shared" si="18"/>
        <v>0</v>
      </c>
      <c r="AD49" s="800">
        <f>IF(AA49=0,,VLOOKUP(AA49,リスト!DH:DI,2,0))</f>
        <v>0</v>
      </c>
      <c r="AE49" s="800">
        <f t="shared" si="3"/>
        <v>0</v>
      </c>
      <c r="AF49" s="801">
        <f>IF(AE49=0,,VLOOKUP(AE49,リスト!DK:DL,2,0))</f>
        <v>0</v>
      </c>
      <c r="AG49" s="800">
        <f>IF(AA49=0,,
IF(OR(リスト!$C$21="小麦",リスト!$C$21="二条大麦",リスト!$C$21="六条大麦",リスト!$C$21="はだか麦",リスト!$C$21="なたね"),IF(K49&lt;9,調査年-J49,調査年-J49-1),
IF(リスト!$C$21="さとうきび",IF(K49&gt;=4,調査年-J49,調査年-J49+1),
調査年-J49)))</f>
        <v>0</v>
      </c>
      <c r="AH49" s="306">
        <f t="shared" ref="AH49:AH80" si="19">IF(OR(AA49=0,AB49=1),,
IF(AND(AE49&gt;0,AG49&lt;AE49,AI49&lt;=ROUND((L49-1)*AF49,0)),ROUND(AI49,0),
IF(AND(AE49&gt;0,AG49&lt;AE49),ROUND((L49-1)*AF49,0),)))</f>
        <v>0</v>
      </c>
      <c r="AI49" s="306">
        <f t="shared" si="5"/>
        <v>0</v>
      </c>
      <c r="AJ49" s="306">
        <f t="shared" si="6"/>
        <v>0</v>
      </c>
      <c r="AK49" s="306">
        <f t="shared" si="7"/>
        <v>0</v>
      </c>
      <c r="AL49" s="306">
        <f t="shared" si="8"/>
        <v>0</v>
      </c>
      <c r="AM49" s="306">
        <f t="shared" si="16"/>
        <v>0</v>
      </c>
      <c r="AN49" s="477"/>
      <c r="AO49" s="306">
        <f>IF(OR(S49=0,AI49=0),,
IF(OR(リスト!$C$21="小麦",リスト!$C$21="二条大麦",リスト!$C$21="六条大麦",リスト!$C$21="はだか麦",リスト!$C$21="なたね"),IF(OR(AND(K49&lt;9,J49=調査年),AND(K49&gt;=9,J49=調査年-1)),,ROUND(AI49*S49%,0)),
IF(リスト!$C$21="さとうきび",IF(OR(AND(K49&gt;=4,J49=調査年),AND(K49&lt;4,J49=調査年+1)),,ROUND(AI49*S49%,0)),
IF(J49=調査年,,ROUND(AI49*S49%,0)))))</f>
        <v>0</v>
      </c>
      <c r="AP49" s="306">
        <f t="shared" si="9"/>
        <v>0</v>
      </c>
      <c r="AQ49" s="306">
        <f t="shared" si="10"/>
        <v>0</v>
      </c>
      <c r="AR49" s="306">
        <f t="shared" si="11"/>
        <v>0</v>
      </c>
      <c r="AS49" s="306">
        <f>IF(S49=0,,
SUM(
IF(OR(リスト!$C$21="小麦",リスト!$C$21="二条大麦",リスト!$C$21="六条大麦",リスト!$C$21="はだか麦",リスト!$C$21="なたね"),IF(OR(AND(AB49=1,K49&lt;9,J49=調査年),AND(AB49=1,K49&gt;=9,J49=調査年-1)),ROUND(L49*S49%,0),),
IF(リスト!$C$21="さとうきび",IF(OR(AND(AB49=1,K49&gt;=4,J49=調査年),AND(AB49=1,K49&lt;4,J49=調査年+1)),ROUND(L49*S49%,0),),
IF(AND(AB49=1,J49=調査年),ROUND(L49*S49%,0),))),
ROUND(N49*S49%,0),
ROUND(SUM(AM49)*S49%,0)
))</f>
        <v>0</v>
      </c>
      <c r="AT49" s="306">
        <f t="shared" si="12"/>
        <v>0</v>
      </c>
      <c r="AU49" s="306">
        <f t="shared" si="13"/>
        <v>0</v>
      </c>
      <c r="AV49" s="306">
        <f t="shared" si="14"/>
        <v>0</v>
      </c>
      <c r="AW49" s="306">
        <f t="shared" si="14"/>
        <v>0</v>
      </c>
      <c r="AX49" s="306">
        <f t="shared" si="14"/>
        <v>0</v>
      </c>
      <c r="AY49" s="841">
        <f t="shared" si="15"/>
        <v>0</v>
      </c>
      <c r="AZ49" s="802"/>
      <c r="BA49" s="802"/>
      <c r="BB49" s="802"/>
      <c r="BC49" s="802"/>
      <c r="BD49" s="174"/>
      <c r="BE49" s="174"/>
      <c r="BF49" s="174"/>
      <c r="BG49" s="174"/>
      <c r="BH49" s="174"/>
      <c r="BI49" s="174"/>
      <c r="BJ49" s="174"/>
      <c r="BK49" s="174"/>
      <c r="BL49" s="174"/>
      <c r="BM49" s="174"/>
      <c r="BN49" s="174"/>
      <c r="BO49" s="174"/>
    </row>
    <row r="50" spans="3:67" s="55" customFormat="1" ht="30.75" hidden="1" customHeight="1" outlineLevel="1">
      <c r="C50" s="862">
        <v>34</v>
      </c>
      <c r="D50" s="803"/>
      <c r="E50" s="902"/>
      <c r="F50" s="898"/>
      <c r="G50" s="2281"/>
      <c r="H50" s="2282"/>
      <c r="I50" s="851"/>
      <c r="J50" s="846"/>
      <c r="K50" s="796"/>
      <c r="L50" s="797"/>
      <c r="M50" s="797"/>
      <c r="N50" s="797"/>
      <c r="O50" s="797"/>
      <c r="P50" s="797"/>
      <c r="Q50" s="997"/>
      <c r="R50" s="1255"/>
      <c r="S50" s="1284"/>
      <c r="T50" s="798"/>
      <c r="U50" s="847"/>
      <c r="V50" s="848"/>
      <c r="W50" s="892"/>
      <c r="X50" s="904"/>
      <c r="Y50" s="905"/>
      <c r="Z50" s="901"/>
      <c r="AA50" s="800">
        <f t="shared" si="2"/>
        <v>0</v>
      </c>
      <c r="AB50" s="800">
        <f t="shared" si="17"/>
        <v>0</v>
      </c>
      <c r="AC50" s="800">
        <f t="shared" si="18"/>
        <v>0</v>
      </c>
      <c r="AD50" s="800">
        <f>IF(AA50=0,,VLOOKUP(AA50,リスト!DH:DI,2,0))</f>
        <v>0</v>
      </c>
      <c r="AE50" s="800">
        <f t="shared" si="3"/>
        <v>0</v>
      </c>
      <c r="AF50" s="801">
        <f>IF(AE50=0,,VLOOKUP(AE50,リスト!DK:DL,2,0))</f>
        <v>0</v>
      </c>
      <c r="AG50" s="800">
        <f>IF(AA50=0,,
IF(OR(リスト!$C$21="小麦",リスト!$C$21="二条大麦",リスト!$C$21="六条大麦",リスト!$C$21="はだか麦",リスト!$C$21="なたね"),IF(K50&lt;9,調査年-J50,調査年-J50-1),
IF(リスト!$C$21="さとうきび",IF(K50&gt;=4,調査年-J50,調査年-J50+1),
調査年-J50)))</f>
        <v>0</v>
      </c>
      <c r="AH50" s="306">
        <f t="shared" si="19"/>
        <v>0</v>
      </c>
      <c r="AI50" s="306">
        <f t="shared" si="5"/>
        <v>0</v>
      </c>
      <c r="AJ50" s="306">
        <f t="shared" si="6"/>
        <v>0</v>
      </c>
      <c r="AK50" s="306">
        <f t="shared" si="7"/>
        <v>0</v>
      </c>
      <c r="AL50" s="306">
        <f t="shared" si="8"/>
        <v>0</v>
      </c>
      <c r="AM50" s="306">
        <f t="shared" si="16"/>
        <v>0</v>
      </c>
      <c r="AN50" s="477"/>
      <c r="AO50" s="306">
        <f>IF(OR(S50=0,AI50=0),,
IF(OR(リスト!$C$21="小麦",リスト!$C$21="二条大麦",リスト!$C$21="六条大麦",リスト!$C$21="はだか麦",リスト!$C$21="なたね"),IF(OR(AND(K50&lt;9,J50=調査年),AND(K50&gt;=9,J50=調査年-1)),,ROUND(AI50*S50%,0)),
IF(リスト!$C$21="さとうきび",IF(OR(AND(K50&gt;=4,J50=調査年),AND(K50&lt;4,J50=調査年+1)),,ROUND(AI50*S50%,0)),
IF(J50=調査年,,ROUND(AI50*S50%,0)))))</f>
        <v>0</v>
      </c>
      <c r="AP50" s="306">
        <f t="shared" si="9"/>
        <v>0</v>
      </c>
      <c r="AQ50" s="306">
        <f t="shared" si="10"/>
        <v>0</v>
      </c>
      <c r="AR50" s="306">
        <f t="shared" si="11"/>
        <v>0</v>
      </c>
      <c r="AS50" s="306">
        <f>IF(S50=0,,
SUM(
IF(OR(リスト!$C$21="小麦",リスト!$C$21="二条大麦",リスト!$C$21="六条大麦",リスト!$C$21="はだか麦",リスト!$C$21="なたね"),IF(OR(AND(AB50=1,K50&lt;9,J50=調査年),AND(AB50=1,K50&gt;=9,J50=調査年-1)),ROUND(L50*S50%,0),),
IF(リスト!$C$21="さとうきび",IF(OR(AND(AB50=1,K50&gt;=4,J50=調査年),AND(AB50=1,K50&lt;4,J50=調査年+1)),ROUND(L50*S50%,0),),
IF(AND(AB50=1,J50=調査年),ROUND(L50*S50%,0),))),
ROUND(N50*S50%,0),
ROUND(SUM(AM50)*S50%,0)
))</f>
        <v>0</v>
      </c>
      <c r="AT50" s="306">
        <f t="shared" si="12"/>
        <v>0</v>
      </c>
      <c r="AU50" s="306">
        <f t="shared" si="13"/>
        <v>0</v>
      </c>
      <c r="AV50" s="306">
        <f t="shared" si="14"/>
        <v>0</v>
      </c>
      <c r="AW50" s="306">
        <f t="shared" si="14"/>
        <v>0</v>
      </c>
      <c r="AX50" s="306">
        <f t="shared" si="14"/>
        <v>0</v>
      </c>
      <c r="AY50" s="841">
        <f t="shared" si="15"/>
        <v>0</v>
      </c>
      <c r="AZ50" s="802"/>
      <c r="BA50" s="802"/>
      <c r="BB50" s="802"/>
      <c r="BC50" s="802"/>
      <c r="BD50" s="174"/>
      <c r="BE50" s="174"/>
      <c r="BF50" s="174"/>
      <c r="BG50" s="174"/>
      <c r="BH50" s="174"/>
      <c r="BI50" s="174"/>
      <c r="BJ50" s="174"/>
      <c r="BK50" s="174"/>
      <c r="BL50" s="174"/>
      <c r="BM50" s="174"/>
      <c r="BN50" s="174"/>
      <c r="BO50" s="174"/>
    </row>
    <row r="51" spans="3:67" s="55" customFormat="1" ht="30.75" hidden="1" customHeight="1" outlineLevel="1">
      <c r="C51" s="862">
        <v>35</v>
      </c>
      <c r="D51" s="803"/>
      <c r="E51" s="902"/>
      <c r="F51" s="898"/>
      <c r="G51" s="2281"/>
      <c r="H51" s="2282"/>
      <c r="I51" s="851"/>
      <c r="J51" s="846"/>
      <c r="K51" s="796"/>
      <c r="L51" s="797"/>
      <c r="M51" s="797"/>
      <c r="N51" s="797"/>
      <c r="O51" s="797"/>
      <c r="P51" s="797"/>
      <c r="Q51" s="997"/>
      <c r="R51" s="1255"/>
      <c r="S51" s="1284"/>
      <c r="T51" s="798"/>
      <c r="U51" s="847"/>
      <c r="V51" s="848"/>
      <c r="W51" s="892"/>
      <c r="X51" s="904"/>
      <c r="Y51" s="905"/>
      <c r="Z51" s="901"/>
      <c r="AA51" s="800">
        <f t="shared" si="2"/>
        <v>0</v>
      </c>
      <c r="AB51" s="800">
        <f t="shared" si="17"/>
        <v>0</v>
      </c>
      <c r="AC51" s="800">
        <f t="shared" si="18"/>
        <v>0</v>
      </c>
      <c r="AD51" s="800">
        <f>IF(AA51=0,,VLOOKUP(AA51,リスト!DH:DI,2,0))</f>
        <v>0</v>
      </c>
      <c r="AE51" s="800">
        <f t="shared" si="3"/>
        <v>0</v>
      </c>
      <c r="AF51" s="801">
        <f>IF(AE51=0,,VLOOKUP(AE51,リスト!DK:DL,2,0))</f>
        <v>0</v>
      </c>
      <c r="AG51" s="800">
        <f>IF(AA51=0,,
IF(OR(リスト!$C$21="小麦",リスト!$C$21="二条大麦",リスト!$C$21="六条大麦",リスト!$C$21="はだか麦",リスト!$C$21="なたね"),IF(K51&lt;9,調査年-J51,調査年-J51-1),
IF(リスト!$C$21="さとうきび",IF(K51&gt;=4,調査年-J51,調査年-J51+1),
調査年-J51)))</f>
        <v>0</v>
      </c>
      <c r="AH51" s="306">
        <f t="shared" si="19"/>
        <v>0</v>
      </c>
      <c r="AI51" s="306">
        <f t="shared" si="5"/>
        <v>0</v>
      </c>
      <c r="AJ51" s="306">
        <f t="shared" si="6"/>
        <v>0</v>
      </c>
      <c r="AK51" s="306">
        <f t="shared" si="7"/>
        <v>0</v>
      </c>
      <c r="AL51" s="306">
        <f t="shared" si="8"/>
        <v>0</v>
      </c>
      <c r="AM51" s="306">
        <f t="shared" si="16"/>
        <v>0</v>
      </c>
      <c r="AN51" s="477"/>
      <c r="AO51" s="306">
        <f>IF(OR(S51=0,AI51=0),,
IF(OR(リスト!$C$21="小麦",リスト!$C$21="二条大麦",リスト!$C$21="六条大麦",リスト!$C$21="はだか麦",リスト!$C$21="なたね"),IF(OR(AND(K51&lt;9,J51=調査年),AND(K51&gt;=9,J51=調査年-1)),,ROUND(AI51*S51%,0)),
IF(リスト!$C$21="さとうきび",IF(OR(AND(K51&gt;=4,J51=調査年),AND(K51&lt;4,J51=調査年+1)),,ROUND(AI51*S51%,0)),
IF(J51=調査年,,ROUND(AI51*S51%,0)))))</f>
        <v>0</v>
      </c>
      <c r="AP51" s="306">
        <f t="shared" si="9"/>
        <v>0</v>
      </c>
      <c r="AQ51" s="306">
        <f t="shared" si="10"/>
        <v>0</v>
      </c>
      <c r="AR51" s="306">
        <f t="shared" si="11"/>
        <v>0</v>
      </c>
      <c r="AS51" s="306">
        <f>IF(S51=0,,
SUM(
IF(OR(リスト!$C$21="小麦",リスト!$C$21="二条大麦",リスト!$C$21="六条大麦",リスト!$C$21="はだか麦",リスト!$C$21="なたね"),IF(OR(AND(AB51=1,K51&lt;9,J51=調査年),AND(AB51=1,K51&gt;=9,J51=調査年-1)),ROUND(L51*S51%,0),),
IF(リスト!$C$21="さとうきび",IF(OR(AND(AB51=1,K51&gt;=4,J51=調査年),AND(AB51=1,K51&lt;4,J51=調査年+1)),ROUND(L51*S51%,0),),
IF(AND(AB51=1,J51=調査年),ROUND(L51*S51%,0),))),
ROUND(N51*S51%,0),
ROUND(SUM(AM51)*S51%,0)
))</f>
        <v>0</v>
      </c>
      <c r="AT51" s="306">
        <f t="shared" si="12"/>
        <v>0</v>
      </c>
      <c r="AU51" s="306">
        <f t="shared" si="13"/>
        <v>0</v>
      </c>
      <c r="AV51" s="306">
        <f t="shared" si="14"/>
        <v>0</v>
      </c>
      <c r="AW51" s="306">
        <f t="shared" si="14"/>
        <v>0</v>
      </c>
      <c r="AX51" s="306">
        <f t="shared" si="14"/>
        <v>0</v>
      </c>
      <c r="AY51" s="841">
        <f t="shared" si="15"/>
        <v>0</v>
      </c>
      <c r="AZ51" s="802"/>
      <c r="BA51" s="802"/>
      <c r="BB51" s="802"/>
      <c r="BC51" s="802"/>
      <c r="BD51" s="174"/>
      <c r="BE51" s="174"/>
      <c r="BF51" s="174"/>
      <c r="BG51" s="174"/>
      <c r="BH51" s="174"/>
      <c r="BI51" s="174"/>
      <c r="BJ51" s="174"/>
      <c r="BK51" s="174"/>
      <c r="BL51" s="174"/>
      <c r="BM51" s="174"/>
      <c r="BN51" s="174"/>
      <c r="BO51" s="174"/>
    </row>
    <row r="52" spans="3:67" s="55" customFormat="1" ht="30.75" hidden="1" customHeight="1" outlineLevel="1">
      <c r="C52" s="862">
        <v>36</v>
      </c>
      <c r="D52" s="803"/>
      <c r="E52" s="902"/>
      <c r="F52" s="898"/>
      <c r="G52" s="2281"/>
      <c r="H52" s="2282"/>
      <c r="I52" s="851"/>
      <c r="J52" s="846"/>
      <c r="K52" s="796"/>
      <c r="L52" s="797"/>
      <c r="M52" s="797"/>
      <c r="N52" s="797"/>
      <c r="O52" s="797"/>
      <c r="P52" s="797"/>
      <c r="Q52" s="997"/>
      <c r="R52" s="1255"/>
      <c r="S52" s="1284"/>
      <c r="T52" s="798"/>
      <c r="U52" s="847"/>
      <c r="V52" s="848"/>
      <c r="W52" s="892"/>
      <c r="X52" s="904"/>
      <c r="Y52" s="905"/>
      <c r="Z52" s="901"/>
      <c r="AA52" s="800">
        <f t="shared" si="2"/>
        <v>0</v>
      </c>
      <c r="AB52" s="800">
        <f t="shared" si="17"/>
        <v>0</v>
      </c>
      <c r="AC52" s="800">
        <f t="shared" si="18"/>
        <v>0</v>
      </c>
      <c r="AD52" s="800">
        <f>IF(AA52=0,,VLOOKUP(AA52,リスト!DH:DI,2,0))</f>
        <v>0</v>
      </c>
      <c r="AE52" s="800">
        <f t="shared" si="3"/>
        <v>0</v>
      </c>
      <c r="AF52" s="801">
        <f>IF(AE52=0,,VLOOKUP(AE52,リスト!DK:DL,2,0))</f>
        <v>0</v>
      </c>
      <c r="AG52" s="800">
        <f>IF(AA52=0,,
IF(OR(リスト!$C$21="小麦",リスト!$C$21="二条大麦",リスト!$C$21="六条大麦",リスト!$C$21="はだか麦",リスト!$C$21="なたね"),IF(K52&lt;9,調査年-J52,調査年-J52-1),
IF(リスト!$C$21="さとうきび",IF(K52&gt;=4,調査年-J52,調査年-J52+1),
調査年-J52)))</f>
        <v>0</v>
      </c>
      <c r="AH52" s="306">
        <f t="shared" si="19"/>
        <v>0</v>
      </c>
      <c r="AI52" s="306">
        <f t="shared" si="5"/>
        <v>0</v>
      </c>
      <c r="AJ52" s="306">
        <f t="shared" si="6"/>
        <v>0</v>
      </c>
      <c r="AK52" s="306">
        <f t="shared" si="7"/>
        <v>0</v>
      </c>
      <c r="AL52" s="306">
        <f t="shared" si="8"/>
        <v>0</v>
      </c>
      <c r="AM52" s="306">
        <f t="shared" si="16"/>
        <v>0</v>
      </c>
      <c r="AN52" s="477"/>
      <c r="AO52" s="306">
        <f>IF(OR(S52=0,AI52=0),,
IF(OR(リスト!$C$21="小麦",リスト!$C$21="二条大麦",リスト!$C$21="六条大麦",リスト!$C$21="はだか麦",リスト!$C$21="なたね"),IF(OR(AND(K52&lt;9,J52=調査年),AND(K52&gt;=9,J52=調査年-1)),,ROUND(AI52*S52%,0)),
IF(リスト!$C$21="さとうきび",IF(OR(AND(K52&gt;=4,J52=調査年),AND(K52&lt;4,J52=調査年+1)),,ROUND(AI52*S52%,0)),
IF(J52=調査年,,ROUND(AI52*S52%,0)))))</f>
        <v>0</v>
      </c>
      <c r="AP52" s="306">
        <f t="shared" si="9"/>
        <v>0</v>
      </c>
      <c r="AQ52" s="306">
        <f t="shared" si="10"/>
        <v>0</v>
      </c>
      <c r="AR52" s="306">
        <f t="shared" si="11"/>
        <v>0</v>
      </c>
      <c r="AS52" s="306">
        <f>IF(S52=0,,
SUM(
IF(OR(リスト!$C$21="小麦",リスト!$C$21="二条大麦",リスト!$C$21="六条大麦",リスト!$C$21="はだか麦",リスト!$C$21="なたね"),IF(OR(AND(AB52=1,K52&lt;9,J52=調査年),AND(AB52=1,K52&gt;=9,J52=調査年-1)),ROUND(L52*S52%,0),),
IF(リスト!$C$21="さとうきび",IF(OR(AND(AB52=1,K52&gt;=4,J52=調査年),AND(AB52=1,K52&lt;4,J52=調査年+1)),ROUND(L52*S52%,0),),
IF(AND(AB52=1,J52=調査年),ROUND(L52*S52%,0),))),
ROUND(N52*S52%,0),
ROUND(SUM(AM52)*S52%,0)
))</f>
        <v>0</v>
      </c>
      <c r="AT52" s="306">
        <f t="shared" si="12"/>
        <v>0</v>
      </c>
      <c r="AU52" s="306">
        <f t="shared" si="13"/>
        <v>0</v>
      </c>
      <c r="AV52" s="306">
        <f t="shared" si="14"/>
        <v>0</v>
      </c>
      <c r="AW52" s="306">
        <f t="shared" si="14"/>
        <v>0</v>
      </c>
      <c r="AX52" s="306">
        <f t="shared" si="14"/>
        <v>0</v>
      </c>
      <c r="AY52" s="841">
        <f t="shared" si="15"/>
        <v>0</v>
      </c>
      <c r="AZ52" s="802"/>
      <c r="BA52" s="802"/>
      <c r="BB52" s="802"/>
      <c r="BC52" s="802"/>
      <c r="BD52" s="174"/>
      <c r="BE52" s="174"/>
      <c r="BF52" s="174"/>
      <c r="BG52" s="174"/>
      <c r="BH52" s="174"/>
      <c r="BI52" s="174"/>
      <c r="BJ52" s="174"/>
      <c r="BK52" s="174"/>
      <c r="BL52" s="174"/>
      <c r="BM52" s="174"/>
      <c r="BN52" s="174"/>
      <c r="BO52" s="174"/>
    </row>
    <row r="53" spans="3:67" s="55" customFormat="1" ht="30.75" hidden="1" customHeight="1" outlineLevel="1">
      <c r="C53" s="862">
        <v>37</v>
      </c>
      <c r="D53" s="803"/>
      <c r="E53" s="902"/>
      <c r="F53" s="898"/>
      <c r="G53" s="2281"/>
      <c r="H53" s="2282"/>
      <c r="I53" s="851"/>
      <c r="J53" s="846"/>
      <c r="K53" s="796"/>
      <c r="L53" s="797"/>
      <c r="M53" s="797"/>
      <c r="N53" s="797"/>
      <c r="O53" s="797"/>
      <c r="P53" s="797"/>
      <c r="Q53" s="997"/>
      <c r="R53" s="1255"/>
      <c r="S53" s="1284"/>
      <c r="T53" s="798"/>
      <c r="U53" s="847"/>
      <c r="V53" s="848"/>
      <c r="W53" s="892"/>
      <c r="X53" s="904"/>
      <c r="Y53" s="905"/>
      <c r="Z53" s="901"/>
      <c r="AA53" s="800">
        <f t="shared" si="2"/>
        <v>0</v>
      </c>
      <c r="AB53" s="800">
        <f t="shared" si="17"/>
        <v>0</v>
      </c>
      <c r="AC53" s="800">
        <f t="shared" si="18"/>
        <v>0</v>
      </c>
      <c r="AD53" s="800">
        <f>IF(AA53=0,,VLOOKUP(AA53,リスト!DH:DI,2,0))</f>
        <v>0</v>
      </c>
      <c r="AE53" s="800">
        <f t="shared" si="3"/>
        <v>0</v>
      </c>
      <c r="AF53" s="801">
        <f>IF(AE53=0,,VLOOKUP(AE53,リスト!DK:DL,2,0))</f>
        <v>0</v>
      </c>
      <c r="AG53" s="800">
        <f>IF(AA53=0,,
IF(OR(リスト!$C$21="小麦",リスト!$C$21="二条大麦",リスト!$C$21="六条大麦",リスト!$C$21="はだか麦",リスト!$C$21="なたね"),IF(K53&lt;9,調査年-J53,調査年-J53-1),
IF(リスト!$C$21="さとうきび",IF(K53&gt;=4,調査年-J53,調査年-J53+1),
調査年-J53)))</f>
        <v>0</v>
      </c>
      <c r="AH53" s="306">
        <f t="shared" si="19"/>
        <v>0</v>
      </c>
      <c r="AI53" s="306">
        <f t="shared" si="5"/>
        <v>0</v>
      </c>
      <c r="AJ53" s="306">
        <f t="shared" si="6"/>
        <v>0</v>
      </c>
      <c r="AK53" s="306">
        <f t="shared" si="7"/>
        <v>0</v>
      </c>
      <c r="AL53" s="306">
        <f t="shared" si="8"/>
        <v>0</v>
      </c>
      <c r="AM53" s="306">
        <f t="shared" si="16"/>
        <v>0</v>
      </c>
      <c r="AN53" s="477"/>
      <c r="AO53" s="306">
        <f>IF(OR(S53=0,AI53=0),,
IF(OR(リスト!$C$21="小麦",リスト!$C$21="二条大麦",リスト!$C$21="六条大麦",リスト!$C$21="はだか麦",リスト!$C$21="なたね"),IF(OR(AND(K53&lt;9,J53=調査年),AND(K53&gt;=9,J53=調査年-1)),,ROUND(AI53*S53%,0)),
IF(リスト!$C$21="さとうきび",IF(OR(AND(K53&gt;=4,J53=調査年),AND(K53&lt;4,J53=調査年+1)),,ROUND(AI53*S53%,0)),
IF(J53=調査年,,ROUND(AI53*S53%,0)))))</f>
        <v>0</v>
      </c>
      <c r="AP53" s="306">
        <f t="shared" si="9"/>
        <v>0</v>
      </c>
      <c r="AQ53" s="306">
        <f t="shared" si="10"/>
        <v>0</v>
      </c>
      <c r="AR53" s="306">
        <f t="shared" si="11"/>
        <v>0</v>
      </c>
      <c r="AS53" s="306">
        <f>IF(S53=0,,
SUM(
IF(OR(リスト!$C$21="小麦",リスト!$C$21="二条大麦",リスト!$C$21="六条大麦",リスト!$C$21="はだか麦",リスト!$C$21="なたね"),IF(OR(AND(AB53=1,K53&lt;9,J53=調査年),AND(AB53=1,K53&gt;=9,J53=調査年-1)),ROUND(L53*S53%,0),),
IF(リスト!$C$21="さとうきび",IF(OR(AND(AB53=1,K53&gt;=4,J53=調査年),AND(AB53=1,K53&lt;4,J53=調査年+1)),ROUND(L53*S53%,0),),
IF(AND(AB53=1,J53=調査年),ROUND(L53*S53%,0),))),
ROUND(N53*S53%,0),
ROUND(SUM(AM53)*S53%,0)
))</f>
        <v>0</v>
      </c>
      <c r="AT53" s="306">
        <f t="shared" si="12"/>
        <v>0</v>
      </c>
      <c r="AU53" s="306">
        <f t="shared" si="13"/>
        <v>0</v>
      </c>
      <c r="AV53" s="306">
        <f t="shared" si="14"/>
        <v>0</v>
      </c>
      <c r="AW53" s="306">
        <f t="shared" si="14"/>
        <v>0</v>
      </c>
      <c r="AX53" s="306">
        <f t="shared" si="14"/>
        <v>0</v>
      </c>
      <c r="AY53" s="841">
        <f t="shared" si="15"/>
        <v>0</v>
      </c>
      <c r="AZ53" s="802"/>
      <c r="BA53" s="802"/>
      <c r="BB53" s="802"/>
      <c r="BC53" s="802"/>
      <c r="BD53" s="174"/>
      <c r="BE53" s="174"/>
      <c r="BF53" s="174"/>
      <c r="BG53" s="174"/>
      <c r="BH53" s="174"/>
      <c r="BI53" s="174"/>
      <c r="BJ53" s="174"/>
      <c r="BK53" s="174"/>
      <c r="BL53" s="174"/>
      <c r="BM53" s="174"/>
      <c r="BN53" s="174"/>
      <c r="BO53" s="174"/>
    </row>
    <row r="54" spans="3:67" s="55" customFormat="1" ht="30.75" hidden="1" customHeight="1" outlineLevel="1">
      <c r="C54" s="862">
        <v>38</v>
      </c>
      <c r="D54" s="803"/>
      <c r="E54" s="902"/>
      <c r="F54" s="898"/>
      <c r="G54" s="2281"/>
      <c r="H54" s="2282"/>
      <c r="I54" s="851"/>
      <c r="J54" s="846"/>
      <c r="K54" s="796"/>
      <c r="L54" s="797"/>
      <c r="M54" s="797"/>
      <c r="N54" s="797"/>
      <c r="O54" s="797"/>
      <c r="P54" s="797"/>
      <c r="Q54" s="997"/>
      <c r="R54" s="1255"/>
      <c r="S54" s="1284"/>
      <c r="T54" s="798"/>
      <c r="U54" s="847"/>
      <c r="V54" s="848"/>
      <c r="W54" s="892"/>
      <c r="X54" s="904"/>
      <c r="Y54" s="905"/>
      <c r="Z54" s="901"/>
      <c r="AA54" s="800">
        <f t="shared" si="2"/>
        <v>0</v>
      </c>
      <c r="AB54" s="800">
        <f t="shared" si="17"/>
        <v>0</v>
      </c>
      <c r="AC54" s="800">
        <f t="shared" si="18"/>
        <v>0</v>
      </c>
      <c r="AD54" s="800">
        <f>IF(AA54=0,,VLOOKUP(AA54,リスト!DH:DI,2,0))</f>
        <v>0</v>
      </c>
      <c r="AE54" s="800">
        <f t="shared" si="3"/>
        <v>0</v>
      </c>
      <c r="AF54" s="801">
        <f>IF(AE54=0,,VLOOKUP(AE54,リスト!DK:DL,2,0))</f>
        <v>0</v>
      </c>
      <c r="AG54" s="800">
        <f>IF(AA54=0,,
IF(OR(リスト!$C$21="小麦",リスト!$C$21="二条大麦",リスト!$C$21="六条大麦",リスト!$C$21="はだか麦",リスト!$C$21="なたね"),IF(K54&lt;9,調査年-J54,調査年-J54-1),
IF(リスト!$C$21="さとうきび",IF(K54&gt;=4,調査年-J54,調査年-J54+1),
調査年-J54)))</f>
        <v>0</v>
      </c>
      <c r="AH54" s="306">
        <f t="shared" si="19"/>
        <v>0</v>
      </c>
      <c r="AI54" s="306">
        <f t="shared" si="5"/>
        <v>0</v>
      </c>
      <c r="AJ54" s="306">
        <f t="shared" si="6"/>
        <v>0</v>
      </c>
      <c r="AK54" s="306">
        <f t="shared" si="7"/>
        <v>0</v>
      </c>
      <c r="AL54" s="306">
        <f t="shared" si="8"/>
        <v>0</v>
      </c>
      <c r="AM54" s="306">
        <f t="shared" si="16"/>
        <v>0</v>
      </c>
      <c r="AN54" s="477"/>
      <c r="AO54" s="306">
        <f>IF(OR(S54=0,AI54=0),,
IF(OR(リスト!$C$21="小麦",リスト!$C$21="二条大麦",リスト!$C$21="六条大麦",リスト!$C$21="はだか麦",リスト!$C$21="なたね"),IF(OR(AND(K54&lt;9,J54=調査年),AND(K54&gt;=9,J54=調査年-1)),,ROUND(AI54*S54%,0)),
IF(リスト!$C$21="さとうきび",IF(OR(AND(K54&gt;=4,J54=調査年),AND(K54&lt;4,J54=調査年+1)),,ROUND(AI54*S54%,0)),
IF(J54=調査年,,ROUND(AI54*S54%,0)))))</f>
        <v>0</v>
      </c>
      <c r="AP54" s="306">
        <f t="shared" si="9"/>
        <v>0</v>
      </c>
      <c r="AQ54" s="306">
        <f t="shared" si="10"/>
        <v>0</v>
      </c>
      <c r="AR54" s="306">
        <f t="shared" si="11"/>
        <v>0</v>
      </c>
      <c r="AS54" s="306">
        <f>IF(S54=0,,
SUM(
IF(OR(リスト!$C$21="小麦",リスト!$C$21="二条大麦",リスト!$C$21="六条大麦",リスト!$C$21="はだか麦",リスト!$C$21="なたね"),IF(OR(AND(AB54=1,K54&lt;9,J54=調査年),AND(AB54=1,K54&gt;=9,J54=調査年-1)),ROUND(L54*S54%,0),),
IF(リスト!$C$21="さとうきび",IF(OR(AND(AB54=1,K54&gt;=4,J54=調査年),AND(AB54=1,K54&lt;4,J54=調査年+1)),ROUND(L54*S54%,0),),
IF(AND(AB54=1,J54=調査年),ROUND(L54*S54%,0),))),
ROUND(N54*S54%,0),
ROUND(SUM(AM54)*S54%,0)
))</f>
        <v>0</v>
      </c>
      <c r="AT54" s="306">
        <f t="shared" si="12"/>
        <v>0</v>
      </c>
      <c r="AU54" s="306">
        <f t="shared" si="13"/>
        <v>0</v>
      </c>
      <c r="AV54" s="306">
        <f t="shared" si="14"/>
        <v>0</v>
      </c>
      <c r="AW54" s="306">
        <f t="shared" si="14"/>
        <v>0</v>
      </c>
      <c r="AX54" s="306">
        <f t="shared" si="14"/>
        <v>0</v>
      </c>
      <c r="AY54" s="841">
        <f t="shared" si="15"/>
        <v>0</v>
      </c>
      <c r="AZ54" s="802"/>
      <c r="BA54" s="802"/>
      <c r="BB54" s="802"/>
      <c r="BC54" s="802"/>
      <c r="BD54" s="174"/>
      <c r="BE54" s="174"/>
      <c r="BF54" s="174"/>
      <c r="BG54" s="174"/>
      <c r="BH54" s="174"/>
      <c r="BI54" s="174"/>
      <c r="BJ54" s="174"/>
      <c r="BK54" s="174"/>
      <c r="BL54" s="174"/>
      <c r="BM54" s="174"/>
      <c r="BN54" s="174"/>
      <c r="BO54" s="174"/>
    </row>
    <row r="55" spans="3:67" s="55" customFormat="1" ht="30.75" hidden="1" customHeight="1" outlineLevel="1">
      <c r="C55" s="862">
        <v>39</v>
      </c>
      <c r="D55" s="803"/>
      <c r="E55" s="902"/>
      <c r="F55" s="898"/>
      <c r="G55" s="2281"/>
      <c r="H55" s="2282"/>
      <c r="I55" s="851"/>
      <c r="J55" s="846"/>
      <c r="K55" s="796"/>
      <c r="L55" s="797"/>
      <c r="M55" s="797"/>
      <c r="N55" s="797"/>
      <c r="O55" s="797"/>
      <c r="P55" s="797"/>
      <c r="Q55" s="997"/>
      <c r="R55" s="1255"/>
      <c r="S55" s="1284"/>
      <c r="T55" s="798"/>
      <c r="U55" s="847"/>
      <c r="V55" s="848"/>
      <c r="W55" s="892"/>
      <c r="X55" s="904"/>
      <c r="Y55" s="905"/>
      <c r="Z55" s="901"/>
      <c r="AA55" s="800">
        <f t="shared" si="2"/>
        <v>0</v>
      </c>
      <c r="AB55" s="800">
        <f t="shared" si="17"/>
        <v>0</v>
      </c>
      <c r="AC55" s="800">
        <f t="shared" si="18"/>
        <v>0</v>
      </c>
      <c r="AD55" s="800">
        <f>IF(AA55=0,,VLOOKUP(AA55,リスト!DH:DI,2,0))</f>
        <v>0</v>
      </c>
      <c r="AE55" s="800">
        <f t="shared" si="3"/>
        <v>0</v>
      </c>
      <c r="AF55" s="801">
        <f>IF(AE55=0,,VLOOKUP(AE55,リスト!DK:DL,2,0))</f>
        <v>0</v>
      </c>
      <c r="AG55" s="800">
        <f>IF(AA55=0,,
IF(OR(リスト!$C$21="小麦",リスト!$C$21="二条大麦",リスト!$C$21="六条大麦",リスト!$C$21="はだか麦",リスト!$C$21="なたね"),IF(K55&lt;9,調査年-J55,調査年-J55-1),
IF(リスト!$C$21="さとうきび",IF(K55&gt;=4,調査年-J55,調査年-J55+1),
調査年-J55)))</f>
        <v>0</v>
      </c>
      <c r="AH55" s="306">
        <f t="shared" si="19"/>
        <v>0</v>
      </c>
      <c r="AI55" s="306">
        <f t="shared" si="5"/>
        <v>0</v>
      </c>
      <c r="AJ55" s="306">
        <f t="shared" si="6"/>
        <v>0</v>
      </c>
      <c r="AK55" s="306">
        <f t="shared" si="7"/>
        <v>0</v>
      </c>
      <c r="AL55" s="306">
        <f t="shared" si="8"/>
        <v>0</v>
      </c>
      <c r="AM55" s="306">
        <f t="shared" si="16"/>
        <v>0</v>
      </c>
      <c r="AN55" s="477"/>
      <c r="AO55" s="306">
        <f>IF(OR(S55=0,AI55=0),,
IF(OR(リスト!$C$21="小麦",リスト!$C$21="二条大麦",リスト!$C$21="六条大麦",リスト!$C$21="はだか麦",リスト!$C$21="なたね"),IF(OR(AND(K55&lt;9,J55=調査年),AND(K55&gt;=9,J55=調査年-1)),,ROUND(AI55*S55%,0)),
IF(リスト!$C$21="さとうきび",IF(OR(AND(K55&gt;=4,J55=調査年),AND(K55&lt;4,J55=調査年+1)),,ROUND(AI55*S55%,0)),
IF(J55=調査年,,ROUND(AI55*S55%,0)))))</f>
        <v>0</v>
      </c>
      <c r="AP55" s="306">
        <f t="shared" si="9"/>
        <v>0</v>
      </c>
      <c r="AQ55" s="306">
        <f t="shared" si="10"/>
        <v>0</v>
      </c>
      <c r="AR55" s="306">
        <f t="shared" si="11"/>
        <v>0</v>
      </c>
      <c r="AS55" s="306">
        <f>IF(S55=0,,
SUM(
IF(OR(リスト!$C$21="小麦",リスト!$C$21="二条大麦",リスト!$C$21="六条大麦",リスト!$C$21="はだか麦",リスト!$C$21="なたね"),IF(OR(AND(AB55=1,K55&lt;9,J55=調査年),AND(AB55=1,K55&gt;=9,J55=調査年-1)),ROUND(L55*S55%,0),),
IF(リスト!$C$21="さとうきび",IF(OR(AND(AB55=1,K55&gt;=4,J55=調査年),AND(AB55=1,K55&lt;4,J55=調査年+1)),ROUND(L55*S55%,0),),
IF(AND(AB55=1,J55=調査年),ROUND(L55*S55%,0),))),
ROUND(N55*S55%,0),
ROUND(SUM(AM55)*S55%,0)
))</f>
        <v>0</v>
      </c>
      <c r="AT55" s="306">
        <f t="shared" si="12"/>
        <v>0</v>
      </c>
      <c r="AU55" s="306">
        <f t="shared" si="13"/>
        <v>0</v>
      </c>
      <c r="AV55" s="306">
        <f t="shared" si="14"/>
        <v>0</v>
      </c>
      <c r="AW55" s="306">
        <f t="shared" si="14"/>
        <v>0</v>
      </c>
      <c r="AX55" s="306">
        <f t="shared" si="14"/>
        <v>0</v>
      </c>
      <c r="AY55" s="841">
        <f t="shared" si="15"/>
        <v>0</v>
      </c>
      <c r="AZ55" s="802"/>
      <c r="BA55" s="802"/>
      <c r="BB55" s="802"/>
      <c r="BC55" s="802"/>
      <c r="BD55" s="174"/>
      <c r="BE55" s="174"/>
      <c r="BF55" s="174"/>
      <c r="BG55" s="174"/>
      <c r="BH55" s="174"/>
      <c r="BI55" s="174"/>
      <c r="BJ55" s="174"/>
      <c r="BK55" s="174"/>
      <c r="BL55" s="174"/>
      <c r="BM55" s="174"/>
      <c r="BN55" s="174"/>
      <c r="BO55" s="174"/>
    </row>
    <row r="56" spans="3:67" s="55" customFormat="1" ht="30.75" hidden="1" customHeight="1" outlineLevel="1">
      <c r="C56" s="862">
        <v>40</v>
      </c>
      <c r="D56" s="803"/>
      <c r="E56" s="902"/>
      <c r="F56" s="898"/>
      <c r="G56" s="2281"/>
      <c r="H56" s="2282"/>
      <c r="I56" s="851"/>
      <c r="J56" s="846"/>
      <c r="K56" s="796"/>
      <c r="L56" s="797"/>
      <c r="M56" s="797"/>
      <c r="N56" s="797"/>
      <c r="O56" s="797"/>
      <c r="P56" s="797"/>
      <c r="Q56" s="997"/>
      <c r="R56" s="1255"/>
      <c r="S56" s="1284"/>
      <c r="T56" s="798"/>
      <c r="U56" s="847"/>
      <c r="V56" s="848"/>
      <c r="W56" s="892"/>
      <c r="X56" s="904"/>
      <c r="Y56" s="905"/>
      <c r="Z56" s="901"/>
      <c r="AA56" s="800">
        <f t="shared" si="2"/>
        <v>0</v>
      </c>
      <c r="AB56" s="800">
        <f t="shared" si="17"/>
        <v>0</v>
      </c>
      <c r="AC56" s="800">
        <f t="shared" si="18"/>
        <v>0</v>
      </c>
      <c r="AD56" s="800">
        <f>IF(AA56=0,,VLOOKUP(AA56,リスト!DH:DI,2,0))</f>
        <v>0</v>
      </c>
      <c r="AE56" s="800">
        <f t="shared" si="3"/>
        <v>0</v>
      </c>
      <c r="AF56" s="801">
        <f>IF(AE56=0,,VLOOKUP(AE56,リスト!DK:DL,2,0))</f>
        <v>0</v>
      </c>
      <c r="AG56" s="800">
        <f>IF(AA56=0,,
IF(OR(リスト!$C$21="小麦",リスト!$C$21="二条大麦",リスト!$C$21="六条大麦",リスト!$C$21="はだか麦",リスト!$C$21="なたね"),IF(K56&lt;9,調査年-J56,調査年-J56-1),
IF(リスト!$C$21="さとうきび",IF(K56&gt;=4,調査年-J56,調査年-J56+1),
調査年-J56)))</f>
        <v>0</v>
      </c>
      <c r="AH56" s="306">
        <f t="shared" si="19"/>
        <v>0</v>
      </c>
      <c r="AI56" s="306">
        <f t="shared" si="5"/>
        <v>0</v>
      </c>
      <c r="AJ56" s="306">
        <f t="shared" si="6"/>
        <v>0</v>
      </c>
      <c r="AK56" s="306">
        <f t="shared" si="7"/>
        <v>0</v>
      </c>
      <c r="AL56" s="306">
        <f t="shared" si="8"/>
        <v>0</v>
      </c>
      <c r="AM56" s="306">
        <f t="shared" si="16"/>
        <v>0</v>
      </c>
      <c r="AN56" s="477"/>
      <c r="AO56" s="306">
        <f>IF(OR(S56=0,AI56=0),,
IF(OR(リスト!$C$21="小麦",リスト!$C$21="二条大麦",リスト!$C$21="六条大麦",リスト!$C$21="はだか麦",リスト!$C$21="なたね"),IF(OR(AND(K56&lt;9,J56=調査年),AND(K56&gt;=9,J56=調査年-1)),,ROUND(AI56*S56%,0)),
IF(リスト!$C$21="さとうきび",IF(OR(AND(K56&gt;=4,J56=調査年),AND(K56&lt;4,J56=調査年+1)),,ROUND(AI56*S56%,0)),
IF(J56=調査年,,ROUND(AI56*S56%,0)))))</f>
        <v>0</v>
      </c>
      <c r="AP56" s="306">
        <f t="shared" si="9"/>
        <v>0</v>
      </c>
      <c r="AQ56" s="306">
        <f t="shared" si="10"/>
        <v>0</v>
      </c>
      <c r="AR56" s="306">
        <f t="shared" si="11"/>
        <v>0</v>
      </c>
      <c r="AS56" s="306">
        <f>IF(S56=0,,
SUM(
IF(OR(リスト!$C$21="小麦",リスト!$C$21="二条大麦",リスト!$C$21="六条大麦",リスト!$C$21="はだか麦",リスト!$C$21="なたね"),IF(OR(AND(AB56=1,K56&lt;9,J56=調査年),AND(AB56=1,K56&gt;=9,J56=調査年-1)),ROUND(L56*S56%,0),),
IF(リスト!$C$21="さとうきび",IF(OR(AND(AB56=1,K56&gt;=4,J56=調査年),AND(AB56=1,K56&lt;4,J56=調査年+1)),ROUND(L56*S56%,0),),
IF(AND(AB56=1,J56=調査年),ROUND(L56*S56%,0),))),
ROUND(N56*S56%,0),
ROUND(SUM(AM56)*S56%,0)
))</f>
        <v>0</v>
      </c>
      <c r="AT56" s="306">
        <f t="shared" si="12"/>
        <v>0</v>
      </c>
      <c r="AU56" s="306">
        <f t="shared" si="13"/>
        <v>0</v>
      </c>
      <c r="AV56" s="306">
        <f t="shared" si="14"/>
        <v>0</v>
      </c>
      <c r="AW56" s="306">
        <f t="shared" si="14"/>
        <v>0</v>
      </c>
      <c r="AX56" s="306">
        <f t="shared" si="14"/>
        <v>0</v>
      </c>
      <c r="AY56" s="841">
        <f t="shared" si="15"/>
        <v>0</v>
      </c>
      <c r="AZ56" s="802"/>
      <c r="BA56" s="802"/>
      <c r="BB56" s="802"/>
      <c r="BC56" s="802"/>
      <c r="BD56" s="174"/>
      <c r="BE56" s="174"/>
      <c r="BF56" s="174"/>
      <c r="BG56" s="174"/>
      <c r="BH56" s="174"/>
      <c r="BI56" s="174"/>
      <c r="BJ56" s="174"/>
      <c r="BK56" s="174"/>
      <c r="BL56" s="174"/>
      <c r="BM56" s="174"/>
      <c r="BN56" s="174"/>
      <c r="BO56" s="174"/>
    </row>
    <row r="57" spans="3:67" s="55" customFormat="1" ht="30.75" hidden="1" customHeight="1" outlineLevel="1">
      <c r="C57" s="862">
        <v>41</v>
      </c>
      <c r="D57" s="803"/>
      <c r="E57" s="902"/>
      <c r="F57" s="898"/>
      <c r="G57" s="2281"/>
      <c r="H57" s="2282"/>
      <c r="I57" s="851"/>
      <c r="J57" s="846"/>
      <c r="K57" s="796"/>
      <c r="L57" s="797"/>
      <c r="M57" s="797"/>
      <c r="N57" s="797"/>
      <c r="O57" s="797"/>
      <c r="P57" s="797"/>
      <c r="Q57" s="997"/>
      <c r="R57" s="1255"/>
      <c r="S57" s="1284"/>
      <c r="T57" s="798"/>
      <c r="U57" s="847"/>
      <c r="V57" s="848"/>
      <c r="W57" s="892"/>
      <c r="X57" s="904"/>
      <c r="Y57" s="905"/>
      <c r="Z57" s="901"/>
      <c r="AA57" s="800">
        <f t="shared" si="2"/>
        <v>0</v>
      </c>
      <c r="AB57" s="800">
        <f t="shared" si="17"/>
        <v>0</v>
      </c>
      <c r="AC57" s="800">
        <f t="shared" si="18"/>
        <v>0</v>
      </c>
      <c r="AD57" s="800">
        <f>IF(AA57=0,,VLOOKUP(AA57,リスト!DH:DI,2,0))</f>
        <v>0</v>
      </c>
      <c r="AE57" s="800">
        <f t="shared" si="3"/>
        <v>0</v>
      </c>
      <c r="AF57" s="801">
        <f>IF(AE57=0,,VLOOKUP(AE57,リスト!DK:DL,2,0))</f>
        <v>0</v>
      </c>
      <c r="AG57" s="800">
        <f>IF(AA57=0,,
IF(OR(リスト!$C$21="小麦",リスト!$C$21="二条大麦",リスト!$C$21="六条大麦",リスト!$C$21="はだか麦",リスト!$C$21="なたね"),IF(K57&lt;9,調査年-J57,調査年-J57-1),
IF(リスト!$C$21="さとうきび",IF(K57&gt;=4,調査年-J57,調査年-J57+1),
調査年-J57)))</f>
        <v>0</v>
      </c>
      <c r="AH57" s="306">
        <f t="shared" si="19"/>
        <v>0</v>
      </c>
      <c r="AI57" s="306">
        <f t="shared" si="5"/>
        <v>0</v>
      </c>
      <c r="AJ57" s="306">
        <f t="shared" si="6"/>
        <v>0</v>
      </c>
      <c r="AK57" s="306">
        <f t="shared" si="7"/>
        <v>0</v>
      </c>
      <c r="AL57" s="306">
        <f t="shared" si="8"/>
        <v>0</v>
      </c>
      <c r="AM57" s="306">
        <f t="shared" si="16"/>
        <v>0</v>
      </c>
      <c r="AN57" s="477"/>
      <c r="AO57" s="306">
        <f>IF(OR(S57=0,AI57=0),,
IF(OR(リスト!$C$21="小麦",リスト!$C$21="二条大麦",リスト!$C$21="六条大麦",リスト!$C$21="はだか麦",リスト!$C$21="なたね"),IF(OR(AND(K57&lt;9,J57=調査年),AND(K57&gt;=9,J57=調査年-1)),,ROUND(AI57*S57%,0)),
IF(リスト!$C$21="さとうきび",IF(OR(AND(K57&gt;=4,J57=調査年),AND(K57&lt;4,J57=調査年+1)),,ROUND(AI57*S57%,0)),
IF(J57=調査年,,ROUND(AI57*S57%,0)))))</f>
        <v>0</v>
      </c>
      <c r="AP57" s="306">
        <f t="shared" si="9"/>
        <v>0</v>
      </c>
      <c r="AQ57" s="306">
        <f t="shared" si="10"/>
        <v>0</v>
      </c>
      <c r="AR57" s="306">
        <f t="shared" si="11"/>
        <v>0</v>
      </c>
      <c r="AS57" s="306">
        <f>IF(S57=0,,
SUM(
IF(OR(リスト!$C$21="小麦",リスト!$C$21="二条大麦",リスト!$C$21="六条大麦",リスト!$C$21="はだか麦",リスト!$C$21="なたね"),IF(OR(AND(AB57=1,K57&lt;9,J57=調査年),AND(AB57=1,K57&gt;=9,J57=調査年-1)),ROUND(L57*S57%,0),),
IF(リスト!$C$21="さとうきび",IF(OR(AND(AB57=1,K57&gt;=4,J57=調査年),AND(AB57=1,K57&lt;4,J57=調査年+1)),ROUND(L57*S57%,0),),
IF(AND(AB57=1,J57=調査年),ROUND(L57*S57%,0),))),
ROUND(N57*S57%,0),
ROUND(SUM(AM57)*S57%,0)
))</f>
        <v>0</v>
      </c>
      <c r="AT57" s="306">
        <f t="shared" si="12"/>
        <v>0</v>
      </c>
      <c r="AU57" s="306">
        <f t="shared" si="13"/>
        <v>0</v>
      </c>
      <c r="AV57" s="306">
        <f t="shared" si="14"/>
        <v>0</v>
      </c>
      <c r="AW57" s="306">
        <f t="shared" si="14"/>
        <v>0</v>
      </c>
      <c r="AX57" s="306">
        <f t="shared" si="14"/>
        <v>0</v>
      </c>
      <c r="AY57" s="841">
        <f t="shared" si="15"/>
        <v>0</v>
      </c>
      <c r="AZ57" s="802"/>
      <c r="BA57" s="802"/>
      <c r="BB57" s="802"/>
      <c r="BC57" s="802"/>
      <c r="BD57" s="174"/>
      <c r="BE57" s="174"/>
      <c r="BF57" s="174"/>
      <c r="BG57" s="174"/>
      <c r="BH57" s="174"/>
      <c r="BI57" s="174"/>
      <c r="BJ57" s="174"/>
      <c r="BK57" s="174"/>
      <c r="BL57" s="174"/>
      <c r="BM57" s="174"/>
      <c r="BN57" s="174"/>
      <c r="BO57" s="174"/>
    </row>
    <row r="58" spans="3:67" s="55" customFormat="1" ht="30.75" hidden="1" customHeight="1" outlineLevel="1">
      <c r="C58" s="862">
        <v>42</v>
      </c>
      <c r="D58" s="803"/>
      <c r="E58" s="902"/>
      <c r="F58" s="898"/>
      <c r="G58" s="2281"/>
      <c r="H58" s="2282"/>
      <c r="I58" s="851"/>
      <c r="J58" s="846"/>
      <c r="K58" s="796"/>
      <c r="L58" s="797"/>
      <c r="M58" s="797"/>
      <c r="N58" s="797"/>
      <c r="O58" s="797"/>
      <c r="P58" s="797"/>
      <c r="Q58" s="997"/>
      <c r="R58" s="1255"/>
      <c r="S58" s="1284"/>
      <c r="T58" s="798"/>
      <c r="U58" s="847"/>
      <c r="V58" s="848"/>
      <c r="W58" s="892"/>
      <c r="X58" s="904"/>
      <c r="Y58" s="905"/>
      <c r="Z58" s="901"/>
      <c r="AA58" s="800">
        <f t="shared" si="2"/>
        <v>0</v>
      </c>
      <c r="AB58" s="800">
        <f t="shared" si="17"/>
        <v>0</v>
      </c>
      <c r="AC58" s="800">
        <f t="shared" si="18"/>
        <v>0</v>
      </c>
      <c r="AD58" s="800">
        <f>IF(AA58=0,,VLOOKUP(AA58,リスト!DH:DI,2,0))</f>
        <v>0</v>
      </c>
      <c r="AE58" s="800">
        <f t="shared" si="3"/>
        <v>0</v>
      </c>
      <c r="AF58" s="801">
        <f>IF(AE58=0,,VLOOKUP(AE58,リスト!DK:DL,2,0))</f>
        <v>0</v>
      </c>
      <c r="AG58" s="800">
        <f>IF(AA58=0,,
IF(OR(リスト!$C$21="小麦",リスト!$C$21="二条大麦",リスト!$C$21="六条大麦",リスト!$C$21="はだか麦",リスト!$C$21="なたね"),IF(K58&lt;9,調査年-J58,調査年-J58-1),
IF(リスト!$C$21="さとうきび",IF(K58&gt;=4,調査年-J58,調査年-J58+1),
調査年-J58)))</f>
        <v>0</v>
      </c>
      <c r="AH58" s="306">
        <f t="shared" si="19"/>
        <v>0</v>
      </c>
      <c r="AI58" s="306">
        <f t="shared" si="5"/>
        <v>0</v>
      </c>
      <c r="AJ58" s="306">
        <f t="shared" si="6"/>
        <v>0</v>
      </c>
      <c r="AK58" s="306">
        <f t="shared" si="7"/>
        <v>0</v>
      </c>
      <c r="AL58" s="306">
        <f t="shared" si="8"/>
        <v>0</v>
      </c>
      <c r="AM58" s="306">
        <f t="shared" si="16"/>
        <v>0</v>
      </c>
      <c r="AN58" s="477"/>
      <c r="AO58" s="306">
        <f>IF(OR(S58=0,AI58=0),,
IF(OR(リスト!$C$21="小麦",リスト!$C$21="二条大麦",リスト!$C$21="六条大麦",リスト!$C$21="はだか麦",リスト!$C$21="なたね"),IF(OR(AND(K58&lt;9,J58=調査年),AND(K58&gt;=9,J58=調査年-1)),,ROUND(AI58*S58%,0)),
IF(リスト!$C$21="さとうきび",IF(OR(AND(K58&gt;=4,J58=調査年),AND(K58&lt;4,J58=調査年+1)),,ROUND(AI58*S58%,0)),
IF(J58=調査年,,ROUND(AI58*S58%,0)))))</f>
        <v>0</v>
      </c>
      <c r="AP58" s="306">
        <f t="shared" si="9"/>
        <v>0</v>
      </c>
      <c r="AQ58" s="306">
        <f t="shared" si="10"/>
        <v>0</v>
      </c>
      <c r="AR58" s="306">
        <f t="shared" si="11"/>
        <v>0</v>
      </c>
      <c r="AS58" s="306">
        <f>IF(S58=0,,
SUM(
IF(OR(リスト!$C$21="小麦",リスト!$C$21="二条大麦",リスト!$C$21="六条大麦",リスト!$C$21="はだか麦",リスト!$C$21="なたね"),IF(OR(AND(AB58=1,K58&lt;9,J58=調査年),AND(AB58=1,K58&gt;=9,J58=調査年-1)),ROUND(L58*S58%,0),),
IF(リスト!$C$21="さとうきび",IF(OR(AND(AB58=1,K58&gt;=4,J58=調査年),AND(AB58=1,K58&lt;4,J58=調査年+1)),ROUND(L58*S58%,0),),
IF(AND(AB58=1,J58=調査年),ROUND(L58*S58%,0),))),
ROUND(N58*S58%,0),
ROUND(SUM(AM58)*S58%,0)
))</f>
        <v>0</v>
      </c>
      <c r="AT58" s="306">
        <f t="shared" si="12"/>
        <v>0</v>
      </c>
      <c r="AU58" s="306">
        <f t="shared" si="13"/>
        <v>0</v>
      </c>
      <c r="AV58" s="306">
        <f t="shared" si="14"/>
        <v>0</v>
      </c>
      <c r="AW58" s="306">
        <f t="shared" si="14"/>
        <v>0</v>
      </c>
      <c r="AX58" s="306">
        <f t="shared" si="14"/>
        <v>0</v>
      </c>
      <c r="AY58" s="841">
        <f t="shared" si="15"/>
        <v>0</v>
      </c>
      <c r="AZ58" s="802"/>
      <c r="BA58" s="802"/>
      <c r="BB58" s="802"/>
      <c r="BC58" s="802"/>
      <c r="BD58" s="174"/>
      <c r="BE58" s="174"/>
      <c r="BF58" s="174"/>
      <c r="BG58" s="174"/>
      <c r="BH58" s="174"/>
      <c r="BI58" s="174"/>
      <c r="BJ58" s="174"/>
      <c r="BK58" s="174"/>
      <c r="BL58" s="174"/>
      <c r="BM58" s="174"/>
      <c r="BN58" s="174"/>
      <c r="BO58" s="174"/>
    </row>
    <row r="59" spans="3:67" s="55" customFormat="1" ht="30.75" hidden="1" customHeight="1" outlineLevel="1">
      <c r="C59" s="862">
        <v>43</v>
      </c>
      <c r="D59" s="803"/>
      <c r="E59" s="902"/>
      <c r="F59" s="898"/>
      <c r="G59" s="2281"/>
      <c r="H59" s="2282"/>
      <c r="I59" s="851"/>
      <c r="J59" s="846"/>
      <c r="K59" s="796"/>
      <c r="L59" s="797"/>
      <c r="M59" s="797"/>
      <c r="N59" s="797"/>
      <c r="O59" s="797"/>
      <c r="P59" s="797"/>
      <c r="Q59" s="997"/>
      <c r="R59" s="1255"/>
      <c r="S59" s="1284"/>
      <c r="T59" s="798"/>
      <c r="U59" s="847"/>
      <c r="V59" s="848"/>
      <c r="W59" s="892"/>
      <c r="X59" s="904"/>
      <c r="Y59" s="905"/>
      <c r="Z59" s="901"/>
      <c r="AA59" s="800">
        <f t="shared" si="2"/>
        <v>0</v>
      </c>
      <c r="AB59" s="800">
        <f t="shared" si="17"/>
        <v>0</v>
      </c>
      <c r="AC59" s="800">
        <f t="shared" si="18"/>
        <v>0</v>
      </c>
      <c r="AD59" s="800">
        <f>IF(AA59=0,,VLOOKUP(AA59,リスト!DH:DI,2,0))</f>
        <v>0</v>
      </c>
      <c r="AE59" s="800">
        <f t="shared" si="3"/>
        <v>0</v>
      </c>
      <c r="AF59" s="801">
        <f>IF(AE59=0,,VLOOKUP(AE59,リスト!DK:DL,2,0))</f>
        <v>0</v>
      </c>
      <c r="AG59" s="800">
        <f>IF(AA59=0,,
IF(OR(リスト!$C$21="小麦",リスト!$C$21="二条大麦",リスト!$C$21="六条大麦",リスト!$C$21="はだか麦",リスト!$C$21="なたね"),IF(K59&lt;9,調査年-J59,調査年-J59-1),
IF(リスト!$C$21="さとうきび",IF(K59&gt;=4,調査年-J59,調査年-J59+1),
調査年-J59)))</f>
        <v>0</v>
      </c>
      <c r="AH59" s="306">
        <f t="shared" si="19"/>
        <v>0</v>
      </c>
      <c r="AI59" s="306">
        <f t="shared" si="5"/>
        <v>0</v>
      </c>
      <c r="AJ59" s="306">
        <f t="shared" si="6"/>
        <v>0</v>
      </c>
      <c r="AK59" s="306">
        <f t="shared" si="7"/>
        <v>0</v>
      </c>
      <c r="AL59" s="306">
        <f t="shared" si="8"/>
        <v>0</v>
      </c>
      <c r="AM59" s="306">
        <f t="shared" si="16"/>
        <v>0</v>
      </c>
      <c r="AN59" s="477"/>
      <c r="AO59" s="306">
        <f>IF(OR(S59=0,AI59=0),,
IF(OR(リスト!$C$21="小麦",リスト!$C$21="二条大麦",リスト!$C$21="六条大麦",リスト!$C$21="はだか麦",リスト!$C$21="なたね"),IF(OR(AND(K59&lt;9,J59=調査年),AND(K59&gt;=9,J59=調査年-1)),,ROUND(AI59*S59%,0)),
IF(リスト!$C$21="さとうきび",IF(OR(AND(K59&gt;=4,J59=調査年),AND(K59&lt;4,J59=調査年+1)),,ROUND(AI59*S59%,0)),
IF(J59=調査年,,ROUND(AI59*S59%,0)))))</f>
        <v>0</v>
      </c>
      <c r="AP59" s="306">
        <f t="shared" si="9"/>
        <v>0</v>
      </c>
      <c r="AQ59" s="306">
        <f t="shared" si="10"/>
        <v>0</v>
      </c>
      <c r="AR59" s="306">
        <f t="shared" si="11"/>
        <v>0</v>
      </c>
      <c r="AS59" s="306">
        <f>IF(S59=0,,
SUM(
IF(OR(リスト!$C$21="小麦",リスト!$C$21="二条大麦",リスト!$C$21="六条大麦",リスト!$C$21="はだか麦",リスト!$C$21="なたね"),IF(OR(AND(AB59=1,K59&lt;9,J59=調査年),AND(AB59=1,K59&gt;=9,J59=調査年-1)),ROUND(L59*S59%,0),),
IF(リスト!$C$21="さとうきび",IF(OR(AND(AB59=1,K59&gt;=4,J59=調査年),AND(AB59=1,K59&lt;4,J59=調査年+1)),ROUND(L59*S59%,0),),
IF(AND(AB59=1,J59=調査年),ROUND(L59*S59%,0),))),
ROUND(N59*S59%,0),
ROUND(SUM(AM59)*S59%,0)
))</f>
        <v>0</v>
      </c>
      <c r="AT59" s="306">
        <f t="shared" si="12"/>
        <v>0</v>
      </c>
      <c r="AU59" s="306">
        <f t="shared" si="13"/>
        <v>0</v>
      </c>
      <c r="AV59" s="306">
        <f t="shared" si="14"/>
        <v>0</v>
      </c>
      <c r="AW59" s="306">
        <f t="shared" si="14"/>
        <v>0</v>
      </c>
      <c r="AX59" s="306">
        <f t="shared" si="14"/>
        <v>0</v>
      </c>
      <c r="AY59" s="841">
        <f t="shared" si="15"/>
        <v>0</v>
      </c>
      <c r="AZ59" s="802"/>
      <c r="BA59" s="802"/>
      <c r="BB59" s="802"/>
      <c r="BC59" s="802"/>
      <c r="BD59" s="174"/>
      <c r="BE59" s="174"/>
      <c r="BF59" s="174"/>
      <c r="BG59" s="174"/>
      <c r="BH59" s="174"/>
      <c r="BI59" s="174"/>
      <c r="BJ59" s="174"/>
      <c r="BK59" s="174"/>
      <c r="BL59" s="174"/>
      <c r="BM59" s="174"/>
      <c r="BN59" s="174"/>
      <c r="BO59" s="174"/>
    </row>
    <row r="60" spans="3:67" s="55" customFormat="1" ht="30.75" hidden="1" customHeight="1" outlineLevel="1">
      <c r="C60" s="862">
        <v>44</v>
      </c>
      <c r="D60" s="803"/>
      <c r="E60" s="902"/>
      <c r="F60" s="898"/>
      <c r="G60" s="2281"/>
      <c r="H60" s="2282"/>
      <c r="I60" s="851"/>
      <c r="J60" s="846"/>
      <c r="K60" s="796"/>
      <c r="L60" s="797"/>
      <c r="M60" s="797"/>
      <c r="N60" s="797"/>
      <c r="O60" s="797"/>
      <c r="P60" s="797"/>
      <c r="Q60" s="997"/>
      <c r="R60" s="1255"/>
      <c r="S60" s="1284"/>
      <c r="T60" s="798"/>
      <c r="U60" s="847"/>
      <c r="V60" s="848"/>
      <c r="W60" s="892"/>
      <c r="X60" s="904"/>
      <c r="Y60" s="905"/>
      <c r="Z60" s="901"/>
      <c r="AA60" s="800">
        <f t="shared" si="2"/>
        <v>0</v>
      </c>
      <c r="AB60" s="800">
        <f t="shared" si="17"/>
        <v>0</v>
      </c>
      <c r="AC60" s="800">
        <f t="shared" si="18"/>
        <v>0</v>
      </c>
      <c r="AD60" s="800">
        <f>IF(AA60=0,,VLOOKUP(AA60,リスト!DH:DI,2,0))</f>
        <v>0</v>
      </c>
      <c r="AE60" s="800">
        <f t="shared" si="3"/>
        <v>0</v>
      </c>
      <c r="AF60" s="801">
        <f>IF(AE60=0,,VLOOKUP(AE60,リスト!DK:DL,2,0))</f>
        <v>0</v>
      </c>
      <c r="AG60" s="800">
        <f>IF(AA60=0,,
IF(OR(リスト!$C$21="小麦",リスト!$C$21="二条大麦",リスト!$C$21="六条大麦",リスト!$C$21="はだか麦",リスト!$C$21="なたね"),IF(K60&lt;9,調査年-J60,調査年-J60-1),
IF(リスト!$C$21="さとうきび",IF(K60&gt;=4,調査年-J60,調査年-J60+1),
調査年-J60)))</f>
        <v>0</v>
      </c>
      <c r="AH60" s="306">
        <f t="shared" si="19"/>
        <v>0</v>
      </c>
      <c r="AI60" s="306">
        <f t="shared" si="5"/>
        <v>0</v>
      </c>
      <c r="AJ60" s="306">
        <f t="shared" si="6"/>
        <v>0</v>
      </c>
      <c r="AK60" s="306">
        <f t="shared" si="7"/>
        <v>0</v>
      </c>
      <c r="AL60" s="306">
        <f t="shared" si="8"/>
        <v>0</v>
      </c>
      <c r="AM60" s="306">
        <f t="shared" si="16"/>
        <v>0</v>
      </c>
      <c r="AN60" s="477"/>
      <c r="AO60" s="306">
        <f>IF(OR(S60=0,AI60=0),,
IF(OR(リスト!$C$21="小麦",リスト!$C$21="二条大麦",リスト!$C$21="六条大麦",リスト!$C$21="はだか麦",リスト!$C$21="なたね"),IF(OR(AND(K60&lt;9,J60=調査年),AND(K60&gt;=9,J60=調査年-1)),,ROUND(AI60*S60%,0)),
IF(リスト!$C$21="さとうきび",IF(OR(AND(K60&gt;=4,J60=調査年),AND(K60&lt;4,J60=調査年+1)),,ROUND(AI60*S60%,0)),
IF(J60=調査年,,ROUND(AI60*S60%,0)))))</f>
        <v>0</v>
      </c>
      <c r="AP60" s="306">
        <f t="shared" si="9"/>
        <v>0</v>
      </c>
      <c r="AQ60" s="306">
        <f t="shared" si="10"/>
        <v>0</v>
      </c>
      <c r="AR60" s="306">
        <f t="shared" si="11"/>
        <v>0</v>
      </c>
      <c r="AS60" s="306">
        <f>IF(S60=0,,
SUM(
IF(OR(リスト!$C$21="小麦",リスト!$C$21="二条大麦",リスト!$C$21="六条大麦",リスト!$C$21="はだか麦",リスト!$C$21="なたね"),IF(OR(AND(AB60=1,K60&lt;9,J60=調査年),AND(AB60=1,K60&gt;=9,J60=調査年-1)),ROUND(L60*S60%,0),),
IF(リスト!$C$21="さとうきび",IF(OR(AND(AB60=1,K60&gt;=4,J60=調査年),AND(AB60=1,K60&lt;4,J60=調査年+1)),ROUND(L60*S60%,0),),
IF(AND(AB60=1,J60=調査年),ROUND(L60*S60%,0),))),
ROUND(N60*S60%,0),
ROUND(SUM(AM60)*S60%,0)
))</f>
        <v>0</v>
      </c>
      <c r="AT60" s="306">
        <f t="shared" si="12"/>
        <v>0</v>
      </c>
      <c r="AU60" s="306">
        <f t="shared" si="13"/>
        <v>0</v>
      </c>
      <c r="AV60" s="306">
        <f t="shared" si="14"/>
        <v>0</v>
      </c>
      <c r="AW60" s="306">
        <f t="shared" si="14"/>
        <v>0</v>
      </c>
      <c r="AX60" s="306">
        <f t="shared" si="14"/>
        <v>0</v>
      </c>
      <c r="AY60" s="841">
        <f t="shared" si="15"/>
        <v>0</v>
      </c>
      <c r="AZ60" s="802"/>
      <c r="BA60" s="802"/>
      <c r="BB60" s="802"/>
      <c r="BC60" s="802"/>
      <c r="BD60" s="174"/>
      <c r="BE60" s="174"/>
      <c r="BF60" s="174"/>
      <c r="BG60" s="174"/>
      <c r="BH60" s="174"/>
      <c r="BI60" s="174"/>
      <c r="BJ60" s="174"/>
      <c r="BK60" s="174"/>
      <c r="BL60" s="174"/>
      <c r="BM60" s="174"/>
      <c r="BN60" s="174"/>
      <c r="BO60" s="174"/>
    </row>
    <row r="61" spans="3:67" s="55" customFormat="1" ht="30.75" hidden="1" customHeight="1" outlineLevel="1">
      <c r="C61" s="862">
        <v>45</v>
      </c>
      <c r="D61" s="803"/>
      <c r="E61" s="902"/>
      <c r="F61" s="898"/>
      <c r="G61" s="2281"/>
      <c r="H61" s="2282"/>
      <c r="I61" s="851"/>
      <c r="J61" s="846"/>
      <c r="K61" s="796"/>
      <c r="L61" s="797"/>
      <c r="M61" s="797"/>
      <c r="N61" s="797"/>
      <c r="O61" s="797"/>
      <c r="P61" s="797"/>
      <c r="Q61" s="997"/>
      <c r="R61" s="1255"/>
      <c r="S61" s="1284"/>
      <c r="T61" s="798"/>
      <c r="U61" s="847"/>
      <c r="V61" s="848"/>
      <c r="W61" s="892"/>
      <c r="X61" s="904"/>
      <c r="Y61" s="905"/>
      <c r="Z61" s="901"/>
      <c r="AA61" s="800">
        <f t="shared" si="2"/>
        <v>0</v>
      </c>
      <c r="AB61" s="800">
        <f t="shared" si="17"/>
        <v>0</v>
      </c>
      <c r="AC61" s="800">
        <f t="shared" si="18"/>
        <v>0</v>
      </c>
      <c r="AD61" s="800">
        <f>IF(AA61=0,,VLOOKUP(AA61,リスト!DH:DI,2,0))</f>
        <v>0</v>
      </c>
      <c r="AE61" s="800">
        <f t="shared" si="3"/>
        <v>0</v>
      </c>
      <c r="AF61" s="801">
        <f>IF(AE61=0,,VLOOKUP(AE61,リスト!DK:DL,2,0))</f>
        <v>0</v>
      </c>
      <c r="AG61" s="800">
        <f>IF(AA61=0,,
IF(OR(リスト!$C$21="小麦",リスト!$C$21="二条大麦",リスト!$C$21="六条大麦",リスト!$C$21="はだか麦",リスト!$C$21="なたね"),IF(K61&lt;9,調査年-J61,調査年-J61-1),
IF(リスト!$C$21="さとうきび",IF(K61&gt;=4,調査年-J61,調査年-J61+1),
調査年-J61)))</f>
        <v>0</v>
      </c>
      <c r="AH61" s="306">
        <f t="shared" si="19"/>
        <v>0</v>
      </c>
      <c r="AI61" s="306">
        <f t="shared" si="5"/>
        <v>0</v>
      </c>
      <c r="AJ61" s="306">
        <f t="shared" si="6"/>
        <v>0</v>
      </c>
      <c r="AK61" s="306">
        <f t="shared" si="7"/>
        <v>0</v>
      </c>
      <c r="AL61" s="306">
        <f t="shared" si="8"/>
        <v>0</v>
      </c>
      <c r="AM61" s="306">
        <f t="shared" si="16"/>
        <v>0</v>
      </c>
      <c r="AN61" s="477"/>
      <c r="AO61" s="306">
        <f>IF(OR(S61=0,AI61=0),,
IF(OR(リスト!$C$21="小麦",リスト!$C$21="二条大麦",リスト!$C$21="六条大麦",リスト!$C$21="はだか麦",リスト!$C$21="なたね"),IF(OR(AND(K61&lt;9,J61=調査年),AND(K61&gt;=9,J61=調査年-1)),,ROUND(AI61*S61%,0)),
IF(リスト!$C$21="さとうきび",IF(OR(AND(K61&gt;=4,J61=調査年),AND(K61&lt;4,J61=調査年+1)),,ROUND(AI61*S61%,0)),
IF(J61=調査年,,ROUND(AI61*S61%,0)))))</f>
        <v>0</v>
      </c>
      <c r="AP61" s="306">
        <f t="shared" si="9"/>
        <v>0</v>
      </c>
      <c r="AQ61" s="306">
        <f t="shared" si="10"/>
        <v>0</v>
      </c>
      <c r="AR61" s="306">
        <f t="shared" si="11"/>
        <v>0</v>
      </c>
      <c r="AS61" s="306">
        <f>IF(S61=0,,
SUM(
IF(OR(リスト!$C$21="小麦",リスト!$C$21="二条大麦",リスト!$C$21="六条大麦",リスト!$C$21="はだか麦",リスト!$C$21="なたね"),IF(OR(AND(AB61=1,K61&lt;9,J61=調査年),AND(AB61=1,K61&gt;=9,J61=調査年-1)),ROUND(L61*S61%,0),),
IF(リスト!$C$21="さとうきび",IF(OR(AND(AB61=1,K61&gt;=4,J61=調査年),AND(AB61=1,K61&lt;4,J61=調査年+1)),ROUND(L61*S61%,0),),
IF(AND(AB61=1,J61=調査年),ROUND(L61*S61%,0),))),
ROUND(N61*S61%,0),
ROUND(SUM(AM61)*S61%,0)
))</f>
        <v>0</v>
      </c>
      <c r="AT61" s="306">
        <f t="shared" si="12"/>
        <v>0</v>
      </c>
      <c r="AU61" s="306">
        <f t="shared" si="13"/>
        <v>0</v>
      </c>
      <c r="AV61" s="306">
        <f t="shared" si="14"/>
        <v>0</v>
      </c>
      <c r="AW61" s="306">
        <f t="shared" si="14"/>
        <v>0</v>
      </c>
      <c r="AX61" s="306">
        <f t="shared" si="14"/>
        <v>0</v>
      </c>
      <c r="AY61" s="841">
        <f t="shared" si="15"/>
        <v>0</v>
      </c>
      <c r="AZ61" s="802"/>
      <c r="BA61" s="802"/>
      <c r="BB61" s="802"/>
      <c r="BC61" s="802"/>
      <c r="BD61" s="174"/>
      <c r="BE61" s="174"/>
      <c r="BF61" s="174"/>
      <c r="BG61" s="174"/>
      <c r="BH61" s="174"/>
      <c r="BI61" s="174"/>
      <c r="BJ61" s="174"/>
      <c r="BK61" s="174"/>
      <c r="BL61" s="174"/>
      <c r="BM61" s="174"/>
      <c r="BN61" s="174"/>
      <c r="BO61" s="174"/>
    </row>
    <row r="62" spans="3:67" s="55" customFormat="1" ht="30.75" hidden="1" customHeight="1" outlineLevel="1">
      <c r="C62" s="862">
        <v>46</v>
      </c>
      <c r="D62" s="803"/>
      <c r="E62" s="902"/>
      <c r="F62" s="898"/>
      <c r="G62" s="2281"/>
      <c r="H62" s="2282"/>
      <c r="I62" s="851"/>
      <c r="J62" s="846"/>
      <c r="K62" s="796"/>
      <c r="L62" s="797"/>
      <c r="M62" s="797"/>
      <c r="N62" s="797"/>
      <c r="O62" s="797"/>
      <c r="P62" s="797"/>
      <c r="Q62" s="997"/>
      <c r="R62" s="1255"/>
      <c r="S62" s="1284"/>
      <c r="T62" s="798"/>
      <c r="U62" s="847"/>
      <c r="V62" s="848"/>
      <c r="W62" s="892"/>
      <c r="X62" s="904"/>
      <c r="Y62" s="905"/>
      <c r="Z62" s="901"/>
      <c r="AA62" s="800">
        <f t="shared" si="2"/>
        <v>0</v>
      </c>
      <c r="AB62" s="800">
        <f t="shared" si="17"/>
        <v>0</v>
      </c>
      <c r="AC62" s="800">
        <f t="shared" si="18"/>
        <v>0</v>
      </c>
      <c r="AD62" s="800">
        <f>IF(AA62=0,,VLOOKUP(AA62,リスト!DH:DI,2,0))</f>
        <v>0</v>
      </c>
      <c r="AE62" s="800">
        <f t="shared" si="3"/>
        <v>0</v>
      </c>
      <c r="AF62" s="801">
        <f>IF(AE62=0,,VLOOKUP(AE62,リスト!DK:DL,2,0))</f>
        <v>0</v>
      </c>
      <c r="AG62" s="800">
        <f>IF(AA62=0,,
IF(OR(リスト!$C$21="小麦",リスト!$C$21="二条大麦",リスト!$C$21="六条大麦",リスト!$C$21="はだか麦",リスト!$C$21="なたね"),IF(K62&lt;9,調査年-J62,調査年-J62-1),
IF(リスト!$C$21="さとうきび",IF(K62&gt;=4,調査年-J62,調査年-J62+1),
調査年-J62)))</f>
        <v>0</v>
      </c>
      <c r="AH62" s="306">
        <f t="shared" si="19"/>
        <v>0</v>
      </c>
      <c r="AI62" s="306">
        <f t="shared" si="5"/>
        <v>0</v>
      </c>
      <c r="AJ62" s="306">
        <f t="shared" si="6"/>
        <v>0</v>
      </c>
      <c r="AK62" s="306">
        <f t="shared" si="7"/>
        <v>0</v>
      </c>
      <c r="AL62" s="306">
        <f t="shared" si="8"/>
        <v>0</v>
      </c>
      <c r="AM62" s="306">
        <f t="shared" si="16"/>
        <v>0</v>
      </c>
      <c r="AN62" s="477"/>
      <c r="AO62" s="306">
        <f>IF(OR(S62=0,AI62=0),,
IF(OR(リスト!$C$21="小麦",リスト!$C$21="二条大麦",リスト!$C$21="六条大麦",リスト!$C$21="はだか麦",リスト!$C$21="なたね"),IF(OR(AND(K62&lt;9,J62=調査年),AND(K62&gt;=9,J62=調査年-1)),,ROUND(AI62*S62%,0)),
IF(リスト!$C$21="さとうきび",IF(OR(AND(K62&gt;=4,J62=調査年),AND(K62&lt;4,J62=調査年+1)),,ROUND(AI62*S62%,0)),
IF(J62=調査年,,ROUND(AI62*S62%,0)))))</f>
        <v>0</v>
      </c>
      <c r="AP62" s="306">
        <f t="shared" si="9"/>
        <v>0</v>
      </c>
      <c r="AQ62" s="306">
        <f t="shared" si="10"/>
        <v>0</v>
      </c>
      <c r="AR62" s="306">
        <f t="shared" si="11"/>
        <v>0</v>
      </c>
      <c r="AS62" s="306">
        <f>IF(S62=0,,
SUM(
IF(OR(リスト!$C$21="小麦",リスト!$C$21="二条大麦",リスト!$C$21="六条大麦",リスト!$C$21="はだか麦",リスト!$C$21="なたね"),IF(OR(AND(AB62=1,K62&lt;9,J62=調査年),AND(AB62=1,K62&gt;=9,J62=調査年-1)),ROUND(L62*S62%,0),),
IF(リスト!$C$21="さとうきび",IF(OR(AND(AB62=1,K62&gt;=4,J62=調査年),AND(AB62=1,K62&lt;4,J62=調査年+1)),ROUND(L62*S62%,0),),
IF(AND(AB62=1,J62=調査年),ROUND(L62*S62%,0),))),
ROUND(N62*S62%,0),
ROUND(SUM(AM62)*S62%,0)
))</f>
        <v>0</v>
      </c>
      <c r="AT62" s="306">
        <f t="shared" si="12"/>
        <v>0</v>
      </c>
      <c r="AU62" s="306">
        <f t="shared" si="13"/>
        <v>0</v>
      </c>
      <c r="AV62" s="306">
        <f t="shared" si="14"/>
        <v>0</v>
      </c>
      <c r="AW62" s="306">
        <f t="shared" si="14"/>
        <v>0</v>
      </c>
      <c r="AX62" s="306">
        <f t="shared" si="14"/>
        <v>0</v>
      </c>
      <c r="AY62" s="841">
        <f t="shared" si="15"/>
        <v>0</v>
      </c>
      <c r="AZ62" s="802"/>
      <c r="BA62" s="802"/>
      <c r="BB62" s="802"/>
      <c r="BC62" s="802"/>
      <c r="BD62" s="174"/>
      <c r="BE62" s="174"/>
      <c r="BF62" s="174"/>
      <c r="BG62" s="174"/>
      <c r="BH62" s="174"/>
      <c r="BI62" s="174"/>
      <c r="BJ62" s="174"/>
      <c r="BK62" s="174"/>
      <c r="BL62" s="174"/>
      <c r="BM62" s="174"/>
      <c r="BN62" s="174"/>
      <c r="BO62" s="174"/>
    </row>
    <row r="63" spans="3:67" s="55" customFormat="1" ht="30.75" hidden="1" customHeight="1" outlineLevel="1">
      <c r="C63" s="862">
        <v>47</v>
      </c>
      <c r="D63" s="803"/>
      <c r="E63" s="902"/>
      <c r="F63" s="898"/>
      <c r="G63" s="2281"/>
      <c r="H63" s="2282"/>
      <c r="I63" s="851"/>
      <c r="J63" s="846"/>
      <c r="K63" s="796"/>
      <c r="L63" s="797"/>
      <c r="M63" s="797"/>
      <c r="N63" s="797"/>
      <c r="O63" s="797"/>
      <c r="P63" s="797"/>
      <c r="Q63" s="997"/>
      <c r="R63" s="1255"/>
      <c r="S63" s="1284"/>
      <c r="T63" s="798"/>
      <c r="U63" s="847"/>
      <c r="V63" s="848"/>
      <c r="W63" s="892"/>
      <c r="X63" s="904"/>
      <c r="Y63" s="905"/>
      <c r="Z63" s="901"/>
      <c r="AA63" s="800">
        <f t="shared" si="2"/>
        <v>0</v>
      </c>
      <c r="AB63" s="800">
        <f t="shared" si="17"/>
        <v>0</v>
      </c>
      <c r="AC63" s="800">
        <f t="shared" si="18"/>
        <v>0</v>
      </c>
      <c r="AD63" s="800">
        <f>IF(AA63=0,,VLOOKUP(AA63,リスト!DH:DI,2,0))</f>
        <v>0</v>
      </c>
      <c r="AE63" s="800">
        <f t="shared" si="3"/>
        <v>0</v>
      </c>
      <c r="AF63" s="801">
        <f>IF(AE63=0,,VLOOKUP(AE63,リスト!DK:DL,2,0))</f>
        <v>0</v>
      </c>
      <c r="AG63" s="800">
        <f>IF(AA63=0,,
IF(OR(リスト!$C$21="小麦",リスト!$C$21="二条大麦",リスト!$C$21="六条大麦",リスト!$C$21="はだか麦",リスト!$C$21="なたね"),IF(K63&lt;9,調査年-J63,調査年-J63-1),
IF(リスト!$C$21="さとうきび",IF(K63&gt;=4,調査年-J63,調査年-J63+1),
調査年-J63)))</f>
        <v>0</v>
      </c>
      <c r="AH63" s="306">
        <f t="shared" si="19"/>
        <v>0</v>
      </c>
      <c r="AI63" s="306">
        <f t="shared" si="5"/>
        <v>0</v>
      </c>
      <c r="AJ63" s="306">
        <f t="shared" si="6"/>
        <v>0</v>
      </c>
      <c r="AK63" s="306">
        <f t="shared" si="7"/>
        <v>0</v>
      </c>
      <c r="AL63" s="306">
        <f t="shared" si="8"/>
        <v>0</v>
      </c>
      <c r="AM63" s="306">
        <f t="shared" si="16"/>
        <v>0</v>
      </c>
      <c r="AN63" s="477"/>
      <c r="AO63" s="306">
        <f>IF(OR(S63=0,AI63=0),,
IF(OR(リスト!$C$21="小麦",リスト!$C$21="二条大麦",リスト!$C$21="六条大麦",リスト!$C$21="はだか麦",リスト!$C$21="なたね"),IF(OR(AND(K63&lt;9,J63=調査年),AND(K63&gt;=9,J63=調査年-1)),,ROUND(AI63*S63%,0)),
IF(リスト!$C$21="さとうきび",IF(OR(AND(K63&gt;=4,J63=調査年),AND(K63&lt;4,J63=調査年+1)),,ROUND(AI63*S63%,0)),
IF(J63=調査年,,ROUND(AI63*S63%,0)))))</f>
        <v>0</v>
      </c>
      <c r="AP63" s="306">
        <f t="shared" si="9"/>
        <v>0</v>
      </c>
      <c r="AQ63" s="306">
        <f t="shared" si="10"/>
        <v>0</v>
      </c>
      <c r="AR63" s="306">
        <f t="shared" si="11"/>
        <v>0</v>
      </c>
      <c r="AS63" s="306">
        <f>IF(S63=0,,
SUM(
IF(OR(リスト!$C$21="小麦",リスト!$C$21="二条大麦",リスト!$C$21="六条大麦",リスト!$C$21="はだか麦",リスト!$C$21="なたね"),IF(OR(AND(AB63=1,K63&lt;9,J63=調査年),AND(AB63=1,K63&gt;=9,J63=調査年-1)),ROUND(L63*S63%,0),),
IF(リスト!$C$21="さとうきび",IF(OR(AND(AB63=1,K63&gt;=4,J63=調査年),AND(AB63=1,K63&lt;4,J63=調査年+1)),ROUND(L63*S63%,0),),
IF(AND(AB63=1,J63=調査年),ROUND(L63*S63%,0),))),
ROUND(N63*S63%,0),
ROUND(SUM(AM63)*S63%,0)
))</f>
        <v>0</v>
      </c>
      <c r="AT63" s="306">
        <f t="shared" si="12"/>
        <v>0</v>
      </c>
      <c r="AU63" s="306">
        <f t="shared" si="13"/>
        <v>0</v>
      </c>
      <c r="AV63" s="306">
        <f t="shared" si="14"/>
        <v>0</v>
      </c>
      <c r="AW63" s="306">
        <f t="shared" si="14"/>
        <v>0</v>
      </c>
      <c r="AX63" s="306">
        <f t="shared" si="14"/>
        <v>0</v>
      </c>
      <c r="AY63" s="841">
        <f t="shared" si="15"/>
        <v>0</v>
      </c>
      <c r="AZ63" s="802"/>
      <c r="BA63" s="802"/>
      <c r="BB63" s="802"/>
      <c r="BC63" s="802"/>
      <c r="BD63" s="174"/>
      <c r="BE63" s="174"/>
      <c r="BF63" s="174"/>
      <c r="BG63" s="174"/>
      <c r="BH63" s="174"/>
      <c r="BI63" s="174"/>
      <c r="BJ63" s="174"/>
      <c r="BK63" s="174"/>
      <c r="BL63" s="174"/>
      <c r="BM63" s="174"/>
      <c r="BN63" s="174"/>
      <c r="BO63" s="174"/>
    </row>
    <row r="64" spans="3:67" s="55" customFormat="1" ht="30.75" hidden="1" customHeight="1" outlineLevel="1">
      <c r="C64" s="862">
        <v>48</v>
      </c>
      <c r="D64" s="803"/>
      <c r="E64" s="902"/>
      <c r="F64" s="898"/>
      <c r="G64" s="2281"/>
      <c r="H64" s="2282"/>
      <c r="I64" s="851"/>
      <c r="J64" s="846"/>
      <c r="K64" s="796"/>
      <c r="L64" s="797"/>
      <c r="M64" s="797"/>
      <c r="N64" s="797"/>
      <c r="O64" s="797"/>
      <c r="P64" s="797"/>
      <c r="Q64" s="997"/>
      <c r="R64" s="1255"/>
      <c r="S64" s="1284"/>
      <c r="T64" s="798"/>
      <c r="U64" s="847"/>
      <c r="V64" s="848"/>
      <c r="W64" s="892"/>
      <c r="X64" s="904"/>
      <c r="Y64" s="905"/>
      <c r="Z64" s="901"/>
      <c r="AA64" s="800">
        <f t="shared" si="2"/>
        <v>0</v>
      </c>
      <c r="AB64" s="800">
        <f t="shared" si="17"/>
        <v>0</v>
      </c>
      <c r="AC64" s="800">
        <f t="shared" si="18"/>
        <v>0</v>
      </c>
      <c r="AD64" s="800">
        <f>IF(AA64=0,,VLOOKUP(AA64,リスト!DH:DI,2,0))</f>
        <v>0</v>
      </c>
      <c r="AE64" s="800">
        <f t="shared" si="3"/>
        <v>0</v>
      </c>
      <c r="AF64" s="801">
        <f>IF(AE64=0,,VLOOKUP(AE64,リスト!DK:DL,2,0))</f>
        <v>0</v>
      </c>
      <c r="AG64" s="800">
        <f>IF(AA64=0,,
IF(OR(リスト!$C$21="小麦",リスト!$C$21="二条大麦",リスト!$C$21="六条大麦",リスト!$C$21="はだか麦",リスト!$C$21="なたね"),IF(K64&lt;9,調査年-J64,調査年-J64-1),
IF(リスト!$C$21="さとうきび",IF(K64&gt;=4,調査年-J64,調査年-J64+1),
調査年-J64)))</f>
        <v>0</v>
      </c>
      <c r="AH64" s="306">
        <f t="shared" si="19"/>
        <v>0</v>
      </c>
      <c r="AI64" s="306">
        <f t="shared" si="5"/>
        <v>0</v>
      </c>
      <c r="AJ64" s="306">
        <f t="shared" si="6"/>
        <v>0</v>
      </c>
      <c r="AK64" s="306">
        <f t="shared" si="7"/>
        <v>0</v>
      </c>
      <c r="AL64" s="306">
        <f t="shared" si="8"/>
        <v>0</v>
      </c>
      <c r="AM64" s="306">
        <f t="shared" si="16"/>
        <v>0</v>
      </c>
      <c r="AN64" s="477"/>
      <c r="AO64" s="306">
        <f>IF(OR(S64=0,AI64=0),,
IF(OR(リスト!$C$21="小麦",リスト!$C$21="二条大麦",リスト!$C$21="六条大麦",リスト!$C$21="はだか麦",リスト!$C$21="なたね"),IF(OR(AND(K64&lt;9,J64=調査年),AND(K64&gt;=9,J64=調査年-1)),,ROUND(AI64*S64%,0)),
IF(リスト!$C$21="さとうきび",IF(OR(AND(K64&gt;=4,J64=調査年),AND(K64&lt;4,J64=調査年+1)),,ROUND(AI64*S64%,0)),
IF(J64=調査年,,ROUND(AI64*S64%,0)))))</f>
        <v>0</v>
      </c>
      <c r="AP64" s="306">
        <f t="shared" si="9"/>
        <v>0</v>
      </c>
      <c r="AQ64" s="306">
        <f t="shared" si="10"/>
        <v>0</v>
      </c>
      <c r="AR64" s="306">
        <f t="shared" si="11"/>
        <v>0</v>
      </c>
      <c r="AS64" s="306">
        <f>IF(S64=0,,
SUM(
IF(OR(リスト!$C$21="小麦",リスト!$C$21="二条大麦",リスト!$C$21="六条大麦",リスト!$C$21="はだか麦",リスト!$C$21="なたね"),IF(OR(AND(AB64=1,K64&lt;9,J64=調査年),AND(AB64=1,K64&gt;=9,J64=調査年-1)),ROUND(L64*S64%,0),),
IF(リスト!$C$21="さとうきび",IF(OR(AND(AB64=1,K64&gt;=4,J64=調査年),AND(AB64=1,K64&lt;4,J64=調査年+1)),ROUND(L64*S64%,0),),
IF(AND(AB64=1,J64=調査年),ROUND(L64*S64%,0),))),
ROUND(N64*S64%,0),
ROUND(SUM(AM64)*S64%,0)
))</f>
        <v>0</v>
      </c>
      <c r="AT64" s="306">
        <f t="shared" si="12"/>
        <v>0</v>
      </c>
      <c r="AU64" s="306">
        <f t="shared" si="13"/>
        <v>0</v>
      </c>
      <c r="AV64" s="306">
        <f t="shared" si="14"/>
        <v>0</v>
      </c>
      <c r="AW64" s="306">
        <f t="shared" si="14"/>
        <v>0</v>
      </c>
      <c r="AX64" s="306">
        <f t="shared" si="14"/>
        <v>0</v>
      </c>
      <c r="AY64" s="841">
        <f t="shared" si="15"/>
        <v>0</v>
      </c>
      <c r="AZ64" s="802"/>
      <c r="BA64" s="802"/>
      <c r="BB64" s="802"/>
      <c r="BC64" s="802"/>
      <c r="BD64" s="174"/>
      <c r="BE64" s="174"/>
      <c r="BF64" s="174"/>
      <c r="BG64" s="174"/>
      <c r="BH64" s="174"/>
      <c r="BI64" s="174"/>
      <c r="BJ64" s="174"/>
      <c r="BK64" s="174"/>
      <c r="BL64" s="174"/>
      <c r="BM64" s="174"/>
      <c r="BN64" s="174"/>
      <c r="BO64" s="174"/>
    </row>
    <row r="65" spans="3:67" s="55" customFormat="1" ht="30.75" hidden="1" customHeight="1" outlineLevel="1">
      <c r="C65" s="862">
        <v>49</v>
      </c>
      <c r="D65" s="803"/>
      <c r="E65" s="902"/>
      <c r="F65" s="898"/>
      <c r="G65" s="2281"/>
      <c r="H65" s="2282"/>
      <c r="I65" s="851"/>
      <c r="J65" s="846"/>
      <c r="K65" s="796"/>
      <c r="L65" s="797"/>
      <c r="M65" s="797"/>
      <c r="N65" s="797"/>
      <c r="O65" s="797"/>
      <c r="P65" s="797"/>
      <c r="Q65" s="997"/>
      <c r="R65" s="1255"/>
      <c r="S65" s="1284"/>
      <c r="T65" s="798"/>
      <c r="U65" s="847"/>
      <c r="V65" s="848"/>
      <c r="W65" s="892"/>
      <c r="X65" s="904"/>
      <c r="Y65" s="905"/>
      <c r="Z65" s="901"/>
      <c r="AA65" s="800">
        <f t="shared" si="2"/>
        <v>0</v>
      </c>
      <c r="AB65" s="800">
        <f t="shared" si="17"/>
        <v>0</v>
      </c>
      <c r="AC65" s="800">
        <f t="shared" si="18"/>
        <v>0</v>
      </c>
      <c r="AD65" s="800">
        <f>IF(AA65=0,,VLOOKUP(AA65,リスト!DH:DI,2,0))</f>
        <v>0</v>
      </c>
      <c r="AE65" s="800">
        <f t="shared" si="3"/>
        <v>0</v>
      </c>
      <c r="AF65" s="801">
        <f>IF(AE65=0,,VLOOKUP(AE65,リスト!DK:DL,2,0))</f>
        <v>0</v>
      </c>
      <c r="AG65" s="800">
        <f>IF(AA65=0,,
IF(OR(リスト!$C$21="小麦",リスト!$C$21="二条大麦",リスト!$C$21="六条大麦",リスト!$C$21="はだか麦",リスト!$C$21="なたね"),IF(K65&lt;9,調査年-J65,調査年-J65-1),
IF(リスト!$C$21="さとうきび",IF(K65&gt;=4,調査年-J65,調査年-J65+1),
調査年-J65)))</f>
        <v>0</v>
      </c>
      <c r="AH65" s="306">
        <f t="shared" si="19"/>
        <v>0</v>
      </c>
      <c r="AI65" s="306">
        <f t="shared" si="5"/>
        <v>0</v>
      </c>
      <c r="AJ65" s="306">
        <f t="shared" si="6"/>
        <v>0</v>
      </c>
      <c r="AK65" s="306">
        <f t="shared" si="7"/>
        <v>0</v>
      </c>
      <c r="AL65" s="306">
        <f t="shared" si="8"/>
        <v>0</v>
      </c>
      <c r="AM65" s="306">
        <f t="shared" si="16"/>
        <v>0</v>
      </c>
      <c r="AN65" s="477"/>
      <c r="AO65" s="306">
        <f>IF(OR(S65=0,AI65=0),,
IF(OR(リスト!$C$21="小麦",リスト!$C$21="二条大麦",リスト!$C$21="六条大麦",リスト!$C$21="はだか麦",リスト!$C$21="なたね"),IF(OR(AND(K65&lt;9,J65=調査年),AND(K65&gt;=9,J65=調査年-1)),,ROUND(AI65*S65%,0)),
IF(リスト!$C$21="さとうきび",IF(OR(AND(K65&gt;=4,J65=調査年),AND(K65&lt;4,J65=調査年+1)),,ROUND(AI65*S65%,0)),
IF(J65=調査年,,ROUND(AI65*S65%,0)))))</f>
        <v>0</v>
      </c>
      <c r="AP65" s="306">
        <f t="shared" si="9"/>
        <v>0</v>
      </c>
      <c r="AQ65" s="306">
        <f t="shared" si="10"/>
        <v>0</v>
      </c>
      <c r="AR65" s="306">
        <f t="shared" si="11"/>
        <v>0</v>
      </c>
      <c r="AS65" s="306">
        <f>IF(S65=0,,
SUM(
IF(OR(リスト!$C$21="小麦",リスト!$C$21="二条大麦",リスト!$C$21="六条大麦",リスト!$C$21="はだか麦",リスト!$C$21="なたね"),IF(OR(AND(AB65=1,K65&lt;9,J65=調査年),AND(AB65=1,K65&gt;=9,J65=調査年-1)),ROUND(L65*S65%,0),),
IF(リスト!$C$21="さとうきび",IF(OR(AND(AB65=1,K65&gt;=4,J65=調査年),AND(AB65=1,K65&lt;4,J65=調査年+1)),ROUND(L65*S65%,0),),
IF(AND(AB65=1,J65=調査年),ROUND(L65*S65%,0),))),
ROUND(N65*S65%,0),
ROUND(SUM(AM65)*S65%,0)
))</f>
        <v>0</v>
      </c>
      <c r="AT65" s="306">
        <f t="shared" si="12"/>
        <v>0</v>
      </c>
      <c r="AU65" s="306">
        <f t="shared" si="13"/>
        <v>0</v>
      </c>
      <c r="AV65" s="306">
        <f t="shared" si="14"/>
        <v>0</v>
      </c>
      <c r="AW65" s="306">
        <f t="shared" si="14"/>
        <v>0</v>
      </c>
      <c r="AX65" s="306">
        <f t="shared" si="14"/>
        <v>0</v>
      </c>
      <c r="AY65" s="841">
        <f t="shared" si="15"/>
        <v>0</v>
      </c>
      <c r="AZ65" s="802"/>
      <c r="BA65" s="802"/>
      <c r="BB65" s="802"/>
      <c r="BC65" s="802"/>
      <c r="BD65" s="174"/>
      <c r="BE65" s="174"/>
      <c r="BF65" s="174"/>
      <c r="BG65" s="174"/>
      <c r="BH65" s="174"/>
      <c r="BI65" s="174"/>
      <c r="BJ65" s="174"/>
      <c r="BK65" s="174"/>
      <c r="BL65" s="174"/>
      <c r="BM65" s="174"/>
      <c r="BN65" s="174"/>
      <c r="BO65" s="174"/>
    </row>
    <row r="66" spans="3:67" s="55" customFormat="1" ht="30.75" hidden="1" customHeight="1" outlineLevel="1">
      <c r="C66" s="862">
        <v>50</v>
      </c>
      <c r="D66" s="803"/>
      <c r="E66" s="902"/>
      <c r="F66" s="898"/>
      <c r="G66" s="2281"/>
      <c r="H66" s="2282"/>
      <c r="I66" s="851"/>
      <c r="J66" s="846"/>
      <c r="K66" s="796"/>
      <c r="L66" s="797"/>
      <c r="M66" s="797"/>
      <c r="N66" s="797"/>
      <c r="O66" s="797"/>
      <c r="P66" s="797"/>
      <c r="Q66" s="997"/>
      <c r="R66" s="1255"/>
      <c r="S66" s="1284"/>
      <c r="T66" s="798"/>
      <c r="U66" s="847"/>
      <c r="V66" s="848"/>
      <c r="W66" s="892"/>
      <c r="X66" s="904"/>
      <c r="Y66" s="905"/>
      <c r="Z66" s="901"/>
      <c r="AA66" s="800">
        <f t="shared" si="2"/>
        <v>0</v>
      </c>
      <c r="AB66" s="800">
        <f t="shared" si="17"/>
        <v>0</v>
      </c>
      <c r="AC66" s="800">
        <f t="shared" si="18"/>
        <v>0</v>
      </c>
      <c r="AD66" s="800">
        <f>IF(AA66=0,,VLOOKUP(AA66,リスト!DH:DI,2,0))</f>
        <v>0</v>
      </c>
      <c r="AE66" s="800">
        <f t="shared" si="3"/>
        <v>0</v>
      </c>
      <c r="AF66" s="801">
        <f>IF(AE66=0,,VLOOKUP(AE66,リスト!DK:DL,2,0))</f>
        <v>0</v>
      </c>
      <c r="AG66" s="800">
        <f>IF(AA66=0,,
IF(OR(リスト!$C$21="小麦",リスト!$C$21="二条大麦",リスト!$C$21="六条大麦",リスト!$C$21="はだか麦",リスト!$C$21="なたね"),IF(K66&lt;9,調査年-J66,調査年-J66-1),
IF(リスト!$C$21="さとうきび",IF(K66&gt;=4,調査年-J66,調査年-J66+1),
調査年-J66)))</f>
        <v>0</v>
      </c>
      <c r="AH66" s="306">
        <f t="shared" si="19"/>
        <v>0</v>
      </c>
      <c r="AI66" s="306">
        <f t="shared" si="5"/>
        <v>0</v>
      </c>
      <c r="AJ66" s="306">
        <f t="shared" si="6"/>
        <v>0</v>
      </c>
      <c r="AK66" s="306">
        <f t="shared" si="7"/>
        <v>0</v>
      </c>
      <c r="AL66" s="306">
        <f t="shared" si="8"/>
        <v>0</v>
      </c>
      <c r="AM66" s="306">
        <f t="shared" si="16"/>
        <v>0</v>
      </c>
      <c r="AN66" s="477"/>
      <c r="AO66" s="306">
        <f>IF(OR(S66=0,AI66=0),,
IF(OR(リスト!$C$21="小麦",リスト!$C$21="二条大麦",リスト!$C$21="六条大麦",リスト!$C$21="はだか麦",リスト!$C$21="なたね"),IF(OR(AND(K66&lt;9,J66=調査年),AND(K66&gt;=9,J66=調査年-1)),,ROUND(AI66*S66%,0)),
IF(リスト!$C$21="さとうきび",IF(OR(AND(K66&gt;=4,J66=調査年),AND(K66&lt;4,J66=調査年+1)),,ROUND(AI66*S66%,0)),
IF(J66=調査年,,ROUND(AI66*S66%,0)))))</f>
        <v>0</v>
      </c>
      <c r="AP66" s="306">
        <f t="shared" si="9"/>
        <v>0</v>
      </c>
      <c r="AQ66" s="306">
        <f t="shared" si="10"/>
        <v>0</v>
      </c>
      <c r="AR66" s="306">
        <f t="shared" si="11"/>
        <v>0</v>
      </c>
      <c r="AS66" s="306">
        <f>IF(S66=0,,
SUM(
IF(OR(リスト!$C$21="小麦",リスト!$C$21="二条大麦",リスト!$C$21="六条大麦",リスト!$C$21="はだか麦",リスト!$C$21="なたね"),IF(OR(AND(AB66=1,K66&lt;9,J66=調査年),AND(AB66=1,K66&gt;=9,J66=調査年-1)),ROUND(L66*S66%,0),),
IF(リスト!$C$21="さとうきび",IF(OR(AND(AB66=1,K66&gt;=4,J66=調査年),AND(AB66=1,K66&lt;4,J66=調査年+1)),ROUND(L66*S66%,0),),
IF(AND(AB66=1,J66=調査年),ROUND(L66*S66%,0),))),
ROUND(N66*S66%,0),
ROUND(SUM(AM66)*S66%,0)
))</f>
        <v>0</v>
      </c>
      <c r="AT66" s="306">
        <f t="shared" si="12"/>
        <v>0</v>
      </c>
      <c r="AU66" s="306">
        <f t="shared" si="13"/>
        <v>0</v>
      </c>
      <c r="AV66" s="306">
        <f t="shared" si="14"/>
        <v>0</v>
      </c>
      <c r="AW66" s="306">
        <f t="shared" si="14"/>
        <v>0</v>
      </c>
      <c r="AX66" s="306">
        <f t="shared" si="14"/>
        <v>0</v>
      </c>
      <c r="AY66" s="841">
        <f t="shared" si="15"/>
        <v>0</v>
      </c>
      <c r="AZ66" s="802"/>
      <c r="BA66" s="802"/>
      <c r="BB66" s="802"/>
      <c r="BC66" s="802"/>
      <c r="BD66" s="174"/>
      <c r="BE66" s="174"/>
      <c r="BF66" s="174"/>
      <c r="BG66" s="174"/>
      <c r="BH66" s="174"/>
      <c r="BI66" s="174"/>
      <c r="BJ66" s="174"/>
      <c r="BK66" s="174"/>
      <c r="BL66" s="174"/>
      <c r="BM66" s="174"/>
      <c r="BN66" s="174"/>
      <c r="BO66" s="174"/>
    </row>
    <row r="67" spans="3:67" s="55" customFormat="1" ht="30.75" hidden="1" customHeight="1" outlineLevel="1">
      <c r="C67" s="862">
        <v>51</v>
      </c>
      <c r="D67" s="803"/>
      <c r="E67" s="902"/>
      <c r="F67" s="898"/>
      <c r="G67" s="2281"/>
      <c r="H67" s="2282"/>
      <c r="I67" s="851"/>
      <c r="J67" s="846"/>
      <c r="K67" s="796"/>
      <c r="L67" s="797"/>
      <c r="M67" s="797"/>
      <c r="N67" s="797"/>
      <c r="O67" s="797"/>
      <c r="P67" s="797"/>
      <c r="Q67" s="997"/>
      <c r="R67" s="1255"/>
      <c r="S67" s="1284"/>
      <c r="T67" s="798"/>
      <c r="U67" s="847"/>
      <c r="V67" s="848"/>
      <c r="W67" s="892"/>
      <c r="X67" s="904"/>
      <c r="Y67" s="905"/>
      <c r="Z67" s="901"/>
      <c r="AA67" s="800">
        <f t="shared" si="2"/>
        <v>0</v>
      </c>
      <c r="AB67" s="800">
        <f t="shared" si="17"/>
        <v>0</v>
      </c>
      <c r="AC67" s="800">
        <f t="shared" si="18"/>
        <v>0</v>
      </c>
      <c r="AD67" s="800">
        <f>IF(AA67=0,,VLOOKUP(AA67,リスト!DH:DI,2,0))</f>
        <v>0</v>
      </c>
      <c r="AE67" s="800">
        <f t="shared" si="3"/>
        <v>0</v>
      </c>
      <c r="AF67" s="801">
        <f>IF(AE67=0,,VLOOKUP(AE67,リスト!DK:DL,2,0))</f>
        <v>0</v>
      </c>
      <c r="AG67" s="800">
        <f>IF(AA67=0,,
IF(OR(リスト!$C$21="小麦",リスト!$C$21="二条大麦",リスト!$C$21="六条大麦",リスト!$C$21="はだか麦",リスト!$C$21="なたね"),IF(K67&lt;9,調査年-J67,調査年-J67-1),
IF(リスト!$C$21="さとうきび",IF(K67&gt;=4,調査年-J67,調査年-J67+1),
調査年-J67)))</f>
        <v>0</v>
      </c>
      <c r="AH67" s="306">
        <f t="shared" si="19"/>
        <v>0</v>
      </c>
      <c r="AI67" s="306">
        <f t="shared" si="5"/>
        <v>0</v>
      </c>
      <c r="AJ67" s="306">
        <f t="shared" si="6"/>
        <v>0</v>
      </c>
      <c r="AK67" s="306">
        <f t="shared" si="7"/>
        <v>0</v>
      </c>
      <c r="AL67" s="306">
        <f t="shared" si="8"/>
        <v>0</v>
      </c>
      <c r="AM67" s="306">
        <f t="shared" si="16"/>
        <v>0</v>
      </c>
      <c r="AN67" s="477"/>
      <c r="AO67" s="306">
        <f>IF(OR(S67=0,AI67=0),,
IF(OR(リスト!$C$21="小麦",リスト!$C$21="二条大麦",リスト!$C$21="六条大麦",リスト!$C$21="はだか麦",リスト!$C$21="なたね"),IF(OR(AND(K67&lt;9,J67=調査年),AND(K67&gt;=9,J67=調査年-1)),,ROUND(AI67*S67%,0)),
IF(リスト!$C$21="さとうきび",IF(OR(AND(K67&gt;=4,J67=調査年),AND(K67&lt;4,J67=調査年+1)),,ROUND(AI67*S67%,0)),
IF(J67=調査年,,ROUND(AI67*S67%,0)))))</f>
        <v>0</v>
      </c>
      <c r="AP67" s="306">
        <f t="shared" si="9"/>
        <v>0</v>
      </c>
      <c r="AQ67" s="306">
        <f t="shared" si="10"/>
        <v>0</v>
      </c>
      <c r="AR67" s="306">
        <f t="shared" si="11"/>
        <v>0</v>
      </c>
      <c r="AS67" s="306">
        <f>IF(S67=0,,
SUM(
IF(OR(リスト!$C$21="小麦",リスト!$C$21="二条大麦",リスト!$C$21="六条大麦",リスト!$C$21="はだか麦",リスト!$C$21="なたね"),IF(OR(AND(AB67=1,K67&lt;9,J67=調査年),AND(AB67=1,K67&gt;=9,J67=調査年-1)),ROUND(L67*S67%,0),),
IF(リスト!$C$21="さとうきび",IF(OR(AND(AB67=1,K67&gt;=4,J67=調査年),AND(AB67=1,K67&lt;4,J67=調査年+1)),ROUND(L67*S67%,0),),
IF(AND(AB67=1,J67=調査年),ROUND(L67*S67%,0),))),
ROUND(N67*S67%,0),
ROUND(SUM(AM67)*S67%,0)
))</f>
        <v>0</v>
      </c>
      <c r="AT67" s="306">
        <f t="shared" si="12"/>
        <v>0</v>
      </c>
      <c r="AU67" s="306">
        <f t="shared" si="13"/>
        <v>0</v>
      </c>
      <c r="AV67" s="306">
        <f t="shared" si="14"/>
        <v>0</v>
      </c>
      <c r="AW67" s="306">
        <f t="shared" si="14"/>
        <v>0</v>
      </c>
      <c r="AX67" s="306">
        <f t="shared" si="14"/>
        <v>0</v>
      </c>
      <c r="AY67" s="841">
        <f t="shared" si="15"/>
        <v>0</v>
      </c>
      <c r="AZ67" s="802"/>
      <c r="BA67" s="802"/>
      <c r="BB67" s="802"/>
      <c r="BC67" s="802"/>
      <c r="BD67" s="174"/>
      <c r="BE67" s="174"/>
      <c r="BF67" s="174"/>
      <c r="BG67" s="174"/>
      <c r="BH67" s="174"/>
      <c r="BI67" s="174"/>
      <c r="BJ67" s="174"/>
      <c r="BK67" s="174"/>
      <c r="BL67" s="174"/>
      <c r="BM67" s="174"/>
      <c r="BN67" s="174"/>
      <c r="BO67" s="174"/>
    </row>
    <row r="68" spans="3:67" s="55" customFormat="1" ht="30.75" hidden="1" customHeight="1" outlineLevel="1">
      <c r="C68" s="862">
        <v>52</v>
      </c>
      <c r="D68" s="803"/>
      <c r="E68" s="902"/>
      <c r="F68" s="898"/>
      <c r="G68" s="2281"/>
      <c r="H68" s="2282"/>
      <c r="I68" s="851"/>
      <c r="J68" s="846"/>
      <c r="K68" s="796"/>
      <c r="L68" s="797"/>
      <c r="M68" s="797"/>
      <c r="N68" s="797"/>
      <c r="O68" s="797"/>
      <c r="P68" s="797"/>
      <c r="Q68" s="997"/>
      <c r="R68" s="1255"/>
      <c r="S68" s="1284"/>
      <c r="T68" s="798"/>
      <c r="U68" s="847"/>
      <c r="V68" s="848"/>
      <c r="W68" s="892"/>
      <c r="X68" s="904"/>
      <c r="Y68" s="905"/>
      <c r="Z68" s="901"/>
      <c r="AA68" s="800">
        <f t="shared" si="2"/>
        <v>0</v>
      </c>
      <c r="AB68" s="800">
        <f t="shared" si="17"/>
        <v>0</v>
      </c>
      <c r="AC68" s="800">
        <f t="shared" si="18"/>
        <v>0</v>
      </c>
      <c r="AD68" s="800">
        <f>IF(AA68=0,,VLOOKUP(AA68,リスト!DH:DI,2,0))</f>
        <v>0</v>
      </c>
      <c r="AE68" s="800">
        <f t="shared" si="3"/>
        <v>0</v>
      </c>
      <c r="AF68" s="801">
        <f>IF(AE68=0,,VLOOKUP(AE68,リスト!DK:DL,2,0))</f>
        <v>0</v>
      </c>
      <c r="AG68" s="800">
        <f>IF(AA68=0,,
IF(OR(リスト!$C$21="小麦",リスト!$C$21="二条大麦",リスト!$C$21="六条大麦",リスト!$C$21="はだか麦",リスト!$C$21="なたね"),IF(K68&lt;9,調査年-J68,調査年-J68-1),
IF(リスト!$C$21="さとうきび",IF(K68&gt;=4,調査年-J68,調査年-J68+1),
調査年-J68)))</f>
        <v>0</v>
      </c>
      <c r="AH68" s="306">
        <f t="shared" si="19"/>
        <v>0</v>
      </c>
      <c r="AI68" s="306">
        <f t="shared" si="5"/>
        <v>0</v>
      </c>
      <c r="AJ68" s="306">
        <f t="shared" si="6"/>
        <v>0</v>
      </c>
      <c r="AK68" s="306">
        <f t="shared" si="7"/>
        <v>0</v>
      </c>
      <c r="AL68" s="306">
        <f t="shared" si="8"/>
        <v>0</v>
      </c>
      <c r="AM68" s="306">
        <f t="shared" si="16"/>
        <v>0</v>
      </c>
      <c r="AN68" s="477"/>
      <c r="AO68" s="306">
        <f>IF(OR(S68=0,AI68=0),,
IF(OR(リスト!$C$21="小麦",リスト!$C$21="二条大麦",リスト!$C$21="六条大麦",リスト!$C$21="はだか麦",リスト!$C$21="なたね"),IF(OR(AND(K68&lt;9,J68=調査年),AND(K68&gt;=9,J68=調査年-1)),,ROUND(AI68*S68%,0)),
IF(リスト!$C$21="さとうきび",IF(OR(AND(K68&gt;=4,J68=調査年),AND(K68&lt;4,J68=調査年+1)),,ROUND(AI68*S68%,0)),
IF(J68=調査年,,ROUND(AI68*S68%,0)))))</f>
        <v>0</v>
      </c>
      <c r="AP68" s="306">
        <f t="shared" si="9"/>
        <v>0</v>
      </c>
      <c r="AQ68" s="306">
        <f t="shared" si="10"/>
        <v>0</v>
      </c>
      <c r="AR68" s="306">
        <f t="shared" si="11"/>
        <v>0</v>
      </c>
      <c r="AS68" s="306">
        <f>IF(S68=0,,
SUM(
IF(OR(リスト!$C$21="小麦",リスト!$C$21="二条大麦",リスト!$C$21="六条大麦",リスト!$C$21="はだか麦",リスト!$C$21="なたね"),IF(OR(AND(AB68=1,K68&lt;9,J68=調査年),AND(AB68=1,K68&gt;=9,J68=調査年-1)),ROUND(L68*S68%,0),),
IF(リスト!$C$21="さとうきび",IF(OR(AND(AB68=1,K68&gt;=4,J68=調査年),AND(AB68=1,K68&lt;4,J68=調査年+1)),ROUND(L68*S68%,0),),
IF(AND(AB68=1,J68=調査年),ROUND(L68*S68%,0),))),
ROUND(N68*S68%,0),
ROUND(SUM(AM68)*S68%,0)
))</f>
        <v>0</v>
      </c>
      <c r="AT68" s="306">
        <f t="shared" si="12"/>
        <v>0</v>
      </c>
      <c r="AU68" s="306">
        <f t="shared" si="13"/>
        <v>0</v>
      </c>
      <c r="AV68" s="306">
        <f t="shared" si="14"/>
        <v>0</v>
      </c>
      <c r="AW68" s="306">
        <f t="shared" si="14"/>
        <v>0</v>
      </c>
      <c r="AX68" s="306">
        <f t="shared" si="14"/>
        <v>0</v>
      </c>
      <c r="AY68" s="841">
        <f t="shared" si="15"/>
        <v>0</v>
      </c>
      <c r="AZ68" s="802"/>
      <c r="BA68" s="802"/>
      <c r="BB68" s="802"/>
      <c r="BC68" s="802"/>
      <c r="BD68" s="174"/>
      <c r="BE68" s="174"/>
      <c r="BF68" s="174"/>
      <c r="BG68" s="174"/>
      <c r="BH68" s="174"/>
      <c r="BI68" s="174"/>
      <c r="BJ68" s="174"/>
      <c r="BK68" s="174"/>
      <c r="BL68" s="174"/>
      <c r="BM68" s="174"/>
      <c r="BN68" s="174"/>
      <c r="BO68" s="174"/>
    </row>
    <row r="69" spans="3:67" s="55" customFormat="1" ht="30.75" hidden="1" customHeight="1" outlineLevel="1">
      <c r="C69" s="862">
        <v>53</v>
      </c>
      <c r="D69" s="803"/>
      <c r="E69" s="902"/>
      <c r="F69" s="898"/>
      <c r="G69" s="2281"/>
      <c r="H69" s="2282"/>
      <c r="I69" s="851"/>
      <c r="J69" s="846"/>
      <c r="K69" s="796"/>
      <c r="L69" s="797"/>
      <c r="M69" s="797"/>
      <c r="N69" s="797"/>
      <c r="O69" s="797"/>
      <c r="P69" s="797"/>
      <c r="Q69" s="997"/>
      <c r="R69" s="1255"/>
      <c r="S69" s="1284"/>
      <c r="T69" s="798"/>
      <c r="U69" s="847"/>
      <c r="V69" s="848"/>
      <c r="W69" s="892"/>
      <c r="X69" s="904"/>
      <c r="Y69" s="905"/>
      <c r="Z69" s="901"/>
      <c r="AA69" s="800">
        <f t="shared" si="2"/>
        <v>0</v>
      </c>
      <c r="AB69" s="800">
        <f t="shared" si="17"/>
        <v>0</v>
      </c>
      <c r="AC69" s="800">
        <f t="shared" si="18"/>
        <v>0</v>
      </c>
      <c r="AD69" s="800">
        <f>IF(AA69=0,,VLOOKUP(AA69,リスト!DH:DI,2,0))</f>
        <v>0</v>
      </c>
      <c r="AE69" s="800">
        <f t="shared" si="3"/>
        <v>0</v>
      </c>
      <c r="AF69" s="801">
        <f>IF(AE69=0,,VLOOKUP(AE69,リスト!DK:DL,2,0))</f>
        <v>0</v>
      </c>
      <c r="AG69" s="800">
        <f>IF(AA69=0,,
IF(OR(リスト!$C$21="小麦",リスト!$C$21="二条大麦",リスト!$C$21="六条大麦",リスト!$C$21="はだか麦",リスト!$C$21="なたね"),IF(K69&lt;9,調査年-J69,調査年-J69-1),
IF(リスト!$C$21="さとうきび",IF(K69&gt;=4,調査年-J69,調査年-J69+1),
調査年-J69)))</f>
        <v>0</v>
      </c>
      <c r="AH69" s="306">
        <f t="shared" si="19"/>
        <v>0</v>
      </c>
      <c r="AI69" s="306">
        <f t="shared" si="5"/>
        <v>0</v>
      </c>
      <c r="AJ69" s="306">
        <f t="shared" si="6"/>
        <v>0</v>
      </c>
      <c r="AK69" s="306">
        <f t="shared" si="7"/>
        <v>0</v>
      </c>
      <c r="AL69" s="306">
        <f t="shared" si="8"/>
        <v>0</v>
      </c>
      <c r="AM69" s="306">
        <f t="shared" si="16"/>
        <v>0</v>
      </c>
      <c r="AN69" s="477"/>
      <c r="AO69" s="306">
        <f>IF(OR(S69=0,AI69=0),,
IF(OR(リスト!$C$21="小麦",リスト!$C$21="二条大麦",リスト!$C$21="六条大麦",リスト!$C$21="はだか麦",リスト!$C$21="なたね"),IF(OR(AND(K69&lt;9,J69=調査年),AND(K69&gt;=9,J69=調査年-1)),,ROUND(AI69*S69%,0)),
IF(リスト!$C$21="さとうきび",IF(OR(AND(K69&gt;=4,J69=調査年),AND(K69&lt;4,J69=調査年+1)),,ROUND(AI69*S69%,0)),
IF(J69=調査年,,ROUND(AI69*S69%,0)))))</f>
        <v>0</v>
      </c>
      <c r="AP69" s="306">
        <f t="shared" si="9"/>
        <v>0</v>
      </c>
      <c r="AQ69" s="306">
        <f t="shared" si="10"/>
        <v>0</v>
      </c>
      <c r="AR69" s="306">
        <f t="shared" si="11"/>
        <v>0</v>
      </c>
      <c r="AS69" s="306">
        <f>IF(S69=0,,
SUM(
IF(OR(リスト!$C$21="小麦",リスト!$C$21="二条大麦",リスト!$C$21="六条大麦",リスト!$C$21="はだか麦",リスト!$C$21="なたね"),IF(OR(AND(AB69=1,K69&lt;9,J69=調査年),AND(AB69=1,K69&gt;=9,J69=調査年-1)),ROUND(L69*S69%,0),),
IF(リスト!$C$21="さとうきび",IF(OR(AND(AB69=1,K69&gt;=4,J69=調査年),AND(AB69=1,K69&lt;4,J69=調査年+1)),ROUND(L69*S69%,0),),
IF(AND(AB69=1,J69=調査年),ROUND(L69*S69%,0),))),
ROUND(N69*S69%,0),
ROUND(SUM(AM69)*S69%,0)
))</f>
        <v>0</v>
      </c>
      <c r="AT69" s="306">
        <f t="shared" si="12"/>
        <v>0</v>
      </c>
      <c r="AU69" s="306">
        <f t="shared" si="13"/>
        <v>0</v>
      </c>
      <c r="AV69" s="306">
        <f t="shared" si="14"/>
        <v>0</v>
      </c>
      <c r="AW69" s="306">
        <f t="shared" si="14"/>
        <v>0</v>
      </c>
      <c r="AX69" s="306">
        <f t="shared" si="14"/>
        <v>0</v>
      </c>
      <c r="AY69" s="841">
        <f t="shared" si="15"/>
        <v>0</v>
      </c>
      <c r="AZ69" s="802"/>
      <c r="BA69" s="802"/>
      <c r="BB69" s="802"/>
      <c r="BC69" s="802"/>
      <c r="BD69" s="174"/>
      <c r="BE69" s="174"/>
      <c r="BF69" s="174"/>
      <c r="BG69" s="174"/>
      <c r="BH69" s="174"/>
      <c r="BI69" s="174"/>
      <c r="BJ69" s="174"/>
      <c r="BK69" s="174"/>
      <c r="BL69" s="174"/>
      <c r="BM69" s="174"/>
      <c r="BN69" s="174"/>
      <c r="BO69" s="174"/>
    </row>
    <row r="70" spans="3:67" s="55" customFormat="1" ht="30.75" hidden="1" customHeight="1" outlineLevel="1">
      <c r="C70" s="862">
        <v>54</v>
      </c>
      <c r="D70" s="803"/>
      <c r="E70" s="902"/>
      <c r="F70" s="898"/>
      <c r="G70" s="2281"/>
      <c r="H70" s="2282"/>
      <c r="I70" s="851"/>
      <c r="J70" s="846"/>
      <c r="K70" s="796"/>
      <c r="L70" s="797"/>
      <c r="M70" s="797"/>
      <c r="N70" s="797"/>
      <c r="O70" s="797"/>
      <c r="P70" s="797"/>
      <c r="Q70" s="997"/>
      <c r="R70" s="1255"/>
      <c r="S70" s="1284"/>
      <c r="T70" s="798"/>
      <c r="U70" s="847"/>
      <c r="V70" s="848"/>
      <c r="W70" s="892"/>
      <c r="X70" s="904"/>
      <c r="Y70" s="905"/>
      <c r="Z70" s="901"/>
      <c r="AA70" s="800">
        <f t="shared" si="2"/>
        <v>0</v>
      </c>
      <c r="AB70" s="800">
        <f t="shared" si="17"/>
        <v>0</v>
      </c>
      <c r="AC70" s="800">
        <f t="shared" si="18"/>
        <v>0</v>
      </c>
      <c r="AD70" s="800">
        <f>IF(AA70=0,,VLOOKUP(AA70,リスト!DH:DI,2,0))</f>
        <v>0</v>
      </c>
      <c r="AE70" s="800">
        <f t="shared" si="3"/>
        <v>0</v>
      </c>
      <c r="AF70" s="801">
        <f>IF(AE70=0,,VLOOKUP(AE70,リスト!DK:DL,2,0))</f>
        <v>0</v>
      </c>
      <c r="AG70" s="800">
        <f>IF(AA70=0,,
IF(OR(リスト!$C$21="小麦",リスト!$C$21="二条大麦",リスト!$C$21="六条大麦",リスト!$C$21="はだか麦",リスト!$C$21="なたね"),IF(K70&lt;9,調査年-J70,調査年-J70-1),
IF(リスト!$C$21="さとうきび",IF(K70&gt;=4,調査年-J70,調査年-J70+1),
調査年-J70)))</f>
        <v>0</v>
      </c>
      <c r="AH70" s="306">
        <f t="shared" si="19"/>
        <v>0</v>
      </c>
      <c r="AI70" s="306">
        <f t="shared" si="5"/>
        <v>0</v>
      </c>
      <c r="AJ70" s="306">
        <f t="shared" si="6"/>
        <v>0</v>
      </c>
      <c r="AK70" s="306">
        <f t="shared" si="7"/>
        <v>0</v>
      </c>
      <c r="AL70" s="306">
        <f t="shared" si="8"/>
        <v>0</v>
      </c>
      <c r="AM70" s="306">
        <f t="shared" si="16"/>
        <v>0</v>
      </c>
      <c r="AN70" s="477"/>
      <c r="AO70" s="306">
        <f>IF(OR(S70=0,AI70=0),,
IF(OR(リスト!$C$21="小麦",リスト!$C$21="二条大麦",リスト!$C$21="六条大麦",リスト!$C$21="はだか麦",リスト!$C$21="なたね"),IF(OR(AND(K70&lt;9,J70=調査年),AND(K70&gt;=9,J70=調査年-1)),,ROUND(AI70*S70%,0)),
IF(リスト!$C$21="さとうきび",IF(OR(AND(K70&gt;=4,J70=調査年),AND(K70&lt;4,J70=調査年+1)),,ROUND(AI70*S70%,0)),
IF(J70=調査年,,ROUND(AI70*S70%,0)))))</f>
        <v>0</v>
      </c>
      <c r="AP70" s="306">
        <f t="shared" si="9"/>
        <v>0</v>
      </c>
      <c r="AQ70" s="306">
        <f t="shared" si="10"/>
        <v>0</v>
      </c>
      <c r="AR70" s="306">
        <f t="shared" si="11"/>
        <v>0</v>
      </c>
      <c r="AS70" s="306">
        <f>IF(S70=0,,
SUM(
IF(OR(リスト!$C$21="小麦",リスト!$C$21="二条大麦",リスト!$C$21="六条大麦",リスト!$C$21="はだか麦",リスト!$C$21="なたね"),IF(OR(AND(AB70=1,K70&lt;9,J70=調査年),AND(AB70=1,K70&gt;=9,J70=調査年-1)),ROUND(L70*S70%,0),),
IF(リスト!$C$21="さとうきび",IF(OR(AND(AB70=1,K70&gt;=4,J70=調査年),AND(AB70=1,K70&lt;4,J70=調査年+1)),ROUND(L70*S70%,0),),
IF(AND(AB70=1,J70=調査年),ROUND(L70*S70%,0),))),
ROUND(N70*S70%,0),
ROUND(SUM(AM70)*S70%,0)
))</f>
        <v>0</v>
      </c>
      <c r="AT70" s="306">
        <f t="shared" si="12"/>
        <v>0</v>
      </c>
      <c r="AU70" s="306">
        <f t="shared" si="13"/>
        <v>0</v>
      </c>
      <c r="AV70" s="306">
        <f t="shared" si="14"/>
        <v>0</v>
      </c>
      <c r="AW70" s="306">
        <f t="shared" si="14"/>
        <v>0</v>
      </c>
      <c r="AX70" s="306">
        <f t="shared" si="14"/>
        <v>0</v>
      </c>
      <c r="AY70" s="841">
        <f t="shared" si="15"/>
        <v>0</v>
      </c>
      <c r="AZ70" s="802"/>
      <c r="BA70" s="802"/>
      <c r="BB70" s="802"/>
      <c r="BC70" s="802"/>
      <c r="BD70" s="174"/>
      <c r="BE70" s="174"/>
      <c r="BF70" s="174"/>
      <c r="BG70" s="174"/>
      <c r="BH70" s="174"/>
      <c r="BI70" s="174"/>
      <c r="BJ70" s="174"/>
      <c r="BK70" s="174"/>
      <c r="BL70" s="174"/>
      <c r="BM70" s="174"/>
      <c r="BN70" s="174"/>
      <c r="BO70" s="174"/>
    </row>
    <row r="71" spans="3:67" s="55" customFormat="1" ht="30.75" hidden="1" customHeight="1" outlineLevel="1">
      <c r="C71" s="862">
        <v>55</v>
      </c>
      <c r="D71" s="803"/>
      <c r="E71" s="902"/>
      <c r="F71" s="898"/>
      <c r="G71" s="2281"/>
      <c r="H71" s="2282"/>
      <c r="I71" s="851"/>
      <c r="J71" s="846"/>
      <c r="K71" s="796"/>
      <c r="L71" s="797"/>
      <c r="M71" s="797"/>
      <c r="N71" s="797"/>
      <c r="O71" s="797"/>
      <c r="P71" s="797"/>
      <c r="Q71" s="997"/>
      <c r="R71" s="1255"/>
      <c r="S71" s="1284"/>
      <c r="T71" s="798"/>
      <c r="U71" s="847"/>
      <c r="V71" s="848"/>
      <c r="W71" s="892"/>
      <c r="X71" s="904"/>
      <c r="Y71" s="905"/>
      <c r="Z71" s="901"/>
      <c r="AA71" s="800">
        <f t="shared" si="2"/>
        <v>0</v>
      </c>
      <c r="AB71" s="800">
        <f t="shared" si="17"/>
        <v>0</v>
      </c>
      <c r="AC71" s="800">
        <f t="shared" si="18"/>
        <v>0</v>
      </c>
      <c r="AD71" s="800">
        <f>IF(AA71=0,,VLOOKUP(AA71,リスト!DH:DI,2,0))</f>
        <v>0</v>
      </c>
      <c r="AE71" s="800">
        <f t="shared" si="3"/>
        <v>0</v>
      </c>
      <c r="AF71" s="801">
        <f>IF(AE71=0,,VLOOKUP(AE71,リスト!DK:DL,2,0))</f>
        <v>0</v>
      </c>
      <c r="AG71" s="800">
        <f>IF(AA71=0,,
IF(OR(リスト!$C$21="小麦",リスト!$C$21="二条大麦",リスト!$C$21="六条大麦",リスト!$C$21="はだか麦",リスト!$C$21="なたね"),IF(K71&lt;9,調査年-J71,調査年-J71-1),
IF(リスト!$C$21="さとうきび",IF(K71&gt;=4,調査年-J71,調査年-J71+1),
調査年-J71)))</f>
        <v>0</v>
      </c>
      <c r="AH71" s="306">
        <f t="shared" si="19"/>
        <v>0</v>
      </c>
      <c r="AI71" s="306">
        <f t="shared" si="5"/>
        <v>0</v>
      </c>
      <c r="AJ71" s="306">
        <f t="shared" si="6"/>
        <v>0</v>
      </c>
      <c r="AK71" s="306">
        <f t="shared" si="7"/>
        <v>0</v>
      </c>
      <c r="AL71" s="306">
        <f t="shared" si="8"/>
        <v>0</v>
      </c>
      <c r="AM71" s="306">
        <f t="shared" si="16"/>
        <v>0</v>
      </c>
      <c r="AN71" s="477"/>
      <c r="AO71" s="306">
        <f>IF(OR(S71=0,AI71=0),,
IF(OR(リスト!$C$21="小麦",リスト!$C$21="二条大麦",リスト!$C$21="六条大麦",リスト!$C$21="はだか麦",リスト!$C$21="なたね"),IF(OR(AND(K71&lt;9,J71=調査年),AND(K71&gt;=9,J71=調査年-1)),,ROUND(AI71*S71%,0)),
IF(リスト!$C$21="さとうきび",IF(OR(AND(K71&gt;=4,J71=調査年),AND(K71&lt;4,J71=調査年+1)),,ROUND(AI71*S71%,0)),
IF(J71=調査年,,ROUND(AI71*S71%,0)))))</f>
        <v>0</v>
      </c>
      <c r="AP71" s="306">
        <f t="shared" si="9"/>
        <v>0</v>
      </c>
      <c r="AQ71" s="306">
        <f t="shared" si="10"/>
        <v>0</v>
      </c>
      <c r="AR71" s="306">
        <f t="shared" si="11"/>
        <v>0</v>
      </c>
      <c r="AS71" s="306">
        <f>IF(S71=0,,
SUM(
IF(OR(リスト!$C$21="小麦",リスト!$C$21="二条大麦",リスト!$C$21="六条大麦",リスト!$C$21="はだか麦",リスト!$C$21="なたね"),IF(OR(AND(AB71=1,K71&lt;9,J71=調査年),AND(AB71=1,K71&gt;=9,J71=調査年-1)),ROUND(L71*S71%,0),),
IF(リスト!$C$21="さとうきび",IF(OR(AND(AB71=1,K71&gt;=4,J71=調査年),AND(AB71=1,K71&lt;4,J71=調査年+1)),ROUND(L71*S71%,0),),
IF(AND(AB71=1,J71=調査年),ROUND(L71*S71%,0),))),
ROUND(N71*S71%,0),
ROUND(SUM(AM71)*S71%,0)
))</f>
        <v>0</v>
      </c>
      <c r="AT71" s="306">
        <f t="shared" si="12"/>
        <v>0</v>
      </c>
      <c r="AU71" s="306">
        <f t="shared" si="13"/>
        <v>0</v>
      </c>
      <c r="AV71" s="306">
        <f t="shared" si="14"/>
        <v>0</v>
      </c>
      <c r="AW71" s="306">
        <f t="shared" si="14"/>
        <v>0</v>
      </c>
      <c r="AX71" s="306">
        <f t="shared" si="14"/>
        <v>0</v>
      </c>
      <c r="AY71" s="841">
        <f t="shared" si="15"/>
        <v>0</v>
      </c>
      <c r="AZ71" s="802"/>
      <c r="BA71" s="802"/>
      <c r="BB71" s="802"/>
      <c r="BC71" s="802"/>
      <c r="BD71" s="174"/>
      <c r="BE71" s="174"/>
      <c r="BF71" s="174"/>
      <c r="BG71" s="174"/>
      <c r="BH71" s="174"/>
      <c r="BI71" s="174"/>
      <c r="BJ71" s="174"/>
      <c r="BK71" s="174"/>
      <c r="BL71" s="174"/>
      <c r="BM71" s="174"/>
      <c r="BN71" s="174"/>
      <c r="BO71" s="174"/>
    </row>
    <row r="72" spans="3:67" s="55" customFormat="1" ht="30.75" hidden="1" customHeight="1" outlineLevel="1">
      <c r="C72" s="862">
        <v>56</v>
      </c>
      <c r="D72" s="803"/>
      <c r="E72" s="902"/>
      <c r="F72" s="898"/>
      <c r="G72" s="2281"/>
      <c r="H72" s="2282"/>
      <c r="I72" s="851"/>
      <c r="J72" s="846"/>
      <c r="K72" s="796"/>
      <c r="L72" s="797"/>
      <c r="M72" s="797"/>
      <c r="N72" s="797"/>
      <c r="O72" s="797"/>
      <c r="P72" s="797"/>
      <c r="Q72" s="997"/>
      <c r="R72" s="1255"/>
      <c r="S72" s="1284"/>
      <c r="T72" s="798"/>
      <c r="U72" s="847"/>
      <c r="V72" s="848"/>
      <c r="W72" s="892"/>
      <c r="X72" s="904"/>
      <c r="Y72" s="905"/>
      <c r="Z72" s="901"/>
      <c r="AA72" s="800">
        <f t="shared" si="2"/>
        <v>0</v>
      </c>
      <c r="AB72" s="800">
        <f t="shared" si="17"/>
        <v>0</v>
      </c>
      <c r="AC72" s="800">
        <f t="shared" si="18"/>
        <v>0</v>
      </c>
      <c r="AD72" s="800">
        <f>IF(AA72=0,,VLOOKUP(AA72,リスト!DH:DI,2,0))</f>
        <v>0</v>
      </c>
      <c r="AE72" s="800">
        <f t="shared" si="3"/>
        <v>0</v>
      </c>
      <c r="AF72" s="801">
        <f>IF(AE72=0,,VLOOKUP(AE72,リスト!DK:DL,2,0))</f>
        <v>0</v>
      </c>
      <c r="AG72" s="800">
        <f>IF(AA72=0,,
IF(OR(リスト!$C$21="小麦",リスト!$C$21="二条大麦",リスト!$C$21="六条大麦",リスト!$C$21="はだか麦",リスト!$C$21="なたね"),IF(K72&lt;9,調査年-J72,調査年-J72-1),
IF(リスト!$C$21="さとうきび",IF(K72&gt;=4,調査年-J72,調査年-J72+1),
調査年-J72)))</f>
        <v>0</v>
      </c>
      <c r="AH72" s="306">
        <f t="shared" si="19"/>
        <v>0</v>
      </c>
      <c r="AI72" s="306">
        <f t="shared" si="5"/>
        <v>0</v>
      </c>
      <c r="AJ72" s="306">
        <f t="shared" si="6"/>
        <v>0</v>
      </c>
      <c r="AK72" s="306">
        <f t="shared" si="7"/>
        <v>0</v>
      </c>
      <c r="AL72" s="306">
        <f t="shared" si="8"/>
        <v>0</v>
      </c>
      <c r="AM72" s="306">
        <f t="shared" si="16"/>
        <v>0</v>
      </c>
      <c r="AN72" s="477"/>
      <c r="AO72" s="306">
        <f>IF(OR(S72=0,AI72=0),,
IF(OR(リスト!$C$21="小麦",リスト!$C$21="二条大麦",リスト!$C$21="六条大麦",リスト!$C$21="はだか麦",リスト!$C$21="なたね"),IF(OR(AND(K72&lt;9,J72=調査年),AND(K72&gt;=9,J72=調査年-1)),,ROUND(AI72*S72%,0)),
IF(リスト!$C$21="さとうきび",IF(OR(AND(K72&gt;=4,J72=調査年),AND(K72&lt;4,J72=調査年+1)),,ROUND(AI72*S72%,0)),
IF(J72=調査年,,ROUND(AI72*S72%,0)))))</f>
        <v>0</v>
      </c>
      <c r="AP72" s="306">
        <f t="shared" si="9"/>
        <v>0</v>
      </c>
      <c r="AQ72" s="306">
        <f t="shared" si="10"/>
        <v>0</v>
      </c>
      <c r="AR72" s="306">
        <f t="shared" si="11"/>
        <v>0</v>
      </c>
      <c r="AS72" s="306">
        <f>IF(S72=0,,
SUM(
IF(OR(リスト!$C$21="小麦",リスト!$C$21="二条大麦",リスト!$C$21="六条大麦",リスト!$C$21="はだか麦",リスト!$C$21="なたね"),IF(OR(AND(AB72=1,K72&lt;9,J72=調査年),AND(AB72=1,K72&gt;=9,J72=調査年-1)),ROUND(L72*S72%,0),),
IF(リスト!$C$21="さとうきび",IF(OR(AND(AB72=1,K72&gt;=4,J72=調査年),AND(AB72=1,K72&lt;4,J72=調査年+1)),ROUND(L72*S72%,0),),
IF(AND(AB72=1,J72=調査年),ROUND(L72*S72%,0),))),
ROUND(N72*S72%,0),
ROUND(SUM(AM72)*S72%,0)
))</f>
        <v>0</v>
      </c>
      <c r="AT72" s="306">
        <f t="shared" si="12"/>
        <v>0</v>
      </c>
      <c r="AU72" s="306">
        <f t="shared" si="13"/>
        <v>0</v>
      </c>
      <c r="AV72" s="306">
        <f t="shared" si="14"/>
        <v>0</v>
      </c>
      <c r="AW72" s="306">
        <f t="shared" si="14"/>
        <v>0</v>
      </c>
      <c r="AX72" s="306">
        <f t="shared" si="14"/>
        <v>0</v>
      </c>
      <c r="AY72" s="841">
        <f t="shared" si="15"/>
        <v>0</v>
      </c>
      <c r="AZ72" s="802"/>
      <c r="BA72" s="802"/>
      <c r="BB72" s="802"/>
      <c r="BC72" s="802"/>
      <c r="BD72" s="174"/>
      <c r="BE72" s="174"/>
      <c r="BF72" s="174"/>
      <c r="BG72" s="174"/>
      <c r="BH72" s="174"/>
      <c r="BI72" s="174"/>
      <c r="BJ72" s="174"/>
      <c r="BK72" s="174"/>
      <c r="BL72" s="174"/>
      <c r="BM72" s="174"/>
      <c r="BN72" s="174"/>
      <c r="BO72" s="174"/>
    </row>
    <row r="73" spans="3:67" s="55" customFormat="1" ht="30.75" hidden="1" customHeight="1" outlineLevel="1">
      <c r="C73" s="862">
        <v>57</v>
      </c>
      <c r="D73" s="803"/>
      <c r="E73" s="902"/>
      <c r="F73" s="898"/>
      <c r="G73" s="2281"/>
      <c r="H73" s="2282"/>
      <c r="I73" s="851"/>
      <c r="J73" s="846"/>
      <c r="K73" s="796"/>
      <c r="L73" s="797"/>
      <c r="M73" s="797"/>
      <c r="N73" s="797"/>
      <c r="O73" s="797"/>
      <c r="P73" s="797"/>
      <c r="Q73" s="997"/>
      <c r="R73" s="1255"/>
      <c r="S73" s="1284"/>
      <c r="T73" s="798"/>
      <c r="U73" s="847"/>
      <c r="V73" s="848"/>
      <c r="W73" s="892"/>
      <c r="X73" s="904"/>
      <c r="Y73" s="905"/>
      <c r="Z73" s="901"/>
      <c r="AA73" s="800">
        <f t="shared" si="2"/>
        <v>0</v>
      </c>
      <c r="AB73" s="800">
        <f t="shared" si="17"/>
        <v>0</v>
      </c>
      <c r="AC73" s="800">
        <f t="shared" si="18"/>
        <v>0</v>
      </c>
      <c r="AD73" s="800">
        <f>IF(AA73=0,,VLOOKUP(AA73,リスト!DH:DI,2,0))</f>
        <v>0</v>
      </c>
      <c r="AE73" s="800">
        <f t="shared" si="3"/>
        <v>0</v>
      </c>
      <c r="AF73" s="801">
        <f>IF(AE73=0,,VLOOKUP(AE73,リスト!DK:DL,2,0))</f>
        <v>0</v>
      </c>
      <c r="AG73" s="800">
        <f>IF(AA73=0,,
IF(OR(リスト!$C$21="小麦",リスト!$C$21="二条大麦",リスト!$C$21="六条大麦",リスト!$C$21="はだか麦",リスト!$C$21="なたね"),IF(K73&lt;9,調査年-J73,調査年-J73-1),
IF(リスト!$C$21="さとうきび",IF(K73&gt;=4,調査年-J73,調査年-J73+1),
調査年-J73)))</f>
        <v>0</v>
      </c>
      <c r="AH73" s="306">
        <f t="shared" si="19"/>
        <v>0</v>
      </c>
      <c r="AI73" s="306">
        <f t="shared" si="5"/>
        <v>0</v>
      </c>
      <c r="AJ73" s="306">
        <f t="shared" si="6"/>
        <v>0</v>
      </c>
      <c r="AK73" s="306">
        <f t="shared" si="7"/>
        <v>0</v>
      </c>
      <c r="AL73" s="306">
        <f t="shared" si="8"/>
        <v>0</v>
      </c>
      <c r="AM73" s="306">
        <f t="shared" si="16"/>
        <v>0</v>
      </c>
      <c r="AN73" s="477"/>
      <c r="AO73" s="306">
        <f>IF(OR(S73=0,AI73=0),,
IF(OR(リスト!$C$21="小麦",リスト!$C$21="二条大麦",リスト!$C$21="六条大麦",リスト!$C$21="はだか麦",リスト!$C$21="なたね"),IF(OR(AND(K73&lt;9,J73=調査年),AND(K73&gt;=9,J73=調査年-1)),,ROUND(AI73*S73%,0)),
IF(リスト!$C$21="さとうきび",IF(OR(AND(K73&gt;=4,J73=調査年),AND(K73&lt;4,J73=調査年+1)),,ROUND(AI73*S73%,0)),
IF(J73=調査年,,ROUND(AI73*S73%,0)))))</f>
        <v>0</v>
      </c>
      <c r="AP73" s="306">
        <f t="shared" si="9"/>
        <v>0</v>
      </c>
      <c r="AQ73" s="306">
        <f t="shared" si="10"/>
        <v>0</v>
      </c>
      <c r="AR73" s="306">
        <f t="shared" si="11"/>
        <v>0</v>
      </c>
      <c r="AS73" s="306">
        <f>IF(S73=0,,
SUM(
IF(OR(リスト!$C$21="小麦",リスト!$C$21="二条大麦",リスト!$C$21="六条大麦",リスト!$C$21="はだか麦",リスト!$C$21="なたね"),IF(OR(AND(AB73=1,K73&lt;9,J73=調査年),AND(AB73=1,K73&gt;=9,J73=調査年-1)),ROUND(L73*S73%,0),),
IF(リスト!$C$21="さとうきび",IF(OR(AND(AB73=1,K73&gt;=4,J73=調査年),AND(AB73=1,K73&lt;4,J73=調査年+1)),ROUND(L73*S73%,0),),
IF(AND(AB73=1,J73=調査年),ROUND(L73*S73%,0),))),
ROUND(N73*S73%,0),
ROUND(SUM(AM73)*S73%,0)
))</f>
        <v>0</v>
      </c>
      <c r="AT73" s="306">
        <f t="shared" si="12"/>
        <v>0</v>
      </c>
      <c r="AU73" s="306">
        <f t="shared" si="13"/>
        <v>0</v>
      </c>
      <c r="AV73" s="306">
        <f t="shared" si="14"/>
        <v>0</v>
      </c>
      <c r="AW73" s="306">
        <f t="shared" si="14"/>
        <v>0</v>
      </c>
      <c r="AX73" s="306">
        <f t="shared" si="14"/>
        <v>0</v>
      </c>
      <c r="AY73" s="841">
        <f t="shared" si="15"/>
        <v>0</v>
      </c>
      <c r="AZ73" s="802"/>
      <c r="BA73" s="802"/>
      <c r="BB73" s="802"/>
      <c r="BC73" s="802"/>
      <c r="BD73" s="174"/>
      <c r="BE73" s="174"/>
      <c r="BF73" s="174"/>
      <c r="BG73" s="174"/>
      <c r="BH73" s="174"/>
      <c r="BI73" s="174"/>
      <c r="BJ73" s="174"/>
      <c r="BK73" s="174"/>
      <c r="BL73" s="174"/>
      <c r="BM73" s="174"/>
      <c r="BN73" s="174"/>
      <c r="BO73" s="174"/>
    </row>
    <row r="74" spans="3:67" s="55" customFormat="1" ht="30.75" hidden="1" customHeight="1" outlineLevel="1">
      <c r="C74" s="862">
        <v>58</v>
      </c>
      <c r="D74" s="803"/>
      <c r="E74" s="902"/>
      <c r="F74" s="898"/>
      <c r="G74" s="2281"/>
      <c r="H74" s="2282"/>
      <c r="I74" s="851"/>
      <c r="J74" s="846"/>
      <c r="K74" s="796"/>
      <c r="L74" s="797"/>
      <c r="M74" s="797"/>
      <c r="N74" s="797"/>
      <c r="O74" s="797"/>
      <c r="P74" s="797"/>
      <c r="Q74" s="997"/>
      <c r="R74" s="1255"/>
      <c r="S74" s="1284"/>
      <c r="T74" s="798"/>
      <c r="U74" s="847"/>
      <c r="V74" s="848"/>
      <c r="W74" s="892"/>
      <c r="X74" s="904"/>
      <c r="Y74" s="905"/>
      <c r="Z74" s="901"/>
      <c r="AA74" s="800">
        <f t="shared" si="2"/>
        <v>0</v>
      </c>
      <c r="AB74" s="800">
        <f t="shared" si="17"/>
        <v>0</v>
      </c>
      <c r="AC74" s="800">
        <f t="shared" si="18"/>
        <v>0</v>
      </c>
      <c r="AD74" s="800">
        <f>IF(AA74=0,,VLOOKUP(AA74,リスト!DH:DI,2,0))</f>
        <v>0</v>
      </c>
      <c r="AE74" s="800">
        <f t="shared" si="3"/>
        <v>0</v>
      </c>
      <c r="AF74" s="801">
        <f>IF(AE74=0,,VLOOKUP(AE74,リスト!DK:DL,2,0))</f>
        <v>0</v>
      </c>
      <c r="AG74" s="800">
        <f>IF(AA74=0,,
IF(OR(リスト!$C$21="小麦",リスト!$C$21="二条大麦",リスト!$C$21="六条大麦",リスト!$C$21="はだか麦",リスト!$C$21="なたね"),IF(K74&lt;9,調査年-J74,調査年-J74-1),
IF(リスト!$C$21="さとうきび",IF(K74&gt;=4,調査年-J74,調査年-J74+1),
調査年-J74)))</f>
        <v>0</v>
      </c>
      <c r="AH74" s="306">
        <f t="shared" si="19"/>
        <v>0</v>
      </c>
      <c r="AI74" s="306">
        <f t="shared" si="5"/>
        <v>0</v>
      </c>
      <c r="AJ74" s="306">
        <f t="shared" si="6"/>
        <v>0</v>
      </c>
      <c r="AK74" s="306">
        <f t="shared" si="7"/>
        <v>0</v>
      </c>
      <c r="AL74" s="306">
        <f t="shared" si="8"/>
        <v>0</v>
      </c>
      <c r="AM74" s="306">
        <f t="shared" si="16"/>
        <v>0</v>
      </c>
      <c r="AN74" s="477"/>
      <c r="AO74" s="306">
        <f>IF(OR(S74=0,AI74=0),,
IF(OR(リスト!$C$21="小麦",リスト!$C$21="二条大麦",リスト!$C$21="六条大麦",リスト!$C$21="はだか麦",リスト!$C$21="なたね"),IF(OR(AND(K74&lt;9,J74=調査年),AND(K74&gt;=9,J74=調査年-1)),,ROUND(AI74*S74%,0)),
IF(リスト!$C$21="さとうきび",IF(OR(AND(K74&gt;=4,J74=調査年),AND(K74&lt;4,J74=調査年+1)),,ROUND(AI74*S74%,0)),
IF(J74=調査年,,ROUND(AI74*S74%,0)))))</f>
        <v>0</v>
      </c>
      <c r="AP74" s="306">
        <f t="shared" si="9"/>
        <v>0</v>
      </c>
      <c r="AQ74" s="306">
        <f t="shared" si="10"/>
        <v>0</v>
      </c>
      <c r="AR74" s="306">
        <f t="shared" si="11"/>
        <v>0</v>
      </c>
      <c r="AS74" s="306">
        <f>IF(S74=0,,
SUM(
IF(OR(リスト!$C$21="小麦",リスト!$C$21="二条大麦",リスト!$C$21="六条大麦",リスト!$C$21="はだか麦",リスト!$C$21="なたね"),IF(OR(AND(AB74=1,K74&lt;9,J74=調査年),AND(AB74=1,K74&gt;=9,J74=調査年-1)),ROUND(L74*S74%,0),),
IF(リスト!$C$21="さとうきび",IF(OR(AND(AB74=1,K74&gt;=4,J74=調査年),AND(AB74=1,K74&lt;4,J74=調査年+1)),ROUND(L74*S74%,0),),
IF(AND(AB74=1,J74=調査年),ROUND(L74*S74%,0),))),
ROUND(N74*S74%,0),
ROUND(SUM(AM74)*S74%,0)
))</f>
        <v>0</v>
      </c>
      <c r="AT74" s="306">
        <f t="shared" si="12"/>
        <v>0</v>
      </c>
      <c r="AU74" s="306">
        <f t="shared" si="13"/>
        <v>0</v>
      </c>
      <c r="AV74" s="306">
        <f t="shared" si="14"/>
        <v>0</v>
      </c>
      <c r="AW74" s="306">
        <f t="shared" si="14"/>
        <v>0</v>
      </c>
      <c r="AX74" s="306">
        <f t="shared" si="14"/>
        <v>0</v>
      </c>
      <c r="AY74" s="841">
        <f t="shared" si="15"/>
        <v>0</v>
      </c>
      <c r="AZ74" s="802"/>
      <c r="BA74" s="802"/>
      <c r="BB74" s="802"/>
      <c r="BC74" s="802"/>
      <c r="BD74" s="174"/>
      <c r="BE74" s="174"/>
      <c r="BF74" s="174"/>
      <c r="BG74" s="174"/>
      <c r="BH74" s="174"/>
      <c r="BI74" s="174"/>
      <c r="BJ74" s="174"/>
      <c r="BK74" s="174"/>
      <c r="BL74" s="174"/>
      <c r="BM74" s="174"/>
      <c r="BN74" s="174"/>
      <c r="BO74" s="174"/>
    </row>
    <row r="75" spans="3:67" s="55" customFormat="1" ht="30.75" hidden="1" customHeight="1" outlineLevel="1">
      <c r="C75" s="862">
        <v>59</v>
      </c>
      <c r="D75" s="803"/>
      <c r="E75" s="902"/>
      <c r="F75" s="898"/>
      <c r="G75" s="2281"/>
      <c r="H75" s="2282"/>
      <c r="I75" s="851"/>
      <c r="J75" s="846"/>
      <c r="K75" s="796"/>
      <c r="L75" s="797"/>
      <c r="M75" s="797"/>
      <c r="N75" s="797"/>
      <c r="O75" s="797"/>
      <c r="P75" s="797"/>
      <c r="Q75" s="997"/>
      <c r="R75" s="1255"/>
      <c r="S75" s="1284"/>
      <c r="T75" s="798"/>
      <c r="U75" s="847"/>
      <c r="V75" s="848"/>
      <c r="W75" s="892"/>
      <c r="X75" s="904"/>
      <c r="Y75" s="905"/>
      <c r="Z75" s="901"/>
      <c r="AA75" s="800">
        <f t="shared" si="2"/>
        <v>0</v>
      </c>
      <c r="AB75" s="800">
        <f t="shared" si="17"/>
        <v>0</v>
      </c>
      <c r="AC75" s="800">
        <f t="shared" si="18"/>
        <v>0</v>
      </c>
      <c r="AD75" s="800">
        <f>IF(AA75=0,,VLOOKUP(AA75,リスト!DH:DI,2,0))</f>
        <v>0</v>
      </c>
      <c r="AE75" s="800">
        <f t="shared" si="3"/>
        <v>0</v>
      </c>
      <c r="AF75" s="801">
        <f>IF(AE75=0,,VLOOKUP(AE75,リスト!DK:DL,2,0))</f>
        <v>0</v>
      </c>
      <c r="AG75" s="800">
        <f>IF(AA75=0,,
IF(OR(リスト!$C$21="小麦",リスト!$C$21="二条大麦",リスト!$C$21="六条大麦",リスト!$C$21="はだか麦",リスト!$C$21="なたね"),IF(K75&lt;9,調査年-J75,調査年-J75-1),
IF(リスト!$C$21="さとうきび",IF(K75&gt;=4,調査年-J75,調査年-J75+1),
調査年-J75)))</f>
        <v>0</v>
      </c>
      <c r="AH75" s="306">
        <f t="shared" si="19"/>
        <v>0</v>
      </c>
      <c r="AI75" s="306">
        <f t="shared" si="5"/>
        <v>0</v>
      </c>
      <c r="AJ75" s="306">
        <f t="shared" si="6"/>
        <v>0</v>
      </c>
      <c r="AK75" s="306">
        <f t="shared" si="7"/>
        <v>0</v>
      </c>
      <c r="AL75" s="306">
        <f t="shared" si="8"/>
        <v>0</v>
      </c>
      <c r="AM75" s="306">
        <f t="shared" si="16"/>
        <v>0</v>
      </c>
      <c r="AN75" s="477"/>
      <c r="AO75" s="306">
        <f>IF(OR(S75=0,AI75=0),,
IF(OR(リスト!$C$21="小麦",リスト!$C$21="二条大麦",リスト!$C$21="六条大麦",リスト!$C$21="はだか麦",リスト!$C$21="なたね"),IF(OR(AND(K75&lt;9,J75=調査年),AND(K75&gt;=9,J75=調査年-1)),,ROUND(AI75*S75%,0)),
IF(リスト!$C$21="さとうきび",IF(OR(AND(K75&gt;=4,J75=調査年),AND(K75&lt;4,J75=調査年+1)),,ROUND(AI75*S75%,0)),
IF(J75=調査年,,ROUND(AI75*S75%,0)))))</f>
        <v>0</v>
      </c>
      <c r="AP75" s="306">
        <f t="shared" si="9"/>
        <v>0</v>
      </c>
      <c r="AQ75" s="306">
        <f t="shared" si="10"/>
        <v>0</v>
      </c>
      <c r="AR75" s="306">
        <f t="shared" si="11"/>
        <v>0</v>
      </c>
      <c r="AS75" s="306">
        <f>IF(S75=0,,
SUM(
IF(OR(リスト!$C$21="小麦",リスト!$C$21="二条大麦",リスト!$C$21="六条大麦",リスト!$C$21="はだか麦",リスト!$C$21="なたね"),IF(OR(AND(AB75=1,K75&lt;9,J75=調査年),AND(AB75=1,K75&gt;=9,J75=調査年-1)),ROUND(L75*S75%,0),),
IF(リスト!$C$21="さとうきび",IF(OR(AND(AB75=1,K75&gt;=4,J75=調査年),AND(AB75=1,K75&lt;4,J75=調査年+1)),ROUND(L75*S75%,0),),
IF(AND(AB75=1,J75=調査年),ROUND(L75*S75%,0),))),
ROUND(N75*S75%,0),
ROUND(SUM(AM75)*S75%,0)
))</f>
        <v>0</v>
      </c>
      <c r="AT75" s="306">
        <f t="shared" si="12"/>
        <v>0</v>
      </c>
      <c r="AU75" s="306">
        <f t="shared" si="13"/>
        <v>0</v>
      </c>
      <c r="AV75" s="306">
        <f t="shared" si="14"/>
        <v>0</v>
      </c>
      <c r="AW75" s="306">
        <f t="shared" si="14"/>
        <v>0</v>
      </c>
      <c r="AX75" s="306">
        <f t="shared" si="14"/>
        <v>0</v>
      </c>
      <c r="AY75" s="841">
        <f t="shared" si="15"/>
        <v>0</v>
      </c>
      <c r="AZ75" s="802"/>
      <c r="BA75" s="802"/>
      <c r="BB75" s="802"/>
      <c r="BC75" s="802"/>
      <c r="BD75" s="174"/>
      <c r="BE75" s="174"/>
      <c r="BF75" s="174"/>
      <c r="BG75" s="174"/>
      <c r="BH75" s="174"/>
      <c r="BI75" s="174"/>
      <c r="BJ75" s="174"/>
      <c r="BK75" s="174"/>
      <c r="BL75" s="174"/>
      <c r="BM75" s="174"/>
      <c r="BN75" s="174"/>
      <c r="BO75" s="174"/>
    </row>
    <row r="76" spans="3:67" s="55" customFormat="1" ht="30.75" hidden="1" customHeight="1" outlineLevel="1">
      <c r="C76" s="862">
        <v>60</v>
      </c>
      <c r="D76" s="803"/>
      <c r="E76" s="902"/>
      <c r="F76" s="898"/>
      <c r="G76" s="2281"/>
      <c r="H76" s="2282"/>
      <c r="I76" s="851"/>
      <c r="J76" s="846"/>
      <c r="K76" s="796"/>
      <c r="L76" s="797"/>
      <c r="M76" s="797"/>
      <c r="N76" s="797"/>
      <c r="O76" s="797"/>
      <c r="P76" s="797"/>
      <c r="Q76" s="997"/>
      <c r="R76" s="1255"/>
      <c r="S76" s="1284"/>
      <c r="T76" s="798"/>
      <c r="U76" s="847"/>
      <c r="V76" s="848"/>
      <c r="W76" s="892"/>
      <c r="X76" s="904"/>
      <c r="Y76" s="905"/>
      <c r="Z76" s="901"/>
      <c r="AA76" s="800">
        <f t="shared" si="2"/>
        <v>0</v>
      </c>
      <c r="AB76" s="800">
        <f t="shared" si="17"/>
        <v>0</v>
      </c>
      <c r="AC76" s="800">
        <f t="shared" si="18"/>
        <v>0</v>
      </c>
      <c r="AD76" s="800">
        <f>IF(AA76=0,,VLOOKUP(AA76,リスト!DH:DI,2,0))</f>
        <v>0</v>
      </c>
      <c r="AE76" s="800">
        <f t="shared" si="3"/>
        <v>0</v>
      </c>
      <c r="AF76" s="801">
        <f>IF(AE76=0,,VLOOKUP(AE76,リスト!DK:DL,2,0))</f>
        <v>0</v>
      </c>
      <c r="AG76" s="800">
        <f>IF(AA76=0,,
IF(OR(リスト!$C$21="小麦",リスト!$C$21="二条大麦",リスト!$C$21="六条大麦",リスト!$C$21="はだか麦",リスト!$C$21="なたね"),IF(K76&lt;9,調査年-J76,調査年-J76-1),
IF(リスト!$C$21="さとうきび",IF(K76&gt;=4,調査年-J76,調査年-J76+1),
調査年-J76)))</f>
        <v>0</v>
      </c>
      <c r="AH76" s="306">
        <f t="shared" si="19"/>
        <v>0</v>
      </c>
      <c r="AI76" s="306">
        <f t="shared" si="5"/>
        <v>0</v>
      </c>
      <c r="AJ76" s="306">
        <f t="shared" si="6"/>
        <v>0</v>
      </c>
      <c r="AK76" s="306">
        <f t="shared" si="7"/>
        <v>0</v>
      </c>
      <c r="AL76" s="306">
        <f t="shared" si="8"/>
        <v>0</v>
      </c>
      <c r="AM76" s="306">
        <f t="shared" si="16"/>
        <v>0</v>
      </c>
      <c r="AN76" s="477"/>
      <c r="AO76" s="306">
        <f>IF(OR(S76=0,AI76=0),,
IF(OR(リスト!$C$21="小麦",リスト!$C$21="二条大麦",リスト!$C$21="六条大麦",リスト!$C$21="はだか麦",リスト!$C$21="なたね"),IF(OR(AND(K76&lt;9,J76=調査年),AND(K76&gt;=9,J76=調査年-1)),,ROUND(AI76*S76%,0)),
IF(リスト!$C$21="さとうきび",IF(OR(AND(K76&gt;=4,J76=調査年),AND(K76&lt;4,J76=調査年+1)),,ROUND(AI76*S76%,0)),
IF(J76=調査年,,ROUND(AI76*S76%,0)))))</f>
        <v>0</v>
      </c>
      <c r="AP76" s="306">
        <f t="shared" si="9"/>
        <v>0</v>
      </c>
      <c r="AQ76" s="306">
        <f t="shared" si="10"/>
        <v>0</v>
      </c>
      <c r="AR76" s="306">
        <f t="shared" si="11"/>
        <v>0</v>
      </c>
      <c r="AS76" s="306">
        <f>IF(S76=0,,
SUM(
IF(OR(リスト!$C$21="小麦",リスト!$C$21="二条大麦",リスト!$C$21="六条大麦",リスト!$C$21="はだか麦",リスト!$C$21="なたね"),IF(OR(AND(AB76=1,K76&lt;9,J76=調査年),AND(AB76=1,K76&gt;=9,J76=調査年-1)),ROUND(L76*S76%,0),),
IF(リスト!$C$21="さとうきび",IF(OR(AND(AB76=1,K76&gt;=4,J76=調査年),AND(AB76=1,K76&lt;4,J76=調査年+1)),ROUND(L76*S76%,0),),
IF(AND(AB76=1,J76=調査年),ROUND(L76*S76%,0),))),
ROUND(N76*S76%,0),
ROUND(SUM(AM76)*S76%,0)
))</f>
        <v>0</v>
      </c>
      <c r="AT76" s="306">
        <f t="shared" si="12"/>
        <v>0</v>
      </c>
      <c r="AU76" s="306">
        <f t="shared" si="13"/>
        <v>0</v>
      </c>
      <c r="AV76" s="306">
        <f t="shared" si="14"/>
        <v>0</v>
      </c>
      <c r="AW76" s="306">
        <f t="shared" si="14"/>
        <v>0</v>
      </c>
      <c r="AX76" s="306">
        <f t="shared" si="14"/>
        <v>0</v>
      </c>
      <c r="AY76" s="841">
        <f t="shared" si="15"/>
        <v>0</v>
      </c>
      <c r="AZ76" s="802"/>
      <c r="BA76" s="802"/>
      <c r="BB76" s="802"/>
      <c r="BC76" s="802"/>
      <c r="BD76" s="174"/>
      <c r="BE76" s="174"/>
      <c r="BF76" s="174"/>
      <c r="BG76" s="174"/>
      <c r="BH76" s="174"/>
      <c r="BI76" s="174"/>
      <c r="BJ76" s="174"/>
      <c r="BK76" s="174"/>
      <c r="BL76" s="174"/>
      <c r="BM76" s="174"/>
      <c r="BN76" s="174"/>
      <c r="BO76" s="174"/>
    </row>
    <row r="77" spans="3:67" s="55" customFormat="1" ht="30.75" hidden="1" customHeight="1" outlineLevel="1">
      <c r="C77" s="862">
        <v>61</v>
      </c>
      <c r="D77" s="803"/>
      <c r="E77" s="902"/>
      <c r="F77" s="898"/>
      <c r="G77" s="2281"/>
      <c r="H77" s="2282"/>
      <c r="I77" s="851"/>
      <c r="J77" s="846"/>
      <c r="K77" s="796"/>
      <c r="L77" s="797"/>
      <c r="M77" s="797"/>
      <c r="N77" s="797"/>
      <c r="O77" s="797"/>
      <c r="P77" s="797"/>
      <c r="Q77" s="997"/>
      <c r="R77" s="1255"/>
      <c r="S77" s="1284"/>
      <c r="T77" s="798"/>
      <c r="U77" s="847"/>
      <c r="V77" s="848"/>
      <c r="W77" s="892"/>
      <c r="X77" s="904"/>
      <c r="Y77" s="905"/>
      <c r="Z77" s="901"/>
      <c r="AA77" s="800">
        <f t="shared" si="2"/>
        <v>0</v>
      </c>
      <c r="AB77" s="800">
        <f t="shared" si="17"/>
        <v>0</v>
      </c>
      <c r="AC77" s="800">
        <f t="shared" si="18"/>
        <v>0</v>
      </c>
      <c r="AD77" s="800">
        <f>IF(AA77=0,,VLOOKUP(AA77,リスト!DH:DI,2,0))</f>
        <v>0</v>
      </c>
      <c r="AE77" s="800">
        <f t="shared" si="3"/>
        <v>0</v>
      </c>
      <c r="AF77" s="801">
        <f>IF(AE77=0,,VLOOKUP(AE77,リスト!DK:DL,2,0))</f>
        <v>0</v>
      </c>
      <c r="AG77" s="800">
        <f>IF(AA77=0,,
IF(OR(リスト!$C$21="小麦",リスト!$C$21="二条大麦",リスト!$C$21="六条大麦",リスト!$C$21="はだか麦",リスト!$C$21="なたね"),IF(K77&lt;9,調査年-J77,調査年-J77-1),
IF(リスト!$C$21="さとうきび",IF(K77&gt;=4,調査年-J77,調査年-J77+1),
調査年-J77)))</f>
        <v>0</v>
      </c>
      <c r="AH77" s="306">
        <f t="shared" si="19"/>
        <v>0</v>
      </c>
      <c r="AI77" s="306">
        <f t="shared" si="5"/>
        <v>0</v>
      </c>
      <c r="AJ77" s="306">
        <f t="shared" si="6"/>
        <v>0</v>
      </c>
      <c r="AK77" s="306">
        <f t="shared" si="7"/>
        <v>0</v>
      </c>
      <c r="AL77" s="306">
        <f t="shared" si="8"/>
        <v>0</v>
      </c>
      <c r="AM77" s="306">
        <f t="shared" si="16"/>
        <v>0</v>
      </c>
      <c r="AN77" s="477"/>
      <c r="AO77" s="306">
        <f>IF(OR(S77=0,AI77=0),,
IF(OR(リスト!$C$21="小麦",リスト!$C$21="二条大麦",リスト!$C$21="六条大麦",リスト!$C$21="はだか麦",リスト!$C$21="なたね"),IF(OR(AND(K77&lt;9,J77=調査年),AND(K77&gt;=9,J77=調査年-1)),,ROUND(AI77*S77%,0)),
IF(リスト!$C$21="さとうきび",IF(OR(AND(K77&gt;=4,J77=調査年),AND(K77&lt;4,J77=調査年+1)),,ROUND(AI77*S77%,0)),
IF(J77=調査年,,ROUND(AI77*S77%,0)))))</f>
        <v>0</v>
      </c>
      <c r="AP77" s="306">
        <f t="shared" si="9"/>
        <v>0</v>
      </c>
      <c r="AQ77" s="306">
        <f t="shared" si="10"/>
        <v>0</v>
      </c>
      <c r="AR77" s="306">
        <f t="shared" si="11"/>
        <v>0</v>
      </c>
      <c r="AS77" s="306">
        <f>IF(S77=0,,
SUM(
IF(OR(リスト!$C$21="小麦",リスト!$C$21="二条大麦",リスト!$C$21="六条大麦",リスト!$C$21="はだか麦",リスト!$C$21="なたね"),IF(OR(AND(AB77=1,K77&lt;9,J77=調査年),AND(AB77=1,K77&gt;=9,J77=調査年-1)),ROUND(L77*S77%,0),),
IF(リスト!$C$21="さとうきび",IF(OR(AND(AB77=1,K77&gt;=4,J77=調査年),AND(AB77=1,K77&lt;4,J77=調査年+1)),ROUND(L77*S77%,0),),
IF(AND(AB77=1,J77=調査年),ROUND(L77*S77%,0),))),
ROUND(N77*S77%,0),
ROUND(SUM(AM77)*S77%,0)
))</f>
        <v>0</v>
      </c>
      <c r="AT77" s="306">
        <f t="shared" si="12"/>
        <v>0</v>
      </c>
      <c r="AU77" s="306">
        <f t="shared" si="13"/>
        <v>0</v>
      </c>
      <c r="AV77" s="306">
        <f t="shared" si="14"/>
        <v>0</v>
      </c>
      <c r="AW77" s="306">
        <f t="shared" si="14"/>
        <v>0</v>
      </c>
      <c r="AX77" s="306">
        <f t="shared" si="14"/>
        <v>0</v>
      </c>
      <c r="AY77" s="841">
        <f t="shared" si="15"/>
        <v>0</v>
      </c>
      <c r="AZ77" s="802"/>
      <c r="BA77" s="802"/>
      <c r="BB77" s="802"/>
      <c r="BC77" s="802"/>
      <c r="BD77" s="174"/>
      <c r="BE77" s="174"/>
      <c r="BF77" s="174"/>
      <c r="BG77" s="174"/>
      <c r="BH77" s="174"/>
      <c r="BI77" s="174"/>
      <c r="BJ77" s="174"/>
      <c r="BK77" s="174"/>
      <c r="BL77" s="174"/>
      <c r="BM77" s="174"/>
      <c r="BN77" s="174"/>
      <c r="BO77" s="174"/>
    </row>
    <row r="78" spans="3:67" s="55" customFormat="1" ht="30.75" hidden="1" customHeight="1" outlineLevel="1">
      <c r="C78" s="862">
        <v>62</v>
      </c>
      <c r="D78" s="791"/>
      <c r="E78" s="902"/>
      <c r="F78" s="898"/>
      <c r="G78" s="2281"/>
      <c r="H78" s="2282"/>
      <c r="I78" s="851"/>
      <c r="J78" s="846"/>
      <c r="K78" s="796"/>
      <c r="L78" s="797"/>
      <c r="M78" s="797"/>
      <c r="N78" s="797"/>
      <c r="O78" s="797"/>
      <c r="P78" s="797"/>
      <c r="Q78" s="997"/>
      <c r="R78" s="1255"/>
      <c r="S78" s="1284"/>
      <c r="T78" s="798"/>
      <c r="U78" s="847"/>
      <c r="V78" s="848"/>
      <c r="W78" s="892"/>
      <c r="X78" s="904"/>
      <c r="Y78" s="905"/>
      <c r="Z78" s="901"/>
      <c r="AA78" s="800">
        <f t="shared" si="2"/>
        <v>0</v>
      </c>
      <c r="AB78" s="800">
        <f t="shared" si="17"/>
        <v>0</v>
      </c>
      <c r="AC78" s="800">
        <f t="shared" si="18"/>
        <v>0</v>
      </c>
      <c r="AD78" s="800">
        <f>IF(AA78=0,,VLOOKUP(AA78,リスト!DH:DI,2,0))</f>
        <v>0</v>
      </c>
      <c r="AE78" s="800">
        <f t="shared" si="3"/>
        <v>0</v>
      </c>
      <c r="AF78" s="801">
        <f>IF(AE78=0,,VLOOKUP(AE78,リスト!DK:DL,2,0))</f>
        <v>0</v>
      </c>
      <c r="AG78" s="800">
        <f>IF(AA78=0,,
IF(OR(リスト!$C$21="小麦",リスト!$C$21="二条大麦",リスト!$C$21="六条大麦",リスト!$C$21="はだか麦",リスト!$C$21="なたね"),IF(K78&lt;9,調査年-J78,調査年-J78-1),
IF(リスト!$C$21="さとうきび",IF(K78&gt;=4,調査年-J78,調査年-J78+1),
調査年-J78)))</f>
        <v>0</v>
      </c>
      <c r="AH78" s="306">
        <f t="shared" si="19"/>
        <v>0</v>
      </c>
      <c r="AI78" s="306">
        <f t="shared" si="5"/>
        <v>0</v>
      </c>
      <c r="AJ78" s="306">
        <f t="shared" si="6"/>
        <v>0</v>
      </c>
      <c r="AK78" s="306">
        <f t="shared" si="7"/>
        <v>0</v>
      </c>
      <c r="AL78" s="306">
        <f t="shared" si="8"/>
        <v>0</v>
      </c>
      <c r="AM78" s="306">
        <f t="shared" si="16"/>
        <v>0</v>
      </c>
      <c r="AN78" s="477"/>
      <c r="AO78" s="306">
        <f>IF(OR(S78=0,AI78=0),,
IF(OR(リスト!$C$21="小麦",リスト!$C$21="二条大麦",リスト!$C$21="六条大麦",リスト!$C$21="はだか麦",リスト!$C$21="なたね"),IF(OR(AND(K78&lt;9,J78=調査年),AND(K78&gt;=9,J78=調査年-1)),,ROUND(AI78*S78%,0)),
IF(リスト!$C$21="さとうきび",IF(OR(AND(K78&gt;=4,J78=調査年),AND(K78&lt;4,J78=調査年+1)),,ROUND(AI78*S78%,0)),
IF(J78=調査年,,ROUND(AI78*S78%,0)))))</f>
        <v>0</v>
      </c>
      <c r="AP78" s="306">
        <f t="shared" si="9"/>
        <v>0</v>
      </c>
      <c r="AQ78" s="306">
        <f t="shared" si="10"/>
        <v>0</v>
      </c>
      <c r="AR78" s="306">
        <f t="shared" si="11"/>
        <v>0</v>
      </c>
      <c r="AS78" s="306">
        <f>IF(S78=0,,
SUM(
IF(OR(リスト!$C$21="小麦",リスト!$C$21="二条大麦",リスト!$C$21="六条大麦",リスト!$C$21="はだか麦",リスト!$C$21="なたね"),IF(OR(AND(AB78=1,K78&lt;9,J78=調査年),AND(AB78=1,K78&gt;=9,J78=調査年-1)),ROUND(L78*S78%,0),),
IF(リスト!$C$21="さとうきび",IF(OR(AND(AB78=1,K78&gt;=4,J78=調査年),AND(AB78=1,K78&lt;4,J78=調査年+1)),ROUND(L78*S78%,0),),
IF(AND(AB78=1,J78=調査年),ROUND(L78*S78%,0),))),
ROUND(N78*S78%,0),
ROUND(SUM(AM78)*S78%,0)
))</f>
        <v>0</v>
      </c>
      <c r="AT78" s="306">
        <f t="shared" si="12"/>
        <v>0</v>
      </c>
      <c r="AU78" s="306">
        <f t="shared" si="13"/>
        <v>0</v>
      </c>
      <c r="AV78" s="306">
        <f t="shared" si="14"/>
        <v>0</v>
      </c>
      <c r="AW78" s="306">
        <f t="shared" si="14"/>
        <v>0</v>
      </c>
      <c r="AX78" s="306">
        <f t="shared" si="14"/>
        <v>0</v>
      </c>
      <c r="AY78" s="841">
        <f t="shared" si="15"/>
        <v>0</v>
      </c>
      <c r="AZ78" s="802"/>
      <c r="BA78" s="802"/>
      <c r="BB78" s="802"/>
      <c r="BC78" s="802"/>
      <c r="BD78" s="174"/>
      <c r="BE78" s="174"/>
      <c r="BF78" s="174"/>
      <c r="BG78" s="174"/>
      <c r="BH78" s="174"/>
      <c r="BI78" s="174"/>
      <c r="BJ78" s="174"/>
      <c r="BK78" s="174"/>
      <c r="BL78" s="174"/>
      <c r="BM78" s="174"/>
      <c r="BN78" s="174"/>
      <c r="BO78" s="174"/>
    </row>
    <row r="79" spans="3:67" s="55" customFormat="1" ht="30.75" hidden="1" customHeight="1" outlineLevel="1">
      <c r="C79" s="862">
        <v>63</v>
      </c>
      <c r="D79" s="803"/>
      <c r="E79" s="902"/>
      <c r="F79" s="898"/>
      <c r="G79" s="2281"/>
      <c r="H79" s="2282"/>
      <c r="I79" s="851"/>
      <c r="J79" s="846"/>
      <c r="K79" s="796"/>
      <c r="L79" s="797"/>
      <c r="M79" s="797"/>
      <c r="N79" s="797"/>
      <c r="O79" s="797"/>
      <c r="P79" s="797"/>
      <c r="Q79" s="997"/>
      <c r="R79" s="1255"/>
      <c r="S79" s="1284"/>
      <c r="T79" s="798"/>
      <c r="U79" s="847"/>
      <c r="V79" s="848"/>
      <c r="W79" s="892"/>
      <c r="X79" s="904"/>
      <c r="Y79" s="905"/>
      <c r="Z79" s="901"/>
      <c r="AA79" s="800">
        <f t="shared" si="2"/>
        <v>0</v>
      </c>
      <c r="AB79" s="800">
        <f t="shared" si="17"/>
        <v>0</v>
      </c>
      <c r="AC79" s="800">
        <f t="shared" si="18"/>
        <v>0</v>
      </c>
      <c r="AD79" s="800">
        <f>IF(AA79=0,,VLOOKUP(AA79,リスト!DH:DI,2,0))</f>
        <v>0</v>
      </c>
      <c r="AE79" s="800">
        <f t="shared" si="3"/>
        <v>0</v>
      </c>
      <c r="AF79" s="801">
        <f>IF(AE79=0,,VLOOKUP(AE79,リスト!DK:DL,2,0))</f>
        <v>0</v>
      </c>
      <c r="AG79" s="800">
        <f>IF(AA79=0,,
IF(OR(リスト!$C$21="小麦",リスト!$C$21="二条大麦",リスト!$C$21="六条大麦",リスト!$C$21="はだか麦",リスト!$C$21="なたね"),IF(K79&lt;9,調査年-J79,調査年-J79-1),
IF(リスト!$C$21="さとうきび",IF(K79&gt;=4,調査年-J79,調査年-J79+1),
調査年-J79)))</f>
        <v>0</v>
      </c>
      <c r="AH79" s="306">
        <f t="shared" si="19"/>
        <v>0</v>
      </c>
      <c r="AI79" s="306">
        <f t="shared" si="5"/>
        <v>0</v>
      </c>
      <c r="AJ79" s="306">
        <f t="shared" si="6"/>
        <v>0</v>
      </c>
      <c r="AK79" s="306">
        <f t="shared" si="7"/>
        <v>0</v>
      </c>
      <c r="AL79" s="306">
        <f t="shared" si="8"/>
        <v>0</v>
      </c>
      <c r="AM79" s="306">
        <f t="shared" si="16"/>
        <v>0</v>
      </c>
      <c r="AN79" s="477"/>
      <c r="AO79" s="306">
        <f>IF(OR(S79=0,AI79=0),,
IF(OR(リスト!$C$21="小麦",リスト!$C$21="二条大麦",リスト!$C$21="六条大麦",リスト!$C$21="はだか麦",リスト!$C$21="なたね"),IF(OR(AND(K79&lt;9,J79=調査年),AND(K79&gt;=9,J79=調査年-1)),,ROUND(AI79*S79%,0)),
IF(リスト!$C$21="さとうきび",IF(OR(AND(K79&gt;=4,J79=調査年),AND(K79&lt;4,J79=調査年+1)),,ROUND(AI79*S79%,0)),
IF(J79=調査年,,ROUND(AI79*S79%,0)))))</f>
        <v>0</v>
      </c>
      <c r="AP79" s="306">
        <f t="shared" si="9"/>
        <v>0</v>
      </c>
      <c r="AQ79" s="306">
        <f t="shared" si="10"/>
        <v>0</v>
      </c>
      <c r="AR79" s="306">
        <f t="shared" si="11"/>
        <v>0</v>
      </c>
      <c r="AS79" s="306">
        <f>IF(S79=0,,
SUM(
IF(OR(リスト!$C$21="小麦",リスト!$C$21="二条大麦",リスト!$C$21="六条大麦",リスト!$C$21="はだか麦",リスト!$C$21="なたね"),IF(OR(AND(AB79=1,K79&lt;9,J79=調査年),AND(AB79=1,K79&gt;=9,J79=調査年-1)),ROUND(L79*S79%,0),),
IF(リスト!$C$21="さとうきび",IF(OR(AND(AB79=1,K79&gt;=4,J79=調査年),AND(AB79=1,K79&lt;4,J79=調査年+1)),ROUND(L79*S79%,0),),
IF(AND(AB79=1,J79=調査年),ROUND(L79*S79%,0),))),
ROUND(N79*S79%,0),
ROUND(SUM(AM79)*S79%,0)
))</f>
        <v>0</v>
      </c>
      <c r="AT79" s="306">
        <f t="shared" si="12"/>
        <v>0</v>
      </c>
      <c r="AU79" s="306">
        <f t="shared" si="13"/>
        <v>0</v>
      </c>
      <c r="AV79" s="306">
        <f t="shared" si="14"/>
        <v>0</v>
      </c>
      <c r="AW79" s="306">
        <f t="shared" si="14"/>
        <v>0</v>
      </c>
      <c r="AX79" s="306">
        <f t="shared" si="14"/>
        <v>0</v>
      </c>
      <c r="AY79" s="841">
        <f t="shared" si="15"/>
        <v>0</v>
      </c>
      <c r="AZ79" s="802"/>
      <c r="BA79" s="802"/>
      <c r="BB79" s="802"/>
      <c r="BC79" s="802"/>
      <c r="BD79" s="174"/>
      <c r="BE79" s="174"/>
      <c r="BF79" s="174"/>
      <c r="BG79" s="174"/>
      <c r="BH79" s="174"/>
      <c r="BI79" s="174"/>
      <c r="BJ79" s="174"/>
      <c r="BK79" s="174"/>
      <c r="BL79" s="174"/>
      <c r="BM79" s="174"/>
      <c r="BN79" s="174"/>
      <c r="BO79" s="174"/>
    </row>
    <row r="80" spans="3:67" s="55" customFormat="1" ht="30.75" hidden="1" customHeight="1" outlineLevel="1">
      <c r="C80" s="862">
        <v>64</v>
      </c>
      <c r="D80" s="803"/>
      <c r="E80" s="902"/>
      <c r="F80" s="898"/>
      <c r="G80" s="2281"/>
      <c r="H80" s="2282"/>
      <c r="I80" s="851"/>
      <c r="J80" s="846"/>
      <c r="K80" s="796"/>
      <c r="L80" s="797"/>
      <c r="M80" s="797"/>
      <c r="N80" s="797"/>
      <c r="O80" s="797"/>
      <c r="P80" s="797"/>
      <c r="Q80" s="997"/>
      <c r="R80" s="1255"/>
      <c r="S80" s="1284"/>
      <c r="T80" s="798"/>
      <c r="U80" s="847"/>
      <c r="V80" s="848"/>
      <c r="W80" s="892"/>
      <c r="X80" s="904"/>
      <c r="Y80" s="905"/>
      <c r="Z80" s="901"/>
      <c r="AA80" s="800">
        <f t="shared" si="2"/>
        <v>0</v>
      </c>
      <c r="AB80" s="800">
        <f t="shared" si="17"/>
        <v>0</v>
      </c>
      <c r="AC80" s="800">
        <f t="shared" si="18"/>
        <v>0</v>
      </c>
      <c r="AD80" s="800">
        <f>IF(AA80=0,,VLOOKUP(AA80,リスト!DH:DI,2,0))</f>
        <v>0</v>
      </c>
      <c r="AE80" s="800">
        <f t="shared" si="3"/>
        <v>0</v>
      </c>
      <c r="AF80" s="801">
        <f>IF(AE80=0,,VLOOKUP(AE80,リスト!DK:DL,2,0))</f>
        <v>0</v>
      </c>
      <c r="AG80" s="800">
        <f>IF(AA80=0,,
IF(OR(リスト!$C$21="小麦",リスト!$C$21="二条大麦",リスト!$C$21="六条大麦",リスト!$C$21="はだか麦",リスト!$C$21="なたね"),IF(K80&lt;9,調査年-J80,調査年-J80-1),
IF(リスト!$C$21="さとうきび",IF(K80&gt;=4,調査年-J80,調査年-J80+1),
調査年-J80)))</f>
        <v>0</v>
      </c>
      <c r="AH80" s="306">
        <f t="shared" si="19"/>
        <v>0</v>
      </c>
      <c r="AI80" s="306">
        <f t="shared" si="5"/>
        <v>0</v>
      </c>
      <c r="AJ80" s="306">
        <f t="shared" si="6"/>
        <v>0</v>
      </c>
      <c r="AK80" s="306">
        <f t="shared" si="7"/>
        <v>0</v>
      </c>
      <c r="AL80" s="306">
        <f t="shared" si="8"/>
        <v>0</v>
      </c>
      <c r="AM80" s="306">
        <f t="shared" si="16"/>
        <v>0</v>
      </c>
      <c r="AN80" s="477"/>
      <c r="AO80" s="306">
        <f>IF(OR(S80=0,AI80=0),,
IF(OR(リスト!$C$21="小麦",リスト!$C$21="二条大麦",リスト!$C$21="六条大麦",リスト!$C$21="はだか麦",リスト!$C$21="なたね"),IF(OR(AND(K80&lt;9,J80=調査年),AND(K80&gt;=9,J80=調査年-1)),,ROUND(AI80*S80%,0)),
IF(リスト!$C$21="さとうきび",IF(OR(AND(K80&gt;=4,J80=調査年),AND(K80&lt;4,J80=調査年+1)),,ROUND(AI80*S80%,0)),
IF(J80=調査年,,ROUND(AI80*S80%,0)))))</f>
        <v>0</v>
      </c>
      <c r="AP80" s="306">
        <f t="shared" si="9"/>
        <v>0</v>
      </c>
      <c r="AQ80" s="306">
        <f t="shared" si="10"/>
        <v>0</v>
      </c>
      <c r="AR80" s="306">
        <f t="shared" si="11"/>
        <v>0</v>
      </c>
      <c r="AS80" s="306">
        <f>IF(S80=0,,
SUM(
IF(OR(リスト!$C$21="小麦",リスト!$C$21="二条大麦",リスト!$C$21="六条大麦",リスト!$C$21="はだか麦",リスト!$C$21="なたね"),IF(OR(AND(AB80=1,K80&lt;9,J80=調査年),AND(AB80=1,K80&gt;=9,J80=調査年-1)),ROUND(L80*S80%,0),),
IF(リスト!$C$21="さとうきび",IF(OR(AND(AB80=1,K80&gt;=4,J80=調査年),AND(AB80=1,K80&lt;4,J80=調査年+1)),ROUND(L80*S80%,0),),
IF(AND(AB80=1,J80=調査年),ROUND(L80*S80%,0),))),
ROUND(N80*S80%,0),
ROUND(SUM(AM80)*S80%,0)
))</f>
        <v>0</v>
      </c>
      <c r="AT80" s="306">
        <f t="shared" si="12"/>
        <v>0</v>
      </c>
      <c r="AU80" s="306">
        <f t="shared" si="13"/>
        <v>0</v>
      </c>
      <c r="AV80" s="306">
        <f t="shared" si="14"/>
        <v>0</v>
      </c>
      <c r="AW80" s="306">
        <f t="shared" si="14"/>
        <v>0</v>
      </c>
      <c r="AX80" s="306">
        <f t="shared" si="14"/>
        <v>0</v>
      </c>
      <c r="AY80" s="841">
        <f t="shared" si="15"/>
        <v>0</v>
      </c>
      <c r="AZ80" s="802"/>
      <c r="BA80" s="802"/>
      <c r="BB80" s="802"/>
      <c r="BC80" s="802"/>
      <c r="BD80" s="174"/>
      <c r="BE80" s="174"/>
      <c r="BF80" s="174"/>
      <c r="BG80" s="174"/>
      <c r="BH80" s="174"/>
      <c r="BI80" s="174"/>
      <c r="BJ80" s="174"/>
      <c r="BK80" s="174"/>
      <c r="BL80" s="174"/>
      <c r="BM80" s="174"/>
      <c r="BN80" s="174"/>
      <c r="BO80" s="174"/>
    </row>
    <row r="81" spans="3:67" s="55" customFormat="1" ht="30.75" hidden="1" customHeight="1" outlineLevel="1">
      <c r="C81" s="862">
        <v>65</v>
      </c>
      <c r="D81" s="803"/>
      <c r="E81" s="902"/>
      <c r="F81" s="898"/>
      <c r="G81" s="2281"/>
      <c r="H81" s="2282"/>
      <c r="I81" s="851"/>
      <c r="J81" s="846"/>
      <c r="K81" s="796"/>
      <c r="L81" s="797"/>
      <c r="M81" s="797"/>
      <c r="N81" s="797"/>
      <c r="O81" s="797"/>
      <c r="P81" s="797"/>
      <c r="Q81" s="997"/>
      <c r="R81" s="1255"/>
      <c r="S81" s="1284"/>
      <c r="T81" s="798"/>
      <c r="U81" s="847"/>
      <c r="V81" s="848"/>
      <c r="W81" s="892"/>
      <c r="X81" s="904"/>
      <c r="Y81" s="905"/>
      <c r="Z81" s="901"/>
      <c r="AA81" s="800">
        <f t="shared" ref="AA81:AA116" si="20">IF(AND(E81&gt;0,F81&gt;0),"["&amp;RIGHT(LEFT(E81,3),2)&amp;RIGHT(LEFT(F81,2),1)&amp;"]",)</f>
        <v>0</v>
      </c>
      <c r="AB81" s="800">
        <f t="shared" si="17"/>
        <v>0</v>
      </c>
      <c r="AC81" s="800">
        <f t="shared" si="18"/>
        <v>0</v>
      </c>
      <c r="AD81" s="800">
        <f>IF(AA81=0,,VLOOKUP(AA81,リスト!DH:DI,2,0))</f>
        <v>0</v>
      </c>
      <c r="AE81" s="800">
        <f t="shared" ref="AE81:AE116" si="21">IF(AC81=1,3,IF(G81="[2]中古",MIN(AD81,I81),AD81))</f>
        <v>0</v>
      </c>
      <c r="AF81" s="801">
        <f>IF(AE81=0,,VLOOKUP(AE81,リスト!DK:DL,2,0))</f>
        <v>0</v>
      </c>
      <c r="AG81" s="800">
        <f>IF(AA81=0,,
IF(OR(リスト!$C$21="小麦",リスト!$C$21="二条大麦",リスト!$C$21="六条大麦",リスト!$C$21="はだか麦",リスト!$C$21="なたね"),IF(K81&lt;9,調査年-J81,調査年-J81-1),
IF(リスト!$C$21="さとうきび",IF(K81&gt;=4,調査年-J81,調査年-J81+1),
調査年-J81)))</f>
        <v>0</v>
      </c>
      <c r="AH81" s="306">
        <f t="shared" ref="AH81:AH112" si="22">IF(OR(AA81=0,AB81=1),,
IF(AND(AE81&gt;0,AG81&lt;AE81,AI81&lt;=ROUND((L81-1)*AF81,0)),ROUND(AI81,0),
IF(AND(AE81&gt;0,AG81&lt;AE81),ROUND((L81-1)*AF81,0),)))</f>
        <v>0</v>
      </c>
      <c r="AI81" s="306">
        <f t="shared" ref="AI81:AI116" si="23">IF(OR(AA81=0,AB81=1),,
IF(AND(AE81&gt;0,AG81&lt;AE81),L81-ROUND((L81-1)*AF81*AG81,0),1
))</f>
        <v>0</v>
      </c>
      <c r="AJ81" s="306">
        <f t="shared" ref="AJ81:AJ116" si="24">IF(OR(AA81=0,AB81=1),,
IF(U81=0,AH81,
IF(U81="[2]廃棄等",SUM(AI81,V81),
IF(U81="[1]売却",AI81-V81,))))</f>
        <v>0</v>
      </c>
      <c r="AK81" s="306">
        <f t="shared" ref="AK81:AK116" si="25">IF(AND(AJ81=0,AH81=0),,
IF(OR(U81="[1]売却",U81="[2]廃棄等"),SUM(AJ81)-SUM(AH81),))</f>
        <v>0</v>
      </c>
      <c r="AL81" s="306">
        <f t="shared" ref="AL81:AL116" si="26">IF(OR(AB81=1,M81=0),,
IF(AND(AE81&gt;0,M81&gt;0,AG81&lt;AE81),M81-ROUND(M81*AF81*AG81,0),))</f>
        <v>0</v>
      </c>
      <c r="AM81" s="306">
        <f t="shared" si="16"/>
        <v>0</v>
      </c>
      <c r="AN81" s="477"/>
      <c r="AO81" s="306">
        <f>IF(OR(S81=0,AI81=0),,
IF(OR(リスト!$C$21="小麦",リスト!$C$21="二条大麦",リスト!$C$21="六条大麦",リスト!$C$21="はだか麦",リスト!$C$21="なたね"),IF(OR(AND(K81&lt;9,J81=調査年),AND(K81&gt;=9,J81=調査年-1)),,ROUND(AI81*S81%,0)),
IF(リスト!$C$21="さとうきび",IF(OR(AND(K81&gt;=4,J81=調査年),AND(K81&lt;4,J81=調査年+1)),,ROUND(AI81*S81%,0)),
IF(J81=調査年,,ROUND(AI81*S81%,0)))))</f>
        <v>0</v>
      </c>
      <c r="AP81" s="306">
        <f t="shared" ref="AP81:AP116" si="27">IF(S81=0,,IF(AJ81=0,,ROUND(AJ81*S81%,0)))</f>
        <v>0</v>
      </c>
      <c r="AQ81" s="306">
        <f t="shared" ref="AQ81:AQ116" si="28">IF(S81=0,,IF(AK81=0,,ROUND(AK81*S81%,0)))</f>
        <v>0</v>
      </c>
      <c r="AR81" s="306">
        <f t="shared" ref="AR81:AR116" si="29">IF(S81=0,,IF(AI81=0,,ROUND(AI81*S81%,0)))</f>
        <v>0</v>
      </c>
      <c r="AS81" s="306">
        <f>IF(S81=0,,
SUM(
IF(OR(リスト!$C$21="小麦",リスト!$C$21="二条大麦",リスト!$C$21="六条大麦",リスト!$C$21="はだか麦",リスト!$C$21="なたね"),IF(OR(AND(AB81=1,K81&lt;9,J81=調査年),AND(AB81=1,K81&gt;=9,J81=調査年-1)),ROUND(L81*S81%,0),),
IF(リスト!$C$21="さとうきび",IF(OR(AND(AB81=1,K81&gt;=4,J81=調査年),AND(AB81=1,K81&lt;4,J81=調査年+1)),ROUND(L81*S81%,0),),
IF(AND(AB81=1,J81=調査年),ROUND(L81*S81%,0),))),
ROUND(N81*S81%,0),
ROUND(SUM(AM81)*S81%,0)
))</f>
        <v>0</v>
      </c>
      <c r="AT81" s="306">
        <f t="shared" ref="AT81:AT116" si="30">IF(O81&gt;0,ROUND(O81*$S81%,),)</f>
        <v>0</v>
      </c>
      <c r="AU81" s="306">
        <f t="shared" ref="AU81:AU116" si="31">IF(OR(AS81&gt;0,AT81&gt;0),SUM(AS81:AT81),)</f>
        <v>0</v>
      </c>
      <c r="AV81" s="306">
        <f t="shared" ref="AV81:AX116" si="32">IF(P81&gt;0,ROUND(P81*$S81%,),)</f>
        <v>0</v>
      </c>
      <c r="AW81" s="306">
        <f t="shared" si="32"/>
        <v>0</v>
      </c>
      <c r="AX81" s="306">
        <f t="shared" si="32"/>
        <v>0</v>
      </c>
      <c r="AY81" s="841">
        <f t="shared" ref="AY81:AY116" si="33">IF(Y81="○",,IF(AND(X81&gt;0,S81&gt;0),ROUND(1/X81,1),IF(S81&gt;0,ROUND(1,1),)))</f>
        <v>0</v>
      </c>
      <c r="AZ81" s="802"/>
      <c r="BA81" s="802"/>
      <c r="BB81" s="802"/>
      <c r="BC81" s="802"/>
      <c r="BD81" s="174"/>
      <c r="BE81" s="174"/>
      <c r="BF81" s="174"/>
      <c r="BG81" s="174"/>
      <c r="BH81" s="174"/>
      <c r="BI81" s="174"/>
      <c r="BJ81" s="174"/>
      <c r="BK81" s="174"/>
      <c r="BL81" s="174"/>
      <c r="BM81" s="174"/>
      <c r="BN81" s="174"/>
      <c r="BO81" s="174"/>
    </row>
    <row r="82" spans="3:67" s="55" customFormat="1" ht="30.75" hidden="1" customHeight="1" outlineLevel="1">
      <c r="C82" s="862">
        <v>66</v>
      </c>
      <c r="D82" s="803"/>
      <c r="E82" s="902"/>
      <c r="F82" s="898"/>
      <c r="G82" s="2281"/>
      <c r="H82" s="2282"/>
      <c r="I82" s="851"/>
      <c r="J82" s="846"/>
      <c r="K82" s="796"/>
      <c r="L82" s="797"/>
      <c r="M82" s="797"/>
      <c r="N82" s="797"/>
      <c r="O82" s="797"/>
      <c r="P82" s="797"/>
      <c r="Q82" s="997"/>
      <c r="R82" s="1255"/>
      <c r="S82" s="1284"/>
      <c r="T82" s="798"/>
      <c r="U82" s="847"/>
      <c r="V82" s="848"/>
      <c r="W82" s="892"/>
      <c r="X82" s="904"/>
      <c r="Y82" s="905"/>
      <c r="Z82" s="901"/>
      <c r="AA82" s="800">
        <f t="shared" si="20"/>
        <v>0</v>
      </c>
      <c r="AB82" s="800">
        <f t="shared" si="17"/>
        <v>0</v>
      </c>
      <c r="AC82" s="800">
        <f t="shared" si="18"/>
        <v>0</v>
      </c>
      <c r="AD82" s="800">
        <f>IF(AA82=0,,VLOOKUP(AA82,リスト!DH:DI,2,0))</f>
        <v>0</v>
      </c>
      <c r="AE82" s="800">
        <f t="shared" si="21"/>
        <v>0</v>
      </c>
      <c r="AF82" s="801">
        <f>IF(AE82=0,,VLOOKUP(AE82,リスト!DK:DL,2,0))</f>
        <v>0</v>
      </c>
      <c r="AG82" s="800">
        <f>IF(AA82=0,,
IF(OR(リスト!$C$21="小麦",リスト!$C$21="二条大麦",リスト!$C$21="六条大麦",リスト!$C$21="はだか麦",リスト!$C$21="なたね"),IF(K82&lt;9,調査年-J82,調査年-J82-1),
IF(リスト!$C$21="さとうきび",IF(K82&gt;=4,調査年-J82,調査年-J82+1),
調査年-J82)))</f>
        <v>0</v>
      </c>
      <c r="AH82" s="306">
        <f t="shared" si="22"/>
        <v>0</v>
      </c>
      <c r="AI82" s="306">
        <f t="shared" si="23"/>
        <v>0</v>
      </c>
      <c r="AJ82" s="306">
        <f t="shared" si="24"/>
        <v>0</v>
      </c>
      <c r="AK82" s="306">
        <f t="shared" si="25"/>
        <v>0</v>
      </c>
      <c r="AL82" s="306">
        <f t="shared" si="26"/>
        <v>0</v>
      </c>
      <c r="AM82" s="306">
        <f t="shared" ref="AM82:AM116" si="34">IF(OR(AA82=0,AB82=1),IF(AND(AB82=1,AG82=0),M82,),
IF(AND(AE82&gt;0,AG82&lt;AE82,SUM(AL82)&gt;0,AL82&lt;=ROUND(M82*AF82,0)),AL82,
IF(AND(AE82&gt;0,AG82&lt;AE82,SUM(M82)&gt;0),ROUND(M82*AF82,0),)))</f>
        <v>0</v>
      </c>
      <c r="AN82" s="477"/>
      <c r="AO82" s="306">
        <f>IF(OR(S82=0,AI82=0),,
IF(OR(リスト!$C$21="小麦",リスト!$C$21="二条大麦",リスト!$C$21="六条大麦",リスト!$C$21="はだか麦",リスト!$C$21="なたね"),IF(OR(AND(K82&lt;9,J82=調査年),AND(K82&gt;=9,J82=調査年-1)),,ROUND(AI82*S82%,0)),
IF(リスト!$C$21="さとうきび",IF(OR(AND(K82&gt;=4,J82=調査年),AND(K82&lt;4,J82=調査年+1)),,ROUND(AI82*S82%,0)),
IF(J82=調査年,,ROUND(AI82*S82%,0)))))</f>
        <v>0</v>
      </c>
      <c r="AP82" s="306">
        <f t="shared" si="27"/>
        <v>0</v>
      </c>
      <c r="AQ82" s="306">
        <f t="shared" si="28"/>
        <v>0</v>
      </c>
      <c r="AR82" s="306">
        <f t="shared" si="29"/>
        <v>0</v>
      </c>
      <c r="AS82" s="306">
        <f>IF(S82=0,,
SUM(
IF(OR(リスト!$C$21="小麦",リスト!$C$21="二条大麦",リスト!$C$21="六条大麦",リスト!$C$21="はだか麦",リスト!$C$21="なたね"),IF(OR(AND(AB82=1,K82&lt;9,J82=調査年),AND(AB82=1,K82&gt;=9,J82=調査年-1)),ROUND(L82*S82%,0),),
IF(リスト!$C$21="さとうきび",IF(OR(AND(AB82=1,K82&gt;=4,J82=調査年),AND(AB82=1,K82&lt;4,J82=調査年+1)),ROUND(L82*S82%,0),),
IF(AND(AB82=1,J82=調査年),ROUND(L82*S82%,0),))),
ROUND(N82*S82%,0),
ROUND(SUM(AM82)*S82%,0)
))</f>
        <v>0</v>
      </c>
      <c r="AT82" s="306">
        <f t="shared" si="30"/>
        <v>0</v>
      </c>
      <c r="AU82" s="306">
        <f t="shared" si="31"/>
        <v>0</v>
      </c>
      <c r="AV82" s="306">
        <f t="shared" si="32"/>
        <v>0</v>
      </c>
      <c r="AW82" s="306">
        <f t="shared" si="32"/>
        <v>0</v>
      </c>
      <c r="AX82" s="306">
        <f t="shared" si="32"/>
        <v>0</v>
      </c>
      <c r="AY82" s="841">
        <f t="shared" si="33"/>
        <v>0</v>
      </c>
      <c r="AZ82" s="802"/>
      <c r="BA82" s="802"/>
      <c r="BB82" s="802"/>
      <c r="BC82" s="802"/>
      <c r="BD82" s="174"/>
      <c r="BE82" s="174"/>
      <c r="BF82" s="174"/>
      <c r="BG82" s="174"/>
      <c r="BH82" s="174"/>
      <c r="BI82" s="174"/>
      <c r="BJ82" s="174"/>
      <c r="BK82" s="174"/>
      <c r="BL82" s="174"/>
      <c r="BM82" s="174"/>
      <c r="BN82" s="174"/>
      <c r="BO82" s="174"/>
    </row>
    <row r="83" spans="3:67" s="55" customFormat="1" ht="30.75" hidden="1" customHeight="1" outlineLevel="1">
      <c r="C83" s="862">
        <v>67</v>
      </c>
      <c r="D83" s="803"/>
      <c r="E83" s="902"/>
      <c r="F83" s="898"/>
      <c r="G83" s="2281"/>
      <c r="H83" s="2282"/>
      <c r="I83" s="851"/>
      <c r="J83" s="846"/>
      <c r="K83" s="796"/>
      <c r="L83" s="797"/>
      <c r="M83" s="797"/>
      <c r="N83" s="797"/>
      <c r="O83" s="797"/>
      <c r="P83" s="797"/>
      <c r="Q83" s="997"/>
      <c r="R83" s="1255"/>
      <c r="S83" s="1284"/>
      <c r="T83" s="798"/>
      <c r="U83" s="847"/>
      <c r="V83" s="848"/>
      <c r="W83" s="892"/>
      <c r="X83" s="904"/>
      <c r="Y83" s="905"/>
      <c r="Z83" s="901"/>
      <c r="AA83" s="800">
        <f t="shared" si="20"/>
        <v>0</v>
      </c>
      <c r="AB83" s="800">
        <f t="shared" ref="AB83:AB116" si="35">IF(AA83=0,,IF(L83+M83&lt;100000,1,0))</f>
        <v>0</v>
      </c>
      <c r="AC83" s="800">
        <f t="shared" ref="AC83:AC116" si="36">IF(AA83=0,,IF(AND(AB83=0,L83+M83&lt;200000),1,))</f>
        <v>0</v>
      </c>
      <c r="AD83" s="800">
        <f>IF(AA83=0,,VLOOKUP(AA83,リスト!DH:DI,2,0))</f>
        <v>0</v>
      </c>
      <c r="AE83" s="800">
        <f t="shared" si="21"/>
        <v>0</v>
      </c>
      <c r="AF83" s="801">
        <f>IF(AE83=0,,VLOOKUP(AE83,リスト!DK:DL,2,0))</f>
        <v>0</v>
      </c>
      <c r="AG83" s="800">
        <f>IF(AA83=0,,
IF(OR(リスト!$C$21="小麦",リスト!$C$21="二条大麦",リスト!$C$21="六条大麦",リスト!$C$21="はだか麦",リスト!$C$21="なたね"),IF(K83&lt;9,調査年-J83,調査年-J83-1),
IF(リスト!$C$21="さとうきび",IF(K83&gt;=4,調査年-J83,調査年-J83+1),
調査年-J83)))</f>
        <v>0</v>
      </c>
      <c r="AH83" s="306">
        <f t="shared" si="22"/>
        <v>0</v>
      </c>
      <c r="AI83" s="306">
        <f t="shared" si="23"/>
        <v>0</v>
      </c>
      <c r="AJ83" s="306">
        <f t="shared" si="24"/>
        <v>0</v>
      </c>
      <c r="AK83" s="306">
        <f t="shared" si="25"/>
        <v>0</v>
      </c>
      <c r="AL83" s="306">
        <f t="shared" si="26"/>
        <v>0</v>
      </c>
      <c r="AM83" s="306">
        <f t="shared" si="34"/>
        <v>0</v>
      </c>
      <c r="AN83" s="477"/>
      <c r="AO83" s="306">
        <f>IF(OR(S83=0,AI83=0),,
IF(OR(リスト!$C$21="小麦",リスト!$C$21="二条大麦",リスト!$C$21="六条大麦",リスト!$C$21="はだか麦",リスト!$C$21="なたね"),IF(OR(AND(K83&lt;9,J83=調査年),AND(K83&gt;=9,J83=調査年-1)),,ROUND(AI83*S83%,0)),
IF(リスト!$C$21="さとうきび",IF(OR(AND(K83&gt;=4,J83=調査年),AND(K83&lt;4,J83=調査年+1)),,ROUND(AI83*S83%,0)),
IF(J83=調査年,,ROUND(AI83*S83%,0)))))</f>
        <v>0</v>
      </c>
      <c r="AP83" s="306">
        <f t="shared" si="27"/>
        <v>0</v>
      </c>
      <c r="AQ83" s="306">
        <f t="shared" si="28"/>
        <v>0</v>
      </c>
      <c r="AR83" s="306">
        <f t="shared" si="29"/>
        <v>0</v>
      </c>
      <c r="AS83" s="306">
        <f>IF(S83=0,,
SUM(
IF(OR(リスト!$C$21="小麦",リスト!$C$21="二条大麦",リスト!$C$21="六条大麦",リスト!$C$21="はだか麦",リスト!$C$21="なたね"),IF(OR(AND(AB83=1,K83&lt;9,J83=調査年),AND(AB83=1,K83&gt;=9,J83=調査年-1)),ROUND(L83*S83%,0),),
IF(リスト!$C$21="さとうきび",IF(OR(AND(AB83=1,K83&gt;=4,J83=調査年),AND(AB83=1,K83&lt;4,J83=調査年+1)),ROUND(L83*S83%,0),),
IF(AND(AB83=1,J83=調査年),ROUND(L83*S83%,0),))),
ROUND(N83*S83%,0),
ROUND(SUM(AM83)*S83%,0)
))</f>
        <v>0</v>
      </c>
      <c r="AT83" s="306">
        <f t="shared" si="30"/>
        <v>0</v>
      </c>
      <c r="AU83" s="306">
        <f t="shared" si="31"/>
        <v>0</v>
      </c>
      <c r="AV83" s="306">
        <f t="shared" si="32"/>
        <v>0</v>
      </c>
      <c r="AW83" s="306">
        <f t="shared" si="32"/>
        <v>0</v>
      </c>
      <c r="AX83" s="306">
        <f t="shared" si="32"/>
        <v>0</v>
      </c>
      <c r="AY83" s="841">
        <f t="shared" si="33"/>
        <v>0</v>
      </c>
      <c r="AZ83" s="802"/>
      <c r="BA83" s="802"/>
      <c r="BB83" s="802"/>
      <c r="BC83" s="802"/>
      <c r="BD83" s="174"/>
      <c r="BE83" s="174"/>
      <c r="BF83" s="174"/>
      <c r="BG83" s="174"/>
      <c r="BH83" s="174"/>
      <c r="BI83" s="174"/>
      <c r="BJ83" s="174"/>
      <c r="BK83" s="174"/>
      <c r="BL83" s="174"/>
      <c r="BM83" s="174"/>
      <c r="BN83" s="174"/>
      <c r="BO83" s="174"/>
    </row>
    <row r="84" spans="3:67" s="55" customFormat="1" ht="30.75" hidden="1" customHeight="1" outlineLevel="1">
      <c r="C84" s="862">
        <v>68</v>
      </c>
      <c r="D84" s="803"/>
      <c r="E84" s="902"/>
      <c r="F84" s="898"/>
      <c r="G84" s="2281"/>
      <c r="H84" s="2282"/>
      <c r="I84" s="851"/>
      <c r="J84" s="846"/>
      <c r="K84" s="796"/>
      <c r="L84" s="797"/>
      <c r="M84" s="797"/>
      <c r="N84" s="797"/>
      <c r="O84" s="797"/>
      <c r="P84" s="797"/>
      <c r="Q84" s="997"/>
      <c r="R84" s="1255"/>
      <c r="S84" s="1284"/>
      <c r="T84" s="798"/>
      <c r="U84" s="847"/>
      <c r="V84" s="848"/>
      <c r="W84" s="892"/>
      <c r="X84" s="904"/>
      <c r="Y84" s="905"/>
      <c r="Z84" s="901"/>
      <c r="AA84" s="800">
        <f t="shared" si="20"/>
        <v>0</v>
      </c>
      <c r="AB84" s="800">
        <f t="shared" si="35"/>
        <v>0</v>
      </c>
      <c r="AC84" s="800">
        <f t="shared" si="36"/>
        <v>0</v>
      </c>
      <c r="AD84" s="800">
        <f>IF(AA84=0,,VLOOKUP(AA84,リスト!DH:DI,2,0))</f>
        <v>0</v>
      </c>
      <c r="AE84" s="800">
        <f t="shared" si="21"/>
        <v>0</v>
      </c>
      <c r="AF84" s="801">
        <f>IF(AE84=0,,VLOOKUP(AE84,リスト!DK:DL,2,0))</f>
        <v>0</v>
      </c>
      <c r="AG84" s="800">
        <f>IF(AA84=0,,
IF(OR(リスト!$C$21="小麦",リスト!$C$21="二条大麦",リスト!$C$21="六条大麦",リスト!$C$21="はだか麦",リスト!$C$21="なたね"),IF(K84&lt;9,調査年-J84,調査年-J84-1),
IF(リスト!$C$21="さとうきび",IF(K84&gt;=4,調査年-J84,調査年-J84+1),
調査年-J84)))</f>
        <v>0</v>
      </c>
      <c r="AH84" s="306">
        <f t="shared" si="22"/>
        <v>0</v>
      </c>
      <c r="AI84" s="306">
        <f t="shared" si="23"/>
        <v>0</v>
      </c>
      <c r="AJ84" s="306">
        <f t="shared" si="24"/>
        <v>0</v>
      </c>
      <c r="AK84" s="306">
        <f t="shared" si="25"/>
        <v>0</v>
      </c>
      <c r="AL84" s="306">
        <f t="shared" si="26"/>
        <v>0</v>
      </c>
      <c r="AM84" s="306">
        <f t="shared" si="34"/>
        <v>0</v>
      </c>
      <c r="AN84" s="477"/>
      <c r="AO84" s="306">
        <f>IF(OR(S84=0,AI84=0),,
IF(OR(リスト!$C$21="小麦",リスト!$C$21="二条大麦",リスト!$C$21="六条大麦",リスト!$C$21="はだか麦",リスト!$C$21="なたね"),IF(OR(AND(K84&lt;9,J84=調査年),AND(K84&gt;=9,J84=調査年-1)),,ROUND(AI84*S84%,0)),
IF(リスト!$C$21="さとうきび",IF(OR(AND(K84&gt;=4,J84=調査年),AND(K84&lt;4,J84=調査年+1)),,ROUND(AI84*S84%,0)),
IF(J84=調査年,,ROUND(AI84*S84%,0)))))</f>
        <v>0</v>
      </c>
      <c r="AP84" s="306">
        <f t="shared" si="27"/>
        <v>0</v>
      </c>
      <c r="AQ84" s="306">
        <f t="shared" si="28"/>
        <v>0</v>
      </c>
      <c r="AR84" s="306">
        <f t="shared" si="29"/>
        <v>0</v>
      </c>
      <c r="AS84" s="306">
        <f>IF(S84=0,,
SUM(
IF(OR(リスト!$C$21="小麦",リスト!$C$21="二条大麦",リスト!$C$21="六条大麦",リスト!$C$21="はだか麦",リスト!$C$21="なたね"),IF(OR(AND(AB84=1,K84&lt;9,J84=調査年),AND(AB84=1,K84&gt;=9,J84=調査年-1)),ROUND(L84*S84%,0),),
IF(リスト!$C$21="さとうきび",IF(OR(AND(AB84=1,K84&gt;=4,J84=調査年),AND(AB84=1,K84&lt;4,J84=調査年+1)),ROUND(L84*S84%,0),),
IF(AND(AB84=1,J84=調査年),ROUND(L84*S84%,0),))),
ROUND(N84*S84%,0),
ROUND(SUM(AM84)*S84%,0)
))</f>
        <v>0</v>
      </c>
      <c r="AT84" s="306">
        <f t="shared" si="30"/>
        <v>0</v>
      </c>
      <c r="AU84" s="306">
        <f t="shared" si="31"/>
        <v>0</v>
      </c>
      <c r="AV84" s="306">
        <f t="shared" si="32"/>
        <v>0</v>
      </c>
      <c r="AW84" s="306">
        <f t="shared" si="32"/>
        <v>0</v>
      </c>
      <c r="AX84" s="306">
        <f t="shared" si="32"/>
        <v>0</v>
      </c>
      <c r="AY84" s="841">
        <f t="shared" si="33"/>
        <v>0</v>
      </c>
      <c r="AZ84" s="802"/>
      <c r="BA84" s="802"/>
      <c r="BB84" s="802"/>
      <c r="BC84" s="802"/>
      <c r="BD84" s="174"/>
      <c r="BE84" s="174"/>
      <c r="BF84" s="174"/>
      <c r="BG84" s="174"/>
      <c r="BH84" s="174"/>
      <c r="BI84" s="174"/>
      <c r="BJ84" s="174"/>
      <c r="BK84" s="174"/>
      <c r="BL84" s="174"/>
      <c r="BM84" s="174"/>
      <c r="BN84" s="174"/>
      <c r="BO84" s="174"/>
    </row>
    <row r="85" spans="3:67" s="55" customFormat="1" ht="30.75" hidden="1" customHeight="1" outlineLevel="1">
      <c r="C85" s="862">
        <v>69</v>
      </c>
      <c r="D85" s="803"/>
      <c r="E85" s="902"/>
      <c r="F85" s="898"/>
      <c r="G85" s="2281"/>
      <c r="H85" s="2282"/>
      <c r="I85" s="851"/>
      <c r="J85" s="846"/>
      <c r="K85" s="796"/>
      <c r="L85" s="797"/>
      <c r="M85" s="797"/>
      <c r="N85" s="797"/>
      <c r="O85" s="797"/>
      <c r="P85" s="797"/>
      <c r="Q85" s="997"/>
      <c r="R85" s="1255"/>
      <c r="S85" s="1284"/>
      <c r="T85" s="798"/>
      <c r="U85" s="847"/>
      <c r="V85" s="848"/>
      <c r="W85" s="892"/>
      <c r="X85" s="904"/>
      <c r="Y85" s="905"/>
      <c r="Z85" s="901"/>
      <c r="AA85" s="800">
        <f t="shared" si="20"/>
        <v>0</v>
      </c>
      <c r="AB85" s="800">
        <f t="shared" si="35"/>
        <v>0</v>
      </c>
      <c r="AC85" s="800">
        <f t="shared" si="36"/>
        <v>0</v>
      </c>
      <c r="AD85" s="800">
        <f>IF(AA85=0,,VLOOKUP(AA85,リスト!DH:DI,2,0))</f>
        <v>0</v>
      </c>
      <c r="AE85" s="800">
        <f t="shared" si="21"/>
        <v>0</v>
      </c>
      <c r="AF85" s="801">
        <f>IF(AE85=0,,VLOOKUP(AE85,リスト!DK:DL,2,0))</f>
        <v>0</v>
      </c>
      <c r="AG85" s="800">
        <f>IF(AA85=0,,
IF(OR(リスト!$C$21="小麦",リスト!$C$21="二条大麦",リスト!$C$21="六条大麦",リスト!$C$21="はだか麦",リスト!$C$21="なたね"),IF(K85&lt;9,調査年-J85,調査年-J85-1),
IF(リスト!$C$21="さとうきび",IF(K85&gt;=4,調査年-J85,調査年-J85+1),
調査年-J85)))</f>
        <v>0</v>
      </c>
      <c r="AH85" s="306">
        <f t="shared" si="22"/>
        <v>0</v>
      </c>
      <c r="AI85" s="306">
        <f t="shared" si="23"/>
        <v>0</v>
      </c>
      <c r="AJ85" s="306">
        <f t="shared" si="24"/>
        <v>0</v>
      </c>
      <c r="AK85" s="306">
        <f t="shared" si="25"/>
        <v>0</v>
      </c>
      <c r="AL85" s="306">
        <f t="shared" si="26"/>
        <v>0</v>
      </c>
      <c r="AM85" s="306">
        <f t="shared" si="34"/>
        <v>0</v>
      </c>
      <c r="AN85" s="477"/>
      <c r="AO85" s="306">
        <f>IF(OR(S85=0,AI85=0),,
IF(OR(リスト!$C$21="小麦",リスト!$C$21="二条大麦",リスト!$C$21="六条大麦",リスト!$C$21="はだか麦",リスト!$C$21="なたね"),IF(OR(AND(K85&lt;9,J85=調査年),AND(K85&gt;=9,J85=調査年-1)),,ROUND(AI85*S85%,0)),
IF(リスト!$C$21="さとうきび",IF(OR(AND(K85&gt;=4,J85=調査年),AND(K85&lt;4,J85=調査年+1)),,ROUND(AI85*S85%,0)),
IF(J85=調査年,,ROUND(AI85*S85%,0)))))</f>
        <v>0</v>
      </c>
      <c r="AP85" s="306">
        <f t="shared" si="27"/>
        <v>0</v>
      </c>
      <c r="AQ85" s="306">
        <f t="shared" si="28"/>
        <v>0</v>
      </c>
      <c r="AR85" s="306">
        <f t="shared" si="29"/>
        <v>0</v>
      </c>
      <c r="AS85" s="306">
        <f>IF(S85=0,,
SUM(
IF(OR(リスト!$C$21="小麦",リスト!$C$21="二条大麦",リスト!$C$21="六条大麦",リスト!$C$21="はだか麦",リスト!$C$21="なたね"),IF(OR(AND(AB85=1,K85&lt;9,J85=調査年),AND(AB85=1,K85&gt;=9,J85=調査年-1)),ROUND(L85*S85%,0),),
IF(リスト!$C$21="さとうきび",IF(OR(AND(AB85=1,K85&gt;=4,J85=調査年),AND(AB85=1,K85&lt;4,J85=調査年+1)),ROUND(L85*S85%,0),),
IF(AND(AB85=1,J85=調査年),ROUND(L85*S85%,0),))),
ROUND(N85*S85%,0),
ROUND(SUM(AM85)*S85%,0)
))</f>
        <v>0</v>
      </c>
      <c r="AT85" s="306">
        <f t="shared" si="30"/>
        <v>0</v>
      </c>
      <c r="AU85" s="306">
        <f t="shared" si="31"/>
        <v>0</v>
      </c>
      <c r="AV85" s="306">
        <f t="shared" si="32"/>
        <v>0</v>
      </c>
      <c r="AW85" s="306">
        <f t="shared" si="32"/>
        <v>0</v>
      </c>
      <c r="AX85" s="306">
        <f t="shared" si="32"/>
        <v>0</v>
      </c>
      <c r="AY85" s="841">
        <f t="shared" si="33"/>
        <v>0</v>
      </c>
      <c r="AZ85" s="802"/>
      <c r="BA85" s="802"/>
      <c r="BB85" s="802"/>
      <c r="BC85" s="802"/>
      <c r="BD85" s="174"/>
      <c r="BE85" s="174"/>
      <c r="BF85" s="174"/>
      <c r="BG85" s="174"/>
      <c r="BH85" s="174"/>
      <c r="BI85" s="174"/>
      <c r="BJ85" s="174"/>
      <c r="BK85" s="174"/>
      <c r="BL85" s="174"/>
      <c r="BM85" s="174"/>
      <c r="BN85" s="174"/>
      <c r="BO85" s="174"/>
    </row>
    <row r="86" spans="3:67" s="55" customFormat="1" ht="30.75" hidden="1" customHeight="1" outlineLevel="1">
      <c r="C86" s="862">
        <v>70</v>
      </c>
      <c r="D86" s="803"/>
      <c r="E86" s="902"/>
      <c r="F86" s="898"/>
      <c r="G86" s="2281"/>
      <c r="H86" s="2282"/>
      <c r="I86" s="851"/>
      <c r="J86" s="846"/>
      <c r="K86" s="796"/>
      <c r="L86" s="797"/>
      <c r="M86" s="797"/>
      <c r="N86" s="797"/>
      <c r="O86" s="797"/>
      <c r="P86" s="797"/>
      <c r="Q86" s="997"/>
      <c r="R86" s="1255"/>
      <c r="S86" s="1284"/>
      <c r="T86" s="798"/>
      <c r="U86" s="847"/>
      <c r="V86" s="848"/>
      <c r="W86" s="892"/>
      <c r="X86" s="904"/>
      <c r="Y86" s="905"/>
      <c r="Z86" s="901"/>
      <c r="AA86" s="800">
        <f t="shared" si="20"/>
        <v>0</v>
      </c>
      <c r="AB86" s="800">
        <f t="shared" si="35"/>
        <v>0</v>
      </c>
      <c r="AC86" s="800">
        <f t="shared" si="36"/>
        <v>0</v>
      </c>
      <c r="AD86" s="800">
        <f>IF(AA86=0,,VLOOKUP(AA86,リスト!DH:DI,2,0))</f>
        <v>0</v>
      </c>
      <c r="AE86" s="800">
        <f t="shared" si="21"/>
        <v>0</v>
      </c>
      <c r="AF86" s="801">
        <f>IF(AE86=0,,VLOOKUP(AE86,リスト!DK:DL,2,0))</f>
        <v>0</v>
      </c>
      <c r="AG86" s="800">
        <f>IF(AA86=0,,
IF(OR(リスト!$C$21="小麦",リスト!$C$21="二条大麦",リスト!$C$21="六条大麦",リスト!$C$21="はだか麦",リスト!$C$21="なたね"),IF(K86&lt;9,調査年-J86,調査年-J86-1),
IF(リスト!$C$21="さとうきび",IF(K86&gt;=4,調査年-J86,調査年-J86+1),
調査年-J86)))</f>
        <v>0</v>
      </c>
      <c r="AH86" s="306">
        <f t="shared" si="22"/>
        <v>0</v>
      </c>
      <c r="AI86" s="306">
        <f t="shared" si="23"/>
        <v>0</v>
      </c>
      <c r="AJ86" s="306">
        <f t="shared" si="24"/>
        <v>0</v>
      </c>
      <c r="AK86" s="306">
        <f t="shared" si="25"/>
        <v>0</v>
      </c>
      <c r="AL86" s="306">
        <f t="shared" si="26"/>
        <v>0</v>
      </c>
      <c r="AM86" s="306">
        <f t="shared" si="34"/>
        <v>0</v>
      </c>
      <c r="AN86" s="477"/>
      <c r="AO86" s="306">
        <f>IF(OR(S86=0,AI86=0),,
IF(OR(リスト!$C$21="小麦",リスト!$C$21="二条大麦",リスト!$C$21="六条大麦",リスト!$C$21="はだか麦",リスト!$C$21="なたね"),IF(OR(AND(K86&lt;9,J86=調査年),AND(K86&gt;=9,J86=調査年-1)),,ROUND(AI86*S86%,0)),
IF(リスト!$C$21="さとうきび",IF(OR(AND(K86&gt;=4,J86=調査年),AND(K86&lt;4,J86=調査年+1)),,ROUND(AI86*S86%,0)),
IF(J86=調査年,,ROUND(AI86*S86%,0)))))</f>
        <v>0</v>
      </c>
      <c r="AP86" s="306">
        <f t="shared" si="27"/>
        <v>0</v>
      </c>
      <c r="AQ86" s="306">
        <f t="shared" si="28"/>
        <v>0</v>
      </c>
      <c r="AR86" s="306">
        <f t="shared" si="29"/>
        <v>0</v>
      </c>
      <c r="AS86" s="306">
        <f>IF(S86=0,,
SUM(
IF(OR(リスト!$C$21="小麦",リスト!$C$21="二条大麦",リスト!$C$21="六条大麦",リスト!$C$21="はだか麦",リスト!$C$21="なたね"),IF(OR(AND(AB86=1,K86&lt;9,J86=調査年),AND(AB86=1,K86&gt;=9,J86=調査年-1)),ROUND(L86*S86%,0),),
IF(リスト!$C$21="さとうきび",IF(OR(AND(AB86=1,K86&gt;=4,J86=調査年),AND(AB86=1,K86&lt;4,J86=調査年+1)),ROUND(L86*S86%,0),),
IF(AND(AB86=1,J86=調査年),ROUND(L86*S86%,0),))),
ROUND(N86*S86%,0),
ROUND(SUM(AM86)*S86%,0)
))</f>
        <v>0</v>
      </c>
      <c r="AT86" s="306">
        <f t="shared" si="30"/>
        <v>0</v>
      </c>
      <c r="AU86" s="306">
        <f t="shared" si="31"/>
        <v>0</v>
      </c>
      <c r="AV86" s="306">
        <f t="shared" si="32"/>
        <v>0</v>
      </c>
      <c r="AW86" s="306">
        <f t="shared" si="32"/>
        <v>0</v>
      </c>
      <c r="AX86" s="306">
        <f t="shared" si="32"/>
        <v>0</v>
      </c>
      <c r="AY86" s="841">
        <f t="shared" si="33"/>
        <v>0</v>
      </c>
      <c r="AZ86" s="802"/>
      <c r="BA86" s="802"/>
      <c r="BB86" s="802"/>
      <c r="BC86" s="802"/>
      <c r="BD86" s="174"/>
      <c r="BE86" s="174"/>
      <c r="BF86" s="174"/>
      <c r="BG86" s="174"/>
      <c r="BH86" s="174"/>
      <c r="BI86" s="174"/>
      <c r="BJ86" s="174"/>
      <c r="BK86" s="174"/>
      <c r="BL86" s="174"/>
      <c r="BM86" s="174"/>
      <c r="BN86" s="174"/>
      <c r="BO86" s="174"/>
    </row>
    <row r="87" spans="3:67" s="55" customFormat="1" ht="30.75" hidden="1" customHeight="1" outlineLevel="1">
      <c r="C87" s="862">
        <v>71</v>
      </c>
      <c r="D87" s="803"/>
      <c r="E87" s="902"/>
      <c r="F87" s="898"/>
      <c r="G87" s="2281"/>
      <c r="H87" s="2282"/>
      <c r="I87" s="851"/>
      <c r="J87" s="846"/>
      <c r="K87" s="796"/>
      <c r="L87" s="797"/>
      <c r="M87" s="797"/>
      <c r="N87" s="797"/>
      <c r="O87" s="797"/>
      <c r="P87" s="797"/>
      <c r="Q87" s="997"/>
      <c r="R87" s="1255"/>
      <c r="S87" s="1284"/>
      <c r="T87" s="798"/>
      <c r="U87" s="847"/>
      <c r="V87" s="848"/>
      <c r="W87" s="892"/>
      <c r="X87" s="904"/>
      <c r="Y87" s="905"/>
      <c r="Z87" s="901"/>
      <c r="AA87" s="800">
        <f t="shared" si="20"/>
        <v>0</v>
      </c>
      <c r="AB87" s="800">
        <f t="shared" si="35"/>
        <v>0</v>
      </c>
      <c r="AC87" s="800">
        <f t="shared" si="36"/>
        <v>0</v>
      </c>
      <c r="AD87" s="800">
        <f>IF(AA87=0,,VLOOKUP(AA87,リスト!DH:DI,2,0))</f>
        <v>0</v>
      </c>
      <c r="AE87" s="800">
        <f t="shared" si="21"/>
        <v>0</v>
      </c>
      <c r="AF87" s="801">
        <f>IF(AE87=0,,VLOOKUP(AE87,リスト!DK:DL,2,0))</f>
        <v>0</v>
      </c>
      <c r="AG87" s="800">
        <f>IF(AA87=0,,
IF(OR(リスト!$C$21="小麦",リスト!$C$21="二条大麦",リスト!$C$21="六条大麦",リスト!$C$21="はだか麦",リスト!$C$21="なたね"),IF(K87&lt;9,調査年-J87,調査年-J87-1),
IF(リスト!$C$21="さとうきび",IF(K87&gt;=4,調査年-J87,調査年-J87+1),
調査年-J87)))</f>
        <v>0</v>
      </c>
      <c r="AH87" s="306">
        <f t="shared" si="22"/>
        <v>0</v>
      </c>
      <c r="AI87" s="306">
        <f t="shared" si="23"/>
        <v>0</v>
      </c>
      <c r="AJ87" s="306">
        <f t="shared" si="24"/>
        <v>0</v>
      </c>
      <c r="AK87" s="306">
        <f t="shared" si="25"/>
        <v>0</v>
      </c>
      <c r="AL87" s="306">
        <f t="shared" si="26"/>
        <v>0</v>
      </c>
      <c r="AM87" s="306">
        <f t="shared" si="34"/>
        <v>0</v>
      </c>
      <c r="AN87" s="477"/>
      <c r="AO87" s="306">
        <f>IF(OR(S87=0,AI87=0),,
IF(OR(リスト!$C$21="小麦",リスト!$C$21="二条大麦",リスト!$C$21="六条大麦",リスト!$C$21="はだか麦",リスト!$C$21="なたね"),IF(OR(AND(K87&lt;9,J87=調査年),AND(K87&gt;=9,J87=調査年-1)),,ROUND(AI87*S87%,0)),
IF(リスト!$C$21="さとうきび",IF(OR(AND(K87&gt;=4,J87=調査年),AND(K87&lt;4,J87=調査年+1)),,ROUND(AI87*S87%,0)),
IF(J87=調査年,,ROUND(AI87*S87%,0)))))</f>
        <v>0</v>
      </c>
      <c r="AP87" s="306">
        <f t="shared" si="27"/>
        <v>0</v>
      </c>
      <c r="AQ87" s="306">
        <f t="shared" si="28"/>
        <v>0</v>
      </c>
      <c r="AR87" s="306">
        <f t="shared" si="29"/>
        <v>0</v>
      </c>
      <c r="AS87" s="306">
        <f>IF(S87=0,,
SUM(
IF(OR(リスト!$C$21="小麦",リスト!$C$21="二条大麦",リスト!$C$21="六条大麦",リスト!$C$21="はだか麦",リスト!$C$21="なたね"),IF(OR(AND(AB87=1,K87&lt;9,J87=調査年),AND(AB87=1,K87&gt;=9,J87=調査年-1)),ROUND(L87*S87%,0),),
IF(リスト!$C$21="さとうきび",IF(OR(AND(AB87=1,K87&gt;=4,J87=調査年),AND(AB87=1,K87&lt;4,J87=調査年+1)),ROUND(L87*S87%,0),),
IF(AND(AB87=1,J87=調査年),ROUND(L87*S87%,0),))),
ROUND(N87*S87%,0),
ROUND(SUM(AM87)*S87%,0)
))</f>
        <v>0</v>
      </c>
      <c r="AT87" s="306">
        <f t="shared" si="30"/>
        <v>0</v>
      </c>
      <c r="AU87" s="306">
        <f t="shared" si="31"/>
        <v>0</v>
      </c>
      <c r="AV87" s="306">
        <f t="shared" si="32"/>
        <v>0</v>
      </c>
      <c r="AW87" s="306">
        <f t="shared" si="32"/>
        <v>0</v>
      </c>
      <c r="AX87" s="306">
        <f t="shared" si="32"/>
        <v>0</v>
      </c>
      <c r="AY87" s="841">
        <f t="shared" si="33"/>
        <v>0</v>
      </c>
      <c r="AZ87" s="802"/>
      <c r="BA87" s="802"/>
      <c r="BB87" s="802"/>
      <c r="BC87" s="802"/>
      <c r="BD87" s="174"/>
      <c r="BE87" s="174"/>
      <c r="BF87" s="174"/>
      <c r="BG87" s="174"/>
      <c r="BH87" s="174"/>
      <c r="BI87" s="174"/>
      <c r="BJ87" s="174"/>
      <c r="BK87" s="174"/>
      <c r="BL87" s="174"/>
      <c r="BM87" s="174"/>
      <c r="BN87" s="174"/>
      <c r="BO87" s="174"/>
    </row>
    <row r="88" spans="3:67" s="55" customFormat="1" ht="30.75" hidden="1" customHeight="1" outlineLevel="1">
      <c r="C88" s="862">
        <v>72</v>
      </c>
      <c r="D88" s="803"/>
      <c r="E88" s="902"/>
      <c r="F88" s="898"/>
      <c r="G88" s="2281"/>
      <c r="H88" s="2282"/>
      <c r="I88" s="851"/>
      <c r="J88" s="846"/>
      <c r="K88" s="796"/>
      <c r="L88" s="797"/>
      <c r="M88" s="797"/>
      <c r="N88" s="797"/>
      <c r="O88" s="797"/>
      <c r="P88" s="797"/>
      <c r="Q88" s="997"/>
      <c r="R88" s="1255"/>
      <c r="S88" s="1284"/>
      <c r="T88" s="798"/>
      <c r="U88" s="847"/>
      <c r="V88" s="848"/>
      <c r="W88" s="892"/>
      <c r="X88" s="904"/>
      <c r="Y88" s="905"/>
      <c r="Z88" s="901"/>
      <c r="AA88" s="800">
        <f t="shared" si="20"/>
        <v>0</v>
      </c>
      <c r="AB88" s="800">
        <f t="shared" si="35"/>
        <v>0</v>
      </c>
      <c r="AC88" s="800">
        <f t="shared" si="36"/>
        <v>0</v>
      </c>
      <c r="AD88" s="800">
        <f>IF(AA88=0,,VLOOKUP(AA88,リスト!DH:DI,2,0))</f>
        <v>0</v>
      </c>
      <c r="AE88" s="800">
        <f t="shared" si="21"/>
        <v>0</v>
      </c>
      <c r="AF88" s="801">
        <f>IF(AE88=0,,VLOOKUP(AE88,リスト!DK:DL,2,0))</f>
        <v>0</v>
      </c>
      <c r="AG88" s="800">
        <f>IF(AA88=0,,
IF(OR(リスト!$C$21="小麦",リスト!$C$21="二条大麦",リスト!$C$21="六条大麦",リスト!$C$21="はだか麦",リスト!$C$21="なたね"),IF(K88&lt;9,調査年-J88,調査年-J88-1),
IF(リスト!$C$21="さとうきび",IF(K88&gt;=4,調査年-J88,調査年-J88+1),
調査年-J88)))</f>
        <v>0</v>
      </c>
      <c r="AH88" s="306">
        <f t="shared" si="22"/>
        <v>0</v>
      </c>
      <c r="AI88" s="306">
        <f t="shared" si="23"/>
        <v>0</v>
      </c>
      <c r="AJ88" s="306">
        <f t="shared" si="24"/>
        <v>0</v>
      </c>
      <c r="AK88" s="306">
        <f t="shared" si="25"/>
        <v>0</v>
      </c>
      <c r="AL88" s="306">
        <f t="shared" si="26"/>
        <v>0</v>
      </c>
      <c r="AM88" s="306">
        <f t="shared" si="34"/>
        <v>0</v>
      </c>
      <c r="AN88" s="477"/>
      <c r="AO88" s="306">
        <f>IF(OR(S88=0,AI88=0),,
IF(OR(リスト!$C$21="小麦",リスト!$C$21="二条大麦",リスト!$C$21="六条大麦",リスト!$C$21="はだか麦",リスト!$C$21="なたね"),IF(OR(AND(K88&lt;9,J88=調査年),AND(K88&gt;=9,J88=調査年-1)),,ROUND(AI88*S88%,0)),
IF(リスト!$C$21="さとうきび",IF(OR(AND(K88&gt;=4,J88=調査年),AND(K88&lt;4,J88=調査年+1)),,ROUND(AI88*S88%,0)),
IF(J88=調査年,,ROUND(AI88*S88%,0)))))</f>
        <v>0</v>
      </c>
      <c r="AP88" s="306">
        <f t="shared" si="27"/>
        <v>0</v>
      </c>
      <c r="AQ88" s="306">
        <f t="shared" si="28"/>
        <v>0</v>
      </c>
      <c r="AR88" s="306">
        <f t="shared" si="29"/>
        <v>0</v>
      </c>
      <c r="AS88" s="306">
        <f>IF(S88=0,,
SUM(
IF(OR(リスト!$C$21="小麦",リスト!$C$21="二条大麦",リスト!$C$21="六条大麦",リスト!$C$21="はだか麦",リスト!$C$21="なたね"),IF(OR(AND(AB88=1,K88&lt;9,J88=調査年),AND(AB88=1,K88&gt;=9,J88=調査年-1)),ROUND(L88*S88%,0),),
IF(リスト!$C$21="さとうきび",IF(OR(AND(AB88=1,K88&gt;=4,J88=調査年),AND(AB88=1,K88&lt;4,J88=調査年+1)),ROUND(L88*S88%,0),),
IF(AND(AB88=1,J88=調査年),ROUND(L88*S88%,0),))),
ROUND(N88*S88%,0),
ROUND(SUM(AM88)*S88%,0)
))</f>
        <v>0</v>
      </c>
      <c r="AT88" s="306">
        <f t="shared" si="30"/>
        <v>0</v>
      </c>
      <c r="AU88" s="306">
        <f t="shared" si="31"/>
        <v>0</v>
      </c>
      <c r="AV88" s="306">
        <f t="shared" si="32"/>
        <v>0</v>
      </c>
      <c r="AW88" s="306">
        <f t="shared" si="32"/>
        <v>0</v>
      </c>
      <c r="AX88" s="306">
        <f t="shared" si="32"/>
        <v>0</v>
      </c>
      <c r="AY88" s="841">
        <f t="shared" si="33"/>
        <v>0</v>
      </c>
      <c r="AZ88" s="802"/>
      <c r="BA88" s="802"/>
      <c r="BB88" s="802"/>
      <c r="BC88" s="802"/>
      <c r="BD88" s="174"/>
      <c r="BE88" s="174"/>
      <c r="BF88" s="174"/>
      <c r="BG88" s="174"/>
      <c r="BH88" s="174"/>
      <c r="BI88" s="174"/>
      <c r="BJ88" s="174"/>
      <c r="BK88" s="174"/>
      <c r="BL88" s="174"/>
      <c r="BM88" s="174"/>
      <c r="BN88" s="174"/>
      <c r="BO88" s="174"/>
    </row>
    <row r="89" spans="3:67" s="55" customFormat="1" ht="30.75" hidden="1" customHeight="1" outlineLevel="1">
      <c r="C89" s="862">
        <v>73</v>
      </c>
      <c r="D89" s="803"/>
      <c r="E89" s="902"/>
      <c r="F89" s="898"/>
      <c r="G89" s="2281"/>
      <c r="H89" s="2282"/>
      <c r="I89" s="851"/>
      <c r="J89" s="846"/>
      <c r="K89" s="796"/>
      <c r="L89" s="797"/>
      <c r="M89" s="797"/>
      <c r="N89" s="797"/>
      <c r="O89" s="797"/>
      <c r="P89" s="797"/>
      <c r="Q89" s="997"/>
      <c r="R89" s="1255"/>
      <c r="S89" s="1284"/>
      <c r="T89" s="798"/>
      <c r="U89" s="847"/>
      <c r="V89" s="848"/>
      <c r="W89" s="892"/>
      <c r="X89" s="904"/>
      <c r="Y89" s="905"/>
      <c r="Z89" s="901"/>
      <c r="AA89" s="800">
        <f t="shared" si="20"/>
        <v>0</v>
      </c>
      <c r="AB89" s="800">
        <f t="shared" si="35"/>
        <v>0</v>
      </c>
      <c r="AC89" s="800">
        <f t="shared" si="36"/>
        <v>0</v>
      </c>
      <c r="AD89" s="800">
        <f>IF(AA89=0,,VLOOKUP(AA89,リスト!DH:DI,2,0))</f>
        <v>0</v>
      </c>
      <c r="AE89" s="800">
        <f t="shared" si="21"/>
        <v>0</v>
      </c>
      <c r="AF89" s="801">
        <f>IF(AE89=0,,VLOOKUP(AE89,リスト!DK:DL,2,0))</f>
        <v>0</v>
      </c>
      <c r="AG89" s="800">
        <f>IF(AA89=0,,
IF(OR(リスト!$C$21="小麦",リスト!$C$21="二条大麦",リスト!$C$21="六条大麦",リスト!$C$21="はだか麦",リスト!$C$21="なたね"),IF(K89&lt;9,調査年-J89,調査年-J89-1),
IF(リスト!$C$21="さとうきび",IF(K89&gt;=4,調査年-J89,調査年-J89+1),
調査年-J89)))</f>
        <v>0</v>
      </c>
      <c r="AH89" s="306">
        <f t="shared" si="22"/>
        <v>0</v>
      </c>
      <c r="AI89" s="306">
        <f t="shared" si="23"/>
        <v>0</v>
      </c>
      <c r="AJ89" s="306">
        <f t="shared" si="24"/>
        <v>0</v>
      </c>
      <c r="AK89" s="306">
        <f t="shared" si="25"/>
        <v>0</v>
      </c>
      <c r="AL89" s="306">
        <f t="shared" si="26"/>
        <v>0</v>
      </c>
      <c r="AM89" s="306">
        <f t="shared" si="34"/>
        <v>0</v>
      </c>
      <c r="AN89" s="477"/>
      <c r="AO89" s="306">
        <f>IF(OR(S89=0,AI89=0),,
IF(OR(リスト!$C$21="小麦",リスト!$C$21="二条大麦",リスト!$C$21="六条大麦",リスト!$C$21="はだか麦",リスト!$C$21="なたね"),IF(OR(AND(K89&lt;9,J89=調査年),AND(K89&gt;=9,J89=調査年-1)),,ROUND(AI89*S89%,0)),
IF(リスト!$C$21="さとうきび",IF(OR(AND(K89&gt;=4,J89=調査年),AND(K89&lt;4,J89=調査年+1)),,ROUND(AI89*S89%,0)),
IF(J89=調査年,,ROUND(AI89*S89%,0)))))</f>
        <v>0</v>
      </c>
      <c r="AP89" s="306">
        <f t="shared" si="27"/>
        <v>0</v>
      </c>
      <c r="AQ89" s="306">
        <f t="shared" si="28"/>
        <v>0</v>
      </c>
      <c r="AR89" s="306">
        <f t="shared" si="29"/>
        <v>0</v>
      </c>
      <c r="AS89" s="306">
        <f>IF(S89=0,,
SUM(
IF(OR(リスト!$C$21="小麦",リスト!$C$21="二条大麦",リスト!$C$21="六条大麦",リスト!$C$21="はだか麦",リスト!$C$21="なたね"),IF(OR(AND(AB89=1,K89&lt;9,J89=調査年),AND(AB89=1,K89&gt;=9,J89=調査年-1)),ROUND(L89*S89%,0),),
IF(リスト!$C$21="さとうきび",IF(OR(AND(AB89=1,K89&gt;=4,J89=調査年),AND(AB89=1,K89&lt;4,J89=調査年+1)),ROUND(L89*S89%,0),),
IF(AND(AB89=1,J89=調査年),ROUND(L89*S89%,0),))),
ROUND(N89*S89%,0),
ROUND(SUM(AM89)*S89%,0)
))</f>
        <v>0</v>
      </c>
      <c r="AT89" s="306">
        <f t="shared" si="30"/>
        <v>0</v>
      </c>
      <c r="AU89" s="306">
        <f t="shared" si="31"/>
        <v>0</v>
      </c>
      <c r="AV89" s="306">
        <f t="shared" si="32"/>
        <v>0</v>
      </c>
      <c r="AW89" s="306">
        <f t="shared" si="32"/>
        <v>0</v>
      </c>
      <c r="AX89" s="306">
        <f t="shared" si="32"/>
        <v>0</v>
      </c>
      <c r="AY89" s="841">
        <f t="shared" si="33"/>
        <v>0</v>
      </c>
      <c r="AZ89" s="802"/>
      <c r="BA89" s="802"/>
      <c r="BB89" s="802"/>
      <c r="BC89" s="802"/>
      <c r="BD89" s="174"/>
      <c r="BE89" s="174"/>
      <c r="BF89" s="174"/>
      <c r="BG89" s="174"/>
      <c r="BH89" s="174"/>
      <c r="BI89" s="174"/>
      <c r="BJ89" s="174"/>
      <c r="BK89" s="174"/>
      <c r="BL89" s="174"/>
      <c r="BM89" s="174"/>
      <c r="BN89" s="174"/>
      <c r="BO89" s="174"/>
    </row>
    <row r="90" spans="3:67" s="55" customFormat="1" ht="30.75" hidden="1" customHeight="1" outlineLevel="1">
      <c r="C90" s="862">
        <v>74</v>
      </c>
      <c r="D90" s="803"/>
      <c r="E90" s="902"/>
      <c r="F90" s="898"/>
      <c r="G90" s="2281"/>
      <c r="H90" s="2282"/>
      <c r="I90" s="851"/>
      <c r="J90" s="846"/>
      <c r="K90" s="796"/>
      <c r="L90" s="797"/>
      <c r="M90" s="797"/>
      <c r="N90" s="797"/>
      <c r="O90" s="797"/>
      <c r="P90" s="797"/>
      <c r="Q90" s="997"/>
      <c r="R90" s="1255"/>
      <c r="S90" s="1284"/>
      <c r="T90" s="798"/>
      <c r="U90" s="847"/>
      <c r="V90" s="848"/>
      <c r="W90" s="892"/>
      <c r="X90" s="904"/>
      <c r="Y90" s="905"/>
      <c r="Z90" s="901"/>
      <c r="AA90" s="800">
        <f t="shared" si="20"/>
        <v>0</v>
      </c>
      <c r="AB90" s="800">
        <f t="shared" si="35"/>
        <v>0</v>
      </c>
      <c r="AC90" s="800">
        <f t="shared" si="36"/>
        <v>0</v>
      </c>
      <c r="AD90" s="800">
        <f>IF(AA90=0,,VLOOKUP(AA90,リスト!DH:DI,2,0))</f>
        <v>0</v>
      </c>
      <c r="AE90" s="800">
        <f t="shared" si="21"/>
        <v>0</v>
      </c>
      <c r="AF90" s="801">
        <f>IF(AE90=0,,VLOOKUP(AE90,リスト!DK:DL,2,0))</f>
        <v>0</v>
      </c>
      <c r="AG90" s="800">
        <f>IF(AA90=0,,
IF(OR(リスト!$C$21="小麦",リスト!$C$21="二条大麦",リスト!$C$21="六条大麦",リスト!$C$21="はだか麦",リスト!$C$21="なたね"),IF(K90&lt;9,調査年-J90,調査年-J90-1),
IF(リスト!$C$21="さとうきび",IF(K90&gt;=4,調査年-J90,調査年-J90+1),
調査年-J90)))</f>
        <v>0</v>
      </c>
      <c r="AH90" s="306">
        <f t="shared" si="22"/>
        <v>0</v>
      </c>
      <c r="AI90" s="306">
        <f t="shared" si="23"/>
        <v>0</v>
      </c>
      <c r="AJ90" s="306">
        <f t="shared" si="24"/>
        <v>0</v>
      </c>
      <c r="AK90" s="306">
        <f t="shared" si="25"/>
        <v>0</v>
      </c>
      <c r="AL90" s="306">
        <f t="shared" si="26"/>
        <v>0</v>
      </c>
      <c r="AM90" s="306">
        <f t="shared" si="34"/>
        <v>0</v>
      </c>
      <c r="AN90" s="477"/>
      <c r="AO90" s="306">
        <f>IF(OR(S90=0,AI90=0),,
IF(OR(リスト!$C$21="小麦",リスト!$C$21="二条大麦",リスト!$C$21="六条大麦",リスト!$C$21="はだか麦",リスト!$C$21="なたね"),IF(OR(AND(K90&lt;9,J90=調査年),AND(K90&gt;=9,J90=調査年-1)),,ROUND(AI90*S90%,0)),
IF(リスト!$C$21="さとうきび",IF(OR(AND(K90&gt;=4,J90=調査年),AND(K90&lt;4,J90=調査年+1)),,ROUND(AI90*S90%,0)),
IF(J90=調査年,,ROUND(AI90*S90%,0)))))</f>
        <v>0</v>
      </c>
      <c r="AP90" s="306">
        <f t="shared" si="27"/>
        <v>0</v>
      </c>
      <c r="AQ90" s="306">
        <f t="shared" si="28"/>
        <v>0</v>
      </c>
      <c r="AR90" s="306">
        <f t="shared" si="29"/>
        <v>0</v>
      </c>
      <c r="AS90" s="306">
        <f>IF(S90=0,,
SUM(
IF(OR(リスト!$C$21="小麦",リスト!$C$21="二条大麦",リスト!$C$21="六条大麦",リスト!$C$21="はだか麦",リスト!$C$21="なたね"),IF(OR(AND(AB90=1,K90&lt;9,J90=調査年),AND(AB90=1,K90&gt;=9,J90=調査年-1)),ROUND(L90*S90%,0),),
IF(リスト!$C$21="さとうきび",IF(OR(AND(AB90=1,K90&gt;=4,J90=調査年),AND(AB90=1,K90&lt;4,J90=調査年+1)),ROUND(L90*S90%,0),),
IF(AND(AB90=1,J90=調査年),ROUND(L90*S90%,0),))),
ROUND(N90*S90%,0),
ROUND(SUM(AM90)*S90%,0)
))</f>
        <v>0</v>
      </c>
      <c r="AT90" s="306">
        <f t="shared" si="30"/>
        <v>0</v>
      </c>
      <c r="AU90" s="306">
        <f t="shared" si="31"/>
        <v>0</v>
      </c>
      <c r="AV90" s="306">
        <f t="shared" si="32"/>
        <v>0</v>
      </c>
      <c r="AW90" s="306">
        <f t="shared" si="32"/>
        <v>0</v>
      </c>
      <c r="AX90" s="306">
        <f t="shared" si="32"/>
        <v>0</v>
      </c>
      <c r="AY90" s="841">
        <f t="shared" si="33"/>
        <v>0</v>
      </c>
      <c r="AZ90" s="802"/>
      <c r="BA90" s="802"/>
      <c r="BB90" s="802"/>
      <c r="BC90" s="802"/>
      <c r="BD90" s="174"/>
      <c r="BE90" s="174"/>
      <c r="BF90" s="174"/>
      <c r="BG90" s="174"/>
      <c r="BH90" s="174"/>
      <c r="BI90" s="174"/>
      <c r="BJ90" s="174"/>
      <c r="BK90" s="174"/>
      <c r="BL90" s="174"/>
      <c r="BM90" s="174"/>
      <c r="BN90" s="174"/>
      <c r="BO90" s="174"/>
    </row>
    <row r="91" spans="3:67" s="55" customFormat="1" ht="30.75" hidden="1" customHeight="1" outlineLevel="1">
      <c r="C91" s="862">
        <v>75</v>
      </c>
      <c r="D91" s="803"/>
      <c r="E91" s="902"/>
      <c r="F91" s="898"/>
      <c r="G91" s="2281"/>
      <c r="H91" s="2282"/>
      <c r="I91" s="851"/>
      <c r="J91" s="846"/>
      <c r="K91" s="796"/>
      <c r="L91" s="797"/>
      <c r="M91" s="797"/>
      <c r="N91" s="797"/>
      <c r="O91" s="797"/>
      <c r="P91" s="797"/>
      <c r="Q91" s="997"/>
      <c r="R91" s="1255"/>
      <c r="S91" s="1284"/>
      <c r="T91" s="798"/>
      <c r="U91" s="847"/>
      <c r="V91" s="848"/>
      <c r="W91" s="892"/>
      <c r="X91" s="904"/>
      <c r="Y91" s="905"/>
      <c r="Z91" s="901"/>
      <c r="AA91" s="800">
        <f t="shared" si="20"/>
        <v>0</v>
      </c>
      <c r="AB91" s="800">
        <f t="shared" si="35"/>
        <v>0</v>
      </c>
      <c r="AC91" s="800">
        <f t="shared" si="36"/>
        <v>0</v>
      </c>
      <c r="AD91" s="800">
        <f>IF(AA91=0,,VLOOKUP(AA91,リスト!DH:DI,2,0))</f>
        <v>0</v>
      </c>
      <c r="AE91" s="800">
        <f t="shared" si="21"/>
        <v>0</v>
      </c>
      <c r="AF91" s="801">
        <f>IF(AE91=0,,VLOOKUP(AE91,リスト!DK:DL,2,0))</f>
        <v>0</v>
      </c>
      <c r="AG91" s="800">
        <f>IF(AA91=0,,
IF(OR(リスト!$C$21="小麦",リスト!$C$21="二条大麦",リスト!$C$21="六条大麦",リスト!$C$21="はだか麦",リスト!$C$21="なたね"),IF(K91&lt;9,調査年-J91,調査年-J91-1),
IF(リスト!$C$21="さとうきび",IF(K91&gt;=4,調査年-J91,調査年-J91+1),
調査年-J91)))</f>
        <v>0</v>
      </c>
      <c r="AH91" s="306">
        <f t="shared" si="22"/>
        <v>0</v>
      </c>
      <c r="AI91" s="306">
        <f t="shared" si="23"/>
        <v>0</v>
      </c>
      <c r="AJ91" s="306">
        <f t="shared" si="24"/>
        <v>0</v>
      </c>
      <c r="AK91" s="306">
        <f t="shared" si="25"/>
        <v>0</v>
      </c>
      <c r="AL91" s="306">
        <f t="shared" si="26"/>
        <v>0</v>
      </c>
      <c r="AM91" s="306">
        <f t="shared" si="34"/>
        <v>0</v>
      </c>
      <c r="AN91" s="477"/>
      <c r="AO91" s="306">
        <f>IF(OR(S91=0,AI91=0),,
IF(OR(リスト!$C$21="小麦",リスト!$C$21="二条大麦",リスト!$C$21="六条大麦",リスト!$C$21="はだか麦",リスト!$C$21="なたね"),IF(OR(AND(K91&lt;9,J91=調査年),AND(K91&gt;=9,J91=調査年-1)),,ROUND(AI91*S91%,0)),
IF(リスト!$C$21="さとうきび",IF(OR(AND(K91&gt;=4,J91=調査年),AND(K91&lt;4,J91=調査年+1)),,ROUND(AI91*S91%,0)),
IF(J91=調査年,,ROUND(AI91*S91%,0)))))</f>
        <v>0</v>
      </c>
      <c r="AP91" s="306">
        <f t="shared" si="27"/>
        <v>0</v>
      </c>
      <c r="AQ91" s="306">
        <f t="shared" si="28"/>
        <v>0</v>
      </c>
      <c r="AR91" s="306">
        <f t="shared" si="29"/>
        <v>0</v>
      </c>
      <c r="AS91" s="306">
        <f>IF(S91=0,,
SUM(
IF(OR(リスト!$C$21="小麦",リスト!$C$21="二条大麦",リスト!$C$21="六条大麦",リスト!$C$21="はだか麦",リスト!$C$21="なたね"),IF(OR(AND(AB91=1,K91&lt;9,J91=調査年),AND(AB91=1,K91&gt;=9,J91=調査年-1)),ROUND(L91*S91%,0),),
IF(リスト!$C$21="さとうきび",IF(OR(AND(AB91=1,K91&gt;=4,J91=調査年),AND(AB91=1,K91&lt;4,J91=調査年+1)),ROUND(L91*S91%,0),),
IF(AND(AB91=1,J91=調査年),ROUND(L91*S91%,0),))),
ROUND(N91*S91%,0),
ROUND(SUM(AM91)*S91%,0)
))</f>
        <v>0</v>
      </c>
      <c r="AT91" s="306">
        <f t="shared" si="30"/>
        <v>0</v>
      </c>
      <c r="AU91" s="306">
        <f t="shared" si="31"/>
        <v>0</v>
      </c>
      <c r="AV91" s="306">
        <f t="shared" si="32"/>
        <v>0</v>
      </c>
      <c r="AW91" s="306">
        <f t="shared" si="32"/>
        <v>0</v>
      </c>
      <c r="AX91" s="306">
        <f t="shared" si="32"/>
        <v>0</v>
      </c>
      <c r="AY91" s="841">
        <f t="shared" si="33"/>
        <v>0</v>
      </c>
      <c r="AZ91" s="802"/>
      <c r="BA91" s="802"/>
      <c r="BB91" s="802"/>
      <c r="BC91" s="802"/>
      <c r="BD91" s="174"/>
      <c r="BE91" s="174"/>
      <c r="BF91" s="174"/>
      <c r="BG91" s="174"/>
      <c r="BH91" s="174"/>
      <c r="BI91" s="174"/>
      <c r="BJ91" s="174"/>
      <c r="BK91" s="174"/>
      <c r="BL91" s="174"/>
      <c r="BM91" s="174"/>
      <c r="BN91" s="174"/>
      <c r="BO91" s="174"/>
    </row>
    <row r="92" spans="3:67" s="55" customFormat="1" ht="30.75" hidden="1" customHeight="1" outlineLevel="1">
      <c r="C92" s="862">
        <v>76</v>
      </c>
      <c r="D92" s="803"/>
      <c r="E92" s="902"/>
      <c r="F92" s="898"/>
      <c r="G92" s="2281"/>
      <c r="H92" s="2282"/>
      <c r="I92" s="851"/>
      <c r="J92" s="846"/>
      <c r="K92" s="796"/>
      <c r="L92" s="797"/>
      <c r="M92" s="797"/>
      <c r="N92" s="797"/>
      <c r="O92" s="797"/>
      <c r="P92" s="797"/>
      <c r="Q92" s="997"/>
      <c r="R92" s="1255"/>
      <c r="S92" s="1284"/>
      <c r="T92" s="798"/>
      <c r="U92" s="847"/>
      <c r="V92" s="848"/>
      <c r="W92" s="892"/>
      <c r="X92" s="904"/>
      <c r="Y92" s="905"/>
      <c r="Z92" s="901"/>
      <c r="AA92" s="800">
        <f t="shared" si="20"/>
        <v>0</v>
      </c>
      <c r="AB92" s="800">
        <f t="shared" si="35"/>
        <v>0</v>
      </c>
      <c r="AC92" s="800">
        <f t="shared" si="36"/>
        <v>0</v>
      </c>
      <c r="AD92" s="800">
        <f>IF(AA92=0,,VLOOKUP(AA92,リスト!DH:DI,2,0))</f>
        <v>0</v>
      </c>
      <c r="AE92" s="800">
        <f t="shared" si="21"/>
        <v>0</v>
      </c>
      <c r="AF92" s="801">
        <f>IF(AE92=0,,VLOOKUP(AE92,リスト!DK:DL,2,0))</f>
        <v>0</v>
      </c>
      <c r="AG92" s="800">
        <f>IF(AA92=0,,
IF(OR(リスト!$C$21="小麦",リスト!$C$21="二条大麦",リスト!$C$21="六条大麦",リスト!$C$21="はだか麦",リスト!$C$21="なたね"),IF(K92&lt;9,調査年-J92,調査年-J92-1),
IF(リスト!$C$21="さとうきび",IF(K92&gt;=4,調査年-J92,調査年-J92+1),
調査年-J92)))</f>
        <v>0</v>
      </c>
      <c r="AH92" s="306">
        <f t="shared" si="22"/>
        <v>0</v>
      </c>
      <c r="AI92" s="306">
        <f t="shared" si="23"/>
        <v>0</v>
      </c>
      <c r="AJ92" s="306">
        <f t="shared" si="24"/>
        <v>0</v>
      </c>
      <c r="AK92" s="306">
        <f t="shared" si="25"/>
        <v>0</v>
      </c>
      <c r="AL92" s="306">
        <f t="shared" si="26"/>
        <v>0</v>
      </c>
      <c r="AM92" s="306">
        <f t="shared" si="34"/>
        <v>0</v>
      </c>
      <c r="AN92" s="477"/>
      <c r="AO92" s="306">
        <f>IF(OR(S92=0,AI92=0),,
IF(OR(リスト!$C$21="小麦",リスト!$C$21="二条大麦",リスト!$C$21="六条大麦",リスト!$C$21="はだか麦",リスト!$C$21="なたね"),IF(OR(AND(K92&lt;9,J92=調査年),AND(K92&gt;=9,J92=調査年-1)),,ROUND(AI92*S92%,0)),
IF(リスト!$C$21="さとうきび",IF(OR(AND(K92&gt;=4,J92=調査年),AND(K92&lt;4,J92=調査年+1)),,ROUND(AI92*S92%,0)),
IF(J92=調査年,,ROUND(AI92*S92%,0)))))</f>
        <v>0</v>
      </c>
      <c r="AP92" s="306">
        <f t="shared" si="27"/>
        <v>0</v>
      </c>
      <c r="AQ92" s="306">
        <f t="shared" si="28"/>
        <v>0</v>
      </c>
      <c r="AR92" s="306">
        <f t="shared" si="29"/>
        <v>0</v>
      </c>
      <c r="AS92" s="306">
        <f>IF(S92=0,,
SUM(
IF(OR(リスト!$C$21="小麦",リスト!$C$21="二条大麦",リスト!$C$21="六条大麦",リスト!$C$21="はだか麦",リスト!$C$21="なたね"),IF(OR(AND(AB92=1,K92&lt;9,J92=調査年),AND(AB92=1,K92&gt;=9,J92=調査年-1)),ROUND(L92*S92%,0),),
IF(リスト!$C$21="さとうきび",IF(OR(AND(AB92=1,K92&gt;=4,J92=調査年),AND(AB92=1,K92&lt;4,J92=調査年+1)),ROUND(L92*S92%,0),),
IF(AND(AB92=1,J92=調査年),ROUND(L92*S92%,0),))),
ROUND(N92*S92%,0),
ROUND(SUM(AM92)*S92%,0)
))</f>
        <v>0</v>
      </c>
      <c r="AT92" s="306">
        <f t="shared" si="30"/>
        <v>0</v>
      </c>
      <c r="AU92" s="306">
        <f t="shared" si="31"/>
        <v>0</v>
      </c>
      <c r="AV92" s="306">
        <f t="shared" si="32"/>
        <v>0</v>
      </c>
      <c r="AW92" s="306">
        <f t="shared" si="32"/>
        <v>0</v>
      </c>
      <c r="AX92" s="306">
        <f t="shared" si="32"/>
        <v>0</v>
      </c>
      <c r="AY92" s="841">
        <f t="shared" si="33"/>
        <v>0</v>
      </c>
      <c r="AZ92" s="802"/>
      <c r="BA92" s="802"/>
      <c r="BB92" s="802"/>
      <c r="BC92" s="802"/>
      <c r="BD92" s="174"/>
      <c r="BE92" s="174"/>
      <c r="BF92" s="174"/>
      <c r="BG92" s="174"/>
      <c r="BH92" s="174"/>
      <c r="BI92" s="174"/>
      <c r="BJ92" s="174"/>
      <c r="BK92" s="174"/>
      <c r="BL92" s="174"/>
      <c r="BM92" s="174"/>
      <c r="BN92" s="174"/>
      <c r="BO92" s="174"/>
    </row>
    <row r="93" spans="3:67" s="55" customFormat="1" ht="30.75" hidden="1" customHeight="1" outlineLevel="1">
      <c r="C93" s="862">
        <v>77</v>
      </c>
      <c r="D93" s="803"/>
      <c r="E93" s="902"/>
      <c r="F93" s="898"/>
      <c r="G93" s="2281"/>
      <c r="H93" s="2282"/>
      <c r="I93" s="851"/>
      <c r="J93" s="846"/>
      <c r="K93" s="796"/>
      <c r="L93" s="797"/>
      <c r="M93" s="797"/>
      <c r="N93" s="797"/>
      <c r="O93" s="797"/>
      <c r="P93" s="797"/>
      <c r="Q93" s="997"/>
      <c r="R93" s="1255"/>
      <c r="S93" s="1284"/>
      <c r="T93" s="798"/>
      <c r="U93" s="847"/>
      <c r="V93" s="848"/>
      <c r="W93" s="892"/>
      <c r="X93" s="904"/>
      <c r="Y93" s="905"/>
      <c r="Z93" s="901"/>
      <c r="AA93" s="800">
        <f t="shared" si="20"/>
        <v>0</v>
      </c>
      <c r="AB93" s="800">
        <f t="shared" si="35"/>
        <v>0</v>
      </c>
      <c r="AC93" s="800">
        <f t="shared" si="36"/>
        <v>0</v>
      </c>
      <c r="AD93" s="800">
        <f>IF(AA93=0,,VLOOKUP(AA93,リスト!DH:DI,2,0))</f>
        <v>0</v>
      </c>
      <c r="AE93" s="800">
        <f t="shared" si="21"/>
        <v>0</v>
      </c>
      <c r="AF93" s="801">
        <f>IF(AE93=0,,VLOOKUP(AE93,リスト!DK:DL,2,0))</f>
        <v>0</v>
      </c>
      <c r="AG93" s="800">
        <f>IF(AA93=0,,
IF(OR(リスト!$C$21="小麦",リスト!$C$21="二条大麦",リスト!$C$21="六条大麦",リスト!$C$21="はだか麦",リスト!$C$21="なたね"),IF(K93&lt;9,調査年-J93,調査年-J93-1),
IF(リスト!$C$21="さとうきび",IF(K93&gt;=4,調査年-J93,調査年-J93+1),
調査年-J93)))</f>
        <v>0</v>
      </c>
      <c r="AH93" s="306">
        <f t="shared" si="22"/>
        <v>0</v>
      </c>
      <c r="AI93" s="306">
        <f t="shared" si="23"/>
        <v>0</v>
      </c>
      <c r="AJ93" s="306">
        <f t="shared" si="24"/>
        <v>0</v>
      </c>
      <c r="AK93" s="306">
        <f t="shared" si="25"/>
        <v>0</v>
      </c>
      <c r="AL93" s="306">
        <f t="shared" si="26"/>
        <v>0</v>
      </c>
      <c r="AM93" s="306">
        <f t="shared" si="34"/>
        <v>0</v>
      </c>
      <c r="AN93" s="477"/>
      <c r="AO93" s="306">
        <f>IF(OR(S93=0,AI93=0),,
IF(OR(リスト!$C$21="小麦",リスト!$C$21="二条大麦",リスト!$C$21="六条大麦",リスト!$C$21="はだか麦",リスト!$C$21="なたね"),IF(OR(AND(K93&lt;9,J93=調査年),AND(K93&gt;=9,J93=調査年-1)),,ROUND(AI93*S93%,0)),
IF(リスト!$C$21="さとうきび",IF(OR(AND(K93&gt;=4,J93=調査年),AND(K93&lt;4,J93=調査年+1)),,ROUND(AI93*S93%,0)),
IF(J93=調査年,,ROUND(AI93*S93%,0)))))</f>
        <v>0</v>
      </c>
      <c r="AP93" s="306">
        <f t="shared" si="27"/>
        <v>0</v>
      </c>
      <c r="AQ93" s="306">
        <f t="shared" si="28"/>
        <v>0</v>
      </c>
      <c r="AR93" s="306">
        <f t="shared" si="29"/>
        <v>0</v>
      </c>
      <c r="AS93" s="306">
        <f>IF(S93=0,,
SUM(
IF(OR(リスト!$C$21="小麦",リスト!$C$21="二条大麦",リスト!$C$21="六条大麦",リスト!$C$21="はだか麦",リスト!$C$21="なたね"),IF(OR(AND(AB93=1,K93&lt;9,J93=調査年),AND(AB93=1,K93&gt;=9,J93=調査年-1)),ROUND(L93*S93%,0),),
IF(リスト!$C$21="さとうきび",IF(OR(AND(AB93=1,K93&gt;=4,J93=調査年),AND(AB93=1,K93&lt;4,J93=調査年+1)),ROUND(L93*S93%,0),),
IF(AND(AB93=1,J93=調査年),ROUND(L93*S93%,0),))),
ROUND(N93*S93%,0),
ROUND(SUM(AM93)*S93%,0)
))</f>
        <v>0</v>
      </c>
      <c r="AT93" s="306">
        <f t="shared" si="30"/>
        <v>0</v>
      </c>
      <c r="AU93" s="306">
        <f t="shared" si="31"/>
        <v>0</v>
      </c>
      <c r="AV93" s="306">
        <f t="shared" si="32"/>
        <v>0</v>
      </c>
      <c r="AW93" s="306">
        <f t="shared" si="32"/>
        <v>0</v>
      </c>
      <c r="AX93" s="306">
        <f t="shared" si="32"/>
        <v>0</v>
      </c>
      <c r="AY93" s="841">
        <f t="shared" si="33"/>
        <v>0</v>
      </c>
      <c r="AZ93" s="802"/>
      <c r="BA93" s="802"/>
      <c r="BB93" s="802"/>
      <c r="BC93" s="802"/>
      <c r="BD93" s="174"/>
      <c r="BE93" s="174"/>
      <c r="BF93" s="174"/>
      <c r="BG93" s="174"/>
      <c r="BH93" s="174"/>
      <c r="BI93" s="174"/>
      <c r="BJ93" s="174"/>
      <c r="BK93" s="174"/>
      <c r="BL93" s="174"/>
      <c r="BM93" s="174"/>
      <c r="BN93" s="174"/>
      <c r="BO93" s="174"/>
    </row>
    <row r="94" spans="3:67" s="55" customFormat="1" ht="30.75" hidden="1" customHeight="1" outlineLevel="1">
      <c r="C94" s="862">
        <v>78</v>
      </c>
      <c r="D94" s="803"/>
      <c r="E94" s="902"/>
      <c r="F94" s="898"/>
      <c r="G94" s="2281"/>
      <c r="H94" s="2282"/>
      <c r="I94" s="851"/>
      <c r="J94" s="846"/>
      <c r="K94" s="796"/>
      <c r="L94" s="797"/>
      <c r="M94" s="797"/>
      <c r="N94" s="797"/>
      <c r="O94" s="797"/>
      <c r="P94" s="797"/>
      <c r="Q94" s="997"/>
      <c r="R94" s="1255"/>
      <c r="S94" s="1284"/>
      <c r="T94" s="798"/>
      <c r="U94" s="847"/>
      <c r="V94" s="848"/>
      <c r="W94" s="892"/>
      <c r="X94" s="904"/>
      <c r="Y94" s="905"/>
      <c r="Z94" s="901"/>
      <c r="AA94" s="800">
        <f t="shared" si="20"/>
        <v>0</v>
      </c>
      <c r="AB94" s="800">
        <f t="shared" si="35"/>
        <v>0</v>
      </c>
      <c r="AC94" s="800">
        <f t="shared" si="36"/>
        <v>0</v>
      </c>
      <c r="AD94" s="800">
        <f>IF(AA94=0,,VLOOKUP(AA94,リスト!DH:DI,2,0))</f>
        <v>0</v>
      </c>
      <c r="AE94" s="800">
        <f t="shared" si="21"/>
        <v>0</v>
      </c>
      <c r="AF94" s="801">
        <f>IF(AE94=0,,VLOOKUP(AE94,リスト!DK:DL,2,0))</f>
        <v>0</v>
      </c>
      <c r="AG94" s="800">
        <f>IF(AA94=0,,
IF(OR(リスト!$C$21="小麦",リスト!$C$21="二条大麦",リスト!$C$21="六条大麦",リスト!$C$21="はだか麦",リスト!$C$21="なたね"),IF(K94&lt;9,調査年-J94,調査年-J94-1),
IF(リスト!$C$21="さとうきび",IF(K94&gt;=4,調査年-J94,調査年-J94+1),
調査年-J94)))</f>
        <v>0</v>
      </c>
      <c r="AH94" s="306">
        <f t="shared" si="22"/>
        <v>0</v>
      </c>
      <c r="AI94" s="306">
        <f t="shared" si="23"/>
        <v>0</v>
      </c>
      <c r="AJ94" s="306">
        <f t="shared" si="24"/>
        <v>0</v>
      </c>
      <c r="AK94" s="306">
        <f t="shared" si="25"/>
        <v>0</v>
      </c>
      <c r="AL94" s="306">
        <f t="shared" si="26"/>
        <v>0</v>
      </c>
      <c r="AM94" s="306">
        <f t="shared" si="34"/>
        <v>0</v>
      </c>
      <c r="AN94" s="477"/>
      <c r="AO94" s="306">
        <f>IF(OR(S94=0,AI94=0),,
IF(OR(リスト!$C$21="小麦",リスト!$C$21="二条大麦",リスト!$C$21="六条大麦",リスト!$C$21="はだか麦",リスト!$C$21="なたね"),IF(OR(AND(K94&lt;9,J94=調査年),AND(K94&gt;=9,J94=調査年-1)),,ROUND(AI94*S94%,0)),
IF(リスト!$C$21="さとうきび",IF(OR(AND(K94&gt;=4,J94=調査年),AND(K94&lt;4,J94=調査年+1)),,ROUND(AI94*S94%,0)),
IF(J94=調査年,,ROUND(AI94*S94%,0)))))</f>
        <v>0</v>
      </c>
      <c r="AP94" s="306">
        <f t="shared" si="27"/>
        <v>0</v>
      </c>
      <c r="AQ94" s="306">
        <f t="shared" si="28"/>
        <v>0</v>
      </c>
      <c r="AR94" s="306">
        <f t="shared" si="29"/>
        <v>0</v>
      </c>
      <c r="AS94" s="306">
        <f>IF(S94=0,,
SUM(
IF(OR(リスト!$C$21="小麦",リスト!$C$21="二条大麦",リスト!$C$21="六条大麦",リスト!$C$21="はだか麦",リスト!$C$21="なたね"),IF(OR(AND(AB94=1,K94&lt;9,J94=調査年),AND(AB94=1,K94&gt;=9,J94=調査年-1)),ROUND(L94*S94%,0),),
IF(リスト!$C$21="さとうきび",IF(OR(AND(AB94=1,K94&gt;=4,J94=調査年),AND(AB94=1,K94&lt;4,J94=調査年+1)),ROUND(L94*S94%,0),),
IF(AND(AB94=1,J94=調査年),ROUND(L94*S94%,0),))),
ROUND(N94*S94%,0),
ROUND(SUM(AM94)*S94%,0)
))</f>
        <v>0</v>
      </c>
      <c r="AT94" s="306">
        <f t="shared" si="30"/>
        <v>0</v>
      </c>
      <c r="AU94" s="306">
        <f t="shared" si="31"/>
        <v>0</v>
      </c>
      <c r="AV94" s="306">
        <f t="shared" si="32"/>
        <v>0</v>
      </c>
      <c r="AW94" s="306">
        <f t="shared" si="32"/>
        <v>0</v>
      </c>
      <c r="AX94" s="306">
        <f t="shared" si="32"/>
        <v>0</v>
      </c>
      <c r="AY94" s="841">
        <f t="shared" si="33"/>
        <v>0</v>
      </c>
      <c r="AZ94" s="802"/>
      <c r="BA94" s="802"/>
      <c r="BB94" s="802"/>
      <c r="BC94" s="802"/>
      <c r="BD94" s="174"/>
      <c r="BE94" s="174"/>
      <c r="BF94" s="174"/>
      <c r="BG94" s="174"/>
      <c r="BH94" s="174"/>
      <c r="BI94" s="174"/>
      <c r="BJ94" s="174"/>
      <c r="BK94" s="174"/>
      <c r="BL94" s="174"/>
      <c r="BM94" s="174"/>
      <c r="BN94" s="174"/>
      <c r="BO94" s="174"/>
    </row>
    <row r="95" spans="3:67" s="55" customFormat="1" ht="30.75" hidden="1" customHeight="1" outlineLevel="1">
      <c r="C95" s="862">
        <v>79</v>
      </c>
      <c r="D95" s="803"/>
      <c r="E95" s="902"/>
      <c r="F95" s="898"/>
      <c r="G95" s="2281"/>
      <c r="H95" s="2282"/>
      <c r="I95" s="851"/>
      <c r="J95" s="846"/>
      <c r="K95" s="796"/>
      <c r="L95" s="797"/>
      <c r="M95" s="797"/>
      <c r="N95" s="797"/>
      <c r="O95" s="797"/>
      <c r="P95" s="797"/>
      <c r="Q95" s="997"/>
      <c r="R95" s="1255"/>
      <c r="S95" s="1284"/>
      <c r="T95" s="798"/>
      <c r="U95" s="847"/>
      <c r="V95" s="848"/>
      <c r="W95" s="892"/>
      <c r="X95" s="904"/>
      <c r="Y95" s="905"/>
      <c r="Z95" s="901"/>
      <c r="AA95" s="800">
        <f t="shared" si="20"/>
        <v>0</v>
      </c>
      <c r="AB95" s="800">
        <f t="shared" si="35"/>
        <v>0</v>
      </c>
      <c r="AC95" s="800">
        <f t="shared" si="36"/>
        <v>0</v>
      </c>
      <c r="AD95" s="800">
        <f>IF(AA95=0,,VLOOKUP(AA95,リスト!DH:DI,2,0))</f>
        <v>0</v>
      </c>
      <c r="AE95" s="800">
        <f t="shared" si="21"/>
        <v>0</v>
      </c>
      <c r="AF95" s="801">
        <f>IF(AE95=0,,VLOOKUP(AE95,リスト!DK:DL,2,0))</f>
        <v>0</v>
      </c>
      <c r="AG95" s="800">
        <f>IF(AA95=0,,
IF(OR(リスト!$C$21="小麦",リスト!$C$21="二条大麦",リスト!$C$21="六条大麦",リスト!$C$21="はだか麦",リスト!$C$21="なたね"),IF(K95&lt;9,調査年-J95,調査年-J95-1),
IF(リスト!$C$21="さとうきび",IF(K95&gt;=4,調査年-J95,調査年-J95+1),
調査年-J95)))</f>
        <v>0</v>
      </c>
      <c r="AH95" s="306">
        <f t="shared" si="22"/>
        <v>0</v>
      </c>
      <c r="AI95" s="306">
        <f t="shared" si="23"/>
        <v>0</v>
      </c>
      <c r="AJ95" s="306">
        <f t="shared" si="24"/>
        <v>0</v>
      </c>
      <c r="AK95" s="306">
        <f t="shared" si="25"/>
        <v>0</v>
      </c>
      <c r="AL95" s="306">
        <f t="shared" si="26"/>
        <v>0</v>
      </c>
      <c r="AM95" s="306">
        <f t="shared" si="34"/>
        <v>0</v>
      </c>
      <c r="AN95" s="477"/>
      <c r="AO95" s="306">
        <f>IF(OR(S95=0,AI95=0),,
IF(OR(リスト!$C$21="小麦",リスト!$C$21="二条大麦",リスト!$C$21="六条大麦",リスト!$C$21="はだか麦",リスト!$C$21="なたね"),IF(OR(AND(K95&lt;9,J95=調査年),AND(K95&gt;=9,J95=調査年-1)),,ROUND(AI95*S95%,0)),
IF(リスト!$C$21="さとうきび",IF(OR(AND(K95&gt;=4,J95=調査年),AND(K95&lt;4,J95=調査年+1)),,ROUND(AI95*S95%,0)),
IF(J95=調査年,,ROUND(AI95*S95%,0)))))</f>
        <v>0</v>
      </c>
      <c r="AP95" s="306">
        <f t="shared" si="27"/>
        <v>0</v>
      </c>
      <c r="AQ95" s="306">
        <f t="shared" si="28"/>
        <v>0</v>
      </c>
      <c r="AR95" s="306">
        <f t="shared" si="29"/>
        <v>0</v>
      </c>
      <c r="AS95" s="306">
        <f>IF(S95=0,,
SUM(
IF(OR(リスト!$C$21="小麦",リスト!$C$21="二条大麦",リスト!$C$21="六条大麦",リスト!$C$21="はだか麦",リスト!$C$21="なたね"),IF(OR(AND(AB95=1,K95&lt;9,J95=調査年),AND(AB95=1,K95&gt;=9,J95=調査年-1)),ROUND(L95*S95%,0),),
IF(リスト!$C$21="さとうきび",IF(OR(AND(AB95=1,K95&gt;=4,J95=調査年),AND(AB95=1,K95&lt;4,J95=調査年+1)),ROUND(L95*S95%,0),),
IF(AND(AB95=1,J95=調査年),ROUND(L95*S95%,0),))),
ROUND(N95*S95%,0),
ROUND(SUM(AM95)*S95%,0)
))</f>
        <v>0</v>
      </c>
      <c r="AT95" s="306">
        <f t="shared" si="30"/>
        <v>0</v>
      </c>
      <c r="AU95" s="306">
        <f t="shared" si="31"/>
        <v>0</v>
      </c>
      <c r="AV95" s="306">
        <f t="shared" si="32"/>
        <v>0</v>
      </c>
      <c r="AW95" s="306">
        <f t="shared" si="32"/>
        <v>0</v>
      </c>
      <c r="AX95" s="306">
        <f t="shared" si="32"/>
        <v>0</v>
      </c>
      <c r="AY95" s="841">
        <f t="shared" si="33"/>
        <v>0</v>
      </c>
      <c r="AZ95" s="802"/>
      <c r="BA95" s="802"/>
      <c r="BB95" s="802"/>
      <c r="BC95" s="802"/>
      <c r="BD95" s="174"/>
      <c r="BE95" s="174"/>
      <c r="BF95" s="174"/>
      <c r="BG95" s="174"/>
      <c r="BH95" s="174"/>
      <c r="BI95" s="174"/>
      <c r="BJ95" s="174"/>
      <c r="BK95" s="174"/>
      <c r="BL95" s="174"/>
      <c r="BM95" s="174"/>
      <c r="BN95" s="174"/>
      <c r="BO95" s="174"/>
    </row>
    <row r="96" spans="3:67" s="55" customFormat="1" ht="30.75" hidden="1" customHeight="1" outlineLevel="1">
      <c r="C96" s="862">
        <v>80</v>
      </c>
      <c r="D96" s="803"/>
      <c r="E96" s="902"/>
      <c r="F96" s="898"/>
      <c r="G96" s="2281"/>
      <c r="H96" s="2282"/>
      <c r="I96" s="851"/>
      <c r="J96" s="846"/>
      <c r="K96" s="796"/>
      <c r="L96" s="797"/>
      <c r="M96" s="797"/>
      <c r="N96" s="797"/>
      <c r="O96" s="797"/>
      <c r="P96" s="797"/>
      <c r="Q96" s="997"/>
      <c r="R96" s="1255"/>
      <c r="S96" s="1284"/>
      <c r="T96" s="798"/>
      <c r="U96" s="847"/>
      <c r="V96" s="848"/>
      <c r="W96" s="892"/>
      <c r="X96" s="904"/>
      <c r="Y96" s="905"/>
      <c r="Z96" s="901"/>
      <c r="AA96" s="800">
        <f t="shared" si="20"/>
        <v>0</v>
      </c>
      <c r="AB96" s="800">
        <f t="shared" si="35"/>
        <v>0</v>
      </c>
      <c r="AC96" s="800">
        <f t="shared" si="36"/>
        <v>0</v>
      </c>
      <c r="AD96" s="800">
        <f>IF(AA96=0,,VLOOKUP(AA96,リスト!DH:DI,2,0))</f>
        <v>0</v>
      </c>
      <c r="AE96" s="800">
        <f t="shared" si="21"/>
        <v>0</v>
      </c>
      <c r="AF96" s="801">
        <f>IF(AE96=0,,VLOOKUP(AE96,リスト!DK:DL,2,0))</f>
        <v>0</v>
      </c>
      <c r="AG96" s="800">
        <f>IF(AA96=0,,
IF(OR(リスト!$C$21="小麦",リスト!$C$21="二条大麦",リスト!$C$21="六条大麦",リスト!$C$21="はだか麦",リスト!$C$21="なたね"),IF(K96&lt;9,調査年-J96,調査年-J96-1),
IF(リスト!$C$21="さとうきび",IF(K96&gt;=4,調査年-J96,調査年-J96+1),
調査年-J96)))</f>
        <v>0</v>
      </c>
      <c r="AH96" s="306">
        <f t="shared" si="22"/>
        <v>0</v>
      </c>
      <c r="AI96" s="306">
        <f t="shared" si="23"/>
        <v>0</v>
      </c>
      <c r="AJ96" s="306">
        <f t="shared" si="24"/>
        <v>0</v>
      </c>
      <c r="AK96" s="306">
        <f t="shared" si="25"/>
        <v>0</v>
      </c>
      <c r="AL96" s="306">
        <f t="shared" si="26"/>
        <v>0</v>
      </c>
      <c r="AM96" s="306">
        <f t="shared" si="34"/>
        <v>0</v>
      </c>
      <c r="AN96" s="477"/>
      <c r="AO96" s="306">
        <f>IF(OR(S96=0,AI96=0),,
IF(OR(リスト!$C$21="小麦",リスト!$C$21="二条大麦",リスト!$C$21="六条大麦",リスト!$C$21="はだか麦",リスト!$C$21="なたね"),IF(OR(AND(K96&lt;9,J96=調査年),AND(K96&gt;=9,J96=調査年-1)),,ROUND(AI96*S96%,0)),
IF(リスト!$C$21="さとうきび",IF(OR(AND(K96&gt;=4,J96=調査年),AND(K96&lt;4,J96=調査年+1)),,ROUND(AI96*S96%,0)),
IF(J96=調査年,,ROUND(AI96*S96%,0)))))</f>
        <v>0</v>
      </c>
      <c r="AP96" s="306">
        <f t="shared" si="27"/>
        <v>0</v>
      </c>
      <c r="AQ96" s="306">
        <f t="shared" si="28"/>
        <v>0</v>
      </c>
      <c r="AR96" s="306">
        <f t="shared" si="29"/>
        <v>0</v>
      </c>
      <c r="AS96" s="306">
        <f>IF(S96=0,,
SUM(
IF(OR(リスト!$C$21="小麦",リスト!$C$21="二条大麦",リスト!$C$21="六条大麦",リスト!$C$21="はだか麦",リスト!$C$21="なたね"),IF(OR(AND(AB96=1,K96&lt;9,J96=調査年),AND(AB96=1,K96&gt;=9,J96=調査年-1)),ROUND(L96*S96%,0),),
IF(リスト!$C$21="さとうきび",IF(OR(AND(AB96=1,K96&gt;=4,J96=調査年),AND(AB96=1,K96&lt;4,J96=調査年+1)),ROUND(L96*S96%,0),),
IF(AND(AB96=1,J96=調査年),ROUND(L96*S96%,0),))),
ROUND(N96*S96%,0),
ROUND(SUM(AM96)*S96%,0)
))</f>
        <v>0</v>
      </c>
      <c r="AT96" s="306">
        <f t="shared" si="30"/>
        <v>0</v>
      </c>
      <c r="AU96" s="306">
        <f t="shared" si="31"/>
        <v>0</v>
      </c>
      <c r="AV96" s="306">
        <f t="shared" si="32"/>
        <v>0</v>
      </c>
      <c r="AW96" s="306">
        <f t="shared" si="32"/>
        <v>0</v>
      </c>
      <c r="AX96" s="306">
        <f t="shared" si="32"/>
        <v>0</v>
      </c>
      <c r="AY96" s="841">
        <f t="shared" si="33"/>
        <v>0</v>
      </c>
      <c r="AZ96" s="802"/>
      <c r="BA96" s="802"/>
      <c r="BB96" s="802"/>
      <c r="BC96" s="802"/>
      <c r="BD96" s="174"/>
      <c r="BE96" s="174"/>
      <c r="BF96" s="174"/>
      <c r="BG96" s="174"/>
      <c r="BH96" s="174"/>
      <c r="BI96" s="174"/>
      <c r="BJ96" s="174"/>
      <c r="BK96" s="174"/>
      <c r="BL96" s="174"/>
      <c r="BM96" s="174"/>
      <c r="BN96" s="174"/>
      <c r="BO96" s="174"/>
    </row>
    <row r="97" spans="3:67" s="55" customFormat="1" ht="30.75" hidden="1" customHeight="1" outlineLevel="1">
      <c r="C97" s="862">
        <v>81</v>
      </c>
      <c r="D97" s="803"/>
      <c r="E97" s="902"/>
      <c r="F97" s="898"/>
      <c r="G97" s="2281"/>
      <c r="H97" s="2282"/>
      <c r="I97" s="851"/>
      <c r="J97" s="846"/>
      <c r="K97" s="796"/>
      <c r="L97" s="797"/>
      <c r="M97" s="797"/>
      <c r="N97" s="797"/>
      <c r="O97" s="797"/>
      <c r="P97" s="797"/>
      <c r="Q97" s="997"/>
      <c r="R97" s="1255"/>
      <c r="S97" s="1284"/>
      <c r="T97" s="798"/>
      <c r="U97" s="847"/>
      <c r="V97" s="848"/>
      <c r="W97" s="892"/>
      <c r="X97" s="904"/>
      <c r="Y97" s="905"/>
      <c r="Z97" s="901"/>
      <c r="AA97" s="800">
        <f t="shared" si="20"/>
        <v>0</v>
      </c>
      <c r="AB97" s="800">
        <f t="shared" si="35"/>
        <v>0</v>
      </c>
      <c r="AC97" s="800">
        <f t="shared" si="36"/>
        <v>0</v>
      </c>
      <c r="AD97" s="800">
        <f>IF(AA97=0,,VLOOKUP(AA97,リスト!DH:DI,2,0))</f>
        <v>0</v>
      </c>
      <c r="AE97" s="800">
        <f t="shared" si="21"/>
        <v>0</v>
      </c>
      <c r="AF97" s="801">
        <f>IF(AE97=0,,VLOOKUP(AE97,リスト!DK:DL,2,0))</f>
        <v>0</v>
      </c>
      <c r="AG97" s="800">
        <f>IF(AA97=0,,
IF(OR(リスト!$C$21="小麦",リスト!$C$21="二条大麦",リスト!$C$21="六条大麦",リスト!$C$21="はだか麦",リスト!$C$21="なたね"),IF(K97&lt;9,調査年-J97,調査年-J97-1),
IF(リスト!$C$21="さとうきび",IF(K97&gt;=4,調査年-J97,調査年-J97+1),
調査年-J97)))</f>
        <v>0</v>
      </c>
      <c r="AH97" s="306">
        <f t="shared" si="22"/>
        <v>0</v>
      </c>
      <c r="AI97" s="306">
        <f t="shared" si="23"/>
        <v>0</v>
      </c>
      <c r="AJ97" s="306">
        <f t="shared" si="24"/>
        <v>0</v>
      </c>
      <c r="AK97" s="306">
        <f t="shared" si="25"/>
        <v>0</v>
      </c>
      <c r="AL97" s="306">
        <f t="shared" si="26"/>
        <v>0</v>
      </c>
      <c r="AM97" s="306">
        <f t="shared" si="34"/>
        <v>0</v>
      </c>
      <c r="AN97" s="477"/>
      <c r="AO97" s="306">
        <f>IF(OR(S97=0,AI97=0),,
IF(OR(リスト!$C$21="小麦",リスト!$C$21="二条大麦",リスト!$C$21="六条大麦",リスト!$C$21="はだか麦",リスト!$C$21="なたね"),IF(OR(AND(K97&lt;9,J97=調査年),AND(K97&gt;=9,J97=調査年-1)),,ROUND(AI97*S97%,0)),
IF(リスト!$C$21="さとうきび",IF(OR(AND(K97&gt;=4,J97=調査年),AND(K97&lt;4,J97=調査年+1)),,ROUND(AI97*S97%,0)),
IF(J97=調査年,,ROUND(AI97*S97%,0)))))</f>
        <v>0</v>
      </c>
      <c r="AP97" s="306">
        <f t="shared" si="27"/>
        <v>0</v>
      </c>
      <c r="AQ97" s="306">
        <f t="shared" si="28"/>
        <v>0</v>
      </c>
      <c r="AR97" s="306">
        <f t="shared" si="29"/>
        <v>0</v>
      </c>
      <c r="AS97" s="306">
        <f>IF(S97=0,,
SUM(
IF(OR(リスト!$C$21="小麦",リスト!$C$21="二条大麦",リスト!$C$21="六条大麦",リスト!$C$21="はだか麦",リスト!$C$21="なたね"),IF(OR(AND(AB97=1,K97&lt;9,J97=調査年),AND(AB97=1,K97&gt;=9,J97=調査年-1)),ROUND(L97*S97%,0),),
IF(リスト!$C$21="さとうきび",IF(OR(AND(AB97=1,K97&gt;=4,J97=調査年),AND(AB97=1,K97&lt;4,J97=調査年+1)),ROUND(L97*S97%,0),),
IF(AND(AB97=1,J97=調査年),ROUND(L97*S97%,0),))),
ROUND(N97*S97%,0),
ROUND(SUM(AM97)*S97%,0)
))</f>
        <v>0</v>
      </c>
      <c r="AT97" s="306">
        <f t="shared" si="30"/>
        <v>0</v>
      </c>
      <c r="AU97" s="306">
        <f t="shared" si="31"/>
        <v>0</v>
      </c>
      <c r="AV97" s="306">
        <f t="shared" si="32"/>
        <v>0</v>
      </c>
      <c r="AW97" s="306">
        <f t="shared" si="32"/>
        <v>0</v>
      </c>
      <c r="AX97" s="306">
        <f t="shared" si="32"/>
        <v>0</v>
      </c>
      <c r="AY97" s="841">
        <f t="shared" si="33"/>
        <v>0</v>
      </c>
      <c r="AZ97" s="802"/>
      <c r="BA97" s="802"/>
      <c r="BB97" s="802"/>
      <c r="BC97" s="802"/>
      <c r="BD97" s="174"/>
      <c r="BE97" s="174"/>
      <c r="BF97" s="174"/>
      <c r="BG97" s="174"/>
      <c r="BH97" s="174"/>
      <c r="BI97" s="174"/>
      <c r="BJ97" s="174"/>
      <c r="BK97" s="174"/>
      <c r="BL97" s="174"/>
      <c r="BM97" s="174"/>
      <c r="BN97" s="174"/>
      <c r="BO97" s="174"/>
    </row>
    <row r="98" spans="3:67" s="55" customFormat="1" ht="30.75" hidden="1" customHeight="1" outlineLevel="1">
      <c r="C98" s="862">
        <v>82</v>
      </c>
      <c r="D98" s="803"/>
      <c r="E98" s="902"/>
      <c r="F98" s="898"/>
      <c r="G98" s="2281"/>
      <c r="H98" s="2282"/>
      <c r="I98" s="851"/>
      <c r="J98" s="846"/>
      <c r="K98" s="796"/>
      <c r="L98" s="797"/>
      <c r="M98" s="797"/>
      <c r="N98" s="797"/>
      <c r="O98" s="797"/>
      <c r="P98" s="797"/>
      <c r="Q98" s="997"/>
      <c r="R98" s="1255"/>
      <c r="S98" s="1284"/>
      <c r="T98" s="798"/>
      <c r="U98" s="847"/>
      <c r="V98" s="848"/>
      <c r="W98" s="892"/>
      <c r="X98" s="904"/>
      <c r="Y98" s="905"/>
      <c r="Z98" s="901"/>
      <c r="AA98" s="800">
        <f t="shared" si="20"/>
        <v>0</v>
      </c>
      <c r="AB98" s="800">
        <f t="shared" si="35"/>
        <v>0</v>
      </c>
      <c r="AC98" s="800">
        <f t="shared" si="36"/>
        <v>0</v>
      </c>
      <c r="AD98" s="800">
        <f>IF(AA98=0,,VLOOKUP(AA98,リスト!DH:DI,2,0))</f>
        <v>0</v>
      </c>
      <c r="AE98" s="800">
        <f t="shared" si="21"/>
        <v>0</v>
      </c>
      <c r="AF98" s="801">
        <f>IF(AE98=0,,VLOOKUP(AE98,リスト!DK:DL,2,0))</f>
        <v>0</v>
      </c>
      <c r="AG98" s="800">
        <f>IF(AA98=0,,
IF(OR(リスト!$C$21="小麦",リスト!$C$21="二条大麦",リスト!$C$21="六条大麦",リスト!$C$21="はだか麦",リスト!$C$21="なたね"),IF(K98&lt;9,調査年-J98,調査年-J98-1),
IF(リスト!$C$21="さとうきび",IF(K98&gt;=4,調査年-J98,調査年-J98+1),
調査年-J98)))</f>
        <v>0</v>
      </c>
      <c r="AH98" s="306">
        <f t="shared" si="22"/>
        <v>0</v>
      </c>
      <c r="AI98" s="306">
        <f t="shared" si="23"/>
        <v>0</v>
      </c>
      <c r="AJ98" s="306">
        <f t="shared" si="24"/>
        <v>0</v>
      </c>
      <c r="AK98" s="306">
        <f t="shared" si="25"/>
        <v>0</v>
      </c>
      <c r="AL98" s="306">
        <f t="shared" si="26"/>
        <v>0</v>
      </c>
      <c r="AM98" s="306">
        <f t="shared" si="34"/>
        <v>0</v>
      </c>
      <c r="AN98" s="477"/>
      <c r="AO98" s="306">
        <f>IF(OR(S98=0,AI98=0),,
IF(OR(リスト!$C$21="小麦",リスト!$C$21="二条大麦",リスト!$C$21="六条大麦",リスト!$C$21="はだか麦",リスト!$C$21="なたね"),IF(OR(AND(K98&lt;9,J98=調査年),AND(K98&gt;=9,J98=調査年-1)),,ROUND(AI98*S98%,0)),
IF(リスト!$C$21="さとうきび",IF(OR(AND(K98&gt;=4,J98=調査年),AND(K98&lt;4,J98=調査年+1)),,ROUND(AI98*S98%,0)),
IF(J98=調査年,,ROUND(AI98*S98%,0)))))</f>
        <v>0</v>
      </c>
      <c r="AP98" s="306">
        <f t="shared" si="27"/>
        <v>0</v>
      </c>
      <c r="AQ98" s="306">
        <f t="shared" si="28"/>
        <v>0</v>
      </c>
      <c r="AR98" s="306">
        <f t="shared" si="29"/>
        <v>0</v>
      </c>
      <c r="AS98" s="306">
        <f>IF(S98=0,,
SUM(
IF(OR(リスト!$C$21="小麦",リスト!$C$21="二条大麦",リスト!$C$21="六条大麦",リスト!$C$21="はだか麦",リスト!$C$21="なたね"),IF(OR(AND(AB98=1,K98&lt;9,J98=調査年),AND(AB98=1,K98&gt;=9,J98=調査年-1)),ROUND(L98*S98%,0),),
IF(リスト!$C$21="さとうきび",IF(OR(AND(AB98=1,K98&gt;=4,J98=調査年),AND(AB98=1,K98&lt;4,J98=調査年+1)),ROUND(L98*S98%,0),),
IF(AND(AB98=1,J98=調査年),ROUND(L98*S98%,0),))),
ROUND(N98*S98%,0),
ROUND(SUM(AM98)*S98%,0)
))</f>
        <v>0</v>
      </c>
      <c r="AT98" s="306">
        <f t="shared" si="30"/>
        <v>0</v>
      </c>
      <c r="AU98" s="306">
        <f t="shared" si="31"/>
        <v>0</v>
      </c>
      <c r="AV98" s="306">
        <f t="shared" si="32"/>
        <v>0</v>
      </c>
      <c r="AW98" s="306">
        <f t="shared" si="32"/>
        <v>0</v>
      </c>
      <c r="AX98" s="306">
        <f t="shared" si="32"/>
        <v>0</v>
      </c>
      <c r="AY98" s="841">
        <f t="shared" si="33"/>
        <v>0</v>
      </c>
      <c r="AZ98" s="802"/>
      <c r="BA98" s="802"/>
      <c r="BB98" s="802"/>
      <c r="BC98" s="802"/>
      <c r="BD98" s="174"/>
      <c r="BE98" s="174"/>
      <c r="BF98" s="174"/>
      <c r="BG98" s="174"/>
      <c r="BH98" s="174"/>
      <c r="BI98" s="174"/>
      <c r="BJ98" s="174"/>
      <c r="BK98" s="174"/>
      <c r="BL98" s="174"/>
      <c r="BM98" s="174"/>
      <c r="BN98" s="174"/>
      <c r="BO98" s="174"/>
    </row>
    <row r="99" spans="3:67" s="55" customFormat="1" ht="30.75" hidden="1" customHeight="1" outlineLevel="1">
      <c r="C99" s="862">
        <v>83</v>
      </c>
      <c r="D99" s="803"/>
      <c r="E99" s="902"/>
      <c r="F99" s="898"/>
      <c r="G99" s="2281"/>
      <c r="H99" s="2282"/>
      <c r="I99" s="851"/>
      <c r="J99" s="846"/>
      <c r="K99" s="796"/>
      <c r="L99" s="797"/>
      <c r="M99" s="797"/>
      <c r="N99" s="797"/>
      <c r="O99" s="797"/>
      <c r="P99" s="797"/>
      <c r="Q99" s="997"/>
      <c r="R99" s="1255"/>
      <c r="S99" s="1284"/>
      <c r="T99" s="798"/>
      <c r="U99" s="847"/>
      <c r="V99" s="848"/>
      <c r="W99" s="892"/>
      <c r="X99" s="904"/>
      <c r="Y99" s="905"/>
      <c r="Z99" s="901"/>
      <c r="AA99" s="800">
        <f t="shared" si="20"/>
        <v>0</v>
      </c>
      <c r="AB99" s="800">
        <f t="shared" si="35"/>
        <v>0</v>
      </c>
      <c r="AC99" s="800">
        <f t="shared" si="36"/>
        <v>0</v>
      </c>
      <c r="AD99" s="800">
        <f>IF(AA99=0,,VLOOKUP(AA99,リスト!DH:DI,2,0))</f>
        <v>0</v>
      </c>
      <c r="AE99" s="800">
        <f t="shared" si="21"/>
        <v>0</v>
      </c>
      <c r="AF99" s="801">
        <f>IF(AE99=0,,VLOOKUP(AE99,リスト!DK:DL,2,0))</f>
        <v>0</v>
      </c>
      <c r="AG99" s="800">
        <f>IF(AA99=0,,
IF(OR(リスト!$C$21="小麦",リスト!$C$21="二条大麦",リスト!$C$21="六条大麦",リスト!$C$21="はだか麦",リスト!$C$21="なたね"),IF(K99&lt;9,調査年-J99,調査年-J99-1),
IF(リスト!$C$21="さとうきび",IF(K99&gt;=4,調査年-J99,調査年-J99+1),
調査年-J99)))</f>
        <v>0</v>
      </c>
      <c r="AH99" s="306">
        <f t="shared" si="22"/>
        <v>0</v>
      </c>
      <c r="AI99" s="306">
        <f t="shared" si="23"/>
        <v>0</v>
      </c>
      <c r="AJ99" s="306">
        <f t="shared" si="24"/>
        <v>0</v>
      </c>
      <c r="AK99" s="306">
        <f t="shared" si="25"/>
        <v>0</v>
      </c>
      <c r="AL99" s="306">
        <f t="shared" si="26"/>
        <v>0</v>
      </c>
      <c r="AM99" s="306">
        <f t="shared" si="34"/>
        <v>0</v>
      </c>
      <c r="AN99" s="477"/>
      <c r="AO99" s="306">
        <f>IF(OR(S99=0,AI99=0),,
IF(OR(リスト!$C$21="小麦",リスト!$C$21="二条大麦",リスト!$C$21="六条大麦",リスト!$C$21="はだか麦",リスト!$C$21="なたね"),IF(OR(AND(K99&lt;9,J99=調査年),AND(K99&gt;=9,J99=調査年-1)),,ROUND(AI99*S99%,0)),
IF(リスト!$C$21="さとうきび",IF(OR(AND(K99&gt;=4,J99=調査年),AND(K99&lt;4,J99=調査年+1)),,ROUND(AI99*S99%,0)),
IF(J99=調査年,,ROUND(AI99*S99%,0)))))</f>
        <v>0</v>
      </c>
      <c r="AP99" s="306">
        <f t="shared" si="27"/>
        <v>0</v>
      </c>
      <c r="AQ99" s="306">
        <f t="shared" si="28"/>
        <v>0</v>
      </c>
      <c r="AR99" s="306">
        <f t="shared" si="29"/>
        <v>0</v>
      </c>
      <c r="AS99" s="306">
        <f>IF(S99=0,,
SUM(
IF(OR(リスト!$C$21="小麦",リスト!$C$21="二条大麦",リスト!$C$21="六条大麦",リスト!$C$21="はだか麦",リスト!$C$21="なたね"),IF(OR(AND(AB99=1,K99&lt;9,J99=調査年),AND(AB99=1,K99&gt;=9,J99=調査年-1)),ROUND(L99*S99%,0),),
IF(リスト!$C$21="さとうきび",IF(OR(AND(AB99=1,K99&gt;=4,J99=調査年),AND(AB99=1,K99&lt;4,J99=調査年+1)),ROUND(L99*S99%,0),),
IF(AND(AB99=1,J99=調査年),ROUND(L99*S99%,0),))),
ROUND(N99*S99%,0),
ROUND(SUM(AM99)*S99%,0)
))</f>
        <v>0</v>
      </c>
      <c r="AT99" s="306">
        <f t="shared" si="30"/>
        <v>0</v>
      </c>
      <c r="AU99" s="306">
        <f t="shared" si="31"/>
        <v>0</v>
      </c>
      <c r="AV99" s="306">
        <f t="shared" si="32"/>
        <v>0</v>
      </c>
      <c r="AW99" s="306">
        <f t="shared" si="32"/>
        <v>0</v>
      </c>
      <c r="AX99" s="306">
        <f t="shared" si="32"/>
        <v>0</v>
      </c>
      <c r="AY99" s="841">
        <f t="shared" si="33"/>
        <v>0</v>
      </c>
      <c r="AZ99" s="802"/>
      <c r="BA99" s="802"/>
      <c r="BB99" s="802"/>
      <c r="BC99" s="802"/>
      <c r="BD99" s="174"/>
      <c r="BE99" s="174"/>
      <c r="BF99" s="174"/>
      <c r="BG99" s="174"/>
      <c r="BH99" s="174"/>
      <c r="BI99" s="174"/>
      <c r="BJ99" s="174"/>
      <c r="BK99" s="174"/>
      <c r="BL99" s="174"/>
      <c r="BM99" s="174"/>
      <c r="BN99" s="174"/>
      <c r="BO99" s="174"/>
    </row>
    <row r="100" spans="3:67" s="55" customFormat="1" ht="30.75" hidden="1" customHeight="1" outlineLevel="1">
      <c r="C100" s="862">
        <v>84</v>
      </c>
      <c r="D100" s="803"/>
      <c r="E100" s="902"/>
      <c r="F100" s="898"/>
      <c r="G100" s="2281"/>
      <c r="H100" s="2282"/>
      <c r="I100" s="851"/>
      <c r="J100" s="846"/>
      <c r="K100" s="796"/>
      <c r="L100" s="797"/>
      <c r="M100" s="797"/>
      <c r="N100" s="797"/>
      <c r="O100" s="797"/>
      <c r="P100" s="797"/>
      <c r="Q100" s="997"/>
      <c r="R100" s="1255"/>
      <c r="S100" s="1284"/>
      <c r="T100" s="798"/>
      <c r="U100" s="847"/>
      <c r="V100" s="848"/>
      <c r="W100" s="892"/>
      <c r="X100" s="904"/>
      <c r="Y100" s="905"/>
      <c r="Z100" s="901"/>
      <c r="AA100" s="800">
        <f t="shared" si="20"/>
        <v>0</v>
      </c>
      <c r="AB100" s="800">
        <f t="shared" si="35"/>
        <v>0</v>
      </c>
      <c r="AC100" s="800">
        <f t="shared" si="36"/>
        <v>0</v>
      </c>
      <c r="AD100" s="800">
        <f>IF(AA100=0,,VLOOKUP(AA100,リスト!DH:DI,2,0))</f>
        <v>0</v>
      </c>
      <c r="AE100" s="800">
        <f t="shared" si="21"/>
        <v>0</v>
      </c>
      <c r="AF100" s="801">
        <f>IF(AE100=0,,VLOOKUP(AE100,リスト!DK:DL,2,0))</f>
        <v>0</v>
      </c>
      <c r="AG100" s="800">
        <f>IF(AA100=0,,
IF(OR(リスト!$C$21="小麦",リスト!$C$21="二条大麦",リスト!$C$21="六条大麦",リスト!$C$21="はだか麦",リスト!$C$21="なたね"),IF(K100&lt;9,調査年-J100,調査年-J100-1),
IF(リスト!$C$21="さとうきび",IF(K100&gt;=4,調査年-J100,調査年-J100+1),
調査年-J100)))</f>
        <v>0</v>
      </c>
      <c r="AH100" s="306">
        <f t="shared" si="22"/>
        <v>0</v>
      </c>
      <c r="AI100" s="306">
        <f t="shared" si="23"/>
        <v>0</v>
      </c>
      <c r="AJ100" s="306">
        <f t="shared" si="24"/>
        <v>0</v>
      </c>
      <c r="AK100" s="306">
        <f t="shared" si="25"/>
        <v>0</v>
      </c>
      <c r="AL100" s="306">
        <f t="shared" si="26"/>
        <v>0</v>
      </c>
      <c r="AM100" s="306">
        <f t="shared" si="34"/>
        <v>0</v>
      </c>
      <c r="AN100" s="477"/>
      <c r="AO100" s="306">
        <f>IF(OR(S100=0,AI100=0),,
IF(OR(リスト!$C$21="小麦",リスト!$C$21="二条大麦",リスト!$C$21="六条大麦",リスト!$C$21="はだか麦",リスト!$C$21="なたね"),IF(OR(AND(K100&lt;9,J100=調査年),AND(K100&gt;=9,J100=調査年-1)),,ROUND(AI100*S100%,0)),
IF(リスト!$C$21="さとうきび",IF(OR(AND(K100&gt;=4,J100=調査年),AND(K100&lt;4,J100=調査年+1)),,ROUND(AI100*S100%,0)),
IF(J100=調査年,,ROUND(AI100*S100%,0)))))</f>
        <v>0</v>
      </c>
      <c r="AP100" s="306">
        <f t="shared" si="27"/>
        <v>0</v>
      </c>
      <c r="AQ100" s="306">
        <f t="shared" si="28"/>
        <v>0</v>
      </c>
      <c r="AR100" s="306">
        <f t="shared" si="29"/>
        <v>0</v>
      </c>
      <c r="AS100" s="306">
        <f>IF(S100=0,,
SUM(
IF(OR(リスト!$C$21="小麦",リスト!$C$21="二条大麦",リスト!$C$21="六条大麦",リスト!$C$21="はだか麦",リスト!$C$21="なたね"),IF(OR(AND(AB100=1,K100&lt;9,J100=調査年),AND(AB100=1,K100&gt;=9,J100=調査年-1)),ROUND(L100*S100%,0),),
IF(リスト!$C$21="さとうきび",IF(OR(AND(AB100=1,K100&gt;=4,J100=調査年),AND(AB100=1,K100&lt;4,J100=調査年+1)),ROUND(L100*S100%,0),),
IF(AND(AB100=1,J100=調査年),ROUND(L100*S100%,0),))),
ROUND(N100*S100%,0),
ROUND(SUM(AM100)*S100%,0)
))</f>
        <v>0</v>
      </c>
      <c r="AT100" s="306">
        <f t="shared" si="30"/>
        <v>0</v>
      </c>
      <c r="AU100" s="306">
        <f t="shared" si="31"/>
        <v>0</v>
      </c>
      <c r="AV100" s="306">
        <f t="shared" si="32"/>
        <v>0</v>
      </c>
      <c r="AW100" s="306">
        <f t="shared" si="32"/>
        <v>0</v>
      </c>
      <c r="AX100" s="306">
        <f t="shared" si="32"/>
        <v>0</v>
      </c>
      <c r="AY100" s="841">
        <f t="shared" si="33"/>
        <v>0</v>
      </c>
      <c r="AZ100" s="802"/>
      <c r="BA100" s="802"/>
      <c r="BB100" s="802"/>
      <c r="BC100" s="802"/>
      <c r="BD100" s="174"/>
      <c r="BE100" s="174"/>
      <c r="BF100" s="174"/>
      <c r="BG100" s="174"/>
      <c r="BH100" s="174"/>
      <c r="BI100" s="174"/>
      <c r="BJ100" s="174"/>
      <c r="BK100" s="174"/>
      <c r="BL100" s="174"/>
      <c r="BM100" s="174"/>
      <c r="BN100" s="174"/>
      <c r="BO100" s="174"/>
    </row>
    <row r="101" spans="3:67" s="55" customFormat="1" ht="30.75" hidden="1" customHeight="1" outlineLevel="1">
      <c r="C101" s="862">
        <v>85</v>
      </c>
      <c r="D101" s="803"/>
      <c r="E101" s="902"/>
      <c r="F101" s="898"/>
      <c r="G101" s="2281"/>
      <c r="H101" s="2282"/>
      <c r="I101" s="851"/>
      <c r="J101" s="846"/>
      <c r="K101" s="796"/>
      <c r="L101" s="797"/>
      <c r="M101" s="797"/>
      <c r="N101" s="797"/>
      <c r="O101" s="797"/>
      <c r="P101" s="797"/>
      <c r="Q101" s="997"/>
      <c r="R101" s="1255"/>
      <c r="S101" s="1284"/>
      <c r="T101" s="798"/>
      <c r="U101" s="847"/>
      <c r="V101" s="848"/>
      <c r="W101" s="892"/>
      <c r="X101" s="904"/>
      <c r="Y101" s="905"/>
      <c r="Z101" s="901"/>
      <c r="AA101" s="800">
        <f t="shared" si="20"/>
        <v>0</v>
      </c>
      <c r="AB101" s="800">
        <f t="shared" si="35"/>
        <v>0</v>
      </c>
      <c r="AC101" s="800">
        <f t="shared" si="36"/>
        <v>0</v>
      </c>
      <c r="AD101" s="800">
        <f>IF(AA101=0,,VLOOKUP(AA101,リスト!DH:DI,2,0))</f>
        <v>0</v>
      </c>
      <c r="AE101" s="800">
        <f t="shared" si="21"/>
        <v>0</v>
      </c>
      <c r="AF101" s="801">
        <f>IF(AE101=0,,VLOOKUP(AE101,リスト!DK:DL,2,0))</f>
        <v>0</v>
      </c>
      <c r="AG101" s="800">
        <f>IF(AA101=0,,
IF(OR(リスト!$C$21="小麦",リスト!$C$21="二条大麦",リスト!$C$21="六条大麦",リスト!$C$21="はだか麦",リスト!$C$21="なたね"),IF(K101&lt;9,調査年-J101,調査年-J101-1),
IF(リスト!$C$21="さとうきび",IF(K101&gt;=4,調査年-J101,調査年-J101+1),
調査年-J101)))</f>
        <v>0</v>
      </c>
      <c r="AH101" s="306">
        <f t="shared" si="22"/>
        <v>0</v>
      </c>
      <c r="AI101" s="306">
        <f t="shared" si="23"/>
        <v>0</v>
      </c>
      <c r="AJ101" s="306">
        <f t="shared" si="24"/>
        <v>0</v>
      </c>
      <c r="AK101" s="306">
        <f t="shared" si="25"/>
        <v>0</v>
      </c>
      <c r="AL101" s="306">
        <f t="shared" si="26"/>
        <v>0</v>
      </c>
      <c r="AM101" s="306">
        <f t="shared" si="34"/>
        <v>0</v>
      </c>
      <c r="AN101" s="477"/>
      <c r="AO101" s="306">
        <f>IF(OR(S101=0,AI101=0),,
IF(OR(リスト!$C$21="小麦",リスト!$C$21="二条大麦",リスト!$C$21="六条大麦",リスト!$C$21="はだか麦",リスト!$C$21="なたね"),IF(OR(AND(K101&lt;9,J101=調査年),AND(K101&gt;=9,J101=調査年-1)),,ROUND(AI101*S101%,0)),
IF(リスト!$C$21="さとうきび",IF(OR(AND(K101&gt;=4,J101=調査年),AND(K101&lt;4,J101=調査年+1)),,ROUND(AI101*S101%,0)),
IF(J101=調査年,,ROUND(AI101*S101%,0)))))</f>
        <v>0</v>
      </c>
      <c r="AP101" s="306">
        <f t="shared" si="27"/>
        <v>0</v>
      </c>
      <c r="AQ101" s="306">
        <f t="shared" si="28"/>
        <v>0</v>
      </c>
      <c r="AR101" s="306">
        <f t="shared" si="29"/>
        <v>0</v>
      </c>
      <c r="AS101" s="306">
        <f>IF(S101=0,,
SUM(
IF(OR(リスト!$C$21="小麦",リスト!$C$21="二条大麦",リスト!$C$21="六条大麦",リスト!$C$21="はだか麦",リスト!$C$21="なたね"),IF(OR(AND(AB101=1,K101&lt;9,J101=調査年),AND(AB101=1,K101&gt;=9,J101=調査年-1)),ROUND(L101*S101%,0),),
IF(リスト!$C$21="さとうきび",IF(OR(AND(AB101=1,K101&gt;=4,J101=調査年),AND(AB101=1,K101&lt;4,J101=調査年+1)),ROUND(L101*S101%,0),),
IF(AND(AB101=1,J101=調査年),ROUND(L101*S101%,0),))),
ROUND(N101*S101%,0),
ROUND(SUM(AM101)*S101%,0)
))</f>
        <v>0</v>
      </c>
      <c r="AT101" s="306">
        <f t="shared" si="30"/>
        <v>0</v>
      </c>
      <c r="AU101" s="306">
        <f t="shared" si="31"/>
        <v>0</v>
      </c>
      <c r="AV101" s="306">
        <f t="shared" si="32"/>
        <v>0</v>
      </c>
      <c r="AW101" s="306">
        <f t="shared" si="32"/>
        <v>0</v>
      </c>
      <c r="AX101" s="306">
        <f t="shared" si="32"/>
        <v>0</v>
      </c>
      <c r="AY101" s="841">
        <f t="shared" si="33"/>
        <v>0</v>
      </c>
      <c r="AZ101" s="802"/>
      <c r="BA101" s="802"/>
      <c r="BB101" s="802"/>
      <c r="BC101" s="802"/>
      <c r="BD101" s="174"/>
      <c r="BE101" s="174"/>
      <c r="BF101" s="174"/>
      <c r="BG101" s="174"/>
      <c r="BH101" s="174"/>
      <c r="BI101" s="174"/>
      <c r="BJ101" s="174"/>
      <c r="BK101" s="174"/>
      <c r="BL101" s="174"/>
      <c r="BM101" s="174"/>
      <c r="BN101" s="174"/>
      <c r="BO101" s="174"/>
    </row>
    <row r="102" spans="3:67" s="55" customFormat="1" ht="30.75" hidden="1" customHeight="1" outlineLevel="1">
      <c r="C102" s="862">
        <v>86</v>
      </c>
      <c r="D102" s="803"/>
      <c r="E102" s="902"/>
      <c r="F102" s="898"/>
      <c r="G102" s="2281"/>
      <c r="H102" s="2282"/>
      <c r="I102" s="851"/>
      <c r="J102" s="846"/>
      <c r="K102" s="796"/>
      <c r="L102" s="797"/>
      <c r="M102" s="797"/>
      <c r="N102" s="797"/>
      <c r="O102" s="797"/>
      <c r="P102" s="797"/>
      <c r="Q102" s="997"/>
      <c r="R102" s="1255"/>
      <c r="S102" s="1284"/>
      <c r="T102" s="798"/>
      <c r="U102" s="847"/>
      <c r="V102" s="848"/>
      <c r="W102" s="892"/>
      <c r="X102" s="904"/>
      <c r="Y102" s="905"/>
      <c r="Z102" s="901"/>
      <c r="AA102" s="800">
        <f t="shared" si="20"/>
        <v>0</v>
      </c>
      <c r="AB102" s="800">
        <f t="shared" si="35"/>
        <v>0</v>
      </c>
      <c r="AC102" s="800">
        <f t="shared" si="36"/>
        <v>0</v>
      </c>
      <c r="AD102" s="800">
        <f>IF(AA102=0,,VLOOKUP(AA102,リスト!DH:DI,2,0))</f>
        <v>0</v>
      </c>
      <c r="AE102" s="800">
        <f t="shared" si="21"/>
        <v>0</v>
      </c>
      <c r="AF102" s="801">
        <f>IF(AE102=0,,VLOOKUP(AE102,リスト!DK:DL,2,0))</f>
        <v>0</v>
      </c>
      <c r="AG102" s="800">
        <f>IF(AA102=0,,
IF(OR(リスト!$C$21="小麦",リスト!$C$21="二条大麦",リスト!$C$21="六条大麦",リスト!$C$21="はだか麦",リスト!$C$21="なたね"),IF(K102&lt;9,調査年-J102,調査年-J102-1),
IF(リスト!$C$21="さとうきび",IF(K102&gt;=4,調査年-J102,調査年-J102+1),
調査年-J102)))</f>
        <v>0</v>
      </c>
      <c r="AH102" s="306">
        <f t="shared" si="22"/>
        <v>0</v>
      </c>
      <c r="AI102" s="306">
        <f t="shared" si="23"/>
        <v>0</v>
      </c>
      <c r="AJ102" s="306">
        <f t="shared" si="24"/>
        <v>0</v>
      </c>
      <c r="AK102" s="306">
        <f t="shared" si="25"/>
        <v>0</v>
      </c>
      <c r="AL102" s="306">
        <f t="shared" si="26"/>
        <v>0</v>
      </c>
      <c r="AM102" s="306">
        <f t="shared" si="34"/>
        <v>0</v>
      </c>
      <c r="AN102" s="477"/>
      <c r="AO102" s="306">
        <f>IF(OR(S102=0,AI102=0),,
IF(OR(リスト!$C$21="小麦",リスト!$C$21="二条大麦",リスト!$C$21="六条大麦",リスト!$C$21="はだか麦",リスト!$C$21="なたね"),IF(OR(AND(K102&lt;9,J102=調査年),AND(K102&gt;=9,J102=調査年-1)),,ROUND(AI102*S102%,0)),
IF(リスト!$C$21="さとうきび",IF(OR(AND(K102&gt;=4,J102=調査年),AND(K102&lt;4,J102=調査年+1)),,ROUND(AI102*S102%,0)),
IF(J102=調査年,,ROUND(AI102*S102%,0)))))</f>
        <v>0</v>
      </c>
      <c r="AP102" s="306">
        <f t="shared" si="27"/>
        <v>0</v>
      </c>
      <c r="AQ102" s="306">
        <f t="shared" si="28"/>
        <v>0</v>
      </c>
      <c r="AR102" s="306">
        <f t="shared" si="29"/>
        <v>0</v>
      </c>
      <c r="AS102" s="306">
        <f>IF(S102=0,,
SUM(
IF(OR(リスト!$C$21="小麦",リスト!$C$21="二条大麦",リスト!$C$21="六条大麦",リスト!$C$21="はだか麦",リスト!$C$21="なたね"),IF(OR(AND(AB102=1,K102&lt;9,J102=調査年),AND(AB102=1,K102&gt;=9,J102=調査年-1)),ROUND(L102*S102%,0),),
IF(リスト!$C$21="さとうきび",IF(OR(AND(AB102=1,K102&gt;=4,J102=調査年),AND(AB102=1,K102&lt;4,J102=調査年+1)),ROUND(L102*S102%,0),),
IF(AND(AB102=1,J102=調査年),ROUND(L102*S102%,0),))),
ROUND(N102*S102%,0),
ROUND(SUM(AM102)*S102%,0)
))</f>
        <v>0</v>
      </c>
      <c r="AT102" s="306">
        <f t="shared" si="30"/>
        <v>0</v>
      </c>
      <c r="AU102" s="306">
        <f t="shared" si="31"/>
        <v>0</v>
      </c>
      <c r="AV102" s="306">
        <f t="shared" si="32"/>
        <v>0</v>
      </c>
      <c r="AW102" s="306">
        <f t="shared" si="32"/>
        <v>0</v>
      </c>
      <c r="AX102" s="306">
        <f t="shared" si="32"/>
        <v>0</v>
      </c>
      <c r="AY102" s="841">
        <f t="shared" si="33"/>
        <v>0</v>
      </c>
      <c r="AZ102" s="802"/>
      <c r="BA102" s="802"/>
      <c r="BB102" s="802"/>
      <c r="BC102" s="802"/>
      <c r="BD102" s="174"/>
      <c r="BE102" s="174"/>
      <c r="BF102" s="174"/>
      <c r="BG102" s="174"/>
      <c r="BH102" s="174"/>
      <c r="BI102" s="174"/>
      <c r="BJ102" s="174"/>
      <c r="BK102" s="174"/>
      <c r="BL102" s="174"/>
      <c r="BM102" s="174"/>
      <c r="BN102" s="174"/>
      <c r="BO102" s="174"/>
    </row>
    <row r="103" spans="3:67" s="55" customFormat="1" ht="30.75" hidden="1" customHeight="1" outlineLevel="1">
      <c r="C103" s="862">
        <v>87</v>
      </c>
      <c r="D103" s="803"/>
      <c r="E103" s="902"/>
      <c r="F103" s="898"/>
      <c r="G103" s="2281"/>
      <c r="H103" s="2282"/>
      <c r="I103" s="851"/>
      <c r="J103" s="846"/>
      <c r="K103" s="796"/>
      <c r="L103" s="797"/>
      <c r="M103" s="797"/>
      <c r="N103" s="797"/>
      <c r="O103" s="797"/>
      <c r="P103" s="797"/>
      <c r="Q103" s="997"/>
      <c r="R103" s="1255"/>
      <c r="S103" s="1284"/>
      <c r="T103" s="798"/>
      <c r="U103" s="847"/>
      <c r="V103" s="848"/>
      <c r="W103" s="892"/>
      <c r="X103" s="904"/>
      <c r="Y103" s="905"/>
      <c r="Z103" s="901"/>
      <c r="AA103" s="800">
        <f t="shared" si="20"/>
        <v>0</v>
      </c>
      <c r="AB103" s="800">
        <f t="shared" si="35"/>
        <v>0</v>
      </c>
      <c r="AC103" s="800">
        <f t="shared" si="36"/>
        <v>0</v>
      </c>
      <c r="AD103" s="800">
        <f>IF(AA103=0,,VLOOKUP(AA103,リスト!DH:DI,2,0))</f>
        <v>0</v>
      </c>
      <c r="AE103" s="800">
        <f t="shared" si="21"/>
        <v>0</v>
      </c>
      <c r="AF103" s="801">
        <f>IF(AE103=0,,VLOOKUP(AE103,リスト!DK:DL,2,0))</f>
        <v>0</v>
      </c>
      <c r="AG103" s="800">
        <f>IF(AA103=0,,
IF(OR(リスト!$C$21="小麦",リスト!$C$21="二条大麦",リスト!$C$21="六条大麦",リスト!$C$21="はだか麦",リスト!$C$21="なたね"),IF(K103&lt;9,調査年-J103,調査年-J103-1),
IF(リスト!$C$21="さとうきび",IF(K103&gt;=4,調査年-J103,調査年-J103+1),
調査年-J103)))</f>
        <v>0</v>
      </c>
      <c r="AH103" s="306">
        <f t="shared" si="22"/>
        <v>0</v>
      </c>
      <c r="AI103" s="306">
        <f t="shared" si="23"/>
        <v>0</v>
      </c>
      <c r="AJ103" s="306">
        <f t="shared" si="24"/>
        <v>0</v>
      </c>
      <c r="AK103" s="306">
        <f t="shared" si="25"/>
        <v>0</v>
      </c>
      <c r="AL103" s="306">
        <f t="shared" si="26"/>
        <v>0</v>
      </c>
      <c r="AM103" s="306">
        <f t="shared" si="34"/>
        <v>0</v>
      </c>
      <c r="AN103" s="477"/>
      <c r="AO103" s="306">
        <f>IF(OR(S103=0,AI103=0),,
IF(OR(リスト!$C$21="小麦",リスト!$C$21="二条大麦",リスト!$C$21="六条大麦",リスト!$C$21="はだか麦",リスト!$C$21="なたね"),IF(OR(AND(K103&lt;9,J103=調査年),AND(K103&gt;=9,J103=調査年-1)),,ROUND(AI103*S103%,0)),
IF(リスト!$C$21="さとうきび",IF(OR(AND(K103&gt;=4,J103=調査年),AND(K103&lt;4,J103=調査年+1)),,ROUND(AI103*S103%,0)),
IF(J103=調査年,,ROUND(AI103*S103%,0)))))</f>
        <v>0</v>
      </c>
      <c r="AP103" s="306">
        <f t="shared" si="27"/>
        <v>0</v>
      </c>
      <c r="AQ103" s="306">
        <f t="shared" si="28"/>
        <v>0</v>
      </c>
      <c r="AR103" s="306">
        <f t="shared" si="29"/>
        <v>0</v>
      </c>
      <c r="AS103" s="306">
        <f>IF(S103=0,,
SUM(
IF(OR(リスト!$C$21="小麦",リスト!$C$21="二条大麦",リスト!$C$21="六条大麦",リスト!$C$21="はだか麦",リスト!$C$21="なたね"),IF(OR(AND(AB103=1,K103&lt;9,J103=調査年),AND(AB103=1,K103&gt;=9,J103=調査年-1)),ROUND(L103*S103%,0),),
IF(リスト!$C$21="さとうきび",IF(OR(AND(AB103=1,K103&gt;=4,J103=調査年),AND(AB103=1,K103&lt;4,J103=調査年+1)),ROUND(L103*S103%,0),),
IF(AND(AB103=1,J103=調査年),ROUND(L103*S103%,0),))),
ROUND(N103*S103%,0),
ROUND(SUM(AM103)*S103%,0)
))</f>
        <v>0</v>
      </c>
      <c r="AT103" s="306">
        <f t="shared" si="30"/>
        <v>0</v>
      </c>
      <c r="AU103" s="306">
        <f t="shared" si="31"/>
        <v>0</v>
      </c>
      <c r="AV103" s="306">
        <f t="shared" si="32"/>
        <v>0</v>
      </c>
      <c r="AW103" s="306">
        <f t="shared" si="32"/>
        <v>0</v>
      </c>
      <c r="AX103" s="306">
        <f t="shared" si="32"/>
        <v>0</v>
      </c>
      <c r="AY103" s="841">
        <f t="shared" si="33"/>
        <v>0</v>
      </c>
      <c r="AZ103" s="802"/>
      <c r="BA103" s="802"/>
      <c r="BB103" s="802"/>
      <c r="BC103" s="802"/>
      <c r="BD103" s="174"/>
      <c r="BE103" s="174"/>
      <c r="BF103" s="174"/>
      <c r="BG103" s="174"/>
      <c r="BH103" s="174"/>
      <c r="BI103" s="174"/>
      <c r="BJ103" s="174"/>
      <c r="BK103" s="174"/>
      <c r="BL103" s="174"/>
      <c r="BM103" s="174"/>
      <c r="BN103" s="174"/>
      <c r="BO103" s="174"/>
    </row>
    <row r="104" spans="3:67" s="55" customFormat="1" ht="30.75" hidden="1" customHeight="1" outlineLevel="1">
      <c r="C104" s="862">
        <v>88</v>
      </c>
      <c r="D104" s="803"/>
      <c r="E104" s="902"/>
      <c r="F104" s="898"/>
      <c r="G104" s="2281"/>
      <c r="H104" s="2282"/>
      <c r="I104" s="851"/>
      <c r="J104" s="846"/>
      <c r="K104" s="796"/>
      <c r="L104" s="797"/>
      <c r="M104" s="797"/>
      <c r="N104" s="797"/>
      <c r="O104" s="797"/>
      <c r="P104" s="797"/>
      <c r="Q104" s="997"/>
      <c r="R104" s="1255"/>
      <c r="S104" s="1284"/>
      <c r="T104" s="798"/>
      <c r="U104" s="847"/>
      <c r="V104" s="848"/>
      <c r="W104" s="892"/>
      <c r="X104" s="904"/>
      <c r="Y104" s="905"/>
      <c r="Z104" s="901"/>
      <c r="AA104" s="800">
        <f t="shared" si="20"/>
        <v>0</v>
      </c>
      <c r="AB104" s="800">
        <f t="shared" si="35"/>
        <v>0</v>
      </c>
      <c r="AC104" s="800">
        <f t="shared" si="36"/>
        <v>0</v>
      </c>
      <c r="AD104" s="800">
        <f>IF(AA104=0,,VLOOKUP(AA104,リスト!DH:DI,2,0))</f>
        <v>0</v>
      </c>
      <c r="AE104" s="800">
        <f t="shared" si="21"/>
        <v>0</v>
      </c>
      <c r="AF104" s="801">
        <f>IF(AE104=0,,VLOOKUP(AE104,リスト!DK:DL,2,0))</f>
        <v>0</v>
      </c>
      <c r="AG104" s="800">
        <f>IF(AA104=0,,
IF(OR(リスト!$C$21="小麦",リスト!$C$21="二条大麦",リスト!$C$21="六条大麦",リスト!$C$21="はだか麦",リスト!$C$21="なたね"),IF(K104&lt;9,調査年-J104,調査年-J104-1),
IF(リスト!$C$21="さとうきび",IF(K104&gt;=4,調査年-J104,調査年-J104+1),
調査年-J104)))</f>
        <v>0</v>
      </c>
      <c r="AH104" s="306">
        <f t="shared" si="22"/>
        <v>0</v>
      </c>
      <c r="AI104" s="306">
        <f t="shared" si="23"/>
        <v>0</v>
      </c>
      <c r="AJ104" s="306">
        <f t="shared" si="24"/>
        <v>0</v>
      </c>
      <c r="AK104" s="306">
        <f t="shared" si="25"/>
        <v>0</v>
      </c>
      <c r="AL104" s="306">
        <f t="shared" si="26"/>
        <v>0</v>
      </c>
      <c r="AM104" s="306">
        <f t="shared" si="34"/>
        <v>0</v>
      </c>
      <c r="AN104" s="477"/>
      <c r="AO104" s="306">
        <f>IF(OR(S104=0,AI104=0),,
IF(OR(リスト!$C$21="小麦",リスト!$C$21="二条大麦",リスト!$C$21="六条大麦",リスト!$C$21="はだか麦",リスト!$C$21="なたね"),IF(OR(AND(K104&lt;9,J104=調査年),AND(K104&gt;=9,J104=調査年-1)),,ROUND(AI104*S104%,0)),
IF(リスト!$C$21="さとうきび",IF(OR(AND(K104&gt;=4,J104=調査年),AND(K104&lt;4,J104=調査年+1)),,ROUND(AI104*S104%,0)),
IF(J104=調査年,,ROUND(AI104*S104%,0)))))</f>
        <v>0</v>
      </c>
      <c r="AP104" s="306">
        <f t="shared" si="27"/>
        <v>0</v>
      </c>
      <c r="AQ104" s="306">
        <f t="shared" si="28"/>
        <v>0</v>
      </c>
      <c r="AR104" s="306">
        <f t="shared" si="29"/>
        <v>0</v>
      </c>
      <c r="AS104" s="306">
        <f>IF(S104=0,,
SUM(
IF(OR(リスト!$C$21="小麦",リスト!$C$21="二条大麦",リスト!$C$21="六条大麦",リスト!$C$21="はだか麦",リスト!$C$21="なたね"),IF(OR(AND(AB104=1,K104&lt;9,J104=調査年),AND(AB104=1,K104&gt;=9,J104=調査年-1)),ROUND(L104*S104%,0),),
IF(リスト!$C$21="さとうきび",IF(OR(AND(AB104=1,K104&gt;=4,J104=調査年),AND(AB104=1,K104&lt;4,J104=調査年+1)),ROUND(L104*S104%,0),),
IF(AND(AB104=1,J104=調査年),ROUND(L104*S104%,0),))),
ROUND(N104*S104%,0),
ROUND(SUM(AM104)*S104%,0)
))</f>
        <v>0</v>
      </c>
      <c r="AT104" s="306">
        <f t="shared" si="30"/>
        <v>0</v>
      </c>
      <c r="AU104" s="306">
        <f t="shared" si="31"/>
        <v>0</v>
      </c>
      <c r="AV104" s="306">
        <f t="shared" si="32"/>
        <v>0</v>
      </c>
      <c r="AW104" s="306">
        <f t="shared" si="32"/>
        <v>0</v>
      </c>
      <c r="AX104" s="306">
        <f t="shared" si="32"/>
        <v>0</v>
      </c>
      <c r="AY104" s="841">
        <f t="shared" si="33"/>
        <v>0</v>
      </c>
      <c r="AZ104" s="802"/>
      <c r="BA104" s="802"/>
      <c r="BB104" s="802"/>
      <c r="BC104" s="802"/>
      <c r="BD104" s="174"/>
      <c r="BE104" s="174"/>
      <c r="BF104" s="174"/>
      <c r="BG104" s="174"/>
      <c r="BH104" s="174"/>
      <c r="BI104" s="174"/>
      <c r="BJ104" s="174"/>
      <c r="BK104" s="174"/>
      <c r="BL104" s="174"/>
      <c r="BM104" s="174"/>
      <c r="BN104" s="174"/>
      <c r="BO104" s="174"/>
    </row>
    <row r="105" spans="3:67" s="55" customFormat="1" ht="30.75" hidden="1" customHeight="1" outlineLevel="1">
      <c r="C105" s="862">
        <v>89</v>
      </c>
      <c r="D105" s="803"/>
      <c r="E105" s="902"/>
      <c r="F105" s="898"/>
      <c r="G105" s="2281"/>
      <c r="H105" s="2282"/>
      <c r="I105" s="851"/>
      <c r="J105" s="846"/>
      <c r="K105" s="796"/>
      <c r="L105" s="797"/>
      <c r="M105" s="797"/>
      <c r="N105" s="797"/>
      <c r="O105" s="797"/>
      <c r="P105" s="797"/>
      <c r="Q105" s="997"/>
      <c r="R105" s="1255"/>
      <c r="S105" s="1284"/>
      <c r="T105" s="798"/>
      <c r="U105" s="847"/>
      <c r="V105" s="848"/>
      <c r="W105" s="892"/>
      <c r="X105" s="904"/>
      <c r="Y105" s="905"/>
      <c r="Z105" s="901"/>
      <c r="AA105" s="800">
        <f t="shared" si="20"/>
        <v>0</v>
      </c>
      <c r="AB105" s="800">
        <f t="shared" si="35"/>
        <v>0</v>
      </c>
      <c r="AC105" s="800">
        <f t="shared" si="36"/>
        <v>0</v>
      </c>
      <c r="AD105" s="800">
        <f>IF(AA105=0,,VLOOKUP(AA105,リスト!DH:DI,2,0))</f>
        <v>0</v>
      </c>
      <c r="AE105" s="800">
        <f t="shared" si="21"/>
        <v>0</v>
      </c>
      <c r="AF105" s="801">
        <f>IF(AE105=0,,VLOOKUP(AE105,リスト!DK:DL,2,0))</f>
        <v>0</v>
      </c>
      <c r="AG105" s="800">
        <f>IF(AA105=0,,
IF(OR(リスト!$C$21="小麦",リスト!$C$21="二条大麦",リスト!$C$21="六条大麦",リスト!$C$21="はだか麦",リスト!$C$21="なたね"),IF(K105&lt;9,調査年-J105,調査年-J105-1),
IF(リスト!$C$21="さとうきび",IF(K105&gt;=4,調査年-J105,調査年-J105+1),
調査年-J105)))</f>
        <v>0</v>
      </c>
      <c r="AH105" s="306">
        <f t="shared" si="22"/>
        <v>0</v>
      </c>
      <c r="AI105" s="306">
        <f t="shared" si="23"/>
        <v>0</v>
      </c>
      <c r="AJ105" s="306">
        <f t="shared" si="24"/>
        <v>0</v>
      </c>
      <c r="AK105" s="306">
        <f t="shared" si="25"/>
        <v>0</v>
      </c>
      <c r="AL105" s="306">
        <f t="shared" si="26"/>
        <v>0</v>
      </c>
      <c r="AM105" s="306">
        <f t="shared" si="34"/>
        <v>0</v>
      </c>
      <c r="AN105" s="477"/>
      <c r="AO105" s="306">
        <f>IF(OR(S105=0,AI105=0),,
IF(OR(リスト!$C$21="小麦",リスト!$C$21="二条大麦",リスト!$C$21="六条大麦",リスト!$C$21="はだか麦",リスト!$C$21="なたね"),IF(OR(AND(K105&lt;9,J105=調査年),AND(K105&gt;=9,J105=調査年-1)),,ROUND(AI105*S105%,0)),
IF(リスト!$C$21="さとうきび",IF(OR(AND(K105&gt;=4,J105=調査年),AND(K105&lt;4,J105=調査年+1)),,ROUND(AI105*S105%,0)),
IF(J105=調査年,,ROUND(AI105*S105%,0)))))</f>
        <v>0</v>
      </c>
      <c r="AP105" s="306">
        <f t="shared" si="27"/>
        <v>0</v>
      </c>
      <c r="AQ105" s="306">
        <f t="shared" si="28"/>
        <v>0</v>
      </c>
      <c r="AR105" s="306">
        <f t="shared" si="29"/>
        <v>0</v>
      </c>
      <c r="AS105" s="306">
        <f>IF(S105=0,,
SUM(
IF(OR(リスト!$C$21="小麦",リスト!$C$21="二条大麦",リスト!$C$21="六条大麦",リスト!$C$21="はだか麦",リスト!$C$21="なたね"),IF(OR(AND(AB105=1,K105&lt;9,J105=調査年),AND(AB105=1,K105&gt;=9,J105=調査年-1)),ROUND(L105*S105%,0),),
IF(リスト!$C$21="さとうきび",IF(OR(AND(AB105=1,K105&gt;=4,J105=調査年),AND(AB105=1,K105&lt;4,J105=調査年+1)),ROUND(L105*S105%,0),),
IF(AND(AB105=1,J105=調査年),ROUND(L105*S105%,0),))),
ROUND(N105*S105%,0),
ROUND(SUM(AM105)*S105%,0)
))</f>
        <v>0</v>
      </c>
      <c r="AT105" s="306">
        <f t="shared" si="30"/>
        <v>0</v>
      </c>
      <c r="AU105" s="306">
        <f t="shared" si="31"/>
        <v>0</v>
      </c>
      <c r="AV105" s="306">
        <f t="shared" si="32"/>
        <v>0</v>
      </c>
      <c r="AW105" s="306">
        <f t="shared" si="32"/>
        <v>0</v>
      </c>
      <c r="AX105" s="306">
        <f t="shared" si="32"/>
        <v>0</v>
      </c>
      <c r="AY105" s="841">
        <f t="shared" si="33"/>
        <v>0</v>
      </c>
      <c r="AZ105" s="802"/>
      <c r="BA105" s="802"/>
      <c r="BB105" s="802"/>
      <c r="BC105" s="802"/>
      <c r="BD105" s="174"/>
      <c r="BE105" s="174"/>
      <c r="BF105" s="174"/>
      <c r="BG105" s="174"/>
      <c r="BH105" s="174"/>
      <c r="BI105" s="174"/>
      <c r="BJ105" s="174"/>
      <c r="BK105" s="174"/>
      <c r="BL105" s="174"/>
      <c r="BM105" s="174"/>
      <c r="BN105" s="174"/>
      <c r="BO105" s="174"/>
    </row>
    <row r="106" spans="3:67" s="55" customFormat="1" ht="30.75" hidden="1" customHeight="1" outlineLevel="1">
      <c r="C106" s="862">
        <v>90</v>
      </c>
      <c r="D106" s="803"/>
      <c r="E106" s="902"/>
      <c r="F106" s="898"/>
      <c r="G106" s="2281"/>
      <c r="H106" s="2282"/>
      <c r="I106" s="851"/>
      <c r="J106" s="846"/>
      <c r="K106" s="796"/>
      <c r="L106" s="797"/>
      <c r="M106" s="797"/>
      <c r="N106" s="797"/>
      <c r="O106" s="797"/>
      <c r="P106" s="797"/>
      <c r="Q106" s="997"/>
      <c r="R106" s="1255"/>
      <c r="S106" s="1284"/>
      <c r="T106" s="798"/>
      <c r="U106" s="847"/>
      <c r="V106" s="848"/>
      <c r="W106" s="892"/>
      <c r="X106" s="904"/>
      <c r="Y106" s="905"/>
      <c r="Z106" s="901"/>
      <c r="AA106" s="800">
        <f t="shared" si="20"/>
        <v>0</v>
      </c>
      <c r="AB106" s="800">
        <f t="shared" si="35"/>
        <v>0</v>
      </c>
      <c r="AC106" s="800">
        <f t="shared" si="36"/>
        <v>0</v>
      </c>
      <c r="AD106" s="800">
        <f>IF(AA106=0,,VLOOKUP(AA106,リスト!DH:DI,2,0))</f>
        <v>0</v>
      </c>
      <c r="AE106" s="800">
        <f t="shared" si="21"/>
        <v>0</v>
      </c>
      <c r="AF106" s="801">
        <f>IF(AE106=0,,VLOOKUP(AE106,リスト!DK:DL,2,0))</f>
        <v>0</v>
      </c>
      <c r="AG106" s="800">
        <f>IF(AA106=0,,
IF(OR(リスト!$C$21="小麦",リスト!$C$21="二条大麦",リスト!$C$21="六条大麦",リスト!$C$21="はだか麦",リスト!$C$21="なたね"),IF(K106&lt;9,調査年-J106,調査年-J106-1),
IF(リスト!$C$21="さとうきび",IF(K106&gt;=4,調査年-J106,調査年-J106+1),
調査年-J106)))</f>
        <v>0</v>
      </c>
      <c r="AH106" s="306">
        <f t="shared" si="22"/>
        <v>0</v>
      </c>
      <c r="AI106" s="306">
        <f t="shared" si="23"/>
        <v>0</v>
      </c>
      <c r="AJ106" s="306">
        <f t="shared" si="24"/>
        <v>0</v>
      </c>
      <c r="AK106" s="306">
        <f t="shared" si="25"/>
        <v>0</v>
      </c>
      <c r="AL106" s="306">
        <f t="shared" si="26"/>
        <v>0</v>
      </c>
      <c r="AM106" s="306">
        <f t="shared" si="34"/>
        <v>0</v>
      </c>
      <c r="AN106" s="477"/>
      <c r="AO106" s="306">
        <f>IF(OR(S106=0,AI106=0),,
IF(OR(リスト!$C$21="小麦",リスト!$C$21="二条大麦",リスト!$C$21="六条大麦",リスト!$C$21="はだか麦",リスト!$C$21="なたね"),IF(OR(AND(K106&lt;9,J106=調査年),AND(K106&gt;=9,J106=調査年-1)),,ROUND(AI106*S106%,0)),
IF(リスト!$C$21="さとうきび",IF(OR(AND(K106&gt;=4,J106=調査年),AND(K106&lt;4,J106=調査年+1)),,ROUND(AI106*S106%,0)),
IF(J106=調査年,,ROUND(AI106*S106%,0)))))</f>
        <v>0</v>
      </c>
      <c r="AP106" s="306">
        <f t="shared" si="27"/>
        <v>0</v>
      </c>
      <c r="AQ106" s="306">
        <f t="shared" si="28"/>
        <v>0</v>
      </c>
      <c r="AR106" s="306">
        <f t="shared" si="29"/>
        <v>0</v>
      </c>
      <c r="AS106" s="306">
        <f>IF(S106=0,,
SUM(
IF(OR(リスト!$C$21="小麦",リスト!$C$21="二条大麦",リスト!$C$21="六条大麦",リスト!$C$21="はだか麦",リスト!$C$21="なたね"),IF(OR(AND(AB106=1,K106&lt;9,J106=調査年),AND(AB106=1,K106&gt;=9,J106=調査年-1)),ROUND(L106*S106%,0),),
IF(リスト!$C$21="さとうきび",IF(OR(AND(AB106=1,K106&gt;=4,J106=調査年),AND(AB106=1,K106&lt;4,J106=調査年+1)),ROUND(L106*S106%,0),),
IF(AND(AB106=1,J106=調査年),ROUND(L106*S106%,0),))),
ROUND(N106*S106%,0),
ROUND(SUM(AM106)*S106%,0)
))</f>
        <v>0</v>
      </c>
      <c r="AT106" s="306">
        <f t="shared" si="30"/>
        <v>0</v>
      </c>
      <c r="AU106" s="306">
        <f t="shared" si="31"/>
        <v>0</v>
      </c>
      <c r="AV106" s="306">
        <f t="shared" si="32"/>
        <v>0</v>
      </c>
      <c r="AW106" s="306">
        <f t="shared" si="32"/>
        <v>0</v>
      </c>
      <c r="AX106" s="306">
        <f t="shared" si="32"/>
        <v>0</v>
      </c>
      <c r="AY106" s="841">
        <f t="shared" si="33"/>
        <v>0</v>
      </c>
      <c r="AZ106" s="802"/>
      <c r="BA106" s="802"/>
      <c r="BB106" s="802"/>
      <c r="BC106" s="802"/>
      <c r="BD106" s="174"/>
      <c r="BE106" s="174"/>
      <c r="BF106" s="174"/>
      <c r="BG106" s="174"/>
      <c r="BH106" s="174"/>
      <c r="BI106" s="174"/>
      <c r="BJ106" s="174"/>
      <c r="BK106" s="174"/>
      <c r="BL106" s="174"/>
      <c r="BM106" s="174"/>
      <c r="BN106" s="174"/>
      <c r="BO106" s="174"/>
    </row>
    <row r="107" spans="3:67" s="55" customFormat="1" ht="30.75" hidden="1" customHeight="1" outlineLevel="1">
      <c r="C107" s="862">
        <v>91</v>
      </c>
      <c r="D107" s="803"/>
      <c r="E107" s="902"/>
      <c r="F107" s="898"/>
      <c r="G107" s="2281"/>
      <c r="H107" s="2282"/>
      <c r="I107" s="851"/>
      <c r="J107" s="846"/>
      <c r="K107" s="796"/>
      <c r="L107" s="797"/>
      <c r="M107" s="797"/>
      <c r="N107" s="797"/>
      <c r="O107" s="797"/>
      <c r="P107" s="797"/>
      <c r="Q107" s="997"/>
      <c r="R107" s="1255"/>
      <c r="S107" s="1284"/>
      <c r="T107" s="798"/>
      <c r="U107" s="847"/>
      <c r="V107" s="848"/>
      <c r="W107" s="892"/>
      <c r="X107" s="904"/>
      <c r="Y107" s="905"/>
      <c r="Z107" s="901"/>
      <c r="AA107" s="800">
        <f t="shared" si="20"/>
        <v>0</v>
      </c>
      <c r="AB107" s="800">
        <f t="shared" si="35"/>
        <v>0</v>
      </c>
      <c r="AC107" s="800">
        <f t="shared" si="36"/>
        <v>0</v>
      </c>
      <c r="AD107" s="800">
        <f>IF(AA107=0,,VLOOKUP(AA107,リスト!DH:DI,2,0))</f>
        <v>0</v>
      </c>
      <c r="AE107" s="800">
        <f t="shared" si="21"/>
        <v>0</v>
      </c>
      <c r="AF107" s="801">
        <f>IF(AE107=0,,VLOOKUP(AE107,リスト!DK:DL,2,0))</f>
        <v>0</v>
      </c>
      <c r="AG107" s="800">
        <f>IF(AA107=0,,
IF(OR(リスト!$C$21="小麦",リスト!$C$21="二条大麦",リスト!$C$21="六条大麦",リスト!$C$21="はだか麦",リスト!$C$21="なたね"),IF(K107&lt;9,調査年-J107,調査年-J107-1),
IF(リスト!$C$21="さとうきび",IF(K107&gt;=4,調査年-J107,調査年-J107+1),
調査年-J107)))</f>
        <v>0</v>
      </c>
      <c r="AH107" s="306">
        <f t="shared" si="22"/>
        <v>0</v>
      </c>
      <c r="AI107" s="306">
        <f t="shared" si="23"/>
        <v>0</v>
      </c>
      <c r="AJ107" s="306">
        <f t="shared" si="24"/>
        <v>0</v>
      </c>
      <c r="AK107" s="306">
        <f t="shared" si="25"/>
        <v>0</v>
      </c>
      <c r="AL107" s="306">
        <f t="shared" si="26"/>
        <v>0</v>
      </c>
      <c r="AM107" s="306">
        <f t="shared" si="34"/>
        <v>0</v>
      </c>
      <c r="AN107" s="477"/>
      <c r="AO107" s="306">
        <f>IF(OR(S107=0,AI107=0),,
IF(OR(リスト!$C$21="小麦",リスト!$C$21="二条大麦",リスト!$C$21="六条大麦",リスト!$C$21="はだか麦",リスト!$C$21="なたね"),IF(OR(AND(K107&lt;9,J107=調査年),AND(K107&gt;=9,J107=調査年-1)),,ROUND(AI107*S107%,0)),
IF(リスト!$C$21="さとうきび",IF(OR(AND(K107&gt;=4,J107=調査年),AND(K107&lt;4,J107=調査年+1)),,ROUND(AI107*S107%,0)),
IF(J107=調査年,,ROUND(AI107*S107%,0)))))</f>
        <v>0</v>
      </c>
      <c r="AP107" s="306">
        <f t="shared" si="27"/>
        <v>0</v>
      </c>
      <c r="AQ107" s="306">
        <f t="shared" si="28"/>
        <v>0</v>
      </c>
      <c r="AR107" s="306">
        <f t="shared" si="29"/>
        <v>0</v>
      </c>
      <c r="AS107" s="306">
        <f>IF(S107=0,,
SUM(
IF(OR(リスト!$C$21="小麦",リスト!$C$21="二条大麦",リスト!$C$21="六条大麦",リスト!$C$21="はだか麦",リスト!$C$21="なたね"),IF(OR(AND(AB107=1,K107&lt;9,J107=調査年),AND(AB107=1,K107&gt;=9,J107=調査年-1)),ROUND(L107*S107%,0),),
IF(リスト!$C$21="さとうきび",IF(OR(AND(AB107=1,K107&gt;=4,J107=調査年),AND(AB107=1,K107&lt;4,J107=調査年+1)),ROUND(L107*S107%,0),),
IF(AND(AB107=1,J107=調査年),ROUND(L107*S107%,0),))),
ROUND(N107*S107%,0),
ROUND(SUM(AM107)*S107%,0)
))</f>
        <v>0</v>
      </c>
      <c r="AT107" s="306">
        <f t="shared" si="30"/>
        <v>0</v>
      </c>
      <c r="AU107" s="306">
        <f t="shared" si="31"/>
        <v>0</v>
      </c>
      <c r="AV107" s="306">
        <f t="shared" si="32"/>
        <v>0</v>
      </c>
      <c r="AW107" s="306">
        <f t="shared" si="32"/>
        <v>0</v>
      </c>
      <c r="AX107" s="306">
        <f t="shared" si="32"/>
        <v>0</v>
      </c>
      <c r="AY107" s="841">
        <f t="shared" si="33"/>
        <v>0</v>
      </c>
      <c r="AZ107" s="802"/>
      <c r="BA107" s="802"/>
      <c r="BB107" s="802"/>
      <c r="BC107" s="802"/>
      <c r="BD107" s="174"/>
      <c r="BE107" s="174"/>
      <c r="BF107" s="174"/>
      <c r="BG107" s="174"/>
      <c r="BH107" s="174"/>
      <c r="BI107" s="174"/>
      <c r="BJ107" s="174"/>
      <c r="BK107" s="174"/>
      <c r="BL107" s="174"/>
      <c r="BM107" s="174"/>
      <c r="BN107" s="174"/>
      <c r="BO107" s="174"/>
    </row>
    <row r="108" spans="3:67" s="55" customFormat="1" ht="30.75" hidden="1" customHeight="1" outlineLevel="1">
      <c r="C108" s="862">
        <v>92</v>
      </c>
      <c r="D108" s="803"/>
      <c r="E108" s="902"/>
      <c r="F108" s="898"/>
      <c r="G108" s="2281"/>
      <c r="H108" s="2282"/>
      <c r="I108" s="851"/>
      <c r="J108" s="846"/>
      <c r="K108" s="796"/>
      <c r="L108" s="797"/>
      <c r="M108" s="797"/>
      <c r="N108" s="797"/>
      <c r="O108" s="797"/>
      <c r="P108" s="797"/>
      <c r="Q108" s="997"/>
      <c r="R108" s="1255"/>
      <c r="S108" s="1284"/>
      <c r="T108" s="798"/>
      <c r="U108" s="847"/>
      <c r="V108" s="848"/>
      <c r="W108" s="892"/>
      <c r="X108" s="904"/>
      <c r="Y108" s="905"/>
      <c r="Z108" s="901"/>
      <c r="AA108" s="800">
        <f t="shared" si="20"/>
        <v>0</v>
      </c>
      <c r="AB108" s="800">
        <f t="shared" si="35"/>
        <v>0</v>
      </c>
      <c r="AC108" s="800">
        <f t="shared" si="36"/>
        <v>0</v>
      </c>
      <c r="AD108" s="800">
        <f>IF(AA108=0,,VLOOKUP(AA108,リスト!DH:DI,2,0))</f>
        <v>0</v>
      </c>
      <c r="AE108" s="800">
        <f t="shared" si="21"/>
        <v>0</v>
      </c>
      <c r="AF108" s="801">
        <f>IF(AE108=0,,VLOOKUP(AE108,リスト!DK:DL,2,0))</f>
        <v>0</v>
      </c>
      <c r="AG108" s="800">
        <f>IF(AA108=0,,
IF(OR(リスト!$C$21="小麦",リスト!$C$21="二条大麦",リスト!$C$21="六条大麦",リスト!$C$21="はだか麦",リスト!$C$21="なたね"),IF(K108&lt;9,調査年-J108,調査年-J108-1),
IF(リスト!$C$21="さとうきび",IF(K108&gt;=4,調査年-J108,調査年-J108+1),
調査年-J108)))</f>
        <v>0</v>
      </c>
      <c r="AH108" s="306">
        <f t="shared" si="22"/>
        <v>0</v>
      </c>
      <c r="AI108" s="306">
        <f t="shared" si="23"/>
        <v>0</v>
      </c>
      <c r="AJ108" s="306">
        <f t="shared" si="24"/>
        <v>0</v>
      </c>
      <c r="AK108" s="306">
        <f t="shared" si="25"/>
        <v>0</v>
      </c>
      <c r="AL108" s="306">
        <f t="shared" si="26"/>
        <v>0</v>
      </c>
      <c r="AM108" s="306">
        <f t="shared" si="34"/>
        <v>0</v>
      </c>
      <c r="AN108" s="477"/>
      <c r="AO108" s="306">
        <f>IF(OR(S108=0,AI108=0),,
IF(OR(リスト!$C$21="小麦",リスト!$C$21="二条大麦",リスト!$C$21="六条大麦",リスト!$C$21="はだか麦",リスト!$C$21="なたね"),IF(OR(AND(K108&lt;9,J108=調査年),AND(K108&gt;=9,J108=調査年-1)),,ROUND(AI108*S108%,0)),
IF(リスト!$C$21="さとうきび",IF(OR(AND(K108&gt;=4,J108=調査年),AND(K108&lt;4,J108=調査年+1)),,ROUND(AI108*S108%,0)),
IF(J108=調査年,,ROUND(AI108*S108%,0)))))</f>
        <v>0</v>
      </c>
      <c r="AP108" s="306">
        <f t="shared" si="27"/>
        <v>0</v>
      </c>
      <c r="AQ108" s="306">
        <f t="shared" si="28"/>
        <v>0</v>
      </c>
      <c r="AR108" s="306">
        <f t="shared" si="29"/>
        <v>0</v>
      </c>
      <c r="AS108" s="306">
        <f>IF(S108=0,,
SUM(
IF(OR(リスト!$C$21="小麦",リスト!$C$21="二条大麦",リスト!$C$21="六条大麦",リスト!$C$21="はだか麦",リスト!$C$21="なたね"),IF(OR(AND(AB108=1,K108&lt;9,J108=調査年),AND(AB108=1,K108&gt;=9,J108=調査年-1)),ROUND(L108*S108%,0),),
IF(リスト!$C$21="さとうきび",IF(OR(AND(AB108=1,K108&gt;=4,J108=調査年),AND(AB108=1,K108&lt;4,J108=調査年+1)),ROUND(L108*S108%,0),),
IF(AND(AB108=1,J108=調査年),ROUND(L108*S108%,0),))),
ROUND(N108*S108%,0),
ROUND(SUM(AM108)*S108%,0)
))</f>
        <v>0</v>
      </c>
      <c r="AT108" s="306">
        <f t="shared" si="30"/>
        <v>0</v>
      </c>
      <c r="AU108" s="306">
        <f t="shared" si="31"/>
        <v>0</v>
      </c>
      <c r="AV108" s="306">
        <f t="shared" si="32"/>
        <v>0</v>
      </c>
      <c r="AW108" s="306">
        <f t="shared" si="32"/>
        <v>0</v>
      </c>
      <c r="AX108" s="306">
        <f t="shared" si="32"/>
        <v>0</v>
      </c>
      <c r="AY108" s="841">
        <f t="shared" si="33"/>
        <v>0</v>
      </c>
      <c r="AZ108" s="802"/>
      <c r="BA108" s="802"/>
      <c r="BB108" s="802"/>
      <c r="BC108" s="802"/>
      <c r="BD108" s="174"/>
      <c r="BE108" s="174"/>
      <c r="BF108" s="174"/>
      <c r="BG108" s="174"/>
      <c r="BH108" s="174"/>
      <c r="BI108" s="174"/>
      <c r="BJ108" s="174"/>
      <c r="BK108" s="174"/>
      <c r="BL108" s="174"/>
      <c r="BM108" s="174"/>
      <c r="BN108" s="174"/>
      <c r="BO108" s="174"/>
    </row>
    <row r="109" spans="3:67" s="55" customFormat="1" ht="30.75" hidden="1" customHeight="1" outlineLevel="1">
      <c r="C109" s="862">
        <v>93</v>
      </c>
      <c r="D109" s="803"/>
      <c r="E109" s="902"/>
      <c r="F109" s="898"/>
      <c r="G109" s="2281"/>
      <c r="H109" s="2282"/>
      <c r="I109" s="851"/>
      <c r="J109" s="846"/>
      <c r="K109" s="796"/>
      <c r="L109" s="797"/>
      <c r="M109" s="797"/>
      <c r="N109" s="797"/>
      <c r="O109" s="797"/>
      <c r="P109" s="797"/>
      <c r="Q109" s="997"/>
      <c r="R109" s="1255"/>
      <c r="S109" s="1284"/>
      <c r="T109" s="798"/>
      <c r="U109" s="847"/>
      <c r="V109" s="848"/>
      <c r="W109" s="892"/>
      <c r="X109" s="904"/>
      <c r="Y109" s="905"/>
      <c r="Z109" s="901"/>
      <c r="AA109" s="800">
        <f t="shared" si="20"/>
        <v>0</v>
      </c>
      <c r="AB109" s="800">
        <f t="shared" si="35"/>
        <v>0</v>
      </c>
      <c r="AC109" s="800">
        <f t="shared" si="36"/>
        <v>0</v>
      </c>
      <c r="AD109" s="800">
        <f>IF(AA109=0,,VLOOKUP(AA109,リスト!DH:DI,2,0))</f>
        <v>0</v>
      </c>
      <c r="AE109" s="800">
        <f t="shared" si="21"/>
        <v>0</v>
      </c>
      <c r="AF109" s="801">
        <f>IF(AE109=0,,VLOOKUP(AE109,リスト!DK:DL,2,0))</f>
        <v>0</v>
      </c>
      <c r="AG109" s="800">
        <f>IF(AA109=0,,
IF(OR(リスト!$C$21="小麦",リスト!$C$21="二条大麦",リスト!$C$21="六条大麦",リスト!$C$21="はだか麦",リスト!$C$21="なたね"),IF(K109&lt;9,調査年-J109,調査年-J109-1),
IF(リスト!$C$21="さとうきび",IF(K109&gt;=4,調査年-J109,調査年-J109+1),
調査年-J109)))</f>
        <v>0</v>
      </c>
      <c r="AH109" s="306">
        <f t="shared" si="22"/>
        <v>0</v>
      </c>
      <c r="AI109" s="306">
        <f t="shared" si="23"/>
        <v>0</v>
      </c>
      <c r="AJ109" s="306">
        <f t="shared" si="24"/>
        <v>0</v>
      </c>
      <c r="AK109" s="306">
        <f t="shared" si="25"/>
        <v>0</v>
      </c>
      <c r="AL109" s="306">
        <f t="shared" si="26"/>
        <v>0</v>
      </c>
      <c r="AM109" s="306">
        <f t="shared" si="34"/>
        <v>0</v>
      </c>
      <c r="AN109" s="477"/>
      <c r="AO109" s="306">
        <f>IF(OR(S109=0,AI109=0),,
IF(OR(リスト!$C$21="小麦",リスト!$C$21="二条大麦",リスト!$C$21="六条大麦",リスト!$C$21="はだか麦",リスト!$C$21="なたね"),IF(OR(AND(K109&lt;9,J109=調査年),AND(K109&gt;=9,J109=調査年-1)),,ROUND(AI109*S109%,0)),
IF(リスト!$C$21="さとうきび",IF(OR(AND(K109&gt;=4,J109=調査年),AND(K109&lt;4,J109=調査年+1)),,ROUND(AI109*S109%,0)),
IF(J109=調査年,,ROUND(AI109*S109%,0)))))</f>
        <v>0</v>
      </c>
      <c r="AP109" s="306">
        <f t="shared" si="27"/>
        <v>0</v>
      </c>
      <c r="AQ109" s="306">
        <f t="shared" si="28"/>
        <v>0</v>
      </c>
      <c r="AR109" s="306">
        <f t="shared" si="29"/>
        <v>0</v>
      </c>
      <c r="AS109" s="306">
        <f>IF(S109=0,,
SUM(
IF(OR(リスト!$C$21="小麦",リスト!$C$21="二条大麦",リスト!$C$21="六条大麦",リスト!$C$21="はだか麦",リスト!$C$21="なたね"),IF(OR(AND(AB109=1,K109&lt;9,J109=調査年),AND(AB109=1,K109&gt;=9,J109=調査年-1)),ROUND(L109*S109%,0),),
IF(リスト!$C$21="さとうきび",IF(OR(AND(AB109=1,K109&gt;=4,J109=調査年),AND(AB109=1,K109&lt;4,J109=調査年+1)),ROUND(L109*S109%,0),),
IF(AND(AB109=1,J109=調査年),ROUND(L109*S109%,0),))),
ROUND(N109*S109%,0),
ROUND(SUM(AM109)*S109%,0)
))</f>
        <v>0</v>
      </c>
      <c r="AT109" s="306">
        <f t="shared" si="30"/>
        <v>0</v>
      </c>
      <c r="AU109" s="306">
        <f t="shared" si="31"/>
        <v>0</v>
      </c>
      <c r="AV109" s="306">
        <f t="shared" si="32"/>
        <v>0</v>
      </c>
      <c r="AW109" s="306">
        <f t="shared" si="32"/>
        <v>0</v>
      </c>
      <c r="AX109" s="306">
        <f t="shared" si="32"/>
        <v>0</v>
      </c>
      <c r="AY109" s="841">
        <f t="shared" si="33"/>
        <v>0</v>
      </c>
      <c r="AZ109" s="802"/>
      <c r="BA109" s="802"/>
      <c r="BB109" s="802"/>
      <c r="BC109" s="802"/>
      <c r="BD109" s="174"/>
      <c r="BE109" s="174"/>
      <c r="BF109" s="174"/>
      <c r="BG109" s="174"/>
      <c r="BH109" s="174"/>
      <c r="BI109" s="174"/>
      <c r="BJ109" s="174"/>
      <c r="BK109" s="174"/>
      <c r="BL109" s="174"/>
      <c r="BM109" s="174"/>
      <c r="BN109" s="174"/>
      <c r="BO109" s="174"/>
    </row>
    <row r="110" spans="3:67" s="55" customFormat="1" ht="30.75" hidden="1" customHeight="1" outlineLevel="1">
      <c r="C110" s="862">
        <v>94</v>
      </c>
      <c r="D110" s="803"/>
      <c r="E110" s="902"/>
      <c r="F110" s="898"/>
      <c r="G110" s="2281"/>
      <c r="H110" s="2282"/>
      <c r="I110" s="851"/>
      <c r="J110" s="846"/>
      <c r="K110" s="796"/>
      <c r="L110" s="797"/>
      <c r="M110" s="797"/>
      <c r="N110" s="797"/>
      <c r="O110" s="797"/>
      <c r="P110" s="797"/>
      <c r="Q110" s="997"/>
      <c r="R110" s="1255"/>
      <c r="S110" s="1284"/>
      <c r="T110" s="798"/>
      <c r="U110" s="847"/>
      <c r="V110" s="848"/>
      <c r="W110" s="892"/>
      <c r="X110" s="904"/>
      <c r="Y110" s="905"/>
      <c r="Z110" s="901"/>
      <c r="AA110" s="800">
        <f t="shared" si="20"/>
        <v>0</v>
      </c>
      <c r="AB110" s="800">
        <f t="shared" si="35"/>
        <v>0</v>
      </c>
      <c r="AC110" s="800">
        <f t="shared" si="36"/>
        <v>0</v>
      </c>
      <c r="AD110" s="800">
        <f>IF(AA110=0,,VLOOKUP(AA110,リスト!DH:DI,2,0))</f>
        <v>0</v>
      </c>
      <c r="AE110" s="800">
        <f t="shared" si="21"/>
        <v>0</v>
      </c>
      <c r="AF110" s="801">
        <f>IF(AE110=0,,VLOOKUP(AE110,リスト!DK:DL,2,0))</f>
        <v>0</v>
      </c>
      <c r="AG110" s="800">
        <f>IF(AA110=0,,
IF(OR(リスト!$C$21="小麦",リスト!$C$21="二条大麦",リスト!$C$21="六条大麦",リスト!$C$21="はだか麦",リスト!$C$21="なたね"),IF(K110&lt;9,調査年-J110,調査年-J110-1),
IF(リスト!$C$21="さとうきび",IF(K110&gt;=4,調査年-J110,調査年-J110+1),
調査年-J110)))</f>
        <v>0</v>
      </c>
      <c r="AH110" s="306">
        <f t="shared" si="22"/>
        <v>0</v>
      </c>
      <c r="AI110" s="306">
        <f t="shared" si="23"/>
        <v>0</v>
      </c>
      <c r="AJ110" s="306">
        <f t="shared" si="24"/>
        <v>0</v>
      </c>
      <c r="AK110" s="306">
        <f t="shared" si="25"/>
        <v>0</v>
      </c>
      <c r="AL110" s="306">
        <f t="shared" si="26"/>
        <v>0</v>
      </c>
      <c r="AM110" s="306">
        <f t="shared" si="34"/>
        <v>0</v>
      </c>
      <c r="AN110" s="477"/>
      <c r="AO110" s="306">
        <f>IF(OR(S110=0,AI110=0),,
IF(OR(リスト!$C$21="小麦",リスト!$C$21="二条大麦",リスト!$C$21="六条大麦",リスト!$C$21="はだか麦",リスト!$C$21="なたね"),IF(OR(AND(K110&lt;9,J110=調査年),AND(K110&gt;=9,J110=調査年-1)),,ROUND(AI110*S110%,0)),
IF(リスト!$C$21="さとうきび",IF(OR(AND(K110&gt;=4,J110=調査年),AND(K110&lt;4,J110=調査年+1)),,ROUND(AI110*S110%,0)),
IF(J110=調査年,,ROUND(AI110*S110%,0)))))</f>
        <v>0</v>
      </c>
      <c r="AP110" s="306">
        <f t="shared" si="27"/>
        <v>0</v>
      </c>
      <c r="AQ110" s="306">
        <f t="shared" si="28"/>
        <v>0</v>
      </c>
      <c r="AR110" s="306">
        <f t="shared" si="29"/>
        <v>0</v>
      </c>
      <c r="AS110" s="306">
        <f>IF(S110=0,,
SUM(
IF(OR(リスト!$C$21="小麦",リスト!$C$21="二条大麦",リスト!$C$21="六条大麦",リスト!$C$21="はだか麦",リスト!$C$21="なたね"),IF(OR(AND(AB110=1,K110&lt;9,J110=調査年),AND(AB110=1,K110&gt;=9,J110=調査年-1)),ROUND(L110*S110%,0),),
IF(リスト!$C$21="さとうきび",IF(OR(AND(AB110=1,K110&gt;=4,J110=調査年),AND(AB110=1,K110&lt;4,J110=調査年+1)),ROUND(L110*S110%,0),),
IF(AND(AB110=1,J110=調査年),ROUND(L110*S110%,0),))),
ROUND(N110*S110%,0),
ROUND(SUM(AM110)*S110%,0)
))</f>
        <v>0</v>
      </c>
      <c r="AT110" s="306">
        <f t="shared" si="30"/>
        <v>0</v>
      </c>
      <c r="AU110" s="306">
        <f t="shared" si="31"/>
        <v>0</v>
      </c>
      <c r="AV110" s="306">
        <f t="shared" si="32"/>
        <v>0</v>
      </c>
      <c r="AW110" s="306">
        <f t="shared" si="32"/>
        <v>0</v>
      </c>
      <c r="AX110" s="306">
        <f t="shared" si="32"/>
        <v>0</v>
      </c>
      <c r="AY110" s="841">
        <f t="shared" si="33"/>
        <v>0</v>
      </c>
      <c r="AZ110" s="802"/>
      <c r="BA110" s="802"/>
      <c r="BB110" s="802"/>
      <c r="BC110" s="802"/>
      <c r="BD110" s="174"/>
      <c r="BE110" s="174"/>
      <c r="BF110" s="174"/>
      <c r="BG110" s="174"/>
      <c r="BH110" s="174"/>
      <c r="BI110" s="174"/>
      <c r="BJ110" s="174"/>
      <c r="BK110" s="174"/>
      <c r="BL110" s="174"/>
      <c r="BM110" s="174"/>
      <c r="BN110" s="174"/>
      <c r="BO110" s="174"/>
    </row>
    <row r="111" spans="3:67" s="55" customFormat="1" ht="30.75" hidden="1" customHeight="1" outlineLevel="1">
      <c r="C111" s="862">
        <v>95</v>
      </c>
      <c r="D111" s="803"/>
      <c r="E111" s="902"/>
      <c r="F111" s="898"/>
      <c r="G111" s="2281"/>
      <c r="H111" s="2282"/>
      <c r="I111" s="851"/>
      <c r="J111" s="846"/>
      <c r="K111" s="796"/>
      <c r="L111" s="797"/>
      <c r="M111" s="797"/>
      <c r="N111" s="797"/>
      <c r="O111" s="797"/>
      <c r="P111" s="797"/>
      <c r="Q111" s="997"/>
      <c r="R111" s="1255"/>
      <c r="S111" s="1284"/>
      <c r="T111" s="798"/>
      <c r="U111" s="847"/>
      <c r="V111" s="848"/>
      <c r="W111" s="892"/>
      <c r="X111" s="904"/>
      <c r="Y111" s="905"/>
      <c r="Z111" s="901"/>
      <c r="AA111" s="800">
        <f t="shared" si="20"/>
        <v>0</v>
      </c>
      <c r="AB111" s="800">
        <f t="shared" si="35"/>
        <v>0</v>
      </c>
      <c r="AC111" s="800">
        <f t="shared" si="36"/>
        <v>0</v>
      </c>
      <c r="AD111" s="800">
        <f>IF(AA111=0,,VLOOKUP(AA111,リスト!DH:DI,2,0))</f>
        <v>0</v>
      </c>
      <c r="AE111" s="800">
        <f t="shared" si="21"/>
        <v>0</v>
      </c>
      <c r="AF111" s="801">
        <f>IF(AE111=0,,VLOOKUP(AE111,リスト!DK:DL,2,0))</f>
        <v>0</v>
      </c>
      <c r="AG111" s="800">
        <f>IF(AA111=0,,
IF(OR(リスト!$C$21="小麦",リスト!$C$21="二条大麦",リスト!$C$21="六条大麦",リスト!$C$21="はだか麦",リスト!$C$21="なたね"),IF(K111&lt;9,調査年-J111,調査年-J111-1),
IF(リスト!$C$21="さとうきび",IF(K111&gt;=4,調査年-J111,調査年-J111+1),
調査年-J111)))</f>
        <v>0</v>
      </c>
      <c r="AH111" s="306">
        <f t="shared" si="22"/>
        <v>0</v>
      </c>
      <c r="AI111" s="306">
        <f t="shared" si="23"/>
        <v>0</v>
      </c>
      <c r="AJ111" s="306">
        <f t="shared" si="24"/>
        <v>0</v>
      </c>
      <c r="AK111" s="306">
        <f t="shared" si="25"/>
        <v>0</v>
      </c>
      <c r="AL111" s="306">
        <f t="shared" si="26"/>
        <v>0</v>
      </c>
      <c r="AM111" s="306">
        <f t="shared" si="34"/>
        <v>0</v>
      </c>
      <c r="AN111" s="477"/>
      <c r="AO111" s="306">
        <f>IF(OR(S111=0,AI111=0),,
IF(OR(リスト!$C$21="小麦",リスト!$C$21="二条大麦",リスト!$C$21="六条大麦",リスト!$C$21="はだか麦",リスト!$C$21="なたね"),IF(OR(AND(K111&lt;9,J111=調査年),AND(K111&gt;=9,J111=調査年-1)),,ROUND(AI111*S111%,0)),
IF(リスト!$C$21="さとうきび",IF(OR(AND(K111&gt;=4,J111=調査年),AND(K111&lt;4,J111=調査年+1)),,ROUND(AI111*S111%,0)),
IF(J111=調査年,,ROUND(AI111*S111%,0)))))</f>
        <v>0</v>
      </c>
      <c r="AP111" s="306">
        <f t="shared" si="27"/>
        <v>0</v>
      </c>
      <c r="AQ111" s="306">
        <f t="shared" si="28"/>
        <v>0</v>
      </c>
      <c r="AR111" s="306">
        <f t="shared" si="29"/>
        <v>0</v>
      </c>
      <c r="AS111" s="306">
        <f>IF(S111=0,,
SUM(
IF(OR(リスト!$C$21="小麦",リスト!$C$21="二条大麦",リスト!$C$21="六条大麦",リスト!$C$21="はだか麦",リスト!$C$21="なたね"),IF(OR(AND(AB111=1,K111&lt;9,J111=調査年),AND(AB111=1,K111&gt;=9,J111=調査年-1)),ROUND(L111*S111%,0),),
IF(リスト!$C$21="さとうきび",IF(OR(AND(AB111=1,K111&gt;=4,J111=調査年),AND(AB111=1,K111&lt;4,J111=調査年+1)),ROUND(L111*S111%,0),),
IF(AND(AB111=1,J111=調査年),ROUND(L111*S111%,0),))),
ROUND(N111*S111%,0),
ROUND(SUM(AM111)*S111%,0)
))</f>
        <v>0</v>
      </c>
      <c r="AT111" s="306">
        <f t="shared" si="30"/>
        <v>0</v>
      </c>
      <c r="AU111" s="306">
        <f t="shared" si="31"/>
        <v>0</v>
      </c>
      <c r="AV111" s="306">
        <f t="shared" si="32"/>
        <v>0</v>
      </c>
      <c r="AW111" s="306">
        <f t="shared" si="32"/>
        <v>0</v>
      </c>
      <c r="AX111" s="306">
        <f t="shared" si="32"/>
        <v>0</v>
      </c>
      <c r="AY111" s="841">
        <f t="shared" si="33"/>
        <v>0</v>
      </c>
      <c r="AZ111" s="802"/>
      <c r="BA111" s="802"/>
      <c r="BB111" s="802"/>
      <c r="BC111" s="802"/>
      <c r="BD111" s="174"/>
      <c r="BE111" s="174"/>
      <c r="BF111" s="174"/>
      <c r="BG111" s="174"/>
      <c r="BH111" s="174"/>
      <c r="BI111" s="174"/>
      <c r="BJ111" s="174"/>
      <c r="BK111" s="174"/>
      <c r="BL111" s="174"/>
      <c r="BM111" s="174"/>
      <c r="BN111" s="174"/>
      <c r="BO111" s="174"/>
    </row>
    <row r="112" spans="3:67" s="55" customFormat="1" ht="30.75" hidden="1" customHeight="1" outlineLevel="1">
      <c r="C112" s="862">
        <v>96</v>
      </c>
      <c r="D112" s="803"/>
      <c r="E112" s="902"/>
      <c r="F112" s="898"/>
      <c r="G112" s="2281"/>
      <c r="H112" s="2282"/>
      <c r="I112" s="851"/>
      <c r="J112" s="846"/>
      <c r="K112" s="796"/>
      <c r="L112" s="797"/>
      <c r="M112" s="797"/>
      <c r="N112" s="797"/>
      <c r="O112" s="797"/>
      <c r="P112" s="797"/>
      <c r="Q112" s="997"/>
      <c r="R112" s="1255"/>
      <c r="S112" s="1284"/>
      <c r="T112" s="798"/>
      <c r="U112" s="847"/>
      <c r="V112" s="848"/>
      <c r="W112" s="892"/>
      <c r="X112" s="904"/>
      <c r="Y112" s="905"/>
      <c r="Z112" s="901"/>
      <c r="AA112" s="800">
        <f t="shared" si="20"/>
        <v>0</v>
      </c>
      <c r="AB112" s="800">
        <f t="shared" si="35"/>
        <v>0</v>
      </c>
      <c r="AC112" s="800">
        <f t="shared" si="36"/>
        <v>0</v>
      </c>
      <c r="AD112" s="800">
        <f>IF(AA112=0,,VLOOKUP(AA112,リスト!DH:DI,2,0))</f>
        <v>0</v>
      </c>
      <c r="AE112" s="800">
        <f t="shared" si="21"/>
        <v>0</v>
      </c>
      <c r="AF112" s="801">
        <f>IF(AE112=0,,VLOOKUP(AE112,リスト!DK:DL,2,0))</f>
        <v>0</v>
      </c>
      <c r="AG112" s="800">
        <f>IF(AA112=0,,
IF(OR(リスト!$C$21="小麦",リスト!$C$21="二条大麦",リスト!$C$21="六条大麦",リスト!$C$21="はだか麦",リスト!$C$21="なたね"),IF(K112&lt;9,調査年-J112,調査年-J112-1),
IF(リスト!$C$21="さとうきび",IF(K112&gt;=4,調査年-J112,調査年-J112+1),
調査年-J112)))</f>
        <v>0</v>
      </c>
      <c r="AH112" s="306">
        <f t="shared" si="22"/>
        <v>0</v>
      </c>
      <c r="AI112" s="306">
        <f t="shared" si="23"/>
        <v>0</v>
      </c>
      <c r="AJ112" s="306">
        <f t="shared" si="24"/>
        <v>0</v>
      </c>
      <c r="AK112" s="306">
        <f t="shared" si="25"/>
        <v>0</v>
      </c>
      <c r="AL112" s="306">
        <f t="shared" si="26"/>
        <v>0</v>
      </c>
      <c r="AM112" s="306">
        <f t="shared" si="34"/>
        <v>0</v>
      </c>
      <c r="AN112" s="477"/>
      <c r="AO112" s="306">
        <f>IF(OR(S112=0,AI112=0),,
IF(OR(リスト!$C$21="小麦",リスト!$C$21="二条大麦",リスト!$C$21="六条大麦",リスト!$C$21="はだか麦",リスト!$C$21="なたね"),IF(OR(AND(K112&lt;9,J112=調査年),AND(K112&gt;=9,J112=調査年-1)),,ROUND(AI112*S112%,0)),
IF(リスト!$C$21="さとうきび",IF(OR(AND(K112&gt;=4,J112=調査年),AND(K112&lt;4,J112=調査年+1)),,ROUND(AI112*S112%,0)),
IF(J112=調査年,,ROUND(AI112*S112%,0)))))</f>
        <v>0</v>
      </c>
      <c r="AP112" s="306">
        <f t="shared" si="27"/>
        <v>0</v>
      </c>
      <c r="AQ112" s="306">
        <f t="shared" si="28"/>
        <v>0</v>
      </c>
      <c r="AR112" s="306">
        <f t="shared" si="29"/>
        <v>0</v>
      </c>
      <c r="AS112" s="306">
        <f>IF(S112=0,,
SUM(
IF(OR(リスト!$C$21="小麦",リスト!$C$21="二条大麦",リスト!$C$21="六条大麦",リスト!$C$21="はだか麦",リスト!$C$21="なたね"),IF(OR(AND(AB112=1,K112&lt;9,J112=調査年),AND(AB112=1,K112&gt;=9,J112=調査年-1)),ROUND(L112*S112%,0),),
IF(リスト!$C$21="さとうきび",IF(OR(AND(AB112=1,K112&gt;=4,J112=調査年),AND(AB112=1,K112&lt;4,J112=調査年+1)),ROUND(L112*S112%,0),),
IF(AND(AB112=1,J112=調査年),ROUND(L112*S112%,0),))),
ROUND(N112*S112%,0),
ROUND(SUM(AM112)*S112%,0)
))</f>
        <v>0</v>
      </c>
      <c r="AT112" s="306">
        <f t="shared" si="30"/>
        <v>0</v>
      </c>
      <c r="AU112" s="306">
        <f t="shared" si="31"/>
        <v>0</v>
      </c>
      <c r="AV112" s="306">
        <f t="shared" si="32"/>
        <v>0</v>
      </c>
      <c r="AW112" s="306">
        <f t="shared" si="32"/>
        <v>0</v>
      </c>
      <c r="AX112" s="306">
        <f t="shared" si="32"/>
        <v>0</v>
      </c>
      <c r="AY112" s="841">
        <f t="shared" si="33"/>
        <v>0</v>
      </c>
      <c r="AZ112" s="802"/>
      <c r="BA112" s="802"/>
      <c r="BB112" s="802"/>
      <c r="BC112" s="802"/>
      <c r="BD112" s="174"/>
      <c r="BE112" s="174"/>
      <c r="BF112" s="174"/>
      <c r="BG112" s="174"/>
      <c r="BH112" s="174"/>
      <c r="BI112" s="174"/>
      <c r="BJ112" s="174"/>
      <c r="BK112" s="174"/>
      <c r="BL112" s="174"/>
      <c r="BM112" s="174"/>
      <c r="BN112" s="174"/>
      <c r="BO112" s="174"/>
    </row>
    <row r="113" spans="3:67" s="55" customFormat="1" ht="30.75" hidden="1" customHeight="1" outlineLevel="1">
      <c r="C113" s="862">
        <v>97</v>
      </c>
      <c r="D113" s="803"/>
      <c r="E113" s="902"/>
      <c r="F113" s="898"/>
      <c r="G113" s="2281"/>
      <c r="H113" s="2282"/>
      <c r="I113" s="851"/>
      <c r="J113" s="846"/>
      <c r="K113" s="796"/>
      <c r="L113" s="797"/>
      <c r="M113" s="797"/>
      <c r="N113" s="797"/>
      <c r="O113" s="797"/>
      <c r="P113" s="797"/>
      <c r="Q113" s="997"/>
      <c r="R113" s="1255"/>
      <c r="S113" s="1284"/>
      <c r="T113" s="798"/>
      <c r="U113" s="847"/>
      <c r="V113" s="848"/>
      <c r="W113" s="892"/>
      <c r="X113" s="904"/>
      <c r="Y113" s="905"/>
      <c r="Z113" s="901"/>
      <c r="AA113" s="800">
        <f t="shared" si="20"/>
        <v>0</v>
      </c>
      <c r="AB113" s="800">
        <f t="shared" si="35"/>
        <v>0</v>
      </c>
      <c r="AC113" s="800">
        <f t="shared" si="36"/>
        <v>0</v>
      </c>
      <c r="AD113" s="800">
        <f>IF(AA113=0,,VLOOKUP(AA113,リスト!DH:DI,2,0))</f>
        <v>0</v>
      </c>
      <c r="AE113" s="800">
        <f t="shared" si="21"/>
        <v>0</v>
      </c>
      <c r="AF113" s="801">
        <f>IF(AE113=0,,VLOOKUP(AE113,リスト!DK:DL,2,0))</f>
        <v>0</v>
      </c>
      <c r="AG113" s="800">
        <f>IF(AA113=0,,
IF(OR(リスト!$C$21="小麦",リスト!$C$21="二条大麦",リスト!$C$21="六条大麦",リスト!$C$21="はだか麦",リスト!$C$21="なたね"),IF(K113&lt;9,調査年-J113,調査年-J113-1),
IF(リスト!$C$21="さとうきび",IF(K113&gt;=4,調査年-J113,調査年-J113+1),
調査年-J113)))</f>
        <v>0</v>
      </c>
      <c r="AH113" s="306">
        <f t="shared" ref="AH113:AH116" si="37">IF(OR(AA113=0,AB113=1),,
IF(AND(AE113&gt;0,AG113&lt;AE113,AI113&lt;=ROUND((L113-1)*AF113,0)),ROUND(AI113,0),
IF(AND(AE113&gt;0,AG113&lt;AE113),ROUND((L113-1)*AF113,0),)))</f>
        <v>0</v>
      </c>
      <c r="AI113" s="306">
        <f t="shared" si="23"/>
        <v>0</v>
      </c>
      <c r="AJ113" s="306">
        <f t="shared" si="24"/>
        <v>0</v>
      </c>
      <c r="AK113" s="306">
        <f t="shared" si="25"/>
        <v>0</v>
      </c>
      <c r="AL113" s="306">
        <f t="shared" si="26"/>
        <v>0</v>
      </c>
      <c r="AM113" s="306">
        <f t="shared" si="34"/>
        <v>0</v>
      </c>
      <c r="AN113" s="477"/>
      <c r="AO113" s="306">
        <f>IF(OR(S113=0,AI113=0),,
IF(OR(リスト!$C$21="小麦",リスト!$C$21="二条大麦",リスト!$C$21="六条大麦",リスト!$C$21="はだか麦",リスト!$C$21="なたね"),IF(OR(AND(K113&lt;9,J113=調査年),AND(K113&gt;=9,J113=調査年-1)),,ROUND(AI113*S113%,0)),
IF(リスト!$C$21="さとうきび",IF(OR(AND(K113&gt;=4,J113=調査年),AND(K113&lt;4,J113=調査年+1)),,ROUND(AI113*S113%,0)),
IF(J113=調査年,,ROUND(AI113*S113%,0)))))</f>
        <v>0</v>
      </c>
      <c r="AP113" s="306">
        <f t="shared" si="27"/>
        <v>0</v>
      </c>
      <c r="AQ113" s="306">
        <f t="shared" si="28"/>
        <v>0</v>
      </c>
      <c r="AR113" s="306">
        <f t="shared" si="29"/>
        <v>0</v>
      </c>
      <c r="AS113" s="306">
        <f>IF(S113=0,,
SUM(
IF(OR(リスト!$C$21="小麦",リスト!$C$21="二条大麦",リスト!$C$21="六条大麦",リスト!$C$21="はだか麦",リスト!$C$21="なたね"),IF(OR(AND(AB113=1,K113&lt;9,J113=調査年),AND(AB113=1,K113&gt;=9,J113=調査年-1)),ROUND(L113*S113%,0),),
IF(リスト!$C$21="さとうきび",IF(OR(AND(AB113=1,K113&gt;=4,J113=調査年),AND(AB113=1,K113&lt;4,J113=調査年+1)),ROUND(L113*S113%,0),),
IF(AND(AB113=1,J113=調査年),ROUND(L113*S113%,0),))),
ROUND(N113*S113%,0),
ROUND(SUM(AM113)*S113%,0)
))</f>
        <v>0</v>
      </c>
      <c r="AT113" s="306">
        <f t="shared" si="30"/>
        <v>0</v>
      </c>
      <c r="AU113" s="306">
        <f t="shared" si="31"/>
        <v>0</v>
      </c>
      <c r="AV113" s="306">
        <f t="shared" si="32"/>
        <v>0</v>
      </c>
      <c r="AW113" s="306">
        <f t="shared" si="32"/>
        <v>0</v>
      </c>
      <c r="AX113" s="306">
        <f t="shared" si="32"/>
        <v>0</v>
      </c>
      <c r="AY113" s="841">
        <f t="shared" si="33"/>
        <v>0</v>
      </c>
      <c r="AZ113" s="802"/>
      <c r="BA113" s="802"/>
      <c r="BB113" s="802"/>
      <c r="BC113" s="802"/>
      <c r="BD113" s="174"/>
      <c r="BE113" s="174"/>
      <c r="BF113" s="174"/>
      <c r="BG113" s="174"/>
      <c r="BH113" s="174"/>
      <c r="BI113" s="174"/>
      <c r="BJ113" s="174"/>
      <c r="BK113" s="174"/>
      <c r="BL113" s="174"/>
      <c r="BM113" s="174"/>
      <c r="BN113" s="174"/>
      <c r="BO113" s="174"/>
    </row>
    <row r="114" spans="3:67" s="55" customFormat="1" ht="30.75" hidden="1" customHeight="1" outlineLevel="1">
      <c r="C114" s="862">
        <v>98</v>
      </c>
      <c r="D114" s="803"/>
      <c r="E114" s="902"/>
      <c r="F114" s="898"/>
      <c r="G114" s="2281"/>
      <c r="H114" s="2282"/>
      <c r="I114" s="851"/>
      <c r="J114" s="846"/>
      <c r="K114" s="796"/>
      <c r="L114" s="797"/>
      <c r="M114" s="797"/>
      <c r="N114" s="797"/>
      <c r="O114" s="797"/>
      <c r="P114" s="797"/>
      <c r="Q114" s="997"/>
      <c r="R114" s="1255"/>
      <c r="S114" s="1284"/>
      <c r="T114" s="798"/>
      <c r="U114" s="847"/>
      <c r="V114" s="848"/>
      <c r="W114" s="892"/>
      <c r="X114" s="904"/>
      <c r="Y114" s="905"/>
      <c r="Z114" s="901"/>
      <c r="AA114" s="800">
        <f t="shared" si="20"/>
        <v>0</v>
      </c>
      <c r="AB114" s="800">
        <f t="shared" si="35"/>
        <v>0</v>
      </c>
      <c r="AC114" s="800">
        <f t="shared" si="36"/>
        <v>0</v>
      </c>
      <c r="AD114" s="800">
        <f>IF(AA114=0,,VLOOKUP(AA114,リスト!DH:DI,2,0))</f>
        <v>0</v>
      </c>
      <c r="AE114" s="800">
        <f t="shared" si="21"/>
        <v>0</v>
      </c>
      <c r="AF114" s="801">
        <f>IF(AE114=0,,VLOOKUP(AE114,リスト!DK:DL,2,0))</f>
        <v>0</v>
      </c>
      <c r="AG114" s="800">
        <f>IF(AA114=0,,
IF(OR(リスト!$C$21="小麦",リスト!$C$21="二条大麦",リスト!$C$21="六条大麦",リスト!$C$21="はだか麦",リスト!$C$21="なたね"),IF(K114&lt;9,調査年-J114,調査年-J114-1),
IF(リスト!$C$21="さとうきび",IF(K114&gt;=4,調査年-J114,調査年-J114+1),
調査年-J114)))</f>
        <v>0</v>
      </c>
      <c r="AH114" s="306">
        <f t="shared" si="37"/>
        <v>0</v>
      </c>
      <c r="AI114" s="306">
        <f t="shared" si="23"/>
        <v>0</v>
      </c>
      <c r="AJ114" s="306">
        <f t="shared" si="24"/>
        <v>0</v>
      </c>
      <c r="AK114" s="306">
        <f t="shared" si="25"/>
        <v>0</v>
      </c>
      <c r="AL114" s="306">
        <f t="shared" si="26"/>
        <v>0</v>
      </c>
      <c r="AM114" s="306">
        <f t="shared" si="34"/>
        <v>0</v>
      </c>
      <c r="AN114" s="477"/>
      <c r="AO114" s="306">
        <f>IF(OR(S114=0,AI114=0),,
IF(OR(リスト!$C$21="小麦",リスト!$C$21="二条大麦",リスト!$C$21="六条大麦",リスト!$C$21="はだか麦",リスト!$C$21="なたね"),IF(OR(AND(K114&lt;9,J114=調査年),AND(K114&gt;=9,J114=調査年-1)),,ROUND(AI114*S114%,0)),
IF(リスト!$C$21="さとうきび",IF(OR(AND(K114&gt;=4,J114=調査年),AND(K114&lt;4,J114=調査年+1)),,ROUND(AI114*S114%,0)),
IF(J114=調査年,,ROUND(AI114*S114%,0)))))</f>
        <v>0</v>
      </c>
      <c r="AP114" s="306">
        <f t="shared" si="27"/>
        <v>0</v>
      </c>
      <c r="AQ114" s="306">
        <f t="shared" si="28"/>
        <v>0</v>
      </c>
      <c r="AR114" s="306">
        <f t="shared" si="29"/>
        <v>0</v>
      </c>
      <c r="AS114" s="306">
        <f>IF(S114=0,,
SUM(
IF(OR(リスト!$C$21="小麦",リスト!$C$21="二条大麦",リスト!$C$21="六条大麦",リスト!$C$21="はだか麦",リスト!$C$21="なたね"),IF(OR(AND(AB114=1,K114&lt;9,J114=調査年),AND(AB114=1,K114&gt;=9,J114=調査年-1)),ROUND(L114*S114%,0),),
IF(リスト!$C$21="さとうきび",IF(OR(AND(AB114=1,K114&gt;=4,J114=調査年),AND(AB114=1,K114&lt;4,J114=調査年+1)),ROUND(L114*S114%,0),),
IF(AND(AB114=1,J114=調査年),ROUND(L114*S114%,0),))),
ROUND(N114*S114%,0),
ROUND(SUM(AM114)*S114%,0)
))</f>
        <v>0</v>
      </c>
      <c r="AT114" s="306">
        <f t="shared" si="30"/>
        <v>0</v>
      </c>
      <c r="AU114" s="306">
        <f t="shared" si="31"/>
        <v>0</v>
      </c>
      <c r="AV114" s="306">
        <f t="shared" si="32"/>
        <v>0</v>
      </c>
      <c r="AW114" s="306">
        <f t="shared" si="32"/>
        <v>0</v>
      </c>
      <c r="AX114" s="306">
        <f t="shared" si="32"/>
        <v>0</v>
      </c>
      <c r="AY114" s="841">
        <f t="shared" si="33"/>
        <v>0</v>
      </c>
      <c r="AZ114" s="802"/>
      <c r="BA114" s="802"/>
      <c r="BB114" s="802"/>
      <c r="BC114" s="802"/>
      <c r="BD114" s="174"/>
      <c r="BE114" s="174"/>
      <c r="BF114" s="174"/>
      <c r="BG114" s="174"/>
      <c r="BH114" s="174"/>
      <c r="BI114" s="174"/>
      <c r="BJ114" s="174"/>
      <c r="BK114" s="174"/>
      <c r="BL114" s="174"/>
      <c r="BM114" s="174"/>
      <c r="BN114" s="174"/>
      <c r="BO114" s="174"/>
    </row>
    <row r="115" spans="3:67" s="55" customFormat="1" ht="30.75" hidden="1" customHeight="1" outlineLevel="1">
      <c r="C115" s="862">
        <v>99</v>
      </c>
      <c r="D115" s="803"/>
      <c r="E115" s="902"/>
      <c r="F115" s="898"/>
      <c r="G115" s="2281"/>
      <c r="H115" s="2282"/>
      <c r="I115" s="851"/>
      <c r="J115" s="846"/>
      <c r="K115" s="796"/>
      <c r="L115" s="797"/>
      <c r="M115" s="797"/>
      <c r="N115" s="797"/>
      <c r="O115" s="797"/>
      <c r="P115" s="797"/>
      <c r="Q115" s="997"/>
      <c r="R115" s="1255"/>
      <c r="S115" s="1284"/>
      <c r="T115" s="798"/>
      <c r="U115" s="847"/>
      <c r="V115" s="848"/>
      <c r="W115" s="892"/>
      <c r="X115" s="904"/>
      <c r="Y115" s="905"/>
      <c r="Z115" s="901"/>
      <c r="AA115" s="800">
        <f t="shared" si="20"/>
        <v>0</v>
      </c>
      <c r="AB115" s="800">
        <f t="shared" si="35"/>
        <v>0</v>
      </c>
      <c r="AC115" s="800">
        <f t="shared" si="36"/>
        <v>0</v>
      </c>
      <c r="AD115" s="800">
        <f>IF(AA115=0,,VLOOKUP(AA115,リスト!DH:DI,2,0))</f>
        <v>0</v>
      </c>
      <c r="AE115" s="800">
        <f t="shared" si="21"/>
        <v>0</v>
      </c>
      <c r="AF115" s="801">
        <f>IF(AE115=0,,VLOOKUP(AE115,リスト!DK:DL,2,0))</f>
        <v>0</v>
      </c>
      <c r="AG115" s="800">
        <f>IF(AA115=0,,
IF(OR(リスト!$C$21="小麦",リスト!$C$21="二条大麦",リスト!$C$21="六条大麦",リスト!$C$21="はだか麦",リスト!$C$21="なたね"),IF(K115&lt;9,調査年-J115,調査年-J115-1),
IF(リスト!$C$21="さとうきび",IF(K115&gt;=4,調査年-J115,調査年-J115+1),
調査年-J115)))</f>
        <v>0</v>
      </c>
      <c r="AH115" s="306">
        <f t="shared" si="37"/>
        <v>0</v>
      </c>
      <c r="AI115" s="306">
        <f t="shared" si="23"/>
        <v>0</v>
      </c>
      <c r="AJ115" s="306">
        <f t="shared" si="24"/>
        <v>0</v>
      </c>
      <c r="AK115" s="306">
        <f t="shared" si="25"/>
        <v>0</v>
      </c>
      <c r="AL115" s="306">
        <f t="shared" si="26"/>
        <v>0</v>
      </c>
      <c r="AM115" s="306">
        <f t="shared" si="34"/>
        <v>0</v>
      </c>
      <c r="AN115" s="477"/>
      <c r="AO115" s="306">
        <f>IF(OR(S115=0,AI115=0),,
IF(OR(リスト!$C$21="小麦",リスト!$C$21="二条大麦",リスト!$C$21="六条大麦",リスト!$C$21="はだか麦",リスト!$C$21="なたね"),IF(OR(AND(K115&lt;9,J115=調査年),AND(K115&gt;=9,J115=調査年-1)),,ROUND(AI115*S115%,0)),
IF(リスト!$C$21="さとうきび",IF(OR(AND(K115&gt;=4,J115=調査年),AND(K115&lt;4,J115=調査年+1)),,ROUND(AI115*S115%,0)),
IF(J115=調査年,,ROUND(AI115*S115%,0)))))</f>
        <v>0</v>
      </c>
      <c r="AP115" s="306">
        <f t="shared" si="27"/>
        <v>0</v>
      </c>
      <c r="AQ115" s="306">
        <f t="shared" si="28"/>
        <v>0</v>
      </c>
      <c r="AR115" s="306">
        <f t="shared" si="29"/>
        <v>0</v>
      </c>
      <c r="AS115" s="306">
        <f>IF(S115=0,,
SUM(
IF(OR(リスト!$C$21="小麦",リスト!$C$21="二条大麦",リスト!$C$21="六条大麦",リスト!$C$21="はだか麦",リスト!$C$21="なたね"),IF(OR(AND(AB115=1,K115&lt;9,J115=調査年),AND(AB115=1,K115&gt;=9,J115=調査年-1)),ROUND(L115*S115%,0),),
IF(リスト!$C$21="さとうきび",IF(OR(AND(AB115=1,K115&gt;=4,J115=調査年),AND(AB115=1,K115&lt;4,J115=調査年+1)),ROUND(L115*S115%,0),),
IF(AND(AB115=1,J115=調査年),ROUND(L115*S115%,0),))),
ROUND(N115*S115%,0),
ROUND(SUM(AM115)*S115%,0)
))</f>
        <v>0</v>
      </c>
      <c r="AT115" s="306">
        <f t="shared" si="30"/>
        <v>0</v>
      </c>
      <c r="AU115" s="306">
        <f t="shared" si="31"/>
        <v>0</v>
      </c>
      <c r="AV115" s="306">
        <f t="shared" si="32"/>
        <v>0</v>
      </c>
      <c r="AW115" s="306">
        <f t="shared" si="32"/>
        <v>0</v>
      </c>
      <c r="AX115" s="306">
        <f t="shared" si="32"/>
        <v>0</v>
      </c>
      <c r="AY115" s="841">
        <f t="shared" si="33"/>
        <v>0</v>
      </c>
      <c r="AZ115" s="802"/>
      <c r="BA115" s="802"/>
      <c r="BB115" s="802"/>
      <c r="BC115" s="802"/>
      <c r="BD115" s="174"/>
      <c r="BE115" s="174"/>
      <c r="BF115" s="174"/>
      <c r="BG115" s="174"/>
      <c r="BH115" s="174"/>
      <c r="BI115" s="174"/>
      <c r="BJ115" s="174"/>
      <c r="BK115" s="174"/>
      <c r="BL115" s="174"/>
      <c r="BM115" s="174"/>
      <c r="BN115" s="174"/>
      <c r="BO115" s="174"/>
    </row>
    <row r="116" spans="3:67" s="55" customFormat="1" ht="30.75" hidden="1" customHeight="1" outlineLevel="1" thickBot="1">
      <c r="C116" s="862">
        <v>100</v>
      </c>
      <c r="D116" s="805"/>
      <c r="E116" s="906"/>
      <c r="F116" s="907"/>
      <c r="G116" s="2289"/>
      <c r="H116" s="2290"/>
      <c r="I116" s="865"/>
      <c r="J116" s="866"/>
      <c r="K116" s="810"/>
      <c r="L116" s="811"/>
      <c r="M116" s="811"/>
      <c r="N116" s="811"/>
      <c r="O116" s="811"/>
      <c r="P116" s="797"/>
      <c r="Q116" s="997"/>
      <c r="R116" s="1255"/>
      <c r="S116" s="1285"/>
      <c r="T116" s="812"/>
      <c r="U116" s="867"/>
      <c r="V116" s="868"/>
      <c r="W116" s="892"/>
      <c r="X116" s="869"/>
      <c r="Y116" s="870"/>
      <c r="Z116" s="901"/>
      <c r="AA116" s="800">
        <f t="shared" si="20"/>
        <v>0</v>
      </c>
      <c r="AB116" s="800">
        <f t="shared" si="35"/>
        <v>0</v>
      </c>
      <c r="AC116" s="800">
        <f t="shared" si="36"/>
        <v>0</v>
      </c>
      <c r="AD116" s="800">
        <f>IF(AA116=0,,VLOOKUP(AA116,リスト!DH:DI,2,0))</f>
        <v>0</v>
      </c>
      <c r="AE116" s="800">
        <f t="shared" si="21"/>
        <v>0</v>
      </c>
      <c r="AF116" s="801">
        <f>IF(AE116=0,,VLOOKUP(AE116,リスト!DK:DL,2,0))</f>
        <v>0</v>
      </c>
      <c r="AG116" s="800">
        <f>IF(AA116=0,,
IF(OR(リスト!$C$21="小麦",リスト!$C$21="二条大麦",リスト!$C$21="六条大麦",リスト!$C$21="はだか麦",リスト!$C$21="なたね"),IF(K116&lt;9,調査年-J116,調査年-J116-1),
IF(リスト!$C$21="さとうきび",IF(K116&gt;=4,調査年-J116,調査年-J116+1),
調査年-J116)))</f>
        <v>0</v>
      </c>
      <c r="AH116" s="306">
        <f t="shared" si="37"/>
        <v>0</v>
      </c>
      <c r="AI116" s="306">
        <f t="shared" si="23"/>
        <v>0</v>
      </c>
      <c r="AJ116" s="306">
        <f t="shared" si="24"/>
        <v>0</v>
      </c>
      <c r="AK116" s="306">
        <f t="shared" si="25"/>
        <v>0</v>
      </c>
      <c r="AL116" s="306">
        <f t="shared" si="26"/>
        <v>0</v>
      </c>
      <c r="AM116" s="306">
        <f t="shared" si="34"/>
        <v>0</v>
      </c>
      <c r="AN116" s="477"/>
      <c r="AO116" s="306">
        <f>IF(OR(S116=0,AI116=0),,
IF(OR(リスト!$C$21="小麦",リスト!$C$21="二条大麦",リスト!$C$21="六条大麦",リスト!$C$21="はだか麦",リスト!$C$21="なたね"),IF(OR(AND(K116&lt;9,J116=調査年),AND(K116&gt;=9,J116=調査年-1)),,ROUND(AI116*S116%,0)),
IF(リスト!$C$21="さとうきび",IF(OR(AND(K116&gt;=4,J116=調査年),AND(K116&lt;4,J116=調査年+1)),,ROUND(AI116*S116%,0)),
IF(J116=調査年,,ROUND(AI116*S116%,0)))))</f>
        <v>0</v>
      </c>
      <c r="AP116" s="306">
        <f t="shared" si="27"/>
        <v>0</v>
      </c>
      <c r="AQ116" s="306">
        <f t="shared" si="28"/>
        <v>0</v>
      </c>
      <c r="AR116" s="306">
        <f t="shared" si="29"/>
        <v>0</v>
      </c>
      <c r="AS116" s="306">
        <f>IF(S116=0,,
SUM(
IF(OR(リスト!$C$21="小麦",リスト!$C$21="二条大麦",リスト!$C$21="六条大麦",リスト!$C$21="はだか麦",リスト!$C$21="なたね"),IF(OR(AND(AB116=1,K116&lt;9,J116=調査年),AND(AB116=1,K116&gt;=9,J116=調査年-1)),ROUND(L116*S116%,0),),
IF(リスト!$C$21="さとうきび",IF(OR(AND(AB116=1,K116&gt;=4,J116=調査年),AND(AB116=1,K116&lt;4,J116=調査年+1)),ROUND(L116*S116%,0),),
IF(AND(AB116=1,J116=調査年),ROUND(L116*S116%,0),))),
ROUND(N116*S116%,0),
ROUND(SUM(AM116)*S116%,0)
))</f>
        <v>0</v>
      </c>
      <c r="AT116" s="306">
        <f t="shared" si="30"/>
        <v>0</v>
      </c>
      <c r="AU116" s="306">
        <f t="shared" si="31"/>
        <v>0</v>
      </c>
      <c r="AV116" s="306">
        <f t="shared" si="32"/>
        <v>0</v>
      </c>
      <c r="AW116" s="306">
        <f t="shared" si="32"/>
        <v>0</v>
      </c>
      <c r="AX116" s="306">
        <f t="shared" si="32"/>
        <v>0</v>
      </c>
      <c r="AY116" s="841">
        <f t="shared" si="33"/>
        <v>0</v>
      </c>
      <c r="AZ116" s="802"/>
      <c r="BA116" s="802"/>
      <c r="BB116" s="802"/>
      <c r="BC116" s="802"/>
      <c r="BD116" s="174"/>
      <c r="BE116" s="174"/>
      <c r="BF116" s="174"/>
      <c r="BG116" s="174"/>
      <c r="BH116" s="174"/>
      <c r="BI116" s="174"/>
      <c r="BJ116" s="174"/>
      <c r="BK116" s="174"/>
      <c r="BL116" s="174"/>
      <c r="BM116" s="174"/>
      <c r="BN116" s="174"/>
      <c r="BO116" s="174"/>
    </row>
    <row r="117" spans="3:67" ht="14.25" customHeight="1" thickTop="1">
      <c r="C117" s="623"/>
      <c r="D117" s="623"/>
      <c r="E117" s="624"/>
      <c r="F117" s="624"/>
      <c r="G117" s="624"/>
      <c r="H117" s="624"/>
      <c r="I117" s="624"/>
      <c r="J117" s="624"/>
      <c r="K117" s="624"/>
      <c r="L117" s="624"/>
      <c r="M117" s="816"/>
      <c r="N117" s="816"/>
      <c r="O117" s="816"/>
      <c r="P117" s="816"/>
      <c r="Q117" s="624"/>
      <c r="R117" s="624"/>
      <c r="S117" s="624"/>
      <c r="T117" s="584"/>
      <c r="U117" s="624"/>
      <c r="V117" s="624"/>
      <c r="X117" s="871"/>
      <c r="Y117" s="817"/>
      <c r="AA117" s="908"/>
      <c r="AB117" s="909"/>
      <c r="AC117" s="909"/>
      <c r="AD117" s="909"/>
      <c r="AE117" s="909"/>
      <c r="AF117" s="909"/>
      <c r="AG117" s="909"/>
      <c r="AH117" s="909"/>
      <c r="AI117" s="2"/>
      <c r="AK117" s="909"/>
      <c r="AL117" s="909"/>
      <c r="AM117" s="909"/>
      <c r="AN117" s="909"/>
      <c r="AO117" s="909"/>
      <c r="AP117" s="909"/>
      <c r="AQ117" s="909"/>
      <c r="AR117" s="909"/>
      <c r="AS117" s="909"/>
      <c r="AT117" s="909"/>
      <c r="AU117" s="909"/>
      <c r="AV117" s="909"/>
      <c r="AW117" s="909"/>
      <c r="AX117" s="909"/>
      <c r="AY117" s="414"/>
    </row>
    <row r="118" spans="3:67" ht="14.25" customHeight="1">
      <c r="T118" s="2"/>
      <c r="AA118" s="909"/>
      <c r="AB118" s="909"/>
      <c r="AC118" s="909"/>
      <c r="AD118" s="909"/>
      <c r="AE118" s="909"/>
      <c r="AF118" s="909"/>
      <c r="AG118" s="909"/>
      <c r="AH118" s="909"/>
      <c r="AK118" s="909"/>
      <c r="AL118" s="909"/>
      <c r="AM118" s="909"/>
      <c r="AN118" s="909"/>
      <c r="AO118" s="909"/>
      <c r="AP118" s="909"/>
      <c r="AQ118" s="909"/>
      <c r="AR118" s="909"/>
      <c r="AS118" s="909"/>
      <c r="AT118" s="909"/>
      <c r="AU118" s="909"/>
      <c r="AV118" s="909"/>
      <c r="AW118" s="909"/>
      <c r="AX118" s="909"/>
      <c r="AY118" s="414"/>
    </row>
    <row r="119" spans="3:67" ht="14.25" customHeight="1">
      <c r="T119" s="2"/>
      <c r="AY119" s="414"/>
    </row>
    <row r="120" spans="3:67" ht="14.25" customHeight="1">
      <c r="AY120" s="414"/>
    </row>
    <row r="121" spans="3:67" ht="14.25" customHeight="1">
      <c r="AY121" s="414"/>
    </row>
    <row r="131" spans="20:51" ht="14.25" customHeight="1">
      <c r="T131" s="2"/>
      <c r="AY131" s="414"/>
    </row>
    <row r="132" spans="20:51" ht="14.25" customHeight="1">
      <c r="AY132" s="414"/>
    </row>
    <row r="133" spans="20:51" ht="14.25" customHeight="1">
      <c r="AY133" s="414"/>
    </row>
  </sheetData>
  <sheetProtection sheet="1" objects="1" scenarios="1" selectLockedCells="1"/>
  <mergeCells count="157">
    <mergeCell ref="G113:H113"/>
    <mergeCell ref="G114:H114"/>
    <mergeCell ref="G115:H115"/>
    <mergeCell ref="G116:H116"/>
    <mergeCell ref="G107:H107"/>
    <mergeCell ref="G108:H108"/>
    <mergeCell ref="G109:H109"/>
    <mergeCell ref="G110:H110"/>
    <mergeCell ref="G111:H111"/>
    <mergeCell ref="G112:H112"/>
    <mergeCell ref="G101:H101"/>
    <mergeCell ref="G102:H102"/>
    <mergeCell ref="G103:H103"/>
    <mergeCell ref="G104:H104"/>
    <mergeCell ref="G105:H105"/>
    <mergeCell ref="G106:H106"/>
    <mergeCell ref="G95:H95"/>
    <mergeCell ref="G96:H96"/>
    <mergeCell ref="G97:H97"/>
    <mergeCell ref="G98:H98"/>
    <mergeCell ref="G99:H99"/>
    <mergeCell ref="G100:H100"/>
    <mergeCell ref="G89:H89"/>
    <mergeCell ref="G90:H90"/>
    <mergeCell ref="G91:H91"/>
    <mergeCell ref="G92:H92"/>
    <mergeCell ref="G93:H93"/>
    <mergeCell ref="G94:H94"/>
    <mergeCell ref="G83:H83"/>
    <mergeCell ref="G84:H84"/>
    <mergeCell ref="G85:H85"/>
    <mergeCell ref="G86:H86"/>
    <mergeCell ref="G87:H87"/>
    <mergeCell ref="G88:H88"/>
    <mergeCell ref="G77:H77"/>
    <mergeCell ref="G78:H78"/>
    <mergeCell ref="G79:H79"/>
    <mergeCell ref="G80:H80"/>
    <mergeCell ref="G81:H81"/>
    <mergeCell ref="G82:H82"/>
    <mergeCell ref="G71:H71"/>
    <mergeCell ref="G72:H72"/>
    <mergeCell ref="G73:H73"/>
    <mergeCell ref="G74:H74"/>
    <mergeCell ref="G75:H75"/>
    <mergeCell ref="G76:H76"/>
    <mergeCell ref="G65:H65"/>
    <mergeCell ref="G66:H66"/>
    <mergeCell ref="G67:H67"/>
    <mergeCell ref="G68:H68"/>
    <mergeCell ref="G69:H69"/>
    <mergeCell ref="G70:H70"/>
    <mergeCell ref="G59:H59"/>
    <mergeCell ref="G60:H60"/>
    <mergeCell ref="G61:H61"/>
    <mergeCell ref="G62:H62"/>
    <mergeCell ref="G63:H63"/>
    <mergeCell ref="G64:H64"/>
    <mergeCell ref="G53:H53"/>
    <mergeCell ref="G54:H54"/>
    <mergeCell ref="G55:H55"/>
    <mergeCell ref="G56:H56"/>
    <mergeCell ref="G57:H57"/>
    <mergeCell ref="G58:H58"/>
    <mergeCell ref="G47:H47"/>
    <mergeCell ref="G48:H48"/>
    <mergeCell ref="G49:H49"/>
    <mergeCell ref="G50:H50"/>
    <mergeCell ref="G51:H51"/>
    <mergeCell ref="G52:H52"/>
    <mergeCell ref="G41:H41"/>
    <mergeCell ref="G42:H42"/>
    <mergeCell ref="G43:H43"/>
    <mergeCell ref="G44:H44"/>
    <mergeCell ref="G45:H45"/>
    <mergeCell ref="G46:H46"/>
    <mergeCell ref="G35:H35"/>
    <mergeCell ref="G36:H36"/>
    <mergeCell ref="G37:H37"/>
    <mergeCell ref="G38:H38"/>
    <mergeCell ref="G39:H39"/>
    <mergeCell ref="G40:H40"/>
    <mergeCell ref="G29:H29"/>
    <mergeCell ref="G30:H30"/>
    <mergeCell ref="G31:H31"/>
    <mergeCell ref="G32:H32"/>
    <mergeCell ref="G33:H33"/>
    <mergeCell ref="G34:H34"/>
    <mergeCell ref="G23:H23"/>
    <mergeCell ref="G24:H24"/>
    <mergeCell ref="G25:H25"/>
    <mergeCell ref="G26:H26"/>
    <mergeCell ref="G27:H27"/>
    <mergeCell ref="G28:H28"/>
    <mergeCell ref="N10:N11"/>
    <mergeCell ref="O10:O11"/>
    <mergeCell ref="P10:P11"/>
    <mergeCell ref="G17:H17"/>
    <mergeCell ref="G18:H18"/>
    <mergeCell ref="G19:H19"/>
    <mergeCell ref="G20:H20"/>
    <mergeCell ref="G21:H21"/>
    <mergeCell ref="G22:H22"/>
    <mergeCell ref="G12:G16"/>
    <mergeCell ref="H12:H16"/>
    <mergeCell ref="J12:J16"/>
    <mergeCell ref="AY10:AY13"/>
    <mergeCell ref="AK11:AK14"/>
    <mergeCell ref="AQ11:AQ13"/>
    <mergeCell ref="AL10:AL14"/>
    <mergeCell ref="AM10:AM14"/>
    <mergeCell ref="AO10:AO13"/>
    <mergeCell ref="AP10:AP13"/>
    <mergeCell ref="AR10:AR13"/>
    <mergeCell ref="AS10:AS13"/>
    <mergeCell ref="AO8:AY9"/>
    <mergeCell ref="C10:C16"/>
    <mergeCell ref="D10:D16"/>
    <mergeCell ref="E10:E16"/>
    <mergeCell ref="F10:F16"/>
    <mergeCell ref="G10:H11"/>
    <mergeCell ref="I10:I16"/>
    <mergeCell ref="J10:K11"/>
    <mergeCell ref="L10:L11"/>
    <mergeCell ref="M10:M11"/>
    <mergeCell ref="X8:X16"/>
    <mergeCell ref="Y8:Y16"/>
    <mergeCell ref="AA8:AH9"/>
    <mergeCell ref="AI8:AK9"/>
    <mergeCell ref="AL8:AM9"/>
    <mergeCell ref="AN8:AN13"/>
    <mergeCell ref="AA10:AA14"/>
    <mergeCell ref="AB10:AB14"/>
    <mergeCell ref="AC10:AC14"/>
    <mergeCell ref="AD10:AD14"/>
    <mergeCell ref="Q10:R12"/>
    <mergeCell ref="K12:K16"/>
    <mergeCell ref="U12:U16"/>
    <mergeCell ref="V12:V13"/>
    <mergeCell ref="Q13:Q14"/>
    <mergeCell ref="R13:R14"/>
    <mergeCell ref="Q15:Q16"/>
    <mergeCell ref="R15:R16"/>
    <mergeCell ref="AW10:AW13"/>
    <mergeCell ref="AX10:AX13"/>
    <mergeCell ref="S10:S16"/>
    <mergeCell ref="T10:T16"/>
    <mergeCell ref="U10:V11"/>
    <mergeCell ref="AT10:AT13"/>
    <mergeCell ref="AU10:AU13"/>
    <mergeCell ref="AV10:AV13"/>
    <mergeCell ref="AE10:AE14"/>
    <mergeCell ref="AF10:AF14"/>
    <mergeCell ref="AG10:AG14"/>
    <mergeCell ref="AH10:AH14"/>
    <mergeCell ref="AI10:AI14"/>
    <mergeCell ref="AJ10:AJ14"/>
  </mergeCells>
  <phoneticPr fontId="5"/>
  <dataValidations count="9">
    <dataValidation type="whole" allowBlank="1" showInputMessage="1" showErrorMessage="1" sqref="J17:J116" xr:uid="{00000000-0002-0000-1200-000000000000}">
      <formula1>1700</formula1>
      <formula2>9999</formula2>
    </dataValidation>
    <dataValidation type="whole" allowBlank="1" showInputMessage="1" showErrorMessage="1" error="1～12の値を入力してください。" sqref="K17:K116" xr:uid="{00000000-0002-0000-1200-000001000000}">
      <formula1>1</formula1>
      <formula2>12</formula2>
    </dataValidation>
    <dataValidation type="whole" operator="greaterThanOrEqual" allowBlank="1" showInputMessage="1" showErrorMessage="1" error="０以上の数値を整数で入力してください。" sqref="V17:V116" xr:uid="{00000000-0002-0000-1200-000002000000}">
      <formula1>0</formula1>
    </dataValidation>
    <dataValidation type="textLength" imeMode="hiragana" operator="greaterThanOrEqual" allowBlank="1" showInputMessage="1" showErrorMessage="1" sqref="D17:D116" xr:uid="{00000000-0002-0000-1200-000003000000}">
      <formula1>1</formula1>
    </dataValidation>
    <dataValidation type="whole" operator="greaterThan" allowBlank="1" showInputMessage="1" showErrorMessage="1" error="0より大きい数値を整数で入力してください。" sqref="X17:X116 L17:R116" xr:uid="{00000000-0002-0000-1200-000004000000}">
      <formula1>0</formula1>
    </dataValidation>
    <dataValidation type="custom" allowBlank="1" showInputMessage="1" showErrorMessage="1" error="0.001~100の範囲で小数点第３位までの数値を入力してください。" sqref="S17:S116" xr:uid="{00000000-0002-0000-1200-000005000000}">
      <formula1>AND(AND(S17*1000=INT(S17*1000)),(S17&gt;0),(S17&lt;=100))</formula1>
    </dataValidation>
    <dataValidation type="whole" operator="greaterThanOrEqual" allowBlank="1" showInputMessage="1" showErrorMessage="1" error="２以上の数値を入力してください。" sqref="I17:I116" xr:uid="{00000000-0002-0000-1200-000006000000}">
      <formula1>2</formula1>
    </dataValidation>
    <dataValidation type="list" showInputMessage="1" showErrorMessage="1" sqref="F17:F116" xr:uid="{00000000-0002-0000-1200-000007000000}">
      <formula1>INDIRECT($E17)</formula1>
    </dataValidation>
    <dataValidation type="list" allowBlank="1" showInputMessage="1" showErrorMessage="1" sqref="E17:E116" xr:uid="{00000000-0002-0000-1200-000008000000}">
      <formula1>農機具種類</formula1>
    </dataValidation>
  </dataValidations>
  <pageMargins left="0.59055118110236227" right="0.59055118110236227" top="0.59055118110236227" bottom="0.59055118110236227" header="0" footer="0"/>
  <pageSetup paperSize="9" scale="23" orientation="landscape" cellComments="asDisplayed" r:id="rId1"/>
  <headerFooter alignWithMargins="0"/>
  <drawing r:id="rId2"/>
  <legacyDrawing r:id="rId3"/>
  <legacyDrawingHF r:id="rId4"/>
  <controls>
    <mc:AlternateContent xmlns:mc="http://schemas.openxmlformats.org/markup-compatibility/2006">
      <mc:Choice Requires="x14">
        <control shapeId="16387" r:id="rId5" name="btnKoushin1">
          <controlPr defaultSize="0" print="0" autoLine="0" r:id="rId6">
            <anchor moveWithCells="1">
              <from>
                <xdr:col>5</xdr:col>
                <xdr:colOff>142875</xdr:colOff>
                <xdr:row>5</xdr:row>
                <xdr:rowOff>142875</xdr:rowOff>
              </from>
              <to>
                <xdr:col>6</xdr:col>
                <xdr:colOff>95250</xdr:colOff>
                <xdr:row>8</xdr:row>
                <xdr:rowOff>28575</xdr:rowOff>
              </to>
            </anchor>
          </controlPr>
        </control>
      </mc:Choice>
      <mc:Fallback>
        <control shapeId="16387" r:id="rId5" name="btnKoushin1"/>
      </mc:Fallback>
    </mc:AlternateContent>
    <mc:AlternateContent xmlns:mc="http://schemas.openxmlformats.org/markup-compatibility/2006">
      <mc:Choice Requires="x14">
        <control shapeId="16386" r:id="rId7" name="txt_hyouji">
          <controlPr locked="0" defaultSize="0" print="0" autoLine="0" r:id="rId8">
            <anchor moveWithCells="1">
              <from>
                <xdr:col>4</xdr:col>
                <xdr:colOff>19050</xdr:colOff>
                <xdr:row>7</xdr:row>
                <xdr:rowOff>0</xdr:rowOff>
              </from>
              <to>
                <xdr:col>5</xdr:col>
                <xdr:colOff>38100</xdr:colOff>
                <xdr:row>8</xdr:row>
                <xdr:rowOff>38100</xdr:rowOff>
              </to>
            </anchor>
          </controlPr>
        </control>
      </mc:Choice>
      <mc:Fallback>
        <control shapeId="16386" r:id="rId7" name="txt_hyouji"/>
      </mc:Fallback>
    </mc:AlternateContent>
    <mc:AlternateContent xmlns:mc="http://schemas.openxmlformats.org/markup-compatibility/2006">
      <mc:Choice Requires="x14">
        <control shapeId="16385" r:id="rId9" name="Label1">
          <controlPr defaultSize="0" print="0" autoLine="0" r:id="rId10">
            <anchor moveWithCells="1">
              <from>
                <xdr:col>4</xdr:col>
                <xdr:colOff>19050</xdr:colOff>
                <xdr:row>5</xdr:row>
                <xdr:rowOff>142875</xdr:rowOff>
              </from>
              <to>
                <xdr:col>5</xdr:col>
                <xdr:colOff>38100</xdr:colOff>
                <xdr:row>6</xdr:row>
                <xdr:rowOff>171450</xdr:rowOff>
              </to>
            </anchor>
          </controlPr>
        </control>
      </mc:Choice>
      <mc:Fallback>
        <control shapeId="16385" r:id="rId9" name="Label1"/>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200-000009000000}">
          <x14:formula1>
            <xm:f>リスト!$DN$5</xm:f>
          </x14:formula1>
          <xm:sqref>Y17:Y116</xm:sqref>
        </x14:dataValidation>
        <x14:dataValidation type="list" allowBlank="1" showInputMessage="1" showErrorMessage="1" xr:uid="{00000000-0002-0000-1200-00000A000000}">
          <x14:formula1>
            <xm:f>リスト!$CJ$5:$CJ$6</xm:f>
          </x14:formula1>
          <xm:sqref>U17:U116</xm:sqref>
        </x14:dataValidation>
        <x14:dataValidation type="list" allowBlank="1" showInputMessage="1" showErrorMessage="1" xr:uid="{00000000-0002-0000-1200-00000B000000}">
          <x14:formula1>
            <xm:f>リスト!$CH$5:$CH$6</xm:f>
          </x14:formula1>
          <xm:sqref>G17:H116</xm:sqref>
        </x14:dataValidation>
        <x14:dataValidation type="list" allowBlank="1" showInputMessage="1" showErrorMessage="1" xr:uid="{00000000-0002-0000-1200-00000C000000}">
          <x14:formula1>
            <xm:f>リスト!$BB$5:$BB$6</xm:f>
          </x14:formula1>
          <xm:sqref>T17:T116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8">
    <pageSetUpPr fitToPage="1"/>
  </sheetPr>
  <dimension ref="B1:O52"/>
  <sheetViews>
    <sheetView showGridLines="0" view="pageBreakPreview" zoomScale="90" zoomScaleNormal="100" zoomScaleSheetLayoutView="90" workbookViewId="0">
      <selection sqref="A1:AH1"/>
    </sheetView>
  </sheetViews>
  <sheetFormatPr defaultColWidth="3.25" defaultRowHeight="14.25"/>
  <cols>
    <col min="1" max="1" width="3.25" style="414"/>
    <col min="2" max="13" width="3.25" style="913"/>
    <col min="14" max="15" width="20" style="414" customWidth="1"/>
    <col min="16" max="16384" width="3.25" style="414"/>
  </cols>
  <sheetData>
    <row r="1" spans="2:15" ht="28.5" customHeight="1">
      <c r="B1" s="910" t="s">
        <v>410</v>
      </c>
      <c r="C1" s="911"/>
      <c r="D1" s="911"/>
      <c r="E1" s="911"/>
      <c r="F1" s="911"/>
      <c r="G1" s="911"/>
      <c r="H1" s="911"/>
      <c r="I1" s="911"/>
      <c r="J1" s="911"/>
      <c r="K1" s="911"/>
      <c r="L1" s="911"/>
      <c r="M1" s="911"/>
      <c r="N1" s="912"/>
      <c r="O1" s="912"/>
    </row>
    <row r="2" spans="2:15" s="913" customFormat="1" ht="21" customHeight="1">
      <c r="B2" s="2314" t="s">
        <v>617</v>
      </c>
      <c r="C2" s="2314"/>
      <c r="D2" s="2314"/>
      <c r="E2" s="2314"/>
      <c r="F2" s="2314"/>
      <c r="G2" s="2314"/>
      <c r="H2" s="2314"/>
      <c r="I2" s="2314"/>
      <c r="J2" s="2314"/>
      <c r="K2" s="2314"/>
      <c r="L2" s="2314"/>
      <c r="M2" s="2314"/>
      <c r="N2" s="2314"/>
      <c r="O2" s="2314"/>
    </row>
    <row r="3" spans="2:15" s="913" customFormat="1" ht="21" customHeight="1">
      <c r="B3" s="2315"/>
      <c r="C3" s="2316"/>
      <c r="D3" s="2316"/>
      <c r="E3" s="2316"/>
      <c r="F3" s="2316"/>
      <c r="G3" s="2316"/>
      <c r="H3" s="2316"/>
      <c r="I3" s="2316"/>
      <c r="J3" s="2316"/>
      <c r="K3" s="2316"/>
      <c r="L3" s="2316"/>
      <c r="M3" s="2317"/>
      <c r="N3" s="914" t="s">
        <v>618</v>
      </c>
      <c r="O3" s="915" t="s">
        <v>619</v>
      </c>
    </row>
    <row r="4" spans="2:15" ht="30" customHeight="1">
      <c r="B4" s="2318" t="s">
        <v>620</v>
      </c>
      <c r="C4" s="2318"/>
      <c r="D4" s="2319" t="s">
        <v>621</v>
      </c>
      <c r="E4" s="2319"/>
      <c r="F4" s="2319"/>
      <c r="G4" s="2319"/>
      <c r="H4" s="2319"/>
      <c r="I4" s="2319"/>
      <c r="J4" s="2319"/>
      <c r="K4" s="2319"/>
      <c r="L4" s="2319"/>
      <c r="M4" s="2319"/>
      <c r="N4" s="916"/>
      <c r="O4" s="917">
        <f>SUMIFS(【７】建物及び構築物!$AP$16:$AP$115,【７】建物及び構築物!$E$16:$E$115,"[01]住宅")</f>
        <v>0</v>
      </c>
    </row>
    <row r="5" spans="2:15" ht="30" customHeight="1">
      <c r="B5" s="2318"/>
      <c r="C5" s="2318"/>
      <c r="D5" s="2319" t="s">
        <v>622</v>
      </c>
      <c r="E5" s="2319"/>
      <c r="F5" s="2319"/>
      <c r="G5" s="2319"/>
      <c r="H5" s="2319"/>
      <c r="I5" s="2319"/>
      <c r="J5" s="2319"/>
      <c r="K5" s="2319"/>
      <c r="L5" s="2319"/>
      <c r="M5" s="2319"/>
      <c r="N5" s="916"/>
      <c r="O5" s="917">
        <f>SUMIFS(【７】建物及び構築物!$AP$16:$AP$115,【７】建物及び構築物!$E$16:$E$115,"[03]納屋・倉庫")</f>
        <v>0</v>
      </c>
    </row>
    <row r="6" spans="2:15" ht="30" customHeight="1">
      <c r="B6" s="2318"/>
      <c r="C6" s="2318"/>
      <c r="D6" s="2319" t="s">
        <v>623</v>
      </c>
      <c r="E6" s="2319"/>
      <c r="F6" s="2319"/>
      <c r="G6" s="2319"/>
      <c r="H6" s="2319"/>
      <c r="I6" s="2319"/>
      <c r="J6" s="2319"/>
      <c r="K6" s="2319"/>
      <c r="L6" s="2319"/>
      <c r="M6" s="2319"/>
      <c r="N6" s="916"/>
      <c r="O6" s="917">
        <f>SUMIFS(【７】建物及び構築物!$AP$16:$AP$115,【７】建物及び構築物!$E$16:$E$115,"[19]用水路")</f>
        <v>0</v>
      </c>
    </row>
    <row r="7" spans="2:15" ht="30" customHeight="1">
      <c r="B7" s="2318"/>
      <c r="C7" s="2318"/>
      <c r="D7" s="2319" t="s">
        <v>624</v>
      </c>
      <c r="E7" s="2319"/>
      <c r="F7" s="2319"/>
      <c r="G7" s="2319"/>
      <c r="H7" s="2319"/>
      <c r="I7" s="2319"/>
      <c r="J7" s="2319"/>
      <c r="K7" s="2319"/>
      <c r="L7" s="2319"/>
      <c r="M7" s="2319"/>
      <c r="N7" s="916"/>
      <c r="O7" s="917">
        <f>SUMIFS(【７】建物及び構築物!$AP$16:$AP$115,【７】建物及び構築物!$E$16:$E$115,"[16]暗きょ排水施設")</f>
        <v>0</v>
      </c>
    </row>
    <row r="8" spans="2:15" ht="30" customHeight="1">
      <c r="B8" s="2318"/>
      <c r="C8" s="2318"/>
      <c r="D8" s="2319" t="s">
        <v>625</v>
      </c>
      <c r="E8" s="2319"/>
      <c r="F8" s="2319"/>
      <c r="G8" s="2319"/>
      <c r="H8" s="2319"/>
      <c r="I8" s="2319"/>
      <c r="J8" s="2319"/>
      <c r="K8" s="2319"/>
      <c r="L8" s="2319"/>
      <c r="M8" s="2319"/>
      <c r="N8" s="916"/>
      <c r="O8" s="917">
        <f>SUMIFS(【７】建物及び構築物!$AP$16:$AP$115,【７】建物及び構築物!$E$16:$E$115,"[15]コンクリートけい畔")</f>
        <v>0</v>
      </c>
    </row>
    <row r="9" spans="2:15" ht="30" customHeight="1">
      <c r="B9" s="2318"/>
      <c r="C9" s="2318"/>
      <c r="D9" s="2319" t="s">
        <v>626</v>
      </c>
      <c r="E9" s="2319"/>
      <c r="F9" s="2319"/>
      <c r="G9" s="2319"/>
      <c r="H9" s="2319"/>
      <c r="I9" s="2319"/>
      <c r="J9" s="2319"/>
      <c r="K9" s="2319"/>
      <c r="L9" s="2319"/>
      <c r="M9" s="2319"/>
      <c r="N9" s="916"/>
      <c r="O9" s="917">
        <f>SUMIFS(【７】建物及び構築物!$AP$16:$AP$115,【７】建物及び構築物!$E$16:$E$115,"[17]客土")</f>
        <v>0</v>
      </c>
    </row>
    <row r="10" spans="2:15" ht="30" customHeight="1">
      <c r="B10" s="2318"/>
      <c r="C10" s="2318"/>
      <c r="D10" s="2319" t="s">
        <v>627</v>
      </c>
      <c r="E10" s="2319"/>
      <c r="F10" s="2319"/>
      <c r="G10" s="2319"/>
      <c r="H10" s="2319"/>
      <c r="I10" s="2319"/>
      <c r="J10" s="2319"/>
      <c r="K10" s="2319"/>
      <c r="L10" s="2319"/>
      <c r="M10" s="2319"/>
      <c r="N10" s="916"/>
      <c r="O10" s="917">
        <f>SUMIFS(【７】建物及び構築物!$AP$16:$AP$115,【７】建物及び構築物!$E$16:$E$115,"[25]たい肥盤")</f>
        <v>0</v>
      </c>
    </row>
    <row r="11" spans="2:15" ht="30" customHeight="1">
      <c r="B11" s="2318"/>
      <c r="C11" s="2318"/>
      <c r="D11" s="2319" t="s">
        <v>628</v>
      </c>
      <c r="E11" s="2319"/>
      <c r="F11" s="2319"/>
      <c r="G11" s="2319"/>
      <c r="H11" s="2319"/>
      <c r="I11" s="2319"/>
      <c r="J11" s="2319"/>
      <c r="K11" s="2319"/>
      <c r="L11" s="2319"/>
      <c r="M11" s="2319"/>
      <c r="N11" s="916"/>
      <c r="O11" s="917">
        <f>SUM(SUMIFS(【７】建物及び構築物!$AP$16:$AP$115,【７】建物及び構築物!$E$16:$E$115,{"[02]事務所","[04]作業場","[08]車庫","[11]ライスセンター","[12]育苗ハウス","[13]その他の建築物","[14]稲架","[18]作業道","[31]その他の構築物"}))</f>
        <v>0</v>
      </c>
    </row>
    <row r="12" spans="2:15" ht="30" customHeight="1">
      <c r="B12" s="2318"/>
      <c r="C12" s="2318"/>
      <c r="D12" s="2320" t="s">
        <v>629</v>
      </c>
      <c r="E12" s="2321"/>
      <c r="F12" s="2321"/>
      <c r="G12" s="2321"/>
      <c r="H12" s="2321"/>
      <c r="I12" s="2321"/>
      <c r="J12" s="2321"/>
      <c r="K12" s="2321"/>
      <c r="L12" s="2321"/>
      <c r="M12" s="2322"/>
      <c r="N12" s="916"/>
      <c r="O12" s="917">
        <f>SUM(O4:O11)</f>
        <v>0</v>
      </c>
    </row>
    <row r="13" spans="2:15" ht="30" customHeight="1">
      <c r="B13" s="2318"/>
      <c r="C13" s="2318"/>
      <c r="D13" s="918"/>
      <c r="E13" s="918"/>
      <c r="F13" s="918"/>
      <c r="G13" s="2323" t="s">
        <v>630</v>
      </c>
      <c r="H13" s="2324"/>
      <c r="I13" s="2324"/>
      <c r="J13" s="2324"/>
      <c r="K13" s="2324"/>
      <c r="L13" s="2324"/>
      <c r="M13" s="2325"/>
      <c r="N13" s="916"/>
      <c r="O13" s="917">
        <f>【７】建物及び構築物!AQ13</f>
        <v>0</v>
      </c>
    </row>
    <row r="14" spans="2:15" ht="30" customHeight="1">
      <c r="B14" s="2318" t="s">
        <v>631</v>
      </c>
      <c r="C14" s="2318"/>
      <c r="D14" s="2319" t="s">
        <v>632</v>
      </c>
      <c r="E14" s="2319"/>
      <c r="F14" s="2319"/>
      <c r="G14" s="2319"/>
      <c r="H14" s="2319"/>
      <c r="I14" s="2319"/>
      <c r="J14" s="2319"/>
      <c r="K14" s="2319"/>
      <c r="L14" s="2319"/>
      <c r="M14" s="2319"/>
      <c r="N14" s="919">
        <f>SUMIFS(【８】自動車!$AW$18:$AW$117,【８】自動車!$E$18:$E$117,"[1]貨物自動車")</f>
        <v>0</v>
      </c>
      <c r="O14" s="917">
        <f>SUMIFS(【８】自動車!$AM$18:$AM$117,【８】自動車!$E$18:$E$117,"[1]貨物自動車")</f>
        <v>0</v>
      </c>
    </row>
    <row r="15" spans="2:15" ht="30" customHeight="1">
      <c r="B15" s="2318"/>
      <c r="C15" s="2318"/>
      <c r="D15" s="2319" t="s">
        <v>628</v>
      </c>
      <c r="E15" s="2319"/>
      <c r="F15" s="2319"/>
      <c r="G15" s="2319"/>
      <c r="H15" s="2319"/>
      <c r="I15" s="2319"/>
      <c r="J15" s="2319"/>
      <c r="K15" s="2319"/>
      <c r="L15" s="2319"/>
      <c r="M15" s="2319"/>
      <c r="N15" s="916"/>
      <c r="O15" s="917">
        <f>SUMIFS(【８】自動車!$AM$18:$AM$117,【８】自動車!$E$18:$E$117,"[2]その他の自動車")</f>
        <v>0</v>
      </c>
    </row>
    <row r="16" spans="2:15" ht="30" customHeight="1">
      <c r="B16" s="2318"/>
      <c r="C16" s="2318"/>
      <c r="D16" s="2320" t="s">
        <v>629</v>
      </c>
      <c r="E16" s="2321"/>
      <c r="F16" s="2321"/>
      <c r="G16" s="2321"/>
      <c r="H16" s="2321"/>
      <c r="I16" s="2321"/>
      <c r="J16" s="2321"/>
      <c r="K16" s="2321"/>
      <c r="L16" s="2321"/>
      <c r="M16" s="2322"/>
      <c r="N16" s="916"/>
      <c r="O16" s="917">
        <f>SUM(O14:O15)</f>
        <v>0</v>
      </c>
    </row>
    <row r="17" spans="2:15" ht="30" customHeight="1">
      <c r="B17" s="2318"/>
      <c r="C17" s="2318"/>
      <c r="D17" s="918"/>
      <c r="E17" s="918"/>
      <c r="F17" s="918"/>
      <c r="G17" s="2326" t="s">
        <v>630</v>
      </c>
      <c r="H17" s="2327"/>
      <c r="I17" s="2327"/>
      <c r="J17" s="2327"/>
      <c r="K17" s="2327"/>
      <c r="L17" s="2327"/>
      <c r="M17" s="2328"/>
      <c r="N17" s="916"/>
      <c r="O17" s="917">
        <f>【８】自動車!AN17</f>
        <v>0</v>
      </c>
    </row>
    <row r="18" spans="2:15" ht="30" hidden="1" customHeight="1">
      <c r="B18" s="2318" t="s">
        <v>633</v>
      </c>
      <c r="C18" s="2318"/>
      <c r="D18" s="2319" t="s">
        <v>634</v>
      </c>
      <c r="E18" s="2319"/>
      <c r="F18" s="2319"/>
      <c r="G18" s="2319"/>
      <c r="H18" s="2319"/>
      <c r="I18" s="2319"/>
      <c r="J18" s="2319"/>
      <c r="K18" s="2319"/>
      <c r="L18" s="2319"/>
      <c r="M18" s="2319"/>
      <c r="N18" s="919">
        <f>SUMIFS(【９】農業機械!$AY$17:$AY$116,【９】農業機械!$E$17:$E$116,"[01]電動機")</f>
        <v>0</v>
      </c>
      <c r="O18" s="917">
        <f>SUMIFS(【９】農業機械!$AP$17:$AP$116,【９】農業機械!$E$17:$E$116,"[01]電動機")</f>
        <v>0</v>
      </c>
    </row>
    <row r="19" spans="2:15" ht="30" hidden="1" customHeight="1">
      <c r="B19" s="2318"/>
      <c r="C19" s="2318"/>
      <c r="D19" s="2319" t="s">
        <v>635</v>
      </c>
      <c r="E19" s="2319"/>
      <c r="F19" s="2319"/>
      <c r="G19" s="2319"/>
      <c r="H19" s="2319"/>
      <c r="I19" s="2319"/>
      <c r="J19" s="2319"/>
      <c r="K19" s="2319"/>
      <c r="L19" s="2319"/>
      <c r="M19" s="2319"/>
      <c r="N19" s="919">
        <f>SUMIFS(【９】農業機械!$AY$17:$AY$116,【９】農業機械!$E$17:$E$116,"[02]発動機")</f>
        <v>0</v>
      </c>
      <c r="O19" s="917">
        <f>SUMIFS(【９】農業機械!$AP$17:$AP$116,【９】農業機械!$E$17:$E$116,"[02]発動機")</f>
        <v>0</v>
      </c>
    </row>
    <row r="20" spans="2:15" ht="30" hidden="1" customHeight="1">
      <c r="B20" s="2318"/>
      <c r="C20" s="2318"/>
      <c r="D20" s="2319" t="s">
        <v>636</v>
      </c>
      <c r="E20" s="2319"/>
      <c r="F20" s="2319"/>
      <c r="G20" s="2319"/>
      <c r="H20" s="2319"/>
      <c r="I20" s="2319"/>
      <c r="J20" s="2319"/>
      <c r="K20" s="2319"/>
      <c r="L20" s="2319"/>
      <c r="M20" s="2319"/>
      <c r="N20" s="919">
        <f>SUMIFS(【９】農業機械!$AY$17:$AY$116,【９】農業機械!$E$17:$E$116,"[15]揚水ポンプ")</f>
        <v>0</v>
      </c>
      <c r="O20" s="917">
        <f>SUMIFS(【９】農業機械!$AP$17:$AP$116,【９】農業機械!$E$17:$E$116,"[15]揚水ポンプ")</f>
        <v>0</v>
      </c>
    </row>
    <row r="21" spans="2:15" ht="30" customHeight="1">
      <c r="B21" s="2318"/>
      <c r="C21" s="2318"/>
      <c r="D21" s="2330" t="s">
        <v>637</v>
      </c>
      <c r="E21" s="2330"/>
      <c r="F21" s="2330"/>
      <c r="G21" s="2319" t="s">
        <v>638</v>
      </c>
      <c r="H21" s="2319"/>
      <c r="I21" s="2319"/>
      <c r="J21" s="2319"/>
      <c r="K21" s="2319"/>
      <c r="L21" s="2319"/>
      <c r="M21" s="2319"/>
      <c r="N21" s="919">
        <f>SUM(SUMIFS(【９】農業機械!$AY$17:$AY$116,【９】農業機械!$E$17:$E$116,"[04]乗用トラクター",【９】農業機械!$F$17:$F$116,"[1]２０馬力未満"))</f>
        <v>0</v>
      </c>
      <c r="O21" s="917">
        <f>SUM(SUMIFS(【９】農業機械!$AP$17:$AP$116,【９】農業機械!$E$17:$E$116,"[04]乗用トラクター",【９】農業機械!$F$17:$F$116,"[1]２０馬力未満"))</f>
        <v>0</v>
      </c>
    </row>
    <row r="22" spans="2:15" ht="30" customHeight="1">
      <c r="B22" s="2318"/>
      <c r="C22" s="2318"/>
      <c r="D22" s="2330"/>
      <c r="E22" s="2330"/>
      <c r="F22" s="2330"/>
      <c r="G22" s="2319" t="s">
        <v>639</v>
      </c>
      <c r="H22" s="2319"/>
      <c r="I22" s="2319"/>
      <c r="J22" s="2319"/>
      <c r="K22" s="2319"/>
      <c r="L22" s="2319"/>
      <c r="M22" s="2319"/>
      <c r="N22" s="919">
        <f>SUM(SUMIFS(【９】農業機械!$AY$17:$AY$116,【９】農業機械!$E$17:$E$116,"[04]乗用トラクター",【９】農業機械!$F$17:$F$116,"[2]２０～５０馬力未満"))</f>
        <v>0</v>
      </c>
      <c r="O22" s="917">
        <f>SUM(SUMIFS(【９】農業機械!$AP$17:$AP$116,【９】農業機械!$E$17:$E$116,"[04]乗用トラクター",【９】農業機械!$F$17:$F$116,"[2]２０～５０馬力未満"))</f>
        <v>0</v>
      </c>
    </row>
    <row r="23" spans="2:15" ht="30" customHeight="1">
      <c r="B23" s="2318"/>
      <c r="C23" s="2318"/>
      <c r="D23" s="2330"/>
      <c r="E23" s="2330"/>
      <c r="F23" s="2330"/>
      <c r="G23" s="2319" t="s">
        <v>640</v>
      </c>
      <c r="H23" s="2319"/>
      <c r="I23" s="2319"/>
      <c r="J23" s="2319"/>
      <c r="K23" s="2319"/>
      <c r="L23" s="2319"/>
      <c r="M23" s="2319"/>
      <c r="N23" s="919">
        <f>SUM(SUMIFS(【９】農業機械!$AY$17:$AY$116,【９】農業機械!$E$17:$E$116,"[04]乗用トラクター",【９】農業機械!$F$17:$F$116,"[3]５０馬力以上"))</f>
        <v>0</v>
      </c>
      <c r="O23" s="917">
        <f>SUM(SUMIFS(【９】農業機械!$AP$17:$AP$116,【９】農業機械!$E$17:$E$116,"[04]乗用トラクター",【９】農業機械!$F$17:$F$116,"[3]５０馬力以上"))</f>
        <v>0</v>
      </c>
    </row>
    <row r="24" spans="2:15" ht="30" customHeight="1">
      <c r="B24" s="2318"/>
      <c r="C24" s="2318"/>
      <c r="D24" s="2330" t="s">
        <v>641</v>
      </c>
      <c r="E24" s="2330"/>
      <c r="F24" s="2330"/>
      <c r="G24" s="2330"/>
      <c r="H24" s="2330"/>
      <c r="I24" s="2330"/>
      <c r="J24" s="2330"/>
      <c r="K24" s="2330"/>
      <c r="L24" s="2330"/>
      <c r="M24" s="2330"/>
      <c r="N24" s="919">
        <f>SUMIFS(【９】農業機械!$AY$17:$AY$116,【９】農業機械!$E$17:$E$116,"[03]歩行用トラクター")</f>
        <v>0</v>
      </c>
      <c r="O24" s="917">
        <f>SUMIFS(【９】農業機械!$AP$17:$AP$116,【９】農業機械!$E$17:$E$116,"[03]歩行用トラクター")</f>
        <v>0</v>
      </c>
    </row>
    <row r="25" spans="2:15" ht="30" hidden="1" customHeight="1">
      <c r="B25" s="2318"/>
      <c r="C25" s="2318"/>
      <c r="D25" s="2319" t="s">
        <v>642</v>
      </c>
      <c r="E25" s="2319"/>
      <c r="F25" s="2319"/>
      <c r="G25" s="2319"/>
      <c r="H25" s="2319"/>
      <c r="I25" s="2319"/>
      <c r="J25" s="2319"/>
      <c r="K25" s="2319"/>
      <c r="L25" s="2319"/>
      <c r="M25" s="2319"/>
      <c r="N25" s="919">
        <f>SUMIFS(【９】農業機械!$AY$17:$AY$116,【９】農業機械!$E$17:$E$116,"[12]電熱育苗機")</f>
        <v>0</v>
      </c>
      <c r="O25" s="917">
        <f>SUMIFS(【９】農業機械!$AP$17:$AP$116,【９】農業機械!$E$17:$E$116,"[12]電熱育苗機")</f>
        <v>0</v>
      </c>
    </row>
    <row r="26" spans="2:15" ht="30" hidden="1" customHeight="1">
      <c r="B26" s="2318"/>
      <c r="C26" s="2318"/>
      <c r="D26" s="2319" t="s">
        <v>643</v>
      </c>
      <c r="E26" s="2319"/>
      <c r="F26" s="2319"/>
      <c r="G26" s="2319" t="s">
        <v>644</v>
      </c>
      <c r="H26" s="2319"/>
      <c r="I26" s="2319"/>
      <c r="J26" s="2319"/>
      <c r="K26" s="2319"/>
      <c r="L26" s="2319"/>
      <c r="M26" s="2319"/>
      <c r="N26" s="919">
        <f>SUM(SUMIFS(【９】農業機械!$AY$17:$AY$116,【９】農業機械!$E$17:$E$116,"[13]田植機",【９】農業機械!$F$17:$F$116,"[1]２条植"))</f>
        <v>0</v>
      </c>
      <c r="O26" s="917">
        <f>SUM(SUMIFS(【９】農業機械!$AP$17:$AP$116,【９】農業機械!$E$17:$E$116,"[13]田植機",【９】農業機械!$F$17:$F$116,"[1]２条植"))</f>
        <v>0</v>
      </c>
    </row>
    <row r="27" spans="2:15" ht="30" hidden="1" customHeight="1">
      <c r="B27" s="2318"/>
      <c r="C27" s="2318"/>
      <c r="D27" s="2319"/>
      <c r="E27" s="2319"/>
      <c r="F27" s="2319"/>
      <c r="G27" s="2319" t="s">
        <v>645</v>
      </c>
      <c r="H27" s="2319"/>
      <c r="I27" s="2319"/>
      <c r="J27" s="2319"/>
      <c r="K27" s="2319"/>
      <c r="L27" s="2319"/>
      <c r="M27" s="2319"/>
      <c r="N27" s="919">
        <f>SUM(SUMIFS(【９】農業機械!$AY$17:$AY$116,【９】農業機械!$E$17:$E$116,"[13]田植機",【９】農業機械!$F$17:$F$116,"[2]３～５条植"))</f>
        <v>0</v>
      </c>
      <c r="O27" s="917">
        <f>SUM(SUMIFS(【９】農業機械!$AP$17:$AP$116,【９】農業機械!$E$17:$E$116,"[13]田植機",【９】農業機械!$F$17:$F$116,"[2]３～５条植"))</f>
        <v>0</v>
      </c>
    </row>
    <row r="28" spans="2:15" ht="30" hidden="1" customHeight="1">
      <c r="B28" s="2318"/>
      <c r="C28" s="2318"/>
      <c r="D28" s="2319"/>
      <c r="E28" s="2319"/>
      <c r="F28" s="2319"/>
      <c r="G28" s="2319" t="s">
        <v>646</v>
      </c>
      <c r="H28" s="2319"/>
      <c r="I28" s="2319"/>
      <c r="J28" s="2319"/>
      <c r="K28" s="2319"/>
      <c r="L28" s="2319"/>
      <c r="M28" s="2319"/>
      <c r="N28" s="919">
        <f>SUM(SUMIFS(【９】農業機械!$AY$17:$AY$116,【９】農業機械!$E$17:$E$116,"[13]田植機",【９】農業機械!$F$17:$F$116,"[3]６条植以上"))</f>
        <v>0</v>
      </c>
      <c r="O28" s="917">
        <f>SUM(SUMIFS(【９】農業機械!$AP$17:$AP$116,【９】農業機械!$E$17:$E$116,"[13]田植機",【９】農業機械!$F$17:$F$116,"[3]６条植以上"))</f>
        <v>0</v>
      </c>
    </row>
    <row r="29" spans="2:15" ht="30" customHeight="1">
      <c r="B29" s="2318"/>
      <c r="C29" s="2318"/>
      <c r="D29" s="2319" t="s">
        <v>647</v>
      </c>
      <c r="E29" s="2319"/>
      <c r="F29" s="2319"/>
      <c r="G29" s="2319"/>
      <c r="H29" s="2319"/>
      <c r="I29" s="2319"/>
      <c r="J29" s="2319"/>
      <c r="K29" s="2319"/>
      <c r="L29" s="2319"/>
      <c r="M29" s="2319"/>
      <c r="N29" s="919">
        <f>SUMIFS(【９】農業機械!$AY$17:$AY$116,【９】農業機械!$E$17:$E$116,"[08]たい肥等散布機")</f>
        <v>0</v>
      </c>
      <c r="O29" s="917">
        <f>SUMIFS(【９】農業機械!$AP$17:$AP$116,【９】農業機械!$E$17:$E$116,"[08]たい肥等散布機")</f>
        <v>0</v>
      </c>
    </row>
    <row r="30" spans="2:15" ht="30" customHeight="1">
      <c r="B30" s="2318"/>
      <c r="C30" s="2318"/>
      <c r="D30" s="2319" t="s">
        <v>648</v>
      </c>
      <c r="E30" s="2319"/>
      <c r="F30" s="2319"/>
      <c r="G30" s="2319"/>
      <c r="H30" s="2319"/>
      <c r="I30" s="2319"/>
      <c r="J30" s="2319"/>
      <c r="K30" s="2319"/>
      <c r="L30" s="2319"/>
      <c r="M30" s="2319"/>
      <c r="N30" s="919">
        <f>SUMIFS(【９】農業機械!$AY$17:$AY$116,【９】農業機械!$E$17:$E$116,"[10]総合は種機")</f>
        <v>0</v>
      </c>
      <c r="O30" s="917">
        <f>SUMIFS(【９】農業機械!$AP$17:$AP$116,【９】農業機械!$E$17:$E$116,"[10]総合は種機")</f>
        <v>0</v>
      </c>
    </row>
    <row r="31" spans="2:15" ht="30" customHeight="1">
      <c r="B31" s="2318"/>
      <c r="C31" s="2318"/>
      <c r="D31" s="2319" t="s">
        <v>649</v>
      </c>
      <c r="E31" s="2319"/>
      <c r="F31" s="2319"/>
      <c r="G31" s="2319"/>
      <c r="H31" s="2319"/>
      <c r="I31" s="2319"/>
      <c r="J31" s="2319"/>
      <c r="K31" s="2319"/>
      <c r="L31" s="2319"/>
      <c r="M31" s="2319"/>
      <c r="N31" s="919">
        <f>SUMIFS(【９】農業機械!$AY$17:$AY$116,【９】農業機械!$E$17:$E$116,"[14]移植機")</f>
        <v>0</v>
      </c>
      <c r="O31" s="917">
        <f>SUMIFS(【９】農業機械!$AP$17:$AP$116,【９】農業機械!$E$17:$E$116,"[14]移植機")</f>
        <v>0</v>
      </c>
    </row>
    <row r="32" spans="2:15" ht="30" customHeight="1">
      <c r="B32" s="2318"/>
      <c r="C32" s="2318"/>
      <c r="D32" s="2319" t="s">
        <v>650</v>
      </c>
      <c r="E32" s="2319"/>
      <c r="F32" s="2319"/>
      <c r="G32" s="2319"/>
      <c r="H32" s="2319"/>
      <c r="I32" s="2319"/>
      <c r="J32" s="2319"/>
      <c r="K32" s="2319"/>
      <c r="L32" s="2319"/>
      <c r="M32" s="2319"/>
      <c r="N32" s="919">
        <f>SUMIFS(【９】農業機械!$AY$17:$AY$116,【９】農業機械!$E$17:$E$116,"[16]中耕除草機")</f>
        <v>0</v>
      </c>
      <c r="O32" s="917">
        <f>SUMIFS(【９】農業機械!$AP$17:$AP$116,【９】農業機械!$E$17:$E$116,"[16]中耕除草機")</f>
        <v>0</v>
      </c>
    </row>
    <row r="33" spans="2:15" ht="30" customHeight="1">
      <c r="B33" s="2318"/>
      <c r="C33" s="2318"/>
      <c r="D33" s="2319" t="s">
        <v>651</v>
      </c>
      <c r="E33" s="2319"/>
      <c r="F33" s="2319"/>
      <c r="G33" s="2319"/>
      <c r="H33" s="2319"/>
      <c r="I33" s="2319"/>
      <c r="J33" s="2319"/>
      <c r="K33" s="2319"/>
      <c r="L33" s="2319"/>
      <c r="M33" s="2319"/>
      <c r="N33" s="919">
        <f>SUMIFS(【９】農業機械!$AY$17:$AY$116,【９】農業機械!$E$17:$E$116,"[09]肥料散布機")</f>
        <v>0</v>
      </c>
      <c r="O33" s="917">
        <f>SUMIFS(【９】農業機械!$AP$17:$AP$116,【９】農業機械!$E$17:$E$116,"[09]肥料散布機")</f>
        <v>0</v>
      </c>
    </row>
    <row r="34" spans="2:15" ht="30" customHeight="1">
      <c r="B34" s="2318"/>
      <c r="C34" s="2318"/>
      <c r="D34" s="2319" t="s">
        <v>652</v>
      </c>
      <c r="E34" s="2319"/>
      <c r="F34" s="2319"/>
      <c r="G34" s="2319"/>
      <c r="H34" s="2319"/>
      <c r="I34" s="2319"/>
      <c r="J34" s="2319"/>
      <c r="K34" s="2319"/>
      <c r="L34" s="2319"/>
      <c r="M34" s="2319"/>
      <c r="N34" s="919">
        <f>SUMIFS(【９】農業機械!$AY$17:$AY$116,【９】農業機械!$E$17:$E$116,"[17]動力噴霧機")</f>
        <v>0</v>
      </c>
      <c r="O34" s="917">
        <f>SUMIFS(【９】農業機械!$AP$17:$AP$116,【９】農業機械!$E$17:$E$116,"[17]動力噴霧機")</f>
        <v>0</v>
      </c>
    </row>
    <row r="35" spans="2:15" ht="30" customHeight="1">
      <c r="B35" s="2318"/>
      <c r="C35" s="2318"/>
      <c r="D35" s="2319" t="s">
        <v>653</v>
      </c>
      <c r="E35" s="2319"/>
      <c r="F35" s="2319"/>
      <c r="G35" s="2319"/>
      <c r="H35" s="2319"/>
      <c r="I35" s="2319"/>
      <c r="J35" s="2319"/>
      <c r="K35" s="2319"/>
      <c r="L35" s="2319"/>
      <c r="M35" s="2319"/>
      <c r="N35" s="919">
        <f>SUMIFS(【９】農業機械!$AY$17:$AY$116,【９】農業機械!$E$17:$E$116,"[18]動力散粉機")</f>
        <v>0</v>
      </c>
      <c r="O35" s="917">
        <f>SUMIFS(【９】農業機械!$AP$17:$AP$116,【９】農業機械!$E$17:$E$116,"[18]動力散粉機")</f>
        <v>0</v>
      </c>
    </row>
    <row r="36" spans="2:15" ht="30" hidden="1" customHeight="1">
      <c r="B36" s="2318"/>
      <c r="C36" s="2318"/>
      <c r="D36" s="2319" t="s">
        <v>654</v>
      </c>
      <c r="E36" s="2319"/>
      <c r="F36" s="2319"/>
      <c r="G36" s="2319"/>
      <c r="H36" s="2319"/>
      <c r="I36" s="2319"/>
      <c r="J36" s="2319"/>
      <c r="K36" s="2319"/>
      <c r="L36" s="2319"/>
      <c r="M36" s="2319"/>
      <c r="N36" s="919">
        <f>SUMIFS(【９】農業機械!$AY$17:$AY$116,【９】農業機械!$E$17:$E$116,"[19]バインダー")</f>
        <v>0</v>
      </c>
      <c r="O36" s="917">
        <f>SUMIFS(【９】農業機械!$AP$17:$AP$116,【９】農業機械!$E$17:$E$116,"[19]バインダー")</f>
        <v>0</v>
      </c>
    </row>
    <row r="37" spans="2:15" ht="30" customHeight="1">
      <c r="B37" s="2318"/>
      <c r="C37" s="2318"/>
      <c r="D37" s="2331" t="s">
        <v>655</v>
      </c>
      <c r="E37" s="2332"/>
      <c r="F37" s="2332"/>
      <c r="G37" s="2319" t="s">
        <v>656</v>
      </c>
      <c r="H37" s="2319"/>
      <c r="I37" s="2319"/>
      <c r="J37" s="2319"/>
      <c r="K37" s="2319"/>
      <c r="L37" s="2319"/>
      <c r="M37" s="2319"/>
      <c r="N37" s="919">
        <f>SUM(SUMIFS(【９】農業機械!$AY$17:$AY$116,【９】農業機械!$E$17:$E$116,"[20]自脱型コンバイン",【９】農業機械!$F$17:$F$116,"[1]３条刈以下"))</f>
        <v>0</v>
      </c>
      <c r="O37" s="917">
        <f>SUM(SUMIFS(【９】農業機械!$AP$17:$AP$116,【９】農業機械!$E$17:$E$116,"[20]自脱型コンバイン",【９】農業機械!$F$17:$F$116,"[1]３条刈以下"))</f>
        <v>0</v>
      </c>
    </row>
    <row r="38" spans="2:15" ht="30" customHeight="1">
      <c r="B38" s="2318"/>
      <c r="C38" s="2318"/>
      <c r="D38" s="2332"/>
      <c r="E38" s="2332"/>
      <c r="F38" s="2332"/>
      <c r="G38" s="2319" t="s">
        <v>657</v>
      </c>
      <c r="H38" s="2319"/>
      <c r="I38" s="2319"/>
      <c r="J38" s="2319"/>
      <c r="K38" s="2319"/>
      <c r="L38" s="2319"/>
      <c r="M38" s="2319"/>
      <c r="N38" s="919">
        <f>SUM(SUMIFS(【９】農業機械!$AY$17:$AY$116,【９】農業機械!$E$17:$E$116,"[20]自脱型コンバイン",【９】農業機械!$F$17:$F$116,"[2]４条刈以上"))</f>
        <v>0</v>
      </c>
      <c r="O38" s="917">
        <f>SUM(SUMIFS(【９】農業機械!$AP$17:$AP$116,【９】農業機械!$E$17:$E$116,"[20]自脱型コンバイン",【９】農業機械!$F$17:$F$116,"[2]４条刈以上"))</f>
        <v>0</v>
      </c>
    </row>
    <row r="39" spans="2:15" ht="30" customHeight="1">
      <c r="B39" s="2318"/>
      <c r="C39" s="2318"/>
      <c r="D39" s="2319" t="s">
        <v>658</v>
      </c>
      <c r="E39" s="2319"/>
      <c r="F39" s="2319"/>
      <c r="G39" s="2319"/>
      <c r="H39" s="2319"/>
      <c r="I39" s="2319"/>
      <c r="J39" s="2319"/>
      <c r="K39" s="2319"/>
      <c r="L39" s="2319"/>
      <c r="M39" s="2319"/>
      <c r="N39" s="919">
        <f>SUMIFS(【９】農業機械!$AY$17:$AY$116,【９】農業機械!$E$17:$E$116,"[21]普通型コンバイン")</f>
        <v>0</v>
      </c>
      <c r="O39" s="917">
        <f>SUMIFS(【９】農業機械!$AP$17:$AP$116,【９】農業機械!$E$17:$E$116,"[21]普通型コンバイン")</f>
        <v>0</v>
      </c>
    </row>
    <row r="40" spans="2:15" ht="30" customHeight="1">
      <c r="B40" s="2318"/>
      <c r="C40" s="2318"/>
      <c r="D40" s="2319" t="s">
        <v>659</v>
      </c>
      <c r="E40" s="2319"/>
      <c r="F40" s="2319"/>
      <c r="G40" s="2319"/>
      <c r="H40" s="2319"/>
      <c r="I40" s="2319"/>
      <c r="J40" s="2319"/>
      <c r="K40" s="2319"/>
      <c r="L40" s="2319"/>
      <c r="M40" s="2319"/>
      <c r="N40" s="919">
        <f>SUM(SUMIFS(【９】農業機械!$AY$17:$AY$116,【９】農業機械!$E$17:$E$116,{"[22]そば収穫機","[23]大豆収穫機","[24]かんしょ収穫機","[25]ばれいしょ収穫機","[26]なたね収穫機","[27]てんさい収穫機","[28]さとうきび収穫機"}))</f>
        <v>0</v>
      </c>
      <c r="O40" s="917">
        <f>SUM(SUMIFS(【９】農業機械!$AP$17:$AP$116,【９】農業機械!$E$17:$E$116,{"[22]そば収穫機","[23]大豆収穫機","[24]かんしょ収穫機","[25]ばれいしょ収穫機","[26]なたね収穫機","[27]てんさい収穫機","[28]さとうきび収穫機"}))</f>
        <v>0</v>
      </c>
    </row>
    <row r="41" spans="2:15" ht="30" customHeight="1">
      <c r="B41" s="2318"/>
      <c r="C41" s="2318"/>
      <c r="D41" s="2319" t="s">
        <v>660</v>
      </c>
      <c r="E41" s="2319"/>
      <c r="F41" s="2319"/>
      <c r="G41" s="2319"/>
      <c r="H41" s="2319"/>
      <c r="I41" s="2319"/>
      <c r="J41" s="2319"/>
      <c r="K41" s="2319"/>
      <c r="L41" s="2319"/>
      <c r="M41" s="2319"/>
      <c r="N41" s="919">
        <f>SUMIFS(【９】農業機械!$AY$17:$AY$116,【９】農業機械!$E$17:$E$116,"[29]脱穀機")</f>
        <v>0</v>
      </c>
      <c r="O41" s="917">
        <f>SUMIFS(【９】農業機械!$AP$17:$AP$116,【９】農業機械!$E$17:$E$116,"[29]脱穀機")</f>
        <v>0</v>
      </c>
    </row>
    <row r="42" spans="2:15" ht="30" customHeight="1">
      <c r="B42" s="2318"/>
      <c r="C42" s="2318"/>
      <c r="D42" s="2319" t="s">
        <v>661</v>
      </c>
      <c r="E42" s="2319"/>
      <c r="F42" s="2319"/>
      <c r="G42" s="2319"/>
      <c r="H42" s="2319"/>
      <c r="I42" s="2319"/>
      <c r="J42" s="2319"/>
      <c r="K42" s="2319"/>
      <c r="L42" s="2319"/>
      <c r="M42" s="2319"/>
      <c r="N42" s="919">
        <f>SUMIFS(【９】農業機械!$AY$17:$AY$116,【９】農業機械!$E$17:$E$116,"[30]きび脱葉機")</f>
        <v>0</v>
      </c>
      <c r="O42" s="917">
        <f>SUMIFS(【９】農業機械!$AP$17:$AP$116,【９】農業機械!$E$17:$E$116,"[30]きび脱葉機")</f>
        <v>0</v>
      </c>
    </row>
    <row r="43" spans="2:15" ht="30" hidden="1" customHeight="1">
      <c r="B43" s="2318"/>
      <c r="C43" s="2318"/>
      <c r="D43" s="2319" t="s">
        <v>662</v>
      </c>
      <c r="E43" s="2319"/>
      <c r="F43" s="2319"/>
      <c r="G43" s="2319"/>
      <c r="H43" s="2319"/>
      <c r="I43" s="2319"/>
      <c r="J43" s="2319"/>
      <c r="K43" s="2319"/>
      <c r="L43" s="2319"/>
      <c r="M43" s="2319"/>
      <c r="N43" s="919">
        <f>SUMIFS(【９】農業機械!$AY$17:$AY$116,【９】農業機械!$E$17:$E$116,"[32]もみすり機")</f>
        <v>0</v>
      </c>
      <c r="O43" s="917">
        <f>SUMIFS(【９】農業機械!$AP$17:$AP$116,【９】農業機械!$E$17:$E$116,"[32]もみすり機")</f>
        <v>0</v>
      </c>
    </row>
    <row r="44" spans="2:15" ht="30" hidden="1" customHeight="1">
      <c r="B44" s="2318"/>
      <c r="C44" s="2318"/>
      <c r="D44" s="2319" t="s">
        <v>663</v>
      </c>
      <c r="E44" s="2319"/>
      <c r="F44" s="2319"/>
      <c r="G44" s="2319" t="s">
        <v>664</v>
      </c>
      <c r="H44" s="2319"/>
      <c r="I44" s="2319"/>
      <c r="J44" s="2319"/>
      <c r="K44" s="2319"/>
      <c r="L44" s="2319"/>
      <c r="M44" s="2319"/>
      <c r="N44" s="919">
        <f>SUM(SUMIFS(【９】農業機械!$AY$17:$AY$116,【９】農業機械!$E$17:$E$116,"[31]乾燥機",【９】農業機械!$F$17:$F$116,"[1]静置式"))</f>
        <v>0</v>
      </c>
      <c r="O44" s="917">
        <f>SUM(SUMIFS(【９】農業機械!$AP$17:$AP$116,【９】農業機械!$E$17:$E$116,"[31]乾燥機",【９】農業機械!$F$17:$F$116,"[1]静置式"))</f>
        <v>0</v>
      </c>
    </row>
    <row r="45" spans="2:15" ht="30" hidden="1" customHeight="1">
      <c r="B45" s="2318"/>
      <c r="C45" s="2318"/>
      <c r="D45" s="2319"/>
      <c r="E45" s="2319"/>
      <c r="F45" s="2319"/>
      <c r="G45" s="2319" t="s">
        <v>665</v>
      </c>
      <c r="H45" s="2319"/>
      <c r="I45" s="2319"/>
      <c r="J45" s="2319"/>
      <c r="K45" s="2319"/>
      <c r="L45" s="2319"/>
      <c r="M45" s="2319"/>
      <c r="N45" s="919">
        <f>SUM(SUMIFS(【９】農業機械!$AY$17:$AY$116,【９】農業機械!$E$17:$E$116,"[31]乾燥機",【９】農業機械!$F$17:$F$116,"[2]循環式"))</f>
        <v>0</v>
      </c>
      <c r="O45" s="917">
        <f>SUM(SUMIFS(【９】農業機械!$AP$17:$AP$116,【９】農業機械!$E$17:$E$116,"[31]乾燥機",【９】農業機械!$F$17:$F$116,"[2]循環式"))</f>
        <v>0</v>
      </c>
    </row>
    <row r="46" spans="2:15" ht="30" customHeight="1">
      <c r="B46" s="2318"/>
      <c r="C46" s="2318"/>
      <c r="D46" s="2319" t="s">
        <v>663</v>
      </c>
      <c r="E46" s="2319"/>
      <c r="F46" s="2319"/>
      <c r="G46" s="2319"/>
      <c r="H46" s="2319"/>
      <c r="I46" s="2319"/>
      <c r="J46" s="2319"/>
      <c r="K46" s="2319"/>
      <c r="L46" s="2319"/>
      <c r="M46" s="2319"/>
      <c r="N46" s="919">
        <f>SUMIFS(【９】農業機械!$AY$17:$AY$116,【９】農業機械!$E$17:$E$116,"[31]乾燥機")</f>
        <v>0</v>
      </c>
      <c r="O46" s="917">
        <f>SUMIFS(【９】農業機械!$AP$17:$AP$116,【９】農業機械!$E$17:$E$116,"[31]乾燥機")</f>
        <v>0</v>
      </c>
    </row>
    <row r="47" spans="2:15" ht="30" customHeight="1">
      <c r="B47" s="2318"/>
      <c r="C47" s="2318"/>
      <c r="D47" s="2319" t="s">
        <v>666</v>
      </c>
      <c r="E47" s="2319"/>
      <c r="F47" s="2319"/>
      <c r="G47" s="2319"/>
      <c r="H47" s="2319"/>
      <c r="I47" s="2319"/>
      <c r="J47" s="2319"/>
      <c r="K47" s="2319"/>
      <c r="L47" s="2319"/>
      <c r="M47" s="2319"/>
      <c r="N47" s="919">
        <f>SUMIFS(【９】農業機械!$AY$17:$AY$116,【９】農業機械!$E$17:$E$116,"[54]トレーラー")</f>
        <v>0</v>
      </c>
      <c r="O47" s="917">
        <f>SUMIFS(【９】農業機械!$AP$17:$AP$116,【９】農業機械!$E$17:$E$116,"[54]トレーラー")</f>
        <v>0</v>
      </c>
    </row>
    <row r="48" spans="2:15" ht="30" customHeight="1">
      <c r="B48" s="2318"/>
      <c r="C48" s="2318"/>
      <c r="D48" s="2319" t="s">
        <v>628</v>
      </c>
      <c r="E48" s="2319"/>
      <c r="F48" s="2319"/>
      <c r="G48" s="2319"/>
      <c r="H48" s="2319"/>
      <c r="I48" s="2319"/>
      <c r="J48" s="2319"/>
      <c r="K48" s="2319"/>
      <c r="L48" s="2319"/>
      <c r="M48" s="2319"/>
      <c r="N48" s="916"/>
      <c r="O48" s="917">
        <f>SUM(SUMIFS(【９】農業機械!$AP$17:$AP$116,【９】農業機械!$E$17:$E$116,"[56]その他の農機具"))</f>
        <v>0</v>
      </c>
    </row>
    <row r="49" spans="2:15" ht="30" customHeight="1">
      <c r="B49" s="2318"/>
      <c r="C49" s="2318"/>
      <c r="D49" s="2320" t="s">
        <v>629</v>
      </c>
      <c r="E49" s="2321"/>
      <c r="F49" s="2321"/>
      <c r="G49" s="2321"/>
      <c r="H49" s="2321"/>
      <c r="I49" s="2321"/>
      <c r="J49" s="2321"/>
      <c r="K49" s="2321"/>
      <c r="L49" s="2321"/>
      <c r="M49" s="2322"/>
      <c r="N49" s="916"/>
      <c r="O49" s="917">
        <f>SUBTOTAL(109,O18:O48)</f>
        <v>0</v>
      </c>
    </row>
    <row r="50" spans="2:15" ht="30" customHeight="1">
      <c r="B50" s="2329"/>
      <c r="C50" s="2329"/>
      <c r="D50" s="918"/>
      <c r="E50" s="918"/>
      <c r="F50" s="918"/>
      <c r="G50" s="2323" t="s">
        <v>667</v>
      </c>
      <c r="H50" s="2324"/>
      <c r="I50" s="2324"/>
      <c r="J50" s="2324"/>
      <c r="K50" s="2324"/>
      <c r="L50" s="2324"/>
      <c r="M50" s="2333"/>
      <c r="N50" s="916"/>
      <c r="O50" s="917">
        <f>【９】農業機械!AQ15</f>
        <v>0</v>
      </c>
    </row>
    <row r="51" spans="2:15" ht="30" customHeight="1">
      <c r="B51" s="2334" t="s">
        <v>668</v>
      </c>
      <c r="C51" s="2335"/>
      <c r="D51" s="2335"/>
      <c r="E51" s="2335"/>
      <c r="F51" s="2335"/>
      <c r="G51" s="2335"/>
      <c r="H51" s="2335"/>
      <c r="I51" s="2335"/>
      <c r="J51" s="2335"/>
      <c r="K51" s="2335"/>
      <c r="L51" s="2335"/>
      <c r="M51" s="2336"/>
      <c r="N51" s="916"/>
      <c r="O51" s="917">
        <f>【９】農業機械!AP16</f>
        <v>0</v>
      </c>
    </row>
    <row r="52" spans="2:15" ht="30" customHeight="1">
      <c r="B52" s="920"/>
      <c r="C52" s="921"/>
      <c r="D52" s="2323" t="s">
        <v>669</v>
      </c>
      <c r="E52" s="2324"/>
      <c r="F52" s="2324"/>
      <c r="G52" s="2324"/>
      <c r="H52" s="2324"/>
      <c r="I52" s="2324"/>
      <c r="J52" s="2324"/>
      <c r="K52" s="2324"/>
      <c r="L52" s="2324"/>
      <c r="M52" s="2333"/>
      <c r="N52" s="916"/>
      <c r="O52" s="917">
        <f>【９】農業機械!AQ16</f>
        <v>0</v>
      </c>
    </row>
  </sheetData>
  <sheetProtection sheet="1" objects="1" scenarios="1" selectLockedCells="1"/>
  <mergeCells count="58">
    <mergeCell ref="D52:M52"/>
    <mergeCell ref="D42:M42"/>
    <mergeCell ref="D43:M43"/>
    <mergeCell ref="D44:F45"/>
    <mergeCell ref="G44:M44"/>
    <mergeCell ref="G45:M45"/>
    <mergeCell ref="D46:M46"/>
    <mergeCell ref="D47:M47"/>
    <mergeCell ref="D48:M48"/>
    <mergeCell ref="D49:M49"/>
    <mergeCell ref="G50:M50"/>
    <mergeCell ref="B51:M51"/>
    <mergeCell ref="D41:M41"/>
    <mergeCell ref="D31:M31"/>
    <mergeCell ref="D32:M32"/>
    <mergeCell ref="D33:M33"/>
    <mergeCell ref="D34:M34"/>
    <mergeCell ref="D35:M35"/>
    <mergeCell ref="D36:M36"/>
    <mergeCell ref="D37:F38"/>
    <mergeCell ref="G37:M37"/>
    <mergeCell ref="G38:M38"/>
    <mergeCell ref="D39:M39"/>
    <mergeCell ref="D40:M40"/>
    <mergeCell ref="D30:M30"/>
    <mergeCell ref="B18:C50"/>
    <mergeCell ref="D18:M18"/>
    <mergeCell ref="D19:M19"/>
    <mergeCell ref="D20:M20"/>
    <mergeCell ref="D21:F23"/>
    <mergeCell ref="G21:M21"/>
    <mergeCell ref="G22:M22"/>
    <mergeCell ref="G23:M23"/>
    <mergeCell ref="D24:M24"/>
    <mergeCell ref="D25:M25"/>
    <mergeCell ref="D26:F28"/>
    <mergeCell ref="G26:M26"/>
    <mergeCell ref="G27:M27"/>
    <mergeCell ref="G28:M28"/>
    <mergeCell ref="D29:M29"/>
    <mergeCell ref="B14:C17"/>
    <mergeCell ref="D14:M14"/>
    <mergeCell ref="D15:M15"/>
    <mergeCell ref="D16:M16"/>
    <mergeCell ref="G17:M17"/>
    <mergeCell ref="B2:O2"/>
    <mergeCell ref="B3:M3"/>
    <mergeCell ref="B4:C13"/>
    <mergeCell ref="D4:M4"/>
    <mergeCell ref="D5:M5"/>
    <mergeCell ref="D6:M6"/>
    <mergeCell ref="D7:M7"/>
    <mergeCell ref="D8:M8"/>
    <mergeCell ref="D9:M9"/>
    <mergeCell ref="D10:M10"/>
    <mergeCell ref="D11:M11"/>
    <mergeCell ref="D12:M12"/>
    <mergeCell ref="G13:M13"/>
  </mergeCells>
  <phoneticPr fontId="5"/>
  <pageMargins left="0.70866141732283472" right="0.70866141732283472" top="0.74803149606299213" bottom="0.74803149606299213" header="0.31496062992125984" footer="0.31496062992125984"/>
  <pageSetup paperSize="9" scale="67"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9">
    <outlinePr summaryBelow="0"/>
    <pageSetUpPr fitToPage="1"/>
  </sheetPr>
  <dimension ref="A1:CC117"/>
  <sheetViews>
    <sheetView showGridLines="0" zoomScale="70" zoomScaleNormal="70" zoomScaleSheetLayoutView="70" workbookViewId="0">
      <pane xSplit="1" ySplit="13" topLeftCell="B14" activePane="bottomRight" state="frozen"/>
      <selection sqref="A1:AH1"/>
      <selection pane="topRight" sqref="A1:AH1"/>
      <selection pane="bottomLeft" sqref="A1:AH1"/>
      <selection pane="bottomRight" activeCell="O14" sqref="O14:V14"/>
    </sheetView>
  </sheetViews>
  <sheetFormatPr defaultColWidth="2.625" defaultRowHeight="14.25" customHeight="1" outlineLevelRow="1" outlineLevelCol="1"/>
  <cols>
    <col min="1" max="35" width="2.625" style="144" customWidth="1"/>
    <col min="36" max="36" width="2.625" style="387" customWidth="1"/>
    <col min="37" max="75" width="2.625" style="144" customWidth="1"/>
    <col min="76" max="76" width="2.625" style="387" customWidth="1"/>
    <col min="77" max="79" width="2.625" style="144" outlineLevel="1"/>
    <col min="80" max="80" width="27" style="144" customWidth="1" outlineLevel="1"/>
    <col min="81" max="81" width="17.375" style="144" customWidth="1" outlineLevel="1"/>
    <col min="82" max="16384" width="2.625" style="144"/>
  </cols>
  <sheetData>
    <row r="1" spans="1:81" ht="14.25" customHeight="1">
      <c r="CA1" s="50" t="s">
        <v>410</v>
      </c>
    </row>
    <row r="2" spans="1:81" ht="14.25" customHeight="1">
      <c r="A2" s="348" t="s">
        <v>670</v>
      </c>
      <c r="AO2" s="348"/>
      <c r="AS2" s="2"/>
      <c r="AT2" s="2"/>
      <c r="CA2" s="348" t="s">
        <v>670</v>
      </c>
    </row>
    <row r="3" spans="1:81" s="174" customFormat="1" ht="14.25" customHeight="1">
      <c r="B3" s="174" t="s">
        <v>671</v>
      </c>
      <c r="AJ3" s="802"/>
      <c r="AO3" s="144"/>
      <c r="AP3" s="922"/>
      <c r="AQ3" s="922"/>
      <c r="AR3" s="923"/>
      <c r="AS3" s="21"/>
      <c r="AT3" s="21"/>
      <c r="AU3" s="923"/>
      <c r="AV3" s="923"/>
      <c r="AW3" s="923"/>
      <c r="AX3" s="923"/>
      <c r="AY3" s="923"/>
      <c r="AZ3" s="737"/>
      <c r="BA3" s="737"/>
      <c r="BB3" s="737"/>
      <c r="BC3" s="737"/>
      <c r="BD3" s="737"/>
      <c r="BE3" s="737"/>
      <c r="BF3" s="737"/>
      <c r="BG3" s="737"/>
      <c r="BH3" s="737"/>
      <c r="BI3" s="737"/>
      <c r="BJ3" s="737"/>
      <c r="BK3" s="737"/>
      <c r="BL3" s="737"/>
      <c r="BM3" s="737"/>
      <c r="BN3" s="737"/>
      <c r="BO3" s="737"/>
      <c r="BP3" s="737"/>
      <c r="BQ3" s="144"/>
      <c r="BR3" s="144"/>
      <c r="BS3" s="144"/>
      <c r="BT3" s="144"/>
      <c r="BU3" s="144"/>
      <c r="BV3" s="144"/>
      <c r="BW3" s="144"/>
      <c r="BX3" s="802"/>
    </row>
    <row r="4" spans="1:81" s="174" customFormat="1" ht="14.25" customHeight="1">
      <c r="B4" s="246" t="s">
        <v>672</v>
      </c>
      <c r="AJ4" s="802"/>
      <c r="AO4" s="144"/>
      <c r="AP4" s="922"/>
      <c r="AQ4" s="922"/>
      <c r="AR4" s="923"/>
      <c r="AS4" s="21"/>
      <c r="AT4" s="21"/>
      <c r="AU4" s="923"/>
      <c r="AV4" s="923"/>
      <c r="AW4" s="923"/>
      <c r="AX4" s="923"/>
      <c r="AY4" s="923"/>
      <c r="AZ4" s="737"/>
      <c r="BA4" s="737"/>
      <c r="BB4" s="737"/>
      <c r="BC4" s="737"/>
      <c r="BD4" s="737"/>
      <c r="BE4" s="737"/>
      <c r="BF4" s="737"/>
      <c r="BG4" s="737"/>
      <c r="BH4" s="737"/>
      <c r="BI4" s="737"/>
      <c r="BJ4" s="737"/>
      <c r="BK4" s="737"/>
      <c r="BL4" s="737"/>
      <c r="BM4" s="737"/>
      <c r="BN4" s="737"/>
      <c r="BO4" s="737"/>
      <c r="BP4" s="737"/>
      <c r="BQ4" s="144"/>
      <c r="BR4" s="144"/>
      <c r="BS4" s="144"/>
      <c r="BT4" s="144"/>
      <c r="BU4" s="144"/>
      <c r="BV4" s="144"/>
      <c r="BW4" s="144"/>
      <c r="BX4" s="802"/>
    </row>
    <row r="5" spans="1:81" s="174" customFormat="1" ht="14.25" customHeight="1">
      <c r="AJ5" s="802"/>
      <c r="AO5" s="144"/>
      <c r="AP5" s="922"/>
      <c r="AQ5" s="922"/>
      <c r="AR5" s="923"/>
      <c r="AS5" s="2"/>
      <c r="AT5" s="2"/>
      <c r="AU5" s="923"/>
      <c r="AV5" s="923"/>
      <c r="AW5" s="923"/>
      <c r="AX5" s="923"/>
      <c r="AY5" s="923"/>
      <c r="AZ5" s="737"/>
      <c r="BA5" s="737"/>
      <c r="BB5" s="737"/>
      <c r="BC5" s="737"/>
      <c r="BD5" s="737"/>
      <c r="BE5" s="737"/>
      <c r="BF5" s="737"/>
      <c r="BG5" s="737"/>
      <c r="BH5" s="737"/>
      <c r="BI5" s="737"/>
      <c r="BJ5" s="737"/>
      <c r="BK5" s="737"/>
      <c r="BL5" s="737"/>
      <c r="BM5" s="737"/>
      <c r="BN5" s="737"/>
      <c r="BO5" s="737"/>
      <c r="BP5" s="737"/>
      <c r="BQ5" s="144"/>
      <c r="BR5" s="144"/>
      <c r="BS5" s="144"/>
      <c r="BT5" s="144"/>
      <c r="BU5" s="144"/>
      <c r="BV5" s="144"/>
      <c r="BW5" s="144"/>
      <c r="BX5" s="802"/>
    </row>
    <row r="6" spans="1:81" s="174" customFormat="1" ht="14.25" customHeight="1">
      <c r="AJ6" s="802"/>
      <c r="AO6" s="144"/>
      <c r="AP6" s="922"/>
      <c r="AQ6" s="922"/>
      <c r="AR6" s="923"/>
      <c r="AS6" s="923"/>
      <c r="AT6" s="923"/>
      <c r="AU6" s="923"/>
      <c r="AV6" s="923"/>
      <c r="AW6" s="923"/>
      <c r="AX6" s="923"/>
      <c r="AY6" s="923"/>
      <c r="AZ6" s="737"/>
      <c r="BA6" s="737"/>
      <c r="BB6" s="737"/>
      <c r="BC6" s="737"/>
      <c r="BD6" s="737"/>
      <c r="BE6" s="737"/>
      <c r="BF6" s="737"/>
      <c r="BG6" s="737"/>
      <c r="BH6" s="737"/>
      <c r="BI6" s="737"/>
      <c r="BJ6" s="737"/>
      <c r="BK6" s="737"/>
      <c r="BL6" s="737"/>
      <c r="BM6" s="737"/>
      <c r="BN6" s="737"/>
      <c r="BO6" s="737"/>
      <c r="BP6" s="737"/>
      <c r="BQ6" s="144"/>
      <c r="BR6" s="144"/>
      <c r="BS6" s="144"/>
      <c r="BT6" s="144"/>
      <c r="BU6" s="144"/>
      <c r="BV6" s="144"/>
      <c r="BW6" s="144"/>
      <c r="BX6" s="802"/>
    </row>
    <row r="7" spans="1:81" s="174" customFormat="1" ht="14.25" customHeight="1">
      <c r="AJ7" s="802"/>
      <c r="AO7" s="144"/>
      <c r="AP7" s="922"/>
      <c r="AQ7" s="922"/>
      <c r="AR7" s="923"/>
      <c r="AS7" s="923"/>
      <c r="AT7" s="923"/>
      <c r="AU7" s="923"/>
      <c r="AV7" s="923"/>
      <c r="AW7" s="923"/>
      <c r="AX7" s="923"/>
      <c r="AY7" s="923"/>
      <c r="AZ7" s="737"/>
      <c r="BA7" s="737"/>
      <c r="BB7" s="737"/>
      <c r="BC7" s="737"/>
      <c r="BD7" s="737"/>
      <c r="BE7" s="737"/>
      <c r="BF7" s="737"/>
      <c r="BG7" s="737"/>
      <c r="BH7" s="737"/>
      <c r="BI7" s="737"/>
      <c r="BJ7" s="737"/>
      <c r="BK7" s="737"/>
      <c r="BL7" s="737"/>
      <c r="BM7" s="737"/>
      <c r="BN7" s="737"/>
      <c r="BO7" s="737"/>
      <c r="BP7" s="737"/>
      <c r="BQ7" s="144"/>
      <c r="BR7" s="144"/>
      <c r="BS7" s="144"/>
      <c r="BT7" s="144"/>
      <c r="BU7" s="144"/>
      <c r="BV7" s="144"/>
      <c r="BW7" s="144"/>
      <c r="BX7" s="802"/>
    </row>
    <row r="8" spans="1:81" s="174" customFormat="1" ht="14.25" customHeight="1">
      <c r="AJ8" s="802"/>
      <c r="AO8" s="144"/>
      <c r="AP8" s="922"/>
      <c r="AQ8" s="922"/>
      <c r="AR8" s="923"/>
      <c r="AS8" s="923"/>
      <c r="AT8" s="923"/>
      <c r="AU8" s="923"/>
      <c r="AV8" s="923"/>
      <c r="AW8" s="923"/>
      <c r="AX8" s="923"/>
      <c r="AY8" s="923"/>
      <c r="AZ8" s="737"/>
      <c r="BA8" s="737"/>
      <c r="BB8" s="737"/>
      <c r="BC8" s="737"/>
      <c r="BD8" s="737"/>
      <c r="BE8" s="737"/>
      <c r="BF8" s="737"/>
      <c r="BG8" s="737"/>
      <c r="BH8" s="737"/>
      <c r="BI8" s="737"/>
      <c r="BJ8" s="737"/>
      <c r="BK8" s="737"/>
      <c r="BL8" s="737"/>
      <c r="BM8" s="737"/>
      <c r="BN8" s="737"/>
      <c r="BO8" s="737"/>
      <c r="BP8" s="737"/>
      <c r="BQ8" s="144"/>
      <c r="BR8" s="144"/>
      <c r="BS8" s="144"/>
      <c r="BT8" s="144"/>
      <c r="BU8" s="144"/>
      <c r="BV8" s="144"/>
      <c r="BW8" s="144"/>
      <c r="BX8" s="802"/>
    </row>
    <row r="9" spans="1:81" ht="14.25" customHeight="1">
      <c r="A9" s="348"/>
      <c r="AP9" s="922"/>
      <c r="AQ9" s="922"/>
      <c r="AR9" s="923"/>
      <c r="AS9" s="923"/>
      <c r="AT9" s="923"/>
      <c r="AU9" s="923"/>
      <c r="AV9" s="923"/>
      <c r="AW9" s="923"/>
      <c r="AX9" s="923"/>
      <c r="AY9" s="923"/>
      <c r="AZ9" s="737"/>
      <c r="BA9" s="737"/>
      <c r="BB9" s="737"/>
      <c r="BC9" s="737"/>
      <c r="BD9" s="737"/>
      <c r="BE9" s="737"/>
      <c r="BF9" s="737"/>
      <c r="BG9" s="737"/>
      <c r="BH9" s="737"/>
      <c r="BI9" s="737"/>
      <c r="BJ9" s="737"/>
      <c r="BK9" s="737"/>
      <c r="BL9" s="737"/>
      <c r="BM9" s="737"/>
      <c r="BN9" s="737"/>
      <c r="BO9" s="737"/>
      <c r="BP9" s="737"/>
    </row>
    <row r="10" spans="1:81" ht="14.25" customHeight="1" thickBot="1">
      <c r="A10" s="348"/>
      <c r="AP10" s="922"/>
      <c r="AQ10" s="922"/>
      <c r="AR10" s="923"/>
      <c r="AS10" s="923"/>
      <c r="AT10" s="923"/>
      <c r="AU10" s="923"/>
      <c r="AV10" s="923"/>
      <c r="AW10" s="923"/>
      <c r="AX10" s="923"/>
      <c r="AY10" s="923"/>
      <c r="AZ10" s="737"/>
      <c r="BA10" s="737"/>
      <c r="BB10" s="737"/>
      <c r="BC10" s="737"/>
      <c r="BD10" s="737"/>
      <c r="BE10" s="737"/>
      <c r="BF10" s="737"/>
      <c r="BG10" s="737"/>
      <c r="BH10" s="737"/>
      <c r="BI10" s="737"/>
      <c r="BJ10" s="737"/>
      <c r="BK10" s="737"/>
      <c r="BL10" s="737"/>
      <c r="BM10" s="737"/>
      <c r="BN10" s="737"/>
      <c r="BO10" s="737"/>
      <c r="BP10" s="737"/>
    </row>
    <row r="11" spans="1:81" ht="14.1" customHeight="1">
      <c r="B11" s="924"/>
      <c r="C11" s="925"/>
      <c r="D11" s="2348" t="s">
        <v>673</v>
      </c>
      <c r="E11" s="2348"/>
      <c r="F11" s="2348"/>
      <c r="G11" s="2348"/>
      <c r="H11" s="2348"/>
      <c r="I11" s="2348"/>
      <c r="J11" s="2348"/>
      <c r="K11" s="2348"/>
      <c r="L11" s="2348"/>
      <c r="M11" s="2348"/>
      <c r="N11" s="330"/>
      <c r="O11" s="926"/>
      <c r="P11" s="2351" t="s">
        <v>213</v>
      </c>
      <c r="Q11" s="2351"/>
      <c r="R11" s="2351"/>
      <c r="S11" s="2351"/>
      <c r="T11" s="2351"/>
      <c r="U11" s="2351"/>
      <c r="V11" s="927"/>
      <c r="W11" s="2352" t="s">
        <v>332</v>
      </c>
      <c r="X11" s="2353"/>
      <c r="Y11" s="2354"/>
      <c r="Z11" s="1560" t="s">
        <v>212</v>
      </c>
      <c r="AA11" s="1560"/>
      <c r="AB11" s="1560"/>
      <c r="AC11" s="1560"/>
      <c r="AD11" s="1560"/>
      <c r="AE11" s="1560"/>
      <c r="AF11" s="1560"/>
      <c r="AG11" s="1560"/>
      <c r="AH11" s="1560"/>
      <c r="AI11" s="1603"/>
      <c r="AJ11" s="928"/>
      <c r="AK11" s="179"/>
      <c r="AL11" s="179"/>
      <c r="AM11" s="179"/>
      <c r="AN11" s="179"/>
      <c r="AP11" s="924"/>
      <c r="AQ11" s="925"/>
      <c r="AR11" s="2348" t="s">
        <v>673</v>
      </c>
      <c r="AS11" s="2348"/>
      <c r="AT11" s="2348"/>
      <c r="AU11" s="2348"/>
      <c r="AV11" s="2348"/>
      <c r="AW11" s="2348"/>
      <c r="AX11" s="2348"/>
      <c r="AY11" s="2348"/>
      <c r="AZ11" s="2348"/>
      <c r="BA11" s="2348"/>
      <c r="BB11" s="330"/>
      <c r="BC11" s="926"/>
      <c r="BD11" s="2351" t="s">
        <v>213</v>
      </c>
      <c r="BE11" s="2351"/>
      <c r="BF11" s="2351"/>
      <c r="BG11" s="2351"/>
      <c r="BH11" s="2351"/>
      <c r="BI11" s="2351"/>
      <c r="BJ11" s="927"/>
      <c r="BK11" s="2352" t="s">
        <v>332</v>
      </c>
      <c r="BL11" s="2353"/>
      <c r="BM11" s="2354"/>
      <c r="BN11" s="1560" t="s">
        <v>212</v>
      </c>
      <c r="BO11" s="1560"/>
      <c r="BP11" s="1560"/>
      <c r="BQ11" s="1560"/>
      <c r="BR11" s="1560"/>
      <c r="BS11" s="1560"/>
      <c r="BT11" s="1560"/>
      <c r="BU11" s="1560"/>
      <c r="BV11" s="1560"/>
      <c r="BW11" s="1603"/>
      <c r="CB11" s="2337" t="s">
        <v>673</v>
      </c>
      <c r="CC11" s="2338" t="s">
        <v>213</v>
      </c>
    </row>
    <row r="12" spans="1:81" ht="14.1" customHeight="1">
      <c r="B12" s="929"/>
      <c r="C12" s="177"/>
      <c r="D12" s="2349"/>
      <c r="E12" s="2349"/>
      <c r="F12" s="2349"/>
      <c r="G12" s="2349"/>
      <c r="H12" s="2349"/>
      <c r="I12" s="2349"/>
      <c r="J12" s="2349"/>
      <c r="K12" s="2349"/>
      <c r="L12" s="2349"/>
      <c r="M12" s="2349"/>
      <c r="N12" s="930"/>
      <c r="O12" s="197"/>
      <c r="P12" s="1985"/>
      <c r="Q12" s="1985"/>
      <c r="R12" s="1985"/>
      <c r="S12" s="1985"/>
      <c r="T12" s="1985"/>
      <c r="U12" s="1985"/>
      <c r="V12" s="931"/>
      <c r="W12" s="2355"/>
      <c r="X12" s="2356"/>
      <c r="Y12" s="2357"/>
      <c r="Z12" s="1605"/>
      <c r="AA12" s="1605"/>
      <c r="AB12" s="1605"/>
      <c r="AC12" s="1605"/>
      <c r="AD12" s="1605"/>
      <c r="AE12" s="1605"/>
      <c r="AF12" s="1605"/>
      <c r="AG12" s="1605"/>
      <c r="AH12" s="1605"/>
      <c r="AI12" s="1606"/>
      <c r="AJ12" s="928"/>
      <c r="AK12" s="179"/>
      <c r="AL12" s="179"/>
      <c r="AM12" s="179"/>
      <c r="AN12" s="179"/>
      <c r="AP12" s="929"/>
      <c r="AQ12" s="177"/>
      <c r="AR12" s="2349"/>
      <c r="AS12" s="2349"/>
      <c r="AT12" s="2349"/>
      <c r="AU12" s="2349"/>
      <c r="AV12" s="2349"/>
      <c r="AW12" s="2349"/>
      <c r="AX12" s="2349"/>
      <c r="AY12" s="2349"/>
      <c r="AZ12" s="2349"/>
      <c r="BA12" s="2349"/>
      <c r="BB12" s="930"/>
      <c r="BC12" s="197"/>
      <c r="BD12" s="1985"/>
      <c r="BE12" s="1985"/>
      <c r="BF12" s="1985"/>
      <c r="BG12" s="1985"/>
      <c r="BH12" s="1985"/>
      <c r="BI12" s="1985"/>
      <c r="BJ12" s="931"/>
      <c r="BK12" s="2355"/>
      <c r="BL12" s="2356"/>
      <c r="BM12" s="2357"/>
      <c r="BN12" s="1605"/>
      <c r="BO12" s="1605"/>
      <c r="BP12" s="1605"/>
      <c r="BQ12" s="1605"/>
      <c r="BR12" s="1605"/>
      <c r="BS12" s="1605"/>
      <c r="BT12" s="1605"/>
      <c r="BU12" s="1605"/>
      <c r="BV12" s="1605"/>
      <c r="BW12" s="1606"/>
      <c r="CB12" s="2337"/>
      <c r="CC12" s="2338"/>
    </row>
    <row r="13" spans="1:81" ht="14.1" customHeight="1" thickBot="1">
      <c r="B13" s="932"/>
      <c r="C13" s="933"/>
      <c r="D13" s="2350"/>
      <c r="E13" s="2350"/>
      <c r="F13" s="2350"/>
      <c r="G13" s="2350"/>
      <c r="H13" s="2350"/>
      <c r="I13" s="2350"/>
      <c r="J13" s="2350"/>
      <c r="K13" s="2350"/>
      <c r="L13" s="2350"/>
      <c r="M13" s="2350"/>
      <c r="N13" s="934"/>
      <c r="O13" s="197"/>
      <c r="P13" s="1985"/>
      <c r="Q13" s="1985"/>
      <c r="R13" s="1985"/>
      <c r="S13" s="1985"/>
      <c r="T13" s="1985"/>
      <c r="U13" s="1985"/>
      <c r="V13" s="931"/>
      <c r="W13" s="2358"/>
      <c r="X13" s="2359"/>
      <c r="Y13" s="2360"/>
      <c r="Z13" s="1563"/>
      <c r="AA13" s="1563"/>
      <c r="AB13" s="1563"/>
      <c r="AC13" s="1563"/>
      <c r="AD13" s="1563"/>
      <c r="AE13" s="1563"/>
      <c r="AF13" s="1563"/>
      <c r="AG13" s="1563"/>
      <c r="AH13" s="1563"/>
      <c r="AI13" s="1607"/>
      <c r="AJ13" s="928"/>
      <c r="AK13" s="179"/>
      <c r="AL13" s="179"/>
      <c r="AM13" s="179"/>
      <c r="AN13" s="179"/>
      <c r="AP13" s="932"/>
      <c r="AQ13" s="933"/>
      <c r="AR13" s="2350"/>
      <c r="AS13" s="2350"/>
      <c r="AT13" s="2350"/>
      <c r="AU13" s="2350"/>
      <c r="AV13" s="2350"/>
      <c r="AW13" s="2350"/>
      <c r="AX13" s="2350"/>
      <c r="AY13" s="2350"/>
      <c r="AZ13" s="2350"/>
      <c r="BA13" s="2350"/>
      <c r="BB13" s="934"/>
      <c r="BC13" s="197"/>
      <c r="BD13" s="1985"/>
      <c r="BE13" s="1985"/>
      <c r="BF13" s="1985"/>
      <c r="BG13" s="1985"/>
      <c r="BH13" s="1985"/>
      <c r="BI13" s="1985"/>
      <c r="BJ13" s="931"/>
      <c r="BK13" s="2358"/>
      <c r="BL13" s="2359"/>
      <c r="BM13" s="2360"/>
      <c r="BN13" s="1563"/>
      <c r="BO13" s="1563"/>
      <c r="BP13" s="1563"/>
      <c r="BQ13" s="1563"/>
      <c r="BR13" s="1563"/>
      <c r="BS13" s="1563"/>
      <c r="BT13" s="1563"/>
      <c r="BU13" s="1563"/>
      <c r="BV13" s="1563"/>
      <c r="BW13" s="1607"/>
      <c r="CB13" s="2337"/>
      <c r="CC13" s="2338"/>
    </row>
    <row r="14" spans="1:81" ht="30" customHeight="1" thickTop="1" thickBot="1">
      <c r="B14" s="1536" t="s">
        <v>674</v>
      </c>
      <c r="C14" s="2339"/>
      <c r="D14" s="935"/>
      <c r="E14" s="936"/>
      <c r="F14" s="936"/>
      <c r="G14" s="1565" t="s">
        <v>304</v>
      </c>
      <c r="H14" s="1565"/>
      <c r="I14" s="1565"/>
      <c r="J14" s="1565"/>
      <c r="K14" s="936"/>
      <c r="L14" s="936"/>
      <c r="M14" s="936"/>
      <c r="N14" s="178"/>
      <c r="O14" s="2055"/>
      <c r="P14" s="2056"/>
      <c r="Q14" s="2056"/>
      <c r="R14" s="2056"/>
      <c r="S14" s="2056"/>
      <c r="T14" s="2056"/>
      <c r="U14" s="2056"/>
      <c r="V14" s="2057"/>
      <c r="W14" s="2058"/>
      <c r="X14" s="2059"/>
      <c r="Y14" s="2060"/>
      <c r="Z14" s="2344" t="s">
        <v>675</v>
      </c>
      <c r="AA14" s="2344"/>
      <c r="AB14" s="2344"/>
      <c r="AC14" s="2344"/>
      <c r="AD14" s="2344"/>
      <c r="AE14" s="2344"/>
      <c r="AF14" s="2344"/>
      <c r="AG14" s="2344"/>
      <c r="AH14" s="2344"/>
      <c r="AI14" s="2345"/>
      <c r="AJ14" s="937"/>
      <c r="AK14" s="938"/>
      <c r="AL14" s="938"/>
      <c r="AM14" s="938"/>
      <c r="AN14" s="938"/>
      <c r="AP14" s="1536" t="s">
        <v>676</v>
      </c>
      <c r="AQ14" s="2339"/>
      <c r="AR14" s="935"/>
      <c r="AS14" s="936"/>
      <c r="AT14" s="936"/>
      <c r="AU14" s="1565" t="s">
        <v>304</v>
      </c>
      <c r="AV14" s="1565"/>
      <c r="AW14" s="1565"/>
      <c r="AX14" s="1565"/>
      <c r="AY14" s="936"/>
      <c r="AZ14" s="936"/>
      <c r="BA14" s="936"/>
      <c r="BB14" s="939"/>
      <c r="BC14" s="2055"/>
      <c r="BD14" s="2056"/>
      <c r="BE14" s="2056"/>
      <c r="BF14" s="2056"/>
      <c r="BG14" s="2056"/>
      <c r="BH14" s="2056"/>
      <c r="BI14" s="2056"/>
      <c r="BJ14" s="2057"/>
      <c r="BK14" s="2058"/>
      <c r="BL14" s="2059"/>
      <c r="BM14" s="2060"/>
      <c r="BN14" s="2344" t="s">
        <v>677</v>
      </c>
      <c r="BO14" s="2344"/>
      <c r="BP14" s="2344"/>
      <c r="BQ14" s="2344"/>
      <c r="BR14" s="2344"/>
      <c r="BS14" s="2344"/>
      <c r="BT14" s="2344"/>
      <c r="BU14" s="2344"/>
      <c r="BV14" s="2344"/>
      <c r="BW14" s="2345"/>
      <c r="BX14" s="937"/>
      <c r="CB14" s="940" t="s">
        <v>678</v>
      </c>
      <c r="CC14" s="251">
        <f>IF(OR(O14="",O14=0),SUMPRODUCT(O15:O114,W15:W114)/100,(O14*W14)/100)</f>
        <v>0</v>
      </c>
    </row>
    <row r="15" spans="1:81" ht="27.95" customHeight="1" thickTop="1">
      <c r="B15" s="2340"/>
      <c r="C15" s="2341"/>
      <c r="D15" s="1904"/>
      <c r="E15" s="1905"/>
      <c r="F15" s="1905"/>
      <c r="G15" s="1905"/>
      <c r="H15" s="1905"/>
      <c r="I15" s="1905"/>
      <c r="J15" s="1905"/>
      <c r="K15" s="1905"/>
      <c r="L15" s="1905"/>
      <c r="M15" s="1905"/>
      <c r="N15" s="1906"/>
      <c r="O15" s="2361"/>
      <c r="P15" s="2362"/>
      <c r="Q15" s="2362"/>
      <c r="R15" s="2362"/>
      <c r="S15" s="2362"/>
      <c r="T15" s="2362"/>
      <c r="U15" s="2362"/>
      <c r="V15" s="2363"/>
      <c r="W15" s="2364"/>
      <c r="X15" s="2365"/>
      <c r="Y15" s="2366"/>
      <c r="Z15" s="1942"/>
      <c r="AA15" s="1942"/>
      <c r="AB15" s="1942"/>
      <c r="AC15" s="1942"/>
      <c r="AD15" s="1942"/>
      <c r="AE15" s="1942"/>
      <c r="AF15" s="1942"/>
      <c r="AG15" s="1942"/>
      <c r="AH15" s="1942"/>
      <c r="AI15" s="2346"/>
      <c r="AJ15" s="937"/>
      <c r="AK15" s="938"/>
      <c r="AL15" s="938"/>
      <c r="AM15" s="938"/>
      <c r="AN15" s="938"/>
      <c r="AP15" s="2340"/>
      <c r="AQ15" s="2341"/>
      <c r="AR15" s="1904"/>
      <c r="AS15" s="1905"/>
      <c r="AT15" s="1905"/>
      <c r="AU15" s="1905"/>
      <c r="AV15" s="1905"/>
      <c r="AW15" s="1905"/>
      <c r="AX15" s="1905"/>
      <c r="AY15" s="1905"/>
      <c r="AZ15" s="1905"/>
      <c r="BA15" s="1905"/>
      <c r="BB15" s="1906"/>
      <c r="BC15" s="2361"/>
      <c r="BD15" s="2362"/>
      <c r="BE15" s="2362"/>
      <c r="BF15" s="2362"/>
      <c r="BG15" s="2362"/>
      <c r="BH15" s="2362"/>
      <c r="BI15" s="2362"/>
      <c r="BJ15" s="2363"/>
      <c r="BK15" s="2364"/>
      <c r="BL15" s="2365"/>
      <c r="BM15" s="2366"/>
      <c r="BN15" s="1942"/>
      <c r="BO15" s="1942"/>
      <c r="BP15" s="1942"/>
      <c r="BQ15" s="1942"/>
      <c r="BR15" s="1942"/>
      <c r="BS15" s="1942"/>
      <c r="BT15" s="1942"/>
      <c r="BU15" s="1942"/>
      <c r="BV15" s="1942"/>
      <c r="BW15" s="2346"/>
      <c r="BX15" s="937"/>
      <c r="CB15" s="940" t="s">
        <v>679</v>
      </c>
      <c r="CC15" s="251">
        <f>IF(OR(BC14="",BC14=0),SUMPRODUCT(BC15:BC114,BK15:BK114)/100,(BC14*BK14)/100)</f>
        <v>0</v>
      </c>
    </row>
    <row r="16" spans="1:81" ht="27.95" customHeight="1">
      <c r="B16" s="2340"/>
      <c r="C16" s="2341"/>
      <c r="D16" s="1904"/>
      <c r="E16" s="1905"/>
      <c r="F16" s="1905"/>
      <c r="G16" s="1905"/>
      <c r="H16" s="1905"/>
      <c r="I16" s="1905"/>
      <c r="J16" s="1905"/>
      <c r="K16" s="1905"/>
      <c r="L16" s="1905"/>
      <c r="M16" s="1905"/>
      <c r="N16" s="1906"/>
      <c r="O16" s="2367"/>
      <c r="P16" s="2368"/>
      <c r="Q16" s="2368"/>
      <c r="R16" s="2368"/>
      <c r="S16" s="2368"/>
      <c r="T16" s="2368"/>
      <c r="U16" s="2368"/>
      <c r="V16" s="2369"/>
      <c r="W16" s="1907"/>
      <c r="X16" s="1908"/>
      <c r="Y16" s="1909"/>
      <c r="Z16" s="1942"/>
      <c r="AA16" s="1942"/>
      <c r="AB16" s="1942"/>
      <c r="AC16" s="1942"/>
      <c r="AD16" s="1942"/>
      <c r="AE16" s="1942"/>
      <c r="AF16" s="1942"/>
      <c r="AG16" s="1942"/>
      <c r="AH16" s="1942"/>
      <c r="AI16" s="2346"/>
      <c r="AJ16" s="937"/>
      <c r="AK16" s="938"/>
      <c r="AL16" s="938"/>
      <c r="AM16" s="938"/>
      <c r="AN16" s="938"/>
      <c r="AP16" s="2340"/>
      <c r="AQ16" s="2341"/>
      <c r="AR16" s="1904"/>
      <c r="AS16" s="1905"/>
      <c r="AT16" s="1905"/>
      <c r="AU16" s="1905"/>
      <c r="AV16" s="1905"/>
      <c r="AW16" s="1905"/>
      <c r="AX16" s="1905"/>
      <c r="AY16" s="1905"/>
      <c r="AZ16" s="1905"/>
      <c r="BA16" s="1905"/>
      <c r="BB16" s="1906"/>
      <c r="BC16" s="2370"/>
      <c r="BD16" s="2371"/>
      <c r="BE16" s="2371"/>
      <c r="BF16" s="2371"/>
      <c r="BG16" s="2371"/>
      <c r="BH16" s="2371"/>
      <c r="BI16" s="2371"/>
      <c r="BJ16" s="2372"/>
      <c r="BK16" s="1910"/>
      <c r="BL16" s="1911"/>
      <c r="BM16" s="1912"/>
      <c r="BN16" s="1942"/>
      <c r="BO16" s="1942"/>
      <c r="BP16" s="1942"/>
      <c r="BQ16" s="1942"/>
      <c r="BR16" s="1942"/>
      <c r="BS16" s="1942"/>
      <c r="BT16" s="1942"/>
      <c r="BU16" s="1942"/>
      <c r="BV16" s="1942"/>
      <c r="BW16" s="2346"/>
      <c r="BX16" s="937"/>
      <c r="CB16" s="2"/>
      <c r="CC16" s="2"/>
    </row>
    <row r="17" spans="1:76" ht="27.95" customHeight="1">
      <c r="B17" s="2340"/>
      <c r="C17" s="2341"/>
      <c r="D17" s="1904"/>
      <c r="E17" s="1905"/>
      <c r="F17" s="1905"/>
      <c r="G17" s="1905"/>
      <c r="H17" s="1905"/>
      <c r="I17" s="1905"/>
      <c r="J17" s="1905"/>
      <c r="K17" s="1905"/>
      <c r="L17" s="1905"/>
      <c r="M17" s="1905"/>
      <c r="N17" s="1906"/>
      <c r="O17" s="2367"/>
      <c r="P17" s="2368"/>
      <c r="Q17" s="2368"/>
      <c r="R17" s="2368"/>
      <c r="S17" s="2368"/>
      <c r="T17" s="2368"/>
      <c r="U17" s="2368"/>
      <c r="V17" s="2369"/>
      <c r="W17" s="1907"/>
      <c r="X17" s="1908"/>
      <c r="Y17" s="1909"/>
      <c r="Z17" s="1942"/>
      <c r="AA17" s="1942"/>
      <c r="AB17" s="1942"/>
      <c r="AC17" s="1942"/>
      <c r="AD17" s="1942"/>
      <c r="AE17" s="1942"/>
      <c r="AF17" s="1942"/>
      <c r="AG17" s="1942"/>
      <c r="AH17" s="1942"/>
      <c r="AI17" s="2346"/>
      <c r="AJ17" s="937"/>
      <c r="AK17" s="938"/>
      <c r="AL17" s="938"/>
      <c r="AM17" s="938"/>
      <c r="AN17" s="938"/>
      <c r="AP17" s="2340"/>
      <c r="AQ17" s="2341"/>
      <c r="AR17" s="1904"/>
      <c r="AS17" s="1905"/>
      <c r="AT17" s="1905"/>
      <c r="AU17" s="1905"/>
      <c r="AV17" s="1905"/>
      <c r="AW17" s="1905"/>
      <c r="AX17" s="1905"/>
      <c r="AY17" s="1905"/>
      <c r="AZ17" s="1905"/>
      <c r="BA17" s="1905"/>
      <c r="BB17" s="1906"/>
      <c r="BC17" s="2370"/>
      <c r="BD17" s="2371"/>
      <c r="BE17" s="2371"/>
      <c r="BF17" s="2371"/>
      <c r="BG17" s="2371"/>
      <c r="BH17" s="2371"/>
      <c r="BI17" s="2371"/>
      <c r="BJ17" s="2372"/>
      <c r="BK17" s="1910"/>
      <c r="BL17" s="1911"/>
      <c r="BM17" s="1912"/>
      <c r="BN17" s="1942"/>
      <c r="BO17" s="1942"/>
      <c r="BP17" s="1942"/>
      <c r="BQ17" s="1942"/>
      <c r="BR17" s="1942"/>
      <c r="BS17" s="1942"/>
      <c r="BT17" s="1942"/>
      <c r="BU17" s="1942"/>
      <c r="BV17" s="1942"/>
      <c r="BW17" s="2346"/>
      <c r="BX17" s="937"/>
    </row>
    <row r="18" spans="1:76" ht="27.95" customHeight="1">
      <c r="B18" s="2340"/>
      <c r="C18" s="2341"/>
      <c r="D18" s="1904"/>
      <c r="E18" s="1905"/>
      <c r="F18" s="1905"/>
      <c r="G18" s="1905"/>
      <c r="H18" s="1905"/>
      <c r="I18" s="1905"/>
      <c r="J18" s="1905"/>
      <c r="K18" s="1905"/>
      <c r="L18" s="1905"/>
      <c r="M18" s="1905"/>
      <c r="N18" s="1906"/>
      <c r="O18" s="2367"/>
      <c r="P18" s="2368"/>
      <c r="Q18" s="2368"/>
      <c r="R18" s="2368"/>
      <c r="S18" s="2368"/>
      <c r="T18" s="2368"/>
      <c r="U18" s="2368"/>
      <c r="V18" s="2369"/>
      <c r="W18" s="1907"/>
      <c r="X18" s="1908"/>
      <c r="Y18" s="1909"/>
      <c r="Z18" s="1942"/>
      <c r="AA18" s="1942"/>
      <c r="AB18" s="1942"/>
      <c r="AC18" s="1942"/>
      <c r="AD18" s="1942"/>
      <c r="AE18" s="1942"/>
      <c r="AF18" s="1942"/>
      <c r="AG18" s="1942"/>
      <c r="AH18" s="1942"/>
      <c r="AI18" s="2346"/>
      <c r="AJ18" s="937"/>
      <c r="AK18" s="938"/>
      <c r="AL18" s="938"/>
      <c r="AM18" s="938"/>
      <c r="AN18" s="938"/>
      <c r="AP18" s="2340"/>
      <c r="AQ18" s="2341"/>
      <c r="AR18" s="1904"/>
      <c r="AS18" s="1905"/>
      <c r="AT18" s="1905"/>
      <c r="AU18" s="1905"/>
      <c r="AV18" s="1905"/>
      <c r="AW18" s="1905"/>
      <c r="AX18" s="1905"/>
      <c r="AY18" s="1905"/>
      <c r="AZ18" s="1905"/>
      <c r="BA18" s="1905"/>
      <c r="BB18" s="1906"/>
      <c r="BC18" s="2370"/>
      <c r="BD18" s="2371"/>
      <c r="BE18" s="2371"/>
      <c r="BF18" s="2371"/>
      <c r="BG18" s="2371"/>
      <c r="BH18" s="2371"/>
      <c r="BI18" s="2371"/>
      <c r="BJ18" s="2372"/>
      <c r="BK18" s="1910"/>
      <c r="BL18" s="1911"/>
      <c r="BM18" s="1912"/>
      <c r="BN18" s="1942"/>
      <c r="BO18" s="1942"/>
      <c r="BP18" s="1942"/>
      <c r="BQ18" s="1942"/>
      <c r="BR18" s="1942"/>
      <c r="BS18" s="1942"/>
      <c r="BT18" s="1942"/>
      <c r="BU18" s="1942"/>
      <c r="BV18" s="1942"/>
      <c r="BW18" s="2346"/>
      <c r="BX18" s="937"/>
    </row>
    <row r="19" spans="1:76" ht="27.95" customHeight="1">
      <c r="B19" s="2340"/>
      <c r="C19" s="2341"/>
      <c r="D19" s="1904"/>
      <c r="E19" s="1905"/>
      <c r="F19" s="1905"/>
      <c r="G19" s="1905"/>
      <c r="H19" s="1905"/>
      <c r="I19" s="1905"/>
      <c r="J19" s="1905"/>
      <c r="K19" s="1905"/>
      <c r="L19" s="1905"/>
      <c r="M19" s="1905"/>
      <c r="N19" s="1906"/>
      <c r="O19" s="2367"/>
      <c r="P19" s="2368"/>
      <c r="Q19" s="2368"/>
      <c r="R19" s="2368"/>
      <c r="S19" s="2368"/>
      <c r="T19" s="2368"/>
      <c r="U19" s="2368"/>
      <c r="V19" s="2369"/>
      <c r="W19" s="1907"/>
      <c r="X19" s="1908"/>
      <c r="Y19" s="1909"/>
      <c r="Z19" s="1942"/>
      <c r="AA19" s="1942"/>
      <c r="AB19" s="1942"/>
      <c r="AC19" s="1942"/>
      <c r="AD19" s="1942"/>
      <c r="AE19" s="1942"/>
      <c r="AF19" s="1942"/>
      <c r="AG19" s="1942"/>
      <c r="AH19" s="1942"/>
      <c r="AI19" s="2346"/>
      <c r="AJ19" s="937"/>
      <c r="AK19" s="938"/>
      <c r="AL19" s="938"/>
      <c r="AM19" s="938"/>
      <c r="AN19" s="938"/>
      <c r="AP19" s="2340"/>
      <c r="AQ19" s="2341"/>
      <c r="AR19" s="1904"/>
      <c r="AS19" s="1905"/>
      <c r="AT19" s="1905"/>
      <c r="AU19" s="1905"/>
      <c r="AV19" s="1905"/>
      <c r="AW19" s="1905"/>
      <c r="AX19" s="1905"/>
      <c r="AY19" s="1905"/>
      <c r="AZ19" s="1905"/>
      <c r="BA19" s="1905"/>
      <c r="BB19" s="1906"/>
      <c r="BC19" s="2370"/>
      <c r="BD19" s="2371"/>
      <c r="BE19" s="2371"/>
      <c r="BF19" s="2371"/>
      <c r="BG19" s="2371"/>
      <c r="BH19" s="2371"/>
      <c r="BI19" s="2371"/>
      <c r="BJ19" s="2372"/>
      <c r="BK19" s="1910"/>
      <c r="BL19" s="1911"/>
      <c r="BM19" s="1912"/>
      <c r="BN19" s="1942"/>
      <c r="BO19" s="1942"/>
      <c r="BP19" s="1942"/>
      <c r="BQ19" s="1942"/>
      <c r="BR19" s="1942"/>
      <c r="BS19" s="1942"/>
      <c r="BT19" s="1942"/>
      <c r="BU19" s="1942"/>
      <c r="BV19" s="1942"/>
      <c r="BW19" s="2346"/>
      <c r="BX19" s="937"/>
    </row>
    <row r="20" spans="1:76" ht="27.95" customHeight="1">
      <c r="B20" s="2340"/>
      <c r="C20" s="2341"/>
      <c r="D20" s="1904"/>
      <c r="E20" s="1905"/>
      <c r="F20" s="1905"/>
      <c r="G20" s="1905"/>
      <c r="H20" s="1905"/>
      <c r="I20" s="1905"/>
      <c r="J20" s="1905"/>
      <c r="K20" s="1905"/>
      <c r="L20" s="1905"/>
      <c r="M20" s="1905"/>
      <c r="N20" s="1906"/>
      <c r="O20" s="2367"/>
      <c r="P20" s="2368"/>
      <c r="Q20" s="2368"/>
      <c r="R20" s="2368"/>
      <c r="S20" s="2368"/>
      <c r="T20" s="2368"/>
      <c r="U20" s="2368"/>
      <c r="V20" s="2369"/>
      <c r="W20" s="1907"/>
      <c r="X20" s="1908"/>
      <c r="Y20" s="1909"/>
      <c r="Z20" s="1942"/>
      <c r="AA20" s="1942"/>
      <c r="AB20" s="1942"/>
      <c r="AC20" s="1942"/>
      <c r="AD20" s="1942"/>
      <c r="AE20" s="1942"/>
      <c r="AF20" s="1942"/>
      <c r="AG20" s="1942"/>
      <c r="AH20" s="1942"/>
      <c r="AI20" s="2346"/>
      <c r="AJ20" s="937"/>
      <c r="AK20" s="938"/>
      <c r="AL20" s="938"/>
      <c r="AM20" s="938"/>
      <c r="AN20" s="938"/>
      <c r="AP20" s="2340"/>
      <c r="AQ20" s="2341"/>
      <c r="AR20" s="1904"/>
      <c r="AS20" s="1905"/>
      <c r="AT20" s="1905"/>
      <c r="AU20" s="1905"/>
      <c r="AV20" s="1905"/>
      <c r="AW20" s="1905"/>
      <c r="AX20" s="1905"/>
      <c r="AY20" s="1905"/>
      <c r="AZ20" s="1905"/>
      <c r="BA20" s="1905"/>
      <c r="BB20" s="1906"/>
      <c r="BC20" s="2370"/>
      <c r="BD20" s="2371"/>
      <c r="BE20" s="2371"/>
      <c r="BF20" s="2371"/>
      <c r="BG20" s="2371"/>
      <c r="BH20" s="2371"/>
      <c r="BI20" s="2371"/>
      <c r="BJ20" s="2372"/>
      <c r="BK20" s="1910"/>
      <c r="BL20" s="1911"/>
      <c r="BM20" s="1912"/>
      <c r="BN20" s="1942"/>
      <c r="BO20" s="1942"/>
      <c r="BP20" s="1942"/>
      <c r="BQ20" s="1942"/>
      <c r="BR20" s="1942"/>
      <c r="BS20" s="1942"/>
      <c r="BT20" s="1942"/>
      <c r="BU20" s="1942"/>
      <c r="BV20" s="1942"/>
      <c r="BW20" s="2346"/>
      <c r="BX20" s="937"/>
    </row>
    <row r="21" spans="1:76" ht="27.95" customHeight="1">
      <c r="B21" s="2340"/>
      <c r="C21" s="2341"/>
      <c r="D21" s="1904"/>
      <c r="E21" s="1905"/>
      <c r="F21" s="1905"/>
      <c r="G21" s="1905"/>
      <c r="H21" s="1905"/>
      <c r="I21" s="1905"/>
      <c r="J21" s="1905"/>
      <c r="K21" s="1905"/>
      <c r="L21" s="1905"/>
      <c r="M21" s="1905"/>
      <c r="N21" s="1906"/>
      <c r="O21" s="2367"/>
      <c r="P21" s="2368"/>
      <c r="Q21" s="2368"/>
      <c r="R21" s="2368"/>
      <c r="S21" s="2368"/>
      <c r="T21" s="2368"/>
      <c r="U21" s="2368"/>
      <c r="V21" s="2369"/>
      <c r="W21" s="1907"/>
      <c r="X21" s="1908"/>
      <c r="Y21" s="1909"/>
      <c r="Z21" s="1942"/>
      <c r="AA21" s="1942"/>
      <c r="AB21" s="1942"/>
      <c r="AC21" s="1942"/>
      <c r="AD21" s="1942"/>
      <c r="AE21" s="1942"/>
      <c r="AF21" s="1942"/>
      <c r="AG21" s="1942"/>
      <c r="AH21" s="1942"/>
      <c r="AI21" s="2346"/>
      <c r="AJ21" s="937"/>
      <c r="AK21" s="938"/>
      <c r="AL21" s="938"/>
      <c r="AM21" s="938"/>
      <c r="AN21" s="938"/>
      <c r="AP21" s="2340"/>
      <c r="AQ21" s="2341"/>
      <c r="AR21" s="1904"/>
      <c r="AS21" s="1905"/>
      <c r="AT21" s="1905"/>
      <c r="AU21" s="1905"/>
      <c r="AV21" s="1905"/>
      <c r="AW21" s="1905"/>
      <c r="AX21" s="1905"/>
      <c r="AY21" s="1905"/>
      <c r="AZ21" s="1905"/>
      <c r="BA21" s="1905"/>
      <c r="BB21" s="1906"/>
      <c r="BC21" s="2370"/>
      <c r="BD21" s="2371"/>
      <c r="BE21" s="2371"/>
      <c r="BF21" s="2371"/>
      <c r="BG21" s="2371"/>
      <c r="BH21" s="2371"/>
      <c r="BI21" s="2371"/>
      <c r="BJ21" s="2372"/>
      <c r="BK21" s="1910"/>
      <c r="BL21" s="1911"/>
      <c r="BM21" s="1912"/>
      <c r="BN21" s="1942"/>
      <c r="BO21" s="1942"/>
      <c r="BP21" s="1942"/>
      <c r="BQ21" s="1942"/>
      <c r="BR21" s="1942"/>
      <c r="BS21" s="1942"/>
      <c r="BT21" s="1942"/>
      <c r="BU21" s="1942"/>
      <c r="BV21" s="1942"/>
      <c r="BW21" s="2346"/>
      <c r="BX21" s="937"/>
    </row>
    <row r="22" spans="1:76" ht="27.95" customHeight="1">
      <c r="B22" s="2340"/>
      <c r="C22" s="2341"/>
      <c r="D22" s="1904"/>
      <c r="E22" s="1905"/>
      <c r="F22" s="1905"/>
      <c r="G22" s="1905"/>
      <c r="H22" s="1905"/>
      <c r="I22" s="1905"/>
      <c r="J22" s="1905"/>
      <c r="K22" s="1905"/>
      <c r="L22" s="1905"/>
      <c r="M22" s="1905"/>
      <c r="N22" s="1906"/>
      <c r="O22" s="2367"/>
      <c r="P22" s="2368"/>
      <c r="Q22" s="2368"/>
      <c r="R22" s="2368"/>
      <c r="S22" s="2368"/>
      <c r="T22" s="2368"/>
      <c r="U22" s="2368"/>
      <c r="V22" s="2369"/>
      <c r="W22" s="1907"/>
      <c r="X22" s="1908"/>
      <c r="Y22" s="1909"/>
      <c r="Z22" s="1942"/>
      <c r="AA22" s="1942"/>
      <c r="AB22" s="1942"/>
      <c r="AC22" s="1942"/>
      <c r="AD22" s="1942"/>
      <c r="AE22" s="1942"/>
      <c r="AF22" s="1942"/>
      <c r="AG22" s="1942"/>
      <c r="AH22" s="1942"/>
      <c r="AI22" s="2346"/>
      <c r="AJ22" s="937"/>
      <c r="AK22" s="938"/>
      <c r="AL22" s="938"/>
      <c r="AM22" s="938"/>
      <c r="AN22" s="938"/>
      <c r="AP22" s="2340"/>
      <c r="AQ22" s="2341"/>
      <c r="AR22" s="1904"/>
      <c r="AS22" s="1905"/>
      <c r="AT22" s="1905"/>
      <c r="AU22" s="1905"/>
      <c r="AV22" s="1905"/>
      <c r="AW22" s="1905"/>
      <c r="AX22" s="1905"/>
      <c r="AY22" s="1905"/>
      <c r="AZ22" s="1905"/>
      <c r="BA22" s="1905"/>
      <c r="BB22" s="1906"/>
      <c r="BC22" s="2370"/>
      <c r="BD22" s="2371"/>
      <c r="BE22" s="2371"/>
      <c r="BF22" s="2371"/>
      <c r="BG22" s="2371"/>
      <c r="BH22" s="2371"/>
      <c r="BI22" s="2371"/>
      <c r="BJ22" s="2372"/>
      <c r="BK22" s="1910"/>
      <c r="BL22" s="1911"/>
      <c r="BM22" s="1912"/>
      <c r="BN22" s="1942"/>
      <c r="BO22" s="1942"/>
      <c r="BP22" s="1942"/>
      <c r="BQ22" s="1942"/>
      <c r="BR22" s="1942"/>
      <c r="BS22" s="1942"/>
      <c r="BT22" s="1942"/>
      <c r="BU22" s="1942"/>
      <c r="BV22" s="1942"/>
      <c r="BW22" s="2346"/>
      <c r="BX22" s="937"/>
    </row>
    <row r="23" spans="1:76" ht="27.95" customHeight="1">
      <c r="B23" s="2340"/>
      <c r="C23" s="2341"/>
      <c r="D23" s="1904"/>
      <c r="E23" s="1905"/>
      <c r="F23" s="1905"/>
      <c r="G23" s="1905"/>
      <c r="H23" s="1905"/>
      <c r="I23" s="1905"/>
      <c r="J23" s="1905"/>
      <c r="K23" s="1905"/>
      <c r="L23" s="1905"/>
      <c r="M23" s="1905"/>
      <c r="N23" s="1906"/>
      <c r="O23" s="2367"/>
      <c r="P23" s="2368"/>
      <c r="Q23" s="2368"/>
      <c r="R23" s="2368"/>
      <c r="S23" s="2368"/>
      <c r="T23" s="2368"/>
      <c r="U23" s="2368"/>
      <c r="V23" s="2369"/>
      <c r="W23" s="1907"/>
      <c r="X23" s="1908"/>
      <c r="Y23" s="1909"/>
      <c r="Z23" s="1942"/>
      <c r="AA23" s="1942"/>
      <c r="AB23" s="1942"/>
      <c r="AC23" s="1942"/>
      <c r="AD23" s="1942"/>
      <c r="AE23" s="1942"/>
      <c r="AF23" s="1942"/>
      <c r="AG23" s="1942"/>
      <c r="AH23" s="1942"/>
      <c r="AI23" s="2346"/>
      <c r="AJ23" s="937"/>
      <c r="AK23" s="938"/>
      <c r="AL23" s="938"/>
      <c r="AM23" s="938"/>
      <c r="AN23" s="938"/>
      <c r="AP23" s="2340"/>
      <c r="AQ23" s="2341"/>
      <c r="AR23" s="1904"/>
      <c r="AS23" s="1905"/>
      <c r="AT23" s="1905"/>
      <c r="AU23" s="1905"/>
      <c r="AV23" s="1905"/>
      <c r="AW23" s="1905"/>
      <c r="AX23" s="1905"/>
      <c r="AY23" s="1905"/>
      <c r="AZ23" s="1905"/>
      <c r="BA23" s="1905"/>
      <c r="BB23" s="1906"/>
      <c r="BC23" s="2370"/>
      <c r="BD23" s="2371"/>
      <c r="BE23" s="2371"/>
      <c r="BF23" s="2371"/>
      <c r="BG23" s="2371"/>
      <c r="BH23" s="2371"/>
      <c r="BI23" s="2371"/>
      <c r="BJ23" s="2372"/>
      <c r="BK23" s="1910"/>
      <c r="BL23" s="1911"/>
      <c r="BM23" s="1912"/>
      <c r="BN23" s="1942"/>
      <c r="BO23" s="1942"/>
      <c r="BP23" s="1942"/>
      <c r="BQ23" s="1942"/>
      <c r="BR23" s="1942"/>
      <c r="BS23" s="1942"/>
      <c r="BT23" s="1942"/>
      <c r="BU23" s="1942"/>
      <c r="BV23" s="1942"/>
      <c r="BW23" s="2346"/>
      <c r="BX23" s="937"/>
    </row>
    <row r="24" spans="1:76" ht="27.95" customHeight="1">
      <c r="B24" s="2340"/>
      <c r="C24" s="2341"/>
      <c r="D24" s="1904"/>
      <c r="E24" s="1905"/>
      <c r="F24" s="1905"/>
      <c r="G24" s="1905"/>
      <c r="H24" s="1905"/>
      <c r="I24" s="1905"/>
      <c r="J24" s="1905"/>
      <c r="K24" s="1905"/>
      <c r="L24" s="1905"/>
      <c r="M24" s="1905"/>
      <c r="N24" s="1906"/>
      <c r="O24" s="2367"/>
      <c r="P24" s="2368"/>
      <c r="Q24" s="2368"/>
      <c r="R24" s="2368"/>
      <c r="S24" s="2368"/>
      <c r="T24" s="2368"/>
      <c r="U24" s="2368"/>
      <c r="V24" s="2369"/>
      <c r="W24" s="1907"/>
      <c r="X24" s="1908"/>
      <c r="Y24" s="1909"/>
      <c r="Z24" s="1942"/>
      <c r="AA24" s="1942"/>
      <c r="AB24" s="1942"/>
      <c r="AC24" s="1942"/>
      <c r="AD24" s="1942"/>
      <c r="AE24" s="1942"/>
      <c r="AF24" s="1942"/>
      <c r="AG24" s="1942"/>
      <c r="AH24" s="1942"/>
      <c r="AI24" s="2346"/>
      <c r="AJ24" s="937"/>
      <c r="AK24" s="938"/>
      <c r="AL24" s="938"/>
      <c r="AM24" s="938"/>
      <c r="AN24" s="938"/>
      <c r="AP24" s="2340"/>
      <c r="AQ24" s="2341"/>
      <c r="AR24" s="1904"/>
      <c r="AS24" s="1905"/>
      <c r="AT24" s="1905"/>
      <c r="AU24" s="1905"/>
      <c r="AV24" s="1905"/>
      <c r="AW24" s="1905"/>
      <c r="AX24" s="1905"/>
      <c r="AY24" s="1905"/>
      <c r="AZ24" s="1905"/>
      <c r="BA24" s="1905"/>
      <c r="BB24" s="1906"/>
      <c r="BC24" s="2370"/>
      <c r="BD24" s="2371"/>
      <c r="BE24" s="2371"/>
      <c r="BF24" s="2371"/>
      <c r="BG24" s="2371"/>
      <c r="BH24" s="2371"/>
      <c r="BI24" s="2371"/>
      <c r="BJ24" s="2372"/>
      <c r="BK24" s="1910"/>
      <c r="BL24" s="1911"/>
      <c r="BM24" s="1912"/>
      <c r="BN24" s="1942"/>
      <c r="BO24" s="1942"/>
      <c r="BP24" s="1942"/>
      <c r="BQ24" s="1942"/>
      <c r="BR24" s="1942"/>
      <c r="BS24" s="1942"/>
      <c r="BT24" s="1942"/>
      <c r="BU24" s="1942"/>
      <c r="BV24" s="1942"/>
      <c r="BW24" s="2346"/>
      <c r="BX24" s="937"/>
    </row>
    <row r="25" spans="1:76" ht="27.95" customHeight="1">
      <c r="B25" s="2340"/>
      <c r="C25" s="2341"/>
      <c r="D25" s="1904"/>
      <c r="E25" s="1905"/>
      <c r="F25" s="1905"/>
      <c r="G25" s="1905"/>
      <c r="H25" s="1905"/>
      <c r="I25" s="1905"/>
      <c r="J25" s="1905"/>
      <c r="K25" s="1905"/>
      <c r="L25" s="1905"/>
      <c r="M25" s="1905"/>
      <c r="N25" s="1906"/>
      <c r="O25" s="2367"/>
      <c r="P25" s="2368"/>
      <c r="Q25" s="2368"/>
      <c r="R25" s="2368"/>
      <c r="S25" s="2368"/>
      <c r="T25" s="2368"/>
      <c r="U25" s="2368"/>
      <c r="V25" s="2369"/>
      <c r="W25" s="1907"/>
      <c r="X25" s="1908"/>
      <c r="Y25" s="1909"/>
      <c r="Z25" s="1942"/>
      <c r="AA25" s="1942"/>
      <c r="AB25" s="1942"/>
      <c r="AC25" s="1942"/>
      <c r="AD25" s="1942"/>
      <c r="AE25" s="1942"/>
      <c r="AF25" s="1942"/>
      <c r="AG25" s="1942"/>
      <c r="AH25" s="1942"/>
      <c r="AI25" s="2346"/>
      <c r="AJ25" s="937"/>
      <c r="AK25" s="938"/>
      <c r="AL25" s="938"/>
      <c r="AM25" s="938"/>
      <c r="AN25" s="938"/>
      <c r="AP25" s="2340"/>
      <c r="AQ25" s="2341"/>
      <c r="AR25" s="1904"/>
      <c r="AS25" s="1905"/>
      <c r="AT25" s="1905"/>
      <c r="AU25" s="1905"/>
      <c r="AV25" s="1905"/>
      <c r="AW25" s="1905"/>
      <c r="AX25" s="1905"/>
      <c r="AY25" s="1905"/>
      <c r="AZ25" s="1905"/>
      <c r="BA25" s="1905"/>
      <c r="BB25" s="1906"/>
      <c r="BC25" s="2370"/>
      <c r="BD25" s="2371"/>
      <c r="BE25" s="2371"/>
      <c r="BF25" s="2371"/>
      <c r="BG25" s="2371"/>
      <c r="BH25" s="2371"/>
      <c r="BI25" s="2371"/>
      <c r="BJ25" s="2372"/>
      <c r="BK25" s="1910"/>
      <c r="BL25" s="1911"/>
      <c r="BM25" s="1912"/>
      <c r="BN25" s="1942"/>
      <c r="BO25" s="1942"/>
      <c r="BP25" s="1942"/>
      <c r="BQ25" s="1942"/>
      <c r="BR25" s="1942"/>
      <c r="BS25" s="1942"/>
      <c r="BT25" s="1942"/>
      <c r="BU25" s="1942"/>
      <c r="BV25" s="1942"/>
      <c r="BW25" s="2346"/>
      <c r="BX25" s="937"/>
    </row>
    <row r="26" spans="1:76" ht="27.95" customHeight="1">
      <c r="A26" s="941"/>
      <c r="B26" s="2340"/>
      <c r="C26" s="2341"/>
      <c r="D26" s="1904"/>
      <c r="E26" s="1905"/>
      <c r="F26" s="1905"/>
      <c r="G26" s="1905"/>
      <c r="H26" s="1905"/>
      <c r="I26" s="1905"/>
      <c r="J26" s="1905"/>
      <c r="K26" s="1905"/>
      <c r="L26" s="1905"/>
      <c r="M26" s="1905"/>
      <c r="N26" s="1906"/>
      <c r="O26" s="2367"/>
      <c r="P26" s="2368"/>
      <c r="Q26" s="2368"/>
      <c r="R26" s="2368"/>
      <c r="S26" s="2368"/>
      <c r="T26" s="2368"/>
      <c r="U26" s="2368"/>
      <c r="V26" s="2369"/>
      <c r="W26" s="1907"/>
      <c r="X26" s="1908"/>
      <c r="Y26" s="1909"/>
      <c r="Z26" s="1942"/>
      <c r="AA26" s="1942"/>
      <c r="AB26" s="1942"/>
      <c r="AC26" s="1942"/>
      <c r="AD26" s="1942"/>
      <c r="AE26" s="1942"/>
      <c r="AF26" s="1942"/>
      <c r="AG26" s="1942"/>
      <c r="AH26" s="1942"/>
      <c r="AI26" s="2346"/>
      <c r="AJ26" s="937"/>
      <c r="AK26" s="938"/>
      <c r="AL26" s="938"/>
      <c r="AM26" s="938"/>
      <c r="AN26" s="938"/>
      <c r="AP26" s="2340"/>
      <c r="AQ26" s="2341"/>
      <c r="AR26" s="1904"/>
      <c r="AS26" s="1905"/>
      <c r="AT26" s="1905"/>
      <c r="AU26" s="1905"/>
      <c r="AV26" s="1905"/>
      <c r="AW26" s="1905"/>
      <c r="AX26" s="1905"/>
      <c r="AY26" s="1905"/>
      <c r="AZ26" s="1905"/>
      <c r="BA26" s="1905"/>
      <c r="BB26" s="1906"/>
      <c r="BC26" s="2370"/>
      <c r="BD26" s="2371"/>
      <c r="BE26" s="2371"/>
      <c r="BF26" s="2371"/>
      <c r="BG26" s="2371"/>
      <c r="BH26" s="2371"/>
      <c r="BI26" s="2371"/>
      <c r="BJ26" s="2372"/>
      <c r="BK26" s="1910"/>
      <c r="BL26" s="1911"/>
      <c r="BM26" s="1912"/>
      <c r="BN26" s="1942"/>
      <c r="BO26" s="1942"/>
      <c r="BP26" s="1942"/>
      <c r="BQ26" s="1942"/>
      <c r="BR26" s="1942"/>
      <c r="BS26" s="1942"/>
      <c r="BT26" s="1942"/>
      <c r="BU26" s="1942"/>
      <c r="BV26" s="1942"/>
      <c r="BW26" s="2346"/>
      <c r="BX26" s="937"/>
    </row>
    <row r="27" spans="1:76" ht="27.95" customHeight="1">
      <c r="B27" s="2340"/>
      <c r="C27" s="2341"/>
      <c r="D27" s="1904"/>
      <c r="E27" s="1905"/>
      <c r="F27" s="1905"/>
      <c r="G27" s="1905"/>
      <c r="H27" s="1905"/>
      <c r="I27" s="1905"/>
      <c r="J27" s="1905"/>
      <c r="K27" s="1905"/>
      <c r="L27" s="1905"/>
      <c r="M27" s="1905"/>
      <c r="N27" s="1906"/>
      <c r="O27" s="2367"/>
      <c r="P27" s="2368"/>
      <c r="Q27" s="2368"/>
      <c r="R27" s="2368"/>
      <c r="S27" s="2368"/>
      <c r="T27" s="2368"/>
      <c r="U27" s="2368"/>
      <c r="V27" s="2369"/>
      <c r="W27" s="1907"/>
      <c r="X27" s="1908"/>
      <c r="Y27" s="1909"/>
      <c r="Z27" s="1942"/>
      <c r="AA27" s="1942"/>
      <c r="AB27" s="1942"/>
      <c r="AC27" s="1942"/>
      <c r="AD27" s="1942"/>
      <c r="AE27" s="1942"/>
      <c r="AF27" s="1942"/>
      <c r="AG27" s="1942"/>
      <c r="AH27" s="1942"/>
      <c r="AI27" s="2346"/>
      <c r="AJ27" s="937"/>
      <c r="AK27" s="938"/>
      <c r="AL27" s="938"/>
      <c r="AM27" s="938"/>
      <c r="AN27" s="938"/>
      <c r="AP27" s="2340"/>
      <c r="AQ27" s="2341"/>
      <c r="AR27" s="1904"/>
      <c r="AS27" s="1905"/>
      <c r="AT27" s="1905"/>
      <c r="AU27" s="1905"/>
      <c r="AV27" s="1905"/>
      <c r="AW27" s="1905"/>
      <c r="AX27" s="1905"/>
      <c r="AY27" s="1905"/>
      <c r="AZ27" s="1905"/>
      <c r="BA27" s="1905"/>
      <c r="BB27" s="1906"/>
      <c r="BC27" s="2370"/>
      <c r="BD27" s="2371"/>
      <c r="BE27" s="2371"/>
      <c r="BF27" s="2371"/>
      <c r="BG27" s="2371"/>
      <c r="BH27" s="2371"/>
      <c r="BI27" s="2371"/>
      <c r="BJ27" s="2372"/>
      <c r="BK27" s="1910"/>
      <c r="BL27" s="1911"/>
      <c r="BM27" s="1912"/>
      <c r="BN27" s="1942"/>
      <c r="BO27" s="1942"/>
      <c r="BP27" s="1942"/>
      <c r="BQ27" s="1942"/>
      <c r="BR27" s="1942"/>
      <c r="BS27" s="1942"/>
      <c r="BT27" s="1942"/>
      <c r="BU27" s="1942"/>
      <c r="BV27" s="1942"/>
      <c r="BW27" s="2346"/>
      <c r="BX27" s="937"/>
    </row>
    <row r="28" spans="1:76" ht="27.95" customHeight="1">
      <c r="B28" s="2340"/>
      <c r="C28" s="2341"/>
      <c r="D28" s="1904"/>
      <c r="E28" s="1905"/>
      <c r="F28" s="1905"/>
      <c r="G28" s="1905"/>
      <c r="H28" s="1905"/>
      <c r="I28" s="1905"/>
      <c r="J28" s="1905"/>
      <c r="K28" s="1905"/>
      <c r="L28" s="1905"/>
      <c r="M28" s="1905"/>
      <c r="N28" s="1906"/>
      <c r="O28" s="2367"/>
      <c r="P28" s="2368"/>
      <c r="Q28" s="2368"/>
      <c r="R28" s="2368"/>
      <c r="S28" s="2368"/>
      <c r="T28" s="2368"/>
      <c r="U28" s="2368"/>
      <c r="V28" s="2369"/>
      <c r="W28" s="1907"/>
      <c r="X28" s="1908"/>
      <c r="Y28" s="1909"/>
      <c r="Z28" s="1942"/>
      <c r="AA28" s="1942"/>
      <c r="AB28" s="1942"/>
      <c r="AC28" s="1942"/>
      <c r="AD28" s="1942"/>
      <c r="AE28" s="1942"/>
      <c r="AF28" s="1942"/>
      <c r="AG28" s="1942"/>
      <c r="AH28" s="1942"/>
      <c r="AI28" s="2346"/>
      <c r="AJ28" s="937"/>
      <c r="AK28" s="938"/>
      <c r="AL28" s="938"/>
      <c r="AM28" s="938"/>
      <c r="AN28" s="938"/>
      <c r="AP28" s="2340"/>
      <c r="AQ28" s="2341"/>
      <c r="AR28" s="1904"/>
      <c r="AS28" s="1905"/>
      <c r="AT28" s="1905"/>
      <c r="AU28" s="1905"/>
      <c r="AV28" s="1905"/>
      <c r="AW28" s="1905"/>
      <c r="AX28" s="1905"/>
      <c r="AY28" s="1905"/>
      <c r="AZ28" s="1905"/>
      <c r="BA28" s="1905"/>
      <c r="BB28" s="1906"/>
      <c r="BC28" s="2370"/>
      <c r="BD28" s="2371"/>
      <c r="BE28" s="2371"/>
      <c r="BF28" s="2371"/>
      <c r="BG28" s="2371"/>
      <c r="BH28" s="2371"/>
      <c r="BI28" s="2371"/>
      <c r="BJ28" s="2372"/>
      <c r="BK28" s="1910"/>
      <c r="BL28" s="1911"/>
      <c r="BM28" s="1912"/>
      <c r="BN28" s="1942"/>
      <c r="BO28" s="1942"/>
      <c r="BP28" s="1942"/>
      <c r="BQ28" s="1942"/>
      <c r="BR28" s="1942"/>
      <c r="BS28" s="1942"/>
      <c r="BT28" s="1942"/>
      <c r="BU28" s="1942"/>
      <c r="BV28" s="1942"/>
      <c r="BW28" s="2346"/>
      <c r="BX28" s="937"/>
    </row>
    <row r="29" spans="1:76" ht="27.95" customHeight="1">
      <c r="B29" s="2340"/>
      <c r="C29" s="2341"/>
      <c r="D29" s="1904"/>
      <c r="E29" s="1905"/>
      <c r="F29" s="1905"/>
      <c r="G29" s="1905"/>
      <c r="H29" s="1905"/>
      <c r="I29" s="1905"/>
      <c r="J29" s="1905"/>
      <c r="K29" s="1905"/>
      <c r="L29" s="1905"/>
      <c r="M29" s="1905"/>
      <c r="N29" s="1906"/>
      <c r="O29" s="2367"/>
      <c r="P29" s="2368"/>
      <c r="Q29" s="2368"/>
      <c r="R29" s="2368"/>
      <c r="S29" s="2368"/>
      <c r="T29" s="2368"/>
      <c r="U29" s="2368"/>
      <c r="V29" s="2369"/>
      <c r="W29" s="1907"/>
      <c r="X29" s="1908"/>
      <c r="Y29" s="1909"/>
      <c r="Z29" s="1942"/>
      <c r="AA29" s="1942"/>
      <c r="AB29" s="1942"/>
      <c r="AC29" s="1942"/>
      <c r="AD29" s="1942"/>
      <c r="AE29" s="1942"/>
      <c r="AF29" s="1942"/>
      <c r="AG29" s="1942"/>
      <c r="AH29" s="1942"/>
      <c r="AI29" s="2346"/>
      <c r="AJ29" s="937"/>
      <c r="AK29" s="938"/>
      <c r="AL29" s="938"/>
      <c r="AM29" s="938"/>
      <c r="AN29" s="938"/>
      <c r="AP29" s="2340"/>
      <c r="AQ29" s="2341"/>
      <c r="AR29" s="1904"/>
      <c r="AS29" s="1905"/>
      <c r="AT29" s="1905"/>
      <c r="AU29" s="1905"/>
      <c r="AV29" s="1905"/>
      <c r="AW29" s="1905"/>
      <c r="AX29" s="1905"/>
      <c r="AY29" s="1905"/>
      <c r="AZ29" s="1905"/>
      <c r="BA29" s="1905"/>
      <c r="BB29" s="1906"/>
      <c r="BC29" s="2370"/>
      <c r="BD29" s="2371"/>
      <c r="BE29" s="2371"/>
      <c r="BF29" s="2371"/>
      <c r="BG29" s="2371"/>
      <c r="BH29" s="2371"/>
      <c r="BI29" s="2371"/>
      <c r="BJ29" s="2372"/>
      <c r="BK29" s="1910"/>
      <c r="BL29" s="1911"/>
      <c r="BM29" s="1912"/>
      <c r="BN29" s="1942"/>
      <c r="BO29" s="1942"/>
      <c r="BP29" s="1942"/>
      <c r="BQ29" s="1942"/>
      <c r="BR29" s="1942"/>
      <c r="BS29" s="1942"/>
      <c r="BT29" s="1942"/>
      <c r="BU29" s="1942"/>
      <c r="BV29" s="1942"/>
      <c r="BW29" s="2346"/>
      <c r="BX29" s="937"/>
    </row>
    <row r="30" spans="1:76" ht="27.95" customHeight="1">
      <c r="B30" s="2340"/>
      <c r="C30" s="2341"/>
      <c r="D30" s="1904"/>
      <c r="E30" s="1905"/>
      <c r="F30" s="1905"/>
      <c r="G30" s="1905"/>
      <c r="H30" s="1905"/>
      <c r="I30" s="1905"/>
      <c r="J30" s="1905"/>
      <c r="K30" s="1905"/>
      <c r="L30" s="1905"/>
      <c r="M30" s="1905"/>
      <c r="N30" s="1906"/>
      <c r="O30" s="2367"/>
      <c r="P30" s="2368"/>
      <c r="Q30" s="2368"/>
      <c r="R30" s="2368"/>
      <c r="S30" s="2368"/>
      <c r="T30" s="2368"/>
      <c r="U30" s="2368"/>
      <c r="V30" s="2369"/>
      <c r="W30" s="1907"/>
      <c r="X30" s="1908"/>
      <c r="Y30" s="1909"/>
      <c r="Z30" s="1942"/>
      <c r="AA30" s="1942"/>
      <c r="AB30" s="1942"/>
      <c r="AC30" s="1942"/>
      <c r="AD30" s="1942"/>
      <c r="AE30" s="1942"/>
      <c r="AF30" s="1942"/>
      <c r="AG30" s="1942"/>
      <c r="AH30" s="1942"/>
      <c r="AI30" s="2346"/>
      <c r="AJ30" s="937"/>
      <c r="AK30" s="938"/>
      <c r="AL30" s="938"/>
      <c r="AM30" s="938"/>
      <c r="AN30" s="938"/>
      <c r="AP30" s="2340"/>
      <c r="AQ30" s="2341"/>
      <c r="AR30" s="1904"/>
      <c r="AS30" s="1905"/>
      <c r="AT30" s="1905"/>
      <c r="AU30" s="1905"/>
      <c r="AV30" s="1905"/>
      <c r="AW30" s="1905"/>
      <c r="AX30" s="1905"/>
      <c r="AY30" s="1905"/>
      <c r="AZ30" s="1905"/>
      <c r="BA30" s="1905"/>
      <c r="BB30" s="1906"/>
      <c r="BC30" s="2370"/>
      <c r="BD30" s="2371"/>
      <c r="BE30" s="2371"/>
      <c r="BF30" s="2371"/>
      <c r="BG30" s="2371"/>
      <c r="BH30" s="2371"/>
      <c r="BI30" s="2371"/>
      <c r="BJ30" s="2372"/>
      <c r="BK30" s="1910"/>
      <c r="BL30" s="1911"/>
      <c r="BM30" s="1912"/>
      <c r="BN30" s="1942"/>
      <c r="BO30" s="1942"/>
      <c r="BP30" s="1942"/>
      <c r="BQ30" s="1942"/>
      <c r="BR30" s="1942"/>
      <c r="BS30" s="1942"/>
      <c r="BT30" s="1942"/>
      <c r="BU30" s="1942"/>
      <c r="BV30" s="1942"/>
      <c r="BW30" s="2346"/>
      <c r="BX30" s="937"/>
    </row>
    <row r="31" spans="1:76" ht="27.95" customHeight="1">
      <c r="B31" s="2340"/>
      <c r="C31" s="2341"/>
      <c r="D31" s="1904"/>
      <c r="E31" s="1905"/>
      <c r="F31" s="1905"/>
      <c r="G31" s="1905"/>
      <c r="H31" s="1905"/>
      <c r="I31" s="1905"/>
      <c r="J31" s="1905"/>
      <c r="K31" s="1905"/>
      <c r="L31" s="1905"/>
      <c r="M31" s="1905"/>
      <c r="N31" s="1906"/>
      <c r="O31" s="2367"/>
      <c r="P31" s="2368"/>
      <c r="Q31" s="2368"/>
      <c r="R31" s="2368"/>
      <c r="S31" s="2368"/>
      <c r="T31" s="2368"/>
      <c r="U31" s="2368"/>
      <c r="V31" s="2369"/>
      <c r="W31" s="1907"/>
      <c r="X31" s="1908"/>
      <c r="Y31" s="1909"/>
      <c r="Z31" s="1942"/>
      <c r="AA31" s="1942"/>
      <c r="AB31" s="1942"/>
      <c r="AC31" s="1942"/>
      <c r="AD31" s="1942"/>
      <c r="AE31" s="1942"/>
      <c r="AF31" s="1942"/>
      <c r="AG31" s="1942"/>
      <c r="AH31" s="1942"/>
      <c r="AI31" s="2346"/>
      <c r="AJ31" s="937"/>
      <c r="AK31" s="938"/>
      <c r="AL31" s="938"/>
      <c r="AM31" s="938"/>
      <c r="AN31" s="938"/>
      <c r="AP31" s="2340"/>
      <c r="AQ31" s="2341"/>
      <c r="AR31" s="1904"/>
      <c r="AS31" s="1905"/>
      <c r="AT31" s="1905"/>
      <c r="AU31" s="1905"/>
      <c r="AV31" s="1905"/>
      <c r="AW31" s="1905"/>
      <c r="AX31" s="1905"/>
      <c r="AY31" s="1905"/>
      <c r="AZ31" s="1905"/>
      <c r="BA31" s="1905"/>
      <c r="BB31" s="1906"/>
      <c r="BC31" s="2370"/>
      <c r="BD31" s="2371"/>
      <c r="BE31" s="2371"/>
      <c r="BF31" s="2371"/>
      <c r="BG31" s="2371"/>
      <c r="BH31" s="2371"/>
      <c r="BI31" s="2371"/>
      <c r="BJ31" s="2372"/>
      <c r="BK31" s="1910"/>
      <c r="BL31" s="1911"/>
      <c r="BM31" s="1912"/>
      <c r="BN31" s="1942"/>
      <c r="BO31" s="1942"/>
      <c r="BP31" s="1942"/>
      <c r="BQ31" s="1942"/>
      <c r="BR31" s="1942"/>
      <c r="BS31" s="1942"/>
      <c r="BT31" s="1942"/>
      <c r="BU31" s="1942"/>
      <c r="BV31" s="1942"/>
      <c r="BW31" s="2346"/>
      <c r="BX31" s="937"/>
    </row>
    <row r="32" spans="1:76" ht="27.95" customHeight="1">
      <c r="B32" s="2340"/>
      <c r="C32" s="2341"/>
      <c r="D32" s="1904"/>
      <c r="E32" s="1905"/>
      <c r="F32" s="1905"/>
      <c r="G32" s="1905"/>
      <c r="H32" s="1905"/>
      <c r="I32" s="1905"/>
      <c r="J32" s="1905"/>
      <c r="K32" s="1905"/>
      <c r="L32" s="1905"/>
      <c r="M32" s="1905"/>
      <c r="N32" s="1906"/>
      <c r="O32" s="2367"/>
      <c r="P32" s="2368"/>
      <c r="Q32" s="2368"/>
      <c r="R32" s="2368"/>
      <c r="S32" s="2368"/>
      <c r="T32" s="2368"/>
      <c r="U32" s="2368"/>
      <c r="V32" s="2369"/>
      <c r="W32" s="1907"/>
      <c r="X32" s="1908"/>
      <c r="Y32" s="1909"/>
      <c r="Z32" s="1942"/>
      <c r="AA32" s="1942"/>
      <c r="AB32" s="1942"/>
      <c r="AC32" s="1942"/>
      <c r="AD32" s="1942"/>
      <c r="AE32" s="1942"/>
      <c r="AF32" s="1942"/>
      <c r="AG32" s="1942"/>
      <c r="AH32" s="1942"/>
      <c r="AI32" s="2346"/>
      <c r="AJ32" s="937"/>
      <c r="AK32" s="938"/>
      <c r="AL32" s="938"/>
      <c r="AM32" s="938"/>
      <c r="AN32" s="938"/>
      <c r="AP32" s="2340"/>
      <c r="AQ32" s="2341"/>
      <c r="AR32" s="1904"/>
      <c r="AS32" s="1905"/>
      <c r="AT32" s="1905"/>
      <c r="AU32" s="1905"/>
      <c r="AV32" s="1905"/>
      <c r="AW32" s="1905"/>
      <c r="AX32" s="1905"/>
      <c r="AY32" s="1905"/>
      <c r="AZ32" s="1905"/>
      <c r="BA32" s="1905"/>
      <c r="BB32" s="1906"/>
      <c r="BC32" s="2370"/>
      <c r="BD32" s="2371"/>
      <c r="BE32" s="2371"/>
      <c r="BF32" s="2371"/>
      <c r="BG32" s="2371"/>
      <c r="BH32" s="2371"/>
      <c r="BI32" s="2371"/>
      <c r="BJ32" s="2372"/>
      <c r="BK32" s="1910"/>
      <c r="BL32" s="1911"/>
      <c r="BM32" s="1912"/>
      <c r="BN32" s="1942"/>
      <c r="BO32" s="1942"/>
      <c r="BP32" s="1942"/>
      <c r="BQ32" s="1942"/>
      <c r="BR32" s="1942"/>
      <c r="BS32" s="1942"/>
      <c r="BT32" s="1942"/>
      <c r="BU32" s="1942"/>
      <c r="BV32" s="1942"/>
      <c r="BW32" s="2346"/>
      <c r="BX32" s="937"/>
    </row>
    <row r="33" spans="1:76" ht="27.95" customHeight="1">
      <c r="B33" s="2340"/>
      <c r="C33" s="2341"/>
      <c r="D33" s="1904"/>
      <c r="E33" s="1905"/>
      <c r="F33" s="1905"/>
      <c r="G33" s="1905"/>
      <c r="H33" s="1905"/>
      <c r="I33" s="1905"/>
      <c r="J33" s="1905"/>
      <c r="K33" s="1905"/>
      <c r="L33" s="1905"/>
      <c r="M33" s="1905"/>
      <c r="N33" s="1906"/>
      <c r="O33" s="2367"/>
      <c r="P33" s="2368"/>
      <c r="Q33" s="2368"/>
      <c r="R33" s="2368"/>
      <c r="S33" s="2368"/>
      <c r="T33" s="2368"/>
      <c r="U33" s="2368"/>
      <c r="V33" s="2369"/>
      <c r="W33" s="1907"/>
      <c r="X33" s="1908"/>
      <c r="Y33" s="1909"/>
      <c r="Z33" s="1942"/>
      <c r="AA33" s="1942"/>
      <c r="AB33" s="1942"/>
      <c r="AC33" s="1942"/>
      <c r="AD33" s="1942"/>
      <c r="AE33" s="1942"/>
      <c r="AF33" s="1942"/>
      <c r="AG33" s="1942"/>
      <c r="AH33" s="1942"/>
      <c r="AI33" s="2346"/>
      <c r="AJ33" s="937"/>
      <c r="AK33" s="938"/>
      <c r="AL33" s="938"/>
      <c r="AM33" s="938"/>
      <c r="AN33" s="938"/>
      <c r="AP33" s="2340"/>
      <c r="AQ33" s="2341"/>
      <c r="AR33" s="1904"/>
      <c r="AS33" s="1905"/>
      <c r="AT33" s="1905"/>
      <c r="AU33" s="1905"/>
      <c r="AV33" s="1905"/>
      <c r="AW33" s="1905"/>
      <c r="AX33" s="1905"/>
      <c r="AY33" s="1905"/>
      <c r="AZ33" s="1905"/>
      <c r="BA33" s="1905"/>
      <c r="BB33" s="1906"/>
      <c r="BC33" s="2370"/>
      <c r="BD33" s="2371"/>
      <c r="BE33" s="2371"/>
      <c r="BF33" s="2371"/>
      <c r="BG33" s="2371"/>
      <c r="BH33" s="2371"/>
      <c r="BI33" s="2371"/>
      <c r="BJ33" s="2372"/>
      <c r="BK33" s="1910"/>
      <c r="BL33" s="1911"/>
      <c r="BM33" s="1912"/>
      <c r="BN33" s="1942"/>
      <c r="BO33" s="1942"/>
      <c r="BP33" s="1942"/>
      <c r="BQ33" s="1942"/>
      <c r="BR33" s="1942"/>
      <c r="BS33" s="1942"/>
      <c r="BT33" s="1942"/>
      <c r="BU33" s="1942"/>
      <c r="BV33" s="1942"/>
      <c r="BW33" s="2346"/>
      <c r="BX33" s="937"/>
    </row>
    <row r="34" spans="1:76" ht="27.95" customHeight="1">
      <c r="B34" s="2340"/>
      <c r="C34" s="2341"/>
      <c r="D34" s="1904"/>
      <c r="E34" s="1905"/>
      <c r="F34" s="1905"/>
      <c r="G34" s="1905"/>
      <c r="H34" s="1905"/>
      <c r="I34" s="1905"/>
      <c r="J34" s="1905"/>
      <c r="K34" s="1905"/>
      <c r="L34" s="1905"/>
      <c r="M34" s="1905"/>
      <c r="N34" s="1906"/>
      <c r="O34" s="2367"/>
      <c r="P34" s="2368"/>
      <c r="Q34" s="2368"/>
      <c r="R34" s="2368"/>
      <c r="S34" s="2368"/>
      <c r="T34" s="2368"/>
      <c r="U34" s="2368"/>
      <c r="V34" s="2369"/>
      <c r="W34" s="1907"/>
      <c r="X34" s="1908"/>
      <c r="Y34" s="1909"/>
      <c r="Z34" s="1942"/>
      <c r="AA34" s="1942"/>
      <c r="AB34" s="1942"/>
      <c r="AC34" s="1942"/>
      <c r="AD34" s="1942"/>
      <c r="AE34" s="1942"/>
      <c r="AF34" s="1942"/>
      <c r="AG34" s="1942"/>
      <c r="AH34" s="1942"/>
      <c r="AI34" s="2346"/>
      <c r="AJ34" s="937"/>
      <c r="AK34" s="938"/>
      <c r="AL34" s="938"/>
      <c r="AM34" s="938"/>
      <c r="AN34" s="938"/>
      <c r="AP34" s="2340"/>
      <c r="AQ34" s="2341"/>
      <c r="AR34" s="1904"/>
      <c r="AS34" s="1905"/>
      <c r="AT34" s="1905"/>
      <c r="AU34" s="1905"/>
      <c r="AV34" s="1905"/>
      <c r="AW34" s="1905"/>
      <c r="AX34" s="1905"/>
      <c r="AY34" s="1905"/>
      <c r="AZ34" s="1905"/>
      <c r="BA34" s="1905"/>
      <c r="BB34" s="1906"/>
      <c r="BC34" s="2370"/>
      <c r="BD34" s="2371"/>
      <c r="BE34" s="2371"/>
      <c r="BF34" s="2371"/>
      <c r="BG34" s="2371"/>
      <c r="BH34" s="2371"/>
      <c r="BI34" s="2371"/>
      <c r="BJ34" s="2372"/>
      <c r="BK34" s="1910"/>
      <c r="BL34" s="1911"/>
      <c r="BM34" s="1912"/>
      <c r="BN34" s="1942"/>
      <c r="BO34" s="1942"/>
      <c r="BP34" s="1942"/>
      <c r="BQ34" s="1942"/>
      <c r="BR34" s="1942"/>
      <c r="BS34" s="1942"/>
      <c r="BT34" s="1942"/>
      <c r="BU34" s="1942"/>
      <c r="BV34" s="1942"/>
      <c r="BW34" s="2346"/>
      <c r="BX34" s="937"/>
    </row>
    <row r="35" spans="1:76" ht="27.95" customHeight="1" collapsed="1" thickBot="1">
      <c r="B35" s="2340"/>
      <c r="C35" s="2341"/>
      <c r="D35" s="1904"/>
      <c r="E35" s="1905"/>
      <c r="F35" s="1905"/>
      <c r="G35" s="1905"/>
      <c r="H35" s="1905"/>
      <c r="I35" s="1905"/>
      <c r="J35" s="1905"/>
      <c r="K35" s="1905"/>
      <c r="L35" s="1905"/>
      <c r="M35" s="1905"/>
      <c r="N35" s="1906"/>
      <c r="O35" s="2367"/>
      <c r="P35" s="2368"/>
      <c r="Q35" s="2368"/>
      <c r="R35" s="2368"/>
      <c r="S35" s="2368"/>
      <c r="T35" s="2368"/>
      <c r="U35" s="2368"/>
      <c r="V35" s="2369"/>
      <c r="W35" s="1907"/>
      <c r="X35" s="1908"/>
      <c r="Y35" s="1909"/>
      <c r="Z35" s="1942"/>
      <c r="AA35" s="1942"/>
      <c r="AB35" s="1942"/>
      <c r="AC35" s="1942"/>
      <c r="AD35" s="1942"/>
      <c r="AE35" s="1942"/>
      <c r="AF35" s="1942"/>
      <c r="AG35" s="1942"/>
      <c r="AH35" s="1942"/>
      <c r="AI35" s="2346"/>
      <c r="AJ35" s="937"/>
      <c r="AK35" s="938"/>
      <c r="AL35" s="938"/>
      <c r="AM35" s="938"/>
      <c r="AN35" s="938"/>
      <c r="AP35" s="2340"/>
      <c r="AQ35" s="2341"/>
      <c r="AR35" s="1904"/>
      <c r="AS35" s="1905"/>
      <c r="AT35" s="1905"/>
      <c r="AU35" s="1905"/>
      <c r="AV35" s="1905"/>
      <c r="AW35" s="1905"/>
      <c r="AX35" s="1905"/>
      <c r="AY35" s="1905"/>
      <c r="AZ35" s="1905"/>
      <c r="BA35" s="1905"/>
      <c r="BB35" s="1906"/>
      <c r="BC35" s="2370"/>
      <c r="BD35" s="2371"/>
      <c r="BE35" s="2371"/>
      <c r="BF35" s="2371"/>
      <c r="BG35" s="2371"/>
      <c r="BH35" s="2371"/>
      <c r="BI35" s="2371"/>
      <c r="BJ35" s="2372"/>
      <c r="BK35" s="1910"/>
      <c r="BL35" s="1911"/>
      <c r="BM35" s="1912"/>
      <c r="BN35" s="1942"/>
      <c r="BO35" s="1942"/>
      <c r="BP35" s="1942"/>
      <c r="BQ35" s="1942"/>
      <c r="BR35" s="1942"/>
      <c r="BS35" s="1942"/>
      <c r="BT35" s="1942"/>
      <c r="BU35" s="1942"/>
      <c r="BV35" s="1942"/>
      <c r="BW35" s="2346"/>
      <c r="BX35" s="937"/>
    </row>
    <row r="36" spans="1:76" ht="27.95" hidden="1" customHeight="1" outlineLevel="1">
      <c r="A36" s="941"/>
      <c r="B36" s="2340"/>
      <c r="C36" s="2341"/>
      <c r="D36" s="2373"/>
      <c r="E36" s="2374"/>
      <c r="F36" s="2374"/>
      <c r="G36" s="2374"/>
      <c r="H36" s="2374"/>
      <c r="I36" s="2374"/>
      <c r="J36" s="2374"/>
      <c r="K36" s="2374"/>
      <c r="L36" s="2374"/>
      <c r="M36" s="2374"/>
      <c r="N36" s="2375"/>
      <c r="O36" s="2367"/>
      <c r="P36" s="2368"/>
      <c r="Q36" s="2368"/>
      <c r="R36" s="2368"/>
      <c r="S36" s="2368"/>
      <c r="T36" s="2368"/>
      <c r="U36" s="2368"/>
      <c r="V36" s="2369"/>
      <c r="W36" s="1907"/>
      <c r="X36" s="1908"/>
      <c r="Y36" s="1909"/>
      <c r="Z36" s="1942"/>
      <c r="AA36" s="1942"/>
      <c r="AB36" s="1942"/>
      <c r="AC36" s="1942"/>
      <c r="AD36" s="1942"/>
      <c r="AE36" s="1942"/>
      <c r="AF36" s="1942"/>
      <c r="AG36" s="1942"/>
      <c r="AH36" s="1942"/>
      <c r="AI36" s="2346"/>
      <c r="AJ36" s="937"/>
      <c r="AK36" s="938"/>
      <c r="AL36" s="938"/>
      <c r="AM36" s="938"/>
      <c r="AN36" s="938"/>
      <c r="AP36" s="2340"/>
      <c r="AQ36" s="2341"/>
      <c r="AR36" s="2373"/>
      <c r="AS36" s="2374"/>
      <c r="AT36" s="2374"/>
      <c r="AU36" s="2374"/>
      <c r="AV36" s="2374"/>
      <c r="AW36" s="2374"/>
      <c r="AX36" s="2374"/>
      <c r="AY36" s="2374"/>
      <c r="AZ36" s="2374"/>
      <c r="BA36" s="2374"/>
      <c r="BB36" s="2375"/>
      <c r="BC36" s="2370"/>
      <c r="BD36" s="2371"/>
      <c r="BE36" s="2371"/>
      <c r="BF36" s="2371"/>
      <c r="BG36" s="2371"/>
      <c r="BH36" s="2371"/>
      <c r="BI36" s="2371"/>
      <c r="BJ36" s="2372"/>
      <c r="BK36" s="1907"/>
      <c r="BL36" s="1908"/>
      <c r="BM36" s="1909"/>
      <c r="BN36" s="1942"/>
      <c r="BO36" s="1942"/>
      <c r="BP36" s="1942"/>
      <c r="BQ36" s="1942"/>
      <c r="BR36" s="1942"/>
      <c r="BS36" s="1942"/>
      <c r="BT36" s="1942"/>
      <c r="BU36" s="1942"/>
      <c r="BV36" s="1942"/>
      <c r="BW36" s="2346"/>
      <c r="BX36" s="937"/>
    </row>
    <row r="37" spans="1:76" ht="27.95" hidden="1" customHeight="1" outlineLevel="1">
      <c r="B37" s="2340"/>
      <c r="C37" s="2341"/>
      <c r="D37" s="1904"/>
      <c r="E37" s="1905"/>
      <c r="F37" s="1905"/>
      <c r="G37" s="1905"/>
      <c r="H37" s="1905"/>
      <c r="I37" s="1905"/>
      <c r="J37" s="1905"/>
      <c r="K37" s="1905"/>
      <c r="L37" s="1905"/>
      <c r="M37" s="1905"/>
      <c r="N37" s="1906"/>
      <c r="O37" s="2367"/>
      <c r="P37" s="2368"/>
      <c r="Q37" s="2368"/>
      <c r="R37" s="2368"/>
      <c r="S37" s="2368"/>
      <c r="T37" s="2368"/>
      <c r="U37" s="2368"/>
      <c r="V37" s="2369"/>
      <c r="W37" s="1907"/>
      <c r="X37" s="1908"/>
      <c r="Y37" s="1909"/>
      <c r="Z37" s="1942"/>
      <c r="AA37" s="1942"/>
      <c r="AB37" s="1942"/>
      <c r="AC37" s="1942"/>
      <c r="AD37" s="1942"/>
      <c r="AE37" s="1942"/>
      <c r="AF37" s="1942"/>
      <c r="AG37" s="1942"/>
      <c r="AH37" s="1942"/>
      <c r="AI37" s="2346"/>
      <c r="AJ37" s="937"/>
      <c r="AK37" s="938"/>
      <c r="AL37" s="938"/>
      <c r="AM37" s="938"/>
      <c r="AN37" s="938"/>
      <c r="AP37" s="2340"/>
      <c r="AQ37" s="2341"/>
      <c r="AR37" s="1904"/>
      <c r="AS37" s="1905"/>
      <c r="AT37" s="1905"/>
      <c r="AU37" s="1905"/>
      <c r="AV37" s="1905"/>
      <c r="AW37" s="1905"/>
      <c r="AX37" s="1905"/>
      <c r="AY37" s="1905"/>
      <c r="AZ37" s="1905"/>
      <c r="BA37" s="1905"/>
      <c r="BB37" s="1906"/>
      <c r="BC37" s="2370"/>
      <c r="BD37" s="2371"/>
      <c r="BE37" s="2371"/>
      <c r="BF37" s="2371"/>
      <c r="BG37" s="2371"/>
      <c r="BH37" s="2371"/>
      <c r="BI37" s="2371"/>
      <c r="BJ37" s="2372"/>
      <c r="BK37" s="1910"/>
      <c r="BL37" s="1911"/>
      <c r="BM37" s="1912"/>
      <c r="BN37" s="1942"/>
      <c r="BO37" s="1942"/>
      <c r="BP37" s="1942"/>
      <c r="BQ37" s="1942"/>
      <c r="BR37" s="1942"/>
      <c r="BS37" s="1942"/>
      <c r="BT37" s="1942"/>
      <c r="BU37" s="1942"/>
      <c r="BV37" s="1942"/>
      <c r="BW37" s="2346"/>
      <c r="BX37" s="937"/>
    </row>
    <row r="38" spans="1:76" ht="27.95" hidden="1" customHeight="1" outlineLevel="1">
      <c r="B38" s="2340"/>
      <c r="C38" s="2341"/>
      <c r="D38" s="1904"/>
      <c r="E38" s="1905"/>
      <c r="F38" s="1905"/>
      <c r="G38" s="1905"/>
      <c r="H38" s="1905"/>
      <c r="I38" s="1905"/>
      <c r="J38" s="1905"/>
      <c r="K38" s="1905"/>
      <c r="L38" s="1905"/>
      <c r="M38" s="1905"/>
      <c r="N38" s="1906"/>
      <c r="O38" s="2367"/>
      <c r="P38" s="2368"/>
      <c r="Q38" s="2368"/>
      <c r="R38" s="2368"/>
      <c r="S38" s="2368"/>
      <c r="T38" s="2368"/>
      <c r="U38" s="2368"/>
      <c r="V38" s="2369"/>
      <c r="W38" s="1907"/>
      <c r="X38" s="1908"/>
      <c r="Y38" s="1909"/>
      <c r="Z38" s="1942"/>
      <c r="AA38" s="1942"/>
      <c r="AB38" s="1942"/>
      <c r="AC38" s="1942"/>
      <c r="AD38" s="1942"/>
      <c r="AE38" s="1942"/>
      <c r="AF38" s="1942"/>
      <c r="AG38" s="1942"/>
      <c r="AH38" s="1942"/>
      <c r="AI38" s="2346"/>
      <c r="AJ38" s="937"/>
      <c r="AK38" s="938"/>
      <c r="AL38" s="938"/>
      <c r="AM38" s="938"/>
      <c r="AN38" s="938"/>
      <c r="AP38" s="2340"/>
      <c r="AQ38" s="2341"/>
      <c r="AR38" s="1904"/>
      <c r="AS38" s="1905"/>
      <c r="AT38" s="1905"/>
      <c r="AU38" s="1905"/>
      <c r="AV38" s="1905"/>
      <c r="AW38" s="1905"/>
      <c r="AX38" s="1905"/>
      <c r="AY38" s="1905"/>
      <c r="AZ38" s="1905"/>
      <c r="BA38" s="1905"/>
      <c r="BB38" s="1906"/>
      <c r="BC38" s="2370"/>
      <c r="BD38" s="2371"/>
      <c r="BE38" s="2371"/>
      <c r="BF38" s="2371"/>
      <c r="BG38" s="2371"/>
      <c r="BH38" s="2371"/>
      <c r="BI38" s="2371"/>
      <c r="BJ38" s="2372"/>
      <c r="BK38" s="1910"/>
      <c r="BL38" s="1911"/>
      <c r="BM38" s="1912"/>
      <c r="BN38" s="1942"/>
      <c r="BO38" s="1942"/>
      <c r="BP38" s="1942"/>
      <c r="BQ38" s="1942"/>
      <c r="BR38" s="1942"/>
      <c r="BS38" s="1942"/>
      <c r="BT38" s="1942"/>
      <c r="BU38" s="1942"/>
      <c r="BV38" s="1942"/>
      <c r="BW38" s="2346"/>
      <c r="BX38" s="937"/>
    </row>
    <row r="39" spans="1:76" ht="27.95" hidden="1" customHeight="1" outlineLevel="1">
      <c r="B39" s="2340"/>
      <c r="C39" s="2341"/>
      <c r="D39" s="1904"/>
      <c r="E39" s="1905"/>
      <c r="F39" s="1905"/>
      <c r="G39" s="1905"/>
      <c r="H39" s="1905"/>
      <c r="I39" s="1905"/>
      <c r="J39" s="1905"/>
      <c r="K39" s="1905"/>
      <c r="L39" s="1905"/>
      <c r="M39" s="1905"/>
      <c r="N39" s="1906"/>
      <c r="O39" s="2367"/>
      <c r="P39" s="2368"/>
      <c r="Q39" s="2368"/>
      <c r="R39" s="2368"/>
      <c r="S39" s="2368"/>
      <c r="T39" s="2368"/>
      <c r="U39" s="2368"/>
      <c r="V39" s="2369"/>
      <c r="W39" s="1907"/>
      <c r="X39" s="1908"/>
      <c r="Y39" s="1909"/>
      <c r="Z39" s="1942"/>
      <c r="AA39" s="1942"/>
      <c r="AB39" s="1942"/>
      <c r="AC39" s="1942"/>
      <c r="AD39" s="1942"/>
      <c r="AE39" s="1942"/>
      <c r="AF39" s="1942"/>
      <c r="AG39" s="1942"/>
      <c r="AH39" s="1942"/>
      <c r="AI39" s="2346"/>
      <c r="AJ39" s="937"/>
      <c r="AK39" s="938"/>
      <c r="AL39" s="938"/>
      <c r="AM39" s="938"/>
      <c r="AN39" s="938"/>
      <c r="AP39" s="2340"/>
      <c r="AQ39" s="2341"/>
      <c r="AR39" s="1904"/>
      <c r="AS39" s="1905"/>
      <c r="AT39" s="1905"/>
      <c r="AU39" s="1905"/>
      <c r="AV39" s="1905"/>
      <c r="AW39" s="1905"/>
      <c r="AX39" s="1905"/>
      <c r="AY39" s="1905"/>
      <c r="AZ39" s="1905"/>
      <c r="BA39" s="1905"/>
      <c r="BB39" s="1906"/>
      <c r="BC39" s="2370"/>
      <c r="BD39" s="2371"/>
      <c r="BE39" s="2371"/>
      <c r="BF39" s="2371"/>
      <c r="BG39" s="2371"/>
      <c r="BH39" s="2371"/>
      <c r="BI39" s="2371"/>
      <c r="BJ39" s="2372"/>
      <c r="BK39" s="1910"/>
      <c r="BL39" s="1911"/>
      <c r="BM39" s="1912"/>
      <c r="BN39" s="1942"/>
      <c r="BO39" s="1942"/>
      <c r="BP39" s="1942"/>
      <c r="BQ39" s="1942"/>
      <c r="BR39" s="1942"/>
      <c r="BS39" s="1942"/>
      <c r="BT39" s="1942"/>
      <c r="BU39" s="1942"/>
      <c r="BV39" s="1942"/>
      <c r="BW39" s="2346"/>
      <c r="BX39" s="937"/>
    </row>
    <row r="40" spans="1:76" ht="27.95" hidden="1" customHeight="1" outlineLevel="1">
      <c r="B40" s="2340"/>
      <c r="C40" s="2341"/>
      <c r="D40" s="1904"/>
      <c r="E40" s="1905"/>
      <c r="F40" s="1905"/>
      <c r="G40" s="1905"/>
      <c r="H40" s="1905"/>
      <c r="I40" s="1905"/>
      <c r="J40" s="1905"/>
      <c r="K40" s="1905"/>
      <c r="L40" s="1905"/>
      <c r="M40" s="1905"/>
      <c r="N40" s="1906"/>
      <c r="O40" s="2367"/>
      <c r="P40" s="2368"/>
      <c r="Q40" s="2368"/>
      <c r="R40" s="2368"/>
      <c r="S40" s="2368"/>
      <c r="T40" s="2368"/>
      <c r="U40" s="2368"/>
      <c r="V40" s="2369"/>
      <c r="W40" s="1907"/>
      <c r="X40" s="1908"/>
      <c r="Y40" s="1909"/>
      <c r="Z40" s="1942"/>
      <c r="AA40" s="1942"/>
      <c r="AB40" s="1942"/>
      <c r="AC40" s="1942"/>
      <c r="AD40" s="1942"/>
      <c r="AE40" s="1942"/>
      <c r="AF40" s="1942"/>
      <c r="AG40" s="1942"/>
      <c r="AH40" s="1942"/>
      <c r="AI40" s="2346"/>
      <c r="AJ40" s="937"/>
      <c r="AK40" s="938"/>
      <c r="AL40" s="938"/>
      <c r="AM40" s="938"/>
      <c r="AN40" s="938"/>
      <c r="AP40" s="2340"/>
      <c r="AQ40" s="2341"/>
      <c r="AR40" s="1904"/>
      <c r="AS40" s="1905"/>
      <c r="AT40" s="1905"/>
      <c r="AU40" s="1905"/>
      <c r="AV40" s="1905"/>
      <c r="AW40" s="1905"/>
      <c r="AX40" s="1905"/>
      <c r="AY40" s="1905"/>
      <c r="AZ40" s="1905"/>
      <c r="BA40" s="1905"/>
      <c r="BB40" s="1906"/>
      <c r="BC40" s="2370"/>
      <c r="BD40" s="2371"/>
      <c r="BE40" s="2371"/>
      <c r="BF40" s="2371"/>
      <c r="BG40" s="2371"/>
      <c r="BH40" s="2371"/>
      <c r="BI40" s="2371"/>
      <c r="BJ40" s="2372"/>
      <c r="BK40" s="1910"/>
      <c r="BL40" s="1911"/>
      <c r="BM40" s="1912"/>
      <c r="BN40" s="1942"/>
      <c r="BO40" s="1942"/>
      <c r="BP40" s="1942"/>
      <c r="BQ40" s="1942"/>
      <c r="BR40" s="1942"/>
      <c r="BS40" s="1942"/>
      <c r="BT40" s="1942"/>
      <c r="BU40" s="1942"/>
      <c r="BV40" s="1942"/>
      <c r="BW40" s="2346"/>
      <c r="BX40" s="937"/>
    </row>
    <row r="41" spans="1:76" ht="27.95" hidden="1" customHeight="1" outlineLevel="1">
      <c r="B41" s="2340"/>
      <c r="C41" s="2341"/>
      <c r="D41" s="1904"/>
      <c r="E41" s="1905"/>
      <c r="F41" s="1905"/>
      <c r="G41" s="1905"/>
      <c r="H41" s="1905"/>
      <c r="I41" s="1905"/>
      <c r="J41" s="1905"/>
      <c r="K41" s="1905"/>
      <c r="L41" s="1905"/>
      <c r="M41" s="1905"/>
      <c r="N41" s="1906"/>
      <c r="O41" s="2367"/>
      <c r="P41" s="2368"/>
      <c r="Q41" s="2368"/>
      <c r="R41" s="2368"/>
      <c r="S41" s="2368"/>
      <c r="T41" s="2368"/>
      <c r="U41" s="2368"/>
      <c r="V41" s="2369"/>
      <c r="W41" s="1907"/>
      <c r="X41" s="1908"/>
      <c r="Y41" s="1909"/>
      <c r="Z41" s="1942"/>
      <c r="AA41" s="1942"/>
      <c r="AB41" s="1942"/>
      <c r="AC41" s="1942"/>
      <c r="AD41" s="1942"/>
      <c r="AE41" s="1942"/>
      <c r="AF41" s="1942"/>
      <c r="AG41" s="1942"/>
      <c r="AH41" s="1942"/>
      <c r="AI41" s="2346"/>
      <c r="AJ41" s="937"/>
      <c r="AK41" s="938"/>
      <c r="AL41" s="938"/>
      <c r="AM41" s="938"/>
      <c r="AN41" s="938"/>
      <c r="AP41" s="2340"/>
      <c r="AQ41" s="2341"/>
      <c r="AR41" s="1904"/>
      <c r="AS41" s="1905"/>
      <c r="AT41" s="1905"/>
      <c r="AU41" s="1905"/>
      <c r="AV41" s="1905"/>
      <c r="AW41" s="1905"/>
      <c r="AX41" s="1905"/>
      <c r="AY41" s="1905"/>
      <c r="AZ41" s="1905"/>
      <c r="BA41" s="1905"/>
      <c r="BB41" s="1906"/>
      <c r="BC41" s="2370"/>
      <c r="BD41" s="2371"/>
      <c r="BE41" s="2371"/>
      <c r="BF41" s="2371"/>
      <c r="BG41" s="2371"/>
      <c r="BH41" s="2371"/>
      <c r="BI41" s="2371"/>
      <c r="BJ41" s="2372"/>
      <c r="BK41" s="1910"/>
      <c r="BL41" s="1911"/>
      <c r="BM41" s="1912"/>
      <c r="BN41" s="1942"/>
      <c r="BO41" s="1942"/>
      <c r="BP41" s="1942"/>
      <c r="BQ41" s="1942"/>
      <c r="BR41" s="1942"/>
      <c r="BS41" s="1942"/>
      <c r="BT41" s="1942"/>
      <c r="BU41" s="1942"/>
      <c r="BV41" s="1942"/>
      <c r="BW41" s="2346"/>
      <c r="BX41" s="937"/>
    </row>
    <row r="42" spans="1:76" ht="27.95" hidden="1" customHeight="1" outlineLevel="1">
      <c r="B42" s="2340"/>
      <c r="C42" s="2341"/>
      <c r="D42" s="1904"/>
      <c r="E42" s="1905"/>
      <c r="F42" s="1905"/>
      <c r="G42" s="1905"/>
      <c r="H42" s="1905"/>
      <c r="I42" s="1905"/>
      <c r="J42" s="1905"/>
      <c r="K42" s="1905"/>
      <c r="L42" s="1905"/>
      <c r="M42" s="1905"/>
      <c r="N42" s="1906"/>
      <c r="O42" s="2367"/>
      <c r="P42" s="2368"/>
      <c r="Q42" s="2368"/>
      <c r="R42" s="2368"/>
      <c r="S42" s="2368"/>
      <c r="T42" s="2368"/>
      <c r="U42" s="2368"/>
      <c r="V42" s="2369"/>
      <c r="W42" s="1907"/>
      <c r="X42" s="1908"/>
      <c r="Y42" s="1909"/>
      <c r="Z42" s="1942"/>
      <c r="AA42" s="1942"/>
      <c r="AB42" s="1942"/>
      <c r="AC42" s="1942"/>
      <c r="AD42" s="1942"/>
      <c r="AE42" s="1942"/>
      <c r="AF42" s="1942"/>
      <c r="AG42" s="1942"/>
      <c r="AH42" s="1942"/>
      <c r="AI42" s="2346"/>
      <c r="AJ42" s="937"/>
      <c r="AK42" s="938"/>
      <c r="AL42" s="938"/>
      <c r="AM42" s="938"/>
      <c r="AN42" s="938"/>
      <c r="AP42" s="2340"/>
      <c r="AQ42" s="2341"/>
      <c r="AR42" s="1904"/>
      <c r="AS42" s="1905"/>
      <c r="AT42" s="1905"/>
      <c r="AU42" s="1905"/>
      <c r="AV42" s="1905"/>
      <c r="AW42" s="1905"/>
      <c r="AX42" s="1905"/>
      <c r="AY42" s="1905"/>
      <c r="AZ42" s="1905"/>
      <c r="BA42" s="1905"/>
      <c r="BB42" s="1906"/>
      <c r="BC42" s="2370"/>
      <c r="BD42" s="2371"/>
      <c r="BE42" s="2371"/>
      <c r="BF42" s="2371"/>
      <c r="BG42" s="2371"/>
      <c r="BH42" s="2371"/>
      <c r="BI42" s="2371"/>
      <c r="BJ42" s="2372"/>
      <c r="BK42" s="1910"/>
      <c r="BL42" s="1911"/>
      <c r="BM42" s="1912"/>
      <c r="BN42" s="1942"/>
      <c r="BO42" s="1942"/>
      <c r="BP42" s="1942"/>
      <c r="BQ42" s="1942"/>
      <c r="BR42" s="1942"/>
      <c r="BS42" s="1942"/>
      <c r="BT42" s="1942"/>
      <c r="BU42" s="1942"/>
      <c r="BV42" s="1942"/>
      <c r="BW42" s="2346"/>
      <c r="BX42" s="937"/>
    </row>
    <row r="43" spans="1:76" ht="27.95" hidden="1" customHeight="1" outlineLevel="1">
      <c r="B43" s="2340"/>
      <c r="C43" s="2341"/>
      <c r="D43" s="1904"/>
      <c r="E43" s="1905"/>
      <c r="F43" s="1905"/>
      <c r="G43" s="1905"/>
      <c r="H43" s="1905"/>
      <c r="I43" s="1905"/>
      <c r="J43" s="1905"/>
      <c r="K43" s="1905"/>
      <c r="L43" s="1905"/>
      <c r="M43" s="1905"/>
      <c r="N43" s="1906"/>
      <c r="O43" s="2367"/>
      <c r="P43" s="2368"/>
      <c r="Q43" s="2368"/>
      <c r="R43" s="2368"/>
      <c r="S43" s="2368"/>
      <c r="T43" s="2368"/>
      <c r="U43" s="2368"/>
      <c r="V43" s="2369"/>
      <c r="W43" s="1907"/>
      <c r="X43" s="1908"/>
      <c r="Y43" s="1909"/>
      <c r="Z43" s="1942"/>
      <c r="AA43" s="1942"/>
      <c r="AB43" s="1942"/>
      <c r="AC43" s="1942"/>
      <c r="AD43" s="1942"/>
      <c r="AE43" s="1942"/>
      <c r="AF43" s="1942"/>
      <c r="AG43" s="1942"/>
      <c r="AH43" s="1942"/>
      <c r="AI43" s="2346"/>
      <c r="AJ43" s="937"/>
      <c r="AK43" s="938"/>
      <c r="AL43" s="938"/>
      <c r="AM43" s="938"/>
      <c r="AN43" s="938"/>
      <c r="AP43" s="2340"/>
      <c r="AQ43" s="2341"/>
      <c r="AR43" s="1904"/>
      <c r="AS43" s="1905"/>
      <c r="AT43" s="1905"/>
      <c r="AU43" s="1905"/>
      <c r="AV43" s="1905"/>
      <c r="AW43" s="1905"/>
      <c r="AX43" s="1905"/>
      <c r="AY43" s="1905"/>
      <c r="AZ43" s="1905"/>
      <c r="BA43" s="1905"/>
      <c r="BB43" s="1906"/>
      <c r="BC43" s="2370"/>
      <c r="BD43" s="2371"/>
      <c r="BE43" s="2371"/>
      <c r="BF43" s="2371"/>
      <c r="BG43" s="2371"/>
      <c r="BH43" s="2371"/>
      <c r="BI43" s="2371"/>
      <c r="BJ43" s="2372"/>
      <c r="BK43" s="1910"/>
      <c r="BL43" s="1911"/>
      <c r="BM43" s="1912"/>
      <c r="BN43" s="1942"/>
      <c r="BO43" s="1942"/>
      <c r="BP43" s="1942"/>
      <c r="BQ43" s="1942"/>
      <c r="BR43" s="1942"/>
      <c r="BS43" s="1942"/>
      <c r="BT43" s="1942"/>
      <c r="BU43" s="1942"/>
      <c r="BV43" s="1942"/>
      <c r="BW43" s="2346"/>
      <c r="BX43" s="937"/>
    </row>
    <row r="44" spans="1:76" ht="27.95" hidden="1" customHeight="1" outlineLevel="1">
      <c r="B44" s="2340"/>
      <c r="C44" s="2341"/>
      <c r="D44" s="1904"/>
      <c r="E44" s="1905"/>
      <c r="F44" s="1905"/>
      <c r="G44" s="1905"/>
      <c r="H44" s="1905"/>
      <c r="I44" s="1905"/>
      <c r="J44" s="1905"/>
      <c r="K44" s="1905"/>
      <c r="L44" s="1905"/>
      <c r="M44" s="1905"/>
      <c r="N44" s="1906"/>
      <c r="O44" s="2367"/>
      <c r="P44" s="2368"/>
      <c r="Q44" s="2368"/>
      <c r="R44" s="2368"/>
      <c r="S44" s="2368"/>
      <c r="T44" s="2368"/>
      <c r="U44" s="2368"/>
      <c r="V44" s="2369"/>
      <c r="W44" s="1907"/>
      <c r="X44" s="1908"/>
      <c r="Y44" s="1909"/>
      <c r="Z44" s="1942"/>
      <c r="AA44" s="1942"/>
      <c r="AB44" s="1942"/>
      <c r="AC44" s="1942"/>
      <c r="AD44" s="1942"/>
      <c r="AE44" s="1942"/>
      <c r="AF44" s="1942"/>
      <c r="AG44" s="1942"/>
      <c r="AH44" s="1942"/>
      <c r="AI44" s="2346"/>
      <c r="AJ44" s="937"/>
      <c r="AK44" s="938"/>
      <c r="AL44" s="938"/>
      <c r="AM44" s="938"/>
      <c r="AN44" s="938"/>
      <c r="AP44" s="2340"/>
      <c r="AQ44" s="2341"/>
      <c r="AR44" s="1904"/>
      <c r="AS44" s="1905"/>
      <c r="AT44" s="1905"/>
      <c r="AU44" s="1905"/>
      <c r="AV44" s="1905"/>
      <c r="AW44" s="1905"/>
      <c r="AX44" s="1905"/>
      <c r="AY44" s="1905"/>
      <c r="AZ44" s="1905"/>
      <c r="BA44" s="1905"/>
      <c r="BB44" s="1906"/>
      <c r="BC44" s="2370"/>
      <c r="BD44" s="2371"/>
      <c r="BE44" s="2371"/>
      <c r="BF44" s="2371"/>
      <c r="BG44" s="2371"/>
      <c r="BH44" s="2371"/>
      <c r="BI44" s="2371"/>
      <c r="BJ44" s="2372"/>
      <c r="BK44" s="1910"/>
      <c r="BL44" s="1911"/>
      <c r="BM44" s="1912"/>
      <c r="BN44" s="1942"/>
      <c r="BO44" s="1942"/>
      <c r="BP44" s="1942"/>
      <c r="BQ44" s="1942"/>
      <c r="BR44" s="1942"/>
      <c r="BS44" s="1942"/>
      <c r="BT44" s="1942"/>
      <c r="BU44" s="1942"/>
      <c r="BV44" s="1942"/>
      <c r="BW44" s="2346"/>
      <c r="BX44" s="937"/>
    </row>
    <row r="45" spans="1:76" ht="27.95" hidden="1" customHeight="1" outlineLevel="1">
      <c r="B45" s="2340"/>
      <c r="C45" s="2341"/>
      <c r="D45" s="1904"/>
      <c r="E45" s="1905"/>
      <c r="F45" s="1905"/>
      <c r="G45" s="1905"/>
      <c r="H45" s="1905"/>
      <c r="I45" s="1905"/>
      <c r="J45" s="1905"/>
      <c r="K45" s="1905"/>
      <c r="L45" s="1905"/>
      <c r="M45" s="1905"/>
      <c r="N45" s="1906"/>
      <c r="O45" s="2367"/>
      <c r="P45" s="2368"/>
      <c r="Q45" s="2368"/>
      <c r="R45" s="2368"/>
      <c r="S45" s="2368"/>
      <c r="T45" s="2368"/>
      <c r="U45" s="2368"/>
      <c r="V45" s="2369"/>
      <c r="W45" s="1907"/>
      <c r="X45" s="1908"/>
      <c r="Y45" s="1909"/>
      <c r="Z45" s="1942"/>
      <c r="AA45" s="1942"/>
      <c r="AB45" s="1942"/>
      <c r="AC45" s="1942"/>
      <c r="AD45" s="1942"/>
      <c r="AE45" s="1942"/>
      <c r="AF45" s="1942"/>
      <c r="AG45" s="1942"/>
      <c r="AH45" s="1942"/>
      <c r="AI45" s="2346"/>
      <c r="AJ45" s="937"/>
      <c r="AK45" s="938"/>
      <c r="AL45" s="938"/>
      <c r="AM45" s="938"/>
      <c r="AN45" s="938"/>
      <c r="AP45" s="2340"/>
      <c r="AQ45" s="2341"/>
      <c r="AR45" s="1904"/>
      <c r="AS45" s="1905"/>
      <c r="AT45" s="1905"/>
      <c r="AU45" s="1905"/>
      <c r="AV45" s="1905"/>
      <c r="AW45" s="1905"/>
      <c r="AX45" s="1905"/>
      <c r="AY45" s="1905"/>
      <c r="AZ45" s="1905"/>
      <c r="BA45" s="1905"/>
      <c r="BB45" s="1906"/>
      <c r="BC45" s="2370"/>
      <c r="BD45" s="2371"/>
      <c r="BE45" s="2371"/>
      <c r="BF45" s="2371"/>
      <c r="BG45" s="2371"/>
      <c r="BH45" s="2371"/>
      <c r="BI45" s="2371"/>
      <c r="BJ45" s="2372"/>
      <c r="BK45" s="1910"/>
      <c r="BL45" s="1911"/>
      <c r="BM45" s="1912"/>
      <c r="BN45" s="1942"/>
      <c r="BO45" s="1942"/>
      <c r="BP45" s="1942"/>
      <c r="BQ45" s="1942"/>
      <c r="BR45" s="1942"/>
      <c r="BS45" s="1942"/>
      <c r="BT45" s="1942"/>
      <c r="BU45" s="1942"/>
      <c r="BV45" s="1942"/>
      <c r="BW45" s="2346"/>
      <c r="BX45" s="937"/>
    </row>
    <row r="46" spans="1:76" ht="27.95" hidden="1" customHeight="1" outlineLevel="1">
      <c r="B46" s="2340"/>
      <c r="C46" s="2341"/>
      <c r="D46" s="1904"/>
      <c r="E46" s="1905"/>
      <c r="F46" s="1905"/>
      <c r="G46" s="1905"/>
      <c r="H46" s="1905"/>
      <c r="I46" s="1905"/>
      <c r="J46" s="1905"/>
      <c r="K46" s="1905"/>
      <c r="L46" s="1905"/>
      <c r="M46" s="1905"/>
      <c r="N46" s="1906"/>
      <c r="O46" s="2367"/>
      <c r="P46" s="2368"/>
      <c r="Q46" s="2368"/>
      <c r="R46" s="2368"/>
      <c r="S46" s="2368"/>
      <c r="T46" s="2368"/>
      <c r="U46" s="2368"/>
      <c r="V46" s="2369"/>
      <c r="W46" s="1907"/>
      <c r="X46" s="1908"/>
      <c r="Y46" s="1909"/>
      <c r="Z46" s="1942"/>
      <c r="AA46" s="1942"/>
      <c r="AB46" s="1942"/>
      <c r="AC46" s="1942"/>
      <c r="AD46" s="1942"/>
      <c r="AE46" s="1942"/>
      <c r="AF46" s="1942"/>
      <c r="AG46" s="1942"/>
      <c r="AH46" s="1942"/>
      <c r="AI46" s="2346"/>
      <c r="AJ46" s="937"/>
      <c r="AK46" s="938"/>
      <c r="AL46" s="938"/>
      <c r="AM46" s="938"/>
      <c r="AN46" s="938"/>
      <c r="AP46" s="2340"/>
      <c r="AQ46" s="2341"/>
      <c r="AR46" s="1904"/>
      <c r="AS46" s="1905"/>
      <c r="AT46" s="1905"/>
      <c r="AU46" s="1905"/>
      <c r="AV46" s="1905"/>
      <c r="AW46" s="1905"/>
      <c r="AX46" s="1905"/>
      <c r="AY46" s="1905"/>
      <c r="AZ46" s="1905"/>
      <c r="BA46" s="1905"/>
      <c r="BB46" s="1906"/>
      <c r="BC46" s="2370"/>
      <c r="BD46" s="2371"/>
      <c r="BE46" s="2371"/>
      <c r="BF46" s="2371"/>
      <c r="BG46" s="2371"/>
      <c r="BH46" s="2371"/>
      <c r="BI46" s="2371"/>
      <c r="BJ46" s="2372"/>
      <c r="BK46" s="1910"/>
      <c r="BL46" s="1911"/>
      <c r="BM46" s="1912"/>
      <c r="BN46" s="1942"/>
      <c r="BO46" s="1942"/>
      <c r="BP46" s="1942"/>
      <c r="BQ46" s="1942"/>
      <c r="BR46" s="1942"/>
      <c r="BS46" s="1942"/>
      <c r="BT46" s="1942"/>
      <c r="BU46" s="1942"/>
      <c r="BV46" s="1942"/>
      <c r="BW46" s="2346"/>
      <c r="BX46" s="937"/>
    </row>
    <row r="47" spans="1:76" ht="27.95" hidden="1" customHeight="1" outlineLevel="1">
      <c r="B47" s="2340"/>
      <c r="C47" s="2341"/>
      <c r="D47" s="1904"/>
      <c r="E47" s="1905"/>
      <c r="F47" s="1905"/>
      <c r="G47" s="1905"/>
      <c r="H47" s="1905"/>
      <c r="I47" s="1905"/>
      <c r="J47" s="1905"/>
      <c r="K47" s="1905"/>
      <c r="L47" s="1905"/>
      <c r="M47" s="1905"/>
      <c r="N47" s="1906"/>
      <c r="O47" s="2367"/>
      <c r="P47" s="2368"/>
      <c r="Q47" s="2368"/>
      <c r="R47" s="2368"/>
      <c r="S47" s="2368"/>
      <c r="T47" s="2368"/>
      <c r="U47" s="2368"/>
      <c r="V47" s="2369"/>
      <c r="W47" s="1907"/>
      <c r="X47" s="1908"/>
      <c r="Y47" s="1909"/>
      <c r="Z47" s="1942"/>
      <c r="AA47" s="1942"/>
      <c r="AB47" s="1942"/>
      <c r="AC47" s="1942"/>
      <c r="AD47" s="1942"/>
      <c r="AE47" s="1942"/>
      <c r="AF47" s="1942"/>
      <c r="AG47" s="1942"/>
      <c r="AH47" s="1942"/>
      <c r="AI47" s="2346"/>
      <c r="AJ47" s="937"/>
      <c r="AK47" s="938"/>
      <c r="AL47" s="938"/>
      <c r="AM47" s="938"/>
      <c r="AN47" s="938"/>
      <c r="AP47" s="2340"/>
      <c r="AQ47" s="2341"/>
      <c r="AR47" s="1904"/>
      <c r="AS47" s="1905"/>
      <c r="AT47" s="1905"/>
      <c r="AU47" s="1905"/>
      <c r="AV47" s="1905"/>
      <c r="AW47" s="1905"/>
      <c r="AX47" s="1905"/>
      <c r="AY47" s="1905"/>
      <c r="AZ47" s="1905"/>
      <c r="BA47" s="1905"/>
      <c r="BB47" s="1906"/>
      <c r="BC47" s="2370"/>
      <c r="BD47" s="2371"/>
      <c r="BE47" s="2371"/>
      <c r="BF47" s="2371"/>
      <c r="BG47" s="2371"/>
      <c r="BH47" s="2371"/>
      <c r="BI47" s="2371"/>
      <c r="BJ47" s="2372"/>
      <c r="BK47" s="1910"/>
      <c r="BL47" s="1911"/>
      <c r="BM47" s="1912"/>
      <c r="BN47" s="1942"/>
      <c r="BO47" s="1942"/>
      <c r="BP47" s="1942"/>
      <c r="BQ47" s="1942"/>
      <c r="BR47" s="1942"/>
      <c r="BS47" s="1942"/>
      <c r="BT47" s="1942"/>
      <c r="BU47" s="1942"/>
      <c r="BV47" s="1942"/>
      <c r="BW47" s="2346"/>
      <c r="BX47" s="937"/>
    </row>
    <row r="48" spans="1:76" ht="27.95" hidden="1" customHeight="1" outlineLevel="1">
      <c r="B48" s="2340"/>
      <c r="C48" s="2341"/>
      <c r="D48" s="1904"/>
      <c r="E48" s="1905"/>
      <c r="F48" s="1905"/>
      <c r="G48" s="1905"/>
      <c r="H48" s="1905"/>
      <c r="I48" s="1905"/>
      <c r="J48" s="1905"/>
      <c r="K48" s="1905"/>
      <c r="L48" s="1905"/>
      <c r="M48" s="1905"/>
      <c r="N48" s="1906"/>
      <c r="O48" s="2367"/>
      <c r="P48" s="2368"/>
      <c r="Q48" s="2368"/>
      <c r="R48" s="2368"/>
      <c r="S48" s="2368"/>
      <c r="T48" s="2368"/>
      <c r="U48" s="2368"/>
      <c r="V48" s="2369"/>
      <c r="W48" s="1907"/>
      <c r="X48" s="1908"/>
      <c r="Y48" s="1909"/>
      <c r="Z48" s="1942"/>
      <c r="AA48" s="1942"/>
      <c r="AB48" s="1942"/>
      <c r="AC48" s="1942"/>
      <c r="AD48" s="1942"/>
      <c r="AE48" s="1942"/>
      <c r="AF48" s="1942"/>
      <c r="AG48" s="1942"/>
      <c r="AH48" s="1942"/>
      <c r="AI48" s="2346"/>
      <c r="AJ48" s="937"/>
      <c r="AK48" s="938"/>
      <c r="AL48" s="938"/>
      <c r="AM48" s="938"/>
      <c r="AN48" s="938"/>
      <c r="AP48" s="2340"/>
      <c r="AQ48" s="2341"/>
      <c r="AR48" s="1904"/>
      <c r="AS48" s="1905"/>
      <c r="AT48" s="1905"/>
      <c r="AU48" s="1905"/>
      <c r="AV48" s="1905"/>
      <c r="AW48" s="1905"/>
      <c r="AX48" s="1905"/>
      <c r="AY48" s="1905"/>
      <c r="AZ48" s="1905"/>
      <c r="BA48" s="1905"/>
      <c r="BB48" s="1906"/>
      <c r="BC48" s="2370"/>
      <c r="BD48" s="2371"/>
      <c r="BE48" s="2371"/>
      <c r="BF48" s="2371"/>
      <c r="BG48" s="2371"/>
      <c r="BH48" s="2371"/>
      <c r="BI48" s="2371"/>
      <c r="BJ48" s="2372"/>
      <c r="BK48" s="1910"/>
      <c r="BL48" s="1911"/>
      <c r="BM48" s="1912"/>
      <c r="BN48" s="1942"/>
      <c r="BO48" s="1942"/>
      <c r="BP48" s="1942"/>
      <c r="BQ48" s="1942"/>
      <c r="BR48" s="1942"/>
      <c r="BS48" s="1942"/>
      <c r="BT48" s="1942"/>
      <c r="BU48" s="1942"/>
      <c r="BV48" s="1942"/>
      <c r="BW48" s="2346"/>
      <c r="BX48" s="937"/>
    </row>
    <row r="49" spans="1:76" ht="27.95" hidden="1" customHeight="1" outlineLevel="1">
      <c r="B49" s="2340"/>
      <c r="C49" s="2341"/>
      <c r="D49" s="1904"/>
      <c r="E49" s="1905"/>
      <c r="F49" s="1905"/>
      <c r="G49" s="1905"/>
      <c r="H49" s="1905"/>
      <c r="I49" s="1905"/>
      <c r="J49" s="1905"/>
      <c r="K49" s="1905"/>
      <c r="L49" s="1905"/>
      <c r="M49" s="1905"/>
      <c r="N49" s="1906"/>
      <c r="O49" s="2367"/>
      <c r="P49" s="2368"/>
      <c r="Q49" s="2368"/>
      <c r="R49" s="2368"/>
      <c r="S49" s="2368"/>
      <c r="T49" s="2368"/>
      <c r="U49" s="2368"/>
      <c r="V49" s="2369"/>
      <c r="W49" s="1907"/>
      <c r="X49" s="1908"/>
      <c r="Y49" s="1909"/>
      <c r="Z49" s="1942"/>
      <c r="AA49" s="1942"/>
      <c r="AB49" s="1942"/>
      <c r="AC49" s="1942"/>
      <c r="AD49" s="1942"/>
      <c r="AE49" s="1942"/>
      <c r="AF49" s="1942"/>
      <c r="AG49" s="1942"/>
      <c r="AH49" s="1942"/>
      <c r="AI49" s="2346"/>
      <c r="AJ49" s="937"/>
      <c r="AK49" s="938"/>
      <c r="AL49" s="938"/>
      <c r="AM49" s="938"/>
      <c r="AN49" s="938"/>
      <c r="AP49" s="2340"/>
      <c r="AQ49" s="2341"/>
      <c r="AR49" s="1904"/>
      <c r="AS49" s="1905"/>
      <c r="AT49" s="1905"/>
      <c r="AU49" s="1905"/>
      <c r="AV49" s="1905"/>
      <c r="AW49" s="1905"/>
      <c r="AX49" s="1905"/>
      <c r="AY49" s="1905"/>
      <c r="AZ49" s="1905"/>
      <c r="BA49" s="1905"/>
      <c r="BB49" s="1906"/>
      <c r="BC49" s="2370"/>
      <c r="BD49" s="2371"/>
      <c r="BE49" s="2371"/>
      <c r="BF49" s="2371"/>
      <c r="BG49" s="2371"/>
      <c r="BH49" s="2371"/>
      <c r="BI49" s="2371"/>
      <c r="BJ49" s="2372"/>
      <c r="BK49" s="1910"/>
      <c r="BL49" s="1911"/>
      <c r="BM49" s="1912"/>
      <c r="BN49" s="1942"/>
      <c r="BO49" s="1942"/>
      <c r="BP49" s="1942"/>
      <c r="BQ49" s="1942"/>
      <c r="BR49" s="1942"/>
      <c r="BS49" s="1942"/>
      <c r="BT49" s="1942"/>
      <c r="BU49" s="1942"/>
      <c r="BV49" s="1942"/>
      <c r="BW49" s="2346"/>
      <c r="BX49" s="937"/>
    </row>
    <row r="50" spans="1:76" ht="27.95" hidden="1" customHeight="1" outlineLevel="1">
      <c r="B50" s="2340"/>
      <c r="C50" s="2341"/>
      <c r="D50" s="1904"/>
      <c r="E50" s="1905"/>
      <c r="F50" s="1905"/>
      <c r="G50" s="1905"/>
      <c r="H50" s="1905"/>
      <c r="I50" s="1905"/>
      <c r="J50" s="1905"/>
      <c r="K50" s="1905"/>
      <c r="L50" s="1905"/>
      <c r="M50" s="1905"/>
      <c r="N50" s="1906"/>
      <c r="O50" s="2367"/>
      <c r="P50" s="2368"/>
      <c r="Q50" s="2368"/>
      <c r="R50" s="2368"/>
      <c r="S50" s="2368"/>
      <c r="T50" s="2368"/>
      <c r="U50" s="2368"/>
      <c r="V50" s="2369"/>
      <c r="W50" s="1907"/>
      <c r="X50" s="1908"/>
      <c r="Y50" s="1909"/>
      <c r="Z50" s="1942"/>
      <c r="AA50" s="1942"/>
      <c r="AB50" s="1942"/>
      <c r="AC50" s="1942"/>
      <c r="AD50" s="1942"/>
      <c r="AE50" s="1942"/>
      <c r="AF50" s="1942"/>
      <c r="AG50" s="1942"/>
      <c r="AH50" s="1942"/>
      <c r="AI50" s="2346"/>
      <c r="AJ50" s="937"/>
      <c r="AK50" s="938"/>
      <c r="AL50" s="938"/>
      <c r="AM50" s="938"/>
      <c r="AN50" s="938"/>
      <c r="AP50" s="2340"/>
      <c r="AQ50" s="2341"/>
      <c r="AR50" s="1904"/>
      <c r="AS50" s="1905"/>
      <c r="AT50" s="1905"/>
      <c r="AU50" s="1905"/>
      <c r="AV50" s="1905"/>
      <c r="AW50" s="1905"/>
      <c r="AX50" s="1905"/>
      <c r="AY50" s="1905"/>
      <c r="AZ50" s="1905"/>
      <c r="BA50" s="1905"/>
      <c r="BB50" s="1906"/>
      <c r="BC50" s="2370"/>
      <c r="BD50" s="2371"/>
      <c r="BE50" s="2371"/>
      <c r="BF50" s="2371"/>
      <c r="BG50" s="2371"/>
      <c r="BH50" s="2371"/>
      <c r="BI50" s="2371"/>
      <c r="BJ50" s="2372"/>
      <c r="BK50" s="1910"/>
      <c r="BL50" s="1911"/>
      <c r="BM50" s="1912"/>
      <c r="BN50" s="1942"/>
      <c r="BO50" s="1942"/>
      <c r="BP50" s="1942"/>
      <c r="BQ50" s="1942"/>
      <c r="BR50" s="1942"/>
      <c r="BS50" s="1942"/>
      <c r="BT50" s="1942"/>
      <c r="BU50" s="1942"/>
      <c r="BV50" s="1942"/>
      <c r="BW50" s="2346"/>
      <c r="BX50" s="937"/>
    </row>
    <row r="51" spans="1:76" ht="27.95" hidden="1" customHeight="1" outlineLevel="1">
      <c r="B51" s="2340"/>
      <c r="C51" s="2341"/>
      <c r="D51" s="1904"/>
      <c r="E51" s="1905"/>
      <c r="F51" s="1905"/>
      <c r="G51" s="1905"/>
      <c r="H51" s="1905"/>
      <c r="I51" s="1905"/>
      <c r="J51" s="1905"/>
      <c r="K51" s="1905"/>
      <c r="L51" s="1905"/>
      <c r="M51" s="1905"/>
      <c r="N51" s="1906"/>
      <c r="O51" s="2367"/>
      <c r="P51" s="2368"/>
      <c r="Q51" s="2368"/>
      <c r="R51" s="2368"/>
      <c r="S51" s="2368"/>
      <c r="T51" s="2368"/>
      <c r="U51" s="2368"/>
      <c r="V51" s="2369"/>
      <c r="W51" s="1907"/>
      <c r="X51" s="1908"/>
      <c r="Y51" s="1909"/>
      <c r="Z51" s="1942"/>
      <c r="AA51" s="1942"/>
      <c r="AB51" s="1942"/>
      <c r="AC51" s="1942"/>
      <c r="AD51" s="1942"/>
      <c r="AE51" s="1942"/>
      <c r="AF51" s="1942"/>
      <c r="AG51" s="1942"/>
      <c r="AH51" s="1942"/>
      <c r="AI51" s="2346"/>
      <c r="AJ51" s="937"/>
      <c r="AK51" s="938"/>
      <c r="AL51" s="938"/>
      <c r="AM51" s="938"/>
      <c r="AN51" s="938"/>
      <c r="AP51" s="2340"/>
      <c r="AQ51" s="2341"/>
      <c r="AR51" s="1904"/>
      <c r="AS51" s="1905"/>
      <c r="AT51" s="1905"/>
      <c r="AU51" s="1905"/>
      <c r="AV51" s="1905"/>
      <c r="AW51" s="1905"/>
      <c r="AX51" s="1905"/>
      <c r="AY51" s="1905"/>
      <c r="AZ51" s="1905"/>
      <c r="BA51" s="1905"/>
      <c r="BB51" s="1906"/>
      <c r="BC51" s="2370"/>
      <c r="BD51" s="2371"/>
      <c r="BE51" s="2371"/>
      <c r="BF51" s="2371"/>
      <c r="BG51" s="2371"/>
      <c r="BH51" s="2371"/>
      <c r="BI51" s="2371"/>
      <c r="BJ51" s="2372"/>
      <c r="BK51" s="1910"/>
      <c r="BL51" s="1911"/>
      <c r="BM51" s="1912"/>
      <c r="BN51" s="1942"/>
      <c r="BO51" s="1942"/>
      <c r="BP51" s="1942"/>
      <c r="BQ51" s="1942"/>
      <c r="BR51" s="1942"/>
      <c r="BS51" s="1942"/>
      <c r="BT51" s="1942"/>
      <c r="BU51" s="1942"/>
      <c r="BV51" s="1942"/>
      <c r="BW51" s="2346"/>
      <c r="BX51" s="937"/>
    </row>
    <row r="52" spans="1:76" ht="27.95" hidden="1" customHeight="1" outlineLevel="1">
      <c r="B52" s="2340"/>
      <c r="C52" s="2341"/>
      <c r="D52" s="1904"/>
      <c r="E52" s="1905"/>
      <c r="F52" s="1905"/>
      <c r="G52" s="1905"/>
      <c r="H52" s="1905"/>
      <c r="I52" s="1905"/>
      <c r="J52" s="1905"/>
      <c r="K52" s="1905"/>
      <c r="L52" s="1905"/>
      <c r="M52" s="1905"/>
      <c r="N52" s="1906"/>
      <c r="O52" s="2367"/>
      <c r="P52" s="2368"/>
      <c r="Q52" s="2368"/>
      <c r="R52" s="2368"/>
      <c r="S52" s="2368"/>
      <c r="T52" s="2368"/>
      <c r="U52" s="2368"/>
      <c r="V52" s="2369"/>
      <c r="W52" s="1907"/>
      <c r="X52" s="1908"/>
      <c r="Y52" s="1909"/>
      <c r="Z52" s="1942"/>
      <c r="AA52" s="1942"/>
      <c r="AB52" s="1942"/>
      <c r="AC52" s="1942"/>
      <c r="AD52" s="1942"/>
      <c r="AE52" s="1942"/>
      <c r="AF52" s="1942"/>
      <c r="AG52" s="1942"/>
      <c r="AH52" s="1942"/>
      <c r="AI52" s="2346"/>
      <c r="AJ52" s="937"/>
      <c r="AK52" s="938"/>
      <c r="AL52" s="938"/>
      <c r="AM52" s="938"/>
      <c r="AN52" s="938"/>
      <c r="AP52" s="2340"/>
      <c r="AQ52" s="2341"/>
      <c r="AR52" s="1904"/>
      <c r="AS52" s="1905"/>
      <c r="AT52" s="1905"/>
      <c r="AU52" s="1905"/>
      <c r="AV52" s="1905"/>
      <c r="AW52" s="1905"/>
      <c r="AX52" s="1905"/>
      <c r="AY52" s="1905"/>
      <c r="AZ52" s="1905"/>
      <c r="BA52" s="1905"/>
      <c r="BB52" s="1906"/>
      <c r="BC52" s="2370"/>
      <c r="BD52" s="2371"/>
      <c r="BE52" s="2371"/>
      <c r="BF52" s="2371"/>
      <c r="BG52" s="2371"/>
      <c r="BH52" s="2371"/>
      <c r="BI52" s="2371"/>
      <c r="BJ52" s="2372"/>
      <c r="BK52" s="1910"/>
      <c r="BL52" s="1911"/>
      <c r="BM52" s="1912"/>
      <c r="BN52" s="1942"/>
      <c r="BO52" s="1942"/>
      <c r="BP52" s="1942"/>
      <c r="BQ52" s="1942"/>
      <c r="BR52" s="1942"/>
      <c r="BS52" s="1942"/>
      <c r="BT52" s="1942"/>
      <c r="BU52" s="1942"/>
      <c r="BV52" s="1942"/>
      <c r="BW52" s="2346"/>
      <c r="BX52" s="937"/>
    </row>
    <row r="53" spans="1:76" ht="27.95" hidden="1" customHeight="1" outlineLevel="1">
      <c r="B53" s="2340"/>
      <c r="C53" s="2341"/>
      <c r="D53" s="1904"/>
      <c r="E53" s="1905"/>
      <c r="F53" s="1905"/>
      <c r="G53" s="1905"/>
      <c r="H53" s="1905"/>
      <c r="I53" s="1905"/>
      <c r="J53" s="1905"/>
      <c r="K53" s="1905"/>
      <c r="L53" s="1905"/>
      <c r="M53" s="1905"/>
      <c r="N53" s="1906"/>
      <c r="O53" s="2367"/>
      <c r="P53" s="2368"/>
      <c r="Q53" s="2368"/>
      <c r="R53" s="2368"/>
      <c r="S53" s="2368"/>
      <c r="T53" s="2368"/>
      <c r="U53" s="2368"/>
      <c r="V53" s="2369"/>
      <c r="W53" s="1907"/>
      <c r="X53" s="1908"/>
      <c r="Y53" s="1909"/>
      <c r="Z53" s="1942"/>
      <c r="AA53" s="1942"/>
      <c r="AB53" s="1942"/>
      <c r="AC53" s="1942"/>
      <c r="AD53" s="1942"/>
      <c r="AE53" s="1942"/>
      <c r="AF53" s="1942"/>
      <c r="AG53" s="1942"/>
      <c r="AH53" s="1942"/>
      <c r="AI53" s="2346"/>
      <c r="AJ53" s="937"/>
      <c r="AK53" s="938"/>
      <c r="AL53" s="938"/>
      <c r="AM53" s="938"/>
      <c r="AN53" s="938"/>
      <c r="AP53" s="2340"/>
      <c r="AQ53" s="2341"/>
      <c r="AR53" s="1904"/>
      <c r="AS53" s="1905"/>
      <c r="AT53" s="1905"/>
      <c r="AU53" s="1905"/>
      <c r="AV53" s="1905"/>
      <c r="AW53" s="1905"/>
      <c r="AX53" s="1905"/>
      <c r="AY53" s="1905"/>
      <c r="AZ53" s="1905"/>
      <c r="BA53" s="1905"/>
      <c r="BB53" s="1906"/>
      <c r="BC53" s="2370"/>
      <c r="BD53" s="2371"/>
      <c r="BE53" s="2371"/>
      <c r="BF53" s="2371"/>
      <c r="BG53" s="2371"/>
      <c r="BH53" s="2371"/>
      <c r="BI53" s="2371"/>
      <c r="BJ53" s="2372"/>
      <c r="BK53" s="1910"/>
      <c r="BL53" s="1911"/>
      <c r="BM53" s="1912"/>
      <c r="BN53" s="1942"/>
      <c r="BO53" s="1942"/>
      <c r="BP53" s="1942"/>
      <c r="BQ53" s="1942"/>
      <c r="BR53" s="1942"/>
      <c r="BS53" s="1942"/>
      <c r="BT53" s="1942"/>
      <c r="BU53" s="1942"/>
      <c r="BV53" s="1942"/>
      <c r="BW53" s="2346"/>
      <c r="BX53" s="937"/>
    </row>
    <row r="54" spans="1:76" ht="27.95" hidden="1" customHeight="1" outlineLevel="1">
      <c r="B54" s="2340"/>
      <c r="C54" s="2341"/>
      <c r="D54" s="1904"/>
      <c r="E54" s="1905"/>
      <c r="F54" s="1905"/>
      <c r="G54" s="1905"/>
      <c r="H54" s="1905"/>
      <c r="I54" s="1905"/>
      <c r="J54" s="1905"/>
      <c r="K54" s="1905"/>
      <c r="L54" s="1905"/>
      <c r="M54" s="1905"/>
      <c r="N54" s="1906"/>
      <c r="O54" s="2367"/>
      <c r="P54" s="2368"/>
      <c r="Q54" s="2368"/>
      <c r="R54" s="2368"/>
      <c r="S54" s="2368"/>
      <c r="T54" s="2368"/>
      <c r="U54" s="2368"/>
      <c r="V54" s="2369"/>
      <c r="W54" s="1907"/>
      <c r="X54" s="1908"/>
      <c r="Y54" s="1909"/>
      <c r="Z54" s="1942"/>
      <c r="AA54" s="1942"/>
      <c r="AB54" s="1942"/>
      <c r="AC54" s="1942"/>
      <c r="AD54" s="1942"/>
      <c r="AE54" s="1942"/>
      <c r="AF54" s="1942"/>
      <c r="AG54" s="1942"/>
      <c r="AH54" s="1942"/>
      <c r="AI54" s="2346"/>
      <c r="AJ54" s="937"/>
      <c r="AK54" s="938"/>
      <c r="AL54" s="938"/>
      <c r="AM54" s="938"/>
      <c r="AN54" s="938"/>
      <c r="AP54" s="2340"/>
      <c r="AQ54" s="2341"/>
      <c r="AR54" s="1904"/>
      <c r="AS54" s="1905"/>
      <c r="AT54" s="1905"/>
      <c r="AU54" s="1905"/>
      <c r="AV54" s="1905"/>
      <c r="AW54" s="1905"/>
      <c r="AX54" s="1905"/>
      <c r="AY54" s="1905"/>
      <c r="AZ54" s="1905"/>
      <c r="BA54" s="1905"/>
      <c r="BB54" s="1906"/>
      <c r="BC54" s="2370"/>
      <c r="BD54" s="2371"/>
      <c r="BE54" s="2371"/>
      <c r="BF54" s="2371"/>
      <c r="BG54" s="2371"/>
      <c r="BH54" s="2371"/>
      <c r="BI54" s="2371"/>
      <c r="BJ54" s="2372"/>
      <c r="BK54" s="1910"/>
      <c r="BL54" s="1911"/>
      <c r="BM54" s="1912"/>
      <c r="BN54" s="1942"/>
      <c r="BO54" s="1942"/>
      <c r="BP54" s="1942"/>
      <c r="BQ54" s="1942"/>
      <c r="BR54" s="1942"/>
      <c r="BS54" s="1942"/>
      <c r="BT54" s="1942"/>
      <c r="BU54" s="1942"/>
      <c r="BV54" s="1942"/>
      <c r="BW54" s="2346"/>
      <c r="BX54" s="937"/>
    </row>
    <row r="55" spans="1:76" ht="27.95" hidden="1" customHeight="1" outlineLevel="1">
      <c r="B55" s="2340"/>
      <c r="C55" s="2341"/>
      <c r="D55" s="1904"/>
      <c r="E55" s="1905"/>
      <c r="F55" s="1905"/>
      <c r="G55" s="1905"/>
      <c r="H55" s="1905"/>
      <c r="I55" s="1905"/>
      <c r="J55" s="1905"/>
      <c r="K55" s="1905"/>
      <c r="L55" s="1905"/>
      <c r="M55" s="1905"/>
      <c r="N55" s="1906"/>
      <c r="O55" s="2367"/>
      <c r="P55" s="2368"/>
      <c r="Q55" s="2368"/>
      <c r="R55" s="2368"/>
      <c r="S55" s="2368"/>
      <c r="T55" s="2368"/>
      <c r="U55" s="2368"/>
      <c r="V55" s="2369"/>
      <c r="W55" s="1907"/>
      <c r="X55" s="1908"/>
      <c r="Y55" s="1909"/>
      <c r="Z55" s="1942"/>
      <c r="AA55" s="1942"/>
      <c r="AB55" s="1942"/>
      <c r="AC55" s="1942"/>
      <c r="AD55" s="1942"/>
      <c r="AE55" s="1942"/>
      <c r="AF55" s="1942"/>
      <c r="AG55" s="1942"/>
      <c r="AH55" s="1942"/>
      <c r="AI55" s="2346"/>
      <c r="AJ55" s="937"/>
      <c r="AK55" s="938"/>
      <c r="AL55" s="938"/>
      <c r="AM55" s="938"/>
      <c r="AN55" s="938"/>
      <c r="AP55" s="2340"/>
      <c r="AQ55" s="2341"/>
      <c r="AR55" s="1904"/>
      <c r="AS55" s="1905"/>
      <c r="AT55" s="1905"/>
      <c r="AU55" s="1905"/>
      <c r="AV55" s="1905"/>
      <c r="AW55" s="1905"/>
      <c r="AX55" s="1905"/>
      <c r="AY55" s="1905"/>
      <c r="AZ55" s="1905"/>
      <c r="BA55" s="1905"/>
      <c r="BB55" s="1906"/>
      <c r="BC55" s="2370"/>
      <c r="BD55" s="2371"/>
      <c r="BE55" s="2371"/>
      <c r="BF55" s="2371"/>
      <c r="BG55" s="2371"/>
      <c r="BH55" s="2371"/>
      <c r="BI55" s="2371"/>
      <c r="BJ55" s="2372"/>
      <c r="BK55" s="1910"/>
      <c r="BL55" s="1911"/>
      <c r="BM55" s="1912"/>
      <c r="BN55" s="1942"/>
      <c r="BO55" s="1942"/>
      <c r="BP55" s="1942"/>
      <c r="BQ55" s="1942"/>
      <c r="BR55" s="1942"/>
      <c r="BS55" s="1942"/>
      <c r="BT55" s="1942"/>
      <c r="BU55" s="1942"/>
      <c r="BV55" s="1942"/>
      <c r="BW55" s="2346"/>
      <c r="BX55" s="937"/>
    </row>
    <row r="56" spans="1:76" ht="27.95" hidden="1" customHeight="1" outlineLevel="1">
      <c r="B56" s="2340"/>
      <c r="C56" s="2341"/>
      <c r="D56" s="1904"/>
      <c r="E56" s="1905"/>
      <c r="F56" s="1905"/>
      <c r="G56" s="1905"/>
      <c r="H56" s="1905"/>
      <c r="I56" s="1905"/>
      <c r="J56" s="1905"/>
      <c r="K56" s="1905"/>
      <c r="L56" s="1905"/>
      <c r="M56" s="1905"/>
      <c r="N56" s="1906"/>
      <c r="O56" s="2367"/>
      <c r="P56" s="2368"/>
      <c r="Q56" s="2368"/>
      <c r="R56" s="2368"/>
      <c r="S56" s="2368"/>
      <c r="T56" s="2368"/>
      <c r="U56" s="2368"/>
      <c r="V56" s="2369"/>
      <c r="W56" s="1907"/>
      <c r="X56" s="1908"/>
      <c r="Y56" s="1909"/>
      <c r="Z56" s="1942"/>
      <c r="AA56" s="1942"/>
      <c r="AB56" s="1942"/>
      <c r="AC56" s="1942"/>
      <c r="AD56" s="1942"/>
      <c r="AE56" s="1942"/>
      <c r="AF56" s="1942"/>
      <c r="AG56" s="1942"/>
      <c r="AH56" s="1942"/>
      <c r="AI56" s="2346"/>
      <c r="AJ56" s="937"/>
      <c r="AK56" s="938"/>
      <c r="AL56" s="938"/>
      <c r="AM56" s="938"/>
      <c r="AN56" s="938"/>
      <c r="AP56" s="2340"/>
      <c r="AQ56" s="2341"/>
      <c r="AR56" s="1904"/>
      <c r="AS56" s="1905"/>
      <c r="AT56" s="1905"/>
      <c r="AU56" s="1905"/>
      <c r="AV56" s="1905"/>
      <c r="AW56" s="1905"/>
      <c r="AX56" s="1905"/>
      <c r="AY56" s="1905"/>
      <c r="AZ56" s="1905"/>
      <c r="BA56" s="1905"/>
      <c r="BB56" s="1906"/>
      <c r="BC56" s="2370"/>
      <c r="BD56" s="2371"/>
      <c r="BE56" s="2371"/>
      <c r="BF56" s="2371"/>
      <c r="BG56" s="2371"/>
      <c r="BH56" s="2371"/>
      <c r="BI56" s="2371"/>
      <c r="BJ56" s="2372"/>
      <c r="BK56" s="1910"/>
      <c r="BL56" s="1911"/>
      <c r="BM56" s="1912"/>
      <c r="BN56" s="1942"/>
      <c r="BO56" s="1942"/>
      <c r="BP56" s="1942"/>
      <c r="BQ56" s="1942"/>
      <c r="BR56" s="1942"/>
      <c r="BS56" s="1942"/>
      <c r="BT56" s="1942"/>
      <c r="BU56" s="1942"/>
      <c r="BV56" s="1942"/>
      <c r="BW56" s="2346"/>
      <c r="BX56" s="937"/>
    </row>
    <row r="57" spans="1:76" ht="27.95" hidden="1" customHeight="1" outlineLevel="1">
      <c r="B57" s="2340"/>
      <c r="C57" s="2341"/>
      <c r="D57" s="1904"/>
      <c r="E57" s="1905"/>
      <c r="F57" s="1905"/>
      <c r="G57" s="1905"/>
      <c r="H57" s="1905"/>
      <c r="I57" s="1905"/>
      <c r="J57" s="1905"/>
      <c r="K57" s="1905"/>
      <c r="L57" s="1905"/>
      <c r="M57" s="1905"/>
      <c r="N57" s="1906"/>
      <c r="O57" s="2367"/>
      <c r="P57" s="2368"/>
      <c r="Q57" s="2368"/>
      <c r="R57" s="2368"/>
      <c r="S57" s="2368"/>
      <c r="T57" s="2368"/>
      <c r="U57" s="2368"/>
      <c r="V57" s="2369"/>
      <c r="W57" s="1907"/>
      <c r="X57" s="1908"/>
      <c r="Y57" s="1909"/>
      <c r="Z57" s="1942"/>
      <c r="AA57" s="1942"/>
      <c r="AB57" s="1942"/>
      <c r="AC57" s="1942"/>
      <c r="AD57" s="1942"/>
      <c r="AE57" s="1942"/>
      <c r="AF57" s="1942"/>
      <c r="AG57" s="1942"/>
      <c r="AH57" s="1942"/>
      <c r="AI57" s="2346"/>
      <c r="AJ57" s="937"/>
      <c r="AK57" s="938"/>
      <c r="AL57" s="938"/>
      <c r="AM57" s="938"/>
      <c r="AN57" s="938"/>
      <c r="AP57" s="2340"/>
      <c r="AQ57" s="2341"/>
      <c r="AR57" s="1904"/>
      <c r="AS57" s="1905"/>
      <c r="AT57" s="1905"/>
      <c r="AU57" s="1905"/>
      <c r="AV57" s="1905"/>
      <c r="AW57" s="1905"/>
      <c r="AX57" s="1905"/>
      <c r="AY57" s="1905"/>
      <c r="AZ57" s="1905"/>
      <c r="BA57" s="1905"/>
      <c r="BB57" s="1906"/>
      <c r="BC57" s="2370"/>
      <c r="BD57" s="2371"/>
      <c r="BE57" s="2371"/>
      <c r="BF57" s="2371"/>
      <c r="BG57" s="2371"/>
      <c r="BH57" s="2371"/>
      <c r="BI57" s="2371"/>
      <c r="BJ57" s="2372"/>
      <c r="BK57" s="1910"/>
      <c r="BL57" s="1911"/>
      <c r="BM57" s="1912"/>
      <c r="BN57" s="1942"/>
      <c r="BO57" s="1942"/>
      <c r="BP57" s="1942"/>
      <c r="BQ57" s="1942"/>
      <c r="BR57" s="1942"/>
      <c r="BS57" s="1942"/>
      <c r="BT57" s="1942"/>
      <c r="BU57" s="1942"/>
      <c r="BV57" s="1942"/>
      <c r="BW57" s="2346"/>
      <c r="BX57" s="937"/>
    </row>
    <row r="58" spans="1:76" ht="27.95" hidden="1" customHeight="1" outlineLevel="1">
      <c r="B58" s="2340"/>
      <c r="C58" s="2341"/>
      <c r="D58" s="1904"/>
      <c r="E58" s="1905"/>
      <c r="F58" s="1905"/>
      <c r="G58" s="1905"/>
      <c r="H58" s="1905"/>
      <c r="I58" s="1905"/>
      <c r="J58" s="1905"/>
      <c r="K58" s="1905"/>
      <c r="L58" s="1905"/>
      <c r="M58" s="1905"/>
      <c r="N58" s="1906"/>
      <c r="O58" s="2367"/>
      <c r="P58" s="2368"/>
      <c r="Q58" s="2368"/>
      <c r="R58" s="2368"/>
      <c r="S58" s="2368"/>
      <c r="T58" s="2368"/>
      <c r="U58" s="2368"/>
      <c r="V58" s="2369"/>
      <c r="W58" s="1907"/>
      <c r="X58" s="1908"/>
      <c r="Y58" s="1909"/>
      <c r="Z58" s="1942"/>
      <c r="AA58" s="1942"/>
      <c r="AB58" s="1942"/>
      <c r="AC58" s="1942"/>
      <c r="AD58" s="1942"/>
      <c r="AE58" s="1942"/>
      <c r="AF58" s="1942"/>
      <c r="AG58" s="1942"/>
      <c r="AH58" s="1942"/>
      <c r="AI58" s="2346"/>
      <c r="AJ58" s="937"/>
      <c r="AK58" s="938"/>
      <c r="AL58" s="938"/>
      <c r="AM58" s="938"/>
      <c r="AN58" s="938"/>
      <c r="AP58" s="2340"/>
      <c r="AQ58" s="2341"/>
      <c r="AR58" s="1904"/>
      <c r="AS58" s="1905"/>
      <c r="AT58" s="1905"/>
      <c r="AU58" s="1905"/>
      <c r="AV58" s="1905"/>
      <c r="AW58" s="1905"/>
      <c r="AX58" s="1905"/>
      <c r="AY58" s="1905"/>
      <c r="AZ58" s="1905"/>
      <c r="BA58" s="1905"/>
      <c r="BB58" s="1906"/>
      <c r="BC58" s="2370"/>
      <c r="BD58" s="2371"/>
      <c r="BE58" s="2371"/>
      <c r="BF58" s="2371"/>
      <c r="BG58" s="2371"/>
      <c r="BH58" s="2371"/>
      <c r="BI58" s="2371"/>
      <c r="BJ58" s="2372"/>
      <c r="BK58" s="1910"/>
      <c r="BL58" s="1911"/>
      <c r="BM58" s="1912"/>
      <c r="BN58" s="1942"/>
      <c r="BO58" s="1942"/>
      <c r="BP58" s="1942"/>
      <c r="BQ58" s="1942"/>
      <c r="BR58" s="1942"/>
      <c r="BS58" s="1942"/>
      <c r="BT58" s="1942"/>
      <c r="BU58" s="1942"/>
      <c r="BV58" s="1942"/>
      <c r="BW58" s="2346"/>
      <c r="BX58" s="937"/>
    </row>
    <row r="59" spans="1:76" ht="27.95" hidden="1" customHeight="1" outlineLevel="1">
      <c r="B59" s="2340"/>
      <c r="C59" s="2341"/>
      <c r="D59" s="1904"/>
      <c r="E59" s="1905"/>
      <c r="F59" s="1905"/>
      <c r="G59" s="1905"/>
      <c r="H59" s="1905"/>
      <c r="I59" s="1905"/>
      <c r="J59" s="1905"/>
      <c r="K59" s="1905"/>
      <c r="L59" s="1905"/>
      <c r="M59" s="1905"/>
      <c r="N59" s="1906"/>
      <c r="O59" s="2367"/>
      <c r="P59" s="2368"/>
      <c r="Q59" s="2368"/>
      <c r="R59" s="2368"/>
      <c r="S59" s="2368"/>
      <c r="T59" s="2368"/>
      <c r="U59" s="2368"/>
      <c r="V59" s="2369"/>
      <c r="W59" s="1907"/>
      <c r="X59" s="1908"/>
      <c r="Y59" s="1909"/>
      <c r="Z59" s="1942"/>
      <c r="AA59" s="1942"/>
      <c r="AB59" s="1942"/>
      <c r="AC59" s="1942"/>
      <c r="AD59" s="1942"/>
      <c r="AE59" s="1942"/>
      <c r="AF59" s="1942"/>
      <c r="AG59" s="1942"/>
      <c r="AH59" s="1942"/>
      <c r="AI59" s="2346"/>
      <c r="AJ59" s="937"/>
      <c r="AK59" s="938"/>
      <c r="AL59" s="938"/>
      <c r="AM59" s="938"/>
      <c r="AN59" s="938"/>
      <c r="AP59" s="2340"/>
      <c r="AQ59" s="2341"/>
      <c r="AR59" s="1904"/>
      <c r="AS59" s="1905"/>
      <c r="AT59" s="1905"/>
      <c r="AU59" s="1905"/>
      <c r="AV59" s="1905"/>
      <c r="AW59" s="1905"/>
      <c r="AX59" s="1905"/>
      <c r="AY59" s="1905"/>
      <c r="AZ59" s="1905"/>
      <c r="BA59" s="1905"/>
      <c r="BB59" s="1906"/>
      <c r="BC59" s="2370"/>
      <c r="BD59" s="2371"/>
      <c r="BE59" s="2371"/>
      <c r="BF59" s="2371"/>
      <c r="BG59" s="2371"/>
      <c r="BH59" s="2371"/>
      <c r="BI59" s="2371"/>
      <c r="BJ59" s="2372"/>
      <c r="BK59" s="1910"/>
      <c r="BL59" s="1911"/>
      <c r="BM59" s="1912"/>
      <c r="BN59" s="1942"/>
      <c r="BO59" s="1942"/>
      <c r="BP59" s="1942"/>
      <c r="BQ59" s="1942"/>
      <c r="BR59" s="1942"/>
      <c r="BS59" s="1942"/>
      <c r="BT59" s="1942"/>
      <c r="BU59" s="1942"/>
      <c r="BV59" s="1942"/>
      <c r="BW59" s="2346"/>
      <c r="BX59" s="937"/>
    </row>
    <row r="60" spans="1:76" ht="27.95" hidden="1" customHeight="1" outlineLevel="1">
      <c r="B60" s="2340"/>
      <c r="C60" s="2341"/>
      <c r="D60" s="1904"/>
      <c r="E60" s="1905"/>
      <c r="F60" s="1905"/>
      <c r="G60" s="1905"/>
      <c r="H60" s="1905"/>
      <c r="I60" s="1905"/>
      <c r="J60" s="1905"/>
      <c r="K60" s="1905"/>
      <c r="L60" s="1905"/>
      <c r="M60" s="1905"/>
      <c r="N60" s="1906"/>
      <c r="O60" s="2367"/>
      <c r="P60" s="2368"/>
      <c r="Q60" s="2368"/>
      <c r="R60" s="2368"/>
      <c r="S60" s="2368"/>
      <c r="T60" s="2368"/>
      <c r="U60" s="2368"/>
      <c r="V60" s="2369"/>
      <c r="W60" s="1907"/>
      <c r="X60" s="1908"/>
      <c r="Y60" s="1909"/>
      <c r="Z60" s="1942"/>
      <c r="AA60" s="1942"/>
      <c r="AB60" s="1942"/>
      <c r="AC60" s="1942"/>
      <c r="AD60" s="1942"/>
      <c r="AE60" s="1942"/>
      <c r="AF60" s="1942"/>
      <c r="AG60" s="1942"/>
      <c r="AH60" s="1942"/>
      <c r="AI60" s="2346"/>
      <c r="AJ60" s="937"/>
      <c r="AK60" s="938"/>
      <c r="AL60" s="938"/>
      <c r="AM60" s="938"/>
      <c r="AN60" s="938"/>
      <c r="AP60" s="2340"/>
      <c r="AQ60" s="2341"/>
      <c r="AR60" s="1904"/>
      <c r="AS60" s="1905"/>
      <c r="AT60" s="1905"/>
      <c r="AU60" s="1905"/>
      <c r="AV60" s="1905"/>
      <c r="AW60" s="1905"/>
      <c r="AX60" s="1905"/>
      <c r="AY60" s="1905"/>
      <c r="AZ60" s="1905"/>
      <c r="BA60" s="1905"/>
      <c r="BB60" s="1906"/>
      <c r="BC60" s="2370"/>
      <c r="BD60" s="2371"/>
      <c r="BE60" s="2371"/>
      <c r="BF60" s="2371"/>
      <c r="BG60" s="2371"/>
      <c r="BH60" s="2371"/>
      <c r="BI60" s="2371"/>
      <c r="BJ60" s="2372"/>
      <c r="BK60" s="1910"/>
      <c r="BL60" s="1911"/>
      <c r="BM60" s="1912"/>
      <c r="BN60" s="1942"/>
      <c r="BO60" s="1942"/>
      <c r="BP60" s="1942"/>
      <c r="BQ60" s="1942"/>
      <c r="BR60" s="1942"/>
      <c r="BS60" s="1942"/>
      <c r="BT60" s="1942"/>
      <c r="BU60" s="1942"/>
      <c r="BV60" s="1942"/>
      <c r="BW60" s="2346"/>
      <c r="BX60" s="937"/>
    </row>
    <row r="61" spans="1:76" ht="27.95" hidden="1" customHeight="1" outlineLevel="1">
      <c r="B61" s="2340"/>
      <c r="C61" s="2341"/>
      <c r="D61" s="1904"/>
      <c r="E61" s="1905"/>
      <c r="F61" s="1905"/>
      <c r="G61" s="1905"/>
      <c r="H61" s="1905"/>
      <c r="I61" s="1905"/>
      <c r="J61" s="1905"/>
      <c r="K61" s="1905"/>
      <c r="L61" s="1905"/>
      <c r="M61" s="1905"/>
      <c r="N61" s="1906"/>
      <c r="O61" s="2367"/>
      <c r="P61" s="2368"/>
      <c r="Q61" s="2368"/>
      <c r="R61" s="2368"/>
      <c r="S61" s="2368"/>
      <c r="T61" s="2368"/>
      <c r="U61" s="2368"/>
      <c r="V61" s="2369"/>
      <c r="W61" s="1907"/>
      <c r="X61" s="1908"/>
      <c r="Y61" s="1909"/>
      <c r="Z61" s="1942"/>
      <c r="AA61" s="1942"/>
      <c r="AB61" s="1942"/>
      <c r="AC61" s="1942"/>
      <c r="AD61" s="1942"/>
      <c r="AE61" s="1942"/>
      <c r="AF61" s="1942"/>
      <c r="AG61" s="1942"/>
      <c r="AH61" s="1942"/>
      <c r="AI61" s="2346"/>
      <c r="AJ61" s="937"/>
      <c r="AK61" s="938"/>
      <c r="AL61" s="938"/>
      <c r="AM61" s="938"/>
      <c r="AN61" s="938"/>
      <c r="AP61" s="2340"/>
      <c r="AQ61" s="2341"/>
      <c r="AR61" s="1904"/>
      <c r="AS61" s="1905"/>
      <c r="AT61" s="1905"/>
      <c r="AU61" s="1905"/>
      <c r="AV61" s="1905"/>
      <c r="AW61" s="1905"/>
      <c r="AX61" s="1905"/>
      <c r="AY61" s="1905"/>
      <c r="AZ61" s="1905"/>
      <c r="BA61" s="1905"/>
      <c r="BB61" s="1906"/>
      <c r="BC61" s="2370"/>
      <c r="BD61" s="2371"/>
      <c r="BE61" s="2371"/>
      <c r="BF61" s="2371"/>
      <c r="BG61" s="2371"/>
      <c r="BH61" s="2371"/>
      <c r="BI61" s="2371"/>
      <c r="BJ61" s="2372"/>
      <c r="BK61" s="1910"/>
      <c r="BL61" s="1911"/>
      <c r="BM61" s="1912"/>
      <c r="BN61" s="1942"/>
      <c r="BO61" s="1942"/>
      <c r="BP61" s="1942"/>
      <c r="BQ61" s="1942"/>
      <c r="BR61" s="1942"/>
      <c r="BS61" s="1942"/>
      <c r="BT61" s="1942"/>
      <c r="BU61" s="1942"/>
      <c r="BV61" s="1942"/>
      <c r="BW61" s="2346"/>
      <c r="BX61" s="937"/>
    </row>
    <row r="62" spans="1:76" ht="27.95" hidden="1" customHeight="1" outlineLevel="1">
      <c r="B62" s="2340"/>
      <c r="C62" s="2341"/>
      <c r="D62" s="1904"/>
      <c r="E62" s="1905"/>
      <c r="F62" s="1905"/>
      <c r="G62" s="1905"/>
      <c r="H62" s="1905"/>
      <c r="I62" s="1905"/>
      <c r="J62" s="1905"/>
      <c r="K62" s="1905"/>
      <c r="L62" s="1905"/>
      <c r="M62" s="1905"/>
      <c r="N62" s="1906"/>
      <c r="O62" s="2367"/>
      <c r="P62" s="2368"/>
      <c r="Q62" s="2368"/>
      <c r="R62" s="2368"/>
      <c r="S62" s="2368"/>
      <c r="T62" s="2368"/>
      <c r="U62" s="2368"/>
      <c r="V62" s="2369"/>
      <c r="W62" s="1907"/>
      <c r="X62" s="1908"/>
      <c r="Y62" s="1909"/>
      <c r="Z62" s="1942"/>
      <c r="AA62" s="1942"/>
      <c r="AB62" s="1942"/>
      <c r="AC62" s="1942"/>
      <c r="AD62" s="1942"/>
      <c r="AE62" s="1942"/>
      <c r="AF62" s="1942"/>
      <c r="AG62" s="1942"/>
      <c r="AH62" s="1942"/>
      <c r="AI62" s="2346"/>
      <c r="AJ62" s="937"/>
      <c r="AK62" s="938"/>
      <c r="AL62" s="938"/>
      <c r="AM62" s="938"/>
      <c r="AN62" s="938"/>
      <c r="AP62" s="2340"/>
      <c r="AQ62" s="2341"/>
      <c r="AR62" s="1904"/>
      <c r="AS62" s="1905"/>
      <c r="AT62" s="1905"/>
      <c r="AU62" s="1905"/>
      <c r="AV62" s="1905"/>
      <c r="AW62" s="1905"/>
      <c r="AX62" s="1905"/>
      <c r="AY62" s="1905"/>
      <c r="AZ62" s="1905"/>
      <c r="BA62" s="1905"/>
      <c r="BB62" s="1906"/>
      <c r="BC62" s="2370"/>
      <c r="BD62" s="2371"/>
      <c r="BE62" s="2371"/>
      <c r="BF62" s="2371"/>
      <c r="BG62" s="2371"/>
      <c r="BH62" s="2371"/>
      <c r="BI62" s="2371"/>
      <c r="BJ62" s="2372"/>
      <c r="BK62" s="1910"/>
      <c r="BL62" s="1911"/>
      <c r="BM62" s="1912"/>
      <c r="BN62" s="1942"/>
      <c r="BO62" s="1942"/>
      <c r="BP62" s="1942"/>
      <c r="BQ62" s="1942"/>
      <c r="BR62" s="1942"/>
      <c r="BS62" s="1942"/>
      <c r="BT62" s="1942"/>
      <c r="BU62" s="1942"/>
      <c r="BV62" s="1942"/>
      <c r="BW62" s="2346"/>
      <c r="BX62" s="937"/>
    </row>
    <row r="63" spans="1:76" ht="27.95" hidden="1" customHeight="1" outlineLevel="1">
      <c r="A63" s="941"/>
      <c r="B63" s="2340"/>
      <c r="C63" s="2341"/>
      <c r="D63" s="1904"/>
      <c r="E63" s="1905"/>
      <c r="F63" s="1905"/>
      <c r="G63" s="1905"/>
      <c r="H63" s="1905"/>
      <c r="I63" s="1905"/>
      <c r="J63" s="1905"/>
      <c r="K63" s="1905"/>
      <c r="L63" s="1905"/>
      <c r="M63" s="1905"/>
      <c r="N63" s="1906"/>
      <c r="O63" s="2367"/>
      <c r="P63" s="2368"/>
      <c r="Q63" s="2368"/>
      <c r="R63" s="2368"/>
      <c r="S63" s="2368"/>
      <c r="T63" s="2368"/>
      <c r="U63" s="2368"/>
      <c r="V63" s="2369"/>
      <c r="W63" s="1907"/>
      <c r="X63" s="1908"/>
      <c r="Y63" s="1909"/>
      <c r="Z63" s="1942"/>
      <c r="AA63" s="1942"/>
      <c r="AB63" s="1942"/>
      <c r="AC63" s="1942"/>
      <c r="AD63" s="1942"/>
      <c r="AE63" s="1942"/>
      <c r="AF63" s="1942"/>
      <c r="AG63" s="1942"/>
      <c r="AH63" s="1942"/>
      <c r="AI63" s="2346"/>
      <c r="AJ63" s="937"/>
      <c r="AK63" s="938"/>
      <c r="AL63" s="938"/>
      <c r="AM63" s="938"/>
      <c r="AN63" s="938"/>
      <c r="AP63" s="2340"/>
      <c r="AQ63" s="2341"/>
      <c r="AR63" s="1904"/>
      <c r="AS63" s="1905"/>
      <c r="AT63" s="1905"/>
      <c r="AU63" s="1905"/>
      <c r="AV63" s="1905"/>
      <c r="AW63" s="1905"/>
      <c r="AX63" s="1905"/>
      <c r="AY63" s="1905"/>
      <c r="AZ63" s="1905"/>
      <c r="BA63" s="1905"/>
      <c r="BB63" s="1906"/>
      <c r="BC63" s="2370"/>
      <c r="BD63" s="2371"/>
      <c r="BE63" s="2371"/>
      <c r="BF63" s="2371"/>
      <c r="BG63" s="2371"/>
      <c r="BH63" s="2371"/>
      <c r="BI63" s="2371"/>
      <c r="BJ63" s="2372"/>
      <c r="BK63" s="1910"/>
      <c r="BL63" s="1911"/>
      <c r="BM63" s="1912"/>
      <c r="BN63" s="1942"/>
      <c r="BO63" s="1942"/>
      <c r="BP63" s="1942"/>
      <c r="BQ63" s="1942"/>
      <c r="BR63" s="1942"/>
      <c r="BS63" s="1942"/>
      <c r="BT63" s="1942"/>
      <c r="BU63" s="1942"/>
      <c r="BV63" s="1942"/>
      <c r="BW63" s="2346"/>
      <c r="BX63" s="937"/>
    </row>
    <row r="64" spans="1:76" ht="27.95" hidden="1" customHeight="1" outlineLevel="1">
      <c r="B64" s="2340"/>
      <c r="C64" s="2341"/>
      <c r="D64" s="1904"/>
      <c r="E64" s="1905"/>
      <c r="F64" s="1905"/>
      <c r="G64" s="1905"/>
      <c r="H64" s="1905"/>
      <c r="I64" s="1905"/>
      <c r="J64" s="1905"/>
      <c r="K64" s="1905"/>
      <c r="L64" s="1905"/>
      <c r="M64" s="1905"/>
      <c r="N64" s="1906"/>
      <c r="O64" s="2367"/>
      <c r="P64" s="2368"/>
      <c r="Q64" s="2368"/>
      <c r="R64" s="2368"/>
      <c r="S64" s="2368"/>
      <c r="T64" s="2368"/>
      <c r="U64" s="2368"/>
      <c r="V64" s="2369"/>
      <c r="W64" s="1907"/>
      <c r="X64" s="1908"/>
      <c r="Y64" s="1909"/>
      <c r="Z64" s="1942"/>
      <c r="AA64" s="1942"/>
      <c r="AB64" s="1942"/>
      <c r="AC64" s="1942"/>
      <c r="AD64" s="1942"/>
      <c r="AE64" s="1942"/>
      <c r="AF64" s="1942"/>
      <c r="AG64" s="1942"/>
      <c r="AH64" s="1942"/>
      <c r="AI64" s="2346"/>
      <c r="AJ64" s="937"/>
      <c r="AK64" s="938"/>
      <c r="AL64" s="938"/>
      <c r="AM64" s="938"/>
      <c r="AN64" s="938"/>
      <c r="AP64" s="2340"/>
      <c r="AQ64" s="2341"/>
      <c r="AR64" s="1904"/>
      <c r="AS64" s="1905"/>
      <c r="AT64" s="1905"/>
      <c r="AU64" s="1905"/>
      <c r="AV64" s="1905"/>
      <c r="AW64" s="1905"/>
      <c r="AX64" s="1905"/>
      <c r="AY64" s="1905"/>
      <c r="AZ64" s="1905"/>
      <c r="BA64" s="1905"/>
      <c r="BB64" s="1906"/>
      <c r="BC64" s="2370"/>
      <c r="BD64" s="2371"/>
      <c r="BE64" s="2371"/>
      <c r="BF64" s="2371"/>
      <c r="BG64" s="2371"/>
      <c r="BH64" s="2371"/>
      <c r="BI64" s="2371"/>
      <c r="BJ64" s="2372"/>
      <c r="BK64" s="1910"/>
      <c r="BL64" s="1911"/>
      <c r="BM64" s="1912"/>
      <c r="BN64" s="1942"/>
      <c r="BO64" s="1942"/>
      <c r="BP64" s="1942"/>
      <c r="BQ64" s="1942"/>
      <c r="BR64" s="1942"/>
      <c r="BS64" s="1942"/>
      <c r="BT64" s="1942"/>
      <c r="BU64" s="1942"/>
      <c r="BV64" s="1942"/>
      <c r="BW64" s="2346"/>
      <c r="BX64" s="937"/>
    </row>
    <row r="65" spans="2:76" ht="27.95" hidden="1" customHeight="1" outlineLevel="1">
      <c r="B65" s="2340"/>
      <c r="C65" s="2341"/>
      <c r="D65" s="1904"/>
      <c r="E65" s="1905"/>
      <c r="F65" s="1905"/>
      <c r="G65" s="1905"/>
      <c r="H65" s="1905"/>
      <c r="I65" s="1905"/>
      <c r="J65" s="1905"/>
      <c r="K65" s="1905"/>
      <c r="L65" s="1905"/>
      <c r="M65" s="1905"/>
      <c r="N65" s="1906"/>
      <c r="O65" s="2367"/>
      <c r="P65" s="2368"/>
      <c r="Q65" s="2368"/>
      <c r="R65" s="2368"/>
      <c r="S65" s="2368"/>
      <c r="T65" s="2368"/>
      <c r="U65" s="2368"/>
      <c r="V65" s="2369"/>
      <c r="W65" s="1907"/>
      <c r="X65" s="1908"/>
      <c r="Y65" s="1909"/>
      <c r="Z65" s="1942"/>
      <c r="AA65" s="1942"/>
      <c r="AB65" s="1942"/>
      <c r="AC65" s="1942"/>
      <c r="AD65" s="1942"/>
      <c r="AE65" s="1942"/>
      <c r="AF65" s="1942"/>
      <c r="AG65" s="1942"/>
      <c r="AH65" s="1942"/>
      <c r="AI65" s="2346"/>
      <c r="AJ65" s="937"/>
      <c r="AK65" s="938"/>
      <c r="AL65" s="938"/>
      <c r="AM65" s="938"/>
      <c r="AN65" s="938"/>
      <c r="AP65" s="2340"/>
      <c r="AQ65" s="2341"/>
      <c r="AR65" s="1904"/>
      <c r="AS65" s="1905"/>
      <c r="AT65" s="1905"/>
      <c r="AU65" s="1905"/>
      <c r="AV65" s="1905"/>
      <c r="AW65" s="1905"/>
      <c r="AX65" s="1905"/>
      <c r="AY65" s="1905"/>
      <c r="AZ65" s="1905"/>
      <c r="BA65" s="1905"/>
      <c r="BB65" s="1906"/>
      <c r="BC65" s="2370"/>
      <c r="BD65" s="2371"/>
      <c r="BE65" s="2371"/>
      <c r="BF65" s="2371"/>
      <c r="BG65" s="2371"/>
      <c r="BH65" s="2371"/>
      <c r="BI65" s="2371"/>
      <c r="BJ65" s="2372"/>
      <c r="BK65" s="1910"/>
      <c r="BL65" s="1911"/>
      <c r="BM65" s="1912"/>
      <c r="BN65" s="1942"/>
      <c r="BO65" s="1942"/>
      <c r="BP65" s="1942"/>
      <c r="BQ65" s="1942"/>
      <c r="BR65" s="1942"/>
      <c r="BS65" s="1942"/>
      <c r="BT65" s="1942"/>
      <c r="BU65" s="1942"/>
      <c r="BV65" s="1942"/>
      <c r="BW65" s="2346"/>
      <c r="BX65" s="937"/>
    </row>
    <row r="66" spans="2:76" ht="27.95" hidden="1" customHeight="1" outlineLevel="1">
      <c r="B66" s="2340"/>
      <c r="C66" s="2341"/>
      <c r="D66" s="1904"/>
      <c r="E66" s="1905"/>
      <c r="F66" s="1905"/>
      <c r="G66" s="1905"/>
      <c r="H66" s="1905"/>
      <c r="I66" s="1905"/>
      <c r="J66" s="1905"/>
      <c r="K66" s="1905"/>
      <c r="L66" s="1905"/>
      <c r="M66" s="1905"/>
      <c r="N66" s="1906"/>
      <c r="O66" s="2367"/>
      <c r="P66" s="2368"/>
      <c r="Q66" s="2368"/>
      <c r="R66" s="2368"/>
      <c r="S66" s="2368"/>
      <c r="T66" s="2368"/>
      <c r="U66" s="2368"/>
      <c r="V66" s="2369"/>
      <c r="W66" s="1907"/>
      <c r="X66" s="1908"/>
      <c r="Y66" s="1909"/>
      <c r="Z66" s="1942"/>
      <c r="AA66" s="1942"/>
      <c r="AB66" s="1942"/>
      <c r="AC66" s="1942"/>
      <c r="AD66" s="1942"/>
      <c r="AE66" s="1942"/>
      <c r="AF66" s="1942"/>
      <c r="AG66" s="1942"/>
      <c r="AH66" s="1942"/>
      <c r="AI66" s="2346"/>
      <c r="AJ66" s="937"/>
      <c r="AK66" s="938"/>
      <c r="AL66" s="938"/>
      <c r="AM66" s="938"/>
      <c r="AN66" s="938"/>
      <c r="AP66" s="2340"/>
      <c r="AQ66" s="2341"/>
      <c r="AR66" s="1904"/>
      <c r="AS66" s="1905"/>
      <c r="AT66" s="1905"/>
      <c r="AU66" s="1905"/>
      <c r="AV66" s="1905"/>
      <c r="AW66" s="1905"/>
      <c r="AX66" s="1905"/>
      <c r="AY66" s="1905"/>
      <c r="AZ66" s="1905"/>
      <c r="BA66" s="1905"/>
      <c r="BB66" s="1906"/>
      <c r="BC66" s="2370"/>
      <c r="BD66" s="2371"/>
      <c r="BE66" s="2371"/>
      <c r="BF66" s="2371"/>
      <c r="BG66" s="2371"/>
      <c r="BH66" s="2371"/>
      <c r="BI66" s="2371"/>
      <c r="BJ66" s="2372"/>
      <c r="BK66" s="1910"/>
      <c r="BL66" s="1911"/>
      <c r="BM66" s="1912"/>
      <c r="BN66" s="1942"/>
      <c r="BO66" s="1942"/>
      <c r="BP66" s="1942"/>
      <c r="BQ66" s="1942"/>
      <c r="BR66" s="1942"/>
      <c r="BS66" s="1942"/>
      <c r="BT66" s="1942"/>
      <c r="BU66" s="1942"/>
      <c r="BV66" s="1942"/>
      <c r="BW66" s="2346"/>
      <c r="BX66" s="937"/>
    </row>
    <row r="67" spans="2:76" ht="27.95" hidden="1" customHeight="1" outlineLevel="1">
      <c r="B67" s="2340"/>
      <c r="C67" s="2341"/>
      <c r="D67" s="1904"/>
      <c r="E67" s="1905"/>
      <c r="F67" s="1905"/>
      <c r="G67" s="1905"/>
      <c r="H67" s="1905"/>
      <c r="I67" s="1905"/>
      <c r="J67" s="1905"/>
      <c r="K67" s="1905"/>
      <c r="L67" s="1905"/>
      <c r="M67" s="1905"/>
      <c r="N67" s="1906"/>
      <c r="O67" s="2367"/>
      <c r="P67" s="2368"/>
      <c r="Q67" s="2368"/>
      <c r="R67" s="2368"/>
      <c r="S67" s="2368"/>
      <c r="T67" s="2368"/>
      <c r="U67" s="2368"/>
      <c r="V67" s="2369"/>
      <c r="W67" s="1907"/>
      <c r="X67" s="1908"/>
      <c r="Y67" s="1909"/>
      <c r="Z67" s="1942"/>
      <c r="AA67" s="1942"/>
      <c r="AB67" s="1942"/>
      <c r="AC67" s="1942"/>
      <c r="AD67" s="1942"/>
      <c r="AE67" s="1942"/>
      <c r="AF67" s="1942"/>
      <c r="AG67" s="1942"/>
      <c r="AH67" s="1942"/>
      <c r="AI67" s="2346"/>
      <c r="AJ67" s="937"/>
      <c r="AK67" s="938"/>
      <c r="AL67" s="938"/>
      <c r="AM67" s="938"/>
      <c r="AN67" s="938"/>
      <c r="AP67" s="2340"/>
      <c r="AQ67" s="2341"/>
      <c r="AR67" s="1904"/>
      <c r="AS67" s="1905"/>
      <c r="AT67" s="1905"/>
      <c r="AU67" s="1905"/>
      <c r="AV67" s="1905"/>
      <c r="AW67" s="1905"/>
      <c r="AX67" s="1905"/>
      <c r="AY67" s="1905"/>
      <c r="AZ67" s="1905"/>
      <c r="BA67" s="1905"/>
      <c r="BB67" s="1906"/>
      <c r="BC67" s="2370"/>
      <c r="BD67" s="2371"/>
      <c r="BE67" s="2371"/>
      <c r="BF67" s="2371"/>
      <c r="BG67" s="2371"/>
      <c r="BH67" s="2371"/>
      <c r="BI67" s="2371"/>
      <c r="BJ67" s="2372"/>
      <c r="BK67" s="1910"/>
      <c r="BL67" s="1911"/>
      <c r="BM67" s="1912"/>
      <c r="BN67" s="1942"/>
      <c r="BO67" s="1942"/>
      <c r="BP67" s="1942"/>
      <c r="BQ67" s="1942"/>
      <c r="BR67" s="1942"/>
      <c r="BS67" s="1942"/>
      <c r="BT67" s="1942"/>
      <c r="BU67" s="1942"/>
      <c r="BV67" s="1942"/>
      <c r="BW67" s="2346"/>
      <c r="BX67" s="937"/>
    </row>
    <row r="68" spans="2:76" ht="27.95" hidden="1" customHeight="1" outlineLevel="1">
      <c r="B68" s="2340"/>
      <c r="C68" s="2341"/>
      <c r="D68" s="1904"/>
      <c r="E68" s="1905"/>
      <c r="F68" s="1905"/>
      <c r="G68" s="1905"/>
      <c r="H68" s="1905"/>
      <c r="I68" s="1905"/>
      <c r="J68" s="1905"/>
      <c r="K68" s="1905"/>
      <c r="L68" s="1905"/>
      <c r="M68" s="1905"/>
      <c r="N68" s="1906"/>
      <c r="O68" s="2367"/>
      <c r="P68" s="2368"/>
      <c r="Q68" s="2368"/>
      <c r="R68" s="2368"/>
      <c r="S68" s="2368"/>
      <c r="T68" s="2368"/>
      <c r="U68" s="2368"/>
      <c r="V68" s="2369"/>
      <c r="W68" s="1907"/>
      <c r="X68" s="1908"/>
      <c r="Y68" s="1909"/>
      <c r="Z68" s="1942"/>
      <c r="AA68" s="1942"/>
      <c r="AB68" s="1942"/>
      <c r="AC68" s="1942"/>
      <c r="AD68" s="1942"/>
      <c r="AE68" s="1942"/>
      <c r="AF68" s="1942"/>
      <c r="AG68" s="1942"/>
      <c r="AH68" s="1942"/>
      <c r="AI68" s="2346"/>
      <c r="AJ68" s="937"/>
      <c r="AK68" s="938"/>
      <c r="AL68" s="938"/>
      <c r="AM68" s="938"/>
      <c r="AN68" s="938"/>
      <c r="AP68" s="2340"/>
      <c r="AQ68" s="2341"/>
      <c r="AR68" s="1904"/>
      <c r="AS68" s="1905"/>
      <c r="AT68" s="1905"/>
      <c r="AU68" s="1905"/>
      <c r="AV68" s="1905"/>
      <c r="AW68" s="1905"/>
      <c r="AX68" s="1905"/>
      <c r="AY68" s="1905"/>
      <c r="AZ68" s="1905"/>
      <c r="BA68" s="1905"/>
      <c r="BB68" s="1906"/>
      <c r="BC68" s="2370"/>
      <c r="BD68" s="2371"/>
      <c r="BE68" s="2371"/>
      <c r="BF68" s="2371"/>
      <c r="BG68" s="2371"/>
      <c r="BH68" s="2371"/>
      <c r="BI68" s="2371"/>
      <c r="BJ68" s="2372"/>
      <c r="BK68" s="1910"/>
      <c r="BL68" s="1911"/>
      <c r="BM68" s="1912"/>
      <c r="BN68" s="1942"/>
      <c r="BO68" s="1942"/>
      <c r="BP68" s="1942"/>
      <c r="BQ68" s="1942"/>
      <c r="BR68" s="1942"/>
      <c r="BS68" s="1942"/>
      <c r="BT68" s="1942"/>
      <c r="BU68" s="1942"/>
      <c r="BV68" s="1942"/>
      <c r="BW68" s="2346"/>
      <c r="BX68" s="937"/>
    </row>
    <row r="69" spans="2:76" ht="27.95" hidden="1" customHeight="1" outlineLevel="1">
      <c r="B69" s="2340"/>
      <c r="C69" s="2341"/>
      <c r="D69" s="1904"/>
      <c r="E69" s="1905"/>
      <c r="F69" s="1905"/>
      <c r="G69" s="1905"/>
      <c r="H69" s="1905"/>
      <c r="I69" s="1905"/>
      <c r="J69" s="1905"/>
      <c r="K69" s="1905"/>
      <c r="L69" s="1905"/>
      <c r="M69" s="1905"/>
      <c r="N69" s="1906"/>
      <c r="O69" s="2367"/>
      <c r="P69" s="2368"/>
      <c r="Q69" s="2368"/>
      <c r="R69" s="2368"/>
      <c r="S69" s="2368"/>
      <c r="T69" s="2368"/>
      <c r="U69" s="2368"/>
      <c r="V69" s="2369"/>
      <c r="W69" s="1907"/>
      <c r="X69" s="1908"/>
      <c r="Y69" s="1909"/>
      <c r="Z69" s="1942"/>
      <c r="AA69" s="1942"/>
      <c r="AB69" s="1942"/>
      <c r="AC69" s="1942"/>
      <c r="AD69" s="1942"/>
      <c r="AE69" s="1942"/>
      <c r="AF69" s="1942"/>
      <c r="AG69" s="1942"/>
      <c r="AH69" s="1942"/>
      <c r="AI69" s="2346"/>
      <c r="AJ69" s="937"/>
      <c r="AK69" s="938"/>
      <c r="AL69" s="938"/>
      <c r="AM69" s="938"/>
      <c r="AN69" s="938"/>
      <c r="AP69" s="2340"/>
      <c r="AQ69" s="2341"/>
      <c r="AR69" s="1904"/>
      <c r="AS69" s="1905"/>
      <c r="AT69" s="1905"/>
      <c r="AU69" s="1905"/>
      <c r="AV69" s="1905"/>
      <c r="AW69" s="1905"/>
      <c r="AX69" s="1905"/>
      <c r="AY69" s="1905"/>
      <c r="AZ69" s="1905"/>
      <c r="BA69" s="1905"/>
      <c r="BB69" s="1906"/>
      <c r="BC69" s="2370"/>
      <c r="BD69" s="2371"/>
      <c r="BE69" s="2371"/>
      <c r="BF69" s="2371"/>
      <c r="BG69" s="2371"/>
      <c r="BH69" s="2371"/>
      <c r="BI69" s="2371"/>
      <c r="BJ69" s="2372"/>
      <c r="BK69" s="1910"/>
      <c r="BL69" s="1911"/>
      <c r="BM69" s="1912"/>
      <c r="BN69" s="1942"/>
      <c r="BO69" s="1942"/>
      <c r="BP69" s="1942"/>
      <c r="BQ69" s="1942"/>
      <c r="BR69" s="1942"/>
      <c r="BS69" s="1942"/>
      <c r="BT69" s="1942"/>
      <c r="BU69" s="1942"/>
      <c r="BV69" s="1942"/>
      <c r="BW69" s="2346"/>
      <c r="BX69" s="937"/>
    </row>
    <row r="70" spans="2:76" ht="27.95" hidden="1" customHeight="1" outlineLevel="1">
      <c r="B70" s="2340"/>
      <c r="C70" s="2341"/>
      <c r="D70" s="1904"/>
      <c r="E70" s="1905"/>
      <c r="F70" s="1905"/>
      <c r="G70" s="1905"/>
      <c r="H70" s="1905"/>
      <c r="I70" s="1905"/>
      <c r="J70" s="1905"/>
      <c r="K70" s="1905"/>
      <c r="L70" s="1905"/>
      <c r="M70" s="1905"/>
      <c r="N70" s="1906"/>
      <c r="O70" s="2367"/>
      <c r="P70" s="2368"/>
      <c r="Q70" s="2368"/>
      <c r="R70" s="2368"/>
      <c r="S70" s="2368"/>
      <c r="T70" s="2368"/>
      <c r="U70" s="2368"/>
      <c r="V70" s="2369"/>
      <c r="W70" s="1907"/>
      <c r="X70" s="1908"/>
      <c r="Y70" s="1909"/>
      <c r="Z70" s="1942"/>
      <c r="AA70" s="1942"/>
      <c r="AB70" s="1942"/>
      <c r="AC70" s="1942"/>
      <c r="AD70" s="1942"/>
      <c r="AE70" s="1942"/>
      <c r="AF70" s="1942"/>
      <c r="AG70" s="1942"/>
      <c r="AH70" s="1942"/>
      <c r="AI70" s="2346"/>
      <c r="AJ70" s="937"/>
      <c r="AK70" s="938"/>
      <c r="AL70" s="938"/>
      <c r="AM70" s="938"/>
      <c r="AN70" s="938"/>
      <c r="AP70" s="2340"/>
      <c r="AQ70" s="2341"/>
      <c r="AR70" s="1904"/>
      <c r="AS70" s="1905"/>
      <c r="AT70" s="1905"/>
      <c r="AU70" s="1905"/>
      <c r="AV70" s="1905"/>
      <c r="AW70" s="1905"/>
      <c r="AX70" s="1905"/>
      <c r="AY70" s="1905"/>
      <c r="AZ70" s="1905"/>
      <c r="BA70" s="1905"/>
      <c r="BB70" s="1906"/>
      <c r="BC70" s="2370"/>
      <c r="BD70" s="2371"/>
      <c r="BE70" s="2371"/>
      <c r="BF70" s="2371"/>
      <c r="BG70" s="2371"/>
      <c r="BH70" s="2371"/>
      <c r="BI70" s="2371"/>
      <c r="BJ70" s="2372"/>
      <c r="BK70" s="1910"/>
      <c r="BL70" s="1911"/>
      <c r="BM70" s="1912"/>
      <c r="BN70" s="1942"/>
      <c r="BO70" s="1942"/>
      <c r="BP70" s="1942"/>
      <c r="BQ70" s="1942"/>
      <c r="BR70" s="1942"/>
      <c r="BS70" s="1942"/>
      <c r="BT70" s="1942"/>
      <c r="BU70" s="1942"/>
      <c r="BV70" s="1942"/>
      <c r="BW70" s="2346"/>
      <c r="BX70" s="937"/>
    </row>
    <row r="71" spans="2:76" ht="27.95" hidden="1" customHeight="1" outlineLevel="1">
      <c r="B71" s="2340"/>
      <c r="C71" s="2341"/>
      <c r="D71" s="1904"/>
      <c r="E71" s="1905"/>
      <c r="F71" s="1905"/>
      <c r="G71" s="1905"/>
      <c r="H71" s="1905"/>
      <c r="I71" s="1905"/>
      <c r="J71" s="1905"/>
      <c r="K71" s="1905"/>
      <c r="L71" s="1905"/>
      <c r="M71" s="1905"/>
      <c r="N71" s="1906"/>
      <c r="O71" s="2367"/>
      <c r="P71" s="2368"/>
      <c r="Q71" s="2368"/>
      <c r="R71" s="2368"/>
      <c r="S71" s="2368"/>
      <c r="T71" s="2368"/>
      <c r="U71" s="2368"/>
      <c r="V71" s="2369"/>
      <c r="W71" s="1907"/>
      <c r="X71" s="1908"/>
      <c r="Y71" s="1909"/>
      <c r="Z71" s="1942"/>
      <c r="AA71" s="1942"/>
      <c r="AB71" s="1942"/>
      <c r="AC71" s="1942"/>
      <c r="AD71" s="1942"/>
      <c r="AE71" s="1942"/>
      <c r="AF71" s="1942"/>
      <c r="AG71" s="1942"/>
      <c r="AH71" s="1942"/>
      <c r="AI71" s="2346"/>
      <c r="AJ71" s="937"/>
      <c r="AK71" s="938"/>
      <c r="AL71" s="938"/>
      <c r="AM71" s="938"/>
      <c r="AN71" s="938"/>
      <c r="AP71" s="2340"/>
      <c r="AQ71" s="2341"/>
      <c r="AR71" s="1904"/>
      <c r="AS71" s="1905"/>
      <c r="AT71" s="1905"/>
      <c r="AU71" s="1905"/>
      <c r="AV71" s="1905"/>
      <c r="AW71" s="1905"/>
      <c r="AX71" s="1905"/>
      <c r="AY71" s="1905"/>
      <c r="AZ71" s="1905"/>
      <c r="BA71" s="1905"/>
      <c r="BB71" s="1906"/>
      <c r="BC71" s="2370"/>
      <c r="BD71" s="2371"/>
      <c r="BE71" s="2371"/>
      <c r="BF71" s="2371"/>
      <c r="BG71" s="2371"/>
      <c r="BH71" s="2371"/>
      <c r="BI71" s="2371"/>
      <c r="BJ71" s="2372"/>
      <c r="BK71" s="1910"/>
      <c r="BL71" s="1911"/>
      <c r="BM71" s="1912"/>
      <c r="BN71" s="1942"/>
      <c r="BO71" s="1942"/>
      <c r="BP71" s="1942"/>
      <c r="BQ71" s="1942"/>
      <c r="BR71" s="1942"/>
      <c r="BS71" s="1942"/>
      <c r="BT71" s="1942"/>
      <c r="BU71" s="1942"/>
      <c r="BV71" s="1942"/>
      <c r="BW71" s="2346"/>
      <c r="BX71" s="937"/>
    </row>
    <row r="72" spans="2:76" ht="27.95" hidden="1" customHeight="1" outlineLevel="1">
      <c r="B72" s="2340"/>
      <c r="C72" s="2341"/>
      <c r="D72" s="1904"/>
      <c r="E72" s="1905"/>
      <c r="F72" s="1905"/>
      <c r="G72" s="1905"/>
      <c r="H72" s="1905"/>
      <c r="I72" s="1905"/>
      <c r="J72" s="1905"/>
      <c r="K72" s="1905"/>
      <c r="L72" s="1905"/>
      <c r="M72" s="1905"/>
      <c r="N72" s="1906"/>
      <c r="O72" s="2367"/>
      <c r="P72" s="2368"/>
      <c r="Q72" s="2368"/>
      <c r="R72" s="2368"/>
      <c r="S72" s="2368"/>
      <c r="T72" s="2368"/>
      <c r="U72" s="2368"/>
      <c r="V72" s="2369"/>
      <c r="W72" s="1907"/>
      <c r="X72" s="1908"/>
      <c r="Y72" s="1909"/>
      <c r="Z72" s="1942"/>
      <c r="AA72" s="1942"/>
      <c r="AB72" s="1942"/>
      <c r="AC72" s="1942"/>
      <c r="AD72" s="1942"/>
      <c r="AE72" s="1942"/>
      <c r="AF72" s="1942"/>
      <c r="AG72" s="1942"/>
      <c r="AH72" s="1942"/>
      <c r="AI72" s="2346"/>
      <c r="AJ72" s="937"/>
      <c r="AK72" s="938"/>
      <c r="AL72" s="938"/>
      <c r="AM72" s="938"/>
      <c r="AN72" s="938"/>
      <c r="AP72" s="2340"/>
      <c r="AQ72" s="2341"/>
      <c r="AR72" s="1904"/>
      <c r="AS72" s="1905"/>
      <c r="AT72" s="1905"/>
      <c r="AU72" s="1905"/>
      <c r="AV72" s="1905"/>
      <c r="AW72" s="1905"/>
      <c r="AX72" s="1905"/>
      <c r="AY72" s="1905"/>
      <c r="AZ72" s="1905"/>
      <c r="BA72" s="1905"/>
      <c r="BB72" s="1906"/>
      <c r="BC72" s="2370"/>
      <c r="BD72" s="2371"/>
      <c r="BE72" s="2371"/>
      <c r="BF72" s="2371"/>
      <c r="BG72" s="2371"/>
      <c r="BH72" s="2371"/>
      <c r="BI72" s="2371"/>
      <c r="BJ72" s="2372"/>
      <c r="BK72" s="1910"/>
      <c r="BL72" s="1911"/>
      <c r="BM72" s="1912"/>
      <c r="BN72" s="1942"/>
      <c r="BO72" s="1942"/>
      <c r="BP72" s="1942"/>
      <c r="BQ72" s="1942"/>
      <c r="BR72" s="1942"/>
      <c r="BS72" s="1942"/>
      <c r="BT72" s="1942"/>
      <c r="BU72" s="1942"/>
      <c r="BV72" s="1942"/>
      <c r="BW72" s="2346"/>
      <c r="BX72" s="937"/>
    </row>
    <row r="73" spans="2:76" ht="27.95" hidden="1" customHeight="1" outlineLevel="1">
      <c r="B73" s="2340"/>
      <c r="C73" s="2341"/>
      <c r="D73" s="1904"/>
      <c r="E73" s="1905"/>
      <c r="F73" s="1905"/>
      <c r="G73" s="1905"/>
      <c r="H73" s="1905"/>
      <c r="I73" s="1905"/>
      <c r="J73" s="1905"/>
      <c r="K73" s="1905"/>
      <c r="L73" s="1905"/>
      <c r="M73" s="1905"/>
      <c r="N73" s="1906"/>
      <c r="O73" s="2367"/>
      <c r="P73" s="2368"/>
      <c r="Q73" s="2368"/>
      <c r="R73" s="2368"/>
      <c r="S73" s="2368"/>
      <c r="T73" s="2368"/>
      <c r="U73" s="2368"/>
      <c r="V73" s="2369"/>
      <c r="W73" s="1907"/>
      <c r="X73" s="1908"/>
      <c r="Y73" s="1909"/>
      <c r="Z73" s="1942"/>
      <c r="AA73" s="1942"/>
      <c r="AB73" s="1942"/>
      <c r="AC73" s="1942"/>
      <c r="AD73" s="1942"/>
      <c r="AE73" s="1942"/>
      <c r="AF73" s="1942"/>
      <c r="AG73" s="1942"/>
      <c r="AH73" s="1942"/>
      <c r="AI73" s="2346"/>
      <c r="AJ73" s="937"/>
      <c r="AK73" s="938"/>
      <c r="AL73" s="938"/>
      <c r="AM73" s="938"/>
      <c r="AN73" s="938"/>
      <c r="AP73" s="2340"/>
      <c r="AQ73" s="2341"/>
      <c r="AR73" s="1904"/>
      <c r="AS73" s="1905"/>
      <c r="AT73" s="1905"/>
      <c r="AU73" s="1905"/>
      <c r="AV73" s="1905"/>
      <c r="AW73" s="1905"/>
      <c r="AX73" s="1905"/>
      <c r="AY73" s="1905"/>
      <c r="AZ73" s="1905"/>
      <c r="BA73" s="1905"/>
      <c r="BB73" s="1906"/>
      <c r="BC73" s="2370"/>
      <c r="BD73" s="2371"/>
      <c r="BE73" s="2371"/>
      <c r="BF73" s="2371"/>
      <c r="BG73" s="2371"/>
      <c r="BH73" s="2371"/>
      <c r="BI73" s="2371"/>
      <c r="BJ73" s="2372"/>
      <c r="BK73" s="1910"/>
      <c r="BL73" s="1911"/>
      <c r="BM73" s="1912"/>
      <c r="BN73" s="1942"/>
      <c r="BO73" s="1942"/>
      <c r="BP73" s="1942"/>
      <c r="BQ73" s="1942"/>
      <c r="BR73" s="1942"/>
      <c r="BS73" s="1942"/>
      <c r="BT73" s="1942"/>
      <c r="BU73" s="1942"/>
      <c r="BV73" s="1942"/>
      <c r="BW73" s="2346"/>
      <c r="BX73" s="937"/>
    </row>
    <row r="74" spans="2:76" ht="27.95" hidden="1" customHeight="1" outlineLevel="1">
      <c r="B74" s="2340"/>
      <c r="C74" s="2341"/>
      <c r="D74" s="1904"/>
      <c r="E74" s="1905"/>
      <c r="F74" s="1905"/>
      <c r="G74" s="1905"/>
      <c r="H74" s="1905"/>
      <c r="I74" s="1905"/>
      <c r="J74" s="1905"/>
      <c r="K74" s="1905"/>
      <c r="L74" s="1905"/>
      <c r="M74" s="1905"/>
      <c r="N74" s="1906"/>
      <c r="O74" s="2367"/>
      <c r="P74" s="2368"/>
      <c r="Q74" s="2368"/>
      <c r="R74" s="2368"/>
      <c r="S74" s="2368"/>
      <c r="T74" s="2368"/>
      <c r="U74" s="2368"/>
      <c r="V74" s="2369"/>
      <c r="W74" s="1907"/>
      <c r="X74" s="1908"/>
      <c r="Y74" s="1909"/>
      <c r="Z74" s="1942"/>
      <c r="AA74" s="1942"/>
      <c r="AB74" s="1942"/>
      <c r="AC74" s="1942"/>
      <c r="AD74" s="1942"/>
      <c r="AE74" s="1942"/>
      <c r="AF74" s="1942"/>
      <c r="AG74" s="1942"/>
      <c r="AH74" s="1942"/>
      <c r="AI74" s="2346"/>
      <c r="AJ74" s="937"/>
      <c r="AK74" s="938"/>
      <c r="AL74" s="938"/>
      <c r="AM74" s="938"/>
      <c r="AN74" s="938"/>
      <c r="AP74" s="2340"/>
      <c r="AQ74" s="2341"/>
      <c r="AR74" s="1904"/>
      <c r="AS74" s="1905"/>
      <c r="AT74" s="1905"/>
      <c r="AU74" s="1905"/>
      <c r="AV74" s="1905"/>
      <c r="AW74" s="1905"/>
      <c r="AX74" s="1905"/>
      <c r="AY74" s="1905"/>
      <c r="AZ74" s="1905"/>
      <c r="BA74" s="1905"/>
      <c r="BB74" s="1906"/>
      <c r="BC74" s="2370"/>
      <c r="BD74" s="2371"/>
      <c r="BE74" s="2371"/>
      <c r="BF74" s="2371"/>
      <c r="BG74" s="2371"/>
      <c r="BH74" s="2371"/>
      <c r="BI74" s="2371"/>
      <c r="BJ74" s="2372"/>
      <c r="BK74" s="1910"/>
      <c r="BL74" s="1911"/>
      <c r="BM74" s="1912"/>
      <c r="BN74" s="1942"/>
      <c r="BO74" s="1942"/>
      <c r="BP74" s="1942"/>
      <c r="BQ74" s="1942"/>
      <c r="BR74" s="1942"/>
      <c r="BS74" s="1942"/>
      <c r="BT74" s="1942"/>
      <c r="BU74" s="1942"/>
      <c r="BV74" s="1942"/>
      <c r="BW74" s="2346"/>
      <c r="BX74" s="937"/>
    </row>
    <row r="75" spans="2:76" ht="27.95" hidden="1" customHeight="1" outlineLevel="1">
      <c r="B75" s="2340"/>
      <c r="C75" s="2341"/>
      <c r="D75" s="1904"/>
      <c r="E75" s="1905"/>
      <c r="F75" s="1905"/>
      <c r="G75" s="1905"/>
      <c r="H75" s="1905"/>
      <c r="I75" s="1905"/>
      <c r="J75" s="1905"/>
      <c r="K75" s="1905"/>
      <c r="L75" s="1905"/>
      <c r="M75" s="1905"/>
      <c r="N75" s="1906"/>
      <c r="O75" s="2367"/>
      <c r="P75" s="2368"/>
      <c r="Q75" s="2368"/>
      <c r="R75" s="2368"/>
      <c r="S75" s="2368"/>
      <c r="T75" s="2368"/>
      <c r="U75" s="2368"/>
      <c r="V75" s="2369"/>
      <c r="W75" s="1907"/>
      <c r="X75" s="1908"/>
      <c r="Y75" s="1909"/>
      <c r="Z75" s="1942"/>
      <c r="AA75" s="1942"/>
      <c r="AB75" s="1942"/>
      <c r="AC75" s="1942"/>
      <c r="AD75" s="1942"/>
      <c r="AE75" s="1942"/>
      <c r="AF75" s="1942"/>
      <c r="AG75" s="1942"/>
      <c r="AH75" s="1942"/>
      <c r="AI75" s="2346"/>
      <c r="AJ75" s="937"/>
      <c r="AK75" s="938"/>
      <c r="AL75" s="938"/>
      <c r="AM75" s="938"/>
      <c r="AN75" s="938"/>
      <c r="AP75" s="2340"/>
      <c r="AQ75" s="2341"/>
      <c r="AR75" s="1904"/>
      <c r="AS75" s="1905"/>
      <c r="AT75" s="1905"/>
      <c r="AU75" s="1905"/>
      <c r="AV75" s="1905"/>
      <c r="AW75" s="1905"/>
      <c r="AX75" s="1905"/>
      <c r="AY75" s="1905"/>
      <c r="AZ75" s="1905"/>
      <c r="BA75" s="1905"/>
      <c r="BB75" s="1906"/>
      <c r="BC75" s="2370"/>
      <c r="BD75" s="2371"/>
      <c r="BE75" s="2371"/>
      <c r="BF75" s="2371"/>
      <c r="BG75" s="2371"/>
      <c r="BH75" s="2371"/>
      <c r="BI75" s="2371"/>
      <c r="BJ75" s="2372"/>
      <c r="BK75" s="1910"/>
      <c r="BL75" s="1911"/>
      <c r="BM75" s="1912"/>
      <c r="BN75" s="1942"/>
      <c r="BO75" s="1942"/>
      <c r="BP75" s="1942"/>
      <c r="BQ75" s="1942"/>
      <c r="BR75" s="1942"/>
      <c r="BS75" s="1942"/>
      <c r="BT75" s="1942"/>
      <c r="BU75" s="1942"/>
      <c r="BV75" s="1942"/>
      <c r="BW75" s="2346"/>
      <c r="BX75" s="937"/>
    </row>
    <row r="76" spans="2:76" ht="27.95" hidden="1" customHeight="1" outlineLevel="1">
      <c r="B76" s="2340"/>
      <c r="C76" s="2341"/>
      <c r="D76" s="1904"/>
      <c r="E76" s="1905"/>
      <c r="F76" s="1905"/>
      <c r="G76" s="1905"/>
      <c r="H76" s="1905"/>
      <c r="I76" s="1905"/>
      <c r="J76" s="1905"/>
      <c r="K76" s="1905"/>
      <c r="L76" s="1905"/>
      <c r="M76" s="1905"/>
      <c r="N76" s="1906"/>
      <c r="O76" s="2367"/>
      <c r="P76" s="2368"/>
      <c r="Q76" s="2368"/>
      <c r="R76" s="2368"/>
      <c r="S76" s="2368"/>
      <c r="T76" s="2368"/>
      <c r="U76" s="2368"/>
      <c r="V76" s="2369"/>
      <c r="W76" s="1907"/>
      <c r="X76" s="1908"/>
      <c r="Y76" s="1909"/>
      <c r="Z76" s="1942"/>
      <c r="AA76" s="1942"/>
      <c r="AB76" s="1942"/>
      <c r="AC76" s="1942"/>
      <c r="AD76" s="1942"/>
      <c r="AE76" s="1942"/>
      <c r="AF76" s="1942"/>
      <c r="AG76" s="1942"/>
      <c r="AH76" s="1942"/>
      <c r="AI76" s="2346"/>
      <c r="AJ76" s="937"/>
      <c r="AK76" s="938"/>
      <c r="AL76" s="938"/>
      <c r="AM76" s="938"/>
      <c r="AN76" s="938"/>
      <c r="AP76" s="2340"/>
      <c r="AQ76" s="2341"/>
      <c r="AR76" s="1904"/>
      <c r="AS76" s="1905"/>
      <c r="AT76" s="1905"/>
      <c r="AU76" s="1905"/>
      <c r="AV76" s="1905"/>
      <c r="AW76" s="1905"/>
      <c r="AX76" s="1905"/>
      <c r="AY76" s="1905"/>
      <c r="AZ76" s="1905"/>
      <c r="BA76" s="1905"/>
      <c r="BB76" s="1906"/>
      <c r="BC76" s="2370"/>
      <c r="BD76" s="2371"/>
      <c r="BE76" s="2371"/>
      <c r="BF76" s="2371"/>
      <c r="BG76" s="2371"/>
      <c r="BH76" s="2371"/>
      <c r="BI76" s="2371"/>
      <c r="BJ76" s="2372"/>
      <c r="BK76" s="1910"/>
      <c r="BL76" s="1911"/>
      <c r="BM76" s="1912"/>
      <c r="BN76" s="1942"/>
      <c r="BO76" s="1942"/>
      <c r="BP76" s="1942"/>
      <c r="BQ76" s="1942"/>
      <c r="BR76" s="1942"/>
      <c r="BS76" s="1942"/>
      <c r="BT76" s="1942"/>
      <c r="BU76" s="1942"/>
      <c r="BV76" s="1942"/>
      <c r="BW76" s="2346"/>
      <c r="BX76" s="937"/>
    </row>
    <row r="77" spans="2:76" ht="27.95" hidden="1" customHeight="1" outlineLevel="1">
      <c r="B77" s="2340"/>
      <c r="C77" s="2341"/>
      <c r="D77" s="1904"/>
      <c r="E77" s="1905"/>
      <c r="F77" s="1905"/>
      <c r="G77" s="1905"/>
      <c r="H77" s="1905"/>
      <c r="I77" s="1905"/>
      <c r="J77" s="1905"/>
      <c r="K77" s="1905"/>
      <c r="L77" s="1905"/>
      <c r="M77" s="1905"/>
      <c r="N77" s="1906"/>
      <c r="O77" s="2367"/>
      <c r="P77" s="2368"/>
      <c r="Q77" s="2368"/>
      <c r="R77" s="2368"/>
      <c r="S77" s="2368"/>
      <c r="T77" s="2368"/>
      <c r="U77" s="2368"/>
      <c r="V77" s="2369"/>
      <c r="W77" s="1907"/>
      <c r="X77" s="1908"/>
      <c r="Y77" s="1909"/>
      <c r="Z77" s="1942"/>
      <c r="AA77" s="1942"/>
      <c r="AB77" s="1942"/>
      <c r="AC77" s="1942"/>
      <c r="AD77" s="1942"/>
      <c r="AE77" s="1942"/>
      <c r="AF77" s="1942"/>
      <c r="AG77" s="1942"/>
      <c r="AH77" s="1942"/>
      <c r="AI77" s="2346"/>
      <c r="AJ77" s="937"/>
      <c r="AK77" s="938"/>
      <c r="AL77" s="938"/>
      <c r="AM77" s="938"/>
      <c r="AN77" s="938"/>
      <c r="AP77" s="2340"/>
      <c r="AQ77" s="2341"/>
      <c r="AR77" s="1904"/>
      <c r="AS77" s="1905"/>
      <c r="AT77" s="1905"/>
      <c r="AU77" s="1905"/>
      <c r="AV77" s="1905"/>
      <c r="AW77" s="1905"/>
      <c r="AX77" s="1905"/>
      <c r="AY77" s="1905"/>
      <c r="AZ77" s="1905"/>
      <c r="BA77" s="1905"/>
      <c r="BB77" s="1906"/>
      <c r="BC77" s="2370"/>
      <c r="BD77" s="2371"/>
      <c r="BE77" s="2371"/>
      <c r="BF77" s="2371"/>
      <c r="BG77" s="2371"/>
      <c r="BH77" s="2371"/>
      <c r="BI77" s="2371"/>
      <c r="BJ77" s="2372"/>
      <c r="BK77" s="1910"/>
      <c r="BL77" s="1911"/>
      <c r="BM77" s="1912"/>
      <c r="BN77" s="1942"/>
      <c r="BO77" s="1942"/>
      <c r="BP77" s="1942"/>
      <c r="BQ77" s="1942"/>
      <c r="BR77" s="1942"/>
      <c r="BS77" s="1942"/>
      <c r="BT77" s="1942"/>
      <c r="BU77" s="1942"/>
      <c r="BV77" s="1942"/>
      <c r="BW77" s="2346"/>
      <c r="BX77" s="937"/>
    </row>
    <row r="78" spans="2:76" ht="27.95" hidden="1" customHeight="1" outlineLevel="1">
      <c r="B78" s="2340"/>
      <c r="C78" s="2341"/>
      <c r="D78" s="1904"/>
      <c r="E78" s="1905"/>
      <c r="F78" s="1905"/>
      <c r="G78" s="1905"/>
      <c r="H78" s="1905"/>
      <c r="I78" s="1905"/>
      <c r="J78" s="1905"/>
      <c r="K78" s="1905"/>
      <c r="L78" s="1905"/>
      <c r="M78" s="1905"/>
      <c r="N78" s="1906"/>
      <c r="O78" s="2367"/>
      <c r="P78" s="2368"/>
      <c r="Q78" s="2368"/>
      <c r="R78" s="2368"/>
      <c r="S78" s="2368"/>
      <c r="T78" s="2368"/>
      <c r="U78" s="2368"/>
      <c r="V78" s="2369"/>
      <c r="W78" s="1907"/>
      <c r="X78" s="1908"/>
      <c r="Y78" s="1909"/>
      <c r="Z78" s="1942"/>
      <c r="AA78" s="1942"/>
      <c r="AB78" s="1942"/>
      <c r="AC78" s="1942"/>
      <c r="AD78" s="1942"/>
      <c r="AE78" s="1942"/>
      <c r="AF78" s="1942"/>
      <c r="AG78" s="1942"/>
      <c r="AH78" s="1942"/>
      <c r="AI78" s="2346"/>
      <c r="AJ78" s="937"/>
      <c r="AK78" s="938"/>
      <c r="AL78" s="938"/>
      <c r="AM78" s="938"/>
      <c r="AN78" s="938"/>
      <c r="AP78" s="2340"/>
      <c r="AQ78" s="2341"/>
      <c r="AR78" s="1904"/>
      <c r="AS78" s="1905"/>
      <c r="AT78" s="1905"/>
      <c r="AU78" s="1905"/>
      <c r="AV78" s="1905"/>
      <c r="AW78" s="1905"/>
      <c r="AX78" s="1905"/>
      <c r="AY78" s="1905"/>
      <c r="AZ78" s="1905"/>
      <c r="BA78" s="1905"/>
      <c r="BB78" s="1906"/>
      <c r="BC78" s="2370"/>
      <c r="BD78" s="2371"/>
      <c r="BE78" s="2371"/>
      <c r="BF78" s="2371"/>
      <c r="BG78" s="2371"/>
      <c r="BH78" s="2371"/>
      <c r="BI78" s="2371"/>
      <c r="BJ78" s="2372"/>
      <c r="BK78" s="1910"/>
      <c r="BL78" s="1911"/>
      <c r="BM78" s="1912"/>
      <c r="BN78" s="1942"/>
      <c r="BO78" s="1942"/>
      <c r="BP78" s="1942"/>
      <c r="BQ78" s="1942"/>
      <c r="BR78" s="1942"/>
      <c r="BS78" s="1942"/>
      <c r="BT78" s="1942"/>
      <c r="BU78" s="1942"/>
      <c r="BV78" s="1942"/>
      <c r="BW78" s="2346"/>
      <c r="BX78" s="937"/>
    </row>
    <row r="79" spans="2:76" ht="27.95" hidden="1" customHeight="1" outlineLevel="1">
      <c r="B79" s="2340"/>
      <c r="C79" s="2341"/>
      <c r="D79" s="1904"/>
      <c r="E79" s="1905"/>
      <c r="F79" s="1905"/>
      <c r="G79" s="1905"/>
      <c r="H79" s="1905"/>
      <c r="I79" s="1905"/>
      <c r="J79" s="1905"/>
      <c r="K79" s="1905"/>
      <c r="L79" s="1905"/>
      <c r="M79" s="1905"/>
      <c r="N79" s="1906"/>
      <c r="O79" s="2367"/>
      <c r="P79" s="2368"/>
      <c r="Q79" s="2368"/>
      <c r="R79" s="2368"/>
      <c r="S79" s="2368"/>
      <c r="T79" s="2368"/>
      <c r="U79" s="2368"/>
      <c r="V79" s="2369"/>
      <c r="W79" s="1907"/>
      <c r="X79" s="1908"/>
      <c r="Y79" s="1909"/>
      <c r="Z79" s="1942"/>
      <c r="AA79" s="1942"/>
      <c r="AB79" s="1942"/>
      <c r="AC79" s="1942"/>
      <c r="AD79" s="1942"/>
      <c r="AE79" s="1942"/>
      <c r="AF79" s="1942"/>
      <c r="AG79" s="1942"/>
      <c r="AH79" s="1942"/>
      <c r="AI79" s="2346"/>
      <c r="AJ79" s="937"/>
      <c r="AK79" s="938"/>
      <c r="AL79" s="938"/>
      <c r="AM79" s="938"/>
      <c r="AN79" s="938"/>
      <c r="AP79" s="2340"/>
      <c r="AQ79" s="2341"/>
      <c r="AR79" s="1904"/>
      <c r="AS79" s="1905"/>
      <c r="AT79" s="1905"/>
      <c r="AU79" s="1905"/>
      <c r="AV79" s="1905"/>
      <c r="AW79" s="1905"/>
      <c r="AX79" s="1905"/>
      <c r="AY79" s="1905"/>
      <c r="AZ79" s="1905"/>
      <c r="BA79" s="1905"/>
      <c r="BB79" s="1906"/>
      <c r="BC79" s="2370"/>
      <c r="BD79" s="2371"/>
      <c r="BE79" s="2371"/>
      <c r="BF79" s="2371"/>
      <c r="BG79" s="2371"/>
      <c r="BH79" s="2371"/>
      <c r="BI79" s="2371"/>
      <c r="BJ79" s="2372"/>
      <c r="BK79" s="1910"/>
      <c r="BL79" s="1911"/>
      <c r="BM79" s="1912"/>
      <c r="BN79" s="1942"/>
      <c r="BO79" s="1942"/>
      <c r="BP79" s="1942"/>
      <c r="BQ79" s="1942"/>
      <c r="BR79" s="1942"/>
      <c r="BS79" s="1942"/>
      <c r="BT79" s="1942"/>
      <c r="BU79" s="1942"/>
      <c r="BV79" s="1942"/>
      <c r="BW79" s="2346"/>
      <c r="BX79" s="937"/>
    </row>
    <row r="80" spans="2:76" ht="27.95" hidden="1" customHeight="1" outlineLevel="1">
      <c r="B80" s="2340"/>
      <c r="C80" s="2341"/>
      <c r="D80" s="1904"/>
      <c r="E80" s="1905"/>
      <c r="F80" s="1905"/>
      <c r="G80" s="1905"/>
      <c r="H80" s="1905"/>
      <c r="I80" s="1905"/>
      <c r="J80" s="1905"/>
      <c r="K80" s="1905"/>
      <c r="L80" s="1905"/>
      <c r="M80" s="1905"/>
      <c r="N80" s="1906"/>
      <c r="O80" s="2367"/>
      <c r="P80" s="2368"/>
      <c r="Q80" s="2368"/>
      <c r="R80" s="2368"/>
      <c r="S80" s="2368"/>
      <c r="T80" s="2368"/>
      <c r="U80" s="2368"/>
      <c r="V80" s="2369"/>
      <c r="W80" s="1907"/>
      <c r="X80" s="1908"/>
      <c r="Y80" s="1909"/>
      <c r="Z80" s="1942"/>
      <c r="AA80" s="1942"/>
      <c r="AB80" s="1942"/>
      <c r="AC80" s="1942"/>
      <c r="AD80" s="1942"/>
      <c r="AE80" s="1942"/>
      <c r="AF80" s="1942"/>
      <c r="AG80" s="1942"/>
      <c r="AH80" s="1942"/>
      <c r="AI80" s="2346"/>
      <c r="AJ80" s="937"/>
      <c r="AK80" s="938"/>
      <c r="AL80" s="938"/>
      <c r="AM80" s="938"/>
      <c r="AN80" s="938"/>
      <c r="AP80" s="2340"/>
      <c r="AQ80" s="2341"/>
      <c r="AR80" s="1904"/>
      <c r="AS80" s="1905"/>
      <c r="AT80" s="1905"/>
      <c r="AU80" s="1905"/>
      <c r="AV80" s="1905"/>
      <c r="AW80" s="1905"/>
      <c r="AX80" s="1905"/>
      <c r="AY80" s="1905"/>
      <c r="AZ80" s="1905"/>
      <c r="BA80" s="1905"/>
      <c r="BB80" s="1906"/>
      <c r="BC80" s="2370"/>
      <c r="BD80" s="2371"/>
      <c r="BE80" s="2371"/>
      <c r="BF80" s="2371"/>
      <c r="BG80" s="2371"/>
      <c r="BH80" s="2371"/>
      <c r="BI80" s="2371"/>
      <c r="BJ80" s="2372"/>
      <c r="BK80" s="1910"/>
      <c r="BL80" s="1911"/>
      <c r="BM80" s="1912"/>
      <c r="BN80" s="1942"/>
      <c r="BO80" s="1942"/>
      <c r="BP80" s="1942"/>
      <c r="BQ80" s="1942"/>
      <c r="BR80" s="1942"/>
      <c r="BS80" s="1942"/>
      <c r="BT80" s="1942"/>
      <c r="BU80" s="1942"/>
      <c r="BV80" s="1942"/>
      <c r="BW80" s="2346"/>
      <c r="BX80" s="937"/>
    </row>
    <row r="81" spans="1:76" ht="27.95" hidden="1" customHeight="1" outlineLevel="1">
      <c r="B81" s="2340"/>
      <c r="C81" s="2341"/>
      <c r="D81" s="1904"/>
      <c r="E81" s="1905"/>
      <c r="F81" s="1905"/>
      <c r="G81" s="1905"/>
      <c r="H81" s="1905"/>
      <c r="I81" s="1905"/>
      <c r="J81" s="1905"/>
      <c r="K81" s="1905"/>
      <c r="L81" s="1905"/>
      <c r="M81" s="1905"/>
      <c r="N81" s="1906"/>
      <c r="O81" s="2367"/>
      <c r="P81" s="2368"/>
      <c r="Q81" s="2368"/>
      <c r="R81" s="2368"/>
      <c r="S81" s="2368"/>
      <c r="T81" s="2368"/>
      <c r="U81" s="2368"/>
      <c r="V81" s="2369"/>
      <c r="W81" s="1907"/>
      <c r="X81" s="1908"/>
      <c r="Y81" s="1909"/>
      <c r="Z81" s="1942"/>
      <c r="AA81" s="1942"/>
      <c r="AB81" s="1942"/>
      <c r="AC81" s="1942"/>
      <c r="AD81" s="1942"/>
      <c r="AE81" s="1942"/>
      <c r="AF81" s="1942"/>
      <c r="AG81" s="1942"/>
      <c r="AH81" s="1942"/>
      <c r="AI81" s="2346"/>
      <c r="AJ81" s="937"/>
      <c r="AK81" s="938"/>
      <c r="AL81" s="938"/>
      <c r="AM81" s="938"/>
      <c r="AN81" s="938"/>
      <c r="AP81" s="2340"/>
      <c r="AQ81" s="2341"/>
      <c r="AR81" s="1904"/>
      <c r="AS81" s="1905"/>
      <c r="AT81" s="1905"/>
      <c r="AU81" s="1905"/>
      <c r="AV81" s="1905"/>
      <c r="AW81" s="1905"/>
      <c r="AX81" s="1905"/>
      <c r="AY81" s="1905"/>
      <c r="AZ81" s="1905"/>
      <c r="BA81" s="1905"/>
      <c r="BB81" s="1906"/>
      <c r="BC81" s="2370"/>
      <c r="BD81" s="2371"/>
      <c r="BE81" s="2371"/>
      <c r="BF81" s="2371"/>
      <c r="BG81" s="2371"/>
      <c r="BH81" s="2371"/>
      <c r="BI81" s="2371"/>
      <c r="BJ81" s="2372"/>
      <c r="BK81" s="1910"/>
      <c r="BL81" s="1911"/>
      <c r="BM81" s="1912"/>
      <c r="BN81" s="1942"/>
      <c r="BO81" s="1942"/>
      <c r="BP81" s="1942"/>
      <c r="BQ81" s="1942"/>
      <c r="BR81" s="1942"/>
      <c r="BS81" s="1942"/>
      <c r="BT81" s="1942"/>
      <c r="BU81" s="1942"/>
      <c r="BV81" s="1942"/>
      <c r="BW81" s="2346"/>
      <c r="BX81" s="937"/>
    </row>
    <row r="82" spans="1:76" ht="27.95" hidden="1" customHeight="1" outlineLevel="1">
      <c r="B82" s="2340"/>
      <c r="C82" s="2341"/>
      <c r="D82" s="1904"/>
      <c r="E82" s="1905"/>
      <c r="F82" s="1905"/>
      <c r="G82" s="1905"/>
      <c r="H82" s="1905"/>
      <c r="I82" s="1905"/>
      <c r="J82" s="1905"/>
      <c r="K82" s="1905"/>
      <c r="L82" s="1905"/>
      <c r="M82" s="1905"/>
      <c r="N82" s="1906"/>
      <c r="O82" s="2367"/>
      <c r="P82" s="2368"/>
      <c r="Q82" s="2368"/>
      <c r="R82" s="2368"/>
      <c r="S82" s="2368"/>
      <c r="T82" s="2368"/>
      <c r="U82" s="2368"/>
      <c r="V82" s="2369"/>
      <c r="W82" s="1907"/>
      <c r="X82" s="1908"/>
      <c r="Y82" s="1909"/>
      <c r="Z82" s="1942"/>
      <c r="AA82" s="1942"/>
      <c r="AB82" s="1942"/>
      <c r="AC82" s="1942"/>
      <c r="AD82" s="1942"/>
      <c r="AE82" s="1942"/>
      <c r="AF82" s="1942"/>
      <c r="AG82" s="1942"/>
      <c r="AH82" s="1942"/>
      <c r="AI82" s="2346"/>
      <c r="AJ82" s="937"/>
      <c r="AK82" s="938"/>
      <c r="AL82" s="938"/>
      <c r="AM82" s="938"/>
      <c r="AN82" s="938"/>
      <c r="AP82" s="2340"/>
      <c r="AQ82" s="2341"/>
      <c r="AR82" s="1904"/>
      <c r="AS82" s="1905"/>
      <c r="AT82" s="1905"/>
      <c r="AU82" s="1905"/>
      <c r="AV82" s="1905"/>
      <c r="AW82" s="1905"/>
      <c r="AX82" s="1905"/>
      <c r="AY82" s="1905"/>
      <c r="AZ82" s="1905"/>
      <c r="BA82" s="1905"/>
      <c r="BB82" s="1906"/>
      <c r="BC82" s="2370"/>
      <c r="BD82" s="2371"/>
      <c r="BE82" s="2371"/>
      <c r="BF82" s="2371"/>
      <c r="BG82" s="2371"/>
      <c r="BH82" s="2371"/>
      <c r="BI82" s="2371"/>
      <c r="BJ82" s="2372"/>
      <c r="BK82" s="1910"/>
      <c r="BL82" s="1911"/>
      <c r="BM82" s="1912"/>
      <c r="BN82" s="1942"/>
      <c r="BO82" s="1942"/>
      <c r="BP82" s="1942"/>
      <c r="BQ82" s="1942"/>
      <c r="BR82" s="1942"/>
      <c r="BS82" s="1942"/>
      <c r="BT82" s="1942"/>
      <c r="BU82" s="1942"/>
      <c r="BV82" s="1942"/>
      <c r="BW82" s="2346"/>
      <c r="BX82" s="937"/>
    </row>
    <row r="83" spans="1:76" ht="27.95" hidden="1" customHeight="1" outlineLevel="1">
      <c r="B83" s="2340"/>
      <c r="C83" s="2341"/>
      <c r="D83" s="1904"/>
      <c r="E83" s="1905"/>
      <c r="F83" s="1905"/>
      <c r="G83" s="1905"/>
      <c r="H83" s="1905"/>
      <c r="I83" s="1905"/>
      <c r="J83" s="1905"/>
      <c r="K83" s="1905"/>
      <c r="L83" s="1905"/>
      <c r="M83" s="1905"/>
      <c r="N83" s="1906"/>
      <c r="O83" s="2367"/>
      <c r="P83" s="2368"/>
      <c r="Q83" s="2368"/>
      <c r="R83" s="2368"/>
      <c r="S83" s="2368"/>
      <c r="T83" s="2368"/>
      <c r="U83" s="2368"/>
      <c r="V83" s="2369"/>
      <c r="W83" s="1907"/>
      <c r="X83" s="1908"/>
      <c r="Y83" s="1909"/>
      <c r="Z83" s="1942"/>
      <c r="AA83" s="1942"/>
      <c r="AB83" s="1942"/>
      <c r="AC83" s="1942"/>
      <c r="AD83" s="1942"/>
      <c r="AE83" s="1942"/>
      <c r="AF83" s="1942"/>
      <c r="AG83" s="1942"/>
      <c r="AH83" s="1942"/>
      <c r="AI83" s="2346"/>
      <c r="AJ83" s="937"/>
      <c r="AK83" s="938"/>
      <c r="AL83" s="938"/>
      <c r="AM83" s="938"/>
      <c r="AN83" s="938"/>
      <c r="AP83" s="2340"/>
      <c r="AQ83" s="2341"/>
      <c r="AR83" s="1904"/>
      <c r="AS83" s="1905"/>
      <c r="AT83" s="1905"/>
      <c r="AU83" s="1905"/>
      <c r="AV83" s="1905"/>
      <c r="AW83" s="1905"/>
      <c r="AX83" s="1905"/>
      <c r="AY83" s="1905"/>
      <c r="AZ83" s="1905"/>
      <c r="BA83" s="1905"/>
      <c r="BB83" s="1906"/>
      <c r="BC83" s="2370"/>
      <c r="BD83" s="2371"/>
      <c r="BE83" s="2371"/>
      <c r="BF83" s="2371"/>
      <c r="BG83" s="2371"/>
      <c r="BH83" s="2371"/>
      <c r="BI83" s="2371"/>
      <c r="BJ83" s="2372"/>
      <c r="BK83" s="1910"/>
      <c r="BL83" s="1911"/>
      <c r="BM83" s="1912"/>
      <c r="BN83" s="1942"/>
      <c r="BO83" s="1942"/>
      <c r="BP83" s="1942"/>
      <c r="BQ83" s="1942"/>
      <c r="BR83" s="1942"/>
      <c r="BS83" s="1942"/>
      <c r="BT83" s="1942"/>
      <c r="BU83" s="1942"/>
      <c r="BV83" s="1942"/>
      <c r="BW83" s="2346"/>
      <c r="BX83" s="937"/>
    </row>
    <row r="84" spans="1:76" ht="27.95" hidden="1" customHeight="1" outlineLevel="1">
      <c r="B84" s="2340"/>
      <c r="C84" s="2341"/>
      <c r="D84" s="1904"/>
      <c r="E84" s="1905"/>
      <c r="F84" s="1905"/>
      <c r="G84" s="1905"/>
      <c r="H84" s="1905"/>
      <c r="I84" s="1905"/>
      <c r="J84" s="1905"/>
      <c r="K84" s="1905"/>
      <c r="L84" s="1905"/>
      <c r="M84" s="1905"/>
      <c r="N84" s="1906"/>
      <c r="O84" s="2367"/>
      <c r="P84" s="2368"/>
      <c r="Q84" s="2368"/>
      <c r="R84" s="2368"/>
      <c r="S84" s="2368"/>
      <c r="T84" s="2368"/>
      <c r="U84" s="2368"/>
      <c r="V84" s="2369"/>
      <c r="W84" s="1907"/>
      <c r="X84" s="1908"/>
      <c r="Y84" s="1909"/>
      <c r="Z84" s="1942"/>
      <c r="AA84" s="1942"/>
      <c r="AB84" s="1942"/>
      <c r="AC84" s="1942"/>
      <c r="AD84" s="1942"/>
      <c r="AE84" s="1942"/>
      <c r="AF84" s="1942"/>
      <c r="AG84" s="1942"/>
      <c r="AH84" s="1942"/>
      <c r="AI84" s="2346"/>
      <c r="AJ84" s="937"/>
      <c r="AK84" s="938"/>
      <c r="AL84" s="938"/>
      <c r="AM84" s="938"/>
      <c r="AN84" s="938"/>
      <c r="AP84" s="2340"/>
      <c r="AQ84" s="2341"/>
      <c r="AR84" s="1904"/>
      <c r="AS84" s="1905"/>
      <c r="AT84" s="1905"/>
      <c r="AU84" s="1905"/>
      <c r="AV84" s="1905"/>
      <c r="AW84" s="1905"/>
      <c r="AX84" s="1905"/>
      <c r="AY84" s="1905"/>
      <c r="AZ84" s="1905"/>
      <c r="BA84" s="1905"/>
      <c r="BB84" s="1906"/>
      <c r="BC84" s="2370"/>
      <c r="BD84" s="2371"/>
      <c r="BE84" s="2371"/>
      <c r="BF84" s="2371"/>
      <c r="BG84" s="2371"/>
      <c r="BH84" s="2371"/>
      <c r="BI84" s="2371"/>
      <c r="BJ84" s="2372"/>
      <c r="BK84" s="1910"/>
      <c r="BL84" s="1911"/>
      <c r="BM84" s="1912"/>
      <c r="BN84" s="1942"/>
      <c r="BO84" s="1942"/>
      <c r="BP84" s="1942"/>
      <c r="BQ84" s="1942"/>
      <c r="BR84" s="1942"/>
      <c r="BS84" s="1942"/>
      <c r="BT84" s="1942"/>
      <c r="BU84" s="1942"/>
      <c r="BV84" s="1942"/>
      <c r="BW84" s="2346"/>
      <c r="BX84" s="937"/>
    </row>
    <row r="85" spans="1:76" ht="27.95" hidden="1" customHeight="1" outlineLevel="1">
      <c r="B85" s="2340"/>
      <c r="C85" s="2341"/>
      <c r="D85" s="1904"/>
      <c r="E85" s="1905"/>
      <c r="F85" s="1905"/>
      <c r="G85" s="1905"/>
      <c r="H85" s="1905"/>
      <c r="I85" s="1905"/>
      <c r="J85" s="1905"/>
      <c r="K85" s="1905"/>
      <c r="L85" s="1905"/>
      <c r="M85" s="1905"/>
      <c r="N85" s="1906"/>
      <c r="O85" s="2367"/>
      <c r="P85" s="2368"/>
      <c r="Q85" s="2368"/>
      <c r="R85" s="2368"/>
      <c r="S85" s="2368"/>
      <c r="T85" s="2368"/>
      <c r="U85" s="2368"/>
      <c r="V85" s="2369"/>
      <c r="W85" s="1907"/>
      <c r="X85" s="1908"/>
      <c r="Y85" s="1909"/>
      <c r="Z85" s="1942"/>
      <c r="AA85" s="1942"/>
      <c r="AB85" s="1942"/>
      <c r="AC85" s="1942"/>
      <c r="AD85" s="1942"/>
      <c r="AE85" s="1942"/>
      <c r="AF85" s="1942"/>
      <c r="AG85" s="1942"/>
      <c r="AH85" s="1942"/>
      <c r="AI85" s="2346"/>
      <c r="AJ85" s="937"/>
      <c r="AK85" s="938"/>
      <c r="AL85" s="938"/>
      <c r="AM85" s="938"/>
      <c r="AN85" s="938"/>
      <c r="AP85" s="2340"/>
      <c r="AQ85" s="2341"/>
      <c r="AR85" s="1904"/>
      <c r="AS85" s="1905"/>
      <c r="AT85" s="1905"/>
      <c r="AU85" s="1905"/>
      <c r="AV85" s="1905"/>
      <c r="AW85" s="1905"/>
      <c r="AX85" s="1905"/>
      <c r="AY85" s="1905"/>
      <c r="AZ85" s="1905"/>
      <c r="BA85" s="1905"/>
      <c r="BB85" s="1906"/>
      <c r="BC85" s="2370"/>
      <c r="BD85" s="2371"/>
      <c r="BE85" s="2371"/>
      <c r="BF85" s="2371"/>
      <c r="BG85" s="2371"/>
      <c r="BH85" s="2371"/>
      <c r="BI85" s="2371"/>
      <c r="BJ85" s="2372"/>
      <c r="BK85" s="1910"/>
      <c r="BL85" s="1911"/>
      <c r="BM85" s="1912"/>
      <c r="BN85" s="1942"/>
      <c r="BO85" s="1942"/>
      <c r="BP85" s="1942"/>
      <c r="BQ85" s="1942"/>
      <c r="BR85" s="1942"/>
      <c r="BS85" s="1942"/>
      <c r="BT85" s="1942"/>
      <c r="BU85" s="1942"/>
      <c r="BV85" s="1942"/>
      <c r="BW85" s="2346"/>
      <c r="BX85" s="937"/>
    </row>
    <row r="86" spans="1:76" ht="27.95" hidden="1" customHeight="1" outlineLevel="1">
      <c r="B86" s="2340"/>
      <c r="C86" s="2341"/>
      <c r="D86" s="1904"/>
      <c r="E86" s="1905"/>
      <c r="F86" s="1905"/>
      <c r="G86" s="1905"/>
      <c r="H86" s="1905"/>
      <c r="I86" s="1905"/>
      <c r="J86" s="1905"/>
      <c r="K86" s="1905"/>
      <c r="L86" s="1905"/>
      <c r="M86" s="1905"/>
      <c r="N86" s="1906"/>
      <c r="O86" s="2367"/>
      <c r="P86" s="2368"/>
      <c r="Q86" s="2368"/>
      <c r="R86" s="2368"/>
      <c r="S86" s="2368"/>
      <c r="T86" s="2368"/>
      <c r="U86" s="2368"/>
      <c r="V86" s="2369"/>
      <c r="W86" s="1907"/>
      <c r="X86" s="1908"/>
      <c r="Y86" s="1909"/>
      <c r="Z86" s="1942"/>
      <c r="AA86" s="1942"/>
      <c r="AB86" s="1942"/>
      <c r="AC86" s="1942"/>
      <c r="AD86" s="1942"/>
      <c r="AE86" s="1942"/>
      <c r="AF86" s="1942"/>
      <c r="AG86" s="1942"/>
      <c r="AH86" s="1942"/>
      <c r="AI86" s="2346"/>
      <c r="AJ86" s="937"/>
      <c r="AK86" s="938"/>
      <c r="AL86" s="938"/>
      <c r="AM86" s="938"/>
      <c r="AN86" s="938"/>
      <c r="AP86" s="2340"/>
      <c r="AQ86" s="2341"/>
      <c r="AR86" s="1904"/>
      <c r="AS86" s="1905"/>
      <c r="AT86" s="1905"/>
      <c r="AU86" s="1905"/>
      <c r="AV86" s="1905"/>
      <c r="AW86" s="1905"/>
      <c r="AX86" s="1905"/>
      <c r="AY86" s="1905"/>
      <c r="AZ86" s="1905"/>
      <c r="BA86" s="1905"/>
      <c r="BB86" s="1906"/>
      <c r="BC86" s="2370"/>
      <c r="BD86" s="2371"/>
      <c r="BE86" s="2371"/>
      <c r="BF86" s="2371"/>
      <c r="BG86" s="2371"/>
      <c r="BH86" s="2371"/>
      <c r="BI86" s="2371"/>
      <c r="BJ86" s="2372"/>
      <c r="BK86" s="1910"/>
      <c r="BL86" s="1911"/>
      <c r="BM86" s="1912"/>
      <c r="BN86" s="1942"/>
      <c r="BO86" s="1942"/>
      <c r="BP86" s="1942"/>
      <c r="BQ86" s="1942"/>
      <c r="BR86" s="1942"/>
      <c r="BS86" s="1942"/>
      <c r="BT86" s="1942"/>
      <c r="BU86" s="1942"/>
      <c r="BV86" s="1942"/>
      <c r="BW86" s="2346"/>
      <c r="BX86" s="937"/>
    </row>
    <row r="87" spans="1:76" ht="27.95" hidden="1" customHeight="1" outlineLevel="1">
      <c r="B87" s="2340"/>
      <c r="C87" s="2341"/>
      <c r="D87" s="1904"/>
      <c r="E87" s="1905"/>
      <c r="F87" s="1905"/>
      <c r="G87" s="1905"/>
      <c r="H87" s="1905"/>
      <c r="I87" s="1905"/>
      <c r="J87" s="1905"/>
      <c r="K87" s="1905"/>
      <c r="L87" s="1905"/>
      <c r="M87" s="1905"/>
      <c r="N87" s="1906"/>
      <c r="O87" s="2367"/>
      <c r="P87" s="2368"/>
      <c r="Q87" s="2368"/>
      <c r="R87" s="2368"/>
      <c r="S87" s="2368"/>
      <c r="T87" s="2368"/>
      <c r="U87" s="2368"/>
      <c r="V87" s="2369"/>
      <c r="W87" s="1907"/>
      <c r="X87" s="1908"/>
      <c r="Y87" s="1909"/>
      <c r="Z87" s="1942"/>
      <c r="AA87" s="1942"/>
      <c r="AB87" s="1942"/>
      <c r="AC87" s="1942"/>
      <c r="AD87" s="1942"/>
      <c r="AE87" s="1942"/>
      <c r="AF87" s="1942"/>
      <c r="AG87" s="1942"/>
      <c r="AH87" s="1942"/>
      <c r="AI87" s="2346"/>
      <c r="AJ87" s="937"/>
      <c r="AK87" s="938"/>
      <c r="AL87" s="938"/>
      <c r="AM87" s="938"/>
      <c r="AN87" s="938"/>
      <c r="AP87" s="2340"/>
      <c r="AQ87" s="2341"/>
      <c r="AR87" s="1904"/>
      <c r="AS87" s="1905"/>
      <c r="AT87" s="1905"/>
      <c r="AU87" s="1905"/>
      <c r="AV87" s="1905"/>
      <c r="AW87" s="1905"/>
      <c r="AX87" s="1905"/>
      <c r="AY87" s="1905"/>
      <c r="AZ87" s="1905"/>
      <c r="BA87" s="1905"/>
      <c r="BB87" s="1906"/>
      <c r="BC87" s="2370"/>
      <c r="BD87" s="2371"/>
      <c r="BE87" s="2371"/>
      <c r="BF87" s="2371"/>
      <c r="BG87" s="2371"/>
      <c r="BH87" s="2371"/>
      <c r="BI87" s="2371"/>
      <c r="BJ87" s="2372"/>
      <c r="BK87" s="1910"/>
      <c r="BL87" s="1911"/>
      <c r="BM87" s="1912"/>
      <c r="BN87" s="1942"/>
      <c r="BO87" s="1942"/>
      <c r="BP87" s="1942"/>
      <c r="BQ87" s="1942"/>
      <c r="BR87" s="1942"/>
      <c r="BS87" s="1942"/>
      <c r="BT87" s="1942"/>
      <c r="BU87" s="1942"/>
      <c r="BV87" s="1942"/>
      <c r="BW87" s="2346"/>
      <c r="BX87" s="937"/>
    </row>
    <row r="88" spans="1:76" ht="27.95" hidden="1" customHeight="1" outlineLevel="1">
      <c r="B88" s="2340"/>
      <c r="C88" s="2341"/>
      <c r="D88" s="1904"/>
      <c r="E88" s="1905"/>
      <c r="F88" s="1905"/>
      <c r="G88" s="1905"/>
      <c r="H88" s="1905"/>
      <c r="I88" s="1905"/>
      <c r="J88" s="1905"/>
      <c r="K88" s="1905"/>
      <c r="L88" s="1905"/>
      <c r="M88" s="1905"/>
      <c r="N88" s="1906"/>
      <c r="O88" s="2367"/>
      <c r="P88" s="2368"/>
      <c r="Q88" s="2368"/>
      <c r="R88" s="2368"/>
      <c r="S88" s="2368"/>
      <c r="T88" s="2368"/>
      <c r="U88" s="2368"/>
      <c r="V88" s="2369"/>
      <c r="W88" s="1907"/>
      <c r="X88" s="1908"/>
      <c r="Y88" s="1909"/>
      <c r="Z88" s="1942"/>
      <c r="AA88" s="1942"/>
      <c r="AB88" s="1942"/>
      <c r="AC88" s="1942"/>
      <c r="AD88" s="1942"/>
      <c r="AE88" s="1942"/>
      <c r="AF88" s="1942"/>
      <c r="AG88" s="1942"/>
      <c r="AH88" s="1942"/>
      <c r="AI88" s="2346"/>
      <c r="AJ88" s="937"/>
      <c r="AK88" s="938"/>
      <c r="AL88" s="938"/>
      <c r="AM88" s="938"/>
      <c r="AN88" s="938"/>
      <c r="AP88" s="2340"/>
      <c r="AQ88" s="2341"/>
      <c r="AR88" s="1904"/>
      <c r="AS88" s="1905"/>
      <c r="AT88" s="1905"/>
      <c r="AU88" s="1905"/>
      <c r="AV88" s="1905"/>
      <c r="AW88" s="1905"/>
      <c r="AX88" s="1905"/>
      <c r="AY88" s="1905"/>
      <c r="AZ88" s="1905"/>
      <c r="BA88" s="1905"/>
      <c r="BB88" s="1906"/>
      <c r="BC88" s="2370"/>
      <c r="BD88" s="2371"/>
      <c r="BE88" s="2371"/>
      <c r="BF88" s="2371"/>
      <c r="BG88" s="2371"/>
      <c r="BH88" s="2371"/>
      <c r="BI88" s="2371"/>
      <c r="BJ88" s="2372"/>
      <c r="BK88" s="1910"/>
      <c r="BL88" s="1911"/>
      <c r="BM88" s="1912"/>
      <c r="BN88" s="1942"/>
      <c r="BO88" s="1942"/>
      <c r="BP88" s="1942"/>
      <c r="BQ88" s="1942"/>
      <c r="BR88" s="1942"/>
      <c r="BS88" s="1942"/>
      <c r="BT88" s="1942"/>
      <c r="BU88" s="1942"/>
      <c r="BV88" s="1942"/>
      <c r="BW88" s="2346"/>
      <c r="BX88" s="937"/>
    </row>
    <row r="89" spans="1:76" ht="27.95" hidden="1" customHeight="1" outlineLevel="1">
      <c r="B89" s="2340"/>
      <c r="C89" s="2341"/>
      <c r="D89" s="1904"/>
      <c r="E89" s="1905"/>
      <c r="F89" s="1905"/>
      <c r="G89" s="1905"/>
      <c r="H89" s="1905"/>
      <c r="I89" s="1905"/>
      <c r="J89" s="1905"/>
      <c r="K89" s="1905"/>
      <c r="L89" s="1905"/>
      <c r="M89" s="1905"/>
      <c r="N89" s="1906"/>
      <c r="O89" s="2367"/>
      <c r="P89" s="2368"/>
      <c r="Q89" s="2368"/>
      <c r="R89" s="2368"/>
      <c r="S89" s="2368"/>
      <c r="T89" s="2368"/>
      <c r="U89" s="2368"/>
      <c r="V89" s="2369"/>
      <c r="W89" s="1907"/>
      <c r="X89" s="1908"/>
      <c r="Y89" s="1909"/>
      <c r="Z89" s="1942"/>
      <c r="AA89" s="1942"/>
      <c r="AB89" s="1942"/>
      <c r="AC89" s="1942"/>
      <c r="AD89" s="1942"/>
      <c r="AE89" s="1942"/>
      <c r="AF89" s="1942"/>
      <c r="AG89" s="1942"/>
      <c r="AH89" s="1942"/>
      <c r="AI89" s="2346"/>
      <c r="AJ89" s="937"/>
      <c r="AK89" s="938"/>
      <c r="AL89" s="938"/>
      <c r="AM89" s="938"/>
      <c r="AN89" s="938"/>
      <c r="AP89" s="2340"/>
      <c r="AQ89" s="2341"/>
      <c r="AR89" s="1904"/>
      <c r="AS89" s="1905"/>
      <c r="AT89" s="1905"/>
      <c r="AU89" s="1905"/>
      <c r="AV89" s="1905"/>
      <c r="AW89" s="1905"/>
      <c r="AX89" s="1905"/>
      <c r="AY89" s="1905"/>
      <c r="AZ89" s="1905"/>
      <c r="BA89" s="1905"/>
      <c r="BB89" s="1906"/>
      <c r="BC89" s="2370"/>
      <c r="BD89" s="2371"/>
      <c r="BE89" s="2371"/>
      <c r="BF89" s="2371"/>
      <c r="BG89" s="2371"/>
      <c r="BH89" s="2371"/>
      <c r="BI89" s="2371"/>
      <c r="BJ89" s="2372"/>
      <c r="BK89" s="1910"/>
      <c r="BL89" s="1911"/>
      <c r="BM89" s="1912"/>
      <c r="BN89" s="1942"/>
      <c r="BO89" s="1942"/>
      <c r="BP89" s="1942"/>
      <c r="BQ89" s="1942"/>
      <c r="BR89" s="1942"/>
      <c r="BS89" s="1942"/>
      <c r="BT89" s="1942"/>
      <c r="BU89" s="1942"/>
      <c r="BV89" s="1942"/>
      <c r="BW89" s="2346"/>
      <c r="BX89" s="937"/>
    </row>
    <row r="90" spans="1:76" ht="27.95" hidden="1" customHeight="1" outlineLevel="1">
      <c r="A90" s="941"/>
      <c r="B90" s="2340"/>
      <c r="C90" s="2341"/>
      <c r="D90" s="1904"/>
      <c r="E90" s="1905"/>
      <c r="F90" s="1905"/>
      <c r="G90" s="1905"/>
      <c r="H90" s="1905"/>
      <c r="I90" s="1905"/>
      <c r="J90" s="1905"/>
      <c r="K90" s="1905"/>
      <c r="L90" s="1905"/>
      <c r="M90" s="1905"/>
      <c r="N90" s="1906"/>
      <c r="O90" s="2367"/>
      <c r="P90" s="2368"/>
      <c r="Q90" s="2368"/>
      <c r="R90" s="2368"/>
      <c r="S90" s="2368"/>
      <c r="T90" s="2368"/>
      <c r="U90" s="2368"/>
      <c r="V90" s="2369"/>
      <c r="W90" s="1907"/>
      <c r="X90" s="1908"/>
      <c r="Y90" s="1909"/>
      <c r="Z90" s="1942"/>
      <c r="AA90" s="1942"/>
      <c r="AB90" s="1942"/>
      <c r="AC90" s="1942"/>
      <c r="AD90" s="1942"/>
      <c r="AE90" s="1942"/>
      <c r="AF90" s="1942"/>
      <c r="AG90" s="1942"/>
      <c r="AH90" s="1942"/>
      <c r="AI90" s="2346"/>
      <c r="AJ90" s="937"/>
      <c r="AK90" s="938"/>
      <c r="AL90" s="938"/>
      <c r="AM90" s="938"/>
      <c r="AN90" s="938"/>
      <c r="AP90" s="2340"/>
      <c r="AQ90" s="2341"/>
      <c r="AR90" s="1904"/>
      <c r="AS90" s="1905"/>
      <c r="AT90" s="1905"/>
      <c r="AU90" s="1905"/>
      <c r="AV90" s="1905"/>
      <c r="AW90" s="1905"/>
      <c r="AX90" s="1905"/>
      <c r="AY90" s="1905"/>
      <c r="AZ90" s="1905"/>
      <c r="BA90" s="1905"/>
      <c r="BB90" s="1906"/>
      <c r="BC90" s="2370"/>
      <c r="BD90" s="2371"/>
      <c r="BE90" s="2371"/>
      <c r="BF90" s="2371"/>
      <c r="BG90" s="2371"/>
      <c r="BH90" s="2371"/>
      <c r="BI90" s="2371"/>
      <c r="BJ90" s="2372"/>
      <c r="BK90" s="1910"/>
      <c r="BL90" s="1911"/>
      <c r="BM90" s="1912"/>
      <c r="BN90" s="1942"/>
      <c r="BO90" s="1942"/>
      <c r="BP90" s="1942"/>
      <c r="BQ90" s="1942"/>
      <c r="BR90" s="1942"/>
      <c r="BS90" s="1942"/>
      <c r="BT90" s="1942"/>
      <c r="BU90" s="1942"/>
      <c r="BV90" s="1942"/>
      <c r="BW90" s="2346"/>
      <c r="BX90" s="937"/>
    </row>
    <row r="91" spans="1:76" ht="27.95" hidden="1" customHeight="1" outlineLevel="1">
      <c r="B91" s="2340"/>
      <c r="C91" s="2341"/>
      <c r="D91" s="1904"/>
      <c r="E91" s="1905"/>
      <c r="F91" s="1905"/>
      <c r="G91" s="1905"/>
      <c r="H91" s="1905"/>
      <c r="I91" s="1905"/>
      <c r="J91" s="1905"/>
      <c r="K91" s="1905"/>
      <c r="L91" s="1905"/>
      <c r="M91" s="1905"/>
      <c r="N91" s="1906"/>
      <c r="O91" s="2367"/>
      <c r="P91" s="2368"/>
      <c r="Q91" s="2368"/>
      <c r="R91" s="2368"/>
      <c r="S91" s="2368"/>
      <c r="T91" s="2368"/>
      <c r="U91" s="2368"/>
      <c r="V91" s="2369"/>
      <c r="W91" s="1907"/>
      <c r="X91" s="1908"/>
      <c r="Y91" s="1909"/>
      <c r="Z91" s="1942"/>
      <c r="AA91" s="1942"/>
      <c r="AB91" s="1942"/>
      <c r="AC91" s="1942"/>
      <c r="AD91" s="1942"/>
      <c r="AE91" s="1942"/>
      <c r="AF91" s="1942"/>
      <c r="AG91" s="1942"/>
      <c r="AH91" s="1942"/>
      <c r="AI91" s="2346"/>
      <c r="AJ91" s="937"/>
      <c r="AK91" s="938"/>
      <c r="AL91" s="938"/>
      <c r="AM91" s="938"/>
      <c r="AN91" s="938"/>
      <c r="AP91" s="2340"/>
      <c r="AQ91" s="2341"/>
      <c r="AR91" s="1904"/>
      <c r="AS91" s="1905"/>
      <c r="AT91" s="1905"/>
      <c r="AU91" s="1905"/>
      <c r="AV91" s="1905"/>
      <c r="AW91" s="1905"/>
      <c r="AX91" s="1905"/>
      <c r="AY91" s="1905"/>
      <c r="AZ91" s="1905"/>
      <c r="BA91" s="1905"/>
      <c r="BB91" s="1906"/>
      <c r="BC91" s="2370"/>
      <c r="BD91" s="2371"/>
      <c r="BE91" s="2371"/>
      <c r="BF91" s="2371"/>
      <c r="BG91" s="2371"/>
      <c r="BH91" s="2371"/>
      <c r="BI91" s="2371"/>
      <c r="BJ91" s="2372"/>
      <c r="BK91" s="1910"/>
      <c r="BL91" s="1911"/>
      <c r="BM91" s="1912"/>
      <c r="BN91" s="1942"/>
      <c r="BO91" s="1942"/>
      <c r="BP91" s="1942"/>
      <c r="BQ91" s="1942"/>
      <c r="BR91" s="1942"/>
      <c r="BS91" s="1942"/>
      <c r="BT91" s="1942"/>
      <c r="BU91" s="1942"/>
      <c r="BV91" s="1942"/>
      <c r="BW91" s="2346"/>
      <c r="BX91" s="937"/>
    </row>
    <row r="92" spans="1:76" ht="27.95" hidden="1" customHeight="1" outlineLevel="1">
      <c r="B92" s="2340"/>
      <c r="C92" s="2341"/>
      <c r="D92" s="1904"/>
      <c r="E92" s="1905"/>
      <c r="F92" s="1905"/>
      <c r="G92" s="1905"/>
      <c r="H92" s="1905"/>
      <c r="I92" s="1905"/>
      <c r="J92" s="1905"/>
      <c r="K92" s="1905"/>
      <c r="L92" s="1905"/>
      <c r="M92" s="1905"/>
      <c r="N92" s="1906"/>
      <c r="O92" s="2367"/>
      <c r="P92" s="2368"/>
      <c r="Q92" s="2368"/>
      <c r="R92" s="2368"/>
      <c r="S92" s="2368"/>
      <c r="T92" s="2368"/>
      <c r="U92" s="2368"/>
      <c r="V92" s="2369"/>
      <c r="W92" s="1907"/>
      <c r="X92" s="1908"/>
      <c r="Y92" s="1909"/>
      <c r="Z92" s="1942"/>
      <c r="AA92" s="1942"/>
      <c r="AB92" s="1942"/>
      <c r="AC92" s="1942"/>
      <c r="AD92" s="1942"/>
      <c r="AE92" s="1942"/>
      <c r="AF92" s="1942"/>
      <c r="AG92" s="1942"/>
      <c r="AH92" s="1942"/>
      <c r="AI92" s="2346"/>
      <c r="AJ92" s="937"/>
      <c r="AK92" s="938"/>
      <c r="AL92" s="938"/>
      <c r="AM92" s="938"/>
      <c r="AN92" s="938"/>
      <c r="AP92" s="2340"/>
      <c r="AQ92" s="2341"/>
      <c r="AR92" s="1904"/>
      <c r="AS92" s="1905"/>
      <c r="AT92" s="1905"/>
      <c r="AU92" s="1905"/>
      <c r="AV92" s="1905"/>
      <c r="AW92" s="1905"/>
      <c r="AX92" s="1905"/>
      <c r="AY92" s="1905"/>
      <c r="AZ92" s="1905"/>
      <c r="BA92" s="1905"/>
      <c r="BB92" s="1906"/>
      <c r="BC92" s="2370"/>
      <c r="BD92" s="2371"/>
      <c r="BE92" s="2371"/>
      <c r="BF92" s="2371"/>
      <c r="BG92" s="2371"/>
      <c r="BH92" s="2371"/>
      <c r="BI92" s="2371"/>
      <c r="BJ92" s="2372"/>
      <c r="BK92" s="1910"/>
      <c r="BL92" s="1911"/>
      <c r="BM92" s="1912"/>
      <c r="BN92" s="1942"/>
      <c r="BO92" s="1942"/>
      <c r="BP92" s="1942"/>
      <c r="BQ92" s="1942"/>
      <c r="BR92" s="1942"/>
      <c r="BS92" s="1942"/>
      <c r="BT92" s="1942"/>
      <c r="BU92" s="1942"/>
      <c r="BV92" s="1942"/>
      <c r="BW92" s="2346"/>
      <c r="BX92" s="937"/>
    </row>
    <row r="93" spans="1:76" ht="27.95" hidden="1" customHeight="1" outlineLevel="1">
      <c r="B93" s="2340"/>
      <c r="C93" s="2341"/>
      <c r="D93" s="1904"/>
      <c r="E93" s="1905"/>
      <c r="F93" s="1905"/>
      <c r="G93" s="1905"/>
      <c r="H93" s="1905"/>
      <c r="I93" s="1905"/>
      <c r="J93" s="1905"/>
      <c r="K93" s="1905"/>
      <c r="L93" s="1905"/>
      <c r="M93" s="1905"/>
      <c r="N93" s="1906"/>
      <c r="O93" s="2367"/>
      <c r="P93" s="2368"/>
      <c r="Q93" s="2368"/>
      <c r="R93" s="2368"/>
      <c r="S93" s="2368"/>
      <c r="T93" s="2368"/>
      <c r="U93" s="2368"/>
      <c r="V93" s="2369"/>
      <c r="W93" s="1907"/>
      <c r="X93" s="1908"/>
      <c r="Y93" s="1909"/>
      <c r="Z93" s="1942"/>
      <c r="AA93" s="1942"/>
      <c r="AB93" s="1942"/>
      <c r="AC93" s="1942"/>
      <c r="AD93" s="1942"/>
      <c r="AE93" s="1942"/>
      <c r="AF93" s="1942"/>
      <c r="AG93" s="1942"/>
      <c r="AH93" s="1942"/>
      <c r="AI93" s="2346"/>
      <c r="AJ93" s="937"/>
      <c r="AK93" s="938"/>
      <c r="AL93" s="938"/>
      <c r="AM93" s="938"/>
      <c r="AN93" s="938"/>
      <c r="AP93" s="2340"/>
      <c r="AQ93" s="2341"/>
      <c r="AR93" s="1904"/>
      <c r="AS93" s="1905"/>
      <c r="AT93" s="1905"/>
      <c r="AU93" s="1905"/>
      <c r="AV93" s="1905"/>
      <c r="AW93" s="1905"/>
      <c r="AX93" s="1905"/>
      <c r="AY93" s="1905"/>
      <c r="AZ93" s="1905"/>
      <c r="BA93" s="1905"/>
      <c r="BB93" s="1906"/>
      <c r="BC93" s="2370"/>
      <c r="BD93" s="2371"/>
      <c r="BE93" s="2371"/>
      <c r="BF93" s="2371"/>
      <c r="BG93" s="2371"/>
      <c r="BH93" s="2371"/>
      <c r="BI93" s="2371"/>
      <c r="BJ93" s="2372"/>
      <c r="BK93" s="1910"/>
      <c r="BL93" s="1911"/>
      <c r="BM93" s="1912"/>
      <c r="BN93" s="1942"/>
      <c r="BO93" s="1942"/>
      <c r="BP93" s="1942"/>
      <c r="BQ93" s="1942"/>
      <c r="BR93" s="1942"/>
      <c r="BS93" s="1942"/>
      <c r="BT93" s="1942"/>
      <c r="BU93" s="1942"/>
      <c r="BV93" s="1942"/>
      <c r="BW93" s="2346"/>
      <c r="BX93" s="937"/>
    </row>
    <row r="94" spans="1:76" ht="27.95" hidden="1" customHeight="1" outlineLevel="1">
      <c r="B94" s="2340"/>
      <c r="C94" s="2341"/>
      <c r="D94" s="1904"/>
      <c r="E94" s="1905"/>
      <c r="F94" s="1905"/>
      <c r="G94" s="1905"/>
      <c r="H94" s="1905"/>
      <c r="I94" s="1905"/>
      <c r="J94" s="1905"/>
      <c r="K94" s="1905"/>
      <c r="L94" s="1905"/>
      <c r="M94" s="1905"/>
      <c r="N94" s="1906"/>
      <c r="O94" s="2367"/>
      <c r="P94" s="2368"/>
      <c r="Q94" s="2368"/>
      <c r="R94" s="2368"/>
      <c r="S94" s="2368"/>
      <c r="T94" s="2368"/>
      <c r="U94" s="2368"/>
      <c r="V94" s="2369"/>
      <c r="W94" s="1907"/>
      <c r="X94" s="1908"/>
      <c r="Y94" s="1909"/>
      <c r="Z94" s="1942"/>
      <c r="AA94" s="1942"/>
      <c r="AB94" s="1942"/>
      <c r="AC94" s="1942"/>
      <c r="AD94" s="1942"/>
      <c r="AE94" s="1942"/>
      <c r="AF94" s="1942"/>
      <c r="AG94" s="1942"/>
      <c r="AH94" s="1942"/>
      <c r="AI94" s="2346"/>
      <c r="AJ94" s="937"/>
      <c r="AK94" s="938"/>
      <c r="AL94" s="938"/>
      <c r="AM94" s="938"/>
      <c r="AN94" s="938"/>
      <c r="AP94" s="2340"/>
      <c r="AQ94" s="2341"/>
      <c r="AR94" s="1904"/>
      <c r="AS94" s="1905"/>
      <c r="AT94" s="1905"/>
      <c r="AU94" s="1905"/>
      <c r="AV94" s="1905"/>
      <c r="AW94" s="1905"/>
      <c r="AX94" s="1905"/>
      <c r="AY94" s="1905"/>
      <c r="AZ94" s="1905"/>
      <c r="BA94" s="1905"/>
      <c r="BB94" s="1906"/>
      <c r="BC94" s="2370"/>
      <c r="BD94" s="2371"/>
      <c r="BE94" s="2371"/>
      <c r="BF94" s="2371"/>
      <c r="BG94" s="2371"/>
      <c r="BH94" s="2371"/>
      <c r="BI94" s="2371"/>
      <c r="BJ94" s="2372"/>
      <c r="BK94" s="1910"/>
      <c r="BL94" s="1911"/>
      <c r="BM94" s="1912"/>
      <c r="BN94" s="1942"/>
      <c r="BO94" s="1942"/>
      <c r="BP94" s="1942"/>
      <c r="BQ94" s="1942"/>
      <c r="BR94" s="1942"/>
      <c r="BS94" s="1942"/>
      <c r="BT94" s="1942"/>
      <c r="BU94" s="1942"/>
      <c r="BV94" s="1942"/>
      <c r="BW94" s="2346"/>
      <c r="BX94" s="937"/>
    </row>
    <row r="95" spans="1:76" ht="27.95" hidden="1" customHeight="1" outlineLevel="1">
      <c r="B95" s="2340"/>
      <c r="C95" s="2341"/>
      <c r="D95" s="1904"/>
      <c r="E95" s="1905"/>
      <c r="F95" s="1905"/>
      <c r="G95" s="1905"/>
      <c r="H95" s="1905"/>
      <c r="I95" s="1905"/>
      <c r="J95" s="1905"/>
      <c r="K95" s="1905"/>
      <c r="L95" s="1905"/>
      <c r="M95" s="1905"/>
      <c r="N95" s="1906"/>
      <c r="O95" s="2367"/>
      <c r="P95" s="2368"/>
      <c r="Q95" s="2368"/>
      <c r="R95" s="2368"/>
      <c r="S95" s="2368"/>
      <c r="T95" s="2368"/>
      <c r="U95" s="2368"/>
      <c r="V95" s="2369"/>
      <c r="W95" s="1907"/>
      <c r="X95" s="1908"/>
      <c r="Y95" s="1909"/>
      <c r="Z95" s="1942"/>
      <c r="AA95" s="1942"/>
      <c r="AB95" s="1942"/>
      <c r="AC95" s="1942"/>
      <c r="AD95" s="1942"/>
      <c r="AE95" s="1942"/>
      <c r="AF95" s="1942"/>
      <c r="AG95" s="1942"/>
      <c r="AH95" s="1942"/>
      <c r="AI95" s="2346"/>
      <c r="AJ95" s="937"/>
      <c r="AK95" s="938"/>
      <c r="AL95" s="938"/>
      <c r="AM95" s="938"/>
      <c r="AN95" s="938"/>
      <c r="AP95" s="2340"/>
      <c r="AQ95" s="2341"/>
      <c r="AR95" s="1904"/>
      <c r="AS95" s="1905"/>
      <c r="AT95" s="1905"/>
      <c r="AU95" s="1905"/>
      <c r="AV95" s="1905"/>
      <c r="AW95" s="1905"/>
      <c r="AX95" s="1905"/>
      <c r="AY95" s="1905"/>
      <c r="AZ95" s="1905"/>
      <c r="BA95" s="1905"/>
      <c r="BB95" s="1906"/>
      <c r="BC95" s="2370"/>
      <c r="BD95" s="2371"/>
      <c r="BE95" s="2371"/>
      <c r="BF95" s="2371"/>
      <c r="BG95" s="2371"/>
      <c r="BH95" s="2371"/>
      <c r="BI95" s="2371"/>
      <c r="BJ95" s="2372"/>
      <c r="BK95" s="1910"/>
      <c r="BL95" s="1911"/>
      <c r="BM95" s="1912"/>
      <c r="BN95" s="1942"/>
      <c r="BO95" s="1942"/>
      <c r="BP95" s="1942"/>
      <c r="BQ95" s="1942"/>
      <c r="BR95" s="1942"/>
      <c r="BS95" s="1942"/>
      <c r="BT95" s="1942"/>
      <c r="BU95" s="1942"/>
      <c r="BV95" s="1942"/>
      <c r="BW95" s="2346"/>
      <c r="BX95" s="937"/>
    </row>
    <row r="96" spans="1:76" ht="27.95" hidden="1" customHeight="1" outlineLevel="1">
      <c r="B96" s="2340"/>
      <c r="C96" s="2341"/>
      <c r="D96" s="1904"/>
      <c r="E96" s="1905"/>
      <c r="F96" s="1905"/>
      <c r="G96" s="1905"/>
      <c r="H96" s="1905"/>
      <c r="I96" s="1905"/>
      <c r="J96" s="1905"/>
      <c r="K96" s="1905"/>
      <c r="L96" s="1905"/>
      <c r="M96" s="1905"/>
      <c r="N96" s="1906"/>
      <c r="O96" s="2367"/>
      <c r="P96" s="2368"/>
      <c r="Q96" s="2368"/>
      <c r="R96" s="2368"/>
      <c r="S96" s="2368"/>
      <c r="T96" s="2368"/>
      <c r="U96" s="2368"/>
      <c r="V96" s="2369"/>
      <c r="W96" s="1907"/>
      <c r="X96" s="1908"/>
      <c r="Y96" s="1909"/>
      <c r="Z96" s="1942"/>
      <c r="AA96" s="1942"/>
      <c r="AB96" s="1942"/>
      <c r="AC96" s="1942"/>
      <c r="AD96" s="1942"/>
      <c r="AE96" s="1942"/>
      <c r="AF96" s="1942"/>
      <c r="AG96" s="1942"/>
      <c r="AH96" s="1942"/>
      <c r="AI96" s="2346"/>
      <c r="AJ96" s="937"/>
      <c r="AK96" s="938"/>
      <c r="AL96" s="938"/>
      <c r="AM96" s="938"/>
      <c r="AN96" s="938"/>
      <c r="AP96" s="2340"/>
      <c r="AQ96" s="2341"/>
      <c r="AR96" s="1904"/>
      <c r="AS96" s="1905"/>
      <c r="AT96" s="1905"/>
      <c r="AU96" s="1905"/>
      <c r="AV96" s="1905"/>
      <c r="AW96" s="1905"/>
      <c r="AX96" s="1905"/>
      <c r="AY96" s="1905"/>
      <c r="AZ96" s="1905"/>
      <c r="BA96" s="1905"/>
      <c r="BB96" s="1906"/>
      <c r="BC96" s="2370"/>
      <c r="BD96" s="2371"/>
      <c r="BE96" s="2371"/>
      <c r="BF96" s="2371"/>
      <c r="BG96" s="2371"/>
      <c r="BH96" s="2371"/>
      <c r="BI96" s="2371"/>
      <c r="BJ96" s="2372"/>
      <c r="BK96" s="1910"/>
      <c r="BL96" s="1911"/>
      <c r="BM96" s="1912"/>
      <c r="BN96" s="1942"/>
      <c r="BO96" s="1942"/>
      <c r="BP96" s="1942"/>
      <c r="BQ96" s="1942"/>
      <c r="BR96" s="1942"/>
      <c r="BS96" s="1942"/>
      <c r="BT96" s="1942"/>
      <c r="BU96" s="1942"/>
      <c r="BV96" s="1942"/>
      <c r="BW96" s="2346"/>
      <c r="BX96" s="937"/>
    </row>
    <row r="97" spans="2:76" ht="27.95" hidden="1" customHeight="1" outlineLevel="1">
      <c r="B97" s="2340"/>
      <c r="C97" s="2341"/>
      <c r="D97" s="1904"/>
      <c r="E97" s="1905"/>
      <c r="F97" s="1905"/>
      <c r="G97" s="1905"/>
      <c r="H97" s="1905"/>
      <c r="I97" s="1905"/>
      <c r="J97" s="1905"/>
      <c r="K97" s="1905"/>
      <c r="L97" s="1905"/>
      <c r="M97" s="1905"/>
      <c r="N97" s="1906"/>
      <c r="O97" s="2367"/>
      <c r="P97" s="2368"/>
      <c r="Q97" s="2368"/>
      <c r="R97" s="2368"/>
      <c r="S97" s="2368"/>
      <c r="T97" s="2368"/>
      <c r="U97" s="2368"/>
      <c r="V97" s="2369"/>
      <c r="W97" s="1907"/>
      <c r="X97" s="1908"/>
      <c r="Y97" s="1909"/>
      <c r="Z97" s="1942"/>
      <c r="AA97" s="1942"/>
      <c r="AB97" s="1942"/>
      <c r="AC97" s="1942"/>
      <c r="AD97" s="1942"/>
      <c r="AE97" s="1942"/>
      <c r="AF97" s="1942"/>
      <c r="AG97" s="1942"/>
      <c r="AH97" s="1942"/>
      <c r="AI97" s="2346"/>
      <c r="AJ97" s="937"/>
      <c r="AK97" s="938"/>
      <c r="AL97" s="938"/>
      <c r="AM97" s="938"/>
      <c r="AN97" s="938"/>
      <c r="AP97" s="2340"/>
      <c r="AQ97" s="2341"/>
      <c r="AR97" s="1904"/>
      <c r="AS97" s="1905"/>
      <c r="AT97" s="1905"/>
      <c r="AU97" s="1905"/>
      <c r="AV97" s="1905"/>
      <c r="AW97" s="1905"/>
      <c r="AX97" s="1905"/>
      <c r="AY97" s="1905"/>
      <c r="AZ97" s="1905"/>
      <c r="BA97" s="1905"/>
      <c r="BB97" s="1906"/>
      <c r="BC97" s="2370"/>
      <c r="BD97" s="2371"/>
      <c r="BE97" s="2371"/>
      <c r="BF97" s="2371"/>
      <c r="BG97" s="2371"/>
      <c r="BH97" s="2371"/>
      <c r="BI97" s="2371"/>
      <c r="BJ97" s="2372"/>
      <c r="BK97" s="1910"/>
      <c r="BL97" s="1911"/>
      <c r="BM97" s="1912"/>
      <c r="BN97" s="1942"/>
      <c r="BO97" s="1942"/>
      <c r="BP97" s="1942"/>
      <c r="BQ97" s="1942"/>
      <c r="BR97" s="1942"/>
      <c r="BS97" s="1942"/>
      <c r="BT97" s="1942"/>
      <c r="BU97" s="1942"/>
      <c r="BV97" s="1942"/>
      <c r="BW97" s="2346"/>
      <c r="BX97" s="937"/>
    </row>
    <row r="98" spans="2:76" ht="27.95" hidden="1" customHeight="1" outlineLevel="1">
      <c r="B98" s="2340"/>
      <c r="C98" s="2341"/>
      <c r="D98" s="1904"/>
      <c r="E98" s="1905"/>
      <c r="F98" s="1905"/>
      <c r="G98" s="1905"/>
      <c r="H98" s="1905"/>
      <c r="I98" s="1905"/>
      <c r="J98" s="1905"/>
      <c r="K98" s="1905"/>
      <c r="L98" s="1905"/>
      <c r="M98" s="1905"/>
      <c r="N98" s="1906"/>
      <c r="O98" s="2367"/>
      <c r="P98" s="2368"/>
      <c r="Q98" s="2368"/>
      <c r="R98" s="2368"/>
      <c r="S98" s="2368"/>
      <c r="T98" s="2368"/>
      <c r="U98" s="2368"/>
      <c r="V98" s="2369"/>
      <c r="W98" s="1907"/>
      <c r="X98" s="1908"/>
      <c r="Y98" s="1909"/>
      <c r="Z98" s="1942"/>
      <c r="AA98" s="1942"/>
      <c r="AB98" s="1942"/>
      <c r="AC98" s="1942"/>
      <c r="AD98" s="1942"/>
      <c r="AE98" s="1942"/>
      <c r="AF98" s="1942"/>
      <c r="AG98" s="1942"/>
      <c r="AH98" s="1942"/>
      <c r="AI98" s="2346"/>
      <c r="AJ98" s="937"/>
      <c r="AK98" s="938"/>
      <c r="AL98" s="938"/>
      <c r="AM98" s="938"/>
      <c r="AN98" s="938"/>
      <c r="AP98" s="2340"/>
      <c r="AQ98" s="2341"/>
      <c r="AR98" s="1904"/>
      <c r="AS98" s="1905"/>
      <c r="AT98" s="1905"/>
      <c r="AU98" s="1905"/>
      <c r="AV98" s="1905"/>
      <c r="AW98" s="1905"/>
      <c r="AX98" s="1905"/>
      <c r="AY98" s="1905"/>
      <c r="AZ98" s="1905"/>
      <c r="BA98" s="1905"/>
      <c r="BB98" s="1906"/>
      <c r="BC98" s="2370"/>
      <c r="BD98" s="2371"/>
      <c r="BE98" s="2371"/>
      <c r="BF98" s="2371"/>
      <c r="BG98" s="2371"/>
      <c r="BH98" s="2371"/>
      <c r="BI98" s="2371"/>
      <c r="BJ98" s="2372"/>
      <c r="BK98" s="1910"/>
      <c r="BL98" s="1911"/>
      <c r="BM98" s="1912"/>
      <c r="BN98" s="1942"/>
      <c r="BO98" s="1942"/>
      <c r="BP98" s="1942"/>
      <c r="BQ98" s="1942"/>
      <c r="BR98" s="1942"/>
      <c r="BS98" s="1942"/>
      <c r="BT98" s="1942"/>
      <c r="BU98" s="1942"/>
      <c r="BV98" s="1942"/>
      <c r="BW98" s="2346"/>
      <c r="BX98" s="937"/>
    </row>
    <row r="99" spans="2:76" ht="27.95" hidden="1" customHeight="1" outlineLevel="1">
      <c r="B99" s="2340"/>
      <c r="C99" s="2341"/>
      <c r="D99" s="1904"/>
      <c r="E99" s="1905"/>
      <c r="F99" s="1905"/>
      <c r="G99" s="1905"/>
      <c r="H99" s="1905"/>
      <c r="I99" s="1905"/>
      <c r="J99" s="1905"/>
      <c r="K99" s="1905"/>
      <c r="L99" s="1905"/>
      <c r="M99" s="1905"/>
      <c r="N99" s="1906"/>
      <c r="O99" s="2367"/>
      <c r="P99" s="2368"/>
      <c r="Q99" s="2368"/>
      <c r="R99" s="2368"/>
      <c r="S99" s="2368"/>
      <c r="T99" s="2368"/>
      <c r="U99" s="2368"/>
      <c r="V99" s="2369"/>
      <c r="W99" s="1907"/>
      <c r="X99" s="1908"/>
      <c r="Y99" s="1909"/>
      <c r="Z99" s="1942"/>
      <c r="AA99" s="1942"/>
      <c r="AB99" s="1942"/>
      <c r="AC99" s="1942"/>
      <c r="AD99" s="1942"/>
      <c r="AE99" s="1942"/>
      <c r="AF99" s="1942"/>
      <c r="AG99" s="1942"/>
      <c r="AH99" s="1942"/>
      <c r="AI99" s="2346"/>
      <c r="AJ99" s="937"/>
      <c r="AK99" s="938"/>
      <c r="AL99" s="938"/>
      <c r="AM99" s="938"/>
      <c r="AN99" s="938"/>
      <c r="AP99" s="2340"/>
      <c r="AQ99" s="2341"/>
      <c r="AR99" s="1904"/>
      <c r="AS99" s="1905"/>
      <c r="AT99" s="1905"/>
      <c r="AU99" s="1905"/>
      <c r="AV99" s="1905"/>
      <c r="AW99" s="1905"/>
      <c r="AX99" s="1905"/>
      <c r="AY99" s="1905"/>
      <c r="AZ99" s="1905"/>
      <c r="BA99" s="1905"/>
      <c r="BB99" s="1906"/>
      <c r="BC99" s="2370"/>
      <c r="BD99" s="2371"/>
      <c r="BE99" s="2371"/>
      <c r="BF99" s="2371"/>
      <c r="BG99" s="2371"/>
      <c r="BH99" s="2371"/>
      <c r="BI99" s="2371"/>
      <c r="BJ99" s="2372"/>
      <c r="BK99" s="1910"/>
      <c r="BL99" s="1911"/>
      <c r="BM99" s="1912"/>
      <c r="BN99" s="1942"/>
      <c r="BO99" s="1942"/>
      <c r="BP99" s="1942"/>
      <c r="BQ99" s="1942"/>
      <c r="BR99" s="1942"/>
      <c r="BS99" s="1942"/>
      <c r="BT99" s="1942"/>
      <c r="BU99" s="1942"/>
      <c r="BV99" s="1942"/>
      <c r="BW99" s="2346"/>
      <c r="BX99" s="937"/>
    </row>
    <row r="100" spans="2:76" ht="27.95" hidden="1" customHeight="1" outlineLevel="1">
      <c r="B100" s="2340"/>
      <c r="C100" s="2341"/>
      <c r="D100" s="1904"/>
      <c r="E100" s="1905"/>
      <c r="F100" s="1905"/>
      <c r="G100" s="1905"/>
      <c r="H100" s="1905"/>
      <c r="I100" s="1905"/>
      <c r="J100" s="1905"/>
      <c r="K100" s="1905"/>
      <c r="L100" s="1905"/>
      <c r="M100" s="1905"/>
      <c r="N100" s="1906"/>
      <c r="O100" s="2367"/>
      <c r="P100" s="2368"/>
      <c r="Q100" s="2368"/>
      <c r="R100" s="2368"/>
      <c r="S100" s="2368"/>
      <c r="T100" s="2368"/>
      <c r="U100" s="2368"/>
      <c r="V100" s="2369"/>
      <c r="W100" s="1907"/>
      <c r="X100" s="1908"/>
      <c r="Y100" s="1909"/>
      <c r="Z100" s="1942"/>
      <c r="AA100" s="1942"/>
      <c r="AB100" s="1942"/>
      <c r="AC100" s="1942"/>
      <c r="AD100" s="1942"/>
      <c r="AE100" s="1942"/>
      <c r="AF100" s="1942"/>
      <c r="AG100" s="1942"/>
      <c r="AH100" s="1942"/>
      <c r="AI100" s="2346"/>
      <c r="AJ100" s="937"/>
      <c r="AK100" s="938"/>
      <c r="AL100" s="938"/>
      <c r="AM100" s="938"/>
      <c r="AN100" s="938"/>
      <c r="AP100" s="2340"/>
      <c r="AQ100" s="2341"/>
      <c r="AR100" s="1904"/>
      <c r="AS100" s="1905"/>
      <c r="AT100" s="1905"/>
      <c r="AU100" s="1905"/>
      <c r="AV100" s="1905"/>
      <c r="AW100" s="1905"/>
      <c r="AX100" s="1905"/>
      <c r="AY100" s="1905"/>
      <c r="AZ100" s="1905"/>
      <c r="BA100" s="1905"/>
      <c r="BB100" s="1906"/>
      <c r="BC100" s="2370"/>
      <c r="BD100" s="2371"/>
      <c r="BE100" s="2371"/>
      <c r="BF100" s="2371"/>
      <c r="BG100" s="2371"/>
      <c r="BH100" s="2371"/>
      <c r="BI100" s="2371"/>
      <c r="BJ100" s="2372"/>
      <c r="BK100" s="1910"/>
      <c r="BL100" s="1911"/>
      <c r="BM100" s="1912"/>
      <c r="BN100" s="1942"/>
      <c r="BO100" s="1942"/>
      <c r="BP100" s="1942"/>
      <c r="BQ100" s="1942"/>
      <c r="BR100" s="1942"/>
      <c r="BS100" s="1942"/>
      <c r="BT100" s="1942"/>
      <c r="BU100" s="1942"/>
      <c r="BV100" s="1942"/>
      <c r="BW100" s="2346"/>
      <c r="BX100" s="937"/>
    </row>
    <row r="101" spans="2:76" ht="27.95" hidden="1" customHeight="1" outlineLevel="1">
      <c r="B101" s="2340"/>
      <c r="C101" s="2341"/>
      <c r="D101" s="1904"/>
      <c r="E101" s="1905"/>
      <c r="F101" s="1905"/>
      <c r="G101" s="1905"/>
      <c r="H101" s="1905"/>
      <c r="I101" s="1905"/>
      <c r="J101" s="1905"/>
      <c r="K101" s="1905"/>
      <c r="L101" s="1905"/>
      <c r="M101" s="1905"/>
      <c r="N101" s="1906"/>
      <c r="O101" s="2367"/>
      <c r="P101" s="2368"/>
      <c r="Q101" s="2368"/>
      <c r="R101" s="2368"/>
      <c r="S101" s="2368"/>
      <c r="T101" s="2368"/>
      <c r="U101" s="2368"/>
      <c r="V101" s="2369"/>
      <c r="W101" s="1907"/>
      <c r="X101" s="1908"/>
      <c r="Y101" s="1909"/>
      <c r="Z101" s="1942"/>
      <c r="AA101" s="1942"/>
      <c r="AB101" s="1942"/>
      <c r="AC101" s="1942"/>
      <c r="AD101" s="1942"/>
      <c r="AE101" s="1942"/>
      <c r="AF101" s="1942"/>
      <c r="AG101" s="1942"/>
      <c r="AH101" s="1942"/>
      <c r="AI101" s="2346"/>
      <c r="AJ101" s="937"/>
      <c r="AK101" s="938"/>
      <c r="AL101" s="938"/>
      <c r="AM101" s="938"/>
      <c r="AN101" s="938"/>
      <c r="AP101" s="2340"/>
      <c r="AQ101" s="2341"/>
      <c r="AR101" s="1904"/>
      <c r="AS101" s="1905"/>
      <c r="AT101" s="1905"/>
      <c r="AU101" s="1905"/>
      <c r="AV101" s="1905"/>
      <c r="AW101" s="1905"/>
      <c r="AX101" s="1905"/>
      <c r="AY101" s="1905"/>
      <c r="AZ101" s="1905"/>
      <c r="BA101" s="1905"/>
      <c r="BB101" s="1906"/>
      <c r="BC101" s="2370"/>
      <c r="BD101" s="2371"/>
      <c r="BE101" s="2371"/>
      <c r="BF101" s="2371"/>
      <c r="BG101" s="2371"/>
      <c r="BH101" s="2371"/>
      <c r="BI101" s="2371"/>
      <c r="BJ101" s="2372"/>
      <c r="BK101" s="1910"/>
      <c r="BL101" s="1911"/>
      <c r="BM101" s="1912"/>
      <c r="BN101" s="1942"/>
      <c r="BO101" s="1942"/>
      <c r="BP101" s="1942"/>
      <c r="BQ101" s="1942"/>
      <c r="BR101" s="1942"/>
      <c r="BS101" s="1942"/>
      <c r="BT101" s="1942"/>
      <c r="BU101" s="1942"/>
      <c r="BV101" s="1942"/>
      <c r="BW101" s="2346"/>
      <c r="BX101" s="937"/>
    </row>
    <row r="102" spans="2:76" ht="27.95" hidden="1" customHeight="1" outlineLevel="1">
      <c r="B102" s="2340"/>
      <c r="C102" s="2341"/>
      <c r="D102" s="1904"/>
      <c r="E102" s="1905"/>
      <c r="F102" s="1905"/>
      <c r="G102" s="1905"/>
      <c r="H102" s="1905"/>
      <c r="I102" s="1905"/>
      <c r="J102" s="1905"/>
      <c r="K102" s="1905"/>
      <c r="L102" s="1905"/>
      <c r="M102" s="1905"/>
      <c r="N102" s="1906"/>
      <c r="O102" s="2367"/>
      <c r="P102" s="2368"/>
      <c r="Q102" s="2368"/>
      <c r="R102" s="2368"/>
      <c r="S102" s="2368"/>
      <c r="T102" s="2368"/>
      <c r="U102" s="2368"/>
      <c r="V102" s="2369"/>
      <c r="W102" s="1907"/>
      <c r="X102" s="1908"/>
      <c r="Y102" s="1909"/>
      <c r="Z102" s="1942"/>
      <c r="AA102" s="1942"/>
      <c r="AB102" s="1942"/>
      <c r="AC102" s="1942"/>
      <c r="AD102" s="1942"/>
      <c r="AE102" s="1942"/>
      <c r="AF102" s="1942"/>
      <c r="AG102" s="1942"/>
      <c r="AH102" s="1942"/>
      <c r="AI102" s="2346"/>
      <c r="AJ102" s="937"/>
      <c r="AK102" s="938"/>
      <c r="AL102" s="938"/>
      <c r="AM102" s="938"/>
      <c r="AN102" s="938"/>
      <c r="AP102" s="2340"/>
      <c r="AQ102" s="2341"/>
      <c r="AR102" s="1904"/>
      <c r="AS102" s="1905"/>
      <c r="AT102" s="1905"/>
      <c r="AU102" s="1905"/>
      <c r="AV102" s="1905"/>
      <c r="AW102" s="1905"/>
      <c r="AX102" s="1905"/>
      <c r="AY102" s="1905"/>
      <c r="AZ102" s="1905"/>
      <c r="BA102" s="1905"/>
      <c r="BB102" s="1906"/>
      <c r="BC102" s="2370"/>
      <c r="BD102" s="2371"/>
      <c r="BE102" s="2371"/>
      <c r="BF102" s="2371"/>
      <c r="BG102" s="2371"/>
      <c r="BH102" s="2371"/>
      <c r="BI102" s="2371"/>
      <c r="BJ102" s="2372"/>
      <c r="BK102" s="1910"/>
      <c r="BL102" s="1911"/>
      <c r="BM102" s="1912"/>
      <c r="BN102" s="1942"/>
      <c r="BO102" s="1942"/>
      <c r="BP102" s="1942"/>
      <c r="BQ102" s="1942"/>
      <c r="BR102" s="1942"/>
      <c r="BS102" s="1942"/>
      <c r="BT102" s="1942"/>
      <c r="BU102" s="1942"/>
      <c r="BV102" s="1942"/>
      <c r="BW102" s="2346"/>
      <c r="BX102" s="937"/>
    </row>
    <row r="103" spans="2:76" ht="27.95" hidden="1" customHeight="1" outlineLevel="1">
      <c r="B103" s="2340"/>
      <c r="C103" s="2341"/>
      <c r="D103" s="1904"/>
      <c r="E103" s="1905"/>
      <c r="F103" s="1905"/>
      <c r="G103" s="1905"/>
      <c r="H103" s="1905"/>
      <c r="I103" s="1905"/>
      <c r="J103" s="1905"/>
      <c r="K103" s="1905"/>
      <c r="L103" s="1905"/>
      <c r="M103" s="1905"/>
      <c r="N103" s="1906"/>
      <c r="O103" s="2367"/>
      <c r="P103" s="2368"/>
      <c r="Q103" s="2368"/>
      <c r="R103" s="2368"/>
      <c r="S103" s="2368"/>
      <c r="T103" s="2368"/>
      <c r="U103" s="2368"/>
      <c r="V103" s="2369"/>
      <c r="W103" s="1907"/>
      <c r="X103" s="1908"/>
      <c r="Y103" s="1909"/>
      <c r="Z103" s="1942"/>
      <c r="AA103" s="1942"/>
      <c r="AB103" s="1942"/>
      <c r="AC103" s="1942"/>
      <c r="AD103" s="1942"/>
      <c r="AE103" s="1942"/>
      <c r="AF103" s="1942"/>
      <c r="AG103" s="1942"/>
      <c r="AH103" s="1942"/>
      <c r="AI103" s="2346"/>
      <c r="AJ103" s="937"/>
      <c r="AK103" s="938"/>
      <c r="AL103" s="938"/>
      <c r="AM103" s="938"/>
      <c r="AN103" s="938"/>
      <c r="AP103" s="2340"/>
      <c r="AQ103" s="2341"/>
      <c r="AR103" s="1904"/>
      <c r="AS103" s="1905"/>
      <c r="AT103" s="1905"/>
      <c r="AU103" s="1905"/>
      <c r="AV103" s="1905"/>
      <c r="AW103" s="1905"/>
      <c r="AX103" s="1905"/>
      <c r="AY103" s="1905"/>
      <c r="AZ103" s="1905"/>
      <c r="BA103" s="1905"/>
      <c r="BB103" s="1906"/>
      <c r="BC103" s="2370"/>
      <c r="BD103" s="2371"/>
      <c r="BE103" s="2371"/>
      <c r="BF103" s="2371"/>
      <c r="BG103" s="2371"/>
      <c r="BH103" s="2371"/>
      <c r="BI103" s="2371"/>
      <c r="BJ103" s="2372"/>
      <c r="BK103" s="1910"/>
      <c r="BL103" s="1911"/>
      <c r="BM103" s="1912"/>
      <c r="BN103" s="1942"/>
      <c r="BO103" s="1942"/>
      <c r="BP103" s="1942"/>
      <c r="BQ103" s="1942"/>
      <c r="BR103" s="1942"/>
      <c r="BS103" s="1942"/>
      <c r="BT103" s="1942"/>
      <c r="BU103" s="1942"/>
      <c r="BV103" s="1942"/>
      <c r="BW103" s="2346"/>
      <c r="BX103" s="937"/>
    </row>
    <row r="104" spans="2:76" ht="27.95" hidden="1" customHeight="1" outlineLevel="1">
      <c r="B104" s="2340"/>
      <c r="C104" s="2341"/>
      <c r="D104" s="1904"/>
      <c r="E104" s="1905"/>
      <c r="F104" s="1905"/>
      <c r="G104" s="1905"/>
      <c r="H104" s="1905"/>
      <c r="I104" s="1905"/>
      <c r="J104" s="1905"/>
      <c r="K104" s="1905"/>
      <c r="L104" s="1905"/>
      <c r="M104" s="1905"/>
      <c r="N104" s="1906"/>
      <c r="O104" s="2367"/>
      <c r="P104" s="2368"/>
      <c r="Q104" s="2368"/>
      <c r="R104" s="2368"/>
      <c r="S104" s="2368"/>
      <c r="T104" s="2368"/>
      <c r="U104" s="2368"/>
      <c r="V104" s="2369"/>
      <c r="W104" s="1907"/>
      <c r="X104" s="1908"/>
      <c r="Y104" s="1909"/>
      <c r="Z104" s="1942"/>
      <c r="AA104" s="1942"/>
      <c r="AB104" s="1942"/>
      <c r="AC104" s="1942"/>
      <c r="AD104" s="1942"/>
      <c r="AE104" s="1942"/>
      <c r="AF104" s="1942"/>
      <c r="AG104" s="1942"/>
      <c r="AH104" s="1942"/>
      <c r="AI104" s="2346"/>
      <c r="AJ104" s="937"/>
      <c r="AK104" s="938"/>
      <c r="AL104" s="938"/>
      <c r="AM104" s="938"/>
      <c r="AN104" s="938"/>
      <c r="AP104" s="2340"/>
      <c r="AQ104" s="2341"/>
      <c r="AR104" s="1904"/>
      <c r="AS104" s="1905"/>
      <c r="AT104" s="1905"/>
      <c r="AU104" s="1905"/>
      <c r="AV104" s="1905"/>
      <c r="AW104" s="1905"/>
      <c r="AX104" s="1905"/>
      <c r="AY104" s="1905"/>
      <c r="AZ104" s="1905"/>
      <c r="BA104" s="1905"/>
      <c r="BB104" s="1906"/>
      <c r="BC104" s="2370"/>
      <c r="BD104" s="2371"/>
      <c r="BE104" s="2371"/>
      <c r="BF104" s="2371"/>
      <c r="BG104" s="2371"/>
      <c r="BH104" s="2371"/>
      <c r="BI104" s="2371"/>
      <c r="BJ104" s="2372"/>
      <c r="BK104" s="1910"/>
      <c r="BL104" s="1911"/>
      <c r="BM104" s="1912"/>
      <c r="BN104" s="1942"/>
      <c r="BO104" s="1942"/>
      <c r="BP104" s="1942"/>
      <c r="BQ104" s="1942"/>
      <c r="BR104" s="1942"/>
      <c r="BS104" s="1942"/>
      <c r="BT104" s="1942"/>
      <c r="BU104" s="1942"/>
      <c r="BV104" s="1942"/>
      <c r="BW104" s="2346"/>
      <c r="BX104" s="937"/>
    </row>
    <row r="105" spans="2:76" ht="27.95" hidden="1" customHeight="1" outlineLevel="1">
      <c r="B105" s="2340"/>
      <c r="C105" s="2341"/>
      <c r="D105" s="1904"/>
      <c r="E105" s="1905"/>
      <c r="F105" s="1905"/>
      <c r="G105" s="1905"/>
      <c r="H105" s="1905"/>
      <c r="I105" s="1905"/>
      <c r="J105" s="1905"/>
      <c r="K105" s="1905"/>
      <c r="L105" s="1905"/>
      <c r="M105" s="1905"/>
      <c r="N105" s="1906"/>
      <c r="O105" s="2367"/>
      <c r="P105" s="2368"/>
      <c r="Q105" s="2368"/>
      <c r="R105" s="2368"/>
      <c r="S105" s="2368"/>
      <c r="T105" s="2368"/>
      <c r="U105" s="2368"/>
      <c r="V105" s="2369"/>
      <c r="W105" s="1907"/>
      <c r="X105" s="1908"/>
      <c r="Y105" s="1909"/>
      <c r="Z105" s="1942"/>
      <c r="AA105" s="1942"/>
      <c r="AB105" s="1942"/>
      <c r="AC105" s="1942"/>
      <c r="AD105" s="1942"/>
      <c r="AE105" s="1942"/>
      <c r="AF105" s="1942"/>
      <c r="AG105" s="1942"/>
      <c r="AH105" s="1942"/>
      <c r="AI105" s="2346"/>
      <c r="AJ105" s="937"/>
      <c r="AK105" s="938"/>
      <c r="AL105" s="938"/>
      <c r="AM105" s="938"/>
      <c r="AN105" s="938"/>
      <c r="AP105" s="2340"/>
      <c r="AQ105" s="2341"/>
      <c r="AR105" s="1904"/>
      <c r="AS105" s="1905"/>
      <c r="AT105" s="1905"/>
      <c r="AU105" s="1905"/>
      <c r="AV105" s="1905"/>
      <c r="AW105" s="1905"/>
      <c r="AX105" s="1905"/>
      <c r="AY105" s="1905"/>
      <c r="AZ105" s="1905"/>
      <c r="BA105" s="1905"/>
      <c r="BB105" s="1906"/>
      <c r="BC105" s="2370"/>
      <c r="BD105" s="2371"/>
      <c r="BE105" s="2371"/>
      <c r="BF105" s="2371"/>
      <c r="BG105" s="2371"/>
      <c r="BH105" s="2371"/>
      <c r="BI105" s="2371"/>
      <c r="BJ105" s="2372"/>
      <c r="BK105" s="1910"/>
      <c r="BL105" s="1911"/>
      <c r="BM105" s="1912"/>
      <c r="BN105" s="1942"/>
      <c r="BO105" s="1942"/>
      <c r="BP105" s="1942"/>
      <c r="BQ105" s="1942"/>
      <c r="BR105" s="1942"/>
      <c r="BS105" s="1942"/>
      <c r="BT105" s="1942"/>
      <c r="BU105" s="1942"/>
      <c r="BV105" s="1942"/>
      <c r="BW105" s="2346"/>
      <c r="BX105" s="937"/>
    </row>
    <row r="106" spans="2:76" ht="27.95" hidden="1" customHeight="1" outlineLevel="1">
      <c r="B106" s="2340"/>
      <c r="C106" s="2341"/>
      <c r="D106" s="1904"/>
      <c r="E106" s="1905"/>
      <c r="F106" s="1905"/>
      <c r="G106" s="1905"/>
      <c r="H106" s="1905"/>
      <c r="I106" s="1905"/>
      <c r="J106" s="1905"/>
      <c r="K106" s="1905"/>
      <c r="L106" s="1905"/>
      <c r="M106" s="1905"/>
      <c r="N106" s="1906"/>
      <c r="O106" s="2367"/>
      <c r="P106" s="2368"/>
      <c r="Q106" s="2368"/>
      <c r="R106" s="2368"/>
      <c r="S106" s="2368"/>
      <c r="T106" s="2368"/>
      <c r="U106" s="2368"/>
      <c r="V106" s="2369"/>
      <c r="W106" s="1907"/>
      <c r="X106" s="1908"/>
      <c r="Y106" s="1909"/>
      <c r="Z106" s="1942"/>
      <c r="AA106" s="1942"/>
      <c r="AB106" s="1942"/>
      <c r="AC106" s="1942"/>
      <c r="AD106" s="1942"/>
      <c r="AE106" s="1942"/>
      <c r="AF106" s="1942"/>
      <c r="AG106" s="1942"/>
      <c r="AH106" s="1942"/>
      <c r="AI106" s="2346"/>
      <c r="AJ106" s="937"/>
      <c r="AK106" s="938"/>
      <c r="AL106" s="938"/>
      <c r="AM106" s="938"/>
      <c r="AN106" s="938"/>
      <c r="AP106" s="2340"/>
      <c r="AQ106" s="2341"/>
      <c r="AR106" s="1904"/>
      <c r="AS106" s="1905"/>
      <c r="AT106" s="1905"/>
      <c r="AU106" s="1905"/>
      <c r="AV106" s="1905"/>
      <c r="AW106" s="1905"/>
      <c r="AX106" s="1905"/>
      <c r="AY106" s="1905"/>
      <c r="AZ106" s="1905"/>
      <c r="BA106" s="1905"/>
      <c r="BB106" s="1906"/>
      <c r="BC106" s="2370"/>
      <c r="BD106" s="2371"/>
      <c r="BE106" s="2371"/>
      <c r="BF106" s="2371"/>
      <c r="BG106" s="2371"/>
      <c r="BH106" s="2371"/>
      <c r="BI106" s="2371"/>
      <c r="BJ106" s="2372"/>
      <c r="BK106" s="1910"/>
      <c r="BL106" s="1911"/>
      <c r="BM106" s="1912"/>
      <c r="BN106" s="1942"/>
      <c r="BO106" s="1942"/>
      <c r="BP106" s="1942"/>
      <c r="BQ106" s="1942"/>
      <c r="BR106" s="1942"/>
      <c r="BS106" s="1942"/>
      <c r="BT106" s="1942"/>
      <c r="BU106" s="1942"/>
      <c r="BV106" s="1942"/>
      <c r="BW106" s="2346"/>
      <c r="BX106" s="937"/>
    </row>
    <row r="107" spans="2:76" ht="27.95" hidden="1" customHeight="1" outlineLevel="1">
      <c r="B107" s="2340"/>
      <c r="C107" s="2341"/>
      <c r="D107" s="1904"/>
      <c r="E107" s="1905"/>
      <c r="F107" s="1905"/>
      <c r="G107" s="1905"/>
      <c r="H107" s="1905"/>
      <c r="I107" s="1905"/>
      <c r="J107" s="1905"/>
      <c r="K107" s="1905"/>
      <c r="L107" s="1905"/>
      <c r="M107" s="1905"/>
      <c r="N107" s="1906"/>
      <c r="O107" s="2367"/>
      <c r="P107" s="2368"/>
      <c r="Q107" s="2368"/>
      <c r="R107" s="2368"/>
      <c r="S107" s="2368"/>
      <c r="T107" s="2368"/>
      <c r="U107" s="2368"/>
      <c r="V107" s="2369"/>
      <c r="W107" s="1907"/>
      <c r="X107" s="1908"/>
      <c r="Y107" s="1909"/>
      <c r="Z107" s="1942"/>
      <c r="AA107" s="1942"/>
      <c r="AB107" s="1942"/>
      <c r="AC107" s="1942"/>
      <c r="AD107" s="1942"/>
      <c r="AE107" s="1942"/>
      <c r="AF107" s="1942"/>
      <c r="AG107" s="1942"/>
      <c r="AH107" s="1942"/>
      <c r="AI107" s="2346"/>
      <c r="AJ107" s="937"/>
      <c r="AK107" s="938"/>
      <c r="AL107" s="938"/>
      <c r="AM107" s="938"/>
      <c r="AN107" s="938"/>
      <c r="AP107" s="2340"/>
      <c r="AQ107" s="2341"/>
      <c r="AR107" s="1904"/>
      <c r="AS107" s="1905"/>
      <c r="AT107" s="1905"/>
      <c r="AU107" s="1905"/>
      <c r="AV107" s="1905"/>
      <c r="AW107" s="1905"/>
      <c r="AX107" s="1905"/>
      <c r="AY107" s="1905"/>
      <c r="AZ107" s="1905"/>
      <c r="BA107" s="1905"/>
      <c r="BB107" s="1906"/>
      <c r="BC107" s="2370"/>
      <c r="BD107" s="2371"/>
      <c r="BE107" s="2371"/>
      <c r="BF107" s="2371"/>
      <c r="BG107" s="2371"/>
      <c r="BH107" s="2371"/>
      <c r="BI107" s="2371"/>
      <c r="BJ107" s="2372"/>
      <c r="BK107" s="1910"/>
      <c r="BL107" s="1911"/>
      <c r="BM107" s="1912"/>
      <c r="BN107" s="1942"/>
      <c r="BO107" s="1942"/>
      <c r="BP107" s="1942"/>
      <c r="BQ107" s="1942"/>
      <c r="BR107" s="1942"/>
      <c r="BS107" s="1942"/>
      <c r="BT107" s="1942"/>
      <c r="BU107" s="1942"/>
      <c r="BV107" s="1942"/>
      <c r="BW107" s="2346"/>
      <c r="BX107" s="937"/>
    </row>
    <row r="108" spans="2:76" ht="27.95" hidden="1" customHeight="1" outlineLevel="1">
      <c r="B108" s="2340"/>
      <c r="C108" s="2341"/>
      <c r="D108" s="1904"/>
      <c r="E108" s="1905"/>
      <c r="F108" s="1905"/>
      <c r="G108" s="1905"/>
      <c r="H108" s="1905"/>
      <c r="I108" s="1905"/>
      <c r="J108" s="1905"/>
      <c r="K108" s="1905"/>
      <c r="L108" s="1905"/>
      <c r="M108" s="1905"/>
      <c r="N108" s="1906"/>
      <c r="O108" s="2367"/>
      <c r="P108" s="2368"/>
      <c r="Q108" s="2368"/>
      <c r="R108" s="2368"/>
      <c r="S108" s="2368"/>
      <c r="T108" s="2368"/>
      <c r="U108" s="2368"/>
      <c r="V108" s="2369"/>
      <c r="W108" s="1907"/>
      <c r="X108" s="1908"/>
      <c r="Y108" s="1909"/>
      <c r="Z108" s="1942"/>
      <c r="AA108" s="1942"/>
      <c r="AB108" s="1942"/>
      <c r="AC108" s="1942"/>
      <c r="AD108" s="1942"/>
      <c r="AE108" s="1942"/>
      <c r="AF108" s="1942"/>
      <c r="AG108" s="1942"/>
      <c r="AH108" s="1942"/>
      <c r="AI108" s="2346"/>
      <c r="AJ108" s="937"/>
      <c r="AK108" s="938"/>
      <c r="AL108" s="938"/>
      <c r="AM108" s="938"/>
      <c r="AN108" s="938"/>
      <c r="AP108" s="2340"/>
      <c r="AQ108" s="2341"/>
      <c r="AR108" s="1904"/>
      <c r="AS108" s="1905"/>
      <c r="AT108" s="1905"/>
      <c r="AU108" s="1905"/>
      <c r="AV108" s="1905"/>
      <c r="AW108" s="1905"/>
      <c r="AX108" s="1905"/>
      <c r="AY108" s="1905"/>
      <c r="AZ108" s="1905"/>
      <c r="BA108" s="1905"/>
      <c r="BB108" s="1906"/>
      <c r="BC108" s="2370"/>
      <c r="BD108" s="2371"/>
      <c r="BE108" s="2371"/>
      <c r="BF108" s="2371"/>
      <c r="BG108" s="2371"/>
      <c r="BH108" s="2371"/>
      <c r="BI108" s="2371"/>
      <c r="BJ108" s="2372"/>
      <c r="BK108" s="1910"/>
      <c r="BL108" s="1911"/>
      <c r="BM108" s="1912"/>
      <c r="BN108" s="1942"/>
      <c r="BO108" s="1942"/>
      <c r="BP108" s="1942"/>
      <c r="BQ108" s="1942"/>
      <c r="BR108" s="1942"/>
      <c r="BS108" s="1942"/>
      <c r="BT108" s="1942"/>
      <c r="BU108" s="1942"/>
      <c r="BV108" s="1942"/>
      <c r="BW108" s="2346"/>
      <c r="BX108" s="937"/>
    </row>
    <row r="109" spans="2:76" ht="27.95" hidden="1" customHeight="1" outlineLevel="1">
      <c r="B109" s="2340"/>
      <c r="C109" s="2341"/>
      <c r="D109" s="1904"/>
      <c r="E109" s="1905"/>
      <c r="F109" s="1905"/>
      <c r="G109" s="1905"/>
      <c r="H109" s="1905"/>
      <c r="I109" s="1905"/>
      <c r="J109" s="1905"/>
      <c r="K109" s="1905"/>
      <c r="L109" s="1905"/>
      <c r="M109" s="1905"/>
      <c r="N109" s="1906"/>
      <c r="O109" s="2367"/>
      <c r="P109" s="2368"/>
      <c r="Q109" s="2368"/>
      <c r="R109" s="2368"/>
      <c r="S109" s="2368"/>
      <c r="T109" s="2368"/>
      <c r="U109" s="2368"/>
      <c r="V109" s="2369"/>
      <c r="W109" s="1907"/>
      <c r="X109" s="1908"/>
      <c r="Y109" s="1909"/>
      <c r="Z109" s="1942"/>
      <c r="AA109" s="1942"/>
      <c r="AB109" s="1942"/>
      <c r="AC109" s="1942"/>
      <c r="AD109" s="1942"/>
      <c r="AE109" s="1942"/>
      <c r="AF109" s="1942"/>
      <c r="AG109" s="1942"/>
      <c r="AH109" s="1942"/>
      <c r="AI109" s="2346"/>
      <c r="AJ109" s="937"/>
      <c r="AK109" s="938"/>
      <c r="AL109" s="938"/>
      <c r="AM109" s="938"/>
      <c r="AN109" s="938"/>
      <c r="AP109" s="2340"/>
      <c r="AQ109" s="2341"/>
      <c r="AR109" s="1904"/>
      <c r="AS109" s="1905"/>
      <c r="AT109" s="1905"/>
      <c r="AU109" s="1905"/>
      <c r="AV109" s="1905"/>
      <c r="AW109" s="1905"/>
      <c r="AX109" s="1905"/>
      <c r="AY109" s="1905"/>
      <c r="AZ109" s="1905"/>
      <c r="BA109" s="1905"/>
      <c r="BB109" s="1906"/>
      <c r="BC109" s="2370"/>
      <c r="BD109" s="2371"/>
      <c r="BE109" s="2371"/>
      <c r="BF109" s="2371"/>
      <c r="BG109" s="2371"/>
      <c r="BH109" s="2371"/>
      <c r="BI109" s="2371"/>
      <c r="BJ109" s="2372"/>
      <c r="BK109" s="1910"/>
      <c r="BL109" s="1911"/>
      <c r="BM109" s="1912"/>
      <c r="BN109" s="1942"/>
      <c r="BO109" s="1942"/>
      <c r="BP109" s="1942"/>
      <c r="BQ109" s="1942"/>
      <c r="BR109" s="1942"/>
      <c r="BS109" s="1942"/>
      <c r="BT109" s="1942"/>
      <c r="BU109" s="1942"/>
      <c r="BV109" s="1942"/>
      <c r="BW109" s="2346"/>
      <c r="BX109" s="937"/>
    </row>
    <row r="110" spans="2:76" ht="27.95" hidden="1" customHeight="1" outlineLevel="1">
      <c r="B110" s="2340"/>
      <c r="C110" s="2341"/>
      <c r="D110" s="1904"/>
      <c r="E110" s="1905"/>
      <c r="F110" s="1905"/>
      <c r="G110" s="1905"/>
      <c r="H110" s="1905"/>
      <c r="I110" s="1905"/>
      <c r="J110" s="1905"/>
      <c r="K110" s="1905"/>
      <c r="L110" s="1905"/>
      <c r="M110" s="1905"/>
      <c r="N110" s="1906"/>
      <c r="O110" s="2367"/>
      <c r="P110" s="2368"/>
      <c r="Q110" s="2368"/>
      <c r="R110" s="2368"/>
      <c r="S110" s="2368"/>
      <c r="T110" s="2368"/>
      <c r="U110" s="2368"/>
      <c r="V110" s="2369"/>
      <c r="W110" s="1907"/>
      <c r="X110" s="1908"/>
      <c r="Y110" s="1909"/>
      <c r="Z110" s="1942"/>
      <c r="AA110" s="1942"/>
      <c r="AB110" s="1942"/>
      <c r="AC110" s="1942"/>
      <c r="AD110" s="1942"/>
      <c r="AE110" s="1942"/>
      <c r="AF110" s="1942"/>
      <c r="AG110" s="1942"/>
      <c r="AH110" s="1942"/>
      <c r="AI110" s="2346"/>
      <c r="AJ110" s="937"/>
      <c r="AK110" s="938"/>
      <c r="AL110" s="938"/>
      <c r="AM110" s="938"/>
      <c r="AN110" s="938"/>
      <c r="AP110" s="2340"/>
      <c r="AQ110" s="2341"/>
      <c r="AR110" s="1904"/>
      <c r="AS110" s="1905"/>
      <c r="AT110" s="1905"/>
      <c r="AU110" s="1905"/>
      <c r="AV110" s="1905"/>
      <c r="AW110" s="1905"/>
      <c r="AX110" s="1905"/>
      <c r="AY110" s="1905"/>
      <c r="AZ110" s="1905"/>
      <c r="BA110" s="1905"/>
      <c r="BB110" s="1906"/>
      <c r="BC110" s="2370"/>
      <c r="BD110" s="2371"/>
      <c r="BE110" s="2371"/>
      <c r="BF110" s="2371"/>
      <c r="BG110" s="2371"/>
      <c r="BH110" s="2371"/>
      <c r="BI110" s="2371"/>
      <c r="BJ110" s="2372"/>
      <c r="BK110" s="1910"/>
      <c r="BL110" s="1911"/>
      <c r="BM110" s="1912"/>
      <c r="BN110" s="1942"/>
      <c r="BO110" s="1942"/>
      <c r="BP110" s="1942"/>
      <c r="BQ110" s="1942"/>
      <c r="BR110" s="1942"/>
      <c r="BS110" s="1942"/>
      <c r="BT110" s="1942"/>
      <c r="BU110" s="1942"/>
      <c r="BV110" s="1942"/>
      <c r="BW110" s="2346"/>
      <c r="BX110" s="937"/>
    </row>
    <row r="111" spans="2:76" ht="27.95" hidden="1" customHeight="1" outlineLevel="1">
      <c r="B111" s="2340"/>
      <c r="C111" s="2341"/>
      <c r="D111" s="1904"/>
      <c r="E111" s="1905"/>
      <c r="F111" s="1905"/>
      <c r="G111" s="1905"/>
      <c r="H111" s="1905"/>
      <c r="I111" s="1905"/>
      <c r="J111" s="1905"/>
      <c r="K111" s="1905"/>
      <c r="L111" s="1905"/>
      <c r="M111" s="1905"/>
      <c r="N111" s="1906"/>
      <c r="O111" s="2367"/>
      <c r="P111" s="2368"/>
      <c r="Q111" s="2368"/>
      <c r="R111" s="2368"/>
      <c r="S111" s="2368"/>
      <c r="T111" s="2368"/>
      <c r="U111" s="2368"/>
      <c r="V111" s="2369"/>
      <c r="W111" s="1907"/>
      <c r="X111" s="1908"/>
      <c r="Y111" s="1909"/>
      <c r="Z111" s="1942"/>
      <c r="AA111" s="1942"/>
      <c r="AB111" s="1942"/>
      <c r="AC111" s="1942"/>
      <c r="AD111" s="1942"/>
      <c r="AE111" s="1942"/>
      <c r="AF111" s="1942"/>
      <c r="AG111" s="1942"/>
      <c r="AH111" s="1942"/>
      <c r="AI111" s="2346"/>
      <c r="AJ111" s="937"/>
      <c r="AK111" s="938"/>
      <c r="AL111" s="938"/>
      <c r="AM111" s="938"/>
      <c r="AN111" s="938"/>
      <c r="AP111" s="2340"/>
      <c r="AQ111" s="2341"/>
      <c r="AR111" s="1904"/>
      <c r="AS111" s="1905"/>
      <c r="AT111" s="1905"/>
      <c r="AU111" s="1905"/>
      <c r="AV111" s="1905"/>
      <c r="AW111" s="1905"/>
      <c r="AX111" s="1905"/>
      <c r="AY111" s="1905"/>
      <c r="AZ111" s="1905"/>
      <c r="BA111" s="1905"/>
      <c r="BB111" s="1906"/>
      <c r="BC111" s="2370"/>
      <c r="BD111" s="2371"/>
      <c r="BE111" s="2371"/>
      <c r="BF111" s="2371"/>
      <c r="BG111" s="2371"/>
      <c r="BH111" s="2371"/>
      <c r="BI111" s="2371"/>
      <c r="BJ111" s="2372"/>
      <c r="BK111" s="1910"/>
      <c r="BL111" s="1911"/>
      <c r="BM111" s="1912"/>
      <c r="BN111" s="1942"/>
      <c r="BO111" s="1942"/>
      <c r="BP111" s="1942"/>
      <c r="BQ111" s="1942"/>
      <c r="BR111" s="1942"/>
      <c r="BS111" s="1942"/>
      <c r="BT111" s="1942"/>
      <c r="BU111" s="1942"/>
      <c r="BV111" s="1942"/>
      <c r="BW111" s="2346"/>
      <c r="BX111" s="937"/>
    </row>
    <row r="112" spans="2:76" ht="27.95" hidden="1" customHeight="1" outlineLevel="1">
      <c r="B112" s="2340"/>
      <c r="C112" s="2341"/>
      <c r="D112" s="1904"/>
      <c r="E112" s="1905"/>
      <c r="F112" s="1905"/>
      <c r="G112" s="1905"/>
      <c r="H112" s="1905"/>
      <c r="I112" s="1905"/>
      <c r="J112" s="1905"/>
      <c r="K112" s="1905"/>
      <c r="L112" s="1905"/>
      <c r="M112" s="1905"/>
      <c r="N112" s="1906"/>
      <c r="O112" s="2367"/>
      <c r="P112" s="2368"/>
      <c r="Q112" s="2368"/>
      <c r="R112" s="2368"/>
      <c r="S112" s="2368"/>
      <c r="T112" s="2368"/>
      <c r="U112" s="2368"/>
      <c r="V112" s="2369"/>
      <c r="W112" s="1907"/>
      <c r="X112" s="1908"/>
      <c r="Y112" s="1909"/>
      <c r="Z112" s="1942"/>
      <c r="AA112" s="1942"/>
      <c r="AB112" s="1942"/>
      <c r="AC112" s="1942"/>
      <c r="AD112" s="1942"/>
      <c r="AE112" s="1942"/>
      <c r="AF112" s="1942"/>
      <c r="AG112" s="1942"/>
      <c r="AH112" s="1942"/>
      <c r="AI112" s="2346"/>
      <c r="AJ112" s="937"/>
      <c r="AK112" s="938"/>
      <c r="AL112" s="938"/>
      <c r="AM112" s="938"/>
      <c r="AN112" s="938"/>
      <c r="AP112" s="2340"/>
      <c r="AQ112" s="2341"/>
      <c r="AR112" s="1904"/>
      <c r="AS112" s="1905"/>
      <c r="AT112" s="1905"/>
      <c r="AU112" s="1905"/>
      <c r="AV112" s="1905"/>
      <c r="AW112" s="1905"/>
      <c r="AX112" s="1905"/>
      <c r="AY112" s="1905"/>
      <c r="AZ112" s="1905"/>
      <c r="BA112" s="1905"/>
      <c r="BB112" s="1906"/>
      <c r="BC112" s="2370"/>
      <c r="BD112" s="2371"/>
      <c r="BE112" s="2371"/>
      <c r="BF112" s="2371"/>
      <c r="BG112" s="2371"/>
      <c r="BH112" s="2371"/>
      <c r="BI112" s="2371"/>
      <c r="BJ112" s="2372"/>
      <c r="BK112" s="1910"/>
      <c r="BL112" s="1911"/>
      <c r="BM112" s="1912"/>
      <c r="BN112" s="1942"/>
      <c r="BO112" s="1942"/>
      <c r="BP112" s="1942"/>
      <c r="BQ112" s="1942"/>
      <c r="BR112" s="1942"/>
      <c r="BS112" s="1942"/>
      <c r="BT112" s="1942"/>
      <c r="BU112" s="1942"/>
      <c r="BV112" s="1942"/>
      <c r="BW112" s="2346"/>
      <c r="BX112" s="937"/>
    </row>
    <row r="113" spans="2:76" ht="27.95" hidden="1" customHeight="1" outlineLevel="1">
      <c r="B113" s="2340"/>
      <c r="C113" s="2341"/>
      <c r="D113" s="1904"/>
      <c r="E113" s="1905"/>
      <c r="F113" s="1905"/>
      <c r="G113" s="1905"/>
      <c r="H113" s="1905"/>
      <c r="I113" s="1905"/>
      <c r="J113" s="1905"/>
      <c r="K113" s="1905"/>
      <c r="L113" s="1905"/>
      <c r="M113" s="1905"/>
      <c r="N113" s="1906"/>
      <c r="O113" s="2367"/>
      <c r="P113" s="2368"/>
      <c r="Q113" s="2368"/>
      <c r="R113" s="2368"/>
      <c r="S113" s="2368"/>
      <c r="T113" s="2368"/>
      <c r="U113" s="2368"/>
      <c r="V113" s="2369"/>
      <c r="W113" s="1907"/>
      <c r="X113" s="1908"/>
      <c r="Y113" s="1909"/>
      <c r="Z113" s="1942"/>
      <c r="AA113" s="1942"/>
      <c r="AB113" s="1942"/>
      <c r="AC113" s="1942"/>
      <c r="AD113" s="1942"/>
      <c r="AE113" s="1942"/>
      <c r="AF113" s="1942"/>
      <c r="AG113" s="1942"/>
      <c r="AH113" s="1942"/>
      <c r="AI113" s="2346"/>
      <c r="AJ113" s="937"/>
      <c r="AK113" s="938"/>
      <c r="AL113" s="938"/>
      <c r="AM113" s="938"/>
      <c r="AN113" s="938"/>
      <c r="AP113" s="2340"/>
      <c r="AQ113" s="2341"/>
      <c r="AR113" s="1904"/>
      <c r="AS113" s="1905"/>
      <c r="AT113" s="1905"/>
      <c r="AU113" s="1905"/>
      <c r="AV113" s="1905"/>
      <c r="AW113" s="1905"/>
      <c r="AX113" s="1905"/>
      <c r="AY113" s="1905"/>
      <c r="AZ113" s="1905"/>
      <c r="BA113" s="1905"/>
      <c r="BB113" s="1906"/>
      <c r="BC113" s="2370"/>
      <c r="BD113" s="2371"/>
      <c r="BE113" s="2371"/>
      <c r="BF113" s="2371"/>
      <c r="BG113" s="2371"/>
      <c r="BH113" s="2371"/>
      <c r="BI113" s="2371"/>
      <c r="BJ113" s="2372"/>
      <c r="BK113" s="1910"/>
      <c r="BL113" s="1911"/>
      <c r="BM113" s="1912"/>
      <c r="BN113" s="1942"/>
      <c r="BO113" s="1942"/>
      <c r="BP113" s="1942"/>
      <c r="BQ113" s="1942"/>
      <c r="BR113" s="1942"/>
      <c r="BS113" s="1942"/>
      <c r="BT113" s="1942"/>
      <c r="BU113" s="1942"/>
      <c r="BV113" s="1942"/>
      <c r="BW113" s="2346"/>
      <c r="BX113" s="937"/>
    </row>
    <row r="114" spans="2:76" ht="27.95" hidden="1" customHeight="1" outlineLevel="1" thickBot="1">
      <c r="B114" s="2342"/>
      <c r="C114" s="2343"/>
      <c r="D114" s="2376"/>
      <c r="E114" s="2377"/>
      <c r="F114" s="2377"/>
      <c r="G114" s="2377"/>
      <c r="H114" s="2377"/>
      <c r="I114" s="2377"/>
      <c r="J114" s="2377"/>
      <c r="K114" s="2377"/>
      <c r="L114" s="2377"/>
      <c r="M114" s="2377"/>
      <c r="N114" s="2378"/>
      <c r="O114" s="2379"/>
      <c r="P114" s="2380"/>
      <c r="Q114" s="2380"/>
      <c r="R114" s="2380"/>
      <c r="S114" s="2380"/>
      <c r="T114" s="2380"/>
      <c r="U114" s="2380"/>
      <c r="V114" s="2381"/>
      <c r="W114" s="2382"/>
      <c r="X114" s="2383"/>
      <c r="Y114" s="2384"/>
      <c r="Z114" s="1943"/>
      <c r="AA114" s="1943"/>
      <c r="AB114" s="1943"/>
      <c r="AC114" s="1943"/>
      <c r="AD114" s="1943"/>
      <c r="AE114" s="1943"/>
      <c r="AF114" s="1943"/>
      <c r="AG114" s="1943"/>
      <c r="AH114" s="1943"/>
      <c r="AI114" s="2347"/>
      <c r="AJ114" s="937"/>
      <c r="AK114" s="938"/>
      <c r="AL114" s="938"/>
      <c r="AM114" s="938"/>
      <c r="AN114" s="938"/>
      <c r="AP114" s="2342"/>
      <c r="AQ114" s="2343"/>
      <c r="AR114" s="2376"/>
      <c r="AS114" s="2377"/>
      <c r="AT114" s="2377"/>
      <c r="AU114" s="2377"/>
      <c r="AV114" s="2377"/>
      <c r="AW114" s="2377"/>
      <c r="AX114" s="2377"/>
      <c r="AY114" s="2377"/>
      <c r="AZ114" s="2377"/>
      <c r="BA114" s="2377"/>
      <c r="BB114" s="2378"/>
      <c r="BC114" s="2379"/>
      <c r="BD114" s="2380"/>
      <c r="BE114" s="2380"/>
      <c r="BF114" s="2380"/>
      <c r="BG114" s="2380"/>
      <c r="BH114" s="2380"/>
      <c r="BI114" s="2380"/>
      <c r="BJ114" s="2381"/>
      <c r="BK114" s="2382"/>
      <c r="BL114" s="2383"/>
      <c r="BM114" s="2384"/>
      <c r="BN114" s="1943"/>
      <c r="BO114" s="1943"/>
      <c r="BP114" s="1943"/>
      <c r="BQ114" s="1943"/>
      <c r="BR114" s="1943"/>
      <c r="BS114" s="1943"/>
      <c r="BT114" s="1943"/>
      <c r="BU114" s="1943"/>
      <c r="BV114" s="1943"/>
      <c r="BW114" s="2347"/>
      <c r="BX114" s="937"/>
    </row>
    <row r="115" spans="2:76" ht="27.95" customHeight="1">
      <c r="B115" s="942"/>
      <c r="C115" s="942"/>
      <c r="D115" s="942"/>
      <c r="E115" s="942"/>
      <c r="F115" s="942"/>
      <c r="G115" s="942"/>
      <c r="H115" s="942"/>
      <c r="I115" s="942"/>
      <c r="J115" s="942"/>
      <c r="K115" s="942"/>
      <c r="L115" s="942"/>
      <c r="M115" s="942"/>
      <c r="N115" s="943"/>
      <c r="O115" s="943"/>
      <c r="P115" s="943"/>
      <c r="Q115" s="943"/>
      <c r="R115" s="943"/>
      <c r="S115" s="943"/>
      <c r="T115" s="943"/>
      <c r="U115" s="943"/>
      <c r="V115" s="944"/>
      <c r="W115" s="945"/>
      <c r="X115" s="945"/>
      <c r="Y115" s="946"/>
      <c r="Z115" s="946"/>
      <c r="AA115" s="946"/>
      <c r="AB115" s="946"/>
      <c r="AC115" s="946"/>
      <c r="AD115" s="946"/>
      <c r="AE115" s="946"/>
      <c r="AF115" s="946"/>
      <c r="AG115" s="946"/>
      <c r="AH115" s="461"/>
      <c r="AI115" s="461"/>
      <c r="AP115" s="461"/>
      <c r="AQ115" s="461"/>
      <c r="AR115" s="461"/>
      <c r="AS115" s="461"/>
      <c r="AT115" s="461"/>
      <c r="AU115" s="461"/>
      <c r="AV115" s="461"/>
      <c r="AW115" s="461"/>
      <c r="AX115" s="461"/>
      <c r="AY115" s="461"/>
      <c r="AZ115" s="461"/>
      <c r="BA115" s="461"/>
      <c r="BB115" s="461"/>
      <c r="BC115" s="461"/>
      <c r="BD115" s="461"/>
      <c r="BE115" s="461"/>
      <c r="BF115" s="461"/>
      <c r="BG115" s="461"/>
      <c r="BH115" s="461"/>
      <c r="BI115" s="461"/>
      <c r="BJ115" s="461"/>
      <c r="BK115" s="461"/>
      <c r="BL115" s="461"/>
      <c r="BM115" s="461"/>
      <c r="BN115" s="461"/>
      <c r="BO115" s="461"/>
      <c r="BP115" s="461"/>
      <c r="BQ115" s="461"/>
      <c r="BR115" s="461"/>
      <c r="BS115" s="461"/>
      <c r="BT115" s="461"/>
      <c r="BU115" s="461"/>
      <c r="BV115" s="461"/>
      <c r="BW115" s="461"/>
    </row>
    <row r="116" spans="2:76" ht="27.95" customHeight="1">
      <c r="B116" s="342"/>
      <c r="C116" s="342"/>
      <c r="D116" s="179"/>
      <c r="E116" s="179"/>
      <c r="F116" s="179"/>
      <c r="G116" s="179"/>
      <c r="H116" s="179"/>
      <c r="I116" s="179"/>
      <c r="J116" s="179"/>
      <c r="K116" s="179"/>
      <c r="L116" s="179"/>
      <c r="M116" s="179"/>
      <c r="N116" s="947"/>
      <c r="O116" s="947"/>
      <c r="P116" s="947"/>
      <c r="Q116" s="947"/>
      <c r="R116" s="947"/>
      <c r="S116" s="947"/>
      <c r="T116" s="947"/>
      <c r="U116" s="947"/>
      <c r="V116" s="179"/>
      <c r="W116" s="948"/>
      <c r="X116" s="948"/>
      <c r="Y116" s="316"/>
      <c r="Z116" s="316"/>
      <c r="AA116" s="316"/>
      <c r="AB116" s="316"/>
      <c r="AC116" s="316"/>
      <c r="AD116" s="316"/>
      <c r="AE116" s="316"/>
      <c r="AF116" s="316"/>
      <c r="AG116" s="316"/>
    </row>
    <row r="117" spans="2:76" ht="27.95" customHeight="1">
      <c r="B117" s="342"/>
      <c r="C117" s="342"/>
      <c r="D117" s="179"/>
      <c r="E117" s="179"/>
      <c r="F117" s="179"/>
      <c r="G117" s="179"/>
      <c r="H117" s="179"/>
      <c r="I117" s="179"/>
      <c r="J117" s="179"/>
      <c r="K117" s="179"/>
      <c r="L117" s="179"/>
      <c r="M117" s="179"/>
      <c r="N117" s="947"/>
      <c r="O117" s="947"/>
      <c r="P117" s="947"/>
      <c r="Q117" s="947"/>
      <c r="R117" s="947"/>
      <c r="S117" s="947"/>
      <c r="T117" s="947"/>
      <c r="U117" s="947"/>
      <c r="V117" s="179"/>
      <c r="W117" s="948"/>
      <c r="X117" s="948"/>
      <c r="Y117" s="316"/>
      <c r="Z117" s="316"/>
      <c r="AA117" s="316"/>
      <c r="AB117" s="316"/>
      <c r="AC117" s="316"/>
      <c r="AD117" s="316"/>
      <c r="AE117" s="316"/>
      <c r="AF117" s="316"/>
      <c r="AG117" s="316"/>
    </row>
  </sheetData>
  <sheetProtection sheet="1" objects="1" scenarios="1" selectLockedCells="1"/>
  <mergeCells count="620">
    <mergeCell ref="D114:N114"/>
    <mergeCell ref="O114:V114"/>
    <mergeCell ref="W114:Y114"/>
    <mergeCell ref="AR114:BB114"/>
    <mergeCell ref="BC114:BJ114"/>
    <mergeCell ref="BK114:BM114"/>
    <mergeCell ref="D113:N113"/>
    <mergeCell ref="O113:V113"/>
    <mergeCell ref="W113:Y113"/>
    <mergeCell ref="AR113:BB113"/>
    <mergeCell ref="BC113:BJ113"/>
    <mergeCell ref="BK113:BM113"/>
    <mergeCell ref="D112:N112"/>
    <mergeCell ref="O112:V112"/>
    <mergeCell ref="W112:Y112"/>
    <mergeCell ref="AR112:BB112"/>
    <mergeCell ref="BC112:BJ112"/>
    <mergeCell ref="BK112:BM112"/>
    <mergeCell ref="D111:N111"/>
    <mergeCell ref="O111:V111"/>
    <mergeCell ref="W111:Y111"/>
    <mergeCell ref="AR111:BB111"/>
    <mergeCell ref="BC111:BJ111"/>
    <mergeCell ref="BK111:BM111"/>
    <mergeCell ref="D110:N110"/>
    <mergeCell ref="O110:V110"/>
    <mergeCell ref="W110:Y110"/>
    <mergeCell ref="AR110:BB110"/>
    <mergeCell ref="BC110:BJ110"/>
    <mergeCell ref="BK110:BM110"/>
    <mergeCell ref="D109:N109"/>
    <mergeCell ref="O109:V109"/>
    <mergeCell ref="W109:Y109"/>
    <mergeCell ref="AR109:BB109"/>
    <mergeCell ref="BC109:BJ109"/>
    <mergeCell ref="BK109:BM109"/>
    <mergeCell ref="D108:N108"/>
    <mergeCell ref="O108:V108"/>
    <mergeCell ref="W108:Y108"/>
    <mergeCell ref="AR108:BB108"/>
    <mergeCell ref="BC108:BJ108"/>
    <mergeCell ref="BK108:BM108"/>
    <mergeCell ref="D107:N107"/>
    <mergeCell ref="O107:V107"/>
    <mergeCell ref="W107:Y107"/>
    <mergeCell ref="AR107:BB107"/>
    <mergeCell ref="BC107:BJ107"/>
    <mergeCell ref="BK107:BM107"/>
    <mergeCell ref="D106:N106"/>
    <mergeCell ref="O106:V106"/>
    <mergeCell ref="W106:Y106"/>
    <mergeCell ref="AR106:BB106"/>
    <mergeCell ref="BC106:BJ106"/>
    <mergeCell ref="BK106:BM106"/>
    <mergeCell ref="D105:N105"/>
    <mergeCell ref="O105:V105"/>
    <mergeCell ref="W105:Y105"/>
    <mergeCell ref="AR105:BB105"/>
    <mergeCell ref="BC105:BJ105"/>
    <mergeCell ref="BK105:BM105"/>
    <mergeCell ref="D104:N104"/>
    <mergeCell ref="O104:V104"/>
    <mergeCell ref="W104:Y104"/>
    <mergeCell ref="AR104:BB104"/>
    <mergeCell ref="BC104:BJ104"/>
    <mergeCell ref="BK104:BM104"/>
    <mergeCell ref="D103:N103"/>
    <mergeCell ref="O103:V103"/>
    <mergeCell ref="W103:Y103"/>
    <mergeCell ref="AR103:BB103"/>
    <mergeCell ref="BC103:BJ103"/>
    <mergeCell ref="BK103:BM103"/>
    <mergeCell ref="D102:N102"/>
    <mergeCell ref="O102:V102"/>
    <mergeCell ref="W102:Y102"/>
    <mergeCell ref="AR102:BB102"/>
    <mergeCell ref="BC102:BJ102"/>
    <mergeCell ref="BK102:BM102"/>
    <mergeCell ref="D101:N101"/>
    <mergeCell ref="O101:V101"/>
    <mergeCell ref="W101:Y101"/>
    <mergeCell ref="AR101:BB101"/>
    <mergeCell ref="BC101:BJ101"/>
    <mergeCell ref="BK101:BM101"/>
    <mergeCell ref="D100:N100"/>
    <mergeCell ref="O100:V100"/>
    <mergeCell ref="W100:Y100"/>
    <mergeCell ref="AR100:BB100"/>
    <mergeCell ref="BC100:BJ100"/>
    <mergeCell ref="BK100:BM100"/>
    <mergeCell ref="D99:N99"/>
    <mergeCell ref="O99:V99"/>
    <mergeCell ref="W99:Y99"/>
    <mergeCell ref="AR99:BB99"/>
    <mergeCell ref="BC99:BJ99"/>
    <mergeCell ref="BK99:BM99"/>
    <mergeCell ref="D98:N98"/>
    <mergeCell ref="O98:V98"/>
    <mergeCell ref="W98:Y98"/>
    <mergeCell ref="AR98:BB98"/>
    <mergeCell ref="BC98:BJ98"/>
    <mergeCell ref="BK98:BM98"/>
    <mergeCell ref="D97:N97"/>
    <mergeCell ref="O97:V97"/>
    <mergeCell ref="W97:Y97"/>
    <mergeCell ref="AR97:BB97"/>
    <mergeCell ref="BC97:BJ97"/>
    <mergeCell ref="BK97:BM97"/>
    <mergeCell ref="D96:N96"/>
    <mergeCell ref="O96:V96"/>
    <mergeCell ref="W96:Y96"/>
    <mergeCell ref="AR96:BB96"/>
    <mergeCell ref="BC96:BJ96"/>
    <mergeCell ref="BK96:BM96"/>
    <mergeCell ref="D95:N95"/>
    <mergeCell ref="O95:V95"/>
    <mergeCell ref="W95:Y95"/>
    <mergeCell ref="AR95:BB95"/>
    <mergeCell ref="BC95:BJ95"/>
    <mergeCell ref="BK95:BM95"/>
    <mergeCell ref="D94:N94"/>
    <mergeCell ref="O94:V94"/>
    <mergeCell ref="W94:Y94"/>
    <mergeCell ref="AR94:BB94"/>
    <mergeCell ref="BC94:BJ94"/>
    <mergeCell ref="BK94:BM94"/>
    <mergeCell ref="D93:N93"/>
    <mergeCell ref="O93:V93"/>
    <mergeCell ref="W93:Y93"/>
    <mergeCell ref="AR93:BB93"/>
    <mergeCell ref="BC93:BJ93"/>
    <mergeCell ref="BK93:BM93"/>
    <mergeCell ref="D92:N92"/>
    <mergeCell ref="O92:V92"/>
    <mergeCell ref="W92:Y92"/>
    <mergeCell ref="AR92:BB92"/>
    <mergeCell ref="BC92:BJ92"/>
    <mergeCell ref="BK92:BM92"/>
    <mergeCell ref="D91:N91"/>
    <mergeCell ref="O91:V91"/>
    <mergeCell ref="W91:Y91"/>
    <mergeCell ref="AR91:BB91"/>
    <mergeCell ref="BC91:BJ91"/>
    <mergeCell ref="BK91:BM91"/>
    <mergeCell ref="D90:N90"/>
    <mergeCell ref="O90:V90"/>
    <mergeCell ref="W90:Y90"/>
    <mergeCell ref="AR90:BB90"/>
    <mergeCell ref="BC90:BJ90"/>
    <mergeCell ref="BK90:BM90"/>
    <mergeCell ref="D89:N89"/>
    <mergeCell ref="O89:V89"/>
    <mergeCell ref="W89:Y89"/>
    <mergeCell ref="AR89:BB89"/>
    <mergeCell ref="BC89:BJ89"/>
    <mergeCell ref="BK89:BM89"/>
    <mergeCell ref="D88:N88"/>
    <mergeCell ref="O88:V88"/>
    <mergeCell ref="W88:Y88"/>
    <mergeCell ref="AR88:BB88"/>
    <mergeCell ref="BC88:BJ88"/>
    <mergeCell ref="BK88:BM88"/>
    <mergeCell ref="D87:N87"/>
    <mergeCell ref="O87:V87"/>
    <mergeCell ref="W87:Y87"/>
    <mergeCell ref="AR87:BB87"/>
    <mergeCell ref="BC87:BJ87"/>
    <mergeCell ref="BK87:BM87"/>
    <mergeCell ref="D86:N86"/>
    <mergeCell ref="O86:V86"/>
    <mergeCell ref="W86:Y86"/>
    <mergeCell ref="AR86:BB86"/>
    <mergeCell ref="BC86:BJ86"/>
    <mergeCell ref="BK86:BM86"/>
    <mergeCell ref="D85:N85"/>
    <mergeCell ref="O85:V85"/>
    <mergeCell ref="W85:Y85"/>
    <mergeCell ref="AR85:BB85"/>
    <mergeCell ref="BC85:BJ85"/>
    <mergeCell ref="BK85:BM85"/>
    <mergeCell ref="D84:N84"/>
    <mergeCell ref="O84:V84"/>
    <mergeCell ref="W84:Y84"/>
    <mergeCell ref="AR84:BB84"/>
    <mergeCell ref="BC84:BJ84"/>
    <mergeCell ref="BK84:BM84"/>
    <mergeCell ref="D83:N83"/>
    <mergeCell ref="O83:V83"/>
    <mergeCell ref="W83:Y83"/>
    <mergeCell ref="AR83:BB83"/>
    <mergeCell ref="BC83:BJ83"/>
    <mergeCell ref="BK83:BM83"/>
    <mergeCell ref="D82:N82"/>
    <mergeCell ref="O82:V82"/>
    <mergeCell ref="W82:Y82"/>
    <mergeCell ref="AR82:BB82"/>
    <mergeCell ref="BC82:BJ82"/>
    <mergeCell ref="BK82:BM82"/>
    <mergeCell ref="D81:N81"/>
    <mergeCell ref="O81:V81"/>
    <mergeCell ref="W81:Y81"/>
    <mergeCell ref="AR81:BB81"/>
    <mergeCell ref="BC81:BJ81"/>
    <mergeCell ref="BK81:BM81"/>
    <mergeCell ref="D80:N80"/>
    <mergeCell ref="O80:V80"/>
    <mergeCell ref="W80:Y80"/>
    <mergeCell ref="AR80:BB80"/>
    <mergeCell ref="BC80:BJ80"/>
    <mergeCell ref="BK80:BM80"/>
    <mergeCell ref="D79:N79"/>
    <mergeCell ref="O79:V79"/>
    <mergeCell ref="W79:Y79"/>
    <mergeCell ref="AR79:BB79"/>
    <mergeCell ref="BC79:BJ79"/>
    <mergeCell ref="BK79:BM79"/>
    <mergeCell ref="D78:N78"/>
    <mergeCell ref="O78:V78"/>
    <mergeCell ref="W78:Y78"/>
    <mergeCell ref="AR78:BB78"/>
    <mergeCell ref="BC78:BJ78"/>
    <mergeCell ref="BK78:BM78"/>
    <mergeCell ref="D77:N77"/>
    <mergeCell ref="O77:V77"/>
    <mergeCell ref="W77:Y77"/>
    <mergeCell ref="AR77:BB77"/>
    <mergeCell ref="BC77:BJ77"/>
    <mergeCell ref="BK77:BM77"/>
    <mergeCell ref="D76:N76"/>
    <mergeCell ref="O76:V76"/>
    <mergeCell ref="W76:Y76"/>
    <mergeCell ref="AR76:BB76"/>
    <mergeCell ref="BC76:BJ76"/>
    <mergeCell ref="BK76:BM76"/>
    <mergeCell ref="D75:N75"/>
    <mergeCell ref="O75:V75"/>
    <mergeCell ref="W75:Y75"/>
    <mergeCell ref="AR75:BB75"/>
    <mergeCell ref="BC75:BJ75"/>
    <mergeCell ref="BK75:BM75"/>
    <mergeCell ref="D74:N74"/>
    <mergeCell ref="O74:V74"/>
    <mergeCell ref="W74:Y74"/>
    <mergeCell ref="AR74:BB74"/>
    <mergeCell ref="BC74:BJ74"/>
    <mergeCell ref="BK74:BM74"/>
    <mergeCell ref="D73:N73"/>
    <mergeCell ref="O73:V73"/>
    <mergeCell ref="W73:Y73"/>
    <mergeCell ref="AR73:BB73"/>
    <mergeCell ref="BC73:BJ73"/>
    <mergeCell ref="BK73:BM73"/>
    <mergeCell ref="D72:N72"/>
    <mergeCell ref="O72:V72"/>
    <mergeCell ref="W72:Y72"/>
    <mergeCell ref="AR72:BB72"/>
    <mergeCell ref="BC72:BJ72"/>
    <mergeCell ref="BK72:BM72"/>
    <mergeCell ref="D71:N71"/>
    <mergeCell ref="O71:V71"/>
    <mergeCell ref="W71:Y71"/>
    <mergeCell ref="AR71:BB71"/>
    <mergeCell ref="BC71:BJ71"/>
    <mergeCell ref="BK71:BM71"/>
    <mergeCell ref="D70:N70"/>
    <mergeCell ref="O70:V70"/>
    <mergeCell ref="W70:Y70"/>
    <mergeCell ref="AR70:BB70"/>
    <mergeCell ref="BC70:BJ70"/>
    <mergeCell ref="BK70:BM70"/>
    <mergeCell ref="D69:N69"/>
    <mergeCell ref="O69:V69"/>
    <mergeCell ref="W69:Y69"/>
    <mergeCell ref="AR69:BB69"/>
    <mergeCell ref="BC69:BJ69"/>
    <mergeCell ref="BK69:BM69"/>
    <mergeCell ref="D68:N68"/>
    <mergeCell ref="O68:V68"/>
    <mergeCell ref="W68:Y68"/>
    <mergeCell ref="AR68:BB68"/>
    <mergeCell ref="BC68:BJ68"/>
    <mergeCell ref="BK68:BM68"/>
    <mergeCell ref="D67:N67"/>
    <mergeCell ref="O67:V67"/>
    <mergeCell ref="W67:Y67"/>
    <mergeCell ref="AR67:BB67"/>
    <mergeCell ref="BC67:BJ67"/>
    <mergeCell ref="BK67:BM67"/>
    <mergeCell ref="D66:N66"/>
    <mergeCell ref="O66:V66"/>
    <mergeCell ref="W66:Y66"/>
    <mergeCell ref="AR66:BB66"/>
    <mergeCell ref="BC66:BJ66"/>
    <mergeCell ref="BK66:BM66"/>
    <mergeCell ref="D65:N65"/>
    <mergeCell ref="O65:V65"/>
    <mergeCell ref="W65:Y65"/>
    <mergeCell ref="AR65:BB65"/>
    <mergeCell ref="BC65:BJ65"/>
    <mergeCell ref="BK65:BM65"/>
    <mergeCell ref="D64:N64"/>
    <mergeCell ref="O64:V64"/>
    <mergeCell ref="W64:Y64"/>
    <mergeCell ref="AR64:BB64"/>
    <mergeCell ref="BC64:BJ64"/>
    <mergeCell ref="BK64:BM64"/>
    <mergeCell ref="D63:N63"/>
    <mergeCell ref="O63:V63"/>
    <mergeCell ref="W63:Y63"/>
    <mergeCell ref="AR63:BB63"/>
    <mergeCell ref="BC63:BJ63"/>
    <mergeCell ref="BK63:BM63"/>
    <mergeCell ref="D62:N62"/>
    <mergeCell ref="O62:V62"/>
    <mergeCell ref="W62:Y62"/>
    <mergeCell ref="AR62:BB62"/>
    <mergeCell ref="BC62:BJ62"/>
    <mergeCell ref="BK62:BM62"/>
    <mergeCell ref="D61:N61"/>
    <mergeCell ref="O61:V61"/>
    <mergeCell ref="W61:Y61"/>
    <mergeCell ref="AR61:BB61"/>
    <mergeCell ref="BC61:BJ61"/>
    <mergeCell ref="BK61:BM61"/>
    <mergeCell ref="D60:N60"/>
    <mergeCell ref="O60:V60"/>
    <mergeCell ref="W60:Y60"/>
    <mergeCell ref="AR60:BB60"/>
    <mergeCell ref="BC60:BJ60"/>
    <mergeCell ref="BK60:BM60"/>
    <mergeCell ref="D59:N59"/>
    <mergeCell ref="O59:V59"/>
    <mergeCell ref="W59:Y59"/>
    <mergeCell ref="AR59:BB59"/>
    <mergeCell ref="BC59:BJ59"/>
    <mergeCell ref="BK59:BM59"/>
    <mergeCell ref="D58:N58"/>
    <mergeCell ref="O58:V58"/>
    <mergeCell ref="W58:Y58"/>
    <mergeCell ref="AR58:BB58"/>
    <mergeCell ref="BC58:BJ58"/>
    <mergeCell ref="BK58:BM58"/>
    <mergeCell ref="D57:N57"/>
    <mergeCell ref="O57:V57"/>
    <mergeCell ref="W57:Y57"/>
    <mergeCell ref="AR57:BB57"/>
    <mergeCell ref="BC57:BJ57"/>
    <mergeCell ref="BK57:BM57"/>
    <mergeCell ref="D56:N56"/>
    <mergeCell ref="O56:V56"/>
    <mergeCell ref="W56:Y56"/>
    <mergeCell ref="AR56:BB56"/>
    <mergeCell ref="BC56:BJ56"/>
    <mergeCell ref="BK56:BM56"/>
    <mergeCell ref="D55:N55"/>
    <mergeCell ref="O55:V55"/>
    <mergeCell ref="W55:Y55"/>
    <mergeCell ref="AR55:BB55"/>
    <mergeCell ref="BC55:BJ55"/>
    <mergeCell ref="BK55:BM55"/>
    <mergeCell ref="D54:N54"/>
    <mergeCell ref="O54:V54"/>
    <mergeCell ref="W54:Y54"/>
    <mergeCell ref="AR54:BB54"/>
    <mergeCell ref="BC54:BJ54"/>
    <mergeCell ref="BK54:BM54"/>
    <mergeCell ref="D53:N53"/>
    <mergeCell ref="O53:V53"/>
    <mergeCell ref="W53:Y53"/>
    <mergeCell ref="AR53:BB53"/>
    <mergeCell ref="BC53:BJ53"/>
    <mergeCell ref="BK53:BM53"/>
    <mergeCell ref="D52:N52"/>
    <mergeCell ref="O52:V52"/>
    <mergeCell ref="W52:Y52"/>
    <mergeCell ref="AR52:BB52"/>
    <mergeCell ref="BC52:BJ52"/>
    <mergeCell ref="BK52:BM52"/>
    <mergeCell ref="D51:N51"/>
    <mergeCell ref="O51:V51"/>
    <mergeCell ref="W51:Y51"/>
    <mergeCell ref="AR51:BB51"/>
    <mergeCell ref="BC51:BJ51"/>
    <mergeCell ref="BK51:BM51"/>
    <mergeCell ref="D50:N50"/>
    <mergeCell ref="O50:V50"/>
    <mergeCell ref="W50:Y50"/>
    <mergeCell ref="AR50:BB50"/>
    <mergeCell ref="BC50:BJ50"/>
    <mergeCell ref="BK50:BM50"/>
    <mergeCell ref="D49:N49"/>
    <mergeCell ref="O49:V49"/>
    <mergeCell ref="W49:Y49"/>
    <mergeCell ref="AR49:BB49"/>
    <mergeCell ref="BC49:BJ49"/>
    <mergeCell ref="BK49:BM49"/>
    <mergeCell ref="D48:N48"/>
    <mergeCell ref="O48:V48"/>
    <mergeCell ref="W48:Y48"/>
    <mergeCell ref="AR48:BB48"/>
    <mergeCell ref="BC48:BJ48"/>
    <mergeCell ref="BK48:BM48"/>
    <mergeCell ref="D47:N47"/>
    <mergeCell ref="O47:V47"/>
    <mergeCell ref="W47:Y47"/>
    <mergeCell ref="AR47:BB47"/>
    <mergeCell ref="BC47:BJ47"/>
    <mergeCell ref="BK47:BM47"/>
    <mergeCell ref="D46:N46"/>
    <mergeCell ref="O46:V46"/>
    <mergeCell ref="W46:Y46"/>
    <mergeCell ref="AR46:BB46"/>
    <mergeCell ref="BC46:BJ46"/>
    <mergeCell ref="BK46:BM46"/>
    <mergeCell ref="D45:N45"/>
    <mergeCell ref="O45:V45"/>
    <mergeCell ref="W45:Y45"/>
    <mergeCell ref="AR45:BB45"/>
    <mergeCell ref="BC45:BJ45"/>
    <mergeCell ref="BK45:BM45"/>
    <mergeCell ref="D44:N44"/>
    <mergeCell ref="O44:V44"/>
    <mergeCell ref="W44:Y44"/>
    <mergeCell ref="AR44:BB44"/>
    <mergeCell ref="BC44:BJ44"/>
    <mergeCell ref="BK44:BM44"/>
    <mergeCell ref="D43:N43"/>
    <mergeCell ref="O43:V43"/>
    <mergeCell ref="W43:Y43"/>
    <mergeCell ref="AR43:BB43"/>
    <mergeCell ref="BC43:BJ43"/>
    <mergeCell ref="BK43:BM43"/>
    <mergeCell ref="D42:N42"/>
    <mergeCell ref="O42:V42"/>
    <mergeCell ref="W42:Y42"/>
    <mergeCell ref="AR42:BB42"/>
    <mergeCell ref="BC42:BJ42"/>
    <mergeCell ref="BK42:BM42"/>
    <mergeCell ref="D41:N41"/>
    <mergeCell ref="O41:V41"/>
    <mergeCell ref="W41:Y41"/>
    <mergeCell ref="AR41:BB41"/>
    <mergeCell ref="BC41:BJ41"/>
    <mergeCell ref="BK41:BM41"/>
    <mergeCell ref="D40:N40"/>
    <mergeCell ref="O40:V40"/>
    <mergeCell ref="W40:Y40"/>
    <mergeCell ref="AR40:BB40"/>
    <mergeCell ref="BC40:BJ40"/>
    <mergeCell ref="BK40:BM40"/>
    <mergeCell ref="D39:N39"/>
    <mergeCell ref="O39:V39"/>
    <mergeCell ref="W39:Y39"/>
    <mergeCell ref="AR39:BB39"/>
    <mergeCell ref="BC39:BJ39"/>
    <mergeCell ref="BK39:BM39"/>
    <mergeCell ref="D38:N38"/>
    <mergeCell ref="O38:V38"/>
    <mergeCell ref="W38:Y38"/>
    <mergeCell ref="AR38:BB38"/>
    <mergeCell ref="BC38:BJ38"/>
    <mergeCell ref="BK38:BM38"/>
    <mergeCell ref="D37:N37"/>
    <mergeCell ref="O37:V37"/>
    <mergeCell ref="W37:Y37"/>
    <mergeCell ref="AR37:BB37"/>
    <mergeCell ref="BC37:BJ37"/>
    <mergeCell ref="BK37:BM37"/>
    <mergeCell ref="D36:N36"/>
    <mergeCell ref="O36:V36"/>
    <mergeCell ref="W36:Y36"/>
    <mergeCell ref="AR36:BB36"/>
    <mergeCell ref="BC36:BJ36"/>
    <mergeCell ref="BK36:BM36"/>
    <mergeCell ref="D35:N35"/>
    <mergeCell ref="O35:V35"/>
    <mergeCell ref="W35:Y35"/>
    <mergeCell ref="AR35:BB35"/>
    <mergeCell ref="BC35:BJ35"/>
    <mergeCell ref="BK35:BM35"/>
    <mergeCell ref="D34:N34"/>
    <mergeCell ref="O34:V34"/>
    <mergeCell ref="W34:Y34"/>
    <mergeCell ref="AR34:BB34"/>
    <mergeCell ref="BC34:BJ34"/>
    <mergeCell ref="BK34:BM34"/>
    <mergeCell ref="D33:N33"/>
    <mergeCell ref="O33:V33"/>
    <mergeCell ref="W33:Y33"/>
    <mergeCell ref="AR33:BB33"/>
    <mergeCell ref="BC33:BJ33"/>
    <mergeCell ref="BK33:BM33"/>
    <mergeCell ref="D32:N32"/>
    <mergeCell ref="O32:V32"/>
    <mergeCell ref="W32:Y32"/>
    <mergeCell ref="AR32:BB32"/>
    <mergeCell ref="BC32:BJ32"/>
    <mergeCell ref="BK32:BM32"/>
    <mergeCell ref="D31:N31"/>
    <mergeCell ref="O31:V31"/>
    <mergeCell ref="W31:Y31"/>
    <mergeCell ref="AR31:BB31"/>
    <mergeCell ref="BC31:BJ31"/>
    <mergeCell ref="BK31:BM31"/>
    <mergeCell ref="D30:N30"/>
    <mergeCell ref="O30:V30"/>
    <mergeCell ref="W30:Y30"/>
    <mergeCell ref="AR30:BB30"/>
    <mergeCell ref="BC30:BJ30"/>
    <mergeCell ref="BK30:BM30"/>
    <mergeCell ref="D29:N29"/>
    <mergeCell ref="O29:V29"/>
    <mergeCell ref="W29:Y29"/>
    <mergeCell ref="AR29:BB29"/>
    <mergeCell ref="BC29:BJ29"/>
    <mergeCell ref="BK29:BM29"/>
    <mergeCell ref="D28:N28"/>
    <mergeCell ref="O28:V28"/>
    <mergeCell ref="W28:Y28"/>
    <mergeCell ref="AR28:BB28"/>
    <mergeCell ref="BC28:BJ28"/>
    <mergeCell ref="BK28:BM28"/>
    <mergeCell ref="D27:N27"/>
    <mergeCell ref="O27:V27"/>
    <mergeCell ref="W27:Y27"/>
    <mergeCell ref="AR27:BB27"/>
    <mergeCell ref="BC27:BJ27"/>
    <mergeCell ref="BK27:BM27"/>
    <mergeCell ref="D26:N26"/>
    <mergeCell ref="O26:V26"/>
    <mergeCell ref="W26:Y26"/>
    <mergeCell ref="AR26:BB26"/>
    <mergeCell ref="BC26:BJ26"/>
    <mergeCell ref="BK26:BM26"/>
    <mergeCell ref="D25:N25"/>
    <mergeCell ref="O25:V25"/>
    <mergeCell ref="W25:Y25"/>
    <mergeCell ref="AR25:BB25"/>
    <mergeCell ref="BC25:BJ25"/>
    <mergeCell ref="BK25:BM25"/>
    <mergeCell ref="D24:N24"/>
    <mergeCell ref="O24:V24"/>
    <mergeCell ref="W24:Y24"/>
    <mergeCell ref="AR24:BB24"/>
    <mergeCell ref="BC24:BJ24"/>
    <mergeCell ref="BK24:BM24"/>
    <mergeCell ref="D23:N23"/>
    <mergeCell ref="O23:V23"/>
    <mergeCell ref="W23:Y23"/>
    <mergeCell ref="AR23:BB23"/>
    <mergeCell ref="BC23:BJ23"/>
    <mergeCell ref="BK23:BM23"/>
    <mergeCell ref="D22:N22"/>
    <mergeCell ref="O22:V22"/>
    <mergeCell ref="W22:Y22"/>
    <mergeCell ref="AR22:BB22"/>
    <mergeCell ref="BC22:BJ22"/>
    <mergeCell ref="BK22:BM22"/>
    <mergeCell ref="D21:N21"/>
    <mergeCell ref="O21:V21"/>
    <mergeCell ref="W21:Y21"/>
    <mergeCell ref="AR21:BB21"/>
    <mergeCell ref="BC21:BJ21"/>
    <mergeCell ref="BK21:BM21"/>
    <mergeCell ref="D20:N20"/>
    <mergeCell ref="O20:V20"/>
    <mergeCell ref="W20:Y20"/>
    <mergeCell ref="AR20:BB20"/>
    <mergeCell ref="BC20:BJ20"/>
    <mergeCell ref="BK20:BM20"/>
    <mergeCell ref="D19:N19"/>
    <mergeCell ref="O19:V19"/>
    <mergeCell ref="W19:Y19"/>
    <mergeCell ref="AR19:BB19"/>
    <mergeCell ref="BC19:BJ19"/>
    <mergeCell ref="BK19:BM19"/>
    <mergeCell ref="O16:V16"/>
    <mergeCell ref="W16:Y16"/>
    <mergeCell ref="AR16:BB16"/>
    <mergeCell ref="BC16:BJ16"/>
    <mergeCell ref="BK16:BM16"/>
    <mergeCell ref="AU14:AX14"/>
    <mergeCell ref="BC14:BJ14"/>
    <mergeCell ref="BK14:BM14"/>
    <mergeCell ref="D18:N18"/>
    <mergeCell ref="O18:V18"/>
    <mergeCell ref="W18:Y18"/>
    <mergeCell ref="AR18:BB18"/>
    <mergeCell ref="BC18:BJ18"/>
    <mergeCell ref="BK18:BM18"/>
    <mergeCell ref="D17:N17"/>
    <mergeCell ref="O17:V17"/>
    <mergeCell ref="W17:Y17"/>
    <mergeCell ref="AR17:BB17"/>
    <mergeCell ref="BC17:BJ17"/>
    <mergeCell ref="BK17:BM17"/>
    <mergeCell ref="CB11:CB13"/>
    <mergeCell ref="CC11:CC13"/>
    <mergeCell ref="B14:C114"/>
    <mergeCell ref="G14:J14"/>
    <mergeCell ref="O14:V14"/>
    <mergeCell ref="W14:Y14"/>
    <mergeCell ref="Z14:AI114"/>
    <mergeCell ref="AP14:AQ114"/>
    <mergeCell ref="D11:M13"/>
    <mergeCell ref="P11:U13"/>
    <mergeCell ref="W11:Y13"/>
    <mergeCell ref="Z11:AI13"/>
    <mergeCell ref="AR11:BA13"/>
    <mergeCell ref="BD11:BI13"/>
    <mergeCell ref="BN14:BW114"/>
    <mergeCell ref="D15:N15"/>
    <mergeCell ref="O15:V15"/>
    <mergeCell ref="W15:Y15"/>
    <mergeCell ref="AR15:BB15"/>
    <mergeCell ref="BC15:BJ15"/>
    <mergeCell ref="BK15:BM15"/>
    <mergeCell ref="BK11:BM13"/>
    <mergeCell ref="BN11:BW13"/>
    <mergeCell ref="D16:N16"/>
  </mergeCells>
  <phoneticPr fontId="5"/>
  <dataValidations count="3">
    <dataValidation type="textLength" imeMode="hiragana" operator="greaterThanOrEqual" allowBlank="1" showInputMessage="1" showErrorMessage="1" sqref="D15:N114 AR15:BB114" xr:uid="{00000000-0002-0000-1400-000000000000}">
      <formula1>1</formula1>
    </dataValidation>
    <dataValidation type="whole" operator="greaterThan" allowBlank="1" showInputMessage="1" showErrorMessage="1" error="0より大きい数値を整数で入力してください。" sqref="BC14:BJ114 O14:V114" xr:uid="{00000000-0002-0000-1400-000001000000}">
      <formula1>0</formula1>
    </dataValidation>
    <dataValidation type="custom" allowBlank="1" showInputMessage="1" showErrorMessage="1" error="0.001~100の範囲で小数点第３位までの数値を入力してください。" sqref="BK14:BM114 W14:Y114" xr:uid="{00000000-0002-0000-1400-000002000000}">
      <formula1>AND(AND(W14*1000=INT(W14*1000)),(W14&gt;0),(W14&lt;=100))</formula1>
    </dataValidation>
  </dataValidations>
  <pageMargins left="0.59055118110236227" right="0.59055118110236227" top="0.59055118110236227" bottom="0.59055118110236227" header="0" footer="0"/>
  <pageSetup paperSize="9" scale="54" firstPageNumber="21" orientation="landscape" cellComments="asDisplayed" r:id="rId1"/>
  <headerFooter alignWithMargins="0"/>
  <drawing r:id="rId2"/>
  <legacyDrawing r:id="rId3"/>
  <controls>
    <mc:AlternateContent xmlns:mc="http://schemas.openxmlformats.org/markup-compatibility/2006">
      <mc:Choice Requires="x14">
        <control shapeId="17411" r:id="rId4" name="btnKoushin1">
          <controlPr defaultSize="0" print="0" autoLine="0" r:id="rId5">
            <anchor moveWithCells="1">
              <from>
                <xdr:col>57</xdr:col>
                <xdr:colOff>171450</xdr:colOff>
                <xdr:row>3</xdr:row>
                <xdr:rowOff>152400</xdr:rowOff>
              </from>
              <to>
                <xdr:col>64</xdr:col>
                <xdr:colOff>38100</xdr:colOff>
                <xdr:row>6</xdr:row>
                <xdr:rowOff>28575</xdr:rowOff>
              </to>
            </anchor>
          </controlPr>
        </control>
      </mc:Choice>
      <mc:Fallback>
        <control shapeId="17411" r:id="rId4" name="btnKoushin1"/>
      </mc:Fallback>
    </mc:AlternateContent>
    <mc:AlternateContent xmlns:mc="http://schemas.openxmlformats.org/markup-compatibility/2006">
      <mc:Choice Requires="x14">
        <control shapeId="17410" r:id="rId6" name="txt_hyouji">
          <controlPr locked="0" defaultSize="0" print="0" autoLine="0" r:id="rId7">
            <anchor moveWithCells="1">
              <from>
                <xdr:col>52</xdr:col>
                <xdr:colOff>9525</xdr:colOff>
                <xdr:row>5</xdr:row>
                <xdr:rowOff>0</xdr:rowOff>
              </from>
              <to>
                <xdr:col>57</xdr:col>
                <xdr:colOff>76200</xdr:colOff>
                <xdr:row>6</xdr:row>
                <xdr:rowOff>28575</xdr:rowOff>
              </to>
            </anchor>
          </controlPr>
        </control>
      </mc:Choice>
      <mc:Fallback>
        <control shapeId="17410" r:id="rId6" name="txt_hyouji"/>
      </mc:Fallback>
    </mc:AlternateContent>
    <mc:AlternateContent xmlns:mc="http://schemas.openxmlformats.org/markup-compatibility/2006">
      <mc:Choice Requires="x14">
        <control shapeId="17409" r:id="rId8" name="Label1">
          <controlPr defaultSize="0" print="0" autoLine="0" r:id="rId9">
            <anchor moveWithCells="1">
              <from>
                <xdr:col>52</xdr:col>
                <xdr:colOff>9525</xdr:colOff>
                <xdr:row>3</xdr:row>
                <xdr:rowOff>152400</xdr:rowOff>
              </from>
              <to>
                <xdr:col>57</xdr:col>
                <xdr:colOff>76200</xdr:colOff>
                <xdr:row>5</xdr:row>
                <xdr:rowOff>0</xdr:rowOff>
              </to>
            </anchor>
          </controlPr>
        </control>
      </mc:Choice>
      <mc:Fallback>
        <control shapeId="17409" r:id="rId8" name="Label1"/>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2">
    <outlinePr summaryBelow="0"/>
    <pageSetUpPr fitToPage="1"/>
  </sheetPr>
  <dimension ref="A1:BE415"/>
  <sheetViews>
    <sheetView showGridLines="0" zoomScale="80" zoomScaleNormal="80" zoomScaleSheetLayoutView="80" workbookViewId="0">
      <selection activeCell="D27" sqref="D27"/>
    </sheetView>
  </sheetViews>
  <sheetFormatPr defaultColWidth="2.625" defaultRowHeight="14.25" customHeight="1" outlineLevelRow="1" outlineLevelCol="1"/>
  <cols>
    <col min="1" max="1" width="0.875" style="128" customWidth="1"/>
    <col min="2" max="2" width="2.625" style="128" customWidth="1"/>
    <col min="3" max="3" width="3.875" style="949" customWidth="1"/>
    <col min="4" max="4" width="25" style="128" customWidth="1"/>
    <col min="5" max="6" width="15" style="128" customWidth="1"/>
    <col min="7" max="7" width="10" style="128" customWidth="1"/>
    <col min="8" max="8" width="8.625" style="144" customWidth="1"/>
    <col min="9" max="9" width="8.625" style="144" hidden="1" customWidth="1"/>
    <col min="10" max="10" width="8.875" style="2" customWidth="1"/>
    <col min="11" max="11" width="8.875" style="2" customWidth="1" outlineLevel="1"/>
    <col min="12" max="16" width="15" style="128" customWidth="1" outlineLevel="1"/>
    <col min="17" max="17" width="2.625" style="128" customWidth="1" outlineLevel="1"/>
    <col min="18" max="18" width="4.75" style="128" customWidth="1" outlineLevel="1"/>
    <col min="19" max="21" width="15" style="128" customWidth="1" outlineLevel="1"/>
    <col min="22" max="22" width="10" style="128" customWidth="1" outlineLevel="1"/>
    <col min="23" max="23" width="8.625" style="144" bestFit="1" customWidth="1" outlineLevel="1"/>
    <col min="24" max="24" width="5.125" style="226" customWidth="1" outlineLevel="1"/>
    <col min="25" max="29" width="15" style="128" customWidth="1" outlineLevel="1"/>
    <col min="30" max="30" width="2.375" style="128" customWidth="1" outlineLevel="1"/>
    <col min="31" max="33" width="2.625" style="128" customWidth="1"/>
    <col min="34" max="34" width="25" style="128" customWidth="1"/>
    <col min="35" max="37" width="15" style="128" customWidth="1"/>
    <col min="38" max="38" width="10" style="128" customWidth="1"/>
    <col min="39" max="39" width="8.625" style="144" bestFit="1" customWidth="1"/>
    <col min="40" max="40" width="5.125" style="226" customWidth="1"/>
    <col min="41" max="44" width="15" style="128" customWidth="1"/>
    <col min="45" max="46" width="2.625" style="128" customWidth="1"/>
    <col min="47" max="47" width="25" style="128" customWidth="1"/>
    <col min="48" max="50" width="15" style="128" customWidth="1"/>
    <col min="51" max="51" width="10" style="128" customWidth="1"/>
    <col min="52" max="52" width="8.625" style="144" bestFit="1" customWidth="1"/>
    <col min="53" max="53" width="5.125" style="226" customWidth="1"/>
    <col min="54" max="57" width="15" style="128" customWidth="1"/>
    <col min="58" max="16384" width="2.625" style="128"/>
  </cols>
  <sheetData>
    <row r="1" spans="1:30" ht="14.25" customHeight="1">
      <c r="L1" s="131" t="s">
        <v>680</v>
      </c>
      <c r="M1" s="144"/>
      <c r="N1" s="144"/>
      <c r="O1" s="144"/>
      <c r="P1" s="144"/>
      <c r="Y1" s="131"/>
      <c r="Z1" s="144"/>
      <c r="AA1" s="144"/>
      <c r="AB1" s="144"/>
      <c r="AC1" s="144"/>
      <c r="AD1" s="950"/>
    </row>
    <row r="2" spans="1:30" s="131" customFormat="1" ht="18" customHeight="1">
      <c r="A2" s="240" t="s">
        <v>681</v>
      </c>
      <c r="C2" s="170"/>
      <c r="H2" s="144"/>
      <c r="I2" s="144"/>
      <c r="J2" s="2"/>
      <c r="K2" s="2"/>
      <c r="AD2" s="951"/>
    </row>
    <row r="3" spans="1:30" ht="14.25" customHeight="1">
      <c r="A3" s="153"/>
      <c r="AD3" s="950"/>
    </row>
    <row r="4" spans="1:30" ht="14.25" customHeight="1">
      <c r="A4" s="130"/>
      <c r="AD4" s="950"/>
    </row>
    <row r="5" spans="1:30" ht="14.25" customHeight="1">
      <c r="B5" s="952"/>
      <c r="C5" s="953"/>
      <c r="D5" s="713"/>
      <c r="AD5" s="950"/>
    </row>
    <row r="6" spans="1:30" ht="14.25" customHeight="1">
      <c r="B6" s="952"/>
      <c r="C6" s="953"/>
      <c r="D6" s="713"/>
      <c r="AD6" s="950"/>
    </row>
    <row r="7" spans="1:30" ht="14.25" customHeight="1">
      <c r="A7" s="130"/>
      <c r="AD7" s="950"/>
    </row>
    <row r="8" spans="1:30" ht="14.25" customHeight="1">
      <c r="A8" s="130"/>
      <c r="AD8" s="950"/>
    </row>
    <row r="9" spans="1:30" ht="14.25" customHeight="1">
      <c r="A9" s="130"/>
      <c r="AD9" s="950"/>
    </row>
    <row r="10" spans="1:30" ht="14.25" customHeight="1">
      <c r="A10" s="130"/>
      <c r="AD10" s="950"/>
    </row>
    <row r="11" spans="1:30" ht="14.25" customHeight="1">
      <c r="A11" s="130"/>
      <c r="AD11" s="950"/>
    </row>
    <row r="12" spans="1:30" ht="14.25" customHeight="1">
      <c r="A12" s="130"/>
      <c r="AD12" s="55"/>
    </row>
    <row r="13" spans="1:30" ht="14.25" customHeight="1">
      <c r="A13" s="130"/>
    </row>
    <row r="14" spans="1:30" ht="14.25" customHeight="1">
      <c r="A14" s="130"/>
    </row>
    <row r="15" spans="1:30" ht="14.25" customHeight="1">
      <c r="A15" s="130"/>
    </row>
    <row r="16" spans="1:30" ht="14.25" customHeight="1">
      <c r="A16" s="130"/>
    </row>
    <row r="17" spans="1:53" ht="14.25" customHeight="1">
      <c r="A17" s="130"/>
    </row>
    <row r="18" spans="1:53" ht="18" customHeight="1">
      <c r="B18" s="130" t="s">
        <v>682</v>
      </c>
      <c r="S18" s="948"/>
      <c r="T18" s="144"/>
      <c r="U18" s="2"/>
      <c r="X18" s="2"/>
      <c r="Y18" s="2"/>
      <c r="Z18" s="2"/>
    </row>
    <row r="19" spans="1:53" ht="18" customHeight="1">
      <c r="C19" s="872" t="s">
        <v>683</v>
      </c>
      <c r="H19" s="737"/>
      <c r="L19" s="2"/>
      <c r="M19" s="2"/>
      <c r="N19" s="2"/>
      <c r="O19" s="2"/>
      <c r="P19" s="2"/>
      <c r="R19" s="2386"/>
      <c r="S19" s="954" t="s">
        <v>684</v>
      </c>
      <c r="T19" s="2"/>
      <c r="U19" s="2"/>
      <c r="X19" s="2"/>
      <c r="Y19" s="2"/>
      <c r="Z19" s="2"/>
    </row>
    <row r="20" spans="1:53" s="131" customFormat="1" ht="18" customHeight="1">
      <c r="B20" s="952"/>
      <c r="C20" s="170"/>
      <c r="D20" s="712" t="s">
        <v>685</v>
      </c>
      <c r="H20" s="737"/>
      <c r="I20" s="737"/>
      <c r="J20" s="2"/>
      <c r="K20" s="2"/>
      <c r="L20" s="197" t="s">
        <v>686</v>
      </c>
      <c r="R20" s="2386"/>
      <c r="S20" s="2393" t="s">
        <v>687</v>
      </c>
      <c r="T20" s="2"/>
      <c r="U20" s="2"/>
      <c r="X20" s="2"/>
      <c r="Y20" s="2"/>
      <c r="Z20" s="2"/>
      <c r="AA20" s="128"/>
      <c r="AB20" s="128"/>
      <c r="AC20" s="128"/>
    </row>
    <row r="21" spans="1:53" s="131" customFormat="1" ht="18" customHeight="1">
      <c r="B21" s="952"/>
      <c r="C21" s="170"/>
      <c r="D21" s="712" t="s">
        <v>688</v>
      </c>
      <c r="H21" s="737"/>
      <c r="I21" s="737"/>
      <c r="J21" s="2"/>
      <c r="K21" s="2"/>
      <c r="L21" s="197"/>
      <c r="R21" s="2386"/>
      <c r="S21" s="2394"/>
      <c r="T21" s="2"/>
      <c r="U21" s="2"/>
      <c r="X21" s="2"/>
      <c r="Y21" s="2"/>
      <c r="Z21" s="2"/>
      <c r="AA21" s="128"/>
      <c r="AB21" s="128"/>
      <c r="AC21" s="128"/>
    </row>
    <row r="22" spans="1:53" s="131" customFormat="1" ht="18" hidden="1" customHeight="1">
      <c r="B22" s="952"/>
      <c r="C22" s="170"/>
      <c r="D22" s="712"/>
      <c r="H22" s="737"/>
      <c r="I22" s="737"/>
      <c r="J22" s="2"/>
      <c r="K22" s="2"/>
      <c r="L22" s="197"/>
      <c r="R22" s="2386"/>
      <c r="S22" s="2394"/>
      <c r="T22" s="2"/>
      <c r="U22" s="2"/>
      <c r="X22" s="2"/>
      <c r="Y22" s="2"/>
      <c r="Z22" s="2"/>
      <c r="AA22" s="128"/>
      <c r="AB22" s="128"/>
      <c r="AC22" s="128"/>
    </row>
    <row r="23" spans="1:53" s="131" customFormat="1" ht="18.75" customHeight="1" thickBot="1">
      <c r="B23" s="952"/>
      <c r="H23" s="737"/>
      <c r="I23" s="737"/>
      <c r="J23" s="2"/>
      <c r="K23" s="2"/>
      <c r="L23" s="2396" t="s">
        <v>684</v>
      </c>
      <c r="M23" s="2396"/>
      <c r="N23" s="2396"/>
      <c r="O23" s="2396"/>
      <c r="P23" s="2396"/>
      <c r="R23" s="2386"/>
      <c r="S23" s="2395"/>
      <c r="T23" s="2"/>
      <c r="U23" s="2"/>
      <c r="X23" s="2"/>
      <c r="Y23" s="2"/>
      <c r="Z23" s="2"/>
      <c r="AA23" s="128"/>
      <c r="AB23" s="128"/>
      <c r="AC23" s="128"/>
      <c r="AD23" s="950"/>
    </row>
    <row r="24" spans="1:53" ht="30" customHeight="1">
      <c r="C24" s="2399" t="s">
        <v>689</v>
      </c>
      <c r="D24" s="1431" t="s">
        <v>690</v>
      </c>
      <c r="E24" s="2403" t="s">
        <v>691</v>
      </c>
      <c r="F24" s="2403" t="s">
        <v>692</v>
      </c>
      <c r="G24" s="1829" t="s">
        <v>332</v>
      </c>
      <c r="H24" s="2387" t="s">
        <v>693</v>
      </c>
      <c r="I24" s="2390" t="s">
        <v>694</v>
      </c>
      <c r="L24" s="2394" t="s">
        <v>695</v>
      </c>
      <c r="M24" s="2394" t="s">
        <v>696</v>
      </c>
      <c r="N24" s="2397" t="s">
        <v>697</v>
      </c>
      <c r="O24" s="2394" t="s">
        <v>698</v>
      </c>
      <c r="P24" s="2394" t="s">
        <v>699</v>
      </c>
      <c r="R24" s="327" t="s">
        <v>274</v>
      </c>
      <c r="S24" s="955">
        <f>SUM(S25:S26)</f>
        <v>0</v>
      </c>
      <c r="T24" s="2"/>
      <c r="U24" s="2"/>
      <c r="W24" s="128"/>
      <c r="X24" s="2"/>
      <c r="Y24" s="2"/>
      <c r="Z24" s="2"/>
      <c r="AD24" s="950"/>
      <c r="AM24" s="128"/>
      <c r="AN24" s="128"/>
      <c r="AZ24" s="128"/>
      <c r="BA24" s="128"/>
    </row>
    <row r="25" spans="1:53" ht="30" customHeight="1">
      <c r="C25" s="2400"/>
      <c r="D25" s="1684"/>
      <c r="E25" s="2404"/>
      <c r="F25" s="2404"/>
      <c r="G25" s="1832"/>
      <c r="H25" s="2388"/>
      <c r="I25" s="2391"/>
      <c r="L25" s="2395"/>
      <c r="M25" s="2395"/>
      <c r="N25" s="2398"/>
      <c r="O25" s="2395"/>
      <c r="P25" s="2395"/>
      <c r="R25" s="327" t="s">
        <v>700</v>
      </c>
      <c r="S25" s="956">
        <f>SUMIF(H27:H176,"[1]田",M27:M176)+
SUMIF(【11】土地_２借入地_米・さとうきび以外!I25:I174,"[1]田",【11】土地_２借入地_米・さとうきび以外!N25:N174)</f>
        <v>0</v>
      </c>
      <c r="T25" s="2"/>
      <c r="U25" s="2"/>
      <c r="X25" s="2"/>
      <c r="Y25" s="2"/>
      <c r="Z25" s="2"/>
      <c r="AD25" s="950"/>
    </row>
    <row r="26" spans="1:53" ht="30" customHeight="1" thickBot="1">
      <c r="C26" s="2401"/>
      <c r="D26" s="1684"/>
      <c r="E26" s="2404"/>
      <c r="F26" s="1739"/>
      <c r="G26" s="2385"/>
      <c r="H26" s="2389"/>
      <c r="I26" s="2392"/>
      <c r="L26" s="957">
        <f>SUM(L27:L176)</f>
        <v>0</v>
      </c>
      <c r="M26" s="957">
        <f>SUM(M27:M176)</f>
        <v>0</v>
      </c>
      <c r="N26" s="958"/>
      <c r="O26" s="959">
        <f>SUM(O27:O176)</f>
        <v>0</v>
      </c>
      <c r="P26" s="959">
        <f>SUM(P27:P176)</f>
        <v>0</v>
      </c>
      <c r="R26" s="327" t="s">
        <v>701</v>
      </c>
      <c r="S26" s="956">
        <f>SUMIF(H27:H176,"[2]畑",M27:M176)+
SUMIF(【11】土地_２借入地_米・さとうきび以外!I25:I174,"[2]畑",【11】土地_２借入地_米・さとうきび以外!N25:N174)</f>
        <v>0</v>
      </c>
      <c r="T26" s="2"/>
      <c r="U26" s="2"/>
      <c r="W26" s="128"/>
      <c r="X26" s="128"/>
      <c r="AD26" s="950"/>
    </row>
    <row r="27" spans="1:53" ht="30" customHeight="1" thickTop="1">
      <c r="C27" s="960">
        <v>1</v>
      </c>
      <c r="D27" s="961"/>
      <c r="E27" s="962"/>
      <c r="F27" s="962"/>
      <c r="G27" s="1287"/>
      <c r="H27" s="963"/>
      <c r="I27" s="964"/>
      <c r="L27" s="955">
        <f>IF($G27&gt;0,E27,)</f>
        <v>0</v>
      </c>
      <c r="M27" s="955">
        <f>IF($G27&gt;0,F27,)</f>
        <v>0</v>
      </c>
      <c r="N27" s="965"/>
      <c r="O27" s="966">
        <f>ROUND(L27*N27/10,)</f>
        <v>0</v>
      </c>
      <c r="P27" s="967">
        <f>ROUND(O27*G27%,)</f>
        <v>0</v>
      </c>
      <c r="AD27" s="950"/>
    </row>
    <row r="28" spans="1:53" ht="30" customHeight="1">
      <c r="C28" s="968">
        <v>2</v>
      </c>
      <c r="D28" s="969"/>
      <c r="E28" s="970"/>
      <c r="F28" s="970"/>
      <c r="G28" s="1288"/>
      <c r="H28" s="971"/>
      <c r="I28" s="972"/>
      <c r="L28" s="956">
        <f t="shared" ref="L28:M155" si="0">IF($G28&gt;0,E28,)</f>
        <v>0</v>
      </c>
      <c r="M28" s="973">
        <f t="shared" si="0"/>
        <v>0</v>
      </c>
      <c r="N28" s="974"/>
      <c r="O28" s="975">
        <f t="shared" ref="O28:O176" si="1">ROUND(L28*N28/10,)</f>
        <v>0</v>
      </c>
      <c r="P28" s="967">
        <f t="shared" ref="P28:P91" si="2">ROUND(O28*G28%,)</f>
        <v>0</v>
      </c>
      <c r="AD28" s="950"/>
    </row>
    <row r="29" spans="1:53" ht="30" customHeight="1">
      <c r="C29" s="968">
        <v>3</v>
      </c>
      <c r="D29" s="969"/>
      <c r="E29" s="970"/>
      <c r="F29" s="970"/>
      <c r="G29" s="1288"/>
      <c r="H29" s="971"/>
      <c r="I29" s="972"/>
      <c r="L29" s="956">
        <f t="shared" si="0"/>
        <v>0</v>
      </c>
      <c r="M29" s="973">
        <f t="shared" si="0"/>
        <v>0</v>
      </c>
      <c r="N29" s="974"/>
      <c r="O29" s="975">
        <f t="shared" si="1"/>
        <v>0</v>
      </c>
      <c r="P29" s="967">
        <f t="shared" si="2"/>
        <v>0</v>
      </c>
      <c r="AD29" s="950"/>
    </row>
    <row r="30" spans="1:53" ht="30" customHeight="1">
      <c r="C30" s="968">
        <v>4</v>
      </c>
      <c r="D30" s="969"/>
      <c r="E30" s="970"/>
      <c r="F30" s="970"/>
      <c r="G30" s="1288"/>
      <c r="H30" s="971"/>
      <c r="I30" s="972"/>
      <c r="L30" s="956">
        <f t="shared" si="0"/>
        <v>0</v>
      </c>
      <c r="M30" s="973">
        <f t="shared" si="0"/>
        <v>0</v>
      </c>
      <c r="N30" s="974"/>
      <c r="O30" s="975">
        <f t="shared" si="1"/>
        <v>0</v>
      </c>
      <c r="P30" s="967">
        <f t="shared" si="2"/>
        <v>0</v>
      </c>
      <c r="AD30" s="950"/>
    </row>
    <row r="31" spans="1:53" ht="30" customHeight="1">
      <c r="C31" s="968">
        <v>5</v>
      </c>
      <c r="D31" s="969"/>
      <c r="E31" s="970"/>
      <c r="F31" s="970"/>
      <c r="G31" s="1288"/>
      <c r="H31" s="971"/>
      <c r="I31" s="972"/>
      <c r="L31" s="956">
        <f t="shared" si="0"/>
        <v>0</v>
      </c>
      <c r="M31" s="973">
        <f t="shared" si="0"/>
        <v>0</v>
      </c>
      <c r="N31" s="974"/>
      <c r="O31" s="975">
        <f t="shared" si="1"/>
        <v>0</v>
      </c>
      <c r="P31" s="967">
        <f t="shared" si="2"/>
        <v>0</v>
      </c>
      <c r="AD31" s="950"/>
    </row>
    <row r="32" spans="1:53" ht="30" customHeight="1">
      <c r="C32" s="968">
        <v>6</v>
      </c>
      <c r="D32" s="969"/>
      <c r="E32" s="970"/>
      <c r="F32" s="970"/>
      <c r="G32" s="1288"/>
      <c r="H32" s="971"/>
      <c r="I32" s="972"/>
      <c r="L32" s="956">
        <f t="shared" si="0"/>
        <v>0</v>
      </c>
      <c r="M32" s="973">
        <f t="shared" si="0"/>
        <v>0</v>
      </c>
      <c r="N32" s="974"/>
      <c r="O32" s="975">
        <f t="shared" si="1"/>
        <v>0</v>
      </c>
      <c r="P32" s="967">
        <f t="shared" si="2"/>
        <v>0</v>
      </c>
      <c r="AD32" s="950"/>
    </row>
    <row r="33" spans="3:30" ht="30" customHeight="1">
      <c r="C33" s="968">
        <v>7</v>
      </c>
      <c r="D33" s="969"/>
      <c r="E33" s="970"/>
      <c r="F33" s="970"/>
      <c r="G33" s="1288"/>
      <c r="H33" s="971"/>
      <c r="I33" s="972"/>
      <c r="L33" s="956">
        <f t="shared" si="0"/>
        <v>0</v>
      </c>
      <c r="M33" s="973">
        <f t="shared" si="0"/>
        <v>0</v>
      </c>
      <c r="N33" s="974"/>
      <c r="O33" s="975">
        <f t="shared" si="1"/>
        <v>0</v>
      </c>
      <c r="P33" s="967">
        <f t="shared" si="2"/>
        <v>0</v>
      </c>
      <c r="AD33" s="950"/>
    </row>
    <row r="34" spans="3:30" ht="30" customHeight="1">
      <c r="C34" s="968">
        <v>8</v>
      </c>
      <c r="D34" s="969"/>
      <c r="E34" s="970"/>
      <c r="F34" s="970"/>
      <c r="G34" s="1288"/>
      <c r="H34" s="971"/>
      <c r="I34" s="972"/>
      <c r="L34" s="956">
        <f t="shared" si="0"/>
        <v>0</v>
      </c>
      <c r="M34" s="973">
        <f t="shared" si="0"/>
        <v>0</v>
      </c>
      <c r="N34" s="974"/>
      <c r="O34" s="975">
        <f t="shared" si="1"/>
        <v>0</v>
      </c>
      <c r="P34" s="967">
        <f t="shared" si="2"/>
        <v>0</v>
      </c>
      <c r="AD34" s="950"/>
    </row>
    <row r="35" spans="3:30" ht="30" customHeight="1">
      <c r="C35" s="968">
        <v>9</v>
      </c>
      <c r="D35" s="969"/>
      <c r="E35" s="970"/>
      <c r="F35" s="970"/>
      <c r="G35" s="1288"/>
      <c r="H35" s="971"/>
      <c r="I35" s="972"/>
      <c r="L35" s="956">
        <f t="shared" si="0"/>
        <v>0</v>
      </c>
      <c r="M35" s="973">
        <f t="shared" si="0"/>
        <v>0</v>
      </c>
      <c r="N35" s="974"/>
      <c r="O35" s="975">
        <f t="shared" si="1"/>
        <v>0</v>
      </c>
      <c r="P35" s="967">
        <f t="shared" si="2"/>
        <v>0</v>
      </c>
      <c r="AD35" s="950"/>
    </row>
    <row r="36" spans="3:30" ht="30" customHeight="1" collapsed="1" thickBot="1">
      <c r="C36" s="968">
        <v>10</v>
      </c>
      <c r="D36" s="969"/>
      <c r="E36" s="970"/>
      <c r="F36" s="970"/>
      <c r="G36" s="1288"/>
      <c r="H36" s="971"/>
      <c r="I36" s="972"/>
      <c r="L36" s="956">
        <f t="shared" si="0"/>
        <v>0</v>
      </c>
      <c r="M36" s="973">
        <f t="shared" si="0"/>
        <v>0</v>
      </c>
      <c r="N36" s="974"/>
      <c r="O36" s="975">
        <f t="shared" si="1"/>
        <v>0</v>
      </c>
      <c r="P36" s="967">
        <f t="shared" si="2"/>
        <v>0</v>
      </c>
      <c r="AD36" s="950"/>
    </row>
    <row r="37" spans="3:30" ht="30" hidden="1" customHeight="1" outlineLevel="1">
      <c r="C37" s="968">
        <v>11</v>
      </c>
      <c r="D37" s="969"/>
      <c r="E37" s="970"/>
      <c r="F37" s="970"/>
      <c r="G37" s="1288"/>
      <c r="H37" s="971"/>
      <c r="I37" s="972"/>
      <c r="L37" s="956">
        <f t="shared" si="0"/>
        <v>0</v>
      </c>
      <c r="M37" s="973">
        <f t="shared" si="0"/>
        <v>0</v>
      </c>
      <c r="N37" s="974"/>
      <c r="O37" s="975">
        <f t="shared" si="1"/>
        <v>0</v>
      </c>
      <c r="P37" s="967">
        <f t="shared" si="2"/>
        <v>0</v>
      </c>
      <c r="AD37" s="950"/>
    </row>
    <row r="38" spans="3:30" ht="30" hidden="1" customHeight="1" outlineLevel="1">
      <c r="C38" s="968">
        <v>12</v>
      </c>
      <c r="D38" s="969"/>
      <c r="E38" s="970"/>
      <c r="F38" s="970"/>
      <c r="G38" s="1288"/>
      <c r="H38" s="971"/>
      <c r="I38" s="972"/>
      <c r="L38" s="956">
        <f t="shared" si="0"/>
        <v>0</v>
      </c>
      <c r="M38" s="973">
        <f t="shared" si="0"/>
        <v>0</v>
      </c>
      <c r="N38" s="974"/>
      <c r="O38" s="975">
        <f t="shared" si="1"/>
        <v>0</v>
      </c>
      <c r="P38" s="967">
        <f t="shared" si="2"/>
        <v>0</v>
      </c>
      <c r="AD38" s="950"/>
    </row>
    <row r="39" spans="3:30" ht="30" hidden="1" customHeight="1" outlineLevel="1">
      <c r="C39" s="968">
        <v>13</v>
      </c>
      <c r="D39" s="969"/>
      <c r="E39" s="970"/>
      <c r="F39" s="970"/>
      <c r="G39" s="1288"/>
      <c r="H39" s="971"/>
      <c r="I39" s="972"/>
      <c r="L39" s="956">
        <f t="shared" si="0"/>
        <v>0</v>
      </c>
      <c r="M39" s="973">
        <f t="shared" si="0"/>
        <v>0</v>
      </c>
      <c r="N39" s="974"/>
      <c r="O39" s="975">
        <f t="shared" si="1"/>
        <v>0</v>
      </c>
      <c r="P39" s="967">
        <f t="shared" si="2"/>
        <v>0</v>
      </c>
      <c r="AD39" s="950"/>
    </row>
    <row r="40" spans="3:30" ht="30" hidden="1" customHeight="1" outlineLevel="1">
      <c r="C40" s="968">
        <v>14</v>
      </c>
      <c r="D40" s="969"/>
      <c r="E40" s="970"/>
      <c r="F40" s="970"/>
      <c r="G40" s="1288"/>
      <c r="H40" s="971"/>
      <c r="I40" s="972"/>
      <c r="L40" s="956">
        <f t="shared" si="0"/>
        <v>0</v>
      </c>
      <c r="M40" s="973">
        <f t="shared" si="0"/>
        <v>0</v>
      </c>
      <c r="N40" s="974"/>
      <c r="O40" s="975">
        <f t="shared" si="1"/>
        <v>0</v>
      </c>
      <c r="P40" s="967">
        <f t="shared" si="2"/>
        <v>0</v>
      </c>
      <c r="AD40" s="950"/>
    </row>
    <row r="41" spans="3:30" ht="30" hidden="1" customHeight="1" outlineLevel="1">
      <c r="C41" s="968">
        <v>15</v>
      </c>
      <c r="D41" s="969"/>
      <c r="E41" s="970"/>
      <c r="F41" s="970"/>
      <c r="G41" s="1288"/>
      <c r="H41" s="971"/>
      <c r="I41" s="972"/>
      <c r="L41" s="956">
        <f t="shared" si="0"/>
        <v>0</v>
      </c>
      <c r="M41" s="973">
        <f t="shared" si="0"/>
        <v>0</v>
      </c>
      <c r="N41" s="974"/>
      <c r="O41" s="975">
        <f t="shared" si="1"/>
        <v>0</v>
      </c>
      <c r="P41" s="967">
        <f t="shared" si="2"/>
        <v>0</v>
      </c>
      <c r="AD41" s="950"/>
    </row>
    <row r="42" spans="3:30" ht="30" hidden="1" customHeight="1" outlineLevel="1">
      <c r="C42" s="968">
        <v>16</v>
      </c>
      <c r="D42" s="969"/>
      <c r="E42" s="970"/>
      <c r="F42" s="970"/>
      <c r="G42" s="1288"/>
      <c r="H42" s="971"/>
      <c r="I42" s="972"/>
      <c r="L42" s="956">
        <f t="shared" si="0"/>
        <v>0</v>
      </c>
      <c r="M42" s="973">
        <f t="shared" si="0"/>
        <v>0</v>
      </c>
      <c r="N42" s="974"/>
      <c r="O42" s="975">
        <f t="shared" si="1"/>
        <v>0</v>
      </c>
      <c r="P42" s="967">
        <f t="shared" si="2"/>
        <v>0</v>
      </c>
      <c r="AD42" s="950"/>
    </row>
    <row r="43" spans="3:30" ht="30" hidden="1" customHeight="1" outlineLevel="1">
      <c r="C43" s="968">
        <v>17</v>
      </c>
      <c r="D43" s="969"/>
      <c r="E43" s="970"/>
      <c r="F43" s="970"/>
      <c r="G43" s="1288"/>
      <c r="H43" s="971"/>
      <c r="I43" s="972"/>
      <c r="L43" s="956">
        <f t="shared" si="0"/>
        <v>0</v>
      </c>
      <c r="M43" s="973">
        <f t="shared" si="0"/>
        <v>0</v>
      </c>
      <c r="N43" s="974"/>
      <c r="O43" s="975">
        <f t="shared" si="1"/>
        <v>0</v>
      </c>
      <c r="P43" s="967">
        <f t="shared" si="2"/>
        <v>0</v>
      </c>
      <c r="AD43" s="950"/>
    </row>
    <row r="44" spans="3:30" ht="30" hidden="1" customHeight="1" outlineLevel="1">
      <c r="C44" s="968">
        <v>18</v>
      </c>
      <c r="D44" s="969"/>
      <c r="E44" s="970"/>
      <c r="F44" s="970"/>
      <c r="G44" s="1288"/>
      <c r="H44" s="971"/>
      <c r="I44" s="972"/>
      <c r="L44" s="956">
        <f t="shared" si="0"/>
        <v>0</v>
      </c>
      <c r="M44" s="973">
        <f t="shared" si="0"/>
        <v>0</v>
      </c>
      <c r="N44" s="974"/>
      <c r="O44" s="975">
        <f t="shared" si="1"/>
        <v>0</v>
      </c>
      <c r="P44" s="967">
        <f t="shared" si="2"/>
        <v>0</v>
      </c>
      <c r="AD44" s="950"/>
    </row>
    <row r="45" spans="3:30" ht="30" hidden="1" customHeight="1" outlineLevel="1">
      <c r="C45" s="968">
        <v>19</v>
      </c>
      <c r="D45" s="969"/>
      <c r="E45" s="970"/>
      <c r="F45" s="970"/>
      <c r="G45" s="1288"/>
      <c r="H45" s="971"/>
      <c r="I45" s="972"/>
      <c r="L45" s="956">
        <f t="shared" si="0"/>
        <v>0</v>
      </c>
      <c r="M45" s="973">
        <f t="shared" si="0"/>
        <v>0</v>
      </c>
      <c r="N45" s="974"/>
      <c r="O45" s="975">
        <f t="shared" si="1"/>
        <v>0</v>
      </c>
      <c r="P45" s="967">
        <f t="shared" si="2"/>
        <v>0</v>
      </c>
      <c r="AD45" s="950"/>
    </row>
    <row r="46" spans="3:30" ht="30" hidden="1" customHeight="1" outlineLevel="1">
      <c r="C46" s="968">
        <v>20</v>
      </c>
      <c r="D46" s="969"/>
      <c r="E46" s="970"/>
      <c r="F46" s="970"/>
      <c r="G46" s="1288"/>
      <c r="H46" s="971"/>
      <c r="I46" s="972"/>
      <c r="L46" s="956">
        <f t="shared" si="0"/>
        <v>0</v>
      </c>
      <c r="M46" s="973">
        <f t="shared" si="0"/>
        <v>0</v>
      </c>
      <c r="N46" s="974"/>
      <c r="O46" s="975">
        <f t="shared" si="1"/>
        <v>0</v>
      </c>
      <c r="P46" s="967">
        <f t="shared" si="2"/>
        <v>0</v>
      </c>
      <c r="AD46" s="950"/>
    </row>
    <row r="47" spans="3:30" ht="30" hidden="1" customHeight="1" outlineLevel="1">
      <c r="C47" s="968">
        <v>21</v>
      </c>
      <c r="D47" s="969"/>
      <c r="E47" s="970"/>
      <c r="F47" s="970"/>
      <c r="G47" s="1288"/>
      <c r="H47" s="971"/>
      <c r="I47" s="972"/>
      <c r="L47" s="956">
        <f t="shared" si="0"/>
        <v>0</v>
      </c>
      <c r="M47" s="973">
        <f t="shared" si="0"/>
        <v>0</v>
      </c>
      <c r="N47" s="974"/>
      <c r="O47" s="975">
        <f t="shared" si="1"/>
        <v>0</v>
      </c>
      <c r="P47" s="967">
        <f t="shared" si="2"/>
        <v>0</v>
      </c>
      <c r="AD47" s="950"/>
    </row>
    <row r="48" spans="3:30" ht="30" hidden="1" customHeight="1" outlineLevel="1">
      <c r="C48" s="968">
        <v>22</v>
      </c>
      <c r="D48" s="969"/>
      <c r="E48" s="970"/>
      <c r="F48" s="970"/>
      <c r="G48" s="1288"/>
      <c r="H48" s="971"/>
      <c r="I48" s="972"/>
      <c r="L48" s="956">
        <f t="shared" si="0"/>
        <v>0</v>
      </c>
      <c r="M48" s="973">
        <f t="shared" si="0"/>
        <v>0</v>
      </c>
      <c r="N48" s="974"/>
      <c r="O48" s="975">
        <f t="shared" si="1"/>
        <v>0</v>
      </c>
      <c r="P48" s="967">
        <f t="shared" si="2"/>
        <v>0</v>
      </c>
      <c r="AD48" s="950"/>
    </row>
    <row r="49" spans="3:30" ht="30" hidden="1" customHeight="1" outlineLevel="1">
      <c r="C49" s="968">
        <v>23</v>
      </c>
      <c r="D49" s="969"/>
      <c r="E49" s="970"/>
      <c r="F49" s="970"/>
      <c r="G49" s="1288"/>
      <c r="H49" s="971"/>
      <c r="I49" s="972"/>
      <c r="L49" s="956">
        <f t="shared" si="0"/>
        <v>0</v>
      </c>
      <c r="M49" s="973">
        <f t="shared" si="0"/>
        <v>0</v>
      </c>
      <c r="N49" s="974"/>
      <c r="O49" s="975">
        <f t="shared" si="1"/>
        <v>0</v>
      </c>
      <c r="P49" s="967">
        <f t="shared" si="2"/>
        <v>0</v>
      </c>
      <c r="AD49" s="950"/>
    </row>
    <row r="50" spans="3:30" ht="30" hidden="1" customHeight="1" outlineLevel="1">
      <c r="C50" s="968">
        <v>24</v>
      </c>
      <c r="D50" s="969"/>
      <c r="E50" s="970"/>
      <c r="F50" s="970"/>
      <c r="G50" s="1288"/>
      <c r="H50" s="971"/>
      <c r="I50" s="972"/>
      <c r="L50" s="956">
        <f t="shared" si="0"/>
        <v>0</v>
      </c>
      <c r="M50" s="973">
        <f t="shared" si="0"/>
        <v>0</v>
      </c>
      <c r="N50" s="974"/>
      <c r="O50" s="975">
        <f t="shared" si="1"/>
        <v>0</v>
      </c>
      <c r="P50" s="967">
        <f t="shared" si="2"/>
        <v>0</v>
      </c>
      <c r="AD50" s="950"/>
    </row>
    <row r="51" spans="3:30" ht="30" hidden="1" customHeight="1" outlineLevel="1">
      <c r="C51" s="968">
        <v>25</v>
      </c>
      <c r="D51" s="969"/>
      <c r="E51" s="970"/>
      <c r="F51" s="970"/>
      <c r="G51" s="1288"/>
      <c r="H51" s="971"/>
      <c r="I51" s="972"/>
      <c r="L51" s="956">
        <f t="shared" si="0"/>
        <v>0</v>
      </c>
      <c r="M51" s="973">
        <f t="shared" si="0"/>
        <v>0</v>
      </c>
      <c r="N51" s="974"/>
      <c r="O51" s="975">
        <f t="shared" si="1"/>
        <v>0</v>
      </c>
      <c r="P51" s="967">
        <f t="shared" si="2"/>
        <v>0</v>
      </c>
      <c r="AD51" s="950"/>
    </row>
    <row r="52" spans="3:30" ht="30" hidden="1" customHeight="1" outlineLevel="1">
      <c r="C52" s="968">
        <v>26</v>
      </c>
      <c r="D52" s="969"/>
      <c r="E52" s="970"/>
      <c r="F52" s="970"/>
      <c r="G52" s="1288"/>
      <c r="H52" s="971"/>
      <c r="I52" s="972"/>
      <c r="L52" s="956">
        <f t="shared" si="0"/>
        <v>0</v>
      </c>
      <c r="M52" s="973">
        <f t="shared" si="0"/>
        <v>0</v>
      </c>
      <c r="N52" s="974"/>
      <c r="O52" s="975">
        <f t="shared" si="1"/>
        <v>0</v>
      </c>
      <c r="P52" s="967">
        <f t="shared" si="2"/>
        <v>0</v>
      </c>
      <c r="AD52" s="950"/>
    </row>
    <row r="53" spans="3:30" ht="30" hidden="1" customHeight="1" outlineLevel="1">
      <c r="C53" s="968">
        <v>27</v>
      </c>
      <c r="D53" s="969"/>
      <c r="E53" s="970"/>
      <c r="F53" s="970"/>
      <c r="G53" s="1288"/>
      <c r="H53" s="971"/>
      <c r="I53" s="972"/>
      <c r="L53" s="956">
        <f t="shared" si="0"/>
        <v>0</v>
      </c>
      <c r="M53" s="973">
        <f t="shared" si="0"/>
        <v>0</v>
      </c>
      <c r="N53" s="974"/>
      <c r="O53" s="975">
        <f t="shared" si="1"/>
        <v>0</v>
      </c>
      <c r="P53" s="967">
        <f t="shared" si="2"/>
        <v>0</v>
      </c>
      <c r="AD53" s="950"/>
    </row>
    <row r="54" spans="3:30" ht="30" hidden="1" customHeight="1" outlineLevel="1">
      <c r="C54" s="968">
        <v>28</v>
      </c>
      <c r="D54" s="969"/>
      <c r="E54" s="970"/>
      <c r="F54" s="970"/>
      <c r="G54" s="1288"/>
      <c r="H54" s="971"/>
      <c r="I54" s="972"/>
      <c r="L54" s="956">
        <f t="shared" si="0"/>
        <v>0</v>
      </c>
      <c r="M54" s="973">
        <f t="shared" si="0"/>
        <v>0</v>
      </c>
      <c r="N54" s="974"/>
      <c r="O54" s="975">
        <f t="shared" si="1"/>
        <v>0</v>
      </c>
      <c r="P54" s="967">
        <f t="shared" si="2"/>
        <v>0</v>
      </c>
      <c r="AD54" s="950"/>
    </row>
    <row r="55" spans="3:30" ht="30" hidden="1" customHeight="1" outlineLevel="1">
      <c r="C55" s="968">
        <v>29</v>
      </c>
      <c r="D55" s="969"/>
      <c r="E55" s="970"/>
      <c r="F55" s="970"/>
      <c r="G55" s="1288"/>
      <c r="H55" s="971"/>
      <c r="I55" s="972"/>
      <c r="L55" s="956">
        <f t="shared" si="0"/>
        <v>0</v>
      </c>
      <c r="M55" s="973">
        <f t="shared" si="0"/>
        <v>0</v>
      </c>
      <c r="N55" s="974"/>
      <c r="O55" s="975">
        <f t="shared" si="1"/>
        <v>0</v>
      </c>
      <c r="P55" s="967">
        <f t="shared" si="2"/>
        <v>0</v>
      </c>
      <c r="AD55" s="950"/>
    </row>
    <row r="56" spans="3:30" ht="30" hidden="1" customHeight="1" outlineLevel="1">
      <c r="C56" s="968">
        <v>30</v>
      </c>
      <c r="D56" s="969"/>
      <c r="E56" s="970"/>
      <c r="F56" s="970"/>
      <c r="G56" s="1288"/>
      <c r="H56" s="971"/>
      <c r="I56" s="972"/>
      <c r="L56" s="956">
        <f t="shared" si="0"/>
        <v>0</v>
      </c>
      <c r="M56" s="973">
        <f t="shared" si="0"/>
        <v>0</v>
      </c>
      <c r="N56" s="974"/>
      <c r="O56" s="975">
        <f t="shared" si="1"/>
        <v>0</v>
      </c>
      <c r="P56" s="967">
        <f t="shared" si="2"/>
        <v>0</v>
      </c>
      <c r="AD56" s="950"/>
    </row>
    <row r="57" spans="3:30" ht="30" hidden="1" customHeight="1" outlineLevel="1">
      <c r="C57" s="968">
        <v>31</v>
      </c>
      <c r="D57" s="969"/>
      <c r="E57" s="970"/>
      <c r="F57" s="970"/>
      <c r="G57" s="1288"/>
      <c r="H57" s="971"/>
      <c r="I57" s="972"/>
      <c r="L57" s="956">
        <f t="shared" si="0"/>
        <v>0</v>
      </c>
      <c r="M57" s="973">
        <f t="shared" si="0"/>
        <v>0</v>
      </c>
      <c r="N57" s="974"/>
      <c r="O57" s="975">
        <f t="shared" si="1"/>
        <v>0</v>
      </c>
      <c r="P57" s="967">
        <f t="shared" si="2"/>
        <v>0</v>
      </c>
      <c r="AD57" s="950"/>
    </row>
    <row r="58" spans="3:30" ht="30" hidden="1" customHeight="1" outlineLevel="1">
      <c r="C58" s="968">
        <v>32</v>
      </c>
      <c r="D58" s="969"/>
      <c r="E58" s="970"/>
      <c r="F58" s="970"/>
      <c r="G58" s="1288"/>
      <c r="H58" s="971"/>
      <c r="I58" s="972"/>
      <c r="L58" s="956">
        <f t="shared" si="0"/>
        <v>0</v>
      </c>
      <c r="M58" s="973">
        <f t="shared" si="0"/>
        <v>0</v>
      </c>
      <c r="N58" s="974"/>
      <c r="O58" s="975">
        <f t="shared" si="1"/>
        <v>0</v>
      </c>
      <c r="P58" s="967">
        <f t="shared" si="2"/>
        <v>0</v>
      </c>
      <c r="AD58" s="950"/>
    </row>
    <row r="59" spans="3:30" ht="30" hidden="1" customHeight="1" outlineLevel="1">
      <c r="C59" s="968">
        <v>33</v>
      </c>
      <c r="D59" s="969"/>
      <c r="E59" s="970"/>
      <c r="F59" s="970"/>
      <c r="G59" s="1288"/>
      <c r="H59" s="971"/>
      <c r="I59" s="972"/>
      <c r="L59" s="956">
        <f t="shared" si="0"/>
        <v>0</v>
      </c>
      <c r="M59" s="973">
        <f t="shared" si="0"/>
        <v>0</v>
      </c>
      <c r="N59" s="974"/>
      <c r="O59" s="975">
        <f t="shared" si="1"/>
        <v>0</v>
      </c>
      <c r="P59" s="967">
        <f t="shared" si="2"/>
        <v>0</v>
      </c>
      <c r="AD59" s="950"/>
    </row>
    <row r="60" spans="3:30" ht="30" hidden="1" customHeight="1" outlineLevel="1">
      <c r="C60" s="968">
        <v>34</v>
      </c>
      <c r="D60" s="969"/>
      <c r="E60" s="970"/>
      <c r="F60" s="970"/>
      <c r="G60" s="1288"/>
      <c r="H60" s="971"/>
      <c r="I60" s="972"/>
      <c r="L60" s="956">
        <f t="shared" si="0"/>
        <v>0</v>
      </c>
      <c r="M60" s="973">
        <f t="shared" si="0"/>
        <v>0</v>
      </c>
      <c r="N60" s="974"/>
      <c r="O60" s="975">
        <f t="shared" si="1"/>
        <v>0</v>
      </c>
      <c r="P60" s="967">
        <f t="shared" si="2"/>
        <v>0</v>
      </c>
      <c r="AD60" s="950"/>
    </row>
    <row r="61" spans="3:30" ht="30" hidden="1" customHeight="1" outlineLevel="1">
      <c r="C61" s="968">
        <v>35</v>
      </c>
      <c r="D61" s="969"/>
      <c r="E61" s="970"/>
      <c r="F61" s="970"/>
      <c r="G61" s="1288"/>
      <c r="H61" s="971"/>
      <c r="I61" s="972"/>
      <c r="L61" s="956">
        <f t="shared" si="0"/>
        <v>0</v>
      </c>
      <c r="M61" s="973">
        <f t="shared" si="0"/>
        <v>0</v>
      </c>
      <c r="N61" s="974"/>
      <c r="O61" s="975">
        <f t="shared" si="1"/>
        <v>0</v>
      </c>
      <c r="P61" s="967">
        <f t="shared" si="2"/>
        <v>0</v>
      </c>
      <c r="AD61" s="950"/>
    </row>
    <row r="62" spans="3:30" ht="30" hidden="1" customHeight="1" outlineLevel="1">
      <c r="C62" s="968">
        <v>36</v>
      </c>
      <c r="D62" s="969"/>
      <c r="E62" s="970"/>
      <c r="F62" s="970"/>
      <c r="G62" s="1288"/>
      <c r="H62" s="971"/>
      <c r="I62" s="972"/>
      <c r="L62" s="956">
        <f t="shared" si="0"/>
        <v>0</v>
      </c>
      <c r="M62" s="973">
        <f t="shared" si="0"/>
        <v>0</v>
      </c>
      <c r="N62" s="974"/>
      <c r="O62" s="975">
        <f t="shared" si="1"/>
        <v>0</v>
      </c>
      <c r="P62" s="967">
        <f t="shared" si="2"/>
        <v>0</v>
      </c>
      <c r="AD62" s="950"/>
    </row>
    <row r="63" spans="3:30" ht="30" hidden="1" customHeight="1" outlineLevel="1">
      <c r="C63" s="968">
        <v>37</v>
      </c>
      <c r="D63" s="969"/>
      <c r="E63" s="970"/>
      <c r="F63" s="970"/>
      <c r="G63" s="1288"/>
      <c r="H63" s="971"/>
      <c r="I63" s="972"/>
      <c r="L63" s="956">
        <f t="shared" si="0"/>
        <v>0</v>
      </c>
      <c r="M63" s="973">
        <f t="shared" si="0"/>
        <v>0</v>
      </c>
      <c r="N63" s="974"/>
      <c r="O63" s="975">
        <f t="shared" si="1"/>
        <v>0</v>
      </c>
      <c r="P63" s="967">
        <f t="shared" si="2"/>
        <v>0</v>
      </c>
      <c r="AD63" s="950"/>
    </row>
    <row r="64" spans="3:30" ht="30" hidden="1" customHeight="1" outlineLevel="1">
      <c r="C64" s="968">
        <v>38</v>
      </c>
      <c r="D64" s="969"/>
      <c r="E64" s="970"/>
      <c r="F64" s="970"/>
      <c r="G64" s="1288"/>
      <c r="H64" s="971"/>
      <c r="I64" s="972"/>
      <c r="L64" s="956">
        <f t="shared" si="0"/>
        <v>0</v>
      </c>
      <c r="M64" s="973">
        <f t="shared" si="0"/>
        <v>0</v>
      </c>
      <c r="N64" s="974"/>
      <c r="O64" s="975">
        <f t="shared" si="1"/>
        <v>0</v>
      </c>
      <c r="P64" s="967">
        <f t="shared" si="2"/>
        <v>0</v>
      </c>
      <c r="AD64" s="950"/>
    </row>
    <row r="65" spans="3:30" ht="30" hidden="1" customHeight="1" outlineLevel="1">
      <c r="C65" s="968">
        <v>39</v>
      </c>
      <c r="D65" s="969"/>
      <c r="E65" s="970"/>
      <c r="F65" s="970"/>
      <c r="G65" s="1288"/>
      <c r="H65" s="971"/>
      <c r="I65" s="972"/>
      <c r="L65" s="956">
        <f t="shared" si="0"/>
        <v>0</v>
      </c>
      <c r="M65" s="973">
        <f t="shared" si="0"/>
        <v>0</v>
      </c>
      <c r="N65" s="974"/>
      <c r="O65" s="975">
        <f t="shared" si="1"/>
        <v>0</v>
      </c>
      <c r="P65" s="967">
        <f t="shared" si="2"/>
        <v>0</v>
      </c>
      <c r="AD65" s="950"/>
    </row>
    <row r="66" spans="3:30" ht="30" hidden="1" customHeight="1" outlineLevel="1">
      <c r="C66" s="968">
        <v>40</v>
      </c>
      <c r="D66" s="969"/>
      <c r="E66" s="970"/>
      <c r="F66" s="970"/>
      <c r="G66" s="1288"/>
      <c r="H66" s="971"/>
      <c r="I66" s="972"/>
      <c r="L66" s="956">
        <f t="shared" si="0"/>
        <v>0</v>
      </c>
      <c r="M66" s="973">
        <f t="shared" si="0"/>
        <v>0</v>
      </c>
      <c r="N66" s="974"/>
      <c r="O66" s="975">
        <f t="shared" si="1"/>
        <v>0</v>
      </c>
      <c r="P66" s="967">
        <f t="shared" si="2"/>
        <v>0</v>
      </c>
      <c r="AD66" s="950"/>
    </row>
    <row r="67" spans="3:30" ht="30" hidden="1" customHeight="1" outlineLevel="1">
      <c r="C67" s="968">
        <v>41</v>
      </c>
      <c r="D67" s="969"/>
      <c r="E67" s="970"/>
      <c r="F67" s="970"/>
      <c r="G67" s="1288"/>
      <c r="H67" s="971"/>
      <c r="I67" s="972"/>
      <c r="L67" s="956">
        <f t="shared" si="0"/>
        <v>0</v>
      </c>
      <c r="M67" s="973">
        <f t="shared" si="0"/>
        <v>0</v>
      </c>
      <c r="N67" s="974"/>
      <c r="O67" s="975">
        <f t="shared" si="1"/>
        <v>0</v>
      </c>
      <c r="P67" s="967">
        <f t="shared" si="2"/>
        <v>0</v>
      </c>
      <c r="AD67" s="950"/>
    </row>
    <row r="68" spans="3:30" ht="30" hidden="1" customHeight="1" outlineLevel="1">
      <c r="C68" s="968">
        <v>42</v>
      </c>
      <c r="D68" s="969"/>
      <c r="E68" s="970"/>
      <c r="F68" s="970"/>
      <c r="G68" s="1288"/>
      <c r="H68" s="971"/>
      <c r="I68" s="972"/>
      <c r="L68" s="956">
        <f t="shared" si="0"/>
        <v>0</v>
      </c>
      <c r="M68" s="973">
        <f t="shared" si="0"/>
        <v>0</v>
      </c>
      <c r="N68" s="974"/>
      <c r="O68" s="975">
        <f t="shared" si="1"/>
        <v>0</v>
      </c>
      <c r="P68" s="967">
        <f t="shared" si="2"/>
        <v>0</v>
      </c>
      <c r="AD68" s="950"/>
    </row>
    <row r="69" spans="3:30" ht="30" hidden="1" customHeight="1" outlineLevel="1">
      <c r="C69" s="968">
        <v>43</v>
      </c>
      <c r="D69" s="969"/>
      <c r="E69" s="970"/>
      <c r="F69" s="970"/>
      <c r="G69" s="1288"/>
      <c r="H69" s="971"/>
      <c r="I69" s="972"/>
      <c r="L69" s="956">
        <f t="shared" si="0"/>
        <v>0</v>
      </c>
      <c r="M69" s="973">
        <f t="shared" si="0"/>
        <v>0</v>
      </c>
      <c r="N69" s="974"/>
      <c r="O69" s="975">
        <f t="shared" si="1"/>
        <v>0</v>
      </c>
      <c r="P69" s="967">
        <f t="shared" si="2"/>
        <v>0</v>
      </c>
      <c r="AD69" s="950"/>
    </row>
    <row r="70" spans="3:30" ht="30" hidden="1" customHeight="1" outlineLevel="1">
      <c r="C70" s="968">
        <v>44</v>
      </c>
      <c r="D70" s="969"/>
      <c r="E70" s="970"/>
      <c r="F70" s="970"/>
      <c r="G70" s="1288"/>
      <c r="H70" s="971"/>
      <c r="I70" s="972"/>
      <c r="L70" s="956">
        <f t="shared" si="0"/>
        <v>0</v>
      </c>
      <c r="M70" s="973">
        <f t="shared" si="0"/>
        <v>0</v>
      </c>
      <c r="N70" s="974"/>
      <c r="O70" s="975">
        <f t="shared" si="1"/>
        <v>0</v>
      </c>
      <c r="P70" s="967">
        <f t="shared" si="2"/>
        <v>0</v>
      </c>
      <c r="AD70" s="950"/>
    </row>
    <row r="71" spans="3:30" ht="30" hidden="1" customHeight="1" outlineLevel="1">
      <c r="C71" s="968">
        <v>45</v>
      </c>
      <c r="D71" s="969"/>
      <c r="E71" s="970"/>
      <c r="F71" s="970"/>
      <c r="G71" s="1288"/>
      <c r="H71" s="971"/>
      <c r="I71" s="972"/>
      <c r="L71" s="956">
        <f t="shared" si="0"/>
        <v>0</v>
      </c>
      <c r="M71" s="973">
        <f t="shared" si="0"/>
        <v>0</v>
      </c>
      <c r="N71" s="974"/>
      <c r="O71" s="975">
        <f t="shared" si="1"/>
        <v>0</v>
      </c>
      <c r="P71" s="967">
        <f t="shared" si="2"/>
        <v>0</v>
      </c>
      <c r="AD71" s="950"/>
    </row>
    <row r="72" spans="3:30" ht="30" hidden="1" customHeight="1" outlineLevel="1">
      <c r="C72" s="968">
        <v>46</v>
      </c>
      <c r="D72" s="969"/>
      <c r="E72" s="970"/>
      <c r="F72" s="970"/>
      <c r="G72" s="1288"/>
      <c r="H72" s="971"/>
      <c r="I72" s="972"/>
      <c r="L72" s="956">
        <f t="shared" si="0"/>
        <v>0</v>
      </c>
      <c r="M72" s="973">
        <f t="shared" si="0"/>
        <v>0</v>
      </c>
      <c r="N72" s="974"/>
      <c r="O72" s="975">
        <f t="shared" si="1"/>
        <v>0</v>
      </c>
      <c r="P72" s="967">
        <f t="shared" si="2"/>
        <v>0</v>
      </c>
      <c r="AD72" s="950"/>
    </row>
    <row r="73" spans="3:30" ht="30" hidden="1" customHeight="1" outlineLevel="1">
      <c r="C73" s="968">
        <v>47</v>
      </c>
      <c r="D73" s="969"/>
      <c r="E73" s="970"/>
      <c r="F73" s="970"/>
      <c r="G73" s="1288"/>
      <c r="H73" s="971"/>
      <c r="I73" s="972"/>
      <c r="L73" s="956">
        <f t="shared" si="0"/>
        <v>0</v>
      </c>
      <c r="M73" s="973">
        <f t="shared" si="0"/>
        <v>0</v>
      </c>
      <c r="N73" s="974"/>
      <c r="O73" s="975">
        <f t="shared" si="1"/>
        <v>0</v>
      </c>
      <c r="P73" s="967">
        <f t="shared" si="2"/>
        <v>0</v>
      </c>
      <c r="AD73" s="950"/>
    </row>
    <row r="74" spans="3:30" ht="30" hidden="1" customHeight="1" outlineLevel="1">
      <c r="C74" s="968">
        <v>48</v>
      </c>
      <c r="D74" s="969"/>
      <c r="E74" s="970"/>
      <c r="F74" s="970"/>
      <c r="G74" s="1288"/>
      <c r="H74" s="971"/>
      <c r="I74" s="972"/>
      <c r="L74" s="956">
        <f t="shared" si="0"/>
        <v>0</v>
      </c>
      <c r="M74" s="973">
        <f t="shared" si="0"/>
        <v>0</v>
      </c>
      <c r="N74" s="974"/>
      <c r="O74" s="975">
        <f t="shared" si="1"/>
        <v>0</v>
      </c>
      <c r="P74" s="967">
        <f t="shared" si="2"/>
        <v>0</v>
      </c>
      <c r="AD74" s="950"/>
    </row>
    <row r="75" spans="3:30" ht="30" hidden="1" customHeight="1" outlineLevel="1">
      <c r="C75" s="968">
        <v>49</v>
      </c>
      <c r="D75" s="969"/>
      <c r="E75" s="970"/>
      <c r="F75" s="970"/>
      <c r="G75" s="1288"/>
      <c r="H75" s="971"/>
      <c r="I75" s="972"/>
      <c r="L75" s="956">
        <f t="shared" si="0"/>
        <v>0</v>
      </c>
      <c r="M75" s="973">
        <f t="shared" si="0"/>
        <v>0</v>
      </c>
      <c r="N75" s="974"/>
      <c r="O75" s="975">
        <f t="shared" si="1"/>
        <v>0</v>
      </c>
      <c r="P75" s="967">
        <f t="shared" si="2"/>
        <v>0</v>
      </c>
      <c r="AD75" s="950"/>
    </row>
    <row r="76" spans="3:30" ht="30" hidden="1" customHeight="1" outlineLevel="1">
      <c r="C76" s="968">
        <v>50</v>
      </c>
      <c r="D76" s="969"/>
      <c r="E76" s="970"/>
      <c r="F76" s="970"/>
      <c r="G76" s="1288"/>
      <c r="H76" s="971"/>
      <c r="I76" s="972"/>
      <c r="L76" s="956">
        <f t="shared" si="0"/>
        <v>0</v>
      </c>
      <c r="M76" s="973">
        <f t="shared" si="0"/>
        <v>0</v>
      </c>
      <c r="N76" s="974"/>
      <c r="O76" s="975">
        <f t="shared" si="1"/>
        <v>0</v>
      </c>
      <c r="P76" s="967">
        <f t="shared" si="2"/>
        <v>0</v>
      </c>
      <c r="AD76" s="950"/>
    </row>
    <row r="77" spans="3:30" ht="30" hidden="1" customHeight="1" outlineLevel="1">
      <c r="C77" s="968">
        <v>51</v>
      </c>
      <c r="D77" s="969"/>
      <c r="E77" s="970"/>
      <c r="F77" s="970"/>
      <c r="G77" s="1288"/>
      <c r="H77" s="971"/>
      <c r="I77" s="972"/>
      <c r="L77" s="956">
        <f t="shared" si="0"/>
        <v>0</v>
      </c>
      <c r="M77" s="973">
        <f t="shared" si="0"/>
        <v>0</v>
      </c>
      <c r="N77" s="974"/>
      <c r="O77" s="975">
        <f t="shared" si="1"/>
        <v>0</v>
      </c>
      <c r="P77" s="967">
        <f t="shared" si="2"/>
        <v>0</v>
      </c>
      <c r="AD77" s="950"/>
    </row>
    <row r="78" spans="3:30" ht="30" hidden="1" customHeight="1" outlineLevel="1">
      <c r="C78" s="968">
        <v>52</v>
      </c>
      <c r="D78" s="969"/>
      <c r="E78" s="970"/>
      <c r="F78" s="970"/>
      <c r="G78" s="1288"/>
      <c r="H78" s="971"/>
      <c r="I78" s="972"/>
      <c r="L78" s="956">
        <f t="shared" si="0"/>
        <v>0</v>
      </c>
      <c r="M78" s="973">
        <f t="shared" si="0"/>
        <v>0</v>
      </c>
      <c r="N78" s="974"/>
      <c r="O78" s="975">
        <f t="shared" si="1"/>
        <v>0</v>
      </c>
      <c r="P78" s="967">
        <f t="shared" si="2"/>
        <v>0</v>
      </c>
      <c r="AD78" s="950"/>
    </row>
    <row r="79" spans="3:30" ht="30" hidden="1" customHeight="1" outlineLevel="1">
      <c r="C79" s="968">
        <v>53</v>
      </c>
      <c r="D79" s="969"/>
      <c r="E79" s="970"/>
      <c r="F79" s="970"/>
      <c r="G79" s="1288"/>
      <c r="H79" s="971"/>
      <c r="I79" s="972"/>
      <c r="L79" s="956">
        <f t="shared" si="0"/>
        <v>0</v>
      </c>
      <c r="M79" s="973">
        <f t="shared" si="0"/>
        <v>0</v>
      </c>
      <c r="N79" s="974"/>
      <c r="O79" s="975">
        <f t="shared" si="1"/>
        <v>0</v>
      </c>
      <c r="P79" s="967">
        <f t="shared" si="2"/>
        <v>0</v>
      </c>
      <c r="AD79" s="950"/>
    </row>
    <row r="80" spans="3:30" ht="30" hidden="1" customHeight="1" outlineLevel="1">
      <c r="C80" s="968">
        <v>54</v>
      </c>
      <c r="D80" s="969"/>
      <c r="E80" s="970"/>
      <c r="F80" s="970"/>
      <c r="G80" s="1288"/>
      <c r="H80" s="971"/>
      <c r="I80" s="972"/>
      <c r="L80" s="956">
        <f t="shared" si="0"/>
        <v>0</v>
      </c>
      <c r="M80" s="973">
        <f t="shared" si="0"/>
        <v>0</v>
      </c>
      <c r="N80" s="974"/>
      <c r="O80" s="975">
        <f t="shared" si="1"/>
        <v>0</v>
      </c>
      <c r="P80" s="967">
        <f t="shared" si="2"/>
        <v>0</v>
      </c>
      <c r="AD80" s="950"/>
    </row>
    <row r="81" spans="3:30" ht="30" hidden="1" customHeight="1" outlineLevel="1">
      <c r="C81" s="968">
        <v>55</v>
      </c>
      <c r="D81" s="969"/>
      <c r="E81" s="970"/>
      <c r="F81" s="970"/>
      <c r="G81" s="1288"/>
      <c r="H81" s="971"/>
      <c r="I81" s="972"/>
      <c r="L81" s="956">
        <f t="shared" si="0"/>
        <v>0</v>
      </c>
      <c r="M81" s="973">
        <f t="shared" si="0"/>
        <v>0</v>
      </c>
      <c r="N81" s="974"/>
      <c r="O81" s="975">
        <f t="shared" si="1"/>
        <v>0</v>
      </c>
      <c r="P81" s="967">
        <f t="shared" si="2"/>
        <v>0</v>
      </c>
      <c r="AD81" s="950"/>
    </row>
    <row r="82" spans="3:30" ht="30" hidden="1" customHeight="1" outlineLevel="1">
      <c r="C82" s="968">
        <v>56</v>
      </c>
      <c r="D82" s="969"/>
      <c r="E82" s="970"/>
      <c r="F82" s="970"/>
      <c r="G82" s="1288"/>
      <c r="H82" s="971"/>
      <c r="I82" s="972"/>
      <c r="L82" s="956">
        <f t="shared" si="0"/>
        <v>0</v>
      </c>
      <c r="M82" s="973">
        <f t="shared" si="0"/>
        <v>0</v>
      </c>
      <c r="N82" s="974"/>
      <c r="O82" s="975">
        <f t="shared" si="1"/>
        <v>0</v>
      </c>
      <c r="P82" s="967">
        <f t="shared" si="2"/>
        <v>0</v>
      </c>
      <c r="AD82" s="950"/>
    </row>
    <row r="83" spans="3:30" ht="30" hidden="1" customHeight="1" outlineLevel="1">
      <c r="C83" s="968">
        <v>57</v>
      </c>
      <c r="D83" s="969"/>
      <c r="E83" s="970"/>
      <c r="F83" s="970"/>
      <c r="G83" s="1288"/>
      <c r="H83" s="971"/>
      <c r="I83" s="972"/>
      <c r="L83" s="956">
        <f t="shared" si="0"/>
        <v>0</v>
      </c>
      <c r="M83" s="973">
        <f t="shared" si="0"/>
        <v>0</v>
      </c>
      <c r="N83" s="974"/>
      <c r="O83" s="975">
        <f t="shared" si="1"/>
        <v>0</v>
      </c>
      <c r="P83" s="967">
        <f t="shared" si="2"/>
        <v>0</v>
      </c>
      <c r="AD83" s="950"/>
    </row>
    <row r="84" spans="3:30" ht="30" hidden="1" customHeight="1" outlineLevel="1">
      <c r="C84" s="968">
        <v>58</v>
      </c>
      <c r="D84" s="969"/>
      <c r="E84" s="970"/>
      <c r="F84" s="970"/>
      <c r="G84" s="1288"/>
      <c r="H84" s="971"/>
      <c r="I84" s="972"/>
      <c r="L84" s="956">
        <f t="shared" si="0"/>
        <v>0</v>
      </c>
      <c r="M84" s="973">
        <f t="shared" si="0"/>
        <v>0</v>
      </c>
      <c r="N84" s="974"/>
      <c r="O84" s="975">
        <f t="shared" si="1"/>
        <v>0</v>
      </c>
      <c r="P84" s="967">
        <f t="shared" si="2"/>
        <v>0</v>
      </c>
      <c r="AD84" s="950"/>
    </row>
    <row r="85" spans="3:30" ht="30" hidden="1" customHeight="1" outlineLevel="1">
      <c r="C85" s="968">
        <v>59</v>
      </c>
      <c r="D85" s="969"/>
      <c r="E85" s="970"/>
      <c r="F85" s="970"/>
      <c r="G85" s="1288"/>
      <c r="H85" s="971"/>
      <c r="I85" s="972"/>
      <c r="L85" s="956">
        <f t="shared" si="0"/>
        <v>0</v>
      </c>
      <c r="M85" s="973">
        <f t="shared" si="0"/>
        <v>0</v>
      </c>
      <c r="N85" s="974"/>
      <c r="O85" s="975">
        <f t="shared" si="1"/>
        <v>0</v>
      </c>
      <c r="P85" s="967">
        <f t="shared" si="2"/>
        <v>0</v>
      </c>
      <c r="AD85" s="950"/>
    </row>
    <row r="86" spans="3:30" ht="30" hidden="1" customHeight="1" outlineLevel="1">
      <c r="C86" s="968">
        <v>60</v>
      </c>
      <c r="D86" s="969"/>
      <c r="E86" s="970"/>
      <c r="F86" s="970"/>
      <c r="G86" s="1288"/>
      <c r="H86" s="971"/>
      <c r="I86" s="972"/>
      <c r="L86" s="956">
        <f t="shared" si="0"/>
        <v>0</v>
      </c>
      <c r="M86" s="973">
        <f t="shared" si="0"/>
        <v>0</v>
      </c>
      <c r="N86" s="974"/>
      <c r="O86" s="975">
        <f t="shared" si="1"/>
        <v>0</v>
      </c>
      <c r="P86" s="967">
        <f t="shared" si="2"/>
        <v>0</v>
      </c>
      <c r="AD86" s="950"/>
    </row>
    <row r="87" spans="3:30" ht="30" hidden="1" customHeight="1" outlineLevel="1">
      <c r="C87" s="968">
        <v>61</v>
      </c>
      <c r="D87" s="969"/>
      <c r="E87" s="970"/>
      <c r="F87" s="970"/>
      <c r="G87" s="1288"/>
      <c r="H87" s="971"/>
      <c r="I87" s="972"/>
      <c r="L87" s="956">
        <f t="shared" si="0"/>
        <v>0</v>
      </c>
      <c r="M87" s="973">
        <f t="shared" si="0"/>
        <v>0</v>
      </c>
      <c r="N87" s="974"/>
      <c r="O87" s="975">
        <f t="shared" si="1"/>
        <v>0</v>
      </c>
      <c r="P87" s="967">
        <f t="shared" si="2"/>
        <v>0</v>
      </c>
      <c r="AD87" s="950"/>
    </row>
    <row r="88" spans="3:30" ht="30" hidden="1" customHeight="1" outlineLevel="1">
      <c r="C88" s="968">
        <v>62</v>
      </c>
      <c r="D88" s="969"/>
      <c r="E88" s="970"/>
      <c r="F88" s="970"/>
      <c r="G88" s="1288"/>
      <c r="H88" s="971"/>
      <c r="I88" s="972"/>
      <c r="L88" s="956">
        <f t="shared" si="0"/>
        <v>0</v>
      </c>
      <c r="M88" s="973">
        <f t="shared" si="0"/>
        <v>0</v>
      </c>
      <c r="N88" s="974"/>
      <c r="O88" s="975">
        <f t="shared" si="1"/>
        <v>0</v>
      </c>
      <c r="P88" s="967">
        <f t="shared" si="2"/>
        <v>0</v>
      </c>
      <c r="AD88" s="950"/>
    </row>
    <row r="89" spans="3:30" ht="30" hidden="1" customHeight="1" outlineLevel="1">
      <c r="C89" s="968">
        <v>63</v>
      </c>
      <c r="D89" s="969"/>
      <c r="E89" s="970"/>
      <c r="F89" s="970"/>
      <c r="G89" s="1288"/>
      <c r="H89" s="971"/>
      <c r="I89" s="972"/>
      <c r="L89" s="956">
        <f t="shared" si="0"/>
        <v>0</v>
      </c>
      <c r="M89" s="973">
        <f t="shared" si="0"/>
        <v>0</v>
      </c>
      <c r="N89" s="974"/>
      <c r="O89" s="975">
        <f t="shared" si="1"/>
        <v>0</v>
      </c>
      <c r="P89" s="967">
        <f t="shared" si="2"/>
        <v>0</v>
      </c>
      <c r="AD89" s="950"/>
    </row>
    <row r="90" spans="3:30" ht="30" hidden="1" customHeight="1" outlineLevel="1">
      <c r="C90" s="968">
        <v>64</v>
      </c>
      <c r="D90" s="969"/>
      <c r="E90" s="970"/>
      <c r="F90" s="970"/>
      <c r="G90" s="1288"/>
      <c r="H90" s="971"/>
      <c r="I90" s="972"/>
      <c r="L90" s="956">
        <f t="shared" si="0"/>
        <v>0</v>
      </c>
      <c r="M90" s="973">
        <f t="shared" si="0"/>
        <v>0</v>
      </c>
      <c r="N90" s="974"/>
      <c r="O90" s="975">
        <f t="shared" si="1"/>
        <v>0</v>
      </c>
      <c r="P90" s="967">
        <f t="shared" si="2"/>
        <v>0</v>
      </c>
      <c r="AD90" s="950"/>
    </row>
    <row r="91" spans="3:30" ht="30" hidden="1" customHeight="1" outlineLevel="1">
      <c r="C91" s="968">
        <v>65</v>
      </c>
      <c r="D91" s="969"/>
      <c r="E91" s="970"/>
      <c r="F91" s="970"/>
      <c r="G91" s="1288"/>
      <c r="H91" s="971"/>
      <c r="I91" s="972"/>
      <c r="L91" s="956">
        <f t="shared" si="0"/>
        <v>0</v>
      </c>
      <c r="M91" s="973">
        <f t="shared" si="0"/>
        <v>0</v>
      </c>
      <c r="N91" s="974"/>
      <c r="O91" s="975">
        <f t="shared" si="1"/>
        <v>0</v>
      </c>
      <c r="P91" s="967">
        <f t="shared" si="2"/>
        <v>0</v>
      </c>
      <c r="AD91" s="950"/>
    </row>
    <row r="92" spans="3:30" ht="30" hidden="1" customHeight="1" outlineLevel="1">
      <c r="C92" s="968">
        <v>66</v>
      </c>
      <c r="D92" s="969"/>
      <c r="E92" s="970"/>
      <c r="F92" s="970"/>
      <c r="G92" s="1288"/>
      <c r="H92" s="971"/>
      <c r="I92" s="972"/>
      <c r="L92" s="956">
        <f t="shared" si="0"/>
        <v>0</v>
      </c>
      <c r="M92" s="973">
        <f t="shared" si="0"/>
        <v>0</v>
      </c>
      <c r="N92" s="974"/>
      <c r="O92" s="975">
        <f t="shared" si="1"/>
        <v>0</v>
      </c>
      <c r="P92" s="967">
        <f t="shared" ref="P92:P155" si="3">ROUND(O92*G92%,)</f>
        <v>0</v>
      </c>
      <c r="AD92" s="950"/>
    </row>
    <row r="93" spans="3:30" ht="30" hidden="1" customHeight="1" outlineLevel="1">
      <c r="C93" s="968">
        <v>67</v>
      </c>
      <c r="D93" s="969"/>
      <c r="E93" s="970"/>
      <c r="F93" s="970"/>
      <c r="G93" s="1288"/>
      <c r="H93" s="971"/>
      <c r="I93" s="972"/>
      <c r="L93" s="956">
        <f t="shared" si="0"/>
        <v>0</v>
      </c>
      <c r="M93" s="973">
        <f t="shared" si="0"/>
        <v>0</v>
      </c>
      <c r="N93" s="974"/>
      <c r="O93" s="975">
        <f t="shared" si="1"/>
        <v>0</v>
      </c>
      <c r="P93" s="967">
        <f t="shared" si="3"/>
        <v>0</v>
      </c>
      <c r="AD93" s="950"/>
    </row>
    <row r="94" spans="3:30" ht="30" hidden="1" customHeight="1" outlineLevel="1">
      <c r="C94" s="968">
        <v>68</v>
      </c>
      <c r="D94" s="969"/>
      <c r="E94" s="970"/>
      <c r="F94" s="970"/>
      <c r="G94" s="1288"/>
      <c r="H94" s="971"/>
      <c r="I94" s="972"/>
      <c r="L94" s="956">
        <f t="shared" si="0"/>
        <v>0</v>
      </c>
      <c r="M94" s="973">
        <f t="shared" si="0"/>
        <v>0</v>
      </c>
      <c r="N94" s="974"/>
      <c r="O94" s="975">
        <f t="shared" si="1"/>
        <v>0</v>
      </c>
      <c r="P94" s="967">
        <f t="shared" si="3"/>
        <v>0</v>
      </c>
      <c r="AD94" s="950"/>
    </row>
    <row r="95" spans="3:30" ht="30" hidden="1" customHeight="1" outlineLevel="1">
      <c r="C95" s="968">
        <v>69</v>
      </c>
      <c r="D95" s="969"/>
      <c r="E95" s="970"/>
      <c r="F95" s="970"/>
      <c r="G95" s="1288"/>
      <c r="H95" s="971"/>
      <c r="I95" s="972"/>
      <c r="L95" s="956">
        <f t="shared" si="0"/>
        <v>0</v>
      </c>
      <c r="M95" s="973">
        <f t="shared" si="0"/>
        <v>0</v>
      </c>
      <c r="N95" s="974"/>
      <c r="O95" s="975">
        <f t="shared" si="1"/>
        <v>0</v>
      </c>
      <c r="P95" s="967">
        <f t="shared" si="3"/>
        <v>0</v>
      </c>
      <c r="AD95" s="950"/>
    </row>
    <row r="96" spans="3:30" ht="30" hidden="1" customHeight="1" outlineLevel="1">
      <c r="C96" s="968">
        <v>70</v>
      </c>
      <c r="D96" s="969"/>
      <c r="E96" s="970"/>
      <c r="F96" s="970"/>
      <c r="G96" s="1288"/>
      <c r="H96" s="971"/>
      <c r="I96" s="972"/>
      <c r="L96" s="956">
        <f t="shared" si="0"/>
        <v>0</v>
      </c>
      <c r="M96" s="973">
        <f t="shared" si="0"/>
        <v>0</v>
      </c>
      <c r="N96" s="974"/>
      <c r="O96" s="975">
        <f t="shared" si="1"/>
        <v>0</v>
      </c>
      <c r="P96" s="967">
        <f t="shared" si="3"/>
        <v>0</v>
      </c>
      <c r="AD96" s="950"/>
    </row>
    <row r="97" spans="3:30" ht="30" hidden="1" customHeight="1" outlineLevel="1">
      <c r="C97" s="968">
        <v>71</v>
      </c>
      <c r="D97" s="969"/>
      <c r="E97" s="970"/>
      <c r="F97" s="970"/>
      <c r="G97" s="1288"/>
      <c r="H97" s="971"/>
      <c r="I97" s="972"/>
      <c r="L97" s="956">
        <f t="shared" si="0"/>
        <v>0</v>
      </c>
      <c r="M97" s="973">
        <f t="shared" si="0"/>
        <v>0</v>
      </c>
      <c r="N97" s="974"/>
      <c r="O97" s="975">
        <f t="shared" si="1"/>
        <v>0</v>
      </c>
      <c r="P97" s="967">
        <f t="shared" si="3"/>
        <v>0</v>
      </c>
      <c r="AD97" s="950"/>
    </row>
    <row r="98" spans="3:30" ht="30" hidden="1" customHeight="1" outlineLevel="1">
      <c r="C98" s="968">
        <v>72</v>
      </c>
      <c r="D98" s="969"/>
      <c r="E98" s="970"/>
      <c r="F98" s="970"/>
      <c r="G98" s="1288"/>
      <c r="H98" s="971"/>
      <c r="I98" s="972"/>
      <c r="L98" s="956">
        <f t="shared" si="0"/>
        <v>0</v>
      </c>
      <c r="M98" s="973">
        <f t="shared" si="0"/>
        <v>0</v>
      </c>
      <c r="N98" s="974"/>
      <c r="O98" s="975">
        <f t="shared" si="1"/>
        <v>0</v>
      </c>
      <c r="P98" s="967">
        <f t="shared" si="3"/>
        <v>0</v>
      </c>
      <c r="AD98" s="950"/>
    </row>
    <row r="99" spans="3:30" ht="30" hidden="1" customHeight="1" outlineLevel="1">
      <c r="C99" s="968">
        <v>73</v>
      </c>
      <c r="D99" s="969"/>
      <c r="E99" s="970"/>
      <c r="F99" s="970"/>
      <c r="G99" s="1288"/>
      <c r="H99" s="971"/>
      <c r="I99" s="972"/>
      <c r="L99" s="956">
        <f t="shared" si="0"/>
        <v>0</v>
      </c>
      <c r="M99" s="973">
        <f t="shared" si="0"/>
        <v>0</v>
      </c>
      <c r="N99" s="974"/>
      <c r="O99" s="975">
        <f t="shared" si="1"/>
        <v>0</v>
      </c>
      <c r="P99" s="967">
        <f t="shared" si="3"/>
        <v>0</v>
      </c>
      <c r="AD99" s="950"/>
    </row>
    <row r="100" spans="3:30" ht="30" hidden="1" customHeight="1" outlineLevel="1">
      <c r="C100" s="968">
        <v>74</v>
      </c>
      <c r="D100" s="969"/>
      <c r="E100" s="970"/>
      <c r="F100" s="970"/>
      <c r="G100" s="1288"/>
      <c r="H100" s="971"/>
      <c r="I100" s="972"/>
      <c r="L100" s="956">
        <f t="shared" si="0"/>
        <v>0</v>
      </c>
      <c r="M100" s="973">
        <f t="shared" si="0"/>
        <v>0</v>
      </c>
      <c r="N100" s="974"/>
      <c r="O100" s="975">
        <f t="shared" si="1"/>
        <v>0</v>
      </c>
      <c r="P100" s="967">
        <f t="shared" si="3"/>
        <v>0</v>
      </c>
      <c r="AD100" s="950"/>
    </row>
    <row r="101" spans="3:30" ht="30" hidden="1" customHeight="1" outlineLevel="1">
      <c r="C101" s="968">
        <v>75</v>
      </c>
      <c r="D101" s="969"/>
      <c r="E101" s="970"/>
      <c r="F101" s="970"/>
      <c r="G101" s="1288"/>
      <c r="H101" s="971"/>
      <c r="I101" s="972"/>
      <c r="L101" s="956">
        <f t="shared" si="0"/>
        <v>0</v>
      </c>
      <c r="M101" s="973">
        <f t="shared" si="0"/>
        <v>0</v>
      </c>
      <c r="N101" s="974"/>
      <c r="O101" s="975">
        <f t="shared" si="1"/>
        <v>0</v>
      </c>
      <c r="P101" s="967">
        <f t="shared" si="3"/>
        <v>0</v>
      </c>
      <c r="AD101" s="950"/>
    </row>
    <row r="102" spans="3:30" ht="30" hidden="1" customHeight="1" outlineLevel="1">
      <c r="C102" s="968">
        <v>76</v>
      </c>
      <c r="D102" s="969"/>
      <c r="E102" s="970"/>
      <c r="F102" s="970"/>
      <c r="G102" s="1288"/>
      <c r="H102" s="971"/>
      <c r="I102" s="972"/>
      <c r="L102" s="956">
        <f t="shared" si="0"/>
        <v>0</v>
      </c>
      <c r="M102" s="973">
        <f t="shared" si="0"/>
        <v>0</v>
      </c>
      <c r="N102" s="974"/>
      <c r="O102" s="975">
        <f t="shared" si="1"/>
        <v>0</v>
      </c>
      <c r="P102" s="967">
        <f t="shared" si="3"/>
        <v>0</v>
      </c>
      <c r="AD102" s="950"/>
    </row>
    <row r="103" spans="3:30" ht="30" hidden="1" customHeight="1" outlineLevel="1">
      <c r="C103" s="968">
        <v>77</v>
      </c>
      <c r="D103" s="969"/>
      <c r="E103" s="970"/>
      <c r="F103" s="970"/>
      <c r="G103" s="1288"/>
      <c r="H103" s="971"/>
      <c r="I103" s="972"/>
      <c r="L103" s="956">
        <f t="shared" si="0"/>
        <v>0</v>
      </c>
      <c r="M103" s="973">
        <f t="shared" si="0"/>
        <v>0</v>
      </c>
      <c r="N103" s="974"/>
      <c r="O103" s="975">
        <f t="shared" si="1"/>
        <v>0</v>
      </c>
      <c r="P103" s="967">
        <f t="shared" si="3"/>
        <v>0</v>
      </c>
      <c r="AD103" s="950"/>
    </row>
    <row r="104" spans="3:30" ht="30" hidden="1" customHeight="1" outlineLevel="1">
      <c r="C104" s="968">
        <v>78</v>
      </c>
      <c r="D104" s="969"/>
      <c r="E104" s="970"/>
      <c r="F104" s="970"/>
      <c r="G104" s="1288"/>
      <c r="H104" s="971"/>
      <c r="I104" s="972"/>
      <c r="L104" s="956">
        <f t="shared" si="0"/>
        <v>0</v>
      </c>
      <c r="M104" s="973">
        <f t="shared" si="0"/>
        <v>0</v>
      </c>
      <c r="N104" s="974"/>
      <c r="O104" s="975">
        <f t="shared" si="1"/>
        <v>0</v>
      </c>
      <c r="P104" s="967">
        <f t="shared" si="3"/>
        <v>0</v>
      </c>
      <c r="AD104" s="950"/>
    </row>
    <row r="105" spans="3:30" ht="30" hidden="1" customHeight="1" outlineLevel="1">
      <c r="C105" s="968">
        <v>79</v>
      </c>
      <c r="D105" s="969"/>
      <c r="E105" s="970"/>
      <c r="F105" s="970"/>
      <c r="G105" s="1288"/>
      <c r="H105" s="971"/>
      <c r="I105" s="972"/>
      <c r="L105" s="956">
        <f t="shared" si="0"/>
        <v>0</v>
      </c>
      <c r="M105" s="973">
        <f t="shared" si="0"/>
        <v>0</v>
      </c>
      <c r="N105" s="974"/>
      <c r="O105" s="975">
        <f t="shared" si="1"/>
        <v>0</v>
      </c>
      <c r="P105" s="967">
        <f t="shared" si="3"/>
        <v>0</v>
      </c>
      <c r="AD105" s="950"/>
    </row>
    <row r="106" spans="3:30" ht="30" hidden="1" customHeight="1" outlineLevel="1">
      <c r="C106" s="968">
        <v>80</v>
      </c>
      <c r="D106" s="969"/>
      <c r="E106" s="970"/>
      <c r="F106" s="970"/>
      <c r="G106" s="1288"/>
      <c r="H106" s="971"/>
      <c r="I106" s="972"/>
      <c r="L106" s="956">
        <f t="shared" si="0"/>
        <v>0</v>
      </c>
      <c r="M106" s="973">
        <f t="shared" si="0"/>
        <v>0</v>
      </c>
      <c r="N106" s="974"/>
      <c r="O106" s="975">
        <f t="shared" si="1"/>
        <v>0</v>
      </c>
      <c r="P106" s="967">
        <f t="shared" si="3"/>
        <v>0</v>
      </c>
      <c r="AD106" s="950"/>
    </row>
    <row r="107" spans="3:30" ht="30" hidden="1" customHeight="1" outlineLevel="1">
      <c r="C107" s="968">
        <v>81</v>
      </c>
      <c r="D107" s="969"/>
      <c r="E107" s="970"/>
      <c r="F107" s="970"/>
      <c r="G107" s="1288"/>
      <c r="H107" s="971"/>
      <c r="I107" s="972"/>
      <c r="L107" s="956">
        <f t="shared" si="0"/>
        <v>0</v>
      </c>
      <c r="M107" s="973">
        <f t="shared" si="0"/>
        <v>0</v>
      </c>
      <c r="N107" s="974"/>
      <c r="O107" s="975">
        <f t="shared" si="1"/>
        <v>0</v>
      </c>
      <c r="P107" s="967">
        <f t="shared" si="3"/>
        <v>0</v>
      </c>
      <c r="AD107" s="950"/>
    </row>
    <row r="108" spans="3:30" ht="30" hidden="1" customHeight="1" outlineLevel="1">
      <c r="C108" s="968">
        <v>82</v>
      </c>
      <c r="D108" s="969"/>
      <c r="E108" s="970"/>
      <c r="F108" s="970"/>
      <c r="G108" s="1288"/>
      <c r="H108" s="971"/>
      <c r="I108" s="972"/>
      <c r="L108" s="956">
        <f t="shared" si="0"/>
        <v>0</v>
      </c>
      <c r="M108" s="973">
        <f t="shared" si="0"/>
        <v>0</v>
      </c>
      <c r="N108" s="974"/>
      <c r="O108" s="975">
        <f t="shared" si="1"/>
        <v>0</v>
      </c>
      <c r="P108" s="967">
        <f t="shared" si="3"/>
        <v>0</v>
      </c>
      <c r="AD108" s="950"/>
    </row>
    <row r="109" spans="3:30" ht="30" hidden="1" customHeight="1" outlineLevel="1">
      <c r="C109" s="968">
        <v>83</v>
      </c>
      <c r="D109" s="969"/>
      <c r="E109" s="970"/>
      <c r="F109" s="970"/>
      <c r="G109" s="1288"/>
      <c r="H109" s="971"/>
      <c r="I109" s="972"/>
      <c r="L109" s="956">
        <f t="shared" si="0"/>
        <v>0</v>
      </c>
      <c r="M109" s="973">
        <f t="shared" si="0"/>
        <v>0</v>
      </c>
      <c r="N109" s="974"/>
      <c r="O109" s="975">
        <f t="shared" si="1"/>
        <v>0</v>
      </c>
      <c r="P109" s="967">
        <f t="shared" si="3"/>
        <v>0</v>
      </c>
      <c r="AD109" s="950"/>
    </row>
    <row r="110" spans="3:30" ht="30" hidden="1" customHeight="1" outlineLevel="1">
      <c r="C110" s="968">
        <v>84</v>
      </c>
      <c r="D110" s="969"/>
      <c r="E110" s="970"/>
      <c r="F110" s="970"/>
      <c r="G110" s="1288"/>
      <c r="H110" s="971"/>
      <c r="I110" s="972"/>
      <c r="L110" s="956">
        <f t="shared" si="0"/>
        <v>0</v>
      </c>
      <c r="M110" s="973">
        <f t="shared" si="0"/>
        <v>0</v>
      </c>
      <c r="N110" s="974"/>
      <c r="O110" s="975">
        <f t="shared" si="1"/>
        <v>0</v>
      </c>
      <c r="P110" s="967">
        <f t="shared" si="3"/>
        <v>0</v>
      </c>
      <c r="AD110" s="950"/>
    </row>
    <row r="111" spans="3:30" ht="30" hidden="1" customHeight="1" outlineLevel="1">
      <c r="C111" s="968">
        <v>85</v>
      </c>
      <c r="D111" s="969"/>
      <c r="E111" s="970"/>
      <c r="F111" s="970"/>
      <c r="G111" s="1288"/>
      <c r="H111" s="971"/>
      <c r="I111" s="972"/>
      <c r="L111" s="956">
        <f t="shared" si="0"/>
        <v>0</v>
      </c>
      <c r="M111" s="973">
        <f t="shared" si="0"/>
        <v>0</v>
      </c>
      <c r="N111" s="974"/>
      <c r="O111" s="975">
        <f t="shared" si="1"/>
        <v>0</v>
      </c>
      <c r="P111" s="967">
        <f t="shared" si="3"/>
        <v>0</v>
      </c>
      <c r="AD111" s="950"/>
    </row>
    <row r="112" spans="3:30" ht="30" hidden="1" customHeight="1" outlineLevel="1">
      <c r="C112" s="968">
        <v>86</v>
      </c>
      <c r="D112" s="969"/>
      <c r="E112" s="970"/>
      <c r="F112" s="970"/>
      <c r="G112" s="1288"/>
      <c r="H112" s="971"/>
      <c r="I112" s="972"/>
      <c r="L112" s="956">
        <f t="shared" si="0"/>
        <v>0</v>
      </c>
      <c r="M112" s="973">
        <f t="shared" si="0"/>
        <v>0</v>
      </c>
      <c r="N112" s="974"/>
      <c r="O112" s="975">
        <f t="shared" si="1"/>
        <v>0</v>
      </c>
      <c r="P112" s="967">
        <f t="shared" si="3"/>
        <v>0</v>
      </c>
      <c r="AD112" s="950"/>
    </row>
    <row r="113" spans="3:30" ht="30" hidden="1" customHeight="1" outlineLevel="1">
      <c r="C113" s="968">
        <v>87</v>
      </c>
      <c r="D113" s="969"/>
      <c r="E113" s="970"/>
      <c r="F113" s="970"/>
      <c r="G113" s="1288"/>
      <c r="H113" s="971"/>
      <c r="I113" s="972"/>
      <c r="L113" s="956">
        <f t="shared" si="0"/>
        <v>0</v>
      </c>
      <c r="M113" s="973">
        <f t="shared" si="0"/>
        <v>0</v>
      </c>
      <c r="N113" s="974"/>
      <c r="O113" s="975">
        <f t="shared" si="1"/>
        <v>0</v>
      </c>
      <c r="P113" s="967">
        <f t="shared" si="3"/>
        <v>0</v>
      </c>
      <c r="AD113" s="950"/>
    </row>
    <row r="114" spans="3:30" ht="30" hidden="1" customHeight="1" outlineLevel="1">
      <c r="C114" s="968">
        <v>88</v>
      </c>
      <c r="D114" s="969"/>
      <c r="E114" s="970"/>
      <c r="F114" s="970"/>
      <c r="G114" s="1288"/>
      <c r="H114" s="971"/>
      <c r="I114" s="972"/>
      <c r="L114" s="956">
        <f t="shared" si="0"/>
        <v>0</v>
      </c>
      <c r="M114" s="973">
        <f t="shared" si="0"/>
        <v>0</v>
      </c>
      <c r="N114" s="974"/>
      <c r="O114" s="975">
        <f t="shared" si="1"/>
        <v>0</v>
      </c>
      <c r="P114" s="967">
        <f t="shared" si="3"/>
        <v>0</v>
      </c>
      <c r="AD114" s="950"/>
    </row>
    <row r="115" spans="3:30" ht="30" hidden="1" customHeight="1" outlineLevel="1">
      <c r="C115" s="968">
        <v>89</v>
      </c>
      <c r="D115" s="969"/>
      <c r="E115" s="970"/>
      <c r="F115" s="970"/>
      <c r="G115" s="1288"/>
      <c r="H115" s="971"/>
      <c r="I115" s="972"/>
      <c r="L115" s="956">
        <f t="shared" si="0"/>
        <v>0</v>
      </c>
      <c r="M115" s="973">
        <f t="shared" si="0"/>
        <v>0</v>
      </c>
      <c r="N115" s="974"/>
      <c r="O115" s="975">
        <f t="shared" si="1"/>
        <v>0</v>
      </c>
      <c r="P115" s="967">
        <f t="shared" si="3"/>
        <v>0</v>
      </c>
      <c r="AD115" s="950"/>
    </row>
    <row r="116" spans="3:30" ht="30" hidden="1" customHeight="1" outlineLevel="1">
      <c r="C116" s="968">
        <v>90</v>
      </c>
      <c r="D116" s="969"/>
      <c r="E116" s="970"/>
      <c r="F116" s="970"/>
      <c r="G116" s="1288"/>
      <c r="H116" s="971"/>
      <c r="I116" s="972"/>
      <c r="L116" s="956">
        <f t="shared" si="0"/>
        <v>0</v>
      </c>
      <c r="M116" s="973">
        <f t="shared" si="0"/>
        <v>0</v>
      </c>
      <c r="N116" s="974"/>
      <c r="O116" s="975">
        <f t="shared" si="1"/>
        <v>0</v>
      </c>
      <c r="P116" s="967">
        <f t="shared" si="3"/>
        <v>0</v>
      </c>
      <c r="AD116" s="950"/>
    </row>
    <row r="117" spans="3:30" ht="30" hidden="1" customHeight="1" outlineLevel="1">
      <c r="C117" s="968">
        <v>91</v>
      </c>
      <c r="D117" s="969"/>
      <c r="E117" s="970"/>
      <c r="F117" s="970"/>
      <c r="G117" s="1288"/>
      <c r="H117" s="971"/>
      <c r="I117" s="972"/>
      <c r="L117" s="956">
        <f t="shared" si="0"/>
        <v>0</v>
      </c>
      <c r="M117" s="973">
        <f t="shared" si="0"/>
        <v>0</v>
      </c>
      <c r="N117" s="974"/>
      <c r="O117" s="975">
        <f t="shared" si="1"/>
        <v>0</v>
      </c>
      <c r="P117" s="967">
        <f t="shared" si="3"/>
        <v>0</v>
      </c>
      <c r="AD117" s="950"/>
    </row>
    <row r="118" spans="3:30" ht="30" hidden="1" customHeight="1" outlineLevel="1">
      <c r="C118" s="968">
        <v>92</v>
      </c>
      <c r="D118" s="969"/>
      <c r="E118" s="970"/>
      <c r="F118" s="970"/>
      <c r="G118" s="1288"/>
      <c r="H118" s="971"/>
      <c r="I118" s="972"/>
      <c r="L118" s="956">
        <f t="shared" si="0"/>
        <v>0</v>
      </c>
      <c r="M118" s="973">
        <f t="shared" si="0"/>
        <v>0</v>
      </c>
      <c r="N118" s="974"/>
      <c r="O118" s="975">
        <f t="shared" si="1"/>
        <v>0</v>
      </c>
      <c r="P118" s="967">
        <f t="shared" si="3"/>
        <v>0</v>
      </c>
      <c r="AD118" s="950"/>
    </row>
    <row r="119" spans="3:30" ht="30" hidden="1" customHeight="1" outlineLevel="1">
      <c r="C119" s="968">
        <v>93</v>
      </c>
      <c r="D119" s="969"/>
      <c r="E119" s="970"/>
      <c r="F119" s="970"/>
      <c r="G119" s="1288"/>
      <c r="H119" s="971"/>
      <c r="I119" s="972"/>
      <c r="L119" s="956">
        <f t="shared" si="0"/>
        <v>0</v>
      </c>
      <c r="M119" s="973">
        <f t="shared" si="0"/>
        <v>0</v>
      </c>
      <c r="N119" s="974"/>
      <c r="O119" s="975">
        <f t="shared" si="1"/>
        <v>0</v>
      </c>
      <c r="P119" s="967">
        <f t="shared" si="3"/>
        <v>0</v>
      </c>
      <c r="AD119" s="950"/>
    </row>
    <row r="120" spans="3:30" ht="30" hidden="1" customHeight="1" outlineLevel="1">
      <c r="C120" s="968">
        <v>94</v>
      </c>
      <c r="D120" s="969"/>
      <c r="E120" s="970"/>
      <c r="F120" s="970"/>
      <c r="G120" s="1288"/>
      <c r="H120" s="971"/>
      <c r="I120" s="972"/>
      <c r="L120" s="956">
        <f t="shared" si="0"/>
        <v>0</v>
      </c>
      <c r="M120" s="973">
        <f t="shared" si="0"/>
        <v>0</v>
      </c>
      <c r="N120" s="974"/>
      <c r="O120" s="975">
        <f t="shared" si="1"/>
        <v>0</v>
      </c>
      <c r="P120" s="967">
        <f t="shared" si="3"/>
        <v>0</v>
      </c>
      <c r="AD120" s="950"/>
    </row>
    <row r="121" spans="3:30" ht="30" hidden="1" customHeight="1" outlineLevel="1">
      <c r="C121" s="968">
        <v>95</v>
      </c>
      <c r="D121" s="969"/>
      <c r="E121" s="970"/>
      <c r="F121" s="970"/>
      <c r="G121" s="1288"/>
      <c r="H121" s="971"/>
      <c r="I121" s="972"/>
      <c r="L121" s="956">
        <f t="shared" si="0"/>
        <v>0</v>
      </c>
      <c r="M121" s="973">
        <f t="shared" si="0"/>
        <v>0</v>
      </c>
      <c r="N121" s="974"/>
      <c r="O121" s="975">
        <f t="shared" si="1"/>
        <v>0</v>
      </c>
      <c r="P121" s="967">
        <f t="shared" si="3"/>
        <v>0</v>
      </c>
      <c r="AD121" s="950"/>
    </row>
    <row r="122" spans="3:30" ht="30" hidden="1" customHeight="1" outlineLevel="1">
      <c r="C122" s="968">
        <v>96</v>
      </c>
      <c r="D122" s="969"/>
      <c r="E122" s="970"/>
      <c r="F122" s="970"/>
      <c r="G122" s="1288"/>
      <c r="H122" s="971"/>
      <c r="I122" s="972"/>
      <c r="L122" s="956">
        <f t="shared" si="0"/>
        <v>0</v>
      </c>
      <c r="M122" s="973">
        <f t="shared" si="0"/>
        <v>0</v>
      </c>
      <c r="N122" s="974"/>
      <c r="O122" s="975">
        <f t="shared" si="1"/>
        <v>0</v>
      </c>
      <c r="P122" s="967">
        <f t="shared" si="3"/>
        <v>0</v>
      </c>
      <c r="AD122" s="950"/>
    </row>
    <row r="123" spans="3:30" ht="30" hidden="1" customHeight="1" outlineLevel="1">
      <c r="C123" s="968">
        <v>97</v>
      </c>
      <c r="D123" s="969"/>
      <c r="E123" s="970"/>
      <c r="F123" s="970"/>
      <c r="G123" s="1288"/>
      <c r="H123" s="971"/>
      <c r="I123" s="972"/>
      <c r="L123" s="956">
        <f t="shared" si="0"/>
        <v>0</v>
      </c>
      <c r="M123" s="973">
        <f t="shared" si="0"/>
        <v>0</v>
      </c>
      <c r="N123" s="974"/>
      <c r="O123" s="975">
        <f t="shared" si="1"/>
        <v>0</v>
      </c>
      <c r="P123" s="967">
        <f t="shared" si="3"/>
        <v>0</v>
      </c>
      <c r="AD123" s="950"/>
    </row>
    <row r="124" spans="3:30" ht="30" hidden="1" customHeight="1" outlineLevel="1">
      <c r="C124" s="968">
        <v>98</v>
      </c>
      <c r="D124" s="969"/>
      <c r="E124" s="970"/>
      <c r="F124" s="970"/>
      <c r="G124" s="1288"/>
      <c r="H124" s="971"/>
      <c r="I124" s="972"/>
      <c r="L124" s="956">
        <f t="shared" si="0"/>
        <v>0</v>
      </c>
      <c r="M124" s="973">
        <f t="shared" si="0"/>
        <v>0</v>
      </c>
      <c r="N124" s="974"/>
      <c r="O124" s="975">
        <f t="shared" si="1"/>
        <v>0</v>
      </c>
      <c r="P124" s="967">
        <f t="shared" si="3"/>
        <v>0</v>
      </c>
      <c r="AD124" s="950"/>
    </row>
    <row r="125" spans="3:30" ht="30" hidden="1" customHeight="1" outlineLevel="1">
      <c r="C125" s="968">
        <v>99</v>
      </c>
      <c r="D125" s="969"/>
      <c r="E125" s="970"/>
      <c r="F125" s="970"/>
      <c r="G125" s="1288"/>
      <c r="H125" s="971"/>
      <c r="I125" s="972"/>
      <c r="L125" s="956">
        <f t="shared" si="0"/>
        <v>0</v>
      </c>
      <c r="M125" s="973">
        <f t="shared" si="0"/>
        <v>0</v>
      </c>
      <c r="N125" s="974"/>
      <c r="O125" s="975">
        <f t="shared" si="1"/>
        <v>0</v>
      </c>
      <c r="P125" s="967">
        <f t="shared" si="3"/>
        <v>0</v>
      </c>
      <c r="AD125" s="950"/>
    </row>
    <row r="126" spans="3:30" ht="30" hidden="1" customHeight="1" outlineLevel="1">
      <c r="C126" s="968">
        <v>100</v>
      </c>
      <c r="D126" s="969"/>
      <c r="E126" s="970"/>
      <c r="F126" s="970"/>
      <c r="G126" s="1288"/>
      <c r="H126" s="971"/>
      <c r="I126" s="972"/>
      <c r="L126" s="956">
        <f t="shared" si="0"/>
        <v>0</v>
      </c>
      <c r="M126" s="973">
        <f t="shared" si="0"/>
        <v>0</v>
      </c>
      <c r="N126" s="974"/>
      <c r="O126" s="975">
        <f t="shared" si="1"/>
        <v>0</v>
      </c>
      <c r="P126" s="967">
        <f t="shared" si="3"/>
        <v>0</v>
      </c>
      <c r="AD126" s="950"/>
    </row>
    <row r="127" spans="3:30" ht="30" hidden="1" customHeight="1" outlineLevel="1">
      <c r="C127" s="968">
        <v>101</v>
      </c>
      <c r="D127" s="969"/>
      <c r="E127" s="970"/>
      <c r="F127" s="970"/>
      <c r="G127" s="1288"/>
      <c r="H127" s="971"/>
      <c r="I127" s="972"/>
      <c r="L127" s="956">
        <f t="shared" si="0"/>
        <v>0</v>
      </c>
      <c r="M127" s="973">
        <f t="shared" si="0"/>
        <v>0</v>
      </c>
      <c r="N127" s="974"/>
      <c r="O127" s="975">
        <f t="shared" si="1"/>
        <v>0</v>
      </c>
      <c r="P127" s="967">
        <f t="shared" si="3"/>
        <v>0</v>
      </c>
      <c r="AD127" s="950"/>
    </row>
    <row r="128" spans="3:30" ht="30" hidden="1" customHeight="1" outlineLevel="1">
      <c r="C128" s="968">
        <v>102</v>
      </c>
      <c r="D128" s="969"/>
      <c r="E128" s="970"/>
      <c r="F128" s="970"/>
      <c r="G128" s="1288"/>
      <c r="H128" s="971"/>
      <c r="I128" s="972"/>
      <c r="L128" s="956">
        <f t="shared" si="0"/>
        <v>0</v>
      </c>
      <c r="M128" s="973">
        <f t="shared" si="0"/>
        <v>0</v>
      </c>
      <c r="N128" s="974"/>
      <c r="O128" s="975">
        <f t="shared" si="1"/>
        <v>0</v>
      </c>
      <c r="P128" s="967">
        <f t="shared" si="3"/>
        <v>0</v>
      </c>
      <c r="AD128" s="950"/>
    </row>
    <row r="129" spans="3:30" ht="30" hidden="1" customHeight="1" outlineLevel="1">
      <c r="C129" s="968">
        <v>103</v>
      </c>
      <c r="D129" s="969"/>
      <c r="E129" s="970"/>
      <c r="F129" s="970"/>
      <c r="G129" s="1288"/>
      <c r="H129" s="971"/>
      <c r="I129" s="972"/>
      <c r="L129" s="956">
        <f t="shared" si="0"/>
        <v>0</v>
      </c>
      <c r="M129" s="973">
        <f t="shared" si="0"/>
        <v>0</v>
      </c>
      <c r="N129" s="974"/>
      <c r="O129" s="975">
        <f t="shared" si="1"/>
        <v>0</v>
      </c>
      <c r="P129" s="967">
        <f t="shared" si="3"/>
        <v>0</v>
      </c>
      <c r="AD129" s="950"/>
    </row>
    <row r="130" spans="3:30" ht="30" hidden="1" customHeight="1" outlineLevel="1">
      <c r="C130" s="968">
        <v>104</v>
      </c>
      <c r="D130" s="969"/>
      <c r="E130" s="970"/>
      <c r="F130" s="970"/>
      <c r="G130" s="1288"/>
      <c r="H130" s="971"/>
      <c r="I130" s="972"/>
      <c r="L130" s="956">
        <f t="shared" si="0"/>
        <v>0</v>
      </c>
      <c r="M130" s="973">
        <f t="shared" si="0"/>
        <v>0</v>
      </c>
      <c r="N130" s="974"/>
      <c r="O130" s="975">
        <f t="shared" si="1"/>
        <v>0</v>
      </c>
      <c r="P130" s="967">
        <f t="shared" si="3"/>
        <v>0</v>
      </c>
      <c r="AD130" s="950"/>
    </row>
    <row r="131" spans="3:30" ht="30" hidden="1" customHeight="1" outlineLevel="1">
      <c r="C131" s="968">
        <v>105</v>
      </c>
      <c r="D131" s="969"/>
      <c r="E131" s="970"/>
      <c r="F131" s="970"/>
      <c r="G131" s="1288"/>
      <c r="H131" s="971"/>
      <c r="I131" s="972"/>
      <c r="L131" s="956">
        <f t="shared" si="0"/>
        <v>0</v>
      </c>
      <c r="M131" s="973">
        <f t="shared" si="0"/>
        <v>0</v>
      </c>
      <c r="N131" s="974"/>
      <c r="O131" s="975">
        <f t="shared" si="1"/>
        <v>0</v>
      </c>
      <c r="P131" s="967">
        <f t="shared" si="3"/>
        <v>0</v>
      </c>
      <c r="AD131" s="950"/>
    </row>
    <row r="132" spans="3:30" ht="30" hidden="1" customHeight="1" outlineLevel="1">
      <c r="C132" s="968">
        <v>106</v>
      </c>
      <c r="D132" s="969"/>
      <c r="E132" s="970"/>
      <c r="F132" s="970"/>
      <c r="G132" s="1288"/>
      <c r="H132" s="971"/>
      <c r="I132" s="972"/>
      <c r="L132" s="956">
        <f t="shared" si="0"/>
        <v>0</v>
      </c>
      <c r="M132" s="973">
        <f t="shared" si="0"/>
        <v>0</v>
      </c>
      <c r="N132" s="974"/>
      <c r="O132" s="975">
        <f t="shared" si="1"/>
        <v>0</v>
      </c>
      <c r="P132" s="967">
        <f t="shared" si="3"/>
        <v>0</v>
      </c>
      <c r="AD132" s="950"/>
    </row>
    <row r="133" spans="3:30" ht="30" hidden="1" customHeight="1" outlineLevel="1">
      <c r="C133" s="968">
        <v>107</v>
      </c>
      <c r="D133" s="969"/>
      <c r="E133" s="970"/>
      <c r="F133" s="970"/>
      <c r="G133" s="1288"/>
      <c r="H133" s="971"/>
      <c r="I133" s="972"/>
      <c r="L133" s="956">
        <f t="shared" si="0"/>
        <v>0</v>
      </c>
      <c r="M133" s="973">
        <f t="shared" si="0"/>
        <v>0</v>
      </c>
      <c r="N133" s="974"/>
      <c r="O133" s="975">
        <f t="shared" si="1"/>
        <v>0</v>
      </c>
      <c r="P133" s="967">
        <f t="shared" si="3"/>
        <v>0</v>
      </c>
      <c r="AD133" s="950"/>
    </row>
    <row r="134" spans="3:30" ht="30" hidden="1" customHeight="1" outlineLevel="1">
      <c r="C134" s="968">
        <v>108</v>
      </c>
      <c r="D134" s="969"/>
      <c r="E134" s="970"/>
      <c r="F134" s="970"/>
      <c r="G134" s="1288"/>
      <c r="H134" s="971"/>
      <c r="I134" s="972"/>
      <c r="L134" s="956">
        <f t="shared" si="0"/>
        <v>0</v>
      </c>
      <c r="M134" s="973">
        <f t="shared" si="0"/>
        <v>0</v>
      </c>
      <c r="N134" s="974"/>
      <c r="O134" s="975">
        <f t="shared" si="1"/>
        <v>0</v>
      </c>
      <c r="P134" s="967">
        <f t="shared" si="3"/>
        <v>0</v>
      </c>
      <c r="AD134" s="950"/>
    </row>
    <row r="135" spans="3:30" ht="30" hidden="1" customHeight="1" outlineLevel="1">
      <c r="C135" s="968">
        <v>109</v>
      </c>
      <c r="D135" s="969"/>
      <c r="E135" s="970"/>
      <c r="F135" s="970"/>
      <c r="G135" s="1288"/>
      <c r="H135" s="971"/>
      <c r="I135" s="972"/>
      <c r="L135" s="956">
        <f t="shared" si="0"/>
        <v>0</v>
      </c>
      <c r="M135" s="973">
        <f t="shared" si="0"/>
        <v>0</v>
      </c>
      <c r="N135" s="974"/>
      <c r="O135" s="975">
        <f t="shared" si="1"/>
        <v>0</v>
      </c>
      <c r="P135" s="967">
        <f t="shared" si="3"/>
        <v>0</v>
      </c>
      <c r="AD135" s="950"/>
    </row>
    <row r="136" spans="3:30" ht="30" hidden="1" customHeight="1" outlineLevel="1">
      <c r="C136" s="968">
        <v>110</v>
      </c>
      <c r="D136" s="969"/>
      <c r="E136" s="970"/>
      <c r="F136" s="970"/>
      <c r="G136" s="1288"/>
      <c r="H136" s="971"/>
      <c r="I136" s="972"/>
      <c r="L136" s="956">
        <f t="shared" si="0"/>
        <v>0</v>
      </c>
      <c r="M136" s="973">
        <f t="shared" si="0"/>
        <v>0</v>
      </c>
      <c r="N136" s="974"/>
      <c r="O136" s="975">
        <f t="shared" si="1"/>
        <v>0</v>
      </c>
      <c r="P136" s="967">
        <f t="shared" si="3"/>
        <v>0</v>
      </c>
      <c r="AD136" s="950"/>
    </row>
    <row r="137" spans="3:30" ht="30" hidden="1" customHeight="1" outlineLevel="1">
      <c r="C137" s="968">
        <v>111</v>
      </c>
      <c r="D137" s="969"/>
      <c r="E137" s="970"/>
      <c r="F137" s="970"/>
      <c r="G137" s="1288"/>
      <c r="H137" s="971"/>
      <c r="I137" s="972"/>
      <c r="L137" s="956">
        <f t="shared" si="0"/>
        <v>0</v>
      </c>
      <c r="M137" s="973">
        <f t="shared" si="0"/>
        <v>0</v>
      </c>
      <c r="N137" s="974"/>
      <c r="O137" s="975">
        <f t="shared" si="1"/>
        <v>0</v>
      </c>
      <c r="P137" s="967">
        <f t="shared" si="3"/>
        <v>0</v>
      </c>
      <c r="AD137" s="950"/>
    </row>
    <row r="138" spans="3:30" ht="30" hidden="1" customHeight="1" outlineLevel="1">
      <c r="C138" s="968">
        <v>112</v>
      </c>
      <c r="D138" s="969"/>
      <c r="E138" s="970"/>
      <c r="F138" s="970"/>
      <c r="G138" s="1288"/>
      <c r="H138" s="971"/>
      <c r="I138" s="972"/>
      <c r="L138" s="956">
        <f t="shared" si="0"/>
        <v>0</v>
      </c>
      <c r="M138" s="973">
        <f t="shared" si="0"/>
        <v>0</v>
      </c>
      <c r="N138" s="974"/>
      <c r="O138" s="975">
        <f t="shared" si="1"/>
        <v>0</v>
      </c>
      <c r="P138" s="967">
        <f t="shared" si="3"/>
        <v>0</v>
      </c>
      <c r="AD138" s="950"/>
    </row>
    <row r="139" spans="3:30" ht="30" hidden="1" customHeight="1" outlineLevel="1">
      <c r="C139" s="968">
        <v>113</v>
      </c>
      <c r="D139" s="969"/>
      <c r="E139" s="970"/>
      <c r="F139" s="970"/>
      <c r="G139" s="1288"/>
      <c r="H139" s="971"/>
      <c r="I139" s="972"/>
      <c r="L139" s="956">
        <f t="shared" si="0"/>
        <v>0</v>
      </c>
      <c r="M139" s="973">
        <f t="shared" si="0"/>
        <v>0</v>
      </c>
      <c r="N139" s="974"/>
      <c r="O139" s="975">
        <f t="shared" si="1"/>
        <v>0</v>
      </c>
      <c r="P139" s="967">
        <f t="shared" si="3"/>
        <v>0</v>
      </c>
      <c r="AD139" s="950"/>
    </row>
    <row r="140" spans="3:30" ht="30" hidden="1" customHeight="1" outlineLevel="1">
      <c r="C140" s="968">
        <v>114</v>
      </c>
      <c r="D140" s="969"/>
      <c r="E140" s="970"/>
      <c r="F140" s="970"/>
      <c r="G140" s="1288"/>
      <c r="H140" s="971"/>
      <c r="I140" s="972"/>
      <c r="L140" s="956">
        <f t="shared" si="0"/>
        <v>0</v>
      </c>
      <c r="M140" s="973">
        <f t="shared" si="0"/>
        <v>0</v>
      </c>
      <c r="N140" s="974"/>
      <c r="O140" s="975">
        <f t="shared" si="1"/>
        <v>0</v>
      </c>
      <c r="P140" s="967">
        <f t="shared" si="3"/>
        <v>0</v>
      </c>
      <c r="AD140" s="950"/>
    </row>
    <row r="141" spans="3:30" ht="30" hidden="1" customHeight="1" outlineLevel="1">
      <c r="C141" s="968">
        <v>115</v>
      </c>
      <c r="D141" s="969"/>
      <c r="E141" s="970"/>
      <c r="F141" s="970"/>
      <c r="G141" s="1288"/>
      <c r="H141" s="971"/>
      <c r="I141" s="972"/>
      <c r="L141" s="956">
        <f t="shared" si="0"/>
        <v>0</v>
      </c>
      <c r="M141" s="973">
        <f t="shared" si="0"/>
        <v>0</v>
      </c>
      <c r="N141" s="974"/>
      <c r="O141" s="975">
        <f t="shared" si="1"/>
        <v>0</v>
      </c>
      <c r="P141" s="967">
        <f t="shared" si="3"/>
        <v>0</v>
      </c>
      <c r="AD141" s="950"/>
    </row>
    <row r="142" spans="3:30" ht="30" hidden="1" customHeight="1" outlineLevel="1">
      <c r="C142" s="968">
        <v>116</v>
      </c>
      <c r="D142" s="969"/>
      <c r="E142" s="970"/>
      <c r="F142" s="970"/>
      <c r="G142" s="1288"/>
      <c r="H142" s="971"/>
      <c r="I142" s="972"/>
      <c r="L142" s="956">
        <f t="shared" si="0"/>
        <v>0</v>
      </c>
      <c r="M142" s="973">
        <f t="shared" si="0"/>
        <v>0</v>
      </c>
      <c r="N142" s="974"/>
      <c r="O142" s="975">
        <f t="shared" si="1"/>
        <v>0</v>
      </c>
      <c r="P142" s="967">
        <f t="shared" si="3"/>
        <v>0</v>
      </c>
      <c r="AD142" s="950"/>
    </row>
    <row r="143" spans="3:30" ht="30" hidden="1" customHeight="1" outlineLevel="1">
      <c r="C143" s="968">
        <v>117</v>
      </c>
      <c r="D143" s="969"/>
      <c r="E143" s="970"/>
      <c r="F143" s="970"/>
      <c r="G143" s="1288"/>
      <c r="H143" s="971"/>
      <c r="I143" s="972"/>
      <c r="L143" s="956">
        <f t="shared" si="0"/>
        <v>0</v>
      </c>
      <c r="M143" s="973">
        <f t="shared" si="0"/>
        <v>0</v>
      </c>
      <c r="N143" s="974"/>
      <c r="O143" s="975">
        <f t="shared" si="1"/>
        <v>0</v>
      </c>
      <c r="P143" s="967">
        <f t="shared" si="3"/>
        <v>0</v>
      </c>
      <c r="AD143" s="950"/>
    </row>
    <row r="144" spans="3:30" ht="30" hidden="1" customHeight="1" outlineLevel="1">
      <c r="C144" s="968">
        <v>118</v>
      </c>
      <c r="D144" s="969"/>
      <c r="E144" s="970"/>
      <c r="F144" s="970"/>
      <c r="G144" s="1288"/>
      <c r="H144" s="971"/>
      <c r="I144" s="972"/>
      <c r="L144" s="956">
        <f t="shared" si="0"/>
        <v>0</v>
      </c>
      <c r="M144" s="973">
        <f t="shared" si="0"/>
        <v>0</v>
      </c>
      <c r="N144" s="974"/>
      <c r="O144" s="975">
        <f t="shared" si="1"/>
        <v>0</v>
      </c>
      <c r="P144" s="967">
        <f t="shared" si="3"/>
        <v>0</v>
      </c>
      <c r="AD144" s="950"/>
    </row>
    <row r="145" spans="3:30" ht="30" hidden="1" customHeight="1" outlineLevel="1">
      <c r="C145" s="968">
        <v>119</v>
      </c>
      <c r="D145" s="969"/>
      <c r="E145" s="970"/>
      <c r="F145" s="970"/>
      <c r="G145" s="1288"/>
      <c r="H145" s="971"/>
      <c r="I145" s="972"/>
      <c r="L145" s="956">
        <f t="shared" si="0"/>
        <v>0</v>
      </c>
      <c r="M145" s="973">
        <f t="shared" si="0"/>
        <v>0</v>
      </c>
      <c r="N145" s="974"/>
      <c r="O145" s="975">
        <f t="shared" si="1"/>
        <v>0</v>
      </c>
      <c r="P145" s="967">
        <f t="shared" si="3"/>
        <v>0</v>
      </c>
      <c r="AD145" s="950"/>
    </row>
    <row r="146" spans="3:30" ht="30" hidden="1" customHeight="1" outlineLevel="1">
      <c r="C146" s="968">
        <v>120</v>
      </c>
      <c r="D146" s="969"/>
      <c r="E146" s="970"/>
      <c r="F146" s="970"/>
      <c r="G146" s="1288"/>
      <c r="H146" s="971"/>
      <c r="I146" s="972"/>
      <c r="L146" s="956">
        <f t="shared" si="0"/>
        <v>0</v>
      </c>
      <c r="M146" s="973">
        <f t="shared" si="0"/>
        <v>0</v>
      </c>
      <c r="N146" s="974"/>
      <c r="O146" s="975">
        <f t="shared" si="1"/>
        <v>0</v>
      </c>
      <c r="P146" s="967">
        <f t="shared" si="3"/>
        <v>0</v>
      </c>
      <c r="AD146" s="950"/>
    </row>
    <row r="147" spans="3:30" ht="30" hidden="1" customHeight="1" outlineLevel="1">
      <c r="C147" s="968">
        <v>121</v>
      </c>
      <c r="D147" s="969"/>
      <c r="E147" s="970"/>
      <c r="F147" s="970"/>
      <c r="G147" s="1288"/>
      <c r="H147" s="971"/>
      <c r="I147" s="972"/>
      <c r="L147" s="956">
        <f t="shared" si="0"/>
        <v>0</v>
      </c>
      <c r="M147" s="973">
        <f t="shared" si="0"/>
        <v>0</v>
      </c>
      <c r="N147" s="974"/>
      <c r="O147" s="975">
        <f t="shared" si="1"/>
        <v>0</v>
      </c>
      <c r="P147" s="967">
        <f t="shared" si="3"/>
        <v>0</v>
      </c>
      <c r="AD147" s="950"/>
    </row>
    <row r="148" spans="3:30" ht="30" hidden="1" customHeight="1" outlineLevel="1">
      <c r="C148" s="968">
        <v>122</v>
      </c>
      <c r="D148" s="969"/>
      <c r="E148" s="970"/>
      <c r="F148" s="970"/>
      <c r="G148" s="1288"/>
      <c r="H148" s="971"/>
      <c r="I148" s="972"/>
      <c r="L148" s="956">
        <f t="shared" si="0"/>
        <v>0</v>
      </c>
      <c r="M148" s="973">
        <f t="shared" si="0"/>
        <v>0</v>
      </c>
      <c r="N148" s="974"/>
      <c r="O148" s="975">
        <f t="shared" si="1"/>
        <v>0</v>
      </c>
      <c r="P148" s="967">
        <f t="shared" si="3"/>
        <v>0</v>
      </c>
      <c r="AD148" s="950"/>
    </row>
    <row r="149" spans="3:30" ht="30" hidden="1" customHeight="1" outlineLevel="1">
      <c r="C149" s="968">
        <v>123</v>
      </c>
      <c r="D149" s="969"/>
      <c r="E149" s="970"/>
      <c r="F149" s="970"/>
      <c r="G149" s="1288"/>
      <c r="H149" s="971"/>
      <c r="I149" s="972"/>
      <c r="L149" s="956">
        <f t="shared" si="0"/>
        <v>0</v>
      </c>
      <c r="M149" s="973">
        <f t="shared" si="0"/>
        <v>0</v>
      </c>
      <c r="N149" s="974"/>
      <c r="O149" s="975">
        <f t="shared" si="1"/>
        <v>0</v>
      </c>
      <c r="P149" s="967">
        <f t="shared" si="3"/>
        <v>0</v>
      </c>
      <c r="AD149" s="950"/>
    </row>
    <row r="150" spans="3:30" ht="30" hidden="1" customHeight="1" outlineLevel="1">
      <c r="C150" s="968">
        <v>124</v>
      </c>
      <c r="D150" s="969"/>
      <c r="E150" s="970"/>
      <c r="F150" s="970"/>
      <c r="G150" s="1288"/>
      <c r="H150" s="971"/>
      <c r="I150" s="972"/>
      <c r="L150" s="956">
        <f t="shared" si="0"/>
        <v>0</v>
      </c>
      <c r="M150" s="973">
        <f t="shared" si="0"/>
        <v>0</v>
      </c>
      <c r="N150" s="974"/>
      <c r="O150" s="975">
        <f t="shared" si="1"/>
        <v>0</v>
      </c>
      <c r="P150" s="967">
        <f t="shared" si="3"/>
        <v>0</v>
      </c>
      <c r="AD150" s="950"/>
    </row>
    <row r="151" spans="3:30" ht="30" hidden="1" customHeight="1" outlineLevel="1">
      <c r="C151" s="968">
        <v>125</v>
      </c>
      <c r="D151" s="969"/>
      <c r="E151" s="970"/>
      <c r="F151" s="970"/>
      <c r="G151" s="1288"/>
      <c r="H151" s="971"/>
      <c r="I151" s="972"/>
      <c r="L151" s="956">
        <f t="shared" si="0"/>
        <v>0</v>
      </c>
      <c r="M151" s="973">
        <f t="shared" si="0"/>
        <v>0</v>
      </c>
      <c r="N151" s="974"/>
      <c r="O151" s="975">
        <f t="shared" si="1"/>
        <v>0</v>
      </c>
      <c r="P151" s="967">
        <f t="shared" si="3"/>
        <v>0</v>
      </c>
      <c r="AD151" s="950"/>
    </row>
    <row r="152" spans="3:30" ht="30" hidden="1" customHeight="1" outlineLevel="1">
      <c r="C152" s="968">
        <v>126</v>
      </c>
      <c r="D152" s="969"/>
      <c r="E152" s="970"/>
      <c r="F152" s="970"/>
      <c r="G152" s="1288"/>
      <c r="H152" s="971"/>
      <c r="I152" s="972"/>
      <c r="L152" s="956">
        <f t="shared" si="0"/>
        <v>0</v>
      </c>
      <c r="M152" s="973">
        <f t="shared" si="0"/>
        <v>0</v>
      </c>
      <c r="N152" s="974"/>
      <c r="O152" s="975">
        <f t="shared" si="1"/>
        <v>0</v>
      </c>
      <c r="P152" s="967">
        <f t="shared" si="3"/>
        <v>0</v>
      </c>
      <c r="AD152" s="950"/>
    </row>
    <row r="153" spans="3:30" ht="30" hidden="1" customHeight="1" outlineLevel="1">
      <c r="C153" s="968">
        <v>127</v>
      </c>
      <c r="D153" s="969"/>
      <c r="E153" s="970"/>
      <c r="F153" s="970"/>
      <c r="G153" s="1288"/>
      <c r="H153" s="971"/>
      <c r="I153" s="972"/>
      <c r="L153" s="956">
        <f t="shared" si="0"/>
        <v>0</v>
      </c>
      <c r="M153" s="973">
        <f t="shared" si="0"/>
        <v>0</v>
      </c>
      <c r="N153" s="974"/>
      <c r="O153" s="975">
        <f t="shared" si="1"/>
        <v>0</v>
      </c>
      <c r="P153" s="967">
        <f t="shared" si="3"/>
        <v>0</v>
      </c>
      <c r="AD153" s="950"/>
    </row>
    <row r="154" spans="3:30" ht="30" hidden="1" customHeight="1" outlineLevel="1">
      <c r="C154" s="968">
        <v>128</v>
      </c>
      <c r="D154" s="969"/>
      <c r="E154" s="970"/>
      <c r="F154" s="970"/>
      <c r="G154" s="1288"/>
      <c r="H154" s="971"/>
      <c r="I154" s="972"/>
      <c r="L154" s="956">
        <f t="shared" si="0"/>
        <v>0</v>
      </c>
      <c r="M154" s="973">
        <f t="shared" si="0"/>
        <v>0</v>
      </c>
      <c r="N154" s="974"/>
      <c r="O154" s="975">
        <f t="shared" si="1"/>
        <v>0</v>
      </c>
      <c r="P154" s="967">
        <f t="shared" si="3"/>
        <v>0</v>
      </c>
      <c r="AD154" s="950"/>
    </row>
    <row r="155" spans="3:30" ht="30" hidden="1" customHeight="1" outlineLevel="1">
      <c r="C155" s="968">
        <v>129</v>
      </c>
      <c r="D155" s="969"/>
      <c r="E155" s="970"/>
      <c r="F155" s="970"/>
      <c r="G155" s="1288"/>
      <c r="H155" s="971"/>
      <c r="I155" s="972"/>
      <c r="L155" s="956">
        <f t="shared" si="0"/>
        <v>0</v>
      </c>
      <c r="M155" s="973">
        <f t="shared" ref="M155:M170" si="4">IF($G155&gt;0,F155,)</f>
        <v>0</v>
      </c>
      <c r="N155" s="974"/>
      <c r="O155" s="975">
        <f t="shared" si="1"/>
        <v>0</v>
      </c>
      <c r="P155" s="967">
        <f t="shared" si="3"/>
        <v>0</v>
      </c>
      <c r="AD155" s="950"/>
    </row>
    <row r="156" spans="3:30" ht="30" hidden="1" customHeight="1" outlineLevel="1">
      <c r="C156" s="968">
        <v>130</v>
      </c>
      <c r="D156" s="969"/>
      <c r="E156" s="970"/>
      <c r="F156" s="970"/>
      <c r="G156" s="1288"/>
      <c r="H156" s="971"/>
      <c r="I156" s="972"/>
      <c r="L156" s="956">
        <f t="shared" ref="L156:M175" si="5">IF($G156&gt;0,E156,)</f>
        <v>0</v>
      </c>
      <c r="M156" s="973">
        <f t="shared" si="4"/>
        <v>0</v>
      </c>
      <c r="N156" s="974"/>
      <c r="O156" s="975">
        <f t="shared" si="1"/>
        <v>0</v>
      </c>
      <c r="P156" s="967">
        <f t="shared" ref="P156:P176" si="6">ROUND(O156*G156%,)</f>
        <v>0</v>
      </c>
      <c r="AD156" s="950"/>
    </row>
    <row r="157" spans="3:30" ht="30" hidden="1" customHeight="1" outlineLevel="1">
      <c r="C157" s="968">
        <v>131</v>
      </c>
      <c r="D157" s="969"/>
      <c r="E157" s="970"/>
      <c r="F157" s="970"/>
      <c r="G157" s="1288"/>
      <c r="H157" s="971"/>
      <c r="I157" s="972"/>
      <c r="L157" s="956">
        <f t="shared" si="5"/>
        <v>0</v>
      </c>
      <c r="M157" s="973">
        <f t="shared" si="4"/>
        <v>0</v>
      </c>
      <c r="N157" s="974"/>
      <c r="O157" s="975">
        <f t="shared" si="1"/>
        <v>0</v>
      </c>
      <c r="P157" s="967">
        <f t="shared" si="6"/>
        <v>0</v>
      </c>
      <c r="AD157" s="950"/>
    </row>
    <row r="158" spans="3:30" ht="30" hidden="1" customHeight="1" outlineLevel="1">
      <c r="C158" s="968">
        <v>132</v>
      </c>
      <c r="D158" s="969"/>
      <c r="E158" s="970"/>
      <c r="F158" s="970"/>
      <c r="G158" s="1288"/>
      <c r="H158" s="971"/>
      <c r="I158" s="972"/>
      <c r="L158" s="956">
        <f t="shared" si="5"/>
        <v>0</v>
      </c>
      <c r="M158" s="973">
        <f t="shared" si="4"/>
        <v>0</v>
      </c>
      <c r="N158" s="974"/>
      <c r="O158" s="975">
        <f t="shared" si="1"/>
        <v>0</v>
      </c>
      <c r="P158" s="967">
        <f t="shared" si="6"/>
        <v>0</v>
      </c>
      <c r="AD158" s="950"/>
    </row>
    <row r="159" spans="3:30" ht="30" hidden="1" customHeight="1" outlineLevel="1">
      <c r="C159" s="968">
        <v>133</v>
      </c>
      <c r="D159" s="969"/>
      <c r="E159" s="970"/>
      <c r="F159" s="970"/>
      <c r="G159" s="1288"/>
      <c r="H159" s="971"/>
      <c r="I159" s="972"/>
      <c r="L159" s="956">
        <f t="shared" si="5"/>
        <v>0</v>
      </c>
      <c r="M159" s="973">
        <f t="shared" si="4"/>
        <v>0</v>
      </c>
      <c r="N159" s="974"/>
      <c r="O159" s="975">
        <f t="shared" si="1"/>
        <v>0</v>
      </c>
      <c r="P159" s="967">
        <f t="shared" si="6"/>
        <v>0</v>
      </c>
      <c r="AD159" s="950"/>
    </row>
    <row r="160" spans="3:30" ht="30" hidden="1" customHeight="1" outlineLevel="1">
      <c r="C160" s="968">
        <v>134</v>
      </c>
      <c r="D160" s="969"/>
      <c r="E160" s="970"/>
      <c r="F160" s="970"/>
      <c r="G160" s="1288"/>
      <c r="H160" s="971"/>
      <c r="I160" s="972"/>
      <c r="L160" s="956">
        <f t="shared" si="5"/>
        <v>0</v>
      </c>
      <c r="M160" s="973">
        <f t="shared" si="4"/>
        <v>0</v>
      </c>
      <c r="N160" s="974"/>
      <c r="O160" s="975">
        <f t="shared" si="1"/>
        <v>0</v>
      </c>
      <c r="P160" s="967">
        <f t="shared" si="6"/>
        <v>0</v>
      </c>
      <c r="AD160" s="950"/>
    </row>
    <row r="161" spans="3:30" ht="30" hidden="1" customHeight="1" outlineLevel="1">
      <c r="C161" s="968">
        <v>135</v>
      </c>
      <c r="D161" s="969"/>
      <c r="E161" s="970"/>
      <c r="F161" s="970"/>
      <c r="G161" s="1288"/>
      <c r="H161" s="971"/>
      <c r="I161" s="972"/>
      <c r="L161" s="956">
        <f t="shared" si="5"/>
        <v>0</v>
      </c>
      <c r="M161" s="973">
        <f t="shared" si="4"/>
        <v>0</v>
      </c>
      <c r="N161" s="974"/>
      <c r="O161" s="975">
        <f t="shared" si="1"/>
        <v>0</v>
      </c>
      <c r="P161" s="967">
        <f t="shared" si="6"/>
        <v>0</v>
      </c>
      <c r="AD161" s="950"/>
    </row>
    <row r="162" spans="3:30" ht="30" hidden="1" customHeight="1" outlineLevel="1">
      <c r="C162" s="968">
        <v>136</v>
      </c>
      <c r="D162" s="969"/>
      <c r="E162" s="970"/>
      <c r="F162" s="970"/>
      <c r="G162" s="1288"/>
      <c r="H162" s="971"/>
      <c r="I162" s="972"/>
      <c r="L162" s="956">
        <f t="shared" si="5"/>
        <v>0</v>
      </c>
      <c r="M162" s="973">
        <f t="shared" si="4"/>
        <v>0</v>
      </c>
      <c r="N162" s="974"/>
      <c r="O162" s="975">
        <f t="shared" si="1"/>
        <v>0</v>
      </c>
      <c r="P162" s="967">
        <f t="shared" si="6"/>
        <v>0</v>
      </c>
      <c r="AD162" s="950"/>
    </row>
    <row r="163" spans="3:30" ht="30" hidden="1" customHeight="1" outlineLevel="1">
      <c r="C163" s="968">
        <v>137</v>
      </c>
      <c r="D163" s="969"/>
      <c r="E163" s="970"/>
      <c r="F163" s="970"/>
      <c r="G163" s="1288"/>
      <c r="H163" s="971"/>
      <c r="I163" s="972"/>
      <c r="L163" s="956">
        <f t="shared" si="5"/>
        <v>0</v>
      </c>
      <c r="M163" s="973">
        <f t="shared" si="4"/>
        <v>0</v>
      </c>
      <c r="N163" s="974"/>
      <c r="O163" s="975">
        <f t="shared" si="1"/>
        <v>0</v>
      </c>
      <c r="P163" s="967">
        <f t="shared" si="6"/>
        <v>0</v>
      </c>
      <c r="AD163" s="950"/>
    </row>
    <row r="164" spans="3:30" ht="30" hidden="1" customHeight="1" outlineLevel="1">
      <c r="C164" s="968">
        <v>138</v>
      </c>
      <c r="D164" s="969"/>
      <c r="E164" s="970"/>
      <c r="F164" s="970"/>
      <c r="G164" s="1288"/>
      <c r="H164" s="971"/>
      <c r="I164" s="972"/>
      <c r="L164" s="956">
        <f t="shared" si="5"/>
        <v>0</v>
      </c>
      <c r="M164" s="973">
        <f t="shared" si="4"/>
        <v>0</v>
      </c>
      <c r="N164" s="974"/>
      <c r="O164" s="975">
        <f t="shared" si="1"/>
        <v>0</v>
      </c>
      <c r="P164" s="967">
        <f t="shared" si="6"/>
        <v>0</v>
      </c>
      <c r="AD164" s="950"/>
    </row>
    <row r="165" spans="3:30" ht="30" hidden="1" customHeight="1" outlineLevel="1">
      <c r="C165" s="968">
        <v>139</v>
      </c>
      <c r="D165" s="969"/>
      <c r="E165" s="970"/>
      <c r="F165" s="970"/>
      <c r="G165" s="1288"/>
      <c r="H165" s="971"/>
      <c r="I165" s="972"/>
      <c r="L165" s="956">
        <f t="shared" si="5"/>
        <v>0</v>
      </c>
      <c r="M165" s="973">
        <f t="shared" si="4"/>
        <v>0</v>
      </c>
      <c r="N165" s="974"/>
      <c r="O165" s="975">
        <f t="shared" si="1"/>
        <v>0</v>
      </c>
      <c r="P165" s="967">
        <f t="shared" si="6"/>
        <v>0</v>
      </c>
      <c r="AD165" s="950"/>
    </row>
    <row r="166" spans="3:30" ht="30" hidden="1" customHeight="1" outlineLevel="1">
      <c r="C166" s="968">
        <v>140</v>
      </c>
      <c r="D166" s="969"/>
      <c r="E166" s="970"/>
      <c r="F166" s="970"/>
      <c r="G166" s="1288"/>
      <c r="H166" s="971"/>
      <c r="I166" s="972"/>
      <c r="L166" s="956">
        <f t="shared" si="5"/>
        <v>0</v>
      </c>
      <c r="M166" s="973">
        <f t="shared" si="4"/>
        <v>0</v>
      </c>
      <c r="N166" s="974"/>
      <c r="O166" s="975">
        <f t="shared" si="1"/>
        <v>0</v>
      </c>
      <c r="P166" s="967">
        <f t="shared" si="6"/>
        <v>0</v>
      </c>
      <c r="AD166" s="950"/>
    </row>
    <row r="167" spans="3:30" ht="30" hidden="1" customHeight="1" outlineLevel="1">
      <c r="C167" s="968">
        <v>141</v>
      </c>
      <c r="D167" s="969"/>
      <c r="E167" s="970"/>
      <c r="F167" s="970"/>
      <c r="G167" s="1288"/>
      <c r="H167" s="971"/>
      <c r="I167" s="972"/>
      <c r="L167" s="956">
        <f t="shared" si="5"/>
        <v>0</v>
      </c>
      <c r="M167" s="973">
        <f t="shared" si="4"/>
        <v>0</v>
      </c>
      <c r="N167" s="974"/>
      <c r="O167" s="975">
        <f t="shared" si="1"/>
        <v>0</v>
      </c>
      <c r="P167" s="967">
        <f t="shared" si="6"/>
        <v>0</v>
      </c>
      <c r="AD167" s="950"/>
    </row>
    <row r="168" spans="3:30" ht="30" hidden="1" customHeight="1" outlineLevel="1">
      <c r="C168" s="968">
        <v>142</v>
      </c>
      <c r="D168" s="969"/>
      <c r="E168" s="970"/>
      <c r="F168" s="970"/>
      <c r="G168" s="1288"/>
      <c r="H168" s="971"/>
      <c r="I168" s="972"/>
      <c r="L168" s="956">
        <f t="shared" si="5"/>
        <v>0</v>
      </c>
      <c r="M168" s="973">
        <f t="shared" si="4"/>
        <v>0</v>
      </c>
      <c r="N168" s="974"/>
      <c r="O168" s="975">
        <f t="shared" si="1"/>
        <v>0</v>
      </c>
      <c r="P168" s="967">
        <f t="shared" si="6"/>
        <v>0</v>
      </c>
      <c r="AD168" s="950"/>
    </row>
    <row r="169" spans="3:30" ht="30" hidden="1" customHeight="1" outlineLevel="1">
      <c r="C169" s="968">
        <v>143</v>
      </c>
      <c r="D169" s="969"/>
      <c r="E169" s="970"/>
      <c r="F169" s="970"/>
      <c r="G169" s="1288"/>
      <c r="H169" s="971"/>
      <c r="I169" s="972"/>
      <c r="L169" s="956">
        <f t="shared" si="5"/>
        <v>0</v>
      </c>
      <c r="M169" s="973">
        <f t="shared" si="4"/>
        <v>0</v>
      </c>
      <c r="N169" s="974"/>
      <c r="O169" s="975">
        <f t="shared" si="1"/>
        <v>0</v>
      </c>
      <c r="P169" s="967">
        <f t="shared" si="6"/>
        <v>0</v>
      </c>
      <c r="AD169" s="950"/>
    </row>
    <row r="170" spans="3:30" ht="30" hidden="1" customHeight="1" outlineLevel="1">
      <c r="C170" s="968">
        <v>144</v>
      </c>
      <c r="D170" s="969"/>
      <c r="E170" s="970"/>
      <c r="F170" s="970"/>
      <c r="G170" s="1288"/>
      <c r="H170" s="971"/>
      <c r="I170" s="972"/>
      <c r="L170" s="956">
        <f t="shared" si="5"/>
        <v>0</v>
      </c>
      <c r="M170" s="973">
        <f t="shared" si="4"/>
        <v>0</v>
      </c>
      <c r="N170" s="974"/>
      <c r="O170" s="975">
        <f t="shared" si="1"/>
        <v>0</v>
      </c>
      <c r="P170" s="967">
        <f t="shared" si="6"/>
        <v>0</v>
      </c>
      <c r="AD170" s="950"/>
    </row>
    <row r="171" spans="3:30" ht="30" hidden="1" customHeight="1" outlineLevel="1">
      <c r="C171" s="968">
        <v>145</v>
      </c>
      <c r="D171" s="969"/>
      <c r="E171" s="970"/>
      <c r="F171" s="970"/>
      <c r="G171" s="1288"/>
      <c r="H171" s="971"/>
      <c r="I171" s="972"/>
      <c r="L171" s="956">
        <f t="shared" si="5"/>
        <v>0</v>
      </c>
      <c r="M171" s="973">
        <f t="shared" si="5"/>
        <v>0</v>
      </c>
      <c r="N171" s="974"/>
      <c r="O171" s="975">
        <f t="shared" si="1"/>
        <v>0</v>
      </c>
      <c r="P171" s="967">
        <f t="shared" si="6"/>
        <v>0</v>
      </c>
      <c r="AD171" s="950"/>
    </row>
    <row r="172" spans="3:30" ht="30" hidden="1" customHeight="1" outlineLevel="1">
      <c r="C172" s="968">
        <v>146</v>
      </c>
      <c r="D172" s="969"/>
      <c r="E172" s="970"/>
      <c r="F172" s="970"/>
      <c r="G172" s="1288"/>
      <c r="H172" s="971"/>
      <c r="I172" s="972"/>
      <c r="L172" s="956">
        <f t="shared" si="5"/>
        <v>0</v>
      </c>
      <c r="M172" s="973">
        <f t="shared" si="5"/>
        <v>0</v>
      </c>
      <c r="N172" s="974"/>
      <c r="O172" s="975">
        <f t="shared" si="1"/>
        <v>0</v>
      </c>
      <c r="P172" s="967">
        <f t="shared" si="6"/>
        <v>0</v>
      </c>
      <c r="AD172" s="950"/>
    </row>
    <row r="173" spans="3:30" ht="30" hidden="1" customHeight="1" outlineLevel="1">
      <c r="C173" s="968">
        <v>147</v>
      </c>
      <c r="D173" s="969"/>
      <c r="E173" s="970"/>
      <c r="F173" s="970"/>
      <c r="G173" s="1288"/>
      <c r="H173" s="971"/>
      <c r="I173" s="972"/>
      <c r="L173" s="956">
        <f t="shared" si="5"/>
        <v>0</v>
      </c>
      <c r="M173" s="973">
        <f t="shared" si="5"/>
        <v>0</v>
      </c>
      <c r="N173" s="974"/>
      <c r="O173" s="975">
        <f t="shared" si="1"/>
        <v>0</v>
      </c>
      <c r="P173" s="967">
        <f t="shared" si="6"/>
        <v>0</v>
      </c>
      <c r="AD173" s="950"/>
    </row>
    <row r="174" spans="3:30" ht="30" hidden="1" customHeight="1" outlineLevel="1">
      <c r="C174" s="968">
        <v>148</v>
      </c>
      <c r="D174" s="969"/>
      <c r="E174" s="970"/>
      <c r="F174" s="970"/>
      <c r="G174" s="1288"/>
      <c r="H174" s="971"/>
      <c r="I174" s="972"/>
      <c r="L174" s="956">
        <f t="shared" si="5"/>
        <v>0</v>
      </c>
      <c r="M174" s="973">
        <f t="shared" si="5"/>
        <v>0</v>
      </c>
      <c r="N174" s="974"/>
      <c r="O174" s="975">
        <f t="shared" si="1"/>
        <v>0</v>
      </c>
      <c r="P174" s="967">
        <f t="shared" si="6"/>
        <v>0</v>
      </c>
      <c r="AD174" s="950"/>
    </row>
    <row r="175" spans="3:30" ht="30" hidden="1" customHeight="1" outlineLevel="1">
      <c r="C175" s="968">
        <v>149</v>
      </c>
      <c r="D175" s="969"/>
      <c r="E175" s="970"/>
      <c r="F175" s="970"/>
      <c r="G175" s="1288"/>
      <c r="H175" s="971"/>
      <c r="I175" s="972"/>
      <c r="L175" s="956">
        <f t="shared" si="5"/>
        <v>0</v>
      </c>
      <c r="M175" s="973">
        <f t="shared" si="5"/>
        <v>0</v>
      </c>
      <c r="N175" s="974"/>
      <c r="O175" s="975">
        <f t="shared" si="1"/>
        <v>0</v>
      </c>
      <c r="P175" s="967">
        <f t="shared" si="6"/>
        <v>0</v>
      </c>
      <c r="AD175" s="950"/>
    </row>
    <row r="176" spans="3:30" ht="30" hidden="1" customHeight="1" outlineLevel="1" thickBot="1">
      <c r="C176" s="976">
        <v>150</v>
      </c>
      <c r="D176" s="977"/>
      <c r="E176" s="978"/>
      <c r="F176" s="978"/>
      <c r="G176" s="1289"/>
      <c r="H176" s="979"/>
      <c r="I176" s="980"/>
      <c r="L176" s="956">
        <f>IF($G176&gt;0,E176,)</f>
        <v>0</v>
      </c>
      <c r="M176" s="973">
        <f>IF($G176&gt;0,F176,)</f>
        <v>0</v>
      </c>
      <c r="N176" s="981"/>
      <c r="O176" s="975">
        <f t="shared" si="1"/>
        <v>0</v>
      </c>
      <c r="P176" s="967">
        <f t="shared" si="6"/>
        <v>0</v>
      </c>
      <c r="AD176" s="950"/>
    </row>
    <row r="177" spans="3:57" s="144" customFormat="1" ht="15.75" customHeight="1" thickTop="1">
      <c r="C177" s="982" t="s">
        <v>702</v>
      </c>
      <c r="D177" s="983"/>
      <c r="E177" s="983"/>
      <c r="F177" s="983"/>
      <c r="G177" s="983"/>
      <c r="H177" s="584"/>
      <c r="I177" s="948"/>
      <c r="J177" s="2"/>
      <c r="K177" s="2"/>
      <c r="L177" s="984"/>
      <c r="M177" s="984"/>
      <c r="N177" s="985"/>
      <c r="O177" s="984"/>
      <c r="P177" s="984"/>
      <c r="Q177" s="984"/>
      <c r="R177" s="128"/>
      <c r="S177" s="128"/>
      <c r="T177" s="128"/>
      <c r="U177" s="128"/>
      <c r="V177" s="128"/>
      <c r="W177" s="948"/>
      <c r="X177" s="226"/>
      <c r="Y177" s="984"/>
      <c r="Z177" s="984"/>
      <c r="AA177" s="984"/>
      <c r="AB177" s="984"/>
      <c r="AC177" s="984"/>
      <c r="AD177" s="986"/>
    </row>
    <row r="178" spans="3:57" ht="15.75" customHeight="1">
      <c r="C178" s="128"/>
      <c r="G178" s="144"/>
      <c r="H178" s="2"/>
      <c r="I178" s="226"/>
      <c r="L178" s="2"/>
      <c r="M178" s="2"/>
      <c r="N178" s="2"/>
      <c r="O178" s="2"/>
      <c r="P178" s="2"/>
      <c r="Q178" s="145"/>
      <c r="W178" s="2"/>
      <c r="Y178" s="2"/>
      <c r="Z178" s="2"/>
      <c r="AA178" s="2"/>
      <c r="AB178" s="2"/>
      <c r="AC178" s="2"/>
      <c r="AD178" s="2"/>
      <c r="AE178" s="2"/>
      <c r="AF178" s="2"/>
      <c r="AG178" s="2"/>
      <c r="AH178" s="2"/>
      <c r="AI178" s="2"/>
      <c r="AJ178" s="2"/>
      <c r="AK178" s="2"/>
      <c r="AL178" s="2"/>
      <c r="AM178" s="2"/>
      <c r="AN178" s="215"/>
      <c r="AO178" s="2"/>
      <c r="AP178" s="2"/>
      <c r="AQ178" s="2"/>
      <c r="AR178" s="2"/>
      <c r="AZ178" s="2"/>
      <c r="BB178" s="2"/>
      <c r="BC178" s="2"/>
      <c r="BD178" s="2"/>
      <c r="BE178" s="2"/>
    </row>
    <row r="179" spans="3:57" ht="15.75" customHeight="1">
      <c r="C179" s="128"/>
      <c r="G179" s="144"/>
      <c r="H179" s="2"/>
      <c r="I179" s="226"/>
      <c r="L179" s="2"/>
      <c r="M179" s="2"/>
      <c r="N179" s="2"/>
      <c r="O179" s="2"/>
      <c r="P179" s="2"/>
      <c r="Q179" s="145"/>
      <c r="W179" s="2"/>
      <c r="Y179" s="2"/>
      <c r="Z179" s="2"/>
      <c r="AA179" s="2"/>
      <c r="AB179" s="2"/>
      <c r="AC179" s="2"/>
      <c r="AD179" s="2"/>
      <c r="AE179" s="2"/>
      <c r="AF179" s="2"/>
      <c r="AG179" s="2"/>
      <c r="AH179" s="2"/>
      <c r="AI179" s="2"/>
      <c r="AJ179" s="2"/>
      <c r="AK179" s="2"/>
      <c r="AL179" s="2"/>
      <c r="AM179" s="2"/>
      <c r="AN179" s="215"/>
      <c r="AO179" s="2"/>
      <c r="AP179" s="2"/>
      <c r="AQ179" s="2"/>
      <c r="AR179" s="2"/>
      <c r="AZ179" s="2"/>
      <c r="BB179" s="2"/>
      <c r="BC179" s="2"/>
      <c r="BD179" s="2"/>
      <c r="BE179" s="2"/>
    </row>
    <row r="180" spans="3:57" ht="14.1" customHeight="1">
      <c r="C180" s="128"/>
      <c r="G180" s="144"/>
      <c r="H180" s="2"/>
      <c r="I180" s="226"/>
      <c r="W180" s="2"/>
      <c r="AD180" s="2"/>
      <c r="AE180" s="2"/>
      <c r="AF180" s="2"/>
      <c r="AG180" s="2"/>
      <c r="AH180" s="2"/>
      <c r="AM180" s="2"/>
      <c r="AZ180" s="2"/>
    </row>
    <row r="181" spans="3:57" ht="14.1" customHeight="1">
      <c r="C181" s="128"/>
      <c r="G181" s="144"/>
      <c r="H181" s="2"/>
      <c r="I181" s="226"/>
      <c r="W181" s="2"/>
      <c r="AD181" s="2"/>
      <c r="AE181" s="2"/>
      <c r="AF181" s="2"/>
      <c r="AG181" s="2"/>
      <c r="AH181" s="2"/>
      <c r="AM181" s="2"/>
      <c r="AZ181" s="2"/>
    </row>
    <row r="182" spans="3:57" ht="14.1" customHeight="1">
      <c r="C182" s="128"/>
      <c r="G182" s="144"/>
      <c r="H182" s="2"/>
      <c r="I182" s="226"/>
      <c r="AD182" s="2"/>
      <c r="AE182" s="2"/>
      <c r="AF182" s="2"/>
      <c r="AG182" s="2"/>
      <c r="AH182" s="2"/>
    </row>
    <row r="183" spans="3:57" ht="14.25" customHeight="1">
      <c r="C183" s="128"/>
      <c r="G183" s="144"/>
      <c r="H183" s="2"/>
      <c r="I183" s="226"/>
      <c r="AD183" s="2"/>
      <c r="AE183" s="2"/>
      <c r="AF183" s="2"/>
      <c r="AG183" s="2"/>
      <c r="AH183" s="2"/>
    </row>
    <row r="184" spans="3:57" ht="14.25" customHeight="1">
      <c r="C184" s="128"/>
      <c r="G184" s="144"/>
      <c r="H184" s="2"/>
      <c r="I184" s="226"/>
      <c r="AD184" s="2"/>
      <c r="AE184" s="2"/>
      <c r="AF184" s="2"/>
      <c r="AG184" s="2"/>
      <c r="AH184" s="2"/>
    </row>
    <row r="185" spans="3:57" ht="18" customHeight="1">
      <c r="C185" s="130" t="s">
        <v>703</v>
      </c>
      <c r="H185" s="2"/>
      <c r="J185" s="226"/>
      <c r="X185" s="144"/>
      <c r="Y185" s="226"/>
      <c r="AE185" s="2"/>
      <c r="AF185" s="2"/>
      <c r="AG185" s="2"/>
      <c r="AH185" s="2"/>
      <c r="AI185" s="2"/>
      <c r="AM185" s="128"/>
      <c r="AN185" s="144"/>
      <c r="AO185" s="226"/>
      <c r="AZ185" s="128"/>
      <c r="BA185" s="144"/>
      <c r="BB185" s="226"/>
    </row>
    <row r="186" spans="3:57" ht="18" customHeight="1">
      <c r="C186" s="131"/>
      <c r="D186" s="711" t="s">
        <v>704</v>
      </c>
      <c r="E186" s="131"/>
      <c r="F186" s="131"/>
      <c r="G186" s="131"/>
      <c r="H186" s="2"/>
      <c r="I186" s="737"/>
      <c r="J186" s="227"/>
      <c r="L186" s="197" t="s">
        <v>705</v>
      </c>
      <c r="AA186" s="131"/>
      <c r="AB186" s="131"/>
      <c r="AC186" s="131"/>
      <c r="AD186" s="2"/>
      <c r="AE186" s="2"/>
      <c r="AF186" s="2"/>
      <c r="AG186" s="2"/>
      <c r="AH186" s="2"/>
    </row>
    <row r="187" spans="3:57" ht="18" customHeight="1" thickBot="1">
      <c r="C187" s="987" t="s">
        <v>706</v>
      </c>
      <c r="D187" s="711"/>
      <c r="E187" s="131"/>
      <c r="F187" s="131"/>
      <c r="G187" s="131"/>
      <c r="H187" s="2"/>
      <c r="I187" s="737"/>
      <c r="J187" s="227"/>
      <c r="L187" s="2396" t="s">
        <v>684</v>
      </c>
      <c r="M187" s="2396"/>
      <c r="N187" s="2396"/>
      <c r="O187" s="2396"/>
      <c r="P187" s="2396"/>
      <c r="AD187" s="2"/>
      <c r="AE187" s="2"/>
      <c r="AF187" s="2"/>
      <c r="AG187" s="2"/>
      <c r="AH187" s="2"/>
    </row>
    <row r="188" spans="3:57" ht="18" hidden="1" customHeight="1">
      <c r="C188" s="987"/>
      <c r="D188" s="711"/>
      <c r="E188" s="131"/>
      <c r="F188" s="131"/>
      <c r="G188" s="131"/>
      <c r="H188" s="2"/>
      <c r="I188" s="737"/>
      <c r="J188" s="227"/>
      <c r="L188" s="988"/>
      <c r="M188" s="988"/>
      <c r="N188" s="988"/>
      <c r="O188" s="988"/>
      <c r="P188" s="989"/>
      <c r="AD188" s="2"/>
      <c r="AE188" s="2"/>
      <c r="AF188" s="2"/>
      <c r="AG188" s="2"/>
      <c r="AH188" s="2"/>
    </row>
    <row r="189" spans="3:57" ht="18" hidden="1" customHeight="1" thickBot="1">
      <c r="C189" s="987"/>
      <c r="D189" s="711"/>
      <c r="E189" s="131"/>
      <c r="F189" s="131"/>
      <c r="G189" s="131"/>
      <c r="H189" s="2"/>
      <c r="I189" s="737"/>
      <c r="J189" s="227"/>
      <c r="L189" s="988"/>
      <c r="M189" s="988"/>
      <c r="N189" s="988"/>
      <c r="O189" s="988"/>
      <c r="P189" s="989"/>
      <c r="AD189" s="2"/>
      <c r="AE189" s="2"/>
      <c r="AF189" s="2"/>
      <c r="AG189" s="2"/>
      <c r="AH189" s="2"/>
    </row>
    <row r="190" spans="3:57" ht="30" customHeight="1">
      <c r="C190" s="2399" t="s">
        <v>689</v>
      </c>
      <c r="D190" s="1431" t="s">
        <v>707</v>
      </c>
      <c r="E190" s="2403" t="s">
        <v>708</v>
      </c>
      <c r="F190" s="2403" t="s">
        <v>709</v>
      </c>
      <c r="G190" s="1783" t="s">
        <v>332</v>
      </c>
      <c r="H190" s="2407"/>
      <c r="I190" s="2"/>
      <c r="J190" s="413"/>
      <c r="L190" s="2394" t="s">
        <v>710</v>
      </c>
      <c r="M190" s="2394" t="s">
        <v>711</v>
      </c>
      <c r="N190" s="2397" t="s">
        <v>712</v>
      </c>
      <c r="O190" s="2397" t="s">
        <v>713</v>
      </c>
      <c r="P190" s="2402" t="s">
        <v>714</v>
      </c>
      <c r="AD190" s="2"/>
      <c r="AE190" s="2"/>
      <c r="AF190" s="2"/>
      <c r="AG190" s="2"/>
      <c r="AH190" s="2"/>
    </row>
    <row r="191" spans="3:57" ht="30" customHeight="1">
      <c r="C191" s="2400"/>
      <c r="D191" s="1684"/>
      <c r="E191" s="2404"/>
      <c r="F191" s="1739"/>
      <c r="G191" s="1784"/>
      <c r="H191" s="2407"/>
      <c r="I191" s="2"/>
      <c r="J191" s="413"/>
      <c r="L191" s="2395"/>
      <c r="M191" s="2395"/>
      <c r="N191" s="2398"/>
      <c r="O191" s="2398"/>
      <c r="P191" s="2398"/>
      <c r="AD191" s="2"/>
      <c r="AE191" s="2"/>
      <c r="AF191" s="2"/>
      <c r="AG191" s="2"/>
      <c r="AH191" s="2"/>
    </row>
    <row r="192" spans="3:57" ht="30" customHeight="1" thickBot="1">
      <c r="C192" s="2401"/>
      <c r="D192" s="1684"/>
      <c r="E192" s="2405"/>
      <c r="F192" s="1828"/>
      <c r="G192" s="2406"/>
      <c r="H192" s="2407"/>
      <c r="I192" s="2"/>
      <c r="J192" s="146"/>
      <c r="L192" s="957">
        <f>SUM(L193:L242)</f>
        <v>0</v>
      </c>
      <c r="M192" s="957">
        <f>SUM(M193:M242)</f>
        <v>0</v>
      </c>
      <c r="N192" s="990"/>
      <c r="O192" s="959">
        <f>SUM(O193:O242)</f>
        <v>0</v>
      </c>
      <c r="P192" s="959">
        <f>SUM(P193:P242)</f>
        <v>0</v>
      </c>
      <c r="AD192" s="2"/>
      <c r="AE192" s="2"/>
      <c r="AF192" s="2"/>
      <c r="AG192" s="2"/>
      <c r="AH192" s="2"/>
    </row>
    <row r="193" spans="3:34" ht="30" customHeight="1" thickTop="1">
      <c r="C193" s="960">
        <v>1</v>
      </c>
      <c r="D193" s="961"/>
      <c r="E193" s="962"/>
      <c r="F193" s="962"/>
      <c r="G193" s="1276"/>
      <c r="H193" s="2"/>
      <c r="I193" s="2"/>
      <c r="K193" s="552"/>
      <c r="L193" s="955">
        <f t="shared" ref="L193:M242" si="7">IF($G193&gt;0,E193,)</f>
        <v>0</v>
      </c>
      <c r="M193" s="955">
        <f t="shared" si="7"/>
        <v>0</v>
      </c>
      <c r="N193" s="965"/>
      <c r="O193" s="966">
        <f>ROUND(L193*N193/10,)</f>
        <v>0</v>
      </c>
      <c r="P193" s="967">
        <f t="shared" ref="P193:P242" si="8">ROUND(O193*G193%,)</f>
        <v>0</v>
      </c>
      <c r="AD193" s="2"/>
      <c r="AE193" s="2"/>
      <c r="AF193" s="2"/>
      <c r="AG193" s="2"/>
      <c r="AH193" s="2"/>
    </row>
    <row r="194" spans="3:34" ht="30" customHeight="1">
      <c r="C194" s="968">
        <v>2</v>
      </c>
      <c r="D194" s="969"/>
      <c r="E194" s="970"/>
      <c r="F194" s="970"/>
      <c r="G194" s="1274"/>
      <c r="H194" s="2"/>
      <c r="I194" s="2"/>
      <c r="K194" s="552"/>
      <c r="L194" s="956">
        <f t="shared" si="7"/>
        <v>0</v>
      </c>
      <c r="M194" s="973">
        <f t="shared" si="7"/>
        <v>0</v>
      </c>
      <c r="N194" s="974"/>
      <c r="O194" s="975">
        <f t="shared" ref="O194:O242" si="9">ROUND(L194*N194/10,)</f>
        <v>0</v>
      </c>
      <c r="P194" s="967">
        <f t="shared" si="8"/>
        <v>0</v>
      </c>
      <c r="AD194" s="2"/>
      <c r="AE194" s="2"/>
      <c r="AF194" s="2"/>
      <c r="AG194" s="2"/>
      <c r="AH194" s="2"/>
    </row>
    <row r="195" spans="3:34" ht="30" customHeight="1" collapsed="1" thickBot="1">
      <c r="C195" s="968">
        <v>3</v>
      </c>
      <c r="D195" s="969"/>
      <c r="E195" s="970"/>
      <c r="F195" s="970"/>
      <c r="G195" s="1274"/>
      <c r="H195" s="2"/>
      <c r="I195" s="2"/>
      <c r="K195" s="552"/>
      <c r="L195" s="956">
        <f t="shared" si="7"/>
        <v>0</v>
      </c>
      <c r="M195" s="973">
        <f t="shared" si="7"/>
        <v>0</v>
      </c>
      <c r="N195" s="974"/>
      <c r="O195" s="975">
        <f t="shared" si="9"/>
        <v>0</v>
      </c>
      <c r="P195" s="967">
        <f t="shared" si="8"/>
        <v>0</v>
      </c>
      <c r="AD195" s="2"/>
      <c r="AE195" s="2"/>
      <c r="AF195" s="2"/>
      <c r="AG195" s="2"/>
      <c r="AH195" s="2"/>
    </row>
    <row r="196" spans="3:34" ht="30" hidden="1" customHeight="1" outlineLevel="1">
      <c r="C196" s="968">
        <v>4</v>
      </c>
      <c r="D196" s="969"/>
      <c r="E196" s="970"/>
      <c r="F196" s="970"/>
      <c r="G196" s="1274"/>
      <c r="H196" s="2"/>
      <c r="I196" s="2"/>
      <c r="K196" s="552"/>
      <c r="L196" s="956">
        <f t="shared" si="7"/>
        <v>0</v>
      </c>
      <c r="M196" s="973">
        <f t="shared" si="7"/>
        <v>0</v>
      </c>
      <c r="N196" s="974"/>
      <c r="O196" s="975">
        <f t="shared" si="9"/>
        <v>0</v>
      </c>
      <c r="P196" s="967">
        <f t="shared" si="8"/>
        <v>0</v>
      </c>
      <c r="AD196" s="2"/>
      <c r="AE196" s="2"/>
      <c r="AF196" s="2"/>
      <c r="AG196" s="2"/>
      <c r="AH196" s="2"/>
    </row>
    <row r="197" spans="3:34" ht="30" hidden="1" customHeight="1" outlineLevel="1">
      <c r="C197" s="968">
        <v>5</v>
      </c>
      <c r="D197" s="969"/>
      <c r="E197" s="970"/>
      <c r="F197" s="970"/>
      <c r="G197" s="1274"/>
      <c r="H197" s="2"/>
      <c r="I197" s="2"/>
      <c r="K197" s="552"/>
      <c r="L197" s="956">
        <f t="shared" si="7"/>
        <v>0</v>
      </c>
      <c r="M197" s="973">
        <f t="shared" si="7"/>
        <v>0</v>
      </c>
      <c r="N197" s="974"/>
      <c r="O197" s="975">
        <f t="shared" si="9"/>
        <v>0</v>
      </c>
      <c r="P197" s="967">
        <f t="shared" si="8"/>
        <v>0</v>
      </c>
      <c r="AD197" s="2"/>
      <c r="AE197" s="2"/>
      <c r="AF197" s="2"/>
      <c r="AG197" s="2"/>
      <c r="AH197" s="2"/>
    </row>
    <row r="198" spans="3:34" ht="30" hidden="1" customHeight="1" outlineLevel="1">
      <c r="C198" s="968">
        <v>6</v>
      </c>
      <c r="D198" s="969"/>
      <c r="E198" s="970"/>
      <c r="F198" s="970"/>
      <c r="G198" s="1274"/>
      <c r="H198" s="2"/>
      <c r="I198" s="2"/>
      <c r="K198" s="552"/>
      <c r="L198" s="956">
        <f t="shared" si="7"/>
        <v>0</v>
      </c>
      <c r="M198" s="973">
        <f t="shared" si="7"/>
        <v>0</v>
      </c>
      <c r="N198" s="974"/>
      <c r="O198" s="975">
        <f t="shared" si="9"/>
        <v>0</v>
      </c>
      <c r="P198" s="967">
        <f t="shared" si="8"/>
        <v>0</v>
      </c>
      <c r="AD198" s="2"/>
      <c r="AE198" s="2"/>
      <c r="AF198" s="2"/>
      <c r="AG198" s="2"/>
      <c r="AH198" s="2"/>
    </row>
    <row r="199" spans="3:34" ht="30" hidden="1" customHeight="1" outlineLevel="1">
      <c r="C199" s="968">
        <v>7</v>
      </c>
      <c r="D199" s="969"/>
      <c r="E199" s="970"/>
      <c r="F199" s="970"/>
      <c r="G199" s="1274"/>
      <c r="H199" s="2"/>
      <c r="I199" s="2"/>
      <c r="K199" s="552"/>
      <c r="L199" s="956">
        <f t="shared" si="7"/>
        <v>0</v>
      </c>
      <c r="M199" s="973">
        <f t="shared" si="7"/>
        <v>0</v>
      </c>
      <c r="N199" s="974"/>
      <c r="O199" s="975">
        <f t="shared" si="9"/>
        <v>0</v>
      </c>
      <c r="P199" s="967">
        <f t="shared" si="8"/>
        <v>0</v>
      </c>
      <c r="AD199" s="2"/>
      <c r="AE199" s="2"/>
      <c r="AF199" s="2"/>
      <c r="AG199" s="2"/>
      <c r="AH199" s="2"/>
    </row>
    <row r="200" spans="3:34" ht="30" hidden="1" customHeight="1" outlineLevel="1">
      <c r="C200" s="968">
        <v>8</v>
      </c>
      <c r="D200" s="969"/>
      <c r="E200" s="970"/>
      <c r="F200" s="970"/>
      <c r="G200" s="1274"/>
      <c r="H200" s="2"/>
      <c r="I200" s="2"/>
      <c r="K200" s="552"/>
      <c r="L200" s="956">
        <f t="shared" si="7"/>
        <v>0</v>
      </c>
      <c r="M200" s="973">
        <f t="shared" si="7"/>
        <v>0</v>
      </c>
      <c r="N200" s="974"/>
      <c r="O200" s="975">
        <f t="shared" si="9"/>
        <v>0</v>
      </c>
      <c r="P200" s="967">
        <f t="shared" si="8"/>
        <v>0</v>
      </c>
      <c r="AD200" s="2"/>
      <c r="AE200" s="2"/>
      <c r="AF200" s="2"/>
      <c r="AG200" s="2"/>
      <c r="AH200" s="2"/>
    </row>
    <row r="201" spans="3:34" ht="30" hidden="1" customHeight="1" outlineLevel="1">
      <c r="C201" s="968">
        <v>9</v>
      </c>
      <c r="D201" s="969"/>
      <c r="E201" s="970"/>
      <c r="F201" s="970"/>
      <c r="G201" s="1274"/>
      <c r="H201" s="2"/>
      <c r="I201" s="2"/>
      <c r="K201" s="552"/>
      <c r="L201" s="956">
        <f t="shared" si="7"/>
        <v>0</v>
      </c>
      <c r="M201" s="973">
        <f t="shared" si="7"/>
        <v>0</v>
      </c>
      <c r="N201" s="974"/>
      <c r="O201" s="975">
        <f t="shared" si="9"/>
        <v>0</v>
      </c>
      <c r="P201" s="967">
        <f t="shared" si="8"/>
        <v>0</v>
      </c>
      <c r="AD201" s="2"/>
      <c r="AE201" s="2"/>
      <c r="AF201" s="2"/>
      <c r="AG201" s="2"/>
      <c r="AH201" s="2"/>
    </row>
    <row r="202" spans="3:34" ht="30" hidden="1" customHeight="1" outlineLevel="1">
      <c r="C202" s="968">
        <v>10</v>
      </c>
      <c r="D202" s="969"/>
      <c r="E202" s="970"/>
      <c r="F202" s="970"/>
      <c r="G202" s="1274"/>
      <c r="H202" s="2"/>
      <c r="I202" s="2"/>
      <c r="K202" s="552"/>
      <c r="L202" s="956">
        <f t="shared" si="7"/>
        <v>0</v>
      </c>
      <c r="M202" s="973">
        <f t="shared" si="7"/>
        <v>0</v>
      </c>
      <c r="N202" s="974"/>
      <c r="O202" s="975">
        <f t="shared" si="9"/>
        <v>0</v>
      </c>
      <c r="P202" s="967">
        <f t="shared" si="8"/>
        <v>0</v>
      </c>
      <c r="AD202" s="2"/>
      <c r="AE202" s="2"/>
      <c r="AF202" s="2"/>
      <c r="AG202" s="2"/>
      <c r="AH202" s="2"/>
    </row>
    <row r="203" spans="3:34" ht="30" hidden="1" customHeight="1" outlineLevel="1">
      <c r="C203" s="968">
        <v>11</v>
      </c>
      <c r="D203" s="969"/>
      <c r="E203" s="970"/>
      <c r="F203" s="970"/>
      <c r="G203" s="1274"/>
      <c r="H203" s="2"/>
      <c r="I203" s="2"/>
      <c r="K203" s="552"/>
      <c r="L203" s="956">
        <f t="shared" si="7"/>
        <v>0</v>
      </c>
      <c r="M203" s="973">
        <f t="shared" si="7"/>
        <v>0</v>
      </c>
      <c r="N203" s="974"/>
      <c r="O203" s="975">
        <f t="shared" si="9"/>
        <v>0</v>
      </c>
      <c r="P203" s="967">
        <f t="shared" si="8"/>
        <v>0</v>
      </c>
      <c r="AD203" s="2"/>
      <c r="AE203" s="2"/>
      <c r="AF203" s="2"/>
      <c r="AG203" s="2"/>
      <c r="AH203" s="2"/>
    </row>
    <row r="204" spans="3:34" ht="30" hidden="1" customHeight="1" outlineLevel="1">
      <c r="C204" s="968">
        <v>12</v>
      </c>
      <c r="D204" s="969"/>
      <c r="E204" s="970"/>
      <c r="F204" s="970"/>
      <c r="G204" s="1274"/>
      <c r="H204" s="2"/>
      <c r="I204" s="2"/>
      <c r="K204" s="552"/>
      <c r="L204" s="956">
        <f t="shared" si="7"/>
        <v>0</v>
      </c>
      <c r="M204" s="973">
        <f t="shared" si="7"/>
        <v>0</v>
      </c>
      <c r="N204" s="974"/>
      <c r="O204" s="975">
        <f t="shared" si="9"/>
        <v>0</v>
      </c>
      <c r="P204" s="967">
        <f t="shared" si="8"/>
        <v>0</v>
      </c>
      <c r="AD204" s="2"/>
      <c r="AE204" s="2"/>
      <c r="AF204" s="2"/>
      <c r="AG204" s="2"/>
      <c r="AH204" s="2"/>
    </row>
    <row r="205" spans="3:34" ht="30" hidden="1" customHeight="1" outlineLevel="1">
      <c r="C205" s="968">
        <v>13</v>
      </c>
      <c r="D205" s="969"/>
      <c r="E205" s="970"/>
      <c r="F205" s="970"/>
      <c r="G205" s="1274"/>
      <c r="H205" s="2"/>
      <c r="I205" s="2"/>
      <c r="K205" s="552"/>
      <c r="L205" s="956">
        <f t="shared" si="7"/>
        <v>0</v>
      </c>
      <c r="M205" s="973">
        <f t="shared" si="7"/>
        <v>0</v>
      </c>
      <c r="N205" s="974"/>
      <c r="O205" s="975">
        <f t="shared" si="9"/>
        <v>0</v>
      </c>
      <c r="P205" s="967">
        <f t="shared" si="8"/>
        <v>0</v>
      </c>
      <c r="AD205" s="2"/>
      <c r="AE205" s="2"/>
      <c r="AF205" s="2"/>
      <c r="AG205" s="2"/>
      <c r="AH205" s="2"/>
    </row>
    <row r="206" spans="3:34" ht="30" hidden="1" customHeight="1" outlineLevel="1">
      <c r="C206" s="968">
        <v>14</v>
      </c>
      <c r="D206" s="969"/>
      <c r="E206" s="970"/>
      <c r="F206" s="970"/>
      <c r="G206" s="1274"/>
      <c r="H206" s="2"/>
      <c r="I206" s="2"/>
      <c r="K206" s="552"/>
      <c r="L206" s="956">
        <f t="shared" si="7"/>
        <v>0</v>
      </c>
      <c r="M206" s="973">
        <f t="shared" si="7"/>
        <v>0</v>
      </c>
      <c r="N206" s="974"/>
      <c r="O206" s="975">
        <f t="shared" si="9"/>
        <v>0</v>
      </c>
      <c r="P206" s="967">
        <f t="shared" si="8"/>
        <v>0</v>
      </c>
      <c r="AD206" s="2"/>
      <c r="AE206" s="2"/>
      <c r="AF206" s="2"/>
      <c r="AG206" s="2"/>
      <c r="AH206" s="2"/>
    </row>
    <row r="207" spans="3:34" ht="30" hidden="1" customHeight="1" outlineLevel="1">
      <c r="C207" s="968">
        <v>15</v>
      </c>
      <c r="D207" s="969"/>
      <c r="E207" s="970"/>
      <c r="F207" s="970"/>
      <c r="G207" s="1274"/>
      <c r="H207" s="2"/>
      <c r="I207" s="2"/>
      <c r="K207" s="552"/>
      <c r="L207" s="956">
        <f t="shared" si="7"/>
        <v>0</v>
      </c>
      <c r="M207" s="973">
        <f t="shared" si="7"/>
        <v>0</v>
      </c>
      <c r="N207" s="974"/>
      <c r="O207" s="975">
        <f t="shared" si="9"/>
        <v>0</v>
      </c>
      <c r="P207" s="967">
        <f t="shared" si="8"/>
        <v>0</v>
      </c>
      <c r="AD207" s="2"/>
      <c r="AE207" s="2"/>
      <c r="AF207" s="2"/>
      <c r="AG207" s="2"/>
      <c r="AH207" s="2"/>
    </row>
    <row r="208" spans="3:34" ht="30" hidden="1" customHeight="1" outlineLevel="1">
      <c r="C208" s="968">
        <v>16</v>
      </c>
      <c r="D208" s="969"/>
      <c r="E208" s="970"/>
      <c r="F208" s="970"/>
      <c r="G208" s="1274"/>
      <c r="H208" s="2"/>
      <c r="I208" s="2"/>
      <c r="K208" s="552"/>
      <c r="L208" s="956">
        <f t="shared" si="7"/>
        <v>0</v>
      </c>
      <c r="M208" s="973">
        <f t="shared" si="7"/>
        <v>0</v>
      </c>
      <c r="N208" s="974"/>
      <c r="O208" s="975">
        <f t="shared" si="9"/>
        <v>0</v>
      </c>
      <c r="P208" s="967">
        <f t="shared" si="8"/>
        <v>0</v>
      </c>
      <c r="AD208" s="2"/>
      <c r="AE208" s="2"/>
      <c r="AF208" s="2"/>
      <c r="AG208" s="2"/>
      <c r="AH208" s="2"/>
    </row>
    <row r="209" spans="3:34" ht="30" hidden="1" customHeight="1" outlineLevel="1">
      <c r="C209" s="968">
        <v>17</v>
      </c>
      <c r="D209" s="969"/>
      <c r="E209" s="970"/>
      <c r="F209" s="970"/>
      <c r="G209" s="1274"/>
      <c r="H209" s="2"/>
      <c r="I209" s="2"/>
      <c r="K209" s="552"/>
      <c r="L209" s="956">
        <f t="shared" si="7"/>
        <v>0</v>
      </c>
      <c r="M209" s="973">
        <f t="shared" si="7"/>
        <v>0</v>
      </c>
      <c r="N209" s="974"/>
      <c r="O209" s="975">
        <f t="shared" si="9"/>
        <v>0</v>
      </c>
      <c r="P209" s="967">
        <f t="shared" si="8"/>
        <v>0</v>
      </c>
      <c r="AD209" s="2"/>
      <c r="AE209" s="2"/>
      <c r="AF209" s="2"/>
      <c r="AG209" s="2"/>
      <c r="AH209" s="2"/>
    </row>
    <row r="210" spans="3:34" ht="30" hidden="1" customHeight="1" outlineLevel="1">
      <c r="C210" s="968">
        <v>18</v>
      </c>
      <c r="D210" s="969"/>
      <c r="E210" s="970"/>
      <c r="F210" s="970"/>
      <c r="G210" s="1274"/>
      <c r="H210" s="2"/>
      <c r="I210" s="2"/>
      <c r="K210" s="552"/>
      <c r="L210" s="956">
        <f t="shared" si="7"/>
        <v>0</v>
      </c>
      <c r="M210" s="973">
        <f t="shared" si="7"/>
        <v>0</v>
      </c>
      <c r="N210" s="974"/>
      <c r="O210" s="975">
        <f t="shared" si="9"/>
        <v>0</v>
      </c>
      <c r="P210" s="967">
        <f t="shared" si="8"/>
        <v>0</v>
      </c>
      <c r="AD210" s="2"/>
      <c r="AE210" s="2"/>
      <c r="AF210" s="2"/>
      <c r="AG210" s="2"/>
      <c r="AH210" s="2"/>
    </row>
    <row r="211" spans="3:34" ht="30" hidden="1" customHeight="1" outlineLevel="1">
      <c r="C211" s="968">
        <v>19</v>
      </c>
      <c r="D211" s="969"/>
      <c r="E211" s="970"/>
      <c r="F211" s="970"/>
      <c r="G211" s="1274"/>
      <c r="H211" s="2"/>
      <c r="I211" s="2"/>
      <c r="K211" s="552"/>
      <c r="L211" s="956">
        <f t="shared" si="7"/>
        <v>0</v>
      </c>
      <c r="M211" s="973">
        <f t="shared" si="7"/>
        <v>0</v>
      </c>
      <c r="N211" s="974"/>
      <c r="O211" s="975">
        <f t="shared" si="9"/>
        <v>0</v>
      </c>
      <c r="P211" s="967">
        <f t="shared" si="8"/>
        <v>0</v>
      </c>
      <c r="AD211" s="2"/>
      <c r="AE211" s="2"/>
      <c r="AF211" s="2"/>
      <c r="AG211" s="2"/>
      <c r="AH211" s="2"/>
    </row>
    <row r="212" spans="3:34" ht="30" hidden="1" customHeight="1" outlineLevel="1">
      <c r="C212" s="968">
        <v>20</v>
      </c>
      <c r="D212" s="969"/>
      <c r="E212" s="970"/>
      <c r="F212" s="970"/>
      <c r="G212" s="1274"/>
      <c r="H212" s="2"/>
      <c r="I212" s="2"/>
      <c r="K212" s="552"/>
      <c r="L212" s="956">
        <f t="shared" si="7"/>
        <v>0</v>
      </c>
      <c r="M212" s="973">
        <f t="shared" si="7"/>
        <v>0</v>
      </c>
      <c r="N212" s="974"/>
      <c r="O212" s="975">
        <f t="shared" si="9"/>
        <v>0</v>
      </c>
      <c r="P212" s="967">
        <f t="shared" si="8"/>
        <v>0</v>
      </c>
      <c r="AD212" s="2"/>
      <c r="AE212" s="2"/>
      <c r="AF212" s="2"/>
      <c r="AG212" s="2"/>
      <c r="AH212" s="2"/>
    </row>
    <row r="213" spans="3:34" ht="30" hidden="1" customHeight="1" outlineLevel="1">
      <c r="C213" s="968">
        <v>21</v>
      </c>
      <c r="D213" s="969"/>
      <c r="E213" s="970"/>
      <c r="F213" s="970"/>
      <c r="G213" s="1274"/>
      <c r="H213" s="2"/>
      <c r="I213" s="2"/>
      <c r="K213" s="552"/>
      <c r="L213" s="956">
        <f t="shared" si="7"/>
        <v>0</v>
      </c>
      <c r="M213" s="973">
        <f t="shared" si="7"/>
        <v>0</v>
      </c>
      <c r="N213" s="974"/>
      <c r="O213" s="975">
        <f t="shared" si="9"/>
        <v>0</v>
      </c>
      <c r="P213" s="967">
        <f t="shared" si="8"/>
        <v>0</v>
      </c>
      <c r="AD213" s="2"/>
      <c r="AE213" s="2"/>
      <c r="AF213" s="2"/>
      <c r="AG213" s="2"/>
      <c r="AH213" s="2"/>
    </row>
    <row r="214" spans="3:34" ht="30" hidden="1" customHeight="1" outlineLevel="1">
      <c r="C214" s="968">
        <v>22</v>
      </c>
      <c r="D214" s="969"/>
      <c r="E214" s="970"/>
      <c r="F214" s="970"/>
      <c r="G214" s="1274"/>
      <c r="H214" s="2"/>
      <c r="I214" s="2"/>
      <c r="K214" s="552"/>
      <c r="L214" s="956">
        <f t="shared" si="7"/>
        <v>0</v>
      </c>
      <c r="M214" s="973">
        <f t="shared" si="7"/>
        <v>0</v>
      </c>
      <c r="N214" s="974"/>
      <c r="O214" s="975">
        <f t="shared" si="9"/>
        <v>0</v>
      </c>
      <c r="P214" s="967">
        <f t="shared" si="8"/>
        <v>0</v>
      </c>
      <c r="AD214" s="2"/>
      <c r="AE214" s="2"/>
      <c r="AF214" s="2"/>
      <c r="AG214" s="2"/>
      <c r="AH214" s="2"/>
    </row>
    <row r="215" spans="3:34" ht="30" hidden="1" customHeight="1" outlineLevel="1">
      <c r="C215" s="968">
        <v>23</v>
      </c>
      <c r="D215" s="969"/>
      <c r="E215" s="970"/>
      <c r="F215" s="970"/>
      <c r="G215" s="1274"/>
      <c r="H215" s="2"/>
      <c r="I215" s="2"/>
      <c r="K215" s="552"/>
      <c r="L215" s="956">
        <f t="shared" si="7"/>
        <v>0</v>
      </c>
      <c r="M215" s="973">
        <f t="shared" si="7"/>
        <v>0</v>
      </c>
      <c r="N215" s="974"/>
      <c r="O215" s="975">
        <f t="shared" si="9"/>
        <v>0</v>
      </c>
      <c r="P215" s="967">
        <f t="shared" si="8"/>
        <v>0</v>
      </c>
      <c r="AD215" s="2"/>
      <c r="AE215" s="2"/>
      <c r="AF215" s="2"/>
      <c r="AG215" s="2"/>
      <c r="AH215" s="2"/>
    </row>
    <row r="216" spans="3:34" ht="30" hidden="1" customHeight="1" outlineLevel="1">
      <c r="C216" s="968">
        <v>24</v>
      </c>
      <c r="D216" s="969"/>
      <c r="E216" s="970"/>
      <c r="F216" s="970"/>
      <c r="G216" s="1274"/>
      <c r="H216" s="2"/>
      <c r="I216" s="2"/>
      <c r="K216" s="552"/>
      <c r="L216" s="956">
        <f t="shared" si="7"/>
        <v>0</v>
      </c>
      <c r="M216" s="973">
        <f t="shared" si="7"/>
        <v>0</v>
      </c>
      <c r="N216" s="974"/>
      <c r="O216" s="975">
        <f t="shared" si="9"/>
        <v>0</v>
      </c>
      <c r="P216" s="967">
        <f t="shared" si="8"/>
        <v>0</v>
      </c>
      <c r="AD216" s="2"/>
      <c r="AE216" s="2"/>
      <c r="AF216" s="2"/>
      <c r="AG216" s="2"/>
      <c r="AH216" s="2"/>
    </row>
    <row r="217" spans="3:34" ht="30" hidden="1" customHeight="1" outlineLevel="1">
      <c r="C217" s="968">
        <v>25</v>
      </c>
      <c r="D217" s="969"/>
      <c r="E217" s="970"/>
      <c r="F217" s="970"/>
      <c r="G217" s="1274"/>
      <c r="H217" s="2"/>
      <c r="I217" s="2"/>
      <c r="K217" s="552"/>
      <c r="L217" s="956">
        <f t="shared" si="7"/>
        <v>0</v>
      </c>
      <c r="M217" s="973">
        <f t="shared" si="7"/>
        <v>0</v>
      </c>
      <c r="N217" s="974"/>
      <c r="O217" s="975">
        <f t="shared" si="9"/>
        <v>0</v>
      </c>
      <c r="P217" s="967">
        <f t="shared" si="8"/>
        <v>0</v>
      </c>
      <c r="AD217" s="2"/>
      <c r="AE217" s="2"/>
      <c r="AF217" s="2"/>
      <c r="AG217" s="2"/>
      <c r="AH217" s="2"/>
    </row>
    <row r="218" spans="3:34" ht="30" hidden="1" customHeight="1" outlineLevel="1">
      <c r="C218" s="968">
        <v>26</v>
      </c>
      <c r="D218" s="969"/>
      <c r="E218" s="970"/>
      <c r="F218" s="970"/>
      <c r="G218" s="1274"/>
      <c r="H218" s="2"/>
      <c r="I218" s="2"/>
      <c r="K218" s="552"/>
      <c r="L218" s="956">
        <f t="shared" si="7"/>
        <v>0</v>
      </c>
      <c r="M218" s="973">
        <f t="shared" si="7"/>
        <v>0</v>
      </c>
      <c r="N218" s="974"/>
      <c r="O218" s="975">
        <f t="shared" si="9"/>
        <v>0</v>
      </c>
      <c r="P218" s="967">
        <f t="shared" si="8"/>
        <v>0</v>
      </c>
      <c r="AD218" s="2"/>
      <c r="AE218" s="2"/>
      <c r="AF218" s="2"/>
      <c r="AG218" s="2"/>
      <c r="AH218" s="2"/>
    </row>
    <row r="219" spans="3:34" ht="30" hidden="1" customHeight="1" outlineLevel="1">
      <c r="C219" s="968">
        <v>27</v>
      </c>
      <c r="D219" s="969"/>
      <c r="E219" s="970"/>
      <c r="F219" s="970"/>
      <c r="G219" s="1274"/>
      <c r="H219" s="2"/>
      <c r="I219" s="2"/>
      <c r="K219" s="552"/>
      <c r="L219" s="956">
        <f t="shared" si="7"/>
        <v>0</v>
      </c>
      <c r="M219" s="973">
        <f t="shared" si="7"/>
        <v>0</v>
      </c>
      <c r="N219" s="974"/>
      <c r="O219" s="975">
        <f t="shared" si="9"/>
        <v>0</v>
      </c>
      <c r="P219" s="967">
        <f t="shared" si="8"/>
        <v>0</v>
      </c>
      <c r="AD219" s="2"/>
      <c r="AE219" s="2"/>
      <c r="AF219" s="2"/>
      <c r="AG219" s="2"/>
      <c r="AH219" s="2"/>
    </row>
    <row r="220" spans="3:34" ht="30" hidden="1" customHeight="1" outlineLevel="1">
      <c r="C220" s="968">
        <v>28</v>
      </c>
      <c r="D220" s="969"/>
      <c r="E220" s="970"/>
      <c r="F220" s="970"/>
      <c r="G220" s="1274"/>
      <c r="H220" s="2"/>
      <c r="I220" s="2"/>
      <c r="K220" s="552"/>
      <c r="L220" s="956">
        <f t="shared" si="7"/>
        <v>0</v>
      </c>
      <c r="M220" s="973">
        <f t="shared" si="7"/>
        <v>0</v>
      </c>
      <c r="N220" s="974"/>
      <c r="O220" s="975">
        <f t="shared" si="9"/>
        <v>0</v>
      </c>
      <c r="P220" s="967">
        <f t="shared" si="8"/>
        <v>0</v>
      </c>
      <c r="AD220" s="2"/>
      <c r="AE220" s="2"/>
      <c r="AF220" s="2"/>
      <c r="AG220" s="2"/>
      <c r="AH220" s="2"/>
    </row>
    <row r="221" spans="3:34" ht="30" hidden="1" customHeight="1" outlineLevel="1">
      <c r="C221" s="968">
        <v>29</v>
      </c>
      <c r="D221" s="969"/>
      <c r="E221" s="970"/>
      <c r="F221" s="970"/>
      <c r="G221" s="1274"/>
      <c r="H221" s="2"/>
      <c r="I221" s="2"/>
      <c r="K221" s="552"/>
      <c r="L221" s="956">
        <f t="shared" si="7"/>
        <v>0</v>
      </c>
      <c r="M221" s="973">
        <f t="shared" si="7"/>
        <v>0</v>
      </c>
      <c r="N221" s="974"/>
      <c r="O221" s="975">
        <f t="shared" si="9"/>
        <v>0</v>
      </c>
      <c r="P221" s="967">
        <f t="shared" si="8"/>
        <v>0</v>
      </c>
      <c r="AD221" s="2"/>
      <c r="AE221" s="2"/>
      <c r="AF221" s="2"/>
      <c r="AG221" s="2"/>
      <c r="AH221" s="2"/>
    </row>
    <row r="222" spans="3:34" ht="30" hidden="1" customHeight="1" outlineLevel="1">
      <c r="C222" s="968">
        <v>30</v>
      </c>
      <c r="D222" s="969"/>
      <c r="E222" s="970"/>
      <c r="F222" s="970"/>
      <c r="G222" s="1274"/>
      <c r="H222" s="2"/>
      <c r="I222" s="2"/>
      <c r="K222" s="552"/>
      <c r="L222" s="956">
        <f t="shared" si="7"/>
        <v>0</v>
      </c>
      <c r="M222" s="973">
        <f t="shared" si="7"/>
        <v>0</v>
      </c>
      <c r="N222" s="974"/>
      <c r="O222" s="975">
        <f t="shared" si="9"/>
        <v>0</v>
      </c>
      <c r="P222" s="967">
        <f t="shared" si="8"/>
        <v>0</v>
      </c>
      <c r="AD222" s="2"/>
      <c r="AE222" s="2"/>
      <c r="AF222" s="2"/>
      <c r="AG222" s="2"/>
      <c r="AH222" s="2"/>
    </row>
    <row r="223" spans="3:34" ht="30" hidden="1" customHeight="1" outlineLevel="1">
      <c r="C223" s="968">
        <v>31</v>
      </c>
      <c r="D223" s="969"/>
      <c r="E223" s="970"/>
      <c r="F223" s="970"/>
      <c r="G223" s="1274"/>
      <c r="H223" s="2"/>
      <c r="I223" s="2"/>
      <c r="K223" s="552"/>
      <c r="L223" s="956">
        <f t="shared" si="7"/>
        <v>0</v>
      </c>
      <c r="M223" s="973">
        <f t="shared" si="7"/>
        <v>0</v>
      </c>
      <c r="N223" s="974"/>
      <c r="O223" s="975">
        <f t="shared" si="9"/>
        <v>0</v>
      </c>
      <c r="P223" s="967">
        <f t="shared" si="8"/>
        <v>0</v>
      </c>
      <c r="AD223" s="2"/>
      <c r="AE223" s="2"/>
      <c r="AF223" s="2"/>
      <c r="AG223" s="2"/>
      <c r="AH223" s="2"/>
    </row>
    <row r="224" spans="3:34" ht="30" hidden="1" customHeight="1" outlineLevel="1">
      <c r="C224" s="968">
        <v>32</v>
      </c>
      <c r="D224" s="969"/>
      <c r="E224" s="970"/>
      <c r="F224" s="970"/>
      <c r="G224" s="1274"/>
      <c r="H224" s="2"/>
      <c r="I224" s="2"/>
      <c r="K224" s="552"/>
      <c r="L224" s="956">
        <f t="shared" si="7"/>
        <v>0</v>
      </c>
      <c r="M224" s="973">
        <f t="shared" si="7"/>
        <v>0</v>
      </c>
      <c r="N224" s="974"/>
      <c r="O224" s="975">
        <f t="shared" si="9"/>
        <v>0</v>
      </c>
      <c r="P224" s="967">
        <f t="shared" si="8"/>
        <v>0</v>
      </c>
      <c r="AD224" s="2"/>
      <c r="AE224" s="2"/>
      <c r="AF224" s="2"/>
      <c r="AG224" s="2"/>
      <c r="AH224" s="2"/>
    </row>
    <row r="225" spans="3:34" ht="30" hidden="1" customHeight="1" outlineLevel="1">
      <c r="C225" s="968">
        <v>33</v>
      </c>
      <c r="D225" s="969"/>
      <c r="E225" s="970"/>
      <c r="F225" s="970"/>
      <c r="G225" s="1274"/>
      <c r="H225" s="2"/>
      <c r="I225" s="2"/>
      <c r="K225" s="552"/>
      <c r="L225" s="956">
        <f t="shared" si="7"/>
        <v>0</v>
      </c>
      <c r="M225" s="973">
        <f t="shared" si="7"/>
        <v>0</v>
      </c>
      <c r="N225" s="974"/>
      <c r="O225" s="975">
        <f t="shared" si="9"/>
        <v>0</v>
      </c>
      <c r="P225" s="967">
        <f t="shared" si="8"/>
        <v>0</v>
      </c>
      <c r="AD225" s="2"/>
      <c r="AE225" s="2"/>
      <c r="AF225" s="2"/>
      <c r="AG225" s="2"/>
      <c r="AH225" s="2"/>
    </row>
    <row r="226" spans="3:34" ht="30" hidden="1" customHeight="1" outlineLevel="1">
      <c r="C226" s="968">
        <v>34</v>
      </c>
      <c r="D226" s="969"/>
      <c r="E226" s="970"/>
      <c r="F226" s="970"/>
      <c r="G226" s="1274"/>
      <c r="H226" s="2"/>
      <c r="I226" s="2"/>
      <c r="K226" s="552"/>
      <c r="L226" s="956">
        <f t="shared" si="7"/>
        <v>0</v>
      </c>
      <c r="M226" s="973">
        <f t="shared" si="7"/>
        <v>0</v>
      </c>
      <c r="N226" s="974"/>
      <c r="O226" s="975">
        <f t="shared" si="9"/>
        <v>0</v>
      </c>
      <c r="P226" s="967">
        <f t="shared" si="8"/>
        <v>0</v>
      </c>
      <c r="AD226" s="2"/>
      <c r="AE226" s="2"/>
      <c r="AF226" s="2"/>
      <c r="AG226" s="2"/>
      <c r="AH226" s="2"/>
    </row>
    <row r="227" spans="3:34" ht="30" hidden="1" customHeight="1" outlineLevel="1">
      <c r="C227" s="968">
        <v>35</v>
      </c>
      <c r="D227" s="969"/>
      <c r="E227" s="970"/>
      <c r="F227" s="970"/>
      <c r="G227" s="1274"/>
      <c r="H227" s="2"/>
      <c r="I227" s="2"/>
      <c r="K227" s="552"/>
      <c r="L227" s="956">
        <f t="shared" si="7"/>
        <v>0</v>
      </c>
      <c r="M227" s="973">
        <f t="shared" si="7"/>
        <v>0</v>
      </c>
      <c r="N227" s="974"/>
      <c r="O227" s="975">
        <f t="shared" si="9"/>
        <v>0</v>
      </c>
      <c r="P227" s="967">
        <f t="shared" si="8"/>
        <v>0</v>
      </c>
      <c r="AD227" s="2"/>
      <c r="AE227" s="2"/>
      <c r="AF227" s="2"/>
      <c r="AG227" s="2"/>
      <c r="AH227" s="2"/>
    </row>
    <row r="228" spans="3:34" ht="30" hidden="1" customHeight="1" outlineLevel="1">
      <c r="C228" s="968">
        <v>36</v>
      </c>
      <c r="D228" s="969"/>
      <c r="E228" s="970"/>
      <c r="F228" s="970"/>
      <c r="G228" s="1274"/>
      <c r="H228" s="2"/>
      <c r="I228" s="2"/>
      <c r="K228" s="552"/>
      <c r="L228" s="956">
        <f t="shared" si="7"/>
        <v>0</v>
      </c>
      <c r="M228" s="973">
        <f t="shared" si="7"/>
        <v>0</v>
      </c>
      <c r="N228" s="974"/>
      <c r="O228" s="975">
        <f t="shared" si="9"/>
        <v>0</v>
      </c>
      <c r="P228" s="967">
        <f t="shared" si="8"/>
        <v>0</v>
      </c>
      <c r="AD228" s="2"/>
      <c r="AE228" s="2"/>
      <c r="AF228" s="2"/>
      <c r="AG228" s="2"/>
      <c r="AH228" s="2"/>
    </row>
    <row r="229" spans="3:34" ht="30" hidden="1" customHeight="1" outlineLevel="1">
      <c r="C229" s="968">
        <v>37</v>
      </c>
      <c r="D229" s="969"/>
      <c r="E229" s="970"/>
      <c r="F229" s="970"/>
      <c r="G229" s="1274"/>
      <c r="H229" s="2"/>
      <c r="I229" s="2"/>
      <c r="K229" s="552"/>
      <c r="L229" s="956">
        <f t="shared" si="7"/>
        <v>0</v>
      </c>
      <c r="M229" s="973">
        <f t="shared" si="7"/>
        <v>0</v>
      </c>
      <c r="N229" s="974"/>
      <c r="O229" s="975">
        <f t="shared" si="9"/>
        <v>0</v>
      </c>
      <c r="P229" s="967">
        <f t="shared" si="8"/>
        <v>0</v>
      </c>
      <c r="AD229" s="2"/>
      <c r="AE229" s="2"/>
      <c r="AF229" s="2"/>
      <c r="AG229" s="2"/>
      <c r="AH229" s="2"/>
    </row>
    <row r="230" spans="3:34" ht="30" hidden="1" customHeight="1" outlineLevel="1">
      <c r="C230" s="968">
        <v>38</v>
      </c>
      <c r="D230" s="969"/>
      <c r="E230" s="970"/>
      <c r="F230" s="970"/>
      <c r="G230" s="1274"/>
      <c r="H230" s="2"/>
      <c r="I230" s="2"/>
      <c r="K230" s="552"/>
      <c r="L230" s="956">
        <f t="shared" si="7"/>
        <v>0</v>
      </c>
      <c r="M230" s="973">
        <f t="shared" si="7"/>
        <v>0</v>
      </c>
      <c r="N230" s="974"/>
      <c r="O230" s="975">
        <f t="shared" si="9"/>
        <v>0</v>
      </c>
      <c r="P230" s="967">
        <f t="shared" si="8"/>
        <v>0</v>
      </c>
      <c r="AD230" s="2"/>
      <c r="AE230" s="2"/>
      <c r="AF230" s="2"/>
      <c r="AG230" s="2"/>
      <c r="AH230" s="2"/>
    </row>
    <row r="231" spans="3:34" ht="30" hidden="1" customHeight="1" outlineLevel="1">
      <c r="C231" s="968">
        <v>39</v>
      </c>
      <c r="D231" s="969"/>
      <c r="E231" s="970"/>
      <c r="F231" s="970"/>
      <c r="G231" s="1274"/>
      <c r="H231" s="2"/>
      <c r="I231" s="2"/>
      <c r="K231" s="552"/>
      <c r="L231" s="956">
        <f t="shared" si="7"/>
        <v>0</v>
      </c>
      <c r="M231" s="973">
        <f t="shared" si="7"/>
        <v>0</v>
      </c>
      <c r="N231" s="974"/>
      <c r="O231" s="975">
        <f t="shared" si="9"/>
        <v>0</v>
      </c>
      <c r="P231" s="967">
        <f t="shared" si="8"/>
        <v>0</v>
      </c>
      <c r="AD231" s="2"/>
      <c r="AE231" s="2"/>
      <c r="AF231" s="2"/>
      <c r="AG231" s="2"/>
      <c r="AH231" s="2"/>
    </row>
    <row r="232" spans="3:34" ht="30" hidden="1" customHeight="1" outlineLevel="1">
      <c r="C232" s="968">
        <v>40</v>
      </c>
      <c r="D232" s="969"/>
      <c r="E232" s="970"/>
      <c r="F232" s="970"/>
      <c r="G232" s="1274"/>
      <c r="H232" s="2"/>
      <c r="I232" s="2"/>
      <c r="K232" s="552"/>
      <c r="L232" s="956">
        <f t="shared" si="7"/>
        <v>0</v>
      </c>
      <c r="M232" s="973">
        <f t="shared" si="7"/>
        <v>0</v>
      </c>
      <c r="N232" s="974"/>
      <c r="O232" s="975">
        <f t="shared" si="9"/>
        <v>0</v>
      </c>
      <c r="P232" s="967">
        <f t="shared" si="8"/>
        <v>0</v>
      </c>
      <c r="AD232" s="2"/>
      <c r="AE232" s="2"/>
      <c r="AF232" s="2"/>
      <c r="AG232" s="2"/>
      <c r="AH232" s="2"/>
    </row>
    <row r="233" spans="3:34" ht="30" hidden="1" customHeight="1" outlineLevel="1">
      <c r="C233" s="968">
        <v>41</v>
      </c>
      <c r="D233" s="969"/>
      <c r="E233" s="970"/>
      <c r="F233" s="970"/>
      <c r="G233" s="1274"/>
      <c r="H233" s="2"/>
      <c r="I233" s="2"/>
      <c r="K233" s="552"/>
      <c r="L233" s="956">
        <f t="shared" si="7"/>
        <v>0</v>
      </c>
      <c r="M233" s="973">
        <f t="shared" si="7"/>
        <v>0</v>
      </c>
      <c r="N233" s="974"/>
      <c r="O233" s="975">
        <f t="shared" si="9"/>
        <v>0</v>
      </c>
      <c r="P233" s="967">
        <f t="shared" si="8"/>
        <v>0</v>
      </c>
      <c r="AD233" s="2"/>
      <c r="AE233" s="2"/>
      <c r="AF233" s="2"/>
      <c r="AG233" s="2"/>
      <c r="AH233" s="2"/>
    </row>
    <row r="234" spans="3:34" ht="30" hidden="1" customHeight="1" outlineLevel="1">
      <c r="C234" s="968">
        <v>42</v>
      </c>
      <c r="D234" s="969"/>
      <c r="E234" s="970"/>
      <c r="F234" s="970"/>
      <c r="G234" s="1274"/>
      <c r="H234" s="2"/>
      <c r="I234" s="2"/>
      <c r="K234" s="552"/>
      <c r="L234" s="956">
        <f t="shared" si="7"/>
        <v>0</v>
      </c>
      <c r="M234" s="973">
        <f t="shared" si="7"/>
        <v>0</v>
      </c>
      <c r="N234" s="974"/>
      <c r="O234" s="975">
        <f t="shared" si="9"/>
        <v>0</v>
      </c>
      <c r="P234" s="967">
        <f t="shared" si="8"/>
        <v>0</v>
      </c>
      <c r="AD234" s="2"/>
      <c r="AE234" s="2"/>
      <c r="AF234" s="2"/>
      <c r="AG234" s="2"/>
      <c r="AH234" s="2"/>
    </row>
    <row r="235" spans="3:34" ht="30" hidden="1" customHeight="1" outlineLevel="1">
      <c r="C235" s="968">
        <v>43</v>
      </c>
      <c r="D235" s="969"/>
      <c r="E235" s="970"/>
      <c r="F235" s="970"/>
      <c r="G235" s="1274"/>
      <c r="H235" s="2"/>
      <c r="I235" s="2"/>
      <c r="K235" s="552"/>
      <c r="L235" s="956">
        <f t="shared" si="7"/>
        <v>0</v>
      </c>
      <c r="M235" s="973">
        <f t="shared" si="7"/>
        <v>0</v>
      </c>
      <c r="N235" s="974"/>
      <c r="O235" s="975">
        <f t="shared" si="9"/>
        <v>0</v>
      </c>
      <c r="P235" s="967">
        <f t="shared" si="8"/>
        <v>0</v>
      </c>
      <c r="AD235" s="2"/>
      <c r="AE235" s="2"/>
      <c r="AF235" s="2"/>
      <c r="AG235" s="2"/>
      <c r="AH235" s="2"/>
    </row>
    <row r="236" spans="3:34" ht="30" hidden="1" customHeight="1" outlineLevel="1">
      <c r="C236" s="968">
        <v>44</v>
      </c>
      <c r="D236" s="969"/>
      <c r="E236" s="970"/>
      <c r="F236" s="970"/>
      <c r="G236" s="1274"/>
      <c r="H236" s="2"/>
      <c r="I236" s="2"/>
      <c r="K236" s="552"/>
      <c r="L236" s="956">
        <f t="shared" si="7"/>
        <v>0</v>
      </c>
      <c r="M236" s="973">
        <f t="shared" si="7"/>
        <v>0</v>
      </c>
      <c r="N236" s="974"/>
      <c r="O236" s="975">
        <f t="shared" si="9"/>
        <v>0</v>
      </c>
      <c r="P236" s="967">
        <f t="shared" si="8"/>
        <v>0</v>
      </c>
      <c r="AD236" s="2"/>
      <c r="AE236" s="2"/>
      <c r="AF236" s="2"/>
      <c r="AG236" s="2"/>
      <c r="AH236" s="2"/>
    </row>
    <row r="237" spans="3:34" ht="30" hidden="1" customHeight="1" outlineLevel="1">
      <c r="C237" s="968">
        <v>45</v>
      </c>
      <c r="D237" s="969"/>
      <c r="E237" s="970"/>
      <c r="F237" s="970"/>
      <c r="G237" s="1274"/>
      <c r="H237" s="2"/>
      <c r="I237" s="2"/>
      <c r="K237" s="552"/>
      <c r="L237" s="956">
        <f t="shared" si="7"/>
        <v>0</v>
      </c>
      <c r="M237" s="973">
        <f t="shared" si="7"/>
        <v>0</v>
      </c>
      <c r="N237" s="974"/>
      <c r="O237" s="975">
        <f t="shared" si="9"/>
        <v>0</v>
      </c>
      <c r="P237" s="967">
        <f t="shared" si="8"/>
        <v>0</v>
      </c>
      <c r="AD237" s="2"/>
      <c r="AE237" s="2"/>
      <c r="AF237" s="2"/>
      <c r="AG237" s="2"/>
      <c r="AH237" s="2"/>
    </row>
    <row r="238" spans="3:34" ht="30" hidden="1" customHeight="1" outlineLevel="1">
      <c r="C238" s="968">
        <v>46</v>
      </c>
      <c r="D238" s="969"/>
      <c r="E238" s="970"/>
      <c r="F238" s="970"/>
      <c r="G238" s="1274"/>
      <c r="H238" s="2"/>
      <c r="I238" s="2"/>
      <c r="K238" s="552"/>
      <c r="L238" s="956">
        <f t="shared" si="7"/>
        <v>0</v>
      </c>
      <c r="M238" s="973">
        <f t="shared" si="7"/>
        <v>0</v>
      </c>
      <c r="N238" s="974"/>
      <c r="O238" s="975">
        <f t="shared" si="9"/>
        <v>0</v>
      </c>
      <c r="P238" s="967">
        <f t="shared" si="8"/>
        <v>0</v>
      </c>
      <c r="AD238" s="2"/>
      <c r="AE238" s="2"/>
      <c r="AF238" s="2"/>
      <c r="AG238" s="2"/>
      <c r="AH238" s="2"/>
    </row>
    <row r="239" spans="3:34" ht="30" hidden="1" customHeight="1" outlineLevel="1">
      <c r="C239" s="968">
        <v>47</v>
      </c>
      <c r="D239" s="969"/>
      <c r="E239" s="970"/>
      <c r="F239" s="970"/>
      <c r="G239" s="1274"/>
      <c r="H239" s="2"/>
      <c r="I239" s="2"/>
      <c r="K239" s="552"/>
      <c r="L239" s="956">
        <f t="shared" si="7"/>
        <v>0</v>
      </c>
      <c r="M239" s="973">
        <f t="shared" si="7"/>
        <v>0</v>
      </c>
      <c r="N239" s="974"/>
      <c r="O239" s="975">
        <f t="shared" si="9"/>
        <v>0</v>
      </c>
      <c r="P239" s="967">
        <f t="shared" si="8"/>
        <v>0</v>
      </c>
      <c r="AD239" s="2"/>
      <c r="AE239" s="2"/>
      <c r="AF239" s="2"/>
      <c r="AG239" s="2"/>
      <c r="AH239" s="2"/>
    </row>
    <row r="240" spans="3:34" ht="30" hidden="1" customHeight="1" outlineLevel="1">
      <c r="C240" s="968">
        <v>48</v>
      </c>
      <c r="D240" s="969"/>
      <c r="E240" s="970"/>
      <c r="F240" s="970"/>
      <c r="G240" s="1274"/>
      <c r="H240" s="2"/>
      <c r="I240" s="2"/>
      <c r="K240" s="552"/>
      <c r="L240" s="956">
        <f t="shared" si="7"/>
        <v>0</v>
      </c>
      <c r="M240" s="973">
        <f t="shared" si="7"/>
        <v>0</v>
      </c>
      <c r="N240" s="974"/>
      <c r="O240" s="975">
        <f t="shared" si="9"/>
        <v>0</v>
      </c>
      <c r="P240" s="967">
        <f t="shared" si="8"/>
        <v>0</v>
      </c>
      <c r="AD240" s="2"/>
      <c r="AE240" s="2"/>
      <c r="AF240" s="2"/>
      <c r="AG240" s="2"/>
      <c r="AH240" s="2"/>
    </row>
    <row r="241" spans="2:34" ht="30" hidden="1" customHeight="1" outlineLevel="1">
      <c r="C241" s="968">
        <v>49</v>
      </c>
      <c r="D241" s="969"/>
      <c r="E241" s="970"/>
      <c r="F241" s="970"/>
      <c r="G241" s="1274"/>
      <c r="H241" s="2"/>
      <c r="I241" s="2"/>
      <c r="K241" s="552"/>
      <c r="L241" s="956">
        <f t="shared" si="7"/>
        <v>0</v>
      </c>
      <c r="M241" s="973">
        <f t="shared" si="7"/>
        <v>0</v>
      </c>
      <c r="N241" s="974"/>
      <c r="O241" s="975">
        <f t="shared" si="9"/>
        <v>0</v>
      </c>
      <c r="P241" s="967">
        <f t="shared" si="8"/>
        <v>0</v>
      </c>
      <c r="AD241" s="2"/>
      <c r="AE241" s="2"/>
      <c r="AF241" s="2"/>
      <c r="AG241" s="2"/>
      <c r="AH241" s="2"/>
    </row>
    <row r="242" spans="2:34" ht="30" hidden="1" customHeight="1" outlineLevel="1" thickBot="1">
      <c r="C242" s="976">
        <v>50</v>
      </c>
      <c r="D242" s="977"/>
      <c r="E242" s="978"/>
      <c r="F242" s="978"/>
      <c r="G242" s="1290"/>
      <c r="H242" s="2"/>
      <c r="I242" s="2"/>
      <c r="K242" s="552"/>
      <c r="L242" s="956">
        <f t="shared" si="7"/>
        <v>0</v>
      </c>
      <c r="M242" s="973">
        <f t="shared" si="7"/>
        <v>0</v>
      </c>
      <c r="N242" s="981"/>
      <c r="O242" s="975">
        <f t="shared" si="9"/>
        <v>0</v>
      </c>
      <c r="P242" s="967">
        <f t="shared" si="8"/>
        <v>0</v>
      </c>
      <c r="AD242" s="2"/>
      <c r="AE242" s="2"/>
      <c r="AF242" s="2"/>
      <c r="AG242" s="2"/>
      <c r="AH242" s="2"/>
    </row>
    <row r="243" spans="2:34" ht="14.25" customHeight="1" thickTop="1">
      <c r="C243" s="991"/>
      <c r="D243" s="992"/>
      <c r="E243" s="992"/>
      <c r="F243" s="992"/>
      <c r="G243" s="992"/>
      <c r="H243" s="2"/>
      <c r="I243" s="948"/>
      <c r="N243" s="993"/>
      <c r="AD243" s="2"/>
      <c r="AE243" s="2"/>
      <c r="AF243" s="2"/>
      <c r="AG243" s="2"/>
      <c r="AH243" s="2"/>
    </row>
    <row r="244" spans="2:34" ht="14.25" customHeight="1">
      <c r="B244" s="130"/>
      <c r="C244" s="994"/>
      <c r="D244" s="2"/>
      <c r="E244" s="2"/>
      <c r="F244" s="2"/>
      <c r="G244" s="2"/>
      <c r="H244" s="2"/>
      <c r="AD244" s="2"/>
      <c r="AE244" s="2"/>
      <c r="AF244" s="2"/>
      <c r="AG244" s="2"/>
      <c r="AH244" s="2"/>
    </row>
    <row r="245" spans="2:34" ht="14.25" customHeight="1">
      <c r="H245" s="2"/>
      <c r="M245" s="2"/>
      <c r="AD245" s="2"/>
      <c r="AE245" s="2"/>
      <c r="AF245" s="2"/>
      <c r="AG245" s="2"/>
      <c r="AH245" s="2"/>
    </row>
    <row r="246" spans="2:34" ht="18" customHeight="1">
      <c r="AD246" s="2"/>
      <c r="AE246" s="2"/>
      <c r="AF246" s="2"/>
      <c r="AG246" s="2"/>
      <c r="AH246" s="2"/>
    </row>
    <row r="247" spans="2:34" ht="18" customHeight="1">
      <c r="AD247" s="2"/>
      <c r="AE247" s="2"/>
      <c r="AF247" s="2"/>
      <c r="AG247" s="2"/>
      <c r="AH247" s="2"/>
    </row>
    <row r="248" spans="2:34" ht="18" customHeight="1">
      <c r="AD248" s="2"/>
      <c r="AE248" s="2"/>
      <c r="AF248" s="2"/>
      <c r="AG248" s="2"/>
      <c r="AH248" s="2"/>
    </row>
    <row r="249" spans="2:34" ht="30" customHeight="1">
      <c r="AD249" s="2"/>
      <c r="AE249" s="2"/>
      <c r="AF249" s="2"/>
      <c r="AG249" s="2"/>
      <c r="AH249" s="2"/>
    </row>
    <row r="250" spans="2:34" ht="30" customHeight="1">
      <c r="AD250" s="2"/>
      <c r="AE250" s="2"/>
      <c r="AF250" s="2"/>
      <c r="AG250" s="2"/>
      <c r="AH250" s="2"/>
    </row>
    <row r="251" spans="2:34" ht="30" customHeight="1">
      <c r="AD251" s="2"/>
      <c r="AE251" s="2"/>
      <c r="AF251" s="2"/>
      <c r="AG251" s="2"/>
      <c r="AH251" s="2"/>
    </row>
    <row r="252" spans="2:34" ht="14.25" customHeight="1">
      <c r="AD252" s="2"/>
      <c r="AE252" s="2"/>
      <c r="AF252" s="2"/>
      <c r="AG252" s="2"/>
      <c r="AH252" s="2"/>
    </row>
    <row r="253" spans="2:34" ht="14.25" customHeight="1">
      <c r="H253" s="2"/>
      <c r="AD253" s="2"/>
      <c r="AE253" s="2"/>
      <c r="AF253" s="2"/>
      <c r="AG253" s="2"/>
      <c r="AH253" s="2"/>
    </row>
    <row r="254" spans="2:34" ht="14.25" customHeight="1">
      <c r="H254" s="2"/>
      <c r="AD254" s="2"/>
      <c r="AE254" s="2"/>
      <c r="AF254" s="2"/>
      <c r="AG254" s="2"/>
      <c r="AH254" s="2"/>
    </row>
    <row r="255" spans="2:34" ht="14.25" customHeight="1">
      <c r="H255" s="2"/>
      <c r="AD255" s="2"/>
      <c r="AE255" s="2"/>
      <c r="AF255" s="2"/>
      <c r="AG255" s="2"/>
      <c r="AH255" s="2"/>
    </row>
    <row r="256" spans="2:34" ht="14.25" customHeight="1">
      <c r="AD256" s="2"/>
      <c r="AE256" s="2"/>
      <c r="AF256" s="2"/>
      <c r="AG256" s="2"/>
      <c r="AH256" s="2"/>
    </row>
    <row r="257" spans="30:34" ht="14.25" customHeight="1">
      <c r="AD257" s="2"/>
      <c r="AE257" s="2"/>
      <c r="AF257" s="2"/>
      <c r="AG257" s="2"/>
      <c r="AH257" s="2"/>
    </row>
    <row r="258" spans="30:34" ht="14.25" customHeight="1">
      <c r="AD258" s="2"/>
      <c r="AE258" s="2"/>
      <c r="AF258" s="2"/>
      <c r="AG258" s="2"/>
      <c r="AH258" s="2"/>
    </row>
    <row r="259" spans="30:34" ht="14.25" customHeight="1">
      <c r="AD259" s="2"/>
      <c r="AE259" s="2"/>
      <c r="AF259" s="2"/>
      <c r="AG259" s="2"/>
      <c r="AH259" s="2"/>
    </row>
    <row r="260" spans="30:34" ht="14.25" customHeight="1">
      <c r="AD260" s="2"/>
      <c r="AE260" s="2"/>
      <c r="AF260" s="2"/>
      <c r="AG260" s="2"/>
      <c r="AH260" s="2"/>
    </row>
    <row r="261" spans="30:34" ht="14.25" customHeight="1">
      <c r="AD261" s="2"/>
      <c r="AE261" s="2"/>
      <c r="AF261" s="2"/>
      <c r="AG261" s="2"/>
      <c r="AH261" s="2"/>
    </row>
    <row r="262" spans="30:34" ht="14.25" customHeight="1">
      <c r="AD262" s="2"/>
      <c r="AE262" s="2"/>
      <c r="AF262" s="2"/>
      <c r="AG262" s="2"/>
      <c r="AH262" s="2"/>
    </row>
    <row r="263" spans="30:34" ht="14.25" customHeight="1">
      <c r="AD263" s="2"/>
      <c r="AE263" s="2"/>
      <c r="AF263" s="2"/>
      <c r="AG263" s="2"/>
      <c r="AH263" s="2"/>
    </row>
    <row r="264" spans="30:34" ht="14.25" customHeight="1">
      <c r="AD264" s="2"/>
      <c r="AE264" s="2"/>
      <c r="AF264" s="2"/>
      <c r="AG264" s="2"/>
      <c r="AH264" s="2"/>
    </row>
    <row r="265" spans="30:34" ht="14.25" customHeight="1">
      <c r="AD265" s="2"/>
      <c r="AE265" s="2"/>
      <c r="AF265" s="2"/>
      <c r="AG265" s="2"/>
      <c r="AH265" s="2"/>
    </row>
    <row r="266" spans="30:34" ht="14.25" customHeight="1">
      <c r="AD266" s="2"/>
      <c r="AE266" s="2"/>
      <c r="AF266" s="2"/>
      <c r="AG266" s="2"/>
      <c r="AH266" s="2"/>
    </row>
    <row r="267" spans="30:34" ht="14.25" customHeight="1">
      <c r="AD267" s="2"/>
      <c r="AE267" s="2"/>
      <c r="AF267" s="2"/>
      <c r="AG267" s="2"/>
      <c r="AH267" s="2"/>
    </row>
    <row r="268" spans="30:34" ht="14.25" customHeight="1">
      <c r="AD268" s="2"/>
      <c r="AE268" s="2"/>
      <c r="AF268" s="2"/>
      <c r="AG268" s="2"/>
      <c r="AH268" s="2"/>
    </row>
    <row r="269" spans="30:34" ht="14.25" customHeight="1">
      <c r="AD269" s="2"/>
      <c r="AE269" s="2"/>
      <c r="AF269" s="2"/>
      <c r="AG269" s="2"/>
      <c r="AH269" s="2"/>
    </row>
    <row r="270" spans="30:34" ht="14.25" customHeight="1">
      <c r="AD270" s="2"/>
      <c r="AE270" s="2"/>
      <c r="AF270" s="2"/>
      <c r="AG270" s="2"/>
      <c r="AH270" s="2"/>
    </row>
    <row r="271" spans="30:34" ht="14.25" customHeight="1">
      <c r="AD271" s="2"/>
      <c r="AE271" s="2"/>
      <c r="AF271" s="2"/>
      <c r="AG271" s="2"/>
      <c r="AH271" s="2"/>
    </row>
    <row r="272" spans="30:34" ht="14.25" customHeight="1">
      <c r="AD272" s="2"/>
      <c r="AE272" s="2"/>
      <c r="AF272" s="2"/>
      <c r="AG272" s="2"/>
      <c r="AH272" s="2"/>
    </row>
    <row r="273" spans="30:34" ht="14.25" customHeight="1">
      <c r="AD273" s="2"/>
      <c r="AE273" s="2"/>
      <c r="AF273" s="2"/>
      <c r="AG273" s="2"/>
      <c r="AH273" s="2"/>
    </row>
    <row r="274" spans="30:34" ht="14.25" customHeight="1">
      <c r="AD274" s="2"/>
      <c r="AE274" s="2"/>
      <c r="AF274" s="2"/>
      <c r="AG274" s="2"/>
      <c r="AH274" s="2"/>
    </row>
    <row r="275" spans="30:34" ht="14.25" customHeight="1">
      <c r="AD275" s="2"/>
      <c r="AE275" s="2"/>
      <c r="AF275" s="2"/>
      <c r="AG275" s="2"/>
      <c r="AH275" s="2"/>
    </row>
    <row r="276" spans="30:34" ht="14.25" customHeight="1">
      <c r="AD276" s="2"/>
      <c r="AE276" s="2"/>
      <c r="AF276" s="2"/>
      <c r="AG276" s="2"/>
      <c r="AH276" s="2"/>
    </row>
    <row r="277" spans="30:34" ht="14.25" customHeight="1">
      <c r="AD277" s="2"/>
      <c r="AE277" s="2"/>
      <c r="AF277" s="2"/>
      <c r="AG277" s="2"/>
      <c r="AH277" s="2"/>
    </row>
    <row r="278" spans="30:34" ht="14.25" customHeight="1">
      <c r="AD278" s="2"/>
      <c r="AE278" s="2"/>
      <c r="AF278" s="2"/>
      <c r="AG278" s="2"/>
      <c r="AH278" s="2"/>
    </row>
    <row r="279" spans="30:34" ht="14.25" customHeight="1">
      <c r="AD279" s="2"/>
      <c r="AE279" s="2"/>
      <c r="AF279" s="2"/>
      <c r="AG279" s="2"/>
      <c r="AH279" s="2"/>
    </row>
    <row r="280" spans="30:34" ht="14.25" customHeight="1">
      <c r="AD280" s="2"/>
      <c r="AE280" s="2"/>
      <c r="AF280" s="2"/>
      <c r="AG280" s="2"/>
      <c r="AH280" s="2"/>
    </row>
    <row r="281" spans="30:34" ht="14.25" customHeight="1">
      <c r="AD281" s="2"/>
      <c r="AE281" s="2"/>
      <c r="AF281" s="2"/>
      <c r="AG281" s="2"/>
      <c r="AH281" s="2"/>
    </row>
    <row r="282" spans="30:34" ht="14.25" customHeight="1">
      <c r="AD282" s="2"/>
      <c r="AE282" s="2"/>
      <c r="AF282" s="2"/>
      <c r="AG282" s="2"/>
      <c r="AH282" s="2"/>
    </row>
    <row r="283" spans="30:34" ht="14.25" customHeight="1">
      <c r="AD283" s="2"/>
      <c r="AE283" s="2"/>
      <c r="AF283" s="2"/>
      <c r="AG283" s="2"/>
      <c r="AH283" s="2"/>
    </row>
    <row r="284" spans="30:34" ht="14.25" customHeight="1">
      <c r="AD284" s="2"/>
      <c r="AE284" s="2"/>
      <c r="AF284" s="2"/>
      <c r="AG284" s="2"/>
      <c r="AH284" s="2"/>
    </row>
    <row r="285" spans="30:34" ht="14.25" customHeight="1">
      <c r="AD285" s="2"/>
      <c r="AE285" s="2"/>
      <c r="AF285" s="2"/>
      <c r="AG285" s="2"/>
      <c r="AH285" s="2"/>
    </row>
    <row r="286" spans="30:34" ht="14.25" customHeight="1">
      <c r="AD286" s="2"/>
      <c r="AE286" s="2"/>
      <c r="AF286" s="2"/>
      <c r="AG286" s="2"/>
      <c r="AH286" s="2"/>
    </row>
    <row r="287" spans="30:34" ht="14.25" customHeight="1">
      <c r="AD287" s="2"/>
      <c r="AE287" s="2"/>
      <c r="AF287" s="2"/>
      <c r="AG287" s="2"/>
      <c r="AH287" s="2"/>
    </row>
    <row r="288" spans="30:34" ht="14.25" customHeight="1">
      <c r="AD288" s="2"/>
      <c r="AE288" s="2"/>
      <c r="AF288" s="2"/>
      <c r="AG288" s="2"/>
      <c r="AH288" s="2"/>
    </row>
    <row r="289" spans="30:34" ht="14.25" customHeight="1">
      <c r="AD289" s="2"/>
      <c r="AE289" s="2"/>
      <c r="AF289" s="2"/>
      <c r="AG289" s="2"/>
      <c r="AH289" s="2"/>
    </row>
    <row r="290" spans="30:34" ht="14.25" customHeight="1">
      <c r="AD290" s="2"/>
      <c r="AE290" s="2"/>
      <c r="AF290" s="2"/>
      <c r="AG290" s="2"/>
      <c r="AH290" s="2"/>
    </row>
    <row r="291" spans="30:34" ht="14.25" customHeight="1">
      <c r="AD291" s="2"/>
      <c r="AE291" s="2"/>
      <c r="AF291" s="2"/>
      <c r="AG291" s="2"/>
      <c r="AH291" s="2"/>
    </row>
    <row r="292" spans="30:34" ht="14.25" customHeight="1">
      <c r="AD292" s="2"/>
      <c r="AE292" s="2"/>
      <c r="AF292" s="2"/>
      <c r="AG292" s="2"/>
      <c r="AH292" s="2"/>
    </row>
    <row r="293" spans="30:34" ht="14.25" customHeight="1">
      <c r="AD293" s="2"/>
      <c r="AE293" s="2"/>
      <c r="AF293" s="2"/>
      <c r="AG293" s="2"/>
      <c r="AH293" s="2"/>
    </row>
    <row r="294" spans="30:34" ht="14.25" customHeight="1">
      <c r="AD294" s="2"/>
      <c r="AE294" s="2"/>
      <c r="AF294" s="2"/>
      <c r="AG294" s="2"/>
      <c r="AH294" s="2"/>
    </row>
    <row r="295" spans="30:34" ht="14.25" customHeight="1">
      <c r="AD295" s="2"/>
      <c r="AE295" s="2"/>
      <c r="AF295" s="2"/>
      <c r="AG295" s="2"/>
      <c r="AH295" s="2"/>
    </row>
    <row r="296" spans="30:34" ht="14.25" customHeight="1">
      <c r="AD296" s="2"/>
      <c r="AE296" s="2"/>
      <c r="AF296" s="2"/>
      <c r="AG296" s="2"/>
      <c r="AH296" s="2"/>
    </row>
    <row r="297" spans="30:34" ht="14.25" customHeight="1">
      <c r="AD297" s="2"/>
      <c r="AE297" s="2"/>
      <c r="AF297" s="2"/>
      <c r="AG297" s="2"/>
      <c r="AH297" s="2"/>
    </row>
    <row r="298" spans="30:34" ht="14.25" customHeight="1">
      <c r="AD298" s="2"/>
      <c r="AE298" s="2"/>
      <c r="AF298" s="2"/>
      <c r="AG298" s="2"/>
      <c r="AH298" s="2"/>
    </row>
    <row r="299" spans="30:34" ht="14.25" customHeight="1">
      <c r="AD299" s="2"/>
      <c r="AE299" s="2"/>
      <c r="AF299" s="2"/>
      <c r="AG299" s="2"/>
      <c r="AH299" s="2"/>
    </row>
    <row r="300" spans="30:34" ht="14.25" customHeight="1">
      <c r="AD300" s="2"/>
      <c r="AE300" s="2"/>
      <c r="AF300" s="2"/>
      <c r="AG300" s="2"/>
      <c r="AH300" s="2"/>
    </row>
    <row r="301" spans="30:34" ht="14.25" customHeight="1">
      <c r="AD301" s="2"/>
      <c r="AE301" s="2"/>
      <c r="AF301" s="2"/>
      <c r="AG301" s="2"/>
      <c r="AH301" s="2"/>
    </row>
    <row r="302" spans="30:34" ht="14.25" customHeight="1">
      <c r="AD302" s="2"/>
      <c r="AE302" s="2"/>
      <c r="AF302" s="2"/>
      <c r="AG302" s="2"/>
      <c r="AH302" s="2"/>
    </row>
    <row r="303" spans="30:34" ht="14.25" customHeight="1">
      <c r="AD303" s="2"/>
      <c r="AE303" s="2"/>
      <c r="AF303" s="2"/>
      <c r="AG303" s="2"/>
      <c r="AH303" s="2"/>
    </row>
    <row r="304" spans="30:34" ht="14.25" customHeight="1">
      <c r="AD304" s="2"/>
      <c r="AE304" s="2"/>
      <c r="AF304" s="2"/>
      <c r="AG304" s="2"/>
      <c r="AH304" s="2"/>
    </row>
    <row r="305" spans="30:34" ht="14.25" customHeight="1">
      <c r="AD305" s="2"/>
      <c r="AE305" s="2"/>
      <c r="AF305" s="2"/>
      <c r="AG305" s="2"/>
      <c r="AH305" s="2"/>
    </row>
    <row r="306" spans="30:34" ht="14.25" customHeight="1">
      <c r="AD306" s="2"/>
      <c r="AE306" s="2"/>
      <c r="AF306" s="2"/>
      <c r="AG306" s="2"/>
      <c r="AH306" s="2"/>
    </row>
    <row r="307" spans="30:34" ht="14.25" customHeight="1">
      <c r="AD307" s="2"/>
      <c r="AE307" s="2"/>
      <c r="AF307" s="2"/>
      <c r="AG307" s="2"/>
      <c r="AH307" s="2"/>
    </row>
    <row r="308" spans="30:34" ht="14.25" customHeight="1">
      <c r="AD308" s="2"/>
      <c r="AE308" s="2"/>
      <c r="AF308" s="2"/>
      <c r="AG308" s="2"/>
      <c r="AH308" s="2"/>
    </row>
    <row r="309" spans="30:34" ht="14.25" customHeight="1">
      <c r="AD309" s="2"/>
      <c r="AE309" s="2"/>
      <c r="AF309" s="2"/>
      <c r="AG309" s="2"/>
      <c r="AH309" s="2"/>
    </row>
    <row r="310" spans="30:34" ht="14.25" customHeight="1">
      <c r="AD310" s="2"/>
      <c r="AE310" s="2"/>
      <c r="AF310" s="2"/>
      <c r="AG310" s="2"/>
      <c r="AH310" s="2"/>
    </row>
    <row r="311" spans="30:34" ht="14.25" customHeight="1">
      <c r="AD311" s="2"/>
      <c r="AE311" s="2"/>
      <c r="AF311" s="2"/>
      <c r="AG311" s="2"/>
      <c r="AH311" s="2"/>
    </row>
    <row r="312" spans="30:34" ht="14.25" customHeight="1">
      <c r="AD312" s="2"/>
      <c r="AE312" s="2"/>
      <c r="AF312" s="2"/>
      <c r="AG312" s="2"/>
      <c r="AH312" s="2"/>
    </row>
    <row r="313" spans="30:34" ht="14.25" customHeight="1">
      <c r="AD313" s="2"/>
      <c r="AE313" s="2"/>
      <c r="AF313" s="2"/>
      <c r="AG313" s="2"/>
      <c r="AH313" s="2"/>
    </row>
    <row r="314" spans="30:34" ht="14.25" customHeight="1">
      <c r="AD314" s="2"/>
      <c r="AE314" s="2"/>
      <c r="AF314" s="2"/>
      <c r="AG314" s="2"/>
      <c r="AH314" s="2"/>
    </row>
    <row r="315" spans="30:34" ht="14.25" customHeight="1">
      <c r="AD315" s="2"/>
      <c r="AE315" s="2"/>
      <c r="AF315" s="2"/>
      <c r="AG315" s="2"/>
      <c r="AH315" s="2"/>
    </row>
    <row r="316" spans="30:34" ht="14.25" customHeight="1">
      <c r="AD316" s="2"/>
      <c r="AE316" s="2"/>
      <c r="AF316" s="2"/>
      <c r="AG316" s="2"/>
      <c r="AH316" s="2"/>
    </row>
    <row r="317" spans="30:34" ht="14.25" customHeight="1">
      <c r="AD317" s="2"/>
      <c r="AE317" s="2"/>
      <c r="AF317" s="2"/>
      <c r="AG317" s="2"/>
      <c r="AH317" s="2"/>
    </row>
    <row r="318" spans="30:34" ht="14.25" customHeight="1">
      <c r="AD318" s="2"/>
      <c r="AE318" s="2"/>
      <c r="AF318" s="2"/>
      <c r="AG318" s="2"/>
      <c r="AH318" s="2"/>
    </row>
    <row r="319" spans="30:34" ht="14.25" customHeight="1">
      <c r="AD319" s="2"/>
      <c r="AE319" s="2"/>
      <c r="AF319" s="2"/>
      <c r="AG319" s="2"/>
      <c r="AH319" s="2"/>
    </row>
    <row r="320" spans="30:34" ht="14.25" customHeight="1">
      <c r="AD320" s="2"/>
      <c r="AE320" s="2"/>
      <c r="AF320" s="2"/>
      <c r="AG320" s="2"/>
      <c r="AH320" s="2"/>
    </row>
    <row r="321" spans="30:34" ht="14.25" customHeight="1">
      <c r="AD321" s="2"/>
      <c r="AE321" s="2"/>
      <c r="AF321" s="2"/>
      <c r="AG321" s="2"/>
      <c r="AH321" s="2"/>
    </row>
    <row r="322" spans="30:34" ht="14.25" customHeight="1">
      <c r="AD322" s="2"/>
      <c r="AE322" s="2"/>
      <c r="AF322" s="2"/>
      <c r="AG322" s="2"/>
      <c r="AH322" s="2"/>
    </row>
    <row r="323" spans="30:34" ht="14.25" customHeight="1">
      <c r="AD323" s="2"/>
      <c r="AE323" s="2"/>
      <c r="AF323" s="2"/>
      <c r="AG323" s="2"/>
      <c r="AH323" s="2"/>
    </row>
    <row r="324" spans="30:34" ht="14.25" customHeight="1">
      <c r="AD324" s="2"/>
      <c r="AE324" s="2"/>
      <c r="AF324" s="2"/>
      <c r="AG324" s="2"/>
      <c r="AH324" s="2"/>
    </row>
    <row r="325" spans="30:34" ht="14.25" customHeight="1">
      <c r="AD325" s="2"/>
      <c r="AE325" s="2"/>
      <c r="AF325" s="2"/>
      <c r="AG325" s="2"/>
      <c r="AH325" s="2"/>
    </row>
    <row r="326" spans="30:34" ht="14.25" customHeight="1">
      <c r="AD326" s="2"/>
      <c r="AE326" s="2"/>
      <c r="AF326" s="2"/>
      <c r="AG326" s="2"/>
      <c r="AH326" s="2"/>
    </row>
    <row r="327" spans="30:34" ht="14.25" customHeight="1">
      <c r="AD327" s="2"/>
      <c r="AE327" s="2"/>
      <c r="AF327" s="2"/>
      <c r="AG327" s="2"/>
      <c r="AH327" s="2"/>
    </row>
    <row r="328" spans="30:34" ht="14.25" customHeight="1">
      <c r="AD328" s="2"/>
      <c r="AE328" s="2"/>
      <c r="AF328" s="2"/>
      <c r="AG328" s="2"/>
      <c r="AH328" s="2"/>
    </row>
    <row r="329" spans="30:34" ht="14.25" customHeight="1">
      <c r="AD329" s="2"/>
      <c r="AE329" s="2"/>
      <c r="AF329" s="2"/>
      <c r="AG329" s="2"/>
      <c r="AH329" s="2"/>
    </row>
    <row r="330" spans="30:34" ht="14.25" customHeight="1">
      <c r="AD330" s="2"/>
      <c r="AE330" s="2"/>
      <c r="AF330" s="2"/>
      <c r="AG330" s="2"/>
      <c r="AH330" s="2"/>
    </row>
    <row r="331" spans="30:34" ht="14.25" customHeight="1">
      <c r="AD331" s="2"/>
      <c r="AE331" s="2"/>
      <c r="AF331" s="2"/>
      <c r="AG331" s="2"/>
      <c r="AH331" s="2"/>
    </row>
    <row r="332" spans="30:34" ht="14.25" customHeight="1">
      <c r="AD332" s="2"/>
      <c r="AE332" s="2"/>
      <c r="AF332" s="2"/>
      <c r="AG332" s="2"/>
      <c r="AH332" s="2"/>
    </row>
    <row r="333" spans="30:34" ht="14.25" customHeight="1">
      <c r="AD333" s="2"/>
      <c r="AE333" s="2"/>
      <c r="AF333" s="2"/>
      <c r="AG333" s="2"/>
      <c r="AH333" s="2"/>
    </row>
    <row r="334" spans="30:34" ht="14.25" customHeight="1">
      <c r="AD334" s="2"/>
      <c r="AE334" s="2"/>
      <c r="AF334" s="2"/>
      <c r="AG334" s="2"/>
      <c r="AH334" s="2"/>
    </row>
    <row r="335" spans="30:34" ht="14.25" customHeight="1">
      <c r="AD335" s="2"/>
      <c r="AE335" s="2"/>
      <c r="AF335" s="2"/>
      <c r="AG335" s="2"/>
      <c r="AH335" s="2"/>
    </row>
    <row r="336" spans="30:34" ht="14.25" customHeight="1">
      <c r="AD336" s="2"/>
      <c r="AE336" s="2"/>
      <c r="AF336" s="2"/>
      <c r="AG336" s="2"/>
      <c r="AH336" s="2"/>
    </row>
    <row r="337" spans="30:34" ht="14.25" customHeight="1">
      <c r="AD337" s="2"/>
      <c r="AE337" s="2"/>
      <c r="AF337" s="2"/>
      <c r="AG337" s="2"/>
      <c r="AH337" s="2"/>
    </row>
    <row r="338" spans="30:34" ht="14.25" customHeight="1">
      <c r="AD338" s="2"/>
      <c r="AE338" s="2"/>
      <c r="AF338" s="2"/>
      <c r="AG338" s="2"/>
      <c r="AH338" s="2"/>
    </row>
    <row r="339" spans="30:34" ht="14.25" customHeight="1">
      <c r="AD339" s="2"/>
      <c r="AE339" s="2"/>
      <c r="AF339" s="2"/>
      <c r="AG339" s="2"/>
      <c r="AH339" s="2"/>
    </row>
    <row r="340" spans="30:34" ht="14.25" customHeight="1">
      <c r="AD340" s="2"/>
      <c r="AE340" s="2"/>
      <c r="AF340" s="2"/>
      <c r="AG340" s="2"/>
      <c r="AH340" s="2"/>
    </row>
    <row r="341" spans="30:34" ht="14.25" customHeight="1">
      <c r="AD341" s="2"/>
      <c r="AE341" s="2"/>
      <c r="AF341" s="2"/>
      <c r="AG341" s="2"/>
      <c r="AH341" s="2"/>
    </row>
    <row r="342" spans="30:34" ht="14.25" customHeight="1">
      <c r="AD342" s="2"/>
      <c r="AE342" s="2"/>
      <c r="AF342" s="2"/>
      <c r="AG342" s="2"/>
      <c r="AH342" s="2"/>
    </row>
    <row r="343" spans="30:34" ht="14.25" customHeight="1">
      <c r="AD343" s="2"/>
      <c r="AE343" s="2"/>
      <c r="AF343" s="2"/>
      <c r="AG343" s="2"/>
      <c r="AH343" s="2"/>
    </row>
    <row r="344" spans="30:34" ht="14.25" customHeight="1">
      <c r="AD344" s="2"/>
      <c r="AE344" s="2"/>
      <c r="AF344" s="2"/>
      <c r="AG344" s="2"/>
      <c r="AH344" s="2"/>
    </row>
    <row r="345" spans="30:34" ht="14.25" customHeight="1">
      <c r="AD345" s="2"/>
      <c r="AE345" s="2"/>
      <c r="AF345" s="2"/>
      <c r="AG345" s="2"/>
      <c r="AH345" s="2"/>
    </row>
    <row r="346" spans="30:34" ht="14.25" customHeight="1">
      <c r="AD346" s="2"/>
      <c r="AE346" s="2"/>
      <c r="AF346" s="2"/>
      <c r="AG346" s="2"/>
      <c r="AH346" s="2"/>
    </row>
    <row r="347" spans="30:34" ht="14.25" customHeight="1">
      <c r="AD347" s="2"/>
      <c r="AE347" s="2"/>
      <c r="AF347" s="2"/>
      <c r="AG347" s="2"/>
      <c r="AH347" s="2"/>
    </row>
    <row r="348" spans="30:34" ht="14.25" customHeight="1">
      <c r="AD348" s="2"/>
      <c r="AE348" s="2"/>
      <c r="AF348" s="2"/>
      <c r="AG348" s="2"/>
      <c r="AH348" s="2"/>
    </row>
    <row r="349" spans="30:34" ht="14.25" customHeight="1">
      <c r="AD349" s="2"/>
      <c r="AE349" s="2"/>
      <c r="AF349" s="2"/>
      <c r="AG349" s="2"/>
      <c r="AH349" s="2"/>
    </row>
    <row r="350" spans="30:34" ht="14.25" customHeight="1">
      <c r="AD350" s="2"/>
      <c r="AE350" s="2"/>
      <c r="AF350" s="2"/>
      <c r="AG350" s="2"/>
      <c r="AH350" s="2"/>
    </row>
    <row r="351" spans="30:34" ht="14.25" customHeight="1">
      <c r="AD351" s="2"/>
      <c r="AE351" s="2"/>
      <c r="AF351" s="2"/>
      <c r="AG351" s="2"/>
      <c r="AH351" s="2"/>
    </row>
    <row r="352" spans="30:34" ht="14.25" customHeight="1">
      <c r="AD352" s="2"/>
      <c r="AE352" s="2"/>
      <c r="AF352" s="2"/>
      <c r="AG352" s="2"/>
      <c r="AH352" s="2"/>
    </row>
    <row r="353" spans="30:34" ht="14.25" customHeight="1">
      <c r="AD353" s="2"/>
      <c r="AE353" s="2"/>
      <c r="AF353" s="2"/>
      <c r="AG353" s="2"/>
      <c r="AH353" s="2"/>
    </row>
    <row r="354" spans="30:34" ht="14.25" customHeight="1">
      <c r="AD354" s="2"/>
      <c r="AE354" s="2"/>
      <c r="AF354" s="2"/>
      <c r="AG354" s="2"/>
      <c r="AH354" s="2"/>
    </row>
    <row r="355" spans="30:34" ht="14.25" customHeight="1">
      <c r="AD355" s="2"/>
      <c r="AE355" s="2"/>
      <c r="AF355" s="2"/>
      <c r="AG355" s="2"/>
      <c r="AH355" s="2"/>
    </row>
    <row r="356" spans="30:34" ht="14.25" customHeight="1">
      <c r="AD356" s="2"/>
      <c r="AE356" s="2"/>
      <c r="AF356" s="2"/>
      <c r="AG356" s="2"/>
      <c r="AH356" s="2"/>
    </row>
    <row r="357" spans="30:34" ht="14.25" customHeight="1">
      <c r="AD357" s="2"/>
      <c r="AE357" s="2"/>
      <c r="AF357" s="2"/>
      <c r="AG357" s="2"/>
      <c r="AH357" s="2"/>
    </row>
    <row r="358" spans="30:34" ht="14.25" customHeight="1">
      <c r="AD358" s="2"/>
      <c r="AE358" s="2"/>
      <c r="AF358" s="2"/>
      <c r="AG358" s="2"/>
      <c r="AH358" s="2"/>
    </row>
    <row r="359" spans="30:34" ht="14.25" customHeight="1">
      <c r="AD359" s="2"/>
      <c r="AE359" s="2"/>
      <c r="AF359" s="2"/>
      <c r="AG359" s="2"/>
      <c r="AH359" s="2"/>
    </row>
    <row r="360" spans="30:34" ht="14.25" customHeight="1">
      <c r="AD360" s="2"/>
      <c r="AE360" s="2"/>
      <c r="AF360" s="2"/>
      <c r="AG360" s="2"/>
      <c r="AH360" s="2"/>
    </row>
    <row r="361" spans="30:34" ht="14.25" customHeight="1">
      <c r="AD361" s="2"/>
      <c r="AE361" s="2"/>
      <c r="AF361" s="2"/>
      <c r="AG361" s="2"/>
      <c r="AH361" s="2"/>
    </row>
    <row r="362" spans="30:34" ht="14.25" customHeight="1">
      <c r="AD362" s="2"/>
      <c r="AE362" s="2"/>
      <c r="AF362" s="2"/>
      <c r="AG362" s="2"/>
      <c r="AH362" s="2"/>
    </row>
    <row r="363" spans="30:34" ht="14.25" customHeight="1">
      <c r="AD363" s="2"/>
      <c r="AE363" s="2"/>
      <c r="AF363" s="2"/>
      <c r="AG363" s="2"/>
      <c r="AH363" s="2"/>
    </row>
    <row r="364" spans="30:34" ht="14.25" customHeight="1">
      <c r="AD364" s="2"/>
      <c r="AE364" s="2"/>
      <c r="AF364" s="2"/>
      <c r="AG364" s="2"/>
      <c r="AH364" s="2"/>
    </row>
    <row r="365" spans="30:34" ht="14.25" customHeight="1">
      <c r="AD365" s="2"/>
      <c r="AE365" s="2"/>
      <c r="AF365" s="2"/>
      <c r="AG365" s="2"/>
      <c r="AH365" s="2"/>
    </row>
    <row r="366" spans="30:34" ht="14.25" customHeight="1">
      <c r="AD366" s="2"/>
      <c r="AE366" s="2"/>
      <c r="AF366" s="2"/>
      <c r="AG366" s="2"/>
      <c r="AH366" s="2"/>
    </row>
    <row r="367" spans="30:34" ht="14.25" customHeight="1">
      <c r="AD367" s="2"/>
      <c r="AE367" s="2"/>
      <c r="AF367" s="2"/>
      <c r="AG367" s="2"/>
      <c r="AH367" s="2"/>
    </row>
    <row r="368" spans="30:34" ht="14.25" customHeight="1">
      <c r="AD368" s="2"/>
      <c r="AE368" s="2"/>
      <c r="AF368" s="2"/>
      <c r="AG368" s="2"/>
      <c r="AH368" s="2"/>
    </row>
    <row r="369" spans="30:34" ht="14.25" customHeight="1">
      <c r="AD369" s="2"/>
      <c r="AE369" s="2"/>
      <c r="AF369" s="2"/>
      <c r="AG369" s="2"/>
      <c r="AH369" s="2"/>
    </row>
    <row r="370" spans="30:34" ht="14.25" customHeight="1">
      <c r="AD370" s="2"/>
      <c r="AE370" s="2"/>
      <c r="AF370" s="2"/>
      <c r="AG370" s="2"/>
      <c r="AH370" s="2"/>
    </row>
    <row r="371" spans="30:34" ht="14.25" customHeight="1">
      <c r="AD371" s="2"/>
      <c r="AE371" s="2"/>
      <c r="AF371" s="2"/>
      <c r="AG371" s="2"/>
      <c r="AH371" s="2"/>
    </row>
    <row r="372" spans="30:34" ht="14.25" customHeight="1">
      <c r="AD372" s="2"/>
      <c r="AE372" s="2"/>
      <c r="AF372" s="2"/>
      <c r="AG372" s="2"/>
      <c r="AH372" s="2"/>
    </row>
    <row r="373" spans="30:34" ht="14.25" customHeight="1">
      <c r="AD373" s="2"/>
      <c r="AE373" s="2"/>
      <c r="AF373" s="2"/>
      <c r="AG373" s="2"/>
      <c r="AH373" s="2"/>
    </row>
    <row r="374" spans="30:34" ht="14.25" customHeight="1">
      <c r="AD374" s="2"/>
      <c r="AE374" s="2"/>
      <c r="AF374" s="2"/>
      <c r="AG374" s="2"/>
      <c r="AH374" s="2"/>
    </row>
    <row r="375" spans="30:34" ht="14.25" customHeight="1">
      <c r="AD375" s="2"/>
      <c r="AE375" s="2"/>
      <c r="AF375" s="2"/>
      <c r="AG375" s="2"/>
      <c r="AH375" s="2"/>
    </row>
    <row r="376" spans="30:34" ht="14.25" customHeight="1">
      <c r="AD376" s="2"/>
      <c r="AE376" s="2"/>
      <c r="AF376" s="2"/>
      <c r="AG376" s="2"/>
      <c r="AH376" s="2"/>
    </row>
    <row r="377" spans="30:34" ht="14.25" customHeight="1">
      <c r="AD377" s="2"/>
      <c r="AE377" s="2"/>
      <c r="AF377" s="2"/>
      <c r="AG377" s="2"/>
      <c r="AH377" s="2"/>
    </row>
    <row r="378" spans="30:34" ht="14.25" customHeight="1">
      <c r="AD378" s="2"/>
      <c r="AE378" s="2"/>
      <c r="AF378" s="2"/>
      <c r="AG378" s="2"/>
      <c r="AH378" s="2"/>
    </row>
    <row r="379" spans="30:34" ht="14.25" customHeight="1">
      <c r="AD379" s="2"/>
      <c r="AE379" s="2"/>
      <c r="AF379" s="2"/>
      <c r="AG379" s="2"/>
      <c r="AH379" s="2"/>
    </row>
    <row r="380" spans="30:34" ht="14.25" customHeight="1">
      <c r="AD380" s="2"/>
      <c r="AE380" s="2"/>
      <c r="AF380" s="2"/>
      <c r="AG380" s="2"/>
      <c r="AH380" s="2"/>
    </row>
    <row r="381" spans="30:34" ht="14.25" customHeight="1">
      <c r="AD381" s="2"/>
      <c r="AE381" s="2"/>
      <c r="AF381" s="2"/>
      <c r="AG381" s="2"/>
      <c r="AH381" s="2"/>
    </row>
    <row r="382" spans="30:34" ht="14.25" customHeight="1">
      <c r="AD382" s="2"/>
      <c r="AE382" s="2"/>
      <c r="AF382" s="2"/>
      <c r="AG382" s="2"/>
      <c r="AH382" s="2"/>
    </row>
    <row r="383" spans="30:34" ht="14.25" customHeight="1">
      <c r="AD383" s="2"/>
      <c r="AE383" s="2"/>
      <c r="AF383" s="2"/>
      <c r="AG383" s="2"/>
      <c r="AH383" s="2"/>
    </row>
    <row r="384" spans="30:34" ht="14.25" customHeight="1">
      <c r="AD384" s="2"/>
      <c r="AE384" s="2"/>
      <c r="AF384" s="2"/>
      <c r="AG384" s="2"/>
      <c r="AH384" s="2"/>
    </row>
    <row r="385" spans="30:34" ht="14.25" customHeight="1">
      <c r="AD385" s="2"/>
      <c r="AE385" s="2"/>
      <c r="AF385" s="2"/>
      <c r="AG385" s="2"/>
      <c r="AH385" s="2"/>
    </row>
    <row r="386" spans="30:34" ht="14.25" customHeight="1">
      <c r="AD386" s="2"/>
      <c r="AE386" s="2"/>
      <c r="AF386" s="2"/>
      <c r="AG386" s="2"/>
      <c r="AH386" s="2"/>
    </row>
    <row r="387" spans="30:34" ht="14.25" customHeight="1">
      <c r="AD387" s="2"/>
      <c r="AE387" s="2"/>
      <c r="AF387" s="2"/>
      <c r="AG387" s="2"/>
      <c r="AH387" s="2"/>
    </row>
    <row r="388" spans="30:34" ht="14.25" customHeight="1">
      <c r="AD388" s="2"/>
      <c r="AE388" s="2"/>
      <c r="AF388" s="2"/>
      <c r="AG388" s="2"/>
      <c r="AH388" s="2"/>
    </row>
    <row r="389" spans="30:34" ht="14.25" customHeight="1">
      <c r="AD389" s="2"/>
      <c r="AE389" s="2"/>
      <c r="AF389" s="2"/>
      <c r="AG389" s="2"/>
      <c r="AH389" s="2"/>
    </row>
    <row r="390" spans="30:34" ht="14.25" customHeight="1">
      <c r="AD390" s="2"/>
      <c r="AE390" s="2"/>
      <c r="AF390" s="2"/>
      <c r="AG390" s="2"/>
      <c r="AH390" s="2"/>
    </row>
    <row r="391" spans="30:34" ht="14.25" customHeight="1">
      <c r="AD391" s="2"/>
      <c r="AE391" s="2"/>
      <c r="AF391" s="2"/>
      <c r="AG391" s="2"/>
      <c r="AH391" s="2"/>
    </row>
    <row r="392" spans="30:34" ht="14.25" customHeight="1">
      <c r="AD392" s="2"/>
      <c r="AE392" s="2"/>
      <c r="AF392" s="2"/>
      <c r="AG392" s="2"/>
      <c r="AH392" s="2"/>
    </row>
    <row r="393" spans="30:34" ht="14.25" customHeight="1">
      <c r="AD393" s="2"/>
      <c r="AE393" s="2"/>
      <c r="AF393" s="2"/>
      <c r="AG393" s="2"/>
      <c r="AH393" s="2"/>
    </row>
    <row r="394" spans="30:34" ht="14.25" customHeight="1">
      <c r="AD394" s="2"/>
      <c r="AE394" s="2"/>
      <c r="AF394" s="2"/>
      <c r="AG394" s="2"/>
      <c r="AH394" s="2"/>
    </row>
    <row r="395" spans="30:34" ht="14.25" customHeight="1">
      <c r="AD395" s="2"/>
      <c r="AE395" s="2"/>
      <c r="AF395" s="2"/>
      <c r="AG395" s="2"/>
      <c r="AH395" s="2"/>
    </row>
    <row r="396" spans="30:34" ht="14.25" customHeight="1">
      <c r="AD396" s="2"/>
      <c r="AE396" s="2"/>
      <c r="AF396" s="2"/>
      <c r="AG396" s="2"/>
      <c r="AH396" s="2"/>
    </row>
    <row r="397" spans="30:34" ht="14.25" customHeight="1">
      <c r="AD397" s="2"/>
      <c r="AE397" s="2"/>
      <c r="AF397" s="2"/>
      <c r="AG397" s="2"/>
      <c r="AH397" s="2"/>
    </row>
    <row r="398" spans="30:34" ht="14.25" customHeight="1">
      <c r="AD398" s="2"/>
      <c r="AE398" s="2"/>
      <c r="AF398" s="2"/>
      <c r="AG398" s="2"/>
      <c r="AH398" s="2"/>
    </row>
    <row r="399" spans="30:34" ht="14.25" customHeight="1">
      <c r="AD399" s="2"/>
      <c r="AE399" s="2"/>
      <c r="AF399" s="2"/>
      <c r="AG399" s="2"/>
      <c r="AH399" s="2"/>
    </row>
    <row r="400" spans="30:34" ht="14.25" customHeight="1">
      <c r="AD400" s="2"/>
      <c r="AE400" s="2"/>
      <c r="AF400" s="2"/>
      <c r="AG400" s="2"/>
      <c r="AH400" s="2"/>
    </row>
    <row r="401" spans="30:34" ht="14.25" customHeight="1">
      <c r="AD401" s="2"/>
      <c r="AE401" s="2"/>
      <c r="AF401" s="2"/>
      <c r="AG401" s="2"/>
      <c r="AH401" s="2"/>
    </row>
    <row r="402" spans="30:34" ht="14.25" customHeight="1">
      <c r="AD402" s="2"/>
      <c r="AE402" s="2"/>
      <c r="AF402" s="2"/>
      <c r="AG402" s="2"/>
      <c r="AH402" s="2"/>
    </row>
    <row r="403" spans="30:34" ht="14.25" customHeight="1">
      <c r="AD403" s="2"/>
      <c r="AE403" s="2"/>
      <c r="AF403" s="2"/>
      <c r="AG403" s="2"/>
      <c r="AH403" s="2"/>
    </row>
    <row r="404" spans="30:34" ht="14.25" customHeight="1">
      <c r="AD404" s="2"/>
      <c r="AE404" s="2"/>
      <c r="AF404" s="2"/>
      <c r="AG404" s="2"/>
      <c r="AH404" s="2"/>
    </row>
    <row r="405" spans="30:34" ht="14.25" customHeight="1">
      <c r="AD405" s="2"/>
      <c r="AE405" s="2"/>
      <c r="AF405" s="2"/>
      <c r="AG405" s="2"/>
      <c r="AH405" s="2"/>
    </row>
    <row r="406" spans="30:34" ht="14.25" customHeight="1">
      <c r="AD406" s="2"/>
      <c r="AE406" s="2"/>
      <c r="AF406" s="2"/>
      <c r="AG406" s="2"/>
      <c r="AH406" s="2"/>
    </row>
    <row r="407" spans="30:34" ht="14.25" customHeight="1">
      <c r="AD407" s="2"/>
      <c r="AE407" s="2"/>
      <c r="AF407" s="2"/>
      <c r="AG407" s="2"/>
      <c r="AH407" s="2"/>
    </row>
    <row r="408" spans="30:34" ht="14.25" customHeight="1">
      <c r="AD408" s="2"/>
      <c r="AE408" s="2"/>
      <c r="AF408" s="2"/>
      <c r="AG408" s="2"/>
      <c r="AH408" s="2"/>
    </row>
    <row r="409" spans="30:34" ht="14.25" customHeight="1">
      <c r="AD409" s="2"/>
      <c r="AE409" s="2"/>
      <c r="AF409" s="2"/>
      <c r="AG409" s="2"/>
      <c r="AH409" s="2"/>
    </row>
    <row r="410" spans="30:34" ht="14.25" customHeight="1">
      <c r="AD410" s="2"/>
      <c r="AE410" s="2"/>
      <c r="AF410" s="2"/>
      <c r="AG410" s="2"/>
      <c r="AH410" s="2"/>
    </row>
    <row r="411" spans="30:34" ht="14.25" customHeight="1">
      <c r="AD411" s="2"/>
      <c r="AE411" s="2"/>
      <c r="AF411" s="2"/>
      <c r="AG411" s="2"/>
      <c r="AH411" s="2"/>
    </row>
    <row r="412" spans="30:34" ht="14.25" customHeight="1">
      <c r="AD412" s="2"/>
      <c r="AE412" s="2"/>
      <c r="AF412" s="2"/>
      <c r="AG412" s="2"/>
      <c r="AH412" s="2"/>
    </row>
    <row r="413" spans="30:34" ht="14.25" customHeight="1">
      <c r="AD413" s="2"/>
      <c r="AE413" s="2"/>
      <c r="AF413" s="2"/>
      <c r="AG413" s="2"/>
      <c r="AH413" s="2"/>
    </row>
    <row r="414" spans="30:34" ht="14.25" customHeight="1">
      <c r="AD414" s="2"/>
      <c r="AE414" s="2"/>
      <c r="AF414" s="2"/>
      <c r="AG414" s="2"/>
      <c r="AH414" s="2"/>
    </row>
    <row r="415" spans="30:34" ht="14.25" customHeight="1">
      <c r="AD415" s="2"/>
      <c r="AE415" s="2"/>
      <c r="AF415" s="2"/>
      <c r="AG415" s="2"/>
      <c r="AH415" s="2"/>
    </row>
  </sheetData>
  <sheetProtection sheet="1" objects="1" scenarios="1" selectLockedCells="1"/>
  <mergeCells count="27">
    <mergeCell ref="L187:P187"/>
    <mergeCell ref="C24:C26"/>
    <mergeCell ref="P190:P191"/>
    <mergeCell ref="C190:C192"/>
    <mergeCell ref="D190:D192"/>
    <mergeCell ref="E190:E192"/>
    <mergeCell ref="F190:F192"/>
    <mergeCell ref="G190:G192"/>
    <mergeCell ref="H190:H192"/>
    <mergeCell ref="L190:L191"/>
    <mergeCell ref="M190:M191"/>
    <mergeCell ref="N190:N191"/>
    <mergeCell ref="O190:O191"/>
    <mergeCell ref="D24:D26"/>
    <mergeCell ref="E24:E26"/>
    <mergeCell ref="F24:F26"/>
    <mergeCell ref="G24:G26"/>
    <mergeCell ref="R19:R23"/>
    <mergeCell ref="H24:H26"/>
    <mergeCell ref="I24:I26"/>
    <mergeCell ref="S20:S23"/>
    <mergeCell ref="L23:P23"/>
    <mergeCell ref="L24:L25"/>
    <mergeCell ref="M24:M25"/>
    <mergeCell ref="N24:N25"/>
    <mergeCell ref="O24:O25"/>
    <mergeCell ref="P24:P25"/>
  </mergeCells>
  <phoneticPr fontId="5"/>
  <dataValidations count="4">
    <dataValidation type="whole" operator="greaterThan" allowBlank="1" showInputMessage="1" showErrorMessage="1" error="0より大きい数値を整数で入力してください。" sqref="N27:N176 N193:N242" xr:uid="{00000000-0002-0000-1500-000000000000}">
      <formula1>0</formula1>
    </dataValidation>
    <dataValidation type="custom" operator="greaterThan" allowBlank="1" showInputMessage="1" showErrorMessage="1" error="0より大きい小数点第１位までの数値を入力してください。" sqref="E27:F176 E193:F242" xr:uid="{00000000-0002-0000-1500-000001000000}">
      <formula1>AND(AND(E27*10=INT(E27*10)),(E27&gt;0))</formula1>
    </dataValidation>
    <dataValidation type="textLength" imeMode="hiragana" operator="greaterThanOrEqual" allowBlank="1" showInputMessage="1" showErrorMessage="1" sqref="D27:D176 D193:D242" xr:uid="{00000000-0002-0000-1500-000002000000}">
      <formula1>1</formula1>
    </dataValidation>
    <dataValidation type="custom" allowBlank="1" showInputMessage="1" showErrorMessage="1" error="0.001~100の範囲で小数点第３位までの数値を入力してください。" sqref="G27:G176 G193:G242" xr:uid="{00000000-0002-0000-1500-000003000000}">
      <formula1>AND(AND(G27*1000=INT(G27*1000)),(G27&gt;0),(G27&lt;=100))</formula1>
    </dataValidation>
  </dataValidations>
  <pageMargins left="0.19685039370078741" right="0.19685039370078741" top="0.59055118110236227" bottom="0.59055118110236227" header="0" footer="0"/>
  <pageSetup paperSize="9" scale="31"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8438" r:id="rId5" name="btnKoushin2">
          <controlPr defaultSize="0" print="0" autoLine="0" r:id="rId6">
            <anchor moveWithCells="1">
              <from>
                <xdr:col>5</xdr:col>
                <xdr:colOff>95250</xdr:colOff>
                <xdr:row>182</xdr:row>
                <xdr:rowOff>152400</xdr:rowOff>
              </from>
              <to>
                <xdr:col>6</xdr:col>
                <xdr:colOff>219075</xdr:colOff>
                <xdr:row>184</xdr:row>
                <xdr:rowOff>209550</xdr:rowOff>
              </to>
            </anchor>
          </controlPr>
        </control>
      </mc:Choice>
      <mc:Fallback>
        <control shapeId="18438" r:id="rId5" name="btnKoushin2"/>
      </mc:Fallback>
    </mc:AlternateContent>
    <mc:AlternateContent xmlns:mc="http://schemas.openxmlformats.org/markup-compatibility/2006">
      <mc:Choice Requires="x14">
        <control shapeId="18437" r:id="rId7" name="txt_hyouji2">
          <controlPr locked="0" defaultSize="0" print="0" autoLine="0" r:id="rId8">
            <anchor moveWithCells="1">
              <from>
                <xdr:col>4</xdr:col>
                <xdr:colOff>47625</xdr:colOff>
                <xdr:row>184</xdr:row>
                <xdr:rowOff>0</xdr:rowOff>
              </from>
              <to>
                <xdr:col>4</xdr:col>
                <xdr:colOff>1114425</xdr:colOff>
                <xdr:row>184</xdr:row>
                <xdr:rowOff>209550</xdr:rowOff>
              </to>
            </anchor>
          </controlPr>
        </control>
      </mc:Choice>
      <mc:Fallback>
        <control shapeId="18437" r:id="rId7" name="txt_hyouji2"/>
      </mc:Fallback>
    </mc:AlternateContent>
    <mc:AlternateContent xmlns:mc="http://schemas.openxmlformats.org/markup-compatibility/2006">
      <mc:Choice Requires="x14">
        <control shapeId="18436" r:id="rId9" name="Label2">
          <controlPr defaultSize="0" print="0" autoLine="0" r:id="rId10">
            <anchor moveWithCells="1">
              <from>
                <xdr:col>4</xdr:col>
                <xdr:colOff>47625</xdr:colOff>
                <xdr:row>182</xdr:row>
                <xdr:rowOff>152400</xdr:rowOff>
              </from>
              <to>
                <xdr:col>4</xdr:col>
                <xdr:colOff>1114425</xdr:colOff>
                <xdr:row>184</xdr:row>
                <xdr:rowOff>0</xdr:rowOff>
              </to>
            </anchor>
          </controlPr>
        </control>
      </mc:Choice>
      <mc:Fallback>
        <control shapeId="18436" r:id="rId9" name="Label2"/>
      </mc:Fallback>
    </mc:AlternateContent>
    <mc:AlternateContent xmlns:mc="http://schemas.openxmlformats.org/markup-compatibility/2006">
      <mc:Choice Requires="x14">
        <control shapeId="18435" r:id="rId11" name="btnKoushin1">
          <controlPr defaultSize="0" print="0" autoLine="0" r:id="rId12">
            <anchor moveWithCells="1">
              <from>
                <xdr:col>5</xdr:col>
                <xdr:colOff>47625</xdr:colOff>
                <xdr:row>17</xdr:row>
                <xdr:rowOff>66675</xdr:rowOff>
              </from>
              <to>
                <xdr:col>6</xdr:col>
                <xdr:colOff>171450</xdr:colOff>
                <xdr:row>19</xdr:row>
                <xdr:rowOff>19050</xdr:rowOff>
              </to>
            </anchor>
          </controlPr>
        </control>
      </mc:Choice>
      <mc:Fallback>
        <control shapeId="18435" r:id="rId11" name="btnKoushin1"/>
      </mc:Fallback>
    </mc:AlternateContent>
    <mc:AlternateContent xmlns:mc="http://schemas.openxmlformats.org/markup-compatibility/2006">
      <mc:Choice Requires="x14">
        <control shapeId="18434" r:id="rId13" name="txt_hyouji1">
          <controlPr locked="0" defaultSize="0" print="0" autoLine="0" r:id="rId14">
            <anchor moveWithCells="1">
              <from>
                <xdr:col>4</xdr:col>
                <xdr:colOff>0</xdr:colOff>
                <xdr:row>18</xdr:row>
                <xdr:rowOff>47625</xdr:rowOff>
              </from>
              <to>
                <xdr:col>4</xdr:col>
                <xdr:colOff>1066800</xdr:colOff>
                <xdr:row>19</xdr:row>
                <xdr:rowOff>19050</xdr:rowOff>
              </to>
            </anchor>
          </controlPr>
        </control>
      </mc:Choice>
      <mc:Fallback>
        <control shapeId="18434" r:id="rId13" name="txt_hyouji1"/>
      </mc:Fallback>
    </mc:AlternateContent>
    <mc:AlternateContent xmlns:mc="http://schemas.openxmlformats.org/markup-compatibility/2006">
      <mc:Choice Requires="x14">
        <control shapeId="18433" r:id="rId15" name="Label1">
          <controlPr defaultSize="0" print="0" autoLine="0" r:id="rId16">
            <anchor moveWithCells="1">
              <from>
                <xdr:col>4</xdr:col>
                <xdr:colOff>0</xdr:colOff>
                <xdr:row>17</xdr:row>
                <xdr:rowOff>66675</xdr:rowOff>
              </from>
              <to>
                <xdr:col>4</xdr:col>
                <xdr:colOff>1066800</xdr:colOff>
                <xdr:row>18</xdr:row>
                <xdr:rowOff>47625</xdr:rowOff>
              </to>
            </anchor>
          </controlPr>
        </control>
      </mc:Choice>
      <mc:Fallback>
        <control shapeId="18433" r:id="rId15" name="Label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4000000}">
          <x14:formula1>
            <xm:f>リスト!$CL$5:$CL$6</xm:f>
          </x14:formula1>
          <xm:sqref>H27:H176</xm:sqref>
        </x14:dataValidation>
        <x14:dataValidation type="list" allowBlank="1" showInputMessage="1" showErrorMessage="1" xr:uid="{00000000-0002-0000-1500-000005000000}">
          <x14:formula1>
            <xm:f>リスト!$BB$5:$BB$6</xm:f>
          </x14:formula1>
          <xm:sqref>I27:I176</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5">
    <outlinePr summaryBelow="0"/>
    <pageSetUpPr fitToPage="1"/>
  </sheetPr>
  <dimension ref="A1:BA527"/>
  <sheetViews>
    <sheetView showGridLines="0" zoomScale="80" zoomScaleNormal="80" zoomScaleSheetLayoutView="80" workbookViewId="0">
      <selection activeCell="D25" sqref="D25"/>
    </sheetView>
  </sheetViews>
  <sheetFormatPr defaultColWidth="2.625" defaultRowHeight="14.25" customHeight="1" outlineLevelRow="1" outlineLevelCol="1"/>
  <cols>
    <col min="1" max="1" width="0.875" style="128" customWidth="1"/>
    <col min="2" max="2" width="2.625" style="128" customWidth="1"/>
    <col min="3" max="3" width="3.875" style="949" customWidth="1"/>
    <col min="4" max="4" width="25" style="128" customWidth="1"/>
    <col min="5" max="6" width="15" style="128" customWidth="1"/>
    <col min="7" max="7" width="17.5" style="128" customWidth="1"/>
    <col min="8" max="8" width="8.625" style="144" bestFit="1" customWidth="1"/>
    <col min="9" max="9" width="8.625" style="144" customWidth="1"/>
    <col min="10" max="10" width="8.625" style="2" hidden="1" customWidth="1"/>
    <col min="11" max="11" width="8.875" style="128" customWidth="1"/>
    <col min="12" max="12" width="8.875" style="128" customWidth="1" outlineLevel="1"/>
    <col min="13" max="14" width="15" style="128" customWidth="1" outlineLevel="1"/>
    <col min="15" max="16" width="17.5" style="128" customWidth="1" outlineLevel="1"/>
    <col min="17" max="18" width="2.625" style="128" customWidth="1"/>
    <col min="19" max="19" width="6.75" style="128" customWidth="1"/>
    <col min="20" max="21" width="15" style="128" customWidth="1"/>
    <col min="22" max="22" width="10" style="128" customWidth="1"/>
    <col min="23" max="23" width="8.625" style="144" bestFit="1" customWidth="1"/>
    <col min="24" max="24" width="5.125" style="226" customWidth="1"/>
    <col min="25" max="29" width="15" style="128" customWidth="1"/>
    <col min="30" max="30" width="2.375" style="128" customWidth="1"/>
    <col min="31" max="33" width="2.625" style="128" customWidth="1"/>
    <col min="34" max="34" width="25" style="128" customWidth="1"/>
    <col min="35" max="37" width="15" style="128" customWidth="1"/>
    <col min="38" max="38" width="10" style="128" customWidth="1"/>
    <col min="39" max="39" width="8.625" style="144" bestFit="1" customWidth="1"/>
    <col min="40" max="40" width="5.125" style="226" customWidth="1"/>
    <col min="41" max="44" width="15" style="128" customWidth="1"/>
    <col min="45" max="46" width="2.625" style="128" customWidth="1"/>
    <col min="47" max="47" width="25" style="128" customWidth="1"/>
    <col min="48" max="50" width="15" style="128" customWidth="1"/>
    <col min="51" max="51" width="10" style="128" customWidth="1"/>
    <col min="52" max="52" width="8.625" style="144" bestFit="1" customWidth="1"/>
    <col min="53" max="53" width="5.125" style="226" customWidth="1"/>
    <col min="54" max="57" width="15" style="128" customWidth="1"/>
    <col min="58" max="16384" width="2.625" style="128"/>
  </cols>
  <sheetData>
    <row r="1" spans="1:34" ht="14.25" customHeight="1">
      <c r="C1" s="128"/>
      <c r="H1" s="128"/>
      <c r="I1" s="128"/>
      <c r="J1" s="144"/>
      <c r="K1" s="226"/>
      <c r="L1" s="226"/>
      <c r="M1" s="131" t="s">
        <v>680</v>
      </c>
      <c r="N1" s="144"/>
      <c r="O1" s="144"/>
      <c r="P1" s="144"/>
      <c r="AD1" s="2"/>
      <c r="AE1" s="2"/>
      <c r="AF1" s="2"/>
      <c r="AG1" s="2"/>
      <c r="AH1" s="2"/>
    </row>
    <row r="2" spans="1:34" ht="14.25" customHeight="1">
      <c r="A2" s="131"/>
      <c r="B2" s="131"/>
      <c r="C2" s="131"/>
      <c r="D2" s="131"/>
      <c r="E2" s="131"/>
      <c r="F2" s="131"/>
      <c r="G2" s="131"/>
      <c r="H2" s="131"/>
      <c r="I2" s="131"/>
      <c r="J2" s="144"/>
      <c r="K2" s="227"/>
      <c r="L2" s="227"/>
      <c r="M2" s="131"/>
      <c r="N2" s="131"/>
      <c r="O2" s="131"/>
      <c r="P2" s="131"/>
      <c r="AD2" s="2"/>
      <c r="AE2" s="2"/>
      <c r="AF2" s="2"/>
      <c r="AG2" s="2"/>
      <c r="AH2" s="2"/>
    </row>
    <row r="3" spans="1:34" ht="14.25" customHeight="1">
      <c r="B3" s="153"/>
      <c r="C3" s="128"/>
      <c r="H3" s="128"/>
      <c r="I3" s="128"/>
      <c r="J3" s="144"/>
      <c r="K3" s="226"/>
      <c r="L3" s="226"/>
      <c r="AD3" s="2"/>
      <c r="AE3" s="2"/>
      <c r="AF3" s="2"/>
      <c r="AG3" s="2"/>
      <c r="AH3" s="2"/>
    </row>
    <row r="4" spans="1:34" ht="14.25" customHeight="1">
      <c r="B4" s="130"/>
      <c r="C4" s="128"/>
      <c r="H4" s="128"/>
      <c r="I4" s="128"/>
      <c r="J4" s="144"/>
      <c r="K4" s="226"/>
      <c r="L4" s="226"/>
      <c r="AD4" s="2"/>
      <c r="AE4" s="2"/>
      <c r="AF4" s="2"/>
      <c r="AG4" s="2"/>
      <c r="AH4" s="2"/>
    </row>
    <row r="5" spans="1:34" ht="14.25" customHeight="1">
      <c r="C5" s="712"/>
      <c r="H5" s="128"/>
      <c r="I5" s="128"/>
      <c r="J5" s="144"/>
      <c r="K5" s="226"/>
      <c r="L5" s="226"/>
      <c r="AD5" s="2"/>
      <c r="AE5" s="2"/>
      <c r="AF5" s="2"/>
      <c r="AG5" s="2"/>
      <c r="AH5" s="2"/>
    </row>
    <row r="6" spans="1:34" ht="14.25" customHeight="1">
      <c r="C6" s="128"/>
      <c r="H6" s="128"/>
      <c r="I6" s="128"/>
      <c r="J6" s="144"/>
      <c r="K6" s="226"/>
      <c r="L6" s="226"/>
      <c r="AD6" s="2"/>
      <c r="AE6" s="2"/>
      <c r="AF6" s="2"/>
      <c r="AG6" s="2"/>
      <c r="AH6" s="2"/>
    </row>
    <row r="7" spans="1:34" ht="14.25" customHeight="1">
      <c r="C7" s="128"/>
      <c r="H7" s="128"/>
      <c r="I7" s="128"/>
      <c r="J7" s="144"/>
      <c r="K7" s="226"/>
      <c r="L7" s="226"/>
      <c r="AD7" s="2"/>
      <c r="AE7" s="2"/>
      <c r="AF7" s="2"/>
      <c r="AG7" s="2"/>
      <c r="AH7" s="2"/>
    </row>
    <row r="8" spans="1:34" ht="14.25" customHeight="1">
      <c r="C8" s="128"/>
      <c r="H8" s="128"/>
      <c r="I8" s="128"/>
      <c r="J8" s="144"/>
      <c r="K8" s="226"/>
      <c r="L8" s="226"/>
      <c r="AD8" s="2"/>
      <c r="AE8" s="2"/>
      <c r="AF8" s="2"/>
      <c r="AG8" s="2"/>
      <c r="AH8" s="2"/>
    </row>
    <row r="9" spans="1:34" ht="14.25" customHeight="1">
      <c r="C9" s="128"/>
      <c r="H9" s="128"/>
      <c r="I9" s="128"/>
      <c r="J9" s="144"/>
      <c r="K9" s="226"/>
      <c r="L9" s="226"/>
      <c r="AD9" s="2"/>
      <c r="AE9" s="2"/>
      <c r="AF9" s="2"/>
      <c r="AG9" s="2"/>
      <c r="AH9" s="2"/>
    </row>
    <row r="10" spans="1:34" ht="14.25" customHeight="1">
      <c r="C10" s="128"/>
      <c r="H10" s="128"/>
      <c r="I10" s="128"/>
      <c r="J10" s="144"/>
      <c r="K10" s="226"/>
      <c r="L10" s="226"/>
      <c r="AD10" s="2"/>
      <c r="AE10" s="2"/>
      <c r="AF10" s="2"/>
      <c r="AG10" s="2"/>
      <c r="AH10" s="2"/>
    </row>
    <row r="11" spans="1:34" ht="14.25" customHeight="1">
      <c r="C11" s="128"/>
      <c r="H11" s="128"/>
      <c r="I11" s="128"/>
      <c r="J11" s="144"/>
      <c r="K11" s="226"/>
      <c r="L11" s="226"/>
      <c r="AD11" s="2"/>
      <c r="AE11" s="2"/>
      <c r="AF11" s="2"/>
      <c r="AG11" s="2"/>
      <c r="AH11" s="2"/>
    </row>
    <row r="12" spans="1:34" ht="14.25" customHeight="1">
      <c r="C12" s="128"/>
      <c r="H12" s="128"/>
      <c r="I12" s="128"/>
      <c r="J12" s="144"/>
      <c r="K12" s="226"/>
      <c r="L12" s="226"/>
      <c r="AD12" s="2"/>
      <c r="AE12" s="2"/>
      <c r="AF12" s="2"/>
      <c r="AG12" s="2"/>
      <c r="AH12" s="2"/>
    </row>
    <row r="13" spans="1:34" ht="14.25" customHeight="1">
      <c r="C13" s="128"/>
      <c r="H13" s="128"/>
      <c r="I13" s="128"/>
      <c r="J13" s="144"/>
      <c r="K13" s="226"/>
      <c r="L13" s="226"/>
      <c r="AD13" s="2"/>
      <c r="AE13" s="2"/>
      <c r="AF13" s="2"/>
      <c r="AG13" s="2"/>
      <c r="AH13" s="2"/>
    </row>
    <row r="14" spans="1:34" ht="14.25" customHeight="1">
      <c r="C14" s="128"/>
      <c r="H14" s="128"/>
      <c r="I14" s="128"/>
      <c r="J14" s="144"/>
      <c r="K14" s="226"/>
      <c r="L14" s="226"/>
      <c r="AD14" s="2"/>
      <c r="AE14" s="2"/>
      <c r="AF14" s="2"/>
      <c r="AG14" s="2"/>
      <c r="AH14" s="2"/>
    </row>
    <row r="15" spans="1:34" ht="14.25" customHeight="1">
      <c r="C15" s="128"/>
      <c r="H15" s="128"/>
      <c r="I15" s="128"/>
      <c r="J15" s="144"/>
      <c r="K15" s="226"/>
      <c r="L15" s="226"/>
      <c r="AD15" s="2"/>
      <c r="AE15" s="2"/>
      <c r="AF15" s="2"/>
      <c r="AG15" s="2"/>
      <c r="AH15" s="2"/>
    </row>
    <row r="16" spans="1:34" ht="14.25" customHeight="1">
      <c r="B16" s="130" t="s">
        <v>715</v>
      </c>
      <c r="C16" s="128"/>
      <c r="H16" s="128"/>
      <c r="I16" s="128"/>
      <c r="J16" s="144"/>
      <c r="K16" s="226"/>
      <c r="L16" s="226"/>
      <c r="M16" s="2"/>
      <c r="AD16" s="2"/>
      <c r="AE16" s="2"/>
      <c r="AF16" s="2"/>
      <c r="AG16" s="2"/>
      <c r="AH16" s="2"/>
    </row>
    <row r="17" spans="1:34" ht="14.25" customHeight="1">
      <c r="C17" s="130" t="s">
        <v>683</v>
      </c>
      <c r="H17" s="128"/>
      <c r="I17" s="128"/>
      <c r="J17" s="144"/>
      <c r="K17" s="226"/>
      <c r="L17" s="226"/>
      <c r="M17" s="674"/>
      <c r="N17" s="674"/>
      <c r="O17" s="674"/>
      <c r="P17" s="674"/>
      <c r="AD17" s="2"/>
      <c r="AE17" s="2"/>
      <c r="AF17" s="2"/>
      <c r="AG17" s="2"/>
      <c r="AH17" s="2"/>
    </row>
    <row r="18" spans="1:34" ht="14.25" customHeight="1">
      <c r="A18" s="131"/>
      <c r="B18" s="131"/>
      <c r="C18" s="131"/>
      <c r="D18" s="712" t="s">
        <v>716</v>
      </c>
      <c r="E18" s="131"/>
      <c r="F18" s="131"/>
      <c r="G18" s="131"/>
      <c r="H18" s="131"/>
      <c r="I18" s="131"/>
      <c r="J18" s="737"/>
      <c r="K18" s="227"/>
      <c r="L18" s="227"/>
      <c r="M18" s="674"/>
      <c r="N18" s="674"/>
      <c r="O18" s="674"/>
      <c r="P18" s="674"/>
      <c r="AD18" s="2"/>
      <c r="AE18" s="2"/>
      <c r="AF18" s="2"/>
      <c r="AG18" s="2"/>
      <c r="AH18" s="2"/>
    </row>
    <row r="19" spans="1:34" ht="14.25" customHeight="1">
      <c r="A19" s="131"/>
      <c r="B19" s="131"/>
      <c r="C19" s="131"/>
      <c r="D19" s="712" t="s">
        <v>688</v>
      </c>
      <c r="E19" s="131"/>
      <c r="F19" s="131"/>
      <c r="G19" s="131"/>
      <c r="H19" s="131"/>
      <c r="I19" s="131"/>
      <c r="J19" s="737"/>
      <c r="K19" s="227"/>
      <c r="L19" s="227"/>
      <c r="M19" s="674"/>
      <c r="N19" s="674"/>
      <c r="O19" s="674"/>
      <c r="P19" s="674"/>
      <c r="AD19" s="2"/>
      <c r="AE19" s="2"/>
      <c r="AF19" s="2"/>
      <c r="AG19" s="2"/>
      <c r="AH19" s="2"/>
    </row>
    <row r="20" spans="1:34" ht="14.25" hidden="1" customHeight="1">
      <c r="A20" s="131"/>
      <c r="B20" s="131"/>
      <c r="C20" s="131"/>
      <c r="D20" s="712"/>
      <c r="E20" s="131"/>
      <c r="F20" s="131"/>
      <c r="G20" s="131"/>
      <c r="H20" s="131"/>
      <c r="I20" s="131"/>
      <c r="J20" s="737"/>
      <c r="K20" s="227"/>
      <c r="L20" s="227"/>
      <c r="M20" s="995"/>
      <c r="N20" s="995"/>
      <c r="O20" s="995"/>
      <c r="P20" s="995"/>
      <c r="AD20" s="2"/>
      <c r="AE20" s="2"/>
      <c r="AF20" s="2"/>
      <c r="AG20" s="2"/>
      <c r="AH20" s="2"/>
    </row>
    <row r="21" spans="1:34" ht="18" customHeight="1" thickBot="1">
      <c r="A21" s="131"/>
      <c r="B21" s="131"/>
      <c r="C21" s="131"/>
      <c r="E21" s="131"/>
      <c r="F21" s="131"/>
      <c r="G21" s="131"/>
      <c r="H21" s="131"/>
      <c r="I21" s="131"/>
      <c r="J21" s="737"/>
      <c r="K21" s="227"/>
      <c r="L21" s="227"/>
      <c r="M21" s="2408" t="s">
        <v>684</v>
      </c>
      <c r="N21" s="2408"/>
      <c r="O21" s="2408"/>
      <c r="P21" s="2408"/>
      <c r="AD21" s="2"/>
      <c r="AE21" s="2"/>
      <c r="AF21" s="2"/>
      <c r="AG21" s="2"/>
      <c r="AH21" s="2"/>
    </row>
    <row r="22" spans="1:34" ht="21.75" customHeight="1">
      <c r="A22" s="170"/>
      <c r="B22" s="170"/>
      <c r="C22" s="2399" t="s">
        <v>689</v>
      </c>
      <c r="D22" s="1431" t="s">
        <v>690</v>
      </c>
      <c r="E22" s="2403" t="s">
        <v>691</v>
      </c>
      <c r="F22" s="2403" t="s">
        <v>717</v>
      </c>
      <c r="G22" s="2403" t="s">
        <v>718</v>
      </c>
      <c r="H22" s="1741" t="s">
        <v>332</v>
      </c>
      <c r="I22" s="2387" t="s">
        <v>693</v>
      </c>
      <c r="J22" s="2390" t="s">
        <v>694</v>
      </c>
      <c r="K22" s="226"/>
      <c r="L22" s="226"/>
      <c r="M22" s="2394" t="s">
        <v>719</v>
      </c>
      <c r="N22" s="2394" t="s">
        <v>720</v>
      </c>
      <c r="O22" s="2394" t="s">
        <v>721</v>
      </c>
      <c r="P22" s="2394" t="s">
        <v>722</v>
      </c>
      <c r="AD22" s="2"/>
      <c r="AE22" s="2"/>
      <c r="AF22" s="2"/>
      <c r="AG22" s="2"/>
      <c r="AH22" s="2"/>
    </row>
    <row r="23" spans="1:34" ht="21.75" customHeight="1">
      <c r="A23" s="170"/>
      <c r="B23" s="170"/>
      <c r="C23" s="2400"/>
      <c r="D23" s="1684"/>
      <c r="E23" s="2404"/>
      <c r="F23" s="2404"/>
      <c r="G23" s="2404"/>
      <c r="H23" s="1742"/>
      <c r="I23" s="2388"/>
      <c r="J23" s="2391"/>
      <c r="K23" s="226"/>
      <c r="L23" s="226"/>
      <c r="M23" s="2395"/>
      <c r="N23" s="2395"/>
      <c r="O23" s="2395"/>
      <c r="P23" s="2395"/>
      <c r="AD23" s="2"/>
      <c r="AE23" s="2"/>
      <c r="AF23" s="2"/>
      <c r="AG23" s="2"/>
      <c r="AH23" s="2"/>
    </row>
    <row r="24" spans="1:34" ht="30" customHeight="1" thickBot="1">
      <c r="A24" s="170"/>
      <c r="B24" s="170"/>
      <c r="C24" s="2401"/>
      <c r="D24" s="1684"/>
      <c r="E24" s="2404"/>
      <c r="F24" s="1739"/>
      <c r="G24" s="1828"/>
      <c r="H24" s="2409"/>
      <c r="I24" s="2389"/>
      <c r="J24" s="2391"/>
      <c r="K24" s="226"/>
      <c r="L24" s="226"/>
      <c r="M24" s="957">
        <f>SUM(M25:M174)</f>
        <v>0</v>
      </c>
      <c r="N24" s="957">
        <f>SUM(N25:N174)</f>
        <v>0</v>
      </c>
      <c r="O24" s="959">
        <f>SUM(O25:O174)</f>
        <v>0</v>
      </c>
      <c r="P24" s="959">
        <f>SUM(P25:P174)</f>
        <v>0</v>
      </c>
      <c r="AD24" s="2"/>
      <c r="AE24" s="2"/>
      <c r="AF24" s="2"/>
      <c r="AG24" s="2"/>
      <c r="AH24" s="2"/>
    </row>
    <row r="25" spans="1:34" ht="30" customHeight="1" thickTop="1">
      <c r="A25" s="145"/>
      <c r="B25" s="145"/>
      <c r="C25" s="960">
        <v>1</v>
      </c>
      <c r="D25" s="961"/>
      <c r="E25" s="962"/>
      <c r="F25" s="962"/>
      <c r="G25" s="781"/>
      <c r="H25" s="1287"/>
      <c r="I25" s="963"/>
      <c r="J25" s="996"/>
      <c r="K25" s="937"/>
      <c r="L25" s="552"/>
      <c r="M25" s="955">
        <f>IF($H25&gt;0,E25,)</f>
        <v>0</v>
      </c>
      <c r="N25" s="955">
        <f>IF($H25&gt;0,F25,)</f>
        <v>0</v>
      </c>
      <c r="O25" s="967">
        <f>IF(H25&gt;0,ROUND(G25,),)</f>
        <v>0</v>
      </c>
      <c r="P25" s="967">
        <f>ROUND(O25*H25%,)</f>
        <v>0</v>
      </c>
      <c r="AD25" s="2"/>
      <c r="AE25" s="2"/>
      <c r="AF25" s="2"/>
      <c r="AG25" s="2"/>
      <c r="AH25" s="2"/>
    </row>
    <row r="26" spans="1:34" ht="30" customHeight="1">
      <c r="A26" s="145"/>
      <c r="B26" s="145"/>
      <c r="C26" s="968">
        <v>2</v>
      </c>
      <c r="D26" s="969"/>
      <c r="E26" s="970"/>
      <c r="F26" s="970"/>
      <c r="G26" s="997"/>
      <c r="H26" s="1288"/>
      <c r="I26" s="971"/>
      <c r="J26" s="998"/>
      <c r="K26" s="937"/>
      <c r="L26" s="552"/>
      <c r="M26" s="956">
        <f t="shared" ref="M26:N153" si="0">IF($H26&gt;0,E26,)</f>
        <v>0</v>
      </c>
      <c r="N26" s="973">
        <f t="shared" si="0"/>
        <v>0</v>
      </c>
      <c r="O26" s="321">
        <f t="shared" ref="O26:O174" si="1">IF(H26&gt;0,ROUND(G26,),)</f>
        <v>0</v>
      </c>
      <c r="P26" s="967">
        <f t="shared" ref="P26:P89" si="2">ROUND(O26*H26%,)</f>
        <v>0</v>
      </c>
      <c r="AD26" s="2"/>
      <c r="AE26" s="2"/>
      <c r="AF26" s="2"/>
      <c r="AG26" s="2"/>
      <c r="AH26" s="2"/>
    </row>
    <row r="27" spans="1:34" ht="30" customHeight="1">
      <c r="A27" s="145"/>
      <c r="B27" s="145"/>
      <c r="C27" s="968">
        <v>3</v>
      </c>
      <c r="D27" s="969"/>
      <c r="E27" s="970"/>
      <c r="F27" s="970"/>
      <c r="G27" s="997"/>
      <c r="H27" s="1288"/>
      <c r="I27" s="971"/>
      <c r="J27" s="998"/>
      <c r="K27" s="937"/>
      <c r="L27" s="552"/>
      <c r="M27" s="956">
        <f t="shared" si="0"/>
        <v>0</v>
      </c>
      <c r="N27" s="973">
        <f t="shared" si="0"/>
        <v>0</v>
      </c>
      <c r="O27" s="321">
        <f t="shared" si="1"/>
        <v>0</v>
      </c>
      <c r="P27" s="967">
        <f t="shared" si="2"/>
        <v>0</v>
      </c>
      <c r="AD27" s="2"/>
      <c r="AE27" s="2"/>
      <c r="AF27" s="2"/>
      <c r="AG27" s="2"/>
      <c r="AH27" s="2"/>
    </row>
    <row r="28" spans="1:34" ht="30" customHeight="1">
      <c r="A28" s="145"/>
      <c r="B28" s="145"/>
      <c r="C28" s="968">
        <v>4</v>
      </c>
      <c r="D28" s="969"/>
      <c r="E28" s="970"/>
      <c r="F28" s="970"/>
      <c r="G28" s="997"/>
      <c r="H28" s="1288"/>
      <c r="I28" s="971"/>
      <c r="J28" s="998"/>
      <c r="K28" s="937"/>
      <c r="L28" s="552"/>
      <c r="M28" s="956">
        <f t="shared" si="0"/>
        <v>0</v>
      </c>
      <c r="N28" s="973">
        <f t="shared" si="0"/>
        <v>0</v>
      </c>
      <c r="O28" s="321">
        <f t="shared" si="1"/>
        <v>0</v>
      </c>
      <c r="P28" s="967">
        <f t="shared" si="2"/>
        <v>0</v>
      </c>
      <c r="AD28" s="2"/>
      <c r="AE28" s="2"/>
      <c r="AF28" s="2"/>
      <c r="AG28" s="2"/>
      <c r="AH28" s="2"/>
    </row>
    <row r="29" spans="1:34" ht="30" customHeight="1">
      <c r="A29" s="145"/>
      <c r="B29" s="145"/>
      <c r="C29" s="968">
        <v>5</v>
      </c>
      <c r="D29" s="969"/>
      <c r="E29" s="970"/>
      <c r="F29" s="970"/>
      <c r="G29" s="997"/>
      <c r="H29" s="1288"/>
      <c r="I29" s="971"/>
      <c r="J29" s="998"/>
      <c r="K29" s="937"/>
      <c r="L29" s="552"/>
      <c r="M29" s="956">
        <f t="shared" si="0"/>
        <v>0</v>
      </c>
      <c r="N29" s="973">
        <f t="shared" si="0"/>
        <v>0</v>
      </c>
      <c r="O29" s="321">
        <f t="shared" si="1"/>
        <v>0</v>
      </c>
      <c r="P29" s="967">
        <f t="shared" si="2"/>
        <v>0</v>
      </c>
      <c r="AD29" s="2"/>
      <c r="AE29" s="2"/>
      <c r="AF29" s="2"/>
      <c r="AG29" s="2"/>
      <c r="AH29" s="2"/>
    </row>
    <row r="30" spans="1:34" ht="30" customHeight="1">
      <c r="A30" s="145"/>
      <c r="B30" s="145"/>
      <c r="C30" s="968">
        <v>6</v>
      </c>
      <c r="D30" s="969"/>
      <c r="E30" s="970"/>
      <c r="F30" s="970"/>
      <c r="G30" s="997"/>
      <c r="H30" s="1288"/>
      <c r="I30" s="971"/>
      <c r="J30" s="998"/>
      <c r="K30" s="937"/>
      <c r="L30" s="552"/>
      <c r="M30" s="956">
        <f t="shared" si="0"/>
        <v>0</v>
      </c>
      <c r="N30" s="973">
        <f t="shared" si="0"/>
        <v>0</v>
      </c>
      <c r="O30" s="321">
        <f t="shared" si="1"/>
        <v>0</v>
      </c>
      <c r="P30" s="967">
        <f t="shared" si="2"/>
        <v>0</v>
      </c>
      <c r="AD30" s="2"/>
      <c r="AE30" s="2"/>
      <c r="AF30" s="2"/>
      <c r="AG30" s="2"/>
      <c r="AH30" s="2"/>
    </row>
    <row r="31" spans="1:34" ht="30" customHeight="1">
      <c r="A31" s="145"/>
      <c r="B31" s="145"/>
      <c r="C31" s="968">
        <v>7</v>
      </c>
      <c r="D31" s="969"/>
      <c r="E31" s="970"/>
      <c r="F31" s="970"/>
      <c r="G31" s="997"/>
      <c r="H31" s="1288"/>
      <c r="I31" s="971"/>
      <c r="J31" s="998"/>
      <c r="K31" s="937"/>
      <c r="L31" s="552"/>
      <c r="M31" s="956">
        <f t="shared" si="0"/>
        <v>0</v>
      </c>
      <c r="N31" s="973">
        <f t="shared" si="0"/>
        <v>0</v>
      </c>
      <c r="O31" s="321">
        <f t="shared" si="1"/>
        <v>0</v>
      </c>
      <c r="P31" s="967">
        <f t="shared" si="2"/>
        <v>0</v>
      </c>
      <c r="AD31" s="2"/>
      <c r="AE31" s="2"/>
      <c r="AF31" s="2"/>
      <c r="AG31" s="2"/>
      <c r="AH31" s="2"/>
    </row>
    <row r="32" spans="1:34" ht="30" customHeight="1">
      <c r="A32" s="145"/>
      <c r="B32" s="145"/>
      <c r="C32" s="968">
        <v>8</v>
      </c>
      <c r="D32" s="969"/>
      <c r="E32" s="970"/>
      <c r="F32" s="970"/>
      <c r="G32" s="997"/>
      <c r="H32" s="1288"/>
      <c r="I32" s="971"/>
      <c r="J32" s="998"/>
      <c r="K32" s="937"/>
      <c r="L32" s="552"/>
      <c r="M32" s="956">
        <f t="shared" si="0"/>
        <v>0</v>
      </c>
      <c r="N32" s="973">
        <f t="shared" si="0"/>
        <v>0</v>
      </c>
      <c r="O32" s="321">
        <f t="shared" si="1"/>
        <v>0</v>
      </c>
      <c r="P32" s="967">
        <f t="shared" si="2"/>
        <v>0</v>
      </c>
      <c r="AD32" s="2"/>
      <c r="AE32" s="2"/>
      <c r="AF32" s="2"/>
      <c r="AG32" s="2"/>
      <c r="AH32" s="2"/>
    </row>
    <row r="33" spans="1:34" ht="30" customHeight="1">
      <c r="A33" s="145"/>
      <c r="B33" s="145"/>
      <c r="C33" s="968">
        <v>9</v>
      </c>
      <c r="D33" s="969"/>
      <c r="E33" s="970"/>
      <c r="F33" s="970"/>
      <c r="G33" s="997"/>
      <c r="H33" s="1288"/>
      <c r="I33" s="971"/>
      <c r="J33" s="998"/>
      <c r="K33" s="937"/>
      <c r="L33" s="552"/>
      <c r="M33" s="956">
        <f t="shared" si="0"/>
        <v>0</v>
      </c>
      <c r="N33" s="973">
        <f t="shared" si="0"/>
        <v>0</v>
      </c>
      <c r="O33" s="321">
        <f t="shared" si="1"/>
        <v>0</v>
      </c>
      <c r="P33" s="967">
        <f t="shared" si="2"/>
        <v>0</v>
      </c>
      <c r="AD33" s="2"/>
      <c r="AE33" s="2"/>
      <c r="AF33" s="2"/>
      <c r="AG33" s="2"/>
      <c r="AH33" s="2"/>
    </row>
    <row r="34" spans="1:34" ht="30" customHeight="1" collapsed="1" thickBot="1">
      <c r="A34" s="145"/>
      <c r="B34" s="145"/>
      <c r="C34" s="968">
        <v>10</v>
      </c>
      <c r="D34" s="969"/>
      <c r="E34" s="970"/>
      <c r="F34" s="970"/>
      <c r="G34" s="997"/>
      <c r="H34" s="1288"/>
      <c r="I34" s="971"/>
      <c r="J34" s="998"/>
      <c r="K34" s="937"/>
      <c r="L34" s="552"/>
      <c r="M34" s="956">
        <f t="shared" si="0"/>
        <v>0</v>
      </c>
      <c r="N34" s="973">
        <f t="shared" si="0"/>
        <v>0</v>
      </c>
      <c r="O34" s="321">
        <f t="shared" si="1"/>
        <v>0</v>
      </c>
      <c r="P34" s="967">
        <f t="shared" si="2"/>
        <v>0</v>
      </c>
      <c r="AD34" s="2"/>
      <c r="AE34" s="2"/>
      <c r="AF34" s="2"/>
      <c r="AG34" s="2"/>
      <c r="AH34" s="2"/>
    </row>
    <row r="35" spans="1:34" ht="30" hidden="1" customHeight="1" outlineLevel="1">
      <c r="A35" s="145"/>
      <c r="B35" s="145"/>
      <c r="C35" s="968">
        <v>11</v>
      </c>
      <c r="D35" s="969"/>
      <c r="E35" s="970"/>
      <c r="F35" s="970"/>
      <c r="G35" s="997"/>
      <c r="H35" s="1288"/>
      <c r="I35" s="999"/>
      <c r="J35" s="1000"/>
      <c r="K35" s="1001"/>
      <c r="L35" s="552"/>
      <c r="M35" s="956">
        <f t="shared" si="0"/>
        <v>0</v>
      </c>
      <c r="N35" s="973">
        <f t="shared" si="0"/>
        <v>0</v>
      </c>
      <c r="O35" s="321">
        <f t="shared" si="1"/>
        <v>0</v>
      </c>
      <c r="P35" s="967">
        <f t="shared" si="2"/>
        <v>0</v>
      </c>
      <c r="AD35" s="2"/>
      <c r="AE35" s="2"/>
      <c r="AF35" s="2"/>
      <c r="AG35" s="2"/>
      <c r="AH35" s="2"/>
    </row>
    <row r="36" spans="1:34" ht="30" hidden="1" customHeight="1" outlineLevel="1">
      <c r="A36" s="145"/>
      <c r="B36" s="145"/>
      <c r="C36" s="968">
        <v>12</v>
      </c>
      <c r="D36" s="969"/>
      <c r="E36" s="970"/>
      <c r="F36" s="970"/>
      <c r="G36" s="997"/>
      <c r="H36" s="1288"/>
      <c r="I36" s="999"/>
      <c r="J36" s="1000"/>
      <c r="K36" s="1001"/>
      <c r="L36" s="552"/>
      <c r="M36" s="956">
        <f t="shared" si="0"/>
        <v>0</v>
      </c>
      <c r="N36" s="973">
        <f t="shared" si="0"/>
        <v>0</v>
      </c>
      <c r="O36" s="321">
        <f t="shared" si="1"/>
        <v>0</v>
      </c>
      <c r="P36" s="967">
        <f t="shared" si="2"/>
        <v>0</v>
      </c>
      <c r="AD36" s="2"/>
      <c r="AE36" s="2"/>
      <c r="AF36" s="2"/>
      <c r="AG36" s="2"/>
      <c r="AH36" s="2"/>
    </row>
    <row r="37" spans="1:34" ht="30" hidden="1" customHeight="1" outlineLevel="1">
      <c r="A37" s="145"/>
      <c r="B37" s="145"/>
      <c r="C37" s="968">
        <v>13</v>
      </c>
      <c r="D37" s="969"/>
      <c r="E37" s="970"/>
      <c r="F37" s="970"/>
      <c r="G37" s="997"/>
      <c r="H37" s="1288"/>
      <c r="I37" s="999"/>
      <c r="J37" s="1000"/>
      <c r="K37" s="1001"/>
      <c r="L37" s="552"/>
      <c r="M37" s="956">
        <f t="shared" si="0"/>
        <v>0</v>
      </c>
      <c r="N37" s="973">
        <f t="shared" si="0"/>
        <v>0</v>
      </c>
      <c r="O37" s="321">
        <f t="shared" si="1"/>
        <v>0</v>
      </c>
      <c r="P37" s="967">
        <f t="shared" si="2"/>
        <v>0</v>
      </c>
      <c r="AD37" s="2"/>
      <c r="AE37" s="2"/>
      <c r="AF37" s="2"/>
      <c r="AG37" s="2"/>
      <c r="AH37" s="2"/>
    </row>
    <row r="38" spans="1:34" ht="30" hidden="1" customHeight="1" outlineLevel="1">
      <c r="A38" s="145"/>
      <c r="B38" s="145"/>
      <c r="C38" s="968">
        <v>14</v>
      </c>
      <c r="D38" s="969"/>
      <c r="E38" s="970"/>
      <c r="F38" s="970"/>
      <c r="G38" s="997"/>
      <c r="H38" s="1288"/>
      <c r="I38" s="999"/>
      <c r="J38" s="1000"/>
      <c r="K38" s="1001"/>
      <c r="L38" s="552"/>
      <c r="M38" s="956">
        <f t="shared" si="0"/>
        <v>0</v>
      </c>
      <c r="N38" s="973">
        <f t="shared" si="0"/>
        <v>0</v>
      </c>
      <c r="O38" s="321">
        <f t="shared" si="1"/>
        <v>0</v>
      </c>
      <c r="P38" s="967">
        <f t="shared" si="2"/>
        <v>0</v>
      </c>
      <c r="AD38" s="2"/>
      <c r="AE38" s="2"/>
      <c r="AF38" s="2"/>
      <c r="AG38" s="2"/>
      <c r="AH38" s="2"/>
    </row>
    <row r="39" spans="1:34" ht="30" hidden="1" customHeight="1" outlineLevel="1">
      <c r="A39" s="145"/>
      <c r="B39" s="145"/>
      <c r="C39" s="968">
        <v>15</v>
      </c>
      <c r="D39" s="969"/>
      <c r="E39" s="970"/>
      <c r="F39" s="970"/>
      <c r="G39" s="997"/>
      <c r="H39" s="1288"/>
      <c r="I39" s="999"/>
      <c r="J39" s="1000"/>
      <c r="K39" s="1001"/>
      <c r="L39" s="552"/>
      <c r="M39" s="956">
        <f t="shared" si="0"/>
        <v>0</v>
      </c>
      <c r="N39" s="973">
        <f t="shared" si="0"/>
        <v>0</v>
      </c>
      <c r="O39" s="321">
        <f t="shared" si="1"/>
        <v>0</v>
      </c>
      <c r="P39" s="967">
        <f t="shared" si="2"/>
        <v>0</v>
      </c>
      <c r="AD39" s="2"/>
      <c r="AE39" s="2"/>
      <c r="AF39" s="2"/>
      <c r="AG39" s="2"/>
      <c r="AH39" s="2"/>
    </row>
    <row r="40" spans="1:34" ht="30" hidden="1" customHeight="1" outlineLevel="1">
      <c r="A40" s="145"/>
      <c r="B40" s="145"/>
      <c r="C40" s="968">
        <v>16</v>
      </c>
      <c r="D40" s="969"/>
      <c r="E40" s="970"/>
      <c r="F40" s="970"/>
      <c r="G40" s="997"/>
      <c r="H40" s="1288"/>
      <c r="I40" s="999"/>
      <c r="J40" s="1000"/>
      <c r="K40" s="1001"/>
      <c r="L40" s="552"/>
      <c r="M40" s="956">
        <f t="shared" si="0"/>
        <v>0</v>
      </c>
      <c r="N40" s="973">
        <f t="shared" si="0"/>
        <v>0</v>
      </c>
      <c r="O40" s="321">
        <f t="shared" si="1"/>
        <v>0</v>
      </c>
      <c r="P40" s="967">
        <f t="shared" si="2"/>
        <v>0</v>
      </c>
      <c r="AD40" s="2"/>
      <c r="AE40" s="2"/>
      <c r="AF40" s="2"/>
      <c r="AG40" s="2"/>
      <c r="AH40" s="2"/>
    </row>
    <row r="41" spans="1:34" ht="30" hidden="1" customHeight="1" outlineLevel="1">
      <c r="A41" s="145"/>
      <c r="B41" s="145"/>
      <c r="C41" s="968">
        <v>17</v>
      </c>
      <c r="D41" s="969"/>
      <c r="E41" s="970"/>
      <c r="F41" s="970"/>
      <c r="G41" s="997"/>
      <c r="H41" s="1288"/>
      <c r="I41" s="999"/>
      <c r="J41" s="1000"/>
      <c r="K41" s="1001"/>
      <c r="L41" s="552"/>
      <c r="M41" s="956">
        <f t="shared" si="0"/>
        <v>0</v>
      </c>
      <c r="N41" s="973">
        <f t="shared" si="0"/>
        <v>0</v>
      </c>
      <c r="O41" s="321">
        <f t="shared" si="1"/>
        <v>0</v>
      </c>
      <c r="P41" s="967">
        <f t="shared" si="2"/>
        <v>0</v>
      </c>
      <c r="AD41" s="2"/>
      <c r="AE41" s="2"/>
      <c r="AF41" s="2"/>
      <c r="AG41" s="2"/>
      <c r="AH41" s="2"/>
    </row>
    <row r="42" spans="1:34" ht="30" hidden="1" customHeight="1" outlineLevel="1">
      <c r="A42" s="145"/>
      <c r="B42" s="145"/>
      <c r="C42" s="968">
        <v>18</v>
      </c>
      <c r="D42" s="969"/>
      <c r="E42" s="970"/>
      <c r="F42" s="970"/>
      <c r="G42" s="997"/>
      <c r="H42" s="1288"/>
      <c r="I42" s="999"/>
      <c r="J42" s="1000"/>
      <c r="K42" s="1001"/>
      <c r="L42" s="552"/>
      <c r="M42" s="956">
        <f t="shared" si="0"/>
        <v>0</v>
      </c>
      <c r="N42" s="973">
        <f t="shared" si="0"/>
        <v>0</v>
      </c>
      <c r="O42" s="321">
        <f t="shared" si="1"/>
        <v>0</v>
      </c>
      <c r="P42" s="967">
        <f t="shared" si="2"/>
        <v>0</v>
      </c>
      <c r="AD42" s="2"/>
      <c r="AE42" s="2"/>
      <c r="AF42" s="2"/>
      <c r="AG42" s="2"/>
      <c r="AH42" s="2"/>
    </row>
    <row r="43" spans="1:34" ht="30" hidden="1" customHeight="1" outlineLevel="1">
      <c r="A43" s="145"/>
      <c r="B43" s="145"/>
      <c r="C43" s="968">
        <v>19</v>
      </c>
      <c r="D43" s="969"/>
      <c r="E43" s="970"/>
      <c r="F43" s="970"/>
      <c r="G43" s="997"/>
      <c r="H43" s="1288"/>
      <c r="I43" s="999"/>
      <c r="J43" s="1000"/>
      <c r="K43" s="1001"/>
      <c r="L43" s="552"/>
      <c r="M43" s="956">
        <f t="shared" si="0"/>
        <v>0</v>
      </c>
      <c r="N43" s="973">
        <f t="shared" si="0"/>
        <v>0</v>
      </c>
      <c r="O43" s="321">
        <f t="shared" si="1"/>
        <v>0</v>
      </c>
      <c r="P43" s="967">
        <f t="shared" si="2"/>
        <v>0</v>
      </c>
      <c r="AD43" s="2"/>
      <c r="AE43" s="2"/>
      <c r="AF43" s="2"/>
      <c r="AG43" s="2"/>
      <c r="AH43" s="2"/>
    </row>
    <row r="44" spans="1:34" ht="30" hidden="1" customHeight="1" outlineLevel="1">
      <c r="A44" s="145"/>
      <c r="B44" s="145"/>
      <c r="C44" s="968">
        <v>20</v>
      </c>
      <c r="D44" s="969"/>
      <c r="E44" s="970"/>
      <c r="F44" s="970"/>
      <c r="G44" s="997"/>
      <c r="H44" s="1288"/>
      <c r="I44" s="999"/>
      <c r="J44" s="1000"/>
      <c r="K44" s="1001"/>
      <c r="L44" s="552"/>
      <c r="M44" s="956">
        <f t="shared" si="0"/>
        <v>0</v>
      </c>
      <c r="N44" s="973">
        <f t="shared" si="0"/>
        <v>0</v>
      </c>
      <c r="O44" s="321">
        <f t="shared" si="1"/>
        <v>0</v>
      </c>
      <c r="P44" s="967">
        <f t="shared" si="2"/>
        <v>0</v>
      </c>
      <c r="AD44" s="2"/>
      <c r="AE44" s="2"/>
      <c r="AF44" s="2"/>
      <c r="AG44" s="2"/>
      <c r="AH44" s="2"/>
    </row>
    <row r="45" spans="1:34" ht="30" hidden="1" customHeight="1" outlineLevel="1">
      <c r="A45" s="145"/>
      <c r="B45" s="145"/>
      <c r="C45" s="968">
        <v>21</v>
      </c>
      <c r="D45" s="969"/>
      <c r="E45" s="970"/>
      <c r="F45" s="970"/>
      <c r="G45" s="997"/>
      <c r="H45" s="1288"/>
      <c r="I45" s="999"/>
      <c r="J45" s="1000"/>
      <c r="K45" s="1001"/>
      <c r="L45" s="552"/>
      <c r="M45" s="956">
        <f t="shared" si="0"/>
        <v>0</v>
      </c>
      <c r="N45" s="973">
        <f t="shared" si="0"/>
        <v>0</v>
      </c>
      <c r="O45" s="321">
        <f t="shared" si="1"/>
        <v>0</v>
      </c>
      <c r="P45" s="967">
        <f t="shared" si="2"/>
        <v>0</v>
      </c>
      <c r="AD45" s="2"/>
      <c r="AE45" s="2"/>
      <c r="AF45" s="2"/>
      <c r="AG45" s="2"/>
      <c r="AH45" s="2"/>
    </row>
    <row r="46" spans="1:34" ht="30" hidden="1" customHeight="1" outlineLevel="1">
      <c r="A46" s="145"/>
      <c r="B46" s="145"/>
      <c r="C46" s="968">
        <v>22</v>
      </c>
      <c r="D46" s="969"/>
      <c r="E46" s="970"/>
      <c r="F46" s="970"/>
      <c r="G46" s="997"/>
      <c r="H46" s="1288"/>
      <c r="I46" s="999"/>
      <c r="J46" s="1000"/>
      <c r="K46" s="1001"/>
      <c r="L46" s="552"/>
      <c r="M46" s="956">
        <f t="shared" si="0"/>
        <v>0</v>
      </c>
      <c r="N46" s="973">
        <f t="shared" si="0"/>
        <v>0</v>
      </c>
      <c r="O46" s="321">
        <f t="shared" si="1"/>
        <v>0</v>
      </c>
      <c r="P46" s="967">
        <f t="shared" si="2"/>
        <v>0</v>
      </c>
      <c r="AD46" s="2"/>
      <c r="AE46" s="2"/>
      <c r="AF46" s="2"/>
      <c r="AG46" s="2"/>
      <c r="AH46" s="2"/>
    </row>
    <row r="47" spans="1:34" ht="30" hidden="1" customHeight="1" outlineLevel="1">
      <c r="A47" s="145"/>
      <c r="B47" s="145"/>
      <c r="C47" s="968">
        <v>23</v>
      </c>
      <c r="D47" s="969"/>
      <c r="E47" s="970"/>
      <c r="F47" s="970"/>
      <c r="G47" s="997"/>
      <c r="H47" s="1288"/>
      <c r="I47" s="999"/>
      <c r="J47" s="1000"/>
      <c r="K47" s="1001"/>
      <c r="L47" s="552"/>
      <c r="M47" s="956">
        <f t="shared" si="0"/>
        <v>0</v>
      </c>
      <c r="N47" s="973">
        <f t="shared" si="0"/>
        <v>0</v>
      </c>
      <c r="O47" s="321">
        <f t="shared" si="1"/>
        <v>0</v>
      </c>
      <c r="P47" s="967">
        <f t="shared" si="2"/>
        <v>0</v>
      </c>
      <c r="AD47" s="2"/>
      <c r="AE47" s="2"/>
      <c r="AF47" s="2"/>
      <c r="AG47" s="2"/>
      <c r="AH47" s="2"/>
    </row>
    <row r="48" spans="1:34" ht="30" hidden="1" customHeight="1" outlineLevel="1">
      <c r="A48" s="145"/>
      <c r="B48" s="145"/>
      <c r="C48" s="968">
        <v>24</v>
      </c>
      <c r="D48" s="969"/>
      <c r="E48" s="970"/>
      <c r="F48" s="970"/>
      <c r="G48" s="997"/>
      <c r="H48" s="1288"/>
      <c r="I48" s="999"/>
      <c r="J48" s="1000"/>
      <c r="K48" s="1001"/>
      <c r="L48" s="552"/>
      <c r="M48" s="956">
        <f t="shared" si="0"/>
        <v>0</v>
      </c>
      <c r="N48" s="973">
        <f t="shared" si="0"/>
        <v>0</v>
      </c>
      <c r="O48" s="321">
        <f t="shared" si="1"/>
        <v>0</v>
      </c>
      <c r="P48" s="967">
        <f t="shared" si="2"/>
        <v>0</v>
      </c>
      <c r="AD48" s="2"/>
      <c r="AE48" s="2"/>
      <c r="AF48" s="2"/>
      <c r="AG48" s="2"/>
      <c r="AH48" s="2"/>
    </row>
    <row r="49" spans="1:34" ht="30" hidden="1" customHeight="1" outlineLevel="1">
      <c r="A49" s="145"/>
      <c r="B49" s="145"/>
      <c r="C49" s="968">
        <v>25</v>
      </c>
      <c r="D49" s="969"/>
      <c r="E49" s="970"/>
      <c r="F49" s="970"/>
      <c r="G49" s="997"/>
      <c r="H49" s="1288"/>
      <c r="I49" s="999"/>
      <c r="J49" s="1000"/>
      <c r="K49" s="1001"/>
      <c r="L49" s="552"/>
      <c r="M49" s="956">
        <f t="shared" si="0"/>
        <v>0</v>
      </c>
      <c r="N49" s="973">
        <f t="shared" si="0"/>
        <v>0</v>
      </c>
      <c r="O49" s="321">
        <f t="shared" si="1"/>
        <v>0</v>
      </c>
      <c r="P49" s="967">
        <f t="shared" si="2"/>
        <v>0</v>
      </c>
      <c r="AD49" s="2"/>
      <c r="AE49" s="2"/>
      <c r="AF49" s="2"/>
      <c r="AG49" s="2"/>
      <c r="AH49" s="2"/>
    </row>
    <row r="50" spans="1:34" ht="30" hidden="1" customHeight="1" outlineLevel="1">
      <c r="A50" s="145"/>
      <c r="B50" s="145"/>
      <c r="C50" s="968">
        <v>26</v>
      </c>
      <c r="D50" s="969"/>
      <c r="E50" s="970"/>
      <c r="F50" s="970"/>
      <c r="G50" s="997"/>
      <c r="H50" s="1288"/>
      <c r="I50" s="999"/>
      <c r="J50" s="1000"/>
      <c r="K50" s="1001"/>
      <c r="L50" s="552"/>
      <c r="M50" s="956">
        <f t="shared" si="0"/>
        <v>0</v>
      </c>
      <c r="N50" s="973">
        <f t="shared" si="0"/>
        <v>0</v>
      </c>
      <c r="O50" s="321">
        <f t="shared" si="1"/>
        <v>0</v>
      </c>
      <c r="P50" s="967">
        <f t="shared" si="2"/>
        <v>0</v>
      </c>
      <c r="AD50" s="2"/>
      <c r="AE50" s="2"/>
      <c r="AF50" s="2"/>
      <c r="AG50" s="2"/>
      <c r="AH50" s="2"/>
    </row>
    <row r="51" spans="1:34" ht="30" hidden="1" customHeight="1" outlineLevel="1">
      <c r="A51" s="145"/>
      <c r="B51" s="145"/>
      <c r="C51" s="968">
        <v>27</v>
      </c>
      <c r="D51" s="969"/>
      <c r="E51" s="970"/>
      <c r="F51" s="970"/>
      <c r="G51" s="997"/>
      <c r="H51" s="1288"/>
      <c r="I51" s="999"/>
      <c r="J51" s="1000"/>
      <c r="K51" s="1001"/>
      <c r="L51" s="552"/>
      <c r="M51" s="956">
        <f t="shared" si="0"/>
        <v>0</v>
      </c>
      <c r="N51" s="973">
        <f t="shared" si="0"/>
        <v>0</v>
      </c>
      <c r="O51" s="321">
        <f t="shared" si="1"/>
        <v>0</v>
      </c>
      <c r="P51" s="967">
        <f t="shared" si="2"/>
        <v>0</v>
      </c>
      <c r="AD51" s="2"/>
      <c r="AE51" s="2"/>
      <c r="AF51" s="2"/>
      <c r="AG51" s="2"/>
      <c r="AH51" s="2"/>
    </row>
    <row r="52" spans="1:34" ht="30" hidden="1" customHeight="1" outlineLevel="1">
      <c r="A52" s="145"/>
      <c r="B52" s="145"/>
      <c r="C52" s="968">
        <v>28</v>
      </c>
      <c r="D52" s="969"/>
      <c r="E52" s="970"/>
      <c r="F52" s="970"/>
      <c r="G52" s="997"/>
      <c r="H52" s="1288"/>
      <c r="I52" s="999"/>
      <c r="J52" s="1000"/>
      <c r="K52" s="1001"/>
      <c r="L52" s="552"/>
      <c r="M52" s="956">
        <f t="shared" si="0"/>
        <v>0</v>
      </c>
      <c r="N52" s="973">
        <f t="shared" si="0"/>
        <v>0</v>
      </c>
      <c r="O52" s="321">
        <f t="shared" si="1"/>
        <v>0</v>
      </c>
      <c r="P52" s="967">
        <f t="shared" si="2"/>
        <v>0</v>
      </c>
      <c r="AD52" s="2"/>
      <c r="AE52" s="2"/>
      <c r="AF52" s="2"/>
      <c r="AG52" s="2"/>
      <c r="AH52" s="2"/>
    </row>
    <row r="53" spans="1:34" ht="30" hidden="1" customHeight="1" outlineLevel="1">
      <c r="A53" s="145"/>
      <c r="B53" s="145"/>
      <c r="C53" s="968">
        <v>29</v>
      </c>
      <c r="D53" s="969"/>
      <c r="E53" s="970"/>
      <c r="F53" s="970"/>
      <c r="G53" s="997"/>
      <c r="H53" s="1288"/>
      <c r="I53" s="999"/>
      <c r="J53" s="1000"/>
      <c r="K53" s="1001"/>
      <c r="L53" s="552"/>
      <c r="M53" s="956">
        <f t="shared" si="0"/>
        <v>0</v>
      </c>
      <c r="N53" s="973">
        <f t="shared" si="0"/>
        <v>0</v>
      </c>
      <c r="O53" s="321">
        <f t="shared" si="1"/>
        <v>0</v>
      </c>
      <c r="P53" s="967">
        <f t="shared" si="2"/>
        <v>0</v>
      </c>
      <c r="AD53" s="2"/>
      <c r="AE53" s="2"/>
      <c r="AF53" s="2"/>
      <c r="AG53" s="2"/>
      <c r="AH53" s="2"/>
    </row>
    <row r="54" spans="1:34" ht="30" hidden="1" customHeight="1" outlineLevel="1">
      <c r="A54" s="145"/>
      <c r="B54" s="145"/>
      <c r="C54" s="968">
        <v>30</v>
      </c>
      <c r="D54" s="969"/>
      <c r="E54" s="970"/>
      <c r="F54" s="970"/>
      <c r="G54" s="997"/>
      <c r="H54" s="1288"/>
      <c r="I54" s="999"/>
      <c r="J54" s="1000"/>
      <c r="K54" s="1001"/>
      <c r="L54" s="552"/>
      <c r="M54" s="956">
        <f t="shared" si="0"/>
        <v>0</v>
      </c>
      <c r="N54" s="973">
        <f t="shared" si="0"/>
        <v>0</v>
      </c>
      <c r="O54" s="321">
        <f t="shared" si="1"/>
        <v>0</v>
      </c>
      <c r="P54" s="967">
        <f t="shared" si="2"/>
        <v>0</v>
      </c>
      <c r="AD54" s="2"/>
      <c r="AE54" s="2"/>
      <c r="AF54" s="2"/>
      <c r="AG54" s="2"/>
      <c r="AH54" s="2"/>
    </row>
    <row r="55" spans="1:34" ht="30" hidden="1" customHeight="1" outlineLevel="1">
      <c r="A55" s="145"/>
      <c r="B55" s="145"/>
      <c r="C55" s="968">
        <v>31</v>
      </c>
      <c r="D55" s="969"/>
      <c r="E55" s="970"/>
      <c r="F55" s="970"/>
      <c r="G55" s="997"/>
      <c r="H55" s="1288"/>
      <c r="I55" s="999"/>
      <c r="J55" s="1000"/>
      <c r="K55" s="1001"/>
      <c r="L55" s="552"/>
      <c r="M55" s="956">
        <f t="shared" si="0"/>
        <v>0</v>
      </c>
      <c r="N55" s="973">
        <f t="shared" si="0"/>
        <v>0</v>
      </c>
      <c r="O55" s="321">
        <f t="shared" si="1"/>
        <v>0</v>
      </c>
      <c r="P55" s="967">
        <f t="shared" si="2"/>
        <v>0</v>
      </c>
      <c r="AD55" s="2"/>
      <c r="AE55" s="2"/>
      <c r="AF55" s="2"/>
      <c r="AG55" s="2"/>
      <c r="AH55" s="2"/>
    </row>
    <row r="56" spans="1:34" ht="30" hidden="1" customHeight="1" outlineLevel="1">
      <c r="A56" s="145"/>
      <c r="B56" s="145"/>
      <c r="C56" s="968">
        <v>32</v>
      </c>
      <c r="D56" s="969"/>
      <c r="E56" s="970"/>
      <c r="F56" s="970"/>
      <c r="G56" s="997"/>
      <c r="H56" s="1288"/>
      <c r="I56" s="999"/>
      <c r="J56" s="1000"/>
      <c r="K56" s="1001"/>
      <c r="L56" s="552"/>
      <c r="M56" s="956">
        <f t="shared" si="0"/>
        <v>0</v>
      </c>
      <c r="N56" s="973">
        <f t="shared" si="0"/>
        <v>0</v>
      </c>
      <c r="O56" s="321">
        <f t="shared" si="1"/>
        <v>0</v>
      </c>
      <c r="P56" s="967">
        <f t="shared" si="2"/>
        <v>0</v>
      </c>
      <c r="AD56" s="2"/>
      <c r="AE56" s="2"/>
      <c r="AF56" s="2"/>
      <c r="AG56" s="2"/>
      <c r="AH56" s="2"/>
    </row>
    <row r="57" spans="1:34" ht="30" hidden="1" customHeight="1" outlineLevel="1">
      <c r="A57" s="145"/>
      <c r="B57" s="145"/>
      <c r="C57" s="968">
        <v>33</v>
      </c>
      <c r="D57" s="969"/>
      <c r="E57" s="970"/>
      <c r="F57" s="970"/>
      <c r="G57" s="997"/>
      <c r="H57" s="1288"/>
      <c r="I57" s="999"/>
      <c r="J57" s="1000"/>
      <c r="K57" s="1001"/>
      <c r="L57" s="552"/>
      <c r="M57" s="956">
        <f t="shared" si="0"/>
        <v>0</v>
      </c>
      <c r="N57" s="973">
        <f t="shared" si="0"/>
        <v>0</v>
      </c>
      <c r="O57" s="321">
        <f t="shared" si="1"/>
        <v>0</v>
      </c>
      <c r="P57" s="967">
        <f t="shared" si="2"/>
        <v>0</v>
      </c>
      <c r="AD57" s="2"/>
      <c r="AE57" s="2"/>
      <c r="AF57" s="2"/>
      <c r="AG57" s="2"/>
      <c r="AH57" s="2"/>
    </row>
    <row r="58" spans="1:34" ht="30" hidden="1" customHeight="1" outlineLevel="1">
      <c r="A58" s="145"/>
      <c r="B58" s="145"/>
      <c r="C58" s="968">
        <v>34</v>
      </c>
      <c r="D58" s="969"/>
      <c r="E58" s="970"/>
      <c r="F58" s="970"/>
      <c r="G58" s="997"/>
      <c r="H58" s="1288"/>
      <c r="I58" s="999"/>
      <c r="J58" s="1000"/>
      <c r="K58" s="1001"/>
      <c r="L58" s="552"/>
      <c r="M58" s="956">
        <f t="shared" si="0"/>
        <v>0</v>
      </c>
      <c r="N58" s="973">
        <f t="shared" si="0"/>
        <v>0</v>
      </c>
      <c r="O58" s="321">
        <f t="shared" si="1"/>
        <v>0</v>
      </c>
      <c r="P58" s="967">
        <f t="shared" si="2"/>
        <v>0</v>
      </c>
      <c r="AD58" s="2"/>
      <c r="AE58" s="2"/>
      <c r="AF58" s="2"/>
      <c r="AG58" s="2"/>
      <c r="AH58" s="2"/>
    </row>
    <row r="59" spans="1:34" ht="30" hidden="1" customHeight="1" outlineLevel="1">
      <c r="A59" s="145"/>
      <c r="B59" s="145"/>
      <c r="C59" s="968">
        <v>35</v>
      </c>
      <c r="D59" s="969"/>
      <c r="E59" s="970"/>
      <c r="F59" s="970"/>
      <c r="G59" s="997"/>
      <c r="H59" s="1288"/>
      <c r="I59" s="999"/>
      <c r="J59" s="1000"/>
      <c r="K59" s="1001"/>
      <c r="L59" s="552"/>
      <c r="M59" s="956">
        <f t="shared" si="0"/>
        <v>0</v>
      </c>
      <c r="N59" s="973">
        <f t="shared" si="0"/>
        <v>0</v>
      </c>
      <c r="O59" s="321">
        <f t="shared" si="1"/>
        <v>0</v>
      </c>
      <c r="P59" s="967">
        <f t="shared" si="2"/>
        <v>0</v>
      </c>
      <c r="AD59" s="2"/>
      <c r="AE59" s="2"/>
      <c r="AF59" s="2"/>
      <c r="AG59" s="2"/>
      <c r="AH59" s="2"/>
    </row>
    <row r="60" spans="1:34" ht="30" hidden="1" customHeight="1" outlineLevel="1">
      <c r="A60" s="145"/>
      <c r="B60" s="145"/>
      <c r="C60" s="968">
        <v>36</v>
      </c>
      <c r="D60" s="969"/>
      <c r="E60" s="970"/>
      <c r="F60" s="970"/>
      <c r="G60" s="997"/>
      <c r="H60" s="1288"/>
      <c r="I60" s="999"/>
      <c r="J60" s="1000"/>
      <c r="K60" s="1001"/>
      <c r="L60" s="552"/>
      <c r="M60" s="956">
        <f t="shared" si="0"/>
        <v>0</v>
      </c>
      <c r="N60" s="973">
        <f t="shared" si="0"/>
        <v>0</v>
      </c>
      <c r="O60" s="321">
        <f t="shared" si="1"/>
        <v>0</v>
      </c>
      <c r="P60" s="967">
        <f t="shared" si="2"/>
        <v>0</v>
      </c>
      <c r="AD60" s="2"/>
      <c r="AE60" s="2"/>
      <c r="AF60" s="2"/>
      <c r="AG60" s="2"/>
      <c r="AH60" s="2"/>
    </row>
    <row r="61" spans="1:34" ht="30" hidden="1" customHeight="1" outlineLevel="1">
      <c r="A61" s="145"/>
      <c r="B61" s="145"/>
      <c r="C61" s="968">
        <v>37</v>
      </c>
      <c r="D61" s="969"/>
      <c r="E61" s="970"/>
      <c r="F61" s="970"/>
      <c r="G61" s="997"/>
      <c r="H61" s="1288"/>
      <c r="I61" s="999"/>
      <c r="J61" s="1000"/>
      <c r="K61" s="1001"/>
      <c r="L61" s="552"/>
      <c r="M61" s="956">
        <f t="shared" si="0"/>
        <v>0</v>
      </c>
      <c r="N61" s="973">
        <f t="shared" si="0"/>
        <v>0</v>
      </c>
      <c r="O61" s="321">
        <f t="shared" si="1"/>
        <v>0</v>
      </c>
      <c r="P61" s="967">
        <f t="shared" si="2"/>
        <v>0</v>
      </c>
      <c r="AD61" s="2"/>
      <c r="AE61" s="2"/>
      <c r="AF61" s="2"/>
      <c r="AG61" s="2"/>
      <c r="AH61" s="2"/>
    </row>
    <row r="62" spans="1:34" ht="30" hidden="1" customHeight="1" outlineLevel="1">
      <c r="A62" s="145"/>
      <c r="B62" s="145"/>
      <c r="C62" s="968">
        <v>38</v>
      </c>
      <c r="D62" s="969"/>
      <c r="E62" s="970"/>
      <c r="F62" s="970"/>
      <c r="G62" s="997"/>
      <c r="H62" s="1288"/>
      <c r="I62" s="999"/>
      <c r="J62" s="1000"/>
      <c r="K62" s="1001"/>
      <c r="L62" s="552"/>
      <c r="M62" s="956">
        <f t="shared" si="0"/>
        <v>0</v>
      </c>
      <c r="N62" s="973">
        <f t="shared" si="0"/>
        <v>0</v>
      </c>
      <c r="O62" s="321">
        <f t="shared" si="1"/>
        <v>0</v>
      </c>
      <c r="P62" s="967">
        <f t="shared" si="2"/>
        <v>0</v>
      </c>
      <c r="AD62" s="2"/>
      <c r="AE62" s="2"/>
      <c r="AF62" s="2"/>
      <c r="AG62" s="2"/>
      <c r="AH62" s="2"/>
    </row>
    <row r="63" spans="1:34" ht="30" hidden="1" customHeight="1" outlineLevel="1">
      <c r="A63" s="145"/>
      <c r="B63" s="145"/>
      <c r="C63" s="968">
        <v>39</v>
      </c>
      <c r="D63" s="969"/>
      <c r="E63" s="970"/>
      <c r="F63" s="970"/>
      <c r="G63" s="997"/>
      <c r="H63" s="1288"/>
      <c r="I63" s="999"/>
      <c r="J63" s="1000"/>
      <c r="K63" s="1001"/>
      <c r="L63" s="552"/>
      <c r="M63" s="956">
        <f t="shared" si="0"/>
        <v>0</v>
      </c>
      <c r="N63" s="973">
        <f t="shared" si="0"/>
        <v>0</v>
      </c>
      <c r="O63" s="321">
        <f t="shared" si="1"/>
        <v>0</v>
      </c>
      <c r="P63" s="967">
        <f t="shared" si="2"/>
        <v>0</v>
      </c>
      <c r="AD63" s="2"/>
      <c r="AE63" s="2"/>
      <c r="AF63" s="2"/>
      <c r="AG63" s="2"/>
      <c r="AH63" s="2"/>
    </row>
    <row r="64" spans="1:34" ht="30" hidden="1" customHeight="1" outlineLevel="1">
      <c r="A64" s="145"/>
      <c r="B64" s="145"/>
      <c r="C64" s="968">
        <v>40</v>
      </c>
      <c r="D64" s="969"/>
      <c r="E64" s="970"/>
      <c r="F64" s="970"/>
      <c r="G64" s="997"/>
      <c r="H64" s="1288"/>
      <c r="I64" s="999"/>
      <c r="J64" s="1000"/>
      <c r="K64" s="1001"/>
      <c r="L64" s="552"/>
      <c r="M64" s="956">
        <f t="shared" si="0"/>
        <v>0</v>
      </c>
      <c r="N64" s="973">
        <f t="shared" si="0"/>
        <v>0</v>
      </c>
      <c r="O64" s="321">
        <f t="shared" si="1"/>
        <v>0</v>
      </c>
      <c r="P64" s="967">
        <f t="shared" si="2"/>
        <v>0</v>
      </c>
      <c r="AD64" s="2"/>
      <c r="AE64" s="2"/>
      <c r="AF64" s="2"/>
      <c r="AG64" s="2"/>
      <c r="AH64" s="2"/>
    </row>
    <row r="65" spans="1:34" ht="30" hidden="1" customHeight="1" outlineLevel="1">
      <c r="A65" s="145"/>
      <c r="B65" s="145"/>
      <c r="C65" s="968">
        <v>41</v>
      </c>
      <c r="D65" s="969"/>
      <c r="E65" s="970"/>
      <c r="F65" s="970"/>
      <c r="G65" s="997"/>
      <c r="H65" s="1288"/>
      <c r="I65" s="999"/>
      <c r="J65" s="1000"/>
      <c r="K65" s="1001"/>
      <c r="L65" s="552"/>
      <c r="M65" s="956">
        <f t="shared" si="0"/>
        <v>0</v>
      </c>
      <c r="N65" s="973">
        <f t="shared" si="0"/>
        <v>0</v>
      </c>
      <c r="O65" s="321">
        <f t="shared" si="1"/>
        <v>0</v>
      </c>
      <c r="P65" s="967">
        <f t="shared" si="2"/>
        <v>0</v>
      </c>
      <c r="AD65" s="2"/>
      <c r="AE65" s="2"/>
      <c r="AF65" s="2"/>
      <c r="AG65" s="2"/>
      <c r="AH65" s="2"/>
    </row>
    <row r="66" spans="1:34" ht="30" hidden="1" customHeight="1" outlineLevel="1">
      <c r="A66" s="145"/>
      <c r="B66" s="145"/>
      <c r="C66" s="968">
        <v>42</v>
      </c>
      <c r="D66" s="969"/>
      <c r="E66" s="970"/>
      <c r="F66" s="970"/>
      <c r="G66" s="997"/>
      <c r="H66" s="1288"/>
      <c r="I66" s="999"/>
      <c r="J66" s="1000"/>
      <c r="K66" s="1001"/>
      <c r="L66" s="552"/>
      <c r="M66" s="956">
        <f t="shared" si="0"/>
        <v>0</v>
      </c>
      <c r="N66" s="973">
        <f t="shared" si="0"/>
        <v>0</v>
      </c>
      <c r="O66" s="321">
        <f t="shared" si="1"/>
        <v>0</v>
      </c>
      <c r="P66" s="967">
        <f t="shared" si="2"/>
        <v>0</v>
      </c>
      <c r="AD66" s="2"/>
      <c r="AE66" s="2"/>
      <c r="AF66" s="2"/>
      <c r="AG66" s="2"/>
      <c r="AH66" s="2"/>
    </row>
    <row r="67" spans="1:34" ht="30" hidden="1" customHeight="1" outlineLevel="1">
      <c r="A67" s="145"/>
      <c r="B67" s="145"/>
      <c r="C67" s="968">
        <v>43</v>
      </c>
      <c r="D67" s="969"/>
      <c r="E67" s="970"/>
      <c r="F67" s="970"/>
      <c r="G67" s="997"/>
      <c r="H67" s="1288"/>
      <c r="I67" s="999"/>
      <c r="J67" s="1000"/>
      <c r="K67" s="1001"/>
      <c r="L67" s="552"/>
      <c r="M67" s="956">
        <f t="shared" si="0"/>
        <v>0</v>
      </c>
      <c r="N67" s="973">
        <f t="shared" si="0"/>
        <v>0</v>
      </c>
      <c r="O67" s="321">
        <f t="shared" si="1"/>
        <v>0</v>
      </c>
      <c r="P67" s="967">
        <f t="shared" si="2"/>
        <v>0</v>
      </c>
      <c r="AD67" s="2"/>
      <c r="AE67" s="2"/>
      <c r="AF67" s="2"/>
      <c r="AG67" s="2"/>
      <c r="AH67" s="2"/>
    </row>
    <row r="68" spans="1:34" ht="30" hidden="1" customHeight="1" outlineLevel="1">
      <c r="A68" s="145"/>
      <c r="B68" s="145"/>
      <c r="C68" s="968">
        <v>44</v>
      </c>
      <c r="D68" s="969"/>
      <c r="E68" s="970"/>
      <c r="F68" s="970"/>
      <c r="G68" s="997"/>
      <c r="H68" s="1288"/>
      <c r="I68" s="999"/>
      <c r="J68" s="1000"/>
      <c r="K68" s="1001"/>
      <c r="L68" s="552"/>
      <c r="M68" s="956">
        <f t="shared" si="0"/>
        <v>0</v>
      </c>
      <c r="N68" s="973">
        <f t="shared" si="0"/>
        <v>0</v>
      </c>
      <c r="O68" s="321">
        <f t="shared" si="1"/>
        <v>0</v>
      </c>
      <c r="P68" s="967">
        <f t="shared" si="2"/>
        <v>0</v>
      </c>
      <c r="AD68" s="2"/>
      <c r="AE68" s="2"/>
      <c r="AF68" s="2"/>
      <c r="AG68" s="2"/>
      <c r="AH68" s="2"/>
    </row>
    <row r="69" spans="1:34" ht="30" hidden="1" customHeight="1" outlineLevel="1">
      <c r="A69" s="145"/>
      <c r="B69" s="145"/>
      <c r="C69" s="968">
        <v>45</v>
      </c>
      <c r="D69" s="969"/>
      <c r="E69" s="970"/>
      <c r="F69" s="970"/>
      <c r="G69" s="997"/>
      <c r="H69" s="1288"/>
      <c r="I69" s="999"/>
      <c r="J69" s="1000"/>
      <c r="K69" s="1001"/>
      <c r="L69" s="552"/>
      <c r="M69" s="956">
        <f t="shared" si="0"/>
        <v>0</v>
      </c>
      <c r="N69" s="973">
        <f t="shared" si="0"/>
        <v>0</v>
      </c>
      <c r="O69" s="321">
        <f t="shared" si="1"/>
        <v>0</v>
      </c>
      <c r="P69" s="967">
        <f t="shared" si="2"/>
        <v>0</v>
      </c>
      <c r="AD69" s="2"/>
      <c r="AE69" s="2"/>
      <c r="AF69" s="2"/>
      <c r="AG69" s="2"/>
      <c r="AH69" s="2"/>
    </row>
    <row r="70" spans="1:34" ht="30" hidden="1" customHeight="1" outlineLevel="1">
      <c r="A70" s="145"/>
      <c r="B70" s="145"/>
      <c r="C70" s="968">
        <v>46</v>
      </c>
      <c r="D70" s="969"/>
      <c r="E70" s="970"/>
      <c r="F70" s="970"/>
      <c r="G70" s="997"/>
      <c r="H70" s="1288"/>
      <c r="I70" s="999"/>
      <c r="J70" s="1000"/>
      <c r="K70" s="1001"/>
      <c r="L70" s="552"/>
      <c r="M70" s="956">
        <f t="shared" si="0"/>
        <v>0</v>
      </c>
      <c r="N70" s="973">
        <f t="shared" si="0"/>
        <v>0</v>
      </c>
      <c r="O70" s="321">
        <f t="shared" si="1"/>
        <v>0</v>
      </c>
      <c r="P70" s="967">
        <f t="shared" si="2"/>
        <v>0</v>
      </c>
      <c r="AD70" s="2"/>
      <c r="AE70" s="2"/>
      <c r="AF70" s="2"/>
      <c r="AG70" s="2"/>
      <c r="AH70" s="2"/>
    </row>
    <row r="71" spans="1:34" ht="30" hidden="1" customHeight="1" outlineLevel="1">
      <c r="A71" s="145"/>
      <c r="B71" s="145"/>
      <c r="C71" s="968">
        <v>47</v>
      </c>
      <c r="D71" s="969"/>
      <c r="E71" s="970"/>
      <c r="F71" s="970"/>
      <c r="G71" s="997"/>
      <c r="H71" s="1288"/>
      <c r="I71" s="999"/>
      <c r="J71" s="1000"/>
      <c r="K71" s="1001"/>
      <c r="L71" s="552"/>
      <c r="M71" s="956">
        <f t="shared" si="0"/>
        <v>0</v>
      </c>
      <c r="N71" s="973">
        <f t="shared" si="0"/>
        <v>0</v>
      </c>
      <c r="O71" s="321">
        <f t="shared" si="1"/>
        <v>0</v>
      </c>
      <c r="P71" s="967">
        <f t="shared" si="2"/>
        <v>0</v>
      </c>
      <c r="AD71" s="2"/>
      <c r="AE71" s="2"/>
      <c r="AF71" s="2"/>
      <c r="AG71" s="2"/>
      <c r="AH71" s="2"/>
    </row>
    <row r="72" spans="1:34" ht="30" hidden="1" customHeight="1" outlineLevel="1">
      <c r="A72" s="145"/>
      <c r="B72" s="145"/>
      <c r="C72" s="968">
        <v>48</v>
      </c>
      <c r="D72" s="969"/>
      <c r="E72" s="970"/>
      <c r="F72" s="970"/>
      <c r="G72" s="997"/>
      <c r="H72" s="1288"/>
      <c r="I72" s="999"/>
      <c r="J72" s="1000"/>
      <c r="K72" s="1001"/>
      <c r="L72" s="552"/>
      <c r="M72" s="956">
        <f t="shared" si="0"/>
        <v>0</v>
      </c>
      <c r="N72" s="973">
        <f t="shared" si="0"/>
        <v>0</v>
      </c>
      <c r="O72" s="321">
        <f t="shared" si="1"/>
        <v>0</v>
      </c>
      <c r="P72" s="967">
        <f t="shared" si="2"/>
        <v>0</v>
      </c>
      <c r="AD72" s="2"/>
      <c r="AE72" s="2"/>
      <c r="AF72" s="2"/>
      <c r="AG72" s="2"/>
      <c r="AH72" s="2"/>
    </row>
    <row r="73" spans="1:34" ht="30" hidden="1" customHeight="1" outlineLevel="1">
      <c r="A73" s="145"/>
      <c r="B73" s="145"/>
      <c r="C73" s="968">
        <v>49</v>
      </c>
      <c r="D73" s="969"/>
      <c r="E73" s="970"/>
      <c r="F73" s="970"/>
      <c r="G73" s="997"/>
      <c r="H73" s="1288"/>
      <c r="I73" s="999"/>
      <c r="J73" s="1000"/>
      <c r="K73" s="1001"/>
      <c r="L73" s="552"/>
      <c r="M73" s="956">
        <f t="shared" si="0"/>
        <v>0</v>
      </c>
      <c r="N73" s="973">
        <f t="shared" si="0"/>
        <v>0</v>
      </c>
      <c r="O73" s="321">
        <f t="shared" si="1"/>
        <v>0</v>
      </c>
      <c r="P73" s="967">
        <f t="shared" si="2"/>
        <v>0</v>
      </c>
      <c r="AD73" s="2"/>
      <c r="AE73" s="2"/>
      <c r="AF73" s="2"/>
      <c r="AG73" s="2"/>
      <c r="AH73" s="2"/>
    </row>
    <row r="74" spans="1:34" ht="30" hidden="1" customHeight="1" outlineLevel="1">
      <c r="A74" s="145"/>
      <c r="B74" s="145"/>
      <c r="C74" s="968">
        <v>50</v>
      </c>
      <c r="D74" s="969"/>
      <c r="E74" s="970"/>
      <c r="F74" s="970"/>
      <c r="G74" s="997"/>
      <c r="H74" s="1288"/>
      <c r="I74" s="999"/>
      <c r="J74" s="1000"/>
      <c r="K74" s="1001"/>
      <c r="L74" s="552"/>
      <c r="M74" s="956">
        <f t="shared" si="0"/>
        <v>0</v>
      </c>
      <c r="N74" s="973">
        <f t="shared" si="0"/>
        <v>0</v>
      </c>
      <c r="O74" s="321">
        <f t="shared" si="1"/>
        <v>0</v>
      </c>
      <c r="P74" s="967">
        <f t="shared" si="2"/>
        <v>0</v>
      </c>
      <c r="AD74" s="2"/>
      <c r="AE74" s="2"/>
      <c r="AF74" s="2"/>
      <c r="AG74" s="2"/>
      <c r="AH74" s="2"/>
    </row>
    <row r="75" spans="1:34" ht="30" hidden="1" customHeight="1" outlineLevel="1">
      <c r="A75" s="145"/>
      <c r="B75" s="145"/>
      <c r="C75" s="968">
        <v>51</v>
      </c>
      <c r="D75" s="969"/>
      <c r="E75" s="970"/>
      <c r="F75" s="970"/>
      <c r="G75" s="997"/>
      <c r="H75" s="1288"/>
      <c r="I75" s="999"/>
      <c r="J75" s="1000"/>
      <c r="K75" s="1001"/>
      <c r="L75" s="552"/>
      <c r="M75" s="956">
        <f t="shared" si="0"/>
        <v>0</v>
      </c>
      <c r="N75" s="973">
        <f t="shared" si="0"/>
        <v>0</v>
      </c>
      <c r="O75" s="321">
        <f t="shared" si="1"/>
        <v>0</v>
      </c>
      <c r="P75" s="967">
        <f t="shared" si="2"/>
        <v>0</v>
      </c>
      <c r="AD75" s="2"/>
      <c r="AE75" s="2"/>
      <c r="AF75" s="2"/>
      <c r="AG75" s="2"/>
      <c r="AH75" s="2"/>
    </row>
    <row r="76" spans="1:34" ht="30" hidden="1" customHeight="1" outlineLevel="1">
      <c r="A76" s="145"/>
      <c r="B76" s="145"/>
      <c r="C76" s="968">
        <v>52</v>
      </c>
      <c r="D76" s="969"/>
      <c r="E76" s="970"/>
      <c r="F76" s="970"/>
      <c r="G76" s="997"/>
      <c r="H76" s="1288"/>
      <c r="I76" s="999"/>
      <c r="J76" s="1000"/>
      <c r="K76" s="1001"/>
      <c r="L76" s="552"/>
      <c r="M76" s="956">
        <f t="shared" si="0"/>
        <v>0</v>
      </c>
      <c r="N76" s="973">
        <f t="shared" si="0"/>
        <v>0</v>
      </c>
      <c r="O76" s="321">
        <f t="shared" si="1"/>
        <v>0</v>
      </c>
      <c r="P76" s="967">
        <f t="shared" si="2"/>
        <v>0</v>
      </c>
      <c r="AD76" s="2"/>
      <c r="AE76" s="2"/>
      <c r="AF76" s="2"/>
      <c r="AG76" s="2"/>
      <c r="AH76" s="2"/>
    </row>
    <row r="77" spans="1:34" ht="30" hidden="1" customHeight="1" outlineLevel="1">
      <c r="A77" s="145"/>
      <c r="B77" s="145"/>
      <c r="C77" s="968">
        <v>53</v>
      </c>
      <c r="D77" s="969"/>
      <c r="E77" s="970"/>
      <c r="F77" s="970"/>
      <c r="G77" s="997"/>
      <c r="H77" s="1288"/>
      <c r="I77" s="999"/>
      <c r="J77" s="1000"/>
      <c r="K77" s="1001"/>
      <c r="L77" s="552"/>
      <c r="M77" s="956">
        <f t="shared" si="0"/>
        <v>0</v>
      </c>
      <c r="N77" s="973">
        <f t="shared" si="0"/>
        <v>0</v>
      </c>
      <c r="O77" s="321">
        <f t="shared" si="1"/>
        <v>0</v>
      </c>
      <c r="P77" s="967">
        <f t="shared" si="2"/>
        <v>0</v>
      </c>
      <c r="AD77" s="2"/>
      <c r="AE77" s="2"/>
      <c r="AF77" s="2"/>
      <c r="AG77" s="2"/>
      <c r="AH77" s="2"/>
    </row>
    <row r="78" spans="1:34" ht="30" hidden="1" customHeight="1" outlineLevel="1">
      <c r="A78" s="145"/>
      <c r="B78" s="145"/>
      <c r="C78" s="968">
        <v>54</v>
      </c>
      <c r="D78" s="969"/>
      <c r="E78" s="970"/>
      <c r="F78" s="970"/>
      <c r="G78" s="997"/>
      <c r="H78" s="1288"/>
      <c r="I78" s="999"/>
      <c r="J78" s="1000"/>
      <c r="K78" s="1001"/>
      <c r="L78" s="552"/>
      <c r="M78" s="956">
        <f t="shared" si="0"/>
        <v>0</v>
      </c>
      <c r="N78" s="973">
        <f t="shared" si="0"/>
        <v>0</v>
      </c>
      <c r="O78" s="321">
        <f t="shared" si="1"/>
        <v>0</v>
      </c>
      <c r="P78" s="967">
        <f t="shared" si="2"/>
        <v>0</v>
      </c>
      <c r="AD78" s="2"/>
      <c r="AE78" s="2"/>
      <c r="AF78" s="2"/>
      <c r="AG78" s="2"/>
      <c r="AH78" s="2"/>
    </row>
    <row r="79" spans="1:34" ht="30" hidden="1" customHeight="1" outlineLevel="1">
      <c r="A79" s="145"/>
      <c r="B79" s="145"/>
      <c r="C79" s="968">
        <v>55</v>
      </c>
      <c r="D79" s="969"/>
      <c r="E79" s="970"/>
      <c r="F79" s="970"/>
      <c r="G79" s="997"/>
      <c r="H79" s="1288"/>
      <c r="I79" s="999"/>
      <c r="J79" s="1000"/>
      <c r="K79" s="1001"/>
      <c r="L79" s="552"/>
      <c r="M79" s="956">
        <f t="shared" si="0"/>
        <v>0</v>
      </c>
      <c r="N79" s="973">
        <f t="shared" si="0"/>
        <v>0</v>
      </c>
      <c r="O79" s="321">
        <f t="shared" si="1"/>
        <v>0</v>
      </c>
      <c r="P79" s="967">
        <f t="shared" si="2"/>
        <v>0</v>
      </c>
      <c r="AD79" s="2"/>
      <c r="AE79" s="2"/>
      <c r="AF79" s="2"/>
      <c r="AG79" s="2"/>
      <c r="AH79" s="2"/>
    </row>
    <row r="80" spans="1:34" ht="30" hidden="1" customHeight="1" outlineLevel="1">
      <c r="A80" s="145"/>
      <c r="B80" s="145"/>
      <c r="C80" s="968">
        <v>56</v>
      </c>
      <c r="D80" s="969"/>
      <c r="E80" s="970"/>
      <c r="F80" s="970"/>
      <c r="G80" s="997"/>
      <c r="H80" s="1288"/>
      <c r="I80" s="999"/>
      <c r="J80" s="1000"/>
      <c r="K80" s="1001"/>
      <c r="L80" s="552"/>
      <c r="M80" s="956">
        <f t="shared" si="0"/>
        <v>0</v>
      </c>
      <c r="N80" s="973">
        <f t="shared" si="0"/>
        <v>0</v>
      </c>
      <c r="O80" s="321">
        <f t="shared" si="1"/>
        <v>0</v>
      </c>
      <c r="P80" s="967">
        <f t="shared" si="2"/>
        <v>0</v>
      </c>
      <c r="AD80" s="2"/>
      <c r="AE80" s="2"/>
      <c r="AF80" s="2"/>
      <c r="AG80" s="2"/>
      <c r="AH80" s="2"/>
    </row>
    <row r="81" spans="1:34" ht="30" hidden="1" customHeight="1" outlineLevel="1">
      <c r="A81" s="145"/>
      <c r="B81" s="145"/>
      <c r="C81" s="968">
        <v>57</v>
      </c>
      <c r="D81" s="969"/>
      <c r="E81" s="970"/>
      <c r="F81" s="970"/>
      <c r="G81" s="997"/>
      <c r="H81" s="1288"/>
      <c r="I81" s="999"/>
      <c r="J81" s="1000"/>
      <c r="K81" s="1001"/>
      <c r="L81" s="552"/>
      <c r="M81" s="956">
        <f t="shared" si="0"/>
        <v>0</v>
      </c>
      <c r="N81" s="973">
        <f t="shared" si="0"/>
        <v>0</v>
      </c>
      <c r="O81" s="321">
        <f t="shared" si="1"/>
        <v>0</v>
      </c>
      <c r="P81" s="967">
        <f t="shared" si="2"/>
        <v>0</v>
      </c>
      <c r="AD81" s="2"/>
      <c r="AE81" s="2"/>
      <c r="AF81" s="2"/>
      <c r="AG81" s="2"/>
      <c r="AH81" s="2"/>
    </row>
    <row r="82" spans="1:34" ht="30" hidden="1" customHeight="1" outlineLevel="1">
      <c r="A82" s="145"/>
      <c r="B82" s="145"/>
      <c r="C82" s="968">
        <v>58</v>
      </c>
      <c r="D82" s="969"/>
      <c r="E82" s="970"/>
      <c r="F82" s="970"/>
      <c r="G82" s="997"/>
      <c r="H82" s="1288"/>
      <c r="I82" s="999"/>
      <c r="J82" s="1000"/>
      <c r="K82" s="1001"/>
      <c r="L82" s="552"/>
      <c r="M82" s="956">
        <f t="shared" si="0"/>
        <v>0</v>
      </c>
      <c r="N82" s="973">
        <f t="shared" si="0"/>
        <v>0</v>
      </c>
      <c r="O82" s="321">
        <f t="shared" si="1"/>
        <v>0</v>
      </c>
      <c r="P82" s="967">
        <f t="shared" si="2"/>
        <v>0</v>
      </c>
      <c r="AD82" s="2"/>
      <c r="AE82" s="2"/>
      <c r="AF82" s="2"/>
      <c r="AG82" s="2"/>
      <c r="AH82" s="2"/>
    </row>
    <row r="83" spans="1:34" ht="30" hidden="1" customHeight="1" outlineLevel="1">
      <c r="A83" s="145"/>
      <c r="B83" s="145"/>
      <c r="C83" s="968">
        <v>59</v>
      </c>
      <c r="D83" s="969"/>
      <c r="E83" s="970"/>
      <c r="F83" s="970"/>
      <c r="G83" s="997"/>
      <c r="H83" s="1288"/>
      <c r="I83" s="999"/>
      <c r="J83" s="1000"/>
      <c r="K83" s="1001"/>
      <c r="L83" s="552"/>
      <c r="M83" s="956">
        <f t="shared" si="0"/>
        <v>0</v>
      </c>
      <c r="N83" s="973">
        <f t="shared" si="0"/>
        <v>0</v>
      </c>
      <c r="O83" s="321">
        <f t="shared" si="1"/>
        <v>0</v>
      </c>
      <c r="P83" s="967">
        <f t="shared" si="2"/>
        <v>0</v>
      </c>
      <c r="AD83" s="2"/>
      <c r="AE83" s="2"/>
      <c r="AF83" s="2"/>
      <c r="AG83" s="2"/>
      <c r="AH83" s="2"/>
    </row>
    <row r="84" spans="1:34" ht="30" hidden="1" customHeight="1" outlineLevel="1">
      <c r="A84" s="145"/>
      <c r="B84" s="145"/>
      <c r="C84" s="968">
        <v>60</v>
      </c>
      <c r="D84" s="969"/>
      <c r="E84" s="970"/>
      <c r="F84" s="970"/>
      <c r="G84" s="997"/>
      <c r="H84" s="1288"/>
      <c r="I84" s="999"/>
      <c r="J84" s="1000"/>
      <c r="K84" s="1001"/>
      <c r="L84" s="552"/>
      <c r="M84" s="956">
        <f t="shared" si="0"/>
        <v>0</v>
      </c>
      <c r="N84" s="973">
        <f t="shared" si="0"/>
        <v>0</v>
      </c>
      <c r="O84" s="321">
        <f t="shared" si="1"/>
        <v>0</v>
      </c>
      <c r="P84" s="967">
        <f t="shared" si="2"/>
        <v>0</v>
      </c>
      <c r="AD84" s="2"/>
      <c r="AE84" s="2"/>
      <c r="AF84" s="2"/>
      <c r="AG84" s="2"/>
      <c r="AH84" s="2"/>
    </row>
    <row r="85" spans="1:34" ht="30" hidden="1" customHeight="1" outlineLevel="1">
      <c r="A85" s="145"/>
      <c r="B85" s="145"/>
      <c r="C85" s="968">
        <v>61</v>
      </c>
      <c r="D85" s="969"/>
      <c r="E85" s="970"/>
      <c r="F85" s="970"/>
      <c r="G85" s="997"/>
      <c r="H85" s="1288"/>
      <c r="I85" s="999"/>
      <c r="J85" s="1000"/>
      <c r="K85" s="1001"/>
      <c r="L85" s="552"/>
      <c r="M85" s="956">
        <f t="shared" si="0"/>
        <v>0</v>
      </c>
      <c r="N85" s="973">
        <f t="shared" si="0"/>
        <v>0</v>
      </c>
      <c r="O85" s="321">
        <f t="shared" si="1"/>
        <v>0</v>
      </c>
      <c r="P85" s="967">
        <f t="shared" si="2"/>
        <v>0</v>
      </c>
      <c r="AD85" s="2"/>
      <c r="AE85" s="2"/>
      <c r="AF85" s="2"/>
      <c r="AG85" s="2"/>
      <c r="AH85" s="2"/>
    </row>
    <row r="86" spans="1:34" ht="30" hidden="1" customHeight="1" outlineLevel="1">
      <c r="A86" s="145"/>
      <c r="B86" s="145"/>
      <c r="C86" s="968">
        <v>62</v>
      </c>
      <c r="D86" s="969"/>
      <c r="E86" s="970"/>
      <c r="F86" s="970"/>
      <c r="G86" s="997"/>
      <c r="H86" s="1288"/>
      <c r="I86" s="999"/>
      <c r="J86" s="1000"/>
      <c r="K86" s="1001"/>
      <c r="L86" s="552"/>
      <c r="M86" s="956">
        <f t="shared" si="0"/>
        <v>0</v>
      </c>
      <c r="N86" s="973">
        <f t="shared" si="0"/>
        <v>0</v>
      </c>
      <c r="O86" s="321">
        <f t="shared" si="1"/>
        <v>0</v>
      </c>
      <c r="P86" s="967">
        <f t="shared" si="2"/>
        <v>0</v>
      </c>
      <c r="AD86" s="2"/>
      <c r="AE86" s="2"/>
      <c r="AF86" s="2"/>
      <c r="AG86" s="2"/>
      <c r="AH86" s="2"/>
    </row>
    <row r="87" spans="1:34" ht="30" hidden="1" customHeight="1" outlineLevel="1">
      <c r="A87" s="145"/>
      <c r="B87" s="145"/>
      <c r="C87" s="968">
        <v>63</v>
      </c>
      <c r="D87" s="969"/>
      <c r="E87" s="970"/>
      <c r="F87" s="970"/>
      <c r="G87" s="997"/>
      <c r="H87" s="1288"/>
      <c r="I87" s="999"/>
      <c r="J87" s="1000"/>
      <c r="K87" s="1001"/>
      <c r="L87" s="552"/>
      <c r="M87" s="956">
        <f t="shared" si="0"/>
        <v>0</v>
      </c>
      <c r="N87" s="973">
        <f t="shared" si="0"/>
        <v>0</v>
      </c>
      <c r="O87" s="321">
        <f t="shared" si="1"/>
        <v>0</v>
      </c>
      <c r="P87" s="967">
        <f t="shared" si="2"/>
        <v>0</v>
      </c>
      <c r="AD87" s="2"/>
      <c r="AE87" s="2"/>
      <c r="AF87" s="2"/>
      <c r="AG87" s="2"/>
      <c r="AH87" s="2"/>
    </row>
    <row r="88" spans="1:34" ht="30" hidden="1" customHeight="1" outlineLevel="1">
      <c r="A88" s="145"/>
      <c r="B88" s="145"/>
      <c r="C88" s="968">
        <v>64</v>
      </c>
      <c r="D88" s="969"/>
      <c r="E88" s="970"/>
      <c r="F88" s="970"/>
      <c r="G88" s="997"/>
      <c r="H88" s="1288"/>
      <c r="I88" s="999"/>
      <c r="J88" s="1000"/>
      <c r="K88" s="1001"/>
      <c r="L88" s="552"/>
      <c r="M88" s="956">
        <f t="shared" si="0"/>
        <v>0</v>
      </c>
      <c r="N88" s="973">
        <f t="shared" si="0"/>
        <v>0</v>
      </c>
      <c r="O88" s="321">
        <f t="shared" si="1"/>
        <v>0</v>
      </c>
      <c r="P88" s="967">
        <f t="shared" si="2"/>
        <v>0</v>
      </c>
      <c r="AD88" s="2"/>
      <c r="AE88" s="2"/>
      <c r="AF88" s="2"/>
      <c r="AG88" s="2"/>
      <c r="AH88" s="2"/>
    </row>
    <row r="89" spans="1:34" ht="30" hidden="1" customHeight="1" outlineLevel="1">
      <c r="A89" s="145"/>
      <c r="B89" s="145"/>
      <c r="C89" s="968">
        <v>65</v>
      </c>
      <c r="D89" s="969"/>
      <c r="E89" s="970"/>
      <c r="F89" s="970"/>
      <c r="G89" s="997"/>
      <c r="H89" s="1288"/>
      <c r="I89" s="999"/>
      <c r="J89" s="1000"/>
      <c r="K89" s="1001"/>
      <c r="L89" s="552"/>
      <c r="M89" s="956">
        <f t="shared" si="0"/>
        <v>0</v>
      </c>
      <c r="N89" s="973">
        <f t="shared" si="0"/>
        <v>0</v>
      </c>
      <c r="O89" s="321">
        <f t="shared" si="1"/>
        <v>0</v>
      </c>
      <c r="P89" s="967">
        <f t="shared" si="2"/>
        <v>0</v>
      </c>
      <c r="AD89" s="2"/>
      <c r="AE89" s="2"/>
      <c r="AF89" s="2"/>
      <c r="AG89" s="2"/>
      <c r="AH89" s="2"/>
    </row>
    <row r="90" spans="1:34" ht="30" hidden="1" customHeight="1" outlineLevel="1">
      <c r="A90" s="145"/>
      <c r="B90" s="145"/>
      <c r="C90" s="968">
        <v>66</v>
      </c>
      <c r="D90" s="969"/>
      <c r="E90" s="970"/>
      <c r="F90" s="970"/>
      <c r="G90" s="997"/>
      <c r="H90" s="1288"/>
      <c r="I90" s="999"/>
      <c r="J90" s="1000"/>
      <c r="K90" s="1001"/>
      <c r="L90" s="552"/>
      <c r="M90" s="956">
        <f t="shared" si="0"/>
        <v>0</v>
      </c>
      <c r="N90" s="973">
        <f t="shared" si="0"/>
        <v>0</v>
      </c>
      <c r="O90" s="321">
        <f t="shared" si="1"/>
        <v>0</v>
      </c>
      <c r="P90" s="967">
        <f t="shared" ref="P90:P153" si="3">ROUND(O90*H90%,)</f>
        <v>0</v>
      </c>
      <c r="AD90" s="2"/>
      <c r="AE90" s="2"/>
      <c r="AF90" s="2"/>
      <c r="AG90" s="2"/>
      <c r="AH90" s="2"/>
    </row>
    <row r="91" spans="1:34" ht="30" hidden="1" customHeight="1" outlineLevel="1">
      <c r="A91" s="145"/>
      <c r="B91" s="145"/>
      <c r="C91" s="968">
        <v>67</v>
      </c>
      <c r="D91" s="969"/>
      <c r="E91" s="970"/>
      <c r="F91" s="970"/>
      <c r="G91" s="997"/>
      <c r="H91" s="1288"/>
      <c r="I91" s="999"/>
      <c r="J91" s="1000"/>
      <c r="K91" s="1001"/>
      <c r="L91" s="552"/>
      <c r="M91" s="956">
        <f t="shared" si="0"/>
        <v>0</v>
      </c>
      <c r="N91" s="973">
        <f t="shared" si="0"/>
        <v>0</v>
      </c>
      <c r="O91" s="321">
        <f t="shared" si="1"/>
        <v>0</v>
      </c>
      <c r="P91" s="967">
        <f t="shared" si="3"/>
        <v>0</v>
      </c>
      <c r="AD91" s="2"/>
      <c r="AE91" s="2"/>
      <c r="AF91" s="2"/>
      <c r="AG91" s="2"/>
      <c r="AH91" s="2"/>
    </row>
    <row r="92" spans="1:34" ht="30" hidden="1" customHeight="1" outlineLevel="1">
      <c r="A92" s="145"/>
      <c r="B92" s="145"/>
      <c r="C92" s="968">
        <v>68</v>
      </c>
      <c r="D92" s="969"/>
      <c r="E92" s="970"/>
      <c r="F92" s="970"/>
      <c r="G92" s="997"/>
      <c r="H92" s="1288"/>
      <c r="I92" s="999"/>
      <c r="J92" s="1000"/>
      <c r="K92" s="1001"/>
      <c r="L92" s="552"/>
      <c r="M92" s="956">
        <f t="shared" si="0"/>
        <v>0</v>
      </c>
      <c r="N92" s="973">
        <f t="shared" si="0"/>
        <v>0</v>
      </c>
      <c r="O92" s="321">
        <f t="shared" si="1"/>
        <v>0</v>
      </c>
      <c r="P92" s="967">
        <f t="shared" si="3"/>
        <v>0</v>
      </c>
      <c r="AD92" s="2"/>
      <c r="AE92" s="2"/>
      <c r="AF92" s="2"/>
      <c r="AG92" s="2"/>
      <c r="AH92" s="2"/>
    </row>
    <row r="93" spans="1:34" ht="30" hidden="1" customHeight="1" outlineLevel="1">
      <c r="A93" s="145"/>
      <c r="B93" s="145"/>
      <c r="C93" s="968">
        <v>69</v>
      </c>
      <c r="D93" s="969"/>
      <c r="E93" s="970"/>
      <c r="F93" s="970"/>
      <c r="G93" s="997"/>
      <c r="H93" s="1288"/>
      <c r="I93" s="999"/>
      <c r="J93" s="1000"/>
      <c r="K93" s="1001"/>
      <c r="L93" s="552"/>
      <c r="M93" s="956">
        <f t="shared" si="0"/>
        <v>0</v>
      </c>
      <c r="N93" s="973">
        <f t="shared" si="0"/>
        <v>0</v>
      </c>
      <c r="O93" s="321">
        <f t="shared" si="1"/>
        <v>0</v>
      </c>
      <c r="P93" s="967">
        <f t="shared" si="3"/>
        <v>0</v>
      </c>
      <c r="AD93" s="2"/>
      <c r="AE93" s="2"/>
      <c r="AF93" s="2"/>
      <c r="AG93" s="2"/>
      <c r="AH93" s="2"/>
    </row>
    <row r="94" spans="1:34" ht="30" hidden="1" customHeight="1" outlineLevel="1">
      <c r="A94" s="145"/>
      <c r="B94" s="145"/>
      <c r="C94" s="968">
        <v>70</v>
      </c>
      <c r="D94" s="969"/>
      <c r="E94" s="970"/>
      <c r="F94" s="970"/>
      <c r="G94" s="997"/>
      <c r="H94" s="1288"/>
      <c r="I94" s="999"/>
      <c r="J94" s="1000"/>
      <c r="K94" s="1001"/>
      <c r="L94" s="552"/>
      <c r="M94" s="956">
        <f t="shared" si="0"/>
        <v>0</v>
      </c>
      <c r="N94" s="973">
        <f t="shared" si="0"/>
        <v>0</v>
      </c>
      <c r="O94" s="321">
        <f t="shared" si="1"/>
        <v>0</v>
      </c>
      <c r="P94" s="967">
        <f t="shared" si="3"/>
        <v>0</v>
      </c>
      <c r="AD94" s="2"/>
      <c r="AE94" s="2"/>
      <c r="AF94" s="2"/>
      <c r="AG94" s="2"/>
      <c r="AH94" s="2"/>
    </row>
    <row r="95" spans="1:34" ht="30" hidden="1" customHeight="1" outlineLevel="1">
      <c r="A95" s="145"/>
      <c r="B95" s="145"/>
      <c r="C95" s="968">
        <v>71</v>
      </c>
      <c r="D95" s="969"/>
      <c r="E95" s="970"/>
      <c r="F95" s="970"/>
      <c r="G95" s="997"/>
      <c r="H95" s="1288"/>
      <c r="I95" s="999"/>
      <c r="J95" s="1000"/>
      <c r="K95" s="1001"/>
      <c r="L95" s="552"/>
      <c r="M95" s="956">
        <f t="shared" si="0"/>
        <v>0</v>
      </c>
      <c r="N95" s="973">
        <f t="shared" si="0"/>
        <v>0</v>
      </c>
      <c r="O95" s="321">
        <f t="shared" si="1"/>
        <v>0</v>
      </c>
      <c r="P95" s="967">
        <f t="shared" si="3"/>
        <v>0</v>
      </c>
      <c r="AD95" s="2"/>
      <c r="AE95" s="2"/>
      <c r="AF95" s="2"/>
      <c r="AG95" s="2"/>
      <c r="AH95" s="2"/>
    </row>
    <row r="96" spans="1:34" ht="30" hidden="1" customHeight="1" outlineLevel="1">
      <c r="A96" s="145"/>
      <c r="B96" s="145"/>
      <c r="C96" s="968">
        <v>72</v>
      </c>
      <c r="D96" s="969"/>
      <c r="E96" s="970"/>
      <c r="F96" s="970"/>
      <c r="G96" s="997"/>
      <c r="H96" s="1288"/>
      <c r="I96" s="999"/>
      <c r="J96" s="1000"/>
      <c r="K96" s="1001"/>
      <c r="L96" s="552"/>
      <c r="M96" s="956">
        <f t="shared" si="0"/>
        <v>0</v>
      </c>
      <c r="N96" s="973">
        <f t="shared" si="0"/>
        <v>0</v>
      </c>
      <c r="O96" s="321">
        <f t="shared" si="1"/>
        <v>0</v>
      </c>
      <c r="P96" s="967">
        <f t="shared" si="3"/>
        <v>0</v>
      </c>
      <c r="AD96" s="2"/>
      <c r="AE96" s="2"/>
      <c r="AF96" s="2"/>
      <c r="AG96" s="2"/>
      <c r="AH96" s="2"/>
    </row>
    <row r="97" spans="1:34" ht="30" hidden="1" customHeight="1" outlineLevel="1">
      <c r="A97" s="145"/>
      <c r="B97" s="145"/>
      <c r="C97" s="968">
        <v>73</v>
      </c>
      <c r="D97" s="969"/>
      <c r="E97" s="970"/>
      <c r="F97" s="970"/>
      <c r="G97" s="997"/>
      <c r="H97" s="1288"/>
      <c r="I97" s="999"/>
      <c r="J97" s="1000"/>
      <c r="K97" s="1001"/>
      <c r="L97" s="552"/>
      <c r="M97" s="956">
        <f t="shared" si="0"/>
        <v>0</v>
      </c>
      <c r="N97" s="973">
        <f t="shared" si="0"/>
        <v>0</v>
      </c>
      <c r="O97" s="321">
        <f t="shared" si="1"/>
        <v>0</v>
      </c>
      <c r="P97" s="967">
        <f t="shared" si="3"/>
        <v>0</v>
      </c>
      <c r="AD97" s="2"/>
      <c r="AE97" s="2"/>
      <c r="AF97" s="2"/>
      <c r="AG97" s="2"/>
      <c r="AH97" s="2"/>
    </row>
    <row r="98" spans="1:34" ht="30" hidden="1" customHeight="1" outlineLevel="1">
      <c r="A98" s="145"/>
      <c r="B98" s="145"/>
      <c r="C98" s="968">
        <v>74</v>
      </c>
      <c r="D98" s="969"/>
      <c r="E98" s="970"/>
      <c r="F98" s="970"/>
      <c r="G98" s="997"/>
      <c r="H98" s="1288"/>
      <c r="I98" s="999"/>
      <c r="J98" s="1000"/>
      <c r="K98" s="1001"/>
      <c r="L98" s="552"/>
      <c r="M98" s="956">
        <f t="shared" si="0"/>
        <v>0</v>
      </c>
      <c r="N98" s="973">
        <f t="shared" si="0"/>
        <v>0</v>
      </c>
      <c r="O98" s="321">
        <f t="shared" si="1"/>
        <v>0</v>
      </c>
      <c r="P98" s="967">
        <f t="shared" si="3"/>
        <v>0</v>
      </c>
      <c r="AD98" s="2"/>
      <c r="AE98" s="2"/>
      <c r="AF98" s="2"/>
      <c r="AG98" s="2"/>
      <c r="AH98" s="2"/>
    </row>
    <row r="99" spans="1:34" ht="30" hidden="1" customHeight="1" outlineLevel="1">
      <c r="A99" s="145"/>
      <c r="B99" s="145"/>
      <c r="C99" s="968">
        <v>75</v>
      </c>
      <c r="D99" s="969"/>
      <c r="E99" s="970"/>
      <c r="F99" s="970"/>
      <c r="G99" s="997"/>
      <c r="H99" s="1288"/>
      <c r="I99" s="999"/>
      <c r="J99" s="1000"/>
      <c r="K99" s="1001"/>
      <c r="L99" s="552"/>
      <c r="M99" s="956">
        <f t="shared" si="0"/>
        <v>0</v>
      </c>
      <c r="N99" s="973">
        <f t="shared" si="0"/>
        <v>0</v>
      </c>
      <c r="O99" s="321">
        <f t="shared" si="1"/>
        <v>0</v>
      </c>
      <c r="P99" s="967">
        <f t="shared" si="3"/>
        <v>0</v>
      </c>
      <c r="AD99" s="2"/>
      <c r="AE99" s="2"/>
      <c r="AF99" s="2"/>
      <c r="AG99" s="2"/>
      <c r="AH99" s="2"/>
    </row>
    <row r="100" spans="1:34" ht="30" hidden="1" customHeight="1" outlineLevel="1">
      <c r="A100" s="145"/>
      <c r="B100" s="145"/>
      <c r="C100" s="968">
        <v>76</v>
      </c>
      <c r="D100" s="969"/>
      <c r="E100" s="970"/>
      <c r="F100" s="970"/>
      <c r="G100" s="997"/>
      <c r="H100" s="1288"/>
      <c r="I100" s="999"/>
      <c r="J100" s="1000"/>
      <c r="K100" s="1001"/>
      <c r="L100" s="552"/>
      <c r="M100" s="956">
        <f t="shared" si="0"/>
        <v>0</v>
      </c>
      <c r="N100" s="973">
        <f t="shared" si="0"/>
        <v>0</v>
      </c>
      <c r="O100" s="321">
        <f t="shared" si="1"/>
        <v>0</v>
      </c>
      <c r="P100" s="967">
        <f t="shared" si="3"/>
        <v>0</v>
      </c>
      <c r="AD100" s="2"/>
      <c r="AE100" s="2"/>
      <c r="AF100" s="2"/>
      <c r="AG100" s="2"/>
      <c r="AH100" s="2"/>
    </row>
    <row r="101" spans="1:34" ht="30" hidden="1" customHeight="1" outlineLevel="1">
      <c r="A101" s="145"/>
      <c r="B101" s="145"/>
      <c r="C101" s="968">
        <v>77</v>
      </c>
      <c r="D101" s="969"/>
      <c r="E101" s="970"/>
      <c r="F101" s="970"/>
      <c r="G101" s="997"/>
      <c r="H101" s="1288"/>
      <c r="I101" s="999"/>
      <c r="J101" s="1000"/>
      <c r="K101" s="1001"/>
      <c r="L101" s="552"/>
      <c r="M101" s="956">
        <f t="shared" si="0"/>
        <v>0</v>
      </c>
      <c r="N101" s="973">
        <f t="shared" si="0"/>
        <v>0</v>
      </c>
      <c r="O101" s="321">
        <f t="shared" si="1"/>
        <v>0</v>
      </c>
      <c r="P101" s="967">
        <f t="shared" si="3"/>
        <v>0</v>
      </c>
      <c r="AD101" s="2"/>
      <c r="AE101" s="2"/>
      <c r="AF101" s="2"/>
      <c r="AG101" s="2"/>
      <c r="AH101" s="2"/>
    </row>
    <row r="102" spans="1:34" ht="30" hidden="1" customHeight="1" outlineLevel="1">
      <c r="A102" s="145"/>
      <c r="B102" s="145"/>
      <c r="C102" s="968">
        <v>78</v>
      </c>
      <c r="D102" s="969"/>
      <c r="E102" s="970"/>
      <c r="F102" s="970"/>
      <c r="G102" s="997"/>
      <c r="H102" s="1288"/>
      <c r="I102" s="999"/>
      <c r="J102" s="1000"/>
      <c r="K102" s="1001"/>
      <c r="L102" s="552"/>
      <c r="M102" s="956">
        <f t="shared" si="0"/>
        <v>0</v>
      </c>
      <c r="N102" s="973">
        <f t="shared" si="0"/>
        <v>0</v>
      </c>
      <c r="O102" s="321">
        <f t="shared" si="1"/>
        <v>0</v>
      </c>
      <c r="P102" s="967">
        <f t="shared" si="3"/>
        <v>0</v>
      </c>
      <c r="AD102" s="2"/>
      <c r="AE102" s="2"/>
      <c r="AF102" s="2"/>
      <c r="AG102" s="2"/>
      <c r="AH102" s="2"/>
    </row>
    <row r="103" spans="1:34" ht="30" hidden="1" customHeight="1" outlineLevel="1">
      <c r="A103" s="145"/>
      <c r="B103" s="145"/>
      <c r="C103" s="968">
        <v>79</v>
      </c>
      <c r="D103" s="969"/>
      <c r="E103" s="970"/>
      <c r="F103" s="970"/>
      <c r="G103" s="997"/>
      <c r="H103" s="1288"/>
      <c r="I103" s="999"/>
      <c r="J103" s="1000"/>
      <c r="K103" s="1001"/>
      <c r="L103" s="552"/>
      <c r="M103" s="956">
        <f t="shared" si="0"/>
        <v>0</v>
      </c>
      <c r="N103" s="973">
        <f t="shared" si="0"/>
        <v>0</v>
      </c>
      <c r="O103" s="321">
        <f t="shared" si="1"/>
        <v>0</v>
      </c>
      <c r="P103" s="967">
        <f t="shared" si="3"/>
        <v>0</v>
      </c>
      <c r="AD103" s="2"/>
      <c r="AE103" s="2"/>
      <c r="AF103" s="2"/>
      <c r="AG103" s="2"/>
      <c r="AH103" s="2"/>
    </row>
    <row r="104" spans="1:34" ht="30" hidden="1" customHeight="1" outlineLevel="1">
      <c r="A104" s="145"/>
      <c r="B104" s="145"/>
      <c r="C104" s="968">
        <v>80</v>
      </c>
      <c r="D104" s="969"/>
      <c r="E104" s="970"/>
      <c r="F104" s="970"/>
      <c r="G104" s="997"/>
      <c r="H104" s="1288"/>
      <c r="I104" s="999"/>
      <c r="J104" s="1000"/>
      <c r="K104" s="1001"/>
      <c r="L104" s="552"/>
      <c r="M104" s="956">
        <f t="shared" si="0"/>
        <v>0</v>
      </c>
      <c r="N104" s="973">
        <f t="shared" si="0"/>
        <v>0</v>
      </c>
      <c r="O104" s="321">
        <f t="shared" si="1"/>
        <v>0</v>
      </c>
      <c r="P104" s="967">
        <f t="shared" si="3"/>
        <v>0</v>
      </c>
      <c r="AD104" s="2"/>
      <c r="AE104" s="2"/>
      <c r="AF104" s="2"/>
      <c r="AG104" s="2"/>
      <c r="AH104" s="2"/>
    </row>
    <row r="105" spans="1:34" ht="30" hidden="1" customHeight="1" outlineLevel="1">
      <c r="A105" s="145"/>
      <c r="B105" s="145"/>
      <c r="C105" s="968">
        <v>81</v>
      </c>
      <c r="D105" s="969"/>
      <c r="E105" s="970"/>
      <c r="F105" s="970"/>
      <c r="G105" s="997"/>
      <c r="H105" s="1288"/>
      <c r="I105" s="999"/>
      <c r="J105" s="1000"/>
      <c r="K105" s="1001"/>
      <c r="L105" s="552"/>
      <c r="M105" s="956">
        <f t="shared" si="0"/>
        <v>0</v>
      </c>
      <c r="N105" s="973">
        <f t="shared" si="0"/>
        <v>0</v>
      </c>
      <c r="O105" s="321">
        <f t="shared" si="1"/>
        <v>0</v>
      </c>
      <c r="P105" s="967">
        <f t="shared" si="3"/>
        <v>0</v>
      </c>
      <c r="AD105" s="2"/>
      <c r="AE105" s="2"/>
      <c r="AF105" s="2"/>
      <c r="AG105" s="2"/>
      <c r="AH105" s="2"/>
    </row>
    <row r="106" spans="1:34" ht="30" hidden="1" customHeight="1" outlineLevel="1">
      <c r="A106" s="145"/>
      <c r="B106" s="145"/>
      <c r="C106" s="968">
        <v>82</v>
      </c>
      <c r="D106" s="969"/>
      <c r="E106" s="970"/>
      <c r="F106" s="970"/>
      <c r="G106" s="997"/>
      <c r="H106" s="1288"/>
      <c r="I106" s="999"/>
      <c r="J106" s="1000"/>
      <c r="K106" s="1001"/>
      <c r="L106" s="552"/>
      <c r="M106" s="956">
        <f t="shared" si="0"/>
        <v>0</v>
      </c>
      <c r="N106" s="973">
        <f t="shared" si="0"/>
        <v>0</v>
      </c>
      <c r="O106" s="321">
        <f t="shared" si="1"/>
        <v>0</v>
      </c>
      <c r="P106" s="967">
        <f t="shared" si="3"/>
        <v>0</v>
      </c>
      <c r="AD106" s="2"/>
      <c r="AE106" s="2"/>
      <c r="AF106" s="2"/>
      <c r="AG106" s="2"/>
      <c r="AH106" s="2"/>
    </row>
    <row r="107" spans="1:34" ht="30" hidden="1" customHeight="1" outlineLevel="1">
      <c r="A107" s="145"/>
      <c r="B107" s="145"/>
      <c r="C107" s="968">
        <v>83</v>
      </c>
      <c r="D107" s="969"/>
      <c r="E107" s="970"/>
      <c r="F107" s="970"/>
      <c r="G107" s="997"/>
      <c r="H107" s="1288"/>
      <c r="I107" s="999"/>
      <c r="J107" s="1000"/>
      <c r="K107" s="1001"/>
      <c r="L107" s="552"/>
      <c r="M107" s="956">
        <f t="shared" si="0"/>
        <v>0</v>
      </c>
      <c r="N107" s="973">
        <f t="shared" si="0"/>
        <v>0</v>
      </c>
      <c r="O107" s="321">
        <f t="shared" si="1"/>
        <v>0</v>
      </c>
      <c r="P107" s="967">
        <f t="shared" si="3"/>
        <v>0</v>
      </c>
      <c r="AD107" s="2"/>
      <c r="AE107" s="2"/>
      <c r="AF107" s="2"/>
      <c r="AG107" s="2"/>
      <c r="AH107" s="2"/>
    </row>
    <row r="108" spans="1:34" ht="30" hidden="1" customHeight="1" outlineLevel="1">
      <c r="A108" s="145"/>
      <c r="B108" s="145"/>
      <c r="C108" s="968">
        <v>84</v>
      </c>
      <c r="D108" s="969"/>
      <c r="E108" s="970"/>
      <c r="F108" s="970"/>
      <c r="G108" s="997"/>
      <c r="H108" s="1288"/>
      <c r="I108" s="999"/>
      <c r="J108" s="1000"/>
      <c r="K108" s="1001"/>
      <c r="L108" s="552"/>
      <c r="M108" s="956">
        <f t="shared" si="0"/>
        <v>0</v>
      </c>
      <c r="N108" s="973">
        <f t="shared" si="0"/>
        <v>0</v>
      </c>
      <c r="O108" s="321">
        <f t="shared" si="1"/>
        <v>0</v>
      </c>
      <c r="P108" s="967">
        <f t="shared" si="3"/>
        <v>0</v>
      </c>
      <c r="AD108" s="2"/>
      <c r="AE108" s="2"/>
      <c r="AF108" s="2"/>
      <c r="AG108" s="2"/>
      <c r="AH108" s="2"/>
    </row>
    <row r="109" spans="1:34" ht="30" hidden="1" customHeight="1" outlineLevel="1">
      <c r="A109" s="145"/>
      <c r="B109" s="145"/>
      <c r="C109" s="968">
        <v>85</v>
      </c>
      <c r="D109" s="969"/>
      <c r="E109" s="970"/>
      <c r="F109" s="970"/>
      <c r="G109" s="997"/>
      <c r="H109" s="1288"/>
      <c r="I109" s="999"/>
      <c r="J109" s="1000"/>
      <c r="K109" s="1001"/>
      <c r="L109" s="552"/>
      <c r="M109" s="956">
        <f t="shared" si="0"/>
        <v>0</v>
      </c>
      <c r="N109" s="973">
        <f t="shared" si="0"/>
        <v>0</v>
      </c>
      <c r="O109" s="321">
        <f t="shared" si="1"/>
        <v>0</v>
      </c>
      <c r="P109" s="967">
        <f t="shared" si="3"/>
        <v>0</v>
      </c>
      <c r="AD109" s="2"/>
      <c r="AE109" s="2"/>
      <c r="AF109" s="2"/>
      <c r="AG109" s="2"/>
      <c r="AH109" s="2"/>
    </row>
    <row r="110" spans="1:34" ht="30" hidden="1" customHeight="1" outlineLevel="1">
      <c r="A110" s="145"/>
      <c r="B110" s="145"/>
      <c r="C110" s="968">
        <v>86</v>
      </c>
      <c r="D110" s="969"/>
      <c r="E110" s="970"/>
      <c r="F110" s="970"/>
      <c r="G110" s="997"/>
      <c r="H110" s="1288"/>
      <c r="I110" s="999"/>
      <c r="J110" s="1000"/>
      <c r="K110" s="1001"/>
      <c r="L110" s="552"/>
      <c r="M110" s="956">
        <f t="shared" si="0"/>
        <v>0</v>
      </c>
      <c r="N110" s="973">
        <f t="shared" si="0"/>
        <v>0</v>
      </c>
      <c r="O110" s="321">
        <f t="shared" si="1"/>
        <v>0</v>
      </c>
      <c r="P110" s="967">
        <f t="shared" si="3"/>
        <v>0</v>
      </c>
      <c r="AD110" s="2"/>
      <c r="AE110" s="2"/>
      <c r="AF110" s="2"/>
      <c r="AG110" s="2"/>
      <c r="AH110" s="2"/>
    </row>
    <row r="111" spans="1:34" ht="30" hidden="1" customHeight="1" outlineLevel="1">
      <c r="A111" s="145"/>
      <c r="B111" s="145"/>
      <c r="C111" s="968">
        <v>87</v>
      </c>
      <c r="D111" s="969"/>
      <c r="E111" s="970"/>
      <c r="F111" s="970"/>
      <c r="G111" s="997"/>
      <c r="H111" s="1288"/>
      <c r="I111" s="999"/>
      <c r="J111" s="1000"/>
      <c r="K111" s="1001"/>
      <c r="L111" s="552"/>
      <c r="M111" s="956">
        <f t="shared" si="0"/>
        <v>0</v>
      </c>
      <c r="N111" s="973">
        <f t="shared" si="0"/>
        <v>0</v>
      </c>
      <c r="O111" s="321">
        <f t="shared" si="1"/>
        <v>0</v>
      </c>
      <c r="P111" s="967">
        <f t="shared" si="3"/>
        <v>0</v>
      </c>
      <c r="AD111" s="2"/>
      <c r="AE111" s="2"/>
      <c r="AF111" s="2"/>
      <c r="AG111" s="2"/>
      <c r="AH111" s="2"/>
    </row>
    <row r="112" spans="1:34" ht="30" hidden="1" customHeight="1" outlineLevel="1">
      <c r="A112" s="145"/>
      <c r="B112" s="145"/>
      <c r="C112" s="968">
        <v>88</v>
      </c>
      <c r="D112" s="969"/>
      <c r="E112" s="970"/>
      <c r="F112" s="970"/>
      <c r="G112" s="997"/>
      <c r="H112" s="1288"/>
      <c r="I112" s="999"/>
      <c r="J112" s="1000"/>
      <c r="K112" s="1001"/>
      <c r="L112" s="552"/>
      <c r="M112" s="956">
        <f t="shared" si="0"/>
        <v>0</v>
      </c>
      <c r="N112" s="973">
        <f t="shared" si="0"/>
        <v>0</v>
      </c>
      <c r="O112" s="321">
        <f t="shared" si="1"/>
        <v>0</v>
      </c>
      <c r="P112" s="967">
        <f t="shared" si="3"/>
        <v>0</v>
      </c>
      <c r="AD112" s="2"/>
      <c r="AE112" s="2"/>
      <c r="AF112" s="2"/>
      <c r="AG112" s="2"/>
      <c r="AH112" s="2"/>
    </row>
    <row r="113" spans="1:34" ht="30" hidden="1" customHeight="1" outlineLevel="1">
      <c r="A113" s="145"/>
      <c r="B113" s="145"/>
      <c r="C113" s="968">
        <v>89</v>
      </c>
      <c r="D113" s="969"/>
      <c r="E113" s="970"/>
      <c r="F113" s="970"/>
      <c r="G113" s="997"/>
      <c r="H113" s="1288"/>
      <c r="I113" s="999"/>
      <c r="J113" s="1000"/>
      <c r="K113" s="1001"/>
      <c r="L113" s="552"/>
      <c r="M113" s="956">
        <f t="shared" si="0"/>
        <v>0</v>
      </c>
      <c r="N113" s="973">
        <f t="shared" si="0"/>
        <v>0</v>
      </c>
      <c r="O113" s="321">
        <f t="shared" si="1"/>
        <v>0</v>
      </c>
      <c r="P113" s="967">
        <f t="shared" si="3"/>
        <v>0</v>
      </c>
      <c r="AD113" s="2"/>
      <c r="AE113" s="2"/>
      <c r="AF113" s="2"/>
      <c r="AG113" s="2"/>
      <c r="AH113" s="2"/>
    </row>
    <row r="114" spans="1:34" ht="30" hidden="1" customHeight="1" outlineLevel="1">
      <c r="A114" s="145"/>
      <c r="B114" s="145"/>
      <c r="C114" s="968">
        <v>90</v>
      </c>
      <c r="D114" s="969"/>
      <c r="E114" s="970"/>
      <c r="F114" s="970"/>
      <c r="G114" s="997"/>
      <c r="H114" s="1288"/>
      <c r="I114" s="999"/>
      <c r="J114" s="1000"/>
      <c r="K114" s="1001"/>
      <c r="L114" s="552"/>
      <c r="M114" s="956">
        <f t="shared" si="0"/>
        <v>0</v>
      </c>
      <c r="N114" s="973">
        <f t="shared" si="0"/>
        <v>0</v>
      </c>
      <c r="O114" s="321">
        <f t="shared" si="1"/>
        <v>0</v>
      </c>
      <c r="P114" s="967">
        <f t="shared" si="3"/>
        <v>0</v>
      </c>
      <c r="AD114" s="2"/>
      <c r="AE114" s="2"/>
      <c r="AF114" s="2"/>
      <c r="AG114" s="2"/>
      <c r="AH114" s="2"/>
    </row>
    <row r="115" spans="1:34" ht="30" hidden="1" customHeight="1" outlineLevel="1">
      <c r="A115" s="145"/>
      <c r="B115" s="145"/>
      <c r="C115" s="968">
        <v>91</v>
      </c>
      <c r="D115" s="969"/>
      <c r="E115" s="970"/>
      <c r="F115" s="970"/>
      <c r="G115" s="997"/>
      <c r="H115" s="1288"/>
      <c r="I115" s="999"/>
      <c r="J115" s="1000"/>
      <c r="K115" s="1001"/>
      <c r="L115" s="552"/>
      <c r="M115" s="956">
        <f t="shared" si="0"/>
        <v>0</v>
      </c>
      <c r="N115" s="973">
        <f t="shared" si="0"/>
        <v>0</v>
      </c>
      <c r="O115" s="321">
        <f t="shared" si="1"/>
        <v>0</v>
      </c>
      <c r="P115" s="967">
        <f t="shared" si="3"/>
        <v>0</v>
      </c>
      <c r="AD115" s="2"/>
      <c r="AE115" s="2"/>
      <c r="AF115" s="2"/>
      <c r="AG115" s="2"/>
      <c r="AH115" s="2"/>
    </row>
    <row r="116" spans="1:34" ht="30" hidden="1" customHeight="1" outlineLevel="1">
      <c r="A116" s="145"/>
      <c r="B116" s="145"/>
      <c r="C116" s="968">
        <v>92</v>
      </c>
      <c r="D116" s="969"/>
      <c r="E116" s="970"/>
      <c r="F116" s="970"/>
      <c r="G116" s="997"/>
      <c r="H116" s="1288"/>
      <c r="I116" s="999"/>
      <c r="J116" s="1000"/>
      <c r="K116" s="1001"/>
      <c r="L116" s="552"/>
      <c r="M116" s="956">
        <f t="shared" si="0"/>
        <v>0</v>
      </c>
      <c r="N116" s="973">
        <f t="shared" si="0"/>
        <v>0</v>
      </c>
      <c r="O116" s="321">
        <f t="shared" si="1"/>
        <v>0</v>
      </c>
      <c r="P116" s="967">
        <f t="shared" si="3"/>
        <v>0</v>
      </c>
      <c r="AD116" s="2"/>
      <c r="AE116" s="2"/>
      <c r="AF116" s="2"/>
      <c r="AG116" s="2"/>
      <c r="AH116" s="2"/>
    </row>
    <row r="117" spans="1:34" ht="30" hidden="1" customHeight="1" outlineLevel="1">
      <c r="A117" s="145"/>
      <c r="B117" s="145"/>
      <c r="C117" s="968">
        <v>93</v>
      </c>
      <c r="D117" s="969"/>
      <c r="E117" s="970"/>
      <c r="F117" s="970"/>
      <c r="G117" s="997"/>
      <c r="H117" s="1288"/>
      <c r="I117" s="999"/>
      <c r="J117" s="1000"/>
      <c r="K117" s="1001"/>
      <c r="L117" s="552"/>
      <c r="M117" s="956">
        <f t="shared" si="0"/>
        <v>0</v>
      </c>
      <c r="N117" s="973">
        <f t="shared" si="0"/>
        <v>0</v>
      </c>
      <c r="O117" s="321">
        <f t="shared" si="1"/>
        <v>0</v>
      </c>
      <c r="P117" s="967">
        <f t="shared" si="3"/>
        <v>0</v>
      </c>
      <c r="AD117" s="2"/>
      <c r="AE117" s="2"/>
      <c r="AF117" s="2"/>
      <c r="AG117" s="2"/>
      <c r="AH117" s="2"/>
    </row>
    <row r="118" spans="1:34" ht="30" hidden="1" customHeight="1" outlineLevel="1">
      <c r="A118" s="145"/>
      <c r="B118" s="145"/>
      <c r="C118" s="968">
        <v>94</v>
      </c>
      <c r="D118" s="969"/>
      <c r="E118" s="970"/>
      <c r="F118" s="970"/>
      <c r="G118" s="997"/>
      <c r="H118" s="1288"/>
      <c r="I118" s="999"/>
      <c r="J118" s="1000"/>
      <c r="K118" s="1001"/>
      <c r="L118" s="552"/>
      <c r="M118" s="956">
        <f t="shared" si="0"/>
        <v>0</v>
      </c>
      <c r="N118" s="973">
        <f t="shared" si="0"/>
        <v>0</v>
      </c>
      <c r="O118" s="321">
        <f t="shared" si="1"/>
        <v>0</v>
      </c>
      <c r="P118" s="967">
        <f t="shared" si="3"/>
        <v>0</v>
      </c>
      <c r="AD118" s="2"/>
      <c r="AE118" s="2"/>
      <c r="AF118" s="2"/>
      <c r="AG118" s="2"/>
      <c r="AH118" s="2"/>
    </row>
    <row r="119" spans="1:34" ht="30" hidden="1" customHeight="1" outlineLevel="1">
      <c r="A119" s="145"/>
      <c r="B119" s="145"/>
      <c r="C119" s="968">
        <v>95</v>
      </c>
      <c r="D119" s="969"/>
      <c r="E119" s="970"/>
      <c r="F119" s="970"/>
      <c r="G119" s="997"/>
      <c r="H119" s="1288"/>
      <c r="I119" s="999"/>
      <c r="J119" s="1000"/>
      <c r="K119" s="1001"/>
      <c r="L119" s="552"/>
      <c r="M119" s="956">
        <f t="shared" si="0"/>
        <v>0</v>
      </c>
      <c r="N119" s="973">
        <f t="shared" si="0"/>
        <v>0</v>
      </c>
      <c r="O119" s="321">
        <f t="shared" si="1"/>
        <v>0</v>
      </c>
      <c r="P119" s="967">
        <f t="shared" si="3"/>
        <v>0</v>
      </c>
      <c r="AD119" s="2"/>
      <c r="AE119" s="2"/>
      <c r="AF119" s="2"/>
      <c r="AG119" s="2"/>
      <c r="AH119" s="2"/>
    </row>
    <row r="120" spans="1:34" ht="30" hidden="1" customHeight="1" outlineLevel="1">
      <c r="A120" s="145"/>
      <c r="B120" s="145"/>
      <c r="C120" s="968">
        <v>96</v>
      </c>
      <c r="D120" s="969"/>
      <c r="E120" s="970"/>
      <c r="F120" s="970"/>
      <c r="G120" s="997"/>
      <c r="H120" s="1288"/>
      <c r="I120" s="999"/>
      <c r="J120" s="1000"/>
      <c r="K120" s="1001"/>
      <c r="L120" s="552"/>
      <c r="M120" s="956">
        <f t="shared" si="0"/>
        <v>0</v>
      </c>
      <c r="N120" s="973">
        <f t="shared" si="0"/>
        <v>0</v>
      </c>
      <c r="O120" s="321">
        <f t="shared" si="1"/>
        <v>0</v>
      </c>
      <c r="P120" s="967">
        <f t="shared" si="3"/>
        <v>0</v>
      </c>
      <c r="AD120" s="2"/>
      <c r="AE120" s="2"/>
      <c r="AF120" s="2"/>
      <c r="AG120" s="2"/>
      <c r="AH120" s="2"/>
    </row>
    <row r="121" spans="1:34" ht="30" hidden="1" customHeight="1" outlineLevel="1">
      <c r="A121" s="145"/>
      <c r="B121" s="145"/>
      <c r="C121" s="968">
        <v>97</v>
      </c>
      <c r="D121" s="969"/>
      <c r="E121" s="970"/>
      <c r="F121" s="970"/>
      <c r="G121" s="997"/>
      <c r="H121" s="1288"/>
      <c r="I121" s="999"/>
      <c r="J121" s="1000"/>
      <c r="K121" s="1001"/>
      <c r="L121" s="552"/>
      <c r="M121" s="956">
        <f t="shared" si="0"/>
        <v>0</v>
      </c>
      <c r="N121" s="973">
        <f t="shared" si="0"/>
        <v>0</v>
      </c>
      <c r="O121" s="321">
        <f t="shared" si="1"/>
        <v>0</v>
      </c>
      <c r="P121" s="967">
        <f t="shared" si="3"/>
        <v>0</v>
      </c>
      <c r="AD121" s="2"/>
      <c r="AE121" s="2"/>
      <c r="AF121" s="2"/>
      <c r="AG121" s="2"/>
      <c r="AH121" s="2"/>
    </row>
    <row r="122" spans="1:34" ht="30" hidden="1" customHeight="1" outlineLevel="1">
      <c r="A122" s="145"/>
      <c r="B122" s="145"/>
      <c r="C122" s="968">
        <v>98</v>
      </c>
      <c r="D122" s="969"/>
      <c r="E122" s="970"/>
      <c r="F122" s="970"/>
      <c r="G122" s="997"/>
      <c r="H122" s="1288"/>
      <c r="I122" s="999"/>
      <c r="J122" s="1000"/>
      <c r="K122" s="1001"/>
      <c r="L122" s="552"/>
      <c r="M122" s="956">
        <f t="shared" si="0"/>
        <v>0</v>
      </c>
      <c r="N122" s="973">
        <f t="shared" si="0"/>
        <v>0</v>
      </c>
      <c r="O122" s="321">
        <f t="shared" si="1"/>
        <v>0</v>
      </c>
      <c r="P122" s="967">
        <f t="shared" si="3"/>
        <v>0</v>
      </c>
      <c r="AD122" s="2"/>
      <c r="AE122" s="2"/>
      <c r="AF122" s="2"/>
      <c r="AG122" s="2"/>
      <c r="AH122" s="2"/>
    </row>
    <row r="123" spans="1:34" ht="30" hidden="1" customHeight="1" outlineLevel="1">
      <c r="A123" s="145"/>
      <c r="B123" s="145"/>
      <c r="C123" s="968">
        <v>99</v>
      </c>
      <c r="D123" s="969"/>
      <c r="E123" s="970"/>
      <c r="F123" s="970"/>
      <c r="G123" s="997"/>
      <c r="H123" s="1288"/>
      <c r="I123" s="999"/>
      <c r="J123" s="1000"/>
      <c r="K123" s="1001"/>
      <c r="L123" s="552"/>
      <c r="M123" s="956">
        <f t="shared" si="0"/>
        <v>0</v>
      </c>
      <c r="N123" s="973">
        <f t="shared" si="0"/>
        <v>0</v>
      </c>
      <c r="O123" s="321">
        <f t="shared" si="1"/>
        <v>0</v>
      </c>
      <c r="P123" s="967">
        <f t="shared" si="3"/>
        <v>0</v>
      </c>
      <c r="AD123" s="2"/>
      <c r="AE123" s="2"/>
      <c r="AF123" s="2"/>
      <c r="AG123" s="2"/>
      <c r="AH123" s="2"/>
    </row>
    <row r="124" spans="1:34" ht="30" hidden="1" customHeight="1" outlineLevel="1">
      <c r="A124" s="145"/>
      <c r="B124" s="145"/>
      <c r="C124" s="968">
        <v>100</v>
      </c>
      <c r="D124" s="969"/>
      <c r="E124" s="970"/>
      <c r="F124" s="970"/>
      <c r="G124" s="997"/>
      <c r="H124" s="1288"/>
      <c r="I124" s="999"/>
      <c r="J124" s="1000"/>
      <c r="K124" s="1001"/>
      <c r="L124" s="552"/>
      <c r="M124" s="956">
        <f t="shared" si="0"/>
        <v>0</v>
      </c>
      <c r="N124" s="973">
        <f t="shared" si="0"/>
        <v>0</v>
      </c>
      <c r="O124" s="321">
        <f t="shared" si="1"/>
        <v>0</v>
      </c>
      <c r="P124" s="967">
        <f t="shared" si="3"/>
        <v>0</v>
      </c>
      <c r="AD124" s="2"/>
      <c r="AE124" s="2"/>
      <c r="AF124" s="2"/>
      <c r="AG124" s="2"/>
      <c r="AH124" s="2"/>
    </row>
    <row r="125" spans="1:34" ht="30" hidden="1" customHeight="1" outlineLevel="1">
      <c r="A125" s="145"/>
      <c r="B125" s="145"/>
      <c r="C125" s="968">
        <v>101</v>
      </c>
      <c r="D125" s="969"/>
      <c r="E125" s="970"/>
      <c r="F125" s="970"/>
      <c r="G125" s="997"/>
      <c r="H125" s="1288"/>
      <c r="I125" s="999"/>
      <c r="J125" s="1000"/>
      <c r="K125" s="1001"/>
      <c r="L125" s="552"/>
      <c r="M125" s="956">
        <f t="shared" si="0"/>
        <v>0</v>
      </c>
      <c r="N125" s="973">
        <f t="shared" si="0"/>
        <v>0</v>
      </c>
      <c r="O125" s="321">
        <f t="shared" si="1"/>
        <v>0</v>
      </c>
      <c r="P125" s="967">
        <f t="shared" si="3"/>
        <v>0</v>
      </c>
      <c r="AD125" s="2"/>
      <c r="AE125" s="2"/>
      <c r="AF125" s="2"/>
      <c r="AG125" s="2"/>
      <c r="AH125" s="2"/>
    </row>
    <row r="126" spans="1:34" ht="30" hidden="1" customHeight="1" outlineLevel="1">
      <c r="A126" s="145"/>
      <c r="B126" s="145"/>
      <c r="C126" s="968">
        <v>102</v>
      </c>
      <c r="D126" s="969"/>
      <c r="E126" s="970"/>
      <c r="F126" s="970"/>
      <c r="G126" s="997"/>
      <c r="H126" s="1288"/>
      <c r="I126" s="999"/>
      <c r="J126" s="1000"/>
      <c r="K126" s="1001"/>
      <c r="L126" s="552"/>
      <c r="M126" s="956">
        <f t="shared" si="0"/>
        <v>0</v>
      </c>
      <c r="N126" s="973">
        <f t="shared" si="0"/>
        <v>0</v>
      </c>
      <c r="O126" s="321">
        <f t="shared" si="1"/>
        <v>0</v>
      </c>
      <c r="P126" s="967">
        <f t="shared" si="3"/>
        <v>0</v>
      </c>
      <c r="AD126" s="2"/>
      <c r="AE126" s="2"/>
      <c r="AF126" s="2"/>
      <c r="AG126" s="2"/>
      <c r="AH126" s="2"/>
    </row>
    <row r="127" spans="1:34" ht="30" hidden="1" customHeight="1" outlineLevel="1">
      <c r="A127" s="145"/>
      <c r="B127" s="145"/>
      <c r="C127" s="968">
        <v>103</v>
      </c>
      <c r="D127" s="969"/>
      <c r="E127" s="970"/>
      <c r="F127" s="970"/>
      <c r="G127" s="997"/>
      <c r="H127" s="1288"/>
      <c r="I127" s="999"/>
      <c r="J127" s="1000"/>
      <c r="K127" s="1001"/>
      <c r="L127" s="552"/>
      <c r="M127" s="956">
        <f t="shared" si="0"/>
        <v>0</v>
      </c>
      <c r="N127" s="973">
        <f t="shared" si="0"/>
        <v>0</v>
      </c>
      <c r="O127" s="321">
        <f t="shared" si="1"/>
        <v>0</v>
      </c>
      <c r="P127" s="967">
        <f t="shared" si="3"/>
        <v>0</v>
      </c>
      <c r="AD127" s="2"/>
      <c r="AE127" s="2"/>
      <c r="AF127" s="2"/>
      <c r="AG127" s="2"/>
      <c r="AH127" s="2"/>
    </row>
    <row r="128" spans="1:34" ht="30" hidden="1" customHeight="1" outlineLevel="1">
      <c r="A128" s="145"/>
      <c r="B128" s="145"/>
      <c r="C128" s="968">
        <v>104</v>
      </c>
      <c r="D128" s="969"/>
      <c r="E128" s="970"/>
      <c r="F128" s="970"/>
      <c r="G128" s="997"/>
      <c r="H128" s="1288"/>
      <c r="I128" s="999"/>
      <c r="J128" s="1000"/>
      <c r="K128" s="1001"/>
      <c r="L128" s="552"/>
      <c r="M128" s="956">
        <f t="shared" si="0"/>
        <v>0</v>
      </c>
      <c r="N128" s="973">
        <f t="shared" si="0"/>
        <v>0</v>
      </c>
      <c r="O128" s="321">
        <f t="shared" si="1"/>
        <v>0</v>
      </c>
      <c r="P128" s="967">
        <f t="shared" si="3"/>
        <v>0</v>
      </c>
      <c r="AD128" s="2"/>
      <c r="AE128" s="2"/>
      <c r="AF128" s="2"/>
      <c r="AG128" s="2"/>
      <c r="AH128" s="2"/>
    </row>
    <row r="129" spans="1:34" ht="30" hidden="1" customHeight="1" outlineLevel="1">
      <c r="A129" s="145"/>
      <c r="B129" s="145"/>
      <c r="C129" s="968">
        <v>105</v>
      </c>
      <c r="D129" s="969"/>
      <c r="E129" s="970"/>
      <c r="F129" s="970"/>
      <c r="G129" s="997"/>
      <c r="H129" s="1288"/>
      <c r="I129" s="999"/>
      <c r="J129" s="1000"/>
      <c r="K129" s="1001"/>
      <c r="L129" s="552"/>
      <c r="M129" s="956">
        <f t="shared" si="0"/>
        <v>0</v>
      </c>
      <c r="N129" s="973">
        <f t="shared" si="0"/>
        <v>0</v>
      </c>
      <c r="O129" s="321">
        <f t="shared" si="1"/>
        <v>0</v>
      </c>
      <c r="P129" s="967">
        <f t="shared" si="3"/>
        <v>0</v>
      </c>
      <c r="AD129" s="2"/>
      <c r="AE129" s="2"/>
      <c r="AF129" s="2"/>
      <c r="AG129" s="2"/>
      <c r="AH129" s="2"/>
    </row>
    <row r="130" spans="1:34" ht="30" hidden="1" customHeight="1" outlineLevel="1">
      <c r="A130" s="145"/>
      <c r="B130" s="145"/>
      <c r="C130" s="968">
        <v>106</v>
      </c>
      <c r="D130" s="969"/>
      <c r="E130" s="970"/>
      <c r="F130" s="970"/>
      <c r="G130" s="997"/>
      <c r="H130" s="1288"/>
      <c r="I130" s="999"/>
      <c r="J130" s="1000"/>
      <c r="K130" s="1001"/>
      <c r="L130" s="552"/>
      <c r="M130" s="956">
        <f t="shared" si="0"/>
        <v>0</v>
      </c>
      <c r="N130" s="973">
        <f t="shared" si="0"/>
        <v>0</v>
      </c>
      <c r="O130" s="321">
        <f t="shared" si="1"/>
        <v>0</v>
      </c>
      <c r="P130" s="967">
        <f t="shared" si="3"/>
        <v>0</v>
      </c>
      <c r="AD130" s="2"/>
      <c r="AE130" s="2"/>
      <c r="AF130" s="2"/>
      <c r="AG130" s="2"/>
      <c r="AH130" s="2"/>
    </row>
    <row r="131" spans="1:34" ht="30" hidden="1" customHeight="1" outlineLevel="1">
      <c r="A131" s="145"/>
      <c r="B131" s="145"/>
      <c r="C131" s="968">
        <v>107</v>
      </c>
      <c r="D131" s="969"/>
      <c r="E131" s="970"/>
      <c r="F131" s="970"/>
      <c r="G131" s="997"/>
      <c r="H131" s="1288"/>
      <c r="I131" s="999"/>
      <c r="J131" s="1000"/>
      <c r="K131" s="1001"/>
      <c r="L131" s="552"/>
      <c r="M131" s="956">
        <f t="shared" si="0"/>
        <v>0</v>
      </c>
      <c r="N131" s="973">
        <f t="shared" si="0"/>
        <v>0</v>
      </c>
      <c r="O131" s="321">
        <f t="shared" si="1"/>
        <v>0</v>
      </c>
      <c r="P131" s="967">
        <f t="shared" si="3"/>
        <v>0</v>
      </c>
      <c r="AD131" s="2"/>
      <c r="AE131" s="2"/>
      <c r="AF131" s="2"/>
      <c r="AG131" s="2"/>
      <c r="AH131" s="2"/>
    </row>
    <row r="132" spans="1:34" ht="30" hidden="1" customHeight="1" outlineLevel="1">
      <c r="A132" s="145"/>
      <c r="B132" s="145"/>
      <c r="C132" s="968">
        <v>108</v>
      </c>
      <c r="D132" s="969"/>
      <c r="E132" s="970"/>
      <c r="F132" s="970"/>
      <c r="G132" s="997"/>
      <c r="H132" s="1288"/>
      <c r="I132" s="999"/>
      <c r="J132" s="1000"/>
      <c r="K132" s="1001"/>
      <c r="L132" s="552"/>
      <c r="M132" s="956">
        <f t="shared" si="0"/>
        <v>0</v>
      </c>
      <c r="N132" s="973">
        <f t="shared" si="0"/>
        <v>0</v>
      </c>
      <c r="O132" s="321">
        <f t="shared" si="1"/>
        <v>0</v>
      </c>
      <c r="P132" s="967">
        <f t="shared" si="3"/>
        <v>0</v>
      </c>
      <c r="AD132" s="2"/>
      <c r="AE132" s="2"/>
      <c r="AF132" s="2"/>
      <c r="AG132" s="2"/>
      <c r="AH132" s="2"/>
    </row>
    <row r="133" spans="1:34" ht="30" hidden="1" customHeight="1" outlineLevel="1">
      <c r="A133" s="145"/>
      <c r="B133" s="145"/>
      <c r="C133" s="968">
        <v>109</v>
      </c>
      <c r="D133" s="969"/>
      <c r="E133" s="970"/>
      <c r="F133" s="970"/>
      <c r="G133" s="997"/>
      <c r="H133" s="1288"/>
      <c r="I133" s="999"/>
      <c r="J133" s="1000"/>
      <c r="K133" s="1001"/>
      <c r="L133" s="552"/>
      <c r="M133" s="956">
        <f t="shared" si="0"/>
        <v>0</v>
      </c>
      <c r="N133" s="973">
        <f t="shared" si="0"/>
        <v>0</v>
      </c>
      <c r="O133" s="321">
        <f t="shared" si="1"/>
        <v>0</v>
      </c>
      <c r="P133" s="967">
        <f t="shared" si="3"/>
        <v>0</v>
      </c>
      <c r="AD133" s="2"/>
      <c r="AE133" s="2"/>
      <c r="AF133" s="2"/>
      <c r="AG133" s="2"/>
      <c r="AH133" s="2"/>
    </row>
    <row r="134" spans="1:34" ht="30" hidden="1" customHeight="1" outlineLevel="1">
      <c r="A134" s="145"/>
      <c r="B134" s="145"/>
      <c r="C134" s="968">
        <v>110</v>
      </c>
      <c r="D134" s="969"/>
      <c r="E134" s="970"/>
      <c r="F134" s="970"/>
      <c r="G134" s="997"/>
      <c r="H134" s="1288"/>
      <c r="I134" s="999"/>
      <c r="J134" s="1000"/>
      <c r="K134" s="1001"/>
      <c r="L134" s="552"/>
      <c r="M134" s="956">
        <f t="shared" si="0"/>
        <v>0</v>
      </c>
      <c r="N134" s="973">
        <f t="shared" si="0"/>
        <v>0</v>
      </c>
      <c r="O134" s="321">
        <f t="shared" si="1"/>
        <v>0</v>
      </c>
      <c r="P134" s="967">
        <f t="shared" si="3"/>
        <v>0</v>
      </c>
      <c r="AD134" s="2"/>
      <c r="AE134" s="2"/>
      <c r="AF134" s="2"/>
      <c r="AG134" s="2"/>
      <c r="AH134" s="2"/>
    </row>
    <row r="135" spans="1:34" ht="30" hidden="1" customHeight="1" outlineLevel="1">
      <c r="A135" s="145"/>
      <c r="B135" s="145"/>
      <c r="C135" s="968">
        <v>111</v>
      </c>
      <c r="D135" s="969"/>
      <c r="E135" s="970"/>
      <c r="F135" s="970"/>
      <c r="G135" s="997"/>
      <c r="H135" s="1288"/>
      <c r="I135" s="999"/>
      <c r="J135" s="1000"/>
      <c r="K135" s="1001"/>
      <c r="L135" s="552"/>
      <c r="M135" s="956">
        <f t="shared" si="0"/>
        <v>0</v>
      </c>
      <c r="N135" s="973">
        <f t="shared" si="0"/>
        <v>0</v>
      </c>
      <c r="O135" s="321">
        <f t="shared" si="1"/>
        <v>0</v>
      </c>
      <c r="P135" s="967">
        <f t="shared" si="3"/>
        <v>0</v>
      </c>
      <c r="AD135" s="2"/>
      <c r="AE135" s="2"/>
      <c r="AF135" s="2"/>
      <c r="AG135" s="2"/>
      <c r="AH135" s="2"/>
    </row>
    <row r="136" spans="1:34" ht="30" hidden="1" customHeight="1" outlineLevel="1">
      <c r="A136" s="145"/>
      <c r="B136" s="145"/>
      <c r="C136" s="968">
        <v>112</v>
      </c>
      <c r="D136" s="969"/>
      <c r="E136" s="970"/>
      <c r="F136" s="970"/>
      <c r="G136" s="997"/>
      <c r="H136" s="1288"/>
      <c r="I136" s="999"/>
      <c r="J136" s="1000"/>
      <c r="K136" s="1001"/>
      <c r="L136" s="552"/>
      <c r="M136" s="956">
        <f t="shared" si="0"/>
        <v>0</v>
      </c>
      <c r="N136" s="973">
        <f t="shared" si="0"/>
        <v>0</v>
      </c>
      <c r="O136" s="321">
        <f t="shared" si="1"/>
        <v>0</v>
      </c>
      <c r="P136" s="967">
        <f t="shared" si="3"/>
        <v>0</v>
      </c>
      <c r="AD136" s="2"/>
      <c r="AE136" s="2"/>
      <c r="AF136" s="2"/>
      <c r="AG136" s="2"/>
      <c r="AH136" s="2"/>
    </row>
    <row r="137" spans="1:34" ht="30" hidden="1" customHeight="1" outlineLevel="1">
      <c r="A137" s="145"/>
      <c r="B137" s="145"/>
      <c r="C137" s="968">
        <v>113</v>
      </c>
      <c r="D137" s="969"/>
      <c r="E137" s="970"/>
      <c r="F137" s="970"/>
      <c r="G137" s="997"/>
      <c r="H137" s="1288"/>
      <c r="I137" s="999"/>
      <c r="J137" s="1000"/>
      <c r="K137" s="1001"/>
      <c r="L137" s="552"/>
      <c r="M137" s="956">
        <f t="shared" si="0"/>
        <v>0</v>
      </c>
      <c r="N137" s="973">
        <f t="shared" si="0"/>
        <v>0</v>
      </c>
      <c r="O137" s="321">
        <f t="shared" si="1"/>
        <v>0</v>
      </c>
      <c r="P137" s="967">
        <f t="shared" si="3"/>
        <v>0</v>
      </c>
      <c r="AD137" s="2"/>
      <c r="AE137" s="2"/>
      <c r="AF137" s="2"/>
      <c r="AG137" s="2"/>
      <c r="AH137" s="2"/>
    </row>
    <row r="138" spans="1:34" ht="30" hidden="1" customHeight="1" outlineLevel="1">
      <c r="A138" s="145"/>
      <c r="B138" s="145"/>
      <c r="C138" s="968">
        <v>114</v>
      </c>
      <c r="D138" s="969"/>
      <c r="E138" s="970"/>
      <c r="F138" s="970"/>
      <c r="G138" s="997"/>
      <c r="H138" s="1288"/>
      <c r="I138" s="999"/>
      <c r="J138" s="1000"/>
      <c r="K138" s="1001"/>
      <c r="L138" s="552"/>
      <c r="M138" s="956">
        <f t="shared" si="0"/>
        <v>0</v>
      </c>
      <c r="N138" s="973">
        <f t="shared" si="0"/>
        <v>0</v>
      </c>
      <c r="O138" s="321">
        <f t="shared" si="1"/>
        <v>0</v>
      </c>
      <c r="P138" s="967">
        <f t="shared" si="3"/>
        <v>0</v>
      </c>
      <c r="AD138" s="2"/>
      <c r="AE138" s="2"/>
      <c r="AF138" s="2"/>
      <c r="AG138" s="2"/>
      <c r="AH138" s="2"/>
    </row>
    <row r="139" spans="1:34" ht="30" hidden="1" customHeight="1" outlineLevel="1">
      <c r="A139" s="145"/>
      <c r="B139" s="145"/>
      <c r="C139" s="968">
        <v>115</v>
      </c>
      <c r="D139" s="969"/>
      <c r="E139" s="970"/>
      <c r="F139" s="970"/>
      <c r="G139" s="997"/>
      <c r="H139" s="1288"/>
      <c r="I139" s="999"/>
      <c r="J139" s="1000"/>
      <c r="K139" s="1001"/>
      <c r="L139" s="552"/>
      <c r="M139" s="956">
        <f t="shared" si="0"/>
        <v>0</v>
      </c>
      <c r="N139" s="973">
        <f t="shared" si="0"/>
        <v>0</v>
      </c>
      <c r="O139" s="321">
        <f t="shared" si="1"/>
        <v>0</v>
      </c>
      <c r="P139" s="967">
        <f t="shared" si="3"/>
        <v>0</v>
      </c>
      <c r="AD139" s="2"/>
      <c r="AE139" s="2"/>
      <c r="AF139" s="2"/>
      <c r="AG139" s="2"/>
      <c r="AH139" s="2"/>
    </row>
    <row r="140" spans="1:34" ht="30" hidden="1" customHeight="1" outlineLevel="1">
      <c r="A140" s="145"/>
      <c r="B140" s="145"/>
      <c r="C140" s="968">
        <v>116</v>
      </c>
      <c r="D140" s="969"/>
      <c r="E140" s="970"/>
      <c r="F140" s="970"/>
      <c r="G140" s="997"/>
      <c r="H140" s="1288"/>
      <c r="I140" s="999"/>
      <c r="J140" s="1000"/>
      <c r="K140" s="1001"/>
      <c r="L140" s="552"/>
      <c r="M140" s="956">
        <f t="shared" si="0"/>
        <v>0</v>
      </c>
      <c r="N140" s="973">
        <f t="shared" si="0"/>
        <v>0</v>
      </c>
      <c r="O140" s="321">
        <f t="shared" si="1"/>
        <v>0</v>
      </c>
      <c r="P140" s="967">
        <f t="shared" si="3"/>
        <v>0</v>
      </c>
      <c r="AD140" s="2"/>
      <c r="AE140" s="2"/>
      <c r="AF140" s="2"/>
      <c r="AG140" s="2"/>
      <c r="AH140" s="2"/>
    </row>
    <row r="141" spans="1:34" ht="30" hidden="1" customHeight="1" outlineLevel="1">
      <c r="A141" s="145"/>
      <c r="B141" s="145"/>
      <c r="C141" s="968">
        <v>117</v>
      </c>
      <c r="D141" s="969"/>
      <c r="E141" s="970"/>
      <c r="F141" s="970"/>
      <c r="G141" s="997"/>
      <c r="H141" s="1288"/>
      <c r="I141" s="999"/>
      <c r="J141" s="1000"/>
      <c r="K141" s="1001"/>
      <c r="L141" s="552"/>
      <c r="M141" s="956">
        <f t="shared" si="0"/>
        <v>0</v>
      </c>
      <c r="N141" s="973">
        <f t="shared" si="0"/>
        <v>0</v>
      </c>
      <c r="O141" s="321">
        <f t="shared" si="1"/>
        <v>0</v>
      </c>
      <c r="P141" s="967">
        <f t="shared" si="3"/>
        <v>0</v>
      </c>
      <c r="AD141" s="2"/>
      <c r="AE141" s="2"/>
      <c r="AF141" s="2"/>
      <c r="AG141" s="2"/>
      <c r="AH141" s="2"/>
    </row>
    <row r="142" spans="1:34" ht="30" hidden="1" customHeight="1" outlineLevel="1">
      <c r="A142" s="145"/>
      <c r="B142" s="145"/>
      <c r="C142" s="968">
        <v>118</v>
      </c>
      <c r="D142" s="969"/>
      <c r="E142" s="970"/>
      <c r="F142" s="970"/>
      <c r="G142" s="997"/>
      <c r="H142" s="1288"/>
      <c r="I142" s="999"/>
      <c r="J142" s="1000"/>
      <c r="K142" s="1001"/>
      <c r="L142" s="552"/>
      <c r="M142" s="956">
        <f t="shared" si="0"/>
        <v>0</v>
      </c>
      <c r="N142" s="973">
        <f t="shared" si="0"/>
        <v>0</v>
      </c>
      <c r="O142" s="321">
        <f t="shared" si="1"/>
        <v>0</v>
      </c>
      <c r="P142" s="967">
        <f t="shared" si="3"/>
        <v>0</v>
      </c>
      <c r="AD142" s="2"/>
      <c r="AE142" s="2"/>
      <c r="AF142" s="2"/>
      <c r="AG142" s="2"/>
      <c r="AH142" s="2"/>
    </row>
    <row r="143" spans="1:34" ht="30" hidden="1" customHeight="1" outlineLevel="1">
      <c r="A143" s="145"/>
      <c r="B143" s="145"/>
      <c r="C143" s="968">
        <v>119</v>
      </c>
      <c r="D143" s="969"/>
      <c r="E143" s="970"/>
      <c r="F143" s="970"/>
      <c r="G143" s="997"/>
      <c r="H143" s="1288"/>
      <c r="I143" s="999"/>
      <c r="J143" s="1000"/>
      <c r="K143" s="1001"/>
      <c r="L143" s="552"/>
      <c r="M143" s="956">
        <f t="shared" si="0"/>
        <v>0</v>
      </c>
      <c r="N143" s="973">
        <f t="shared" si="0"/>
        <v>0</v>
      </c>
      <c r="O143" s="321">
        <f t="shared" si="1"/>
        <v>0</v>
      </c>
      <c r="P143" s="967">
        <f t="shared" si="3"/>
        <v>0</v>
      </c>
      <c r="AD143" s="2"/>
      <c r="AE143" s="2"/>
      <c r="AF143" s="2"/>
      <c r="AG143" s="2"/>
      <c r="AH143" s="2"/>
    </row>
    <row r="144" spans="1:34" ht="30" hidden="1" customHeight="1" outlineLevel="1">
      <c r="A144" s="145"/>
      <c r="B144" s="145"/>
      <c r="C144" s="968">
        <v>120</v>
      </c>
      <c r="D144" s="969"/>
      <c r="E144" s="970"/>
      <c r="F144" s="970"/>
      <c r="G144" s="997"/>
      <c r="H144" s="1288"/>
      <c r="I144" s="999"/>
      <c r="J144" s="1000"/>
      <c r="K144" s="1001"/>
      <c r="L144" s="552"/>
      <c r="M144" s="956">
        <f t="shared" si="0"/>
        <v>0</v>
      </c>
      <c r="N144" s="973">
        <f t="shared" si="0"/>
        <v>0</v>
      </c>
      <c r="O144" s="321">
        <f t="shared" si="1"/>
        <v>0</v>
      </c>
      <c r="P144" s="967">
        <f t="shared" si="3"/>
        <v>0</v>
      </c>
      <c r="AD144" s="2"/>
      <c r="AE144" s="2"/>
      <c r="AF144" s="2"/>
      <c r="AG144" s="2"/>
      <c r="AH144" s="2"/>
    </row>
    <row r="145" spans="1:34" ht="30" hidden="1" customHeight="1" outlineLevel="1">
      <c r="A145" s="145"/>
      <c r="B145" s="145"/>
      <c r="C145" s="968">
        <v>121</v>
      </c>
      <c r="D145" s="969"/>
      <c r="E145" s="970"/>
      <c r="F145" s="970"/>
      <c r="G145" s="997"/>
      <c r="H145" s="1288"/>
      <c r="I145" s="999"/>
      <c r="J145" s="1000"/>
      <c r="K145" s="1001"/>
      <c r="L145" s="552"/>
      <c r="M145" s="956">
        <f t="shared" si="0"/>
        <v>0</v>
      </c>
      <c r="N145" s="973">
        <f t="shared" si="0"/>
        <v>0</v>
      </c>
      <c r="O145" s="321">
        <f t="shared" si="1"/>
        <v>0</v>
      </c>
      <c r="P145" s="967">
        <f t="shared" si="3"/>
        <v>0</v>
      </c>
      <c r="AD145" s="2"/>
      <c r="AE145" s="2"/>
      <c r="AF145" s="2"/>
      <c r="AG145" s="2"/>
      <c r="AH145" s="2"/>
    </row>
    <row r="146" spans="1:34" ht="30" hidden="1" customHeight="1" outlineLevel="1">
      <c r="A146" s="145"/>
      <c r="B146" s="145"/>
      <c r="C146" s="968">
        <v>122</v>
      </c>
      <c r="D146" s="969"/>
      <c r="E146" s="970"/>
      <c r="F146" s="970"/>
      <c r="G146" s="997"/>
      <c r="H146" s="1288"/>
      <c r="I146" s="999"/>
      <c r="J146" s="1000"/>
      <c r="K146" s="1001"/>
      <c r="L146" s="552"/>
      <c r="M146" s="956">
        <f t="shared" si="0"/>
        <v>0</v>
      </c>
      <c r="N146" s="973">
        <f t="shared" si="0"/>
        <v>0</v>
      </c>
      <c r="O146" s="321">
        <f t="shared" si="1"/>
        <v>0</v>
      </c>
      <c r="P146" s="967">
        <f t="shared" si="3"/>
        <v>0</v>
      </c>
      <c r="AD146" s="2"/>
      <c r="AE146" s="2"/>
      <c r="AF146" s="2"/>
      <c r="AG146" s="2"/>
      <c r="AH146" s="2"/>
    </row>
    <row r="147" spans="1:34" ht="30" hidden="1" customHeight="1" outlineLevel="1">
      <c r="A147" s="145"/>
      <c r="B147" s="145"/>
      <c r="C147" s="968">
        <v>123</v>
      </c>
      <c r="D147" s="969"/>
      <c r="E147" s="970"/>
      <c r="F147" s="970"/>
      <c r="G147" s="997"/>
      <c r="H147" s="1288"/>
      <c r="I147" s="999"/>
      <c r="J147" s="1000"/>
      <c r="K147" s="1001"/>
      <c r="L147" s="552"/>
      <c r="M147" s="956">
        <f t="shared" si="0"/>
        <v>0</v>
      </c>
      <c r="N147" s="973">
        <f t="shared" si="0"/>
        <v>0</v>
      </c>
      <c r="O147" s="321">
        <f t="shared" si="1"/>
        <v>0</v>
      </c>
      <c r="P147" s="967">
        <f t="shared" si="3"/>
        <v>0</v>
      </c>
      <c r="AD147" s="2"/>
      <c r="AE147" s="2"/>
      <c r="AF147" s="2"/>
      <c r="AG147" s="2"/>
      <c r="AH147" s="2"/>
    </row>
    <row r="148" spans="1:34" ht="30" hidden="1" customHeight="1" outlineLevel="1">
      <c r="A148" s="145"/>
      <c r="B148" s="145"/>
      <c r="C148" s="968">
        <v>124</v>
      </c>
      <c r="D148" s="969"/>
      <c r="E148" s="970"/>
      <c r="F148" s="970"/>
      <c r="G148" s="997"/>
      <c r="H148" s="1288"/>
      <c r="I148" s="999"/>
      <c r="J148" s="1000"/>
      <c r="K148" s="1001"/>
      <c r="L148" s="552"/>
      <c r="M148" s="956">
        <f t="shared" si="0"/>
        <v>0</v>
      </c>
      <c r="N148" s="973">
        <f t="shared" si="0"/>
        <v>0</v>
      </c>
      <c r="O148" s="321">
        <f t="shared" si="1"/>
        <v>0</v>
      </c>
      <c r="P148" s="967">
        <f t="shared" si="3"/>
        <v>0</v>
      </c>
      <c r="AD148" s="2"/>
      <c r="AE148" s="2"/>
      <c r="AF148" s="2"/>
      <c r="AG148" s="2"/>
      <c r="AH148" s="2"/>
    </row>
    <row r="149" spans="1:34" ht="30" hidden="1" customHeight="1" outlineLevel="1">
      <c r="A149" s="145"/>
      <c r="B149" s="145"/>
      <c r="C149" s="968">
        <v>125</v>
      </c>
      <c r="D149" s="969"/>
      <c r="E149" s="970"/>
      <c r="F149" s="970"/>
      <c r="G149" s="997"/>
      <c r="H149" s="1288"/>
      <c r="I149" s="999"/>
      <c r="J149" s="1000"/>
      <c r="K149" s="1001"/>
      <c r="L149" s="552"/>
      <c r="M149" s="956">
        <f t="shared" si="0"/>
        <v>0</v>
      </c>
      <c r="N149" s="973">
        <f t="shared" si="0"/>
        <v>0</v>
      </c>
      <c r="O149" s="321">
        <f t="shared" si="1"/>
        <v>0</v>
      </c>
      <c r="P149" s="967">
        <f t="shared" si="3"/>
        <v>0</v>
      </c>
      <c r="AD149" s="2"/>
      <c r="AE149" s="2"/>
      <c r="AF149" s="2"/>
      <c r="AG149" s="2"/>
      <c r="AH149" s="2"/>
    </row>
    <row r="150" spans="1:34" ht="30" hidden="1" customHeight="1" outlineLevel="1">
      <c r="A150" s="145"/>
      <c r="B150" s="145"/>
      <c r="C150" s="968">
        <v>126</v>
      </c>
      <c r="D150" s="969"/>
      <c r="E150" s="970"/>
      <c r="F150" s="970"/>
      <c r="G150" s="997"/>
      <c r="H150" s="1288"/>
      <c r="I150" s="999"/>
      <c r="J150" s="1000"/>
      <c r="K150" s="1001"/>
      <c r="L150" s="552"/>
      <c r="M150" s="956">
        <f t="shared" si="0"/>
        <v>0</v>
      </c>
      <c r="N150" s="973">
        <f t="shared" si="0"/>
        <v>0</v>
      </c>
      <c r="O150" s="321">
        <f t="shared" si="1"/>
        <v>0</v>
      </c>
      <c r="P150" s="967">
        <f t="shared" si="3"/>
        <v>0</v>
      </c>
      <c r="AD150" s="2"/>
      <c r="AE150" s="2"/>
      <c r="AF150" s="2"/>
      <c r="AG150" s="2"/>
      <c r="AH150" s="2"/>
    </row>
    <row r="151" spans="1:34" ht="30" hidden="1" customHeight="1" outlineLevel="1">
      <c r="A151" s="145"/>
      <c r="B151" s="145"/>
      <c r="C151" s="968">
        <v>127</v>
      </c>
      <c r="D151" s="969"/>
      <c r="E151" s="970"/>
      <c r="F151" s="970"/>
      <c r="G151" s="997"/>
      <c r="H151" s="1288"/>
      <c r="I151" s="999"/>
      <c r="J151" s="1000"/>
      <c r="K151" s="1001"/>
      <c r="L151" s="552"/>
      <c r="M151" s="956">
        <f t="shared" si="0"/>
        <v>0</v>
      </c>
      <c r="N151" s="973">
        <f t="shared" si="0"/>
        <v>0</v>
      </c>
      <c r="O151" s="321">
        <f t="shared" si="1"/>
        <v>0</v>
      </c>
      <c r="P151" s="967">
        <f t="shared" si="3"/>
        <v>0</v>
      </c>
      <c r="AD151" s="2"/>
      <c r="AE151" s="2"/>
      <c r="AF151" s="2"/>
      <c r="AG151" s="2"/>
      <c r="AH151" s="2"/>
    </row>
    <row r="152" spans="1:34" ht="30" hidden="1" customHeight="1" outlineLevel="1">
      <c r="A152" s="145"/>
      <c r="B152" s="145"/>
      <c r="C152" s="968">
        <v>128</v>
      </c>
      <c r="D152" s="969"/>
      <c r="E152" s="970"/>
      <c r="F152" s="970"/>
      <c r="G152" s="997"/>
      <c r="H152" s="1288"/>
      <c r="I152" s="999"/>
      <c r="J152" s="1000"/>
      <c r="K152" s="1001"/>
      <c r="L152" s="552"/>
      <c r="M152" s="956">
        <f t="shared" si="0"/>
        <v>0</v>
      </c>
      <c r="N152" s="973">
        <f t="shared" si="0"/>
        <v>0</v>
      </c>
      <c r="O152" s="321">
        <f t="shared" si="1"/>
        <v>0</v>
      </c>
      <c r="P152" s="967">
        <f t="shared" si="3"/>
        <v>0</v>
      </c>
      <c r="AD152" s="2"/>
      <c r="AE152" s="2"/>
      <c r="AF152" s="2"/>
      <c r="AG152" s="2"/>
      <c r="AH152" s="2"/>
    </row>
    <row r="153" spans="1:34" ht="30" hidden="1" customHeight="1" outlineLevel="1">
      <c r="A153" s="145"/>
      <c r="B153" s="145"/>
      <c r="C153" s="968">
        <v>129</v>
      </c>
      <c r="D153" s="969"/>
      <c r="E153" s="970"/>
      <c r="F153" s="970"/>
      <c r="G153" s="997"/>
      <c r="H153" s="1288"/>
      <c r="I153" s="999"/>
      <c r="J153" s="1000"/>
      <c r="K153" s="1001"/>
      <c r="L153" s="552"/>
      <c r="M153" s="956">
        <f t="shared" si="0"/>
        <v>0</v>
      </c>
      <c r="N153" s="973">
        <f>IF($H153&gt;0,F153,)</f>
        <v>0</v>
      </c>
      <c r="O153" s="321">
        <f t="shared" si="1"/>
        <v>0</v>
      </c>
      <c r="P153" s="967">
        <f t="shared" si="3"/>
        <v>0</v>
      </c>
      <c r="AD153" s="2"/>
      <c r="AE153" s="2"/>
      <c r="AF153" s="2"/>
      <c r="AG153" s="2"/>
      <c r="AH153" s="2"/>
    </row>
    <row r="154" spans="1:34" ht="30" hidden="1" customHeight="1" outlineLevel="1">
      <c r="A154" s="145"/>
      <c r="B154" s="145"/>
      <c r="C154" s="968">
        <v>130</v>
      </c>
      <c r="D154" s="969"/>
      <c r="E154" s="970"/>
      <c r="F154" s="970"/>
      <c r="G154" s="997"/>
      <c r="H154" s="1288"/>
      <c r="I154" s="999"/>
      <c r="J154" s="1000"/>
      <c r="K154" s="1001"/>
      <c r="L154" s="552"/>
      <c r="M154" s="956">
        <f t="shared" ref="M154:N174" si="4">IF($H154&gt;0,E154,)</f>
        <v>0</v>
      </c>
      <c r="N154" s="973">
        <f t="shared" si="4"/>
        <v>0</v>
      </c>
      <c r="O154" s="321">
        <f t="shared" si="1"/>
        <v>0</v>
      </c>
      <c r="P154" s="967">
        <f t="shared" ref="P154:P174" si="5">ROUND(O154*H154%,)</f>
        <v>0</v>
      </c>
      <c r="AD154" s="2"/>
      <c r="AE154" s="2"/>
      <c r="AF154" s="2"/>
      <c r="AG154" s="2"/>
      <c r="AH154" s="2"/>
    </row>
    <row r="155" spans="1:34" ht="30" hidden="1" customHeight="1" outlineLevel="1">
      <c r="A155" s="145"/>
      <c r="B155" s="145"/>
      <c r="C155" s="968">
        <v>131</v>
      </c>
      <c r="D155" s="969"/>
      <c r="E155" s="970"/>
      <c r="F155" s="970"/>
      <c r="G155" s="997"/>
      <c r="H155" s="1288"/>
      <c r="I155" s="999"/>
      <c r="J155" s="1000"/>
      <c r="K155" s="1001"/>
      <c r="L155" s="552"/>
      <c r="M155" s="956">
        <f t="shared" si="4"/>
        <v>0</v>
      </c>
      <c r="N155" s="973">
        <f t="shared" si="4"/>
        <v>0</v>
      </c>
      <c r="O155" s="321">
        <f t="shared" si="1"/>
        <v>0</v>
      </c>
      <c r="P155" s="967">
        <f t="shared" si="5"/>
        <v>0</v>
      </c>
      <c r="AD155" s="2"/>
      <c r="AE155" s="2"/>
      <c r="AF155" s="2"/>
      <c r="AG155" s="2"/>
      <c r="AH155" s="2"/>
    </row>
    <row r="156" spans="1:34" ht="30" hidden="1" customHeight="1" outlineLevel="1">
      <c r="A156" s="145"/>
      <c r="B156" s="145"/>
      <c r="C156" s="968">
        <v>132</v>
      </c>
      <c r="D156" s="969"/>
      <c r="E156" s="970"/>
      <c r="F156" s="970"/>
      <c r="G156" s="997"/>
      <c r="H156" s="1288"/>
      <c r="I156" s="999"/>
      <c r="J156" s="1000"/>
      <c r="K156" s="1001"/>
      <c r="L156" s="552"/>
      <c r="M156" s="956">
        <f t="shared" si="4"/>
        <v>0</v>
      </c>
      <c r="N156" s="973">
        <f t="shared" si="4"/>
        <v>0</v>
      </c>
      <c r="O156" s="321">
        <f t="shared" si="1"/>
        <v>0</v>
      </c>
      <c r="P156" s="967">
        <f t="shared" si="5"/>
        <v>0</v>
      </c>
      <c r="AD156" s="2"/>
      <c r="AE156" s="2"/>
      <c r="AF156" s="2"/>
      <c r="AG156" s="2"/>
      <c r="AH156" s="2"/>
    </row>
    <row r="157" spans="1:34" ht="30" hidden="1" customHeight="1" outlineLevel="1">
      <c r="A157" s="145"/>
      <c r="B157" s="145"/>
      <c r="C157" s="968">
        <v>133</v>
      </c>
      <c r="D157" s="969"/>
      <c r="E157" s="970"/>
      <c r="F157" s="970"/>
      <c r="G157" s="997"/>
      <c r="H157" s="1288"/>
      <c r="I157" s="999"/>
      <c r="J157" s="1000"/>
      <c r="K157" s="1001"/>
      <c r="L157" s="552"/>
      <c r="M157" s="956">
        <f t="shared" si="4"/>
        <v>0</v>
      </c>
      <c r="N157" s="973">
        <f t="shared" si="4"/>
        <v>0</v>
      </c>
      <c r="O157" s="321">
        <f t="shared" si="1"/>
        <v>0</v>
      </c>
      <c r="P157" s="967">
        <f t="shared" si="5"/>
        <v>0</v>
      </c>
      <c r="AD157" s="2"/>
      <c r="AE157" s="2"/>
      <c r="AF157" s="2"/>
      <c r="AG157" s="2"/>
      <c r="AH157" s="2"/>
    </row>
    <row r="158" spans="1:34" ht="30" hidden="1" customHeight="1" outlineLevel="1">
      <c r="A158" s="145"/>
      <c r="B158" s="145"/>
      <c r="C158" s="968">
        <v>134</v>
      </c>
      <c r="D158" s="969"/>
      <c r="E158" s="970"/>
      <c r="F158" s="970"/>
      <c r="G158" s="997"/>
      <c r="H158" s="1288"/>
      <c r="I158" s="999"/>
      <c r="J158" s="1000"/>
      <c r="K158" s="1001"/>
      <c r="L158" s="552"/>
      <c r="M158" s="956">
        <f t="shared" si="4"/>
        <v>0</v>
      </c>
      <c r="N158" s="973">
        <f t="shared" si="4"/>
        <v>0</v>
      </c>
      <c r="O158" s="321">
        <f t="shared" si="1"/>
        <v>0</v>
      </c>
      <c r="P158" s="967">
        <f t="shared" si="5"/>
        <v>0</v>
      </c>
      <c r="AD158" s="2"/>
      <c r="AE158" s="2"/>
      <c r="AF158" s="2"/>
      <c r="AG158" s="2"/>
      <c r="AH158" s="2"/>
    </row>
    <row r="159" spans="1:34" ht="30" hidden="1" customHeight="1" outlineLevel="1">
      <c r="A159" s="145"/>
      <c r="B159" s="145"/>
      <c r="C159" s="968">
        <v>135</v>
      </c>
      <c r="D159" s="969"/>
      <c r="E159" s="970"/>
      <c r="F159" s="970"/>
      <c r="G159" s="997"/>
      <c r="H159" s="1288"/>
      <c r="I159" s="999"/>
      <c r="J159" s="1000"/>
      <c r="K159" s="1001"/>
      <c r="L159" s="552"/>
      <c r="M159" s="956">
        <f t="shared" si="4"/>
        <v>0</v>
      </c>
      <c r="N159" s="973">
        <f t="shared" si="4"/>
        <v>0</v>
      </c>
      <c r="O159" s="321">
        <f t="shared" si="1"/>
        <v>0</v>
      </c>
      <c r="P159" s="967">
        <f t="shared" si="5"/>
        <v>0</v>
      </c>
      <c r="AD159" s="2"/>
      <c r="AE159" s="2"/>
      <c r="AF159" s="2"/>
      <c r="AG159" s="2"/>
      <c r="AH159" s="2"/>
    </row>
    <row r="160" spans="1:34" ht="30" hidden="1" customHeight="1" outlineLevel="1">
      <c r="A160" s="145"/>
      <c r="B160" s="145"/>
      <c r="C160" s="968">
        <v>136</v>
      </c>
      <c r="D160" s="969"/>
      <c r="E160" s="970"/>
      <c r="F160" s="970"/>
      <c r="G160" s="997"/>
      <c r="H160" s="1288"/>
      <c r="I160" s="999"/>
      <c r="J160" s="1000"/>
      <c r="K160" s="1001"/>
      <c r="L160" s="552"/>
      <c r="M160" s="956">
        <f t="shared" si="4"/>
        <v>0</v>
      </c>
      <c r="N160" s="973">
        <f t="shared" si="4"/>
        <v>0</v>
      </c>
      <c r="O160" s="321">
        <f t="shared" si="1"/>
        <v>0</v>
      </c>
      <c r="P160" s="967">
        <f t="shared" si="5"/>
        <v>0</v>
      </c>
      <c r="AD160" s="2"/>
      <c r="AE160" s="2"/>
      <c r="AF160" s="2"/>
      <c r="AG160" s="2"/>
      <c r="AH160" s="2"/>
    </row>
    <row r="161" spans="1:34" ht="30" hidden="1" customHeight="1" outlineLevel="1">
      <c r="A161" s="145"/>
      <c r="B161" s="145"/>
      <c r="C161" s="968">
        <v>137</v>
      </c>
      <c r="D161" s="969"/>
      <c r="E161" s="970"/>
      <c r="F161" s="970"/>
      <c r="G161" s="997"/>
      <c r="H161" s="1288"/>
      <c r="I161" s="999"/>
      <c r="J161" s="1000"/>
      <c r="K161" s="1001"/>
      <c r="L161" s="552"/>
      <c r="M161" s="956">
        <f t="shared" si="4"/>
        <v>0</v>
      </c>
      <c r="N161" s="973">
        <f t="shared" si="4"/>
        <v>0</v>
      </c>
      <c r="O161" s="321">
        <f t="shared" si="1"/>
        <v>0</v>
      </c>
      <c r="P161" s="967">
        <f t="shared" si="5"/>
        <v>0</v>
      </c>
      <c r="AD161" s="2"/>
      <c r="AE161" s="2"/>
      <c r="AF161" s="2"/>
      <c r="AG161" s="2"/>
      <c r="AH161" s="2"/>
    </row>
    <row r="162" spans="1:34" ht="30" hidden="1" customHeight="1" outlineLevel="1">
      <c r="A162" s="145"/>
      <c r="B162" s="145"/>
      <c r="C162" s="968">
        <v>138</v>
      </c>
      <c r="D162" s="969"/>
      <c r="E162" s="970"/>
      <c r="F162" s="970"/>
      <c r="G162" s="997"/>
      <c r="H162" s="1288"/>
      <c r="I162" s="999"/>
      <c r="J162" s="1000"/>
      <c r="K162" s="1001"/>
      <c r="L162" s="552"/>
      <c r="M162" s="956">
        <f t="shared" si="4"/>
        <v>0</v>
      </c>
      <c r="N162" s="973">
        <f t="shared" si="4"/>
        <v>0</v>
      </c>
      <c r="O162" s="321">
        <f t="shared" si="1"/>
        <v>0</v>
      </c>
      <c r="P162" s="967">
        <f t="shared" si="5"/>
        <v>0</v>
      </c>
      <c r="AD162" s="2"/>
      <c r="AE162" s="2"/>
      <c r="AF162" s="2"/>
      <c r="AG162" s="2"/>
      <c r="AH162" s="2"/>
    </row>
    <row r="163" spans="1:34" ht="30" hidden="1" customHeight="1" outlineLevel="1">
      <c r="A163" s="145"/>
      <c r="B163" s="145"/>
      <c r="C163" s="968">
        <v>139</v>
      </c>
      <c r="D163" s="969"/>
      <c r="E163" s="970"/>
      <c r="F163" s="970"/>
      <c r="G163" s="997"/>
      <c r="H163" s="1288"/>
      <c r="I163" s="999"/>
      <c r="J163" s="1000"/>
      <c r="K163" s="1001"/>
      <c r="L163" s="552"/>
      <c r="M163" s="956">
        <f t="shared" si="4"/>
        <v>0</v>
      </c>
      <c r="N163" s="973">
        <f t="shared" si="4"/>
        <v>0</v>
      </c>
      <c r="O163" s="321">
        <f t="shared" si="1"/>
        <v>0</v>
      </c>
      <c r="P163" s="967">
        <f t="shared" si="5"/>
        <v>0</v>
      </c>
      <c r="AD163" s="2"/>
      <c r="AE163" s="2"/>
      <c r="AF163" s="2"/>
      <c r="AG163" s="2"/>
      <c r="AH163" s="2"/>
    </row>
    <row r="164" spans="1:34" ht="30" hidden="1" customHeight="1" outlineLevel="1">
      <c r="A164" s="145"/>
      <c r="B164" s="145"/>
      <c r="C164" s="968">
        <v>140</v>
      </c>
      <c r="D164" s="969"/>
      <c r="E164" s="970"/>
      <c r="F164" s="970"/>
      <c r="G164" s="997"/>
      <c r="H164" s="1288"/>
      <c r="I164" s="999"/>
      <c r="J164" s="1000"/>
      <c r="K164" s="1001"/>
      <c r="L164" s="552"/>
      <c r="M164" s="956">
        <f t="shared" si="4"/>
        <v>0</v>
      </c>
      <c r="N164" s="973">
        <f t="shared" si="4"/>
        <v>0</v>
      </c>
      <c r="O164" s="321">
        <f t="shared" si="1"/>
        <v>0</v>
      </c>
      <c r="P164" s="967">
        <f t="shared" si="5"/>
        <v>0</v>
      </c>
      <c r="AD164" s="2"/>
      <c r="AE164" s="2"/>
      <c r="AF164" s="2"/>
      <c r="AG164" s="2"/>
      <c r="AH164" s="2"/>
    </row>
    <row r="165" spans="1:34" ht="30" hidden="1" customHeight="1" outlineLevel="1">
      <c r="A165" s="145"/>
      <c r="B165" s="145"/>
      <c r="C165" s="968">
        <v>141</v>
      </c>
      <c r="D165" s="969"/>
      <c r="E165" s="970"/>
      <c r="F165" s="970"/>
      <c r="G165" s="997"/>
      <c r="H165" s="1288"/>
      <c r="I165" s="999"/>
      <c r="J165" s="1000"/>
      <c r="K165" s="1001"/>
      <c r="L165" s="552"/>
      <c r="M165" s="956">
        <f t="shared" si="4"/>
        <v>0</v>
      </c>
      <c r="N165" s="973">
        <f t="shared" si="4"/>
        <v>0</v>
      </c>
      <c r="O165" s="321">
        <f t="shared" si="1"/>
        <v>0</v>
      </c>
      <c r="P165" s="967">
        <f t="shared" si="5"/>
        <v>0</v>
      </c>
      <c r="AD165" s="2"/>
      <c r="AE165" s="2"/>
      <c r="AF165" s="2"/>
      <c r="AG165" s="2"/>
      <c r="AH165" s="2"/>
    </row>
    <row r="166" spans="1:34" ht="30" hidden="1" customHeight="1" outlineLevel="1">
      <c r="A166" s="145"/>
      <c r="B166" s="145"/>
      <c r="C166" s="968">
        <v>142</v>
      </c>
      <c r="D166" s="969"/>
      <c r="E166" s="970"/>
      <c r="F166" s="970"/>
      <c r="G166" s="997"/>
      <c r="H166" s="1288"/>
      <c r="I166" s="999"/>
      <c r="J166" s="1000"/>
      <c r="K166" s="1001"/>
      <c r="L166" s="552"/>
      <c r="M166" s="956">
        <f t="shared" si="4"/>
        <v>0</v>
      </c>
      <c r="N166" s="973">
        <f t="shared" si="4"/>
        <v>0</v>
      </c>
      <c r="O166" s="321">
        <f t="shared" si="1"/>
        <v>0</v>
      </c>
      <c r="P166" s="967">
        <f t="shared" si="5"/>
        <v>0</v>
      </c>
      <c r="AD166" s="2"/>
      <c r="AE166" s="2"/>
      <c r="AF166" s="2"/>
      <c r="AG166" s="2"/>
      <c r="AH166" s="2"/>
    </row>
    <row r="167" spans="1:34" ht="30" hidden="1" customHeight="1" outlineLevel="1">
      <c r="A167" s="145"/>
      <c r="B167" s="145"/>
      <c r="C167" s="968">
        <v>143</v>
      </c>
      <c r="D167" s="969"/>
      <c r="E167" s="970"/>
      <c r="F167" s="970"/>
      <c r="G167" s="997"/>
      <c r="H167" s="1288"/>
      <c r="I167" s="999"/>
      <c r="J167" s="1000"/>
      <c r="K167" s="1001"/>
      <c r="L167" s="552"/>
      <c r="M167" s="956">
        <f t="shared" si="4"/>
        <v>0</v>
      </c>
      <c r="N167" s="973">
        <f t="shared" si="4"/>
        <v>0</v>
      </c>
      <c r="O167" s="321">
        <f t="shared" si="1"/>
        <v>0</v>
      </c>
      <c r="P167" s="967">
        <f t="shared" si="5"/>
        <v>0</v>
      </c>
      <c r="AD167" s="2"/>
      <c r="AE167" s="2"/>
      <c r="AF167" s="2"/>
      <c r="AG167" s="2"/>
      <c r="AH167" s="2"/>
    </row>
    <row r="168" spans="1:34" ht="30" hidden="1" customHeight="1" outlineLevel="1">
      <c r="A168" s="145"/>
      <c r="B168" s="145"/>
      <c r="C168" s="968">
        <v>144</v>
      </c>
      <c r="D168" s="969"/>
      <c r="E168" s="970"/>
      <c r="F168" s="970"/>
      <c r="G168" s="997"/>
      <c r="H168" s="1288"/>
      <c r="I168" s="999"/>
      <c r="J168" s="1000"/>
      <c r="K168" s="1001"/>
      <c r="L168" s="552"/>
      <c r="M168" s="956">
        <f t="shared" si="4"/>
        <v>0</v>
      </c>
      <c r="N168" s="973">
        <f t="shared" si="4"/>
        <v>0</v>
      </c>
      <c r="O168" s="321">
        <f t="shared" si="1"/>
        <v>0</v>
      </c>
      <c r="P168" s="967">
        <f t="shared" si="5"/>
        <v>0</v>
      </c>
      <c r="AD168" s="2"/>
      <c r="AE168" s="2"/>
      <c r="AF168" s="2"/>
      <c r="AG168" s="2"/>
      <c r="AH168" s="2"/>
    </row>
    <row r="169" spans="1:34" ht="30" hidden="1" customHeight="1" outlineLevel="1">
      <c r="A169" s="145"/>
      <c r="B169" s="145"/>
      <c r="C169" s="968">
        <v>145</v>
      </c>
      <c r="D169" s="969"/>
      <c r="E169" s="970"/>
      <c r="F169" s="970"/>
      <c r="G169" s="997"/>
      <c r="H169" s="1288"/>
      <c r="I169" s="999"/>
      <c r="J169" s="1000"/>
      <c r="K169" s="1001"/>
      <c r="L169" s="552"/>
      <c r="M169" s="956">
        <f t="shared" si="4"/>
        <v>0</v>
      </c>
      <c r="N169" s="973">
        <f t="shared" si="4"/>
        <v>0</v>
      </c>
      <c r="O169" s="321">
        <f t="shared" si="1"/>
        <v>0</v>
      </c>
      <c r="P169" s="967">
        <f t="shared" si="5"/>
        <v>0</v>
      </c>
      <c r="AD169" s="2"/>
      <c r="AE169" s="2"/>
      <c r="AF169" s="2"/>
      <c r="AG169" s="2"/>
      <c r="AH169" s="2"/>
    </row>
    <row r="170" spans="1:34" ht="30" hidden="1" customHeight="1" outlineLevel="1">
      <c r="A170" s="145"/>
      <c r="B170" s="145"/>
      <c r="C170" s="968">
        <v>146</v>
      </c>
      <c r="D170" s="969"/>
      <c r="E170" s="970"/>
      <c r="F170" s="970"/>
      <c r="G170" s="997"/>
      <c r="H170" s="1288"/>
      <c r="I170" s="999"/>
      <c r="J170" s="1000"/>
      <c r="K170" s="1001"/>
      <c r="L170" s="552"/>
      <c r="M170" s="956">
        <f t="shared" si="4"/>
        <v>0</v>
      </c>
      <c r="N170" s="973">
        <f t="shared" si="4"/>
        <v>0</v>
      </c>
      <c r="O170" s="321">
        <f t="shared" si="1"/>
        <v>0</v>
      </c>
      <c r="P170" s="967">
        <f t="shared" si="5"/>
        <v>0</v>
      </c>
      <c r="AD170" s="2"/>
      <c r="AE170" s="2"/>
      <c r="AF170" s="2"/>
      <c r="AG170" s="2"/>
      <c r="AH170" s="2"/>
    </row>
    <row r="171" spans="1:34" ht="30" hidden="1" customHeight="1" outlineLevel="1">
      <c r="A171" s="145"/>
      <c r="B171" s="145"/>
      <c r="C171" s="968">
        <v>147</v>
      </c>
      <c r="D171" s="969"/>
      <c r="E171" s="970"/>
      <c r="F171" s="970"/>
      <c r="G171" s="997"/>
      <c r="H171" s="1288"/>
      <c r="I171" s="999"/>
      <c r="J171" s="1000"/>
      <c r="K171" s="1001"/>
      <c r="L171" s="552"/>
      <c r="M171" s="956">
        <f t="shared" si="4"/>
        <v>0</v>
      </c>
      <c r="N171" s="973">
        <f t="shared" si="4"/>
        <v>0</v>
      </c>
      <c r="O171" s="321">
        <f t="shared" si="1"/>
        <v>0</v>
      </c>
      <c r="P171" s="967">
        <f t="shared" si="5"/>
        <v>0</v>
      </c>
      <c r="AD171" s="2"/>
      <c r="AE171" s="2"/>
      <c r="AF171" s="2"/>
      <c r="AG171" s="2"/>
      <c r="AH171" s="2"/>
    </row>
    <row r="172" spans="1:34" ht="30" hidden="1" customHeight="1" outlineLevel="1">
      <c r="A172" s="145"/>
      <c r="B172" s="145"/>
      <c r="C172" s="968">
        <v>148</v>
      </c>
      <c r="D172" s="969"/>
      <c r="E172" s="970"/>
      <c r="F172" s="970"/>
      <c r="G172" s="997"/>
      <c r="H172" s="1288"/>
      <c r="I172" s="999"/>
      <c r="J172" s="1000"/>
      <c r="K172" s="1001"/>
      <c r="L172" s="552"/>
      <c r="M172" s="956">
        <f t="shared" si="4"/>
        <v>0</v>
      </c>
      <c r="N172" s="973">
        <f t="shared" si="4"/>
        <v>0</v>
      </c>
      <c r="O172" s="321">
        <f t="shared" si="1"/>
        <v>0</v>
      </c>
      <c r="P172" s="967">
        <f t="shared" si="5"/>
        <v>0</v>
      </c>
      <c r="AD172" s="2"/>
      <c r="AE172" s="2"/>
      <c r="AF172" s="2"/>
      <c r="AG172" s="2"/>
      <c r="AH172" s="2"/>
    </row>
    <row r="173" spans="1:34" ht="30" hidden="1" customHeight="1" outlineLevel="1">
      <c r="A173" s="145"/>
      <c r="B173" s="145"/>
      <c r="C173" s="968">
        <v>149</v>
      </c>
      <c r="D173" s="969"/>
      <c r="E173" s="970"/>
      <c r="F173" s="970"/>
      <c r="G173" s="997"/>
      <c r="H173" s="1288"/>
      <c r="I173" s="999"/>
      <c r="J173" s="1000"/>
      <c r="K173" s="1001"/>
      <c r="L173" s="552"/>
      <c r="M173" s="956">
        <f t="shared" si="4"/>
        <v>0</v>
      </c>
      <c r="N173" s="973">
        <f t="shared" si="4"/>
        <v>0</v>
      </c>
      <c r="O173" s="321">
        <f t="shared" si="1"/>
        <v>0</v>
      </c>
      <c r="P173" s="967">
        <f t="shared" si="5"/>
        <v>0</v>
      </c>
      <c r="AD173" s="2"/>
      <c r="AE173" s="2"/>
      <c r="AF173" s="2"/>
      <c r="AG173" s="2"/>
      <c r="AH173" s="2"/>
    </row>
    <row r="174" spans="1:34" ht="30" hidden="1" customHeight="1" outlineLevel="1" thickBot="1">
      <c r="A174" s="145"/>
      <c r="B174" s="145"/>
      <c r="C174" s="976">
        <v>150</v>
      </c>
      <c r="D174" s="977"/>
      <c r="E174" s="978"/>
      <c r="F174" s="978"/>
      <c r="G174" s="1002"/>
      <c r="H174" s="1289"/>
      <c r="I174" s="1003"/>
      <c r="J174" s="1004"/>
      <c r="K174" s="937"/>
      <c r="L174" s="552"/>
      <c r="M174" s="956">
        <f t="shared" si="4"/>
        <v>0</v>
      </c>
      <c r="N174" s="973">
        <f t="shared" si="4"/>
        <v>0</v>
      </c>
      <c r="O174" s="321">
        <f t="shared" si="1"/>
        <v>0</v>
      </c>
      <c r="P174" s="967">
        <f t="shared" si="5"/>
        <v>0</v>
      </c>
      <c r="AD174" s="2"/>
      <c r="AE174" s="2"/>
      <c r="AF174" s="2"/>
      <c r="AG174" s="2"/>
      <c r="AH174" s="2"/>
    </row>
    <row r="175" spans="1:34" ht="14.25" customHeight="1" thickTop="1">
      <c r="A175" s="181"/>
      <c r="B175" s="181"/>
      <c r="C175" s="982" t="s">
        <v>702</v>
      </c>
      <c r="D175" s="983"/>
      <c r="E175" s="983"/>
      <c r="F175" s="983"/>
      <c r="G175" s="983"/>
      <c r="H175" s="983"/>
      <c r="I175" s="983"/>
      <c r="J175" s="948"/>
      <c r="K175" s="1005"/>
      <c r="L175" s="1005"/>
      <c r="M175" s="984"/>
      <c r="N175" s="984"/>
      <c r="O175" s="984"/>
      <c r="P175" s="984"/>
      <c r="AD175" s="2"/>
      <c r="AE175" s="2"/>
      <c r="AF175" s="2"/>
      <c r="AG175" s="2"/>
      <c r="AH175" s="2"/>
    </row>
    <row r="176" spans="1:34" ht="14.25" customHeight="1">
      <c r="B176" s="131"/>
      <c r="C176" s="994"/>
      <c r="D176" s="2"/>
      <c r="E176" s="2"/>
      <c r="F176" s="2"/>
      <c r="G176" s="2"/>
      <c r="AD176" s="2"/>
      <c r="AE176" s="2"/>
      <c r="AF176" s="2"/>
      <c r="AG176" s="2"/>
      <c r="AH176" s="2"/>
    </row>
    <row r="177" spans="2:34" ht="14.25" customHeight="1">
      <c r="C177" s="128"/>
      <c r="H177" s="128"/>
      <c r="I177" s="128"/>
      <c r="J177" s="144"/>
      <c r="K177" s="226"/>
      <c r="L177" s="226"/>
      <c r="AD177" s="2"/>
      <c r="AE177" s="2"/>
      <c r="AF177" s="2"/>
      <c r="AG177" s="2"/>
      <c r="AH177" s="2"/>
    </row>
    <row r="178" spans="2:34" ht="14.25" customHeight="1">
      <c r="C178" s="128"/>
      <c r="H178" s="128"/>
      <c r="I178" s="128"/>
      <c r="J178" s="144"/>
      <c r="K178" s="226"/>
      <c r="L178" s="226"/>
      <c r="AD178" s="2"/>
      <c r="AE178" s="2"/>
      <c r="AF178" s="2"/>
      <c r="AG178" s="2"/>
      <c r="AH178" s="2"/>
    </row>
    <row r="179" spans="2:34" ht="14.25" customHeight="1">
      <c r="C179" s="128"/>
      <c r="H179" s="128"/>
      <c r="I179" s="128"/>
      <c r="J179" s="144"/>
      <c r="K179" s="226"/>
      <c r="L179" s="226"/>
      <c r="AD179" s="2"/>
      <c r="AE179" s="2"/>
      <c r="AF179" s="2"/>
      <c r="AG179" s="2"/>
      <c r="AH179" s="2"/>
    </row>
    <row r="180" spans="2:34" ht="14.25" customHeight="1">
      <c r="C180" s="128"/>
      <c r="H180" s="128"/>
      <c r="I180" s="128"/>
      <c r="J180" s="144"/>
      <c r="K180" s="226"/>
      <c r="L180" s="226"/>
      <c r="AD180" s="2"/>
      <c r="AE180" s="2"/>
      <c r="AF180" s="2"/>
      <c r="AG180" s="2"/>
      <c r="AH180" s="2"/>
    </row>
    <row r="181" spans="2:34" ht="14.25" customHeight="1">
      <c r="C181" s="128"/>
      <c r="H181" s="128"/>
      <c r="I181" s="128"/>
      <c r="J181" s="144"/>
      <c r="K181" s="226"/>
      <c r="L181" s="226"/>
      <c r="AD181" s="2"/>
      <c r="AE181" s="2"/>
      <c r="AF181" s="2"/>
      <c r="AG181" s="2"/>
      <c r="AH181" s="2"/>
    </row>
    <row r="182" spans="2:34" ht="14.25" customHeight="1">
      <c r="C182" s="128"/>
      <c r="H182" s="128"/>
      <c r="I182" s="128"/>
      <c r="J182" s="144"/>
      <c r="K182" s="226"/>
      <c r="L182" s="226"/>
      <c r="AD182" s="2"/>
      <c r="AE182" s="2"/>
      <c r="AF182" s="2"/>
      <c r="AG182" s="2"/>
      <c r="AH182" s="2"/>
    </row>
    <row r="183" spans="2:34" ht="14.25" customHeight="1">
      <c r="C183" s="128"/>
      <c r="H183" s="128"/>
      <c r="I183" s="128"/>
      <c r="J183" s="144"/>
      <c r="K183" s="226"/>
      <c r="L183" s="226"/>
      <c r="M183" s="2"/>
      <c r="AD183" s="2"/>
      <c r="AE183" s="2"/>
      <c r="AF183" s="2"/>
      <c r="AG183" s="2"/>
      <c r="AH183" s="2"/>
    </row>
    <row r="184" spans="2:34" ht="14.25" customHeight="1">
      <c r="C184" s="130" t="s">
        <v>703</v>
      </c>
      <c r="H184" s="128"/>
      <c r="I184" s="128"/>
      <c r="J184" s="144"/>
      <c r="K184" s="226"/>
      <c r="L184" s="226"/>
      <c r="M184" s="674"/>
      <c r="N184" s="674"/>
      <c r="O184" s="674"/>
      <c r="P184" s="674"/>
      <c r="AD184" s="2"/>
      <c r="AE184" s="2"/>
      <c r="AF184" s="2"/>
      <c r="AG184" s="2"/>
      <c r="AH184" s="2"/>
    </row>
    <row r="185" spans="2:34" ht="14.25" customHeight="1">
      <c r="B185" s="131"/>
      <c r="C185" s="755"/>
      <c r="D185" s="711" t="s">
        <v>723</v>
      </c>
      <c r="E185" s="131"/>
      <c r="F185" s="131"/>
      <c r="G185" s="131"/>
      <c r="H185" s="131"/>
      <c r="I185" s="131"/>
      <c r="J185" s="737"/>
      <c r="K185" s="227"/>
      <c r="L185" s="227"/>
      <c r="M185" s="995"/>
      <c r="N185" s="995"/>
      <c r="O185" s="995"/>
      <c r="P185" s="995"/>
      <c r="Q185" s="131"/>
      <c r="AD185" s="2"/>
      <c r="AE185" s="2"/>
      <c r="AF185" s="2"/>
      <c r="AG185" s="2"/>
      <c r="AH185" s="2"/>
    </row>
    <row r="186" spans="2:34" ht="18" customHeight="1" thickBot="1">
      <c r="B186" s="131"/>
      <c r="C186" s="987" t="s">
        <v>724</v>
      </c>
      <c r="D186" s="711"/>
      <c r="E186" s="131"/>
      <c r="F186" s="131"/>
      <c r="G186" s="131"/>
      <c r="H186" s="131"/>
      <c r="I186" s="131"/>
      <c r="J186" s="737"/>
      <c r="K186" s="227"/>
      <c r="L186" s="227"/>
      <c r="M186" s="2408" t="s">
        <v>684</v>
      </c>
      <c r="N186" s="2408"/>
      <c r="O186" s="2408"/>
      <c r="P186" s="2408"/>
      <c r="Q186" s="131"/>
      <c r="AD186" s="2"/>
      <c r="AE186" s="2"/>
      <c r="AF186" s="2"/>
      <c r="AG186" s="2"/>
      <c r="AH186" s="2"/>
    </row>
    <row r="187" spans="2:34" ht="18" hidden="1" customHeight="1" thickBot="1">
      <c r="B187" s="131"/>
      <c r="C187" s="987"/>
      <c r="D187" s="711"/>
      <c r="E187" s="131"/>
      <c r="F187" s="131"/>
      <c r="G187" s="131"/>
      <c r="H187" s="131"/>
      <c r="I187" s="131"/>
      <c r="J187" s="737"/>
      <c r="K187" s="227"/>
      <c r="L187" s="227"/>
      <c r="M187" s="1006"/>
      <c r="N187" s="1006"/>
      <c r="O187" s="1006"/>
      <c r="P187" s="1006"/>
      <c r="Q187" s="131"/>
      <c r="AD187" s="2"/>
      <c r="AE187" s="2"/>
      <c r="AF187" s="2"/>
      <c r="AG187" s="2"/>
      <c r="AH187" s="2"/>
    </row>
    <row r="188" spans="2:34" ht="21.75" customHeight="1">
      <c r="C188" s="2399" t="s">
        <v>689</v>
      </c>
      <c r="D188" s="1431" t="s">
        <v>707</v>
      </c>
      <c r="E188" s="2403" t="s">
        <v>708</v>
      </c>
      <c r="F188" s="2403" t="s">
        <v>725</v>
      </c>
      <c r="G188" s="2137" t="s">
        <v>726</v>
      </c>
      <c r="H188" s="1783" t="s">
        <v>332</v>
      </c>
      <c r="I188" s="2407"/>
      <c r="K188" s="226"/>
      <c r="L188" s="226"/>
      <c r="M188" s="2394" t="s">
        <v>727</v>
      </c>
      <c r="N188" s="2394" t="s">
        <v>728</v>
      </c>
      <c r="O188" s="2397" t="s">
        <v>729</v>
      </c>
      <c r="P188" s="2397" t="s">
        <v>730</v>
      </c>
      <c r="AD188" s="2"/>
      <c r="AE188" s="2"/>
      <c r="AF188" s="2"/>
      <c r="AG188" s="2"/>
      <c r="AH188" s="2"/>
    </row>
    <row r="189" spans="2:34" ht="21.75" customHeight="1">
      <c r="C189" s="2400"/>
      <c r="D189" s="1684"/>
      <c r="E189" s="2404"/>
      <c r="F189" s="2404"/>
      <c r="G189" s="2138"/>
      <c r="H189" s="1784"/>
      <c r="I189" s="2407"/>
      <c r="K189" s="226"/>
      <c r="L189" s="226"/>
      <c r="M189" s="2395"/>
      <c r="N189" s="2395"/>
      <c r="O189" s="2398"/>
      <c r="P189" s="2398"/>
      <c r="AD189" s="2"/>
      <c r="AE189" s="2"/>
      <c r="AF189" s="2"/>
      <c r="AG189" s="2"/>
      <c r="AH189" s="2"/>
    </row>
    <row r="190" spans="2:34" ht="30" customHeight="1" thickBot="1">
      <c r="C190" s="2401"/>
      <c r="D190" s="1684"/>
      <c r="E190" s="2405"/>
      <c r="F190" s="1828"/>
      <c r="G190" s="2410"/>
      <c r="H190" s="2406"/>
      <c r="I190" s="2407"/>
      <c r="K190" s="2"/>
      <c r="L190" s="226"/>
      <c r="M190" s="957">
        <f>SUM(M191:M240)</f>
        <v>0</v>
      </c>
      <c r="N190" s="957">
        <f>SUM(N191:N240)</f>
        <v>0</v>
      </c>
      <c r="O190" s="959">
        <f>SUM(O191:O240)</f>
        <v>0</v>
      </c>
      <c r="P190" s="959">
        <f>SUM(P191:P240)</f>
        <v>0</v>
      </c>
      <c r="AD190" s="2"/>
      <c r="AE190" s="2"/>
      <c r="AF190" s="2"/>
      <c r="AG190" s="2"/>
      <c r="AH190" s="2"/>
    </row>
    <row r="191" spans="2:34" ht="30" customHeight="1" thickTop="1">
      <c r="C191" s="1007">
        <v>1</v>
      </c>
      <c r="D191" s="961"/>
      <c r="E191" s="962"/>
      <c r="F191" s="962"/>
      <c r="G191" s="781"/>
      <c r="H191" s="1287"/>
      <c r="I191" s="1008"/>
      <c r="K191" s="2"/>
      <c r="L191" s="552"/>
      <c r="M191" s="955">
        <f t="shared" ref="M191:N240" si="6">IF($H191&gt;0,E191,)</f>
        <v>0</v>
      </c>
      <c r="N191" s="955">
        <f t="shared" si="6"/>
        <v>0</v>
      </c>
      <c r="O191" s="967">
        <f>IF(H191&gt;0,ROUND(G191,),)</f>
        <v>0</v>
      </c>
      <c r="P191" s="967">
        <f t="shared" ref="P191:P240" si="7">ROUND(O191*H191%,)</f>
        <v>0</v>
      </c>
      <c r="AD191" s="2"/>
      <c r="AE191" s="2"/>
      <c r="AF191" s="2"/>
      <c r="AG191" s="2"/>
      <c r="AH191" s="2"/>
    </row>
    <row r="192" spans="2:34" ht="30" customHeight="1">
      <c r="C192" s="968">
        <v>2</v>
      </c>
      <c r="D192" s="969"/>
      <c r="E192" s="970"/>
      <c r="F192" s="970"/>
      <c r="G192" s="997"/>
      <c r="H192" s="1288"/>
      <c r="I192" s="1008"/>
      <c r="K192" s="2"/>
      <c r="L192" s="552"/>
      <c r="M192" s="956">
        <f t="shared" si="6"/>
        <v>0</v>
      </c>
      <c r="N192" s="973">
        <f t="shared" si="6"/>
        <v>0</v>
      </c>
      <c r="O192" s="321">
        <f t="shared" ref="O192:O240" si="8">IF(H192&gt;0,ROUND(G192,),)</f>
        <v>0</v>
      </c>
      <c r="P192" s="967">
        <f t="shared" si="7"/>
        <v>0</v>
      </c>
      <c r="AD192" s="2"/>
      <c r="AE192" s="2"/>
      <c r="AF192" s="2"/>
      <c r="AG192" s="2"/>
      <c r="AH192" s="2"/>
    </row>
    <row r="193" spans="3:34" ht="30" customHeight="1" collapsed="1" thickBot="1">
      <c r="C193" s="968">
        <v>3</v>
      </c>
      <c r="D193" s="969"/>
      <c r="E193" s="970"/>
      <c r="F193" s="970"/>
      <c r="G193" s="997"/>
      <c r="H193" s="1288"/>
      <c r="I193" s="1008"/>
      <c r="K193" s="2"/>
      <c r="L193" s="552"/>
      <c r="M193" s="956">
        <f t="shared" si="6"/>
        <v>0</v>
      </c>
      <c r="N193" s="973">
        <f t="shared" si="6"/>
        <v>0</v>
      </c>
      <c r="O193" s="321">
        <f t="shared" si="8"/>
        <v>0</v>
      </c>
      <c r="P193" s="967">
        <f t="shared" si="7"/>
        <v>0</v>
      </c>
      <c r="AD193" s="2"/>
      <c r="AE193" s="2"/>
      <c r="AF193" s="2"/>
      <c r="AG193" s="2"/>
      <c r="AH193" s="2"/>
    </row>
    <row r="194" spans="3:34" ht="30" hidden="1" customHeight="1" outlineLevel="1">
      <c r="C194" s="968">
        <v>4</v>
      </c>
      <c r="D194" s="969"/>
      <c r="E194" s="970"/>
      <c r="F194" s="970"/>
      <c r="G194" s="997"/>
      <c r="H194" s="1288"/>
      <c r="I194" s="1009"/>
      <c r="K194" s="2"/>
      <c r="L194" s="552"/>
      <c r="M194" s="956">
        <f t="shared" si="6"/>
        <v>0</v>
      </c>
      <c r="N194" s="973">
        <f t="shared" si="6"/>
        <v>0</v>
      </c>
      <c r="O194" s="321">
        <f t="shared" si="8"/>
        <v>0</v>
      </c>
      <c r="P194" s="967">
        <f t="shared" si="7"/>
        <v>0</v>
      </c>
      <c r="AD194" s="2"/>
      <c r="AE194" s="2"/>
      <c r="AF194" s="2"/>
      <c r="AG194" s="2"/>
      <c r="AH194" s="2"/>
    </row>
    <row r="195" spans="3:34" ht="30" hidden="1" customHeight="1" outlineLevel="1">
      <c r="C195" s="968">
        <v>5</v>
      </c>
      <c r="D195" s="969"/>
      <c r="E195" s="970"/>
      <c r="F195" s="970"/>
      <c r="G195" s="997"/>
      <c r="H195" s="1288"/>
      <c r="I195" s="1009"/>
      <c r="K195" s="2"/>
      <c r="L195" s="552"/>
      <c r="M195" s="956">
        <f t="shared" si="6"/>
        <v>0</v>
      </c>
      <c r="N195" s="973">
        <f t="shared" si="6"/>
        <v>0</v>
      </c>
      <c r="O195" s="321">
        <f t="shared" si="8"/>
        <v>0</v>
      </c>
      <c r="P195" s="967">
        <f t="shared" si="7"/>
        <v>0</v>
      </c>
      <c r="AD195" s="2"/>
      <c r="AE195" s="2"/>
      <c r="AF195" s="2"/>
      <c r="AG195" s="2"/>
      <c r="AH195" s="2"/>
    </row>
    <row r="196" spans="3:34" ht="30" hidden="1" customHeight="1" outlineLevel="1">
      <c r="C196" s="968">
        <v>6</v>
      </c>
      <c r="D196" s="969"/>
      <c r="E196" s="970"/>
      <c r="F196" s="970"/>
      <c r="G196" s="997"/>
      <c r="H196" s="1288"/>
      <c r="I196" s="1009"/>
      <c r="K196" s="2"/>
      <c r="L196" s="552"/>
      <c r="M196" s="956">
        <f t="shared" si="6"/>
        <v>0</v>
      </c>
      <c r="N196" s="973">
        <f t="shared" si="6"/>
        <v>0</v>
      </c>
      <c r="O196" s="321">
        <f t="shared" si="8"/>
        <v>0</v>
      </c>
      <c r="P196" s="967">
        <f t="shared" si="7"/>
        <v>0</v>
      </c>
      <c r="AD196" s="2"/>
      <c r="AE196" s="2"/>
      <c r="AF196" s="2"/>
      <c r="AG196" s="2"/>
      <c r="AH196" s="2"/>
    </row>
    <row r="197" spans="3:34" ht="30" hidden="1" customHeight="1" outlineLevel="1">
      <c r="C197" s="968">
        <v>7</v>
      </c>
      <c r="D197" s="969"/>
      <c r="E197" s="970"/>
      <c r="F197" s="970"/>
      <c r="G197" s="997"/>
      <c r="H197" s="1288"/>
      <c r="I197" s="1009"/>
      <c r="K197" s="2"/>
      <c r="L197" s="552"/>
      <c r="M197" s="956">
        <f t="shared" si="6"/>
        <v>0</v>
      </c>
      <c r="N197" s="973">
        <f t="shared" si="6"/>
        <v>0</v>
      </c>
      <c r="O197" s="321">
        <f t="shared" si="8"/>
        <v>0</v>
      </c>
      <c r="P197" s="967">
        <f t="shared" si="7"/>
        <v>0</v>
      </c>
      <c r="AD197" s="2"/>
      <c r="AE197" s="2"/>
      <c r="AF197" s="2"/>
      <c r="AG197" s="2"/>
      <c r="AH197" s="2"/>
    </row>
    <row r="198" spans="3:34" ht="30" hidden="1" customHeight="1" outlineLevel="1">
      <c r="C198" s="968">
        <v>8</v>
      </c>
      <c r="D198" s="969"/>
      <c r="E198" s="970"/>
      <c r="F198" s="970"/>
      <c r="G198" s="997"/>
      <c r="H198" s="1288"/>
      <c r="I198" s="1009"/>
      <c r="K198" s="2"/>
      <c r="L198" s="552"/>
      <c r="M198" s="956">
        <f t="shared" si="6"/>
        <v>0</v>
      </c>
      <c r="N198" s="973">
        <f t="shared" si="6"/>
        <v>0</v>
      </c>
      <c r="O198" s="321">
        <f t="shared" si="8"/>
        <v>0</v>
      </c>
      <c r="P198" s="967">
        <f t="shared" si="7"/>
        <v>0</v>
      </c>
      <c r="AD198" s="2"/>
      <c r="AE198" s="2"/>
      <c r="AF198" s="2"/>
      <c r="AG198" s="2"/>
      <c r="AH198" s="2"/>
    </row>
    <row r="199" spans="3:34" ht="30" hidden="1" customHeight="1" outlineLevel="1">
      <c r="C199" s="968">
        <v>9</v>
      </c>
      <c r="D199" s="969"/>
      <c r="E199" s="970"/>
      <c r="F199" s="970"/>
      <c r="G199" s="997"/>
      <c r="H199" s="1288"/>
      <c r="I199" s="1009"/>
      <c r="K199" s="2"/>
      <c r="L199" s="552"/>
      <c r="M199" s="956">
        <f t="shared" si="6"/>
        <v>0</v>
      </c>
      <c r="N199" s="973">
        <f t="shared" si="6"/>
        <v>0</v>
      </c>
      <c r="O199" s="321">
        <f t="shared" si="8"/>
        <v>0</v>
      </c>
      <c r="P199" s="967">
        <f t="shared" si="7"/>
        <v>0</v>
      </c>
      <c r="AD199" s="2"/>
      <c r="AE199" s="2"/>
      <c r="AF199" s="2"/>
      <c r="AG199" s="2"/>
      <c r="AH199" s="2"/>
    </row>
    <row r="200" spans="3:34" ht="30" hidden="1" customHeight="1" outlineLevel="1">
      <c r="C200" s="968">
        <v>10</v>
      </c>
      <c r="D200" s="969"/>
      <c r="E200" s="970"/>
      <c r="F200" s="970"/>
      <c r="G200" s="997"/>
      <c r="H200" s="1288"/>
      <c r="I200" s="1009"/>
      <c r="K200" s="2"/>
      <c r="L200" s="552"/>
      <c r="M200" s="956">
        <f t="shared" si="6"/>
        <v>0</v>
      </c>
      <c r="N200" s="973">
        <f t="shared" si="6"/>
        <v>0</v>
      </c>
      <c r="O200" s="321">
        <f t="shared" si="8"/>
        <v>0</v>
      </c>
      <c r="P200" s="967">
        <f t="shared" si="7"/>
        <v>0</v>
      </c>
      <c r="AD200" s="2"/>
      <c r="AE200" s="2"/>
      <c r="AF200" s="2"/>
      <c r="AG200" s="2"/>
      <c r="AH200" s="2"/>
    </row>
    <row r="201" spans="3:34" ht="30" hidden="1" customHeight="1" outlineLevel="1">
      <c r="C201" s="968">
        <v>11</v>
      </c>
      <c r="D201" s="969"/>
      <c r="E201" s="970"/>
      <c r="F201" s="970"/>
      <c r="G201" s="997"/>
      <c r="H201" s="1288"/>
      <c r="I201" s="1009"/>
      <c r="K201" s="2"/>
      <c r="L201" s="552"/>
      <c r="M201" s="956">
        <f t="shared" si="6"/>
        <v>0</v>
      </c>
      <c r="N201" s="973">
        <f t="shared" si="6"/>
        <v>0</v>
      </c>
      <c r="O201" s="321">
        <f t="shared" si="8"/>
        <v>0</v>
      </c>
      <c r="P201" s="967">
        <f t="shared" si="7"/>
        <v>0</v>
      </c>
      <c r="AD201" s="2"/>
      <c r="AE201" s="2"/>
      <c r="AF201" s="2"/>
      <c r="AG201" s="2"/>
      <c r="AH201" s="2"/>
    </row>
    <row r="202" spans="3:34" ht="30" hidden="1" customHeight="1" outlineLevel="1">
      <c r="C202" s="968">
        <v>12</v>
      </c>
      <c r="D202" s="969"/>
      <c r="E202" s="970"/>
      <c r="F202" s="970"/>
      <c r="G202" s="997"/>
      <c r="H202" s="1288"/>
      <c r="I202" s="1009"/>
      <c r="K202" s="2"/>
      <c r="L202" s="552"/>
      <c r="M202" s="956">
        <f t="shared" si="6"/>
        <v>0</v>
      </c>
      <c r="N202" s="973">
        <f t="shared" si="6"/>
        <v>0</v>
      </c>
      <c r="O202" s="321">
        <f t="shared" si="8"/>
        <v>0</v>
      </c>
      <c r="P202" s="967">
        <f t="shared" si="7"/>
        <v>0</v>
      </c>
      <c r="AD202" s="2"/>
      <c r="AE202" s="2"/>
      <c r="AF202" s="2"/>
      <c r="AG202" s="2"/>
      <c r="AH202" s="2"/>
    </row>
    <row r="203" spans="3:34" ht="30" hidden="1" customHeight="1" outlineLevel="1">
      <c r="C203" s="968">
        <v>13</v>
      </c>
      <c r="D203" s="969"/>
      <c r="E203" s="970"/>
      <c r="F203" s="970"/>
      <c r="G203" s="997"/>
      <c r="H203" s="1288"/>
      <c r="I203" s="1009"/>
      <c r="K203" s="2"/>
      <c r="L203" s="552"/>
      <c r="M203" s="956">
        <f t="shared" si="6"/>
        <v>0</v>
      </c>
      <c r="N203" s="973">
        <f t="shared" si="6"/>
        <v>0</v>
      </c>
      <c r="O203" s="321">
        <f t="shared" si="8"/>
        <v>0</v>
      </c>
      <c r="P203" s="967">
        <f t="shared" si="7"/>
        <v>0</v>
      </c>
      <c r="AD203" s="2"/>
      <c r="AE203" s="2"/>
      <c r="AF203" s="2"/>
      <c r="AG203" s="2"/>
      <c r="AH203" s="2"/>
    </row>
    <row r="204" spans="3:34" ht="30" hidden="1" customHeight="1" outlineLevel="1">
      <c r="C204" s="968">
        <v>14</v>
      </c>
      <c r="D204" s="969"/>
      <c r="E204" s="970"/>
      <c r="F204" s="970"/>
      <c r="G204" s="997"/>
      <c r="H204" s="1288"/>
      <c r="I204" s="1009"/>
      <c r="K204" s="2"/>
      <c r="L204" s="552"/>
      <c r="M204" s="956">
        <f t="shared" si="6"/>
        <v>0</v>
      </c>
      <c r="N204" s="973">
        <f t="shared" si="6"/>
        <v>0</v>
      </c>
      <c r="O204" s="321">
        <f t="shared" si="8"/>
        <v>0</v>
      </c>
      <c r="P204" s="967">
        <f t="shared" si="7"/>
        <v>0</v>
      </c>
      <c r="AD204" s="2"/>
      <c r="AE204" s="2"/>
      <c r="AF204" s="2"/>
      <c r="AG204" s="2"/>
      <c r="AH204" s="2"/>
    </row>
    <row r="205" spans="3:34" ht="30" hidden="1" customHeight="1" outlineLevel="1">
      <c r="C205" s="968">
        <v>15</v>
      </c>
      <c r="D205" s="969"/>
      <c r="E205" s="970"/>
      <c r="F205" s="970"/>
      <c r="G205" s="997"/>
      <c r="H205" s="1288"/>
      <c r="I205" s="1009"/>
      <c r="K205" s="2"/>
      <c r="L205" s="552"/>
      <c r="M205" s="956">
        <f t="shared" si="6"/>
        <v>0</v>
      </c>
      <c r="N205" s="973">
        <f t="shared" si="6"/>
        <v>0</v>
      </c>
      <c r="O205" s="321">
        <f t="shared" si="8"/>
        <v>0</v>
      </c>
      <c r="P205" s="967">
        <f t="shared" si="7"/>
        <v>0</v>
      </c>
      <c r="AD205" s="2"/>
      <c r="AE205" s="2"/>
      <c r="AF205" s="2"/>
      <c r="AG205" s="2"/>
      <c r="AH205" s="2"/>
    </row>
    <row r="206" spans="3:34" ht="30" hidden="1" customHeight="1" outlineLevel="1">
      <c r="C206" s="968">
        <v>16</v>
      </c>
      <c r="D206" s="969"/>
      <c r="E206" s="970"/>
      <c r="F206" s="970"/>
      <c r="G206" s="997"/>
      <c r="H206" s="1288"/>
      <c r="I206" s="1009"/>
      <c r="K206" s="2"/>
      <c r="L206" s="552"/>
      <c r="M206" s="956">
        <f t="shared" si="6"/>
        <v>0</v>
      </c>
      <c r="N206" s="973">
        <f t="shared" si="6"/>
        <v>0</v>
      </c>
      <c r="O206" s="321">
        <f t="shared" si="8"/>
        <v>0</v>
      </c>
      <c r="P206" s="967">
        <f t="shared" si="7"/>
        <v>0</v>
      </c>
      <c r="AD206" s="2"/>
      <c r="AE206" s="2"/>
      <c r="AF206" s="2"/>
      <c r="AG206" s="2"/>
      <c r="AH206" s="2"/>
    </row>
    <row r="207" spans="3:34" ht="30" hidden="1" customHeight="1" outlineLevel="1">
      <c r="C207" s="968">
        <v>17</v>
      </c>
      <c r="D207" s="969"/>
      <c r="E207" s="970"/>
      <c r="F207" s="970"/>
      <c r="G207" s="997"/>
      <c r="H207" s="1288"/>
      <c r="I207" s="1009"/>
      <c r="K207" s="2"/>
      <c r="L207" s="552"/>
      <c r="M207" s="956">
        <f t="shared" si="6"/>
        <v>0</v>
      </c>
      <c r="N207" s="973">
        <f t="shared" si="6"/>
        <v>0</v>
      </c>
      <c r="O207" s="321">
        <f t="shared" si="8"/>
        <v>0</v>
      </c>
      <c r="P207" s="967">
        <f t="shared" si="7"/>
        <v>0</v>
      </c>
      <c r="AD207" s="2"/>
      <c r="AE207" s="2"/>
      <c r="AF207" s="2"/>
      <c r="AG207" s="2"/>
      <c r="AH207" s="2"/>
    </row>
    <row r="208" spans="3:34" ht="30" hidden="1" customHeight="1" outlineLevel="1">
      <c r="C208" s="968">
        <v>18</v>
      </c>
      <c r="D208" s="969"/>
      <c r="E208" s="970"/>
      <c r="F208" s="970"/>
      <c r="G208" s="997"/>
      <c r="H208" s="1288"/>
      <c r="I208" s="1009"/>
      <c r="K208" s="2"/>
      <c r="L208" s="552"/>
      <c r="M208" s="956">
        <f t="shared" si="6"/>
        <v>0</v>
      </c>
      <c r="N208" s="973">
        <f t="shared" si="6"/>
        <v>0</v>
      </c>
      <c r="O208" s="321">
        <f t="shared" si="8"/>
        <v>0</v>
      </c>
      <c r="P208" s="967">
        <f t="shared" si="7"/>
        <v>0</v>
      </c>
      <c r="AD208" s="2"/>
      <c r="AE208" s="2"/>
      <c r="AF208" s="2"/>
      <c r="AG208" s="2"/>
      <c r="AH208" s="2"/>
    </row>
    <row r="209" spans="3:34" ht="30" hidden="1" customHeight="1" outlineLevel="1">
      <c r="C209" s="968">
        <v>19</v>
      </c>
      <c r="D209" s="969"/>
      <c r="E209" s="970"/>
      <c r="F209" s="970"/>
      <c r="G209" s="997"/>
      <c r="H209" s="1288"/>
      <c r="I209" s="1009"/>
      <c r="K209" s="2"/>
      <c r="L209" s="552"/>
      <c r="M209" s="956">
        <f t="shared" si="6"/>
        <v>0</v>
      </c>
      <c r="N209" s="973">
        <f t="shared" si="6"/>
        <v>0</v>
      </c>
      <c r="O209" s="321">
        <f t="shared" si="8"/>
        <v>0</v>
      </c>
      <c r="P209" s="967">
        <f t="shared" si="7"/>
        <v>0</v>
      </c>
      <c r="AD209" s="2"/>
      <c r="AE209" s="2"/>
      <c r="AF209" s="2"/>
      <c r="AG209" s="2"/>
      <c r="AH209" s="2"/>
    </row>
    <row r="210" spans="3:34" ht="30" hidden="1" customHeight="1" outlineLevel="1">
      <c r="C210" s="968">
        <v>20</v>
      </c>
      <c r="D210" s="969"/>
      <c r="E210" s="970"/>
      <c r="F210" s="970"/>
      <c r="G210" s="997"/>
      <c r="H210" s="1288"/>
      <c r="I210" s="1009"/>
      <c r="K210" s="2"/>
      <c r="L210" s="552"/>
      <c r="M210" s="956">
        <f t="shared" si="6"/>
        <v>0</v>
      </c>
      <c r="N210" s="973">
        <f t="shared" si="6"/>
        <v>0</v>
      </c>
      <c r="O210" s="321">
        <f t="shared" si="8"/>
        <v>0</v>
      </c>
      <c r="P210" s="967">
        <f t="shared" si="7"/>
        <v>0</v>
      </c>
      <c r="AD210" s="2"/>
      <c r="AE210" s="2"/>
      <c r="AF210" s="2"/>
      <c r="AG210" s="2"/>
      <c r="AH210" s="2"/>
    </row>
    <row r="211" spans="3:34" ht="30" hidden="1" customHeight="1" outlineLevel="1">
      <c r="C211" s="968">
        <v>21</v>
      </c>
      <c r="D211" s="969"/>
      <c r="E211" s="970"/>
      <c r="F211" s="970"/>
      <c r="G211" s="997"/>
      <c r="H211" s="1288"/>
      <c r="I211" s="1009"/>
      <c r="K211" s="2"/>
      <c r="L211" s="552"/>
      <c r="M211" s="956">
        <f t="shared" si="6"/>
        <v>0</v>
      </c>
      <c r="N211" s="973">
        <f t="shared" si="6"/>
        <v>0</v>
      </c>
      <c r="O211" s="321">
        <f t="shared" si="8"/>
        <v>0</v>
      </c>
      <c r="P211" s="967">
        <f t="shared" si="7"/>
        <v>0</v>
      </c>
      <c r="AD211" s="2"/>
      <c r="AE211" s="2"/>
      <c r="AF211" s="2"/>
      <c r="AG211" s="2"/>
      <c r="AH211" s="2"/>
    </row>
    <row r="212" spans="3:34" ht="30" hidden="1" customHeight="1" outlineLevel="1">
      <c r="C212" s="968">
        <v>22</v>
      </c>
      <c r="D212" s="969"/>
      <c r="E212" s="970"/>
      <c r="F212" s="970"/>
      <c r="G212" s="997"/>
      <c r="H212" s="1288"/>
      <c r="I212" s="1009"/>
      <c r="K212" s="2"/>
      <c r="L212" s="552"/>
      <c r="M212" s="956">
        <f t="shared" si="6"/>
        <v>0</v>
      </c>
      <c r="N212" s="973">
        <f t="shared" si="6"/>
        <v>0</v>
      </c>
      <c r="O212" s="321">
        <f t="shared" si="8"/>
        <v>0</v>
      </c>
      <c r="P212" s="967">
        <f t="shared" si="7"/>
        <v>0</v>
      </c>
      <c r="AD212" s="2"/>
      <c r="AE212" s="2"/>
      <c r="AF212" s="2"/>
      <c r="AG212" s="2"/>
      <c r="AH212" s="2"/>
    </row>
    <row r="213" spans="3:34" ht="30" hidden="1" customHeight="1" outlineLevel="1">
      <c r="C213" s="968">
        <v>23</v>
      </c>
      <c r="D213" s="969"/>
      <c r="E213" s="970"/>
      <c r="F213" s="970"/>
      <c r="G213" s="997"/>
      <c r="H213" s="1288"/>
      <c r="I213" s="1009"/>
      <c r="K213" s="2"/>
      <c r="L213" s="552"/>
      <c r="M213" s="956">
        <f t="shared" si="6"/>
        <v>0</v>
      </c>
      <c r="N213" s="973">
        <f t="shared" si="6"/>
        <v>0</v>
      </c>
      <c r="O213" s="321">
        <f t="shared" si="8"/>
        <v>0</v>
      </c>
      <c r="P213" s="967">
        <f t="shared" si="7"/>
        <v>0</v>
      </c>
      <c r="AD213" s="2"/>
      <c r="AE213" s="2"/>
      <c r="AF213" s="2"/>
      <c r="AG213" s="2"/>
      <c r="AH213" s="2"/>
    </row>
    <row r="214" spans="3:34" ht="30" hidden="1" customHeight="1" outlineLevel="1">
      <c r="C214" s="968">
        <v>24</v>
      </c>
      <c r="D214" s="969"/>
      <c r="E214" s="970"/>
      <c r="F214" s="970"/>
      <c r="G214" s="997"/>
      <c r="H214" s="1288"/>
      <c r="I214" s="1009"/>
      <c r="K214" s="2"/>
      <c r="L214" s="552"/>
      <c r="M214" s="956">
        <f t="shared" si="6"/>
        <v>0</v>
      </c>
      <c r="N214" s="973">
        <f t="shared" si="6"/>
        <v>0</v>
      </c>
      <c r="O214" s="321">
        <f t="shared" si="8"/>
        <v>0</v>
      </c>
      <c r="P214" s="967">
        <f t="shared" si="7"/>
        <v>0</v>
      </c>
      <c r="AD214" s="2"/>
      <c r="AE214" s="2"/>
      <c r="AF214" s="2"/>
      <c r="AG214" s="2"/>
      <c r="AH214" s="2"/>
    </row>
    <row r="215" spans="3:34" ht="30" hidden="1" customHeight="1" outlineLevel="1">
      <c r="C215" s="968">
        <v>25</v>
      </c>
      <c r="D215" s="969"/>
      <c r="E215" s="970"/>
      <c r="F215" s="970"/>
      <c r="G215" s="997"/>
      <c r="H215" s="1288"/>
      <c r="I215" s="1009"/>
      <c r="K215" s="2"/>
      <c r="L215" s="552"/>
      <c r="M215" s="956">
        <f t="shared" si="6"/>
        <v>0</v>
      </c>
      <c r="N215" s="973">
        <f t="shared" si="6"/>
        <v>0</v>
      </c>
      <c r="O215" s="321">
        <f t="shared" si="8"/>
        <v>0</v>
      </c>
      <c r="P215" s="967">
        <f t="shared" si="7"/>
        <v>0</v>
      </c>
      <c r="AD215" s="2"/>
      <c r="AE215" s="2"/>
      <c r="AF215" s="2"/>
      <c r="AG215" s="2"/>
      <c r="AH215" s="2"/>
    </row>
    <row r="216" spans="3:34" ht="30" hidden="1" customHeight="1" outlineLevel="1">
      <c r="C216" s="968">
        <v>26</v>
      </c>
      <c r="D216" s="969"/>
      <c r="E216" s="970"/>
      <c r="F216" s="970"/>
      <c r="G216" s="997"/>
      <c r="H216" s="1288"/>
      <c r="I216" s="1009"/>
      <c r="K216" s="2"/>
      <c r="L216" s="552"/>
      <c r="M216" s="956">
        <f t="shared" si="6"/>
        <v>0</v>
      </c>
      <c r="N216" s="973">
        <f t="shared" si="6"/>
        <v>0</v>
      </c>
      <c r="O216" s="321">
        <f t="shared" si="8"/>
        <v>0</v>
      </c>
      <c r="P216" s="967">
        <f t="shared" si="7"/>
        <v>0</v>
      </c>
      <c r="AD216" s="2"/>
      <c r="AE216" s="2"/>
      <c r="AF216" s="2"/>
      <c r="AG216" s="2"/>
      <c r="AH216" s="2"/>
    </row>
    <row r="217" spans="3:34" ht="30" hidden="1" customHeight="1" outlineLevel="1">
      <c r="C217" s="968">
        <v>27</v>
      </c>
      <c r="D217" s="969"/>
      <c r="E217" s="970"/>
      <c r="F217" s="970"/>
      <c r="G217" s="997"/>
      <c r="H217" s="1288"/>
      <c r="I217" s="1009"/>
      <c r="K217" s="2"/>
      <c r="L217" s="552"/>
      <c r="M217" s="956">
        <f t="shared" si="6"/>
        <v>0</v>
      </c>
      <c r="N217" s="973">
        <f t="shared" si="6"/>
        <v>0</v>
      </c>
      <c r="O217" s="321">
        <f t="shared" si="8"/>
        <v>0</v>
      </c>
      <c r="P217" s="967">
        <f t="shared" si="7"/>
        <v>0</v>
      </c>
      <c r="AD217" s="2"/>
      <c r="AE217" s="2"/>
      <c r="AF217" s="2"/>
      <c r="AG217" s="2"/>
      <c r="AH217" s="2"/>
    </row>
    <row r="218" spans="3:34" ht="30" hidden="1" customHeight="1" outlineLevel="1">
      <c r="C218" s="968">
        <v>28</v>
      </c>
      <c r="D218" s="969"/>
      <c r="E218" s="970"/>
      <c r="F218" s="970"/>
      <c r="G218" s="997"/>
      <c r="H218" s="1288"/>
      <c r="I218" s="1009"/>
      <c r="K218" s="2"/>
      <c r="L218" s="552"/>
      <c r="M218" s="956">
        <f t="shared" si="6"/>
        <v>0</v>
      </c>
      <c r="N218" s="973">
        <f t="shared" si="6"/>
        <v>0</v>
      </c>
      <c r="O218" s="321">
        <f t="shared" si="8"/>
        <v>0</v>
      </c>
      <c r="P218" s="967">
        <f t="shared" si="7"/>
        <v>0</v>
      </c>
      <c r="AD218" s="2"/>
      <c r="AE218" s="2"/>
      <c r="AF218" s="2"/>
      <c r="AG218" s="2"/>
      <c r="AH218" s="2"/>
    </row>
    <row r="219" spans="3:34" ht="30" hidden="1" customHeight="1" outlineLevel="1">
      <c r="C219" s="968">
        <v>29</v>
      </c>
      <c r="D219" s="969"/>
      <c r="E219" s="970"/>
      <c r="F219" s="970"/>
      <c r="G219" s="997"/>
      <c r="H219" s="1288"/>
      <c r="I219" s="1009"/>
      <c r="K219" s="2"/>
      <c r="L219" s="552"/>
      <c r="M219" s="956">
        <f t="shared" si="6"/>
        <v>0</v>
      </c>
      <c r="N219" s="973">
        <f t="shared" si="6"/>
        <v>0</v>
      </c>
      <c r="O219" s="321">
        <f t="shared" si="8"/>
        <v>0</v>
      </c>
      <c r="P219" s="967">
        <f t="shared" si="7"/>
        <v>0</v>
      </c>
      <c r="AD219" s="2"/>
      <c r="AE219" s="2"/>
      <c r="AF219" s="2"/>
      <c r="AG219" s="2"/>
      <c r="AH219" s="2"/>
    </row>
    <row r="220" spans="3:34" ht="30" hidden="1" customHeight="1" outlineLevel="1">
      <c r="C220" s="968">
        <v>30</v>
      </c>
      <c r="D220" s="969"/>
      <c r="E220" s="970"/>
      <c r="F220" s="970"/>
      <c r="G220" s="997"/>
      <c r="H220" s="1288"/>
      <c r="I220" s="1009"/>
      <c r="K220" s="2"/>
      <c r="L220" s="552"/>
      <c r="M220" s="956">
        <f t="shared" si="6"/>
        <v>0</v>
      </c>
      <c r="N220" s="973">
        <f t="shared" si="6"/>
        <v>0</v>
      </c>
      <c r="O220" s="321">
        <f t="shared" si="8"/>
        <v>0</v>
      </c>
      <c r="P220" s="967">
        <f t="shared" si="7"/>
        <v>0</v>
      </c>
      <c r="AD220" s="2"/>
      <c r="AE220" s="2"/>
      <c r="AF220" s="2"/>
      <c r="AG220" s="2"/>
      <c r="AH220" s="2"/>
    </row>
    <row r="221" spans="3:34" ht="30" hidden="1" customHeight="1" outlineLevel="1">
      <c r="C221" s="968">
        <v>31</v>
      </c>
      <c r="D221" s="969"/>
      <c r="E221" s="970"/>
      <c r="F221" s="970"/>
      <c r="G221" s="997"/>
      <c r="H221" s="1288"/>
      <c r="I221" s="1009"/>
      <c r="K221" s="2"/>
      <c r="L221" s="552"/>
      <c r="M221" s="956">
        <f t="shared" si="6"/>
        <v>0</v>
      </c>
      <c r="N221" s="973">
        <f t="shared" si="6"/>
        <v>0</v>
      </c>
      <c r="O221" s="321">
        <f t="shared" si="8"/>
        <v>0</v>
      </c>
      <c r="P221" s="967">
        <f t="shared" si="7"/>
        <v>0</v>
      </c>
      <c r="AD221" s="2"/>
      <c r="AE221" s="2"/>
      <c r="AF221" s="2"/>
      <c r="AG221" s="2"/>
      <c r="AH221" s="2"/>
    </row>
    <row r="222" spans="3:34" ht="30" hidden="1" customHeight="1" outlineLevel="1">
      <c r="C222" s="968">
        <v>32</v>
      </c>
      <c r="D222" s="969"/>
      <c r="E222" s="970"/>
      <c r="F222" s="970"/>
      <c r="G222" s="997"/>
      <c r="H222" s="1288"/>
      <c r="I222" s="1009"/>
      <c r="K222" s="2"/>
      <c r="L222" s="552"/>
      <c r="M222" s="956">
        <f t="shared" si="6"/>
        <v>0</v>
      </c>
      <c r="N222" s="973">
        <f t="shared" si="6"/>
        <v>0</v>
      </c>
      <c r="O222" s="321">
        <f t="shared" si="8"/>
        <v>0</v>
      </c>
      <c r="P222" s="967">
        <f t="shared" si="7"/>
        <v>0</v>
      </c>
      <c r="AD222" s="2"/>
      <c r="AE222" s="2"/>
      <c r="AF222" s="2"/>
      <c r="AG222" s="2"/>
      <c r="AH222" s="2"/>
    </row>
    <row r="223" spans="3:34" ht="30" hidden="1" customHeight="1" outlineLevel="1">
      <c r="C223" s="968">
        <v>33</v>
      </c>
      <c r="D223" s="969"/>
      <c r="E223" s="970"/>
      <c r="F223" s="970"/>
      <c r="G223" s="997"/>
      <c r="H223" s="1288"/>
      <c r="I223" s="1009"/>
      <c r="K223" s="2"/>
      <c r="L223" s="552"/>
      <c r="M223" s="956">
        <f t="shared" si="6"/>
        <v>0</v>
      </c>
      <c r="N223" s="973">
        <f t="shared" si="6"/>
        <v>0</v>
      </c>
      <c r="O223" s="321">
        <f t="shared" si="8"/>
        <v>0</v>
      </c>
      <c r="P223" s="967">
        <f t="shared" si="7"/>
        <v>0</v>
      </c>
      <c r="AD223" s="2"/>
      <c r="AE223" s="2"/>
      <c r="AF223" s="2"/>
      <c r="AG223" s="2"/>
      <c r="AH223" s="2"/>
    </row>
    <row r="224" spans="3:34" ht="30" hidden="1" customHeight="1" outlineLevel="1">
      <c r="C224" s="968">
        <v>34</v>
      </c>
      <c r="D224" s="969"/>
      <c r="E224" s="970"/>
      <c r="F224" s="970"/>
      <c r="G224" s="997"/>
      <c r="H224" s="1288"/>
      <c r="I224" s="1009"/>
      <c r="K224" s="2"/>
      <c r="L224" s="552"/>
      <c r="M224" s="956">
        <f t="shared" si="6"/>
        <v>0</v>
      </c>
      <c r="N224" s="973">
        <f t="shared" si="6"/>
        <v>0</v>
      </c>
      <c r="O224" s="321">
        <f t="shared" si="8"/>
        <v>0</v>
      </c>
      <c r="P224" s="967">
        <f t="shared" si="7"/>
        <v>0</v>
      </c>
      <c r="AD224" s="2"/>
      <c r="AE224" s="2"/>
      <c r="AF224" s="2"/>
      <c r="AG224" s="2"/>
      <c r="AH224" s="2"/>
    </row>
    <row r="225" spans="3:34" ht="30" hidden="1" customHeight="1" outlineLevel="1">
      <c r="C225" s="968">
        <v>35</v>
      </c>
      <c r="D225" s="969"/>
      <c r="E225" s="970"/>
      <c r="F225" s="970"/>
      <c r="G225" s="997"/>
      <c r="H225" s="1288"/>
      <c r="I225" s="1009"/>
      <c r="K225" s="2"/>
      <c r="L225" s="552"/>
      <c r="M225" s="956">
        <f t="shared" si="6"/>
        <v>0</v>
      </c>
      <c r="N225" s="973">
        <f t="shared" si="6"/>
        <v>0</v>
      </c>
      <c r="O225" s="321">
        <f t="shared" si="8"/>
        <v>0</v>
      </c>
      <c r="P225" s="967">
        <f t="shared" si="7"/>
        <v>0</v>
      </c>
      <c r="AD225" s="2"/>
      <c r="AE225" s="2"/>
      <c r="AF225" s="2"/>
      <c r="AG225" s="2"/>
      <c r="AH225" s="2"/>
    </row>
    <row r="226" spans="3:34" ht="30" hidden="1" customHeight="1" outlineLevel="1">
      <c r="C226" s="968">
        <v>36</v>
      </c>
      <c r="D226" s="969"/>
      <c r="E226" s="970"/>
      <c r="F226" s="970"/>
      <c r="G226" s="997"/>
      <c r="H226" s="1288"/>
      <c r="I226" s="1009"/>
      <c r="K226" s="2"/>
      <c r="L226" s="552"/>
      <c r="M226" s="956">
        <f t="shared" si="6"/>
        <v>0</v>
      </c>
      <c r="N226" s="973">
        <f t="shared" si="6"/>
        <v>0</v>
      </c>
      <c r="O226" s="321">
        <f t="shared" si="8"/>
        <v>0</v>
      </c>
      <c r="P226" s="967">
        <f t="shared" si="7"/>
        <v>0</v>
      </c>
      <c r="AD226" s="2"/>
      <c r="AE226" s="2"/>
      <c r="AF226" s="2"/>
      <c r="AG226" s="2"/>
      <c r="AH226" s="2"/>
    </row>
    <row r="227" spans="3:34" ht="30" hidden="1" customHeight="1" outlineLevel="1">
      <c r="C227" s="968">
        <v>37</v>
      </c>
      <c r="D227" s="969"/>
      <c r="E227" s="970"/>
      <c r="F227" s="970"/>
      <c r="G227" s="997"/>
      <c r="H227" s="1288"/>
      <c r="I227" s="1009"/>
      <c r="K227" s="2"/>
      <c r="L227" s="552"/>
      <c r="M227" s="956">
        <f t="shared" si="6"/>
        <v>0</v>
      </c>
      <c r="N227" s="973">
        <f t="shared" si="6"/>
        <v>0</v>
      </c>
      <c r="O227" s="321">
        <f t="shared" si="8"/>
        <v>0</v>
      </c>
      <c r="P227" s="967">
        <f t="shared" si="7"/>
        <v>0</v>
      </c>
      <c r="AD227" s="2"/>
      <c r="AE227" s="2"/>
      <c r="AF227" s="2"/>
      <c r="AG227" s="2"/>
      <c r="AH227" s="2"/>
    </row>
    <row r="228" spans="3:34" ht="30" hidden="1" customHeight="1" outlineLevel="1">
      <c r="C228" s="968">
        <v>38</v>
      </c>
      <c r="D228" s="969"/>
      <c r="E228" s="970"/>
      <c r="F228" s="970"/>
      <c r="G228" s="997"/>
      <c r="H228" s="1288"/>
      <c r="I228" s="1009"/>
      <c r="K228" s="2"/>
      <c r="L228" s="552"/>
      <c r="M228" s="956">
        <f t="shared" si="6"/>
        <v>0</v>
      </c>
      <c r="N228" s="973">
        <f t="shared" si="6"/>
        <v>0</v>
      </c>
      <c r="O228" s="321">
        <f t="shared" si="8"/>
        <v>0</v>
      </c>
      <c r="P228" s="967">
        <f t="shared" si="7"/>
        <v>0</v>
      </c>
      <c r="AD228" s="2"/>
      <c r="AE228" s="2"/>
      <c r="AF228" s="2"/>
      <c r="AG228" s="2"/>
      <c r="AH228" s="2"/>
    </row>
    <row r="229" spans="3:34" ht="30" hidden="1" customHeight="1" outlineLevel="1">
      <c r="C229" s="968">
        <v>39</v>
      </c>
      <c r="D229" s="969"/>
      <c r="E229" s="970"/>
      <c r="F229" s="970"/>
      <c r="G229" s="997"/>
      <c r="H229" s="1288"/>
      <c r="I229" s="1009"/>
      <c r="K229" s="2"/>
      <c r="L229" s="552"/>
      <c r="M229" s="956">
        <f t="shared" si="6"/>
        <v>0</v>
      </c>
      <c r="N229" s="973">
        <f t="shared" si="6"/>
        <v>0</v>
      </c>
      <c r="O229" s="321">
        <f t="shared" si="8"/>
        <v>0</v>
      </c>
      <c r="P229" s="967">
        <f t="shared" si="7"/>
        <v>0</v>
      </c>
      <c r="AD229" s="2"/>
      <c r="AE229" s="2"/>
      <c r="AF229" s="2"/>
      <c r="AG229" s="2"/>
      <c r="AH229" s="2"/>
    </row>
    <row r="230" spans="3:34" ht="30" hidden="1" customHeight="1" outlineLevel="1">
      <c r="C230" s="968">
        <v>40</v>
      </c>
      <c r="D230" s="969"/>
      <c r="E230" s="970"/>
      <c r="F230" s="970"/>
      <c r="G230" s="997"/>
      <c r="H230" s="1288"/>
      <c r="I230" s="1009"/>
      <c r="K230" s="2"/>
      <c r="L230" s="552"/>
      <c r="M230" s="956">
        <f t="shared" si="6"/>
        <v>0</v>
      </c>
      <c r="N230" s="973">
        <f t="shared" si="6"/>
        <v>0</v>
      </c>
      <c r="O230" s="321">
        <f t="shared" si="8"/>
        <v>0</v>
      </c>
      <c r="P230" s="967">
        <f t="shared" si="7"/>
        <v>0</v>
      </c>
      <c r="AD230" s="2"/>
      <c r="AE230" s="2"/>
      <c r="AF230" s="2"/>
      <c r="AG230" s="2"/>
      <c r="AH230" s="2"/>
    </row>
    <row r="231" spans="3:34" ht="30" hidden="1" customHeight="1" outlineLevel="1">
      <c r="C231" s="968">
        <v>41</v>
      </c>
      <c r="D231" s="969"/>
      <c r="E231" s="970"/>
      <c r="F231" s="970"/>
      <c r="G231" s="997"/>
      <c r="H231" s="1288"/>
      <c r="I231" s="1009"/>
      <c r="K231" s="2"/>
      <c r="L231" s="552"/>
      <c r="M231" s="956">
        <f t="shared" si="6"/>
        <v>0</v>
      </c>
      <c r="N231" s="973">
        <f t="shared" si="6"/>
        <v>0</v>
      </c>
      <c r="O231" s="321">
        <f t="shared" si="8"/>
        <v>0</v>
      </c>
      <c r="P231" s="967">
        <f t="shared" si="7"/>
        <v>0</v>
      </c>
      <c r="AD231" s="2"/>
      <c r="AE231" s="2"/>
      <c r="AF231" s="2"/>
      <c r="AG231" s="2"/>
      <c r="AH231" s="2"/>
    </row>
    <row r="232" spans="3:34" ht="30" hidden="1" customHeight="1" outlineLevel="1">
      <c r="C232" s="968">
        <v>42</v>
      </c>
      <c r="D232" s="969"/>
      <c r="E232" s="970"/>
      <c r="F232" s="970"/>
      <c r="G232" s="997"/>
      <c r="H232" s="1288"/>
      <c r="I232" s="1009"/>
      <c r="K232" s="2"/>
      <c r="L232" s="552"/>
      <c r="M232" s="956">
        <f t="shared" si="6"/>
        <v>0</v>
      </c>
      <c r="N232" s="973">
        <f t="shared" si="6"/>
        <v>0</v>
      </c>
      <c r="O232" s="321">
        <f t="shared" si="8"/>
        <v>0</v>
      </c>
      <c r="P232" s="967">
        <f t="shared" si="7"/>
        <v>0</v>
      </c>
      <c r="AD232" s="2"/>
      <c r="AE232" s="2"/>
      <c r="AF232" s="2"/>
      <c r="AG232" s="2"/>
      <c r="AH232" s="2"/>
    </row>
    <row r="233" spans="3:34" ht="30" hidden="1" customHeight="1" outlineLevel="1">
      <c r="C233" s="968">
        <v>43</v>
      </c>
      <c r="D233" s="969"/>
      <c r="E233" s="970"/>
      <c r="F233" s="970"/>
      <c r="G233" s="997"/>
      <c r="H233" s="1288"/>
      <c r="I233" s="1009"/>
      <c r="K233" s="2"/>
      <c r="L233" s="552"/>
      <c r="M233" s="956">
        <f t="shared" si="6"/>
        <v>0</v>
      </c>
      <c r="N233" s="973">
        <f t="shared" si="6"/>
        <v>0</v>
      </c>
      <c r="O233" s="321">
        <f t="shared" si="8"/>
        <v>0</v>
      </c>
      <c r="P233" s="967">
        <f t="shared" si="7"/>
        <v>0</v>
      </c>
      <c r="AD233" s="2"/>
      <c r="AE233" s="2"/>
      <c r="AF233" s="2"/>
      <c r="AG233" s="2"/>
      <c r="AH233" s="2"/>
    </row>
    <row r="234" spans="3:34" ht="30" hidden="1" customHeight="1" outlineLevel="1">
      <c r="C234" s="968">
        <v>44</v>
      </c>
      <c r="D234" s="969"/>
      <c r="E234" s="970"/>
      <c r="F234" s="970"/>
      <c r="G234" s="997"/>
      <c r="H234" s="1288"/>
      <c r="I234" s="1009"/>
      <c r="K234" s="2"/>
      <c r="L234" s="552"/>
      <c r="M234" s="956">
        <f t="shared" si="6"/>
        <v>0</v>
      </c>
      <c r="N234" s="973">
        <f t="shared" si="6"/>
        <v>0</v>
      </c>
      <c r="O234" s="321">
        <f t="shared" si="8"/>
        <v>0</v>
      </c>
      <c r="P234" s="967">
        <f t="shared" si="7"/>
        <v>0</v>
      </c>
      <c r="AD234" s="2"/>
      <c r="AE234" s="2"/>
      <c r="AF234" s="2"/>
      <c r="AG234" s="2"/>
      <c r="AH234" s="2"/>
    </row>
    <row r="235" spans="3:34" ht="30" hidden="1" customHeight="1" outlineLevel="1">
      <c r="C235" s="968">
        <v>45</v>
      </c>
      <c r="D235" s="969"/>
      <c r="E235" s="970"/>
      <c r="F235" s="970"/>
      <c r="G235" s="997"/>
      <c r="H235" s="1288"/>
      <c r="I235" s="1009"/>
      <c r="K235" s="2"/>
      <c r="L235" s="552"/>
      <c r="M235" s="956">
        <f t="shared" si="6"/>
        <v>0</v>
      </c>
      <c r="N235" s="973">
        <f t="shared" si="6"/>
        <v>0</v>
      </c>
      <c r="O235" s="321">
        <f t="shared" si="8"/>
        <v>0</v>
      </c>
      <c r="P235" s="967">
        <f t="shared" si="7"/>
        <v>0</v>
      </c>
      <c r="AD235" s="2"/>
      <c r="AE235" s="2"/>
      <c r="AF235" s="2"/>
      <c r="AG235" s="2"/>
      <c r="AH235" s="2"/>
    </row>
    <row r="236" spans="3:34" ht="30" hidden="1" customHeight="1" outlineLevel="1">
      <c r="C236" s="968">
        <v>46</v>
      </c>
      <c r="D236" s="969"/>
      <c r="E236" s="970"/>
      <c r="F236" s="970"/>
      <c r="G236" s="997"/>
      <c r="H236" s="1288"/>
      <c r="I236" s="1009"/>
      <c r="K236" s="2"/>
      <c r="L236" s="552"/>
      <c r="M236" s="956">
        <f t="shared" si="6"/>
        <v>0</v>
      </c>
      <c r="N236" s="973">
        <f t="shared" si="6"/>
        <v>0</v>
      </c>
      <c r="O236" s="321">
        <f t="shared" si="8"/>
        <v>0</v>
      </c>
      <c r="P236" s="967">
        <f t="shared" si="7"/>
        <v>0</v>
      </c>
      <c r="AD236" s="2"/>
      <c r="AE236" s="2"/>
      <c r="AF236" s="2"/>
      <c r="AG236" s="2"/>
      <c r="AH236" s="2"/>
    </row>
    <row r="237" spans="3:34" ht="30" hidden="1" customHeight="1" outlineLevel="1">
      <c r="C237" s="968">
        <v>47</v>
      </c>
      <c r="D237" s="969"/>
      <c r="E237" s="970"/>
      <c r="F237" s="970"/>
      <c r="G237" s="997"/>
      <c r="H237" s="1288"/>
      <c r="I237" s="1009"/>
      <c r="K237" s="2"/>
      <c r="L237" s="552"/>
      <c r="M237" s="956">
        <f t="shared" si="6"/>
        <v>0</v>
      </c>
      <c r="N237" s="973">
        <f t="shared" si="6"/>
        <v>0</v>
      </c>
      <c r="O237" s="321">
        <f t="shared" si="8"/>
        <v>0</v>
      </c>
      <c r="P237" s="967">
        <f t="shared" si="7"/>
        <v>0</v>
      </c>
      <c r="AD237" s="2"/>
      <c r="AE237" s="2"/>
      <c r="AF237" s="2"/>
      <c r="AG237" s="2"/>
      <c r="AH237" s="2"/>
    </row>
    <row r="238" spans="3:34" ht="30" hidden="1" customHeight="1" outlineLevel="1">
      <c r="C238" s="968">
        <v>48</v>
      </c>
      <c r="D238" s="969"/>
      <c r="E238" s="970"/>
      <c r="F238" s="970"/>
      <c r="G238" s="997"/>
      <c r="H238" s="1288"/>
      <c r="I238" s="1009"/>
      <c r="K238" s="2"/>
      <c r="L238" s="552"/>
      <c r="M238" s="956">
        <f t="shared" si="6"/>
        <v>0</v>
      </c>
      <c r="N238" s="973">
        <f t="shared" si="6"/>
        <v>0</v>
      </c>
      <c r="O238" s="321">
        <f t="shared" si="8"/>
        <v>0</v>
      </c>
      <c r="P238" s="967">
        <f t="shared" si="7"/>
        <v>0</v>
      </c>
      <c r="AD238" s="2"/>
      <c r="AE238" s="2"/>
      <c r="AF238" s="2"/>
      <c r="AG238" s="2"/>
      <c r="AH238" s="2"/>
    </row>
    <row r="239" spans="3:34" ht="30" hidden="1" customHeight="1" outlineLevel="1">
      <c r="C239" s="968">
        <v>49</v>
      </c>
      <c r="D239" s="969"/>
      <c r="E239" s="970"/>
      <c r="F239" s="970"/>
      <c r="G239" s="997"/>
      <c r="H239" s="1288"/>
      <c r="I239" s="1009"/>
      <c r="K239" s="2"/>
      <c r="L239" s="552"/>
      <c r="M239" s="956">
        <f t="shared" si="6"/>
        <v>0</v>
      </c>
      <c r="N239" s="973">
        <f t="shared" si="6"/>
        <v>0</v>
      </c>
      <c r="O239" s="321">
        <f t="shared" si="8"/>
        <v>0</v>
      </c>
      <c r="P239" s="967">
        <f t="shared" si="7"/>
        <v>0</v>
      </c>
      <c r="AD239" s="2"/>
      <c r="AE239" s="2"/>
      <c r="AF239" s="2"/>
      <c r="AG239" s="2"/>
      <c r="AH239" s="2"/>
    </row>
    <row r="240" spans="3:34" ht="30" hidden="1" customHeight="1" outlineLevel="1" thickBot="1">
      <c r="C240" s="976">
        <v>50</v>
      </c>
      <c r="D240" s="977"/>
      <c r="E240" s="978"/>
      <c r="F240" s="978"/>
      <c r="G240" s="1002"/>
      <c r="H240" s="1290"/>
      <c r="I240" s="1009"/>
      <c r="K240" s="2"/>
      <c r="L240" s="552"/>
      <c r="M240" s="956">
        <f t="shared" si="6"/>
        <v>0</v>
      </c>
      <c r="N240" s="973">
        <f t="shared" si="6"/>
        <v>0</v>
      </c>
      <c r="O240" s="321">
        <f t="shared" si="8"/>
        <v>0</v>
      </c>
      <c r="P240" s="967">
        <f t="shared" si="7"/>
        <v>0</v>
      </c>
      <c r="AD240" s="2"/>
      <c r="AE240" s="2"/>
      <c r="AF240" s="2"/>
      <c r="AG240" s="2"/>
      <c r="AH240" s="2"/>
    </row>
    <row r="241" spans="2:34" ht="14.25" customHeight="1" thickTop="1">
      <c r="B241" s="984"/>
      <c r="C241" s="1010"/>
      <c r="D241" s="992"/>
      <c r="E241" s="992"/>
      <c r="F241" s="992"/>
      <c r="G241" s="992"/>
      <c r="H241" s="992"/>
      <c r="I241" s="128"/>
      <c r="J241" s="948"/>
      <c r="K241" s="387"/>
      <c r="L241" s="387"/>
      <c r="M241" s="984"/>
      <c r="N241" s="984"/>
      <c r="O241" s="984"/>
      <c r="P241" s="984"/>
      <c r="Q241" s="144"/>
      <c r="AD241" s="2"/>
      <c r="AE241" s="2"/>
      <c r="AF241" s="2"/>
      <c r="AG241" s="2"/>
      <c r="AH241" s="2"/>
    </row>
    <row r="242" spans="2:34" ht="14.25" customHeight="1">
      <c r="AD242" s="2"/>
      <c r="AE242" s="2"/>
      <c r="AF242" s="2"/>
      <c r="AG242" s="2"/>
      <c r="AH242" s="2"/>
    </row>
    <row r="243" spans="2:34" ht="14.25" customHeight="1">
      <c r="AD243" s="2"/>
      <c r="AE243" s="2"/>
      <c r="AF243" s="2"/>
      <c r="AG243" s="2"/>
      <c r="AH243" s="2"/>
    </row>
    <row r="244" spans="2:34" ht="14.25" customHeight="1">
      <c r="AD244" s="2"/>
      <c r="AE244" s="2"/>
      <c r="AF244" s="2"/>
      <c r="AG244" s="2"/>
      <c r="AH244" s="2"/>
    </row>
    <row r="245" spans="2:34" ht="14.25" customHeight="1">
      <c r="AD245" s="2"/>
      <c r="AE245" s="2"/>
      <c r="AF245" s="2"/>
      <c r="AG245" s="2"/>
      <c r="AH245" s="2"/>
    </row>
    <row r="246" spans="2:34" ht="14.25" customHeight="1">
      <c r="AD246" s="2"/>
      <c r="AE246" s="2"/>
      <c r="AF246" s="2"/>
      <c r="AG246" s="2"/>
      <c r="AH246" s="2"/>
    </row>
    <row r="247" spans="2:34" ht="14.25" customHeight="1">
      <c r="AD247" s="2"/>
      <c r="AE247" s="2"/>
      <c r="AF247" s="2"/>
      <c r="AG247" s="2"/>
      <c r="AH247" s="2"/>
    </row>
    <row r="248" spans="2:34" ht="14.25" customHeight="1">
      <c r="AD248" s="2"/>
      <c r="AE248" s="2"/>
      <c r="AF248" s="2"/>
      <c r="AG248" s="2"/>
      <c r="AH248" s="2"/>
    </row>
    <row r="249" spans="2:34" ht="14.25" customHeight="1">
      <c r="AD249" s="2"/>
      <c r="AE249" s="2"/>
      <c r="AF249" s="2"/>
      <c r="AG249" s="2"/>
      <c r="AH249" s="2"/>
    </row>
    <row r="250" spans="2:34" ht="14.25" customHeight="1">
      <c r="AD250" s="2"/>
      <c r="AE250" s="2"/>
      <c r="AF250" s="2"/>
      <c r="AG250" s="2"/>
      <c r="AH250" s="2"/>
    </row>
    <row r="251" spans="2:34" ht="14.25" customHeight="1">
      <c r="AD251" s="2"/>
      <c r="AE251" s="2"/>
      <c r="AF251" s="2"/>
      <c r="AG251" s="2"/>
      <c r="AH251" s="2"/>
    </row>
    <row r="252" spans="2:34" ht="14.25" customHeight="1">
      <c r="AD252" s="2"/>
      <c r="AE252" s="2"/>
      <c r="AF252" s="2"/>
      <c r="AG252" s="2"/>
      <c r="AH252" s="2"/>
    </row>
    <row r="253" spans="2:34" ht="14.25" customHeight="1">
      <c r="AD253" s="2"/>
      <c r="AE253" s="2"/>
      <c r="AF253" s="2"/>
      <c r="AG253" s="2"/>
      <c r="AH253" s="2"/>
    </row>
    <row r="254" spans="2:34" ht="14.25" customHeight="1">
      <c r="AD254" s="2"/>
      <c r="AE254" s="2"/>
      <c r="AF254" s="2"/>
      <c r="AG254" s="2"/>
      <c r="AH254" s="2"/>
    </row>
    <row r="255" spans="2:34" ht="14.25" customHeight="1">
      <c r="AD255" s="2"/>
      <c r="AE255" s="2"/>
      <c r="AF255" s="2"/>
      <c r="AG255" s="2"/>
      <c r="AH255" s="2"/>
    </row>
    <row r="256" spans="2:34" ht="14.25" customHeight="1">
      <c r="AD256" s="2"/>
      <c r="AE256" s="2"/>
      <c r="AF256" s="2"/>
      <c r="AG256" s="2"/>
      <c r="AH256" s="2"/>
    </row>
    <row r="257" spans="30:34" ht="14.25" customHeight="1">
      <c r="AD257" s="2"/>
      <c r="AE257" s="2"/>
      <c r="AF257" s="2"/>
      <c r="AG257" s="2"/>
      <c r="AH257" s="2"/>
    </row>
    <row r="258" spans="30:34" ht="14.25" customHeight="1">
      <c r="AD258" s="2"/>
      <c r="AE258" s="2"/>
      <c r="AF258" s="2"/>
      <c r="AG258" s="2"/>
      <c r="AH258" s="2"/>
    </row>
    <row r="259" spans="30:34" ht="14.25" customHeight="1">
      <c r="AD259" s="2"/>
      <c r="AE259" s="2"/>
      <c r="AF259" s="2"/>
      <c r="AG259" s="2"/>
      <c r="AH259" s="2"/>
    </row>
    <row r="260" spans="30:34" ht="14.25" customHeight="1">
      <c r="AD260" s="2"/>
      <c r="AE260" s="2"/>
      <c r="AF260" s="2"/>
      <c r="AG260" s="2"/>
      <c r="AH260" s="2"/>
    </row>
    <row r="261" spans="30:34" ht="14.25" customHeight="1">
      <c r="AD261" s="2"/>
      <c r="AE261" s="2"/>
      <c r="AF261" s="2"/>
      <c r="AG261" s="2"/>
      <c r="AH261" s="2"/>
    </row>
    <row r="262" spans="30:34" ht="14.25" customHeight="1">
      <c r="AD262" s="2"/>
      <c r="AE262" s="2"/>
      <c r="AF262" s="2"/>
      <c r="AG262" s="2"/>
      <c r="AH262" s="2"/>
    </row>
    <row r="263" spans="30:34" ht="14.25" customHeight="1">
      <c r="AD263" s="2"/>
      <c r="AE263" s="2"/>
      <c r="AF263" s="2"/>
      <c r="AG263" s="2"/>
      <c r="AH263" s="2"/>
    </row>
    <row r="264" spans="30:34" ht="14.25" customHeight="1">
      <c r="AD264" s="2"/>
      <c r="AE264" s="2"/>
      <c r="AF264" s="2"/>
      <c r="AG264" s="2"/>
      <c r="AH264" s="2"/>
    </row>
    <row r="265" spans="30:34" ht="14.25" customHeight="1">
      <c r="AD265" s="2"/>
      <c r="AE265" s="2"/>
      <c r="AF265" s="2"/>
      <c r="AG265" s="2"/>
      <c r="AH265" s="2"/>
    </row>
    <row r="266" spans="30:34" ht="14.25" customHeight="1">
      <c r="AD266" s="2"/>
      <c r="AE266" s="2"/>
      <c r="AF266" s="2"/>
      <c r="AG266" s="2"/>
      <c r="AH266" s="2"/>
    </row>
    <row r="267" spans="30:34" ht="14.25" customHeight="1">
      <c r="AD267" s="2"/>
      <c r="AE267" s="2"/>
      <c r="AF267" s="2"/>
      <c r="AG267" s="2"/>
      <c r="AH267" s="2"/>
    </row>
    <row r="268" spans="30:34" ht="14.25" customHeight="1">
      <c r="AD268" s="2"/>
      <c r="AE268" s="2"/>
      <c r="AF268" s="2"/>
      <c r="AG268" s="2"/>
      <c r="AH268" s="2"/>
    </row>
    <row r="269" spans="30:34" ht="14.25" customHeight="1">
      <c r="AD269" s="2"/>
      <c r="AE269" s="2"/>
      <c r="AF269" s="2"/>
      <c r="AG269" s="2"/>
      <c r="AH269" s="2"/>
    </row>
    <row r="270" spans="30:34" ht="14.25" customHeight="1">
      <c r="AD270" s="2"/>
      <c r="AE270" s="2"/>
      <c r="AF270" s="2"/>
      <c r="AG270" s="2"/>
      <c r="AH270" s="2"/>
    </row>
    <row r="271" spans="30:34" ht="14.25" customHeight="1">
      <c r="AD271" s="2"/>
      <c r="AE271" s="2"/>
      <c r="AF271" s="2"/>
      <c r="AG271" s="2"/>
      <c r="AH271" s="2"/>
    </row>
    <row r="272" spans="30:34" ht="14.25" customHeight="1">
      <c r="AD272" s="2"/>
      <c r="AE272" s="2"/>
      <c r="AF272" s="2"/>
      <c r="AG272" s="2"/>
      <c r="AH272" s="2"/>
    </row>
    <row r="273" spans="30:34" ht="14.25" customHeight="1">
      <c r="AD273" s="2"/>
      <c r="AE273" s="2"/>
      <c r="AF273" s="2"/>
      <c r="AG273" s="2"/>
      <c r="AH273" s="2"/>
    </row>
    <row r="274" spans="30:34" ht="14.25" customHeight="1">
      <c r="AD274" s="2"/>
      <c r="AE274" s="2"/>
      <c r="AF274" s="2"/>
      <c r="AG274" s="2"/>
      <c r="AH274" s="2"/>
    </row>
    <row r="275" spans="30:34" ht="14.25" customHeight="1">
      <c r="AD275" s="2"/>
      <c r="AE275" s="2"/>
      <c r="AF275" s="2"/>
      <c r="AG275" s="2"/>
      <c r="AH275" s="2"/>
    </row>
    <row r="276" spans="30:34" ht="14.25" customHeight="1">
      <c r="AD276" s="2"/>
      <c r="AE276" s="2"/>
      <c r="AF276" s="2"/>
      <c r="AG276" s="2"/>
      <c r="AH276" s="2"/>
    </row>
    <row r="277" spans="30:34" ht="14.25" customHeight="1">
      <c r="AD277" s="2"/>
      <c r="AE277" s="2"/>
      <c r="AF277" s="2"/>
      <c r="AG277" s="2"/>
      <c r="AH277" s="2"/>
    </row>
    <row r="278" spans="30:34" ht="14.25" customHeight="1">
      <c r="AD278" s="2"/>
      <c r="AE278" s="2"/>
      <c r="AF278" s="2"/>
      <c r="AG278" s="2"/>
      <c r="AH278" s="2"/>
    </row>
    <row r="279" spans="30:34" ht="14.25" customHeight="1">
      <c r="AD279" s="2"/>
      <c r="AE279" s="2"/>
      <c r="AF279" s="2"/>
      <c r="AG279" s="2"/>
      <c r="AH279" s="2"/>
    </row>
    <row r="280" spans="30:34" ht="14.25" customHeight="1">
      <c r="AD280" s="2"/>
      <c r="AE280" s="2"/>
      <c r="AF280" s="2"/>
      <c r="AG280" s="2"/>
      <c r="AH280" s="2"/>
    </row>
    <row r="281" spans="30:34" ht="14.25" customHeight="1">
      <c r="AD281" s="2"/>
      <c r="AE281" s="2"/>
      <c r="AF281" s="2"/>
      <c r="AG281" s="2"/>
      <c r="AH281" s="2"/>
    </row>
    <row r="282" spans="30:34" ht="14.25" customHeight="1">
      <c r="AD282" s="2"/>
      <c r="AE282" s="2"/>
      <c r="AF282" s="2"/>
      <c r="AG282" s="2"/>
      <c r="AH282" s="2"/>
    </row>
    <row r="283" spans="30:34" ht="14.25" customHeight="1">
      <c r="AD283" s="2"/>
      <c r="AE283" s="2"/>
      <c r="AF283" s="2"/>
      <c r="AG283" s="2"/>
      <c r="AH283" s="2"/>
    </row>
    <row r="284" spans="30:34" ht="14.25" customHeight="1">
      <c r="AD284" s="2"/>
      <c r="AE284" s="2"/>
      <c r="AF284" s="2"/>
      <c r="AG284" s="2"/>
      <c r="AH284" s="2"/>
    </row>
    <row r="285" spans="30:34" ht="14.25" customHeight="1">
      <c r="AD285" s="2"/>
      <c r="AE285" s="2"/>
      <c r="AF285" s="2"/>
      <c r="AG285" s="2"/>
      <c r="AH285" s="2"/>
    </row>
    <row r="286" spans="30:34" ht="14.25" customHeight="1">
      <c r="AD286" s="2"/>
      <c r="AE286" s="2"/>
      <c r="AF286" s="2"/>
      <c r="AG286" s="2"/>
      <c r="AH286" s="2"/>
    </row>
    <row r="287" spans="30:34" ht="14.25" customHeight="1">
      <c r="AD287" s="2"/>
      <c r="AE287" s="2"/>
      <c r="AF287" s="2"/>
      <c r="AG287" s="2"/>
      <c r="AH287" s="2"/>
    </row>
    <row r="288" spans="30:34" ht="14.25" customHeight="1">
      <c r="AD288" s="2"/>
      <c r="AE288" s="2"/>
      <c r="AF288" s="2"/>
      <c r="AG288" s="2"/>
      <c r="AH288" s="2"/>
    </row>
    <row r="289" spans="30:34" ht="14.25" customHeight="1">
      <c r="AD289" s="2"/>
      <c r="AE289" s="2"/>
      <c r="AF289" s="2"/>
      <c r="AG289" s="2"/>
      <c r="AH289" s="2"/>
    </row>
    <row r="290" spans="30:34" ht="14.25" customHeight="1">
      <c r="AD290" s="2"/>
      <c r="AE290" s="2"/>
      <c r="AF290" s="2"/>
      <c r="AG290" s="2"/>
      <c r="AH290" s="2"/>
    </row>
    <row r="291" spans="30:34" ht="14.25" customHeight="1">
      <c r="AD291" s="2"/>
      <c r="AE291" s="2"/>
      <c r="AF291" s="2"/>
      <c r="AG291" s="2"/>
      <c r="AH291" s="2"/>
    </row>
    <row r="292" spans="30:34" ht="14.25" customHeight="1">
      <c r="AD292" s="2"/>
      <c r="AE292" s="2"/>
      <c r="AF292" s="2"/>
      <c r="AG292" s="2"/>
      <c r="AH292" s="2"/>
    </row>
    <row r="293" spans="30:34" ht="14.25" customHeight="1">
      <c r="AD293" s="2"/>
      <c r="AE293" s="2"/>
      <c r="AF293" s="2"/>
      <c r="AG293" s="2"/>
      <c r="AH293" s="2"/>
    </row>
    <row r="294" spans="30:34" ht="14.25" customHeight="1">
      <c r="AD294" s="2"/>
      <c r="AE294" s="2"/>
      <c r="AF294" s="2"/>
      <c r="AG294" s="2"/>
      <c r="AH294" s="2"/>
    </row>
    <row r="295" spans="30:34" ht="14.25" customHeight="1">
      <c r="AD295" s="2"/>
      <c r="AE295" s="2"/>
      <c r="AF295" s="2"/>
      <c r="AG295" s="2"/>
      <c r="AH295" s="2"/>
    </row>
    <row r="296" spans="30:34" ht="14.25" customHeight="1">
      <c r="AD296" s="2"/>
      <c r="AE296" s="2"/>
      <c r="AF296" s="2"/>
      <c r="AG296" s="2"/>
      <c r="AH296" s="2"/>
    </row>
    <row r="297" spans="30:34" ht="14.25" customHeight="1">
      <c r="AD297" s="2"/>
      <c r="AE297" s="2"/>
      <c r="AF297" s="2"/>
      <c r="AG297" s="2"/>
      <c r="AH297" s="2"/>
    </row>
    <row r="298" spans="30:34" ht="14.25" customHeight="1">
      <c r="AD298" s="2"/>
      <c r="AE298" s="2"/>
      <c r="AF298" s="2"/>
      <c r="AG298" s="2"/>
      <c r="AH298" s="2"/>
    </row>
    <row r="299" spans="30:34" ht="14.25" customHeight="1">
      <c r="AD299" s="2"/>
      <c r="AE299" s="2"/>
      <c r="AF299" s="2"/>
      <c r="AG299" s="2"/>
      <c r="AH299" s="2"/>
    </row>
    <row r="300" spans="30:34" ht="14.25" customHeight="1">
      <c r="AD300" s="2"/>
      <c r="AE300" s="2"/>
      <c r="AF300" s="2"/>
      <c r="AG300" s="2"/>
      <c r="AH300" s="2"/>
    </row>
    <row r="301" spans="30:34" ht="14.25" customHeight="1">
      <c r="AD301" s="2"/>
      <c r="AE301" s="2"/>
      <c r="AF301" s="2"/>
      <c r="AG301" s="2"/>
      <c r="AH301" s="2"/>
    </row>
    <row r="302" spans="30:34" ht="14.25" customHeight="1">
      <c r="AD302" s="2"/>
      <c r="AE302" s="2"/>
      <c r="AF302" s="2"/>
      <c r="AG302" s="2"/>
      <c r="AH302" s="2"/>
    </row>
    <row r="303" spans="30:34" ht="14.25" customHeight="1">
      <c r="AD303" s="2"/>
      <c r="AE303" s="2"/>
      <c r="AF303" s="2"/>
      <c r="AG303" s="2"/>
      <c r="AH303" s="2"/>
    </row>
    <row r="304" spans="30:34" ht="14.25" customHeight="1">
      <c r="AD304" s="2"/>
      <c r="AE304" s="2"/>
      <c r="AF304" s="2"/>
      <c r="AG304" s="2"/>
      <c r="AH304" s="2"/>
    </row>
    <row r="305" spans="30:34" ht="14.25" customHeight="1">
      <c r="AD305" s="2"/>
      <c r="AE305" s="2"/>
      <c r="AF305" s="2"/>
      <c r="AG305" s="2"/>
      <c r="AH305" s="2"/>
    </row>
    <row r="306" spans="30:34" ht="14.25" customHeight="1">
      <c r="AD306" s="2"/>
      <c r="AE306" s="2"/>
      <c r="AF306" s="2"/>
      <c r="AG306" s="2"/>
      <c r="AH306" s="2"/>
    </row>
    <row r="307" spans="30:34" ht="14.25" customHeight="1">
      <c r="AD307" s="2"/>
      <c r="AE307" s="2"/>
      <c r="AF307" s="2"/>
      <c r="AG307" s="2"/>
      <c r="AH307" s="2"/>
    </row>
    <row r="308" spans="30:34" ht="14.25" customHeight="1">
      <c r="AD308" s="2"/>
      <c r="AE308" s="2"/>
      <c r="AF308" s="2"/>
      <c r="AG308" s="2"/>
      <c r="AH308" s="2"/>
    </row>
    <row r="309" spans="30:34" ht="14.25" customHeight="1">
      <c r="AD309" s="2"/>
      <c r="AE309" s="2"/>
      <c r="AF309" s="2"/>
      <c r="AG309" s="2"/>
      <c r="AH309" s="2"/>
    </row>
    <row r="310" spans="30:34" ht="14.25" customHeight="1">
      <c r="AD310" s="2"/>
      <c r="AE310" s="2"/>
      <c r="AF310" s="2"/>
      <c r="AG310" s="2"/>
      <c r="AH310" s="2"/>
    </row>
    <row r="311" spans="30:34" ht="14.25" customHeight="1">
      <c r="AD311" s="2"/>
      <c r="AE311" s="2"/>
      <c r="AF311" s="2"/>
      <c r="AG311" s="2"/>
      <c r="AH311" s="2"/>
    </row>
    <row r="312" spans="30:34" ht="14.25" customHeight="1">
      <c r="AD312" s="2"/>
      <c r="AE312" s="2"/>
      <c r="AF312" s="2"/>
      <c r="AG312" s="2"/>
      <c r="AH312" s="2"/>
    </row>
    <row r="313" spans="30:34" ht="14.25" customHeight="1">
      <c r="AD313" s="2"/>
      <c r="AE313" s="2"/>
      <c r="AF313" s="2"/>
      <c r="AG313" s="2"/>
      <c r="AH313" s="2"/>
    </row>
    <row r="314" spans="30:34" ht="14.25" customHeight="1">
      <c r="AD314" s="2"/>
      <c r="AE314" s="2"/>
      <c r="AF314" s="2"/>
      <c r="AG314" s="2"/>
      <c r="AH314" s="2"/>
    </row>
    <row r="315" spans="30:34" ht="14.25" customHeight="1">
      <c r="AD315" s="2"/>
      <c r="AE315" s="2"/>
      <c r="AF315" s="2"/>
      <c r="AG315" s="2"/>
      <c r="AH315" s="2"/>
    </row>
    <row r="316" spans="30:34" ht="14.25" customHeight="1">
      <c r="AD316" s="2"/>
      <c r="AE316" s="2"/>
      <c r="AF316" s="2"/>
      <c r="AG316" s="2"/>
      <c r="AH316" s="2"/>
    </row>
    <row r="317" spans="30:34" ht="14.25" customHeight="1">
      <c r="AD317" s="2"/>
      <c r="AE317" s="2"/>
      <c r="AF317" s="2"/>
      <c r="AG317" s="2"/>
      <c r="AH317" s="2"/>
    </row>
    <row r="318" spans="30:34" ht="14.25" customHeight="1">
      <c r="AD318" s="2"/>
      <c r="AE318" s="2"/>
      <c r="AF318" s="2"/>
      <c r="AG318" s="2"/>
      <c r="AH318" s="2"/>
    </row>
    <row r="319" spans="30:34" ht="14.25" customHeight="1">
      <c r="AD319" s="2"/>
      <c r="AE319" s="2"/>
      <c r="AF319" s="2"/>
      <c r="AG319" s="2"/>
      <c r="AH319" s="2"/>
    </row>
    <row r="320" spans="30:34" ht="14.25" customHeight="1">
      <c r="AD320" s="2"/>
      <c r="AE320" s="2"/>
      <c r="AF320" s="2"/>
      <c r="AG320" s="2"/>
      <c r="AH320" s="2"/>
    </row>
    <row r="321" spans="30:34" ht="14.25" customHeight="1">
      <c r="AD321" s="2"/>
      <c r="AE321" s="2"/>
      <c r="AF321" s="2"/>
      <c r="AG321" s="2"/>
      <c r="AH321" s="2"/>
    </row>
    <row r="322" spans="30:34" ht="14.25" customHeight="1">
      <c r="AD322" s="2"/>
      <c r="AE322" s="2"/>
      <c r="AF322" s="2"/>
      <c r="AG322" s="2"/>
      <c r="AH322" s="2"/>
    </row>
    <row r="323" spans="30:34" ht="14.25" customHeight="1">
      <c r="AD323" s="2"/>
      <c r="AE323" s="2"/>
      <c r="AF323" s="2"/>
      <c r="AG323" s="2"/>
      <c r="AH323" s="2"/>
    </row>
    <row r="324" spans="30:34" ht="14.25" customHeight="1">
      <c r="AD324" s="2"/>
      <c r="AE324" s="2"/>
      <c r="AF324" s="2"/>
      <c r="AG324" s="2"/>
      <c r="AH324" s="2"/>
    </row>
    <row r="325" spans="30:34" ht="14.25" customHeight="1">
      <c r="AD325" s="2"/>
      <c r="AE325" s="2"/>
      <c r="AF325" s="2"/>
      <c r="AG325" s="2"/>
      <c r="AH325" s="2"/>
    </row>
    <row r="326" spans="30:34" ht="14.25" customHeight="1">
      <c r="AD326" s="2"/>
      <c r="AE326" s="2"/>
      <c r="AF326" s="2"/>
      <c r="AG326" s="2"/>
      <c r="AH326" s="2"/>
    </row>
    <row r="327" spans="30:34" ht="14.25" customHeight="1">
      <c r="AD327" s="2"/>
      <c r="AE327" s="2"/>
      <c r="AF327" s="2"/>
      <c r="AG327" s="2"/>
      <c r="AH327" s="2"/>
    </row>
    <row r="328" spans="30:34" ht="14.25" customHeight="1">
      <c r="AD328" s="2"/>
      <c r="AE328" s="2"/>
      <c r="AF328" s="2"/>
      <c r="AG328" s="2"/>
      <c r="AH328" s="2"/>
    </row>
    <row r="329" spans="30:34" ht="14.25" customHeight="1">
      <c r="AD329" s="2"/>
      <c r="AE329" s="2"/>
      <c r="AF329" s="2"/>
      <c r="AG329" s="2"/>
      <c r="AH329" s="2"/>
    </row>
    <row r="330" spans="30:34" ht="14.25" customHeight="1">
      <c r="AD330" s="2"/>
      <c r="AE330" s="2"/>
      <c r="AF330" s="2"/>
      <c r="AG330" s="2"/>
      <c r="AH330" s="2"/>
    </row>
    <row r="331" spans="30:34" ht="14.25" customHeight="1">
      <c r="AD331" s="2"/>
      <c r="AE331" s="2"/>
      <c r="AF331" s="2"/>
      <c r="AG331" s="2"/>
      <c r="AH331" s="2"/>
    </row>
    <row r="332" spans="30:34" ht="14.25" customHeight="1">
      <c r="AD332" s="2"/>
      <c r="AE332" s="2"/>
      <c r="AF332" s="2"/>
      <c r="AG332" s="2"/>
      <c r="AH332" s="2"/>
    </row>
    <row r="333" spans="30:34" ht="14.25" customHeight="1">
      <c r="AD333" s="2"/>
      <c r="AE333" s="2"/>
      <c r="AF333" s="2"/>
      <c r="AG333" s="2"/>
      <c r="AH333" s="2"/>
    </row>
    <row r="334" spans="30:34" ht="14.25" customHeight="1">
      <c r="AD334" s="2"/>
      <c r="AE334" s="2"/>
      <c r="AF334" s="2"/>
      <c r="AG334" s="2"/>
      <c r="AH334" s="2"/>
    </row>
    <row r="335" spans="30:34" ht="14.25" customHeight="1">
      <c r="AD335" s="2"/>
      <c r="AE335" s="2"/>
      <c r="AF335" s="2"/>
      <c r="AG335" s="2"/>
      <c r="AH335" s="2"/>
    </row>
    <row r="336" spans="30:34" ht="14.25" customHeight="1">
      <c r="AD336" s="2"/>
      <c r="AE336" s="2"/>
      <c r="AF336" s="2"/>
      <c r="AG336" s="2"/>
      <c r="AH336" s="2"/>
    </row>
    <row r="337" spans="30:34" ht="14.25" customHeight="1">
      <c r="AD337" s="2"/>
      <c r="AE337" s="2"/>
      <c r="AF337" s="2"/>
      <c r="AG337" s="2"/>
      <c r="AH337" s="2"/>
    </row>
    <row r="338" spans="30:34" ht="14.25" customHeight="1">
      <c r="AD338" s="2"/>
      <c r="AE338" s="2"/>
      <c r="AF338" s="2"/>
      <c r="AG338" s="2"/>
      <c r="AH338" s="2"/>
    </row>
    <row r="339" spans="30:34" ht="14.25" customHeight="1">
      <c r="AD339" s="2"/>
      <c r="AE339" s="2"/>
      <c r="AF339" s="2"/>
      <c r="AG339" s="2"/>
      <c r="AH339" s="2"/>
    </row>
    <row r="340" spans="30:34" ht="14.25" customHeight="1">
      <c r="AD340" s="2"/>
      <c r="AE340" s="2"/>
      <c r="AF340" s="2"/>
      <c r="AG340" s="2"/>
      <c r="AH340" s="2"/>
    </row>
    <row r="341" spans="30:34" ht="14.25" customHeight="1">
      <c r="AD341" s="2"/>
      <c r="AE341" s="2"/>
      <c r="AF341" s="2"/>
      <c r="AG341" s="2"/>
      <c r="AH341" s="2"/>
    </row>
    <row r="342" spans="30:34" ht="14.25" customHeight="1">
      <c r="AD342" s="2"/>
      <c r="AE342" s="2"/>
      <c r="AF342" s="2"/>
      <c r="AG342" s="2"/>
      <c r="AH342" s="2"/>
    </row>
    <row r="343" spans="30:34" ht="14.25" customHeight="1">
      <c r="AD343" s="2"/>
      <c r="AE343" s="2"/>
      <c r="AF343" s="2"/>
      <c r="AG343" s="2"/>
      <c r="AH343" s="2"/>
    </row>
    <row r="344" spans="30:34" ht="14.25" customHeight="1">
      <c r="AD344" s="2"/>
      <c r="AE344" s="2"/>
      <c r="AF344" s="2"/>
      <c r="AG344" s="2"/>
      <c r="AH344" s="2"/>
    </row>
    <row r="345" spans="30:34" ht="14.25" customHeight="1">
      <c r="AD345" s="2"/>
      <c r="AE345" s="2"/>
      <c r="AF345" s="2"/>
      <c r="AG345" s="2"/>
      <c r="AH345" s="2"/>
    </row>
    <row r="346" spans="30:34" ht="14.25" customHeight="1">
      <c r="AD346" s="2"/>
      <c r="AE346" s="2"/>
      <c r="AF346" s="2"/>
      <c r="AG346" s="2"/>
      <c r="AH346" s="2"/>
    </row>
    <row r="347" spans="30:34" ht="14.25" customHeight="1">
      <c r="AD347" s="2"/>
      <c r="AE347" s="2"/>
      <c r="AF347" s="2"/>
      <c r="AG347" s="2"/>
      <c r="AH347" s="2"/>
    </row>
    <row r="348" spans="30:34" ht="14.25" customHeight="1">
      <c r="AD348" s="2"/>
      <c r="AE348" s="2"/>
      <c r="AF348" s="2"/>
      <c r="AG348" s="2"/>
      <c r="AH348" s="2"/>
    </row>
    <row r="349" spans="30:34" ht="14.25" customHeight="1">
      <c r="AD349" s="2"/>
      <c r="AE349" s="2"/>
      <c r="AF349" s="2"/>
      <c r="AG349" s="2"/>
      <c r="AH349" s="2"/>
    </row>
    <row r="350" spans="30:34" ht="14.25" customHeight="1">
      <c r="AD350" s="2"/>
      <c r="AE350" s="2"/>
      <c r="AF350" s="2"/>
      <c r="AG350" s="2"/>
      <c r="AH350" s="2"/>
    </row>
    <row r="351" spans="30:34" ht="14.25" customHeight="1">
      <c r="AD351" s="2"/>
      <c r="AE351" s="2"/>
      <c r="AF351" s="2"/>
      <c r="AG351" s="2"/>
      <c r="AH351" s="2"/>
    </row>
    <row r="352" spans="30:34" ht="14.25" customHeight="1">
      <c r="AD352" s="2"/>
      <c r="AE352" s="2"/>
      <c r="AF352" s="2"/>
      <c r="AG352" s="2"/>
      <c r="AH352" s="2"/>
    </row>
    <row r="353" spans="30:34" ht="14.25" customHeight="1">
      <c r="AD353" s="2"/>
      <c r="AE353" s="2"/>
      <c r="AF353" s="2"/>
      <c r="AG353" s="2"/>
      <c r="AH353" s="2"/>
    </row>
    <row r="354" spans="30:34" ht="14.25" customHeight="1">
      <c r="AD354" s="2"/>
      <c r="AE354" s="2"/>
      <c r="AF354" s="2"/>
      <c r="AG354" s="2"/>
      <c r="AH354" s="2"/>
    </row>
    <row r="355" spans="30:34" ht="14.25" customHeight="1">
      <c r="AD355" s="2"/>
      <c r="AE355" s="2"/>
      <c r="AF355" s="2"/>
      <c r="AG355" s="2"/>
      <c r="AH355" s="2"/>
    </row>
    <row r="356" spans="30:34" ht="14.25" customHeight="1">
      <c r="AD356" s="2"/>
      <c r="AE356" s="2"/>
      <c r="AF356" s="2"/>
      <c r="AG356" s="2"/>
      <c r="AH356" s="2"/>
    </row>
    <row r="357" spans="30:34" ht="14.25" customHeight="1">
      <c r="AD357" s="2"/>
      <c r="AE357" s="2"/>
      <c r="AF357" s="2"/>
      <c r="AG357" s="2"/>
      <c r="AH357" s="2"/>
    </row>
    <row r="358" spans="30:34" ht="14.25" customHeight="1">
      <c r="AD358" s="2"/>
      <c r="AE358" s="2"/>
      <c r="AF358" s="2"/>
      <c r="AG358" s="2"/>
      <c r="AH358" s="2"/>
    </row>
    <row r="359" spans="30:34" ht="14.25" customHeight="1">
      <c r="AD359" s="2"/>
      <c r="AE359" s="2"/>
      <c r="AF359" s="2"/>
      <c r="AG359" s="2"/>
      <c r="AH359" s="2"/>
    </row>
    <row r="360" spans="30:34" ht="14.25" customHeight="1">
      <c r="AD360" s="2"/>
      <c r="AE360" s="2"/>
      <c r="AF360" s="2"/>
      <c r="AG360" s="2"/>
      <c r="AH360" s="2"/>
    </row>
    <row r="361" spans="30:34" ht="14.25" customHeight="1">
      <c r="AD361" s="2"/>
      <c r="AE361" s="2"/>
      <c r="AF361" s="2"/>
      <c r="AG361" s="2"/>
      <c r="AH361" s="2"/>
    </row>
    <row r="362" spans="30:34" ht="14.25" customHeight="1">
      <c r="AD362" s="2"/>
      <c r="AE362" s="2"/>
      <c r="AF362" s="2"/>
      <c r="AG362" s="2"/>
      <c r="AH362" s="2"/>
    </row>
    <row r="363" spans="30:34" ht="14.25" customHeight="1">
      <c r="AD363" s="2"/>
      <c r="AE363" s="2"/>
      <c r="AF363" s="2"/>
      <c r="AG363" s="2"/>
      <c r="AH363" s="2"/>
    </row>
    <row r="364" spans="30:34" ht="14.25" customHeight="1">
      <c r="AD364" s="2"/>
      <c r="AE364" s="2"/>
      <c r="AF364" s="2"/>
      <c r="AG364" s="2"/>
      <c r="AH364" s="2"/>
    </row>
    <row r="365" spans="30:34" ht="14.25" customHeight="1">
      <c r="AD365" s="2"/>
      <c r="AE365" s="2"/>
      <c r="AF365" s="2"/>
      <c r="AG365" s="2"/>
      <c r="AH365" s="2"/>
    </row>
    <row r="366" spans="30:34" ht="14.25" customHeight="1">
      <c r="AD366" s="2"/>
      <c r="AE366" s="2"/>
      <c r="AF366" s="2"/>
      <c r="AG366" s="2"/>
      <c r="AH366" s="2"/>
    </row>
    <row r="367" spans="30:34" ht="14.25" customHeight="1">
      <c r="AD367" s="2"/>
      <c r="AE367" s="2"/>
      <c r="AF367" s="2"/>
      <c r="AG367" s="2"/>
      <c r="AH367" s="2"/>
    </row>
    <row r="368" spans="30:34" ht="14.25" customHeight="1">
      <c r="AD368" s="2"/>
      <c r="AE368" s="2"/>
      <c r="AF368" s="2"/>
      <c r="AG368" s="2"/>
      <c r="AH368" s="2"/>
    </row>
    <row r="369" spans="30:34" ht="14.25" customHeight="1">
      <c r="AD369" s="2"/>
      <c r="AE369" s="2"/>
      <c r="AF369" s="2"/>
      <c r="AG369" s="2"/>
      <c r="AH369" s="2"/>
    </row>
    <row r="370" spans="30:34" ht="14.25" customHeight="1">
      <c r="AD370" s="2"/>
      <c r="AE370" s="2"/>
      <c r="AF370" s="2"/>
      <c r="AG370" s="2"/>
      <c r="AH370" s="2"/>
    </row>
    <row r="371" spans="30:34" ht="14.25" customHeight="1">
      <c r="AD371" s="2"/>
      <c r="AE371" s="2"/>
      <c r="AF371" s="2"/>
      <c r="AG371" s="2"/>
      <c r="AH371" s="2"/>
    </row>
    <row r="372" spans="30:34" ht="14.25" customHeight="1">
      <c r="AD372" s="2"/>
      <c r="AE372" s="2"/>
      <c r="AF372" s="2"/>
      <c r="AG372" s="2"/>
      <c r="AH372" s="2"/>
    </row>
    <row r="373" spans="30:34" ht="14.25" customHeight="1">
      <c r="AD373" s="2"/>
      <c r="AE373" s="2"/>
      <c r="AF373" s="2"/>
      <c r="AG373" s="2"/>
      <c r="AH373" s="2"/>
    </row>
    <row r="374" spans="30:34" ht="14.25" customHeight="1">
      <c r="AD374" s="2"/>
      <c r="AE374" s="2"/>
      <c r="AF374" s="2"/>
      <c r="AG374" s="2"/>
      <c r="AH374" s="2"/>
    </row>
    <row r="375" spans="30:34" ht="14.25" customHeight="1">
      <c r="AD375" s="2"/>
      <c r="AE375" s="2"/>
      <c r="AF375" s="2"/>
      <c r="AG375" s="2"/>
      <c r="AH375" s="2"/>
    </row>
    <row r="376" spans="30:34" ht="14.25" customHeight="1">
      <c r="AD376" s="2"/>
      <c r="AE376" s="2"/>
      <c r="AF376" s="2"/>
      <c r="AG376" s="2"/>
      <c r="AH376" s="2"/>
    </row>
    <row r="377" spans="30:34" ht="14.25" customHeight="1">
      <c r="AD377" s="2"/>
      <c r="AE377" s="2"/>
      <c r="AF377" s="2"/>
      <c r="AG377" s="2"/>
      <c r="AH377" s="2"/>
    </row>
    <row r="378" spans="30:34" ht="14.25" customHeight="1">
      <c r="AD378" s="2"/>
      <c r="AE378" s="2"/>
      <c r="AF378" s="2"/>
      <c r="AG378" s="2"/>
      <c r="AH378" s="2"/>
    </row>
    <row r="379" spans="30:34" ht="14.25" customHeight="1">
      <c r="AD379" s="2"/>
      <c r="AE379" s="2"/>
      <c r="AF379" s="2"/>
      <c r="AG379" s="2"/>
      <c r="AH379" s="2"/>
    </row>
    <row r="380" spans="30:34" ht="14.25" customHeight="1">
      <c r="AD380" s="2"/>
      <c r="AE380" s="2"/>
      <c r="AF380" s="2"/>
      <c r="AG380" s="2"/>
      <c r="AH380" s="2"/>
    </row>
    <row r="381" spans="30:34" ht="14.25" customHeight="1">
      <c r="AD381" s="2"/>
      <c r="AE381" s="2"/>
      <c r="AF381" s="2"/>
      <c r="AG381" s="2"/>
      <c r="AH381" s="2"/>
    </row>
    <row r="382" spans="30:34" ht="14.25" customHeight="1">
      <c r="AD382" s="2"/>
      <c r="AE382" s="2"/>
      <c r="AF382" s="2"/>
      <c r="AG382" s="2"/>
      <c r="AH382" s="2"/>
    </row>
    <row r="383" spans="30:34" ht="14.25" customHeight="1">
      <c r="AD383" s="2"/>
      <c r="AE383" s="2"/>
      <c r="AF383" s="2"/>
      <c r="AG383" s="2"/>
      <c r="AH383" s="2"/>
    </row>
    <row r="384" spans="30:34" ht="14.25" customHeight="1">
      <c r="AD384" s="2"/>
      <c r="AE384" s="2"/>
      <c r="AF384" s="2"/>
      <c r="AG384" s="2"/>
      <c r="AH384" s="2"/>
    </row>
    <row r="385" spans="30:34" ht="14.25" customHeight="1">
      <c r="AD385" s="2"/>
      <c r="AE385" s="2"/>
      <c r="AF385" s="2"/>
      <c r="AG385" s="2"/>
      <c r="AH385" s="2"/>
    </row>
    <row r="386" spans="30:34" ht="14.25" customHeight="1">
      <c r="AD386" s="2"/>
      <c r="AE386" s="2"/>
      <c r="AF386" s="2"/>
      <c r="AG386" s="2"/>
      <c r="AH386" s="2"/>
    </row>
    <row r="387" spans="30:34" ht="14.25" customHeight="1">
      <c r="AD387" s="2"/>
      <c r="AE387" s="2"/>
      <c r="AF387" s="2"/>
      <c r="AG387" s="2"/>
      <c r="AH387" s="2"/>
    </row>
    <row r="388" spans="30:34" ht="14.25" customHeight="1">
      <c r="AD388" s="2"/>
      <c r="AE388" s="2"/>
      <c r="AF388" s="2"/>
      <c r="AG388" s="2"/>
      <c r="AH388" s="2"/>
    </row>
    <row r="389" spans="30:34" ht="14.25" customHeight="1">
      <c r="AD389" s="2"/>
      <c r="AE389" s="2"/>
      <c r="AF389" s="2"/>
      <c r="AG389" s="2"/>
      <c r="AH389" s="2"/>
    </row>
    <row r="390" spans="30:34" ht="14.25" customHeight="1">
      <c r="AD390" s="2"/>
      <c r="AE390" s="2"/>
      <c r="AF390" s="2"/>
      <c r="AG390" s="2"/>
      <c r="AH390" s="2"/>
    </row>
    <row r="391" spans="30:34" ht="14.25" customHeight="1">
      <c r="AD391" s="2"/>
      <c r="AE391" s="2"/>
      <c r="AF391" s="2"/>
      <c r="AG391" s="2"/>
      <c r="AH391" s="2"/>
    </row>
    <row r="392" spans="30:34" ht="14.25" customHeight="1">
      <c r="AD392" s="2"/>
      <c r="AE392" s="2"/>
      <c r="AF392" s="2"/>
      <c r="AG392" s="2"/>
      <c r="AH392" s="2"/>
    </row>
    <row r="393" spans="30:34" ht="14.25" customHeight="1">
      <c r="AD393" s="2"/>
      <c r="AE393" s="2"/>
      <c r="AF393" s="2"/>
      <c r="AG393" s="2"/>
      <c r="AH393" s="2"/>
    </row>
    <row r="394" spans="30:34" ht="14.25" customHeight="1">
      <c r="AD394" s="2"/>
      <c r="AE394" s="2"/>
      <c r="AF394" s="2"/>
      <c r="AG394" s="2"/>
      <c r="AH394" s="2"/>
    </row>
    <row r="395" spans="30:34" ht="14.25" customHeight="1">
      <c r="AD395" s="2"/>
      <c r="AE395" s="2"/>
      <c r="AF395" s="2"/>
      <c r="AG395" s="2"/>
      <c r="AH395" s="2"/>
    </row>
    <row r="396" spans="30:34" ht="14.25" customHeight="1">
      <c r="AD396" s="2"/>
      <c r="AE396" s="2"/>
      <c r="AF396" s="2"/>
      <c r="AG396" s="2"/>
      <c r="AH396" s="2"/>
    </row>
    <row r="397" spans="30:34" ht="14.25" customHeight="1">
      <c r="AD397" s="2"/>
      <c r="AE397" s="2"/>
      <c r="AF397" s="2"/>
      <c r="AG397" s="2"/>
      <c r="AH397" s="2"/>
    </row>
    <row r="398" spans="30:34" ht="14.25" customHeight="1">
      <c r="AD398" s="2"/>
      <c r="AE398" s="2"/>
      <c r="AF398" s="2"/>
      <c r="AG398" s="2"/>
      <c r="AH398" s="2"/>
    </row>
    <row r="399" spans="30:34" ht="14.25" customHeight="1">
      <c r="AD399" s="2"/>
      <c r="AE399" s="2"/>
      <c r="AF399" s="2"/>
      <c r="AG399" s="2"/>
      <c r="AH399" s="2"/>
    </row>
    <row r="400" spans="30:34" ht="14.25" customHeight="1">
      <c r="AD400" s="2"/>
      <c r="AE400" s="2"/>
      <c r="AF400" s="2"/>
      <c r="AG400" s="2"/>
      <c r="AH400" s="2"/>
    </row>
    <row r="401" spans="30:34" ht="14.25" customHeight="1">
      <c r="AD401" s="2"/>
      <c r="AE401" s="2"/>
      <c r="AF401" s="2"/>
      <c r="AG401" s="2"/>
      <c r="AH401" s="2"/>
    </row>
    <row r="402" spans="30:34" ht="14.25" customHeight="1">
      <c r="AD402" s="2"/>
      <c r="AE402" s="2"/>
      <c r="AF402" s="2"/>
      <c r="AG402" s="2"/>
      <c r="AH402" s="2"/>
    </row>
    <row r="403" spans="30:34" ht="14.25" customHeight="1">
      <c r="AD403" s="2"/>
      <c r="AE403" s="2"/>
      <c r="AF403" s="2"/>
      <c r="AG403" s="2"/>
      <c r="AH403" s="2"/>
    </row>
    <row r="404" spans="30:34" ht="14.25" customHeight="1">
      <c r="AD404" s="2"/>
      <c r="AE404" s="2"/>
      <c r="AF404" s="2"/>
      <c r="AG404" s="2"/>
      <c r="AH404" s="2"/>
    </row>
    <row r="405" spans="30:34" ht="14.25" customHeight="1">
      <c r="AD405" s="2"/>
      <c r="AE405" s="2"/>
      <c r="AF405" s="2"/>
      <c r="AG405" s="2"/>
      <c r="AH405" s="2"/>
    </row>
    <row r="406" spans="30:34" ht="14.25" customHeight="1">
      <c r="AD406" s="2"/>
      <c r="AE406" s="2"/>
      <c r="AF406" s="2"/>
      <c r="AG406" s="2"/>
      <c r="AH406" s="2"/>
    </row>
    <row r="407" spans="30:34" ht="14.25" customHeight="1">
      <c r="AD407" s="2"/>
      <c r="AE407" s="2"/>
      <c r="AF407" s="2"/>
      <c r="AG407" s="2"/>
      <c r="AH407" s="2"/>
    </row>
    <row r="408" spans="30:34" ht="14.25" customHeight="1">
      <c r="AD408" s="2"/>
      <c r="AE408" s="2"/>
      <c r="AF408" s="2"/>
      <c r="AG408" s="2"/>
      <c r="AH408" s="2"/>
    </row>
    <row r="409" spans="30:34" ht="14.25" customHeight="1">
      <c r="AD409" s="2"/>
      <c r="AE409" s="2"/>
      <c r="AF409" s="2"/>
      <c r="AG409" s="2"/>
      <c r="AH409" s="2"/>
    </row>
    <row r="410" spans="30:34" ht="14.25" customHeight="1">
      <c r="AD410" s="2"/>
      <c r="AE410" s="2"/>
      <c r="AF410" s="2"/>
      <c r="AG410" s="2"/>
      <c r="AH410" s="2"/>
    </row>
    <row r="411" spans="30:34" ht="14.25" customHeight="1">
      <c r="AD411" s="2"/>
      <c r="AE411" s="2"/>
      <c r="AF411" s="2"/>
      <c r="AG411" s="2"/>
      <c r="AH411" s="2"/>
    </row>
    <row r="412" spans="30:34" ht="14.25" customHeight="1">
      <c r="AD412" s="2"/>
      <c r="AE412" s="2"/>
      <c r="AF412" s="2"/>
      <c r="AG412" s="2"/>
      <c r="AH412" s="2"/>
    </row>
    <row r="413" spans="30:34" ht="14.25" customHeight="1">
      <c r="AD413" s="2"/>
      <c r="AE413" s="2"/>
      <c r="AF413" s="2"/>
      <c r="AG413" s="2"/>
      <c r="AH413" s="2"/>
    </row>
    <row r="414" spans="30:34" ht="14.25" customHeight="1">
      <c r="AD414" s="2"/>
      <c r="AE414" s="2"/>
      <c r="AF414" s="2"/>
      <c r="AG414" s="2"/>
      <c r="AH414" s="2"/>
    </row>
    <row r="415" spans="30:34" ht="14.25" customHeight="1">
      <c r="AD415" s="2"/>
      <c r="AE415" s="2"/>
      <c r="AF415" s="2"/>
      <c r="AG415" s="2"/>
      <c r="AH415" s="2"/>
    </row>
    <row r="416" spans="30:34" ht="14.25" customHeight="1">
      <c r="AD416" s="2"/>
      <c r="AE416" s="2"/>
      <c r="AF416" s="2"/>
      <c r="AG416" s="2"/>
      <c r="AH416" s="2"/>
    </row>
    <row r="417" spans="30:34" ht="14.25" customHeight="1">
      <c r="AD417" s="2"/>
      <c r="AE417" s="2"/>
      <c r="AF417" s="2"/>
      <c r="AG417" s="2"/>
      <c r="AH417" s="2"/>
    </row>
    <row r="418" spans="30:34" ht="14.25" customHeight="1">
      <c r="AD418" s="2"/>
      <c r="AE418" s="2"/>
      <c r="AF418" s="2"/>
      <c r="AG418" s="2"/>
      <c r="AH418" s="2"/>
    </row>
    <row r="419" spans="30:34" ht="14.25" customHeight="1">
      <c r="AD419" s="2"/>
      <c r="AE419" s="2"/>
      <c r="AF419" s="2"/>
      <c r="AG419" s="2"/>
      <c r="AH419" s="2"/>
    </row>
    <row r="420" spans="30:34" ht="14.25" customHeight="1">
      <c r="AD420" s="2"/>
      <c r="AE420" s="2"/>
      <c r="AF420" s="2"/>
      <c r="AG420" s="2"/>
      <c r="AH420" s="2"/>
    </row>
    <row r="421" spans="30:34" ht="14.25" customHeight="1">
      <c r="AD421" s="2"/>
      <c r="AE421" s="2"/>
      <c r="AF421" s="2"/>
      <c r="AG421" s="2"/>
      <c r="AH421" s="2"/>
    </row>
    <row r="422" spans="30:34" ht="14.25" customHeight="1">
      <c r="AD422" s="2"/>
      <c r="AE422" s="2"/>
      <c r="AF422" s="2"/>
      <c r="AG422" s="2"/>
      <c r="AH422" s="2"/>
    </row>
    <row r="423" spans="30:34" ht="14.25" customHeight="1">
      <c r="AD423" s="2"/>
      <c r="AE423" s="2"/>
      <c r="AF423" s="2"/>
      <c r="AG423" s="2"/>
      <c r="AH423" s="2"/>
    </row>
    <row r="424" spans="30:34" ht="14.25" customHeight="1">
      <c r="AD424" s="2"/>
      <c r="AE424" s="2"/>
      <c r="AF424" s="2"/>
      <c r="AG424" s="2"/>
      <c r="AH424" s="2"/>
    </row>
    <row r="425" spans="30:34" ht="14.25" customHeight="1">
      <c r="AD425" s="2"/>
      <c r="AE425" s="2"/>
      <c r="AF425" s="2"/>
      <c r="AG425" s="2"/>
      <c r="AH425" s="2"/>
    </row>
    <row r="426" spans="30:34" ht="14.25" customHeight="1">
      <c r="AD426" s="2"/>
      <c r="AE426" s="2"/>
      <c r="AF426" s="2"/>
      <c r="AG426" s="2"/>
      <c r="AH426" s="2"/>
    </row>
    <row r="427" spans="30:34" ht="14.25" customHeight="1">
      <c r="AD427" s="2"/>
      <c r="AE427" s="2"/>
      <c r="AF427" s="2"/>
      <c r="AG427" s="2"/>
      <c r="AH427" s="2"/>
    </row>
    <row r="428" spans="30:34" ht="14.25" customHeight="1">
      <c r="AD428" s="2"/>
      <c r="AE428" s="2"/>
      <c r="AF428" s="2"/>
      <c r="AG428" s="2"/>
      <c r="AH428" s="2"/>
    </row>
    <row r="429" spans="30:34" ht="14.25" customHeight="1">
      <c r="AD429" s="2"/>
      <c r="AE429" s="2"/>
      <c r="AF429" s="2"/>
      <c r="AG429" s="2"/>
      <c r="AH429" s="2"/>
    </row>
    <row r="430" spans="30:34" ht="14.25" customHeight="1">
      <c r="AD430" s="2"/>
      <c r="AE430" s="2"/>
      <c r="AF430" s="2"/>
      <c r="AG430" s="2"/>
      <c r="AH430" s="2"/>
    </row>
    <row r="431" spans="30:34" ht="14.25" customHeight="1">
      <c r="AD431" s="2"/>
      <c r="AE431" s="2"/>
      <c r="AF431" s="2"/>
      <c r="AG431" s="2"/>
      <c r="AH431" s="2"/>
    </row>
    <row r="432" spans="30:34" ht="14.25" customHeight="1">
      <c r="AD432" s="2"/>
      <c r="AE432" s="2"/>
      <c r="AF432" s="2"/>
      <c r="AG432" s="2"/>
      <c r="AH432" s="2"/>
    </row>
    <row r="433" spans="30:34" ht="14.25" customHeight="1">
      <c r="AD433" s="2"/>
      <c r="AE433" s="2"/>
      <c r="AF433" s="2"/>
      <c r="AG433" s="2"/>
      <c r="AH433" s="2"/>
    </row>
    <row r="434" spans="30:34" ht="14.25" customHeight="1">
      <c r="AD434" s="2"/>
      <c r="AE434" s="2"/>
      <c r="AF434" s="2"/>
      <c r="AG434" s="2"/>
      <c r="AH434" s="2"/>
    </row>
    <row r="435" spans="30:34" ht="14.25" customHeight="1">
      <c r="AD435" s="2"/>
      <c r="AE435" s="2"/>
      <c r="AF435" s="2"/>
      <c r="AG435" s="2"/>
      <c r="AH435" s="2"/>
    </row>
    <row r="436" spans="30:34" ht="14.25" customHeight="1">
      <c r="AD436" s="2"/>
      <c r="AE436" s="2"/>
      <c r="AF436" s="2"/>
      <c r="AG436" s="2"/>
      <c r="AH436" s="2"/>
    </row>
    <row r="437" spans="30:34" ht="14.25" customHeight="1">
      <c r="AD437" s="2"/>
      <c r="AE437" s="2"/>
      <c r="AF437" s="2"/>
      <c r="AG437" s="2"/>
      <c r="AH437" s="2"/>
    </row>
    <row r="438" spans="30:34" ht="14.25" customHeight="1">
      <c r="AD438" s="2"/>
      <c r="AE438" s="2"/>
      <c r="AF438" s="2"/>
      <c r="AG438" s="2"/>
      <c r="AH438" s="2"/>
    </row>
    <row r="439" spans="30:34" ht="14.25" customHeight="1">
      <c r="AD439" s="2"/>
      <c r="AE439" s="2"/>
      <c r="AF439" s="2"/>
      <c r="AG439" s="2"/>
      <c r="AH439" s="2"/>
    </row>
    <row r="440" spans="30:34" ht="14.25" customHeight="1">
      <c r="AD440" s="2"/>
      <c r="AE440" s="2"/>
      <c r="AF440" s="2"/>
      <c r="AG440" s="2"/>
      <c r="AH440" s="2"/>
    </row>
    <row r="441" spans="30:34" ht="14.25" customHeight="1">
      <c r="AD441" s="2"/>
      <c r="AE441" s="2"/>
      <c r="AF441" s="2"/>
      <c r="AG441" s="2"/>
      <c r="AH441" s="2"/>
    </row>
    <row r="442" spans="30:34" ht="14.25" customHeight="1">
      <c r="AD442" s="2"/>
      <c r="AE442" s="2"/>
      <c r="AF442" s="2"/>
      <c r="AG442" s="2"/>
      <c r="AH442" s="2"/>
    </row>
    <row r="443" spans="30:34" ht="14.25" customHeight="1">
      <c r="AD443" s="2"/>
      <c r="AE443" s="2"/>
      <c r="AF443" s="2"/>
      <c r="AG443" s="2"/>
      <c r="AH443" s="2"/>
    </row>
    <row r="444" spans="30:34" ht="14.25" customHeight="1">
      <c r="AD444" s="2"/>
      <c r="AE444" s="2"/>
      <c r="AF444" s="2"/>
      <c r="AG444" s="2"/>
      <c r="AH444" s="2"/>
    </row>
    <row r="445" spans="30:34" ht="14.25" customHeight="1">
      <c r="AD445" s="2"/>
      <c r="AE445" s="2"/>
      <c r="AF445" s="2"/>
      <c r="AG445" s="2"/>
      <c r="AH445" s="2"/>
    </row>
    <row r="446" spans="30:34" ht="14.25" customHeight="1">
      <c r="AD446" s="2"/>
      <c r="AE446" s="2"/>
      <c r="AF446" s="2"/>
      <c r="AG446" s="2"/>
      <c r="AH446" s="2"/>
    </row>
    <row r="447" spans="30:34" ht="14.25" customHeight="1">
      <c r="AD447" s="2"/>
      <c r="AE447" s="2"/>
      <c r="AF447" s="2"/>
      <c r="AG447" s="2"/>
      <c r="AH447" s="2"/>
    </row>
    <row r="448" spans="30:34" ht="14.25" customHeight="1">
      <c r="AD448" s="2"/>
      <c r="AE448" s="2"/>
      <c r="AF448" s="2"/>
      <c r="AG448" s="2"/>
      <c r="AH448" s="2"/>
    </row>
    <row r="449" spans="30:34" ht="14.25" customHeight="1">
      <c r="AD449" s="2"/>
      <c r="AE449" s="2"/>
      <c r="AF449" s="2"/>
      <c r="AG449" s="2"/>
      <c r="AH449" s="2"/>
    </row>
    <row r="450" spans="30:34" ht="14.25" customHeight="1">
      <c r="AD450" s="2"/>
      <c r="AE450" s="2"/>
      <c r="AF450" s="2"/>
      <c r="AG450" s="2"/>
      <c r="AH450" s="2"/>
    </row>
    <row r="451" spans="30:34" ht="14.25" customHeight="1">
      <c r="AD451" s="2"/>
      <c r="AE451" s="2"/>
      <c r="AF451" s="2"/>
      <c r="AG451" s="2"/>
      <c r="AH451" s="2"/>
    </row>
    <row r="452" spans="30:34" ht="14.25" customHeight="1">
      <c r="AD452" s="2"/>
      <c r="AE452" s="2"/>
      <c r="AF452" s="2"/>
      <c r="AG452" s="2"/>
      <c r="AH452" s="2"/>
    </row>
    <row r="453" spans="30:34" ht="14.25" customHeight="1">
      <c r="AD453" s="2"/>
      <c r="AE453" s="2"/>
      <c r="AF453" s="2"/>
      <c r="AG453" s="2"/>
      <c r="AH453" s="2"/>
    </row>
    <row r="454" spans="30:34" ht="14.25" customHeight="1">
      <c r="AD454" s="2"/>
      <c r="AE454" s="2"/>
      <c r="AF454" s="2"/>
      <c r="AG454" s="2"/>
      <c r="AH454" s="2"/>
    </row>
    <row r="455" spans="30:34" ht="14.25" customHeight="1">
      <c r="AD455" s="2"/>
      <c r="AE455" s="2"/>
      <c r="AF455" s="2"/>
      <c r="AG455" s="2"/>
      <c r="AH455" s="2"/>
    </row>
    <row r="456" spans="30:34" ht="14.25" customHeight="1">
      <c r="AD456" s="2"/>
      <c r="AE456" s="2"/>
      <c r="AF456" s="2"/>
      <c r="AG456" s="2"/>
      <c r="AH456" s="2"/>
    </row>
    <row r="457" spans="30:34" ht="14.25" customHeight="1">
      <c r="AD457" s="2"/>
      <c r="AE457" s="2"/>
      <c r="AF457" s="2"/>
      <c r="AG457" s="2"/>
      <c r="AH457" s="2"/>
    </row>
    <row r="458" spans="30:34" ht="14.25" customHeight="1">
      <c r="AD458" s="2"/>
      <c r="AE458" s="2"/>
      <c r="AF458" s="2"/>
      <c r="AG458" s="2"/>
      <c r="AH458" s="2"/>
    </row>
    <row r="459" spans="30:34" ht="14.25" customHeight="1">
      <c r="AD459" s="2"/>
      <c r="AE459" s="2"/>
      <c r="AF459" s="2"/>
      <c r="AG459" s="2"/>
      <c r="AH459" s="2"/>
    </row>
    <row r="460" spans="30:34" ht="14.25" customHeight="1">
      <c r="AD460" s="2"/>
      <c r="AE460" s="2"/>
      <c r="AF460" s="2"/>
      <c r="AG460" s="2"/>
      <c r="AH460" s="2"/>
    </row>
    <row r="461" spans="30:34" ht="14.25" customHeight="1">
      <c r="AD461" s="2"/>
      <c r="AE461" s="2"/>
      <c r="AF461" s="2"/>
      <c r="AG461" s="2"/>
      <c r="AH461" s="2"/>
    </row>
    <row r="462" spans="30:34" ht="14.25" customHeight="1">
      <c r="AD462" s="2"/>
      <c r="AE462" s="2"/>
      <c r="AF462" s="2"/>
      <c r="AG462" s="2"/>
      <c r="AH462" s="2"/>
    </row>
    <row r="463" spans="30:34" ht="14.25" customHeight="1">
      <c r="AD463" s="2"/>
      <c r="AE463" s="2"/>
      <c r="AF463" s="2"/>
      <c r="AG463" s="2"/>
      <c r="AH463" s="2"/>
    </row>
    <row r="464" spans="30:34" ht="14.25" customHeight="1">
      <c r="AD464" s="2"/>
      <c r="AE464" s="2"/>
      <c r="AF464" s="2"/>
      <c r="AG464" s="2"/>
      <c r="AH464" s="2"/>
    </row>
    <row r="465" spans="30:34" ht="14.25" customHeight="1">
      <c r="AD465" s="2"/>
      <c r="AE465" s="2"/>
      <c r="AF465" s="2"/>
      <c r="AG465" s="2"/>
      <c r="AH465" s="2"/>
    </row>
    <row r="466" spans="30:34" ht="14.25" customHeight="1">
      <c r="AD466" s="2"/>
      <c r="AE466" s="2"/>
      <c r="AF466" s="2"/>
      <c r="AG466" s="2"/>
      <c r="AH466" s="2"/>
    </row>
    <row r="467" spans="30:34" ht="14.25" customHeight="1">
      <c r="AD467" s="2"/>
      <c r="AE467" s="2"/>
      <c r="AF467" s="2"/>
      <c r="AG467" s="2"/>
      <c r="AH467" s="2"/>
    </row>
    <row r="468" spans="30:34" ht="14.25" customHeight="1">
      <c r="AD468" s="2"/>
      <c r="AE468" s="2"/>
      <c r="AF468" s="2"/>
      <c r="AG468" s="2"/>
      <c r="AH468" s="2"/>
    </row>
    <row r="469" spans="30:34" ht="14.25" customHeight="1">
      <c r="AD469" s="2"/>
      <c r="AE469" s="2"/>
      <c r="AF469" s="2"/>
      <c r="AG469" s="2"/>
      <c r="AH469" s="2"/>
    </row>
    <row r="470" spans="30:34" ht="14.25" customHeight="1">
      <c r="AD470" s="2"/>
      <c r="AE470" s="2"/>
      <c r="AF470" s="2"/>
      <c r="AG470" s="2"/>
      <c r="AH470" s="2"/>
    </row>
    <row r="471" spans="30:34" ht="14.25" customHeight="1">
      <c r="AD471" s="2"/>
      <c r="AE471" s="2"/>
      <c r="AF471" s="2"/>
      <c r="AG471" s="2"/>
      <c r="AH471" s="2"/>
    </row>
    <row r="472" spans="30:34" ht="14.25" customHeight="1">
      <c r="AD472" s="2"/>
      <c r="AE472" s="2"/>
      <c r="AF472" s="2"/>
      <c r="AG472" s="2"/>
      <c r="AH472" s="2"/>
    </row>
    <row r="473" spans="30:34" ht="14.25" customHeight="1">
      <c r="AD473" s="2"/>
      <c r="AE473" s="2"/>
      <c r="AF473" s="2"/>
      <c r="AG473" s="2"/>
      <c r="AH473" s="2"/>
    </row>
    <row r="474" spans="30:34" ht="14.25" customHeight="1">
      <c r="AD474" s="2"/>
      <c r="AE474" s="2"/>
      <c r="AF474" s="2"/>
      <c r="AG474" s="2"/>
      <c r="AH474" s="2"/>
    </row>
    <row r="475" spans="30:34" ht="14.25" customHeight="1">
      <c r="AD475" s="2"/>
      <c r="AE475" s="2"/>
      <c r="AF475" s="2"/>
      <c r="AG475" s="2"/>
      <c r="AH475" s="2"/>
    </row>
    <row r="476" spans="30:34" ht="14.25" customHeight="1">
      <c r="AD476" s="2"/>
      <c r="AE476" s="2"/>
      <c r="AF476" s="2"/>
      <c r="AG476" s="2"/>
      <c r="AH476" s="2"/>
    </row>
    <row r="477" spans="30:34" ht="14.25" customHeight="1">
      <c r="AD477" s="2"/>
      <c r="AE477" s="2"/>
      <c r="AF477" s="2"/>
      <c r="AG477" s="2"/>
      <c r="AH477" s="2"/>
    </row>
    <row r="478" spans="30:34" ht="14.25" customHeight="1">
      <c r="AD478" s="2"/>
      <c r="AE478" s="2"/>
      <c r="AF478" s="2"/>
      <c r="AG478" s="2"/>
      <c r="AH478" s="2"/>
    </row>
    <row r="479" spans="30:34" ht="14.25" customHeight="1">
      <c r="AD479" s="2"/>
      <c r="AE479" s="2"/>
      <c r="AF479" s="2"/>
      <c r="AG479" s="2"/>
      <c r="AH479" s="2"/>
    </row>
    <row r="480" spans="30:34" ht="14.25" customHeight="1">
      <c r="AD480" s="2"/>
      <c r="AE480" s="2"/>
      <c r="AF480" s="2"/>
      <c r="AG480" s="2"/>
      <c r="AH480" s="2"/>
    </row>
    <row r="481" spans="30:34" ht="14.25" customHeight="1">
      <c r="AD481" s="2"/>
      <c r="AE481" s="2"/>
      <c r="AF481" s="2"/>
      <c r="AG481" s="2"/>
      <c r="AH481" s="2"/>
    </row>
    <row r="482" spans="30:34" ht="14.25" customHeight="1">
      <c r="AD482" s="2"/>
      <c r="AE482" s="2"/>
      <c r="AF482" s="2"/>
      <c r="AG482" s="2"/>
      <c r="AH482" s="2"/>
    </row>
    <row r="483" spans="30:34" ht="14.25" customHeight="1">
      <c r="AD483" s="2"/>
      <c r="AE483" s="2"/>
      <c r="AF483" s="2"/>
      <c r="AG483" s="2"/>
      <c r="AH483" s="2"/>
    </row>
    <row r="484" spans="30:34" ht="14.25" customHeight="1">
      <c r="AD484" s="2"/>
      <c r="AE484" s="2"/>
      <c r="AF484" s="2"/>
      <c r="AG484" s="2"/>
      <c r="AH484" s="2"/>
    </row>
    <row r="485" spans="30:34" ht="14.25" customHeight="1">
      <c r="AD485" s="2"/>
      <c r="AE485" s="2"/>
      <c r="AF485" s="2"/>
      <c r="AG485" s="2"/>
      <c r="AH485" s="2"/>
    </row>
    <row r="486" spans="30:34" ht="14.25" customHeight="1">
      <c r="AD486" s="2"/>
      <c r="AE486" s="2"/>
      <c r="AF486" s="2"/>
      <c r="AG486" s="2"/>
      <c r="AH486" s="2"/>
    </row>
    <row r="487" spans="30:34" ht="14.25" customHeight="1">
      <c r="AD487" s="2"/>
      <c r="AE487" s="2"/>
      <c r="AF487" s="2"/>
      <c r="AG487" s="2"/>
      <c r="AH487" s="2"/>
    </row>
    <row r="488" spans="30:34" ht="14.25" customHeight="1">
      <c r="AD488" s="2"/>
      <c r="AE488" s="2"/>
      <c r="AF488" s="2"/>
      <c r="AG488" s="2"/>
      <c r="AH488" s="2"/>
    </row>
    <row r="489" spans="30:34" ht="14.25" customHeight="1">
      <c r="AD489" s="2"/>
      <c r="AE489" s="2"/>
      <c r="AF489" s="2"/>
      <c r="AG489" s="2"/>
      <c r="AH489" s="2"/>
    </row>
    <row r="490" spans="30:34" ht="14.25" customHeight="1">
      <c r="AD490" s="2"/>
      <c r="AE490" s="2"/>
      <c r="AF490" s="2"/>
      <c r="AG490" s="2"/>
      <c r="AH490" s="2"/>
    </row>
    <row r="491" spans="30:34" ht="14.25" customHeight="1">
      <c r="AD491" s="2"/>
      <c r="AE491" s="2"/>
      <c r="AF491" s="2"/>
      <c r="AG491" s="2"/>
      <c r="AH491" s="2"/>
    </row>
    <row r="492" spans="30:34" ht="14.25" customHeight="1">
      <c r="AD492" s="2"/>
      <c r="AE492" s="2"/>
      <c r="AF492" s="2"/>
      <c r="AG492" s="2"/>
      <c r="AH492" s="2"/>
    </row>
    <row r="493" spans="30:34" ht="14.25" customHeight="1">
      <c r="AD493" s="2"/>
      <c r="AE493" s="2"/>
      <c r="AF493" s="2"/>
      <c r="AG493" s="2"/>
      <c r="AH493" s="2"/>
    </row>
    <row r="494" spans="30:34" ht="14.25" customHeight="1">
      <c r="AD494" s="2"/>
      <c r="AE494" s="2"/>
      <c r="AF494" s="2"/>
      <c r="AG494" s="2"/>
      <c r="AH494" s="2"/>
    </row>
    <row r="495" spans="30:34" ht="14.25" customHeight="1">
      <c r="AD495" s="2"/>
      <c r="AE495" s="2"/>
      <c r="AF495" s="2"/>
      <c r="AG495" s="2"/>
      <c r="AH495" s="2"/>
    </row>
    <row r="496" spans="30:34" ht="14.25" customHeight="1">
      <c r="AD496" s="2"/>
      <c r="AE496" s="2"/>
      <c r="AF496" s="2"/>
      <c r="AG496" s="2"/>
      <c r="AH496" s="2"/>
    </row>
    <row r="497" spans="30:34" ht="14.25" customHeight="1">
      <c r="AD497" s="2"/>
      <c r="AE497" s="2"/>
      <c r="AF497" s="2"/>
      <c r="AG497" s="2"/>
      <c r="AH497" s="2"/>
    </row>
    <row r="498" spans="30:34" ht="14.25" customHeight="1">
      <c r="AD498" s="2"/>
      <c r="AE498" s="2"/>
      <c r="AF498" s="2"/>
      <c r="AG498" s="2"/>
      <c r="AH498" s="2"/>
    </row>
    <row r="499" spans="30:34" ht="14.25" customHeight="1">
      <c r="AD499" s="2"/>
      <c r="AE499" s="2"/>
      <c r="AF499" s="2"/>
      <c r="AG499" s="2"/>
      <c r="AH499" s="2"/>
    </row>
    <row r="500" spans="30:34" ht="14.25" customHeight="1">
      <c r="AD500" s="2"/>
      <c r="AE500" s="2"/>
      <c r="AF500" s="2"/>
      <c r="AG500" s="2"/>
      <c r="AH500" s="2"/>
    </row>
    <row r="501" spans="30:34" ht="14.25" customHeight="1">
      <c r="AD501" s="2"/>
      <c r="AE501" s="2"/>
      <c r="AF501" s="2"/>
      <c r="AG501" s="2"/>
      <c r="AH501" s="2"/>
    </row>
    <row r="502" spans="30:34" ht="14.25" customHeight="1">
      <c r="AD502" s="2"/>
      <c r="AE502" s="2"/>
      <c r="AF502" s="2"/>
      <c r="AG502" s="2"/>
      <c r="AH502" s="2"/>
    </row>
    <row r="503" spans="30:34" ht="14.25" customHeight="1">
      <c r="AD503" s="2"/>
      <c r="AE503" s="2"/>
      <c r="AF503" s="2"/>
      <c r="AG503" s="2"/>
      <c r="AH503" s="2"/>
    </row>
    <row r="504" spans="30:34" ht="14.25" customHeight="1">
      <c r="AD504" s="2"/>
      <c r="AE504" s="2"/>
      <c r="AF504" s="2"/>
      <c r="AG504" s="2"/>
      <c r="AH504" s="2"/>
    </row>
    <row r="505" spans="30:34" ht="14.25" customHeight="1">
      <c r="AD505" s="2"/>
      <c r="AE505" s="2"/>
      <c r="AF505" s="2"/>
      <c r="AG505" s="2"/>
      <c r="AH505" s="2"/>
    </row>
    <row r="506" spans="30:34" ht="14.25" customHeight="1">
      <c r="AD506" s="2"/>
      <c r="AE506" s="2"/>
      <c r="AF506" s="2"/>
      <c r="AG506" s="2"/>
      <c r="AH506" s="2"/>
    </row>
    <row r="507" spans="30:34" ht="14.25" customHeight="1">
      <c r="AD507" s="2"/>
      <c r="AE507" s="2"/>
      <c r="AF507" s="2"/>
      <c r="AG507" s="2"/>
      <c r="AH507" s="2"/>
    </row>
    <row r="508" spans="30:34" ht="14.25" customHeight="1">
      <c r="AD508" s="2"/>
      <c r="AE508" s="2"/>
      <c r="AF508" s="2"/>
      <c r="AG508" s="2"/>
      <c r="AH508" s="2"/>
    </row>
    <row r="509" spans="30:34" ht="14.25" customHeight="1">
      <c r="AD509" s="2"/>
      <c r="AE509" s="2"/>
      <c r="AF509" s="2"/>
      <c r="AG509" s="2"/>
      <c r="AH509" s="2"/>
    </row>
    <row r="510" spans="30:34" ht="14.25" customHeight="1">
      <c r="AD510" s="2"/>
      <c r="AE510" s="2"/>
      <c r="AF510" s="2"/>
      <c r="AG510" s="2"/>
      <c r="AH510" s="2"/>
    </row>
    <row r="511" spans="30:34" ht="14.25" customHeight="1">
      <c r="AD511" s="2"/>
      <c r="AE511" s="2"/>
      <c r="AF511" s="2"/>
      <c r="AG511" s="2"/>
      <c r="AH511" s="2"/>
    </row>
    <row r="512" spans="30:34" ht="14.25" customHeight="1">
      <c r="AD512" s="2"/>
      <c r="AE512" s="2"/>
      <c r="AF512" s="2"/>
      <c r="AG512" s="2"/>
      <c r="AH512" s="2"/>
    </row>
    <row r="513" spans="30:34" ht="14.25" customHeight="1">
      <c r="AD513" s="2"/>
      <c r="AE513" s="2"/>
      <c r="AF513" s="2"/>
      <c r="AG513" s="2"/>
      <c r="AH513" s="2"/>
    </row>
    <row r="514" spans="30:34" ht="14.25" customHeight="1">
      <c r="AD514" s="2"/>
      <c r="AE514" s="2"/>
      <c r="AF514" s="2"/>
      <c r="AG514" s="2"/>
      <c r="AH514" s="2"/>
    </row>
    <row r="515" spans="30:34" ht="14.25" customHeight="1">
      <c r="AD515" s="2"/>
      <c r="AE515" s="2"/>
      <c r="AF515" s="2"/>
      <c r="AG515" s="2"/>
      <c r="AH515" s="2"/>
    </row>
    <row r="516" spans="30:34" ht="14.25" customHeight="1">
      <c r="AD516" s="2"/>
      <c r="AE516" s="2"/>
      <c r="AF516" s="2"/>
      <c r="AG516" s="2"/>
      <c r="AH516" s="2"/>
    </row>
    <row r="517" spans="30:34" ht="14.25" customHeight="1">
      <c r="AD517" s="2"/>
      <c r="AE517" s="2"/>
      <c r="AF517" s="2"/>
      <c r="AG517" s="2"/>
      <c r="AH517" s="2"/>
    </row>
    <row r="518" spans="30:34" ht="14.25" customHeight="1">
      <c r="AD518" s="2"/>
      <c r="AE518" s="2"/>
      <c r="AF518" s="2"/>
      <c r="AG518" s="2"/>
      <c r="AH518" s="2"/>
    </row>
    <row r="519" spans="30:34" ht="14.25" customHeight="1">
      <c r="AD519" s="2"/>
      <c r="AE519" s="2"/>
      <c r="AF519" s="2"/>
      <c r="AG519" s="2"/>
      <c r="AH519" s="2"/>
    </row>
    <row r="520" spans="30:34" ht="14.25" customHeight="1">
      <c r="AD520" s="2"/>
      <c r="AE520" s="2"/>
      <c r="AF520" s="2"/>
      <c r="AG520" s="2"/>
      <c r="AH520" s="2"/>
    </row>
    <row r="521" spans="30:34" ht="14.25" customHeight="1">
      <c r="AD521" s="2"/>
      <c r="AE521" s="2"/>
      <c r="AF521" s="2"/>
      <c r="AG521" s="2"/>
      <c r="AH521" s="2"/>
    </row>
    <row r="522" spans="30:34" ht="14.25" customHeight="1">
      <c r="AD522" s="2"/>
      <c r="AE522" s="2"/>
      <c r="AF522" s="2"/>
      <c r="AG522" s="2"/>
      <c r="AH522" s="2"/>
    </row>
    <row r="523" spans="30:34" ht="14.25" customHeight="1">
      <c r="AD523" s="2"/>
      <c r="AE523" s="2"/>
      <c r="AF523" s="2"/>
      <c r="AG523" s="2"/>
      <c r="AH523" s="2"/>
    </row>
    <row r="524" spans="30:34" ht="14.25" customHeight="1">
      <c r="AD524" s="2"/>
      <c r="AE524" s="2"/>
      <c r="AF524" s="2"/>
      <c r="AG524" s="2"/>
      <c r="AH524" s="2"/>
    </row>
    <row r="525" spans="30:34" ht="14.25" customHeight="1">
      <c r="AD525" s="2"/>
      <c r="AE525" s="2"/>
      <c r="AF525" s="2"/>
      <c r="AG525" s="2"/>
      <c r="AH525" s="2"/>
    </row>
    <row r="526" spans="30:34" ht="14.25" customHeight="1">
      <c r="AD526" s="2"/>
      <c r="AE526" s="2"/>
      <c r="AF526" s="2"/>
      <c r="AG526" s="2"/>
      <c r="AH526" s="2"/>
    </row>
    <row r="527" spans="30:34" ht="14.25" customHeight="1">
      <c r="AD527" s="2"/>
      <c r="AE527" s="2"/>
      <c r="AF527" s="2"/>
      <c r="AG527" s="2"/>
      <c r="AH527" s="2"/>
    </row>
  </sheetData>
  <sheetProtection sheet="1" objects="1" scenarios="1" selectLockedCells="1"/>
  <mergeCells count="25">
    <mergeCell ref="M186:P186"/>
    <mergeCell ref="C188:C190"/>
    <mergeCell ref="D188:D190"/>
    <mergeCell ref="E188:E190"/>
    <mergeCell ref="F188:F190"/>
    <mergeCell ref="G188:G190"/>
    <mergeCell ref="H188:H190"/>
    <mergeCell ref="I188:I190"/>
    <mergeCell ref="M188:M189"/>
    <mergeCell ref="N188:N189"/>
    <mergeCell ref="O188:O189"/>
    <mergeCell ref="P188:P189"/>
    <mergeCell ref="M21:P21"/>
    <mergeCell ref="C22:C24"/>
    <mergeCell ref="D22:D24"/>
    <mergeCell ref="E22:E24"/>
    <mergeCell ref="F22:F24"/>
    <mergeCell ref="G22:G24"/>
    <mergeCell ref="H22:H24"/>
    <mergeCell ref="I22:I24"/>
    <mergeCell ref="J22:J24"/>
    <mergeCell ref="M22:M23"/>
    <mergeCell ref="N22:N23"/>
    <mergeCell ref="O22:O23"/>
    <mergeCell ref="P22:P23"/>
  </mergeCells>
  <phoneticPr fontId="5"/>
  <dataValidations count="4">
    <dataValidation type="whole" operator="greaterThan" allowBlank="1" showInputMessage="1" showErrorMessage="1" error="0より大きい数値を整数で入力してください。" sqref="G25:G174 G191:G240" xr:uid="{00000000-0002-0000-1600-000000000000}">
      <formula1>0</formula1>
    </dataValidation>
    <dataValidation type="textLength" imeMode="hiragana" operator="greaterThanOrEqual" allowBlank="1" showInputMessage="1" showErrorMessage="1" sqref="D25:D174 D191:D240" xr:uid="{00000000-0002-0000-1600-000001000000}">
      <formula1>1</formula1>
    </dataValidation>
    <dataValidation type="custom" operator="greaterThan" allowBlank="1" showInputMessage="1" showErrorMessage="1" error="0より大きい小数点第１位までの数値を入力してください。" sqref="E25:F174 E191:F240" xr:uid="{00000000-0002-0000-1600-000002000000}">
      <formula1>AND(AND(E25*10=INT(E25*10)),(E25&gt;0))</formula1>
    </dataValidation>
    <dataValidation type="custom" allowBlank="1" showInputMessage="1" showErrorMessage="1" error="0.001~100の範囲で小数点第３位までの数値を入力してください。" sqref="H25:H174 H191:H240" xr:uid="{00000000-0002-0000-1600-000003000000}">
      <formula1>AND(AND(H25*1000=INT(H25*1000)),(H25&gt;0),(H25&lt;=100))</formula1>
    </dataValidation>
  </dataValidations>
  <pageMargins left="0.19685039370078741" right="0.19685039370078741" top="0.59055118110236227" bottom="0.59055118110236227" header="0" footer="0"/>
  <pageSetup paperSize="9" scale="56" fitToHeight="10" orientation="portrait" cellComments="asDisplayed" r:id="rId1"/>
  <headerFooter alignWithMargins="0"/>
  <drawing r:id="rId2"/>
  <legacyDrawing r:id="rId3"/>
  <legacyDrawingHF r:id="rId4"/>
  <controls>
    <mc:AlternateContent xmlns:mc="http://schemas.openxmlformats.org/markup-compatibility/2006">
      <mc:Choice Requires="x14">
        <control shapeId="19462" r:id="rId5" name="txt_hyouji2">
          <controlPr locked="0" defaultSize="0" print="0" autoLine="0" r:id="rId6">
            <anchor moveWithCells="1">
              <from>
                <xdr:col>4</xdr:col>
                <xdr:colOff>28575</xdr:colOff>
                <xdr:row>183</xdr:row>
                <xdr:rowOff>9525</xdr:rowOff>
              </from>
              <to>
                <xdr:col>5</xdr:col>
                <xdr:colOff>28575</xdr:colOff>
                <xdr:row>184</xdr:row>
                <xdr:rowOff>0</xdr:rowOff>
              </to>
            </anchor>
          </controlPr>
        </control>
      </mc:Choice>
      <mc:Fallback>
        <control shapeId="19462" r:id="rId5" name="txt_hyouji2"/>
      </mc:Fallback>
    </mc:AlternateContent>
    <mc:AlternateContent xmlns:mc="http://schemas.openxmlformats.org/markup-compatibility/2006">
      <mc:Choice Requires="x14">
        <control shapeId="19461" r:id="rId7" name="Label2">
          <controlPr defaultSize="0" print="0" autoLine="0" r:id="rId8">
            <anchor moveWithCells="1">
              <from>
                <xdr:col>4</xdr:col>
                <xdr:colOff>28575</xdr:colOff>
                <xdr:row>182</xdr:row>
                <xdr:rowOff>19050</xdr:rowOff>
              </from>
              <to>
                <xdr:col>5</xdr:col>
                <xdr:colOff>28575</xdr:colOff>
                <xdr:row>183</xdr:row>
                <xdr:rowOff>9525</xdr:rowOff>
              </to>
            </anchor>
          </controlPr>
        </control>
      </mc:Choice>
      <mc:Fallback>
        <control shapeId="19461" r:id="rId7" name="Label2"/>
      </mc:Fallback>
    </mc:AlternateContent>
    <mc:AlternateContent xmlns:mc="http://schemas.openxmlformats.org/markup-compatibility/2006">
      <mc:Choice Requires="x14">
        <control shapeId="19460" r:id="rId9" name="btnKoushin2">
          <controlPr defaultSize="0" print="0" autoLine="0" r:id="rId10">
            <anchor moveWithCells="1">
              <from>
                <xdr:col>5</xdr:col>
                <xdr:colOff>133350</xdr:colOff>
                <xdr:row>182</xdr:row>
                <xdr:rowOff>19050</xdr:rowOff>
              </from>
              <to>
                <xdr:col>6</xdr:col>
                <xdr:colOff>180975</xdr:colOff>
                <xdr:row>184</xdr:row>
                <xdr:rowOff>0</xdr:rowOff>
              </to>
            </anchor>
          </controlPr>
        </control>
      </mc:Choice>
      <mc:Fallback>
        <control shapeId="19460" r:id="rId9" name="btnKoushin2"/>
      </mc:Fallback>
    </mc:AlternateContent>
    <mc:AlternateContent xmlns:mc="http://schemas.openxmlformats.org/markup-compatibility/2006">
      <mc:Choice Requires="x14">
        <control shapeId="19459" r:id="rId11" name="txt_hyouji1">
          <controlPr locked="0" defaultSize="0" print="0" autoLine="0" r:id="rId12">
            <anchor moveWithCells="1">
              <from>
                <xdr:col>4</xdr:col>
                <xdr:colOff>19050</xdr:colOff>
                <xdr:row>15</xdr:row>
                <xdr:rowOff>161925</xdr:rowOff>
              </from>
              <to>
                <xdr:col>5</xdr:col>
                <xdr:colOff>19050</xdr:colOff>
                <xdr:row>16</xdr:row>
                <xdr:rowOff>152400</xdr:rowOff>
              </to>
            </anchor>
          </controlPr>
        </control>
      </mc:Choice>
      <mc:Fallback>
        <control shapeId="19459" r:id="rId11" name="txt_hyouji1"/>
      </mc:Fallback>
    </mc:AlternateContent>
    <mc:AlternateContent xmlns:mc="http://schemas.openxmlformats.org/markup-compatibility/2006">
      <mc:Choice Requires="x14">
        <control shapeId="19458" r:id="rId13" name="Label1">
          <controlPr defaultSize="0" print="0" autoLine="0" r:id="rId14">
            <anchor moveWithCells="1">
              <from>
                <xdr:col>4</xdr:col>
                <xdr:colOff>19050</xdr:colOff>
                <xdr:row>15</xdr:row>
                <xdr:rowOff>0</xdr:rowOff>
              </from>
              <to>
                <xdr:col>5</xdr:col>
                <xdr:colOff>19050</xdr:colOff>
                <xdr:row>15</xdr:row>
                <xdr:rowOff>171450</xdr:rowOff>
              </to>
            </anchor>
          </controlPr>
        </control>
      </mc:Choice>
      <mc:Fallback>
        <control shapeId="19458" r:id="rId13" name="Label1"/>
      </mc:Fallback>
    </mc:AlternateContent>
    <mc:AlternateContent xmlns:mc="http://schemas.openxmlformats.org/markup-compatibility/2006">
      <mc:Choice Requires="x14">
        <control shapeId="19457" r:id="rId15" name="btnKoushin1">
          <controlPr defaultSize="0" print="0" autoLine="0" r:id="rId16">
            <anchor moveWithCells="1">
              <from>
                <xdr:col>5</xdr:col>
                <xdr:colOff>133350</xdr:colOff>
                <xdr:row>15</xdr:row>
                <xdr:rowOff>0</xdr:rowOff>
              </from>
              <to>
                <xdr:col>6</xdr:col>
                <xdr:colOff>180975</xdr:colOff>
                <xdr:row>16</xdr:row>
                <xdr:rowOff>161925</xdr:rowOff>
              </to>
            </anchor>
          </controlPr>
        </control>
      </mc:Choice>
      <mc:Fallback>
        <control shapeId="19457" r:id="rId15" name="btnKoushin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600-000004000000}">
          <x14:formula1>
            <xm:f>リスト!$BB$5:$BB$6</xm:f>
          </x14:formula1>
          <xm:sqref>J25:J174 I191:I193</xm:sqref>
        </x14:dataValidation>
        <x14:dataValidation type="list" allowBlank="1" showInputMessage="1" showErrorMessage="1" xr:uid="{00000000-0002-0000-1600-000005000000}">
          <x14:formula1>
            <xm:f>リスト!$CL$5:$CL$6</xm:f>
          </x14:formula1>
          <xm:sqref>I25:I174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6">
    <outlinePr summaryRight="0"/>
    <pageSetUpPr fitToPage="1"/>
  </sheetPr>
  <dimension ref="A1:CW212427"/>
  <sheetViews>
    <sheetView showGridLines="0" zoomScale="80" zoomScaleNormal="80" zoomScaleSheetLayoutView="70" workbookViewId="0">
      <selection activeCell="P11" sqref="P11"/>
    </sheetView>
  </sheetViews>
  <sheetFormatPr defaultColWidth="2.75" defaultRowHeight="14.25" customHeight="1" outlineLevelCol="1"/>
  <cols>
    <col min="1" max="1" width="0.875" style="128" customWidth="1"/>
    <col min="2" max="2" width="2.625" style="128" customWidth="1"/>
    <col min="3" max="5" width="2.75" style="128" customWidth="1"/>
    <col min="6" max="15" width="3.125" style="128" customWidth="1"/>
    <col min="16" max="20" width="17.375" style="128" customWidth="1"/>
    <col min="21" max="21" width="17.375" style="128" customWidth="1" collapsed="1"/>
    <col min="22" max="35" width="17.375" style="128" hidden="1" customWidth="1" outlineLevel="1"/>
    <col min="36" max="37" width="17.375" style="128" customWidth="1"/>
    <col min="38" max="40" width="2.625" style="128" customWidth="1"/>
    <col min="41" max="50" width="3.125" style="128" customWidth="1"/>
    <col min="51" max="51" width="2.75" style="128"/>
    <col min="52" max="53" width="2.75" style="128" outlineLevel="1"/>
    <col min="54" max="54" width="4.625" style="128" customWidth="1" outlineLevel="1"/>
    <col min="55" max="55" width="17.75" style="128" customWidth="1" outlineLevel="1"/>
    <col min="56" max="65" width="12.625" style="170" customWidth="1" outlineLevel="1"/>
    <col min="66" max="70" width="12.625" style="128" customWidth="1" outlineLevel="1"/>
    <col min="71" max="83" width="12.375" style="128" customWidth="1"/>
    <col min="84" max="84" width="2.625" style="128" customWidth="1"/>
    <col min="85" max="96" width="12.375" style="128" customWidth="1"/>
    <col min="97" max="16384" width="2.75" style="128"/>
  </cols>
  <sheetData>
    <row r="1" spans="1:101" ht="14.25" customHeight="1">
      <c r="BB1" s="131" t="s">
        <v>0</v>
      </c>
    </row>
    <row r="2" spans="1:101" ht="17.25">
      <c r="A2" s="348" t="s">
        <v>731</v>
      </c>
      <c r="B2" s="348"/>
      <c r="C2" s="154"/>
      <c r="D2" s="155"/>
      <c r="E2" s="155"/>
      <c r="F2" s="155"/>
      <c r="G2" s="155"/>
      <c r="H2" s="155"/>
      <c r="I2" s="155"/>
      <c r="J2" s="155"/>
      <c r="K2" s="155"/>
      <c r="L2" s="155"/>
      <c r="M2" s="155"/>
      <c r="N2" s="155"/>
      <c r="O2" s="155"/>
      <c r="P2" s="155"/>
      <c r="Q2" s="155"/>
      <c r="R2" s="155"/>
      <c r="S2" s="155"/>
      <c r="T2" s="155"/>
      <c r="U2" s="155"/>
      <c r="V2" s="155"/>
      <c r="W2" s="155"/>
      <c r="X2" s="155"/>
      <c r="Y2" s="155"/>
      <c r="Z2" s="155"/>
      <c r="AA2" s="155"/>
      <c r="AB2" s="155"/>
      <c r="AC2" s="155"/>
      <c r="AD2" s="155"/>
      <c r="AE2" s="155"/>
      <c r="AF2" s="155"/>
      <c r="AG2" s="155"/>
      <c r="AH2" s="155"/>
      <c r="AI2" s="155"/>
      <c r="AJ2" s="756"/>
      <c r="AK2" s="756"/>
      <c r="AL2" s="756"/>
      <c r="AM2" s="756"/>
      <c r="AN2" s="756"/>
      <c r="AO2" s="756"/>
      <c r="AP2" s="756"/>
      <c r="AQ2" s="756"/>
      <c r="AR2" s="756"/>
      <c r="AS2" s="756"/>
      <c r="AT2" s="756"/>
      <c r="AU2" s="387"/>
      <c r="AV2" s="387"/>
      <c r="AW2" s="387"/>
      <c r="AX2" s="387"/>
      <c r="BB2" s="348" t="s">
        <v>731</v>
      </c>
    </row>
    <row r="3" spans="1:101" ht="14.1" customHeight="1">
      <c r="A3" s="348"/>
      <c r="B3" s="348"/>
      <c r="C3" s="161" t="s">
        <v>732</v>
      </c>
      <c r="E3" s="155"/>
      <c r="F3" s="155"/>
      <c r="G3" s="155"/>
      <c r="H3" s="155"/>
      <c r="I3" s="155"/>
      <c r="J3" s="155"/>
      <c r="K3" s="155"/>
      <c r="L3" s="155"/>
      <c r="M3" s="155"/>
      <c r="N3" s="155"/>
      <c r="O3" s="155"/>
      <c r="P3" s="155"/>
      <c r="Q3" s="155"/>
      <c r="R3" s="155"/>
      <c r="S3" s="155"/>
      <c r="T3" s="155"/>
      <c r="U3" s="155"/>
      <c r="V3" s="155"/>
      <c r="W3" s="155"/>
      <c r="X3" s="155"/>
      <c r="Y3" s="155"/>
      <c r="Z3" s="155"/>
      <c r="AA3" s="155"/>
      <c r="AB3" s="155"/>
      <c r="AC3" s="155"/>
      <c r="AD3" s="155"/>
      <c r="AE3" s="155"/>
      <c r="AF3" s="155"/>
      <c r="AG3" s="155"/>
      <c r="AH3" s="155"/>
      <c r="AI3" s="155"/>
      <c r="AJ3" s="756"/>
      <c r="AK3" s="2411"/>
      <c r="AL3" s="2411"/>
      <c r="AM3" s="2411"/>
      <c r="AN3" s="2411"/>
      <c r="AO3" s="2412"/>
      <c r="AP3" s="2411"/>
      <c r="AQ3" s="2411"/>
      <c r="AR3" s="2411"/>
      <c r="AS3" s="2411"/>
      <c r="AT3" s="2411"/>
      <c r="AU3" s="387"/>
      <c r="AV3" s="387"/>
      <c r="AW3" s="387"/>
      <c r="AX3" s="387"/>
    </row>
    <row r="4" spans="1:101" s="55" customFormat="1" ht="14.1" customHeight="1">
      <c r="C4" s="161" t="s">
        <v>733</v>
      </c>
      <c r="E4" s="161"/>
      <c r="F4" s="161"/>
      <c r="G4" s="161"/>
      <c r="H4" s="161"/>
      <c r="I4" s="161"/>
      <c r="J4" s="161"/>
      <c r="K4" s="161"/>
      <c r="L4" s="161"/>
      <c r="M4" s="161"/>
      <c r="N4" s="161"/>
      <c r="O4" s="161"/>
      <c r="P4" s="161"/>
      <c r="Q4" s="161"/>
      <c r="R4" s="161"/>
      <c r="S4" s="161"/>
      <c r="T4" s="161"/>
      <c r="U4" s="161"/>
      <c r="V4" s="161"/>
      <c r="W4" s="161"/>
      <c r="X4" s="161"/>
      <c r="Y4" s="161"/>
      <c r="Z4" s="161"/>
      <c r="AA4" s="161"/>
      <c r="AB4" s="161"/>
      <c r="AC4" s="161"/>
      <c r="AD4" s="161"/>
      <c r="AE4" s="161"/>
      <c r="AF4" s="161"/>
      <c r="AG4" s="161"/>
      <c r="AH4" s="161"/>
      <c r="AI4" s="161"/>
      <c r="AJ4" s="756"/>
      <c r="AK4" s="2411"/>
      <c r="AL4" s="2411"/>
      <c r="AM4" s="2411"/>
      <c r="AN4" s="2411"/>
      <c r="AO4" s="2412"/>
      <c r="AP4" s="2411"/>
      <c r="AQ4" s="2411"/>
      <c r="AR4" s="2411"/>
      <c r="AS4" s="2411"/>
      <c r="AT4" s="2411"/>
      <c r="AU4" s="802"/>
      <c r="AV4" s="802"/>
      <c r="AW4" s="802"/>
      <c r="AX4" s="802"/>
      <c r="BD4" s="1011"/>
      <c r="BE4" s="1011"/>
      <c r="BF4" s="1011"/>
      <c r="BH4" s="1011"/>
      <c r="BI4" s="1011"/>
      <c r="BK4" s="1011"/>
      <c r="BL4" s="1011"/>
    </row>
    <row r="5" spans="1:101" s="55" customFormat="1" ht="14.1" customHeight="1">
      <c r="C5" s="161" t="s">
        <v>734</v>
      </c>
      <c r="E5" s="161"/>
      <c r="F5" s="161"/>
      <c r="G5" s="161"/>
      <c r="H5" s="161"/>
      <c r="I5" s="161"/>
      <c r="J5" s="161"/>
      <c r="K5" s="161"/>
      <c r="L5" s="161"/>
      <c r="M5" s="161"/>
      <c r="N5" s="161"/>
      <c r="O5" s="161"/>
      <c r="P5" s="161"/>
      <c r="Q5" s="161"/>
      <c r="R5" s="161"/>
      <c r="S5" s="161"/>
      <c r="T5" s="161"/>
      <c r="U5" s="161"/>
      <c r="V5" s="161"/>
      <c r="W5" s="161"/>
      <c r="X5" s="161"/>
      <c r="Y5" s="161"/>
      <c r="Z5" s="161"/>
      <c r="AA5" s="161"/>
      <c r="AB5" s="161"/>
      <c r="AC5" s="161"/>
      <c r="AD5" s="161"/>
      <c r="AE5" s="161"/>
      <c r="AF5" s="161"/>
      <c r="AG5" s="161"/>
      <c r="AH5" s="161"/>
      <c r="AI5" s="161"/>
      <c r="AJ5" s="756"/>
      <c r="AK5" s="2411"/>
      <c r="AL5" s="2411"/>
      <c r="AM5" s="2411"/>
      <c r="AN5" s="2411"/>
      <c r="AO5" s="2412"/>
      <c r="AP5" s="2411"/>
      <c r="AQ5" s="2411"/>
      <c r="AR5" s="2411"/>
      <c r="AS5" s="2411"/>
      <c r="AT5" s="2411"/>
      <c r="AU5" s="802"/>
      <c r="AV5" s="802"/>
      <c r="AW5" s="802"/>
      <c r="AX5" s="802"/>
      <c r="BD5" s="1011"/>
      <c r="BE5" s="1011"/>
      <c r="BF5" s="1011"/>
      <c r="BH5" s="1011"/>
      <c r="BI5" s="1011"/>
      <c r="BK5" s="1011"/>
      <c r="BL5" s="1011"/>
    </row>
    <row r="6" spans="1:101">
      <c r="C6" s="161" t="s">
        <v>735</v>
      </c>
      <c r="D6" s="155"/>
      <c r="E6" s="155"/>
      <c r="F6" s="155"/>
      <c r="G6" s="155"/>
      <c r="H6" s="155"/>
      <c r="I6" s="155"/>
      <c r="J6" s="155"/>
      <c r="K6" s="155"/>
      <c r="L6" s="155"/>
      <c r="M6" s="155"/>
      <c r="N6" s="155"/>
      <c r="O6" s="155"/>
      <c r="P6" s="155"/>
      <c r="Q6" s="155"/>
      <c r="R6" s="155"/>
      <c r="S6" s="155"/>
      <c r="T6" s="155"/>
      <c r="U6" s="155"/>
      <c r="V6" s="155"/>
      <c r="W6" s="155"/>
      <c r="X6" s="155"/>
      <c r="Y6" s="155"/>
      <c r="Z6" s="155"/>
      <c r="AA6" s="155"/>
      <c r="AB6" s="155"/>
      <c r="AC6" s="155"/>
      <c r="AD6" s="155"/>
      <c r="AE6" s="155"/>
      <c r="AF6" s="155"/>
      <c r="AG6" s="155"/>
      <c r="AH6" s="155"/>
      <c r="AI6" s="155"/>
      <c r="AJ6" s="756"/>
      <c r="AK6" s="2411"/>
      <c r="AL6" s="2411"/>
      <c r="AM6" s="2411"/>
      <c r="AN6" s="2411"/>
      <c r="AO6" s="2412"/>
      <c r="AP6" s="2411"/>
      <c r="AQ6" s="2411"/>
      <c r="AR6" s="2411"/>
      <c r="AS6" s="2411"/>
      <c r="AT6" s="2411"/>
      <c r="AU6" s="387"/>
      <c r="AV6" s="387"/>
      <c r="AW6" s="387"/>
      <c r="AX6" s="387"/>
      <c r="BB6" s="260" t="s">
        <v>736</v>
      </c>
      <c r="BC6" s="260"/>
      <c r="BD6" s="264"/>
      <c r="BE6" s="264"/>
      <c r="BF6" s="264"/>
      <c r="BG6" s="264"/>
      <c r="BH6" s="264"/>
      <c r="BI6" s="264"/>
      <c r="BJ6" s="264"/>
      <c r="BK6" s="264"/>
      <c r="BL6" s="264"/>
      <c r="BM6" s="264"/>
      <c r="BN6" s="260"/>
      <c r="BO6" s="260"/>
    </row>
    <row r="7" spans="1:101" s="131" customFormat="1" ht="18" customHeight="1">
      <c r="A7" s="130" t="s">
        <v>737</v>
      </c>
      <c r="B7" s="130"/>
      <c r="D7" s="133"/>
      <c r="E7" s="133"/>
      <c r="F7" s="133"/>
      <c r="G7" s="133"/>
      <c r="H7" s="133"/>
      <c r="I7" s="133"/>
      <c r="J7" s="133"/>
      <c r="K7" s="133"/>
      <c r="L7" s="133"/>
      <c r="M7" s="133"/>
      <c r="N7" s="133"/>
      <c r="O7" s="133"/>
      <c r="P7" s="133"/>
      <c r="Q7" s="133"/>
      <c r="R7" s="133"/>
      <c r="S7" s="133"/>
      <c r="T7" s="133"/>
      <c r="U7" s="133"/>
      <c r="V7" s="133"/>
      <c r="W7" s="133"/>
      <c r="X7" s="133"/>
      <c r="Y7" s="133"/>
      <c r="Z7" s="133"/>
      <c r="AA7" s="133"/>
      <c r="AB7" s="133"/>
      <c r="AC7" s="133"/>
      <c r="AD7" s="133"/>
      <c r="AE7" s="133"/>
      <c r="AF7" s="133"/>
      <c r="AG7" s="133"/>
      <c r="AH7" s="133"/>
      <c r="AI7" s="133"/>
      <c r="AJ7" s="130" t="s">
        <v>738</v>
      </c>
      <c r="AK7" s="133"/>
      <c r="AL7" s="146"/>
      <c r="AM7" s="146"/>
      <c r="AN7" s="133"/>
      <c r="AO7" s="133"/>
      <c r="AP7" s="133"/>
      <c r="AQ7" s="133"/>
      <c r="AR7" s="133"/>
      <c r="AS7" s="133"/>
      <c r="AT7" s="133"/>
      <c r="BB7" s="130"/>
      <c r="BD7" s="170"/>
      <c r="BE7" s="170"/>
      <c r="BF7" s="170"/>
      <c r="BG7" s="170"/>
      <c r="BH7" s="170"/>
      <c r="BI7" s="170"/>
      <c r="BJ7" s="170"/>
      <c r="BK7" s="170"/>
      <c r="BL7" s="170"/>
      <c r="BM7" s="170"/>
    </row>
    <row r="8" spans="1:101" s="676" customFormat="1" ht="19.5" customHeight="1">
      <c r="A8" s="1012"/>
      <c r="B8" s="1012"/>
      <c r="C8" s="1013" t="s">
        <v>739</v>
      </c>
      <c r="E8" s="1014"/>
      <c r="F8" s="1014"/>
      <c r="G8" s="1014"/>
      <c r="H8" s="1014"/>
      <c r="I8" s="1014"/>
      <c r="J8" s="1014"/>
      <c r="K8" s="1014"/>
      <c r="L8" s="1014"/>
      <c r="M8" s="1014"/>
      <c r="N8" s="1014"/>
      <c r="O8" s="1014"/>
      <c r="P8" s="1014"/>
      <c r="Q8" s="1014"/>
      <c r="R8" s="1014"/>
      <c r="S8" s="1014"/>
      <c r="T8" s="1014"/>
      <c r="U8" s="1014"/>
      <c r="V8" s="1014"/>
      <c r="W8" s="1014"/>
      <c r="X8" s="1014"/>
      <c r="Y8" s="1014"/>
      <c r="Z8" s="1014"/>
      <c r="AA8" s="1014"/>
      <c r="AB8" s="1014"/>
      <c r="AC8" s="1014"/>
      <c r="AD8" s="1014"/>
      <c r="AE8" s="1014"/>
      <c r="AF8" s="1014"/>
      <c r="AG8" s="1014"/>
      <c r="AH8" s="1014"/>
      <c r="AI8" s="1014"/>
      <c r="AJ8" s="517" t="s">
        <v>740</v>
      </c>
      <c r="AK8" s="1014"/>
      <c r="AL8" s="1015"/>
      <c r="AM8" s="1015"/>
      <c r="AN8" s="1014"/>
      <c r="AO8" s="1014"/>
      <c r="AP8" s="1014"/>
      <c r="AQ8" s="1014"/>
      <c r="AR8" s="1014"/>
      <c r="AS8" s="1014"/>
      <c r="AT8" s="1014"/>
      <c r="BB8" s="2"/>
      <c r="BC8" s="2"/>
      <c r="BD8" s="2"/>
      <c r="BE8" s="2"/>
      <c r="BF8" s="2"/>
      <c r="BG8" s="2"/>
      <c r="BH8" s="2"/>
      <c r="BI8" s="2"/>
      <c r="BJ8" s="2"/>
      <c r="BK8" s="2"/>
      <c r="BL8" s="2"/>
      <c r="BN8" s="2"/>
      <c r="BO8" s="1016"/>
      <c r="BP8" s="1016"/>
    </row>
    <row r="9" spans="1:101" s="676" customFormat="1" ht="19.5" customHeight="1" thickBot="1">
      <c r="A9" s="1012"/>
      <c r="B9" s="1012"/>
      <c r="C9" s="1013"/>
      <c r="E9" s="1014"/>
      <c r="F9" s="1014"/>
      <c r="G9" s="1014"/>
      <c r="H9" s="1014"/>
      <c r="I9" s="1014"/>
      <c r="J9" s="1014"/>
      <c r="K9" s="1014"/>
      <c r="L9" s="1014"/>
      <c r="M9" s="1014"/>
      <c r="N9" s="1014"/>
      <c r="O9" s="1014"/>
      <c r="P9" s="1014"/>
      <c r="Q9" s="1014"/>
      <c r="R9" s="1014"/>
      <c r="S9" s="1014"/>
      <c r="T9" s="1014"/>
      <c r="U9" s="1015" t="s">
        <v>741</v>
      </c>
      <c r="V9" s="1014"/>
      <c r="W9" s="1014"/>
      <c r="X9" s="1014"/>
      <c r="Y9" s="1014"/>
      <c r="Z9" s="1014"/>
      <c r="AA9" s="1014"/>
      <c r="AB9" s="1014"/>
      <c r="AC9" s="1014"/>
      <c r="AD9" s="1014"/>
      <c r="AE9" s="1014"/>
      <c r="AF9" s="1014"/>
      <c r="AG9" s="1014"/>
      <c r="AH9" s="1014"/>
      <c r="AI9" s="1015" t="s">
        <v>741</v>
      </c>
      <c r="AJ9" s="517"/>
      <c r="AK9" s="1014"/>
      <c r="AL9" s="1015"/>
      <c r="AM9" s="1015"/>
      <c r="AN9" s="1014"/>
      <c r="AO9" s="1014"/>
      <c r="AP9" s="1014"/>
      <c r="AQ9" s="1014"/>
      <c r="AR9" s="1014"/>
      <c r="AS9" s="1014"/>
      <c r="AT9" s="1014"/>
      <c r="AX9" s="1015" t="s">
        <v>741</v>
      </c>
      <c r="BB9" s="2"/>
      <c r="BC9" s="2"/>
      <c r="BD9" s="2"/>
      <c r="BE9" s="2"/>
      <c r="BF9" s="2"/>
      <c r="BG9" s="2"/>
      <c r="BH9" s="2"/>
      <c r="BI9" s="2"/>
      <c r="BJ9" s="2"/>
      <c r="BK9" s="2"/>
      <c r="BL9" s="2"/>
      <c r="BM9" s="1015" t="s">
        <v>741</v>
      </c>
      <c r="BN9" s="2"/>
      <c r="BO9" s="1016"/>
      <c r="BP9" s="1016"/>
      <c r="CE9" s="1015"/>
    </row>
    <row r="10" spans="1:101" ht="30.75" customHeight="1" thickBot="1">
      <c r="C10" s="1713" t="s">
        <v>742</v>
      </c>
      <c r="D10" s="1431"/>
      <c r="E10" s="1431"/>
      <c r="F10" s="1744" t="s">
        <v>212</v>
      </c>
      <c r="G10" s="1431"/>
      <c r="H10" s="1431"/>
      <c r="I10" s="1431"/>
      <c r="J10" s="1431"/>
      <c r="K10" s="1431"/>
      <c r="L10" s="1431"/>
      <c r="M10" s="1017"/>
      <c r="N10" s="1017"/>
      <c r="O10" s="1017"/>
      <c r="P10" s="1018">
        <v>1</v>
      </c>
      <c r="Q10" s="1019">
        <v>2</v>
      </c>
      <c r="R10" s="1019">
        <v>3</v>
      </c>
      <c r="S10" s="1019">
        <v>4</v>
      </c>
      <c r="T10" s="1019">
        <v>5</v>
      </c>
      <c r="U10" s="1019">
        <v>6</v>
      </c>
      <c r="V10" s="1019">
        <v>7</v>
      </c>
      <c r="W10" s="1019">
        <v>8</v>
      </c>
      <c r="X10" s="1019">
        <v>9</v>
      </c>
      <c r="Y10" s="1019">
        <v>10</v>
      </c>
      <c r="Z10" s="1019">
        <v>11</v>
      </c>
      <c r="AA10" s="1019">
        <v>12</v>
      </c>
      <c r="AB10" s="1019">
        <v>13</v>
      </c>
      <c r="AC10" s="1019">
        <v>14</v>
      </c>
      <c r="AD10" s="1019">
        <v>15</v>
      </c>
      <c r="AE10" s="1019">
        <v>16</v>
      </c>
      <c r="AF10" s="1019">
        <v>17</v>
      </c>
      <c r="AG10" s="1019">
        <v>18</v>
      </c>
      <c r="AH10" s="1019">
        <v>19</v>
      </c>
      <c r="AI10" s="1020">
        <v>20</v>
      </c>
      <c r="AJ10" s="2421" t="s">
        <v>743</v>
      </c>
      <c r="AK10" s="2403" t="s">
        <v>744</v>
      </c>
      <c r="AL10" s="1713" t="s">
        <v>742</v>
      </c>
      <c r="AM10" s="1431"/>
      <c r="AN10" s="1431"/>
      <c r="AO10" s="1744" t="s">
        <v>212</v>
      </c>
      <c r="AP10" s="1431"/>
      <c r="AQ10" s="1431"/>
      <c r="AR10" s="1431"/>
      <c r="AS10" s="1431"/>
      <c r="AT10" s="1431"/>
      <c r="AU10" s="1431"/>
      <c r="AV10" s="1431"/>
      <c r="AW10" s="1431"/>
      <c r="AX10" s="1454"/>
      <c r="BB10" s="2432"/>
      <c r="BC10" s="2432"/>
      <c r="BD10" s="2433" t="s">
        <v>745</v>
      </c>
      <c r="BE10" s="2433"/>
      <c r="BF10" s="2434"/>
      <c r="BG10" s="2435" t="s">
        <v>746</v>
      </c>
      <c r="BH10" s="2433"/>
      <c r="BI10" s="2433"/>
      <c r="BJ10" s="2433"/>
      <c r="BK10" s="2433"/>
      <c r="BL10" s="2433"/>
      <c r="BM10" s="2434"/>
      <c r="BO10" s="1021"/>
      <c r="BP10" s="1021"/>
      <c r="BQ10" s="1022"/>
      <c r="BR10" s="1022"/>
      <c r="BS10" s="1022"/>
      <c r="BT10" s="1022"/>
      <c r="BU10" s="1022"/>
      <c r="BV10" s="1022"/>
      <c r="BW10" s="1022"/>
      <c r="BX10" s="1022"/>
      <c r="BY10" s="1022"/>
      <c r="BZ10" s="1022"/>
      <c r="CA10" s="1022"/>
      <c r="CB10" s="1022"/>
      <c r="CC10" s="1022"/>
      <c r="CD10" s="1022"/>
      <c r="CE10" s="1022"/>
    </row>
    <row r="11" spans="1:101" ht="30" customHeight="1" thickTop="1">
      <c r="C11" s="1683"/>
      <c r="D11" s="1684"/>
      <c r="E11" s="1684"/>
      <c r="F11" s="1745"/>
      <c r="G11" s="1684"/>
      <c r="H11" s="1684"/>
      <c r="I11" s="1684"/>
      <c r="J11" s="1684"/>
      <c r="K11" s="1684"/>
      <c r="L11" s="1684"/>
      <c r="M11" s="2413" t="s">
        <v>747</v>
      </c>
      <c r="N11" s="2414"/>
      <c r="O11" s="2414"/>
      <c r="P11" s="1023"/>
      <c r="Q11" s="1024"/>
      <c r="R11" s="1024"/>
      <c r="S11" s="1024"/>
      <c r="T11" s="1024"/>
      <c r="U11" s="1024"/>
      <c r="V11" s="1024"/>
      <c r="W11" s="1024"/>
      <c r="X11" s="1024"/>
      <c r="Y11" s="1024"/>
      <c r="Z11" s="1024"/>
      <c r="AA11" s="1024"/>
      <c r="AB11" s="1024"/>
      <c r="AC11" s="1024"/>
      <c r="AD11" s="1024"/>
      <c r="AE11" s="1024"/>
      <c r="AF11" s="1024"/>
      <c r="AG11" s="1024"/>
      <c r="AH11" s="1024"/>
      <c r="AI11" s="1025"/>
      <c r="AJ11" s="2422"/>
      <c r="AK11" s="1739"/>
      <c r="AL11" s="1683"/>
      <c r="AM11" s="1684"/>
      <c r="AN11" s="1684"/>
      <c r="AO11" s="1745"/>
      <c r="AP11" s="1684"/>
      <c r="AQ11" s="1684"/>
      <c r="AR11" s="1684"/>
      <c r="AS11" s="1684"/>
      <c r="AT11" s="1684"/>
      <c r="AU11" s="1684"/>
      <c r="AV11" s="1684"/>
      <c r="AW11" s="1684"/>
      <c r="AX11" s="1685"/>
      <c r="BB11" s="2432"/>
      <c r="BC11" s="2432"/>
      <c r="BD11" s="2415" t="s">
        <v>748</v>
      </c>
      <c r="BE11" s="2415" t="s">
        <v>749</v>
      </c>
      <c r="BF11" s="2415" t="s">
        <v>750</v>
      </c>
      <c r="BG11" s="2418" t="s">
        <v>751</v>
      </c>
      <c r="BH11" s="2419"/>
      <c r="BI11" s="2420"/>
      <c r="BJ11" s="1553" t="s">
        <v>752</v>
      </c>
      <c r="BK11" s="1569"/>
      <c r="BL11" s="1569"/>
      <c r="BM11" s="2415" t="s">
        <v>753</v>
      </c>
      <c r="BO11" s="1021"/>
      <c r="BP11" s="1021"/>
      <c r="BQ11" s="1022"/>
      <c r="BR11" s="1022"/>
      <c r="BS11" s="1022"/>
      <c r="BT11" s="1022"/>
      <c r="BU11" s="1022"/>
      <c r="BV11" s="1022"/>
      <c r="BW11" s="1022"/>
      <c r="BX11" s="1022"/>
      <c r="BY11" s="1022"/>
      <c r="BZ11" s="1022"/>
      <c r="CA11" s="1022"/>
      <c r="CB11" s="1022"/>
      <c r="CC11" s="1022"/>
      <c r="CD11" s="1022"/>
      <c r="CE11" s="1022"/>
    </row>
    <row r="12" spans="1:101" ht="30" customHeight="1">
      <c r="C12" s="1683"/>
      <c r="D12" s="1684"/>
      <c r="E12" s="1684"/>
      <c r="F12" s="1745"/>
      <c r="G12" s="1684"/>
      <c r="H12" s="1684"/>
      <c r="I12" s="1684"/>
      <c r="J12" s="1684"/>
      <c r="K12" s="1684"/>
      <c r="L12" s="1684"/>
      <c r="M12" s="2413" t="s">
        <v>754</v>
      </c>
      <c r="N12" s="2414"/>
      <c r="O12" s="2414"/>
      <c r="P12" s="1026"/>
      <c r="Q12" s="1027"/>
      <c r="R12" s="1027"/>
      <c r="S12" s="1027"/>
      <c r="T12" s="1027"/>
      <c r="U12" s="1027"/>
      <c r="V12" s="1027"/>
      <c r="W12" s="1027"/>
      <c r="X12" s="1027"/>
      <c r="Y12" s="1027"/>
      <c r="Z12" s="1027"/>
      <c r="AA12" s="1027"/>
      <c r="AB12" s="1027"/>
      <c r="AC12" s="1027"/>
      <c r="AD12" s="1027"/>
      <c r="AE12" s="1027"/>
      <c r="AF12" s="1027"/>
      <c r="AG12" s="1027"/>
      <c r="AH12" s="1027"/>
      <c r="AI12" s="1028"/>
      <c r="AJ12" s="2422"/>
      <c r="AK12" s="1739"/>
      <c r="AL12" s="1683"/>
      <c r="AM12" s="1684"/>
      <c r="AN12" s="1684"/>
      <c r="AO12" s="1745"/>
      <c r="AP12" s="1684"/>
      <c r="AQ12" s="1684"/>
      <c r="AR12" s="1684"/>
      <c r="AS12" s="1684"/>
      <c r="AT12" s="1684"/>
      <c r="AU12" s="1684"/>
      <c r="AV12" s="1684"/>
      <c r="AW12" s="1684"/>
      <c r="AX12" s="1685"/>
      <c r="BB12" s="2432"/>
      <c r="BC12" s="2432"/>
      <c r="BD12" s="2416"/>
      <c r="BE12" s="2416"/>
      <c r="BF12" s="2416"/>
      <c r="BG12" s="2415" t="s">
        <v>755</v>
      </c>
      <c r="BH12" s="2428" t="s">
        <v>756</v>
      </c>
      <c r="BI12" s="2430" t="s">
        <v>757</v>
      </c>
      <c r="BJ12" s="2415" t="s">
        <v>755</v>
      </c>
      <c r="BK12" s="2428" t="s">
        <v>756</v>
      </c>
      <c r="BL12" s="2430" t="s">
        <v>757</v>
      </c>
      <c r="BM12" s="2416"/>
      <c r="BO12" s="1021"/>
      <c r="BP12" s="1021"/>
      <c r="BQ12" s="1022"/>
      <c r="BR12" s="1022"/>
      <c r="BS12" s="1022"/>
      <c r="BT12" s="1022"/>
      <c r="BU12" s="1022"/>
      <c r="BV12" s="1022"/>
      <c r="BW12" s="1022"/>
      <c r="BX12" s="1022"/>
      <c r="BY12" s="1022"/>
      <c r="BZ12" s="1022"/>
      <c r="CA12" s="1022"/>
      <c r="CB12" s="1022"/>
      <c r="CC12" s="1022"/>
      <c r="CD12" s="1022"/>
      <c r="CE12" s="1022"/>
    </row>
    <row r="13" spans="1:101" ht="30" customHeight="1" thickBot="1">
      <c r="C13" s="1433"/>
      <c r="D13" s="1434"/>
      <c r="E13" s="1434"/>
      <c r="F13" s="1746"/>
      <c r="G13" s="1434"/>
      <c r="H13" s="1434"/>
      <c r="I13" s="1434"/>
      <c r="J13" s="1434"/>
      <c r="K13" s="1434"/>
      <c r="L13" s="1434"/>
      <c r="M13" s="2425" t="s">
        <v>758</v>
      </c>
      <c r="N13" s="2426"/>
      <c r="O13" s="2427"/>
      <c r="P13" s="1029"/>
      <c r="Q13" s="1030"/>
      <c r="R13" s="1030"/>
      <c r="S13" s="1030"/>
      <c r="T13" s="1030"/>
      <c r="U13" s="1030"/>
      <c r="V13" s="1030"/>
      <c r="W13" s="1030"/>
      <c r="X13" s="1030"/>
      <c r="Y13" s="1030"/>
      <c r="Z13" s="1030"/>
      <c r="AA13" s="1030"/>
      <c r="AB13" s="1030"/>
      <c r="AC13" s="1030"/>
      <c r="AD13" s="1030"/>
      <c r="AE13" s="1030"/>
      <c r="AF13" s="1030"/>
      <c r="AG13" s="1030"/>
      <c r="AH13" s="1030"/>
      <c r="AI13" s="1031"/>
      <c r="AJ13" s="2423"/>
      <c r="AK13" s="2424"/>
      <c r="AL13" s="1433"/>
      <c r="AM13" s="1434"/>
      <c r="AN13" s="1434"/>
      <c r="AO13" s="1746"/>
      <c r="AP13" s="1434"/>
      <c r="AQ13" s="1434"/>
      <c r="AR13" s="1434"/>
      <c r="AS13" s="1434"/>
      <c r="AT13" s="1434"/>
      <c r="AU13" s="1434"/>
      <c r="AV13" s="1434"/>
      <c r="AW13" s="1434"/>
      <c r="AX13" s="1686"/>
      <c r="BB13" s="2432"/>
      <c r="BC13" s="2432"/>
      <c r="BD13" s="2417"/>
      <c r="BE13" s="2417"/>
      <c r="BF13" s="2417"/>
      <c r="BG13" s="2417"/>
      <c r="BH13" s="2429"/>
      <c r="BI13" s="2431"/>
      <c r="BJ13" s="2417"/>
      <c r="BK13" s="2429"/>
      <c r="BL13" s="2431"/>
      <c r="BM13" s="2417"/>
      <c r="BO13" s="1021"/>
      <c r="BP13" s="1021"/>
      <c r="BQ13" s="263"/>
      <c r="BR13" s="263"/>
      <c r="BS13" s="263"/>
      <c r="BT13" s="1022"/>
      <c r="BU13" s="1022"/>
      <c r="BV13" s="263"/>
      <c r="BW13" s="263"/>
      <c r="BX13" s="263"/>
      <c r="BY13" s="1022"/>
      <c r="BZ13" s="1022"/>
      <c r="CA13" s="263"/>
      <c r="CB13" s="263"/>
      <c r="CC13" s="263"/>
      <c r="CD13" s="1022"/>
      <c r="CE13" s="1022"/>
    </row>
    <row r="14" spans="1:101" ht="30" customHeight="1" thickTop="1" thickBot="1">
      <c r="A14" s="1032" t="s">
        <v>121</v>
      </c>
      <c r="B14" s="1033"/>
      <c r="C14" s="1034"/>
      <c r="D14" s="1034"/>
      <c r="E14" s="1034"/>
      <c r="F14" s="2436" t="s">
        <v>759</v>
      </c>
      <c r="G14" s="2436"/>
      <c r="H14" s="2436"/>
      <c r="I14" s="2436"/>
      <c r="J14" s="2436"/>
      <c r="K14" s="2436"/>
      <c r="L14" s="2437"/>
      <c r="M14" s="2438" t="s">
        <v>760</v>
      </c>
      <c r="N14" s="2439"/>
      <c r="O14" s="2440"/>
      <c r="P14" s="1035"/>
      <c r="Q14" s="1036"/>
      <c r="R14" s="1036"/>
      <c r="S14" s="1036"/>
      <c r="T14" s="1036"/>
      <c r="U14" s="1036"/>
      <c r="V14" s="1036"/>
      <c r="W14" s="1036"/>
      <c r="X14" s="1036"/>
      <c r="Y14" s="1036"/>
      <c r="Z14" s="1036"/>
      <c r="AA14" s="1036"/>
      <c r="AB14" s="1036"/>
      <c r="AC14" s="1036"/>
      <c r="AD14" s="1036"/>
      <c r="AE14" s="1036"/>
      <c r="AF14" s="1036"/>
      <c r="AG14" s="1036"/>
      <c r="AH14" s="1036"/>
      <c r="AI14" s="1037"/>
      <c r="AJ14" s="1038"/>
      <c r="AK14" s="1039"/>
      <c r="AL14" s="475"/>
      <c r="AM14" s="475"/>
      <c r="AN14" s="475"/>
      <c r="AO14" s="475"/>
      <c r="AP14" s="475"/>
      <c r="AQ14" s="475"/>
      <c r="AR14" s="475"/>
      <c r="AS14" s="475"/>
      <c r="AT14" s="475"/>
      <c r="AU14" s="475"/>
      <c r="AV14" s="475"/>
      <c r="AW14" s="475"/>
      <c r="AX14" s="475"/>
      <c r="BB14" s="2441" t="s">
        <v>629</v>
      </c>
      <c r="BC14" s="2419"/>
      <c r="BD14" s="1233">
        <f>SUBTOTAL(109,BD15:BD30)</f>
        <v>0</v>
      </c>
      <c r="BE14" s="1233">
        <f>SUBTOTAL(109,BE15:BE30)</f>
        <v>0</v>
      </c>
      <c r="BF14" s="1234">
        <f>SUM(BD14:BE14)</f>
        <v>0</v>
      </c>
      <c r="BG14" s="1234">
        <f>SUBTOTAL(109,BG15:BG29)</f>
        <v>0</v>
      </c>
      <c r="BH14" s="1234">
        <f>SUBTOTAL(109,BH15:BH29)</f>
        <v>0</v>
      </c>
      <c r="BI14" s="1233">
        <f t="shared" ref="BI14:BI29" si="0">SUM(BG14:BH14)</f>
        <v>0</v>
      </c>
      <c r="BJ14" s="1234">
        <f>SUBTOTAL(109,BJ15:BJ29)</f>
        <v>0</v>
      </c>
      <c r="BK14" s="1234">
        <f>SUBTOTAL(109,BK15:BK29)</f>
        <v>0</v>
      </c>
      <c r="BL14" s="1233">
        <f t="shared" ref="BL14:BL32" si="1">SUM(BJ14:BK14)</f>
        <v>0</v>
      </c>
      <c r="BM14" s="1234">
        <f>SUM(BI14,BL14)</f>
        <v>0</v>
      </c>
      <c r="BN14" s="144"/>
      <c r="BO14" s="1040"/>
      <c r="BP14" s="463"/>
      <c r="BQ14" s="1041"/>
      <c r="BR14" s="1041"/>
      <c r="BS14" s="1041"/>
      <c r="BT14" s="1041"/>
      <c r="BU14" s="1041"/>
      <c r="BV14" s="1041"/>
      <c r="BW14" s="1041"/>
      <c r="BX14" s="1041"/>
      <c r="BY14" s="1041"/>
      <c r="BZ14" s="1041"/>
      <c r="CA14" s="1041"/>
      <c r="CB14" s="1041"/>
      <c r="CC14" s="1041"/>
      <c r="CD14" s="1041"/>
      <c r="CE14" s="1041"/>
    </row>
    <row r="15" spans="1:101" ht="31.5" customHeight="1" thickTop="1">
      <c r="C15" s="2442" t="s">
        <v>761</v>
      </c>
      <c r="D15" s="2443"/>
      <c r="E15" s="2444"/>
      <c r="F15" s="2445" t="s">
        <v>762</v>
      </c>
      <c r="G15" s="2446"/>
      <c r="H15" s="2446"/>
      <c r="I15" s="2446"/>
      <c r="J15" s="2446"/>
      <c r="K15" s="2446"/>
      <c r="L15" s="2446"/>
      <c r="M15" s="2446"/>
      <c r="N15" s="2446"/>
      <c r="O15" s="2446"/>
      <c r="P15" s="1205"/>
      <c r="Q15" s="1206"/>
      <c r="R15" s="1206"/>
      <c r="S15" s="1206"/>
      <c r="T15" s="1206"/>
      <c r="U15" s="1206"/>
      <c r="V15" s="1206"/>
      <c r="W15" s="1206"/>
      <c r="X15" s="1206"/>
      <c r="Y15" s="1206"/>
      <c r="Z15" s="1206"/>
      <c r="AA15" s="1206"/>
      <c r="AB15" s="1206"/>
      <c r="AC15" s="1206"/>
      <c r="AD15" s="1206"/>
      <c r="AE15" s="1206"/>
      <c r="AF15" s="1206"/>
      <c r="AG15" s="1206"/>
      <c r="AH15" s="1206"/>
      <c r="AI15" s="1207"/>
      <c r="AJ15" s="1208"/>
      <c r="AK15" s="1209"/>
      <c r="AL15" s="1944" t="s">
        <v>761</v>
      </c>
      <c r="AM15" s="1944"/>
      <c r="AN15" s="2447"/>
      <c r="AO15" s="2448" t="s">
        <v>763</v>
      </c>
      <c r="AP15" s="2449"/>
      <c r="AQ15" s="2449"/>
      <c r="AR15" s="2449"/>
      <c r="AS15" s="2449"/>
      <c r="AT15" s="2449"/>
      <c r="AU15" s="2449"/>
      <c r="AV15" s="2449"/>
      <c r="AW15" s="2449"/>
      <c r="AX15" s="2450"/>
      <c r="BB15" s="2451" t="s">
        <v>764</v>
      </c>
      <c r="BC15" s="1042" t="s">
        <v>765</v>
      </c>
      <c r="BD15" s="1235">
        <f>SUM(SUMIFS(P15:AI15,P14:AI14,{"[1]家族","[3]ゆい・手間替え受け"},P12:AI12,"[1]男"))</f>
        <v>0</v>
      </c>
      <c r="BE15" s="1236">
        <f>SUM(SUMIFS(P15:AI15,P14:AI14,{"[1]家族","[3]ゆい・手間替え受け"},P12:AI12,"[2]女"))</f>
        <v>0</v>
      </c>
      <c r="BF15" s="1237">
        <f t="shared" ref="BF15:BF32" si="2">SUM(BD15:BE15)</f>
        <v>0</v>
      </c>
      <c r="BG15" s="1234">
        <f>AJ15</f>
        <v>0</v>
      </c>
      <c r="BH15" s="1238">
        <f>SUM(SUMIFS(P15:AI15,P14:AI14,{"[2]同居人","[4]手伝い・共同作業受け"},P12:AI12,"[1]男"))</f>
        <v>0</v>
      </c>
      <c r="BI15" s="1239">
        <f t="shared" si="0"/>
        <v>0</v>
      </c>
      <c r="BJ15" s="1240">
        <f t="shared" ref="BJ15:BJ29" si="3">AK15</f>
        <v>0</v>
      </c>
      <c r="BK15" s="1238">
        <f>SUM(SUMIFS(P15:AI15,P14:AI14,{"[2]同居人","[4]手伝い・共同作業受け"},P12:AI12,"[2]女"))</f>
        <v>0</v>
      </c>
      <c r="BL15" s="1239">
        <f t="shared" si="1"/>
        <v>0</v>
      </c>
      <c r="BM15" s="1234">
        <f t="shared" ref="BM15:BM29" si="4">SUM(BI15,BL15)</f>
        <v>0</v>
      </c>
      <c r="BN15" s="144"/>
      <c r="BO15" s="1040"/>
      <c r="BP15" s="463"/>
      <c r="BQ15" s="1041"/>
      <c r="BR15" s="1041"/>
      <c r="BS15" s="1041"/>
      <c r="BT15" s="1041"/>
      <c r="BU15" s="1041"/>
      <c r="BV15" s="1041"/>
      <c r="BW15" s="1041"/>
      <c r="BX15" s="1041"/>
      <c r="BY15" s="1041"/>
      <c r="BZ15" s="1041"/>
      <c r="CA15" s="1041"/>
      <c r="CB15" s="1041"/>
      <c r="CC15" s="1041"/>
      <c r="CD15" s="1041"/>
      <c r="CE15" s="1041"/>
      <c r="CS15" s="2"/>
      <c r="CT15" s="2"/>
      <c r="CU15" s="2"/>
      <c r="CV15" s="2"/>
      <c r="CW15" s="2"/>
    </row>
    <row r="16" spans="1:101" ht="31.5" hidden="1" customHeight="1">
      <c r="C16" s="2452" t="s">
        <v>766</v>
      </c>
      <c r="D16" s="2453"/>
      <c r="E16" s="2454"/>
      <c r="F16" s="2455" t="s">
        <v>767</v>
      </c>
      <c r="G16" s="2456"/>
      <c r="H16" s="2456"/>
      <c r="I16" s="2456"/>
      <c r="J16" s="2456"/>
      <c r="K16" s="2456"/>
      <c r="L16" s="2456"/>
      <c r="M16" s="2456"/>
      <c r="N16" s="2456"/>
      <c r="O16" s="2456"/>
      <c r="P16" s="1210"/>
      <c r="Q16" s="1211"/>
      <c r="R16" s="1211"/>
      <c r="S16" s="1211"/>
      <c r="T16" s="1211"/>
      <c r="U16" s="1211"/>
      <c r="V16" s="1211"/>
      <c r="W16" s="1211"/>
      <c r="X16" s="1211"/>
      <c r="Y16" s="1211"/>
      <c r="Z16" s="1211"/>
      <c r="AA16" s="1211"/>
      <c r="AB16" s="1211"/>
      <c r="AC16" s="1211"/>
      <c r="AD16" s="1211"/>
      <c r="AE16" s="1211"/>
      <c r="AF16" s="1211"/>
      <c r="AG16" s="1211"/>
      <c r="AH16" s="1211"/>
      <c r="AI16" s="1212"/>
      <c r="AJ16" s="1213"/>
      <c r="AK16" s="1214"/>
      <c r="AL16" s="2457" t="s">
        <v>766</v>
      </c>
      <c r="AM16" s="1452"/>
      <c r="AN16" s="2458"/>
      <c r="AO16" s="2459" t="s">
        <v>767</v>
      </c>
      <c r="AP16" s="2460"/>
      <c r="AQ16" s="2460"/>
      <c r="AR16" s="2460"/>
      <c r="AS16" s="2460"/>
      <c r="AT16" s="2460"/>
      <c r="AU16" s="2460"/>
      <c r="AV16" s="2460"/>
      <c r="AW16" s="2460"/>
      <c r="AX16" s="2461"/>
      <c r="BB16" s="2318"/>
      <c r="BC16" s="1042" t="s">
        <v>768</v>
      </c>
      <c r="BD16" s="1235">
        <f>SUM(SUMIFS(P16:AI16,P14:AI14,{"[1]家族","[3]ゆい・手間替え受け"},P12:AI12,"[1]男"))</f>
        <v>0</v>
      </c>
      <c r="BE16" s="1236">
        <f>SUM(SUMIFS(P16:AI16,P14:AI14,{"[1]家族","[3]ゆい・手間替え受け"},P12:AI12,"[2]女"))</f>
        <v>0</v>
      </c>
      <c r="BF16" s="1237">
        <f t="shared" si="2"/>
        <v>0</v>
      </c>
      <c r="BG16" s="1234">
        <f t="shared" ref="BG16:BG28" si="5">AJ16</f>
        <v>0</v>
      </c>
      <c r="BH16" s="1238">
        <f>SUM(SUMIFS(P16:AI16,P14:AI14,{"[2]同居人","[4]手伝い・共同作業受け"},P12:AI12,"[1]男"))</f>
        <v>0</v>
      </c>
      <c r="BI16" s="1241">
        <f t="shared" si="0"/>
        <v>0</v>
      </c>
      <c r="BJ16" s="1240">
        <f t="shared" si="3"/>
        <v>0</v>
      </c>
      <c r="BK16" s="1238">
        <f>SUM(SUMIFS(P16:AI16,P14:AI14,{"[2]同居人","[4]手伝い・共同作業受け"},P12:AI12,"[2]女"))</f>
        <v>0</v>
      </c>
      <c r="BL16" s="1241">
        <f t="shared" si="1"/>
        <v>0</v>
      </c>
      <c r="BM16" s="1234">
        <f t="shared" si="4"/>
        <v>0</v>
      </c>
      <c r="BN16" s="144"/>
      <c r="BO16" s="1040"/>
      <c r="BP16" s="463"/>
      <c r="BQ16" s="1041"/>
      <c r="BR16" s="1041"/>
      <c r="BS16" s="1041"/>
      <c r="BT16" s="1041"/>
      <c r="BU16" s="1041"/>
      <c r="BV16" s="1041"/>
      <c r="BW16" s="1041"/>
      <c r="BX16" s="1041"/>
      <c r="BY16" s="1041"/>
      <c r="BZ16" s="1041"/>
      <c r="CA16" s="1041"/>
      <c r="CB16" s="1041"/>
      <c r="CC16" s="1041"/>
      <c r="CD16" s="1041"/>
      <c r="CE16" s="1041"/>
    </row>
    <row r="17" spans="3:83" ht="31.5" customHeight="1">
      <c r="C17" s="2452" t="s">
        <v>769</v>
      </c>
      <c r="D17" s="2453"/>
      <c r="E17" s="2454"/>
      <c r="F17" s="2455" t="s">
        <v>770</v>
      </c>
      <c r="G17" s="2456"/>
      <c r="H17" s="2456"/>
      <c r="I17" s="2456"/>
      <c r="J17" s="2456"/>
      <c r="K17" s="2456"/>
      <c r="L17" s="2456"/>
      <c r="M17" s="2456"/>
      <c r="N17" s="2456"/>
      <c r="O17" s="2456"/>
      <c r="P17" s="1210"/>
      <c r="Q17" s="1211"/>
      <c r="R17" s="1211"/>
      <c r="S17" s="1211"/>
      <c r="T17" s="1211"/>
      <c r="U17" s="1211"/>
      <c r="V17" s="1211"/>
      <c r="W17" s="1211"/>
      <c r="X17" s="1211"/>
      <c r="Y17" s="1211"/>
      <c r="Z17" s="1211"/>
      <c r="AA17" s="1211"/>
      <c r="AB17" s="1211"/>
      <c r="AC17" s="1211"/>
      <c r="AD17" s="1211"/>
      <c r="AE17" s="1211"/>
      <c r="AF17" s="1211"/>
      <c r="AG17" s="1211"/>
      <c r="AH17" s="1211"/>
      <c r="AI17" s="1212"/>
      <c r="AJ17" s="1213"/>
      <c r="AK17" s="1214"/>
      <c r="AL17" s="2457" t="s">
        <v>769</v>
      </c>
      <c r="AM17" s="1452"/>
      <c r="AN17" s="2458"/>
      <c r="AO17" s="2459" t="s">
        <v>770</v>
      </c>
      <c r="AP17" s="2460"/>
      <c r="AQ17" s="2460"/>
      <c r="AR17" s="2460"/>
      <c r="AS17" s="2460"/>
      <c r="AT17" s="2460"/>
      <c r="AU17" s="2460"/>
      <c r="AV17" s="2460"/>
      <c r="AW17" s="2460"/>
      <c r="AX17" s="2461"/>
      <c r="BB17" s="2318"/>
      <c r="BC17" s="1042" t="s">
        <v>771</v>
      </c>
      <c r="BD17" s="1242">
        <f>SUM(SUMIFS(P17:AI17,P14:AI14,{"[1]家族","[3]ゆい・手間替え受け"},P12:AI12,"[1]男"))</f>
        <v>0</v>
      </c>
      <c r="BE17" s="1243">
        <f>SUM(SUMIFS(P17:AI17,P14:AI14,{"[1]家族","[3]ゆい・手間替え受け"},P12:AI12,"[2]女"))</f>
        <v>0</v>
      </c>
      <c r="BF17" s="1237">
        <f t="shared" si="2"/>
        <v>0</v>
      </c>
      <c r="BG17" s="1234">
        <f t="shared" si="5"/>
        <v>0</v>
      </c>
      <c r="BH17" s="1238">
        <f>SUM(SUMIFS(P17:AI17,P14:AI14,{"[2]同居人","[4]手伝い・共同作業受け"},P12:AI12,"[1]男"))</f>
        <v>0</v>
      </c>
      <c r="BI17" s="1241">
        <f t="shared" si="0"/>
        <v>0</v>
      </c>
      <c r="BJ17" s="1240">
        <f t="shared" si="3"/>
        <v>0</v>
      </c>
      <c r="BK17" s="1238">
        <f>SUM(SUMIFS(P17:AI17,P14:AI14,{"[2]同居人","[4]手伝い・共同作業受け"},P12:AI12,"[2]女"))</f>
        <v>0</v>
      </c>
      <c r="BL17" s="1241">
        <f t="shared" si="1"/>
        <v>0</v>
      </c>
      <c r="BM17" s="1234">
        <f t="shared" si="4"/>
        <v>0</v>
      </c>
      <c r="BN17" s="144"/>
      <c r="BO17" s="1040"/>
      <c r="BP17" s="463"/>
      <c r="BQ17" s="1041"/>
      <c r="BR17" s="1041"/>
      <c r="BS17" s="1041"/>
      <c r="BT17" s="1041"/>
      <c r="BU17" s="1041"/>
      <c r="BV17" s="1041"/>
      <c r="BW17" s="1041"/>
      <c r="BX17" s="1041"/>
      <c r="BY17" s="1041"/>
      <c r="BZ17" s="1041"/>
      <c r="CA17" s="1041"/>
      <c r="CB17" s="1041"/>
      <c r="CC17" s="1041"/>
      <c r="CD17" s="1041"/>
      <c r="CE17" s="1041"/>
    </row>
    <row r="18" spans="3:83" ht="31.5" customHeight="1">
      <c r="C18" s="2452" t="s">
        <v>772</v>
      </c>
      <c r="D18" s="2453"/>
      <c r="E18" s="2454"/>
      <c r="F18" s="2455" t="s">
        <v>773</v>
      </c>
      <c r="G18" s="2456"/>
      <c r="H18" s="2456"/>
      <c r="I18" s="2456"/>
      <c r="J18" s="2456"/>
      <c r="K18" s="2456"/>
      <c r="L18" s="2456"/>
      <c r="M18" s="2456"/>
      <c r="N18" s="2456"/>
      <c r="O18" s="2456"/>
      <c r="P18" s="1210"/>
      <c r="Q18" s="1211"/>
      <c r="R18" s="1211"/>
      <c r="S18" s="1211"/>
      <c r="T18" s="1211"/>
      <c r="U18" s="1215"/>
      <c r="V18" s="1216"/>
      <c r="W18" s="1216"/>
      <c r="X18" s="1216"/>
      <c r="Y18" s="1216"/>
      <c r="Z18" s="1216"/>
      <c r="AA18" s="1216"/>
      <c r="AB18" s="1216"/>
      <c r="AC18" s="1216"/>
      <c r="AD18" s="1216"/>
      <c r="AE18" s="1216"/>
      <c r="AF18" s="1216"/>
      <c r="AG18" s="1216"/>
      <c r="AH18" s="1216"/>
      <c r="AI18" s="1217"/>
      <c r="AJ18" s="1218"/>
      <c r="AK18" s="1214"/>
      <c r="AL18" s="2457" t="s">
        <v>772</v>
      </c>
      <c r="AM18" s="1452"/>
      <c r="AN18" s="2458"/>
      <c r="AO18" s="2459" t="s">
        <v>773</v>
      </c>
      <c r="AP18" s="2460"/>
      <c r="AQ18" s="2460"/>
      <c r="AR18" s="2460"/>
      <c r="AS18" s="2460"/>
      <c r="AT18" s="2460"/>
      <c r="AU18" s="2460"/>
      <c r="AV18" s="2460"/>
      <c r="AW18" s="2460"/>
      <c r="AX18" s="2461"/>
      <c r="BB18" s="2318"/>
      <c r="BC18" s="1042" t="s">
        <v>774</v>
      </c>
      <c r="BD18" s="1242">
        <f>SUM(SUMIFS(P18:AI18,P14:AI14,{"[1]家族","[3]ゆい・手間替え受け"},P12:AI12,"[1]男"))</f>
        <v>0</v>
      </c>
      <c r="BE18" s="1243">
        <f>SUM(SUMIFS(P18:AI18,P14:AI14,{"[1]家族","[3]ゆい・手間替え受け"},P12:AI12,"[2]女"))</f>
        <v>0</v>
      </c>
      <c r="BF18" s="1237">
        <f t="shared" si="2"/>
        <v>0</v>
      </c>
      <c r="BG18" s="1234">
        <f t="shared" si="5"/>
        <v>0</v>
      </c>
      <c r="BH18" s="1238">
        <f>SUM(SUMIFS(P18:AI18,P14:AI14,{"[2]同居人","[4]手伝い・共同作業受け"},P12:AI12,"[1]男"))</f>
        <v>0</v>
      </c>
      <c r="BI18" s="1241">
        <f t="shared" si="0"/>
        <v>0</v>
      </c>
      <c r="BJ18" s="1240">
        <f t="shared" si="3"/>
        <v>0</v>
      </c>
      <c r="BK18" s="1238">
        <f>SUM(SUMIFS(P18:AI18,P14:AI14,{"[2]同居人","[4]手伝い・共同作業受け"},P12:AI12,"[2]女"))</f>
        <v>0</v>
      </c>
      <c r="BL18" s="1241">
        <f t="shared" si="1"/>
        <v>0</v>
      </c>
      <c r="BM18" s="1234">
        <f t="shared" si="4"/>
        <v>0</v>
      </c>
      <c r="BN18" s="144"/>
      <c r="BO18" s="1040"/>
      <c r="BP18" s="463"/>
      <c r="BQ18" s="1041"/>
      <c r="BR18" s="1041"/>
      <c r="BS18" s="1041"/>
      <c r="BT18" s="1041"/>
      <c r="BU18" s="1041"/>
      <c r="BV18" s="1041"/>
      <c r="BW18" s="1041"/>
      <c r="BX18" s="1041"/>
      <c r="BY18" s="1041"/>
      <c r="BZ18" s="1041"/>
      <c r="CA18" s="1041"/>
      <c r="CB18" s="1041"/>
      <c r="CC18" s="1041"/>
      <c r="CD18" s="1041"/>
      <c r="CE18" s="1041"/>
    </row>
    <row r="19" spans="3:83" ht="31.5" customHeight="1">
      <c r="C19" s="2452" t="s">
        <v>775</v>
      </c>
      <c r="D19" s="2453"/>
      <c r="E19" s="2454"/>
      <c r="F19" s="2455" t="s">
        <v>776</v>
      </c>
      <c r="G19" s="2456"/>
      <c r="H19" s="2456"/>
      <c r="I19" s="2456"/>
      <c r="J19" s="2456"/>
      <c r="K19" s="2456"/>
      <c r="L19" s="2456"/>
      <c r="M19" s="2456"/>
      <c r="N19" s="2456"/>
      <c r="O19" s="2456"/>
      <c r="P19" s="1210"/>
      <c r="Q19" s="1211"/>
      <c r="R19" s="1211"/>
      <c r="S19" s="1211"/>
      <c r="T19" s="1211"/>
      <c r="U19" s="1215"/>
      <c r="V19" s="1216"/>
      <c r="W19" s="1216"/>
      <c r="X19" s="1216"/>
      <c r="Y19" s="1216"/>
      <c r="Z19" s="1216"/>
      <c r="AA19" s="1216"/>
      <c r="AB19" s="1216"/>
      <c r="AC19" s="1216"/>
      <c r="AD19" s="1216"/>
      <c r="AE19" s="1216"/>
      <c r="AF19" s="1216"/>
      <c r="AG19" s="1216"/>
      <c r="AH19" s="1216"/>
      <c r="AI19" s="1217"/>
      <c r="AJ19" s="1218"/>
      <c r="AK19" s="1214"/>
      <c r="AL19" s="2457" t="s">
        <v>775</v>
      </c>
      <c r="AM19" s="1452"/>
      <c r="AN19" s="2458"/>
      <c r="AO19" s="2459" t="s">
        <v>776</v>
      </c>
      <c r="AP19" s="2460"/>
      <c r="AQ19" s="2460"/>
      <c r="AR19" s="2460"/>
      <c r="AS19" s="2460"/>
      <c r="AT19" s="2460"/>
      <c r="AU19" s="2460"/>
      <c r="AV19" s="2460"/>
      <c r="AW19" s="2460"/>
      <c r="AX19" s="2461"/>
      <c r="BB19" s="2318"/>
      <c r="BC19" s="1042" t="s">
        <v>777</v>
      </c>
      <c r="BD19" s="1242">
        <f>SUM(SUMIFS(P19:AI19,P14:AI14,{"[1]家族","[3]ゆい・手間替え受け"},P12:AI12,"[1]男"))</f>
        <v>0</v>
      </c>
      <c r="BE19" s="1243">
        <f>SUM(SUMIFS(P19:AI19,P14:AI14,{"[1]家族","[3]ゆい・手間替え受け"},P12:AI12,"[2]女"))</f>
        <v>0</v>
      </c>
      <c r="BF19" s="1237">
        <f t="shared" si="2"/>
        <v>0</v>
      </c>
      <c r="BG19" s="1234">
        <f t="shared" si="5"/>
        <v>0</v>
      </c>
      <c r="BH19" s="1238">
        <f>SUM(SUMIFS(P19:AI19,P14:AI14,{"[2]同居人","[4]手伝い・共同作業受け"},P12:AI12,"[1]男"))</f>
        <v>0</v>
      </c>
      <c r="BI19" s="1241">
        <f t="shared" si="0"/>
        <v>0</v>
      </c>
      <c r="BJ19" s="1240">
        <f t="shared" si="3"/>
        <v>0</v>
      </c>
      <c r="BK19" s="1238">
        <f>SUM(SUMIFS(P19:AI19,P14:AI14,{"[2]同居人","[4]手伝い・共同作業受け"},P12:AI12,"[2]女"))</f>
        <v>0</v>
      </c>
      <c r="BL19" s="1241">
        <f t="shared" si="1"/>
        <v>0</v>
      </c>
      <c r="BM19" s="1234">
        <f t="shared" si="4"/>
        <v>0</v>
      </c>
      <c r="BN19" s="144"/>
      <c r="BO19" s="1040"/>
      <c r="BP19" s="463"/>
      <c r="BQ19" s="1041"/>
      <c r="BR19" s="1041"/>
      <c r="BS19" s="1041"/>
      <c r="BT19" s="1041"/>
      <c r="BU19" s="1041"/>
      <c r="BV19" s="1041"/>
      <c r="BW19" s="1041"/>
      <c r="BX19" s="1041"/>
      <c r="BY19" s="1041"/>
      <c r="BZ19" s="1041"/>
      <c r="CA19" s="1041"/>
      <c r="CB19" s="1041"/>
      <c r="CC19" s="1041"/>
      <c r="CD19" s="1041"/>
      <c r="CE19" s="1041"/>
    </row>
    <row r="20" spans="3:83" ht="31.5" hidden="1" customHeight="1">
      <c r="C20" s="2452" t="s">
        <v>778</v>
      </c>
      <c r="D20" s="2453"/>
      <c r="E20" s="2454"/>
      <c r="F20" s="2455" t="s">
        <v>779</v>
      </c>
      <c r="G20" s="2456"/>
      <c r="H20" s="2456"/>
      <c r="I20" s="2456"/>
      <c r="J20" s="2456"/>
      <c r="K20" s="2456"/>
      <c r="L20" s="2456"/>
      <c r="M20" s="2456"/>
      <c r="N20" s="2456"/>
      <c r="O20" s="2456"/>
      <c r="P20" s="1210"/>
      <c r="Q20" s="1211"/>
      <c r="R20" s="1211"/>
      <c r="S20" s="1211"/>
      <c r="T20" s="1211"/>
      <c r="U20" s="1215"/>
      <c r="V20" s="1216"/>
      <c r="W20" s="1216"/>
      <c r="X20" s="1216"/>
      <c r="Y20" s="1216"/>
      <c r="Z20" s="1216"/>
      <c r="AA20" s="1216"/>
      <c r="AB20" s="1216"/>
      <c r="AC20" s="1216"/>
      <c r="AD20" s="1216"/>
      <c r="AE20" s="1216"/>
      <c r="AF20" s="1216"/>
      <c r="AG20" s="1216"/>
      <c r="AH20" s="1216"/>
      <c r="AI20" s="1217"/>
      <c r="AJ20" s="1218"/>
      <c r="AK20" s="1214"/>
      <c r="AL20" s="2457" t="s">
        <v>780</v>
      </c>
      <c r="AM20" s="1452"/>
      <c r="AN20" s="2458"/>
      <c r="AO20" s="2459" t="s">
        <v>781</v>
      </c>
      <c r="AP20" s="2460"/>
      <c r="AQ20" s="2460"/>
      <c r="AR20" s="2460"/>
      <c r="AS20" s="2460"/>
      <c r="AT20" s="2460"/>
      <c r="AU20" s="2460"/>
      <c r="AV20" s="2460"/>
      <c r="AW20" s="2460"/>
      <c r="AX20" s="2461"/>
      <c r="BB20" s="2318"/>
      <c r="BC20" s="1042" t="s">
        <v>782</v>
      </c>
      <c r="BD20" s="1242">
        <f>SUM(SUMIFS(P20:AI20,P14:AI14,{"[1]家族","[3]ゆい・手間替え受け"},P12:AI12,"[1]男"))</f>
        <v>0</v>
      </c>
      <c r="BE20" s="1243">
        <f>SUM(SUMIFS(P20:AI20,P14:AI14,{"[1]家族","[3]ゆい・手間替え受け"},P12:AI12,"[2]女"))</f>
        <v>0</v>
      </c>
      <c r="BF20" s="1237">
        <f t="shared" si="2"/>
        <v>0</v>
      </c>
      <c r="BG20" s="1234">
        <f t="shared" si="5"/>
        <v>0</v>
      </c>
      <c r="BH20" s="1238">
        <f>SUM(SUMIFS(P20:AI20,P14:AI14,{"[2]同居人","[4]手伝い・共同作業受け"},P12:AI12,"[1]男"))</f>
        <v>0</v>
      </c>
      <c r="BI20" s="1241">
        <f t="shared" si="0"/>
        <v>0</v>
      </c>
      <c r="BJ20" s="1240">
        <f t="shared" si="3"/>
        <v>0</v>
      </c>
      <c r="BK20" s="1238">
        <f>SUM(SUMIFS(P20:AI20,P14:AI14,{"[2]同居人","[4]手伝い・共同作業受け"},P12:AI12,"[2]女"))</f>
        <v>0</v>
      </c>
      <c r="BL20" s="1241">
        <f t="shared" si="1"/>
        <v>0</v>
      </c>
      <c r="BM20" s="1234">
        <f t="shared" si="4"/>
        <v>0</v>
      </c>
      <c r="BN20" s="144"/>
      <c r="BO20" s="144"/>
      <c r="BP20" s="144"/>
      <c r="BQ20" s="144"/>
      <c r="BR20" s="144"/>
      <c r="BS20" s="144"/>
      <c r="BT20" s="144"/>
      <c r="BU20" s="144"/>
      <c r="BV20" s="144"/>
      <c r="BW20" s="144"/>
      <c r="BX20" s="144"/>
      <c r="BY20" s="144"/>
      <c r="BZ20" s="144"/>
      <c r="CA20" s="144"/>
      <c r="CB20" s="144"/>
      <c r="CC20" s="144"/>
      <c r="CD20" s="144"/>
      <c r="CE20" s="144"/>
    </row>
    <row r="21" spans="3:83" ht="31.5" hidden="1" customHeight="1">
      <c r="C21" s="2452" t="s">
        <v>783</v>
      </c>
      <c r="D21" s="2453"/>
      <c r="E21" s="2454"/>
      <c r="F21" s="2465" t="s">
        <v>784</v>
      </c>
      <c r="G21" s="2465"/>
      <c r="H21" s="2465"/>
      <c r="I21" s="2465"/>
      <c r="J21" s="2465"/>
      <c r="K21" s="2465"/>
      <c r="L21" s="2465"/>
      <c r="M21" s="2465"/>
      <c r="N21" s="2465"/>
      <c r="O21" s="2465"/>
      <c r="P21" s="1210"/>
      <c r="Q21" s="1211"/>
      <c r="R21" s="1211"/>
      <c r="S21" s="1211"/>
      <c r="T21" s="1211"/>
      <c r="U21" s="1215"/>
      <c r="V21" s="1216"/>
      <c r="W21" s="1216"/>
      <c r="X21" s="1216"/>
      <c r="Y21" s="1216"/>
      <c r="Z21" s="1216"/>
      <c r="AA21" s="1216"/>
      <c r="AB21" s="1216"/>
      <c r="AC21" s="1216"/>
      <c r="AD21" s="1216"/>
      <c r="AE21" s="1216"/>
      <c r="AF21" s="1216"/>
      <c r="AG21" s="1216"/>
      <c r="AH21" s="1216"/>
      <c r="AI21" s="1217"/>
      <c r="AJ21" s="1218"/>
      <c r="AK21" s="1214"/>
      <c r="AL21" s="2462" t="s">
        <v>783</v>
      </c>
      <c r="AM21" s="2463"/>
      <c r="AN21" s="2464"/>
      <c r="AO21" s="2465" t="s">
        <v>785</v>
      </c>
      <c r="AP21" s="2465"/>
      <c r="AQ21" s="2465"/>
      <c r="AR21" s="2465"/>
      <c r="AS21" s="2465"/>
      <c r="AT21" s="2465"/>
      <c r="AU21" s="2465"/>
      <c r="AV21" s="2465"/>
      <c r="AW21" s="2465"/>
      <c r="AX21" s="2466"/>
      <c r="BB21" s="2318"/>
      <c r="BC21" s="1042" t="s">
        <v>786</v>
      </c>
      <c r="BD21" s="1242">
        <f>SUM(SUMIFS(P21:AI21,P14:AI14,{"[1]家族","[3]ゆい・手間替え受け"},P12:AI12,"[1]男"))</f>
        <v>0</v>
      </c>
      <c r="BE21" s="1243">
        <f>SUM(SUMIFS(P21:AI21,P14:AI14,{"[1]家族","[3]ゆい・手間替え受け"},P12:AI12,"[2]女"))</f>
        <v>0</v>
      </c>
      <c r="BF21" s="1237">
        <f t="shared" si="2"/>
        <v>0</v>
      </c>
      <c r="BG21" s="1234">
        <f t="shared" si="5"/>
        <v>0</v>
      </c>
      <c r="BH21" s="1238">
        <f>SUM(SUMIFS(P21:AI21,P14:AI14,{"[2]同居人","[4]手伝い・共同作業受け"},P12:AI12,"[1]男"))</f>
        <v>0</v>
      </c>
      <c r="BI21" s="1241">
        <f t="shared" si="0"/>
        <v>0</v>
      </c>
      <c r="BJ21" s="1240">
        <f t="shared" si="3"/>
        <v>0</v>
      </c>
      <c r="BK21" s="1238">
        <f>SUM(SUMIFS(P21:AI21,P14:AI14,{"[2]同居人","[4]手伝い・共同作業受け"},P12:AI12,"[2]女"))</f>
        <v>0</v>
      </c>
      <c r="BL21" s="1241">
        <f t="shared" si="1"/>
        <v>0</v>
      </c>
      <c r="BM21" s="1234">
        <f t="shared" si="4"/>
        <v>0</v>
      </c>
      <c r="BN21" s="144"/>
      <c r="BO21" s="1043"/>
      <c r="BP21" s="1043"/>
      <c r="BQ21" s="1022"/>
      <c r="BR21" s="1022"/>
      <c r="BS21" s="1022"/>
      <c r="BT21" s="1022"/>
      <c r="BU21" s="1022"/>
      <c r="BV21" s="1022"/>
      <c r="BW21" s="1022"/>
      <c r="BX21" s="1022"/>
      <c r="BY21" s="1022"/>
      <c r="BZ21" s="1022"/>
      <c r="CA21" s="1022"/>
      <c r="CB21" s="1022"/>
      <c r="CC21" s="1022"/>
      <c r="CD21" s="1022"/>
      <c r="CE21" s="1022"/>
    </row>
    <row r="22" spans="3:83" ht="31.5" customHeight="1">
      <c r="C22" s="2462" t="s">
        <v>787</v>
      </c>
      <c r="D22" s="2463"/>
      <c r="E22" s="2464"/>
      <c r="F22" s="2455" t="s">
        <v>788</v>
      </c>
      <c r="G22" s="2456"/>
      <c r="H22" s="2456"/>
      <c r="I22" s="2456"/>
      <c r="J22" s="2456"/>
      <c r="K22" s="2456"/>
      <c r="L22" s="2456"/>
      <c r="M22" s="2456"/>
      <c r="N22" s="2456"/>
      <c r="O22" s="2456"/>
      <c r="P22" s="1210"/>
      <c r="Q22" s="1211"/>
      <c r="R22" s="1211"/>
      <c r="S22" s="1211"/>
      <c r="T22" s="1211"/>
      <c r="U22" s="1215"/>
      <c r="V22" s="1216"/>
      <c r="W22" s="1216"/>
      <c r="X22" s="1216"/>
      <c r="Y22" s="1216"/>
      <c r="Z22" s="1216"/>
      <c r="AA22" s="1216"/>
      <c r="AB22" s="1216"/>
      <c r="AC22" s="1216"/>
      <c r="AD22" s="1216"/>
      <c r="AE22" s="1216"/>
      <c r="AF22" s="1216"/>
      <c r="AG22" s="1216"/>
      <c r="AH22" s="1216"/>
      <c r="AI22" s="1217"/>
      <c r="AJ22" s="1218"/>
      <c r="AK22" s="1214"/>
      <c r="AL22" s="2457" t="s">
        <v>787</v>
      </c>
      <c r="AM22" s="1452"/>
      <c r="AN22" s="2458"/>
      <c r="AO22" s="2459" t="s">
        <v>788</v>
      </c>
      <c r="AP22" s="2460"/>
      <c r="AQ22" s="2460"/>
      <c r="AR22" s="2460"/>
      <c r="AS22" s="2460"/>
      <c r="AT22" s="2460"/>
      <c r="AU22" s="2460"/>
      <c r="AV22" s="2460"/>
      <c r="AW22" s="2460"/>
      <c r="AX22" s="2461"/>
      <c r="BB22" s="2318"/>
      <c r="BC22" s="1042" t="s">
        <v>789</v>
      </c>
      <c r="BD22" s="1242">
        <f>SUM(SUMIFS(P22:AI22,P14:AI14,{"[1]家族","[3]ゆい・手間替え受け"},P12:AI12,"[1]男"))</f>
        <v>0</v>
      </c>
      <c r="BE22" s="1243">
        <f>SUM(SUMIFS(P22:AI22,P14:AI14,{"[1]家族","[3]ゆい・手間替え受け"},P12:AI12,"[2]女"))</f>
        <v>0</v>
      </c>
      <c r="BF22" s="1237">
        <f t="shared" si="2"/>
        <v>0</v>
      </c>
      <c r="BG22" s="1234">
        <f t="shared" si="5"/>
        <v>0</v>
      </c>
      <c r="BH22" s="1238">
        <f>SUM(SUMIFS(P22:AI22,P14:AI14,{"[2]同居人","[4]手伝い・共同作業受け"},P12:AI12,"[1]男"))</f>
        <v>0</v>
      </c>
      <c r="BI22" s="1241">
        <f t="shared" si="0"/>
        <v>0</v>
      </c>
      <c r="BJ22" s="1240">
        <f t="shared" si="3"/>
        <v>0</v>
      </c>
      <c r="BK22" s="1238">
        <f>SUM(SUMIFS(P22:AI22,P14:AI14,{"[2]同居人","[4]手伝い・共同作業受け"},P12:AI12,"[2]女"))</f>
        <v>0</v>
      </c>
      <c r="BL22" s="1241">
        <f t="shared" si="1"/>
        <v>0</v>
      </c>
      <c r="BM22" s="1234">
        <f t="shared" si="4"/>
        <v>0</v>
      </c>
      <c r="BN22" s="144"/>
      <c r="BO22" s="1043"/>
      <c r="BP22" s="1043"/>
      <c r="BQ22" s="1022"/>
      <c r="BR22" s="1022"/>
      <c r="BS22" s="1022"/>
      <c r="BT22" s="1022"/>
      <c r="BU22" s="1022"/>
      <c r="BV22" s="1022"/>
      <c r="BW22" s="1022"/>
      <c r="BX22" s="463"/>
      <c r="BY22" s="463"/>
      <c r="BZ22" s="463"/>
      <c r="CA22" s="463"/>
      <c r="CB22" s="463"/>
      <c r="CC22" s="463"/>
      <c r="CD22" s="463"/>
      <c r="CE22" s="1022"/>
    </row>
    <row r="23" spans="3:83" ht="31.5" customHeight="1">
      <c r="C23" s="2452" t="s">
        <v>790</v>
      </c>
      <c r="D23" s="2453"/>
      <c r="E23" s="2454"/>
      <c r="F23" s="2455" t="s">
        <v>791</v>
      </c>
      <c r="G23" s="2456"/>
      <c r="H23" s="2456"/>
      <c r="I23" s="2456"/>
      <c r="J23" s="2456"/>
      <c r="K23" s="2456"/>
      <c r="L23" s="2456"/>
      <c r="M23" s="2456"/>
      <c r="N23" s="2456"/>
      <c r="O23" s="2456"/>
      <c r="P23" s="1210"/>
      <c r="Q23" s="1211"/>
      <c r="R23" s="1211"/>
      <c r="S23" s="1211"/>
      <c r="T23" s="1211"/>
      <c r="U23" s="1215"/>
      <c r="V23" s="1216"/>
      <c r="W23" s="1216"/>
      <c r="X23" s="1216"/>
      <c r="Y23" s="1216"/>
      <c r="Z23" s="1216"/>
      <c r="AA23" s="1216"/>
      <c r="AB23" s="1216"/>
      <c r="AC23" s="1216"/>
      <c r="AD23" s="1216"/>
      <c r="AE23" s="1216"/>
      <c r="AF23" s="1216"/>
      <c r="AG23" s="1216"/>
      <c r="AH23" s="1216"/>
      <c r="AI23" s="1217"/>
      <c r="AJ23" s="1218"/>
      <c r="AK23" s="1214"/>
      <c r="AL23" s="2457" t="s">
        <v>792</v>
      </c>
      <c r="AM23" s="1452"/>
      <c r="AN23" s="2458"/>
      <c r="AO23" s="2459" t="s">
        <v>793</v>
      </c>
      <c r="AP23" s="2460"/>
      <c r="AQ23" s="2460"/>
      <c r="AR23" s="2460"/>
      <c r="AS23" s="2460"/>
      <c r="AT23" s="2460"/>
      <c r="AU23" s="2460"/>
      <c r="AV23" s="2460"/>
      <c r="AW23" s="2460"/>
      <c r="AX23" s="2461"/>
      <c r="BB23" s="2318"/>
      <c r="BC23" s="1042" t="s">
        <v>794</v>
      </c>
      <c r="BD23" s="1242">
        <f>SUM(SUMIFS(P23:AI23,P14:AI14,{"[1]家族","[3]ゆい・手間替え受け"},P12:AI12,"[1]男"))</f>
        <v>0</v>
      </c>
      <c r="BE23" s="1243">
        <f>SUM(SUMIFS(P23:AI23,P14:AI14,{"[1]家族","[3]ゆい・手間替え受け"},P12:AI12,"[2]女"))</f>
        <v>0</v>
      </c>
      <c r="BF23" s="1237">
        <f t="shared" si="2"/>
        <v>0</v>
      </c>
      <c r="BG23" s="1234">
        <f t="shared" si="5"/>
        <v>0</v>
      </c>
      <c r="BH23" s="1238">
        <f>SUM(SUMIFS(P23:AI23,P14:AI14,{"[2]同居人","[4]手伝い・共同作業受け"},P12:AI12,"[1]男"))</f>
        <v>0</v>
      </c>
      <c r="BI23" s="1241">
        <f t="shared" si="0"/>
        <v>0</v>
      </c>
      <c r="BJ23" s="1240">
        <f t="shared" si="3"/>
        <v>0</v>
      </c>
      <c r="BK23" s="1238">
        <f>SUM(SUMIFS(P23:AI23,P14:AI14,{"[2]同居人","[4]手伝い・共同作業受け"},P12:AI12,"[2]女"))</f>
        <v>0</v>
      </c>
      <c r="BL23" s="1241">
        <f t="shared" si="1"/>
        <v>0</v>
      </c>
      <c r="BM23" s="1234">
        <f t="shared" si="4"/>
        <v>0</v>
      </c>
      <c r="BN23" s="144"/>
      <c r="BO23" s="1043"/>
      <c r="BP23" s="1043"/>
      <c r="BQ23" s="1022"/>
      <c r="BR23" s="1022"/>
      <c r="BS23" s="1022"/>
      <c r="BT23" s="1022"/>
      <c r="BU23" s="1022"/>
      <c r="BV23" s="1022"/>
      <c r="BW23" s="1022"/>
      <c r="BX23" s="1022"/>
      <c r="BY23" s="1022"/>
      <c r="BZ23" s="1022"/>
      <c r="CA23" s="1022"/>
      <c r="CB23" s="1022"/>
      <c r="CC23" s="1022"/>
      <c r="CD23" s="1022"/>
      <c r="CE23" s="1022"/>
    </row>
    <row r="24" spans="3:83" ht="31.5" customHeight="1">
      <c r="C24" s="2462" t="s">
        <v>795</v>
      </c>
      <c r="D24" s="2463"/>
      <c r="E24" s="2464"/>
      <c r="F24" s="2455" t="s">
        <v>796</v>
      </c>
      <c r="G24" s="2456"/>
      <c r="H24" s="2456"/>
      <c r="I24" s="2456"/>
      <c r="J24" s="2456"/>
      <c r="K24" s="2456"/>
      <c r="L24" s="2456"/>
      <c r="M24" s="2456"/>
      <c r="N24" s="2456"/>
      <c r="O24" s="2456"/>
      <c r="P24" s="1210"/>
      <c r="Q24" s="1211"/>
      <c r="R24" s="1211"/>
      <c r="S24" s="1211"/>
      <c r="T24" s="1211"/>
      <c r="U24" s="1215"/>
      <c r="V24" s="1216"/>
      <c r="W24" s="1216"/>
      <c r="X24" s="1216"/>
      <c r="Y24" s="1216"/>
      <c r="Z24" s="1216"/>
      <c r="AA24" s="1216"/>
      <c r="AB24" s="1216"/>
      <c r="AC24" s="1216"/>
      <c r="AD24" s="1216"/>
      <c r="AE24" s="1216"/>
      <c r="AF24" s="1216"/>
      <c r="AG24" s="1216"/>
      <c r="AH24" s="1216"/>
      <c r="AI24" s="1217"/>
      <c r="AJ24" s="1218"/>
      <c r="AK24" s="1214"/>
      <c r="AL24" s="2462" t="s">
        <v>795</v>
      </c>
      <c r="AM24" s="2463"/>
      <c r="AN24" s="2464"/>
      <c r="AO24" s="2455" t="s">
        <v>797</v>
      </c>
      <c r="AP24" s="2456"/>
      <c r="AQ24" s="2456"/>
      <c r="AR24" s="2456"/>
      <c r="AS24" s="2456"/>
      <c r="AT24" s="2456"/>
      <c r="AU24" s="2456"/>
      <c r="AV24" s="2456"/>
      <c r="AW24" s="2456"/>
      <c r="AX24" s="2467"/>
      <c r="BB24" s="2318"/>
      <c r="BC24" s="1042" t="s">
        <v>798</v>
      </c>
      <c r="BD24" s="1242">
        <f>SUM(SUMIFS(P24:AI24,P14:AI14,{"[1]家族","[3]ゆい・手間替え受け"},P12:AI12,"[1]男"))</f>
        <v>0</v>
      </c>
      <c r="BE24" s="1243">
        <f>SUM(SUMIFS(P24:AI24,P14:AI14,{"[1]家族","[3]ゆい・手間替え受け"},P12:AI12,"[2]女"))</f>
        <v>0</v>
      </c>
      <c r="BF24" s="1237">
        <f t="shared" si="2"/>
        <v>0</v>
      </c>
      <c r="BG24" s="1234">
        <f t="shared" si="5"/>
        <v>0</v>
      </c>
      <c r="BH24" s="1238">
        <f>SUM(SUMIFS(P24:AI24,P14:AI14,{"[2]同居人","[4]手伝い・共同作業受け"},P12:AI12,"[1]男"))</f>
        <v>0</v>
      </c>
      <c r="BI24" s="1241">
        <f t="shared" si="0"/>
        <v>0</v>
      </c>
      <c r="BJ24" s="1240">
        <f t="shared" si="3"/>
        <v>0</v>
      </c>
      <c r="BK24" s="1238">
        <f>SUM(SUMIFS(P24:AI24,P14:AI14,{"[2]同居人","[4]手伝い・共同作業受け"},P12:AI12,"[2]女"))</f>
        <v>0</v>
      </c>
      <c r="BL24" s="1241">
        <f t="shared" si="1"/>
        <v>0</v>
      </c>
      <c r="BM24" s="1234">
        <f t="shared" si="4"/>
        <v>0</v>
      </c>
      <c r="BN24" s="144"/>
      <c r="BO24" s="1043"/>
      <c r="BP24" s="1043"/>
      <c r="BQ24" s="1022"/>
      <c r="BR24" s="463"/>
      <c r="BS24" s="463"/>
      <c r="BT24" s="463"/>
      <c r="BU24" s="1022"/>
      <c r="BV24" s="1022"/>
      <c r="BW24" s="1022"/>
      <c r="BX24" s="1022"/>
      <c r="BY24" s="463"/>
      <c r="BZ24" s="463"/>
      <c r="CA24" s="463"/>
      <c r="CB24" s="1022"/>
      <c r="CC24" s="1022"/>
      <c r="CD24" s="1022"/>
      <c r="CE24" s="1022"/>
    </row>
    <row r="25" spans="3:83" ht="31.5" customHeight="1">
      <c r="C25" s="2462" t="s">
        <v>799</v>
      </c>
      <c r="D25" s="2468"/>
      <c r="E25" s="2469"/>
      <c r="F25" s="2455" t="s">
        <v>800</v>
      </c>
      <c r="G25" s="2456"/>
      <c r="H25" s="2456"/>
      <c r="I25" s="2456"/>
      <c r="J25" s="2456"/>
      <c r="K25" s="2456"/>
      <c r="L25" s="2456"/>
      <c r="M25" s="2456"/>
      <c r="N25" s="2456"/>
      <c r="O25" s="2456"/>
      <c r="P25" s="1210"/>
      <c r="Q25" s="1211"/>
      <c r="R25" s="1211"/>
      <c r="S25" s="1211"/>
      <c r="T25" s="1211"/>
      <c r="U25" s="1215"/>
      <c r="V25" s="1216"/>
      <c r="W25" s="1216"/>
      <c r="X25" s="1216"/>
      <c r="Y25" s="1216"/>
      <c r="Z25" s="1216"/>
      <c r="AA25" s="1216"/>
      <c r="AB25" s="1216"/>
      <c r="AC25" s="1216"/>
      <c r="AD25" s="1216"/>
      <c r="AE25" s="1216"/>
      <c r="AF25" s="1216"/>
      <c r="AG25" s="1216"/>
      <c r="AH25" s="1216"/>
      <c r="AI25" s="1217"/>
      <c r="AJ25" s="1218"/>
      <c r="AK25" s="1214"/>
      <c r="AL25" s="2457" t="s">
        <v>799</v>
      </c>
      <c r="AM25" s="2457"/>
      <c r="AN25" s="2470"/>
      <c r="AO25" s="2459" t="s">
        <v>800</v>
      </c>
      <c r="AP25" s="2460"/>
      <c r="AQ25" s="2460"/>
      <c r="AR25" s="2460"/>
      <c r="AS25" s="2460"/>
      <c r="AT25" s="2460"/>
      <c r="AU25" s="2460"/>
      <c r="AV25" s="2460"/>
      <c r="AW25" s="2460"/>
      <c r="AX25" s="2461"/>
      <c r="BB25" s="2318"/>
      <c r="BC25" s="1042" t="s">
        <v>801</v>
      </c>
      <c r="BD25" s="1242">
        <f>SUM(SUMIFS(P25:AI25,P14:AI14,{"[1]家族","[3]ゆい・手間替え受け"},P12:AI12,"[1]男"))</f>
        <v>0</v>
      </c>
      <c r="BE25" s="1243">
        <f>SUM(SUMIFS(P25:AI25,P14:AI14,{"[1]家族","[3]ゆい・手間替え受け"},P12:AI12,"[2]女"))</f>
        <v>0</v>
      </c>
      <c r="BF25" s="1237">
        <f t="shared" si="2"/>
        <v>0</v>
      </c>
      <c r="BG25" s="1234">
        <f t="shared" si="5"/>
        <v>0</v>
      </c>
      <c r="BH25" s="1238">
        <f>SUM(SUMIFS(P25:AI25,P14:AI14,{"[2]同居人","[4]手伝い・共同作業受け"},P12:AI12,"[1]男"))</f>
        <v>0</v>
      </c>
      <c r="BI25" s="1241">
        <f t="shared" si="0"/>
        <v>0</v>
      </c>
      <c r="BJ25" s="1240">
        <f t="shared" si="3"/>
        <v>0</v>
      </c>
      <c r="BK25" s="1238">
        <f>SUM(SUMIFS(P25:AI25,P14:AI14,{"[2]同居人","[4]手伝い・共同作業受け"},P12:AI12,"[2]女"))</f>
        <v>0</v>
      </c>
      <c r="BL25" s="1241">
        <f t="shared" si="1"/>
        <v>0</v>
      </c>
      <c r="BM25" s="1234">
        <f t="shared" si="4"/>
        <v>0</v>
      </c>
      <c r="BN25" s="144"/>
      <c r="BO25" s="1040"/>
      <c r="BP25" s="463"/>
      <c r="BQ25" s="1041"/>
      <c r="BR25" s="1041"/>
      <c r="BS25" s="1041"/>
      <c r="BT25" s="1041"/>
      <c r="BU25" s="1041"/>
      <c r="BV25" s="1041"/>
      <c r="BW25" s="1041"/>
      <c r="BX25" s="1041"/>
      <c r="BY25" s="1041"/>
      <c r="BZ25" s="1041"/>
      <c r="CA25" s="1041"/>
      <c r="CB25" s="1041"/>
      <c r="CC25" s="1041"/>
      <c r="CD25" s="1041"/>
      <c r="CE25" s="1041"/>
    </row>
    <row r="26" spans="3:83" ht="31.5" customHeight="1">
      <c r="C26" s="2462" t="s">
        <v>802</v>
      </c>
      <c r="D26" s="2463"/>
      <c r="E26" s="2464"/>
      <c r="F26" s="2455" t="s">
        <v>803</v>
      </c>
      <c r="G26" s="2456"/>
      <c r="H26" s="2456"/>
      <c r="I26" s="2456"/>
      <c r="J26" s="2456"/>
      <c r="K26" s="2456"/>
      <c r="L26" s="2456"/>
      <c r="M26" s="2456"/>
      <c r="N26" s="2456"/>
      <c r="O26" s="2456"/>
      <c r="P26" s="1210"/>
      <c r="Q26" s="1211"/>
      <c r="R26" s="1211"/>
      <c r="S26" s="1211"/>
      <c r="T26" s="1211"/>
      <c r="U26" s="1215"/>
      <c r="V26" s="1216"/>
      <c r="W26" s="1216"/>
      <c r="X26" s="1216"/>
      <c r="Y26" s="1216"/>
      <c r="Z26" s="1216"/>
      <c r="AA26" s="1216"/>
      <c r="AB26" s="1216"/>
      <c r="AC26" s="1216"/>
      <c r="AD26" s="1216"/>
      <c r="AE26" s="1216"/>
      <c r="AF26" s="1216"/>
      <c r="AG26" s="1216"/>
      <c r="AH26" s="1216"/>
      <c r="AI26" s="1217"/>
      <c r="AJ26" s="1218"/>
      <c r="AK26" s="1214"/>
      <c r="AL26" s="2457" t="s">
        <v>802</v>
      </c>
      <c r="AM26" s="1452"/>
      <c r="AN26" s="2458"/>
      <c r="AO26" s="2459" t="s">
        <v>804</v>
      </c>
      <c r="AP26" s="2460"/>
      <c r="AQ26" s="2460"/>
      <c r="AR26" s="2460"/>
      <c r="AS26" s="2460"/>
      <c r="AT26" s="2460"/>
      <c r="AU26" s="2460"/>
      <c r="AV26" s="2460"/>
      <c r="AW26" s="2460"/>
      <c r="AX26" s="2461"/>
      <c r="BB26" s="2318"/>
      <c r="BC26" s="1042" t="s">
        <v>805</v>
      </c>
      <c r="BD26" s="1242">
        <f>SUM(SUMIFS(P26:AI26,P14:AI14,{"[1]家族","[3]ゆい・手間替え受け"},P12:AI12,"[1]男"))</f>
        <v>0</v>
      </c>
      <c r="BE26" s="1243">
        <f>SUM(SUMIFS(P26:AI26,P14:AI14,{"[1]家族","[3]ゆい・手間替え受け"},P12:AI12,"[2]女"))</f>
        <v>0</v>
      </c>
      <c r="BF26" s="1237">
        <f t="shared" si="2"/>
        <v>0</v>
      </c>
      <c r="BG26" s="1234">
        <f t="shared" si="5"/>
        <v>0</v>
      </c>
      <c r="BH26" s="1238">
        <f>SUM(SUMIFS(P26:AI26,P14:AI14,{"[2]同居人","[4]手伝い・共同作業受け"},P12:AI12,"[1]男"))</f>
        <v>0</v>
      </c>
      <c r="BI26" s="1241">
        <f t="shared" si="0"/>
        <v>0</v>
      </c>
      <c r="BJ26" s="1240">
        <f t="shared" si="3"/>
        <v>0</v>
      </c>
      <c r="BK26" s="1238">
        <f>SUM(SUMIFS(P26:AI26,P14:AI14,{"[2]同居人","[4]手伝い・共同作業受け"},P12:AI12,"[2]女"))</f>
        <v>0</v>
      </c>
      <c r="BL26" s="1241">
        <f t="shared" si="1"/>
        <v>0</v>
      </c>
      <c r="BM26" s="1234">
        <f t="shared" si="4"/>
        <v>0</v>
      </c>
      <c r="BN26" s="144"/>
      <c r="BO26" s="1040"/>
      <c r="BP26" s="463"/>
      <c r="BQ26" s="1041"/>
      <c r="BR26" s="1041"/>
      <c r="BS26" s="1041"/>
      <c r="BT26" s="1041"/>
      <c r="BU26" s="1041"/>
      <c r="BV26" s="1041"/>
      <c r="BW26" s="1041"/>
      <c r="BX26" s="1041"/>
      <c r="BY26" s="1041"/>
      <c r="BZ26" s="1041"/>
      <c r="CA26" s="1041"/>
      <c r="CB26" s="1041"/>
      <c r="CC26" s="1041"/>
      <c r="CD26" s="1041"/>
      <c r="CE26" s="1041"/>
    </row>
    <row r="27" spans="3:83" ht="31.5" hidden="1" customHeight="1">
      <c r="C27" s="2462" t="s">
        <v>806</v>
      </c>
      <c r="D27" s="2463"/>
      <c r="E27" s="2464"/>
      <c r="F27" s="2465" t="s">
        <v>807</v>
      </c>
      <c r="G27" s="2465"/>
      <c r="H27" s="2465"/>
      <c r="I27" s="2465"/>
      <c r="J27" s="2465"/>
      <c r="K27" s="2465"/>
      <c r="L27" s="2465"/>
      <c r="M27" s="2465"/>
      <c r="N27" s="2465"/>
      <c r="O27" s="2465"/>
      <c r="P27" s="1210"/>
      <c r="Q27" s="1211"/>
      <c r="R27" s="1211"/>
      <c r="S27" s="1211"/>
      <c r="T27" s="1211"/>
      <c r="U27" s="1215"/>
      <c r="V27" s="1216"/>
      <c r="W27" s="1216"/>
      <c r="X27" s="1216"/>
      <c r="Y27" s="1216"/>
      <c r="Z27" s="1216"/>
      <c r="AA27" s="1216"/>
      <c r="AB27" s="1216"/>
      <c r="AC27" s="1216"/>
      <c r="AD27" s="1216"/>
      <c r="AE27" s="1216"/>
      <c r="AF27" s="1216"/>
      <c r="AG27" s="1216"/>
      <c r="AH27" s="1216"/>
      <c r="AI27" s="1217"/>
      <c r="AJ27" s="1218"/>
      <c r="AK27" s="1214"/>
      <c r="AL27" s="2462" t="s">
        <v>806</v>
      </c>
      <c r="AM27" s="2463"/>
      <c r="AN27" s="2464"/>
      <c r="AO27" s="2465" t="s">
        <v>808</v>
      </c>
      <c r="AP27" s="2465"/>
      <c r="AQ27" s="2465"/>
      <c r="AR27" s="2465"/>
      <c r="AS27" s="2465"/>
      <c r="AT27" s="2465"/>
      <c r="AU27" s="2465"/>
      <c r="AV27" s="2465"/>
      <c r="AW27" s="2465"/>
      <c r="AX27" s="2466"/>
      <c r="BB27" s="2318"/>
      <c r="BC27" s="1042" t="s">
        <v>809</v>
      </c>
      <c r="BD27" s="1242">
        <f>SUM(SUMIFS(P27:AI27,P14:AI14,{"[1]家族","[3]ゆい・手間替え受け"},P12:AI12,"[1]男"))</f>
        <v>0</v>
      </c>
      <c r="BE27" s="1243">
        <f>SUM(SUMIFS(P27:AI27,P14:AI14,{"[1]家族","[3]ゆい・手間替え受け"},P12:AI12,"[2]女"))</f>
        <v>0</v>
      </c>
      <c r="BF27" s="1237">
        <f t="shared" si="2"/>
        <v>0</v>
      </c>
      <c r="BG27" s="1234">
        <f t="shared" si="5"/>
        <v>0</v>
      </c>
      <c r="BH27" s="1238">
        <f>SUM(SUMIFS(P27:AI27,P14:AI14,{"[2]同居人","[4]手伝い・共同作業受け"},P12:AI12,"[1]男"))</f>
        <v>0</v>
      </c>
      <c r="BI27" s="1241">
        <f t="shared" si="0"/>
        <v>0</v>
      </c>
      <c r="BJ27" s="1240">
        <f t="shared" si="3"/>
        <v>0</v>
      </c>
      <c r="BK27" s="1238">
        <f>SUM(SUMIFS(P27:AI27,P14:AI14,{"[2]同居人","[4]手伝い・共同作業受け"},P12:AI12,"[2]女"))</f>
        <v>0</v>
      </c>
      <c r="BL27" s="1241">
        <f t="shared" si="1"/>
        <v>0</v>
      </c>
      <c r="BM27" s="1234">
        <f t="shared" si="4"/>
        <v>0</v>
      </c>
      <c r="BN27" s="144"/>
      <c r="BO27" s="1040"/>
      <c r="BP27" s="463"/>
      <c r="BQ27" s="1041"/>
      <c r="BR27" s="1041"/>
      <c r="BS27" s="1041"/>
      <c r="BT27" s="1041"/>
      <c r="BU27" s="1041"/>
      <c r="BV27" s="1041"/>
      <c r="BW27" s="1041"/>
      <c r="BX27" s="1041"/>
      <c r="BY27" s="1041"/>
      <c r="BZ27" s="1041"/>
      <c r="CA27" s="1041"/>
      <c r="CB27" s="1041"/>
      <c r="CC27" s="1041"/>
      <c r="CD27" s="1041"/>
      <c r="CE27" s="1041"/>
    </row>
    <row r="28" spans="3:83" ht="31.5" customHeight="1">
      <c r="C28" s="2462" t="s">
        <v>810</v>
      </c>
      <c r="D28" s="2463"/>
      <c r="E28" s="2464"/>
      <c r="F28" s="2455" t="s">
        <v>811</v>
      </c>
      <c r="G28" s="2456"/>
      <c r="H28" s="2456"/>
      <c r="I28" s="2456"/>
      <c r="J28" s="2456"/>
      <c r="K28" s="2456"/>
      <c r="L28" s="2456"/>
      <c r="M28" s="2456"/>
      <c r="N28" s="2456"/>
      <c r="O28" s="2456"/>
      <c r="P28" s="1210"/>
      <c r="Q28" s="1211"/>
      <c r="R28" s="1211"/>
      <c r="S28" s="1211"/>
      <c r="T28" s="1211"/>
      <c r="U28" s="1215"/>
      <c r="V28" s="1216"/>
      <c r="W28" s="1216"/>
      <c r="X28" s="1216"/>
      <c r="Y28" s="1216"/>
      <c r="Z28" s="1216"/>
      <c r="AA28" s="1216"/>
      <c r="AB28" s="1216"/>
      <c r="AC28" s="1216"/>
      <c r="AD28" s="1216"/>
      <c r="AE28" s="1216"/>
      <c r="AF28" s="1216"/>
      <c r="AG28" s="1216"/>
      <c r="AH28" s="1216"/>
      <c r="AI28" s="1217"/>
      <c r="AJ28" s="1218"/>
      <c r="AK28" s="1214"/>
      <c r="AL28" s="2457" t="s">
        <v>812</v>
      </c>
      <c r="AM28" s="1452"/>
      <c r="AN28" s="2458"/>
      <c r="AO28" s="2459" t="s">
        <v>813</v>
      </c>
      <c r="AP28" s="2460"/>
      <c r="AQ28" s="2460"/>
      <c r="AR28" s="2460"/>
      <c r="AS28" s="2460"/>
      <c r="AT28" s="2460"/>
      <c r="AU28" s="2460"/>
      <c r="AV28" s="2460"/>
      <c r="AW28" s="2460"/>
      <c r="AX28" s="2461"/>
      <c r="BB28" s="2318"/>
      <c r="BC28" s="1042" t="s">
        <v>814</v>
      </c>
      <c r="BD28" s="1242">
        <f>SUM(SUMIFS(P28:AI28,P14:AI14,{"[1]家族","[3]ゆい・手間替え受け"},P12:AI12,"[1]男"))</f>
        <v>0</v>
      </c>
      <c r="BE28" s="1243">
        <f>SUM(SUMIFS(P28:AI28,P14:AI14,{"[1]家族","[3]ゆい・手間替え受け"},P12:AI12,"[2]女"))</f>
        <v>0</v>
      </c>
      <c r="BF28" s="1237">
        <f t="shared" si="2"/>
        <v>0</v>
      </c>
      <c r="BG28" s="1234">
        <f t="shared" si="5"/>
        <v>0</v>
      </c>
      <c r="BH28" s="1238">
        <f>SUM(SUMIFS(P28:AI28,P14:AI14,{"[2]同居人","[4]手伝い・共同作業受け"},P12:AI12,"[1]男"))</f>
        <v>0</v>
      </c>
      <c r="BI28" s="1241">
        <f t="shared" si="0"/>
        <v>0</v>
      </c>
      <c r="BJ28" s="1240">
        <f t="shared" si="3"/>
        <v>0</v>
      </c>
      <c r="BK28" s="1238">
        <f>SUM(SUMIFS(P28:AI28,P14:AI14,{"[2]同居人","[4]手伝い・共同作業受け"},P12:AI12,"[2]女"))</f>
        <v>0</v>
      </c>
      <c r="BL28" s="1241">
        <f t="shared" si="1"/>
        <v>0</v>
      </c>
      <c r="BM28" s="1234">
        <f t="shared" si="4"/>
        <v>0</v>
      </c>
      <c r="BN28" s="144"/>
      <c r="BO28" s="1040"/>
      <c r="BP28" s="463"/>
      <c r="BQ28" s="1041"/>
      <c r="BR28" s="1041"/>
      <c r="BS28" s="1041"/>
      <c r="BT28" s="1041"/>
      <c r="BU28" s="1041"/>
      <c r="BV28" s="1041"/>
      <c r="BW28" s="1041"/>
      <c r="BX28" s="1041"/>
      <c r="BY28" s="1041"/>
      <c r="BZ28" s="1041"/>
      <c r="CA28" s="1041"/>
      <c r="CB28" s="1041"/>
      <c r="CC28" s="1041"/>
      <c r="CD28" s="1041"/>
      <c r="CE28" s="1041"/>
    </row>
    <row r="29" spans="3:83" ht="31.5" customHeight="1" thickBot="1">
      <c r="C29" s="2462" t="s">
        <v>815</v>
      </c>
      <c r="D29" s="2463"/>
      <c r="E29" s="2464"/>
      <c r="F29" s="2455" t="s">
        <v>816</v>
      </c>
      <c r="G29" s="2456"/>
      <c r="H29" s="2456"/>
      <c r="I29" s="2456"/>
      <c r="J29" s="2456"/>
      <c r="K29" s="2456"/>
      <c r="L29" s="2456"/>
      <c r="M29" s="2456"/>
      <c r="N29" s="2456"/>
      <c r="O29" s="2456"/>
      <c r="P29" s="1210"/>
      <c r="Q29" s="1211"/>
      <c r="R29" s="1211"/>
      <c r="S29" s="1211"/>
      <c r="T29" s="1211"/>
      <c r="U29" s="1215"/>
      <c r="V29" s="1216"/>
      <c r="W29" s="1216"/>
      <c r="X29" s="1216"/>
      <c r="Y29" s="1216"/>
      <c r="Z29" s="1216"/>
      <c r="AA29" s="1216"/>
      <c r="AB29" s="1216"/>
      <c r="AC29" s="1216"/>
      <c r="AD29" s="1216"/>
      <c r="AE29" s="1216"/>
      <c r="AF29" s="1216"/>
      <c r="AG29" s="1216"/>
      <c r="AH29" s="1216"/>
      <c r="AI29" s="1217"/>
      <c r="AJ29" s="1219"/>
      <c r="AK29" s="1220"/>
      <c r="AL29" s="2457" t="s">
        <v>817</v>
      </c>
      <c r="AM29" s="1452"/>
      <c r="AN29" s="2458"/>
      <c r="AO29" s="2459" t="s">
        <v>818</v>
      </c>
      <c r="AP29" s="2460"/>
      <c r="AQ29" s="2460"/>
      <c r="AR29" s="2460"/>
      <c r="AS29" s="2460"/>
      <c r="AT29" s="2460"/>
      <c r="AU29" s="2460"/>
      <c r="AV29" s="2460"/>
      <c r="AW29" s="2460"/>
      <c r="AX29" s="2461"/>
      <c r="BB29" s="2318"/>
      <c r="BC29" s="1042" t="s">
        <v>819</v>
      </c>
      <c r="BD29" s="1242">
        <f>SUM(SUMIFS(P29:AI29,P14:AI14,{"[1]家族","[3]ゆい・手間替え受け"},P12:AI12,"[1]男"))</f>
        <v>0</v>
      </c>
      <c r="BE29" s="1243">
        <f>SUM(SUMIFS(P29:AI29,P14:AI14,{"[1]家族","[3]ゆい・手間替え受け"},P12:AI12,"[2]女"))</f>
        <v>0</v>
      </c>
      <c r="BF29" s="1237">
        <f t="shared" si="2"/>
        <v>0</v>
      </c>
      <c r="BG29" s="1234">
        <f>AJ29</f>
        <v>0</v>
      </c>
      <c r="BH29" s="1238">
        <f>SUM(SUMIFS(P29:AI29,P14:AI14,{"[2]同居人","[4]手伝い・共同作業受け"},P12:AI12,"[1]男"))</f>
        <v>0</v>
      </c>
      <c r="BI29" s="1244">
        <f t="shared" si="0"/>
        <v>0</v>
      </c>
      <c r="BJ29" s="1240">
        <f t="shared" si="3"/>
        <v>0</v>
      </c>
      <c r="BK29" s="1238">
        <f>SUM(SUMIFS(P29:AI29,P14:AI14,{"[2]同居人","[4]手伝い・共同作業受け"},P12:AI12,"[2]女"))</f>
        <v>0</v>
      </c>
      <c r="BL29" s="1244">
        <f t="shared" si="1"/>
        <v>0</v>
      </c>
      <c r="BM29" s="1234">
        <f t="shared" si="4"/>
        <v>0</v>
      </c>
      <c r="BN29" s="144"/>
      <c r="BO29" s="1040"/>
      <c r="BP29" s="463"/>
      <c r="BQ29" s="1041"/>
      <c r="BR29" s="1041"/>
      <c r="BS29" s="1041"/>
      <c r="BT29" s="1041"/>
      <c r="BU29" s="1041"/>
      <c r="BV29" s="1041"/>
      <c r="BW29" s="1041"/>
      <c r="BX29" s="1041"/>
      <c r="BY29" s="1041"/>
      <c r="BZ29" s="1041"/>
      <c r="CA29" s="1041"/>
      <c r="CB29" s="1041"/>
      <c r="CC29" s="1041"/>
      <c r="CD29" s="1041"/>
      <c r="CE29" s="1041"/>
    </row>
    <row r="30" spans="3:83" ht="31.5" customHeight="1" thickTop="1" thickBot="1">
      <c r="C30" s="2462" t="s">
        <v>820</v>
      </c>
      <c r="D30" s="2463"/>
      <c r="E30" s="2464"/>
      <c r="F30" s="2455" t="s">
        <v>821</v>
      </c>
      <c r="G30" s="2456"/>
      <c r="H30" s="2456"/>
      <c r="I30" s="2456"/>
      <c r="J30" s="2456"/>
      <c r="K30" s="2456"/>
      <c r="L30" s="2456"/>
      <c r="M30" s="2456"/>
      <c r="N30" s="2456"/>
      <c r="O30" s="2456"/>
      <c r="P30" s="1221"/>
      <c r="Q30" s="1222"/>
      <c r="R30" s="1222"/>
      <c r="S30" s="1222"/>
      <c r="T30" s="1222"/>
      <c r="U30" s="1223"/>
      <c r="V30" s="1224"/>
      <c r="W30" s="1224"/>
      <c r="X30" s="1224"/>
      <c r="Y30" s="1224"/>
      <c r="Z30" s="1224"/>
      <c r="AA30" s="1224"/>
      <c r="AB30" s="1224"/>
      <c r="AC30" s="1224"/>
      <c r="AD30" s="1224"/>
      <c r="AE30" s="1224"/>
      <c r="AF30" s="1224"/>
      <c r="AG30" s="1224"/>
      <c r="AH30" s="1224"/>
      <c r="AI30" s="1225"/>
      <c r="AJ30" s="1226"/>
      <c r="AK30" s="1227"/>
      <c r="AL30" s="2471" t="s">
        <v>820</v>
      </c>
      <c r="AM30" s="2472"/>
      <c r="AN30" s="2473"/>
      <c r="AO30" s="2459" t="s">
        <v>821</v>
      </c>
      <c r="AP30" s="2460"/>
      <c r="AQ30" s="2460"/>
      <c r="AR30" s="2460"/>
      <c r="AS30" s="2460"/>
      <c r="AT30" s="2460"/>
      <c r="AU30" s="2460"/>
      <c r="AV30" s="2460"/>
      <c r="AW30" s="2460"/>
      <c r="AX30" s="2461"/>
      <c r="BB30" s="2318"/>
      <c r="BC30" s="1042" t="s">
        <v>822</v>
      </c>
      <c r="BD30" s="1242">
        <f>SUM(SUMIFS(P30:AI30,P14:AI14,{"[1]家族"},P12:AI12,"[1]男"))</f>
        <v>0</v>
      </c>
      <c r="BE30" s="1243">
        <f>SUM(SUMIFS(P30:AI30,P14:AI14,{"[1]家族"},P12:AI12,"[2]女"))</f>
        <v>0</v>
      </c>
      <c r="BF30" s="1237">
        <f t="shared" si="2"/>
        <v>0</v>
      </c>
      <c r="BG30" s="1245"/>
      <c r="BH30" s="1245"/>
      <c r="BI30" s="1246"/>
      <c r="BJ30" s="1245"/>
      <c r="BK30" s="1245"/>
      <c r="BL30" s="1246"/>
      <c r="BM30" s="1245"/>
      <c r="BN30" s="144"/>
      <c r="BO30" s="676" t="s">
        <v>823</v>
      </c>
      <c r="BP30" s="463"/>
      <c r="BQ30" s="1041"/>
      <c r="BR30" s="1041"/>
      <c r="BS30" s="1041"/>
      <c r="BT30" s="1041"/>
      <c r="BU30" s="1041"/>
      <c r="BV30" s="1041"/>
      <c r="BW30" s="1041"/>
      <c r="BX30" s="1041"/>
      <c r="BY30" s="1041"/>
      <c r="BZ30" s="1041"/>
      <c r="CA30" s="1041"/>
      <c r="CB30" s="1041"/>
      <c r="CC30" s="1041"/>
      <c r="CD30" s="1041"/>
      <c r="CE30" s="1041"/>
    </row>
    <row r="31" spans="3:83" ht="31.5" customHeight="1" thickTop="1" thickBot="1">
      <c r="C31" s="2474" t="s">
        <v>824</v>
      </c>
      <c r="D31" s="2475"/>
      <c r="E31" s="2476"/>
      <c r="F31" s="2477" t="s">
        <v>825</v>
      </c>
      <c r="G31" s="2478"/>
      <c r="H31" s="2478"/>
      <c r="I31" s="2478"/>
      <c r="J31" s="2478"/>
      <c r="K31" s="2478"/>
      <c r="L31" s="2478"/>
      <c r="M31" s="2478"/>
      <c r="N31" s="2478"/>
      <c r="O31" s="2478"/>
      <c r="P31" s="1228"/>
      <c r="Q31" s="1229"/>
      <c r="R31" s="1229"/>
      <c r="S31" s="1229"/>
      <c r="T31" s="1229"/>
      <c r="U31" s="1229"/>
      <c r="V31" s="1229"/>
      <c r="W31" s="1229"/>
      <c r="X31" s="1229"/>
      <c r="Y31" s="1229"/>
      <c r="Z31" s="1229"/>
      <c r="AA31" s="1229"/>
      <c r="AB31" s="1229"/>
      <c r="AC31" s="1229"/>
      <c r="AD31" s="1229"/>
      <c r="AE31" s="1229"/>
      <c r="AF31" s="1229"/>
      <c r="AG31" s="1229"/>
      <c r="AH31" s="1229"/>
      <c r="AI31" s="1230"/>
      <c r="AJ31" s="1231"/>
      <c r="AK31" s="1232"/>
      <c r="AL31" s="2479" t="s">
        <v>824</v>
      </c>
      <c r="AM31" s="2480"/>
      <c r="AN31" s="2481"/>
      <c r="AO31" s="2482" t="s">
        <v>825</v>
      </c>
      <c r="AP31" s="2483"/>
      <c r="AQ31" s="2483"/>
      <c r="AR31" s="2483"/>
      <c r="AS31" s="2483"/>
      <c r="AT31" s="2483"/>
      <c r="AU31" s="2483"/>
      <c r="AV31" s="2483"/>
      <c r="AW31" s="2483"/>
      <c r="AX31" s="2484"/>
      <c r="BB31" s="2418" t="s">
        <v>826</v>
      </c>
      <c r="BC31" s="2419"/>
      <c r="BD31" s="1247">
        <f>SUM(SUMIFS(P31:AI31,P14:AI14,{"[1]家族","[3]ゆい・手間替え受け"},P12:AI12,"[1]男"))</f>
        <v>0</v>
      </c>
      <c r="BE31" s="1248">
        <f>SUM(SUMIFS(P31:AI31,P14:AI14,{"[1]家族","[3]ゆい・手間替え受け"},P12:AI12,"[2]女"))</f>
        <v>0</v>
      </c>
      <c r="BF31" s="1237">
        <f t="shared" si="2"/>
        <v>0</v>
      </c>
      <c r="BG31" s="1234">
        <f>AJ31</f>
        <v>0</v>
      </c>
      <c r="BH31" s="1238">
        <f>SUM(SUMIFS(P31:AI31,P14:AI14,{"[2]同居人","[4]手伝い・共同作業受け"},P12:AI12,"[1]男"))</f>
        <v>0</v>
      </c>
      <c r="BI31" s="1249">
        <f>SUM(BG31:BH31)</f>
        <v>0</v>
      </c>
      <c r="BJ31" s="1240">
        <f>AK31</f>
        <v>0</v>
      </c>
      <c r="BK31" s="1238">
        <f>SUM(SUMIFS(P31:AI31,P14:AI14,{"[2]同居人","[4]手伝い・共同作業受け"},P12:AI12,"[2]女"))</f>
        <v>0</v>
      </c>
      <c r="BL31" s="1249">
        <f t="shared" si="1"/>
        <v>0</v>
      </c>
      <c r="BM31" s="1234">
        <f>SUM(BI31,BL31)</f>
        <v>0</v>
      </c>
      <c r="BN31" s="144"/>
      <c r="BO31" s="2490" t="s">
        <v>827</v>
      </c>
      <c r="BP31" s="2491"/>
      <c r="BQ31" s="144"/>
      <c r="BR31" s="144"/>
      <c r="BS31" s="144"/>
      <c r="BT31" s="144"/>
      <c r="BU31" s="144"/>
      <c r="BV31" s="144"/>
      <c r="BW31" s="144"/>
      <c r="BX31" s="144"/>
      <c r="BY31" s="144"/>
      <c r="BZ31" s="144"/>
      <c r="CA31" s="144"/>
      <c r="CB31" s="144"/>
      <c r="CC31" s="144"/>
      <c r="CD31" s="144"/>
      <c r="CE31" s="144"/>
    </row>
    <row r="32" spans="3:83" s="207" customFormat="1" ht="30" customHeight="1" thickTop="1" thickBot="1">
      <c r="C32" s="1044"/>
      <c r="D32" s="1045"/>
      <c r="E32" s="1045"/>
      <c r="F32" s="1045"/>
      <c r="G32" s="1045"/>
      <c r="H32" s="1045"/>
      <c r="I32" s="1045"/>
      <c r="J32" s="1045"/>
      <c r="K32" s="1045"/>
      <c r="L32" s="1045"/>
      <c r="M32" s="1045"/>
      <c r="N32" s="1045"/>
      <c r="O32" s="1045"/>
      <c r="P32" s="1045"/>
      <c r="Q32" s="1045"/>
      <c r="R32" s="1045"/>
      <c r="S32" s="1045"/>
      <c r="T32" s="1045"/>
      <c r="U32" s="1045"/>
      <c r="V32" s="1045"/>
      <c r="W32" s="1045"/>
      <c r="X32" s="1045"/>
      <c r="Y32" s="1045"/>
      <c r="Z32" s="1045"/>
      <c r="AA32" s="1045"/>
      <c r="AB32" s="1045"/>
      <c r="AC32" s="1045"/>
      <c r="AD32" s="1045"/>
      <c r="AE32" s="1045"/>
      <c r="AF32" s="1045"/>
      <c r="AG32" s="1045"/>
      <c r="AH32" s="1045"/>
      <c r="AI32" s="1045"/>
      <c r="AJ32" s="1045"/>
      <c r="AK32" s="1045"/>
      <c r="BB32" s="2492" t="s">
        <v>828</v>
      </c>
      <c r="BC32" s="2418"/>
      <c r="BD32" s="841">
        <f>SUM(BD14,BD31)</f>
        <v>0</v>
      </c>
      <c r="BE32" s="841">
        <f>SUM(BE14,BE31)</f>
        <v>0</v>
      </c>
      <c r="BF32" s="1234">
        <f t="shared" si="2"/>
        <v>0</v>
      </c>
      <c r="BG32" s="1234">
        <f>SUM(BG14,BG31)</f>
        <v>0</v>
      </c>
      <c r="BH32" s="1234">
        <f>SUM(BH14,BH31)</f>
        <v>0</v>
      </c>
      <c r="BI32" s="841">
        <f>SUM(BG32:BH32)</f>
        <v>0</v>
      </c>
      <c r="BJ32" s="1234">
        <f>SUM(BJ14,BJ31)</f>
        <v>0</v>
      </c>
      <c r="BK32" s="1234">
        <f>SUM(BK14,BK31)</f>
        <v>0</v>
      </c>
      <c r="BL32" s="841">
        <f t="shared" si="1"/>
        <v>0</v>
      </c>
      <c r="BM32" s="1234">
        <f>SUM(BI32,BL32)</f>
        <v>0</v>
      </c>
      <c r="BO32" s="2493"/>
      <c r="BP32" s="2494"/>
    </row>
    <row r="33" spans="1:70" s="207" customFormat="1" ht="30" customHeight="1" thickTop="1">
      <c r="A33" s="872" t="s">
        <v>829</v>
      </c>
      <c r="D33" s="1045"/>
      <c r="E33" s="1045"/>
      <c r="F33" s="1045"/>
      <c r="G33" s="1045"/>
      <c r="H33" s="1045"/>
      <c r="I33" s="1045"/>
      <c r="J33" s="1045"/>
      <c r="K33" s="1045"/>
      <c r="L33" s="1045"/>
      <c r="M33" s="1045"/>
      <c r="N33" s="1045"/>
      <c r="Q33" s="1045"/>
      <c r="R33" s="1045"/>
      <c r="S33" s="1045"/>
      <c r="T33" s="1045"/>
      <c r="U33" s="1045"/>
      <c r="V33" s="1045"/>
      <c r="W33" s="1045"/>
      <c r="X33" s="1045"/>
      <c r="Y33" s="1045"/>
      <c r="Z33" s="1045"/>
      <c r="AA33" s="1045"/>
      <c r="AB33" s="1045"/>
      <c r="AC33" s="1045"/>
      <c r="AD33" s="1045"/>
      <c r="AE33" s="1045"/>
      <c r="AF33" s="1045"/>
      <c r="AG33" s="1045"/>
      <c r="AH33" s="1045"/>
      <c r="BB33" s="2"/>
      <c r="BC33" s="2"/>
      <c r="BD33" s="2"/>
      <c r="BE33" s="2"/>
      <c r="BF33" s="2"/>
      <c r="BG33" s="2"/>
      <c r="BH33" s="2"/>
      <c r="BI33" s="2"/>
      <c r="BJ33" s="2"/>
      <c r="BK33" s="2"/>
      <c r="BL33" s="2"/>
      <c r="BM33" s="2"/>
    </row>
    <row r="34" spans="1:70" s="207" customFormat="1" ht="30" customHeight="1" thickBot="1">
      <c r="C34" s="65" t="s">
        <v>830</v>
      </c>
      <c r="D34" s="1045"/>
      <c r="E34" s="1045"/>
      <c r="F34" s="1045"/>
      <c r="G34" s="1045"/>
      <c r="H34" s="1045"/>
      <c r="I34" s="1045"/>
      <c r="J34" s="1045"/>
      <c r="K34" s="1045"/>
      <c r="L34" s="1045"/>
      <c r="M34" s="1045"/>
      <c r="N34" s="1045"/>
      <c r="Q34" s="1045"/>
      <c r="R34" s="1045"/>
      <c r="S34" s="1045"/>
      <c r="T34" s="1045"/>
      <c r="U34" s="1045"/>
      <c r="V34" s="1045"/>
      <c r="W34" s="1045"/>
      <c r="X34" s="1045"/>
      <c r="Y34" s="1045"/>
      <c r="Z34" s="1045"/>
      <c r="AA34" s="1045"/>
      <c r="AB34" s="1045"/>
      <c r="AC34" s="1045"/>
      <c r="AD34" s="1045"/>
      <c r="AE34" s="1045"/>
      <c r="AF34" s="1045"/>
      <c r="AG34" s="1045"/>
      <c r="AH34" s="1045"/>
      <c r="BB34" s="260" t="s">
        <v>831</v>
      </c>
      <c r="BC34" s="131"/>
      <c r="BD34" s="131"/>
      <c r="BE34" s="131"/>
      <c r="BF34" s="131"/>
      <c r="BG34" s="131"/>
      <c r="BH34" s="131"/>
      <c r="BI34" s="131"/>
      <c r="BJ34" s="131"/>
      <c r="BK34" s="131"/>
      <c r="BL34" s="131"/>
      <c r="BM34" s="131"/>
      <c r="BN34" s="131"/>
      <c r="BO34" s="131"/>
      <c r="BP34" s="131"/>
      <c r="BQ34" s="131"/>
      <c r="BR34" s="131"/>
    </row>
    <row r="35" spans="1:70" ht="20.25" customHeight="1">
      <c r="C35" s="2495" t="s">
        <v>58</v>
      </c>
      <c r="D35" s="2496"/>
      <c r="E35" s="2496"/>
      <c r="F35" s="2496"/>
      <c r="G35" s="2496"/>
      <c r="H35" s="2496"/>
      <c r="I35" s="2496"/>
      <c r="J35" s="2496"/>
      <c r="K35" s="2496"/>
      <c r="L35" s="2496"/>
      <c r="M35" s="2496"/>
      <c r="N35" s="2496"/>
      <c r="O35" s="2497"/>
      <c r="P35" s="1431" t="s">
        <v>832</v>
      </c>
      <c r="Q35" s="2501" t="s">
        <v>833</v>
      </c>
      <c r="BB35" s="2"/>
      <c r="BC35" s="2"/>
      <c r="BD35" s="676"/>
      <c r="BE35" s="676"/>
      <c r="BF35" s="676"/>
      <c r="BG35" s="676"/>
      <c r="BH35" s="676"/>
      <c r="BI35" s="676"/>
      <c r="BJ35" s="676"/>
      <c r="BK35" s="676"/>
      <c r="BL35" s="676"/>
      <c r="BM35" s="676"/>
      <c r="BN35" s="676"/>
      <c r="BO35" s="676"/>
      <c r="BP35" s="676"/>
      <c r="BQ35" s="676"/>
      <c r="BR35" s="1015" t="s">
        <v>834</v>
      </c>
    </row>
    <row r="36" spans="1:70" ht="20.25" customHeight="1" thickBot="1">
      <c r="C36" s="2498"/>
      <c r="D36" s="2499"/>
      <c r="E36" s="2499"/>
      <c r="F36" s="2499"/>
      <c r="G36" s="2499"/>
      <c r="H36" s="2499"/>
      <c r="I36" s="2499"/>
      <c r="J36" s="2499"/>
      <c r="K36" s="2499"/>
      <c r="L36" s="2499"/>
      <c r="M36" s="2499"/>
      <c r="N36" s="2499"/>
      <c r="O36" s="2500"/>
      <c r="P36" s="1684"/>
      <c r="Q36" s="2502"/>
      <c r="BB36" s="2503"/>
      <c r="BC36" s="2504"/>
      <c r="BD36" s="2509" t="s">
        <v>835</v>
      </c>
      <c r="BE36" s="2509"/>
      <c r="BF36" s="2509"/>
      <c r="BG36" s="2509"/>
      <c r="BH36" s="2509"/>
      <c r="BI36" s="2509"/>
      <c r="BJ36" s="2509"/>
      <c r="BK36" s="2509"/>
      <c r="BL36" s="2509"/>
      <c r="BM36" s="2509"/>
      <c r="BN36" s="2509"/>
      <c r="BO36" s="2509"/>
      <c r="BP36" s="2509"/>
      <c r="BQ36" s="2509"/>
      <c r="BR36" s="2509"/>
    </row>
    <row r="37" spans="1:70" ht="30" customHeight="1" thickTop="1">
      <c r="C37" s="2510" t="s">
        <v>836</v>
      </c>
      <c r="D37" s="2511"/>
      <c r="E37" s="2511"/>
      <c r="F37" s="2511"/>
      <c r="G37" s="2511"/>
      <c r="H37" s="2511"/>
      <c r="I37" s="2511"/>
      <c r="J37" s="2511"/>
      <c r="K37" s="2511"/>
      <c r="L37" s="2511"/>
      <c r="M37" s="2511"/>
      <c r="N37" s="2511"/>
      <c r="O37" s="2511"/>
      <c r="P37" s="1046"/>
      <c r="Q37" s="1291"/>
      <c r="BB37" s="2505"/>
      <c r="BC37" s="2506"/>
      <c r="BD37" s="2418" t="s">
        <v>751</v>
      </c>
      <c r="BE37" s="2485"/>
      <c r="BF37" s="2485"/>
      <c r="BG37" s="2485"/>
      <c r="BH37" s="2486"/>
      <c r="BI37" s="2418" t="s">
        <v>837</v>
      </c>
      <c r="BJ37" s="2485"/>
      <c r="BK37" s="2485"/>
      <c r="BL37" s="2485"/>
      <c r="BM37" s="1299"/>
      <c r="BN37" s="2418" t="s">
        <v>838</v>
      </c>
      <c r="BO37" s="1298"/>
      <c r="BP37" s="1298"/>
      <c r="BQ37" s="1298"/>
      <c r="BR37" s="1299"/>
    </row>
    <row r="38" spans="1:70" ht="30" customHeight="1" thickBot="1">
      <c r="A38" s="144"/>
      <c r="C38" s="2487" t="s">
        <v>839</v>
      </c>
      <c r="D38" s="2488"/>
      <c r="E38" s="2488"/>
      <c r="F38" s="2488"/>
      <c r="G38" s="2488"/>
      <c r="H38" s="2488"/>
      <c r="I38" s="2488"/>
      <c r="J38" s="2488"/>
      <c r="K38" s="2488"/>
      <c r="L38" s="2488"/>
      <c r="M38" s="2488"/>
      <c r="N38" s="2488"/>
      <c r="O38" s="2488"/>
      <c r="P38" s="1047"/>
      <c r="Q38" s="1292"/>
      <c r="BB38" s="2507"/>
      <c r="BC38" s="2508"/>
      <c r="BD38" s="1048" t="s">
        <v>840</v>
      </c>
      <c r="BE38" s="735" t="s">
        <v>841</v>
      </c>
      <c r="BF38" s="735" t="s">
        <v>842</v>
      </c>
      <c r="BG38" s="1049" t="s">
        <v>843</v>
      </c>
      <c r="BH38" s="1049" t="s">
        <v>757</v>
      </c>
      <c r="BI38" s="735" t="s">
        <v>840</v>
      </c>
      <c r="BJ38" s="735" t="s">
        <v>841</v>
      </c>
      <c r="BK38" s="735" t="s">
        <v>842</v>
      </c>
      <c r="BL38" s="1049" t="s">
        <v>843</v>
      </c>
      <c r="BM38" s="1049" t="s">
        <v>757</v>
      </c>
      <c r="BN38" s="735" t="s">
        <v>840</v>
      </c>
      <c r="BO38" s="735" t="s">
        <v>841</v>
      </c>
      <c r="BP38" s="735" t="s">
        <v>842</v>
      </c>
      <c r="BQ38" s="1049" t="s">
        <v>843</v>
      </c>
      <c r="BR38" s="1049" t="s">
        <v>757</v>
      </c>
    </row>
    <row r="39" spans="1:70" ht="30" customHeight="1">
      <c r="BB39" s="2489" t="s">
        <v>844</v>
      </c>
      <c r="BC39" s="1050" t="s">
        <v>845</v>
      </c>
      <c r="BD39" s="956">
        <f>SUMIFS(P15:AI15,P14:AI14,"[1]家族",P12:AI12,"[1]男",P13:AI13,"&lt;65") +
SUMIFS(P16:AI16,P14:AI14,"[1]家族",P12:AI12,"[1]男",P13:AI13,"&lt;65") +
SUMIFS(P17:AI17,P14:AI14,"[1]家族",P12:AI12,"[1]男",P13:AI13,"&lt;65") +
SUMIFS(P18:AI18,P14:AI14,"[1]家族",P12:AI12,"[1]男",P13:AI13,"&lt;65") +
SUMIFS(P19:AI19,P14:AI14,"[1]家族",P12:AI12,"[1]男",P13:AI13,"&lt;65") +
SUMIFS(P20:AI20,P14:AI14,"[1]家族",P12:AI12,"[1]男",P13:AI13,"&lt;65") +
SUMIFS(P21:AI21,P14:AI14,"[1]家族",P12:AI12,"[1]男",P13:AI13,"&lt;65") +
SUMIFS(P22:AI22,P14:AI14,"[1]家族",P12:AI12,"[1]男",P13:AI13,"&lt;65") +
SUMIFS(P23:AI23,P14:AI14,"[1]家族",P12:AI12,"[1]男",P13:AI13,"&lt;65") +
SUMIFS(P24:AI24,P14:AI14,"[1]家族",P12:AI12,"[1]男",P13:AI13,"&lt;65") +
SUMIFS(P25:AI25,P14:AI14,"[1]家族",P12:AI12,"[1]男",P13:AI13,"&lt;65") +
SUMIFS(P26:AI26,P14:AI14,"[1]家族",P12:AI12,"[1]男",P13:AI13,"&lt;65") +
SUMIFS(P27:AI27,P14:AI14,"[1]家族",P12:AI12,"[1]男",P13:AI13,"&lt;65") +
SUMIFS(P28:AI28,P14:AI14,"[1]家族",P12:AI12,"[1]男",P13:AI13,"&lt;65") +
SUMIFS(P29:AI29,P14:AI14,"[1]家族",P12:AI12,"[1]男",P13:AI13,"&lt;65") +
SUMIFS(P30:AI30,P14:AI14,"[1]家族",P12:AI12,"[1]男",P13:AI13,"&lt;65") +
SUMIFS(P15:AI15,P14:AI14,"[3]ゆい・手間替え受け",P12:AI12,"[1]男") +
SUMIFS(P16:AI16,P14:AI14,"[3]ゆい・手間替え受け",P12:AI12,"[1]男") +
SUMIFS(P17:AI17,P14:AI14,"[3]ゆい・手間替え受け",P12:AI12,"[1]男") +
SUMIFS(P18:AI18,P14:AI14,"[3]ゆい・手間替え受け",P12:AI12,"[1]男") +
SUMIFS(P19:AI19,P14:AI14,"[3]ゆい・手間替え受け",P12:AI12,"[1]男") +
SUMIFS(P20:AI20,P14:AI14,"[3]ゆい・手間替え受け",P12:AI12,"[1]男") +
SUMIFS(P21:AI21,P14:AI14,"[3]ゆい・手間替え受け",P12:AI12,"[1]男") +
SUMIFS(P22:AI22,P14:AI14,"[3]ゆい・手間替え受け",P12:AI12,"[1]男") +
SUMIFS(P23:AI23,P14:AI14,"[3]ゆい・手間替え受け",P12:AI12,"[1]男") +
SUMIFS(P24:AI24,P14:AI14,"[3]ゆい・手間替え受け",P12:AI12,"[1]男") +
SUMIFS(P25:AI25,P14:AI14,"[3]ゆい・手間替え受け",P12:AI12,"[1]男") +
SUMIFS(P26:AI26,P14:AI14,"[3]ゆい・手間替え受け",P12:AI12,"[1]男") +
SUMIFS(P27:AI27,P14:AI14,"[3]ゆい・手間替え受け",P12:AI12,"[1]男") +
SUMIFS(P28:AI28,P14:AI14,"[3]ゆい・手間替え受け",P12:AI12,"[1]男") +
SUMIFS(P29:AI29,P14:AI14,"[3]ゆい・手間替え受け",P12:AI12,"[1]男")</f>
        <v>0</v>
      </c>
      <c r="BE39" s="956">
        <f>SUMIFS(P15:AI15,P14:AI14,"[1]家族",P12:AI12,"[1]男",P13:AI13,"&gt;=65",P13:AI13,"&lt;70") +
SUMIFS(P16:AI16,P14:AI14,"[1]家族",P12:AI12,"[1]男",P13:AI13,"&gt;=65",P13:AI13,"&lt;70") +
SUMIFS(P17:AI17,P14:AI14,"[1]家族",P12:AI12,"[1]男",P13:AI13,"&gt;=65",P13:AI13,"&lt;70") +
SUMIFS(P18:AI18,P14:AI14,"[1]家族",P12:AI12,"[1]男",P13:AI13,"&gt;=65",P13:AI13,"&lt;70") +
SUMIFS(P19:AI19,P14:AI14,"[1]家族",P12:AI12,"[1]男",P13:AI13,"&gt;=65",P13:AI13,"&lt;70") +
SUMIFS(P20:AI20,P14:AI14,"[1]家族",P12:AI12,"[1]男",P13:AI13,"&gt;=65",P13:AI13,"&lt;70") +
SUMIFS(P21:AI21,P14:AI14,"[1]家族",P12:AI12,"[1]男",P13:AI13,"&gt;=65",P13:AI13,"&lt;70") +
SUMIFS(P22:AI22,P14:AI14,"[1]家族",P12:AI12,"[1]男",P13:AI13,"&gt;=65",P13:AI13,"&lt;70") +
SUMIFS(P23:AI23,P14:AI14,"[1]家族",P12:AI12,"[1]男",P13:AI13,"&gt;=65",P13:AI13,"&lt;70") +
SUMIFS(P24:AI24,P14:AI14,"[1]家族",P12:AI12,"[1]男",P13:AI13,"&gt;=65",P13:AI13,"&lt;70") +
SUMIFS(P25:AI25,P14:AI14,"[1]家族",P12:AI12,"[1]男",P13:AI13,"&gt;=65",P13:AI13,"&lt;70") +
SUMIFS(P26:AI26,P14:AI14,"[1]家族",P12:AI12,"[1]男",P13:AI13,"&gt;=65",P13:AI13,"&lt;70") +
SUMIFS(P27:AI27,P14:AI14,"[1]家族",P12:AI12,"[1]男",P13:AI13,"&gt;=65",P13:AI13,"&lt;70") +
SUMIFS(P28:AI28,P14:AI14,"[1]家族",P12:AI12,"[1]男",P13:AI13,"&gt;=65",P13:AI13,"&lt;70") +
SUMIFS(P29:AI29,P14:AI14,"[1]家族",P12:AI12,"[1]男",P13:AI13,"&gt;=65",P13:AI13,"&lt;70") +
SUMIFS(P30:AI30,P14:AI14,"[1]家族",P12:AI12,"[1]男",P13:AI13,"&gt;=65",P13:AI13,"&lt;70")</f>
        <v>0</v>
      </c>
      <c r="BF39" s="956">
        <f>SUMIFS(P15:AI15,P14:AI14,"[1]家族",P12:AI12,"[1]男",P13:AI13,"&gt;=70",P13:AI13,"&lt;75") +
SUMIFS(P16:AI16,P14:AI14,"[1]家族",P12:AI12,"[1]男",P13:AI13,"&gt;=70",P13:AI13,"&lt;75") +
SUMIFS(P17:AI17,P14:AI14,"[1]家族",P12:AI12,"[1]男",P13:AI13,"&gt;=70",P13:AI13,"&lt;75") +
SUMIFS(P18:AI18,P14:AI14,"[1]家族",P12:AI12,"[1]男",P13:AI13,"&gt;=70",P13:AI13,"&lt;75") +
SUMIFS(P19:AI19,P14:AI14,"[1]家族",P12:AI12,"[1]男",P13:AI13,"&gt;=70",P13:AI13,"&lt;75") +
SUMIFS(P20:AI20,P14:AI14,"[1]家族",P12:AI12,"[1]男",P13:AI13,"&gt;=70",P13:AI13,"&lt;75") +
SUMIFS(P21:AI21,P14:AI14,"[1]家族",P12:AI12,"[1]男",P13:AI13,"&gt;=70",P13:AI13,"&lt;75") +
SUMIFS(P22:AI22,P14:AI14,"[1]家族",P12:AI12,"[1]男",P13:AI13,"&gt;=70",P13:AI13,"&lt;75") +
SUMIFS(P23:AI23,P14:AI14,"[1]家族",P12:AI12,"[1]男",P13:AI13,"&gt;=70",P13:AI13,"&lt;75") +
SUMIFS(P24:AI24,P14:AI14,"[1]家族",P12:AI12,"[1]男",P13:AI13,"&gt;=70",P13:AI13,"&lt;75") +
SUMIFS(P25:AI25,P14:AI14,"[1]家族",P12:AI12,"[1]男",P13:AI13,"&gt;=70",P13:AI13,"&lt;75") +
SUMIFS(P26:AI26,P14:AI14,"[1]家族",P12:AI12,"[1]男",P13:AI13,"&gt;=70",P13:AI13,"&lt;75") +
SUMIFS(P27:AI27,P14:AI14,"[1]家族",P12:AI12,"[1]男",P13:AI13,"&gt;=70",P13:AI13,"&lt;75") +
SUMIFS(P28:AI28,P14:AI14,"[1]家族",P12:AI12,"[1]男",P13:AI13,"&gt;=70",P13:AI13,"&lt;75") +
SUMIFS(P29:AI29,P14:AI14,"[1]家族",P12:AI12,"[1]男",P13:AI13,"&gt;=70",P13:AI13,"&lt;75") +
SUMIFS(P30:AI30,P14:AI14,"[1]家族",P12:AI12,"[1]男",P13:AI13,"&gt;=70",P13:AI13,"&lt;75")</f>
        <v>0</v>
      </c>
      <c r="BG39" s="956">
        <f>SUMIFS(P15:AI15,P14:AI14,"[1]家族",P12:AI12,"[1]男",P13:AI13,"&gt;=75") +
SUMIFS(P16:AI16,P14:AI14,"[1]家族",P12:AI12,"[1]男",P13:AI13,"&gt;=75") +
SUMIFS(P17:AI17,P14:AI14,"[1]家族",P12:AI12,"[1]男",P13:AI13,"&gt;=75") +
SUMIFS(P18:AI18,P14:AI14,"[1]家族",P12:AI12,"[1]男",P13:AI13,"&gt;=75") +
SUMIFS(P19:AI19,P14:AI14,"[1]家族",P12:AI12,"[1]男",P13:AI13,"&gt;=75") +
SUMIFS(P20:AI20,P14:AI14,"[1]家族",P12:AI12,"[1]男",P13:AI13,"&gt;=75") +
SUMIFS(P21:AI21,P14:AI14,"[1]家族",P12:AI12,"[1]男",P13:AI13,"&gt;=75") +
SUMIFS(P22:AI22,P14:AI14,"[1]家族",P12:AI12,"[1]男",P13:AI13,"&gt;=75") +
SUMIFS(P23:AI23,P14:AI14,"[1]家族",P12:AI12,"[1]男",P13:AI13,"&gt;=75") +
SUMIFS(P24:AI24,P14:AI14,"[1]家族",P12:AI12,"[1]男",P13:AI13,"&gt;=75") +
SUMIFS(P25:AI25,P14:AI14,"[1]家族",P12:AI12,"[1]男",P13:AI13,"&gt;=75") +
SUMIFS(P26:AI26,P14:AI14,"[1]家族",P12:AI12,"[1]男",P13:AI13,"&gt;=75") +
SUMIFS(P27:AI27,P14:AI14,"[1]家族",P12:AI12,"[1]男",P13:AI13,"&gt;=75") +
SUMIFS(P28:AI28,P14:AI14,"[1]家族",P12:AI12,"[1]男",P13:AI13,"&gt;=75") +
SUMIFS(P29:AI29,P14:AI14,"[1]家族",P12:AI12,"[1]男",P13:AI13,"&gt;=75") +
SUMIFS(P30:AI30,P14:AI14,"[1]家族",P12:AI12,"[1]男",P13:AI13,"&gt;=75")</f>
        <v>0</v>
      </c>
      <c r="BH39" s="956">
        <f t="shared" ref="BH39:BH44" si="6">SUM(BD39:BG39)</f>
        <v>0</v>
      </c>
      <c r="BI39" s="956">
        <f>SUMIFS(P15:AI15,P14:AI14,"[1]家族",P12:AI12,"[2]女",P13:AI13,"&lt;65") +
SUMIFS(P16:AI16,P14:AI14,"[1]家族",P12:AI12,"[2]女",P13:AI13,"&lt;65") +
SUMIFS(P17:AI17,P14:AI14,"[1]家族",P12:AI12,"[2]女",P13:AI13,"&lt;65") +
SUMIFS(P18:AI18,P14:AI14,"[1]家族",P12:AI12,"[2]女",P13:AI13,"&lt;65") +
SUMIFS(P19:AI19,P14:AI14,"[1]家族",P12:AI12,"[2]女",P13:AI13,"&lt;65") +
SUMIFS(P20:AI20,P14:AI14,"[1]家族",P12:AI12,"[2]女",P13:AI13,"&lt;65") +
SUMIFS(P21:AI21,P14:AI14,"[1]家族",P12:AI12,"[2]女",P13:AI13,"&lt;65") +
SUMIFS(P22:AI22,P14:AI14,"[1]家族",P12:AI12,"[2]女",P13:AI13,"&lt;65") +
SUMIFS(P23:AI23,P14:AI14,"[1]家族",P12:AI12,"[2]女",P13:AI13,"&lt;65") +
SUMIFS(P24:AI24,P14:AI14,"[1]家族",P12:AI12,"[2]女",P13:AI13,"&lt;65") +
SUMIFS(P25:AI25,P14:AI14,"[1]家族",P12:AI12,"[2]女",P13:AI13,"&lt;65") +
SUMIFS(P26:AI26,P14:AI14,"[1]家族",P12:AI12,"[2]女",P13:AI13,"&lt;65") +
SUMIFS(P27:AI27,P14:AI14,"[1]家族",P12:AI12,"[2]女",P13:AI13,"&lt;65") +
SUMIFS(P28:AI28,P14:AI14,"[1]家族",P12:AI12,"[2]女",P13:AI13,"&lt;65") +
SUMIFS(P29:AI29,P14:AI14,"[1]家族",P12:AI12,"[2]女",P13:AI13,"&lt;65") +
SUMIFS(P30:AI30,P14:AI14,"[1]家族",P12:AI12,"[2]女",P13:AI13,"&lt;65") +
SUMIFS(P15:AI15,P14:AI14,"[3]ゆい・手間替え受け",P12:AI12,"[2]女") +
SUMIFS(P16:AI16,P14:AI14,"[3]ゆい・手間替え受け",P12:AI12,"[2]女") +
SUMIFS(P17:AI17,P14:AI14,"[3]ゆい・手間替え受け",P12:AI12,"[2]女") +
SUMIFS(P18:AI18,P14:AI14,"[3]ゆい・手間替え受け",P12:AI12,"[2]女") +
SUMIFS(P19:AI19,P14:AI14,"[3]ゆい・手間替え受け",P12:AI12,"[2]女") +
SUMIFS(P20:AI20,P14:AI14,"[3]ゆい・手間替え受け",P12:AI12,"[2]女") +
SUMIFS(P21:AI21,P14:AI14,"[3]ゆい・手間替え受け",P12:AI12,"[2]女") +
SUMIFS(P22:AI22,P14:AI14,"[3]ゆい・手間替え受け",P12:AI12,"[2]女") +
SUMIFS(P23:AI23,P14:AI14,"[3]ゆい・手間替え受け",P12:AI12,"[2]女") +
SUMIFS(P24:AI24,P14:AI14,"[3]ゆい・手間替え受け",P12:AI12,"[2]女") +
SUMIFS(P25:AI25,P14:AI14,"[3]ゆい・手間替え受け",P12:AI12,"[2]女") +
SUMIFS(P26:AI26,P14:AI14,"[3]ゆい・手間替え受け",P12:AI12,"[2]女") +
SUMIFS(P27:AI27,P14:AI14,"[3]ゆい・手間替え受け",P12:AI12,"[2]女") +
SUMIFS(P28:AI28,P14:AI14,"[3]ゆい・手間替え受け",P12:AI12,"[2]女") +
SUMIFS(P29:AI29,P14:AI14,"[3]ゆい・手間替え受け",P12:AI12,"[2]女")</f>
        <v>0</v>
      </c>
      <c r="BJ39" s="956">
        <f>SUMIFS(P15:AI15,P14:AI14,"[1]家族",P12:AI12,"[2]女",P13:AI13,"&gt;=65",P13:AI13,"&lt;70") +
SUMIFS(P16:AI16,P14:AI14,"[1]家族",P12:AI12,"[2]女",P13:AI13,"&gt;=65",P13:AI13,"&lt;70") +
SUMIFS(P17:AI17,P14:AI14,"[1]家族",P12:AI12,"[2]女",P13:AI13,"&gt;=65",P13:AI13,"&lt;70") +
SUMIFS(P18:AI18,P14:AI14,"[1]家族",P12:AI12,"[2]女",P13:AI13,"&gt;=65",P13:AI13,"&lt;70") +
SUMIFS(P19:AI19,P14:AI14,"[1]家族",P12:AI12,"[2]女",P13:AI13,"&gt;=65",P13:AI13,"&lt;70") +
SUMIFS(P20:AI20,P14:AI14,"[1]家族",P12:AI12,"[2]女",P13:AI13,"&gt;=65",P13:AI13,"&lt;70") +
SUMIFS(P21:AI21,P14:AI14,"[1]家族",P12:AI12,"[2]女",P13:AI13,"&gt;=65",P13:AI13,"&lt;70") +
SUMIFS(P22:AI22,P14:AI14,"[1]家族",P12:AI12,"[2]女",P13:AI13,"&gt;=65",P13:AI13,"&lt;70") +
SUMIFS(P23:AI23,P14:AI14,"[1]家族",P12:AI12,"[2]女",P13:AI13,"&gt;=65",P13:AI13,"&lt;70") +
SUMIFS(P24:AI24,P14:AI14,"[1]家族",P12:AI12,"[2]女",P13:AI13,"&gt;=65",P13:AI13,"&lt;70") +
SUMIFS(P25:AI25,P14:AI14,"[1]家族",P12:AI12,"[2]女",P13:AI13,"&gt;=65",P13:AI13,"&lt;70") +
SUMIFS(P26:AI26,P14:AI14,"[1]家族",P12:AI12,"[2]女",P13:AI13,"&gt;=65",P13:AI13,"&lt;70") +
SUMIFS(P27:AI27,P14:AI14,"[1]家族",P12:AI12,"[2]女",P13:AI13,"&gt;=65",P13:AI13,"&lt;70") +
SUMIFS(P28:AI28,P14:AI14,"[1]家族",P12:AI12,"[2]女",P13:AI13,"&gt;=65",P13:AI13,"&lt;70") +
SUMIFS(P29:AI29,P14:AI14,"[1]家族",P12:AI12,"[2]女",P13:AI13,"&gt;=65",P13:AI13,"&lt;70") +
SUMIFS(P30:AI30,P14:AI14,"[1]家族",P12:AI12,"[2]女",P13:AI13,"&gt;=65",P13:AI13,"&lt;70")</f>
        <v>0</v>
      </c>
      <c r="BK39" s="956">
        <f>SUMIFS(P15:AI15,P14:AI14,"[1]家族",P12:AI12,"[2]女",P13:AI13,"&gt;=70",P13:AI13,"&lt;75") +
SUMIFS(P16:AI16,P14:AI14,"[1]家族",P12:AI12,"[2]女",P13:AI13,"&gt;=70",P13:AI13,"&lt;75") +
SUMIFS(P17:AI17,P14:AI14,"[1]家族",P12:AI12,"[2]女",P13:AI13,"&gt;=70",P13:AI13,"&lt;75") +
SUMIFS(P18:AI18,P14:AI14,"[1]家族",P12:AI12,"[2]女",P13:AI13,"&gt;=70",P13:AI13,"&lt;75") +
SUMIFS(P19:AI19,P14:AI14,"[1]家族",P12:AI12,"[2]女",P13:AI13,"&gt;=70",P13:AI13,"&lt;75") +
SUMIFS(P20:AI20,P14:AI14,"[1]家族",P12:AI12,"[2]女",P13:AI13,"&gt;=70",P13:AI13,"&lt;75") +
SUMIFS(P21:AI21,P14:AI14,"[1]家族",P12:AI12,"[2]女",P13:AI13,"&gt;=70",P13:AI13,"&lt;75") +
SUMIFS(P22:AI22,P14:AI14,"[1]家族",P12:AI12,"[2]女",P13:AI13,"&gt;=70",P13:AI13,"&lt;75") +
SUMIFS(P23:AI23,P14:AI14,"[1]家族",P12:AI12,"[2]女",P13:AI13,"&gt;=70",P13:AI13,"&lt;75") +
SUMIFS(P24:AI24,P14:AI14,"[1]家族",P12:AI12,"[2]女",P13:AI13,"&gt;=70",P13:AI13,"&lt;75") +
SUMIFS(P25:AI25,P14:AI14,"[1]家族",P12:AI12,"[2]女",P13:AI13,"&gt;=70",P13:AI13,"&lt;75") +
SUMIFS(P26:AI26,P14:AI14,"[1]家族",P12:AI12,"[2]女",P13:AI13,"&gt;=70",P13:AI13,"&lt;75") +
SUMIFS(P27:AI27,P14:AI14,"[1]家族",P12:AI12,"[2]女",P13:AI13,"&gt;=70",P13:AI13,"&lt;75") +
SUMIFS(P28:AI28,P14:AI14,"[1]家族",P12:AI12,"[2]女",P13:AI13,"&gt;=70",P13:AI13,"&lt;75") +
SUMIFS(P29:AI29,P14:AI14,"[1]家族",P12:AI12,"[2]女",P13:AI13,"&gt;=70",P13:AI13,"&lt;75") +
SUMIFS(P30:AI30,P14:AI14,"[1]家族",P12:AI12,"[2]女",P13:AI13,"&gt;=70",P13:AI13,"&lt;75")</f>
        <v>0</v>
      </c>
      <c r="BL39" s="956">
        <f>SUMIFS(P15:AI15,P14:AI14,"[1]家族",P12:AI12,"[2]女",P13:AI13,"&gt;=75") +
SUMIFS(P16:AI16,P14:AI14,"[1]家族",P12:AI12,"[2]女",P13:AI13,"&gt;=75") +
SUMIFS(P17:AI17,P14:AI14,"[1]家族",P12:AI12,"[2]女",P13:AI13,"&gt;=75") +
SUMIFS(P18:AI18,P14:AI14,"[1]家族",P12:AI12,"[2]女",P13:AI13,"&gt;=75") +
SUMIFS(P19:AI19,P14:AI14,"[1]家族",P12:AI12,"[2]女",P13:AI13,"&gt;=75") +
SUMIFS(P20:AI20,P14:AI14,"[1]家族",P12:AI12,"[2]女",P13:AI13,"&gt;=75") +
SUMIFS(P21:AI21,P14:AI14,"[1]家族",P12:AI12,"[2]女",P13:AI13,"&gt;=75") +
SUMIFS(P22:AI22,P14:AI14,"[1]家族",P12:AI12,"[2]女",P13:AI13,"&gt;=75") +
SUMIFS(P23:AI23,P14:AI14,"[1]家族",P12:AI12,"[2]女",P13:AI13,"&gt;=75") +
SUMIFS(P24:AI24,P14:AI14,"[1]家族",P12:AI12,"[2]女",P13:AI13,"&gt;=75") +
SUMIFS(P25:AI25,P14:AI14,"[1]家族",P12:AI12,"[2]女",P13:AI13,"&gt;=75") +
SUMIFS(P26:AI26,P14:AI14,"[1]家族",P12:AI12,"[2]女",P13:AI13,"&gt;=75") +
SUMIFS(P27:AI27,P14:AI14,"[1]家族",P12:AI12,"[2]女",P13:AI13,"&gt;=75") +
SUMIFS(P28:AI28,P14:AI14,"[1]家族",P12:AI12,"[2]女",P13:AI13,"&gt;=75") +
SUMIFS(P29:AI29,P14:AI14,"[1]家族",P12:AI12,"[2]女",P13:AI13,"&gt;=75") +
SUMIFS(P30:AI30,P14:AI14,"[1]家族",P12:AI12,"[2]女",P13:AI13,"&gt;=75")</f>
        <v>0</v>
      </c>
      <c r="BM39" s="956">
        <f t="shared" ref="BM39:BM44" si="7">SUM(BI39:BL39)</f>
        <v>0</v>
      </c>
      <c r="BN39" s="956">
        <f>SUM(BD39,BI39)</f>
        <v>0</v>
      </c>
      <c r="BO39" s="956">
        <f t="shared" ref="BO39:BQ40" si="8">SUM(BE39,BJ39)</f>
        <v>0</v>
      </c>
      <c r="BP39" s="956">
        <f t="shared" si="8"/>
        <v>0</v>
      </c>
      <c r="BQ39" s="956">
        <f>SUM(BG39,BL39)</f>
        <v>0</v>
      </c>
      <c r="BR39" s="956">
        <f t="shared" ref="BR39:BR44" si="9">SUM(BN39:BQ39)</f>
        <v>0</v>
      </c>
    </row>
    <row r="40" spans="1:70" ht="30" customHeight="1" thickBot="1">
      <c r="BB40" s="2489"/>
      <c r="BC40" s="1051" t="s">
        <v>846</v>
      </c>
      <c r="BD40" s="1250">
        <f>SUMIFS(P31:AI31,P14:AI14,"[1]家族",P12:AI12,"[1]男",P13:AI13,"&lt;65") +
SUMIFS(P31:AI31,P14:AI14,"[3]ゆい・手間替え受け",P12:AI12,"[1]男")</f>
        <v>0</v>
      </c>
      <c r="BE40" s="1250">
        <f>SUMIFS(P31:AI31,P14:AI14,"[1]家族",P12:AI12,"[1]男",P13:AI13,"&gt;=65",P13:AI13,"&lt;70")</f>
        <v>0</v>
      </c>
      <c r="BF40" s="1250">
        <f>SUMIFS(P31:AI31,P14:AI14,"[1]家族",P12:AI12,"[1]男",P13:AI13,"&gt;=70",P13:AI13,"&lt;75")</f>
        <v>0</v>
      </c>
      <c r="BG40" s="1250">
        <f>SUMIFS(P31:AI31,P14:AI14,"[1]家族",P12:AI12,"[1]男",P13:AI13,"&gt;=75")</f>
        <v>0</v>
      </c>
      <c r="BH40" s="956">
        <f t="shared" si="6"/>
        <v>0</v>
      </c>
      <c r="BI40" s="1250">
        <f>SUMIFS(P31:AI31,P14:AI14,"[1]家族",P12:AI12,"[2]女",P13:AI13,"&lt;65") +
SUMIFS(P31:AI31,P14:AI14,"[3]ゆい・手間替え受け",P12:AI12,"[2]女")</f>
        <v>0</v>
      </c>
      <c r="BJ40" s="1250">
        <f>SUMIFS(P31:AI31,P14:AI14,"[1]家族",P12:AI12,"[2]女",P13:AI13,"&gt;=65",P13:AI13,"&lt;70")</f>
        <v>0</v>
      </c>
      <c r="BK40" s="1250">
        <f>SUMIFS(P31:AI31,P14:AI14,"[1]家族",P12:AI12,"[2]女",P13:AI13,"&gt;=70",P13:AI13,"&lt;75")</f>
        <v>0</v>
      </c>
      <c r="BL40" s="1250">
        <f>SUMIFS(P31:AI31,P14:AI14,"[1]家族",P12:AI12,"[2]女",P13:AI13,"&gt;=75")</f>
        <v>0</v>
      </c>
      <c r="BM40" s="956">
        <f t="shared" si="7"/>
        <v>0</v>
      </c>
      <c r="BN40" s="956">
        <f>SUM(BD40,BI40)</f>
        <v>0</v>
      </c>
      <c r="BO40" s="956">
        <f t="shared" si="8"/>
        <v>0</v>
      </c>
      <c r="BP40" s="956">
        <f t="shared" si="8"/>
        <v>0</v>
      </c>
      <c r="BQ40" s="956">
        <f t="shared" si="8"/>
        <v>0</v>
      </c>
      <c r="BR40" s="956">
        <f t="shared" si="9"/>
        <v>0</v>
      </c>
    </row>
    <row r="41" spans="1:70" ht="30" customHeight="1" thickBot="1">
      <c r="BB41" s="2489"/>
      <c r="BC41" s="1051" t="s">
        <v>757</v>
      </c>
      <c r="BD41" s="1251">
        <f>SUM(BD39:BD40)</f>
        <v>0</v>
      </c>
      <c r="BE41" s="1252">
        <f>SUM(BE39:BE40)</f>
        <v>0</v>
      </c>
      <c r="BF41" s="1252">
        <f>SUM(BF39:BF40)</f>
        <v>0</v>
      </c>
      <c r="BG41" s="1253">
        <f>SUM(BG39:BG40)</f>
        <v>0</v>
      </c>
      <c r="BH41" s="1254">
        <f t="shared" si="6"/>
        <v>0</v>
      </c>
      <c r="BI41" s="1251">
        <f>SUM(BI39:BI40)</f>
        <v>0</v>
      </c>
      <c r="BJ41" s="1252">
        <f>SUM(BJ39:BJ40)</f>
        <v>0</v>
      </c>
      <c r="BK41" s="1252">
        <f>SUM(BK39:BK40)</f>
        <v>0</v>
      </c>
      <c r="BL41" s="1253">
        <f>SUM(BL39:BL40)</f>
        <v>0</v>
      </c>
      <c r="BM41" s="219">
        <f t="shared" si="7"/>
        <v>0</v>
      </c>
      <c r="BN41" s="956">
        <f>SUM(BN39:BN40)</f>
        <v>0</v>
      </c>
      <c r="BO41" s="956">
        <f>SUM(BO39:BO40)</f>
        <v>0</v>
      </c>
      <c r="BP41" s="956">
        <f>SUM(BP39:BP40)</f>
        <v>0</v>
      </c>
      <c r="BQ41" s="956">
        <f>SUM(BQ39:BQ40)</f>
        <v>0</v>
      </c>
      <c r="BR41" s="1250">
        <f t="shared" si="9"/>
        <v>0</v>
      </c>
    </row>
    <row r="42" spans="1:70" ht="30" customHeight="1">
      <c r="BB42" s="2489" t="s">
        <v>847</v>
      </c>
      <c r="BC42" s="1050" t="s">
        <v>845</v>
      </c>
      <c r="BD42" s="967">
        <f>ROUND(BD39*$BO$32,)</f>
        <v>0</v>
      </c>
      <c r="BE42" s="967">
        <f>ROUND(BE39*$BO$32*0.9,)</f>
        <v>0</v>
      </c>
      <c r="BF42" s="967">
        <f>ROUND(BF39*$BO$32*0.8,)</f>
        <v>0</v>
      </c>
      <c r="BG42" s="967">
        <f>ROUND(BG39*$BO$32*0.7,)</f>
        <v>0</v>
      </c>
      <c r="BH42" s="321">
        <f t="shared" si="6"/>
        <v>0</v>
      </c>
      <c r="BI42" s="967">
        <f>ROUND(BI39*$BO$32,)</f>
        <v>0</v>
      </c>
      <c r="BJ42" s="967">
        <f>ROUND(BJ39*$BO$32*0.9,)</f>
        <v>0</v>
      </c>
      <c r="BK42" s="967">
        <f>ROUND(BK39*$BO$32*0.8,)</f>
        <v>0</v>
      </c>
      <c r="BL42" s="967">
        <f>ROUND(BL39*$BO$32*0.7,)</f>
        <v>0</v>
      </c>
      <c r="BM42" s="321">
        <f t="shared" si="7"/>
        <v>0</v>
      </c>
      <c r="BN42" s="321">
        <f>SUM(BD42,BI42)</f>
        <v>0</v>
      </c>
      <c r="BO42" s="321">
        <f t="shared" ref="BO42:BQ43" si="10">SUM(BE42,BJ42)</f>
        <v>0</v>
      </c>
      <c r="BP42" s="321">
        <f t="shared" si="10"/>
        <v>0</v>
      </c>
      <c r="BQ42" s="1057">
        <f t="shared" si="10"/>
        <v>0</v>
      </c>
      <c r="BR42" s="1058">
        <f>ROUND(SUM(BN42:BQ42),0)</f>
        <v>0</v>
      </c>
    </row>
    <row r="43" spans="1:70" ht="30" customHeight="1" thickBot="1">
      <c r="BB43" s="2489"/>
      <c r="BC43" s="1051" t="s">
        <v>846</v>
      </c>
      <c r="BD43" s="1052">
        <f>ROUND(BD40*$BO$32,)</f>
        <v>0</v>
      </c>
      <c r="BE43" s="1052">
        <f>ROUND(BE40*$BO$32*0.9,)</f>
        <v>0</v>
      </c>
      <c r="BF43" s="1052">
        <f>ROUND(BF40*$BO$32*0.8,)</f>
        <v>0</v>
      </c>
      <c r="BG43" s="1052">
        <f>ROUND(BG40*$BO$32*0.7,)</f>
        <v>0</v>
      </c>
      <c r="BH43" s="321">
        <f t="shared" si="6"/>
        <v>0</v>
      </c>
      <c r="BI43" s="1052">
        <f>ROUND(BI40*$BO$32,)</f>
        <v>0</v>
      </c>
      <c r="BJ43" s="1052">
        <f>ROUND(BJ40*$BO$32*0.9,)</f>
        <v>0</v>
      </c>
      <c r="BK43" s="1052">
        <f>ROUND(BK40*$BO$32*0.8,)</f>
        <v>0</v>
      </c>
      <c r="BL43" s="1052">
        <f>ROUND(BL40*$BO$32*0.7,)</f>
        <v>0</v>
      </c>
      <c r="BM43" s="321">
        <f t="shared" si="7"/>
        <v>0</v>
      </c>
      <c r="BN43" s="321">
        <f>SUM(BD43,BI43)</f>
        <v>0</v>
      </c>
      <c r="BO43" s="321">
        <f t="shared" si="10"/>
        <v>0</v>
      </c>
      <c r="BP43" s="321">
        <f t="shared" si="10"/>
        <v>0</v>
      </c>
      <c r="BQ43" s="1057">
        <f t="shared" si="10"/>
        <v>0</v>
      </c>
      <c r="BR43" s="1059">
        <f>ROUND(SUM(BN43:BQ43),0)</f>
        <v>0</v>
      </c>
    </row>
    <row r="44" spans="1:70" ht="30" customHeight="1" thickBot="1">
      <c r="BB44" s="2489"/>
      <c r="BC44" s="1051" t="s">
        <v>757</v>
      </c>
      <c r="BD44" s="1053">
        <f>ROUND(SUM(BD42:BD43),0)</f>
        <v>0</v>
      </c>
      <c r="BE44" s="1054">
        <f>ROUND(SUM(BE42:BE43),0)</f>
        <v>0</v>
      </c>
      <c r="BF44" s="1054">
        <f>ROUND(SUM(BF42:BF43),0)</f>
        <v>0</v>
      </c>
      <c r="BG44" s="1055">
        <f>ROUND(SUM(BG42:BG43),0)</f>
        <v>0</v>
      </c>
      <c r="BH44" s="1056">
        <f t="shared" si="6"/>
        <v>0</v>
      </c>
      <c r="BI44" s="1053">
        <f>ROUND(SUM(BI42:BI43),0)</f>
        <v>0</v>
      </c>
      <c r="BJ44" s="1054">
        <f>ROUND(SUM(BJ42:BJ43),0)</f>
        <v>0</v>
      </c>
      <c r="BK44" s="1054">
        <f>ROUND(SUM(BK42:BK43),0)</f>
        <v>0</v>
      </c>
      <c r="BL44" s="1055">
        <f>ROUND(SUM(BL42:BL43),0)</f>
        <v>0</v>
      </c>
      <c r="BM44" s="975">
        <f t="shared" si="7"/>
        <v>0</v>
      </c>
      <c r="BN44" s="321">
        <f>SUM(BN42:BN43)</f>
        <v>0</v>
      </c>
      <c r="BO44" s="321">
        <f>SUM(BO42:BO43)</f>
        <v>0</v>
      </c>
      <c r="BP44" s="321">
        <f>SUM(BP42:BP43)</f>
        <v>0</v>
      </c>
      <c r="BQ44" s="321">
        <f>SUM(BQ42:BQ43)</f>
        <v>0</v>
      </c>
      <c r="BR44" s="967">
        <f t="shared" si="9"/>
        <v>0</v>
      </c>
    </row>
    <row r="45" spans="1:70" ht="30" customHeight="1"/>
    <row r="46" spans="1:70" ht="30" customHeight="1">
      <c r="BB46" s="2514"/>
      <c r="BC46" s="2514"/>
      <c r="BD46" s="2509" t="s">
        <v>746</v>
      </c>
      <c r="BE46" s="2509"/>
      <c r="BF46" s="2509"/>
      <c r="BG46" s="2509"/>
      <c r="BH46" s="2509"/>
      <c r="BI46" s="2509"/>
      <c r="BJ46" s="2509"/>
      <c r="BK46" s="2509"/>
      <c r="BL46" s="2509"/>
      <c r="BM46" s="2509"/>
      <c r="BN46" s="2509"/>
      <c r="BO46" s="2509"/>
      <c r="BP46" s="2509"/>
      <c r="BQ46" s="2509"/>
      <c r="BR46" s="2509"/>
    </row>
    <row r="47" spans="1:70" ht="30" customHeight="1">
      <c r="BB47" s="2514"/>
      <c r="BC47" s="2514"/>
      <c r="BD47" s="2492" t="s">
        <v>751</v>
      </c>
      <c r="BE47" s="2492"/>
      <c r="BF47" s="2492"/>
      <c r="BG47" s="2492"/>
      <c r="BH47" s="2492"/>
      <c r="BI47" s="2492"/>
      <c r="BJ47" s="2492"/>
      <c r="BK47" s="1702" t="s">
        <v>752</v>
      </c>
      <c r="BL47" s="1702"/>
      <c r="BM47" s="1702"/>
      <c r="BN47" s="1702"/>
      <c r="BO47" s="1702"/>
      <c r="BP47" s="1702"/>
      <c r="BQ47" s="1702"/>
      <c r="BR47" s="2415" t="s">
        <v>848</v>
      </c>
    </row>
    <row r="48" spans="1:70" ht="30" customHeight="1">
      <c r="BB48" s="2514"/>
      <c r="BC48" s="2514"/>
      <c r="BD48" s="2416" t="s">
        <v>755</v>
      </c>
      <c r="BE48" s="2417" t="s">
        <v>849</v>
      </c>
      <c r="BF48" s="2417"/>
      <c r="BG48" s="2417"/>
      <c r="BH48" s="2417"/>
      <c r="BI48" s="2417"/>
      <c r="BJ48" s="2512" t="s">
        <v>757</v>
      </c>
      <c r="BK48" s="2416" t="s">
        <v>755</v>
      </c>
      <c r="BL48" s="2417" t="s">
        <v>849</v>
      </c>
      <c r="BM48" s="2417"/>
      <c r="BN48" s="2417"/>
      <c r="BO48" s="2417"/>
      <c r="BP48" s="2417"/>
      <c r="BQ48" s="2512" t="s">
        <v>757</v>
      </c>
      <c r="BR48" s="2416"/>
    </row>
    <row r="49" spans="54:70" ht="30" customHeight="1">
      <c r="BB49" s="2514"/>
      <c r="BC49" s="2514"/>
      <c r="BD49" s="2417"/>
      <c r="BE49" s="1060" t="s">
        <v>840</v>
      </c>
      <c r="BF49" s="1060" t="s">
        <v>841</v>
      </c>
      <c r="BG49" s="1060" t="s">
        <v>842</v>
      </c>
      <c r="BH49" s="1061" t="s">
        <v>843</v>
      </c>
      <c r="BI49" s="1061" t="s">
        <v>757</v>
      </c>
      <c r="BJ49" s="2513"/>
      <c r="BK49" s="2417"/>
      <c r="BL49" s="1060" t="s">
        <v>840</v>
      </c>
      <c r="BM49" s="1060" t="s">
        <v>841</v>
      </c>
      <c r="BN49" s="1060" t="s">
        <v>842</v>
      </c>
      <c r="BO49" s="1061" t="s">
        <v>843</v>
      </c>
      <c r="BP49" s="1061" t="s">
        <v>757</v>
      </c>
      <c r="BQ49" s="2513"/>
      <c r="BR49" s="2417"/>
    </row>
    <row r="50" spans="54:70" ht="30" customHeight="1">
      <c r="BB50" s="2489" t="s">
        <v>844</v>
      </c>
      <c r="BC50" s="1062" t="s">
        <v>845</v>
      </c>
      <c r="BD50" s="956">
        <f>BG14</f>
        <v>0</v>
      </c>
      <c r="BE50" s="956">
        <f>SUM(SUMIFS(P15:AI15,P14:AI14,{"[2]同居人"},P12:AI12,"[1]男",P13:AI13,"&lt;65")) +
SUM(SUMIFS(P16:AI16,P14:AI14,{"[2]同居人"},P12:AI12,"[1]男",P13:AI13,"&lt;65")) +
SUM(SUMIFS(P17:AI17,P14:AI14,{"[2]同居人"},P12:AI12,"[1]男",P13:AI13,"&lt;65")) +
SUM(SUMIFS(P18:AI18,P14:AI14,{"[2]同居人"},P12:AI12,"[1]男",P13:AI13,"&lt;65")) +
SUM(SUMIFS(P19:AI19,P14:AI14,{"[2]同居人"},P12:AI12,"[1]男",P13:AI13,"&lt;65")) +
SUM(SUMIFS(P20:AI20,P14:AI14,{"[2]同居人"},P12:AI12,"[1]男",P13:AI13,"&lt;65")) +
SUM(SUMIFS(P21:AI21,P14:AI14,{"[2]同居人"},P12:AI12,"[1]男",P13:AI13,"&lt;65")) +
SUM(SUMIFS(P22:AI22,P14:AI14,{"[2]同居人"},P12:AI12,"[1]男",P13:AI13,"&lt;65")) +
SUM(SUMIFS(P23:AI23,P14:AI14,{"[2]同居人"},P12:AI12,"[1]男",P13:AI13,"&lt;65")) +
SUM(SUMIFS(P24:AI24,P14:AI14,{"[2]同居人"},P12:AI12,"[1]男",P13:AI13,"&lt;65")) +
SUM(SUMIFS(P25:AI25,P14:AI14,{"[2]同居人"},P12:AI12,"[1]男",P13:AI13,"&lt;65")) +
SUM(SUMIFS(P26:AI26,P14:AI14,{"[2]同居人"},P12:AI12,"[1]男",P13:AI13,"&lt;65")) +
SUM(SUMIFS(P27:AI27,P14:AI14,{"[2]同居人"},P12:AI12,"[1]男",P13:AI13,"&lt;65")) +
SUM(SUMIFS(P28:AI28,P14:AI14,{"[2]同居人"},P12:AI12,"[1]男",P13:AI13,"&lt;65")) +
SUM(SUMIFS(P29:AI29,P14:AI14,{"[2]同居人"},P12:AI12,"[1]男",P13:AI13,"&lt;65")) +
SUM(SUMIFS(P15:AI15,P14:AI14,{"[4]手伝い・共同作業受け"},P12:AI12,"[1]男")) +
SUM(SUMIFS(P16:AI16,P14:AI14,{"[4]手伝い・共同作業受け"},P12:AI12,"[1]男")) +
SUM(SUMIFS(P17:AI17,P14:AI14,{"[4]手伝い・共同作業受け"},P12:AI12,"[1]男")) +
SUM(SUMIFS(P18:AI18,P14:AI14,{"[4]手伝い・共同作業受け"},P12:AI12,"[1]男")) +
SUM(SUMIFS(P19:AI19,P14:AI14,{"[4]手伝い・共同作業受け"},P12:AI12,"[1]男")) +
SUM(SUMIFS(P20:AI20,P14:AI14,{"[4]手伝い・共同作業受け"},P12:AI12,"[1]男")) +
SUM(SUMIFS(P21:AI21,P14:AI14,{"[4]手伝い・共同作業受け"},P12:AI12,"[1]男")) +
SUM(SUMIFS(P22:AI22,P14:AI14,{"[4]手伝い・共同作業受け"},P12:AI12,"[1]男")) +
SUM(SUMIFS(P23:AI23,P14:AI14,{"[4]手伝い・共同作業受け"},P12:AI12,"[1]男")) +
SUM(SUMIFS(P24:AI24,P14:AI14,{"[4]手伝い・共同作業受け"},P12:AI12,"[1]男")) +
SUM(SUMIFS(P25:AI25,P14:AI14,{"[4]手伝い・共同作業受け"},P12:AI12,"[1]男")) +
SUM(SUMIFS(P26:AI26,P14:AI14,{"[4]手伝い・共同作業受け"},P12:AI12,"[1]男")) +
SUM(SUMIFS(P27:AI27,P14:AI14,{"[4]手伝い・共同作業受け"},P12:AI12,"[1]男")) +
SUM(SUMIFS(P28:AI28,P14:AI14,{"[4]手伝い・共同作業受け"},P12:AI12,"[1]男")) +
SUM(SUMIFS(P29:AI29,P14:AI14,{"[4]手伝い・共同作業受け"},P12:AI12,"[1]男"))</f>
        <v>0</v>
      </c>
      <c r="BF50" s="956">
        <f>SUM(SUMIFS(P15:AI15,P14:AI14,{"[2]同居人"},P12:AI12,"[1]男",P13:AI13,"&gt;=65",P13:AI13,"&lt;70")) +
SUM(SUMIFS(P16:AI16,P14:AI14,{"[2]同居人"},P12:AI12,"[1]男",P13:AI13,"&gt;=65",P13:AI13,"&lt;70")) +
SUM(SUMIFS(P17:AI17,P14:AI14,{"[2]同居人"},P12:AI12,"[1]男",P13:AI13,"&gt;=65",P13:AI13,"&lt;70")) +
SUM(SUMIFS(P18:AI18,P14:AI14,{"[2]同居人"},P12:AI12,"[1]男",P13:AI13,"&gt;=65",P13:AI13,"&lt;70")) +
SUM(SUMIFS(P19:AI19,P14:AI14,{"[2]同居人"},P12:AI12,"[1]男",P13:AI13,"&gt;=65",P13:AI13,"&lt;70")) +
SUM(SUMIFS(P20:AI20,P14:AI14,{"[2]同居人"},P12:AI12,"[1]男",P13:AI13,"&gt;=65",P13:AI13,"&lt;70")) +
SUM(SUMIFS(P21:AI21,P14:AI14,{"[2]同居人"},P12:AI12,"[1]男",P13:AI13,"&gt;=65",P13:AI13,"&lt;70")) +
SUM(SUMIFS(P22:AI22,P14:AI14,{"[2]同居人"},P12:AI12,"[1]男",P13:AI13,"&gt;=65",P13:AI13,"&lt;70")) +
SUM(SUMIFS(P23:AI23,P14:AI14,{"[2]同居人"},P12:AI12,"[1]男",P13:AI13,"&gt;=65",P13:AI13,"&lt;70")) +
SUM(SUMIFS(P24:AI24,P14:AI14,{"[2]同居人"},P12:AI12,"[1]男",P13:AI13,"&gt;=65",P13:AI13,"&lt;70")) +
SUM(SUMIFS(P25:AI25,P14:AI14,{"[2]同居人"},P12:AI12,"[1]男",P13:AI13,"&gt;=65",P13:AI13,"&lt;70")) +
SUM(SUMIFS(P26:AI26,P14:AI14,{"[2]同居人"},P12:AI12,"[1]男",P13:AI13,"&gt;=65",P13:AI13,"&lt;70")) +
SUM(SUMIFS(P27:AI27,P14:AI14,{"[2]同居人"},P12:AI12,"[1]男",P13:AI13,"&gt;=65",P13:AI13,"&lt;70")) +
SUM(SUMIFS(P28:AI28,P14:AI14,{"[2]同居人"},P12:AI12,"[1]男",P13:AI13,"&gt;=65",P13:AI13,"&lt;70")) +
SUM(SUMIFS(P29:AI29,P14:AI14,{"[2]同居人"},P12:AI12,"[1]男",P13:AI13,"&gt;=65",P13:AI13,"&lt;70"))</f>
        <v>0</v>
      </c>
      <c r="BG50" s="956">
        <f>SUM(SUMIFS(P15:AI15,P14:AI14,{"[2]同居人"},P12:AI12,"[1]男",P13:AI13,"&gt;=70",P13:AI13,"&lt;75")) +
SUM(SUMIFS(P16:AI16,P14:AI14,{"[2]同居人"},P12:AI12,"[1]男",P13:AI13,"&gt;=70",P13:AI13,"&lt;75")) +
SUM(SUMIFS(P17:AI17,P14:AI14,{"[2]同居人"},P12:AI12,"[1]男",P13:AI13,"&gt;=70",P13:AI13,"&lt;75")) +
SUM(SUMIFS(P18:AI18,P14:AI14,{"[2]同居人"},P12:AI12,"[1]男",P13:AI13,"&gt;=70",P13:AI13,"&lt;75")) +
SUM(SUMIFS(P19:AI19,P14:AI14,{"[2]同居人"},P12:AI12,"[1]男",P13:AI13,"&gt;=70",P13:AI13,"&lt;75")) +
SUM(SUMIFS(P20:AI20,P14:AI14,{"[2]同居人"},P12:AI12,"[1]男",P13:AI13,"&gt;=70",P13:AI13,"&lt;75")) +
SUM(SUMIFS(P21:AI21,P14:AI14,{"[2]同居人"},P12:AI12,"[1]男",P13:AI13,"&gt;=70",P13:AI13,"&lt;75")) +
SUM(SUMIFS(P22:AI22,P14:AI14,{"[2]同居人"},P12:AI12,"[1]男",P13:AI13,"&gt;=70",P13:AI13,"&lt;75")) +
SUM(SUMIFS(P23:AI23,P14:AI14,{"[2]同居人"},P12:AI12,"[1]男",P13:AI13,"&gt;=70",P13:AI13,"&lt;75")) +
SUM(SUMIFS(P24:AI24,P14:AI14,{"[2]同居人"},P12:AI12,"[1]男",P13:AI13,"&gt;=70",P13:AI13,"&lt;75")) +
SUM(SUMIFS(P25:AI25,P14:AI14,{"[2]同居人"},P12:AI12,"[1]男",P13:AI13,"&gt;=70",P13:AI13,"&lt;75")) +
SUM(SUMIFS(P26:AI26,P14:AI14,{"[2]同居人"},P12:AI12,"[1]男",P13:AI13,"&gt;=70",P13:AI13,"&lt;75")) +
SUM(SUMIFS(P27:AI27,P14:AI14,{"[2]同居人"},P12:AI12,"[1]男",P13:AI13,"&gt;=70",P13:AI13,"&lt;75")) +
SUM(SUMIFS(P28:AI28,P14:AI14,{"[2]同居人"},P12:AI12,"[1]男",P13:AI13,"&gt;=70",P13:AI13,"&lt;75")) +
SUM(SUMIFS(P29:AI29,P14:AI14,{"[2]同居人"},P12:AI12,"[1]男",P13:AI13,"&gt;=70",P13:AI13,"&lt;75"))</f>
        <v>0</v>
      </c>
      <c r="BH50" s="956">
        <f>SUM(SUMIFS(P15:AI15,P14:AI14,{"[2]同居人"},P12:AI12,"[1]男",P13:AI13,"&gt;=75")) +
SUM(SUMIFS(P16:AI16,P14:AI14,{"[2]同居人"},P12:AI12,"[1]男",P13:AI13,"&gt;=75")) +
SUM(SUMIFS(P17:AI17,P14:AI14,{"[2]同居人"},P12:AI12,"[1]男",P13:AI13,"&gt;=75")) +
SUM(SUMIFS(P18:AI18,P14:AI14,{"[2]同居人"},P12:AI12,"[1]男",P13:AI13,"&gt;=75")) +
SUM(SUMIFS(P19:AI19,P14:AI14,{"[2]同居人"},P12:AI12,"[1]男",P13:AI13,"&gt;=75")) +
SUM(SUMIFS(P20:AI20,P14:AI14,{"[2]同居人"},P12:AI12,"[1]男",P13:AI13,"&gt;=75")) +
SUM(SUMIFS(P21:AI21,P14:AI14,{"[2]同居人"},P12:AI12,"[1]男",P13:AI13,"&gt;=75")) +
SUM(SUMIFS(P22:AI22,P14:AI14,{"[2]同居人"},P12:AI12,"[1]男",P13:AI13,"&gt;=75")) +
SUM(SUMIFS(P23:AI23,P14:AI14,{"[2]同居人"},P12:AI12,"[1]男",P13:AI13,"&gt;=75")) +
SUM(SUMIFS(P24:AI24,P14:AI14,{"[2]同居人"},P12:AI12,"[1]男",P13:AI13,"&gt;=75")) +
SUM(SUMIFS(P25:AI25,P14:AI14,{"[2]同居人"},P12:AI12,"[1]男",P13:AI13,"&gt;=75")) +
SUM(SUMIFS(P26:AI26,P14:AI14,{"[2]同居人"},P12:AI12,"[1]男",P13:AI13,"&gt;=75")) +
SUM(SUMIFS(P27:AI27,P14:AI14,{"[2]同居人"},P12:AI12,"[1]男",P13:AI13,"&gt;=75")) +
SUM(SUMIFS(P28:AI28,P14:AI14,{"[2]同居人"},P12:AI12,"[1]男",P13:AI13,"&gt;=75")) +
SUM(SUMIFS(P29:AI29,P14:AI14,{"[2]同居人"},P12:AI12,"[1]男",P13:AI13,"&gt;=75"))</f>
        <v>0</v>
      </c>
      <c r="BI50" s="956">
        <f>SUM(BE50:BH50)</f>
        <v>0</v>
      </c>
      <c r="BJ50" s="956">
        <f t="shared" ref="BJ50:BJ54" si="11">SUM(BD50,BI50)</f>
        <v>0</v>
      </c>
      <c r="BK50" s="956">
        <f>BJ14</f>
        <v>0</v>
      </c>
      <c r="BL50" s="956">
        <f>SUM(SUMIFS(P15:AI15,P14:AI14,{"[2]同居人"},P12:AI12,"[2]女",P13:AI13,"&lt;65")) +
SUM(SUMIFS(P16:AI16,P14:AI14,{"[2]同居人"},P12:AI12,"[2]女",P13:AI13,"&lt;65")) +
SUM(SUMIFS(P17:AI17,P14:AI14,{"[2]同居人"},P12:AI12,"[2]女",P13:AI13,"&lt;65")) +
SUM(SUMIFS(P18:AI18,P14:AI14,{"[2]同居人"},P12:AI12,"[2]女",P13:AI13,"&lt;65")) +
SUM(SUMIFS(P19:AI19,P14:AI14,{"[2]同居人"},P12:AI12,"[2]女",P13:AI13,"&lt;65")) +
SUM(SUMIFS(P20:AI20,P14:AI14,{"[2]同居人"},P12:AI12,"[2]女",P13:AI13,"&lt;65")) +
SUM(SUMIFS(P21:AI21,P14:AI14,{"[2]同居人"},P12:AI12,"[2]女",P13:AI13,"&lt;65")) +
SUM(SUMIFS(P22:AI22,P14:AI14,{"[2]同居人"},P12:AI12,"[2]女",P13:AI13,"&lt;65")) +
SUM(SUMIFS(P23:AI23,P14:AI14,{"[2]同居人"},P12:AI12,"[2]女",P13:AI13,"&lt;65")) +
SUM(SUMIFS(P24:AI24,P14:AI14,{"[2]同居人"},P12:AI12,"[2]女",P13:AI13,"&lt;65")) +
SUM(SUMIFS(P25:AI25,P14:AI14,{"[2]同居人"},P12:AI12,"[2]女",P13:AI13,"&lt;65")) +
SUM(SUMIFS(P26:AI26,P14:AI14,{"[2]同居人"},P12:AI12,"[2]女",P13:AI13,"&lt;65")) +
SUM(SUMIFS(P27:AI27,P14:AI14,{"[2]同居人"},P12:AI12,"[2]女",P13:AI13,"&lt;65")) +
SUM(SUMIFS(P28:AI28,P14:AI14,{"[2]同居人"},P12:AI12,"[2]女",P13:AI13,"&lt;65")) +
SUM(SUMIFS(P29:AI29,P14:AI14,{"[2]同居人"},P12:AI12,"[2]女",P13:AI13,"&lt;65")) +
SUM(SUMIFS(P15:AI15,P14:AI14,{"[4]手伝い・共同作業受け"},P12:AI12,"[2]女")) +
SUM(SUMIFS(P16:AI16,P14:AI14,{"[4]手伝い・共同作業受け"},P12:AI12,"[2]女")) +
SUM(SUMIFS(P17:AI17,P14:AI14,{"[4]手伝い・共同作業受け"},P12:AI12,"[2]女")) +
SUM(SUMIFS(P18:AI18,P14:AI14,{"[4]手伝い・共同作業受け"},P12:AI12,"[2]女")) +
SUM(SUMIFS(P19:AI19,P14:AI14,{"[4]手伝い・共同作業受け"},P12:AI12,"[2]女")) +
SUM(SUMIFS(P20:AI20,P14:AI14,{"[4]手伝い・共同作業受け"},P12:AI12,"[2]女")) +
SUM(SUMIFS(P21:AI21,P14:AI14,{"[4]手伝い・共同作業受け"},P12:AI12,"[2]女")) +
SUM(SUMIFS(P22:AI22,P14:AI14,{"[4]手伝い・共同作業受け"},P12:AI12,"[2]女")) +
SUM(SUMIFS(P23:AI23,P14:AI14,{"[4]手伝い・共同作業受け"},P12:AI12,"[2]女")) +
SUM(SUMIFS(P24:AI24,P14:AI14,{"[4]手伝い・共同作業受け"},P12:AI12,"[2]女")) +
SUM(SUMIFS(P25:AI25,P14:AI14,{"[4]手伝い・共同作業受け"},P12:AI12,"[2]女")) +
SUM(SUMIFS(P26:AI26,P14:AI14,{"[4]手伝い・共同作業受け"},P12:AI12,"[2]女")) +
SUM(SUMIFS(P27:AI27,P14:AI14,{"[4]手伝い・共同作業受け"},P12:AI12,"[2]女")) +
SUM(SUMIFS(P28:AI28,P14:AI14,{"[4]手伝い・共同作業受け"},P12:AI12,"[2]女")) +
SUM(SUMIFS(P29:AI29,P14:AI14,{"[4]手伝い・共同作業受け"},P12:AI12,"[2]女"))</f>
        <v>0</v>
      </c>
      <c r="BM50" s="956">
        <f>SUM(SUMIFS(P15:AI15,P14:AI14,{"[2]同居人"},P12:AI12,"[2]女",P13:AI13,"&gt;=65",P13:AI13,"&lt;70")) +
SUM(SUMIFS(P16:AI16,P14:AI14,{"[2]同居人"},P12:AI12,"[2]女",P13:AI13,"&gt;=65",P13:AI13,"&lt;70")) +
SUM(SUMIFS(P17:AI17,P14:AI14,{"[2]同居人"},P12:AI12,"[2]女",P13:AI13,"&gt;=65",P13:AI13,"&lt;70")) +
SUM(SUMIFS(P18:AI18,P14:AI14,{"[2]同居人"},P12:AI12,"[2]女",P13:AI13,"&gt;=65",P13:AI13,"&lt;70")) +
SUM(SUMIFS(P19:AI19,P14:AI14,{"[2]同居人"},P12:AI12,"[2]女",P13:AI13,"&gt;=65",P13:AI13,"&lt;70")) +
SUM(SUMIFS(P20:AI20,P14:AI14,{"[2]同居人"},P12:AI12,"[2]女",P13:AI13,"&gt;=65",P13:AI13,"&lt;70")) +
SUM(SUMIFS(P21:AI21,P14:AI14,{"[2]同居人"},P12:AI12,"[2]女",P13:AI13,"&gt;=65",P13:AI13,"&lt;70")) +
SUM(SUMIFS(P22:AI22,P14:AI14,{"[2]同居人"},P12:AI12,"[2]女",P13:AI13,"&gt;=65",P13:AI13,"&lt;70")) +
SUM(SUMIFS(P23:AI23,P14:AI14,{"[2]同居人"},P12:AI12,"[2]女",P13:AI13,"&gt;=65",P13:AI13,"&lt;70")) +
SUM(SUMIFS(P24:AI24,P14:AI14,{"[2]同居人"},P12:AI12,"[2]女",P13:AI13,"&gt;=65",P13:AI13,"&lt;70")) +
SUM(SUMIFS(P25:AI25,P14:AI14,{"[2]同居人"},P12:AI12,"[2]女",P13:AI13,"&gt;=65",P13:AI13,"&lt;70")) +
SUM(SUMIFS(P26:AI26,P14:AI14,{"[2]同居人"},P12:AI12,"[2]女",P13:AI13,"&gt;=65",P13:AI13,"&lt;70")) +
SUM(SUMIFS(P27:AI27,P14:AI14,{"[2]同居人"},P12:AI12,"[2]女",P13:AI13,"&gt;=65",P13:AI13,"&lt;70")) +
SUM(SUMIFS(P28:AI28,P14:AI14,{"[2]同居人"},P12:AI12,"[2]女",P13:AI13,"&gt;=65",P13:AI13,"&lt;70")) +
SUM(SUMIFS(P29:AI29,P14:AI14,{"[2]同居人"},P12:AI12,"[2]女",P13:AI13,"&gt;=65",P13:AI13,"&lt;70"))</f>
        <v>0</v>
      </c>
      <c r="BN50" s="956">
        <f>SUM(SUMIFS(P15:AI15,P14:AI14,{"[2]同居人"},P12:AI12,"[2]女",P13:AI13,"&gt;=70",P13:AI13,"&lt;75")) +
SUM(SUMIFS(P16:AI16,P14:AI14,{"[2]同居人"},P12:AI12,"[2]女",P13:AI13,"&gt;=70",P13:AI13,"&lt;75")) +
SUM(SUMIFS(P17:AI17,P14:AI14,{"[2]同居人"},P12:AI12,"[2]女",P13:AI13,"&gt;=70",P13:AI13,"&lt;75")) +
SUM(SUMIFS(P18:AI18,P14:AI14,{"[2]同居人"},P12:AI12,"[2]女",P13:AI13,"&gt;=70",P13:AI13,"&lt;75")) +
SUM(SUMIFS(P19:AI19,P14:AI14,{"[2]同居人"},P12:AI12,"[2]女",P13:AI13,"&gt;=70",P13:AI13,"&lt;75")) +
SUM(SUMIFS(P20:AI20,P14:AI14,{"[2]同居人"},P12:AI12,"[2]女",P13:AI13,"&gt;=70",P13:AI13,"&lt;75")) +
SUM(SUMIFS(P21:AI21,P14:AI14,{"[2]同居人"},P12:AI12,"[2]女",P13:AI13,"&gt;=70",P13:AI13,"&lt;75")) +
SUM(SUMIFS(P22:AI22,P14:AI14,{"[2]同居人"},P12:AI12,"[2]女",P13:AI13,"&gt;=70",P13:AI13,"&lt;75")) +
SUM(SUMIFS(P23:AI23,P14:AI14,{"[2]同居人"},P12:AI12,"[2]女",P13:AI13,"&gt;=70",P13:AI13,"&lt;75")) +
SUM(SUMIFS(P24:AI24,P14:AI14,{"[2]同居人"},P12:AI12,"[2]女",P13:AI13,"&gt;=70",P13:AI13,"&lt;75")) +
SUM(SUMIFS(P25:AI25,P14:AI14,{"[2]同居人"},P12:AI12,"[2]女",P13:AI13,"&gt;=70",P13:AI13,"&lt;75")) +
SUM(SUMIFS(P26:AI26,P14:AI14,{"[2]同居人"},P12:AI12,"[2]女",P13:AI13,"&gt;=70",P13:AI13,"&lt;75")) +
SUM(SUMIFS(P27:AI27,P14:AI14,{"[2]同居人"},P12:AI12,"[2]女",P13:AI13,"&gt;=70",P13:AI13,"&lt;75")) +
SUM(SUMIFS(P28:AI28,P14:AI14,{"[2]同居人"},P12:AI12,"[2]女",P13:AI13,"&gt;=70",P13:AI13,"&lt;75")) +
SUM(SUMIFS(P29:AI29,P14:AI14,{"[2]同居人"},P12:AI12,"[2]女",P13:AI13,"&gt;=70",P13:AI13,"&lt;75"))</f>
        <v>0</v>
      </c>
      <c r="BO50" s="956">
        <f>SUM(SUMIFS(P15:AI15,P14:AI14,{"[2]同居人"},P12:AI12,"[2]女",P13:AI13,"&gt;=75")) +
SUM(SUMIFS(P16:AI16,P14:AI14,{"[2]同居人"},P12:AI12,"[2]女",P13:AI13,"&gt;=75")) +
SUM(SUMIFS(P17:AI17,P14:AI14,{"[2]同居人"},P12:AI12,"[2]女",P13:AI13,"&gt;=75")) +
SUM(SUMIFS(P18:AI18,P14:AI14,{"[2]同居人"},P12:AI12,"[2]女",P13:AI13,"&gt;=75")) +
SUM(SUMIFS(P19:AI19,P14:AI14,{"[2]同居人"},P12:AI12,"[2]女",P13:AI13,"&gt;=75")) +
SUM(SUMIFS(P20:AI20,P14:AI14,{"[2]同居人"},P12:AI12,"[2]女",P13:AI13,"&gt;=75")) +
SUM(SUMIFS(P21:AI21,P14:AI14,{"[2]同居人"},P12:AI12,"[2]女",P13:AI13,"&gt;=75")) +
SUM(SUMIFS(P22:AI22,P14:AI14,{"[2]同居人"},P12:AI12,"[2]女",P13:AI13,"&gt;=75")) +
SUM(SUMIFS(P23:AI23,P14:AI14,{"[2]同居人"},P12:AI12,"[2]女",P13:AI13,"&gt;=75")) +
SUM(SUMIFS(P24:AI24,P14:AI14,{"[2]同居人"},P12:AI12,"[2]女",P13:AI13,"&gt;=75")) +
SUM(SUMIFS(P25:AI25,P14:AI14,{"[2]同居人"},P12:AI12,"[2]女",P13:AI13,"&gt;=75")) +
SUM(SUMIFS(P26:AI26,P14:AI14,{"[2]同居人"},P12:AI12,"[2]女",P13:AI13,"&gt;=75")) +
SUM(SUMIFS(P27:AI27,P14:AI14,{"[2]同居人"},P12:AI12,"[2]女",P13:AI13,"&gt;=75")) +
SUM(SUMIFS(P28:AI28,P14:AI14,{"[2]同居人"},P12:AI12,"[2]女",P13:AI13,"&gt;=75")) +
SUM(SUMIFS(P29:AI29,P14:AI14,{"[2]同居人"},P12:AI12,"[2]女",P13:AI13,"&gt;=75"))</f>
        <v>0</v>
      </c>
      <c r="BP50" s="956">
        <f t="shared" ref="BP50:BP55" si="12">SUM(BL50:BO50)</f>
        <v>0</v>
      </c>
      <c r="BQ50" s="956">
        <f t="shared" ref="BQ50:BQ52" si="13">SUM(BK50,BP50)</f>
        <v>0</v>
      </c>
      <c r="BR50" s="956">
        <f t="shared" ref="BR50:BR55" si="14">SUM(BQ50,BJ50)</f>
        <v>0</v>
      </c>
    </row>
    <row r="51" spans="54:70" ht="30" customHeight="1">
      <c r="BB51" s="2489"/>
      <c r="BC51" s="693" t="s">
        <v>846</v>
      </c>
      <c r="BD51" s="956">
        <f>BG31</f>
        <v>0</v>
      </c>
      <c r="BE51" s="956">
        <f>SUM(SUMIFS(P31:AI31,P14:AI14,{"[2]同居人"},P12:AI12,"[1]男",P13:AI13,"&lt;65"))+
SUM(SUMIFS(P31:AI31,P14:AI14,{"[4]手伝い・共同作業受け"},P12:AI12,"[1]男"))</f>
        <v>0</v>
      </c>
      <c r="BF51" s="956">
        <f>SUM(SUMIFS(P31:AI31,P14:AI14,{"[2]同居人"},P12:AI12,"[1]男",P13:AI13,"&gt;=65",P13:AI13,"&lt;70"))</f>
        <v>0</v>
      </c>
      <c r="BG51" s="956">
        <f>SUM(SUMIFS(P31:AI31,P14:AI14,{"[2]同居人"},P12:AI12,"[1]男",P13:AI13,"&gt;=70",P13:AI13,"&lt;75"))</f>
        <v>0</v>
      </c>
      <c r="BH51" s="956">
        <f>SUM(SUMIFS(P31:AI31,P14:AI14,{"[2]同居人"},P12:AI12,"[1]男",P13:AI13,"&gt;=75"))</f>
        <v>0</v>
      </c>
      <c r="BI51" s="956">
        <f>SUM(BE51:BH51)</f>
        <v>0</v>
      </c>
      <c r="BJ51" s="956">
        <f t="shared" si="11"/>
        <v>0</v>
      </c>
      <c r="BK51" s="956">
        <f>BJ31</f>
        <v>0</v>
      </c>
      <c r="BL51" s="956">
        <f>SUM(SUMIFS(P31:AI31,P14:AI14,{"[2]同居人"},P12:AI12,"[2]女",P13:AI13,"&lt;65"))+
SUM(SUMIFS(P31:AI31,P14:AI14,{"[4]手伝い・共同作業受け"},P12:AI12,"[2]女"))</f>
        <v>0</v>
      </c>
      <c r="BM51" s="956">
        <f>SUM(SUMIFS(P31:AI31,P14:AI14,{"[2]同居人"},P12:AI12,"[2]女",P13:AI13,"&gt;=65",P13:AI13,"&lt;70"))</f>
        <v>0</v>
      </c>
      <c r="BN51" s="956">
        <f>SUM(SUMIFS(P31:AI31,P14:AI14,{"[2]同居人"},P12:AI12,"[2]女",P13:AI13,"&gt;=70",P13:AI13,"&lt;75"))</f>
        <v>0</v>
      </c>
      <c r="BO51" s="956">
        <f>SUM(SUMIFS(P31:AI31,P14:AI14,{"[2]同居人"},P12:AI12,"[2]女",P13:AI13,"&gt;=75"))</f>
        <v>0</v>
      </c>
      <c r="BP51" s="956">
        <f t="shared" si="12"/>
        <v>0</v>
      </c>
      <c r="BQ51" s="956">
        <f t="shared" si="13"/>
        <v>0</v>
      </c>
      <c r="BR51" s="956">
        <f t="shared" si="14"/>
        <v>0</v>
      </c>
    </row>
    <row r="52" spans="54:70" ht="30" customHeight="1" thickBot="1">
      <c r="BB52" s="2489"/>
      <c r="BC52" s="1051" t="s">
        <v>757</v>
      </c>
      <c r="BD52" s="956">
        <f>SUM(BD50:BD51)</f>
        <v>0</v>
      </c>
      <c r="BE52" s="956">
        <f>SUM(BE50:BE51)</f>
        <v>0</v>
      </c>
      <c r="BF52" s="956">
        <f>SUM(BF50:BF51)</f>
        <v>0</v>
      </c>
      <c r="BG52" s="956">
        <f>SUM(BG50:BG51)</f>
        <v>0</v>
      </c>
      <c r="BH52" s="956">
        <f>SUM(BH50:BH51)</f>
        <v>0</v>
      </c>
      <c r="BI52" s="956">
        <f t="shared" ref="BI52:BI55" si="15">SUM(BE52:BH52)</f>
        <v>0</v>
      </c>
      <c r="BJ52" s="956">
        <f t="shared" si="11"/>
        <v>0</v>
      </c>
      <c r="BK52" s="956">
        <f>SUM(BK50:BK51)</f>
        <v>0</v>
      </c>
      <c r="BL52" s="956">
        <f>SUM(BL50:BL51)</f>
        <v>0</v>
      </c>
      <c r="BM52" s="956">
        <f>SUM(BM50:BM51)</f>
        <v>0</v>
      </c>
      <c r="BN52" s="956">
        <f>SUM(BN50:BN51)</f>
        <v>0</v>
      </c>
      <c r="BO52" s="956">
        <f>SUM(BO50:BO51)</f>
        <v>0</v>
      </c>
      <c r="BP52" s="956">
        <f t="shared" si="12"/>
        <v>0</v>
      </c>
      <c r="BQ52" s="956">
        <f t="shared" si="13"/>
        <v>0</v>
      </c>
      <c r="BR52" s="1250">
        <f t="shared" si="14"/>
        <v>0</v>
      </c>
    </row>
    <row r="53" spans="54:70" ht="30" customHeight="1">
      <c r="BB53" s="2489" t="s">
        <v>847</v>
      </c>
      <c r="BC53" s="1062" t="s">
        <v>845</v>
      </c>
      <c r="BD53" s="321" t="str">
        <f>IF(OR(BD52="",BD52=0),"",ROUND(P37*Q37%*BD50/BD52,))</f>
        <v/>
      </c>
      <c r="BE53" s="321">
        <f>ROUND(BE50*$BO$32,)</f>
        <v>0</v>
      </c>
      <c r="BF53" s="321">
        <f>ROUND(BF50*$BO$32*0.9,)</f>
        <v>0</v>
      </c>
      <c r="BG53" s="321">
        <f>ROUND(BG50*$BO$32*0.8,)</f>
        <v>0</v>
      </c>
      <c r="BH53" s="321">
        <f>ROUND(BH50*$BO$32*0.7,)</f>
        <v>0</v>
      </c>
      <c r="BI53" s="321">
        <f t="shared" si="15"/>
        <v>0</v>
      </c>
      <c r="BJ53" s="321">
        <f t="shared" si="11"/>
        <v>0</v>
      </c>
      <c r="BK53" s="321" t="str">
        <f>IF(BK52&gt;0,ROUND(P38*Q38%*BK50/BK52,),"")</f>
        <v/>
      </c>
      <c r="BL53" s="321">
        <f>ROUND(BL50*$BO$32,)</f>
        <v>0</v>
      </c>
      <c r="BM53" s="321">
        <f>ROUND(BM50*$BO$32*0.9,)</f>
        <v>0</v>
      </c>
      <c r="BN53" s="321">
        <f>ROUND(BN50*$BO$32*0.8,)</f>
        <v>0</v>
      </c>
      <c r="BO53" s="321">
        <f>ROUND(BO50*$BO$32*0.7,)</f>
        <v>0</v>
      </c>
      <c r="BP53" s="321">
        <f t="shared" si="12"/>
        <v>0</v>
      </c>
      <c r="BQ53" s="1057">
        <f>SUM(BK53,BP53)</f>
        <v>0</v>
      </c>
      <c r="BR53" s="1058">
        <f>ROUND(SUM(BQ53,BJ53),0)</f>
        <v>0</v>
      </c>
    </row>
    <row r="54" spans="54:70" ht="30" customHeight="1" thickBot="1">
      <c r="BB54" s="2489"/>
      <c r="BC54" s="693" t="s">
        <v>846</v>
      </c>
      <c r="BD54" s="321" t="str">
        <f>IF(OR(BD52="",BD52=0),"",ROUND(P37*Q37%*BD51/BD52,))</f>
        <v/>
      </c>
      <c r="BE54" s="321">
        <f>ROUND(BE51*$BO$32,)</f>
        <v>0</v>
      </c>
      <c r="BF54" s="321">
        <f>ROUND(BF51*$BO$32*0.9,)</f>
        <v>0</v>
      </c>
      <c r="BG54" s="321">
        <f>ROUND(BG51*$BO$32*0.8,)</f>
        <v>0</v>
      </c>
      <c r="BH54" s="321">
        <f>ROUND(BH51*$BO$32*0.7,)</f>
        <v>0</v>
      </c>
      <c r="BI54" s="321">
        <f t="shared" si="15"/>
        <v>0</v>
      </c>
      <c r="BJ54" s="1052">
        <f t="shared" si="11"/>
        <v>0</v>
      </c>
      <c r="BK54" s="321" t="str">
        <f>IF(BK52&gt;0,ROUND(P38*Q38%*BK51/BK52,),"")</f>
        <v/>
      </c>
      <c r="BL54" s="321">
        <f>ROUND(BL51*$BO$32,)</f>
        <v>0</v>
      </c>
      <c r="BM54" s="321">
        <f>ROUND(BM51*$BO$32*0.9,)</f>
        <v>0</v>
      </c>
      <c r="BN54" s="321">
        <f>ROUND(BN51*$BO$32*0.8,)</f>
        <v>0</v>
      </c>
      <c r="BO54" s="321">
        <f>ROUND(BO51*$BO$32*0.7,)</f>
        <v>0</v>
      </c>
      <c r="BP54" s="321">
        <f t="shared" si="12"/>
        <v>0</v>
      </c>
      <c r="BQ54" s="1063">
        <f t="shared" ref="BQ54" si="16">SUM(BK54,BP54)</f>
        <v>0</v>
      </c>
      <c r="BR54" s="1059">
        <f>ROUND(SUM(BQ54,BJ54),0)</f>
        <v>0</v>
      </c>
    </row>
    <row r="55" spans="54:70" ht="30" customHeight="1" thickBot="1">
      <c r="BB55" s="2489"/>
      <c r="BC55" s="1051" t="s">
        <v>757</v>
      </c>
      <c r="BD55" s="321">
        <f>SUM(BD53:BD54)</f>
        <v>0</v>
      </c>
      <c r="BE55" s="321">
        <f>SUM(BE53:BE54)</f>
        <v>0</v>
      </c>
      <c r="BF55" s="321">
        <f>SUM(BF53:BF54)</f>
        <v>0</v>
      </c>
      <c r="BG55" s="321">
        <f>SUM(BG53:BG54)</f>
        <v>0</v>
      </c>
      <c r="BH55" s="321">
        <f>SUM(BH53:BH54)</f>
        <v>0</v>
      </c>
      <c r="BI55" s="1057">
        <f t="shared" si="15"/>
        <v>0</v>
      </c>
      <c r="BJ55" s="1064">
        <f>ROUND(SUM(BD55,BI55),0)</f>
        <v>0</v>
      </c>
      <c r="BK55" s="975">
        <f>SUM(BK53:BK54)</f>
        <v>0</v>
      </c>
      <c r="BL55" s="321">
        <f>SUM(BL53:BL54)</f>
        <v>0</v>
      </c>
      <c r="BM55" s="321">
        <f>SUM(BM53:BM54)</f>
        <v>0</v>
      </c>
      <c r="BN55" s="321">
        <f>SUM(BN53:BN54)</f>
        <v>0</v>
      </c>
      <c r="BO55" s="321">
        <f>SUM(BO53:BO54)</f>
        <v>0</v>
      </c>
      <c r="BP55" s="1057">
        <f t="shared" si="12"/>
        <v>0</v>
      </c>
      <c r="BQ55" s="1064">
        <f>ROUND(SUM(BK55,BP55),0)</f>
        <v>0</v>
      </c>
      <c r="BR55" s="966">
        <f t="shared" si="14"/>
        <v>0</v>
      </c>
    </row>
    <row r="212427" ht="14.25" hidden="1" customHeight="1"/>
  </sheetData>
  <sheetProtection sheet="1" selectLockedCells="1"/>
  <mergeCells count="133">
    <mergeCell ref="BQ48:BQ49"/>
    <mergeCell ref="BB50:BB52"/>
    <mergeCell ref="BB53:BB55"/>
    <mergeCell ref="BB46:BC49"/>
    <mergeCell ref="BD46:BR46"/>
    <mergeCell ref="BD47:BJ47"/>
    <mergeCell ref="BK47:BQ47"/>
    <mergeCell ref="BR47:BR49"/>
    <mergeCell ref="BD48:BD49"/>
    <mergeCell ref="BE48:BI48"/>
    <mergeCell ref="BJ48:BJ49"/>
    <mergeCell ref="BK48:BK49"/>
    <mergeCell ref="BL48:BP48"/>
    <mergeCell ref="BD37:BH37"/>
    <mergeCell ref="BI37:BM37"/>
    <mergeCell ref="BN37:BR37"/>
    <mergeCell ref="C38:O38"/>
    <mergeCell ref="BB39:BB41"/>
    <mergeCell ref="BB42:BB44"/>
    <mergeCell ref="BB31:BC31"/>
    <mergeCell ref="BO31:BP31"/>
    <mergeCell ref="BB32:BC32"/>
    <mergeCell ref="BO32:BP32"/>
    <mergeCell ref="C35:O36"/>
    <mergeCell ref="P35:P36"/>
    <mergeCell ref="Q35:Q36"/>
    <mergeCell ref="BB36:BC38"/>
    <mergeCell ref="BD36:BR36"/>
    <mergeCell ref="C37:O37"/>
    <mergeCell ref="C30:E30"/>
    <mergeCell ref="F30:O30"/>
    <mergeCell ref="AL30:AN30"/>
    <mergeCell ref="AO30:AX30"/>
    <mergeCell ref="C31:E31"/>
    <mergeCell ref="F31:O31"/>
    <mergeCell ref="AL31:AN31"/>
    <mergeCell ref="AO31:AX31"/>
    <mergeCell ref="C28:E28"/>
    <mergeCell ref="F28:O28"/>
    <mergeCell ref="AL28:AN28"/>
    <mergeCell ref="AO28:AX28"/>
    <mergeCell ref="C29:E29"/>
    <mergeCell ref="F29:O29"/>
    <mergeCell ref="AL29:AN29"/>
    <mergeCell ref="AO29:AX29"/>
    <mergeCell ref="C26:E26"/>
    <mergeCell ref="F26:O26"/>
    <mergeCell ref="AL26:AN26"/>
    <mergeCell ref="AO26:AX26"/>
    <mergeCell ref="C27:E27"/>
    <mergeCell ref="F27:O27"/>
    <mergeCell ref="AL27:AN27"/>
    <mergeCell ref="AO27:AX27"/>
    <mergeCell ref="C24:E24"/>
    <mergeCell ref="F24:O24"/>
    <mergeCell ref="AL24:AN24"/>
    <mergeCell ref="AO24:AX24"/>
    <mergeCell ref="C25:E25"/>
    <mergeCell ref="F25:O25"/>
    <mergeCell ref="AL25:AN25"/>
    <mergeCell ref="AO25:AX25"/>
    <mergeCell ref="C22:E22"/>
    <mergeCell ref="F22:O22"/>
    <mergeCell ref="AL22:AN22"/>
    <mergeCell ref="AO22:AX22"/>
    <mergeCell ref="C23:E23"/>
    <mergeCell ref="F23:O23"/>
    <mergeCell ref="AL23:AN23"/>
    <mergeCell ref="AO23:AX23"/>
    <mergeCell ref="C20:E20"/>
    <mergeCell ref="F20:O20"/>
    <mergeCell ref="AL20:AN20"/>
    <mergeCell ref="AO20:AX20"/>
    <mergeCell ref="C21:E21"/>
    <mergeCell ref="F21:O21"/>
    <mergeCell ref="AL21:AN21"/>
    <mergeCell ref="AO21:AX21"/>
    <mergeCell ref="F14:L14"/>
    <mergeCell ref="M14:O14"/>
    <mergeCell ref="BB14:BC14"/>
    <mergeCell ref="C15:E15"/>
    <mergeCell ref="F15:O15"/>
    <mergeCell ref="AL15:AN15"/>
    <mergeCell ref="AO15:AX15"/>
    <mergeCell ref="BB15:BB30"/>
    <mergeCell ref="C16:E16"/>
    <mergeCell ref="F16:O16"/>
    <mergeCell ref="C18:E18"/>
    <mergeCell ref="F18:O18"/>
    <mergeCell ref="AL18:AN18"/>
    <mergeCell ref="AO18:AX18"/>
    <mergeCell ref="C19:E19"/>
    <mergeCell ref="F19:O19"/>
    <mergeCell ref="AL19:AN19"/>
    <mergeCell ref="AO19:AX19"/>
    <mergeCell ref="AL16:AN16"/>
    <mergeCell ref="AO16:AX16"/>
    <mergeCell ref="C17:E17"/>
    <mergeCell ref="F17:O17"/>
    <mergeCell ref="AL17:AN17"/>
    <mergeCell ref="AO17:AX17"/>
    <mergeCell ref="BD11:BD13"/>
    <mergeCell ref="BE11:BE13"/>
    <mergeCell ref="BF11:BF13"/>
    <mergeCell ref="BG11:BI11"/>
    <mergeCell ref="BJ11:BL11"/>
    <mergeCell ref="BM11:BM13"/>
    <mergeCell ref="C10:E13"/>
    <mergeCell ref="F10:L13"/>
    <mergeCell ref="AJ10:AJ13"/>
    <mergeCell ref="AK10:AK13"/>
    <mergeCell ref="AL10:AN13"/>
    <mergeCell ref="AO10:AX13"/>
    <mergeCell ref="M12:O12"/>
    <mergeCell ref="M13:O13"/>
    <mergeCell ref="BG12:BG13"/>
    <mergeCell ref="BH12:BH13"/>
    <mergeCell ref="BI12:BI13"/>
    <mergeCell ref="BJ12:BJ13"/>
    <mergeCell ref="BK12:BK13"/>
    <mergeCell ref="BL12:BL13"/>
    <mergeCell ref="BB10:BC13"/>
    <mergeCell ref="BD10:BF10"/>
    <mergeCell ref="BG10:BM10"/>
    <mergeCell ref="AK3:AK4"/>
    <mergeCell ref="AL3:AN4"/>
    <mergeCell ref="AO3:AO4"/>
    <mergeCell ref="AP3:AT4"/>
    <mergeCell ref="AK5:AK6"/>
    <mergeCell ref="AL5:AN6"/>
    <mergeCell ref="AO5:AO6"/>
    <mergeCell ref="AP5:AT6"/>
    <mergeCell ref="M11:O11"/>
  </mergeCells>
  <phoneticPr fontId="5"/>
  <dataValidations count="5">
    <dataValidation type="whole" operator="greaterThan" allowBlank="1" showInputMessage="1" showErrorMessage="1" error="0より大きい数値を整数で入力してください。" sqref="P13:AI13 BO32:BP32 P37:P38" xr:uid="{00000000-0002-0000-1700-000000000000}">
      <formula1>0</formula1>
    </dataValidation>
    <dataValidation type="textLength" imeMode="hiragana" operator="greaterThanOrEqual" allowBlank="1" showInputMessage="1" showErrorMessage="1" sqref="P11:AI11" xr:uid="{00000000-0002-0000-1700-000001000000}">
      <formula1>1</formula1>
    </dataValidation>
    <dataValidation type="custom" allowBlank="1" showInputMessage="1" showErrorMessage="1" error="0より大きい小数点第３位までの数値を入力してください。" sqref="Q37:Q38" xr:uid="{00000000-0002-0000-1700-000002000000}">
      <formula1>AND(AND(Q37*1000=INT(Q37*1000)),(Q37&gt;0),(Q37&lt;=100))</formula1>
    </dataValidation>
    <dataValidation type="textLength" imeMode="hiragana" allowBlank="1" showInputMessage="1" showErrorMessage="1" error="20文字まで入力できます。" sqref="AP3:AT6 AK3:AN6" xr:uid="{00000000-0002-0000-1700-000003000000}">
      <formula1>1</formula1>
      <formula2>20</formula2>
    </dataValidation>
    <dataValidation type="custom" operator="greaterThan" allowBlank="1" showInputMessage="1" showErrorMessage="1" error="0より大きい小数点第１位までの数値を入力してください。" sqref="P15:AK31" xr:uid="{E3297AB8-1A96-404D-B88F-D7818DD6F25D}">
      <formula1>AND(AND(P15*10=INT(P15*10)),(P15&gt;0))</formula1>
    </dataValidation>
  </dataValidations>
  <pageMargins left="0.19685039370078741" right="0.19685039370078741" top="0.59055118110236227" bottom="0.59055118110236227" header="0" footer="0"/>
  <pageSetup paperSize="9" scale="33" orientation="landscape" cellComments="asDisplayed" r:id="rId1"/>
  <headerFooter alignWithMargins="0"/>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700-000004000000}">
          <x14:formula1>
            <xm:f>リスト!$CN$5:$CN$6</xm:f>
          </x14:formula1>
          <xm:sqref>P12:AI12</xm:sqref>
        </x14:dataValidation>
        <x14:dataValidation type="list" allowBlank="1" showInputMessage="1" showErrorMessage="1" xr:uid="{00000000-0002-0000-1700-000005000000}">
          <x14:formula1>
            <xm:f>リスト!$CP$5:$CP$8</xm:f>
          </x14:formula1>
          <xm:sqref>P14:AI14</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0"/>
  <dimension ref="B1:C15"/>
  <sheetViews>
    <sheetView workbookViewId="0">
      <selection activeCell="B5" sqref="B5"/>
    </sheetView>
  </sheetViews>
  <sheetFormatPr defaultColWidth="2.625" defaultRowHeight="13.5"/>
  <cols>
    <col min="1" max="1" width="2.625" style="414"/>
    <col min="2" max="2" width="25" style="414" customWidth="1"/>
    <col min="3" max="3" width="17.5" style="414" customWidth="1"/>
    <col min="4" max="16384" width="2.625" style="414"/>
  </cols>
  <sheetData>
    <row r="1" spans="2:3" ht="14.25">
      <c r="B1" s="1065" t="s">
        <v>410</v>
      </c>
    </row>
    <row r="3" spans="2:3" ht="18" customHeight="1">
      <c r="B3" s="2492" t="s">
        <v>850</v>
      </c>
      <c r="C3" s="2492"/>
    </row>
    <row r="4" spans="2:3" ht="18" customHeight="1" thickBot="1">
      <c r="B4" s="1066" t="s">
        <v>851</v>
      </c>
      <c r="C4" s="1066" t="s">
        <v>852</v>
      </c>
    </row>
    <row r="5" spans="2:3" ht="30.75" customHeight="1" thickTop="1">
      <c r="B5" s="1067"/>
      <c r="C5" s="1068"/>
    </row>
    <row r="6" spans="2:3" ht="30.75" customHeight="1">
      <c r="B6" s="1069"/>
      <c r="C6" s="1070"/>
    </row>
    <row r="7" spans="2:3" ht="30.75" customHeight="1">
      <c r="B7" s="1069"/>
      <c r="C7" s="1070"/>
    </row>
    <row r="8" spans="2:3" ht="30.75" customHeight="1">
      <c r="B8" s="1069"/>
      <c r="C8" s="1070"/>
    </row>
    <row r="9" spans="2:3" ht="30.75" customHeight="1">
      <c r="B9" s="1069"/>
      <c r="C9" s="1070"/>
    </row>
    <row r="10" spans="2:3" ht="30.75" customHeight="1">
      <c r="B10" s="1069"/>
      <c r="C10" s="1070"/>
    </row>
    <row r="11" spans="2:3" ht="30.75" customHeight="1">
      <c r="B11" s="1069"/>
      <c r="C11" s="1070"/>
    </row>
    <row r="12" spans="2:3" ht="30.75" customHeight="1">
      <c r="B12" s="1069"/>
      <c r="C12" s="1070"/>
    </row>
    <row r="13" spans="2:3" ht="30.75" customHeight="1">
      <c r="B13" s="1069"/>
      <c r="C13" s="1070"/>
    </row>
    <row r="14" spans="2:3" ht="30.75" customHeight="1" thickBot="1">
      <c r="B14" s="1071"/>
      <c r="C14" s="1072"/>
    </row>
    <row r="15" spans="2:3" ht="14.25" thickTop="1"/>
  </sheetData>
  <sheetProtection sheet="1" objects="1" scenarios="1" selectLockedCells="1"/>
  <mergeCells count="1">
    <mergeCell ref="B3:C3"/>
  </mergeCells>
  <phoneticPr fontId="5"/>
  <dataValidations count="2">
    <dataValidation type="textLength" imeMode="on" operator="greaterThanOrEqual" allowBlank="1" showInputMessage="1" showErrorMessage="1" sqref="B5:B14" xr:uid="{00000000-0002-0000-1800-000000000000}">
      <formula1>1</formula1>
    </dataValidation>
    <dataValidation type="whole" operator="greaterThan" allowBlank="1" showInputMessage="1" showErrorMessage="1" error="0より大きい数値を整数で入力してください。" sqref="C5:C14" xr:uid="{00000000-0002-0000-1800-000001000000}">
      <formula1>0</formula1>
    </dataValidation>
  </dataValidation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A1:DN99"/>
  <sheetViews>
    <sheetView topLeftCell="CQ1" zoomScaleNormal="100" workbookViewId="0">
      <selection activeCell="CV4" sqref="CV4"/>
    </sheetView>
  </sheetViews>
  <sheetFormatPr defaultColWidth="9" defaultRowHeight="13.5"/>
  <cols>
    <col min="1" max="1" width="9.5" style="1112" bestFit="1" customWidth="1"/>
    <col min="2" max="2" width="22.75" style="1112" bestFit="1" customWidth="1"/>
    <col min="3" max="3" width="9.5" style="1112" bestFit="1" customWidth="1"/>
    <col min="4" max="4" width="18.375" style="1112" bestFit="1" customWidth="1"/>
    <col min="5" max="5" width="2.625" style="1112" customWidth="1"/>
    <col min="6" max="6" width="16.125" style="1112" bestFit="1" customWidth="1"/>
    <col min="7" max="7" width="2.625" style="1112" customWidth="1"/>
    <col min="8" max="8" width="17.25" style="1112" bestFit="1" customWidth="1"/>
    <col min="9" max="9" width="2.625" style="1112" customWidth="1"/>
    <col min="10" max="10" width="26.125" style="1112" bestFit="1" customWidth="1"/>
    <col min="11" max="11" width="2.625" style="1112" customWidth="1"/>
    <col min="12" max="12" width="22.75" style="1112" bestFit="1" customWidth="1"/>
    <col min="13" max="13" width="2.625" style="1112" customWidth="1"/>
    <col min="14" max="14" width="22.75" style="1112" bestFit="1" customWidth="1"/>
    <col min="15" max="15" width="2.625" style="1112" customWidth="1"/>
    <col min="16" max="16" width="20.5" style="1112" bestFit="1" customWidth="1"/>
    <col min="17" max="17" width="2.625" style="1112" customWidth="1"/>
    <col min="18" max="18" width="18.375" style="1112" bestFit="1" customWidth="1"/>
    <col min="19" max="19" width="4.25" style="1133" customWidth="1"/>
    <col min="20" max="20" width="30.625" style="1133" customWidth="1"/>
    <col min="21" max="21" width="4.25" style="1133" customWidth="1"/>
    <col min="22" max="22" width="30.625" style="1133" customWidth="1"/>
    <col min="23" max="23" width="4.25" style="1133" customWidth="1"/>
    <col min="24" max="24" width="30.625" style="1133" customWidth="1"/>
    <col min="25" max="25" width="4.25" style="1133" customWidth="1"/>
    <col min="26" max="26" width="30.625" style="1133" customWidth="1"/>
    <col min="27" max="27" width="4.25" style="1133" customWidth="1"/>
    <col min="28" max="28" width="30.625" style="1133" customWidth="1"/>
    <col min="29" max="29" width="4.25" style="1133" customWidth="1"/>
    <col min="30" max="30" width="30.625" style="1133" customWidth="1"/>
    <col min="31" max="31" width="4.25" style="1133" customWidth="1"/>
    <col min="32" max="32" width="30.625" style="1133" customWidth="1"/>
    <col min="33" max="33" width="4.25" style="1133" customWidth="1"/>
    <col min="34" max="34" width="30.625" style="1133" customWidth="1"/>
    <col min="35" max="35" width="4.25" style="1133" customWidth="1"/>
    <col min="36" max="36" width="30.625" style="1133" customWidth="1"/>
    <col min="37" max="37" width="4.25" style="1133" customWidth="1"/>
    <col min="38" max="38" width="30.625" style="1133" customWidth="1"/>
    <col min="39" max="39" width="4.25" style="1133" customWidth="1"/>
    <col min="40" max="40" width="30.625" style="1133" customWidth="1"/>
    <col min="41" max="41" width="4.25" style="1133" customWidth="1"/>
    <col min="42" max="42" width="30.625" style="1133" customWidth="1"/>
    <col min="43" max="43" width="4.25" style="1133" customWidth="1"/>
    <col min="44" max="44" width="4.375" style="1133" customWidth="1"/>
    <col min="45" max="45" width="30.625" style="1133" customWidth="1"/>
    <col min="46" max="46" width="4.25" style="1133" customWidth="1"/>
    <col min="47" max="47" width="16.125" style="1133" bestFit="1" customWidth="1"/>
    <col min="48" max="48" width="30.625" style="1133" customWidth="1"/>
    <col min="49" max="49" width="4.25" style="1133" customWidth="1"/>
    <col min="50" max="50" width="30.625" style="1133" customWidth="1"/>
    <col min="51" max="51" width="4.25" style="1133" customWidth="1"/>
    <col min="52" max="52" width="30.625" style="1133" customWidth="1"/>
    <col min="53" max="53" width="4" style="1143" customWidth="1"/>
    <col min="54" max="54" width="30.625" style="1145" customWidth="1"/>
    <col min="55" max="55" width="4.25" style="1133" customWidth="1"/>
    <col min="56" max="56" width="30.625" style="1133" customWidth="1"/>
    <col min="57" max="57" width="4.25" style="1133" customWidth="1"/>
    <col min="58" max="58" width="8.5" style="1133" customWidth="1"/>
    <col min="59" max="59" width="30.625" style="1133" customWidth="1"/>
    <col min="60" max="60" width="4.25" style="1133" customWidth="1"/>
    <col min="61" max="61" width="30.625" style="1133" customWidth="1"/>
    <col min="62" max="62" width="4.25" style="1133" customWidth="1"/>
    <col min="63" max="63" width="30.625" style="1133" customWidth="1"/>
    <col min="64" max="64" width="4.25" style="1112" customWidth="1"/>
    <col min="65" max="65" width="30.625" style="1133" customWidth="1"/>
    <col min="66" max="66" width="4.25" style="1145" customWidth="1"/>
    <col min="67" max="67" width="30.625" style="1145" customWidth="1"/>
    <col min="68" max="68" width="4.25" style="1133" customWidth="1"/>
    <col min="69" max="69" width="30.625" style="1145" customWidth="1"/>
    <col min="70" max="70" width="4.25" style="1145" customWidth="1"/>
    <col min="71" max="71" width="30.625" style="1145" customWidth="1"/>
    <col min="72" max="72" width="4.25" style="1145" customWidth="1"/>
    <col min="73" max="73" width="30.625" style="1145" customWidth="1"/>
    <col min="74" max="74" width="4.25" style="1145" customWidth="1"/>
    <col min="75" max="75" width="30.625" style="1145" customWidth="1"/>
    <col min="76" max="76" width="4.25" style="1145" customWidth="1"/>
    <col min="77" max="77" width="30.625" style="1145" customWidth="1"/>
    <col min="78" max="78" width="4.25" style="1145" customWidth="1"/>
    <col min="79" max="79" width="30.625" style="1145" customWidth="1"/>
    <col min="80" max="80" width="4.25" style="1145" customWidth="1"/>
    <col min="81" max="81" width="30.625" style="1145" customWidth="1"/>
    <col min="82" max="82" width="4.125" style="1077" customWidth="1"/>
    <col min="83" max="83" width="27.25" style="1133" bestFit="1" customWidth="1"/>
    <col min="84" max="84" width="30.625" style="1133" customWidth="1"/>
    <col min="85" max="85" width="4.25" style="1145" customWidth="1"/>
    <col min="86" max="86" width="30.625" style="1133" customWidth="1"/>
    <col min="87" max="87" width="4.25" style="1147" customWidth="1"/>
    <col min="88" max="88" width="30.625" style="1133" customWidth="1"/>
    <col min="89" max="89" width="4" style="1133" customWidth="1"/>
    <col min="90" max="90" width="30.625" style="1145" customWidth="1"/>
    <col min="91" max="91" width="4.25" style="1145" customWidth="1"/>
    <col min="92" max="92" width="30.625" style="1133" customWidth="1"/>
    <col min="93" max="93" width="4.25" style="1133" customWidth="1"/>
    <col min="94" max="94" width="30.625" style="1133" customWidth="1"/>
    <col min="95" max="95" width="4" style="1133" customWidth="1"/>
    <col min="96" max="96" width="30.625" style="1133" customWidth="1"/>
    <col min="97" max="97" width="4" style="1133" customWidth="1"/>
    <col min="98" max="98" width="30.75" style="1112" customWidth="1"/>
    <col min="99" max="99" width="4.375" style="1112" customWidth="1"/>
    <col min="100" max="100" width="14.75" style="1112" customWidth="1"/>
    <col min="101" max="101" width="16.625" style="1077" bestFit="1" customWidth="1"/>
    <col min="102" max="102" width="6.375" style="1077" bestFit="1" customWidth="1"/>
    <col min="103" max="103" width="9.375" style="1112" bestFit="1" customWidth="1"/>
    <col min="104" max="104" width="4.75" style="1112" customWidth="1"/>
    <col min="105" max="105" width="9" style="1112"/>
    <col min="106" max="106" width="21.25" style="1133" bestFit="1" customWidth="1"/>
    <col min="107" max="107" width="6.375" style="1133" bestFit="1" customWidth="1"/>
    <col min="108" max="108" width="9.375" style="1133" bestFit="1" customWidth="1"/>
    <col min="109" max="109" width="9" style="1133"/>
    <col min="110" max="110" width="16.375" style="1133" bestFit="1" customWidth="1"/>
    <col min="111" max="111" width="15" style="1133" customWidth="1"/>
    <col min="112" max="112" width="6.375" style="1133" bestFit="1" customWidth="1"/>
    <col min="113" max="117" width="9" style="1133"/>
    <col min="118" max="118" width="19.125" style="1133" customWidth="1"/>
    <col min="119" max="16384" width="9" style="1112"/>
  </cols>
  <sheetData>
    <row r="1" spans="1:118">
      <c r="A1" s="1111" t="s">
        <v>853</v>
      </c>
      <c r="B1" s="1111" t="s">
        <v>854</v>
      </c>
      <c r="C1" s="1111"/>
      <c r="D1" s="1111"/>
      <c r="F1" s="1111" t="s">
        <v>854</v>
      </c>
      <c r="G1" s="1111"/>
      <c r="H1" s="1111" t="s">
        <v>854</v>
      </c>
      <c r="I1" s="1111"/>
      <c r="J1" s="1111" t="s">
        <v>854</v>
      </c>
      <c r="L1" s="1111" t="s">
        <v>855</v>
      </c>
      <c r="M1" s="1111"/>
      <c r="N1" s="1111" t="s">
        <v>856</v>
      </c>
      <c r="O1" s="1111"/>
      <c r="P1" s="1111" t="s">
        <v>857</v>
      </c>
      <c r="R1" s="1111" t="s">
        <v>858</v>
      </c>
      <c r="S1" s="1111"/>
      <c r="T1" s="1111" t="s">
        <v>858</v>
      </c>
      <c r="U1" s="1111"/>
      <c r="V1" s="1111" t="s">
        <v>859</v>
      </c>
      <c r="W1" s="1111"/>
      <c r="X1" s="1111" t="s">
        <v>858</v>
      </c>
      <c r="Y1" s="1111"/>
      <c r="Z1" s="1111" t="s">
        <v>858</v>
      </c>
      <c r="AA1" s="1111"/>
      <c r="AB1" s="1111" t="s">
        <v>858</v>
      </c>
      <c r="AC1" s="1111"/>
      <c r="AD1" s="1111" t="s">
        <v>858</v>
      </c>
      <c r="AE1" s="1111"/>
      <c r="AF1" s="1111" t="s">
        <v>858</v>
      </c>
      <c r="AG1" s="1111"/>
      <c r="AH1" s="1111" t="s">
        <v>858</v>
      </c>
      <c r="AI1" s="1111"/>
      <c r="AJ1" s="1111" t="s">
        <v>858</v>
      </c>
      <c r="AK1" s="1111"/>
      <c r="AL1" s="1111" t="s">
        <v>858</v>
      </c>
      <c r="AM1" s="1111"/>
      <c r="AN1" s="1111" t="s">
        <v>858</v>
      </c>
      <c r="AO1" s="1111"/>
      <c r="AP1" s="1111" t="s">
        <v>858</v>
      </c>
      <c r="AQ1" s="1111"/>
      <c r="AR1" s="2515" t="s">
        <v>860</v>
      </c>
      <c r="AS1" s="2515"/>
      <c r="AT1" s="1111"/>
      <c r="AU1" s="2515" t="s">
        <v>861</v>
      </c>
      <c r="AV1" s="2515"/>
      <c r="AW1" s="1111"/>
      <c r="AX1" s="2515" t="s">
        <v>862</v>
      </c>
      <c r="AY1" s="2515"/>
      <c r="AZ1" s="2515" t="s">
        <v>863</v>
      </c>
      <c r="BA1" s="2515"/>
      <c r="BB1" s="1113" t="s">
        <v>864</v>
      </c>
      <c r="BC1" s="1111"/>
      <c r="BD1" s="1111" t="s">
        <v>865</v>
      </c>
      <c r="BE1" s="1111"/>
      <c r="BF1" s="2515" t="s">
        <v>866</v>
      </c>
      <c r="BG1" s="2515"/>
      <c r="BH1" s="1111"/>
      <c r="BI1" s="1111" t="s">
        <v>867</v>
      </c>
      <c r="BJ1" s="1111"/>
      <c r="BK1" s="1111" t="s">
        <v>867</v>
      </c>
      <c r="BM1" s="1111" t="s">
        <v>868</v>
      </c>
      <c r="BN1" s="1113"/>
      <c r="BO1" s="1111" t="s">
        <v>869</v>
      </c>
      <c r="BP1" s="1111"/>
      <c r="BQ1" s="1111" t="s">
        <v>870</v>
      </c>
      <c r="BR1" s="1113"/>
      <c r="BS1" s="1111" t="s">
        <v>871</v>
      </c>
      <c r="BT1" s="1113"/>
      <c r="BU1" s="1111" t="s">
        <v>870</v>
      </c>
      <c r="BV1" s="1113"/>
      <c r="BW1" s="1111" t="s">
        <v>872</v>
      </c>
      <c r="BX1" s="1113"/>
      <c r="BY1" s="1111" t="s">
        <v>871</v>
      </c>
      <c r="BZ1" s="1113"/>
      <c r="CA1" s="1111" t="s">
        <v>871</v>
      </c>
      <c r="CB1" s="1113"/>
      <c r="CC1" s="1111" t="s">
        <v>871</v>
      </c>
      <c r="CD1" s="1073"/>
      <c r="CE1" s="2515" t="s">
        <v>873</v>
      </c>
      <c r="CF1" s="2515"/>
      <c r="CG1" s="1113"/>
      <c r="CH1" s="1111" t="s">
        <v>868</v>
      </c>
      <c r="CI1" s="1114"/>
      <c r="CJ1" s="1111" t="s">
        <v>870</v>
      </c>
      <c r="CK1" s="1111"/>
      <c r="CL1" s="1113" t="s">
        <v>874</v>
      </c>
      <c r="CM1" s="1113"/>
      <c r="CN1" s="1111" t="s">
        <v>875</v>
      </c>
      <c r="CO1" s="1111"/>
      <c r="CP1" s="1111" t="s">
        <v>876</v>
      </c>
      <c r="CQ1" s="1111"/>
      <c r="CR1" s="1111" t="s">
        <v>877</v>
      </c>
      <c r="CS1" s="1111"/>
      <c r="CT1" s="1111" t="s">
        <v>878</v>
      </c>
      <c r="CU1" s="1115"/>
      <c r="CV1" s="1114" t="s">
        <v>879</v>
      </c>
      <c r="CW1" s="1114"/>
      <c r="CX1" s="1116"/>
      <c r="CY1" s="1114"/>
      <c r="CZ1" s="1115"/>
      <c r="DA1" s="1114" t="s">
        <v>879</v>
      </c>
      <c r="DB1" s="1115"/>
      <c r="DC1" s="1115"/>
      <c r="DD1" s="1115"/>
      <c r="DE1" s="1111"/>
      <c r="DF1" s="1114" t="s">
        <v>879</v>
      </c>
      <c r="DG1" s="1111"/>
      <c r="DH1" s="1111"/>
      <c r="DI1" s="1111"/>
      <c r="DJ1" s="1111"/>
      <c r="DK1" s="1111" t="s">
        <v>880</v>
      </c>
      <c r="DL1" s="1111"/>
      <c r="DM1" s="1111"/>
      <c r="DN1" s="1111" t="s">
        <v>881</v>
      </c>
    </row>
    <row r="2" spans="1:118">
      <c r="A2" s="1111" t="s">
        <v>882</v>
      </c>
      <c r="B2" s="1111"/>
      <c r="C2" s="1111"/>
      <c r="D2" s="1111"/>
      <c r="F2" s="1111"/>
      <c r="G2" s="1111"/>
      <c r="H2" s="1111"/>
      <c r="I2" s="1111"/>
      <c r="J2" s="1111"/>
      <c r="L2" s="1111" t="s">
        <v>883</v>
      </c>
      <c r="M2" s="1111"/>
      <c r="N2" s="1111" t="s">
        <v>883</v>
      </c>
      <c r="O2" s="1111"/>
      <c r="P2" s="1111" t="s">
        <v>884</v>
      </c>
      <c r="R2" s="1111" t="s">
        <v>885</v>
      </c>
      <c r="S2" s="1111"/>
      <c r="T2" s="1111" t="s">
        <v>885</v>
      </c>
      <c r="U2" s="1111"/>
      <c r="V2" s="1111" t="s">
        <v>885</v>
      </c>
      <c r="W2" s="1111"/>
      <c r="X2" s="1111" t="s">
        <v>885</v>
      </c>
      <c r="Y2" s="1111"/>
      <c r="Z2" s="1111" t="s">
        <v>885</v>
      </c>
      <c r="AA2" s="1111"/>
      <c r="AB2" s="1111" t="s">
        <v>885</v>
      </c>
      <c r="AC2" s="1111"/>
      <c r="AD2" s="1111" t="s">
        <v>885</v>
      </c>
      <c r="AE2" s="1111"/>
      <c r="AF2" s="1111" t="s">
        <v>885</v>
      </c>
      <c r="AG2" s="1111"/>
      <c r="AH2" s="1111" t="s">
        <v>885</v>
      </c>
      <c r="AI2" s="1111"/>
      <c r="AJ2" s="1111" t="s">
        <v>885</v>
      </c>
      <c r="AK2" s="1111"/>
      <c r="AL2" s="1111" t="s">
        <v>885</v>
      </c>
      <c r="AM2" s="1111"/>
      <c r="AN2" s="1111" t="s">
        <v>885</v>
      </c>
      <c r="AO2" s="1111"/>
      <c r="AP2" s="1111" t="s">
        <v>885</v>
      </c>
      <c r="AQ2" s="1111"/>
      <c r="AR2" s="2515" t="s">
        <v>522</v>
      </c>
      <c r="AS2" s="2515"/>
      <c r="AT2" s="1111"/>
      <c r="AU2" s="2515" t="s">
        <v>522</v>
      </c>
      <c r="AV2" s="2515"/>
      <c r="AW2" s="1111"/>
      <c r="AX2" s="1111" t="s">
        <v>522</v>
      </c>
      <c r="AY2" s="1111"/>
      <c r="AZ2" s="1111" t="s">
        <v>522</v>
      </c>
      <c r="BA2" s="1117"/>
      <c r="BB2" s="1113"/>
      <c r="BC2" s="1111"/>
      <c r="BD2" s="1111" t="s">
        <v>578</v>
      </c>
      <c r="BE2" s="1111"/>
      <c r="BF2" s="2515" t="s">
        <v>578</v>
      </c>
      <c r="BG2" s="2515"/>
      <c r="BH2" s="1111"/>
      <c r="BI2" s="1111" t="s">
        <v>578</v>
      </c>
      <c r="BJ2" s="1111"/>
      <c r="BK2" s="1111" t="s">
        <v>578</v>
      </c>
      <c r="BM2" s="1111" t="s">
        <v>606</v>
      </c>
      <c r="BN2" s="1113"/>
      <c r="BO2" s="1113" t="s">
        <v>606</v>
      </c>
      <c r="BP2" s="1111"/>
      <c r="BQ2" s="1113" t="s">
        <v>606</v>
      </c>
      <c r="BR2" s="1113"/>
      <c r="BS2" s="1113" t="s">
        <v>606</v>
      </c>
      <c r="BT2" s="1113"/>
      <c r="BU2" s="1113" t="s">
        <v>606</v>
      </c>
      <c r="BV2" s="1113"/>
      <c r="BW2" s="1113" t="s">
        <v>606</v>
      </c>
      <c r="BX2" s="1113"/>
      <c r="BY2" s="1113" t="s">
        <v>606</v>
      </c>
      <c r="BZ2" s="1113"/>
      <c r="CA2" s="1113" t="s">
        <v>606</v>
      </c>
      <c r="CB2" s="1113"/>
      <c r="CC2" s="1113" t="s">
        <v>606</v>
      </c>
      <c r="CD2" s="1073"/>
      <c r="CE2" s="2515" t="s">
        <v>606</v>
      </c>
      <c r="CF2" s="2515"/>
      <c r="CG2" s="1113"/>
      <c r="CH2" s="1111" t="s">
        <v>606</v>
      </c>
      <c r="CI2" s="1114"/>
      <c r="CJ2" s="1111" t="s">
        <v>606</v>
      </c>
      <c r="CK2" s="1111"/>
      <c r="CL2" s="1113" t="s">
        <v>886</v>
      </c>
      <c r="CM2" s="1113"/>
      <c r="CN2" s="1111" t="s">
        <v>731</v>
      </c>
      <c r="CO2" s="1111"/>
      <c r="CP2" s="1111" t="s">
        <v>731</v>
      </c>
      <c r="CQ2" s="1111"/>
      <c r="CR2" s="1111" t="s">
        <v>887</v>
      </c>
      <c r="CS2" s="1111"/>
      <c r="CT2" s="1111" t="s">
        <v>887</v>
      </c>
      <c r="CU2" s="1115"/>
      <c r="CV2" s="1114" t="s">
        <v>576</v>
      </c>
      <c r="CW2" s="1114"/>
      <c r="CX2" s="1116"/>
      <c r="CY2" s="1114"/>
      <c r="CZ2" s="1115"/>
      <c r="DA2" s="1114" t="s">
        <v>888</v>
      </c>
      <c r="DB2" s="1115"/>
      <c r="DC2" s="1115"/>
      <c r="DD2" s="1115"/>
      <c r="DE2" s="1111"/>
      <c r="DF2" s="1114" t="s">
        <v>889</v>
      </c>
      <c r="DG2" s="1111"/>
      <c r="DH2" s="1111"/>
      <c r="DI2" s="1111"/>
      <c r="DJ2" s="1111"/>
      <c r="DK2" s="1111"/>
      <c r="DL2" s="1111"/>
      <c r="DM2" s="1111"/>
      <c r="DN2" s="1111"/>
    </row>
    <row r="3" spans="1:118">
      <c r="A3" s="1111"/>
      <c r="B3" s="1111"/>
      <c r="C3" s="1111"/>
      <c r="D3" s="1111"/>
      <c r="F3" s="1111"/>
      <c r="G3" s="1111"/>
      <c r="H3" s="1111"/>
      <c r="I3" s="1111"/>
      <c r="J3" s="1111"/>
      <c r="L3" s="1111" t="s">
        <v>890</v>
      </c>
      <c r="M3" s="1111"/>
      <c r="N3" s="1111" t="s">
        <v>890</v>
      </c>
      <c r="O3" s="1111"/>
      <c r="P3" s="1111" t="s">
        <v>891</v>
      </c>
      <c r="R3" s="1111" t="s">
        <v>892</v>
      </c>
      <c r="S3" s="1111"/>
      <c r="T3" s="1111" t="s">
        <v>893</v>
      </c>
      <c r="U3" s="1111"/>
      <c r="V3" s="1111" t="s">
        <v>894</v>
      </c>
      <c r="W3" s="1111"/>
      <c r="X3" s="1111" t="s">
        <v>894</v>
      </c>
      <c r="Y3" s="1111"/>
      <c r="Z3" s="1111" t="s">
        <v>894</v>
      </c>
      <c r="AA3" s="1111"/>
      <c r="AB3" s="1111" t="s">
        <v>894</v>
      </c>
      <c r="AC3" s="1111"/>
      <c r="AD3" s="1111" t="s">
        <v>894</v>
      </c>
      <c r="AE3" s="1111"/>
      <c r="AF3" s="1111" t="s">
        <v>894</v>
      </c>
      <c r="AG3" s="1111"/>
      <c r="AH3" s="1111" t="s">
        <v>894</v>
      </c>
      <c r="AI3" s="1111"/>
      <c r="AJ3" s="1111" t="s">
        <v>894</v>
      </c>
      <c r="AK3" s="1111"/>
      <c r="AL3" s="1111" t="s">
        <v>894</v>
      </c>
      <c r="AM3" s="1111"/>
      <c r="AN3" s="1111" t="s">
        <v>894</v>
      </c>
      <c r="AO3" s="1111"/>
      <c r="AP3" s="1111" t="s">
        <v>894</v>
      </c>
      <c r="AQ3" s="1111"/>
      <c r="AR3" s="1111"/>
      <c r="AS3" s="1111"/>
      <c r="AT3" s="1111"/>
      <c r="AU3" s="1111"/>
      <c r="AV3" s="1111"/>
      <c r="AW3" s="1111"/>
      <c r="AX3" s="1111"/>
      <c r="AY3" s="1111"/>
      <c r="AZ3" s="1111"/>
      <c r="BA3" s="1117"/>
      <c r="BB3" s="1113"/>
      <c r="BC3" s="1111"/>
      <c r="BD3" s="1111"/>
      <c r="BE3" s="1111"/>
      <c r="BF3" s="1111"/>
      <c r="BG3" s="1111"/>
      <c r="BH3" s="1111"/>
      <c r="BI3" s="1111"/>
      <c r="BJ3" s="1111"/>
      <c r="BK3" s="1111"/>
      <c r="BM3" s="1111"/>
      <c r="BN3" s="1113"/>
      <c r="BO3" s="1113"/>
      <c r="BP3" s="1111"/>
      <c r="BQ3" s="1113"/>
      <c r="BR3" s="1113"/>
      <c r="BS3" s="1113"/>
      <c r="BT3" s="1113"/>
      <c r="BU3" s="1113"/>
      <c r="BV3" s="1113"/>
      <c r="BW3" s="1113"/>
      <c r="BX3" s="1113"/>
      <c r="BY3" s="1113"/>
      <c r="BZ3" s="1113"/>
      <c r="CA3" s="1113"/>
      <c r="CB3" s="1113"/>
      <c r="CC3" s="1113"/>
      <c r="CD3" s="1073"/>
      <c r="CE3" s="1111"/>
      <c r="CF3" s="1111"/>
      <c r="CG3" s="1113"/>
      <c r="CH3" s="1111"/>
      <c r="CI3" s="1114"/>
      <c r="CJ3" s="1111"/>
      <c r="CK3" s="1111"/>
      <c r="CL3" s="1113"/>
      <c r="CM3" s="1113"/>
      <c r="CN3" s="1111" t="s">
        <v>895</v>
      </c>
      <c r="CO3" s="1111"/>
      <c r="CP3" s="1111" t="s">
        <v>895</v>
      </c>
      <c r="CQ3" s="1111"/>
      <c r="CR3" s="1111" t="s">
        <v>896</v>
      </c>
      <c r="CS3" s="1111"/>
      <c r="CT3" s="1111" t="s">
        <v>897</v>
      </c>
      <c r="CU3" s="1115"/>
      <c r="CV3" s="1115"/>
      <c r="CW3" s="1114"/>
      <c r="CX3" s="1118"/>
      <c r="CY3" s="1115"/>
      <c r="CZ3" s="1115"/>
      <c r="DA3" s="1115"/>
      <c r="DB3" s="1115"/>
      <c r="DC3" s="1115"/>
      <c r="DD3" s="1115"/>
      <c r="DE3" s="1111"/>
      <c r="DF3" s="1111"/>
      <c r="DG3" s="1111"/>
      <c r="DH3" s="1111"/>
      <c r="DI3" s="1111"/>
      <c r="DJ3" s="1111"/>
      <c r="DK3" s="1111"/>
      <c r="DL3" s="1111"/>
      <c r="DM3" s="1111"/>
      <c r="DN3" s="1111"/>
    </row>
    <row r="4" spans="1:118" ht="27" customHeight="1">
      <c r="A4" s="1119" t="s">
        <v>898</v>
      </c>
      <c r="B4" s="1120" t="s">
        <v>10</v>
      </c>
      <c r="C4" s="1121" t="s">
        <v>899</v>
      </c>
      <c r="D4" s="1121" t="s">
        <v>900</v>
      </c>
      <c r="F4" s="1120" t="s">
        <v>13</v>
      </c>
      <c r="G4" s="1119"/>
      <c r="H4" s="1120" t="s">
        <v>17</v>
      </c>
      <c r="I4" s="1119"/>
      <c r="J4" s="1120" t="s">
        <v>18</v>
      </c>
      <c r="L4" s="1120" t="s">
        <v>901</v>
      </c>
      <c r="M4" s="1119"/>
      <c r="N4" s="1120" t="s">
        <v>902</v>
      </c>
      <c r="O4" s="1119"/>
      <c r="P4" s="1120" t="s">
        <v>903</v>
      </c>
      <c r="R4" s="1120" t="s">
        <v>904</v>
      </c>
      <c r="S4" s="1122"/>
      <c r="T4" s="1120" t="s">
        <v>905</v>
      </c>
      <c r="U4" s="1122"/>
      <c r="V4" s="1120" t="s">
        <v>906</v>
      </c>
      <c r="W4" s="1122"/>
      <c r="X4" s="1120" t="s">
        <v>907</v>
      </c>
      <c r="Y4" s="1122"/>
      <c r="Z4" s="1120" t="s">
        <v>908</v>
      </c>
      <c r="AA4" s="1122"/>
      <c r="AB4" s="1120" t="s">
        <v>909</v>
      </c>
      <c r="AC4" s="1122"/>
      <c r="AD4" s="1120" t="s">
        <v>910</v>
      </c>
      <c r="AE4" s="1122"/>
      <c r="AF4" s="1120" t="s">
        <v>911</v>
      </c>
      <c r="AG4" s="1122"/>
      <c r="AH4" s="1120" t="s">
        <v>912</v>
      </c>
      <c r="AI4" s="1122"/>
      <c r="AJ4" s="1120" t="s">
        <v>913</v>
      </c>
      <c r="AK4" s="1122"/>
      <c r="AL4" s="1120" t="s">
        <v>914</v>
      </c>
      <c r="AM4" s="1122"/>
      <c r="AN4" s="1120" t="s">
        <v>915</v>
      </c>
      <c r="AO4" s="1122"/>
      <c r="AP4" s="1120" t="s">
        <v>916</v>
      </c>
      <c r="AQ4" s="1122"/>
      <c r="AR4" s="2516" t="s">
        <v>917</v>
      </c>
      <c r="AS4" s="2516"/>
      <c r="AT4" s="1122"/>
      <c r="AU4" s="2516" t="s">
        <v>918</v>
      </c>
      <c r="AV4" s="2516"/>
      <c r="AW4" s="1122"/>
      <c r="AX4" s="1120" t="s">
        <v>919</v>
      </c>
      <c r="AY4" s="1122"/>
      <c r="AZ4" s="1120" t="s">
        <v>571</v>
      </c>
      <c r="BA4" s="1123"/>
      <c r="BB4" s="1124" t="s">
        <v>546</v>
      </c>
      <c r="BC4" s="1122"/>
      <c r="BD4" s="1120" t="s">
        <v>536</v>
      </c>
      <c r="BE4" s="1074"/>
      <c r="BF4" s="2516" t="s">
        <v>920</v>
      </c>
      <c r="BG4" s="2516"/>
      <c r="BH4" s="1122"/>
      <c r="BI4" s="1120" t="s">
        <v>921</v>
      </c>
      <c r="BJ4" s="1122"/>
      <c r="BK4" s="1120" t="s">
        <v>571</v>
      </c>
      <c r="BM4" s="1120" t="s">
        <v>922</v>
      </c>
      <c r="BN4" s="1125"/>
      <c r="BO4" s="1124" t="s">
        <v>923</v>
      </c>
      <c r="BP4" s="1075"/>
      <c r="BQ4" s="1124" t="s">
        <v>924</v>
      </c>
      <c r="BR4" s="1075"/>
      <c r="BS4" s="1124" t="s">
        <v>925</v>
      </c>
      <c r="BT4" s="1075"/>
      <c r="BU4" s="1124" t="s">
        <v>926</v>
      </c>
      <c r="BV4" s="1075"/>
      <c r="BW4" s="1124" t="s">
        <v>927</v>
      </c>
      <c r="BX4" s="1075"/>
      <c r="BY4" s="1124" t="s">
        <v>928</v>
      </c>
      <c r="BZ4" s="1075"/>
      <c r="CA4" s="1124" t="s">
        <v>929</v>
      </c>
      <c r="CB4" s="1075"/>
      <c r="CC4" s="1124" t="s">
        <v>930</v>
      </c>
      <c r="CD4" s="1075"/>
      <c r="CE4" s="2516" t="s">
        <v>931</v>
      </c>
      <c r="CF4" s="2516"/>
      <c r="CG4" s="1075"/>
      <c r="CH4" s="1120" t="s">
        <v>921</v>
      </c>
      <c r="CI4" s="1126"/>
      <c r="CJ4" s="1120" t="s">
        <v>571</v>
      </c>
      <c r="CK4" s="1122"/>
      <c r="CL4" s="1124" t="s">
        <v>932</v>
      </c>
      <c r="CM4" s="1125"/>
      <c r="CN4" s="1120" t="s">
        <v>933</v>
      </c>
      <c r="CO4" s="1127"/>
      <c r="CP4" s="1120" t="s">
        <v>934</v>
      </c>
      <c r="CQ4" s="1122"/>
      <c r="CR4" s="1120" t="s">
        <v>935</v>
      </c>
      <c r="CS4" s="1122"/>
      <c r="CT4" s="1120" t="s">
        <v>936</v>
      </c>
      <c r="CU4" s="1128"/>
      <c r="CV4" s="1129"/>
      <c r="CW4" s="1129"/>
      <c r="CX4" s="1130" t="s">
        <v>180</v>
      </c>
      <c r="CY4" s="1131" t="s">
        <v>879</v>
      </c>
      <c r="CZ4" s="1128"/>
      <c r="DA4" s="2517"/>
      <c r="DB4" s="2517"/>
      <c r="DC4" s="1131" t="s">
        <v>937</v>
      </c>
      <c r="DD4" s="1131" t="s">
        <v>879</v>
      </c>
      <c r="DE4" s="1122"/>
      <c r="DF4" s="2518"/>
      <c r="DG4" s="2518"/>
      <c r="DH4" s="1131" t="s">
        <v>937</v>
      </c>
      <c r="DI4" s="1131" t="s">
        <v>879</v>
      </c>
      <c r="DJ4" s="1122"/>
      <c r="DK4" s="1132" t="s">
        <v>938</v>
      </c>
      <c r="DL4" s="1132" t="s">
        <v>939</v>
      </c>
      <c r="DM4" s="1122"/>
      <c r="DN4" s="1120" t="s">
        <v>940</v>
      </c>
    </row>
    <row r="5" spans="1:118" ht="27" customHeight="1">
      <c r="A5" s="1133"/>
      <c r="B5" s="1134" t="s">
        <v>941</v>
      </c>
      <c r="C5" s="1135">
        <v>60</v>
      </c>
      <c r="D5" s="1136" t="s">
        <v>942</v>
      </c>
      <c r="F5" s="1137" t="s">
        <v>14</v>
      </c>
      <c r="G5" s="1133"/>
      <c r="H5" s="1137" t="s">
        <v>943</v>
      </c>
      <c r="I5" s="1133"/>
      <c r="J5" s="1137" t="s">
        <v>944</v>
      </c>
      <c r="L5" s="1137" t="s">
        <v>945</v>
      </c>
      <c r="M5" s="1133"/>
      <c r="N5" s="1137" t="s">
        <v>946</v>
      </c>
      <c r="O5" s="1133"/>
      <c r="P5" s="1137" t="s">
        <v>947</v>
      </c>
      <c r="R5" s="1137" t="s">
        <v>948</v>
      </c>
      <c r="T5" s="1137" t="s">
        <v>949</v>
      </c>
      <c r="V5" s="1137" t="s">
        <v>950</v>
      </c>
      <c r="X5" s="1137" t="s">
        <v>951</v>
      </c>
      <c r="Z5" s="1137" t="s">
        <v>952</v>
      </c>
      <c r="AB5" s="1137" t="s">
        <v>953</v>
      </c>
      <c r="AD5" s="1138" t="s">
        <v>954</v>
      </c>
      <c r="AF5" s="1138" t="s">
        <v>955</v>
      </c>
      <c r="AH5" s="1138" t="s">
        <v>956</v>
      </c>
      <c r="AJ5" s="1138" t="s">
        <v>957</v>
      </c>
      <c r="AL5" s="1139" t="s">
        <v>958</v>
      </c>
      <c r="AN5" s="1138" t="s">
        <v>959</v>
      </c>
      <c r="AP5" s="1138" t="s">
        <v>960</v>
      </c>
      <c r="AR5" s="2519" t="s">
        <v>961</v>
      </c>
      <c r="AS5" s="1140" t="s">
        <v>962</v>
      </c>
      <c r="AT5" s="1141"/>
      <c r="AU5" s="2531" t="s">
        <v>963</v>
      </c>
      <c r="AV5" s="1142" t="s">
        <v>964</v>
      </c>
      <c r="AX5" s="1078" t="s">
        <v>965</v>
      </c>
      <c r="AZ5" s="1078" t="s">
        <v>966</v>
      </c>
      <c r="BB5" s="1138" t="s">
        <v>967</v>
      </c>
      <c r="BC5" s="1144"/>
      <c r="BD5" s="1078" t="s">
        <v>968</v>
      </c>
      <c r="BF5" s="2520" t="s">
        <v>969</v>
      </c>
      <c r="BG5" s="1076" t="s">
        <v>970</v>
      </c>
      <c r="BI5" s="1078" t="s">
        <v>971</v>
      </c>
      <c r="BK5" s="1078" t="s">
        <v>972</v>
      </c>
      <c r="BM5" s="1078" t="s">
        <v>973</v>
      </c>
      <c r="BO5" s="1146" t="s">
        <v>974</v>
      </c>
      <c r="BQ5" s="1146" t="s">
        <v>974</v>
      </c>
      <c r="BS5" s="1146" t="s">
        <v>974</v>
      </c>
      <c r="BU5" s="1146" t="s">
        <v>974</v>
      </c>
      <c r="BW5" s="1146" t="s">
        <v>974</v>
      </c>
      <c r="BY5" s="1146" t="s">
        <v>974</v>
      </c>
      <c r="CA5" s="1146" t="s">
        <v>974</v>
      </c>
      <c r="CC5" s="1146" t="s">
        <v>974</v>
      </c>
      <c r="CE5" s="2523" t="s">
        <v>975</v>
      </c>
      <c r="CF5" s="1137" t="s">
        <v>976</v>
      </c>
      <c r="CH5" s="1078" t="s">
        <v>971</v>
      </c>
      <c r="CJ5" s="1078" t="s">
        <v>972</v>
      </c>
      <c r="CL5" s="1146" t="s">
        <v>977</v>
      </c>
      <c r="CN5" s="1078" t="s">
        <v>978</v>
      </c>
      <c r="CO5" s="1082"/>
      <c r="CP5" s="1078" t="s">
        <v>979</v>
      </c>
      <c r="CR5" s="1078" t="s">
        <v>980</v>
      </c>
      <c r="CT5" s="1078" t="s">
        <v>981</v>
      </c>
      <c r="CV5" s="1148" t="s">
        <v>982</v>
      </c>
      <c r="CW5" s="1107" t="s">
        <v>983</v>
      </c>
      <c r="CX5" s="1108" t="str">
        <f>LEFT(CV5,3)&amp;MID(CW5,2,2)</f>
        <v>[011]</v>
      </c>
      <c r="CY5" s="1110">
        <v>22</v>
      </c>
      <c r="DA5" s="2520" t="s">
        <v>984</v>
      </c>
      <c r="DB5" s="1079" t="s">
        <v>970</v>
      </c>
      <c r="DC5" s="1080" t="s">
        <v>985</v>
      </c>
      <c r="DD5" s="1149">
        <v>4</v>
      </c>
      <c r="DF5" s="1150" t="s">
        <v>986</v>
      </c>
      <c r="DG5" s="1151" t="s">
        <v>987</v>
      </c>
      <c r="DH5" s="1152" t="str">
        <f t="shared" ref="DH5:DH47" si="0">LEFT(DF5,3)&amp;MID(DG5,2,2)</f>
        <v>[016]</v>
      </c>
      <c r="DI5" s="1152">
        <v>7</v>
      </c>
      <c r="DK5" s="1151">
        <v>1</v>
      </c>
      <c r="DL5" s="1151">
        <v>1</v>
      </c>
      <c r="DN5" s="1151" t="s">
        <v>988</v>
      </c>
    </row>
    <row r="6" spans="1:118" ht="27" customHeight="1">
      <c r="A6" s="1133"/>
      <c r="B6" s="1153" t="s">
        <v>989</v>
      </c>
      <c r="C6" s="1154">
        <v>45</v>
      </c>
      <c r="D6" s="1155" t="s">
        <v>990</v>
      </c>
      <c r="F6" s="1156" t="s">
        <v>991</v>
      </c>
      <c r="G6" s="1133"/>
      <c r="H6" s="1156" t="s">
        <v>992</v>
      </c>
      <c r="I6" s="1133"/>
      <c r="J6" s="1157" t="s">
        <v>993</v>
      </c>
      <c r="L6" s="1156" t="s">
        <v>994</v>
      </c>
      <c r="M6" s="1133"/>
      <c r="N6" s="1156" t="s">
        <v>995</v>
      </c>
      <c r="O6" s="1133"/>
      <c r="P6" s="1156" t="s">
        <v>996</v>
      </c>
      <c r="R6" s="1157" t="s">
        <v>997</v>
      </c>
      <c r="T6" s="1157" t="s">
        <v>998</v>
      </c>
      <c r="V6" s="1157" t="s">
        <v>999</v>
      </c>
      <c r="X6" s="1157" t="s">
        <v>1000</v>
      </c>
      <c r="Z6" s="1157" t="s">
        <v>1001</v>
      </c>
      <c r="AB6" s="1157" t="s">
        <v>1002</v>
      </c>
      <c r="AD6" s="1158" t="s">
        <v>1003</v>
      </c>
      <c r="AF6" s="1158" t="s">
        <v>1004</v>
      </c>
      <c r="AH6" s="1158" t="s">
        <v>1005</v>
      </c>
      <c r="AJ6" s="1158" t="s">
        <v>1006</v>
      </c>
      <c r="AL6" s="1158" t="s">
        <v>1007</v>
      </c>
      <c r="AN6" s="1158" t="s">
        <v>1008</v>
      </c>
      <c r="AP6" s="1158" t="s">
        <v>1009</v>
      </c>
      <c r="AR6" s="2519"/>
      <c r="AS6" s="1159" t="s">
        <v>1010</v>
      </c>
      <c r="AT6" s="1141"/>
      <c r="AU6" s="2532"/>
      <c r="AV6" s="1160" t="s">
        <v>1011</v>
      </c>
      <c r="AX6" s="1084" t="s">
        <v>1012</v>
      </c>
      <c r="AZ6" s="1082" t="s">
        <v>1013</v>
      </c>
      <c r="BB6" s="1161" t="s">
        <v>1014</v>
      </c>
      <c r="BC6" s="1144"/>
      <c r="BD6" s="1084" t="s">
        <v>1015</v>
      </c>
      <c r="BF6" s="2521"/>
      <c r="BG6" s="1081" t="s">
        <v>1016</v>
      </c>
      <c r="BI6" s="1084" t="s">
        <v>1012</v>
      </c>
      <c r="BK6" s="1084" t="s">
        <v>1017</v>
      </c>
      <c r="BM6" s="1082" t="s">
        <v>1018</v>
      </c>
      <c r="BO6" s="1162" t="s">
        <v>1019</v>
      </c>
      <c r="BQ6" s="1162" t="s">
        <v>1019</v>
      </c>
      <c r="BS6" s="1162" t="s">
        <v>1019</v>
      </c>
      <c r="BU6" s="1162" t="s">
        <v>1019</v>
      </c>
      <c r="BW6" s="1162" t="s">
        <v>1019</v>
      </c>
      <c r="BY6" s="1162" t="s">
        <v>1019</v>
      </c>
      <c r="CA6" s="1162" t="s">
        <v>1019</v>
      </c>
      <c r="CC6" s="1162" t="s">
        <v>1019</v>
      </c>
      <c r="CE6" s="2524"/>
      <c r="CF6" s="1157" t="s">
        <v>1020</v>
      </c>
      <c r="CH6" s="1084" t="s">
        <v>1012</v>
      </c>
      <c r="CJ6" s="1084" t="s">
        <v>1017</v>
      </c>
      <c r="CL6" s="1163" t="s">
        <v>1021</v>
      </c>
      <c r="CN6" s="1084" t="s">
        <v>1022</v>
      </c>
      <c r="CO6" s="1082"/>
      <c r="CP6" s="1082" t="s">
        <v>1023</v>
      </c>
      <c r="CR6" s="1084" t="s">
        <v>1024</v>
      </c>
      <c r="CT6" s="1082" t="s">
        <v>1025</v>
      </c>
      <c r="CV6" s="1164" t="s">
        <v>982</v>
      </c>
      <c r="CW6" s="1107" t="s">
        <v>1026</v>
      </c>
      <c r="CX6" s="1108" t="str">
        <f>LEFT(CV6,3)&amp;MID(CW6,2,2)</f>
        <v>[012]</v>
      </c>
      <c r="CY6" s="1110">
        <v>22</v>
      </c>
      <c r="DA6" s="2521"/>
      <c r="DB6" s="1079" t="s">
        <v>1016</v>
      </c>
      <c r="DC6" s="1080" t="s">
        <v>1027</v>
      </c>
      <c r="DD6" s="1149">
        <v>4</v>
      </c>
      <c r="DF6" s="1150" t="s">
        <v>1028</v>
      </c>
      <c r="DG6" s="1151" t="s">
        <v>987</v>
      </c>
      <c r="DH6" s="1152" t="str">
        <f t="shared" si="0"/>
        <v>[026]</v>
      </c>
      <c r="DI6" s="1152">
        <v>7</v>
      </c>
      <c r="DK6" s="1151">
        <v>2</v>
      </c>
      <c r="DL6" s="1151">
        <v>0.5</v>
      </c>
    </row>
    <row r="7" spans="1:118" ht="27" customHeight="1">
      <c r="A7" s="1133"/>
      <c r="B7" s="1153" t="s">
        <v>1029</v>
      </c>
      <c r="C7" s="1154">
        <v>50</v>
      </c>
      <c r="D7" s="1155" t="s">
        <v>1030</v>
      </c>
      <c r="F7" s="1133"/>
      <c r="G7" s="1133"/>
      <c r="H7" s="1133"/>
      <c r="I7" s="1133"/>
      <c r="J7" s="1157" t="s">
        <v>1031</v>
      </c>
      <c r="R7" s="1156" t="s">
        <v>1032</v>
      </c>
      <c r="T7" s="1157" t="s">
        <v>1033</v>
      </c>
      <c r="V7" s="1157" t="s">
        <v>1034</v>
      </c>
      <c r="X7" s="1157" t="s">
        <v>1035</v>
      </c>
      <c r="Z7" s="1157" t="s">
        <v>1036</v>
      </c>
      <c r="AB7" s="1157" t="s">
        <v>1037</v>
      </c>
      <c r="AD7" s="1158" t="s">
        <v>1038</v>
      </c>
      <c r="AF7" s="1158" t="s">
        <v>1039</v>
      </c>
      <c r="AH7" s="1158" t="s">
        <v>1040</v>
      </c>
      <c r="AJ7" s="1158" t="s">
        <v>1041</v>
      </c>
      <c r="AL7" s="1165" t="s">
        <v>1042</v>
      </c>
      <c r="AN7" s="1158" t="s">
        <v>1043</v>
      </c>
      <c r="AP7" s="1158" t="s">
        <v>1044</v>
      </c>
      <c r="AR7" s="2519"/>
      <c r="AS7" s="1159" t="s">
        <v>1045</v>
      </c>
      <c r="AT7" s="1141"/>
      <c r="AU7" s="2532"/>
      <c r="AV7" s="1160" t="s">
        <v>1046</v>
      </c>
      <c r="AX7" s="1077"/>
      <c r="AZ7" s="1084" t="s">
        <v>1047</v>
      </c>
      <c r="BB7" s="1166"/>
      <c r="BF7" s="2522"/>
      <c r="BG7" s="1083" t="s">
        <v>1048</v>
      </c>
      <c r="BI7" s="1077"/>
      <c r="BK7" s="1077"/>
      <c r="BM7" s="1082" t="s">
        <v>1049</v>
      </c>
      <c r="BO7" s="1162" t="s">
        <v>1050</v>
      </c>
      <c r="BQ7" s="1162" t="s">
        <v>1050</v>
      </c>
      <c r="BS7" s="1162" t="s">
        <v>1050</v>
      </c>
      <c r="BU7" s="1162" t="s">
        <v>1050</v>
      </c>
      <c r="BW7" s="1162" t="s">
        <v>1050</v>
      </c>
      <c r="BY7" s="1162" t="s">
        <v>1050</v>
      </c>
      <c r="CA7" s="1162" t="s">
        <v>1050</v>
      </c>
      <c r="CC7" s="1162" t="s">
        <v>1050</v>
      </c>
      <c r="CE7" s="2525"/>
      <c r="CF7" s="1156" t="s">
        <v>1051</v>
      </c>
      <c r="CJ7" s="1112"/>
      <c r="CL7" s="1112"/>
      <c r="CN7" s="1112"/>
      <c r="CO7" s="1112"/>
      <c r="CP7" s="1082" t="s">
        <v>1052</v>
      </c>
      <c r="CT7" s="1082" t="s">
        <v>1053</v>
      </c>
      <c r="CV7" s="1164" t="s">
        <v>982</v>
      </c>
      <c r="CW7" s="1167" t="s">
        <v>1054</v>
      </c>
      <c r="CX7" s="1108" t="str">
        <f t="shared" ref="CX7:CX91" si="1">LEFT(CV7,3)&amp;MID(CW7,2,2)</f>
        <v>[013]</v>
      </c>
      <c r="CY7" s="1110">
        <v>47</v>
      </c>
      <c r="DA7" s="2522"/>
      <c r="DB7" s="1079" t="s">
        <v>1048</v>
      </c>
      <c r="DC7" s="1080" t="s">
        <v>1055</v>
      </c>
      <c r="DD7" s="1149">
        <v>5</v>
      </c>
      <c r="DF7" s="1150" t="s">
        <v>1056</v>
      </c>
      <c r="DG7" s="1151" t="s">
        <v>987</v>
      </c>
      <c r="DH7" s="1152" t="str">
        <f t="shared" si="0"/>
        <v>[036]</v>
      </c>
      <c r="DI7" s="1152">
        <v>7</v>
      </c>
      <c r="DK7" s="1151">
        <v>3</v>
      </c>
      <c r="DL7" s="1151">
        <v>0.33400000000000002</v>
      </c>
    </row>
    <row r="8" spans="1:118" ht="27" customHeight="1">
      <c r="A8" s="1133"/>
      <c r="B8" s="1153" t="s">
        <v>11</v>
      </c>
      <c r="C8" s="1154">
        <v>50</v>
      </c>
      <c r="D8" s="1155" t="s">
        <v>1057</v>
      </c>
      <c r="F8" s="1133"/>
      <c r="G8" s="1133"/>
      <c r="H8" s="1133"/>
      <c r="I8" s="1133"/>
      <c r="J8" s="1156" t="s">
        <v>1058</v>
      </c>
      <c r="T8" s="1157" t="s">
        <v>1059</v>
      </c>
      <c r="V8" s="1157" t="s">
        <v>1060</v>
      </c>
      <c r="X8" s="1157" t="s">
        <v>1061</v>
      </c>
      <c r="Z8" s="1157" t="s">
        <v>1062</v>
      </c>
      <c r="AB8" s="1157" t="s">
        <v>1063</v>
      </c>
      <c r="AD8" s="1158" t="s">
        <v>1064</v>
      </c>
      <c r="AF8" s="1158" t="s">
        <v>1065</v>
      </c>
      <c r="AH8" s="1158" t="s">
        <v>1066</v>
      </c>
      <c r="AJ8" s="1158" t="s">
        <v>1067</v>
      </c>
      <c r="AL8" s="1165" t="s">
        <v>1068</v>
      </c>
      <c r="AN8" s="1158" t="s">
        <v>1069</v>
      </c>
      <c r="AP8" s="1158" t="s">
        <v>1070</v>
      </c>
      <c r="AR8" s="2519"/>
      <c r="AS8" s="1159" t="s">
        <v>1071</v>
      </c>
      <c r="AT8" s="1141"/>
      <c r="AU8" s="2532"/>
      <c r="AV8" s="1160" t="s">
        <v>1072</v>
      </c>
      <c r="AX8" s="1077"/>
      <c r="AZ8" s="1077"/>
      <c r="BB8" s="1168"/>
      <c r="BC8" s="1077"/>
      <c r="BD8" s="1077"/>
      <c r="BF8" s="2521" t="s">
        <v>1073</v>
      </c>
      <c r="BG8" s="1081" t="s">
        <v>970</v>
      </c>
      <c r="BI8" s="1077"/>
      <c r="BK8" s="1077"/>
      <c r="BM8" s="1169" t="s">
        <v>1074</v>
      </c>
      <c r="BO8" s="1170" t="s">
        <v>1075</v>
      </c>
      <c r="BQ8" s="1170" t="s">
        <v>1075</v>
      </c>
      <c r="BS8" s="1170" t="s">
        <v>1075</v>
      </c>
      <c r="BU8" s="1170" t="s">
        <v>1075</v>
      </c>
      <c r="BW8" s="1170" t="s">
        <v>1075</v>
      </c>
      <c r="BY8" s="1170" t="s">
        <v>1075</v>
      </c>
      <c r="CA8" s="1170" t="s">
        <v>1075</v>
      </c>
      <c r="CC8" s="1170" t="s">
        <v>1075</v>
      </c>
      <c r="CE8" s="2523" t="s">
        <v>1076</v>
      </c>
      <c r="CF8" s="1137" t="s">
        <v>1077</v>
      </c>
      <c r="CJ8" s="1112"/>
      <c r="CL8" s="1112"/>
      <c r="CN8" s="1112"/>
      <c r="CO8" s="1112"/>
      <c r="CP8" s="1084" t="s">
        <v>1078</v>
      </c>
      <c r="CR8" s="1141"/>
      <c r="CS8" s="1141"/>
      <c r="CT8" s="1082" t="s">
        <v>1079</v>
      </c>
      <c r="CV8" s="1164" t="s">
        <v>982</v>
      </c>
      <c r="CW8" s="1167" t="s">
        <v>1072</v>
      </c>
      <c r="CX8" s="1108" t="str">
        <f t="shared" si="1"/>
        <v>[014]</v>
      </c>
      <c r="CY8" s="1080">
        <v>38</v>
      </c>
      <c r="DA8" s="2521" t="s">
        <v>1080</v>
      </c>
      <c r="DB8" s="1079" t="s">
        <v>970</v>
      </c>
      <c r="DC8" s="1080" t="s">
        <v>1081</v>
      </c>
      <c r="DD8" s="1149">
        <v>4</v>
      </c>
      <c r="DF8" s="1171" t="s">
        <v>1082</v>
      </c>
      <c r="DG8" s="1150" t="s">
        <v>1083</v>
      </c>
      <c r="DH8" s="1152" t="str">
        <f t="shared" si="0"/>
        <v>[041]</v>
      </c>
      <c r="DI8" s="1152">
        <v>7</v>
      </c>
      <c r="DK8" s="1151">
        <v>4</v>
      </c>
      <c r="DL8" s="1151">
        <v>0.25</v>
      </c>
    </row>
    <row r="9" spans="1:118" ht="27" customHeight="1">
      <c r="A9" s="1133"/>
      <c r="B9" s="1153" t="s">
        <v>1084</v>
      </c>
      <c r="C9" s="1154">
        <v>60</v>
      </c>
      <c r="D9" s="1155" t="s">
        <v>1085</v>
      </c>
      <c r="T9" s="1157" t="s">
        <v>1086</v>
      </c>
      <c r="V9" s="1157" t="s">
        <v>1087</v>
      </c>
      <c r="X9" s="1157" t="s">
        <v>1088</v>
      </c>
      <c r="Z9" s="1157" t="s">
        <v>1089</v>
      </c>
      <c r="AB9" s="1157" t="s">
        <v>1090</v>
      </c>
      <c r="AD9" s="1158" t="s">
        <v>1091</v>
      </c>
      <c r="AF9" s="1158" t="s">
        <v>1092</v>
      </c>
      <c r="AH9" s="1158" t="s">
        <v>1093</v>
      </c>
      <c r="AJ9" s="1158" t="s">
        <v>1094</v>
      </c>
      <c r="AL9" s="1158" t="s">
        <v>1095</v>
      </c>
      <c r="AN9" s="1158" t="s">
        <v>1096</v>
      </c>
      <c r="AP9" s="1158" t="s">
        <v>1097</v>
      </c>
      <c r="AR9" s="2519"/>
      <c r="AS9" s="1159" t="s">
        <v>1098</v>
      </c>
      <c r="AT9" s="1141"/>
      <c r="AU9" s="2532"/>
      <c r="AV9" s="1089" t="s">
        <v>1123</v>
      </c>
      <c r="AX9" s="1112"/>
      <c r="AZ9" s="1077"/>
      <c r="BB9" s="1168"/>
      <c r="BC9" s="1112"/>
      <c r="BD9" s="1112"/>
      <c r="BF9" s="2521"/>
      <c r="BG9" s="1081" t="s">
        <v>1099</v>
      </c>
      <c r="BI9" s="1077"/>
      <c r="BK9" s="1077"/>
      <c r="BM9" s="1169" t="s">
        <v>1100</v>
      </c>
      <c r="BO9" s="1170" t="s">
        <v>1101</v>
      </c>
      <c r="BQ9" s="1170" t="s">
        <v>1101</v>
      </c>
      <c r="BS9" s="1170" t="s">
        <v>1101</v>
      </c>
      <c r="BU9" s="1170" t="s">
        <v>1102</v>
      </c>
      <c r="BW9" s="1170" t="s">
        <v>1101</v>
      </c>
      <c r="BY9" s="1170" t="s">
        <v>1101</v>
      </c>
      <c r="CA9" s="1170" t="s">
        <v>1101</v>
      </c>
      <c r="CC9" s="1170" t="s">
        <v>1101</v>
      </c>
      <c r="CE9" s="2524"/>
      <c r="CF9" s="1157" t="s">
        <v>1103</v>
      </c>
      <c r="CL9" s="1112"/>
      <c r="CN9" s="1112"/>
      <c r="CO9" s="1112"/>
      <c r="CP9" s="1112"/>
      <c r="CR9" s="1172"/>
      <c r="CS9" s="1141"/>
      <c r="CT9" s="1084" t="s">
        <v>1104</v>
      </c>
      <c r="CV9" s="1164" t="s">
        <v>982</v>
      </c>
      <c r="CW9" s="1107" t="s">
        <v>1105</v>
      </c>
      <c r="CX9" s="1108" t="str">
        <f t="shared" si="1"/>
        <v>[015]</v>
      </c>
      <c r="CY9" s="1085">
        <v>19</v>
      </c>
      <c r="DA9" s="2521"/>
      <c r="DB9" s="1079" t="s">
        <v>1099</v>
      </c>
      <c r="DC9" s="1080" t="s">
        <v>1106</v>
      </c>
      <c r="DD9" s="1149">
        <v>6</v>
      </c>
      <c r="DF9" s="1173" t="s">
        <v>1082</v>
      </c>
      <c r="DG9" s="1150" t="s">
        <v>1107</v>
      </c>
      <c r="DH9" s="1152" t="str">
        <f t="shared" si="0"/>
        <v>[042]</v>
      </c>
      <c r="DI9" s="1152">
        <v>7</v>
      </c>
      <c r="DK9" s="1151">
        <v>5</v>
      </c>
      <c r="DL9" s="1151">
        <v>0.2</v>
      </c>
    </row>
    <row r="10" spans="1:118" ht="27" customHeight="1">
      <c r="A10" s="1133"/>
      <c r="B10" s="1153" t="s">
        <v>1108</v>
      </c>
      <c r="C10" s="1154">
        <v>60</v>
      </c>
      <c r="D10" s="1155" t="s">
        <v>1109</v>
      </c>
      <c r="T10" s="1086" t="s">
        <v>1110</v>
      </c>
      <c r="V10" s="1086" t="s">
        <v>1111</v>
      </c>
      <c r="X10" s="1086" t="s">
        <v>1112</v>
      </c>
      <c r="Z10" s="1086" t="s">
        <v>1113</v>
      </c>
      <c r="AB10" s="1086" t="s">
        <v>1114</v>
      </c>
      <c r="AD10" s="1086" t="s">
        <v>1115</v>
      </c>
      <c r="AF10" s="1086" t="s">
        <v>1116</v>
      </c>
      <c r="AH10" s="1086" t="s">
        <v>1117</v>
      </c>
      <c r="AJ10" s="1086" t="s">
        <v>1118</v>
      </c>
      <c r="AL10" s="1158" t="s">
        <v>1119</v>
      </c>
      <c r="AN10" s="1086" t="s">
        <v>1120</v>
      </c>
      <c r="AP10" s="1087" t="s">
        <v>1121</v>
      </c>
      <c r="AQ10" s="1077"/>
      <c r="AR10" s="2519"/>
      <c r="AS10" s="1088" t="s">
        <v>1122</v>
      </c>
      <c r="AT10" s="1141"/>
      <c r="AU10" s="2532"/>
      <c r="AV10" s="1089" t="s">
        <v>1147</v>
      </c>
      <c r="AX10" s="1077"/>
      <c r="AZ10" s="1077"/>
      <c r="BB10" s="1168"/>
      <c r="BC10" s="1077"/>
      <c r="BD10" s="1077"/>
      <c r="BF10" s="2522"/>
      <c r="BG10" s="1083" t="s">
        <v>1124</v>
      </c>
      <c r="BI10" s="1077"/>
      <c r="BK10" s="1077"/>
      <c r="BM10" s="1169" t="s">
        <v>1125</v>
      </c>
      <c r="BO10" s="1170" t="s">
        <v>1126</v>
      </c>
      <c r="BQ10" s="1170" t="s">
        <v>1126</v>
      </c>
      <c r="BS10" s="1170" t="s">
        <v>1126</v>
      </c>
      <c r="BU10" s="1170" t="s">
        <v>1126</v>
      </c>
      <c r="BW10" s="1170" t="s">
        <v>1126</v>
      </c>
      <c r="BY10" s="1170" t="s">
        <v>1126</v>
      </c>
      <c r="CA10" s="1170" t="s">
        <v>1102</v>
      </c>
      <c r="CC10" s="1170" t="s">
        <v>1127</v>
      </c>
      <c r="CE10" s="2525"/>
      <c r="CF10" s="1156" t="s">
        <v>1128</v>
      </c>
      <c r="CR10" s="1172"/>
      <c r="CS10" s="1141"/>
      <c r="CV10" s="1164" t="s">
        <v>982</v>
      </c>
      <c r="CW10" s="1167" t="s">
        <v>1129</v>
      </c>
      <c r="CX10" s="1108" t="str">
        <f t="shared" si="1"/>
        <v>[016]</v>
      </c>
      <c r="CY10" s="1080">
        <v>20</v>
      </c>
      <c r="DA10" s="2522"/>
      <c r="DB10" s="1079" t="s">
        <v>1124</v>
      </c>
      <c r="DC10" s="1080" t="s">
        <v>1130</v>
      </c>
      <c r="DD10" s="1149">
        <v>3</v>
      </c>
      <c r="DF10" s="1174" t="s">
        <v>1082</v>
      </c>
      <c r="DG10" s="1150" t="s">
        <v>1131</v>
      </c>
      <c r="DH10" s="1152" t="str">
        <f t="shared" si="0"/>
        <v>[043]</v>
      </c>
      <c r="DI10" s="1152">
        <v>7</v>
      </c>
      <c r="DK10" s="1151">
        <v>6</v>
      </c>
      <c r="DL10" s="1151">
        <v>0.16700000000000001</v>
      </c>
    </row>
    <row r="11" spans="1:118" ht="27" customHeight="1">
      <c r="A11" s="1133"/>
      <c r="B11" s="1153" t="s">
        <v>1132</v>
      </c>
      <c r="C11" s="1154">
        <v>60</v>
      </c>
      <c r="D11" s="1155" t="s">
        <v>1133</v>
      </c>
      <c r="T11" s="1086" t="s">
        <v>1134</v>
      </c>
      <c r="V11" s="1086" t="s">
        <v>1135</v>
      </c>
      <c r="X11" s="1086" t="s">
        <v>1136</v>
      </c>
      <c r="Z11" s="1086" t="s">
        <v>1137</v>
      </c>
      <c r="AB11" s="1086" t="s">
        <v>1138</v>
      </c>
      <c r="AD11" s="1086" t="s">
        <v>1139</v>
      </c>
      <c r="AF11" s="1086" t="s">
        <v>1140</v>
      </c>
      <c r="AH11" s="1086" t="s">
        <v>1141</v>
      </c>
      <c r="AJ11" s="1086" t="s">
        <v>1142</v>
      </c>
      <c r="AL11" s="1158" t="s">
        <v>1143</v>
      </c>
      <c r="AN11" s="1086" t="s">
        <v>1144</v>
      </c>
      <c r="AP11" s="1086" t="s">
        <v>1145</v>
      </c>
      <c r="AQ11" s="1077"/>
      <c r="AR11" s="2519"/>
      <c r="AS11" s="1088" t="s">
        <v>1146</v>
      </c>
      <c r="AT11" s="1141"/>
      <c r="AU11" s="2532"/>
      <c r="AV11" s="1160" t="s">
        <v>1384</v>
      </c>
      <c r="AX11" s="1077"/>
      <c r="AZ11" s="1077"/>
      <c r="BB11" s="1168"/>
      <c r="BC11" s="1077"/>
      <c r="BD11" s="1077"/>
      <c r="BF11" s="1077"/>
      <c r="BG11" s="1077"/>
      <c r="BI11" s="1077"/>
      <c r="BK11" s="1077"/>
      <c r="BM11" s="1169" t="s">
        <v>1148</v>
      </c>
      <c r="BO11" s="1170" t="s">
        <v>1149</v>
      </c>
      <c r="BQ11" s="1170" t="s">
        <v>1149</v>
      </c>
      <c r="BS11" s="1170" t="s">
        <v>1149</v>
      </c>
      <c r="BU11" s="1170" t="s">
        <v>1149</v>
      </c>
      <c r="BW11" s="1170" t="s">
        <v>1149</v>
      </c>
      <c r="BY11" s="1170" t="s">
        <v>1149</v>
      </c>
      <c r="CA11" s="1170" t="s">
        <v>1126</v>
      </c>
      <c r="CC11" s="1170" t="s">
        <v>1126</v>
      </c>
      <c r="CE11" s="2523" t="s">
        <v>1150</v>
      </c>
      <c r="CF11" s="1137" t="s">
        <v>1151</v>
      </c>
      <c r="CV11" s="1164" t="s">
        <v>1152</v>
      </c>
      <c r="CW11" s="1167" t="s">
        <v>1153</v>
      </c>
      <c r="CX11" s="1108" t="str">
        <f t="shared" si="1"/>
        <v>[018]</v>
      </c>
      <c r="CY11" s="1085">
        <v>34</v>
      </c>
      <c r="DF11" s="1150" t="s">
        <v>1390</v>
      </c>
      <c r="DG11" s="1151" t="s">
        <v>987</v>
      </c>
      <c r="DH11" s="1152" t="str">
        <f t="shared" si="0"/>
        <v>[086]</v>
      </c>
      <c r="DI11" s="1152">
        <v>7</v>
      </c>
      <c r="DK11" s="1151">
        <v>7</v>
      </c>
      <c r="DL11" s="1151">
        <v>0.14299999999999999</v>
      </c>
    </row>
    <row r="12" spans="1:118" ht="27" customHeight="1">
      <c r="A12" s="1133"/>
      <c r="B12" s="1153" t="s">
        <v>1154</v>
      </c>
      <c r="C12" s="1154">
        <v>60</v>
      </c>
      <c r="D12" s="1155" t="s">
        <v>1155</v>
      </c>
      <c r="T12" s="1086" t="s">
        <v>1156</v>
      </c>
      <c r="V12" s="1086" t="s">
        <v>1157</v>
      </c>
      <c r="X12" s="1086" t="s">
        <v>1158</v>
      </c>
      <c r="Z12" s="1086" t="s">
        <v>1159</v>
      </c>
      <c r="AB12" s="1086" t="s">
        <v>1160</v>
      </c>
      <c r="AD12" s="1086" t="s">
        <v>1161</v>
      </c>
      <c r="AF12" s="1086" t="s">
        <v>1162</v>
      </c>
      <c r="AH12" s="1086" t="s">
        <v>1163</v>
      </c>
      <c r="AJ12" s="1086" t="s">
        <v>1164</v>
      </c>
      <c r="AL12" s="1158" t="s">
        <v>1165</v>
      </c>
      <c r="AN12" s="1086" t="s">
        <v>1166</v>
      </c>
      <c r="AP12" s="1086" t="s">
        <v>1167</v>
      </c>
      <c r="AQ12" s="1077"/>
      <c r="AR12" s="2519"/>
      <c r="AS12" s="1090" t="s">
        <v>1168</v>
      </c>
      <c r="AT12" s="1141"/>
      <c r="AU12" s="2532"/>
      <c r="AV12" s="1089" t="s">
        <v>1385</v>
      </c>
      <c r="AX12" s="1077"/>
      <c r="AZ12" s="1077"/>
      <c r="BC12" s="1077"/>
      <c r="BD12" s="1077"/>
      <c r="BF12" s="1077"/>
      <c r="BG12" s="1077"/>
      <c r="BI12" s="1077"/>
      <c r="BK12" s="1077"/>
      <c r="BM12" s="1169" t="s">
        <v>1170</v>
      </c>
      <c r="BO12" s="1170" t="s">
        <v>1171</v>
      </c>
      <c r="BQ12" s="1170" t="s">
        <v>1171</v>
      </c>
      <c r="BS12" s="1170" t="s">
        <v>1171</v>
      </c>
      <c r="BU12" s="1170" t="s">
        <v>1171</v>
      </c>
      <c r="BW12" s="1170" t="s">
        <v>1171</v>
      </c>
      <c r="BY12" s="1170" t="s">
        <v>1171</v>
      </c>
      <c r="CA12" s="1170" t="s">
        <v>1149</v>
      </c>
      <c r="CC12" s="1170" t="s">
        <v>1149</v>
      </c>
      <c r="CE12" s="2525"/>
      <c r="CF12" s="1156" t="s">
        <v>1172</v>
      </c>
      <c r="CV12" s="1164" t="s">
        <v>1152</v>
      </c>
      <c r="CW12" s="1175" t="s">
        <v>1387</v>
      </c>
      <c r="CX12" s="1176" t="str">
        <f t="shared" si="1"/>
        <v>[019]</v>
      </c>
      <c r="CY12" s="1177">
        <v>19</v>
      </c>
      <c r="DF12" s="1150" t="s">
        <v>1391</v>
      </c>
      <c r="DG12" s="1151" t="s">
        <v>987</v>
      </c>
      <c r="DH12" s="1152" t="str">
        <f t="shared" si="0"/>
        <v>[096]</v>
      </c>
      <c r="DI12" s="1152">
        <v>7</v>
      </c>
      <c r="DK12" s="1151">
        <v>8</v>
      </c>
      <c r="DL12" s="1151">
        <v>0.125</v>
      </c>
    </row>
    <row r="13" spans="1:118" ht="27" customHeight="1">
      <c r="A13" s="1133"/>
      <c r="B13" s="1153" t="s">
        <v>1173</v>
      </c>
      <c r="C13" s="1154">
        <v>100</v>
      </c>
      <c r="D13" s="1155" t="s">
        <v>1174</v>
      </c>
      <c r="T13" s="1086" t="s">
        <v>1175</v>
      </c>
      <c r="V13" s="1086" t="s">
        <v>1176</v>
      </c>
      <c r="X13" s="1086" t="s">
        <v>1177</v>
      </c>
      <c r="Z13" s="1086" t="s">
        <v>1178</v>
      </c>
      <c r="AB13" s="1086" t="s">
        <v>1179</v>
      </c>
      <c r="AD13" s="1086" t="s">
        <v>1180</v>
      </c>
      <c r="AF13" s="1086" t="s">
        <v>1181</v>
      </c>
      <c r="AH13" s="1158" t="s">
        <v>1119</v>
      </c>
      <c r="AJ13" s="1086" t="s">
        <v>1182</v>
      </c>
      <c r="AL13" s="1158" t="s">
        <v>1183</v>
      </c>
      <c r="AN13" s="1086" t="s">
        <v>1184</v>
      </c>
      <c r="AP13" s="1086" t="s">
        <v>1185</v>
      </c>
      <c r="AQ13" s="1077"/>
      <c r="AR13" s="2528" t="s">
        <v>1186</v>
      </c>
      <c r="AS13" s="1091" t="s">
        <v>1187</v>
      </c>
      <c r="AU13" s="2533"/>
      <c r="AV13" s="1178" t="s">
        <v>1386</v>
      </c>
      <c r="AX13" s="1077"/>
      <c r="BF13" s="1077"/>
      <c r="BG13" s="1077"/>
      <c r="BI13" s="1077"/>
      <c r="BK13" s="1077"/>
      <c r="BM13" s="1169" t="s">
        <v>1188</v>
      </c>
      <c r="BO13" s="1170" t="s">
        <v>1189</v>
      </c>
      <c r="BQ13" s="1170" t="s">
        <v>1189</v>
      </c>
      <c r="BS13" s="1170" t="s">
        <v>1189</v>
      </c>
      <c r="BU13" s="1170" t="s">
        <v>1190</v>
      </c>
      <c r="BW13" s="1170" t="s">
        <v>1191</v>
      </c>
      <c r="BY13" s="1170" t="s">
        <v>1189</v>
      </c>
      <c r="CA13" s="1170" t="s">
        <v>1171</v>
      </c>
      <c r="CC13" s="1170" t="s">
        <v>1171</v>
      </c>
      <c r="CE13" s="2523" t="s">
        <v>1192</v>
      </c>
      <c r="CF13" s="1157" t="s">
        <v>1193</v>
      </c>
      <c r="CV13" s="1164" t="s">
        <v>1152</v>
      </c>
      <c r="CW13" s="1175" t="s">
        <v>1388</v>
      </c>
      <c r="CX13" s="1176" t="str">
        <f>LEFT(CV13,3)&amp;MID(CW13,2,3)</f>
        <v>[0110]</v>
      </c>
      <c r="CY13" s="1177">
        <v>27</v>
      </c>
      <c r="DF13" s="1150" t="s">
        <v>1392</v>
      </c>
      <c r="DG13" s="1151" t="s">
        <v>987</v>
      </c>
      <c r="DH13" s="1152" t="str">
        <f t="shared" si="0"/>
        <v>[106]</v>
      </c>
      <c r="DI13" s="1152">
        <v>7</v>
      </c>
      <c r="DK13" s="1151">
        <v>9</v>
      </c>
      <c r="DL13" s="1151">
        <v>0.112</v>
      </c>
    </row>
    <row r="14" spans="1:118" ht="27" customHeight="1">
      <c r="A14" s="1133"/>
      <c r="B14" s="1153" t="s">
        <v>1194</v>
      </c>
      <c r="C14" s="1154">
        <v>100</v>
      </c>
      <c r="D14" s="1155" t="s">
        <v>1195</v>
      </c>
      <c r="T14" s="1086" t="s">
        <v>1196</v>
      </c>
      <c r="V14" s="1086" t="s">
        <v>1197</v>
      </c>
      <c r="X14" s="1086" t="s">
        <v>1198</v>
      </c>
      <c r="Z14" s="1086" t="s">
        <v>1199</v>
      </c>
      <c r="AB14" s="1086" t="s">
        <v>1200</v>
      </c>
      <c r="AD14" s="1086" t="s">
        <v>1201</v>
      </c>
      <c r="AF14" s="1086" t="s">
        <v>1202</v>
      </c>
      <c r="AH14" s="1158" t="s">
        <v>1143</v>
      </c>
      <c r="AJ14" s="1086" t="s">
        <v>1203</v>
      </c>
      <c r="AL14" s="1161" t="s">
        <v>1204</v>
      </c>
      <c r="AN14" s="1086" t="s">
        <v>1205</v>
      </c>
      <c r="AP14" s="1087" t="s">
        <v>1206</v>
      </c>
      <c r="AQ14" s="1077"/>
      <c r="AR14" s="2528"/>
      <c r="AS14" s="1092" t="s">
        <v>1207</v>
      </c>
      <c r="AU14" s="2531" t="s">
        <v>1169</v>
      </c>
      <c r="AV14" s="1142" t="s">
        <v>964</v>
      </c>
      <c r="AX14" s="1077"/>
      <c r="BF14" s="1077"/>
      <c r="BG14" s="1077"/>
      <c r="BI14" s="1077"/>
      <c r="BK14" s="1077"/>
      <c r="BM14" s="1169" t="s">
        <v>1208</v>
      </c>
      <c r="BO14" s="1170" t="s">
        <v>1209</v>
      </c>
      <c r="BQ14" s="1170" t="s">
        <v>1209</v>
      </c>
      <c r="BS14" s="1170" t="s">
        <v>1209</v>
      </c>
      <c r="BU14" s="1170" t="s">
        <v>1210</v>
      </c>
      <c r="BW14" s="1170" t="s">
        <v>1210</v>
      </c>
      <c r="BY14" s="1170" t="s">
        <v>1209</v>
      </c>
      <c r="CA14" s="1170" t="s">
        <v>1211</v>
      </c>
      <c r="CC14" s="1170" t="s">
        <v>1212</v>
      </c>
      <c r="CE14" s="2525"/>
      <c r="CF14" s="1156" t="s">
        <v>1213</v>
      </c>
      <c r="CV14" s="1179" t="s">
        <v>982</v>
      </c>
      <c r="CW14" s="1175" t="s">
        <v>1389</v>
      </c>
      <c r="CX14" s="1176" t="str">
        <f>LEFT(CV14,3)&amp;MID(CW14,2,3)</f>
        <v>[0111]</v>
      </c>
      <c r="CY14" s="1177">
        <v>34</v>
      </c>
      <c r="DF14" s="1150" t="s">
        <v>1214</v>
      </c>
      <c r="DG14" s="1151" t="s">
        <v>987</v>
      </c>
      <c r="DH14" s="1152" t="str">
        <f t="shared" si="0"/>
        <v>[126]</v>
      </c>
      <c r="DI14" s="1152">
        <v>7</v>
      </c>
      <c r="DK14" s="1151">
        <v>10</v>
      </c>
      <c r="DL14" s="1151">
        <v>0.1</v>
      </c>
    </row>
    <row r="15" spans="1:118" ht="27" customHeight="1">
      <c r="A15" s="1133"/>
      <c r="B15" s="1153" t="s">
        <v>1215</v>
      </c>
      <c r="C15" s="1154">
        <v>1000</v>
      </c>
      <c r="D15" s="1155" t="s">
        <v>1216</v>
      </c>
      <c r="T15" s="1086" t="s">
        <v>1217</v>
      </c>
      <c r="V15" s="1086" t="s">
        <v>1218</v>
      </c>
      <c r="X15" s="1086" t="s">
        <v>1219</v>
      </c>
      <c r="Z15" s="1086" t="s">
        <v>1219</v>
      </c>
      <c r="AB15" s="1086" t="s">
        <v>1219</v>
      </c>
      <c r="AD15" s="1158" t="s">
        <v>1119</v>
      </c>
      <c r="AF15" s="1158" t="s">
        <v>1119</v>
      </c>
      <c r="AH15" s="1158" t="s">
        <v>1165</v>
      </c>
      <c r="AJ15" s="1086" t="s">
        <v>1220</v>
      </c>
      <c r="AL15" s="1112"/>
      <c r="AN15" s="1086" t="s">
        <v>1221</v>
      </c>
      <c r="AP15" s="1086" t="s">
        <v>1222</v>
      </c>
      <c r="AQ15" s="1077"/>
      <c r="AR15" s="2528"/>
      <c r="AS15" s="1092" t="s">
        <v>1223</v>
      </c>
      <c r="AU15" s="2532"/>
      <c r="AV15" s="1160" t="s">
        <v>1011</v>
      </c>
      <c r="AX15" s="1077"/>
      <c r="BF15" s="1077"/>
      <c r="BG15" s="1077"/>
      <c r="BI15" s="1077"/>
      <c r="BM15" s="1169" t="s">
        <v>1224</v>
      </c>
      <c r="BO15" s="1170" t="s">
        <v>1225</v>
      </c>
      <c r="BQ15" s="1170" t="s">
        <v>1226</v>
      </c>
      <c r="BS15" s="1170" t="s">
        <v>1227</v>
      </c>
      <c r="BU15" s="1170" t="s">
        <v>1228</v>
      </c>
      <c r="BW15" s="1170" t="s">
        <v>1228</v>
      </c>
      <c r="BY15" s="1170" t="s">
        <v>1229</v>
      </c>
      <c r="CA15" s="1170" t="s">
        <v>1210</v>
      </c>
      <c r="CC15" s="1170" t="s">
        <v>1230</v>
      </c>
      <c r="CE15" s="2523" t="s">
        <v>1231</v>
      </c>
      <c r="CF15" s="1093" t="s">
        <v>1232</v>
      </c>
      <c r="CV15" s="1148" t="s">
        <v>1010</v>
      </c>
      <c r="CW15" s="1109" t="s">
        <v>983</v>
      </c>
      <c r="CX15" s="1108" t="str">
        <f t="shared" si="1"/>
        <v>[021]</v>
      </c>
      <c r="CY15" s="1110">
        <v>24</v>
      </c>
      <c r="DF15" s="1171" t="s">
        <v>1233</v>
      </c>
      <c r="DG15" s="1151" t="s">
        <v>1234</v>
      </c>
      <c r="DH15" s="1152" t="str">
        <f t="shared" si="0"/>
        <v>[131]</v>
      </c>
      <c r="DI15" s="1152">
        <v>7</v>
      </c>
      <c r="DK15" s="1151">
        <v>11</v>
      </c>
      <c r="DL15" s="1151">
        <v>9.0999999999999998E-2</v>
      </c>
    </row>
    <row r="16" spans="1:118" ht="27" customHeight="1">
      <c r="A16" s="1133"/>
      <c r="B16" s="1180" t="s">
        <v>1235</v>
      </c>
      <c r="C16" s="1181">
        <v>1000</v>
      </c>
      <c r="D16" s="1182" t="s">
        <v>1236</v>
      </c>
      <c r="T16" s="1086" t="s">
        <v>1237</v>
      </c>
      <c r="V16" s="1086" t="s">
        <v>1238</v>
      </c>
      <c r="X16" s="1086" t="s">
        <v>1239</v>
      </c>
      <c r="Z16" s="1086" t="s">
        <v>1239</v>
      </c>
      <c r="AB16" s="1086" t="s">
        <v>1239</v>
      </c>
      <c r="AD16" s="1158" t="s">
        <v>1143</v>
      </c>
      <c r="AF16" s="1158" t="s">
        <v>1143</v>
      </c>
      <c r="AH16" s="1158" t="s">
        <v>1183</v>
      </c>
      <c r="AJ16" s="1086" t="s">
        <v>1240</v>
      </c>
      <c r="AL16" s="1112"/>
      <c r="AN16" s="1086" t="s">
        <v>1241</v>
      </c>
      <c r="AP16" s="1086" t="s">
        <v>1242</v>
      </c>
      <c r="AR16" s="2528"/>
      <c r="AS16" s="1183" t="s">
        <v>1243</v>
      </c>
      <c r="AU16" s="2532"/>
      <c r="AV16" s="1160" t="s">
        <v>1046</v>
      </c>
      <c r="AX16" s="1077"/>
      <c r="AZ16" s="1077"/>
      <c r="BC16" s="1077"/>
      <c r="BD16" s="1077"/>
      <c r="BE16" s="1077"/>
      <c r="BF16" s="1077"/>
      <c r="BG16" s="1077"/>
      <c r="BH16" s="1077"/>
      <c r="BI16" s="1077"/>
      <c r="BJ16" s="1077"/>
      <c r="BK16" s="1077"/>
      <c r="BM16" s="1169" t="s">
        <v>1244</v>
      </c>
      <c r="BO16" s="1170" t="s">
        <v>1245</v>
      </c>
      <c r="BQ16" s="1170" t="s">
        <v>1225</v>
      </c>
      <c r="BS16" s="1170" t="s">
        <v>1225</v>
      </c>
      <c r="BU16" s="1170" t="s">
        <v>1246</v>
      </c>
      <c r="BW16" s="1170" t="s">
        <v>1246</v>
      </c>
      <c r="BY16" s="1170" t="s">
        <v>1225</v>
      </c>
      <c r="CA16" s="1170" t="s">
        <v>1228</v>
      </c>
      <c r="CC16" s="1170" t="s">
        <v>1210</v>
      </c>
      <c r="CE16" s="2529"/>
      <c r="CF16" s="1086" t="s">
        <v>1247</v>
      </c>
      <c r="CM16" s="1077"/>
      <c r="CV16" s="1164" t="s">
        <v>1010</v>
      </c>
      <c r="CW16" s="1109" t="s">
        <v>1026</v>
      </c>
      <c r="CX16" s="1108" t="str">
        <f t="shared" si="1"/>
        <v>[022]</v>
      </c>
      <c r="CY16" s="1110">
        <v>24</v>
      </c>
      <c r="DF16" s="1173" t="s">
        <v>1233</v>
      </c>
      <c r="DG16" s="1151" t="s">
        <v>1248</v>
      </c>
      <c r="DH16" s="1152" t="str">
        <f t="shared" si="0"/>
        <v>[132]</v>
      </c>
      <c r="DI16" s="1152">
        <v>7</v>
      </c>
      <c r="DK16" s="1151">
        <v>12</v>
      </c>
      <c r="DL16" s="1151">
        <v>8.4000000000000005E-2</v>
      </c>
    </row>
    <row r="17" spans="2:116" ht="27" customHeight="1">
      <c r="T17" s="1086" t="s">
        <v>1249</v>
      </c>
      <c r="V17" s="1086" t="s">
        <v>1250</v>
      </c>
      <c r="X17" s="1086" t="s">
        <v>1251</v>
      </c>
      <c r="Z17" s="1086" t="s">
        <v>1251</v>
      </c>
      <c r="AB17" s="1086" t="s">
        <v>1251</v>
      </c>
      <c r="AD17" s="1158" t="s">
        <v>1165</v>
      </c>
      <c r="AF17" s="1158" t="s">
        <v>1165</v>
      </c>
      <c r="AH17" s="1161" t="s">
        <v>1204</v>
      </c>
      <c r="AJ17" s="1158" t="s">
        <v>1119</v>
      </c>
      <c r="AL17" s="1112"/>
      <c r="AN17" s="1158" t="s">
        <v>1119</v>
      </c>
      <c r="AP17" s="1087" t="s">
        <v>1252</v>
      </c>
      <c r="AR17" s="2528"/>
      <c r="AS17" s="1183" t="s">
        <v>1253</v>
      </c>
      <c r="AU17" s="2532"/>
      <c r="AV17" s="1160" t="s">
        <v>1072</v>
      </c>
      <c r="AZ17" s="1077"/>
      <c r="BC17" s="1077"/>
      <c r="BD17" s="1077"/>
      <c r="BE17" s="1077"/>
      <c r="BF17" s="1077"/>
      <c r="BG17" s="1077"/>
      <c r="BH17" s="1077"/>
      <c r="BI17" s="1077"/>
      <c r="BJ17" s="1077"/>
      <c r="BK17" s="1077"/>
      <c r="BM17" s="1169" t="s">
        <v>1254</v>
      </c>
      <c r="BO17" s="1170" t="s">
        <v>1210</v>
      </c>
      <c r="BQ17" s="1170" t="s">
        <v>1245</v>
      </c>
      <c r="BS17" s="1170" t="s">
        <v>1245</v>
      </c>
      <c r="BU17" s="1184" t="s">
        <v>1255</v>
      </c>
      <c r="BW17" s="1184" t="s">
        <v>1255</v>
      </c>
      <c r="BY17" s="1170" t="s">
        <v>1245</v>
      </c>
      <c r="CA17" s="1170" t="s">
        <v>1246</v>
      </c>
      <c r="CC17" s="1170" t="s">
        <v>1228</v>
      </c>
      <c r="CE17" s="2529"/>
      <c r="CF17" s="1157" t="s">
        <v>1256</v>
      </c>
      <c r="CM17" s="1077"/>
      <c r="CV17" s="1164" t="s">
        <v>1010</v>
      </c>
      <c r="CW17" s="1185" t="s">
        <v>1054</v>
      </c>
      <c r="CX17" s="1108" t="str">
        <f t="shared" si="1"/>
        <v>[023]</v>
      </c>
      <c r="CY17" s="1110">
        <v>50</v>
      </c>
      <c r="DF17" s="1174" t="s">
        <v>1233</v>
      </c>
      <c r="DG17" s="1151" t="s">
        <v>1257</v>
      </c>
      <c r="DH17" s="1152" t="str">
        <f t="shared" si="0"/>
        <v>[133]</v>
      </c>
      <c r="DI17" s="1152">
        <v>7</v>
      </c>
      <c r="DK17" s="1151">
        <v>13</v>
      </c>
      <c r="DL17" s="1151">
        <v>7.6999999999999999E-2</v>
      </c>
    </row>
    <row r="18" spans="2:116" ht="27" customHeight="1">
      <c r="B18" s="1133"/>
      <c r="C18" s="1121" t="s">
        <v>10</v>
      </c>
      <c r="T18" s="1086" t="s">
        <v>1258</v>
      </c>
      <c r="V18" s="1086" t="s">
        <v>1259</v>
      </c>
      <c r="X18" s="1086" t="s">
        <v>1260</v>
      </c>
      <c r="Z18" s="1086" t="s">
        <v>1260</v>
      </c>
      <c r="AB18" s="1086" t="s">
        <v>1260</v>
      </c>
      <c r="AD18" s="1158" t="s">
        <v>1183</v>
      </c>
      <c r="AF18" s="1158" t="s">
        <v>1183</v>
      </c>
      <c r="AH18" s="1112"/>
      <c r="AJ18" s="1158" t="s">
        <v>1143</v>
      </c>
      <c r="AL18" s="1112"/>
      <c r="AN18" s="1158" t="s">
        <v>1143</v>
      </c>
      <c r="AP18" s="1158" t="s">
        <v>1119</v>
      </c>
      <c r="AR18" s="2528"/>
      <c r="AS18" s="1183" t="s">
        <v>1261</v>
      </c>
      <c r="AU18" s="2532"/>
      <c r="AV18" s="1089" t="s">
        <v>1123</v>
      </c>
      <c r="AZ18" s="1077"/>
      <c r="BC18" s="1077"/>
      <c r="BD18" s="1077"/>
      <c r="BE18" s="1077"/>
      <c r="BF18" s="1077"/>
      <c r="BG18" s="1077"/>
      <c r="BH18" s="1077"/>
      <c r="BI18" s="1077"/>
      <c r="BJ18" s="1077"/>
      <c r="BK18" s="1077"/>
      <c r="BM18" s="1169" t="s">
        <v>1262</v>
      </c>
      <c r="BN18" s="1077"/>
      <c r="BO18" s="1170" t="s">
        <v>1228</v>
      </c>
      <c r="BQ18" s="1170" t="s">
        <v>1210</v>
      </c>
      <c r="BS18" s="1170" t="s">
        <v>1210</v>
      </c>
      <c r="BU18" s="1112"/>
      <c r="BW18" s="1112"/>
      <c r="BY18" s="1170" t="s">
        <v>1210</v>
      </c>
      <c r="CA18" s="1184" t="s">
        <v>1255</v>
      </c>
      <c r="CC18" s="1170" t="s">
        <v>1246</v>
      </c>
      <c r="CE18" s="2529"/>
      <c r="CF18" s="1157" t="s">
        <v>1263</v>
      </c>
      <c r="CM18" s="1077"/>
      <c r="CV18" s="1164" t="s">
        <v>1010</v>
      </c>
      <c r="CW18" s="1185" t="s">
        <v>1072</v>
      </c>
      <c r="CX18" s="1108" t="str">
        <f t="shared" si="1"/>
        <v>[024]</v>
      </c>
      <c r="CY18" s="1085">
        <v>41</v>
      </c>
      <c r="DF18" s="1150" t="s">
        <v>1393</v>
      </c>
      <c r="DG18" s="1151" t="s">
        <v>987</v>
      </c>
      <c r="DH18" s="1152" t="str">
        <f t="shared" si="0"/>
        <v>[146]</v>
      </c>
      <c r="DI18" s="1152">
        <v>7</v>
      </c>
      <c r="DK18" s="1151">
        <v>14</v>
      </c>
      <c r="DL18" s="1151">
        <v>7.1999999999999995E-2</v>
      </c>
    </row>
    <row r="19" spans="2:116" ht="27" customHeight="1">
      <c r="B19" s="1133"/>
      <c r="C19" s="1186" t="str">
        <f>指標部入力!B12</f>
        <v>[78]六条大麦</v>
      </c>
      <c r="T19" s="1086" t="s">
        <v>1264</v>
      </c>
      <c r="V19" s="1086" t="s">
        <v>1265</v>
      </c>
      <c r="X19" s="1094" t="s">
        <v>1266</v>
      </c>
      <c r="Z19" s="1094" t="s">
        <v>1266</v>
      </c>
      <c r="AB19" s="1094" t="s">
        <v>1266</v>
      </c>
      <c r="AD19" s="1161" t="s">
        <v>1204</v>
      </c>
      <c r="AF19" s="1161" t="s">
        <v>1204</v>
      </c>
      <c r="AH19" s="1112"/>
      <c r="AJ19" s="1158" t="s">
        <v>1165</v>
      </c>
      <c r="AL19" s="1112"/>
      <c r="AN19" s="1158" t="s">
        <v>1165</v>
      </c>
      <c r="AP19" s="1158" t="s">
        <v>1143</v>
      </c>
      <c r="AR19" s="2528"/>
      <c r="AS19" s="1183" t="s">
        <v>1267</v>
      </c>
      <c r="AU19" s="2532"/>
      <c r="AV19" s="1089" t="s">
        <v>1147</v>
      </c>
      <c r="BF19" s="1077"/>
      <c r="BG19" s="1077"/>
      <c r="BH19" s="1077"/>
      <c r="BI19" s="1077"/>
      <c r="BJ19" s="1077"/>
      <c r="BK19" s="1077"/>
      <c r="BM19" s="1169" t="s">
        <v>1269</v>
      </c>
      <c r="BN19" s="1077"/>
      <c r="BO19" s="1170" t="s">
        <v>1246</v>
      </c>
      <c r="BQ19" s="1170" t="s">
        <v>1228</v>
      </c>
      <c r="BS19" s="1170" t="s">
        <v>1228</v>
      </c>
      <c r="BU19" s="1112"/>
      <c r="BW19" s="1112"/>
      <c r="BY19" s="1170" t="s">
        <v>1228</v>
      </c>
      <c r="CA19" s="1112"/>
      <c r="CC19" s="1184" t="s">
        <v>1255</v>
      </c>
      <c r="CE19" s="2530"/>
      <c r="CF19" s="1156" t="s">
        <v>1270</v>
      </c>
      <c r="CM19" s="1077"/>
      <c r="CV19" s="1164" t="s">
        <v>1010</v>
      </c>
      <c r="CW19" s="1109" t="s">
        <v>1105</v>
      </c>
      <c r="CX19" s="1108" t="str">
        <f t="shared" si="1"/>
        <v>[025]</v>
      </c>
      <c r="CY19" s="1085">
        <v>22</v>
      </c>
      <c r="DF19" s="1150" t="s">
        <v>1271</v>
      </c>
      <c r="DG19" s="1151" t="s">
        <v>987</v>
      </c>
      <c r="DH19" s="1152" t="str">
        <f t="shared" si="0"/>
        <v>[156]</v>
      </c>
      <c r="DI19" s="1152">
        <v>7</v>
      </c>
      <c r="DK19" s="1151">
        <v>15</v>
      </c>
      <c r="DL19" s="1151">
        <v>6.7000000000000004E-2</v>
      </c>
    </row>
    <row r="20" spans="2:116" ht="27" customHeight="1" thickBot="1">
      <c r="B20" s="1133"/>
      <c r="C20" s="1133"/>
      <c r="T20" s="1086" t="s">
        <v>1272</v>
      </c>
      <c r="V20" s="1086" t="s">
        <v>1273</v>
      </c>
      <c r="X20" s="1095"/>
      <c r="Y20" s="1144"/>
      <c r="Z20" s="1095"/>
      <c r="AA20" s="1144"/>
      <c r="AB20" s="1095"/>
      <c r="AD20" s="1096"/>
      <c r="AF20" s="1112"/>
      <c r="AG20" s="1112"/>
      <c r="AH20" s="1112"/>
      <c r="AI20" s="1112"/>
      <c r="AJ20" s="1158" t="s">
        <v>1183</v>
      </c>
      <c r="AK20" s="1112"/>
      <c r="AL20" s="1112"/>
      <c r="AM20" s="1112"/>
      <c r="AN20" s="1158" t="s">
        <v>1183</v>
      </c>
      <c r="AO20" s="1112"/>
      <c r="AP20" s="1158" t="s">
        <v>1165</v>
      </c>
      <c r="AR20" s="2528"/>
      <c r="AS20" s="1187" t="s">
        <v>1274</v>
      </c>
      <c r="AU20" s="2532"/>
      <c r="AV20" s="1160" t="s">
        <v>1384</v>
      </c>
      <c r="BF20" s="1077"/>
      <c r="BG20" s="1077"/>
      <c r="BH20" s="1077"/>
      <c r="BI20" s="1077"/>
      <c r="BJ20" s="1077"/>
      <c r="BK20" s="1077"/>
      <c r="BM20" s="1169" t="s">
        <v>1275</v>
      </c>
      <c r="BN20" s="1077"/>
      <c r="BO20" s="1184" t="s">
        <v>1255</v>
      </c>
      <c r="BQ20" s="1170" t="s">
        <v>1246</v>
      </c>
      <c r="BS20" s="1170" t="s">
        <v>1246</v>
      </c>
      <c r="BU20" s="1077"/>
      <c r="BW20" s="1077"/>
      <c r="BY20" s="1170" t="s">
        <v>1246</v>
      </c>
      <c r="CA20" s="1112"/>
      <c r="CC20" s="1112"/>
      <c r="CE20" s="1188" t="s">
        <v>973</v>
      </c>
      <c r="CF20" s="1156" t="s">
        <v>987</v>
      </c>
      <c r="CM20" s="1077"/>
      <c r="CV20" s="1164" t="s">
        <v>1010</v>
      </c>
      <c r="CW20" s="1185" t="s">
        <v>1129</v>
      </c>
      <c r="CX20" s="1108" t="str">
        <f t="shared" si="1"/>
        <v>[026]</v>
      </c>
      <c r="CY20" s="1085">
        <v>22</v>
      </c>
      <c r="DF20" s="1150" t="s">
        <v>1394</v>
      </c>
      <c r="DG20" s="1151" t="s">
        <v>987</v>
      </c>
      <c r="DH20" s="1152" t="str">
        <f t="shared" si="0"/>
        <v>[166]</v>
      </c>
      <c r="DI20" s="1152">
        <v>7</v>
      </c>
      <c r="DK20" s="1151">
        <v>16</v>
      </c>
      <c r="DL20" s="1151">
        <v>6.3E-2</v>
      </c>
    </row>
    <row r="21" spans="2:116" ht="27" customHeight="1" thickBot="1">
      <c r="B21" s="1189" t="s">
        <v>1276</v>
      </c>
      <c r="C21" s="1190" t="str">
        <f>DGET(B4:D16,"名称",C18:C19)</f>
        <v>六条大麦</v>
      </c>
      <c r="T21" s="1086" t="s">
        <v>1277</v>
      </c>
      <c r="V21" s="1086" t="s">
        <v>1278</v>
      </c>
      <c r="X21" s="1095"/>
      <c r="Y21" s="1144"/>
      <c r="Z21" s="1095"/>
      <c r="AA21" s="1144"/>
      <c r="AB21" s="1095"/>
      <c r="AD21" s="1095"/>
      <c r="AF21" s="1112"/>
      <c r="AG21" s="1112"/>
      <c r="AH21" s="1112"/>
      <c r="AI21" s="1112"/>
      <c r="AJ21" s="1161" t="s">
        <v>1204</v>
      </c>
      <c r="AK21" s="1112"/>
      <c r="AL21" s="1112"/>
      <c r="AM21" s="1112"/>
      <c r="AN21" s="1161" t="s">
        <v>1204</v>
      </c>
      <c r="AO21" s="1112"/>
      <c r="AP21" s="1158" t="s">
        <v>1183</v>
      </c>
      <c r="AU21" s="2532"/>
      <c r="AV21" s="1089" t="s">
        <v>1385</v>
      </c>
      <c r="BM21" s="1169" t="s">
        <v>1279</v>
      </c>
      <c r="BO21" s="1112"/>
      <c r="BQ21" s="1184" t="s">
        <v>1255</v>
      </c>
      <c r="BS21" s="1184" t="s">
        <v>1255</v>
      </c>
      <c r="BU21" s="1077"/>
      <c r="BW21" s="1077"/>
      <c r="BY21" s="1184" t="s">
        <v>1255</v>
      </c>
      <c r="CA21" s="1077"/>
      <c r="CC21" s="1112"/>
      <c r="CE21" s="1191" t="s">
        <v>1018</v>
      </c>
      <c r="CF21" s="1156" t="s">
        <v>987</v>
      </c>
      <c r="CV21" s="1164" t="s">
        <v>1010</v>
      </c>
      <c r="CW21" s="1167" t="s">
        <v>1153</v>
      </c>
      <c r="CX21" s="1108" t="str">
        <f t="shared" si="1"/>
        <v>[028]</v>
      </c>
      <c r="CY21" s="1085">
        <v>38</v>
      </c>
      <c r="DF21" s="1150" t="s">
        <v>1280</v>
      </c>
      <c r="DG21" s="1151" t="s">
        <v>987</v>
      </c>
      <c r="DH21" s="1152" t="str">
        <f t="shared" si="0"/>
        <v>[176]</v>
      </c>
      <c r="DI21" s="1152">
        <v>7</v>
      </c>
      <c r="DK21" s="1151">
        <v>17</v>
      </c>
      <c r="DL21" s="1151">
        <v>5.9000000000000004E-2</v>
      </c>
    </row>
    <row r="22" spans="2:116" ht="27" customHeight="1" thickBot="1">
      <c r="T22" s="1086" t="s">
        <v>1281</v>
      </c>
      <c r="V22" s="1086" t="s">
        <v>1282</v>
      </c>
      <c r="X22" s="1095"/>
      <c r="Y22" s="1144"/>
      <c r="Z22" s="1095"/>
      <c r="AA22" s="1144"/>
      <c r="AB22" s="1095"/>
      <c r="AD22" s="1095"/>
      <c r="AF22" s="1112"/>
      <c r="AG22" s="1112"/>
      <c r="AH22" s="1112"/>
      <c r="AI22" s="1112"/>
      <c r="AJ22" s="1112"/>
      <c r="AK22" s="1112"/>
      <c r="AL22" s="1112"/>
      <c r="AM22" s="1112"/>
      <c r="AN22" s="1112"/>
      <c r="AO22" s="1112"/>
      <c r="AP22" s="1161" t="s">
        <v>1204</v>
      </c>
      <c r="AU22" s="2533"/>
      <c r="AV22" s="1178" t="s">
        <v>1386</v>
      </c>
      <c r="BM22" s="1192" t="s">
        <v>1283</v>
      </c>
      <c r="BO22" s="1112"/>
      <c r="BQ22" s="1112"/>
      <c r="BS22" s="1112"/>
      <c r="BU22" s="1077"/>
      <c r="BW22" s="1077"/>
      <c r="BY22" s="1112"/>
      <c r="CA22" s="1077"/>
      <c r="CC22" s="1077"/>
      <c r="CE22" s="1191" t="s">
        <v>1049</v>
      </c>
      <c r="CF22" s="1156" t="s">
        <v>987</v>
      </c>
      <c r="CV22" s="1164" t="s">
        <v>1010</v>
      </c>
      <c r="CW22" s="1175" t="s">
        <v>1387</v>
      </c>
      <c r="CX22" s="1176" t="str">
        <f t="shared" si="1"/>
        <v>[029]</v>
      </c>
      <c r="CY22" s="1177">
        <v>22</v>
      </c>
      <c r="DF22" s="1150" t="s">
        <v>1284</v>
      </c>
      <c r="DG22" s="1151" t="s">
        <v>987</v>
      </c>
      <c r="DH22" s="1152" t="str">
        <f t="shared" si="0"/>
        <v>[186]</v>
      </c>
      <c r="DI22" s="1152">
        <v>7</v>
      </c>
      <c r="DK22" s="1151">
        <v>18</v>
      </c>
      <c r="DL22" s="1151">
        <v>5.6000000000000001E-2</v>
      </c>
    </row>
    <row r="23" spans="2:116" ht="27" customHeight="1" thickBot="1">
      <c r="B23" s="1189" t="s">
        <v>1285</v>
      </c>
      <c r="C23" s="1193">
        <f>DGET(リスト!B4:C16,"単位数量",リスト!C18:C19)</f>
        <v>50</v>
      </c>
      <c r="T23" s="1086" t="s">
        <v>1286</v>
      </c>
      <c r="V23" s="1086" t="s">
        <v>1287</v>
      </c>
      <c r="X23" s="1095"/>
      <c r="Y23" s="1144"/>
      <c r="Z23" s="1095"/>
      <c r="AA23" s="1144"/>
      <c r="AB23" s="1095"/>
      <c r="AD23" s="1095"/>
      <c r="AF23" s="1112"/>
      <c r="AG23" s="1112"/>
      <c r="AH23" s="1112"/>
      <c r="AI23" s="1112"/>
      <c r="AJ23" s="1112"/>
      <c r="AK23" s="1112"/>
      <c r="AL23" s="1112"/>
      <c r="AM23" s="1112"/>
      <c r="AN23" s="1112"/>
      <c r="AO23" s="1112"/>
      <c r="AP23" s="1112"/>
      <c r="AU23" s="2531" t="s">
        <v>1268</v>
      </c>
      <c r="AV23" s="1142" t="s">
        <v>964</v>
      </c>
      <c r="BM23" s="1077"/>
      <c r="BO23" s="1077"/>
      <c r="BQ23" s="1112"/>
      <c r="BS23" s="1112"/>
      <c r="BU23" s="1077"/>
      <c r="BW23" s="1077"/>
      <c r="BY23" s="1112"/>
      <c r="CA23" s="1077"/>
      <c r="CC23" s="1077"/>
      <c r="CE23" s="1101" t="s">
        <v>1288</v>
      </c>
      <c r="CF23" s="1102" t="s">
        <v>987</v>
      </c>
      <c r="CV23" s="1164" t="s">
        <v>1010</v>
      </c>
      <c r="CW23" s="1175" t="s">
        <v>1388</v>
      </c>
      <c r="CX23" s="1176" t="str">
        <f>LEFT(CV23,3)&amp;MID(CW23,2,3)</f>
        <v>[0210]</v>
      </c>
      <c r="CY23" s="1177">
        <v>30</v>
      </c>
      <c r="DF23" s="1150" t="s">
        <v>1289</v>
      </c>
      <c r="DG23" s="1151" t="s">
        <v>987</v>
      </c>
      <c r="DH23" s="1152" t="str">
        <f t="shared" si="0"/>
        <v>[196]</v>
      </c>
      <c r="DI23" s="1152">
        <v>7</v>
      </c>
      <c r="DK23" s="1151">
        <v>19</v>
      </c>
      <c r="DL23" s="1151">
        <v>5.2999999999999999E-2</v>
      </c>
    </row>
    <row r="24" spans="2:116" ht="27" customHeight="1">
      <c r="T24" s="1086" t="s">
        <v>1290</v>
      </c>
      <c r="V24" s="1086" t="s">
        <v>1291</v>
      </c>
      <c r="X24" s="1095"/>
      <c r="Y24" s="1144"/>
      <c r="Z24" s="1095"/>
      <c r="AA24" s="1144"/>
      <c r="AB24" s="1095"/>
      <c r="AD24" s="1095"/>
      <c r="AF24" s="1112"/>
      <c r="AG24" s="1112"/>
      <c r="AH24" s="1112"/>
      <c r="AI24" s="1112"/>
      <c r="AJ24" s="1112"/>
      <c r="AK24" s="1112"/>
      <c r="AL24" s="1112"/>
      <c r="AM24" s="1112"/>
      <c r="AN24" s="1112"/>
      <c r="AO24" s="1112"/>
      <c r="AP24" s="1112"/>
      <c r="AU24" s="2532"/>
      <c r="AV24" s="1160" t="s">
        <v>1011</v>
      </c>
      <c r="BM24" s="1077"/>
      <c r="BO24" s="1077"/>
      <c r="BQ24" s="1077"/>
      <c r="BS24" s="1077"/>
      <c r="BU24" s="1077"/>
      <c r="BW24" s="1077"/>
      <c r="BY24" s="1077"/>
      <c r="CA24" s="1077"/>
      <c r="CC24" s="1077"/>
      <c r="CE24" s="1101" t="s">
        <v>1292</v>
      </c>
      <c r="CF24" s="1102" t="s">
        <v>987</v>
      </c>
      <c r="CV24" s="1179" t="s">
        <v>1010</v>
      </c>
      <c r="CW24" s="1175" t="s">
        <v>1389</v>
      </c>
      <c r="CX24" s="1176" t="str">
        <f>LEFT(CV24,3)&amp;MID(CW24,2,3)</f>
        <v>[0211]</v>
      </c>
      <c r="CY24" s="1177">
        <v>38</v>
      </c>
      <c r="DF24" s="1171" t="s">
        <v>1293</v>
      </c>
      <c r="DG24" s="1151" t="s">
        <v>1294</v>
      </c>
      <c r="DH24" s="1152" t="str">
        <f t="shared" si="0"/>
        <v>[201]</v>
      </c>
      <c r="DI24" s="1152">
        <v>7</v>
      </c>
      <c r="DK24" s="1151">
        <v>20</v>
      </c>
      <c r="DL24" s="1151">
        <v>0.05</v>
      </c>
    </row>
    <row r="25" spans="2:116" ht="27" customHeight="1">
      <c r="T25" s="1157" t="s">
        <v>1295</v>
      </c>
      <c r="V25" s="1157" t="s">
        <v>1296</v>
      </c>
      <c r="X25" s="1194"/>
      <c r="Y25" s="1144"/>
      <c r="Z25" s="1194"/>
      <c r="AA25" s="1144"/>
      <c r="AB25" s="1194"/>
      <c r="AD25" s="1194"/>
      <c r="AF25" s="1112"/>
      <c r="AG25" s="1112"/>
      <c r="AH25" s="1112"/>
      <c r="AI25" s="1112"/>
      <c r="AJ25" s="1112"/>
      <c r="AK25" s="1112"/>
      <c r="AL25" s="1112"/>
      <c r="AM25" s="1112"/>
      <c r="AN25" s="1112"/>
      <c r="AO25" s="1112"/>
      <c r="AP25" s="1112"/>
      <c r="AU25" s="2532"/>
      <c r="AV25" s="1160" t="s">
        <v>1046</v>
      </c>
      <c r="BM25" s="1077"/>
      <c r="BO25" s="1077"/>
      <c r="BQ25" s="1077"/>
      <c r="BS25" s="1077"/>
      <c r="BU25" s="1077"/>
      <c r="BW25" s="1077"/>
      <c r="BY25" s="1077"/>
      <c r="CA25" s="1077"/>
      <c r="CC25" s="1077"/>
      <c r="CE25" s="1101" t="s">
        <v>1297</v>
      </c>
      <c r="CF25" s="1102" t="s">
        <v>987</v>
      </c>
      <c r="CV25" s="1148" t="s">
        <v>1045</v>
      </c>
      <c r="CW25" s="1109" t="s">
        <v>983</v>
      </c>
      <c r="CX25" s="1110" t="str">
        <f t="shared" si="1"/>
        <v>[031]</v>
      </c>
      <c r="CY25" s="1110">
        <v>15</v>
      </c>
      <c r="DF25" s="1174" t="s">
        <v>1293</v>
      </c>
      <c r="DG25" s="1151" t="s">
        <v>1298</v>
      </c>
      <c r="DH25" s="1152" t="str">
        <f t="shared" si="0"/>
        <v>[202]</v>
      </c>
      <c r="DI25" s="1152">
        <v>7</v>
      </c>
      <c r="DK25" s="1151">
        <v>21</v>
      </c>
      <c r="DL25" s="1151">
        <v>4.8000000000000001E-2</v>
      </c>
    </row>
    <row r="26" spans="2:116" ht="27" customHeight="1">
      <c r="T26" s="1157" t="s">
        <v>1299</v>
      </c>
      <c r="V26" s="1157" t="s">
        <v>1300</v>
      </c>
      <c r="X26" s="1194"/>
      <c r="Y26" s="1144"/>
      <c r="Z26" s="1194"/>
      <c r="AA26" s="1144"/>
      <c r="AB26" s="1194"/>
      <c r="AD26" s="1194"/>
      <c r="AF26" s="1112"/>
      <c r="AG26" s="1112"/>
      <c r="AH26" s="1112"/>
      <c r="AI26" s="1112"/>
      <c r="AJ26" s="1112"/>
      <c r="AK26" s="1112"/>
      <c r="AL26" s="1112"/>
      <c r="AM26" s="1112"/>
      <c r="AN26" s="1112"/>
      <c r="AO26" s="1112"/>
      <c r="AP26" s="1112"/>
      <c r="AU26" s="2532"/>
      <c r="AV26" s="1160" t="s">
        <v>1072</v>
      </c>
      <c r="BA26" s="1077"/>
      <c r="BM26" s="1077"/>
      <c r="BO26" s="1077"/>
      <c r="BP26" s="1077"/>
      <c r="BQ26" s="1077"/>
      <c r="BR26" s="1077"/>
      <c r="BS26" s="1077"/>
      <c r="BT26" s="1077"/>
      <c r="BU26" s="1077"/>
      <c r="BV26" s="1077"/>
      <c r="BW26" s="1077"/>
      <c r="BX26" s="1077"/>
      <c r="BY26" s="1077"/>
      <c r="BZ26" s="1077"/>
      <c r="CA26" s="1077"/>
      <c r="CB26" s="1077"/>
      <c r="CC26" s="1077"/>
      <c r="CE26" s="1195" t="s">
        <v>1100</v>
      </c>
      <c r="CF26" s="1156" t="s">
        <v>987</v>
      </c>
      <c r="CG26" s="1077"/>
      <c r="CH26" s="1077"/>
      <c r="CJ26" s="1077"/>
      <c r="CK26" s="1077"/>
      <c r="CL26" s="1077"/>
      <c r="CN26" s="1077"/>
      <c r="CO26" s="1077"/>
      <c r="CP26" s="1077"/>
      <c r="CQ26" s="1077"/>
      <c r="CR26" s="1077"/>
      <c r="CS26" s="1077"/>
      <c r="CV26" s="1164" t="s">
        <v>1045</v>
      </c>
      <c r="CW26" s="1109" t="s">
        <v>1026</v>
      </c>
      <c r="CX26" s="1110" t="str">
        <f t="shared" si="1"/>
        <v>[032]</v>
      </c>
      <c r="CY26" s="1110">
        <v>15</v>
      </c>
      <c r="DB26" s="1077"/>
      <c r="DC26" s="1077"/>
      <c r="DD26" s="1077"/>
      <c r="DE26" s="1077"/>
      <c r="DF26" s="1150" t="s">
        <v>1302</v>
      </c>
      <c r="DG26" s="1151" t="s">
        <v>987</v>
      </c>
      <c r="DH26" s="1152" t="str">
        <f t="shared" si="0"/>
        <v>[216]</v>
      </c>
      <c r="DI26" s="1152">
        <v>7</v>
      </c>
      <c r="DK26" s="1151">
        <v>22</v>
      </c>
      <c r="DL26" s="1151">
        <v>4.5999999999999999E-2</v>
      </c>
    </row>
    <row r="27" spans="2:116" ht="27" customHeight="1">
      <c r="T27" s="1157" t="s">
        <v>1303</v>
      </c>
      <c r="V27" s="1157" t="s">
        <v>1219</v>
      </c>
      <c r="X27" s="1194"/>
      <c r="Y27" s="1144"/>
      <c r="Z27" s="1194"/>
      <c r="AA27" s="1144"/>
      <c r="AB27" s="1194"/>
      <c r="AD27" s="1194"/>
      <c r="AF27" s="1112"/>
      <c r="AG27" s="1112"/>
      <c r="AH27" s="1112"/>
      <c r="AI27" s="1112"/>
      <c r="AJ27" s="1112"/>
      <c r="AK27" s="1112"/>
      <c r="AL27" s="1112"/>
      <c r="AM27" s="1112"/>
      <c r="AN27" s="1112"/>
      <c r="AO27" s="1112"/>
      <c r="AP27" s="1112"/>
      <c r="AU27" s="2532"/>
      <c r="AV27" s="1089" t="s">
        <v>1123</v>
      </c>
      <c r="BA27" s="1077"/>
      <c r="BM27" s="1077"/>
      <c r="BO27" s="1077"/>
      <c r="BP27" s="1077"/>
      <c r="BQ27" s="1077"/>
      <c r="BR27" s="1077"/>
      <c r="BS27" s="1077"/>
      <c r="BT27" s="1077"/>
      <c r="BU27" s="1077"/>
      <c r="BV27" s="1077"/>
      <c r="BW27" s="1077"/>
      <c r="BX27" s="1077"/>
      <c r="BY27" s="1077"/>
      <c r="BZ27" s="1077"/>
      <c r="CA27" s="1077"/>
      <c r="CB27" s="1077"/>
      <c r="CC27" s="1077"/>
      <c r="CE27" s="1196" t="s">
        <v>1102</v>
      </c>
      <c r="CF27" s="1161" t="s">
        <v>987</v>
      </c>
      <c r="CG27" s="1077"/>
      <c r="CH27" s="1077"/>
      <c r="CJ27" s="1077"/>
      <c r="CK27" s="1077"/>
      <c r="CL27" s="1077"/>
      <c r="CN27" s="1077"/>
      <c r="CO27" s="1077"/>
      <c r="CP27" s="1077"/>
      <c r="CQ27" s="1077"/>
      <c r="CR27" s="1077"/>
      <c r="CS27" s="1077"/>
      <c r="CV27" s="1164" t="s">
        <v>1045</v>
      </c>
      <c r="CW27" s="1185" t="s">
        <v>1054</v>
      </c>
      <c r="CX27" s="1110" t="str">
        <f t="shared" si="1"/>
        <v>[033]</v>
      </c>
      <c r="CY27" s="1110">
        <v>38</v>
      </c>
      <c r="DB27" s="1077"/>
      <c r="DC27" s="1077"/>
      <c r="DD27" s="1077"/>
      <c r="DE27" s="1077"/>
      <c r="DF27" s="1150" t="s">
        <v>1395</v>
      </c>
      <c r="DG27" s="1151" t="s">
        <v>987</v>
      </c>
      <c r="DH27" s="1152" t="str">
        <f t="shared" si="0"/>
        <v>[226]</v>
      </c>
      <c r="DI27" s="1152">
        <v>7</v>
      </c>
      <c r="DK27" s="1151">
        <v>23</v>
      </c>
      <c r="DL27" s="1151">
        <v>4.3999999999999997E-2</v>
      </c>
    </row>
    <row r="28" spans="2:116" ht="27" customHeight="1">
      <c r="T28" s="1157" t="s">
        <v>1304</v>
      </c>
      <c r="V28" s="1157" t="s">
        <v>1239</v>
      </c>
      <c r="X28" s="1194"/>
      <c r="Y28" s="1144"/>
      <c r="Z28" s="1194"/>
      <c r="AA28" s="1144"/>
      <c r="AB28" s="1194"/>
      <c r="AD28" s="1194"/>
      <c r="AF28" s="1112"/>
      <c r="AG28" s="1112"/>
      <c r="AH28" s="1112"/>
      <c r="AI28" s="1112"/>
      <c r="AJ28" s="1112"/>
      <c r="AK28" s="1112"/>
      <c r="AL28" s="1112"/>
      <c r="AM28" s="1112"/>
      <c r="AN28" s="1112"/>
      <c r="AO28" s="1112"/>
      <c r="AP28" s="1112"/>
      <c r="AU28" s="2532"/>
      <c r="AV28" s="1089" t="s">
        <v>1147</v>
      </c>
      <c r="BA28" s="1077"/>
      <c r="BM28" s="1077"/>
      <c r="BO28" s="1077"/>
      <c r="BP28" s="1077"/>
      <c r="BQ28" s="1077"/>
      <c r="BR28" s="1077"/>
      <c r="BS28" s="1077"/>
      <c r="BT28" s="1077"/>
      <c r="BU28" s="1077"/>
      <c r="BV28" s="1077"/>
      <c r="BW28" s="1077"/>
      <c r="BX28" s="1077"/>
      <c r="BY28" s="1077"/>
      <c r="BZ28" s="1077"/>
      <c r="CA28" s="1077"/>
      <c r="CB28" s="1077"/>
      <c r="CC28" s="1077"/>
      <c r="CE28" s="1195" t="s">
        <v>1148</v>
      </c>
      <c r="CF28" s="1156" t="s">
        <v>987</v>
      </c>
      <c r="CG28" s="1077"/>
      <c r="CH28" s="1077"/>
      <c r="CJ28" s="1077"/>
      <c r="CK28" s="1077"/>
      <c r="CL28" s="1077"/>
      <c r="CN28" s="1077"/>
      <c r="CO28" s="1077"/>
      <c r="CP28" s="1077"/>
      <c r="CQ28" s="1077"/>
      <c r="CR28" s="1077"/>
      <c r="CS28" s="1077"/>
      <c r="CV28" s="1164" t="s">
        <v>1045</v>
      </c>
      <c r="CW28" s="1185" t="s">
        <v>1072</v>
      </c>
      <c r="CX28" s="1110" t="str">
        <f t="shared" si="1"/>
        <v>[034]</v>
      </c>
      <c r="CY28" s="1085">
        <v>34</v>
      </c>
      <c r="DB28" s="1077"/>
      <c r="DC28" s="1077"/>
      <c r="DD28" s="1077"/>
      <c r="DE28" s="1077"/>
      <c r="DF28" s="1150" t="s">
        <v>1305</v>
      </c>
      <c r="DG28" s="1151" t="s">
        <v>987</v>
      </c>
      <c r="DH28" s="1152" t="str">
        <f t="shared" si="0"/>
        <v>[236]</v>
      </c>
      <c r="DI28" s="1152">
        <v>7</v>
      </c>
      <c r="DK28" s="1151">
        <v>24</v>
      </c>
      <c r="DL28" s="1151">
        <v>4.2000000000000003E-2</v>
      </c>
    </row>
    <row r="29" spans="2:116" ht="27" customHeight="1">
      <c r="T29" s="1157" t="s">
        <v>1306</v>
      </c>
      <c r="V29" s="1157" t="s">
        <v>1251</v>
      </c>
      <c r="X29" s="1194"/>
      <c r="Y29" s="1144"/>
      <c r="Z29" s="1194"/>
      <c r="AA29" s="1144"/>
      <c r="AB29" s="1194"/>
      <c r="AD29" s="1194"/>
      <c r="AF29" s="1112"/>
      <c r="AG29" s="1112"/>
      <c r="AH29" s="1112"/>
      <c r="AI29" s="1112"/>
      <c r="AJ29" s="1112"/>
      <c r="AK29" s="1112"/>
      <c r="AL29" s="1112"/>
      <c r="AM29" s="1112"/>
      <c r="AN29" s="1112"/>
      <c r="AO29" s="1112"/>
      <c r="AP29" s="1112"/>
      <c r="AU29" s="2532"/>
      <c r="AV29" s="1160" t="s">
        <v>1384</v>
      </c>
      <c r="BA29" s="1077"/>
      <c r="BM29" s="1077"/>
      <c r="BO29" s="1077"/>
      <c r="BP29" s="1077"/>
      <c r="BQ29" s="1077"/>
      <c r="BR29" s="1077"/>
      <c r="BS29" s="1077"/>
      <c r="BT29" s="1077"/>
      <c r="BU29" s="1077"/>
      <c r="BV29" s="1077"/>
      <c r="BW29" s="1077"/>
      <c r="BX29" s="1077"/>
      <c r="BY29" s="1077"/>
      <c r="BZ29" s="1077"/>
      <c r="CA29" s="1077"/>
      <c r="CB29" s="1077"/>
      <c r="CC29" s="1077"/>
      <c r="CE29" s="1101" t="s">
        <v>1307</v>
      </c>
      <c r="CF29" s="1161" t="s">
        <v>987</v>
      </c>
      <c r="CG29" s="1077"/>
      <c r="CH29" s="1077"/>
      <c r="CJ29" s="1077"/>
      <c r="CK29" s="1077"/>
      <c r="CL29" s="1077"/>
      <c r="CN29" s="1077"/>
      <c r="CO29" s="1077"/>
      <c r="CP29" s="1077"/>
      <c r="CQ29" s="1077"/>
      <c r="CR29" s="1077"/>
      <c r="CS29" s="1077"/>
      <c r="CV29" s="1164" t="s">
        <v>1045</v>
      </c>
      <c r="CW29" s="1109" t="s">
        <v>1105</v>
      </c>
      <c r="CX29" s="1110" t="str">
        <f t="shared" si="1"/>
        <v>[035]</v>
      </c>
      <c r="CY29" s="1085">
        <v>17</v>
      </c>
      <c r="DB29" s="1077"/>
      <c r="DC29" s="1077"/>
      <c r="DD29" s="1077"/>
      <c r="DE29" s="1077"/>
      <c r="DF29" s="1150" t="s">
        <v>1396</v>
      </c>
      <c r="DG29" s="1151" t="s">
        <v>987</v>
      </c>
      <c r="DH29" s="1152" t="str">
        <f t="shared" si="0"/>
        <v>[246]</v>
      </c>
      <c r="DI29" s="1152">
        <v>7</v>
      </c>
      <c r="DK29" s="1151">
        <v>25</v>
      </c>
      <c r="DL29" s="1151">
        <v>0.04</v>
      </c>
    </row>
    <row r="30" spans="2:116" ht="27" customHeight="1">
      <c r="T30" s="1157" t="s">
        <v>1308</v>
      </c>
      <c r="V30" s="1157" t="s">
        <v>1260</v>
      </c>
      <c r="X30" s="1194"/>
      <c r="Y30" s="1144"/>
      <c r="Z30" s="1194"/>
      <c r="AA30" s="1144"/>
      <c r="AB30" s="1194"/>
      <c r="AD30" s="1194"/>
      <c r="AF30" s="1112"/>
      <c r="AG30" s="1112"/>
      <c r="AH30" s="1112"/>
      <c r="AI30" s="1112"/>
      <c r="AJ30" s="1112"/>
      <c r="AK30" s="1112"/>
      <c r="AL30" s="1112"/>
      <c r="AM30" s="1112"/>
      <c r="AN30" s="1112"/>
      <c r="AO30" s="1112"/>
      <c r="AP30" s="1112"/>
      <c r="AU30" s="2532"/>
      <c r="AV30" s="1089" t="s">
        <v>1385</v>
      </c>
      <c r="BA30" s="1077"/>
      <c r="BM30" s="1077"/>
      <c r="BO30" s="1077"/>
      <c r="BP30" s="1077"/>
      <c r="BQ30" s="1077"/>
      <c r="BR30" s="1077"/>
      <c r="BS30" s="1077"/>
      <c r="BT30" s="1077"/>
      <c r="BU30" s="1077"/>
      <c r="BV30" s="1077"/>
      <c r="BW30" s="1077"/>
      <c r="BX30" s="1077"/>
      <c r="BY30" s="1077"/>
      <c r="BZ30" s="1077"/>
      <c r="CA30" s="1077"/>
      <c r="CB30" s="1077"/>
      <c r="CC30" s="1077"/>
      <c r="CE30" s="1195" t="s">
        <v>1170</v>
      </c>
      <c r="CF30" s="1156" t="s">
        <v>987</v>
      </c>
      <c r="CG30" s="1077"/>
      <c r="CH30" s="1077"/>
      <c r="CJ30" s="1077"/>
      <c r="CK30" s="1077"/>
      <c r="CL30" s="1077"/>
      <c r="CN30" s="1077"/>
      <c r="CO30" s="1077"/>
      <c r="CP30" s="1077"/>
      <c r="CQ30" s="1077"/>
      <c r="CR30" s="1077"/>
      <c r="CS30" s="1077"/>
      <c r="CV30" s="1164" t="s">
        <v>1045</v>
      </c>
      <c r="CW30" s="1185" t="s">
        <v>1129</v>
      </c>
      <c r="CX30" s="1110" t="str">
        <f t="shared" si="1"/>
        <v>[036]</v>
      </c>
      <c r="CY30" s="1085">
        <v>14</v>
      </c>
      <c r="DB30" s="1077"/>
      <c r="DC30" s="1077"/>
      <c r="DD30" s="1077"/>
      <c r="DE30" s="1077"/>
      <c r="DF30" s="1097" t="s">
        <v>1397</v>
      </c>
      <c r="DG30" s="1151" t="s">
        <v>987</v>
      </c>
      <c r="DH30" s="1152" t="str">
        <f t="shared" si="0"/>
        <v>[256]</v>
      </c>
      <c r="DI30" s="1152">
        <v>7</v>
      </c>
      <c r="DK30" s="1151">
        <v>26</v>
      </c>
      <c r="DL30" s="1151">
        <v>3.9E-2</v>
      </c>
    </row>
    <row r="31" spans="2:116" ht="27" customHeight="1">
      <c r="T31" s="1157" t="s">
        <v>1309</v>
      </c>
      <c r="V31" s="1156" t="s">
        <v>1266</v>
      </c>
      <c r="X31" s="1194"/>
      <c r="Y31" s="1144"/>
      <c r="Z31" s="1194"/>
      <c r="AA31" s="1144"/>
      <c r="AB31" s="1194"/>
      <c r="AD31" s="1194"/>
      <c r="AF31" s="1112"/>
      <c r="AG31" s="1112"/>
      <c r="AH31" s="1112"/>
      <c r="AI31" s="1112"/>
      <c r="AJ31" s="1112"/>
      <c r="AK31" s="1112"/>
      <c r="AL31" s="1112"/>
      <c r="AM31" s="1112"/>
      <c r="AN31" s="1112"/>
      <c r="AO31" s="1112"/>
      <c r="AP31" s="1112"/>
      <c r="AU31" s="2533"/>
      <c r="AV31" s="1178" t="s">
        <v>1386</v>
      </c>
      <c r="BA31" s="1077"/>
      <c r="BM31" s="1077"/>
      <c r="BO31" s="1077"/>
      <c r="BP31" s="1077"/>
      <c r="BQ31" s="1077"/>
      <c r="BR31" s="1077"/>
      <c r="BS31" s="1077"/>
      <c r="BT31" s="1077"/>
      <c r="BU31" s="1077"/>
      <c r="BV31" s="1077"/>
      <c r="BW31" s="1077"/>
      <c r="BX31" s="1077"/>
      <c r="BY31" s="1077"/>
      <c r="BZ31" s="1077"/>
      <c r="CA31" s="1077"/>
      <c r="CB31" s="1077"/>
      <c r="CC31" s="1077"/>
      <c r="CE31" s="1195" t="s">
        <v>1188</v>
      </c>
      <c r="CF31" s="1156" t="s">
        <v>987</v>
      </c>
      <c r="CG31" s="1077"/>
      <c r="CH31" s="1077"/>
      <c r="CJ31" s="1077"/>
      <c r="CK31" s="1077"/>
      <c r="CL31" s="1077"/>
      <c r="CN31" s="1077"/>
      <c r="CO31" s="1077"/>
      <c r="CP31" s="1077"/>
      <c r="CQ31" s="1077"/>
      <c r="CR31" s="1077"/>
      <c r="CS31" s="1077"/>
      <c r="CV31" s="1164" t="s">
        <v>1045</v>
      </c>
      <c r="CW31" s="1167" t="s">
        <v>1153</v>
      </c>
      <c r="CX31" s="1108" t="str">
        <f t="shared" si="1"/>
        <v>[038]</v>
      </c>
      <c r="CY31" s="1085">
        <v>31</v>
      </c>
      <c r="DB31" s="1077"/>
      <c r="DC31" s="1077"/>
      <c r="DD31" s="1077"/>
      <c r="DE31" s="1077"/>
      <c r="DF31" s="1097" t="s">
        <v>1398</v>
      </c>
      <c r="DG31" s="1151" t="s">
        <v>987</v>
      </c>
      <c r="DH31" s="1152" t="str">
        <f t="shared" si="0"/>
        <v>[266]</v>
      </c>
      <c r="DI31" s="1152">
        <v>7</v>
      </c>
      <c r="DK31" s="1151">
        <v>27</v>
      </c>
      <c r="DL31" s="1151">
        <v>3.7999999999999999E-2</v>
      </c>
    </row>
    <row r="32" spans="2:116" ht="27" customHeight="1">
      <c r="T32" s="1157" t="s">
        <v>1310</v>
      </c>
      <c r="V32" s="1194"/>
      <c r="W32" s="1144"/>
      <c r="X32" s="1194"/>
      <c r="Y32" s="1144"/>
      <c r="Z32" s="1194"/>
      <c r="AA32" s="1144"/>
      <c r="AB32" s="1194"/>
      <c r="AD32" s="1194"/>
      <c r="AF32" s="1112"/>
      <c r="AG32" s="1112"/>
      <c r="AH32" s="1112"/>
      <c r="AI32" s="1112"/>
      <c r="AJ32" s="1112"/>
      <c r="AK32" s="1112"/>
      <c r="AL32" s="1112"/>
      <c r="AM32" s="1112"/>
      <c r="AN32" s="1112"/>
      <c r="AO32" s="1112"/>
      <c r="AP32" s="1112"/>
      <c r="AU32" s="2531" t="s">
        <v>1301</v>
      </c>
      <c r="AV32" s="1142" t="s">
        <v>964</v>
      </c>
      <c r="BA32" s="1077"/>
      <c r="BM32" s="1077"/>
      <c r="BO32" s="1077"/>
      <c r="BP32" s="1077"/>
      <c r="BQ32" s="1077"/>
      <c r="BR32" s="1077"/>
      <c r="BS32" s="1077"/>
      <c r="BT32" s="1077"/>
      <c r="BU32" s="1077"/>
      <c r="BV32" s="1077"/>
      <c r="BW32" s="1077"/>
      <c r="BX32" s="1077"/>
      <c r="BY32" s="1077"/>
      <c r="BZ32" s="1077"/>
      <c r="CA32" s="1077"/>
      <c r="CB32" s="1077"/>
      <c r="CC32" s="1077"/>
      <c r="CE32" s="1195" t="s">
        <v>1311</v>
      </c>
      <c r="CF32" s="1156" t="s">
        <v>987</v>
      </c>
      <c r="CG32" s="1077"/>
      <c r="CH32" s="1077"/>
      <c r="CJ32" s="1077"/>
      <c r="CK32" s="1077"/>
      <c r="CL32" s="1077"/>
      <c r="CN32" s="1077"/>
      <c r="CO32" s="1077"/>
      <c r="CP32" s="1077"/>
      <c r="CQ32" s="1077"/>
      <c r="CR32" s="1077"/>
      <c r="CS32" s="1077"/>
      <c r="CV32" s="1164" t="s">
        <v>1045</v>
      </c>
      <c r="CW32" s="1175" t="s">
        <v>1387</v>
      </c>
      <c r="CX32" s="1176" t="str">
        <f t="shared" si="1"/>
        <v>[039]</v>
      </c>
      <c r="CY32" s="1177">
        <v>17</v>
      </c>
      <c r="DB32" s="1077"/>
      <c r="DC32" s="1077"/>
      <c r="DD32" s="1077"/>
      <c r="DE32" s="1077"/>
      <c r="DF32" s="1097" t="s">
        <v>1399</v>
      </c>
      <c r="DG32" s="1151" t="s">
        <v>987</v>
      </c>
      <c r="DH32" s="1152" t="str">
        <f t="shared" si="0"/>
        <v>[276]</v>
      </c>
      <c r="DI32" s="1152">
        <v>7</v>
      </c>
      <c r="DK32" s="1151">
        <v>28</v>
      </c>
      <c r="DL32" s="1151">
        <v>3.6000000000000004E-2</v>
      </c>
    </row>
    <row r="33" spans="20:116" ht="27" customHeight="1">
      <c r="T33" s="1157" t="s">
        <v>1312</v>
      </c>
      <c r="V33" s="1194"/>
      <c r="W33" s="1144"/>
      <c r="X33" s="1194"/>
      <c r="Y33" s="1144"/>
      <c r="Z33" s="1194"/>
      <c r="AA33" s="1144"/>
      <c r="AB33" s="1194"/>
      <c r="AD33" s="1194"/>
      <c r="AF33" s="1112"/>
      <c r="AG33" s="1112"/>
      <c r="AH33" s="1112"/>
      <c r="AI33" s="1112"/>
      <c r="AJ33" s="1112"/>
      <c r="AK33" s="1112"/>
      <c r="AL33" s="1112"/>
      <c r="AM33" s="1112"/>
      <c r="AN33" s="1112"/>
      <c r="AO33" s="1112"/>
      <c r="AP33" s="1112"/>
      <c r="AU33" s="2532"/>
      <c r="AV33" s="1160" t="s">
        <v>1011</v>
      </c>
      <c r="BA33" s="1077"/>
      <c r="BM33" s="1077"/>
      <c r="BO33" s="1077"/>
      <c r="BP33" s="1077"/>
      <c r="BQ33" s="1077"/>
      <c r="BR33" s="1077"/>
      <c r="BS33" s="1077"/>
      <c r="BT33" s="1077"/>
      <c r="BU33" s="1077"/>
      <c r="BV33" s="1077"/>
      <c r="BW33" s="1077"/>
      <c r="BX33" s="1077"/>
      <c r="BY33" s="1077"/>
      <c r="BZ33" s="1077"/>
      <c r="CA33" s="1077"/>
      <c r="CB33" s="1077"/>
      <c r="CC33" s="1077"/>
      <c r="CE33" s="1195" t="s">
        <v>1244</v>
      </c>
      <c r="CF33" s="1156" t="s">
        <v>987</v>
      </c>
      <c r="CG33" s="1077"/>
      <c r="CH33" s="1077"/>
      <c r="CJ33" s="1077"/>
      <c r="CK33" s="1077"/>
      <c r="CL33" s="1077"/>
      <c r="CN33" s="1077"/>
      <c r="CO33" s="1077"/>
      <c r="CP33" s="1077"/>
      <c r="CQ33" s="1077"/>
      <c r="CR33" s="1077"/>
      <c r="CS33" s="1077"/>
      <c r="CV33" s="1164" t="s">
        <v>1045</v>
      </c>
      <c r="CW33" s="1175" t="s">
        <v>1388</v>
      </c>
      <c r="CX33" s="1176" t="str">
        <f>LEFT(CV33,3)&amp;MID(CW33,2,3)</f>
        <v>[0310]</v>
      </c>
      <c r="CY33" s="1197">
        <v>24</v>
      </c>
      <c r="DB33" s="1077"/>
      <c r="DC33" s="1077"/>
      <c r="DD33" s="1077"/>
      <c r="DE33" s="1077"/>
      <c r="DF33" s="1097" t="s">
        <v>1400</v>
      </c>
      <c r="DG33" s="1151" t="s">
        <v>987</v>
      </c>
      <c r="DH33" s="1152" t="str">
        <f t="shared" si="0"/>
        <v>[286]</v>
      </c>
      <c r="DI33" s="1152">
        <v>7</v>
      </c>
      <c r="DK33" s="1151">
        <v>29</v>
      </c>
      <c r="DL33" s="1151">
        <v>3.5000000000000003E-2</v>
      </c>
    </row>
    <row r="34" spans="20:116" ht="27" customHeight="1">
      <c r="T34" s="1157" t="s">
        <v>1315</v>
      </c>
      <c r="V34" s="1194"/>
      <c r="W34" s="1144"/>
      <c r="X34" s="1194"/>
      <c r="Y34" s="1144"/>
      <c r="Z34" s="1194"/>
      <c r="AA34" s="1144"/>
      <c r="AB34" s="1194"/>
      <c r="AD34" s="1194"/>
      <c r="AF34" s="1112"/>
      <c r="AG34" s="1112"/>
      <c r="AH34" s="1112"/>
      <c r="AI34" s="1112"/>
      <c r="AJ34" s="1112"/>
      <c r="AK34" s="1112"/>
      <c r="AL34" s="1112"/>
      <c r="AM34" s="1112"/>
      <c r="AN34" s="1112"/>
      <c r="AO34" s="1112"/>
      <c r="AP34" s="1112"/>
      <c r="AU34" s="2532"/>
      <c r="AV34" s="1160" t="s">
        <v>1046</v>
      </c>
      <c r="BA34" s="1077"/>
      <c r="BM34" s="1077"/>
      <c r="BO34" s="1077"/>
      <c r="BP34" s="1077"/>
      <c r="BQ34" s="1077"/>
      <c r="BR34" s="1077"/>
      <c r="BS34" s="1077"/>
      <c r="BT34" s="1077"/>
      <c r="BU34" s="1077"/>
      <c r="BV34" s="1077"/>
      <c r="BW34" s="1077"/>
      <c r="BX34" s="1077"/>
      <c r="BY34" s="1077"/>
      <c r="BZ34" s="1077"/>
      <c r="CA34" s="1077"/>
      <c r="CB34" s="1077"/>
      <c r="CC34" s="1077"/>
      <c r="CE34" s="1196" t="s">
        <v>1226</v>
      </c>
      <c r="CF34" s="1161" t="s">
        <v>987</v>
      </c>
      <c r="CG34" s="1077"/>
      <c r="CH34" s="1077"/>
      <c r="CJ34" s="1077"/>
      <c r="CK34" s="1077"/>
      <c r="CL34" s="1077"/>
      <c r="CN34" s="1077"/>
      <c r="CO34" s="1077"/>
      <c r="CP34" s="1077"/>
      <c r="CQ34" s="1077"/>
      <c r="CR34" s="1077"/>
      <c r="CS34" s="1077"/>
      <c r="CV34" s="1179" t="s">
        <v>1045</v>
      </c>
      <c r="CW34" s="1175" t="s">
        <v>1389</v>
      </c>
      <c r="CX34" s="1176" t="str">
        <f>LEFT(CV34,3)&amp;MID(CW34,2,3)</f>
        <v>[0311]</v>
      </c>
      <c r="CY34" s="1197">
        <v>31</v>
      </c>
      <c r="DB34" s="1077"/>
      <c r="DC34" s="1077"/>
      <c r="DD34" s="1077"/>
      <c r="DE34" s="1077"/>
      <c r="DF34" s="1097" t="s">
        <v>1316</v>
      </c>
      <c r="DG34" s="1151" t="s">
        <v>987</v>
      </c>
      <c r="DH34" s="1152" t="str">
        <f t="shared" si="0"/>
        <v>[296]</v>
      </c>
      <c r="DI34" s="1152">
        <v>7</v>
      </c>
      <c r="DK34" s="1151">
        <v>30</v>
      </c>
      <c r="DL34" s="1151">
        <v>3.4000000000000002E-2</v>
      </c>
    </row>
    <row r="35" spans="20:116" ht="27" customHeight="1">
      <c r="T35" s="1157" t="s">
        <v>1317</v>
      </c>
      <c r="V35" s="1194"/>
      <c r="W35" s="1144"/>
      <c r="X35" s="1194"/>
      <c r="Y35" s="1144"/>
      <c r="Z35" s="1194"/>
      <c r="AA35" s="1144"/>
      <c r="AB35" s="1194"/>
      <c r="AD35" s="1194"/>
      <c r="AF35" s="1112"/>
      <c r="AG35" s="1112"/>
      <c r="AH35" s="1112"/>
      <c r="AI35" s="1112"/>
      <c r="AJ35" s="1112"/>
      <c r="AK35" s="1112"/>
      <c r="AL35" s="1112"/>
      <c r="AM35" s="1112"/>
      <c r="AN35" s="1112"/>
      <c r="AO35" s="1112"/>
      <c r="AP35" s="1112"/>
      <c r="AU35" s="2532"/>
      <c r="AV35" s="1160" t="s">
        <v>1072</v>
      </c>
      <c r="BM35" s="1077"/>
      <c r="BO35" s="1077"/>
      <c r="BQ35" s="1077"/>
      <c r="BS35" s="1077"/>
      <c r="BU35" s="1077"/>
      <c r="BW35" s="1077"/>
      <c r="BY35" s="1077"/>
      <c r="CA35" s="1077"/>
      <c r="CC35" s="1077"/>
      <c r="CE35" s="1196" t="s">
        <v>1227</v>
      </c>
      <c r="CF35" s="1161" t="s">
        <v>987</v>
      </c>
      <c r="CV35" s="1148" t="s">
        <v>1071</v>
      </c>
      <c r="CW35" s="1109" t="s">
        <v>983</v>
      </c>
      <c r="CX35" s="1110" t="str">
        <f t="shared" si="1"/>
        <v>[041]</v>
      </c>
      <c r="CY35" s="1110">
        <v>15</v>
      </c>
      <c r="DF35" s="1097" t="s">
        <v>1401</v>
      </c>
      <c r="DG35" s="1151" t="s">
        <v>987</v>
      </c>
      <c r="DH35" s="1152" t="str">
        <f t="shared" si="0"/>
        <v>[306]</v>
      </c>
      <c r="DI35" s="1152">
        <v>7</v>
      </c>
      <c r="DK35" s="1151">
        <v>31</v>
      </c>
      <c r="DL35" s="1151">
        <v>3.3000000000000002E-2</v>
      </c>
    </row>
    <row r="36" spans="20:116" ht="27" customHeight="1">
      <c r="T36" s="1157" t="s">
        <v>1318</v>
      </c>
      <c r="V36" s="1194"/>
      <c r="W36" s="1144"/>
      <c r="X36" s="1194"/>
      <c r="Y36" s="1144"/>
      <c r="Z36" s="1194"/>
      <c r="AA36" s="1144"/>
      <c r="AB36" s="1194"/>
      <c r="AD36" s="1194"/>
      <c r="AF36" s="1112"/>
      <c r="AG36" s="1112"/>
      <c r="AH36" s="1112"/>
      <c r="AI36" s="1112"/>
      <c r="AJ36" s="1112"/>
      <c r="AK36" s="1112"/>
      <c r="AL36" s="1112"/>
      <c r="AM36" s="1112"/>
      <c r="AN36" s="1112"/>
      <c r="AO36" s="1112"/>
      <c r="AP36" s="1112"/>
      <c r="AU36" s="2532"/>
      <c r="AV36" s="1089" t="s">
        <v>1123</v>
      </c>
      <c r="BM36" s="1077"/>
      <c r="BO36" s="1077"/>
      <c r="BQ36" s="1077"/>
      <c r="BS36" s="1077"/>
      <c r="BU36" s="1077"/>
      <c r="BW36" s="1077"/>
      <c r="BY36" s="1077"/>
      <c r="CA36" s="1077"/>
      <c r="CC36" s="1077"/>
      <c r="CE36" s="1196" t="s">
        <v>1190</v>
      </c>
      <c r="CF36" s="1161" t="s">
        <v>987</v>
      </c>
      <c r="CV36" s="1164" t="s">
        <v>1071</v>
      </c>
      <c r="CW36" s="1109" t="s">
        <v>1026</v>
      </c>
      <c r="CX36" s="1110" t="str">
        <f t="shared" si="1"/>
        <v>[042]</v>
      </c>
      <c r="CY36" s="1110">
        <v>15</v>
      </c>
      <c r="DF36" s="1098" t="s">
        <v>1319</v>
      </c>
      <c r="DG36" s="1198" t="s">
        <v>1320</v>
      </c>
      <c r="DH36" s="1152" t="str">
        <f t="shared" si="0"/>
        <v>[311]</v>
      </c>
      <c r="DI36" s="1152">
        <v>7</v>
      </c>
      <c r="DK36" s="1151">
        <v>32</v>
      </c>
      <c r="DL36" s="1151">
        <v>3.2000000000000001E-2</v>
      </c>
    </row>
    <row r="37" spans="20:116" ht="27" customHeight="1">
      <c r="T37" s="1157" t="s">
        <v>1321</v>
      </c>
      <c r="V37" s="1194"/>
      <c r="W37" s="1144"/>
      <c r="X37" s="1194"/>
      <c r="Y37" s="1144"/>
      <c r="Z37" s="1194"/>
      <c r="AA37" s="1144"/>
      <c r="AB37" s="1194"/>
      <c r="AD37" s="1194"/>
      <c r="AF37" s="1112"/>
      <c r="AG37" s="1112"/>
      <c r="AH37" s="1112"/>
      <c r="AI37" s="1112"/>
      <c r="AJ37" s="1112"/>
      <c r="AK37" s="1112"/>
      <c r="AL37" s="1112"/>
      <c r="AM37" s="1112"/>
      <c r="AN37" s="1112"/>
      <c r="AO37" s="1112"/>
      <c r="AP37" s="1112"/>
      <c r="AU37" s="2532"/>
      <c r="AV37" s="1089" t="s">
        <v>1147</v>
      </c>
      <c r="BM37" s="1077"/>
      <c r="BO37" s="1077"/>
      <c r="BQ37" s="1077"/>
      <c r="BS37" s="1077"/>
      <c r="BY37" s="1077"/>
      <c r="CA37" s="1077"/>
      <c r="CC37" s="1077"/>
      <c r="CE37" s="1196" t="s">
        <v>1191</v>
      </c>
      <c r="CF37" s="1161" t="s">
        <v>987</v>
      </c>
      <c r="CV37" s="1164" t="s">
        <v>1071</v>
      </c>
      <c r="CW37" s="1185" t="s">
        <v>1054</v>
      </c>
      <c r="CX37" s="1110" t="str">
        <f t="shared" si="1"/>
        <v>[043]</v>
      </c>
      <c r="CY37" s="1110">
        <v>38</v>
      </c>
      <c r="DF37" s="1099" t="s">
        <v>1319</v>
      </c>
      <c r="DG37" s="1198" t="s">
        <v>1322</v>
      </c>
      <c r="DH37" s="1152" t="str">
        <f t="shared" si="0"/>
        <v>[312]</v>
      </c>
      <c r="DI37" s="1152">
        <v>7</v>
      </c>
      <c r="DK37" s="1151">
        <v>33</v>
      </c>
      <c r="DL37" s="1151">
        <v>3.1E-2</v>
      </c>
    </row>
    <row r="38" spans="20:116" ht="27" customHeight="1">
      <c r="T38" s="1157" t="s">
        <v>1323</v>
      </c>
      <c r="V38" s="1194"/>
      <c r="W38" s="1144"/>
      <c r="X38" s="1194"/>
      <c r="Y38" s="1144"/>
      <c r="Z38" s="1194"/>
      <c r="AA38" s="1144"/>
      <c r="AB38" s="1194"/>
      <c r="AD38" s="1194"/>
      <c r="AF38" s="1112"/>
      <c r="AG38" s="1112"/>
      <c r="AH38" s="1112"/>
      <c r="AI38" s="1112"/>
      <c r="AJ38" s="1112"/>
      <c r="AK38" s="1112"/>
      <c r="AL38" s="1112"/>
      <c r="AM38" s="1112"/>
      <c r="AN38" s="1112"/>
      <c r="AO38" s="1112"/>
      <c r="AP38" s="1112"/>
      <c r="AU38" s="2532"/>
      <c r="AV38" s="1160" t="s">
        <v>1384</v>
      </c>
      <c r="BM38" s="1077"/>
      <c r="BO38" s="1077"/>
      <c r="BQ38" s="1077"/>
      <c r="BS38" s="1077"/>
      <c r="BY38" s="1077"/>
      <c r="CC38" s="1077"/>
      <c r="CE38" s="1196" t="s">
        <v>1229</v>
      </c>
      <c r="CF38" s="1161" t="s">
        <v>987</v>
      </c>
      <c r="CV38" s="1164" t="s">
        <v>1071</v>
      </c>
      <c r="CW38" s="1185" t="s">
        <v>1072</v>
      </c>
      <c r="CX38" s="1110" t="str">
        <f t="shared" si="1"/>
        <v>[044]</v>
      </c>
      <c r="CY38" s="1085">
        <v>34</v>
      </c>
      <c r="DF38" s="1100" t="s">
        <v>1319</v>
      </c>
      <c r="DG38" s="1198" t="s">
        <v>987</v>
      </c>
      <c r="DH38" s="1199" t="str">
        <f t="shared" si="0"/>
        <v>[316]</v>
      </c>
      <c r="DI38" s="1199">
        <v>7</v>
      </c>
      <c r="DK38" s="1151">
        <v>34</v>
      </c>
      <c r="DL38" s="1151">
        <v>3.0000000000000002E-2</v>
      </c>
    </row>
    <row r="39" spans="20:116" ht="27" customHeight="1">
      <c r="T39" s="1157" t="s">
        <v>1324</v>
      </c>
      <c r="V39" s="1194"/>
      <c r="W39" s="1144"/>
      <c r="X39" s="1194"/>
      <c r="Y39" s="1144"/>
      <c r="Z39" s="1194"/>
      <c r="AA39" s="1144"/>
      <c r="AB39" s="1194"/>
      <c r="AD39" s="1194"/>
      <c r="AF39" s="1112"/>
      <c r="AG39" s="1112"/>
      <c r="AH39" s="1112"/>
      <c r="AI39" s="1112"/>
      <c r="AJ39" s="1112"/>
      <c r="AK39" s="1112"/>
      <c r="AL39" s="1112"/>
      <c r="AM39" s="1112"/>
      <c r="AN39" s="1112"/>
      <c r="AO39" s="1112"/>
      <c r="AP39" s="1112"/>
      <c r="AU39" s="2532"/>
      <c r="AV39" s="1089" t="s">
        <v>1385</v>
      </c>
      <c r="BM39" s="1077"/>
      <c r="BO39" s="1077"/>
      <c r="BQ39" s="1077"/>
      <c r="BS39" s="1077"/>
      <c r="BY39" s="1077"/>
      <c r="CE39" s="1196" t="s">
        <v>1211</v>
      </c>
      <c r="CF39" s="1161" t="s">
        <v>987</v>
      </c>
      <c r="CV39" s="1164" t="s">
        <v>1071</v>
      </c>
      <c r="CW39" s="1109" t="s">
        <v>1105</v>
      </c>
      <c r="CX39" s="1110" t="str">
        <f t="shared" si="1"/>
        <v>[045]</v>
      </c>
      <c r="CY39" s="1085">
        <v>17</v>
      </c>
      <c r="DF39" s="1097" t="s">
        <v>1325</v>
      </c>
      <c r="DG39" s="1151" t="s">
        <v>987</v>
      </c>
      <c r="DH39" s="1152" t="str">
        <f t="shared" si="0"/>
        <v>[326]</v>
      </c>
      <c r="DI39" s="1152">
        <v>7</v>
      </c>
      <c r="DK39" s="1151">
        <v>35</v>
      </c>
      <c r="DL39" s="1151">
        <v>2.9000000000000001E-2</v>
      </c>
    </row>
    <row r="40" spans="20:116" ht="27" customHeight="1">
      <c r="T40" s="1157" t="s">
        <v>1326</v>
      </c>
      <c r="V40" s="1194"/>
      <c r="W40" s="1144"/>
      <c r="X40" s="1194"/>
      <c r="Y40" s="1144"/>
      <c r="Z40" s="1194"/>
      <c r="AA40" s="1144"/>
      <c r="AB40" s="1194"/>
      <c r="AD40" s="1194"/>
      <c r="AF40" s="1112"/>
      <c r="AG40" s="1112"/>
      <c r="AH40" s="1112"/>
      <c r="AI40" s="1112"/>
      <c r="AJ40" s="1112"/>
      <c r="AK40" s="1112"/>
      <c r="AL40" s="1112"/>
      <c r="AM40" s="1112"/>
      <c r="AN40" s="1112"/>
      <c r="AO40" s="1112"/>
      <c r="AP40" s="1112"/>
      <c r="AU40" s="2533"/>
      <c r="AV40" s="1178" t="s">
        <v>1386</v>
      </c>
      <c r="BQ40" s="1077"/>
      <c r="BS40" s="1077"/>
      <c r="BU40" s="1077"/>
      <c r="BW40" s="1077"/>
      <c r="BY40" s="1077"/>
      <c r="CE40" s="1196" t="s">
        <v>1212</v>
      </c>
      <c r="CF40" s="1161" t="s">
        <v>987</v>
      </c>
      <c r="CV40" s="1164" t="s">
        <v>1071</v>
      </c>
      <c r="CW40" s="1185" t="s">
        <v>1129</v>
      </c>
      <c r="CX40" s="1110" t="str">
        <f t="shared" si="1"/>
        <v>[046]</v>
      </c>
      <c r="CY40" s="1085">
        <v>14</v>
      </c>
      <c r="DF40" s="1097" t="s">
        <v>1210</v>
      </c>
      <c r="DG40" s="1151" t="s">
        <v>987</v>
      </c>
      <c r="DH40" s="1152" t="str">
        <f t="shared" si="0"/>
        <v>[546]</v>
      </c>
      <c r="DI40" s="1152">
        <v>4</v>
      </c>
      <c r="DK40" s="1151">
        <v>36</v>
      </c>
      <c r="DL40" s="1151">
        <v>2.8000000000000001E-2</v>
      </c>
    </row>
    <row r="41" spans="20:116" ht="27" customHeight="1">
      <c r="T41" s="1157" t="s">
        <v>1329</v>
      </c>
      <c r="V41" s="1194"/>
      <c r="W41" s="1144"/>
      <c r="X41" s="1194"/>
      <c r="Y41" s="1144"/>
      <c r="Z41" s="1194"/>
      <c r="AA41" s="1144"/>
      <c r="AB41" s="1194"/>
      <c r="AD41" s="1194"/>
      <c r="AF41" s="1112"/>
      <c r="AG41" s="1112"/>
      <c r="AH41" s="1112"/>
      <c r="AI41" s="1112"/>
      <c r="AJ41" s="1112"/>
      <c r="AK41" s="1112"/>
      <c r="AL41" s="1112"/>
      <c r="AM41" s="1112"/>
      <c r="AN41" s="1112"/>
      <c r="AO41" s="1112"/>
      <c r="AP41" s="1112"/>
      <c r="AU41" s="2531" t="s">
        <v>1313</v>
      </c>
      <c r="AV41" s="1142" t="s">
        <v>964</v>
      </c>
      <c r="BU41" s="1077"/>
      <c r="BW41" s="1077"/>
      <c r="CA41" s="1077"/>
      <c r="CE41" s="1195" t="s">
        <v>1254</v>
      </c>
      <c r="CF41" s="1156" t="s">
        <v>987</v>
      </c>
      <c r="CV41" s="1164" t="s">
        <v>1071</v>
      </c>
      <c r="CW41" s="1167" t="s">
        <v>1153</v>
      </c>
      <c r="CX41" s="1108" t="str">
        <f t="shared" si="1"/>
        <v>[048]</v>
      </c>
      <c r="CY41" s="1085">
        <v>31</v>
      </c>
      <c r="DF41" s="1173" t="s">
        <v>1228</v>
      </c>
      <c r="DG41" s="1150" t="s">
        <v>1330</v>
      </c>
      <c r="DH41" s="1152" t="str">
        <f t="shared" si="0"/>
        <v>[561]</v>
      </c>
      <c r="DI41" s="1152">
        <v>3</v>
      </c>
      <c r="DK41" s="1151">
        <v>37</v>
      </c>
      <c r="DL41" s="1151">
        <v>2.8000000000000001E-2</v>
      </c>
    </row>
    <row r="42" spans="20:116" ht="27" customHeight="1">
      <c r="T42" s="1157" t="s">
        <v>1331</v>
      </c>
      <c r="V42" s="1194"/>
      <c r="W42" s="1144"/>
      <c r="X42" s="1194"/>
      <c r="Y42" s="1144"/>
      <c r="Z42" s="1194"/>
      <c r="AA42" s="1144"/>
      <c r="AB42" s="1194"/>
      <c r="AD42" s="1194"/>
      <c r="AF42" s="1112"/>
      <c r="AG42" s="1112"/>
      <c r="AH42" s="1112"/>
      <c r="AI42" s="1112"/>
      <c r="AJ42" s="1112"/>
      <c r="AK42" s="1112"/>
      <c r="AL42" s="1112"/>
      <c r="AM42" s="1112"/>
      <c r="AN42" s="1112"/>
      <c r="AO42" s="1112"/>
      <c r="AP42" s="1112"/>
      <c r="AU42" s="2532"/>
      <c r="AV42" s="1160" t="s">
        <v>1011</v>
      </c>
      <c r="BU42" s="1077"/>
      <c r="BW42" s="1077"/>
      <c r="CA42" s="1077"/>
      <c r="CC42" s="1077"/>
      <c r="CE42" s="1196" t="s">
        <v>1230</v>
      </c>
      <c r="CF42" s="1161" t="s">
        <v>987</v>
      </c>
      <c r="CV42" s="1164" t="s">
        <v>1071</v>
      </c>
      <c r="CW42" s="1175" t="s">
        <v>1387</v>
      </c>
      <c r="CX42" s="1176" t="str">
        <f t="shared" si="1"/>
        <v>[049]</v>
      </c>
      <c r="CY42" s="1177">
        <v>17</v>
      </c>
      <c r="DF42" s="1173" t="s">
        <v>1228</v>
      </c>
      <c r="DG42" s="1150" t="s">
        <v>1332</v>
      </c>
      <c r="DH42" s="1152" t="str">
        <f t="shared" si="0"/>
        <v>[562]</v>
      </c>
      <c r="DI42" s="1152">
        <v>4</v>
      </c>
      <c r="DK42" s="1151">
        <v>38</v>
      </c>
      <c r="DL42" s="1151">
        <v>2.7E-2</v>
      </c>
    </row>
    <row r="43" spans="20:116" ht="27" customHeight="1">
      <c r="T43" s="1157" t="s">
        <v>1333</v>
      </c>
      <c r="V43" s="1194"/>
      <c r="W43" s="1144"/>
      <c r="X43" s="1194"/>
      <c r="Y43" s="1144"/>
      <c r="Z43" s="1194"/>
      <c r="AA43" s="1144"/>
      <c r="AB43" s="1194"/>
      <c r="AD43" s="1194"/>
      <c r="AF43" s="1112"/>
      <c r="AG43" s="1112"/>
      <c r="AH43" s="1112"/>
      <c r="AI43" s="1112"/>
      <c r="AJ43" s="1112"/>
      <c r="AK43" s="1112"/>
      <c r="AL43" s="1112"/>
      <c r="AM43" s="1112"/>
      <c r="AN43" s="1112"/>
      <c r="AO43" s="1112"/>
      <c r="AP43" s="1112"/>
      <c r="AU43" s="2532"/>
      <c r="AV43" s="1160" t="s">
        <v>1046</v>
      </c>
      <c r="BA43" s="1077"/>
      <c r="BM43" s="1077"/>
      <c r="BO43" s="1077"/>
      <c r="BP43" s="1077"/>
      <c r="BR43" s="1077"/>
      <c r="BT43" s="1077"/>
      <c r="BU43" s="1077"/>
      <c r="BV43" s="1077"/>
      <c r="BW43" s="1077"/>
      <c r="BX43" s="1077"/>
      <c r="BZ43" s="1077"/>
      <c r="CA43" s="1077"/>
      <c r="CB43" s="1077"/>
      <c r="CC43" s="1077"/>
      <c r="CE43" s="1101" t="s">
        <v>1334</v>
      </c>
      <c r="CF43" s="1102" t="s">
        <v>987</v>
      </c>
      <c r="CG43" s="1077"/>
      <c r="CH43" s="1077"/>
      <c r="CJ43" s="1077"/>
      <c r="CK43" s="1077"/>
      <c r="CL43" s="1077"/>
      <c r="CN43" s="1077"/>
      <c r="CO43" s="1077"/>
      <c r="CP43" s="1077"/>
      <c r="CQ43" s="1077"/>
      <c r="CR43" s="1077"/>
      <c r="CV43" s="1164" t="s">
        <v>1071</v>
      </c>
      <c r="CW43" s="1175" t="s">
        <v>1388</v>
      </c>
      <c r="CX43" s="1176" t="str">
        <f>LEFT(CV43,3)&amp;MID(CW43,2,3)</f>
        <v>[0410]</v>
      </c>
      <c r="CY43" s="1197">
        <v>24</v>
      </c>
      <c r="DF43" s="1173" t="s">
        <v>1228</v>
      </c>
      <c r="DG43" s="1150" t="s">
        <v>1336</v>
      </c>
      <c r="DH43" s="1152" t="str">
        <f t="shared" si="0"/>
        <v>[563]</v>
      </c>
      <c r="DI43" s="1152">
        <v>5</v>
      </c>
      <c r="DK43" s="1151">
        <v>39</v>
      </c>
      <c r="DL43" s="1151">
        <v>2.6000000000000002E-2</v>
      </c>
    </row>
    <row r="44" spans="20:116" ht="27" customHeight="1">
      <c r="T44" s="1157" t="s">
        <v>1337</v>
      </c>
      <c r="V44" s="1194"/>
      <c r="W44" s="1144"/>
      <c r="X44" s="1194"/>
      <c r="Y44" s="1144"/>
      <c r="Z44" s="1194"/>
      <c r="AA44" s="1144"/>
      <c r="AB44" s="1194"/>
      <c r="AD44" s="1194"/>
      <c r="AF44" s="1112"/>
      <c r="AG44" s="1112"/>
      <c r="AH44" s="1112"/>
      <c r="AI44" s="1112"/>
      <c r="AJ44" s="1112"/>
      <c r="AK44" s="1112"/>
      <c r="AL44" s="1112"/>
      <c r="AM44" s="1112"/>
      <c r="AN44" s="1112"/>
      <c r="AO44" s="1112"/>
      <c r="AP44" s="1112"/>
      <c r="AU44" s="2532"/>
      <c r="AV44" s="1160" t="s">
        <v>1072</v>
      </c>
      <c r="BA44" s="1077"/>
      <c r="BM44" s="1077"/>
      <c r="BO44" s="1077"/>
      <c r="BP44" s="1077"/>
      <c r="BQ44" s="1077"/>
      <c r="BR44" s="1077"/>
      <c r="BS44" s="1077"/>
      <c r="BT44" s="1077"/>
      <c r="BU44" s="1077"/>
      <c r="BV44" s="1077"/>
      <c r="BW44" s="1077"/>
      <c r="BX44" s="1077"/>
      <c r="BY44" s="1077"/>
      <c r="BZ44" s="1077"/>
      <c r="CA44" s="1077"/>
      <c r="CB44" s="1077"/>
      <c r="CC44" s="1077"/>
      <c r="CE44" s="1195" t="s">
        <v>1269</v>
      </c>
      <c r="CF44" s="1156" t="s">
        <v>987</v>
      </c>
      <c r="CG44" s="1077"/>
      <c r="CH44" s="1077"/>
      <c r="CJ44" s="1077"/>
      <c r="CK44" s="1077"/>
      <c r="CL44" s="1077"/>
      <c r="CN44" s="1077"/>
      <c r="CO44" s="1077"/>
      <c r="CP44" s="1077"/>
      <c r="CQ44" s="1077"/>
      <c r="CR44" s="1077"/>
      <c r="CV44" s="1179" t="s">
        <v>1071</v>
      </c>
      <c r="CW44" s="1175" t="s">
        <v>1389</v>
      </c>
      <c r="CX44" s="1176" t="str">
        <f>LEFT(CV44,3)&amp;MID(CW44,2,3)</f>
        <v>[0411]</v>
      </c>
      <c r="CY44" s="1197">
        <v>31</v>
      </c>
      <c r="DF44" s="1173" t="s">
        <v>1228</v>
      </c>
      <c r="DG44" s="1150" t="s">
        <v>1338</v>
      </c>
      <c r="DH44" s="1152" t="str">
        <f t="shared" si="0"/>
        <v>[564]</v>
      </c>
      <c r="DI44" s="1152">
        <v>6</v>
      </c>
      <c r="DK44" s="1151">
        <v>40</v>
      </c>
      <c r="DL44" s="1151">
        <v>2.5000000000000001E-2</v>
      </c>
    </row>
    <row r="45" spans="20:116" ht="27" customHeight="1">
      <c r="T45" s="1157" t="s">
        <v>1339</v>
      </c>
      <c r="V45" s="1194"/>
      <c r="W45" s="1144"/>
      <c r="X45" s="1194"/>
      <c r="Y45" s="1144"/>
      <c r="Z45" s="1194"/>
      <c r="AA45" s="1144"/>
      <c r="AB45" s="1194"/>
      <c r="AD45" s="1194"/>
      <c r="AF45" s="1112"/>
      <c r="AG45" s="1112"/>
      <c r="AH45" s="1112"/>
      <c r="AI45" s="1112"/>
      <c r="AJ45" s="1112"/>
      <c r="AK45" s="1112"/>
      <c r="AL45" s="1112"/>
      <c r="AM45" s="1112"/>
      <c r="AN45" s="1112"/>
      <c r="AO45" s="1112"/>
      <c r="AP45" s="1112"/>
      <c r="AU45" s="2532"/>
      <c r="AV45" s="1089" t="s">
        <v>1123</v>
      </c>
      <c r="BA45" s="1077"/>
      <c r="BM45" s="1077"/>
      <c r="BO45" s="1077"/>
      <c r="BP45" s="1077"/>
      <c r="BQ45" s="1077"/>
      <c r="BR45" s="1077"/>
      <c r="BS45" s="1077"/>
      <c r="BT45" s="1077"/>
      <c r="BU45" s="1077"/>
      <c r="BV45" s="1077"/>
      <c r="BW45" s="1077"/>
      <c r="BX45" s="1077"/>
      <c r="BY45" s="1077"/>
      <c r="BZ45" s="1077"/>
      <c r="CA45" s="1077"/>
      <c r="CB45" s="1077"/>
      <c r="CC45" s="1077"/>
      <c r="CE45" s="1196" t="s">
        <v>1210</v>
      </c>
      <c r="CF45" s="1161" t="s">
        <v>987</v>
      </c>
      <c r="CG45" s="1077"/>
      <c r="CH45" s="1077"/>
      <c r="CJ45" s="1077"/>
      <c r="CK45" s="1077"/>
      <c r="CL45" s="1077"/>
      <c r="CN45" s="1077"/>
      <c r="CO45" s="1077"/>
      <c r="CP45" s="1077"/>
      <c r="CQ45" s="1077"/>
      <c r="CR45" s="1077"/>
      <c r="CV45" s="1148" t="s">
        <v>1314</v>
      </c>
      <c r="CW45" s="1109" t="s">
        <v>983</v>
      </c>
      <c r="CX45" s="1110" t="str">
        <f t="shared" si="1"/>
        <v>[081]</v>
      </c>
      <c r="CY45" s="1110">
        <v>17</v>
      </c>
      <c r="DF45" s="1174" t="s">
        <v>1228</v>
      </c>
      <c r="DG45" s="1150" t="s">
        <v>1340</v>
      </c>
      <c r="DH45" s="1152" t="str">
        <f t="shared" si="0"/>
        <v>[565]</v>
      </c>
      <c r="DI45" s="1152">
        <v>7</v>
      </c>
      <c r="DK45" s="1151">
        <v>41</v>
      </c>
      <c r="DL45" s="1151">
        <v>2.5000000000000001E-2</v>
      </c>
    </row>
    <row r="46" spans="20:116" ht="27" customHeight="1">
      <c r="T46" s="1157" t="s">
        <v>1341</v>
      </c>
      <c r="V46" s="1194"/>
      <c r="W46" s="1144"/>
      <c r="X46" s="1194"/>
      <c r="Y46" s="1144"/>
      <c r="Z46" s="1194"/>
      <c r="AA46" s="1144"/>
      <c r="AB46" s="1194"/>
      <c r="AD46" s="1194"/>
      <c r="AF46" s="1112"/>
      <c r="AG46" s="1112"/>
      <c r="AH46" s="1112"/>
      <c r="AI46" s="1112"/>
      <c r="AJ46" s="1112"/>
      <c r="AK46" s="1112"/>
      <c r="AL46" s="1112"/>
      <c r="AM46" s="1112"/>
      <c r="AN46" s="1112"/>
      <c r="AO46" s="1112"/>
      <c r="AP46" s="1112"/>
      <c r="AU46" s="2532"/>
      <c r="AV46" s="1089" t="s">
        <v>1147</v>
      </c>
      <c r="BA46" s="1077"/>
      <c r="BM46" s="1077"/>
      <c r="BO46" s="1077"/>
      <c r="BP46" s="1077"/>
      <c r="BQ46" s="1077"/>
      <c r="BR46" s="1077"/>
      <c r="BS46" s="1077"/>
      <c r="BT46" s="1077"/>
      <c r="BU46" s="1077"/>
      <c r="BV46" s="1077"/>
      <c r="BW46" s="1077"/>
      <c r="BX46" s="1077"/>
      <c r="BY46" s="1077"/>
      <c r="BZ46" s="1077"/>
      <c r="CA46" s="1077"/>
      <c r="CB46" s="1077"/>
      <c r="CC46" s="1077"/>
      <c r="CE46" s="1103" t="s">
        <v>1342</v>
      </c>
      <c r="CF46" s="1156" t="s">
        <v>987</v>
      </c>
      <c r="CG46" s="1077"/>
      <c r="CH46" s="1077"/>
      <c r="CJ46" s="1077"/>
      <c r="CK46" s="1077"/>
      <c r="CL46" s="1077"/>
      <c r="CN46" s="1077"/>
      <c r="CO46" s="1077"/>
      <c r="CP46" s="1077"/>
      <c r="CQ46" s="1077"/>
      <c r="CR46" s="1077"/>
      <c r="CV46" s="1164" t="s">
        <v>1314</v>
      </c>
      <c r="CW46" s="1109" t="s">
        <v>1026</v>
      </c>
      <c r="CX46" s="1110" t="str">
        <f t="shared" si="1"/>
        <v>[082]</v>
      </c>
      <c r="CY46" s="1110">
        <v>17</v>
      </c>
      <c r="DF46" s="1150" t="s">
        <v>1246</v>
      </c>
      <c r="DG46" s="1151" t="s">
        <v>987</v>
      </c>
      <c r="DH46" s="1152" t="str">
        <f t="shared" si="0"/>
        <v>[576]</v>
      </c>
      <c r="DI46" s="1152">
        <v>4</v>
      </c>
      <c r="DK46" s="1151">
        <v>42</v>
      </c>
      <c r="DL46" s="1151">
        <v>2.4E-2</v>
      </c>
    </row>
    <row r="47" spans="20:116" ht="27" customHeight="1">
      <c r="T47" s="1200" t="s">
        <v>1343</v>
      </c>
      <c r="V47" s="1201"/>
      <c r="W47" s="1144"/>
      <c r="X47" s="1201"/>
      <c r="Y47" s="1144"/>
      <c r="Z47" s="1201"/>
      <c r="AA47" s="1144"/>
      <c r="AB47" s="1201"/>
      <c r="AD47" s="1201"/>
      <c r="AF47" s="1112"/>
      <c r="AG47" s="1112"/>
      <c r="AH47" s="1112"/>
      <c r="AI47" s="1112"/>
      <c r="AJ47" s="1112"/>
      <c r="AK47" s="1112"/>
      <c r="AL47" s="1112"/>
      <c r="AM47" s="1112"/>
      <c r="AN47" s="1112"/>
      <c r="AO47" s="1112"/>
      <c r="AP47" s="1112"/>
      <c r="AU47" s="2532"/>
      <c r="AV47" s="1160" t="s">
        <v>1384</v>
      </c>
      <c r="BA47" s="1077"/>
      <c r="BM47" s="1077"/>
      <c r="BO47" s="1077"/>
      <c r="BP47" s="1077"/>
      <c r="BQ47" s="1077"/>
      <c r="BR47" s="1077"/>
      <c r="BS47" s="1077"/>
      <c r="BT47" s="1077"/>
      <c r="BU47" s="1077"/>
      <c r="BV47" s="1077"/>
      <c r="BW47" s="1077"/>
      <c r="BX47" s="1077"/>
      <c r="BY47" s="1077"/>
      <c r="BZ47" s="1077"/>
      <c r="CA47" s="1077"/>
      <c r="CB47" s="1077"/>
      <c r="CC47" s="1077"/>
      <c r="CE47" s="1103" t="s">
        <v>1283</v>
      </c>
      <c r="CF47" s="1156" t="s">
        <v>987</v>
      </c>
      <c r="CG47" s="1077"/>
      <c r="CH47" s="1077"/>
      <c r="CJ47" s="1077"/>
      <c r="CK47" s="1077"/>
      <c r="CL47" s="1077"/>
      <c r="CN47" s="1077"/>
      <c r="CO47" s="1077"/>
      <c r="CP47" s="1077"/>
      <c r="CQ47" s="1077"/>
      <c r="CR47" s="1077"/>
      <c r="CV47" s="1164" t="s">
        <v>1314</v>
      </c>
      <c r="CW47" s="1185" t="s">
        <v>1054</v>
      </c>
      <c r="CX47" s="1110" t="str">
        <f t="shared" si="1"/>
        <v>[083]</v>
      </c>
      <c r="CY47" s="1110">
        <v>38</v>
      </c>
      <c r="DF47" s="1150" t="s">
        <v>1255</v>
      </c>
      <c r="DG47" s="1151" t="s">
        <v>987</v>
      </c>
      <c r="DH47" s="1152" t="str">
        <f t="shared" si="0"/>
        <v>[586]</v>
      </c>
      <c r="DI47" s="1152">
        <v>5</v>
      </c>
      <c r="DK47" s="1151">
        <v>43</v>
      </c>
      <c r="DL47" s="1151">
        <v>2.4E-2</v>
      </c>
    </row>
    <row r="48" spans="20:116" ht="27" customHeight="1">
      <c r="T48" s="1157" t="s">
        <v>1345</v>
      </c>
      <c r="V48" s="1194"/>
      <c r="W48" s="1144"/>
      <c r="X48" s="1194"/>
      <c r="Y48" s="1144"/>
      <c r="Z48" s="1194"/>
      <c r="AA48" s="1144"/>
      <c r="AB48" s="1194"/>
      <c r="AD48" s="1194"/>
      <c r="AF48" s="1112"/>
      <c r="AG48" s="1112"/>
      <c r="AH48" s="1112"/>
      <c r="AI48" s="1112"/>
      <c r="AJ48" s="1112"/>
      <c r="AK48" s="1112"/>
      <c r="AL48" s="1112"/>
      <c r="AM48" s="1112"/>
      <c r="AN48" s="1112"/>
      <c r="AO48" s="1112"/>
      <c r="AP48" s="1112"/>
      <c r="AU48" s="2532"/>
      <c r="AV48" s="1089" t="s">
        <v>1385</v>
      </c>
      <c r="BA48" s="1077"/>
      <c r="BM48" s="1077"/>
      <c r="BO48" s="1077"/>
      <c r="BP48" s="1077"/>
      <c r="BQ48" s="1077"/>
      <c r="BR48" s="1077"/>
      <c r="BS48" s="1077"/>
      <c r="BT48" s="1077"/>
      <c r="BU48" s="1077"/>
      <c r="BV48" s="1077"/>
      <c r="BW48" s="1077"/>
      <c r="BX48" s="1077"/>
      <c r="BY48" s="1077"/>
      <c r="BZ48" s="1077"/>
      <c r="CA48" s="1077"/>
      <c r="CB48" s="1077"/>
      <c r="CC48" s="1077"/>
      <c r="CE48" s="1077"/>
      <c r="CF48" s="1077"/>
      <c r="CG48" s="1077"/>
      <c r="CH48" s="1077"/>
      <c r="CJ48" s="1077"/>
      <c r="CK48" s="1077"/>
      <c r="CL48" s="1077"/>
      <c r="CN48" s="1077"/>
      <c r="CO48" s="1077"/>
      <c r="CP48" s="1077"/>
      <c r="CQ48" s="1077"/>
      <c r="CR48" s="1077"/>
      <c r="CV48" s="1164" t="s">
        <v>1314</v>
      </c>
      <c r="CW48" s="1185" t="s">
        <v>1072</v>
      </c>
      <c r="CX48" s="1110" t="str">
        <f t="shared" si="1"/>
        <v>[084]</v>
      </c>
      <c r="CY48" s="1085">
        <v>34</v>
      </c>
      <c r="DF48" s="2526" t="s">
        <v>1346</v>
      </c>
      <c r="DG48" s="2526"/>
      <c r="DH48" s="2526"/>
      <c r="DI48" s="2526"/>
      <c r="DK48" s="1151">
        <v>44</v>
      </c>
      <c r="DL48" s="1151">
        <v>2.3E-2</v>
      </c>
    </row>
    <row r="49" spans="20:116" ht="27" customHeight="1">
      <c r="T49" s="1157" t="s">
        <v>1347</v>
      </c>
      <c r="V49" s="1194"/>
      <c r="W49" s="1144"/>
      <c r="X49" s="1194"/>
      <c r="Y49" s="1144"/>
      <c r="Z49" s="1194"/>
      <c r="AA49" s="1144"/>
      <c r="AB49" s="1194"/>
      <c r="AD49" s="1194"/>
      <c r="AF49" s="1112"/>
      <c r="AG49" s="1112"/>
      <c r="AH49" s="1112"/>
      <c r="AI49" s="1112"/>
      <c r="AJ49" s="1112"/>
      <c r="AK49" s="1112"/>
      <c r="AL49" s="1112"/>
      <c r="AM49" s="1112"/>
      <c r="AN49" s="1112"/>
      <c r="AO49" s="1112"/>
      <c r="AP49" s="1112"/>
      <c r="AU49" s="2533"/>
      <c r="AV49" s="1178" t="s">
        <v>1386</v>
      </c>
      <c r="BA49" s="1077"/>
      <c r="BM49" s="1077"/>
      <c r="BO49" s="1077"/>
      <c r="BP49" s="1077"/>
      <c r="BQ49" s="1077"/>
      <c r="BR49" s="1077"/>
      <c r="BS49" s="1077"/>
      <c r="BT49" s="1077"/>
      <c r="BU49" s="1077"/>
      <c r="BV49" s="1077"/>
      <c r="BW49" s="1077"/>
      <c r="BX49" s="1077"/>
      <c r="BY49" s="1077"/>
      <c r="BZ49" s="1077"/>
      <c r="CA49" s="1077"/>
      <c r="CB49" s="1077"/>
      <c r="CC49" s="1077"/>
      <c r="CE49" s="1077"/>
      <c r="CF49" s="1077"/>
      <c r="CG49" s="1077"/>
      <c r="CH49" s="1077"/>
      <c r="CJ49" s="1077"/>
      <c r="CK49" s="1077"/>
      <c r="CL49" s="1077"/>
      <c r="CN49" s="1077"/>
      <c r="CO49" s="1077"/>
      <c r="CP49" s="1077"/>
      <c r="CQ49" s="1077"/>
      <c r="CR49" s="1077"/>
      <c r="CV49" s="1164" t="s">
        <v>1314</v>
      </c>
      <c r="CW49" s="1109" t="s">
        <v>1105</v>
      </c>
      <c r="CX49" s="1110" t="str">
        <f t="shared" si="1"/>
        <v>[085]</v>
      </c>
      <c r="CY49" s="1085">
        <v>19</v>
      </c>
      <c r="DF49" s="2527"/>
      <c r="DG49" s="2527"/>
      <c r="DH49" s="2527"/>
      <c r="DI49" s="2527"/>
      <c r="DK49" s="1151">
        <v>45</v>
      </c>
      <c r="DL49" s="1151">
        <v>2.3E-2</v>
      </c>
    </row>
    <row r="50" spans="20:116" ht="27" customHeight="1">
      <c r="T50" s="1157" t="s">
        <v>1119</v>
      </c>
      <c r="V50" s="1194"/>
      <c r="W50" s="1144"/>
      <c r="X50" s="1194"/>
      <c r="Y50" s="1144"/>
      <c r="Z50" s="1194"/>
      <c r="AA50" s="1144"/>
      <c r="AB50" s="1194"/>
      <c r="AD50" s="1194"/>
      <c r="AF50" s="1112"/>
      <c r="AG50" s="1112"/>
      <c r="AH50" s="1112"/>
      <c r="AI50" s="1112"/>
      <c r="AJ50" s="1112"/>
      <c r="AK50" s="1112"/>
      <c r="AL50" s="1112"/>
      <c r="AM50" s="1112"/>
      <c r="AN50" s="1112"/>
      <c r="AO50" s="1112"/>
      <c r="AP50" s="1112"/>
      <c r="AU50" s="2537" t="s">
        <v>1327</v>
      </c>
      <c r="AV50" s="1142" t="s">
        <v>964</v>
      </c>
      <c r="BA50" s="1077"/>
      <c r="BM50" s="1077"/>
      <c r="BO50" s="1077"/>
      <c r="BP50" s="1077"/>
      <c r="BQ50" s="1077"/>
      <c r="BR50" s="1077"/>
      <c r="BS50" s="1077"/>
      <c r="BT50" s="1077"/>
      <c r="BU50" s="1077"/>
      <c r="BV50" s="1077"/>
      <c r="BW50" s="1077"/>
      <c r="BX50" s="1077"/>
      <c r="BY50" s="1077"/>
      <c r="BZ50" s="1077"/>
      <c r="CA50" s="1077"/>
      <c r="CB50" s="1077"/>
      <c r="CC50" s="1077"/>
      <c r="CG50" s="1077"/>
      <c r="CH50" s="1077"/>
      <c r="CJ50" s="1077"/>
      <c r="CK50" s="1077"/>
      <c r="CL50" s="1077"/>
      <c r="CN50" s="1077"/>
      <c r="CO50" s="1077"/>
      <c r="CP50" s="1077"/>
      <c r="CQ50" s="1077"/>
      <c r="CR50" s="1077"/>
      <c r="CV50" s="1164" t="s">
        <v>1314</v>
      </c>
      <c r="CW50" s="1185" t="s">
        <v>1129</v>
      </c>
      <c r="CX50" s="1110" t="str">
        <f t="shared" si="1"/>
        <v>[086]</v>
      </c>
      <c r="CY50" s="1085">
        <v>15</v>
      </c>
      <c r="DK50" s="1151">
        <v>46</v>
      </c>
      <c r="DL50" s="1151">
        <v>2.2000000000000002E-2</v>
      </c>
    </row>
    <row r="51" spans="20:116" ht="27" customHeight="1">
      <c r="T51" s="1157" t="s">
        <v>1143</v>
      </c>
      <c r="V51" s="1194"/>
      <c r="W51" s="1144"/>
      <c r="X51" s="1194"/>
      <c r="Y51" s="1144"/>
      <c r="Z51" s="1194"/>
      <c r="AA51" s="1144"/>
      <c r="AB51" s="1194"/>
      <c r="AD51" s="1194"/>
      <c r="AF51" s="1112"/>
      <c r="AG51" s="1112"/>
      <c r="AH51" s="1112"/>
      <c r="AI51" s="1112"/>
      <c r="AJ51" s="1112"/>
      <c r="AK51" s="1112"/>
      <c r="AL51" s="1112"/>
      <c r="AM51" s="1112"/>
      <c r="AN51" s="1112"/>
      <c r="AO51" s="1112"/>
      <c r="AP51" s="1112"/>
      <c r="AU51" s="2538"/>
      <c r="AV51" s="1160" t="s">
        <v>1011</v>
      </c>
      <c r="BA51" s="1077"/>
      <c r="BM51" s="1077"/>
      <c r="BO51" s="1077"/>
      <c r="BP51" s="1077"/>
      <c r="BQ51" s="1077"/>
      <c r="BR51" s="1077"/>
      <c r="BS51" s="1077"/>
      <c r="BT51" s="1077"/>
      <c r="BU51" s="1077"/>
      <c r="BV51" s="1077"/>
      <c r="BW51" s="1077"/>
      <c r="BX51" s="1077"/>
      <c r="BY51" s="1077"/>
      <c r="BZ51" s="1077"/>
      <c r="CA51" s="1077"/>
      <c r="CB51" s="1077"/>
      <c r="CC51" s="1077"/>
      <c r="CG51" s="1077"/>
      <c r="CH51" s="1077"/>
      <c r="CJ51" s="1077"/>
      <c r="CK51" s="1077"/>
      <c r="CL51" s="1077"/>
      <c r="CN51" s="1077"/>
      <c r="CO51" s="1077"/>
      <c r="CP51" s="1077"/>
      <c r="CQ51" s="1077"/>
      <c r="CR51" s="1077"/>
      <c r="CV51" s="1164" t="s">
        <v>1314</v>
      </c>
      <c r="CW51" s="1167" t="s">
        <v>1153</v>
      </c>
      <c r="CX51" s="1108" t="str">
        <f t="shared" si="1"/>
        <v>[088]</v>
      </c>
      <c r="CY51" s="1085">
        <v>31</v>
      </c>
      <c r="DK51" s="1151">
        <v>47</v>
      </c>
      <c r="DL51" s="1151">
        <v>2.2000000000000002E-2</v>
      </c>
    </row>
    <row r="52" spans="20:116" ht="27" customHeight="1">
      <c r="T52" s="1157" t="s">
        <v>1165</v>
      </c>
      <c r="V52" s="1194"/>
      <c r="W52" s="1144"/>
      <c r="X52" s="1194"/>
      <c r="Y52" s="1144"/>
      <c r="Z52" s="1194"/>
      <c r="AA52" s="1144"/>
      <c r="AB52" s="1194"/>
      <c r="AD52" s="1194"/>
      <c r="AF52" s="1112"/>
      <c r="AG52" s="1112"/>
      <c r="AH52" s="1112"/>
      <c r="AI52" s="1112"/>
      <c r="AJ52" s="1112"/>
      <c r="AK52" s="1112"/>
      <c r="AL52" s="1112"/>
      <c r="AM52" s="1112"/>
      <c r="AN52" s="1112"/>
      <c r="AO52" s="1112"/>
      <c r="AP52" s="1112"/>
      <c r="AU52" s="2538"/>
      <c r="AV52" s="1160" t="s">
        <v>1046</v>
      </c>
      <c r="BA52" s="1077"/>
      <c r="BM52" s="1077"/>
      <c r="BO52" s="1077"/>
      <c r="BP52" s="1077"/>
      <c r="BQ52" s="1077"/>
      <c r="BR52" s="1077"/>
      <c r="BS52" s="1077"/>
      <c r="BT52" s="1077"/>
      <c r="BU52" s="1077"/>
      <c r="BV52" s="1077"/>
      <c r="BW52" s="1077"/>
      <c r="BX52" s="1077"/>
      <c r="BY52" s="1077"/>
      <c r="BZ52" s="1077"/>
      <c r="CA52" s="1077"/>
      <c r="CB52" s="1077"/>
      <c r="CC52" s="1077"/>
      <c r="CG52" s="1077"/>
      <c r="CH52" s="1077"/>
      <c r="CJ52" s="1077"/>
      <c r="CK52" s="1077"/>
      <c r="CL52" s="1077"/>
      <c r="CN52" s="1077"/>
      <c r="CO52" s="1077"/>
      <c r="CP52" s="1077"/>
      <c r="CQ52" s="1077"/>
      <c r="CR52" s="1077"/>
      <c r="CV52" s="1164" t="s">
        <v>1314</v>
      </c>
      <c r="CW52" s="1175" t="s">
        <v>1387</v>
      </c>
      <c r="CX52" s="1176" t="str">
        <f t="shared" si="1"/>
        <v>[089]</v>
      </c>
      <c r="CY52" s="1177">
        <v>19</v>
      </c>
      <c r="DK52" s="1151">
        <v>48</v>
      </c>
      <c r="DL52" s="1151">
        <v>2.1000000000000001E-2</v>
      </c>
    </row>
    <row r="53" spans="20:116" ht="27" customHeight="1">
      <c r="T53" s="1157" t="s">
        <v>1183</v>
      </c>
      <c r="V53" s="1194"/>
      <c r="W53" s="1144"/>
      <c r="X53" s="1194"/>
      <c r="Y53" s="1144"/>
      <c r="Z53" s="1194"/>
      <c r="AA53" s="1144"/>
      <c r="AB53" s="1194"/>
      <c r="AD53" s="1194"/>
      <c r="AF53" s="1112"/>
      <c r="AG53" s="1112"/>
      <c r="AH53" s="1112"/>
      <c r="AI53" s="1112"/>
      <c r="AJ53" s="1112"/>
      <c r="AK53" s="1112"/>
      <c r="AL53" s="1112"/>
      <c r="AM53" s="1112"/>
      <c r="AN53" s="1112"/>
      <c r="AO53" s="1112"/>
      <c r="AP53" s="1112"/>
      <c r="AU53" s="2538"/>
      <c r="AV53" s="1160" t="s">
        <v>1072</v>
      </c>
      <c r="BA53" s="1077"/>
      <c r="BM53" s="1077"/>
      <c r="BO53" s="1077"/>
      <c r="BP53" s="1077"/>
      <c r="BQ53" s="1077"/>
      <c r="BR53" s="1077"/>
      <c r="BS53" s="1077"/>
      <c r="BT53" s="1077"/>
      <c r="BU53" s="1077"/>
      <c r="BV53" s="1077"/>
      <c r="BW53" s="1077"/>
      <c r="BX53" s="1077"/>
      <c r="BY53" s="1077"/>
      <c r="BZ53" s="1077"/>
      <c r="CA53" s="1077"/>
      <c r="CB53" s="1077"/>
      <c r="CC53" s="1077"/>
      <c r="CG53" s="1077"/>
      <c r="CH53" s="1077"/>
      <c r="CJ53" s="1077"/>
      <c r="CK53" s="1077"/>
      <c r="CL53" s="1077"/>
      <c r="CN53" s="1077"/>
      <c r="CO53" s="1077"/>
      <c r="CP53" s="1077"/>
      <c r="CQ53" s="1077"/>
      <c r="CR53" s="1077"/>
      <c r="CV53" s="1164" t="s">
        <v>1314</v>
      </c>
      <c r="CW53" s="1175" t="s">
        <v>1388</v>
      </c>
      <c r="CX53" s="1176" t="str">
        <f>LEFT(CV53,3)&amp;MID(CW53,2,3)</f>
        <v>[0810]</v>
      </c>
      <c r="CY53" s="1177">
        <v>25</v>
      </c>
      <c r="DK53" s="1151">
        <v>49</v>
      </c>
      <c r="DL53" s="1151">
        <v>2.1000000000000001E-2</v>
      </c>
    </row>
    <row r="54" spans="20:116" ht="27" customHeight="1">
      <c r="T54" s="1157" t="s">
        <v>1204</v>
      </c>
      <c r="V54" s="1194"/>
      <c r="W54" s="1144"/>
      <c r="X54" s="1194"/>
      <c r="Y54" s="1144"/>
      <c r="Z54" s="1194"/>
      <c r="AA54" s="1144"/>
      <c r="AB54" s="1194"/>
      <c r="AD54" s="1194"/>
      <c r="AF54" s="1112"/>
      <c r="AG54" s="1112"/>
      <c r="AH54" s="1112"/>
      <c r="AI54" s="1112"/>
      <c r="AJ54" s="1112"/>
      <c r="AK54" s="1112"/>
      <c r="AL54" s="1112"/>
      <c r="AM54" s="1112"/>
      <c r="AN54" s="1112"/>
      <c r="AO54" s="1112"/>
      <c r="AP54" s="1112"/>
      <c r="AU54" s="2538"/>
      <c r="AV54" s="1089" t="s">
        <v>1123</v>
      </c>
      <c r="BA54" s="1077"/>
      <c r="BM54" s="1077"/>
      <c r="BO54" s="1077"/>
      <c r="BP54" s="1077"/>
      <c r="BQ54" s="1077"/>
      <c r="BR54" s="1077"/>
      <c r="BS54" s="1077"/>
      <c r="BT54" s="1077"/>
      <c r="BU54" s="1077"/>
      <c r="BV54" s="1077"/>
      <c r="BW54" s="1077"/>
      <c r="BX54" s="1077"/>
      <c r="BY54" s="1077"/>
      <c r="BZ54" s="1077"/>
      <c r="CA54" s="1077"/>
      <c r="CB54" s="1077"/>
      <c r="CC54" s="1077"/>
      <c r="CG54" s="1077"/>
      <c r="CH54" s="1077"/>
      <c r="CJ54" s="1077"/>
      <c r="CK54" s="1077"/>
      <c r="CL54" s="1077"/>
      <c r="CN54" s="1077"/>
      <c r="CO54" s="1077"/>
      <c r="CP54" s="1077"/>
      <c r="CQ54" s="1077"/>
      <c r="CR54" s="1077"/>
      <c r="CV54" s="1164" t="s">
        <v>1314</v>
      </c>
      <c r="CW54" s="1175" t="s">
        <v>1389</v>
      </c>
      <c r="CX54" s="1176" t="str">
        <f>LEFT(CV54,3)&amp;MID(CW54,2,3)</f>
        <v>[0811]</v>
      </c>
      <c r="CY54" s="1177">
        <v>31</v>
      </c>
      <c r="DK54" s="1151">
        <v>50</v>
      </c>
      <c r="DL54" s="1151">
        <v>0.02</v>
      </c>
    </row>
    <row r="55" spans="20:116" ht="27" customHeight="1">
      <c r="T55" s="1157" t="s">
        <v>1351</v>
      </c>
      <c r="V55" s="1194"/>
      <c r="W55" s="1144"/>
      <c r="X55" s="1194"/>
      <c r="Y55" s="1144"/>
      <c r="Z55" s="1194"/>
      <c r="AA55" s="1144"/>
      <c r="AB55" s="1194"/>
      <c r="AD55" s="1194"/>
      <c r="AF55" s="1112"/>
      <c r="AG55" s="1112"/>
      <c r="AH55" s="1112"/>
      <c r="AI55" s="1112"/>
      <c r="AJ55" s="1112"/>
      <c r="AK55" s="1112"/>
      <c r="AL55" s="1112"/>
      <c r="AM55" s="1112"/>
      <c r="AN55" s="1112"/>
      <c r="AO55" s="1112"/>
      <c r="AP55" s="1112"/>
      <c r="AU55" s="2538"/>
      <c r="AV55" s="1089" t="s">
        <v>1147</v>
      </c>
      <c r="BA55" s="1077"/>
      <c r="BM55" s="1077"/>
      <c r="BO55" s="1077"/>
      <c r="BP55" s="1077"/>
      <c r="BQ55" s="1077"/>
      <c r="BR55" s="1077"/>
      <c r="BS55" s="1077"/>
      <c r="BT55" s="1077"/>
      <c r="BU55" s="1077"/>
      <c r="BV55" s="1077"/>
      <c r="BW55" s="1077"/>
      <c r="BX55" s="1077"/>
      <c r="BY55" s="1077"/>
      <c r="BZ55" s="1077"/>
      <c r="CA55" s="1077"/>
      <c r="CB55" s="1077"/>
      <c r="CC55" s="1077"/>
      <c r="CG55" s="1077"/>
      <c r="CH55" s="1077"/>
      <c r="CJ55" s="1077"/>
      <c r="CK55" s="1077"/>
      <c r="CL55" s="1077"/>
      <c r="CN55" s="1077"/>
      <c r="CO55" s="1077"/>
      <c r="CP55" s="1077"/>
      <c r="CQ55" s="1077"/>
      <c r="CR55" s="1077"/>
      <c r="CV55" s="1148" t="s">
        <v>1328</v>
      </c>
      <c r="CW55" s="1109" t="s">
        <v>983</v>
      </c>
      <c r="CX55" s="1110" t="str">
        <f t="shared" si="1"/>
        <v>[111]</v>
      </c>
      <c r="CY55" s="1110">
        <v>15</v>
      </c>
    </row>
    <row r="56" spans="20:116" ht="27" customHeight="1">
      <c r="T56" s="1157" t="s">
        <v>1352</v>
      </c>
      <c r="V56" s="1194"/>
      <c r="W56" s="1144"/>
      <c r="X56" s="1194"/>
      <c r="Y56" s="1144"/>
      <c r="Z56" s="1194"/>
      <c r="AA56" s="1144"/>
      <c r="AB56" s="1194"/>
      <c r="AD56" s="1194"/>
      <c r="AF56" s="1112"/>
      <c r="AG56" s="1112"/>
      <c r="AH56" s="1112"/>
      <c r="AI56" s="1112"/>
      <c r="AJ56" s="1112"/>
      <c r="AK56" s="1112"/>
      <c r="AL56" s="1112"/>
      <c r="AM56" s="1112"/>
      <c r="AN56" s="1112"/>
      <c r="AO56" s="1112"/>
      <c r="AP56" s="1112"/>
      <c r="AU56" s="2538"/>
      <c r="AV56" s="1160" t="s">
        <v>1384</v>
      </c>
      <c r="BA56" s="1077"/>
      <c r="BM56" s="1077"/>
      <c r="BO56" s="1077"/>
      <c r="BP56" s="1077"/>
      <c r="BQ56" s="1077"/>
      <c r="BR56" s="1077"/>
      <c r="BS56" s="1077"/>
      <c r="BT56" s="1077"/>
      <c r="BU56" s="1077"/>
      <c r="BV56" s="1077"/>
      <c r="BW56" s="1077"/>
      <c r="BX56" s="1077"/>
      <c r="BY56" s="1077"/>
      <c r="BZ56" s="1077"/>
      <c r="CA56" s="1077"/>
      <c r="CB56" s="1077"/>
      <c r="CC56" s="1077"/>
      <c r="CG56" s="1077"/>
      <c r="CH56" s="1077"/>
      <c r="CJ56" s="1077"/>
      <c r="CK56" s="1077"/>
      <c r="CL56" s="1077"/>
      <c r="CN56" s="1077"/>
      <c r="CO56" s="1077"/>
      <c r="CP56" s="1077"/>
      <c r="CQ56" s="1077"/>
      <c r="CR56" s="1077"/>
      <c r="CV56" s="1164" t="s">
        <v>1328</v>
      </c>
      <c r="CW56" s="1109" t="s">
        <v>1026</v>
      </c>
      <c r="CX56" s="1110" t="str">
        <f t="shared" si="1"/>
        <v>[112]</v>
      </c>
      <c r="CY56" s="1110">
        <v>15</v>
      </c>
    </row>
    <row r="57" spans="20:116" ht="27" customHeight="1">
      <c r="T57" s="1157" t="s">
        <v>1353</v>
      </c>
      <c r="V57" s="1194"/>
      <c r="W57" s="1144"/>
      <c r="X57" s="1194"/>
      <c r="Y57" s="1144"/>
      <c r="Z57" s="1194"/>
      <c r="AA57" s="1144"/>
      <c r="AB57" s="1194"/>
      <c r="AD57" s="1194"/>
      <c r="AF57" s="1112"/>
      <c r="AG57" s="1112"/>
      <c r="AH57" s="1112"/>
      <c r="AI57" s="1112"/>
      <c r="AJ57" s="1112"/>
      <c r="AK57" s="1112"/>
      <c r="AL57" s="1112"/>
      <c r="AM57" s="1112"/>
      <c r="AN57" s="1112"/>
      <c r="AO57" s="1112"/>
      <c r="AP57" s="1112"/>
      <c r="AU57" s="2538"/>
      <c r="AV57" s="1089" t="s">
        <v>1385</v>
      </c>
      <c r="BA57" s="1077"/>
      <c r="BM57" s="1077"/>
      <c r="BO57" s="1077"/>
      <c r="BP57" s="1077"/>
      <c r="BQ57" s="1077"/>
      <c r="BR57" s="1077"/>
      <c r="BS57" s="1077"/>
      <c r="BT57" s="1077"/>
      <c r="BV57" s="1077"/>
      <c r="BX57" s="1077"/>
      <c r="BY57" s="1077"/>
      <c r="BZ57" s="1077"/>
      <c r="CA57" s="1077"/>
      <c r="CB57" s="1077"/>
      <c r="CC57" s="1077"/>
      <c r="CG57" s="1077"/>
      <c r="CH57" s="1077"/>
      <c r="CJ57" s="1077"/>
      <c r="CK57" s="1077"/>
      <c r="CL57" s="1077"/>
      <c r="CN57" s="1077"/>
      <c r="CO57" s="1077"/>
      <c r="CP57" s="1077"/>
      <c r="CQ57" s="1077"/>
      <c r="CR57" s="1077"/>
      <c r="CV57" s="1164" t="s">
        <v>1328</v>
      </c>
      <c r="CW57" s="1185" t="s">
        <v>1054</v>
      </c>
      <c r="CX57" s="1110" t="str">
        <f t="shared" si="1"/>
        <v>[113]</v>
      </c>
      <c r="CY57" s="1110">
        <v>38</v>
      </c>
    </row>
    <row r="58" spans="20:116" ht="27" customHeight="1">
      <c r="T58" s="1157" t="s">
        <v>1358</v>
      </c>
      <c r="V58" s="1194"/>
      <c r="W58" s="1144"/>
      <c r="X58" s="1194"/>
      <c r="Y58" s="1144"/>
      <c r="Z58" s="1194"/>
      <c r="AA58" s="1144"/>
      <c r="AB58" s="1194"/>
      <c r="AD58" s="1194"/>
      <c r="AF58" s="1112"/>
      <c r="AG58" s="1112"/>
      <c r="AH58" s="1112"/>
      <c r="AI58" s="1112"/>
      <c r="AJ58" s="1112"/>
      <c r="AK58" s="1112"/>
      <c r="AL58" s="1112"/>
      <c r="AM58" s="1112"/>
      <c r="AN58" s="1112"/>
      <c r="AO58" s="1112"/>
      <c r="AP58" s="1112"/>
      <c r="AU58" s="2539"/>
      <c r="AV58" s="1178" t="s">
        <v>1386</v>
      </c>
      <c r="BA58" s="1077"/>
      <c r="BM58" s="1077"/>
      <c r="BO58" s="1077"/>
      <c r="BP58" s="1077"/>
      <c r="BQ58" s="1077"/>
      <c r="BR58" s="1077"/>
      <c r="BS58" s="1077"/>
      <c r="BT58" s="1077"/>
      <c r="BV58" s="1077"/>
      <c r="BX58" s="1077"/>
      <c r="BY58" s="1077"/>
      <c r="BZ58" s="1077"/>
      <c r="CB58" s="1077"/>
      <c r="CC58" s="1077"/>
      <c r="CE58" s="1077"/>
      <c r="CF58" s="1077"/>
      <c r="CG58" s="1077"/>
      <c r="CH58" s="1077"/>
      <c r="CJ58" s="1077"/>
      <c r="CK58" s="1077"/>
      <c r="CL58" s="1077"/>
      <c r="CN58" s="1077"/>
      <c r="CO58" s="1077"/>
      <c r="CP58" s="1077"/>
      <c r="CQ58" s="1077"/>
      <c r="CR58" s="1077"/>
      <c r="CV58" s="1164" t="s">
        <v>1328</v>
      </c>
      <c r="CW58" s="1185" t="s">
        <v>1335</v>
      </c>
      <c r="CX58" s="1110" t="str">
        <f t="shared" si="1"/>
        <v>[114]</v>
      </c>
      <c r="CY58" s="1085">
        <v>34</v>
      </c>
    </row>
    <row r="59" spans="20:116" ht="27" customHeight="1">
      <c r="T59" s="1156" t="s">
        <v>1361</v>
      </c>
      <c r="V59" s="1194"/>
      <c r="W59" s="1144"/>
      <c r="X59" s="1194"/>
      <c r="Y59" s="1144"/>
      <c r="Z59" s="1194"/>
      <c r="AA59" s="1144"/>
      <c r="AB59" s="1194"/>
      <c r="AD59" s="1194"/>
      <c r="AF59" s="1112"/>
      <c r="AG59" s="1112"/>
      <c r="AH59" s="1112"/>
      <c r="AI59" s="1112"/>
      <c r="AJ59" s="1112"/>
      <c r="AK59" s="1112"/>
      <c r="AL59" s="1112"/>
      <c r="AM59" s="1112"/>
      <c r="AN59" s="1112"/>
      <c r="AO59" s="1112"/>
      <c r="AP59" s="1112"/>
      <c r="AU59" s="2531" t="s">
        <v>1146</v>
      </c>
      <c r="AV59" s="1142" t="s">
        <v>964</v>
      </c>
      <c r="BA59" s="1077"/>
      <c r="BM59" s="1077"/>
      <c r="BO59" s="1077"/>
      <c r="BP59" s="1077"/>
      <c r="BQ59" s="1077"/>
      <c r="BR59" s="1077"/>
      <c r="BS59" s="1077"/>
      <c r="BT59" s="1077"/>
      <c r="BV59" s="1077"/>
      <c r="BX59" s="1077"/>
      <c r="BY59" s="1077"/>
      <c r="BZ59" s="1077"/>
      <c r="CB59" s="1077"/>
      <c r="CE59" s="1077"/>
      <c r="CF59" s="1077"/>
      <c r="CG59" s="1077"/>
      <c r="CH59" s="1077"/>
      <c r="CJ59" s="1077"/>
      <c r="CK59" s="1077"/>
      <c r="CL59" s="1077"/>
      <c r="CN59" s="1077"/>
      <c r="CO59" s="1077"/>
      <c r="CP59" s="1077"/>
      <c r="CQ59" s="1077"/>
      <c r="CR59" s="1077"/>
      <c r="CV59" s="1164" t="s">
        <v>1328</v>
      </c>
      <c r="CW59" s="1109" t="s">
        <v>1105</v>
      </c>
      <c r="CX59" s="1110" t="str">
        <f t="shared" si="1"/>
        <v>[115]</v>
      </c>
      <c r="CY59" s="1085">
        <v>17</v>
      </c>
    </row>
    <row r="60" spans="20:116" ht="27" customHeight="1">
      <c r="AU60" s="2532"/>
      <c r="AV60" s="1160" t="s">
        <v>1011</v>
      </c>
      <c r="BQ60" s="1077"/>
      <c r="BS60" s="1077"/>
      <c r="BY60" s="1077"/>
      <c r="CE60" s="1077"/>
      <c r="CF60" s="1077"/>
      <c r="CV60" s="1164" t="s">
        <v>1328</v>
      </c>
      <c r="CW60" s="1185" t="s">
        <v>1129</v>
      </c>
      <c r="CX60" s="1110" t="str">
        <f t="shared" si="1"/>
        <v>[116]</v>
      </c>
      <c r="CY60" s="1085">
        <v>14</v>
      </c>
    </row>
    <row r="61" spans="20:116" ht="27" customHeight="1">
      <c r="AU61" s="2533"/>
      <c r="AV61" s="1084" t="s">
        <v>1348</v>
      </c>
      <c r="CE61" s="1077"/>
      <c r="CF61" s="1077"/>
      <c r="CV61" s="1164" t="s">
        <v>1328</v>
      </c>
      <c r="CW61" s="1167" t="s">
        <v>1153</v>
      </c>
      <c r="CX61" s="1108" t="str">
        <f t="shared" si="1"/>
        <v>[118]</v>
      </c>
      <c r="CY61" s="1085">
        <v>31</v>
      </c>
    </row>
    <row r="62" spans="20:116" ht="27" customHeight="1">
      <c r="AU62" s="2537" t="s">
        <v>1350</v>
      </c>
      <c r="AV62" s="1142" t="s">
        <v>964</v>
      </c>
      <c r="CE62" s="1077"/>
      <c r="CF62" s="1077"/>
      <c r="CV62" s="1164" t="s">
        <v>1328</v>
      </c>
      <c r="CW62" s="1175" t="s">
        <v>1387</v>
      </c>
      <c r="CX62" s="1176" t="str">
        <f t="shared" si="1"/>
        <v>[119]</v>
      </c>
      <c r="CY62" s="1177">
        <v>17</v>
      </c>
    </row>
    <row r="63" spans="20:116" ht="27" customHeight="1">
      <c r="AU63" s="2538"/>
      <c r="AV63" s="1160" t="s">
        <v>1011</v>
      </c>
      <c r="CE63" s="1077"/>
      <c r="CF63" s="1077"/>
      <c r="CV63" s="1164" t="s">
        <v>1328</v>
      </c>
      <c r="CW63" s="1175" t="s">
        <v>1388</v>
      </c>
      <c r="CX63" s="1176" t="str">
        <f>LEFT(CV63,3)&amp;MID(CW63,2,3)</f>
        <v>[1110]</v>
      </c>
      <c r="CY63" s="1197">
        <v>24</v>
      </c>
    </row>
    <row r="64" spans="20:116" ht="27" customHeight="1">
      <c r="AU64" s="2538"/>
      <c r="AV64" s="1160" t="s">
        <v>1046</v>
      </c>
      <c r="CE64" s="1077"/>
      <c r="CF64" s="1077"/>
      <c r="CV64" s="1164" t="s">
        <v>1328</v>
      </c>
      <c r="CW64" s="1175" t="s">
        <v>1389</v>
      </c>
      <c r="CX64" s="1176" t="str">
        <f>LEFT(CV64,3)&amp;MID(CW64,2,3)</f>
        <v>[1111]</v>
      </c>
      <c r="CY64" s="1197">
        <v>31</v>
      </c>
    </row>
    <row r="65" spans="47:103" ht="27" customHeight="1">
      <c r="AU65" s="2538"/>
      <c r="AV65" s="1160" t="s">
        <v>1072</v>
      </c>
      <c r="CE65" s="1077"/>
      <c r="CF65" s="1077"/>
      <c r="CV65" s="1148" t="s">
        <v>1344</v>
      </c>
      <c r="CW65" s="1109" t="s">
        <v>983</v>
      </c>
      <c r="CX65" s="1110" t="str">
        <f t="shared" si="1"/>
        <v>[121]</v>
      </c>
      <c r="CY65" s="1110">
        <v>5</v>
      </c>
    </row>
    <row r="66" spans="47:103" ht="27" customHeight="1">
      <c r="AU66" s="2538"/>
      <c r="AV66" s="1089" t="s">
        <v>1123</v>
      </c>
      <c r="CE66" s="1077"/>
      <c r="CF66" s="1077"/>
      <c r="CV66" s="1164" t="s">
        <v>1344</v>
      </c>
      <c r="CW66" s="1109" t="s">
        <v>1026</v>
      </c>
      <c r="CX66" s="1110" t="str">
        <f t="shared" si="1"/>
        <v>[122]</v>
      </c>
      <c r="CY66" s="1110">
        <v>8</v>
      </c>
    </row>
    <row r="67" spans="47:103" ht="27" customHeight="1">
      <c r="AU67" s="2538"/>
      <c r="AV67" s="1089" t="s">
        <v>1147</v>
      </c>
      <c r="CE67" s="1077"/>
      <c r="CF67" s="1077"/>
      <c r="CV67" s="1164" t="s">
        <v>1344</v>
      </c>
      <c r="CW67" s="1109" t="s">
        <v>1349</v>
      </c>
      <c r="CX67" s="1110" t="str">
        <f t="shared" si="1"/>
        <v>[127]</v>
      </c>
      <c r="CY67" s="1085">
        <v>14</v>
      </c>
    </row>
    <row r="68" spans="47:103" ht="27" customHeight="1">
      <c r="AU68" s="2538"/>
      <c r="AV68" s="1160" t="s">
        <v>1384</v>
      </c>
      <c r="CE68" s="1077"/>
      <c r="CF68" s="1077"/>
      <c r="CV68" s="1104" t="s">
        <v>1168</v>
      </c>
      <c r="CW68" s="1109" t="s">
        <v>983</v>
      </c>
      <c r="CX68" s="1105" t="str">
        <f t="shared" si="1"/>
        <v>[131]</v>
      </c>
      <c r="CY68" s="1105">
        <v>24</v>
      </c>
    </row>
    <row r="69" spans="47:103" ht="27" customHeight="1">
      <c r="AU69" s="2538"/>
      <c r="AV69" s="1089" t="s">
        <v>1385</v>
      </c>
      <c r="CE69" s="1077"/>
      <c r="CF69" s="1077"/>
      <c r="CV69" s="1088" t="s">
        <v>1168</v>
      </c>
      <c r="CW69" s="1109" t="s">
        <v>1026</v>
      </c>
      <c r="CX69" s="1105" t="str">
        <f t="shared" si="1"/>
        <v>[132]</v>
      </c>
      <c r="CY69" s="1105">
        <v>24</v>
      </c>
    </row>
    <row r="70" spans="47:103" ht="27" customHeight="1">
      <c r="AU70" s="2539"/>
      <c r="AV70" s="1178" t="s">
        <v>1386</v>
      </c>
      <c r="CE70" s="1077"/>
      <c r="CF70" s="1077"/>
      <c r="CV70" s="1088" t="s">
        <v>1168</v>
      </c>
      <c r="CW70" s="1185" t="s">
        <v>1054</v>
      </c>
      <c r="CX70" s="1105" t="str">
        <f t="shared" si="1"/>
        <v>[133]</v>
      </c>
      <c r="CY70" s="1105">
        <v>50</v>
      </c>
    </row>
    <row r="71" spans="47:103" ht="27" customHeight="1">
      <c r="AU71" s="2540" t="s">
        <v>1354</v>
      </c>
      <c r="AV71" s="1093" t="s">
        <v>1355</v>
      </c>
      <c r="CE71" s="1077"/>
      <c r="CF71" s="1077"/>
      <c r="CV71" s="1088" t="s">
        <v>1168</v>
      </c>
      <c r="CW71" s="1185" t="s">
        <v>1072</v>
      </c>
      <c r="CX71" s="1105" t="str">
        <f t="shared" si="1"/>
        <v>[134]</v>
      </c>
      <c r="CY71" s="1105">
        <v>41</v>
      </c>
    </row>
    <row r="72" spans="47:103" ht="27" customHeight="1">
      <c r="AU72" s="2541"/>
      <c r="AV72" s="1086" t="s">
        <v>1359</v>
      </c>
      <c r="CE72" s="1077"/>
      <c r="CF72" s="1077"/>
      <c r="CV72" s="1088" t="s">
        <v>1168</v>
      </c>
      <c r="CW72" s="1109" t="s">
        <v>1105</v>
      </c>
      <c r="CX72" s="1105" t="str">
        <f t="shared" si="1"/>
        <v>[135]</v>
      </c>
      <c r="CY72" s="1105">
        <v>22</v>
      </c>
    </row>
    <row r="73" spans="47:103" ht="27" customHeight="1">
      <c r="AU73" s="2542"/>
      <c r="AV73" s="1156" t="s">
        <v>1362</v>
      </c>
      <c r="CE73" s="1077"/>
      <c r="CF73" s="1077"/>
      <c r="CV73" s="1088" t="s">
        <v>1168</v>
      </c>
      <c r="CW73" s="1185" t="s">
        <v>1129</v>
      </c>
      <c r="CX73" s="1105" t="str">
        <f t="shared" si="1"/>
        <v>[136]</v>
      </c>
      <c r="CY73" s="1105">
        <v>22</v>
      </c>
    </row>
    <row r="74" spans="47:103" ht="27" customHeight="1">
      <c r="AU74" s="2543" t="s">
        <v>1364</v>
      </c>
      <c r="AV74" s="1093" t="s">
        <v>1365</v>
      </c>
      <c r="CE74" s="1077"/>
      <c r="CF74" s="1077"/>
      <c r="CV74" s="1088" t="s">
        <v>1168</v>
      </c>
      <c r="CW74" s="1167" t="s">
        <v>1153</v>
      </c>
      <c r="CX74" s="1108" t="str">
        <f t="shared" si="1"/>
        <v>[138]</v>
      </c>
      <c r="CY74" s="1085">
        <v>38</v>
      </c>
    </row>
    <row r="75" spans="47:103" ht="27" customHeight="1">
      <c r="AU75" s="2544"/>
      <c r="AV75" s="1156" t="s">
        <v>1362</v>
      </c>
      <c r="CV75" s="1088" t="s">
        <v>1168</v>
      </c>
      <c r="CW75" s="1175" t="s">
        <v>1387</v>
      </c>
      <c r="CX75" s="1105" t="str">
        <f t="shared" si="1"/>
        <v>[139]</v>
      </c>
      <c r="CY75" s="1177">
        <v>22</v>
      </c>
    </row>
    <row r="76" spans="47:103" ht="27" customHeight="1">
      <c r="AU76" s="2545" t="s">
        <v>1223</v>
      </c>
      <c r="AV76" s="1137" t="s">
        <v>1368</v>
      </c>
      <c r="CV76" s="1088" t="s">
        <v>1168</v>
      </c>
      <c r="CW76" s="1175" t="s">
        <v>1388</v>
      </c>
      <c r="CX76" s="1176" t="str">
        <f>LEFT(CV76,3)&amp;MID(CW76,2,3)</f>
        <v>[1310]</v>
      </c>
      <c r="CY76" s="1177">
        <v>30</v>
      </c>
    </row>
    <row r="77" spans="47:103" ht="27" customHeight="1">
      <c r="AU77" s="2546"/>
      <c r="AV77" s="1157" t="s">
        <v>1371</v>
      </c>
      <c r="CV77" s="1090" t="s">
        <v>1168</v>
      </c>
      <c r="CW77" s="1175" t="s">
        <v>1389</v>
      </c>
      <c r="CX77" s="1176" t="str">
        <f>LEFT(CV77,3)&amp;MID(CW77,2,3)</f>
        <v>[1311]</v>
      </c>
      <c r="CY77" s="1177">
        <v>38</v>
      </c>
    </row>
    <row r="78" spans="47:103">
      <c r="AU78" s="2547"/>
      <c r="AV78" s="1156" t="s">
        <v>1362</v>
      </c>
      <c r="CV78" s="1088" t="s">
        <v>1356</v>
      </c>
      <c r="CW78" s="1185" t="s">
        <v>1357</v>
      </c>
      <c r="CX78" s="1105" t="str">
        <f t="shared" si="1"/>
        <v>[142]</v>
      </c>
      <c r="CY78" s="1105">
        <v>14</v>
      </c>
    </row>
    <row r="79" spans="47:103">
      <c r="AU79" s="1152" t="s">
        <v>1243</v>
      </c>
      <c r="AV79" s="1202" t="s">
        <v>1362</v>
      </c>
      <c r="CV79" s="1088" t="s">
        <v>1356</v>
      </c>
      <c r="CW79" s="1185" t="s">
        <v>1360</v>
      </c>
      <c r="CX79" s="1105" t="str">
        <f t="shared" si="1"/>
        <v>[143]</v>
      </c>
      <c r="CY79" s="1105">
        <v>5</v>
      </c>
    </row>
    <row r="80" spans="47:103">
      <c r="AU80" s="1152" t="s">
        <v>1374</v>
      </c>
      <c r="AV80" s="1202" t="s">
        <v>1362</v>
      </c>
      <c r="CV80" s="1088" t="s">
        <v>1356</v>
      </c>
      <c r="CW80" s="1185" t="s">
        <v>1363</v>
      </c>
      <c r="CX80" s="1105" t="str">
        <f t="shared" si="1"/>
        <v>[147]</v>
      </c>
      <c r="CY80" s="1085">
        <v>30</v>
      </c>
    </row>
    <row r="81" spans="47:103" ht="22.5">
      <c r="AU81" s="2548" t="s">
        <v>1261</v>
      </c>
      <c r="AV81" s="1093" t="s">
        <v>1365</v>
      </c>
      <c r="CV81" s="1104" t="s">
        <v>1366</v>
      </c>
      <c r="CW81" s="1185" t="s">
        <v>1367</v>
      </c>
      <c r="CX81" s="1105" t="str">
        <f t="shared" si="1"/>
        <v>[151]</v>
      </c>
      <c r="CY81" s="1105">
        <v>17</v>
      </c>
    </row>
    <row r="82" spans="47:103">
      <c r="AU82" s="2549"/>
      <c r="AV82" s="1156" t="s">
        <v>1362</v>
      </c>
      <c r="CV82" s="1090" t="s">
        <v>1366</v>
      </c>
      <c r="CW82" s="1185" t="s">
        <v>1363</v>
      </c>
      <c r="CX82" s="1105" t="str">
        <f t="shared" si="1"/>
        <v>[157]</v>
      </c>
      <c r="CY82" s="1085">
        <v>30</v>
      </c>
    </row>
    <row r="83" spans="47:103">
      <c r="AU83" s="2548" t="s">
        <v>1267</v>
      </c>
      <c r="AV83" s="1093" t="s">
        <v>1365</v>
      </c>
      <c r="CV83" s="1088" t="s">
        <v>1369</v>
      </c>
      <c r="CW83" s="1185" t="s">
        <v>1370</v>
      </c>
      <c r="CX83" s="1105" t="str">
        <f t="shared" si="1"/>
        <v>[164]</v>
      </c>
      <c r="CY83" s="1105">
        <v>10</v>
      </c>
    </row>
    <row r="84" spans="47:103">
      <c r="AU84" s="2549"/>
      <c r="AV84" s="1156" t="s">
        <v>1362</v>
      </c>
      <c r="CV84" s="1088" t="s">
        <v>1369</v>
      </c>
      <c r="CW84" s="1185" t="s">
        <v>1372</v>
      </c>
      <c r="CX84" s="1105" t="str">
        <f t="shared" si="1"/>
        <v>[166]</v>
      </c>
      <c r="CY84" s="1105">
        <v>8</v>
      </c>
    </row>
    <row r="85" spans="47:103">
      <c r="AU85" s="2534" t="s">
        <v>1274</v>
      </c>
      <c r="AV85" s="1093" t="s">
        <v>1365</v>
      </c>
      <c r="CV85" s="1090" t="s">
        <v>1369</v>
      </c>
      <c r="CW85" s="1185" t="s">
        <v>1363</v>
      </c>
      <c r="CX85" s="1105" t="str">
        <f t="shared" si="1"/>
        <v>[167]</v>
      </c>
      <c r="CY85" s="1085">
        <v>30</v>
      </c>
    </row>
    <row r="86" spans="47:103">
      <c r="AU86" s="2535"/>
      <c r="AV86" s="1086" t="s">
        <v>1355</v>
      </c>
      <c r="CV86" s="1106" t="s">
        <v>1373</v>
      </c>
      <c r="CW86" s="1185" t="s">
        <v>1363</v>
      </c>
      <c r="CX86" s="1105" t="str">
        <f t="shared" si="1"/>
        <v>[177]</v>
      </c>
      <c r="CY86" s="1085">
        <v>8</v>
      </c>
    </row>
    <row r="87" spans="47:103">
      <c r="AU87" s="2535"/>
      <c r="AV87" s="1086" t="s">
        <v>1359</v>
      </c>
      <c r="CV87" s="1088" t="s">
        <v>1375</v>
      </c>
      <c r="CW87" s="1185" t="s">
        <v>1363</v>
      </c>
      <c r="CX87" s="1105" t="str">
        <f t="shared" si="1"/>
        <v>[187]</v>
      </c>
      <c r="CY87" s="1085">
        <v>8</v>
      </c>
    </row>
    <row r="88" spans="47:103" ht="22.5">
      <c r="AU88" s="2535"/>
      <c r="AV88" s="1157" t="s">
        <v>1368</v>
      </c>
      <c r="CV88" s="1104" t="s">
        <v>1376</v>
      </c>
      <c r="CW88" s="1185" t="s">
        <v>1367</v>
      </c>
      <c r="CX88" s="1105" t="str">
        <f t="shared" si="1"/>
        <v>[191]</v>
      </c>
      <c r="CY88" s="1105">
        <v>17</v>
      </c>
    </row>
    <row r="89" spans="47:103">
      <c r="AU89" s="2535"/>
      <c r="AV89" s="1157" t="s">
        <v>1379</v>
      </c>
      <c r="CV89" s="1088" t="s">
        <v>1376</v>
      </c>
      <c r="CW89" s="1185" t="s">
        <v>1363</v>
      </c>
      <c r="CX89" s="1105" t="str">
        <f t="shared" si="1"/>
        <v>[197]</v>
      </c>
      <c r="CY89" s="1085">
        <v>30</v>
      </c>
    </row>
    <row r="90" spans="47:103" ht="22.5">
      <c r="AU90" s="2535"/>
      <c r="AV90" s="1157" t="s">
        <v>1371</v>
      </c>
      <c r="CV90" s="1104" t="s">
        <v>1377</v>
      </c>
      <c r="CW90" s="1185" t="s">
        <v>1367</v>
      </c>
      <c r="CX90" s="1105" t="str">
        <f t="shared" si="1"/>
        <v>[251]</v>
      </c>
      <c r="CY90" s="1105">
        <v>17</v>
      </c>
    </row>
    <row r="91" spans="47:103">
      <c r="AU91" s="2536"/>
      <c r="AV91" s="1156" t="s">
        <v>1362</v>
      </c>
      <c r="CV91" s="1090" t="s">
        <v>1377</v>
      </c>
      <c r="CW91" s="1185" t="s">
        <v>1363</v>
      </c>
      <c r="CX91" s="1105" t="str">
        <f t="shared" si="1"/>
        <v>[257]</v>
      </c>
      <c r="CY91" s="1085">
        <v>30</v>
      </c>
    </row>
    <row r="92" spans="47:103" ht="22.5">
      <c r="CV92" s="1104" t="s">
        <v>1378</v>
      </c>
      <c r="CW92" s="1185" t="s">
        <v>1367</v>
      </c>
      <c r="CX92" s="1105" t="str">
        <f t="shared" ref="CX92:CX98" si="2">LEFT(CV92,3)&amp;MID(CW92,2,2)</f>
        <v>[311]</v>
      </c>
      <c r="CY92" s="1105">
        <v>17</v>
      </c>
    </row>
    <row r="93" spans="47:103">
      <c r="CV93" s="1088" t="s">
        <v>1378</v>
      </c>
      <c r="CW93" s="1185" t="s">
        <v>1357</v>
      </c>
      <c r="CX93" s="1105" t="str">
        <f t="shared" si="2"/>
        <v>[312]</v>
      </c>
      <c r="CY93" s="1105">
        <v>14</v>
      </c>
    </row>
    <row r="94" spans="47:103">
      <c r="CV94" s="1088" t="s">
        <v>1378</v>
      </c>
      <c r="CW94" s="1185" t="s">
        <v>1360</v>
      </c>
      <c r="CX94" s="1105" t="str">
        <f t="shared" si="2"/>
        <v>[313]</v>
      </c>
      <c r="CY94" s="1105">
        <v>5</v>
      </c>
    </row>
    <row r="95" spans="47:103">
      <c r="CV95" s="1088" t="s">
        <v>1378</v>
      </c>
      <c r="CW95" s="1185" t="s">
        <v>1370</v>
      </c>
      <c r="CX95" s="1105" t="str">
        <f t="shared" si="2"/>
        <v>[314]</v>
      </c>
      <c r="CY95" s="1105">
        <v>10</v>
      </c>
    </row>
    <row r="96" spans="47:103">
      <c r="CV96" s="1088" t="s">
        <v>1378</v>
      </c>
      <c r="CW96" s="1185" t="s">
        <v>1380</v>
      </c>
      <c r="CX96" s="1105" t="str">
        <f t="shared" si="2"/>
        <v>[315]</v>
      </c>
      <c r="CY96" s="1105">
        <v>8</v>
      </c>
    </row>
    <row r="97" spans="100:103">
      <c r="CV97" s="1088" t="s">
        <v>1378</v>
      </c>
      <c r="CW97" s="1185" t="s">
        <v>1372</v>
      </c>
      <c r="CX97" s="1105" t="str">
        <f t="shared" si="2"/>
        <v>[316]</v>
      </c>
      <c r="CY97" s="1105">
        <v>8</v>
      </c>
    </row>
    <row r="98" spans="100:103">
      <c r="CV98" s="1088" t="s">
        <v>1378</v>
      </c>
      <c r="CW98" s="1185" t="s">
        <v>1363</v>
      </c>
      <c r="CX98" s="1105" t="str">
        <f t="shared" si="2"/>
        <v>[317]</v>
      </c>
      <c r="CY98" s="1085">
        <v>8</v>
      </c>
    </row>
    <row r="99" spans="100:103">
      <c r="CV99" s="1203" t="s">
        <v>1381</v>
      </c>
      <c r="CW99" s="1147"/>
      <c r="CX99" s="1128"/>
      <c r="CY99" s="1204"/>
    </row>
  </sheetData>
  <sheetProtection sheet="1" objects="1" scenarios="1" selectLockedCells="1"/>
  <mergeCells count="42">
    <mergeCell ref="AU85:AU91"/>
    <mergeCell ref="AU62:AU70"/>
    <mergeCell ref="AU50:AU58"/>
    <mergeCell ref="AU41:AU49"/>
    <mergeCell ref="AU32:AU40"/>
    <mergeCell ref="AU71:AU73"/>
    <mergeCell ref="AU74:AU75"/>
    <mergeCell ref="AU76:AU78"/>
    <mergeCell ref="AU81:AU82"/>
    <mergeCell ref="AU83:AU84"/>
    <mergeCell ref="AU59:AU61"/>
    <mergeCell ref="DF48:DI49"/>
    <mergeCell ref="CE11:CE12"/>
    <mergeCell ref="AR13:AR20"/>
    <mergeCell ref="CE13:CE14"/>
    <mergeCell ref="CE15:CE19"/>
    <mergeCell ref="AU23:AU31"/>
    <mergeCell ref="AU14:AU22"/>
    <mergeCell ref="AU5:AU13"/>
    <mergeCell ref="DA4:DB4"/>
    <mergeCell ref="DF4:DG4"/>
    <mergeCell ref="AR5:AR12"/>
    <mergeCell ref="BF5:BF7"/>
    <mergeCell ref="CE5:CE7"/>
    <mergeCell ref="DA5:DA7"/>
    <mergeCell ref="BF8:BF10"/>
    <mergeCell ref="CE8:CE10"/>
    <mergeCell ref="DA8:DA10"/>
    <mergeCell ref="AR2:AS2"/>
    <mergeCell ref="AU2:AV2"/>
    <mergeCell ref="BF2:BG2"/>
    <mergeCell ref="CE2:CF2"/>
    <mergeCell ref="AR4:AS4"/>
    <mergeCell ref="AU4:AV4"/>
    <mergeCell ref="BF4:BG4"/>
    <mergeCell ref="CE4:CF4"/>
    <mergeCell ref="CE1:CF1"/>
    <mergeCell ref="AR1:AS1"/>
    <mergeCell ref="AU1:AV1"/>
    <mergeCell ref="AX1:AY1"/>
    <mergeCell ref="AZ1:BA1"/>
    <mergeCell ref="BF1:BG1"/>
  </mergeCells>
  <phoneticPr fontId="5"/>
  <pageMargins left="0.7" right="0.7" top="0.75" bottom="0.75" header="0.3" footer="0.3"/>
  <pageSetup paperSize="9" orientation="portrait" horizontalDpi="300" verticalDpi="300"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9EC1F06132A4684D964F89617A1256EB" ma:contentTypeVersion="1" ma:contentTypeDescription="新しいドキュメントを作成します。" ma:contentTypeScope="" ma:versionID="434afa04958a3c3f20d3cccca31849c5">
  <xsd:schema xmlns:xsd="http://www.w3.org/2001/XMLSchema" xmlns:xs="http://www.w3.org/2001/XMLSchema" xmlns:p="http://schemas.microsoft.com/office/2006/metadata/properties" xmlns:ns2="1f80570b-921c-4f4d-b36a-d1e87defc2ad" targetNamespace="http://schemas.microsoft.com/office/2006/metadata/properties" ma:root="true" ma:fieldsID="45c07f209934e8d12aed2fdb630a4c75" ns2:_="">
    <xsd:import namespace="1f80570b-921c-4f4d-b36a-d1e87defc2ad"/>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80570b-921c-4f4d-b36a-d1e87defc2ad" elementFormDefault="qualified">
    <xsd:import namespace="http://schemas.microsoft.com/office/2006/documentManagement/types"/>
    <xsd:import namespace="http://schemas.microsoft.com/office/infopath/2007/PartnerControls"/>
    <xsd:element name="SharedWithUsers" ma:index="8" nillable="true" ma:displayName="共有相手"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4C2A625-6EFB-4A16-802C-AC72F1A79A50}">
  <ds:schemaRefs>
    <ds:schemaRef ds:uri="http://purl.org/dc/elements/1.1/"/>
    <ds:schemaRef ds:uri="http://schemas.microsoft.com/office/2006/metadata/properties"/>
    <ds:schemaRef ds:uri="http://purl.org/dc/terms/"/>
    <ds:schemaRef ds:uri="http://schemas.microsoft.com/office/2006/documentManagement/types"/>
    <ds:schemaRef ds:uri="http://schemas.openxmlformats.org/package/2006/metadata/core-properties"/>
    <ds:schemaRef ds:uri="1f80570b-921c-4f4d-b36a-d1e87defc2ad"/>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C42C53FE-AEA2-4E61-B24C-E69072566F13}">
  <ds:schemaRefs>
    <ds:schemaRef ds:uri="http://schemas.microsoft.com/sharepoint/v3/contenttype/forms"/>
  </ds:schemaRefs>
</ds:datastoreItem>
</file>

<file path=customXml/itemProps3.xml><?xml version="1.0" encoding="utf-8"?>
<ds:datastoreItem xmlns:ds="http://schemas.openxmlformats.org/officeDocument/2006/customXml" ds:itemID="{B863808E-501F-4D97-BD0A-ABC210084C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f80570b-921c-4f4d-b36a-d1e87defc2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53</vt:i4>
      </vt:variant>
    </vt:vector>
  </HeadingPairs>
  <TitlesOfParts>
    <vt:vector size="79" baseType="lpstr">
      <vt:lpstr>指標部入力</vt:lpstr>
      <vt:lpstr>表紙_個別</vt:lpstr>
      <vt:lpstr>約束事項_麦類</vt:lpstr>
      <vt:lpstr>目次_個別_米以外</vt:lpstr>
      <vt:lpstr>【１】経営の概況①_個別</vt:lpstr>
      <vt:lpstr>【１】経営の概況③_個別_麦・大豆</vt:lpstr>
      <vt:lpstr>【２】生産物の販売等の状況①_麦類</vt:lpstr>
      <vt:lpstr>【２】生産物の販売等の状況③_個別_麦類</vt:lpstr>
      <vt:lpstr>栽培の特徴</vt:lpstr>
      <vt:lpstr>【３】１種苗費_米以外</vt:lpstr>
      <vt:lpstr>【３】２肥料費_米以外</vt:lpstr>
      <vt:lpstr>【３】３農業薬剤費_米以外</vt:lpstr>
      <vt:lpstr>【３】４光熱動力費・５諸材料費_米以外</vt:lpstr>
      <vt:lpstr>【３】６賃借料及び料金_米以外</vt:lpstr>
      <vt:lpstr>【４】物件税及び公課諸負担_米以外</vt:lpstr>
      <vt:lpstr>【５】土地改良及び水利費・【６】借入金_米以外</vt:lpstr>
      <vt:lpstr>【７】建物及び構築物</vt:lpstr>
      <vt:lpstr>【８】自動車</vt:lpstr>
      <vt:lpstr>【９】農業機械</vt:lpstr>
      <vt:lpstr>減価償却費</vt:lpstr>
      <vt:lpstr>【10】農具の購入費等</vt:lpstr>
      <vt:lpstr>【11】土地_１所有地_米・さとうきび以外</vt:lpstr>
      <vt:lpstr>【11】土地_２借入地_米・さとうきび以外</vt:lpstr>
      <vt:lpstr>【12】作業別労働時間①_個別</vt:lpstr>
      <vt:lpstr>任意項目</vt:lpstr>
      <vt:lpstr>リスト</vt:lpstr>
      <vt:lpstr>[01]住宅</vt:lpstr>
      <vt:lpstr>[01]電動機</vt:lpstr>
      <vt:lpstr>[02]事務所</vt:lpstr>
      <vt:lpstr>[02]発動機</vt:lpstr>
      <vt:lpstr>[03]納屋・倉庫</vt:lpstr>
      <vt:lpstr>[03]歩行用トラクター</vt:lpstr>
      <vt:lpstr>[04]作業場</vt:lpstr>
      <vt:lpstr>[04]乗用トラクター</vt:lpstr>
      <vt:lpstr>[08]たい肥等散布機</vt:lpstr>
      <vt:lpstr>[08]車庫</vt:lpstr>
      <vt:lpstr>[09]肥料散布機</vt:lpstr>
      <vt:lpstr>[1]貨物自動車</vt:lpstr>
      <vt:lpstr>[10]総合は種機</vt:lpstr>
      <vt:lpstr>[11]ライスセンター</vt:lpstr>
      <vt:lpstr>[12]育苗ハウス</vt:lpstr>
      <vt:lpstr>[12]電熱育苗機</vt:lpstr>
      <vt:lpstr>[13]その他の建築物</vt:lpstr>
      <vt:lpstr>[13]田植機</vt:lpstr>
      <vt:lpstr>[14]移植機</vt:lpstr>
      <vt:lpstr>[14]稲架</vt:lpstr>
      <vt:lpstr>[15]コンクリートけい畔</vt:lpstr>
      <vt:lpstr>[15]揚水ポンプ</vt:lpstr>
      <vt:lpstr>[16]暗きょ排水施設</vt:lpstr>
      <vt:lpstr>[16]中耕除草機</vt:lpstr>
      <vt:lpstr>[17]客土</vt:lpstr>
      <vt:lpstr>[17]動力噴霧機</vt:lpstr>
      <vt:lpstr>[18]作業道</vt:lpstr>
      <vt:lpstr>[18]動力散粉機</vt:lpstr>
      <vt:lpstr>[19]バインダー</vt:lpstr>
      <vt:lpstr>[19]用水路</vt:lpstr>
      <vt:lpstr>[2]その他の自動車</vt:lpstr>
      <vt:lpstr>[20]自脱型コンバイン</vt:lpstr>
      <vt:lpstr>[21]普通型コンバイン</vt:lpstr>
      <vt:lpstr>[22]そば収穫機</vt:lpstr>
      <vt:lpstr>[23]大豆収穫機</vt:lpstr>
      <vt:lpstr>[24]かんしょ収穫機</vt:lpstr>
      <vt:lpstr>[25]たい肥盤</vt:lpstr>
      <vt:lpstr>[25]ばれいしょ収穫機</vt:lpstr>
      <vt:lpstr>[26]なたね収穫機</vt:lpstr>
      <vt:lpstr>[27]てんさい収穫機</vt:lpstr>
      <vt:lpstr>[28]さとうきび収穫機</vt:lpstr>
      <vt:lpstr>[29]脱穀機</vt:lpstr>
      <vt:lpstr>[30]きび脱葉機</vt:lpstr>
      <vt:lpstr>[31]その他の構築物</vt:lpstr>
      <vt:lpstr>[31]乾燥機</vt:lpstr>
      <vt:lpstr>[32]もみすり機</vt:lpstr>
      <vt:lpstr>[54]トレーラー</vt:lpstr>
      <vt:lpstr>[56]その他の農機具</vt:lpstr>
      <vt:lpstr>[57]パソコン</vt:lpstr>
      <vt:lpstr>[58]その他の生産管理機器</vt:lpstr>
      <vt:lpstr>調査年</vt:lpstr>
      <vt:lpstr>農機具種類</vt:lpstr>
      <vt:lpstr>品種名称</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daikouser</dc:creator>
  <cp:lastModifiedBy>関川 元啓(SEKIKAWA Motohiro)</cp:lastModifiedBy>
  <cp:lastPrinted>2020-11-12T01:35:33Z</cp:lastPrinted>
  <dcterms:created xsi:type="dcterms:W3CDTF">2020-03-06T09:30:40Z</dcterms:created>
  <dcterms:modified xsi:type="dcterms:W3CDTF">2024-01-22T00:53:10Z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0x0101009EC1F06132A4684D964F89617A1256EB</vt:lpwstr>
  </property>
</Properties>
</file>