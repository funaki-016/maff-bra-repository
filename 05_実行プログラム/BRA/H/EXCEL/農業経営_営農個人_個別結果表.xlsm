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filterPrivacy="1" codeName="ThisWorkbook" defaultThemeVersion="124226"/>
  <xr:revisionPtr revIDLastSave="0" documentId="13_ncr:1_{3EE4DA92-30E7-4DC7-B11E-997A51AB2A64}" xr6:coauthVersionLast="47" xr6:coauthVersionMax="47" xr10:uidLastSave="{00000000-0000-0000-0000-000000000000}"/>
  <bookViews>
    <workbookView xWindow="-120" yWindow="-16320" windowWidth="29040" windowHeight="15840" tabRatio="603" xr2:uid="{00000000-000D-0000-FFFF-FFFF00000000}"/>
  </bookViews>
  <sheets>
    <sheet name="No1" sheetId="33" r:id="rId1"/>
    <sheet name="No2" sheetId="29" r:id="rId2"/>
    <sheet name="No3" sheetId="28" r:id="rId3"/>
    <sheet name="No4" sheetId="30" r:id="rId4"/>
    <sheet name="No5" sheetId="31" r:id="rId5"/>
    <sheet name="No6" sheetId="32" r:id="rId6"/>
  </sheets>
  <functionGroups builtInGroupCount="19"/>
  <definedNames>
    <definedName name="_xlnm.Print_Area" localSheetId="0">'No1'!$A$1:$BO$57</definedName>
    <definedName name="_xlnm.Print_Area" localSheetId="1">'No2'!$A$1:$BX$53</definedName>
    <definedName name="_xlnm.Print_Area" localSheetId="2">'No3'!$A$1:$CC$58</definedName>
    <definedName name="_xlnm.Print_Area" localSheetId="3">'No4'!$A$1:$BP$56</definedName>
    <definedName name="_xlnm.Print_Area" localSheetId="4">'No5'!$A$1:$BX$55</definedName>
    <definedName name="_xlnm.Print_Area" localSheetId="5">'No6'!$A$1:$CC$58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4" i="32" l="1"/>
  <c r="BE4" i="31"/>
  <c r="AW4" i="30"/>
  <c r="BJ4" i="28"/>
  <c r="BE4" i="29"/>
  <c r="B1" i="33" l="1"/>
  <c r="B1" i="32"/>
  <c r="BY4" i="32"/>
  <c r="BT4" i="31"/>
  <c r="BL4" i="30"/>
  <c r="BY4" i="28"/>
  <c r="BT4" i="29"/>
  <c r="BT4" i="32"/>
  <c r="BO4" i="31"/>
  <c r="BG4" i="30"/>
  <c r="BT4" i="28"/>
  <c r="BO4" i="29"/>
  <c r="BE4" i="32"/>
  <c r="AZ4" i="31"/>
  <c r="B1" i="31" s="1"/>
  <c r="AR4" i="30"/>
  <c r="B1" i="30" s="1"/>
  <c r="BE4" i="28"/>
  <c r="B1" i="28" s="1"/>
  <c r="AZ4" i="29"/>
  <c r="B1" i="29" s="1"/>
</calcChain>
</file>

<file path=xl/sharedStrings.xml><?xml version="1.0" encoding="utf-8"?>
<sst xmlns="http://schemas.openxmlformats.org/spreadsheetml/2006/main" count="1635" uniqueCount="640">
  <si>
    <t>農産物</t>
    <rPh sb="0" eb="3">
      <t>ノウサンブツ</t>
    </rPh>
    <phoneticPr fontId="1"/>
  </si>
  <si>
    <t>その他</t>
    <rPh sb="2" eb="3">
      <t>タ</t>
    </rPh>
    <phoneticPr fontId="1"/>
  </si>
  <si>
    <t>主食用米</t>
    <rPh sb="0" eb="3">
      <t>シュショクヨウ</t>
    </rPh>
    <rPh sb="3" eb="4">
      <t>マイ</t>
    </rPh>
    <phoneticPr fontId="1"/>
  </si>
  <si>
    <t>加工用米</t>
    <rPh sb="0" eb="3">
      <t>カコウヨウ</t>
    </rPh>
    <rPh sb="3" eb="4">
      <t>マイ</t>
    </rPh>
    <phoneticPr fontId="1"/>
  </si>
  <si>
    <t>稲作</t>
    <rPh sb="0" eb="2">
      <t>イナサク</t>
    </rPh>
    <phoneticPr fontId="1"/>
  </si>
  <si>
    <t>麦類</t>
    <rPh sb="0" eb="2">
      <t>ムギルイ</t>
    </rPh>
    <phoneticPr fontId="1"/>
  </si>
  <si>
    <t>小麦</t>
    <rPh sb="0" eb="2">
      <t>コムギ</t>
    </rPh>
    <phoneticPr fontId="1"/>
  </si>
  <si>
    <t>二条大麦</t>
    <rPh sb="0" eb="2">
      <t>ニジョウ</t>
    </rPh>
    <rPh sb="2" eb="4">
      <t>オオムギ</t>
    </rPh>
    <phoneticPr fontId="1"/>
  </si>
  <si>
    <t>六条大麦</t>
    <rPh sb="0" eb="2">
      <t>ロクジョウ</t>
    </rPh>
    <rPh sb="2" eb="4">
      <t>オオムギ</t>
    </rPh>
    <phoneticPr fontId="1"/>
  </si>
  <si>
    <t>はだか麦</t>
    <rPh sb="3" eb="4">
      <t>ムギ</t>
    </rPh>
    <phoneticPr fontId="1"/>
  </si>
  <si>
    <t>雑穀</t>
    <rPh sb="0" eb="2">
      <t>ザッコク</t>
    </rPh>
    <phoneticPr fontId="1"/>
  </si>
  <si>
    <t>大豆</t>
    <rPh sb="0" eb="2">
      <t>ダイズ</t>
    </rPh>
    <phoneticPr fontId="1"/>
  </si>
  <si>
    <t>工芸農作物</t>
    <rPh sb="0" eb="2">
      <t>コウゲイ</t>
    </rPh>
    <rPh sb="2" eb="5">
      <t>ノウサクモツ</t>
    </rPh>
    <phoneticPr fontId="1"/>
  </si>
  <si>
    <t>施設野菜</t>
    <rPh sb="0" eb="2">
      <t>シセツ</t>
    </rPh>
    <rPh sb="2" eb="4">
      <t>ヤサイ</t>
    </rPh>
    <phoneticPr fontId="1"/>
  </si>
  <si>
    <t>果樹</t>
    <rPh sb="0" eb="2">
      <t>カジュ</t>
    </rPh>
    <phoneticPr fontId="1"/>
  </si>
  <si>
    <t>養豚</t>
    <rPh sb="0" eb="2">
      <t>ヨウトン</t>
    </rPh>
    <phoneticPr fontId="1"/>
  </si>
  <si>
    <t>飼料用米</t>
    <rPh sb="0" eb="3">
      <t>シリョウヨウ</t>
    </rPh>
    <rPh sb="3" eb="4">
      <t>マイ</t>
    </rPh>
    <phoneticPr fontId="1"/>
  </si>
  <si>
    <t>露地野菜</t>
    <rPh sb="0" eb="2">
      <t>ロジ</t>
    </rPh>
    <rPh sb="2" eb="4">
      <t>ヤサイ</t>
    </rPh>
    <phoneticPr fontId="1"/>
  </si>
  <si>
    <t>酪農</t>
    <rPh sb="0" eb="2">
      <t>ラクノウ</t>
    </rPh>
    <phoneticPr fontId="1"/>
  </si>
  <si>
    <t>ブロイラー養鶏</t>
    <rPh sb="5" eb="7">
      <t>ヨウケイ</t>
    </rPh>
    <phoneticPr fontId="1"/>
  </si>
  <si>
    <t>植栽面積</t>
    <rPh sb="0" eb="2">
      <t>ショクサイ</t>
    </rPh>
    <rPh sb="2" eb="4">
      <t>メンセキ</t>
    </rPh>
    <phoneticPr fontId="1"/>
  </si>
  <si>
    <t>大豆以外</t>
    <rPh sb="0" eb="2">
      <t>ダイズ</t>
    </rPh>
    <rPh sb="2" eb="4">
      <t>イガイ</t>
    </rPh>
    <phoneticPr fontId="1"/>
  </si>
  <si>
    <t>雇用者</t>
    <rPh sb="0" eb="3">
      <t>コヨウシャ</t>
    </rPh>
    <phoneticPr fontId="1"/>
  </si>
  <si>
    <t>雇人費</t>
    <rPh sb="0" eb="2">
      <t>コジン</t>
    </rPh>
    <rPh sb="2" eb="3">
      <t>ヒ</t>
    </rPh>
    <phoneticPr fontId="1"/>
  </si>
  <si>
    <t>種苗費</t>
    <rPh sb="0" eb="2">
      <t>シュビョウ</t>
    </rPh>
    <rPh sb="2" eb="3">
      <t>ヒ</t>
    </rPh>
    <phoneticPr fontId="1"/>
  </si>
  <si>
    <t>肥料費</t>
    <rPh sb="0" eb="3">
      <t>ヒリョウヒ</t>
    </rPh>
    <phoneticPr fontId="1"/>
  </si>
  <si>
    <t>農薬衛生費</t>
    <rPh sb="0" eb="2">
      <t>ノウヤク</t>
    </rPh>
    <rPh sb="2" eb="5">
      <t>エイセイヒ</t>
    </rPh>
    <phoneticPr fontId="1"/>
  </si>
  <si>
    <t>諸材料費</t>
    <rPh sb="0" eb="1">
      <t>ショ</t>
    </rPh>
    <rPh sb="1" eb="4">
      <t>ザイリョウヒ</t>
    </rPh>
    <phoneticPr fontId="1"/>
  </si>
  <si>
    <t>動力光熱費</t>
    <rPh sb="0" eb="2">
      <t>ドウリョク</t>
    </rPh>
    <rPh sb="2" eb="5">
      <t>コウネツヒ</t>
    </rPh>
    <phoneticPr fontId="1"/>
  </si>
  <si>
    <t>作付面積</t>
    <rPh sb="0" eb="2">
      <t>サクツケ</t>
    </rPh>
    <rPh sb="2" eb="4">
      <t>メンセキ</t>
    </rPh>
    <phoneticPr fontId="1"/>
  </si>
  <si>
    <t>農具費等</t>
    <rPh sb="0" eb="2">
      <t>ノウグ</t>
    </rPh>
    <rPh sb="2" eb="3">
      <t>ヒ</t>
    </rPh>
    <rPh sb="3" eb="4">
      <t>トウ</t>
    </rPh>
    <phoneticPr fontId="1"/>
  </si>
  <si>
    <t>荷造運賃手数料</t>
    <rPh sb="0" eb="1">
      <t>ニ</t>
    </rPh>
    <rPh sb="1" eb="2">
      <t>ヅクリ</t>
    </rPh>
    <rPh sb="2" eb="4">
      <t>ウンチン</t>
    </rPh>
    <rPh sb="4" eb="7">
      <t>テスウリョウ</t>
    </rPh>
    <phoneticPr fontId="1"/>
  </si>
  <si>
    <t>部門所得</t>
    <rPh sb="2" eb="4">
      <t>ショトク</t>
    </rPh>
    <phoneticPr fontId="1"/>
  </si>
  <si>
    <t>10a当たり</t>
    <rPh sb="3" eb="4">
      <t>ア</t>
    </rPh>
    <phoneticPr fontId="1"/>
  </si>
  <si>
    <t>収益性</t>
    <rPh sb="0" eb="3">
      <t>シュウエキセイ</t>
    </rPh>
    <phoneticPr fontId="1"/>
  </si>
  <si>
    <t>生産性</t>
    <rPh sb="0" eb="3">
      <t>セイサンセイ</t>
    </rPh>
    <phoneticPr fontId="1"/>
  </si>
  <si>
    <t>付加価値額</t>
    <rPh sb="0" eb="2">
      <t>フカ</t>
    </rPh>
    <rPh sb="2" eb="5">
      <t>カチガク</t>
    </rPh>
    <phoneticPr fontId="1"/>
  </si>
  <si>
    <t>付加価値率</t>
    <rPh sb="0" eb="2">
      <t>フカ</t>
    </rPh>
    <rPh sb="2" eb="5">
      <t>カチリツ</t>
    </rPh>
    <phoneticPr fontId="1"/>
  </si>
  <si>
    <t>円</t>
    <rPh sb="0" eb="1">
      <t>エン</t>
    </rPh>
    <phoneticPr fontId="1"/>
  </si>
  <si>
    <t>回</t>
    <rPh sb="0" eb="1">
      <t>カイ</t>
    </rPh>
    <phoneticPr fontId="1"/>
  </si>
  <si>
    <t>部門生産量</t>
    <rPh sb="0" eb="2">
      <t>ブモン</t>
    </rPh>
    <phoneticPr fontId="1"/>
  </si>
  <si>
    <t>区　　分</t>
    <rPh sb="0" eb="1">
      <t>ク</t>
    </rPh>
    <rPh sb="3" eb="4">
      <t>ブン</t>
    </rPh>
    <phoneticPr fontId="1"/>
  </si>
  <si>
    <t>農業生産関連事業収入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シュウニュウ</t>
    </rPh>
    <phoneticPr fontId="1"/>
  </si>
  <si>
    <t>材料費</t>
    <rPh sb="0" eb="3">
      <t>ザイリョウヒ</t>
    </rPh>
    <phoneticPr fontId="1"/>
  </si>
  <si>
    <t>外注費</t>
    <rPh sb="0" eb="3">
      <t>ガイチュウヒ</t>
    </rPh>
    <phoneticPr fontId="1"/>
  </si>
  <si>
    <t>その他の経費</t>
    <rPh sb="2" eb="3">
      <t>タ</t>
    </rPh>
    <rPh sb="4" eb="6">
      <t>ケイヒ</t>
    </rPh>
    <phoneticPr fontId="1"/>
  </si>
  <si>
    <t>日</t>
    <rPh sb="0" eb="1">
      <t>ニチ</t>
    </rPh>
    <phoneticPr fontId="1"/>
  </si>
  <si>
    <t>人</t>
    <rPh sb="0" eb="1">
      <t>ニン</t>
    </rPh>
    <phoneticPr fontId="1"/>
  </si>
  <si>
    <t>関連事業従事者1人当関連事業労働時間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ロウドウ</t>
    </rPh>
    <rPh sb="16" eb="18">
      <t>ジカン</t>
    </rPh>
    <phoneticPr fontId="1"/>
  </si>
  <si>
    <t>関連事業1時間当関連事業所得</t>
    <rPh sb="0" eb="4">
      <t>カンレンジギョウ</t>
    </rPh>
    <rPh sb="5" eb="7">
      <t>ジカン</t>
    </rPh>
    <rPh sb="7" eb="8">
      <t>ア</t>
    </rPh>
    <rPh sb="8" eb="10">
      <t>カンレン</t>
    </rPh>
    <rPh sb="10" eb="12">
      <t>ジギョウ</t>
    </rPh>
    <rPh sb="12" eb="14">
      <t>ショトク</t>
    </rPh>
    <phoneticPr fontId="1"/>
  </si>
  <si>
    <t>関連事業1時間当付加価値額</t>
    <rPh sb="0" eb="2">
      <t>カンレン</t>
    </rPh>
    <rPh sb="2" eb="4">
      <t>ジギョウ</t>
    </rPh>
    <rPh sb="5" eb="7">
      <t>ジカン</t>
    </rPh>
    <rPh sb="7" eb="8">
      <t>トウ</t>
    </rPh>
    <rPh sb="8" eb="10">
      <t>フカ</t>
    </rPh>
    <rPh sb="10" eb="12">
      <t>カチ</t>
    </rPh>
    <rPh sb="12" eb="13">
      <t>ガク</t>
    </rPh>
    <phoneticPr fontId="1"/>
  </si>
  <si>
    <t>関連事業従事者1人当付加価値額</t>
    <rPh sb="0" eb="2">
      <t>カンレン</t>
    </rPh>
    <rPh sb="2" eb="4">
      <t>ジギョウ</t>
    </rPh>
    <rPh sb="4" eb="7">
      <t>ジュウジシャ</t>
    </rPh>
    <rPh sb="8" eb="9">
      <t>ニン</t>
    </rPh>
    <rPh sb="9" eb="10">
      <t>トウ</t>
    </rPh>
    <rPh sb="10" eb="12">
      <t>フカ</t>
    </rPh>
    <rPh sb="12" eb="14">
      <t>カチ</t>
    </rPh>
    <rPh sb="14" eb="15">
      <t>ガク</t>
    </rPh>
    <phoneticPr fontId="1"/>
  </si>
  <si>
    <t>時間</t>
    <rPh sb="0" eb="2">
      <t>ジカン</t>
    </rPh>
    <phoneticPr fontId="1"/>
  </si>
  <si>
    <t>生育管理</t>
    <rPh sb="0" eb="2">
      <t>セイイク</t>
    </rPh>
    <rPh sb="2" eb="4">
      <t>カンリ</t>
    </rPh>
    <phoneticPr fontId="3"/>
  </si>
  <si>
    <t>収穫・調製</t>
    <rPh sb="0" eb="2">
      <t>シュウカク</t>
    </rPh>
    <rPh sb="3" eb="5">
      <t>チョウセイ</t>
    </rPh>
    <phoneticPr fontId="3"/>
  </si>
  <si>
    <t>包装・荷造り</t>
    <rPh sb="0" eb="2">
      <t>ホウソウ</t>
    </rPh>
    <rPh sb="3" eb="5">
      <t>ニヅク</t>
    </rPh>
    <phoneticPr fontId="2"/>
  </si>
  <si>
    <t>搬出・出荷・販売</t>
    <rPh sb="0" eb="2">
      <t>ハンシュツ</t>
    </rPh>
    <rPh sb="3" eb="5">
      <t>シュッカ</t>
    </rPh>
    <rPh sb="6" eb="8">
      <t>ハンバイ</t>
    </rPh>
    <phoneticPr fontId="3"/>
  </si>
  <si>
    <t>経営管理・間接労働</t>
    <rPh sb="0" eb="2">
      <t>ケイエイ</t>
    </rPh>
    <rPh sb="2" eb="4">
      <t>カンリ</t>
    </rPh>
    <rPh sb="5" eb="7">
      <t>カンセツ</t>
    </rPh>
    <rPh sb="7" eb="9">
      <t>ロウドウ</t>
    </rPh>
    <phoneticPr fontId="3"/>
  </si>
  <si>
    <t>授粉・摘果</t>
    <rPh sb="0" eb="2">
      <t>ジュフン</t>
    </rPh>
    <rPh sb="3" eb="5">
      <t>テキカ</t>
    </rPh>
    <phoneticPr fontId="3"/>
  </si>
  <si>
    <t>区　分</t>
    <rPh sb="0" eb="1">
      <t>ク</t>
    </rPh>
    <rPh sb="2" eb="3">
      <t>ブン</t>
    </rPh>
    <phoneticPr fontId="8"/>
  </si>
  <si>
    <t>計</t>
    <rPh sb="0" eb="1">
      <t>ケイ</t>
    </rPh>
    <phoneticPr fontId="1"/>
  </si>
  <si>
    <t>日本人研修生</t>
    <rPh sb="0" eb="3">
      <t>ニホンジン</t>
    </rPh>
    <rPh sb="3" eb="6">
      <t>ケンシュウセイ</t>
    </rPh>
    <phoneticPr fontId="1"/>
  </si>
  <si>
    <t>経営主</t>
    <rPh sb="0" eb="2">
      <t>ケイエイ</t>
    </rPh>
    <rPh sb="2" eb="3">
      <t>ヌシ</t>
    </rPh>
    <phoneticPr fontId="1"/>
  </si>
  <si>
    <t>女</t>
    <rPh sb="0" eb="1">
      <t>オンナ</t>
    </rPh>
    <phoneticPr fontId="1"/>
  </si>
  <si>
    <t>農業</t>
    <rPh sb="0" eb="2">
      <t>ノウギョウ</t>
    </rPh>
    <phoneticPr fontId="1"/>
  </si>
  <si>
    <t>期中投資額</t>
    <rPh sb="0" eb="2">
      <t>キチュウ</t>
    </rPh>
    <rPh sb="2" eb="5">
      <t>トウシガク</t>
    </rPh>
    <phoneticPr fontId="1"/>
  </si>
  <si>
    <t>土地</t>
    <rPh sb="0" eb="2">
      <t>トチ</t>
    </rPh>
    <phoneticPr fontId="1"/>
  </si>
  <si>
    <t>建物・構築物</t>
    <rPh sb="0" eb="2">
      <t>タテモノ</t>
    </rPh>
    <rPh sb="3" eb="6">
      <t>コウチクブツ</t>
    </rPh>
    <phoneticPr fontId="1"/>
  </si>
  <si>
    <t>自動車・農機具</t>
    <rPh sb="0" eb="3">
      <t>ジドウシャ</t>
    </rPh>
    <rPh sb="4" eb="7">
      <t>ノウキグ</t>
    </rPh>
    <phoneticPr fontId="1"/>
  </si>
  <si>
    <t>植物・牛馬</t>
    <rPh sb="0" eb="2">
      <t>ショクブツ</t>
    </rPh>
    <rPh sb="3" eb="5">
      <t>ギュウバ</t>
    </rPh>
    <phoneticPr fontId="1"/>
  </si>
  <si>
    <t>期中借入額</t>
    <rPh sb="0" eb="2">
      <t>キチュウ</t>
    </rPh>
    <rPh sb="2" eb="5">
      <t>カリイレガク</t>
    </rPh>
    <phoneticPr fontId="1"/>
  </si>
  <si>
    <t>長期借入金</t>
    <rPh sb="0" eb="2">
      <t>チョウキ</t>
    </rPh>
    <rPh sb="2" eb="5">
      <t>カリイレキン</t>
    </rPh>
    <phoneticPr fontId="1"/>
  </si>
  <si>
    <t>短期借入金</t>
    <rPh sb="0" eb="2">
      <t>タンキ</t>
    </rPh>
    <rPh sb="2" eb="5">
      <t>カリイレキン</t>
    </rPh>
    <phoneticPr fontId="1"/>
  </si>
  <si>
    <t>区　分</t>
    <rPh sb="0" eb="1">
      <t>ク</t>
    </rPh>
    <rPh sb="2" eb="3">
      <t>ブン</t>
    </rPh>
    <phoneticPr fontId="1"/>
  </si>
  <si>
    <t>面積・台数</t>
    <rPh sb="0" eb="2">
      <t>メンセキ</t>
    </rPh>
    <rPh sb="3" eb="5">
      <t>ダイスウ</t>
    </rPh>
    <phoneticPr fontId="1"/>
  </si>
  <si>
    <t>㎡</t>
    <phoneticPr fontId="8"/>
  </si>
  <si>
    <t>加温ハウス</t>
    <rPh sb="0" eb="2">
      <t>カオン</t>
    </rPh>
    <phoneticPr fontId="8"/>
  </si>
  <si>
    <t>〃</t>
    <phoneticPr fontId="8"/>
  </si>
  <si>
    <t>畜舎・鶏舎</t>
    <rPh sb="0" eb="2">
      <t>チクシャ</t>
    </rPh>
    <rPh sb="3" eb="5">
      <t>ケイシャ</t>
    </rPh>
    <phoneticPr fontId="8"/>
  </si>
  <si>
    <t>台</t>
    <rPh sb="0" eb="1">
      <t>ダイ</t>
    </rPh>
    <phoneticPr fontId="8"/>
  </si>
  <si>
    <t>トラック</t>
    <phoneticPr fontId="8"/>
  </si>
  <si>
    <t>乗用トラクター</t>
    <rPh sb="0" eb="2">
      <t>ジョウヨウ</t>
    </rPh>
    <phoneticPr fontId="8"/>
  </si>
  <si>
    <t>50馬力以上</t>
    <rPh sb="2" eb="4">
      <t>バリキ</t>
    </rPh>
    <rPh sb="4" eb="6">
      <t>イジョウ</t>
    </rPh>
    <phoneticPr fontId="8"/>
  </si>
  <si>
    <t>耕運整地用</t>
    <rPh sb="0" eb="2">
      <t>コウウン</t>
    </rPh>
    <rPh sb="2" eb="4">
      <t>セイチ</t>
    </rPh>
    <rPh sb="4" eb="5">
      <t>ヨウ</t>
    </rPh>
    <phoneticPr fontId="8"/>
  </si>
  <si>
    <t>耕土造成改良</t>
    <rPh sb="0" eb="2">
      <t>コウド</t>
    </rPh>
    <rPh sb="2" eb="4">
      <t>ゾウセイ</t>
    </rPh>
    <rPh sb="4" eb="6">
      <t>カイリョウ</t>
    </rPh>
    <phoneticPr fontId="8"/>
  </si>
  <si>
    <t>栽培管理用</t>
    <rPh sb="0" eb="2">
      <t>サイバイ</t>
    </rPh>
    <rPh sb="2" eb="5">
      <t>カンリヨウ</t>
    </rPh>
    <phoneticPr fontId="8"/>
  </si>
  <si>
    <t>処理加工用</t>
    <rPh sb="0" eb="2">
      <t>ショリ</t>
    </rPh>
    <rPh sb="2" eb="5">
      <t>カコウヨウ</t>
    </rPh>
    <phoneticPr fontId="8"/>
  </si>
  <si>
    <t>家畜飼養管理</t>
    <rPh sb="0" eb="2">
      <t>カチク</t>
    </rPh>
    <rPh sb="2" eb="4">
      <t>シヨウ</t>
    </rPh>
    <rPh sb="4" eb="6">
      <t>カンリ</t>
    </rPh>
    <phoneticPr fontId="8"/>
  </si>
  <si>
    <t>事業支出</t>
    <rPh sb="0" eb="2">
      <t>ジギョウ</t>
    </rPh>
    <rPh sb="2" eb="4">
      <t>シシュツ</t>
    </rPh>
    <phoneticPr fontId="1"/>
  </si>
  <si>
    <t>営業利益</t>
    <rPh sb="0" eb="2">
      <t>エイギョウ</t>
    </rPh>
    <rPh sb="2" eb="4">
      <t>リエキ</t>
    </rPh>
    <phoneticPr fontId="1"/>
  </si>
  <si>
    <t>営業外収益</t>
    <rPh sb="0" eb="2">
      <t>エイギョウ</t>
    </rPh>
    <rPh sb="2" eb="3">
      <t>ガイ</t>
    </rPh>
    <rPh sb="3" eb="5">
      <t>シュウエキ</t>
    </rPh>
    <phoneticPr fontId="1"/>
  </si>
  <si>
    <t>営業外費用</t>
    <rPh sb="0" eb="3">
      <t>エイギョウガイ</t>
    </rPh>
    <rPh sb="3" eb="5">
      <t>ヒヨウ</t>
    </rPh>
    <phoneticPr fontId="1"/>
  </si>
  <si>
    <t>経常利益</t>
    <rPh sb="0" eb="2">
      <t>ケイジョウ</t>
    </rPh>
    <rPh sb="2" eb="4">
      <t>リエキ</t>
    </rPh>
    <phoneticPr fontId="1"/>
  </si>
  <si>
    <t>資産計</t>
    <rPh sb="0" eb="2">
      <t>シサン</t>
    </rPh>
    <rPh sb="2" eb="3">
      <t>ケイ</t>
    </rPh>
    <phoneticPr fontId="1"/>
  </si>
  <si>
    <t>負債計</t>
    <rPh sb="0" eb="2">
      <t>フサイ</t>
    </rPh>
    <rPh sb="2" eb="3">
      <t>ケイ</t>
    </rPh>
    <phoneticPr fontId="1"/>
  </si>
  <si>
    <t>流動負債</t>
    <rPh sb="0" eb="2">
      <t>リュウドウ</t>
    </rPh>
    <rPh sb="2" eb="4">
      <t>フサイ</t>
    </rPh>
    <phoneticPr fontId="1"/>
  </si>
  <si>
    <t>当座資産</t>
    <rPh sb="0" eb="2">
      <t>トウザ</t>
    </rPh>
    <rPh sb="2" eb="4">
      <t>シサン</t>
    </rPh>
    <phoneticPr fontId="1"/>
  </si>
  <si>
    <t>買掛未払金</t>
    <rPh sb="0" eb="2">
      <t>カイカケ</t>
    </rPh>
    <rPh sb="2" eb="4">
      <t>ミバライ</t>
    </rPh>
    <rPh sb="4" eb="5">
      <t>キン</t>
    </rPh>
    <phoneticPr fontId="1"/>
  </si>
  <si>
    <t>固定負債</t>
    <rPh sb="0" eb="2">
      <t>コテイ</t>
    </rPh>
    <rPh sb="2" eb="4">
      <t>フサイ</t>
    </rPh>
    <phoneticPr fontId="1"/>
  </si>
  <si>
    <t>棚卸資産</t>
    <rPh sb="0" eb="2">
      <t>タナオロシ</t>
    </rPh>
    <rPh sb="2" eb="4">
      <t>シサン</t>
    </rPh>
    <phoneticPr fontId="1"/>
  </si>
  <si>
    <t>農業経営費</t>
    <rPh sb="0" eb="2">
      <t>ノウギョウ</t>
    </rPh>
    <rPh sb="2" eb="5">
      <t>ケイエイヒ</t>
    </rPh>
    <phoneticPr fontId="1"/>
  </si>
  <si>
    <t>素畜費</t>
    <rPh sb="0" eb="1">
      <t>モト</t>
    </rPh>
    <rPh sb="1" eb="3">
      <t>チクヒ</t>
    </rPh>
    <phoneticPr fontId="1"/>
  </si>
  <si>
    <t>飼料費</t>
    <rPh sb="0" eb="3">
      <t>シリョウヒ</t>
    </rPh>
    <phoneticPr fontId="1"/>
  </si>
  <si>
    <t>修繕費</t>
    <rPh sb="0" eb="3">
      <t>シュウゼンヒ</t>
    </rPh>
    <phoneticPr fontId="1"/>
  </si>
  <si>
    <t>農具費</t>
    <rPh sb="0" eb="2">
      <t>ノウグ</t>
    </rPh>
    <rPh sb="2" eb="3">
      <t>ヒ</t>
    </rPh>
    <phoneticPr fontId="1"/>
  </si>
  <si>
    <t>作業用衣料費</t>
    <rPh sb="0" eb="3">
      <t>サギョウヨウ</t>
    </rPh>
    <rPh sb="3" eb="6">
      <t>イリョウヒ</t>
    </rPh>
    <phoneticPr fontId="1"/>
  </si>
  <si>
    <t>地代・賃借料</t>
    <rPh sb="0" eb="2">
      <t>チダイ</t>
    </rPh>
    <rPh sb="3" eb="6">
      <t>チンシャクリョウ</t>
    </rPh>
    <phoneticPr fontId="1"/>
  </si>
  <si>
    <t>土地改良費</t>
    <rPh sb="0" eb="2">
      <t>トチ</t>
    </rPh>
    <rPh sb="2" eb="5">
      <t>カイリョウヒ</t>
    </rPh>
    <phoneticPr fontId="1"/>
  </si>
  <si>
    <t>租税公課</t>
    <rPh sb="0" eb="2">
      <t>ソゼイ</t>
    </rPh>
    <rPh sb="2" eb="4">
      <t>コウカ</t>
    </rPh>
    <phoneticPr fontId="1"/>
  </si>
  <si>
    <t>利子割引料</t>
    <rPh sb="0" eb="2">
      <t>リシ</t>
    </rPh>
    <rPh sb="2" eb="5">
      <t>ワリビキリョウ</t>
    </rPh>
    <phoneticPr fontId="1"/>
  </si>
  <si>
    <t>荷造運賃手数料</t>
    <rPh sb="0" eb="2">
      <t>ニヅク</t>
    </rPh>
    <rPh sb="2" eb="4">
      <t>ウンチン</t>
    </rPh>
    <rPh sb="4" eb="7">
      <t>テスウリョウ</t>
    </rPh>
    <phoneticPr fontId="1"/>
  </si>
  <si>
    <t>農業雑支出</t>
    <rPh sb="0" eb="2">
      <t>ノウギョウ</t>
    </rPh>
    <rPh sb="2" eb="3">
      <t>ザツ</t>
    </rPh>
    <rPh sb="3" eb="5">
      <t>シシュツ</t>
    </rPh>
    <phoneticPr fontId="1"/>
  </si>
  <si>
    <t>減価償却費</t>
    <rPh sb="0" eb="2">
      <t>ゲンカ</t>
    </rPh>
    <rPh sb="2" eb="5">
      <t>ショウキャクヒ</t>
    </rPh>
    <phoneticPr fontId="1"/>
  </si>
  <si>
    <t>牛馬等育成費用</t>
    <rPh sb="0" eb="2">
      <t>ギュウバ</t>
    </rPh>
    <rPh sb="2" eb="3">
      <t>トウ</t>
    </rPh>
    <rPh sb="3" eb="5">
      <t>イクセイ</t>
    </rPh>
    <rPh sb="5" eb="7">
      <t>ヒヨウ</t>
    </rPh>
    <phoneticPr fontId="1"/>
  </si>
  <si>
    <t>事業収入</t>
    <rPh sb="0" eb="2">
      <t>ジギョウ</t>
    </rPh>
    <rPh sb="2" eb="4">
      <t>シュウニュウ</t>
    </rPh>
    <phoneticPr fontId="1"/>
  </si>
  <si>
    <t>農業経営収支の概要</t>
    <rPh sb="0" eb="2">
      <t>ノウギョウ</t>
    </rPh>
    <rPh sb="2" eb="4">
      <t>ケイエイ</t>
    </rPh>
    <rPh sb="4" eb="6">
      <t>シュウシ</t>
    </rPh>
    <rPh sb="7" eb="9">
      <t>ガイヨウ</t>
    </rPh>
    <phoneticPr fontId="1"/>
  </si>
  <si>
    <t>農業所得</t>
    <rPh sb="0" eb="2">
      <t>ノウギョウ</t>
    </rPh>
    <rPh sb="2" eb="4">
      <t>ショトク</t>
    </rPh>
    <phoneticPr fontId="1"/>
  </si>
  <si>
    <t>農業粗収益</t>
    <rPh sb="0" eb="2">
      <t>ノウギョウ</t>
    </rPh>
    <rPh sb="2" eb="5">
      <t>ソシュウエキ</t>
    </rPh>
    <phoneticPr fontId="1"/>
  </si>
  <si>
    <t>田</t>
    <rPh sb="0" eb="1">
      <t>タ</t>
    </rPh>
    <phoneticPr fontId="1"/>
  </si>
  <si>
    <t>普通畑</t>
    <rPh sb="0" eb="2">
      <t>フツウ</t>
    </rPh>
    <rPh sb="2" eb="3">
      <t>ハタケ</t>
    </rPh>
    <phoneticPr fontId="1"/>
  </si>
  <si>
    <t>樹園地</t>
    <rPh sb="0" eb="1">
      <t>ジュ</t>
    </rPh>
    <rPh sb="1" eb="3">
      <t>エンチ</t>
    </rPh>
    <phoneticPr fontId="1"/>
  </si>
  <si>
    <t>牧草地</t>
    <rPh sb="0" eb="3">
      <t>ボクソウチ</t>
    </rPh>
    <phoneticPr fontId="1"/>
  </si>
  <si>
    <t>自作地</t>
    <rPh sb="0" eb="3">
      <t>ジサクチ</t>
    </rPh>
    <phoneticPr fontId="1"/>
  </si>
  <si>
    <t>借入地</t>
    <rPh sb="0" eb="2">
      <t>カリイレ</t>
    </rPh>
    <rPh sb="2" eb="3">
      <t>チ</t>
    </rPh>
    <phoneticPr fontId="1"/>
  </si>
  <si>
    <t>採草放牧地</t>
    <rPh sb="0" eb="2">
      <t>サイソウ</t>
    </rPh>
    <rPh sb="2" eb="5">
      <t>ホウボクチ</t>
    </rPh>
    <phoneticPr fontId="1"/>
  </si>
  <si>
    <t>貸付地（耕地）</t>
    <rPh sb="0" eb="3">
      <t>カシツケチ</t>
    </rPh>
    <rPh sb="4" eb="6">
      <t>コウチ</t>
    </rPh>
    <phoneticPr fontId="1"/>
  </si>
  <si>
    <t>農業雑収入</t>
    <rPh sb="0" eb="2">
      <t>ノウギョウ</t>
    </rPh>
    <rPh sb="2" eb="3">
      <t>ザツ</t>
    </rPh>
    <rPh sb="3" eb="5">
      <t>シュウニュウ</t>
    </rPh>
    <phoneticPr fontId="1"/>
  </si>
  <si>
    <t>共済・補助金等</t>
    <rPh sb="0" eb="2">
      <t>キョウサイ</t>
    </rPh>
    <rPh sb="3" eb="6">
      <t>ホジョキン</t>
    </rPh>
    <rPh sb="6" eb="7">
      <t>トウ</t>
    </rPh>
    <phoneticPr fontId="1"/>
  </si>
  <si>
    <t>部門労働時間（時間）</t>
    <rPh sb="0" eb="2">
      <t>ブモン</t>
    </rPh>
    <rPh sb="2" eb="4">
      <t>ロウドウ</t>
    </rPh>
    <rPh sb="4" eb="6">
      <t>ジカン</t>
    </rPh>
    <rPh sb="7" eb="9">
      <t>ジカン</t>
    </rPh>
    <phoneticPr fontId="1"/>
  </si>
  <si>
    <t>農業生産関連事業の概要</t>
    <rPh sb="0" eb="2">
      <t>ノウギョウ</t>
    </rPh>
    <rPh sb="2" eb="4">
      <t>セイサン</t>
    </rPh>
    <rPh sb="4" eb="8">
      <t>カンレンジギョウ</t>
    </rPh>
    <rPh sb="9" eb="11">
      <t>ガイヨウ</t>
    </rPh>
    <phoneticPr fontId="1"/>
  </si>
  <si>
    <t>合　　　計</t>
    <rPh sb="0" eb="1">
      <t>ゴウ</t>
    </rPh>
    <rPh sb="4" eb="5">
      <t>ケイ</t>
    </rPh>
    <phoneticPr fontId="1"/>
  </si>
  <si>
    <t>いも類</t>
    <rPh sb="2" eb="3">
      <t>ルイ</t>
    </rPh>
    <phoneticPr fontId="1"/>
  </si>
  <si>
    <t>豆類</t>
    <rPh sb="0" eb="1">
      <t>マメ</t>
    </rPh>
    <rPh sb="1" eb="2">
      <t>ルイ</t>
    </rPh>
    <phoneticPr fontId="1"/>
  </si>
  <si>
    <t>きゅう肥(ふん尿)</t>
    <rPh sb="3" eb="4">
      <t>ヒ</t>
    </rPh>
    <rPh sb="7" eb="8">
      <t>ニョウ</t>
    </rPh>
    <phoneticPr fontId="1"/>
  </si>
  <si>
    <t>稲わら等</t>
    <rPh sb="0" eb="1">
      <t>イナ</t>
    </rPh>
    <rPh sb="3" eb="4">
      <t>トウ</t>
    </rPh>
    <phoneticPr fontId="1"/>
  </si>
  <si>
    <t>その他の麦</t>
    <rPh sb="2" eb="3">
      <t>タ</t>
    </rPh>
    <rPh sb="4" eb="5">
      <t>ムギ</t>
    </rPh>
    <phoneticPr fontId="1"/>
  </si>
  <si>
    <t>男</t>
    <rPh sb="0" eb="1">
      <t>オトコ</t>
    </rPh>
    <phoneticPr fontId="8"/>
  </si>
  <si>
    <t>常用雇用者</t>
    <rPh sb="0" eb="2">
      <t>ジョウヨウ</t>
    </rPh>
    <rPh sb="2" eb="5">
      <t>コヨウシャ</t>
    </rPh>
    <phoneticPr fontId="1"/>
  </si>
  <si>
    <t>臨時雇用者</t>
    <rPh sb="0" eb="2">
      <t>リンジ</t>
    </rPh>
    <rPh sb="2" eb="5">
      <t>コヨウシャ</t>
    </rPh>
    <phoneticPr fontId="1"/>
  </si>
  <si>
    <t>納屋・倉庫</t>
    <rPh sb="0" eb="2">
      <t>ナヤ</t>
    </rPh>
    <rPh sb="3" eb="5">
      <t>ソウコ</t>
    </rPh>
    <phoneticPr fontId="8"/>
  </si>
  <si>
    <t>乗用車</t>
    <rPh sb="0" eb="3">
      <t>ジョウヨウシャ</t>
    </rPh>
    <phoneticPr fontId="8"/>
  </si>
  <si>
    <t>穀類収穫調製</t>
    <rPh sb="0" eb="2">
      <t>コクルイ</t>
    </rPh>
    <rPh sb="2" eb="4">
      <t>シュウカク</t>
    </rPh>
    <rPh sb="4" eb="6">
      <t>チョウセイ</t>
    </rPh>
    <phoneticPr fontId="8"/>
  </si>
  <si>
    <t>飼料作物調製</t>
    <rPh sb="0" eb="2">
      <t>シリョウ</t>
    </rPh>
    <rPh sb="2" eb="4">
      <t>サクモツ</t>
    </rPh>
    <phoneticPr fontId="8"/>
  </si>
  <si>
    <t>その他調製</t>
    <rPh sb="2" eb="3">
      <t>タ</t>
    </rPh>
    <phoneticPr fontId="8"/>
  </si>
  <si>
    <t>防除用機具</t>
    <rPh sb="0" eb="2">
      <t>ボウジョ</t>
    </rPh>
    <rPh sb="2" eb="3">
      <t>ヨウ</t>
    </rPh>
    <rPh sb="3" eb="5">
      <t>キグ</t>
    </rPh>
    <phoneticPr fontId="8"/>
  </si>
  <si>
    <t>パイプハウス</t>
    <phoneticPr fontId="8"/>
  </si>
  <si>
    <t>35歳未満</t>
    <rPh sb="2" eb="3">
      <t>サイ</t>
    </rPh>
    <rPh sb="3" eb="5">
      <t>ミマン</t>
    </rPh>
    <phoneticPr fontId="1"/>
  </si>
  <si>
    <t>70歳以上</t>
    <rPh sb="2" eb="3">
      <t>サイ</t>
    </rPh>
    <rPh sb="3" eb="5">
      <t>イジョウ</t>
    </rPh>
    <phoneticPr fontId="1"/>
  </si>
  <si>
    <t>農産加工１位</t>
    <rPh sb="0" eb="2">
      <t>ノウサン</t>
    </rPh>
    <rPh sb="2" eb="4">
      <t>カコウ</t>
    </rPh>
    <rPh sb="5" eb="6">
      <t>イ</t>
    </rPh>
    <phoneticPr fontId="1"/>
  </si>
  <si>
    <t>農産加工２位</t>
    <rPh sb="0" eb="2">
      <t>ノウサン</t>
    </rPh>
    <rPh sb="2" eb="4">
      <t>カコウ</t>
    </rPh>
    <rPh sb="5" eb="6">
      <t>イ</t>
    </rPh>
    <phoneticPr fontId="1"/>
  </si>
  <si>
    <t>切り花</t>
    <rPh sb="0" eb="1">
      <t>キ</t>
    </rPh>
    <rPh sb="2" eb="3">
      <t>バナ</t>
    </rPh>
    <phoneticPr fontId="1"/>
  </si>
  <si>
    <t>鉢物</t>
    <rPh sb="0" eb="2">
      <t>ハチモノ</t>
    </rPh>
    <phoneticPr fontId="1"/>
  </si>
  <si>
    <t>男</t>
    <rPh sb="0" eb="1">
      <t>オトコ</t>
    </rPh>
    <phoneticPr fontId="1"/>
  </si>
  <si>
    <t>調査年</t>
    <rPh sb="0" eb="2">
      <t>チョウサ</t>
    </rPh>
    <rPh sb="2" eb="3">
      <t>ネン</t>
    </rPh>
    <phoneticPr fontId="1"/>
  </si>
  <si>
    <t>営農類型規模区分</t>
    <rPh sb="0" eb="2">
      <t>エイノウ</t>
    </rPh>
    <rPh sb="2" eb="4">
      <t>ルイケイ</t>
    </rPh>
    <rPh sb="4" eb="6">
      <t>キボ</t>
    </rPh>
    <rPh sb="6" eb="8">
      <t>クブン</t>
    </rPh>
    <phoneticPr fontId="1"/>
  </si>
  <si>
    <t>指定部門</t>
    <rPh sb="0" eb="2">
      <t>シテイ</t>
    </rPh>
    <rPh sb="2" eb="4">
      <t>ブモン</t>
    </rPh>
    <phoneticPr fontId="1"/>
  </si>
  <si>
    <t>指定部門規模区分</t>
    <rPh sb="0" eb="2">
      <t>シテイ</t>
    </rPh>
    <rPh sb="2" eb="4">
      <t>ブモン</t>
    </rPh>
    <rPh sb="4" eb="6">
      <t>キボ</t>
    </rPh>
    <rPh sb="6" eb="8">
      <t>クブン</t>
    </rPh>
    <phoneticPr fontId="1"/>
  </si>
  <si>
    <t>農業地域区分(1次)</t>
    <rPh sb="0" eb="2">
      <t>ノウギョウ</t>
    </rPh>
    <rPh sb="2" eb="4">
      <t>チイキ</t>
    </rPh>
    <rPh sb="4" eb="6">
      <t>クブン</t>
    </rPh>
    <rPh sb="8" eb="9">
      <t>ジ</t>
    </rPh>
    <phoneticPr fontId="1"/>
  </si>
  <si>
    <t>農業地域区分(2次)</t>
    <rPh sb="0" eb="2">
      <t>ノウギョウ</t>
    </rPh>
    <rPh sb="2" eb="4">
      <t>チイキ</t>
    </rPh>
    <rPh sb="4" eb="6">
      <t>クブン</t>
    </rPh>
    <rPh sb="8" eb="9">
      <t>ジ</t>
    </rPh>
    <phoneticPr fontId="1"/>
  </si>
  <si>
    <t>認定農業者区分</t>
    <rPh sb="0" eb="2">
      <t>ニンテイ</t>
    </rPh>
    <rPh sb="2" eb="5">
      <t>ノウギョウシャ</t>
    </rPh>
    <rPh sb="5" eb="7">
      <t>クブン</t>
    </rPh>
    <phoneticPr fontId="1"/>
  </si>
  <si>
    <t>集計対象区分</t>
    <rPh sb="0" eb="2">
      <t>シュウケイ</t>
    </rPh>
    <rPh sb="2" eb="4">
      <t>タイショウ</t>
    </rPh>
    <rPh sb="4" eb="6">
      <t>クブン</t>
    </rPh>
    <phoneticPr fontId="1"/>
  </si>
  <si>
    <t>都道府県</t>
    <rPh sb="0" eb="4">
      <t>トドウフケン</t>
    </rPh>
    <phoneticPr fontId="1"/>
  </si>
  <si>
    <t>部門規模</t>
    <phoneticPr fontId="1"/>
  </si>
  <si>
    <t>〃</t>
    <phoneticPr fontId="1"/>
  </si>
  <si>
    <t>％</t>
    <phoneticPr fontId="1"/>
  </si>
  <si>
    <t>露地
花き</t>
    <rPh sb="0" eb="2">
      <t>ロジ</t>
    </rPh>
    <rPh sb="3" eb="4">
      <t>カ</t>
    </rPh>
    <phoneticPr fontId="1"/>
  </si>
  <si>
    <t>施設
花き</t>
    <rPh sb="0" eb="2">
      <t>シセツ</t>
    </rPh>
    <rPh sb="3" eb="4">
      <t>カ</t>
    </rPh>
    <phoneticPr fontId="1"/>
  </si>
  <si>
    <t>分析指標(農業)</t>
    <rPh sb="0" eb="2">
      <t>ブンセキ</t>
    </rPh>
    <rPh sb="2" eb="4">
      <t>シヒョウ</t>
    </rPh>
    <rPh sb="5" eb="7">
      <t>ノウギョウ</t>
    </rPh>
    <phoneticPr fontId="1"/>
  </si>
  <si>
    <t>農業依存度</t>
    <rPh sb="0" eb="2">
      <t>ノウギョウ</t>
    </rPh>
    <rPh sb="2" eb="5">
      <t>イゾンド</t>
    </rPh>
    <phoneticPr fontId="1"/>
  </si>
  <si>
    <t>農業所得率</t>
    <rPh sb="0" eb="2">
      <t>ノウギョウ</t>
    </rPh>
    <rPh sb="2" eb="5">
      <t>ショトクリツ</t>
    </rPh>
    <phoneticPr fontId="1"/>
  </si>
  <si>
    <t>農業粗収益付加価値率</t>
    <rPh sb="0" eb="2">
      <t>ノウギョウ</t>
    </rPh>
    <rPh sb="2" eb="3">
      <t>ソ</t>
    </rPh>
    <rPh sb="3" eb="5">
      <t>シュウエキ</t>
    </rPh>
    <rPh sb="5" eb="7">
      <t>フカ</t>
    </rPh>
    <rPh sb="7" eb="10">
      <t>カチリツ</t>
    </rPh>
    <phoneticPr fontId="1"/>
  </si>
  <si>
    <t>農業固定資産装備率</t>
    <rPh sb="0" eb="2">
      <t>ノウギョウ</t>
    </rPh>
    <rPh sb="2" eb="6">
      <t>コテイシサン</t>
    </rPh>
    <rPh sb="6" eb="9">
      <t>ソウビリツ</t>
    </rPh>
    <phoneticPr fontId="1"/>
  </si>
  <si>
    <t>農業固定資産回転率</t>
    <rPh sb="0" eb="2">
      <t>ノウギョウ</t>
    </rPh>
    <rPh sb="2" eb="6">
      <t>コテイシサン</t>
    </rPh>
    <rPh sb="6" eb="9">
      <t>カイテンリツ</t>
    </rPh>
    <phoneticPr fontId="1"/>
  </si>
  <si>
    <t>分析指標(事業)</t>
    <rPh sb="0" eb="2">
      <t>ブンセキ</t>
    </rPh>
    <rPh sb="2" eb="4">
      <t>シヒョウ</t>
    </rPh>
    <rPh sb="5" eb="7">
      <t>ジギョウ</t>
    </rPh>
    <phoneticPr fontId="1"/>
  </si>
  <si>
    <t>総資本経常利益率</t>
    <rPh sb="0" eb="3">
      <t>ソウシホン</t>
    </rPh>
    <rPh sb="3" eb="5">
      <t>ケイジョウ</t>
    </rPh>
    <rPh sb="5" eb="8">
      <t>リエキリツ</t>
    </rPh>
    <phoneticPr fontId="1"/>
  </si>
  <si>
    <t>売上高営業利益率</t>
    <rPh sb="0" eb="1">
      <t>ウ</t>
    </rPh>
    <rPh sb="1" eb="2">
      <t>ア</t>
    </rPh>
    <rPh sb="2" eb="3">
      <t>タカ</t>
    </rPh>
    <rPh sb="3" eb="5">
      <t>エイギョウ</t>
    </rPh>
    <rPh sb="5" eb="8">
      <t>リエキリツ</t>
    </rPh>
    <phoneticPr fontId="1"/>
  </si>
  <si>
    <t>観光
農園</t>
    <rPh sb="0" eb="2">
      <t>カンコウ</t>
    </rPh>
    <rPh sb="3" eb="5">
      <t>ノウエン</t>
    </rPh>
    <phoneticPr fontId="1"/>
  </si>
  <si>
    <t>現金</t>
    <rPh sb="0" eb="2">
      <t>ゲンキン</t>
    </rPh>
    <phoneticPr fontId="1"/>
  </si>
  <si>
    <t>営農類型規模</t>
    <rPh sb="0" eb="2">
      <t>エイノウ</t>
    </rPh>
    <rPh sb="2" eb="4">
      <t>ルイケイ</t>
    </rPh>
    <rPh sb="4" eb="6">
      <t>キボ</t>
    </rPh>
    <phoneticPr fontId="1"/>
  </si>
  <si>
    <t>60日以上</t>
    <rPh sb="2" eb="3">
      <t>ニチ</t>
    </rPh>
    <rPh sb="3" eb="5">
      <t>イジョウ</t>
    </rPh>
    <phoneticPr fontId="1"/>
  </si>
  <si>
    <t>茶</t>
    <rPh sb="0" eb="1">
      <t>チャ</t>
    </rPh>
    <phoneticPr fontId="1"/>
  </si>
  <si>
    <t>共済等掛金</t>
    <rPh sb="0" eb="2">
      <t>キョウサイ</t>
    </rPh>
    <rPh sb="2" eb="3">
      <t>トウ</t>
    </rPh>
    <rPh sb="3" eb="5">
      <t>カケキン</t>
    </rPh>
    <phoneticPr fontId="1"/>
  </si>
  <si>
    <t>農業生産関連事業支出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シシュツ</t>
    </rPh>
    <phoneticPr fontId="1"/>
  </si>
  <si>
    <t>売上高経常利益率</t>
    <rPh sb="0" eb="3">
      <t>ウリアゲダカ</t>
    </rPh>
    <rPh sb="3" eb="5">
      <t>ケイジョウ</t>
    </rPh>
    <rPh sb="5" eb="8">
      <t>リエキリツ</t>
    </rPh>
    <phoneticPr fontId="1"/>
  </si>
  <si>
    <t>売上高費用比率</t>
    <rPh sb="0" eb="3">
      <t>ウリアゲダカ</t>
    </rPh>
    <rPh sb="3" eb="5">
      <t>ヒヨウ</t>
    </rPh>
    <rPh sb="5" eb="7">
      <t>ヒリツ</t>
    </rPh>
    <phoneticPr fontId="1"/>
  </si>
  <si>
    <t>売上高付加価値率</t>
    <rPh sb="0" eb="3">
      <t>ウリアゲダカ</t>
    </rPh>
    <rPh sb="3" eb="5">
      <t>フカ</t>
    </rPh>
    <rPh sb="5" eb="8">
      <t>カチリツ</t>
    </rPh>
    <phoneticPr fontId="1"/>
  </si>
  <si>
    <t>総資本回転率</t>
    <rPh sb="0" eb="3">
      <t>ソウシホン</t>
    </rPh>
    <rPh sb="3" eb="6">
      <t>カイテンリツ</t>
    </rPh>
    <phoneticPr fontId="1"/>
  </si>
  <si>
    <t>自己資本比率</t>
    <rPh sb="0" eb="2">
      <t>ジコ</t>
    </rPh>
    <rPh sb="2" eb="4">
      <t>シホン</t>
    </rPh>
    <rPh sb="4" eb="6">
      <t>ヒリツ</t>
    </rPh>
    <phoneticPr fontId="1"/>
  </si>
  <si>
    <t>流動比率</t>
    <rPh sb="0" eb="2">
      <t>リュウドウ</t>
    </rPh>
    <rPh sb="2" eb="4">
      <t>ヒリツ</t>
    </rPh>
    <phoneticPr fontId="1"/>
  </si>
  <si>
    <t>安全性</t>
    <rPh sb="0" eb="2">
      <t>アンゼン</t>
    </rPh>
    <rPh sb="2" eb="3">
      <t>セイ</t>
    </rPh>
    <phoneticPr fontId="1"/>
  </si>
  <si>
    <t>効率性</t>
    <rPh sb="0" eb="3">
      <t>コウリツセイ</t>
    </rPh>
    <phoneticPr fontId="1"/>
  </si>
  <si>
    <t>生乳</t>
    <rPh sb="0" eb="2">
      <t>セイニュウ</t>
    </rPh>
    <phoneticPr fontId="1"/>
  </si>
  <si>
    <t>自家生産乳牛等</t>
    <rPh sb="0" eb="2">
      <t>ジカ</t>
    </rPh>
    <rPh sb="2" eb="4">
      <t>セイサン</t>
    </rPh>
    <rPh sb="4" eb="6">
      <t>ニュウギュウ</t>
    </rPh>
    <rPh sb="6" eb="7">
      <t>トウ</t>
    </rPh>
    <phoneticPr fontId="1"/>
  </si>
  <si>
    <t>肉専用種</t>
    <rPh sb="0" eb="3">
      <t>ニクセンヨウ</t>
    </rPh>
    <rPh sb="3" eb="4">
      <t>タネ</t>
    </rPh>
    <phoneticPr fontId="1"/>
  </si>
  <si>
    <t>乳用種</t>
    <rPh sb="0" eb="1">
      <t>ニュウ</t>
    </rPh>
    <rPh sb="1" eb="2">
      <t>ヨウ</t>
    </rPh>
    <rPh sb="2" eb="3">
      <t>タネ</t>
    </rPh>
    <phoneticPr fontId="1"/>
  </si>
  <si>
    <t>繁殖雌豚</t>
    <rPh sb="0" eb="2">
      <t>ハンショク</t>
    </rPh>
    <rPh sb="2" eb="3">
      <t>メス</t>
    </rPh>
    <rPh sb="3" eb="4">
      <t>ブタ</t>
    </rPh>
    <phoneticPr fontId="1"/>
  </si>
  <si>
    <t>子豚</t>
    <rPh sb="0" eb="2">
      <t>コブタ</t>
    </rPh>
    <phoneticPr fontId="1"/>
  </si>
  <si>
    <t>肉豚</t>
    <rPh sb="0" eb="1">
      <t>ニク</t>
    </rPh>
    <rPh sb="1" eb="2">
      <t>ブタ</t>
    </rPh>
    <phoneticPr fontId="1"/>
  </si>
  <si>
    <t>鶏卵</t>
    <rPh sb="0" eb="2">
      <t>ケイラン</t>
    </rPh>
    <phoneticPr fontId="1"/>
  </si>
  <si>
    <t>畜産収入計</t>
    <rPh sb="0" eb="2">
      <t>チクサン</t>
    </rPh>
    <rPh sb="2" eb="4">
      <t>シュウニュウ</t>
    </rPh>
    <rPh sb="4" eb="5">
      <t>ケイ</t>
    </rPh>
    <phoneticPr fontId="1"/>
  </si>
  <si>
    <t>作物収入計</t>
    <rPh sb="0" eb="2">
      <t>サクモツ</t>
    </rPh>
    <rPh sb="2" eb="4">
      <t>シュウニュウ</t>
    </rPh>
    <rPh sb="4" eb="5">
      <t>ケイ</t>
    </rPh>
    <phoneticPr fontId="1"/>
  </si>
  <si>
    <t>農家
民宿</t>
    <rPh sb="0" eb="2">
      <t>ノウカ</t>
    </rPh>
    <rPh sb="3" eb="5">
      <t>ミンシュク</t>
    </rPh>
    <phoneticPr fontId="1"/>
  </si>
  <si>
    <t>農産
加工</t>
    <rPh sb="0" eb="2">
      <t>ノウサン</t>
    </rPh>
    <rPh sb="3" eb="5">
      <t>カコウ</t>
    </rPh>
    <phoneticPr fontId="1"/>
  </si>
  <si>
    <t>飼料
作物</t>
    <rPh sb="0" eb="2">
      <t>シリョウ</t>
    </rPh>
    <rPh sb="3" eb="5">
      <t>サクモツ</t>
    </rPh>
    <phoneticPr fontId="1"/>
  </si>
  <si>
    <t>WCS用稲</t>
    <rPh sb="3" eb="4">
      <t>ヨウ</t>
    </rPh>
    <rPh sb="4" eb="5">
      <t>イネ</t>
    </rPh>
    <phoneticPr fontId="1"/>
  </si>
  <si>
    <t>その他の飼料作物</t>
    <rPh sb="2" eb="3">
      <t>タ</t>
    </rPh>
    <rPh sb="4" eb="6">
      <t>シリョウ</t>
    </rPh>
    <rPh sb="6" eb="8">
      <t>サクモツ</t>
    </rPh>
    <phoneticPr fontId="1"/>
  </si>
  <si>
    <t>現金・預金等</t>
    <rPh sb="0" eb="2">
      <t>ゲンキン</t>
    </rPh>
    <rPh sb="3" eb="5">
      <t>ヨキン</t>
    </rPh>
    <rPh sb="5" eb="6">
      <t>トウ</t>
    </rPh>
    <phoneticPr fontId="1"/>
  </si>
  <si>
    <t>事業収支の概要</t>
    <rPh sb="0" eb="2">
      <t>ジギョウ</t>
    </rPh>
    <rPh sb="2" eb="4">
      <t>シュウシ</t>
    </rPh>
    <rPh sb="5" eb="7">
      <t>ガイヨウ</t>
    </rPh>
    <phoneticPr fontId="1"/>
  </si>
  <si>
    <t>純資産計</t>
    <rPh sb="0" eb="3">
      <t>ジュンシサン</t>
    </rPh>
    <rPh sb="3" eb="4">
      <t>ケイ</t>
    </rPh>
    <phoneticPr fontId="1"/>
  </si>
  <si>
    <t>共済･補助金等</t>
    <rPh sb="0" eb="2">
      <t>キョウサイ</t>
    </rPh>
    <rPh sb="3" eb="6">
      <t>ホジョキン</t>
    </rPh>
    <rPh sb="6" eb="7">
      <t>トウ</t>
    </rPh>
    <phoneticPr fontId="1"/>
  </si>
  <si>
    <t>農産加工</t>
    <rPh sb="0" eb="2">
      <t>ノウサン</t>
    </rPh>
    <rPh sb="2" eb="4">
      <t>カコウ</t>
    </rPh>
    <phoneticPr fontId="1"/>
  </si>
  <si>
    <t>観光農園</t>
    <rPh sb="0" eb="2">
      <t>カンコウ</t>
    </rPh>
    <rPh sb="2" eb="4">
      <t>ノウエン</t>
    </rPh>
    <phoneticPr fontId="1"/>
  </si>
  <si>
    <t>貸し農園</t>
    <rPh sb="0" eb="1">
      <t>カ</t>
    </rPh>
    <rPh sb="2" eb="4">
      <t>ノウエン</t>
    </rPh>
    <phoneticPr fontId="1"/>
  </si>
  <si>
    <t>農家民宿</t>
    <rPh sb="0" eb="2">
      <t>ノウカ</t>
    </rPh>
    <rPh sb="2" eb="4">
      <t>ミンシュク</t>
    </rPh>
    <phoneticPr fontId="1"/>
  </si>
  <si>
    <t>農家レストラン</t>
    <rPh sb="0" eb="2">
      <t>ノウカ</t>
    </rPh>
    <phoneticPr fontId="1"/>
  </si>
  <si>
    <t>営農類型</t>
    <rPh sb="0" eb="2">
      <t>エイノウ</t>
    </rPh>
    <rPh sb="2" eb="4">
      <t>ルイケイ</t>
    </rPh>
    <phoneticPr fontId="1"/>
  </si>
  <si>
    <t>分析指標（農業生産関連事業）</t>
    <rPh sb="5" eb="7">
      <t>ノウギョウ</t>
    </rPh>
    <rPh sb="7" eb="9">
      <t>セイサン</t>
    </rPh>
    <rPh sb="9" eb="11">
      <t>カンレン</t>
    </rPh>
    <rPh sb="11" eb="13">
      <t>ジギョウ</t>
    </rPh>
    <phoneticPr fontId="1"/>
  </si>
  <si>
    <t>商品仕入</t>
    <rPh sb="0" eb="2">
      <t>ショウヒン</t>
    </rPh>
    <rPh sb="2" eb="4">
      <t>シイ</t>
    </rPh>
    <phoneticPr fontId="1"/>
  </si>
  <si>
    <t>自家農畜産物</t>
    <rPh sb="0" eb="2">
      <t>ジカ</t>
    </rPh>
    <rPh sb="2" eb="6">
      <t>ノウチクサンブツ</t>
    </rPh>
    <phoneticPr fontId="1"/>
  </si>
  <si>
    <t>ａ､㎡</t>
    <phoneticPr fontId="1"/>
  </si>
  <si>
    <t>関連事業所得率</t>
    <rPh sb="0" eb="4">
      <t>カンレンジギョウ</t>
    </rPh>
    <rPh sb="4" eb="7">
      <t>ショトクリツ</t>
    </rPh>
    <phoneticPr fontId="1"/>
  </si>
  <si>
    <t>流動資産</t>
    <rPh sb="0" eb="2">
      <t>リュウドウ</t>
    </rPh>
    <rPh sb="2" eb="4">
      <t>シサン</t>
    </rPh>
    <phoneticPr fontId="1"/>
  </si>
  <si>
    <t>固定資産</t>
    <rPh sb="0" eb="4">
      <t>コテイシサン</t>
    </rPh>
    <phoneticPr fontId="1"/>
  </si>
  <si>
    <t>事業従事者計</t>
    <rPh sb="0" eb="2">
      <t>ジギョウ</t>
    </rPh>
    <rPh sb="2" eb="5">
      <t>ジュウジシャ</t>
    </rPh>
    <rPh sb="5" eb="6">
      <t>ケイ</t>
    </rPh>
    <phoneticPr fontId="1"/>
  </si>
  <si>
    <t>うち農業従事者計</t>
    <rPh sb="2" eb="4">
      <t>ノウギョウ</t>
    </rPh>
    <rPh sb="4" eb="7">
      <t>ジュウジシャ</t>
    </rPh>
    <rPh sb="7" eb="8">
      <t>ケイ</t>
    </rPh>
    <phoneticPr fontId="1"/>
  </si>
  <si>
    <t>野菜</t>
    <rPh sb="0" eb="2">
      <t>ヤサイ</t>
    </rPh>
    <phoneticPr fontId="1"/>
  </si>
  <si>
    <t>花き</t>
    <rPh sb="0" eb="1">
      <t>ハナ</t>
    </rPh>
    <phoneticPr fontId="1"/>
  </si>
  <si>
    <t>成園面積</t>
    <rPh sb="0" eb="1">
      <t>シゲル</t>
    </rPh>
    <rPh sb="1" eb="2">
      <t>エン</t>
    </rPh>
    <rPh sb="2" eb="4">
      <t>メンセキ</t>
    </rPh>
    <phoneticPr fontId="1"/>
  </si>
  <si>
    <t>農作業受託収入</t>
    <rPh sb="0" eb="1">
      <t>ノウ</t>
    </rPh>
    <rPh sb="1" eb="3">
      <t>サギョウ</t>
    </rPh>
    <rPh sb="3" eb="5">
      <t>ジュタク</t>
    </rPh>
    <rPh sb="5" eb="7">
      <t>シュウニュウ</t>
    </rPh>
    <phoneticPr fontId="1"/>
  </si>
  <si>
    <t>その他
畜産物</t>
    <rPh sb="2" eb="3">
      <t>タ</t>
    </rPh>
    <rPh sb="4" eb="7">
      <t>チクサンブツ</t>
    </rPh>
    <phoneticPr fontId="1"/>
  </si>
  <si>
    <t>経営耕地面積計</t>
    <rPh sb="0" eb="2">
      <t>ケイエイ</t>
    </rPh>
    <rPh sb="2" eb="4">
      <t>コウチ</t>
    </rPh>
    <rPh sb="4" eb="6">
      <t>メンセキ</t>
    </rPh>
    <rPh sb="6" eb="7">
      <t>ケイ</t>
    </rPh>
    <phoneticPr fontId="1"/>
  </si>
  <si>
    <t>小売業者</t>
    <rPh sb="0" eb="2">
      <t>コウ</t>
    </rPh>
    <rPh sb="2" eb="4">
      <t>ギョウシャ</t>
    </rPh>
    <phoneticPr fontId="1"/>
  </si>
  <si>
    <t>食品製造業･外食産業</t>
    <rPh sb="0" eb="2">
      <t>ショクヒン</t>
    </rPh>
    <rPh sb="2" eb="5">
      <t>セイゾウギョウ</t>
    </rPh>
    <rPh sb="6" eb="8">
      <t>ガイショク</t>
    </rPh>
    <rPh sb="8" eb="10">
      <t>サンギョウ</t>
    </rPh>
    <phoneticPr fontId="1"/>
  </si>
  <si>
    <t>自営直売所</t>
    <rPh sb="0" eb="2">
      <t>ジエイ</t>
    </rPh>
    <rPh sb="2" eb="5">
      <t>チョクバイジョ</t>
    </rPh>
    <phoneticPr fontId="1"/>
  </si>
  <si>
    <t>他の方法</t>
    <rPh sb="0" eb="1">
      <t>ホカ</t>
    </rPh>
    <rPh sb="2" eb="4">
      <t>ホウホウ</t>
    </rPh>
    <phoneticPr fontId="1"/>
  </si>
  <si>
    <t>その他の直売所</t>
    <rPh sb="2" eb="3">
      <t>タ</t>
    </rPh>
    <rPh sb="4" eb="7">
      <t>チョクバイジョ</t>
    </rPh>
    <phoneticPr fontId="1"/>
  </si>
  <si>
    <t>直接販売計</t>
    <rPh sb="0" eb="2">
      <t>チョクセツ</t>
    </rPh>
    <rPh sb="2" eb="4">
      <t>ハンバイ</t>
    </rPh>
    <rPh sb="4" eb="5">
      <t>ケイ</t>
    </rPh>
    <phoneticPr fontId="1"/>
  </si>
  <si>
    <t>その他の工芸農作物</t>
    <rPh sb="2" eb="3">
      <t>タ</t>
    </rPh>
    <rPh sb="4" eb="6">
      <t>コウゲイ</t>
    </rPh>
    <rPh sb="6" eb="9">
      <t>ノウサクモツ</t>
    </rPh>
    <phoneticPr fontId="1"/>
  </si>
  <si>
    <t>建物･構築物</t>
    <rPh sb="0" eb="2">
      <t>タテモノ</t>
    </rPh>
    <rPh sb="3" eb="6">
      <t>コウチクブツ</t>
    </rPh>
    <phoneticPr fontId="1"/>
  </si>
  <si>
    <t>農業生産関連事業収支の概要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シュウシ</t>
    </rPh>
    <rPh sb="11" eb="13">
      <t>ガイヨウ</t>
    </rPh>
    <phoneticPr fontId="1"/>
  </si>
  <si>
    <t>センサス番号</t>
    <rPh sb="4" eb="6">
      <t>バンゴウ</t>
    </rPh>
    <phoneticPr fontId="1"/>
  </si>
  <si>
    <t>農業労働時間</t>
    <rPh sb="0" eb="2">
      <t>ノウギョウ</t>
    </rPh>
    <rPh sb="2" eb="4">
      <t>ロウドウ</t>
    </rPh>
    <rPh sb="4" eb="6">
      <t>ジカン</t>
    </rPh>
    <phoneticPr fontId="1"/>
  </si>
  <si>
    <t>150日以上</t>
    <rPh sb="3" eb="4">
      <t>ニチ</t>
    </rPh>
    <rPh sb="4" eb="6">
      <t>イジョウ</t>
    </rPh>
    <phoneticPr fontId="1"/>
  </si>
  <si>
    <t>分析指標(農業及び農業生産関連事業)</t>
    <rPh sb="0" eb="2">
      <t>ブンセキ</t>
    </rPh>
    <rPh sb="2" eb="4">
      <t>シヒョウ</t>
    </rPh>
    <rPh sb="5" eb="7">
      <t>ノウギョウ</t>
    </rPh>
    <rPh sb="7" eb="8">
      <t>オヨ</t>
    </rPh>
    <rPh sb="9" eb="11">
      <t>ノウギョウ</t>
    </rPh>
    <rPh sb="11" eb="13">
      <t>セイサン</t>
    </rPh>
    <rPh sb="13" eb="15">
      <t>カンレン</t>
    </rPh>
    <rPh sb="15" eb="17">
      <t>ジギョウ</t>
    </rPh>
    <phoneticPr fontId="1"/>
  </si>
  <si>
    <t>事業従事者数</t>
    <rPh sb="0" eb="2">
      <t>ジギョウ</t>
    </rPh>
    <rPh sb="2" eb="5">
      <t>ジュウジシャ</t>
    </rPh>
    <rPh sb="5" eb="6">
      <t>スウ</t>
    </rPh>
    <phoneticPr fontId="1"/>
  </si>
  <si>
    <t>農業従事者数</t>
    <rPh sb="0" eb="2">
      <t>ノウギョウ</t>
    </rPh>
    <rPh sb="2" eb="5">
      <t>ジュウジシャ</t>
    </rPh>
    <rPh sb="5" eb="6">
      <t>スウ</t>
    </rPh>
    <phoneticPr fontId="1"/>
  </si>
  <si>
    <t>稼働日数</t>
    <rPh sb="0" eb="2">
      <t>カドウ</t>
    </rPh>
    <rPh sb="2" eb="4">
      <t>ニッスウ</t>
    </rPh>
    <phoneticPr fontId="1"/>
  </si>
  <si>
    <t>営業日数</t>
    <rPh sb="0" eb="2">
      <t>エイギョウ</t>
    </rPh>
    <rPh sb="2" eb="4">
      <t>ニッスウ</t>
    </rPh>
    <phoneticPr fontId="1"/>
  </si>
  <si>
    <t>利用者数</t>
    <rPh sb="0" eb="3">
      <t>リヨウシャ</t>
    </rPh>
    <rPh sb="3" eb="4">
      <t>スウ</t>
    </rPh>
    <phoneticPr fontId="1"/>
  </si>
  <si>
    <t>宿泊者数</t>
    <rPh sb="0" eb="3">
      <t>シュクハクシャ</t>
    </rPh>
    <rPh sb="3" eb="4">
      <t>スウ</t>
    </rPh>
    <phoneticPr fontId="1"/>
  </si>
  <si>
    <t>営業日数</t>
    <rPh sb="0" eb="3">
      <t>エイギョウビ</t>
    </rPh>
    <rPh sb="3" eb="4">
      <t>スウ</t>
    </rPh>
    <phoneticPr fontId="1"/>
  </si>
  <si>
    <t>利用者数</t>
    <rPh sb="0" eb="3">
      <t>リヨウシャ</t>
    </rPh>
    <rPh sb="3" eb="4">
      <t>カズ</t>
    </rPh>
    <phoneticPr fontId="1"/>
  </si>
  <si>
    <t>関連事業従事者数</t>
    <rPh sb="0" eb="2">
      <t>カンレン</t>
    </rPh>
    <rPh sb="2" eb="4">
      <t>ジギョウ</t>
    </rPh>
    <rPh sb="4" eb="7">
      <t>ジュウジシャ</t>
    </rPh>
    <rPh sb="7" eb="8">
      <t>スウ</t>
    </rPh>
    <phoneticPr fontId="1"/>
  </si>
  <si>
    <t>事業従事者1人当付加価値額</t>
    <rPh sb="0" eb="2">
      <t>ジギョウ</t>
    </rPh>
    <rPh sb="2" eb="5">
      <t>ジュウジシャ</t>
    </rPh>
    <rPh sb="6" eb="7">
      <t>ニン</t>
    </rPh>
    <rPh sb="8" eb="10">
      <t>フカ</t>
    </rPh>
    <rPh sb="10" eb="13">
      <t>カチガク</t>
    </rPh>
    <phoneticPr fontId="1"/>
  </si>
  <si>
    <t>事業従事者1人当売上高</t>
    <rPh sb="0" eb="2">
      <t>ジギョウ</t>
    </rPh>
    <rPh sb="2" eb="5">
      <t>ジュウジシャ</t>
    </rPh>
    <rPh sb="6" eb="7">
      <t>ニン</t>
    </rPh>
    <rPh sb="8" eb="11">
      <t>ウリアゲダカ</t>
    </rPh>
    <phoneticPr fontId="1"/>
  </si>
  <si>
    <t>農業及び関連事業所得率</t>
    <rPh sb="0" eb="2">
      <t>ノウギョウ</t>
    </rPh>
    <rPh sb="2" eb="3">
      <t>オヨ</t>
    </rPh>
    <rPh sb="4" eb="6">
      <t>カンレン</t>
    </rPh>
    <rPh sb="6" eb="8">
      <t>ジギョウ</t>
    </rPh>
    <rPh sb="8" eb="11">
      <t>ショトクリツ</t>
    </rPh>
    <phoneticPr fontId="1"/>
  </si>
  <si>
    <t>農業及び関連事業付加価値額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カチガク</t>
    </rPh>
    <phoneticPr fontId="1"/>
  </si>
  <si>
    <t>農業及び関連事業付加価値率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カチリツ</t>
    </rPh>
    <phoneticPr fontId="1"/>
  </si>
  <si>
    <t>７か月以上雇用</t>
    <rPh sb="2" eb="3">
      <t>ゲツ</t>
    </rPh>
    <rPh sb="3" eb="5">
      <t>イジョウ</t>
    </rPh>
    <rPh sb="5" eb="7">
      <t>コヨウ</t>
    </rPh>
    <phoneticPr fontId="1"/>
  </si>
  <si>
    <t>うち農作業受託労働計</t>
    <rPh sb="2" eb="5">
      <t>ノウサギョウ</t>
    </rPh>
    <rPh sb="5" eb="7">
      <t>ジュタク</t>
    </rPh>
    <rPh sb="7" eb="9">
      <t>ロウドウ</t>
    </rPh>
    <rPh sb="9" eb="10">
      <t>ケイ</t>
    </rPh>
    <phoneticPr fontId="1"/>
  </si>
  <si>
    <t>関連事業従事者1人当関連事業所得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ショトク</t>
    </rPh>
    <phoneticPr fontId="1"/>
  </si>
  <si>
    <t>関連事業所得</t>
    <rPh sb="0" eb="2">
      <t>カンレン</t>
    </rPh>
    <rPh sb="2" eb="4">
      <t>ジギョウ</t>
    </rPh>
    <rPh sb="4" eb="6">
      <t>ショトク</t>
    </rPh>
    <phoneticPr fontId="1"/>
  </si>
  <si>
    <t>関連事業収入</t>
    <rPh sb="0" eb="2">
      <t>カンレン</t>
    </rPh>
    <rPh sb="2" eb="4">
      <t>ジギョウ</t>
    </rPh>
    <rPh sb="4" eb="6">
      <t>シュウニュウ</t>
    </rPh>
    <phoneticPr fontId="1"/>
  </si>
  <si>
    <t>関連事業支出</t>
    <rPh sb="0" eb="2">
      <t>カンレン</t>
    </rPh>
    <rPh sb="2" eb="4">
      <t>ジギョウ</t>
    </rPh>
    <rPh sb="4" eb="6">
      <t>シシュツ</t>
    </rPh>
    <phoneticPr fontId="1"/>
  </si>
  <si>
    <t>関連事業労働時間</t>
    <rPh sb="0" eb="2">
      <t>カンレン</t>
    </rPh>
    <rPh sb="2" eb="4">
      <t>ジギョウ</t>
    </rPh>
    <rPh sb="4" eb="6">
      <t>ロウドウ</t>
    </rPh>
    <rPh sb="6" eb="8">
      <t>ジカン</t>
    </rPh>
    <phoneticPr fontId="1"/>
  </si>
  <si>
    <t>関連事業支出</t>
    <phoneticPr fontId="1"/>
  </si>
  <si>
    <t>7ヶ月以上雇用</t>
    <rPh sb="2" eb="5">
      <t>ゲツイジョウ</t>
    </rPh>
    <rPh sb="5" eb="7">
      <t>コヨウ</t>
    </rPh>
    <phoneticPr fontId="1"/>
  </si>
  <si>
    <t>関連事業労働計</t>
    <rPh sb="0" eb="2">
      <t>カンレン</t>
    </rPh>
    <rPh sb="2" eb="4">
      <t>ジギョウ</t>
    </rPh>
    <rPh sb="4" eb="6">
      <t>ロウドウ</t>
    </rPh>
    <rPh sb="6" eb="7">
      <t>ケイ</t>
    </rPh>
    <phoneticPr fontId="1"/>
  </si>
  <si>
    <t>受取金等</t>
    <rPh sb="0" eb="3">
      <t>ウケトリキン</t>
    </rPh>
    <rPh sb="3" eb="4">
      <t>トウ</t>
    </rPh>
    <phoneticPr fontId="1"/>
  </si>
  <si>
    <t>積立金等</t>
    <rPh sb="0" eb="3">
      <t>ツミタテキン</t>
    </rPh>
    <rPh sb="3" eb="4">
      <t>トウ</t>
    </rPh>
    <phoneticPr fontId="1"/>
  </si>
  <si>
    <t>食用
米</t>
    <rPh sb="0" eb="2">
      <t>ショクヨウ</t>
    </rPh>
    <rPh sb="3" eb="4">
      <t>マイ</t>
    </rPh>
    <phoneticPr fontId="1"/>
  </si>
  <si>
    <t>１　事業従事者数（人）</t>
    <rPh sb="2" eb="4">
      <t>ジギョウ</t>
    </rPh>
    <rPh sb="4" eb="7">
      <t>ジュウジシャ</t>
    </rPh>
    <rPh sb="7" eb="8">
      <t>スウ</t>
    </rPh>
    <rPh sb="9" eb="10">
      <t>ヒト</t>
    </rPh>
    <phoneticPr fontId="1"/>
  </si>
  <si>
    <t>２　年齢別農業従事者数（人）</t>
    <rPh sb="2" eb="4">
      <t>ネンレイ</t>
    </rPh>
    <rPh sb="4" eb="5">
      <t>ベツ</t>
    </rPh>
    <rPh sb="5" eb="7">
      <t>ノウギョウ</t>
    </rPh>
    <rPh sb="7" eb="9">
      <t>ジュウジ</t>
    </rPh>
    <rPh sb="9" eb="10">
      <t>シャ</t>
    </rPh>
    <rPh sb="10" eb="11">
      <t>カズ</t>
    </rPh>
    <rPh sb="12" eb="13">
      <t>ニン</t>
    </rPh>
    <phoneticPr fontId="1"/>
  </si>
  <si>
    <t>単一・複合区分</t>
    <rPh sb="0" eb="2">
      <t>タンイツ</t>
    </rPh>
    <rPh sb="3" eb="5">
      <t>フクゴウ</t>
    </rPh>
    <rPh sb="5" eb="7">
      <t>クブン</t>
    </rPh>
    <phoneticPr fontId="1"/>
  </si>
  <si>
    <t>収　益　性</t>
    <rPh sb="0" eb="1">
      <t>オサム</t>
    </rPh>
    <rPh sb="2" eb="3">
      <t>エキ</t>
    </rPh>
    <rPh sb="4" eb="5">
      <t>セイ</t>
    </rPh>
    <phoneticPr fontId="1"/>
  </si>
  <si>
    <t>生 産 性</t>
    <rPh sb="0" eb="1">
      <t>ショウ</t>
    </rPh>
    <rPh sb="2" eb="3">
      <t>サン</t>
    </rPh>
    <rPh sb="4" eb="5">
      <t>セイ</t>
    </rPh>
    <phoneticPr fontId="1"/>
  </si>
  <si>
    <t>棚卸高(農産物以外)</t>
    <rPh sb="0" eb="2">
      <t>タナオロシ</t>
    </rPh>
    <rPh sb="2" eb="3">
      <t>タカ</t>
    </rPh>
    <rPh sb="4" eb="6">
      <t>ノウサン</t>
    </rPh>
    <rPh sb="6" eb="7">
      <t>ブツ</t>
    </rPh>
    <rPh sb="7" eb="9">
      <t>イガイ</t>
    </rPh>
    <phoneticPr fontId="1"/>
  </si>
  <si>
    <t>生　　　産　　　概　　　況</t>
    <rPh sb="0" eb="1">
      <t>ショウ</t>
    </rPh>
    <rPh sb="4" eb="5">
      <t>サン</t>
    </rPh>
    <rPh sb="8" eb="9">
      <t>オオムネ</t>
    </rPh>
    <rPh sb="12" eb="13">
      <t>キョウ</t>
    </rPh>
    <phoneticPr fontId="1"/>
  </si>
  <si>
    <t>共済等掛金</t>
    <rPh sb="0" eb="2">
      <t>キョウサイ</t>
    </rPh>
    <rPh sb="2" eb="3">
      <t>トウ</t>
    </rPh>
    <rPh sb="3" eb="5">
      <t>カケガネ</t>
    </rPh>
    <phoneticPr fontId="1"/>
  </si>
  <si>
    <t>生　　産　　性</t>
    <rPh sb="0" eb="1">
      <t>ショウ</t>
    </rPh>
    <rPh sb="3" eb="4">
      <t>サン</t>
    </rPh>
    <rPh sb="6" eb="7">
      <t>セイ</t>
    </rPh>
    <phoneticPr fontId="1"/>
  </si>
  <si>
    <t>預金等</t>
    <rPh sb="0" eb="2">
      <t>ヨキン</t>
    </rPh>
    <rPh sb="2" eb="3">
      <t>トウ</t>
    </rPh>
    <phoneticPr fontId="1"/>
  </si>
  <si>
    <t>○　指標部</t>
    <rPh sb="2" eb="4">
      <t>シヒョウ</t>
    </rPh>
    <rPh sb="4" eb="5">
      <t>ブ</t>
    </rPh>
    <phoneticPr fontId="8"/>
  </si>
  <si>
    <t>１　収支総括（円）</t>
    <rPh sb="2" eb="4">
      <t>シュウシ</t>
    </rPh>
    <rPh sb="4" eb="6">
      <t>ソウカツ</t>
    </rPh>
    <rPh sb="7" eb="8">
      <t>エン</t>
    </rPh>
    <phoneticPr fontId="8"/>
  </si>
  <si>
    <t>２　労働時間（時間）</t>
    <rPh sb="2" eb="4">
      <t>ロウドウ</t>
    </rPh>
    <rPh sb="4" eb="6">
      <t>ジカン</t>
    </rPh>
    <rPh sb="7" eb="9">
      <t>ジカン</t>
    </rPh>
    <phoneticPr fontId="1"/>
  </si>
  <si>
    <t>３　従事者数（人）</t>
    <rPh sb="2" eb="5">
      <t>ジュウジシャ</t>
    </rPh>
    <rPh sb="5" eb="6">
      <t>スウ</t>
    </rPh>
    <rPh sb="7" eb="8">
      <t>ニン</t>
    </rPh>
    <phoneticPr fontId="1"/>
  </si>
  <si>
    <t>農　業</t>
    <rPh sb="0" eb="1">
      <t>ノウ</t>
    </rPh>
    <rPh sb="2" eb="3">
      <t>ギョウ</t>
    </rPh>
    <phoneticPr fontId="1"/>
  </si>
  <si>
    <t>農家
レスト
ラン</t>
    <rPh sb="0" eb="2">
      <t>ノウカ</t>
    </rPh>
    <phoneticPr fontId="1"/>
  </si>
  <si>
    <t>３　制度受取金・積立金等（円）</t>
    <rPh sb="2" eb="4">
      <t>セイド</t>
    </rPh>
    <rPh sb="4" eb="7">
      <t>ウケトリキン</t>
    </rPh>
    <rPh sb="8" eb="11">
      <t>ツミタテキン</t>
    </rPh>
    <rPh sb="11" eb="12">
      <t>トウ</t>
    </rPh>
    <rPh sb="13" eb="14">
      <t>エン</t>
    </rPh>
    <phoneticPr fontId="1"/>
  </si>
  <si>
    <t>４　営農類型規模（ａ､㎡､頭､羽）</t>
    <rPh sb="2" eb="4">
      <t>エイノウ</t>
    </rPh>
    <rPh sb="4" eb="6">
      <t>ルイケイ</t>
    </rPh>
    <rPh sb="6" eb="8">
      <t>キボ</t>
    </rPh>
    <rPh sb="13" eb="14">
      <t>トウ</t>
    </rPh>
    <rPh sb="15" eb="16">
      <t>ハ</t>
    </rPh>
    <phoneticPr fontId="1"/>
  </si>
  <si>
    <t>果樹野菜花き調製</t>
    <rPh sb="0" eb="2">
      <t>カジュ</t>
    </rPh>
    <rPh sb="2" eb="4">
      <t>ヤサイ</t>
    </rPh>
    <rPh sb="4" eb="5">
      <t>カ</t>
    </rPh>
    <rPh sb="6" eb="8">
      <t>チョウセイ</t>
    </rPh>
    <phoneticPr fontId="8"/>
  </si>
  <si>
    <t>区    分</t>
    <rPh sb="0" eb="1">
      <t>ク</t>
    </rPh>
    <rPh sb="5" eb="6">
      <t>ブン</t>
    </rPh>
    <phoneticPr fontId="1"/>
  </si>
  <si>
    <t>a</t>
  </si>
  <si>
    <t>〃</t>
  </si>
  <si>
    <t>生産量</t>
    <rPh sb="0" eb="3">
      <t>セイサンリョウ</t>
    </rPh>
    <phoneticPr fontId="1"/>
  </si>
  <si>
    <t>頭</t>
    <rPh sb="0" eb="1">
      <t>トウ</t>
    </rPh>
    <phoneticPr fontId="1"/>
  </si>
  <si>
    <t>WCS用米</t>
    <rPh sb="3" eb="4">
      <t>ヨウ</t>
    </rPh>
    <rPh sb="4" eb="5">
      <t>コメ</t>
    </rPh>
    <phoneticPr fontId="1"/>
  </si>
  <si>
    <t>稲作計</t>
    <rPh sb="0" eb="2">
      <t>イナサク</t>
    </rPh>
    <rPh sb="2" eb="3">
      <t>ケイ</t>
    </rPh>
    <phoneticPr fontId="1"/>
  </si>
  <si>
    <t>小麦計</t>
    <rPh sb="0" eb="2">
      <t>コムギ</t>
    </rPh>
    <rPh sb="2" eb="3">
      <t>ケイ</t>
    </rPh>
    <phoneticPr fontId="1"/>
  </si>
  <si>
    <t>　うち田</t>
    <rPh sb="3" eb="4">
      <t>タ</t>
    </rPh>
    <phoneticPr fontId="1"/>
  </si>
  <si>
    <t>二条大麦計</t>
    <rPh sb="0" eb="2">
      <t>ニジョウ</t>
    </rPh>
    <rPh sb="2" eb="4">
      <t>オオムギ</t>
    </rPh>
    <rPh sb="4" eb="5">
      <t>ケイ</t>
    </rPh>
    <phoneticPr fontId="1"/>
  </si>
  <si>
    <t>六条大麦計</t>
    <rPh sb="0" eb="2">
      <t>ロクジョウ</t>
    </rPh>
    <rPh sb="2" eb="4">
      <t>オオムギ</t>
    </rPh>
    <rPh sb="4" eb="5">
      <t>ケイ</t>
    </rPh>
    <phoneticPr fontId="1"/>
  </si>
  <si>
    <t>はだか麦計</t>
    <rPh sb="3" eb="4">
      <t>ムギ</t>
    </rPh>
    <rPh sb="4" eb="5">
      <t>ケイ</t>
    </rPh>
    <phoneticPr fontId="1"/>
  </si>
  <si>
    <t>その他麦計</t>
    <rPh sb="2" eb="3">
      <t>タ</t>
    </rPh>
    <rPh sb="3" eb="4">
      <t>ムギ</t>
    </rPh>
    <rPh sb="4" eb="5">
      <t>ケイ</t>
    </rPh>
    <phoneticPr fontId="1"/>
  </si>
  <si>
    <t>麦類計</t>
    <rPh sb="0" eb="1">
      <t>ムギ</t>
    </rPh>
    <rPh sb="1" eb="2">
      <t>ルイ</t>
    </rPh>
    <rPh sb="2" eb="3">
      <t>ケイ</t>
    </rPh>
    <phoneticPr fontId="1"/>
  </si>
  <si>
    <t>その他麦</t>
    <rPh sb="2" eb="3">
      <t>タ</t>
    </rPh>
    <rPh sb="3" eb="4">
      <t>ムギ</t>
    </rPh>
    <phoneticPr fontId="1"/>
  </si>
  <si>
    <t>豆類計</t>
    <rPh sb="0" eb="2">
      <t>マメルイ</t>
    </rPh>
    <rPh sb="2" eb="3">
      <t>ケイ</t>
    </rPh>
    <phoneticPr fontId="1"/>
  </si>
  <si>
    <t>てんさい計</t>
    <rPh sb="4" eb="5">
      <t>ケイ</t>
    </rPh>
    <phoneticPr fontId="1"/>
  </si>
  <si>
    <t>さとうきび計</t>
    <rPh sb="5" eb="6">
      <t>ケイ</t>
    </rPh>
    <phoneticPr fontId="1"/>
  </si>
  <si>
    <t>茶(荒茶)</t>
    <rPh sb="0" eb="1">
      <t>チャ</t>
    </rPh>
    <rPh sb="2" eb="4">
      <t>アラチャ</t>
    </rPh>
    <phoneticPr fontId="1"/>
  </si>
  <si>
    <t>露地切り花</t>
    <rPh sb="0" eb="2">
      <t>ロジ</t>
    </rPh>
    <rPh sb="2" eb="3">
      <t>キ</t>
    </rPh>
    <rPh sb="4" eb="5">
      <t>ハナ</t>
    </rPh>
    <phoneticPr fontId="1"/>
  </si>
  <si>
    <t>露地鉢物</t>
    <rPh sb="0" eb="2">
      <t>ロジ</t>
    </rPh>
    <rPh sb="2" eb="4">
      <t>ハチモノ</t>
    </rPh>
    <phoneticPr fontId="1"/>
  </si>
  <si>
    <t>露地計</t>
    <rPh sb="0" eb="2">
      <t>ロジ</t>
    </rPh>
    <rPh sb="2" eb="3">
      <t>ケイ</t>
    </rPh>
    <phoneticPr fontId="1"/>
  </si>
  <si>
    <t>施設切り花</t>
    <rPh sb="0" eb="2">
      <t>シセツ</t>
    </rPh>
    <rPh sb="2" eb="3">
      <t>キ</t>
    </rPh>
    <rPh sb="4" eb="5">
      <t>ハナ</t>
    </rPh>
    <phoneticPr fontId="1"/>
  </si>
  <si>
    <t>施設鉢物</t>
    <rPh sb="0" eb="2">
      <t>シセツ</t>
    </rPh>
    <rPh sb="2" eb="4">
      <t>ハチモノ</t>
    </rPh>
    <phoneticPr fontId="1"/>
  </si>
  <si>
    <t>施設計</t>
    <rPh sb="0" eb="2">
      <t>シセツ</t>
    </rPh>
    <rPh sb="2" eb="3">
      <t>ケイ</t>
    </rPh>
    <phoneticPr fontId="1"/>
  </si>
  <si>
    <t>花き計</t>
    <rPh sb="0" eb="1">
      <t>ハナ</t>
    </rPh>
    <rPh sb="2" eb="3">
      <t>ケイ</t>
    </rPh>
    <phoneticPr fontId="1"/>
  </si>
  <si>
    <t>肉用牛</t>
    <rPh sb="0" eb="3">
      <t>ニクヨウギュウ</t>
    </rPh>
    <phoneticPr fontId="1"/>
  </si>
  <si>
    <t>生乳生産量</t>
    <rPh sb="0" eb="2">
      <t>セイニュウ</t>
    </rPh>
    <rPh sb="2" eb="5">
      <t>セイサンリョウ</t>
    </rPh>
    <phoneticPr fontId="1"/>
  </si>
  <si>
    <t>繁殖雌牛月平均頭数</t>
    <rPh sb="0" eb="2">
      <t>ハンショク</t>
    </rPh>
    <rPh sb="2" eb="3">
      <t>メス</t>
    </rPh>
    <rPh sb="3" eb="4">
      <t>ウシ</t>
    </rPh>
    <rPh sb="4" eb="7">
      <t>ツキヘイキン</t>
    </rPh>
    <rPh sb="7" eb="9">
      <t>トウスウ</t>
    </rPh>
    <phoneticPr fontId="1"/>
  </si>
  <si>
    <t>肉専用種</t>
    <rPh sb="0" eb="3">
      <t>ニクセンヨウ</t>
    </rPh>
    <rPh sb="3" eb="4">
      <t>シュ</t>
    </rPh>
    <phoneticPr fontId="1"/>
  </si>
  <si>
    <t>月平均
頭数</t>
    <rPh sb="0" eb="3">
      <t>ツキヘイキン</t>
    </rPh>
    <rPh sb="4" eb="6">
      <t>トウスウ</t>
    </rPh>
    <phoneticPr fontId="1"/>
  </si>
  <si>
    <t>肥育豚</t>
    <rPh sb="0" eb="2">
      <t>ヒイク</t>
    </rPh>
    <rPh sb="2" eb="3">
      <t>ブタ</t>
    </rPh>
    <phoneticPr fontId="1"/>
  </si>
  <si>
    <t>月平均採卵鶏羽数</t>
    <rPh sb="0" eb="3">
      <t>ツキヘイキン</t>
    </rPh>
    <rPh sb="3" eb="6">
      <t>サイランケイ</t>
    </rPh>
    <rPh sb="6" eb="8">
      <t>ハスウ</t>
    </rPh>
    <phoneticPr fontId="1"/>
  </si>
  <si>
    <t>鶏卵生産量</t>
    <rPh sb="0" eb="2">
      <t>ケイラン</t>
    </rPh>
    <rPh sb="2" eb="5">
      <t>セイサンリョウ</t>
    </rPh>
    <phoneticPr fontId="1"/>
  </si>
  <si>
    <t>羽</t>
    <rPh sb="0" eb="1">
      <t>ハ</t>
    </rPh>
    <phoneticPr fontId="1"/>
  </si>
  <si>
    <t>稲　　作</t>
    <rPh sb="0" eb="1">
      <t>イネ</t>
    </rPh>
    <rPh sb="3" eb="4">
      <t>サク</t>
    </rPh>
    <phoneticPr fontId="1"/>
  </si>
  <si>
    <t>豆　類</t>
    <rPh sb="0" eb="1">
      <t>マメ</t>
    </rPh>
    <rPh sb="2" eb="3">
      <t>タグイ</t>
    </rPh>
    <phoneticPr fontId="1"/>
  </si>
  <si>
    <t>販売数量（kg）</t>
    <rPh sb="0" eb="2">
      <t>ハンバイ</t>
    </rPh>
    <rPh sb="2" eb="4">
      <t>スウリョウ</t>
    </rPh>
    <phoneticPr fontId="1"/>
  </si>
  <si>
    <t>いも類計</t>
    <rPh sb="2" eb="3">
      <t>ルイ</t>
    </rPh>
    <rPh sb="3" eb="4">
      <t>ケイ</t>
    </rPh>
    <phoneticPr fontId="1"/>
  </si>
  <si>
    <t>野菜計</t>
    <rPh sb="0" eb="2">
      <t>ヤサイ</t>
    </rPh>
    <rPh sb="2" eb="3">
      <t>ケイ</t>
    </rPh>
    <phoneticPr fontId="1"/>
  </si>
  <si>
    <t>そば計</t>
    <rPh sb="2" eb="3">
      <t>ケイ</t>
    </rPh>
    <phoneticPr fontId="1"/>
  </si>
  <si>
    <t>雑穀計</t>
    <rPh sb="0" eb="2">
      <t>ザッコク</t>
    </rPh>
    <rPh sb="2" eb="3">
      <t>ケイ</t>
    </rPh>
    <phoneticPr fontId="1"/>
  </si>
  <si>
    <t>加工用米計</t>
    <rPh sb="0" eb="3">
      <t>カコウヨウ</t>
    </rPh>
    <rPh sb="3" eb="4">
      <t>マイ</t>
    </rPh>
    <rPh sb="4" eb="5">
      <t>ケイ</t>
    </rPh>
    <phoneticPr fontId="1"/>
  </si>
  <si>
    <t>大豆計</t>
    <rPh sb="0" eb="2">
      <t>ダイズ</t>
    </rPh>
    <rPh sb="2" eb="3">
      <t>ケイ</t>
    </rPh>
    <phoneticPr fontId="1"/>
  </si>
  <si>
    <t>かんしょ計</t>
    <rPh sb="4" eb="5">
      <t>ケイ</t>
    </rPh>
    <phoneticPr fontId="1"/>
  </si>
  <si>
    <t>ばれいしょ計</t>
    <rPh sb="5" eb="6">
      <t>ケイ</t>
    </rPh>
    <phoneticPr fontId="1"/>
  </si>
  <si>
    <t>飼料作物計</t>
    <rPh sb="0" eb="2">
      <t>シリョウ</t>
    </rPh>
    <rPh sb="2" eb="4">
      <t>サクモツ</t>
    </rPh>
    <rPh sb="4" eb="5">
      <t>ケイ</t>
    </rPh>
    <phoneticPr fontId="1"/>
  </si>
  <si>
    <t>飼料用米生産量</t>
    <rPh sb="0" eb="3">
      <t>シリョウヨウ</t>
    </rPh>
    <rPh sb="3" eb="4">
      <t>マイ</t>
    </rPh>
    <rPh sb="4" eb="7">
      <t>セイサンリョウ</t>
    </rPh>
    <phoneticPr fontId="1"/>
  </si>
  <si>
    <t>飼料作物</t>
    <rPh sb="0" eb="2">
      <t>シリョウ</t>
    </rPh>
    <rPh sb="2" eb="4">
      <t>サクモツ</t>
    </rPh>
    <phoneticPr fontId="1"/>
  </si>
  <si>
    <t>養鶏</t>
    <rPh sb="0" eb="2">
      <t>ヨウケイ</t>
    </rPh>
    <phoneticPr fontId="1"/>
  </si>
  <si>
    <t>作　付　面　積</t>
    <rPh sb="0" eb="1">
      <t>サク</t>
    </rPh>
    <rPh sb="2" eb="3">
      <t>ヅケ</t>
    </rPh>
    <rPh sb="4" eb="5">
      <t>メン</t>
    </rPh>
    <rPh sb="6" eb="7">
      <t>セキ</t>
    </rPh>
    <phoneticPr fontId="1"/>
  </si>
  <si>
    <t>雑　穀</t>
    <rPh sb="0" eb="1">
      <t>ザツ</t>
    </rPh>
    <rPh sb="2" eb="3">
      <t>コク</t>
    </rPh>
    <phoneticPr fontId="1"/>
  </si>
  <si>
    <t>花　き</t>
    <rPh sb="0" eb="1">
      <t>ハナ</t>
    </rPh>
    <phoneticPr fontId="1"/>
  </si>
  <si>
    <t>工 芸 農 作 物</t>
    <rPh sb="0" eb="1">
      <t>コウ</t>
    </rPh>
    <rPh sb="2" eb="3">
      <t>ゲイ</t>
    </rPh>
    <rPh sb="4" eb="5">
      <t>ノウ</t>
    </rPh>
    <rPh sb="6" eb="7">
      <t>サク</t>
    </rPh>
    <rPh sb="8" eb="9">
      <t>ブツ</t>
    </rPh>
    <phoneticPr fontId="1"/>
  </si>
  <si>
    <t>麦類計</t>
    <rPh sb="0" eb="2">
      <t>ムギルイ</t>
    </rPh>
    <rPh sb="2" eb="3">
      <t>ケイ</t>
    </rPh>
    <phoneticPr fontId="1"/>
  </si>
  <si>
    <t>その他の雑穀</t>
    <rPh sb="2" eb="3">
      <t>タ</t>
    </rPh>
    <rPh sb="4" eb="6">
      <t>ザッコク</t>
    </rPh>
    <phoneticPr fontId="1"/>
  </si>
  <si>
    <t>大豆以外の豆類</t>
    <rPh sb="0" eb="2">
      <t>ダイズ</t>
    </rPh>
    <rPh sb="2" eb="4">
      <t>イガイ</t>
    </rPh>
    <rPh sb="5" eb="7">
      <t>マメルイ</t>
    </rPh>
    <phoneticPr fontId="1"/>
  </si>
  <si>
    <t>販売数量（頭・羽）</t>
    <rPh sb="0" eb="2">
      <t>ハンバイ</t>
    </rPh>
    <rPh sb="2" eb="4">
      <t>スウリョウ</t>
    </rPh>
    <rPh sb="5" eb="6">
      <t>トウ</t>
    </rPh>
    <rPh sb="7" eb="8">
      <t>ハ</t>
    </rPh>
    <phoneticPr fontId="1"/>
  </si>
  <si>
    <t>酪農計</t>
    <rPh sb="0" eb="2">
      <t>ラクノウ</t>
    </rPh>
    <rPh sb="2" eb="3">
      <t>ケイ</t>
    </rPh>
    <phoneticPr fontId="1"/>
  </si>
  <si>
    <t>肥育牛計</t>
    <rPh sb="0" eb="3">
      <t>ヒイクギュウ</t>
    </rPh>
    <rPh sb="3" eb="4">
      <t>ケイ</t>
    </rPh>
    <phoneticPr fontId="1"/>
  </si>
  <si>
    <t>養豚計</t>
    <rPh sb="0" eb="2">
      <t>ヨウトン</t>
    </rPh>
    <rPh sb="2" eb="3">
      <t>ケイ</t>
    </rPh>
    <phoneticPr fontId="1"/>
  </si>
  <si>
    <t>作付面積
(茶除く)</t>
    <rPh sb="0" eb="2">
      <t>サクツケ</t>
    </rPh>
    <rPh sb="2" eb="4">
      <t>メンセキ</t>
    </rPh>
    <rPh sb="6" eb="7">
      <t>チャ</t>
    </rPh>
    <rPh sb="7" eb="8">
      <t>ノゾ</t>
    </rPh>
    <phoneticPr fontId="1"/>
  </si>
  <si>
    <t>作付
面積</t>
    <rPh sb="0" eb="2">
      <t>サクツケ</t>
    </rPh>
    <rPh sb="3" eb="5">
      <t>メンセキ</t>
    </rPh>
    <phoneticPr fontId="1"/>
  </si>
  <si>
    <t>頭</t>
    <rPh sb="0" eb="1">
      <t>アタマ</t>
    </rPh>
    <phoneticPr fontId="1"/>
  </si>
  <si>
    <t>農業従事者
1人当たり</t>
    <rPh sb="0" eb="2">
      <t>ノウギョウ</t>
    </rPh>
    <rPh sb="2" eb="5">
      <t>ジュウジシャ</t>
    </rPh>
    <rPh sb="7" eb="8">
      <t>ニン</t>
    </rPh>
    <rPh sb="8" eb="9">
      <t>ア</t>
    </rPh>
    <phoneticPr fontId="1"/>
  </si>
  <si>
    <t>農業粗収益</t>
    <rPh sb="0" eb="2">
      <t>ノウギョウ</t>
    </rPh>
    <rPh sb="2" eb="3">
      <t>ソ</t>
    </rPh>
    <rPh sb="3" eb="5">
      <t>シュウエキ</t>
    </rPh>
    <phoneticPr fontId="1"/>
  </si>
  <si>
    <t>営農類型
規模当たり</t>
    <rPh sb="0" eb="2">
      <t>エイノウ</t>
    </rPh>
    <rPh sb="2" eb="4">
      <t>ルイケイ</t>
    </rPh>
    <rPh sb="5" eb="7">
      <t>キボ</t>
    </rPh>
    <phoneticPr fontId="1"/>
  </si>
  <si>
    <t>kg･本</t>
    <rPh sb="3" eb="4">
      <t>ホン</t>
    </rPh>
    <phoneticPr fontId="1"/>
  </si>
  <si>
    <t>部門販売数量</t>
    <rPh sb="0" eb="2">
      <t>ブモン</t>
    </rPh>
    <rPh sb="2" eb="4">
      <t>ハンバイ</t>
    </rPh>
    <rPh sb="4" eb="5">
      <t>スウ</t>
    </rPh>
    <phoneticPr fontId="1"/>
  </si>
  <si>
    <t xml:space="preserve"> うち田</t>
    <rPh sb="3" eb="4">
      <t>タ</t>
    </rPh>
    <phoneticPr fontId="1"/>
  </si>
  <si>
    <t>繁殖牛(自家生産和牛等)</t>
    <rPh sb="0" eb="2">
      <t>ハンショク</t>
    </rPh>
    <rPh sb="2" eb="3">
      <t>ギュウ</t>
    </rPh>
    <rPh sb="4" eb="6">
      <t>ジカ</t>
    </rPh>
    <rPh sb="6" eb="8">
      <t>セイサン</t>
    </rPh>
    <rPh sb="8" eb="10">
      <t>ワギュウ</t>
    </rPh>
    <rPh sb="10" eb="11">
      <t>トウ</t>
    </rPh>
    <phoneticPr fontId="1"/>
  </si>
  <si>
    <t>工芸農作物計</t>
    <rPh sb="0" eb="2">
      <t>コウゲイ</t>
    </rPh>
    <rPh sb="2" eb="5">
      <t>ノウサクモツ</t>
    </rPh>
    <rPh sb="5" eb="6">
      <t>ケイ</t>
    </rPh>
    <phoneticPr fontId="1"/>
  </si>
  <si>
    <t>茶植栽面積</t>
    <rPh sb="0" eb="1">
      <t>チャ</t>
    </rPh>
    <rPh sb="1" eb="3">
      <t>ショクサイ</t>
    </rPh>
    <rPh sb="3" eb="5">
      <t>メンセキ</t>
    </rPh>
    <phoneticPr fontId="1"/>
  </si>
  <si>
    <t>kg</t>
  </si>
  <si>
    <t>露地花き計</t>
    <rPh sb="0" eb="2">
      <t>ロジ</t>
    </rPh>
    <rPh sb="2" eb="3">
      <t>ハナ</t>
    </rPh>
    <rPh sb="4" eb="5">
      <t>ケイ</t>
    </rPh>
    <phoneticPr fontId="1"/>
  </si>
  <si>
    <t>施設花き計</t>
    <rPh sb="0" eb="2">
      <t>シセツ</t>
    </rPh>
    <rPh sb="2" eb="3">
      <t>ハナ</t>
    </rPh>
    <rPh sb="4" eb="5">
      <t>ケイ</t>
    </rPh>
    <phoneticPr fontId="1"/>
  </si>
  <si>
    <t>その他の作物</t>
    <rPh sb="2" eb="3">
      <t>タ</t>
    </rPh>
    <rPh sb="4" eb="6">
      <t>サクモツ</t>
    </rPh>
    <phoneticPr fontId="1"/>
  </si>
  <si>
    <t>35～44</t>
    <phoneticPr fontId="1"/>
  </si>
  <si>
    <t>45～49</t>
    <phoneticPr fontId="1"/>
  </si>
  <si>
    <t>50～59</t>
    <phoneticPr fontId="1"/>
  </si>
  <si>
    <t>60～64</t>
    <phoneticPr fontId="1"/>
  </si>
  <si>
    <t>65～69</t>
    <phoneticPr fontId="1"/>
  </si>
  <si>
    <t>農業労働計</t>
    <rPh sb="0" eb="2">
      <t>ノウギョウ</t>
    </rPh>
    <rPh sb="2" eb="4">
      <t>ロウドウ</t>
    </rPh>
    <rPh sb="4" eb="5">
      <t>ケイ</t>
    </rPh>
    <phoneticPr fontId="1"/>
  </si>
  <si>
    <t>35～44</t>
  </si>
  <si>
    <t>45～49</t>
  </si>
  <si>
    <t>うち関連事業従事者計</t>
    <rPh sb="2" eb="4">
      <t>カンレン</t>
    </rPh>
    <rPh sb="4" eb="6">
      <t>ジギョウ</t>
    </rPh>
    <rPh sb="6" eb="9">
      <t>ジュウジシャ</t>
    </rPh>
    <rPh sb="9" eb="10">
      <t>ケイ</t>
    </rPh>
    <phoneticPr fontId="1"/>
  </si>
  <si>
    <t>50～59</t>
  </si>
  <si>
    <t>60～64</t>
  </si>
  <si>
    <t>65～69</t>
  </si>
  <si>
    <t>当該品目収入</t>
    <rPh sb="0" eb="2">
      <t>トウガイ</t>
    </rPh>
    <rPh sb="2" eb="4">
      <t>ヒンモク</t>
    </rPh>
    <rPh sb="4" eb="6">
      <t>シュウニュウ</t>
    </rPh>
    <phoneticPr fontId="1"/>
  </si>
  <si>
    <t>農業雑収入</t>
    <rPh sb="0" eb="2">
      <t>ノウギョウ</t>
    </rPh>
    <rPh sb="2" eb="5">
      <t>ザツシュウニュウ</t>
    </rPh>
    <phoneticPr fontId="1"/>
  </si>
  <si>
    <t>部門労働時間計</t>
    <rPh sb="0" eb="2">
      <t>ブモン</t>
    </rPh>
    <rPh sb="2" eb="4">
      <t>ロウドウ</t>
    </rPh>
    <rPh sb="4" eb="6">
      <t>ジカン</t>
    </rPh>
    <rPh sb="6" eb="7">
      <t>ケイ</t>
    </rPh>
    <phoneticPr fontId="1"/>
  </si>
  <si>
    <t>家族</t>
    <rPh sb="0" eb="2">
      <t>カゾク</t>
    </rPh>
    <phoneticPr fontId="1"/>
  </si>
  <si>
    <t>35～44</t>
    <phoneticPr fontId="1"/>
  </si>
  <si>
    <t>45～49</t>
    <phoneticPr fontId="1"/>
  </si>
  <si>
    <t>うち　男</t>
    <phoneticPr fontId="1"/>
  </si>
  <si>
    <t>50～59</t>
    <phoneticPr fontId="1"/>
  </si>
  <si>
    <t>60～64</t>
    <phoneticPr fontId="1"/>
  </si>
  <si>
    <t>65～69</t>
    <phoneticPr fontId="1"/>
  </si>
  <si>
    <t>うち　女</t>
    <rPh sb="3" eb="4">
      <t>オンナ</t>
    </rPh>
    <phoneticPr fontId="1"/>
  </si>
  <si>
    <t>種子予措・育苗</t>
    <rPh sb="0" eb="2">
      <t>シュシ</t>
    </rPh>
    <rPh sb="2" eb="3">
      <t>ヨ</t>
    </rPh>
    <rPh sb="5" eb="7">
      <t>イクビョウ</t>
    </rPh>
    <phoneticPr fontId="3"/>
  </si>
  <si>
    <t>耕うん・施肥</t>
    <rPh sb="0" eb="1">
      <t>コウ</t>
    </rPh>
    <rPh sb="4" eb="6">
      <t>セヒ</t>
    </rPh>
    <phoneticPr fontId="3"/>
  </si>
  <si>
    <t>は種・定植・整枝・せん定</t>
    <rPh sb="1" eb="2">
      <t>シュ</t>
    </rPh>
    <rPh sb="3" eb="5">
      <t>テイショク</t>
    </rPh>
    <phoneticPr fontId="3"/>
  </si>
  <si>
    <t>除草・防除</t>
    <phoneticPr fontId="1"/>
  </si>
  <si>
    <t>分析指標（指定部門）</t>
    <rPh sb="0" eb="2">
      <t>ブンセキ</t>
    </rPh>
    <rPh sb="2" eb="4">
      <t>シヒョウ</t>
    </rPh>
    <rPh sb="5" eb="7">
      <t>シテイ</t>
    </rPh>
    <rPh sb="7" eb="9">
      <t>ブモン</t>
    </rPh>
    <phoneticPr fontId="1"/>
  </si>
  <si>
    <t>部門家族労働1時間当部門所得</t>
    <rPh sb="0" eb="2">
      <t>ブモン</t>
    </rPh>
    <rPh sb="2" eb="4">
      <t>カゾク</t>
    </rPh>
    <rPh sb="4" eb="6">
      <t>ロウドウ</t>
    </rPh>
    <rPh sb="7" eb="9">
      <t>ジカン</t>
    </rPh>
    <rPh sb="9" eb="10">
      <t>ア</t>
    </rPh>
    <rPh sb="10" eb="12">
      <t>ブモン</t>
    </rPh>
    <rPh sb="12" eb="14">
      <t>ショトク</t>
    </rPh>
    <phoneticPr fontId="1"/>
  </si>
  <si>
    <t>65～69</t>
    <phoneticPr fontId="1"/>
  </si>
  <si>
    <t>部門所得率</t>
    <rPh sb="0" eb="2">
      <t>ブモン</t>
    </rPh>
    <rPh sb="2" eb="5">
      <t>ショトクリツ</t>
    </rPh>
    <phoneticPr fontId="1"/>
  </si>
  <si>
    <t>％</t>
    <phoneticPr fontId="1"/>
  </si>
  <si>
    <t>10ａ当付加価値額</t>
    <phoneticPr fontId="1"/>
  </si>
  <si>
    <t>〃</t>
    <phoneticPr fontId="1"/>
  </si>
  <si>
    <t>農業研修生計</t>
    <rPh sb="0" eb="2">
      <t>ノウギョウ</t>
    </rPh>
    <rPh sb="2" eb="5">
      <t>ケンシュウセイ</t>
    </rPh>
    <rPh sb="5" eb="6">
      <t>ケイ</t>
    </rPh>
    <phoneticPr fontId="1"/>
  </si>
  <si>
    <t>部門労働
１時間
当たり</t>
    <rPh sb="0" eb="2">
      <t>ブモン</t>
    </rPh>
    <rPh sb="2" eb="4">
      <t>ロウドウ</t>
    </rPh>
    <rPh sb="6" eb="8">
      <t>ジカン</t>
    </rPh>
    <rPh sb="9" eb="10">
      <t>ア</t>
    </rPh>
    <phoneticPr fontId="1"/>
  </si>
  <si>
    <t>外国人技能実習生</t>
    <rPh sb="0" eb="3">
      <t>ガイコクジン</t>
    </rPh>
    <rPh sb="3" eb="5">
      <t>ギノウ</t>
    </rPh>
    <rPh sb="5" eb="8">
      <t>ジッシュウセイ</t>
    </rPh>
    <phoneticPr fontId="1"/>
  </si>
  <si>
    <t>部門粗収益</t>
    <rPh sb="0" eb="2">
      <t>ブモン</t>
    </rPh>
    <rPh sb="2" eb="3">
      <t>ソ</t>
    </rPh>
    <rPh sb="3" eb="5">
      <t>シュウエキ</t>
    </rPh>
    <phoneticPr fontId="1"/>
  </si>
  <si>
    <t>部門経営費</t>
    <rPh sb="0" eb="2">
      <t>ブモン</t>
    </rPh>
    <rPh sb="2" eb="5">
      <t>ケイエイヒ</t>
    </rPh>
    <phoneticPr fontId="1"/>
  </si>
  <si>
    <t>部門所得</t>
    <rPh sb="0" eb="2">
      <t>ブモン</t>
    </rPh>
    <rPh sb="2" eb="4">
      <t>ショトク</t>
    </rPh>
    <phoneticPr fontId="1"/>
  </si>
  <si>
    <t>部門農機具資産比率</t>
    <rPh sb="0" eb="2">
      <t>ブモン</t>
    </rPh>
    <rPh sb="2" eb="5">
      <t>ノウキグ</t>
    </rPh>
    <rPh sb="5" eb="7">
      <t>シサン</t>
    </rPh>
    <rPh sb="7" eb="9">
      <t>ヒリツ</t>
    </rPh>
    <phoneticPr fontId="1"/>
  </si>
  <si>
    <t>前回センサス番号</t>
    <rPh sb="0" eb="2">
      <t>ゼンカイ</t>
    </rPh>
    <rPh sb="6" eb="8">
      <t>バンゴウ</t>
    </rPh>
    <phoneticPr fontId="1"/>
  </si>
  <si>
    <t>従事者①</t>
    <rPh sb="0" eb="3">
      <t>ジュウジシャ</t>
    </rPh>
    <phoneticPr fontId="1"/>
  </si>
  <si>
    <t>従事者②</t>
    <rPh sb="0" eb="3">
      <t>ジュウジシャ</t>
    </rPh>
    <phoneticPr fontId="1"/>
  </si>
  <si>
    <t>従事者③</t>
    <rPh sb="0" eb="3">
      <t>ジュウジシャ</t>
    </rPh>
    <phoneticPr fontId="1"/>
  </si>
  <si>
    <t>従事者④</t>
    <rPh sb="0" eb="3">
      <t>ジュウジシャ</t>
    </rPh>
    <phoneticPr fontId="1"/>
  </si>
  <si>
    <t>従事者⑤</t>
    <rPh sb="0" eb="3">
      <t>ジュウジシャ</t>
    </rPh>
    <phoneticPr fontId="1"/>
  </si>
  <si>
    <t>従事者⑥</t>
    <rPh sb="0" eb="3">
      <t>ジュウジシャ</t>
    </rPh>
    <phoneticPr fontId="1"/>
  </si>
  <si>
    <t>従事者⑦</t>
    <rPh sb="0" eb="3">
      <t>ジュウジシャ</t>
    </rPh>
    <phoneticPr fontId="1"/>
  </si>
  <si>
    <t>従事者⑧</t>
    <rPh sb="0" eb="3">
      <t>ジュウジシャ</t>
    </rPh>
    <phoneticPr fontId="1"/>
  </si>
  <si>
    <t>従事者⑨</t>
    <rPh sb="0" eb="3">
      <t>ジュウジシャ</t>
    </rPh>
    <phoneticPr fontId="1"/>
  </si>
  <si>
    <t>従事者⑩</t>
    <rPh sb="0" eb="3">
      <t>ジュウジシャ</t>
    </rPh>
    <phoneticPr fontId="1"/>
  </si>
  <si>
    <t>従事者⑪</t>
    <rPh sb="0" eb="3">
      <t>ジュウジシャ</t>
    </rPh>
    <phoneticPr fontId="1"/>
  </si>
  <si>
    <t>従事者⑫</t>
    <rPh sb="0" eb="3">
      <t>ジュウジシャ</t>
    </rPh>
    <phoneticPr fontId="1"/>
  </si>
  <si>
    <t>従事者⑬</t>
    <rPh sb="0" eb="3">
      <t>ジュウジシャ</t>
    </rPh>
    <phoneticPr fontId="1"/>
  </si>
  <si>
    <t>従事者⑭</t>
    <rPh sb="0" eb="3">
      <t>ジュウジシャ</t>
    </rPh>
    <phoneticPr fontId="1"/>
  </si>
  <si>
    <t>従事者⑮</t>
    <rPh sb="0" eb="3">
      <t>ジュウジシャ</t>
    </rPh>
    <phoneticPr fontId="1"/>
  </si>
  <si>
    <t>性別</t>
    <rPh sb="0" eb="2">
      <t>セイベツ</t>
    </rPh>
    <phoneticPr fontId="1"/>
  </si>
  <si>
    <t>年齢</t>
    <rPh sb="0" eb="2">
      <t>ネンレイ</t>
    </rPh>
    <phoneticPr fontId="1"/>
  </si>
  <si>
    <t>家族・雇用別</t>
    <rPh sb="0" eb="2">
      <t>カゾク</t>
    </rPh>
    <rPh sb="3" eb="5">
      <t>コヨウ</t>
    </rPh>
    <rPh sb="5" eb="6">
      <t>ベツ</t>
    </rPh>
    <phoneticPr fontId="1"/>
  </si>
  <si>
    <t>作業用衣料費</t>
    <rPh sb="0" eb="3">
      <t>サギョウヨウ</t>
    </rPh>
    <rPh sb="3" eb="5">
      <t>イリョウ</t>
    </rPh>
    <rPh sb="5" eb="6">
      <t>ヒ</t>
    </rPh>
    <phoneticPr fontId="1"/>
  </si>
  <si>
    <t>普通預金</t>
    <rPh sb="0" eb="2">
      <t>フツウ</t>
    </rPh>
    <rPh sb="2" eb="4">
      <t>ヨキン</t>
    </rPh>
    <phoneticPr fontId="1"/>
  </si>
  <si>
    <t>定期預金</t>
    <rPh sb="0" eb="2">
      <t>テイキ</t>
    </rPh>
    <rPh sb="2" eb="4">
      <t>ヨキン</t>
    </rPh>
    <phoneticPr fontId="1"/>
  </si>
  <si>
    <t>その他預金</t>
    <rPh sb="2" eb="3">
      <t>タ</t>
    </rPh>
    <rPh sb="3" eb="5">
      <t>ヨキン</t>
    </rPh>
    <phoneticPr fontId="1"/>
  </si>
  <si>
    <t>買掛金</t>
    <rPh sb="0" eb="3">
      <t>カイカケキン</t>
    </rPh>
    <phoneticPr fontId="1"/>
  </si>
  <si>
    <t>未払金</t>
    <rPh sb="0" eb="2">
      <t>ミバラ</t>
    </rPh>
    <rPh sb="2" eb="3">
      <t>キン</t>
    </rPh>
    <phoneticPr fontId="1"/>
  </si>
  <si>
    <t>前受金</t>
    <rPh sb="0" eb="3">
      <t>マエウケキン</t>
    </rPh>
    <phoneticPr fontId="1"/>
  </si>
  <si>
    <t>預り金</t>
    <rPh sb="0" eb="1">
      <t>アズカリ</t>
    </rPh>
    <rPh sb="2" eb="3">
      <t>キン</t>
    </rPh>
    <phoneticPr fontId="1"/>
  </si>
  <si>
    <t>未収金</t>
    <rPh sb="0" eb="3">
      <t>ミシュウキン</t>
    </rPh>
    <phoneticPr fontId="1"/>
  </si>
  <si>
    <t>有価証券</t>
    <rPh sb="0" eb="2">
      <t>ユウカ</t>
    </rPh>
    <rPh sb="2" eb="4">
      <t>ショウケン</t>
    </rPh>
    <phoneticPr fontId="1"/>
  </si>
  <si>
    <t>農産物等</t>
    <rPh sb="0" eb="3">
      <t>ノウサンブツ</t>
    </rPh>
    <rPh sb="3" eb="4">
      <t>トウ</t>
    </rPh>
    <phoneticPr fontId="1"/>
  </si>
  <si>
    <t>未収穫農産物等</t>
    <rPh sb="0" eb="1">
      <t>ミ</t>
    </rPh>
    <rPh sb="1" eb="3">
      <t>シュウカク</t>
    </rPh>
    <rPh sb="3" eb="6">
      <t>ノウサンブツ</t>
    </rPh>
    <rPh sb="6" eb="7">
      <t>トウ</t>
    </rPh>
    <phoneticPr fontId="1"/>
  </si>
  <si>
    <t>前払金</t>
    <rPh sb="0" eb="2">
      <t>マエバラ</t>
    </rPh>
    <rPh sb="2" eb="3">
      <t>キン</t>
    </rPh>
    <phoneticPr fontId="1"/>
  </si>
  <si>
    <t>貸付金</t>
    <rPh sb="0" eb="2">
      <t>カシツケ</t>
    </rPh>
    <rPh sb="2" eb="3">
      <t>キン</t>
    </rPh>
    <phoneticPr fontId="1"/>
  </si>
  <si>
    <t>売掛金・未収金</t>
    <rPh sb="0" eb="2">
      <t>ウリカケ</t>
    </rPh>
    <rPh sb="2" eb="3">
      <t>キン</t>
    </rPh>
    <rPh sb="4" eb="6">
      <t>ミシュウ</t>
    </rPh>
    <rPh sb="6" eb="7">
      <t>キン</t>
    </rPh>
    <phoneticPr fontId="1"/>
  </si>
  <si>
    <t>売掛金</t>
    <rPh sb="0" eb="3">
      <t>ウリカケキン</t>
    </rPh>
    <phoneticPr fontId="1"/>
  </si>
  <si>
    <t>事業主貸</t>
    <rPh sb="0" eb="2">
      <t>ジギョウ</t>
    </rPh>
    <rPh sb="2" eb="3">
      <t>ヌシ</t>
    </rPh>
    <rPh sb="3" eb="4">
      <t>カ</t>
    </rPh>
    <phoneticPr fontId="1"/>
  </si>
  <si>
    <t>事業主借</t>
    <rPh sb="0" eb="2">
      <t>ジギョウ</t>
    </rPh>
    <rPh sb="2" eb="3">
      <t>ヌシ</t>
    </rPh>
    <rPh sb="3" eb="4">
      <t>カ</t>
    </rPh>
    <phoneticPr fontId="1"/>
  </si>
  <si>
    <t>元入金</t>
    <rPh sb="0" eb="3">
      <t>モトイレキン</t>
    </rPh>
    <phoneticPr fontId="1"/>
  </si>
  <si>
    <t>貸付地</t>
    <rPh sb="0" eb="3">
      <t>カシツケチ</t>
    </rPh>
    <phoneticPr fontId="1"/>
  </si>
  <si>
    <t>期首</t>
    <rPh sb="0" eb="2">
      <t>キシュ</t>
    </rPh>
    <phoneticPr fontId="1"/>
  </si>
  <si>
    <t>期末</t>
    <rPh sb="0" eb="2">
      <t>キマツ</t>
    </rPh>
    <phoneticPr fontId="1"/>
  </si>
  <si>
    <t>小計</t>
    <rPh sb="0" eb="2">
      <t>ショウケイ</t>
    </rPh>
    <phoneticPr fontId="1"/>
  </si>
  <si>
    <t>貸倒引当金</t>
    <rPh sb="0" eb="2">
      <t>カシダオレ</t>
    </rPh>
    <rPh sb="2" eb="5">
      <t>ヒキアテキン</t>
    </rPh>
    <phoneticPr fontId="1"/>
  </si>
  <si>
    <t>販売金額</t>
    <rPh sb="0" eb="2">
      <t>ハンバイ</t>
    </rPh>
    <rPh sb="2" eb="4">
      <t>キンガク</t>
    </rPh>
    <phoneticPr fontId="1"/>
  </si>
  <si>
    <t>家計・事業消費</t>
    <rPh sb="0" eb="2">
      <t>カケイ</t>
    </rPh>
    <rPh sb="3" eb="5">
      <t>ジギョウ</t>
    </rPh>
    <rPh sb="5" eb="7">
      <t>ショウヒ</t>
    </rPh>
    <phoneticPr fontId="1"/>
  </si>
  <si>
    <t>収入計</t>
    <rPh sb="0" eb="2">
      <t>シュウニュウ</t>
    </rPh>
    <rPh sb="2" eb="3">
      <t>ケイ</t>
    </rPh>
    <phoneticPr fontId="1"/>
  </si>
  <si>
    <t>センサス時営農規模</t>
    <rPh sb="4" eb="5">
      <t>ジ</t>
    </rPh>
    <rPh sb="5" eb="7">
      <t>エイノウ</t>
    </rPh>
    <rPh sb="7" eb="9">
      <t>キボ</t>
    </rPh>
    <phoneticPr fontId="1"/>
  </si>
  <si>
    <t>家族農業労働
１時間当たり</t>
    <rPh sb="0" eb="2">
      <t>カゾク</t>
    </rPh>
    <rPh sb="2" eb="4">
      <t>ノウギョウ</t>
    </rPh>
    <rPh sb="4" eb="6">
      <t>ロウドウ</t>
    </rPh>
    <rPh sb="8" eb="10">
      <t>ジカン</t>
    </rPh>
    <rPh sb="10" eb="11">
      <t>ア</t>
    </rPh>
    <phoneticPr fontId="1"/>
  </si>
  <si>
    <t>販売金額（円）</t>
    <rPh sb="0" eb="2">
      <t>ハンバイ</t>
    </rPh>
    <rPh sb="2" eb="3">
      <t>キン</t>
    </rPh>
    <rPh sb="3" eb="4">
      <t>ガク</t>
    </rPh>
    <rPh sb="5" eb="6">
      <t>エン</t>
    </rPh>
    <phoneticPr fontId="1"/>
  </si>
  <si>
    <t>専従者給与</t>
    <phoneticPr fontId="1"/>
  </si>
  <si>
    <t>農産物の
棚卸高</t>
    <rPh sb="5" eb="7">
      <t>タナオロ</t>
    </rPh>
    <rPh sb="7" eb="8">
      <t>ダカ</t>
    </rPh>
    <phoneticPr fontId="1"/>
  </si>
  <si>
    <t>現金・預金等・売掛金</t>
    <rPh sb="0" eb="2">
      <t>ゲンキン</t>
    </rPh>
    <rPh sb="3" eb="5">
      <t>ヨキン</t>
    </rPh>
    <rPh sb="5" eb="6">
      <t>トウ</t>
    </rPh>
    <rPh sb="7" eb="9">
      <t>ウリカケ</t>
    </rPh>
    <rPh sb="9" eb="10">
      <t>キン</t>
    </rPh>
    <phoneticPr fontId="1"/>
  </si>
  <si>
    <t>借入金計</t>
    <rPh sb="0" eb="3">
      <t>カリイレキン</t>
    </rPh>
    <rPh sb="3" eb="4">
      <t>ケイ</t>
    </rPh>
    <phoneticPr fontId="1"/>
  </si>
  <si>
    <t>営農集計倍率</t>
    <rPh sb="0" eb="2">
      <t>エイノウ</t>
    </rPh>
    <rPh sb="2" eb="4">
      <t>シュウケイ</t>
    </rPh>
    <rPh sb="4" eb="6">
      <t>バイリツ</t>
    </rPh>
    <phoneticPr fontId="1"/>
  </si>
  <si>
    <t>部門集計倍率</t>
    <rPh sb="0" eb="2">
      <t>ブモン</t>
    </rPh>
    <rPh sb="2" eb="4">
      <t>シュウケイ</t>
    </rPh>
    <rPh sb="4" eb="6">
      <t>バイリツ</t>
    </rPh>
    <phoneticPr fontId="1"/>
  </si>
  <si>
    <t>収入金額</t>
    <rPh sb="0" eb="2">
      <t>シュウニュウ</t>
    </rPh>
    <rPh sb="2" eb="4">
      <t>キンガク</t>
    </rPh>
    <phoneticPr fontId="1"/>
  </si>
  <si>
    <t>事業</t>
    <rPh sb="0" eb="2">
      <t>ジギョウ</t>
    </rPh>
    <phoneticPr fontId="1"/>
  </si>
  <si>
    <t>営業等</t>
    <rPh sb="0" eb="2">
      <t>エイギョウ</t>
    </rPh>
    <rPh sb="2" eb="3">
      <t>トウ</t>
    </rPh>
    <phoneticPr fontId="1"/>
  </si>
  <si>
    <t>不動産</t>
    <rPh sb="0" eb="3">
      <t>フドウサン</t>
    </rPh>
    <phoneticPr fontId="1"/>
  </si>
  <si>
    <t>所得金額</t>
    <rPh sb="0" eb="2">
      <t>ショトク</t>
    </rPh>
    <rPh sb="2" eb="4">
      <t>キンガク</t>
    </rPh>
    <phoneticPr fontId="1"/>
  </si>
  <si>
    <t>経費</t>
    <rPh sb="0" eb="2">
      <t>ケイヒ</t>
    </rPh>
    <phoneticPr fontId="1"/>
  </si>
  <si>
    <t>山林収入</t>
    <rPh sb="0" eb="2">
      <t>サンリン</t>
    </rPh>
    <rPh sb="2" eb="4">
      <t>シュウニュウ</t>
    </rPh>
    <phoneticPr fontId="1"/>
  </si>
  <si>
    <t>山林所得</t>
    <rPh sb="0" eb="2">
      <t>サンリン</t>
    </rPh>
    <rPh sb="2" eb="4">
      <t>ショトク</t>
    </rPh>
    <phoneticPr fontId="1"/>
  </si>
  <si>
    <t>経営主以外</t>
    <rPh sb="0" eb="2">
      <t>ケイエイ</t>
    </rPh>
    <rPh sb="2" eb="3">
      <t>ヌシ</t>
    </rPh>
    <rPh sb="3" eb="5">
      <t>イガイ</t>
    </rPh>
    <phoneticPr fontId="1"/>
  </si>
  <si>
    <t>期首-期末</t>
    <rPh sb="0" eb="2">
      <t>キシュ</t>
    </rPh>
    <rPh sb="3" eb="5">
      <t>キマツ</t>
    </rPh>
    <phoneticPr fontId="1"/>
  </si>
  <si>
    <t>部門収支の概要（円）</t>
    <rPh sb="0" eb="2">
      <t>ブモン</t>
    </rPh>
    <rPh sb="2" eb="4">
      <t>シュウシ</t>
    </rPh>
    <rPh sb="5" eb="7">
      <t>ガイヨウ</t>
    </rPh>
    <rPh sb="8" eb="9">
      <t>エン</t>
    </rPh>
    <phoneticPr fontId="1"/>
  </si>
  <si>
    <t>農業収入</t>
    <rPh sb="0" eb="2">
      <t>ノウギョウ</t>
    </rPh>
    <rPh sb="2" eb="4">
      <t>シュウニュウ</t>
    </rPh>
    <phoneticPr fontId="1"/>
  </si>
  <si>
    <t>農外事業収入</t>
    <rPh sb="0" eb="1">
      <t>ノウ</t>
    </rPh>
    <rPh sb="1" eb="2">
      <t>ガイ</t>
    </rPh>
    <rPh sb="2" eb="4">
      <t>ジギョウ</t>
    </rPh>
    <rPh sb="4" eb="6">
      <t>シュウニュウ</t>
    </rPh>
    <phoneticPr fontId="1"/>
  </si>
  <si>
    <t>農業支出</t>
    <rPh sb="0" eb="2">
      <t>ノウギョウ</t>
    </rPh>
    <rPh sb="2" eb="4">
      <t>シシュツ</t>
    </rPh>
    <phoneticPr fontId="1"/>
  </si>
  <si>
    <t>農外事業支出</t>
    <rPh sb="0" eb="1">
      <t>ノウ</t>
    </rPh>
    <rPh sb="1" eb="2">
      <t>ガイ</t>
    </rPh>
    <rPh sb="2" eb="4">
      <t>ジギョウ</t>
    </rPh>
    <phoneticPr fontId="1"/>
  </si>
  <si>
    <t>農外事業</t>
    <rPh sb="0" eb="1">
      <t>ノウ</t>
    </rPh>
    <rPh sb="1" eb="2">
      <t>ガイ</t>
    </rPh>
    <rPh sb="2" eb="4">
      <t>ジギョウ</t>
    </rPh>
    <phoneticPr fontId="1"/>
  </si>
  <si>
    <t>農業生産関連事業</t>
    <rPh sb="0" eb="2">
      <t>ノウギョウ</t>
    </rPh>
    <rPh sb="2" eb="4">
      <t>セイサン</t>
    </rPh>
    <rPh sb="4" eb="6">
      <t>カンレン</t>
    </rPh>
    <rPh sb="6" eb="8">
      <t>ジギョウ</t>
    </rPh>
    <phoneticPr fontId="1"/>
  </si>
  <si>
    <t>３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1"/>
  </si>
  <si>
    <t>４　年齢別農業労働時間（時間）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1"/>
  </si>
  <si>
    <t>５　従事者の状況</t>
    <rPh sb="2" eb="5">
      <t>ジュウジシャ</t>
    </rPh>
    <rPh sb="6" eb="8">
      <t>ジョウキョウ</t>
    </rPh>
    <phoneticPr fontId="1"/>
  </si>
  <si>
    <t>５　分析指標</t>
    <rPh sb="2" eb="4">
      <t>ブンセキ</t>
    </rPh>
    <rPh sb="4" eb="6">
      <t>シヒョウ</t>
    </rPh>
    <phoneticPr fontId="8"/>
  </si>
  <si>
    <t>６　貸借対照表（円）</t>
    <rPh sb="2" eb="4">
      <t>タイシャク</t>
    </rPh>
    <rPh sb="4" eb="7">
      <t>タイショウヒョウ</t>
    </rPh>
    <rPh sb="8" eb="9">
      <t>エン</t>
    </rPh>
    <phoneticPr fontId="1"/>
  </si>
  <si>
    <t>７　損益計算書（円）</t>
    <rPh sb="2" eb="4">
      <t>ソンエキ</t>
    </rPh>
    <rPh sb="4" eb="7">
      <t>ケイサンショ</t>
    </rPh>
    <rPh sb="8" eb="9">
      <t>エン</t>
    </rPh>
    <phoneticPr fontId="1"/>
  </si>
  <si>
    <t>10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1"/>
  </si>
  <si>
    <t>11　主要固定資産の状況</t>
    <rPh sb="3" eb="5">
      <t>シュヨウ</t>
    </rPh>
    <rPh sb="5" eb="9">
      <t>コテイシサン</t>
    </rPh>
    <rPh sb="10" eb="12">
      <t>ジョウキョウ</t>
    </rPh>
    <phoneticPr fontId="8"/>
  </si>
  <si>
    <t>７　指定部門</t>
    <rPh sb="2" eb="3">
      <t>ユビ</t>
    </rPh>
    <rPh sb="3" eb="4">
      <t>サダム</t>
    </rPh>
    <rPh sb="4" eb="5">
      <t>ブ</t>
    </rPh>
    <rPh sb="5" eb="6">
      <t>モン</t>
    </rPh>
    <phoneticPr fontId="1"/>
  </si>
  <si>
    <t>その他作物作付面積計</t>
    <rPh sb="2" eb="3">
      <t>タ</t>
    </rPh>
    <rPh sb="3" eb="5">
      <t>サクモツ</t>
    </rPh>
    <rPh sb="5" eb="7">
      <t>サクツケ</t>
    </rPh>
    <rPh sb="7" eb="9">
      <t>メンセキ</t>
    </rPh>
    <rPh sb="9" eb="10">
      <t>ケイ</t>
    </rPh>
    <phoneticPr fontId="1"/>
  </si>
  <si>
    <t>うち田</t>
    <rPh sb="2" eb="3">
      <t>タ</t>
    </rPh>
    <phoneticPr fontId="1"/>
  </si>
  <si>
    <t>大豆以外計</t>
    <rPh sb="0" eb="2">
      <t>ダイズ</t>
    </rPh>
    <rPh sb="2" eb="4">
      <t>イガイ</t>
    </rPh>
    <rPh sb="4" eb="5">
      <t>ケイ</t>
    </rPh>
    <phoneticPr fontId="1"/>
  </si>
  <si>
    <t>　うち小豆</t>
    <rPh sb="3" eb="5">
      <t>ショウズ</t>
    </rPh>
    <phoneticPr fontId="1"/>
  </si>
  <si>
    <t>茶成園面積</t>
    <rPh sb="0" eb="1">
      <t>チャ</t>
    </rPh>
    <rPh sb="1" eb="2">
      <t>シゲル</t>
    </rPh>
    <rPh sb="2" eb="3">
      <t>エン</t>
    </rPh>
    <rPh sb="3" eb="5">
      <t>メンセキ</t>
    </rPh>
    <phoneticPr fontId="1"/>
  </si>
  <si>
    <t>肥育牛
月平均
頭　数</t>
    <rPh sb="0" eb="3">
      <t>ヒイクギュウ</t>
    </rPh>
    <rPh sb="4" eb="5">
      <t>ツキ</t>
    </rPh>
    <rPh sb="5" eb="7">
      <t>ヘイキン</t>
    </rPh>
    <rPh sb="8" eb="9">
      <t>アタマ</t>
    </rPh>
    <rPh sb="10" eb="11">
      <t>カズ</t>
    </rPh>
    <phoneticPr fontId="1"/>
  </si>
  <si>
    <t>交雑種</t>
    <rPh sb="0" eb="2">
      <t>コウザツ</t>
    </rPh>
    <rPh sb="2" eb="3">
      <t>シュ</t>
    </rPh>
    <phoneticPr fontId="1"/>
  </si>
  <si>
    <t>資　産　</t>
    <rPh sb="0" eb="1">
      <t>シ</t>
    </rPh>
    <rPh sb="2" eb="3">
      <t>サン</t>
    </rPh>
    <phoneticPr fontId="1"/>
  </si>
  <si>
    <t>負債・資本</t>
    <rPh sb="0" eb="2">
      <t>フサイ</t>
    </rPh>
    <rPh sb="3" eb="5">
      <t>シホン</t>
    </rPh>
    <phoneticPr fontId="1"/>
  </si>
  <si>
    <t>負債・資本合計</t>
    <rPh sb="0" eb="2">
      <t>フサイ</t>
    </rPh>
    <rPh sb="3" eb="5">
      <t>シホン</t>
    </rPh>
    <rPh sb="5" eb="7">
      <t>ゴウケイ</t>
    </rPh>
    <phoneticPr fontId="1"/>
  </si>
  <si>
    <t>市場手数料</t>
    <rPh sb="0" eb="2">
      <t>シジョウ</t>
    </rPh>
    <rPh sb="2" eb="5">
      <t>テスウリョウ</t>
    </rPh>
    <phoneticPr fontId="1"/>
  </si>
  <si>
    <t>交際費</t>
    <rPh sb="0" eb="3">
      <t>コウサイヒ</t>
    </rPh>
    <phoneticPr fontId="1"/>
  </si>
  <si>
    <t>雑費</t>
    <rPh sb="0" eb="2">
      <t>ザッピ</t>
    </rPh>
    <phoneticPr fontId="1"/>
  </si>
  <si>
    <t>その他工芸計</t>
    <rPh sb="2" eb="3">
      <t>タ</t>
    </rPh>
    <rPh sb="3" eb="5">
      <t>コウゲイ</t>
    </rPh>
    <rPh sb="5" eb="6">
      <t>ケイ</t>
    </rPh>
    <phoneticPr fontId="1"/>
  </si>
  <si>
    <t>消費者直接販売計</t>
    <rPh sb="0" eb="3">
      <t>ショウヒシャ</t>
    </rPh>
    <rPh sb="3" eb="5">
      <t>チョクセツ</t>
    </rPh>
    <rPh sb="5" eb="7">
      <t>ハンバイ</t>
    </rPh>
    <rPh sb="7" eb="8">
      <t>ケイ</t>
    </rPh>
    <phoneticPr fontId="1"/>
  </si>
  <si>
    <t>交雑種</t>
    <rPh sb="0" eb="2">
      <t>コウザツ</t>
    </rPh>
    <rPh sb="2" eb="3">
      <t>タネ</t>
    </rPh>
    <phoneticPr fontId="1"/>
  </si>
  <si>
    <t>肥育牛</t>
    <rPh sb="0" eb="2">
      <t>ヒイク</t>
    </rPh>
    <rPh sb="2" eb="3">
      <t>ウシ</t>
    </rPh>
    <phoneticPr fontId="1"/>
  </si>
  <si>
    <t>合計</t>
    <rPh sb="0" eb="2">
      <t>ゴウケイ</t>
    </rPh>
    <phoneticPr fontId="1"/>
  </si>
  <si>
    <t>農業労働時間
（時間）</t>
    <rPh sb="0" eb="2">
      <t>ノウギョウ</t>
    </rPh>
    <rPh sb="2" eb="4">
      <t>ロウドウ</t>
    </rPh>
    <rPh sb="4" eb="6">
      <t>ジカン</t>
    </rPh>
    <rPh sb="8" eb="10">
      <t>ジカン</t>
    </rPh>
    <phoneticPr fontId="1"/>
  </si>
  <si>
    <t>農業生産関連事業
労働時間（時間）</t>
    <rPh sb="0" eb="2">
      <t>ノウギョウ</t>
    </rPh>
    <rPh sb="2" eb="4">
      <t>セイサン</t>
    </rPh>
    <rPh sb="4" eb="6">
      <t>カンレン</t>
    </rPh>
    <rPh sb="6" eb="8">
      <t>ジギョウ</t>
    </rPh>
    <rPh sb="9" eb="11">
      <t>ロウドウ</t>
    </rPh>
    <rPh sb="11" eb="13">
      <t>ジカン</t>
    </rPh>
    <rPh sb="14" eb="16">
      <t>ジカン</t>
    </rPh>
    <phoneticPr fontId="1"/>
  </si>
  <si>
    <t>棚卸
高</t>
    <rPh sb="0" eb="2">
      <t>タナオロ</t>
    </rPh>
    <rPh sb="3" eb="4">
      <t>ダカ</t>
    </rPh>
    <phoneticPr fontId="1"/>
  </si>
  <si>
    <t>うち農作業受託</t>
    <rPh sb="2" eb="5">
      <t>ノウサギョウ</t>
    </rPh>
    <rPh sb="5" eb="7">
      <t>ジュタク</t>
    </rPh>
    <phoneticPr fontId="1"/>
  </si>
  <si>
    <t>貸付地以外</t>
    <rPh sb="0" eb="3">
      <t>カシツケチ</t>
    </rPh>
    <rPh sb="3" eb="5">
      <t>イガイ</t>
    </rPh>
    <phoneticPr fontId="1"/>
  </si>
  <si>
    <t>土地改良事業負担金</t>
    <rPh sb="0" eb="2">
      <t>トチ</t>
    </rPh>
    <rPh sb="2" eb="4">
      <t>カイリョウ</t>
    </rPh>
    <rPh sb="4" eb="6">
      <t>ジギョウ</t>
    </rPh>
    <rPh sb="6" eb="9">
      <t>フタンキン</t>
    </rPh>
    <phoneticPr fontId="1"/>
  </si>
  <si>
    <t>６　研修生の数（人）</t>
    <rPh sb="8" eb="9">
      <t>ニン</t>
    </rPh>
    <phoneticPr fontId="1"/>
  </si>
  <si>
    <t>人数</t>
    <rPh sb="0" eb="2">
      <t>ニンズウ</t>
    </rPh>
    <phoneticPr fontId="1"/>
  </si>
  <si>
    <t>未成熟果樹育成中牛馬</t>
    <rPh sb="0" eb="3">
      <t>ミセイジュク</t>
    </rPh>
    <rPh sb="3" eb="5">
      <t>カジュ</t>
    </rPh>
    <rPh sb="5" eb="8">
      <t>イクセイチュウ</t>
    </rPh>
    <rPh sb="8" eb="10">
      <t>ギュウバ</t>
    </rPh>
    <phoneticPr fontId="1"/>
  </si>
  <si>
    <t>８　経営耕地面積等（ａ）</t>
    <rPh sb="2" eb="4">
      <t>ケイエイ</t>
    </rPh>
    <rPh sb="4" eb="6">
      <t>コウチ</t>
    </rPh>
    <rPh sb="6" eb="8">
      <t>メンセキ</t>
    </rPh>
    <rPh sb="8" eb="9">
      <t>トウ</t>
    </rPh>
    <phoneticPr fontId="1"/>
  </si>
  <si>
    <t>９　投資と資金（円）</t>
    <rPh sb="2" eb="4">
      <t>トウシ</t>
    </rPh>
    <rPh sb="5" eb="7">
      <t>シキン</t>
    </rPh>
    <rPh sb="8" eb="9">
      <t>エン</t>
    </rPh>
    <phoneticPr fontId="1"/>
  </si>
  <si>
    <t>肥料その他の貯蔵品</t>
    <rPh sb="0" eb="2">
      <t>ヒリョウ</t>
    </rPh>
    <rPh sb="4" eb="5">
      <t>タ</t>
    </rPh>
    <rPh sb="6" eb="9">
      <t>チョゾウヒン</t>
    </rPh>
    <phoneticPr fontId="1"/>
  </si>
  <si>
    <t>青申特別控除前所得</t>
    <rPh sb="0" eb="1">
      <t>アオ</t>
    </rPh>
    <rPh sb="1" eb="2">
      <t>サル</t>
    </rPh>
    <rPh sb="2" eb="4">
      <t>トクベツ</t>
    </rPh>
    <rPh sb="4" eb="6">
      <t>コウジョ</t>
    </rPh>
    <rPh sb="6" eb="7">
      <t>マエ</t>
    </rPh>
    <rPh sb="7" eb="9">
      <t>ショトク</t>
    </rPh>
    <phoneticPr fontId="1"/>
  </si>
  <si>
    <t>農業共済掛金</t>
    <rPh sb="0" eb="2">
      <t>ノウギョウ</t>
    </rPh>
    <rPh sb="2" eb="4">
      <t>キョウサイ</t>
    </rPh>
    <rPh sb="4" eb="6">
      <t>カケキン</t>
    </rPh>
    <phoneticPr fontId="1"/>
  </si>
  <si>
    <t>主食用米計</t>
    <rPh sb="0" eb="1">
      <t>シュ</t>
    </rPh>
    <rPh sb="1" eb="4">
      <t>ショクヨウマイ</t>
    </rPh>
    <rPh sb="4" eb="5">
      <t>ケイ</t>
    </rPh>
    <phoneticPr fontId="1"/>
  </si>
  <si>
    <t>主食用米</t>
    <rPh sb="0" eb="1">
      <t>シュ</t>
    </rPh>
    <rPh sb="1" eb="4">
      <t>ショクヨウマイ</t>
    </rPh>
    <phoneticPr fontId="1"/>
  </si>
  <si>
    <t>２　販売数量・販売金額</t>
    <rPh sb="2" eb="4">
      <t>ハンバイ</t>
    </rPh>
    <rPh sb="4" eb="6">
      <t>スウリョウ</t>
    </rPh>
    <rPh sb="7" eb="9">
      <t>ハンバイ</t>
    </rPh>
    <rPh sb="9" eb="11">
      <t>キンガク</t>
    </rPh>
    <phoneticPr fontId="1"/>
  </si>
  <si>
    <t>４　受託収入（円）</t>
    <rPh sb="2" eb="4">
      <t>ジュタク</t>
    </rPh>
    <rPh sb="4" eb="6">
      <t>シュウニュウ</t>
    </rPh>
    <rPh sb="7" eb="8">
      <t>エン</t>
    </rPh>
    <phoneticPr fontId="1"/>
  </si>
  <si>
    <t>５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1"/>
  </si>
  <si>
    <t>果樹・牛馬等</t>
    <rPh sb="0" eb="2">
      <t>カジュ</t>
    </rPh>
    <rPh sb="3" eb="5">
      <t>ギュウバ</t>
    </rPh>
    <rPh sb="5" eb="6">
      <t>トウ</t>
    </rPh>
    <phoneticPr fontId="1"/>
  </si>
  <si>
    <t>部門販売金額</t>
    <rPh sb="0" eb="2">
      <t>ブモン</t>
    </rPh>
    <rPh sb="2" eb="4">
      <t>ハンバイ</t>
    </rPh>
    <rPh sb="4" eb="6">
      <t>キンガク</t>
    </rPh>
    <phoneticPr fontId="1"/>
  </si>
  <si>
    <t>農業固定資産額計</t>
    <rPh sb="0" eb="2">
      <t>ノウギョウ</t>
    </rPh>
    <rPh sb="2" eb="4">
      <t>コテイ</t>
    </rPh>
    <rPh sb="4" eb="6">
      <t>シサン</t>
    </rPh>
    <rPh sb="6" eb="7">
      <t>ガク</t>
    </rPh>
    <rPh sb="7" eb="8">
      <t>ケイ</t>
    </rPh>
    <phoneticPr fontId="1"/>
  </si>
  <si>
    <t>肉専用＋交雑種</t>
    <rPh sb="0" eb="1">
      <t>ニク</t>
    </rPh>
    <rPh sb="1" eb="2">
      <t>アツム</t>
    </rPh>
    <rPh sb="2" eb="3">
      <t>ヨウ</t>
    </rPh>
    <rPh sb="4" eb="6">
      <t>コウザツ</t>
    </rPh>
    <rPh sb="6" eb="7">
      <t>シュ</t>
    </rPh>
    <phoneticPr fontId="1"/>
  </si>
  <si>
    <t>肉専用＋交雑種</t>
    <rPh sb="0" eb="1">
      <t>ニク</t>
    </rPh>
    <rPh sb="1" eb="2">
      <t>アツム</t>
    </rPh>
    <rPh sb="2" eb="3">
      <t>ヨウ</t>
    </rPh>
    <rPh sb="4" eb="7">
      <t>コウザツシュ</t>
    </rPh>
    <phoneticPr fontId="1"/>
  </si>
  <si>
    <t>主副業区分</t>
    <rPh sb="0" eb="2">
      <t>シュフク</t>
    </rPh>
    <rPh sb="2" eb="3">
      <t>ギョウ</t>
    </rPh>
    <rPh sb="3" eb="5">
      <t>クブン</t>
    </rPh>
    <phoneticPr fontId="1"/>
  </si>
  <si>
    <t>青色申告区分</t>
    <rPh sb="0" eb="2">
      <t>アオイロ</t>
    </rPh>
    <rPh sb="2" eb="4">
      <t>シンコク</t>
    </rPh>
    <rPh sb="4" eb="6">
      <t>クブン</t>
    </rPh>
    <phoneticPr fontId="1"/>
  </si>
  <si>
    <t>い　も　類</t>
    <rPh sb="4" eb="5">
      <t>タグイ</t>
    </rPh>
    <phoneticPr fontId="1"/>
  </si>
  <si>
    <t>センサス時営農類型</t>
    <rPh sb="4" eb="5">
      <t>ジ</t>
    </rPh>
    <rPh sb="5" eb="7">
      <t>エイノウ</t>
    </rPh>
    <rPh sb="7" eb="9">
      <t>ルイケイ</t>
    </rPh>
    <phoneticPr fontId="1"/>
  </si>
  <si>
    <t>１　主要農畜産物の生産概況</t>
    <phoneticPr fontId="1"/>
  </si>
  <si>
    <t>a</t>
    <phoneticPr fontId="1"/>
  </si>
  <si>
    <t>〃</t>
    <phoneticPr fontId="1"/>
  </si>
  <si>
    <t>kg</t>
    <phoneticPr fontId="1"/>
  </si>
  <si>
    <t>麦　　　　　　　　類</t>
    <phoneticPr fontId="1"/>
  </si>
  <si>
    <t>てんさい</t>
    <phoneticPr fontId="1"/>
  </si>
  <si>
    <t>さとうきび</t>
    <phoneticPr fontId="1"/>
  </si>
  <si>
    <t>そば</t>
    <phoneticPr fontId="1"/>
  </si>
  <si>
    <t>a</t>
    <phoneticPr fontId="1"/>
  </si>
  <si>
    <t>㎡</t>
    <phoneticPr fontId="1"/>
  </si>
  <si>
    <t>a</t>
    <phoneticPr fontId="1"/>
  </si>
  <si>
    <t>a</t>
    <phoneticPr fontId="1"/>
  </si>
  <si>
    <t>kg</t>
    <phoneticPr fontId="1"/>
  </si>
  <si>
    <t>かんしょ</t>
    <phoneticPr fontId="1"/>
  </si>
  <si>
    <t>ばれいしょ</t>
    <phoneticPr fontId="1"/>
  </si>
  <si>
    <t>〃</t>
    <phoneticPr fontId="1"/>
  </si>
  <si>
    <t>そば</t>
    <phoneticPr fontId="1"/>
  </si>
  <si>
    <t>kg</t>
    <phoneticPr fontId="1"/>
  </si>
  <si>
    <t>インターネット</t>
    <phoneticPr fontId="1"/>
  </si>
  <si>
    <t>〃</t>
    <phoneticPr fontId="1"/>
  </si>
  <si>
    <t>kg</t>
    <phoneticPr fontId="1"/>
  </si>
  <si>
    <t>kg</t>
    <phoneticPr fontId="1"/>
  </si>
  <si>
    <t>〃</t>
    <phoneticPr fontId="1"/>
  </si>
  <si>
    <t>〃</t>
    <phoneticPr fontId="1"/>
  </si>
  <si>
    <t>kg</t>
    <phoneticPr fontId="1"/>
  </si>
  <si>
    <t>かんしょ</t>
    <phoneticPr fontId="1"/>
  </si>
  <si>
    <t>ばれいしょ</t>
    <phoneticPr fontId="1"/>
  </si>
  <si>
    <t>〃</t>
    <phoneticPr fontId="1"/>
  </si>
  <si>
    <t>部門粗収益</t>
    <phoneticPr fontId="1"/>
  </si>
  <si>
    <t>部門経営費</t>
    <phoneticPr fontId="1"/>
  </si>
  <si>
    <t>７　農業経営費（円）</t>
    <rPh sb="2" eb="4">
      <t>ノウギョウ</t>
    </rPh>
    <rPh sb="4" eb="7">
      <t>ケイエイヒ</t>
    </rPh>
    <rPh sb="8" eb="9">
      <t>エン</t>
    </rPh>
    <phoneticPr fontId="1"/>
  </si>
  <si>
    <t>％</t>
    <phoneticPr fontId="1"/>
  </si>
  <si>
    <t>関連事業支出</t>
    <phoneticPr fontId="1"/>
  </si>
  <si>
    <t>％</t>
    <phoneticPr fontId="1"/>
  </si>
  <si>
    <t>〃</t>
    <phoneticPr fontId="1"/>
  </si>
  <si>
    <t>〃</t>
    <phoneticPr fontId="1"/>
  </si>
  <si>
    <t>有給役員・家族農業労働
１時間当たり</t>
    <rPh sb="0" eb="2">
      <t>ユウキュウ</t>
    </rPh>
    <rPh sb="2" eb="4">
      <t>ヤクイン</t>
    </rPh>
    <rPh sb="5" eb="7">
      <t>カゾク</t>
    </rPh>
    <rPh sb="7" eb="9">
      <t>ノウギョウ</t>
    </rPh>
    <rPh sb="9" eb="11">
      <t>ロウドウ</t>
    </rPh>
    <rPh sb="13" eb="15">
      <t>ジカン</t>
    </rPh>
    <rPh sb="15" eb="16">
      <t>ア</t>
    </rPh>
    <phoneticPr fontId="1"/>
  </si>
  <si>
    <t>棚卸高(農産物以外)</t>
    <rPh sb="0" eb="2">
      <t>タナオロシ</t>
    </rPh>
    <rPh sb="2" eb="3">
      <t>ダカ</t>
    </rPh>
    <rPh sb="4" eb="7">
      <t>ノウサンブツ</t>
    </rPh>
    <rPh sb="7" eb="9">
      <t>イガイ</t>
    </rPh>
    <phoneticPr fontId="1"/>
  </si>
  <si>
    <t>㎡</t>
    <phoneticPr fontId="8"/>
  </si>
  <si>
    <t>〃</t>
    <phoneticPr fontId="8"/>
  </si>
  <si>
    <t>〃</t>
    <phoneticPr fontId="1"/>
  </si>
  <si>
    <t>パイプハウス</t>
    <phoneticPr fontId="8"/>
  </si>
  <si>
    <t>％</t>
    <phoneticPr fontId="1"/>
  </si>
  <si>
    <t>トラック</t>
    <phoneticPr fontId="8"/>
  </si>
  <si>
    <t>〃</t>
    <phoneticPr fontId="8"/>
  </si>
  <si>
    <t>〃</t>
    <phoneticPr fontId="8"/>
  </si>
  <si>
    <t>kg</t>
    <phoneticPr fontId="1"/>
  </si>
  <si>
    <t>〃</t>
    <phoneticPr fontId="1"/>
  </si>
  <si>
    <t>麦　　　　　　　　類</t>
    <phoneticPr fontId="1"/>
  </si>
  <si>
    <t>てんさい</t>
    <phoneticPr fontId="1"/>
  </si>
  <si>
    <t>さとうきび</t>
    <phoneticPr fontId="1"/>
  </si>
  <si>
    <t>そば</t>
    <phoneticPr fontId="1"/>
  </si>
  <si>
    <t>a</t>
    <phoneticPr fontId="1"/>
  </si>
  <si>
    <t>㎡</t>
    <phoneticPr fontId="1"/>
  </si>
  <si>
    <t>a</t>
    <phoneticPr fontId="1"/>
  </si>
  <si>
    <t>結果樹面積</t>
    <rPh sb="0" eb="2">
      <t>ケッカ</t>
    </rPh>
    <rPh sb="2" eb="3">
      <t>ジュ</t>
    </rPh>
    <rPh sb="3" eb="5">
      <t>メンセキ</t>
    </rPh>
    <phoneticPr fontId="1"/>
  </si>
  <si>
    <t>〃</t>
    <phoneticPr fontId="1"/>
  </si>
  <si>
    <t>kg</t>
    <phoneticPr fontId="1"/>
  </si>
  <si>
    <t>かんしょ</t>
    <phoneticPr fontId="1"/>
  </si>
  <si>
    <t>農作業受託収入</t>
    <rPh sb="0" eb="3">
      <t>ノウサギョウ</t>
    </rPh>
    <rPh sb="3" eb="5">
      <t>ジュタク</t>
    </rPh>
    <rPh sb="5" eb="7">
      <t>シュウニュウ</t>
    </rPh>
    <phoneticPr fontId="1"/>
  </si>
  <si>
    <t>ばれいしょ</t>
    <phoneticPr fontId="1"/>
  </si>
  <si>
    <t>㎡</t>
    <phoneticPr fontId="1"/>
  </si>
  <si>
    <t>〃</t>
    <phoneticPr fontId="1"/>
  </si>
  <si>
    <t>農産物在庫増減</t>
    <rPh sb="0" eb="3">
      <t>ノウサンブツ</t>
    </rPh>
    <rPh sb="3" eb="5">
      <t>ザイコ</t>
    </rPh>
    <rPh sb="5" eb="7">
      <t>ゾウゲン</t>
    </rPh>
    <phoneticPr fontId="1"/>
  </si>
  <si>
    <t>さとうきび</t>
    <phoneticPr fontId="1"/>
  </si>
  <si>
    <t>家事･事業消費等</t>
    <phoneticPr fontId="28"/>
  </si>
  <si>
    <t>a</t>
    <phoneticPr fontId="1"/>
  </si>
  <si>
    <t>４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1"/>
  </si>
  <si>
    <t>そば</t>
    <phoneticPr fontId="1"/>
  </si>
  <si>
    <t>インターネット</t>
    <phoneticPr fontId="1"/>
  </si>
  <si>
    <t>kg</t>
    <phoneticPr fontId="1"/>
  </si>
  <si>
    <t>kg</t>
    <phoneticPr fontId="1"/>
  </si>
  <si>
    <t>〃</t>
    <phoneticPr fontId="1"/>
  </si>
  <si>
    <t>ブロイラー販売羽数</t>
    <rPh sb="5" eb="7">
      <t>ハンバイ</t>
    </rPh>
    <rPh sb="7" eb="9">
      <t>ハスウ</t>
    </rPh>
    <phoneticPr fontId="1"/>
  </si>
  <si>
    <t>かんしょ</t>
    <phoneticPr fontId="1"/>
  </si>
  <si>
    <t>ばれいしょ</t>
    <phoneticPr fontId="1"/>
  </si>
  <si>
    <t>いも類計</t>
    <rPh sb="2" eb="3">
      <t>タグイ</t>
    </rPh>
    <rPh sb="3" eb="4">
      <t>ケイ</t>
    </rPh>
    <phoneticPr fontId="1"/>
  </si>
  <si>
    <t>有給役員･家族</t>
    <rPh sb="0" eb="2">
      <t>ユウキュウ</t>
    </rPh>
    <rPh sb="2" eb="4">
      <t>ヤクイン</t>
    </rPh>
    <rPh sb="5" eb="7">
      <t>カゾク</t>
    </rPh>
    <phoneticPr fontId="1"/>
  </si>
  <si>
    <t>35～44</t>
    <phoneticPr fontId="1"/>
  </si>
  <si>
    <t>45～49</t>
    <phoneticPr fontId="1"/>
  </si>
  <si>
    <t>50～59</t>
    <phoneticPr fontId="1"/>
  </si>
  <si>
    <t>60～64</t>
    <phoneticPr fontId="1"/>
  </si>
  <si>
    <t>65～69</t>
    <phoneticPr fontId="1"/>
  </si>
  <si>
    <t>50～59</t>
    <phoneticPr fontId="1"/>
  </si>
  <si>
    <t>60～64</t>
    <phoneticPr fontId="1"/>
  </si>
  <si>
    <t>65～69</t>
    <phoneticPr fontId="1"/>
  </si>
  <si>
    <t>５　経営主の平均年齢、研修生の数</t>
    <rPh sb="2" eb="4">
      <t>ケイエイ</t>
    </rPh>
    <rPh sb="4" eb="5">
      <t>ヌシ</t>
    </rPh>
    <rPh sb="6" eb="8">
      <t>ヘイキン</t>
    </rPh>
    <rPh sb="8" eb="10">
      <t>ネンレイ</t>
    </rPh>
    <phoneticPr fontId="1"/>
  </si>
  <si>
    <t>区　　分</t>
    <rPh sb="0" eb="1">
      <t>ク</t>
    </rPh>
    <rPh sb="3" eb="4">
      <t>ブン</t>
    </rPh>
    <phoneticPr fontId="28"/>
  </si>
  <si>
    <t>平均年齢(歳)</t>
    <rPh sb="0" eb="2">
      <t>ヘイキン</t>
    </rPh>
    <rPh sb="2" eb="4">
      <t>ネンレイ</t>
    </rPh>
    <rPh sb="5" eb="6">
      <t>サイ</t>
    </rPh>
    <phoneticPr fontId="1"/>
  </si>
  <si>
    <t>センサス時世帯所得</t>
    <rPh sb="4" eb="5">
      <t>ジ</t>
    </rPh>
    <rPh sb="5" eb="7">
      <t>セタイ</t>
    </rPh>
    <rPh sb="7" eb="9">
      <t>ショトク</t>
    </rPh>
    <phoneticPr fontId="1"/>
  </si>
  <si>
    <t>２位作目</t>
    <rPh sb="1" eb="2">
      <t>イ</t>
    </rPh>
    <rPh sb="2" eb="4">
      <t>サクモク</t>
    </rPh>
    <phoneticPr fontId="1"/>
  </si>
  <si>
    <t>１位作目</t>
    <rPh sb="1" eb="2">
      <t>イ</t>
    </rPh>
    <rPh sb="2" eb="4">
      <t>サクモク</t>
    </rPh>
    <phoneticPr fontId="1"/>
  </si>
  <si>
    <t>９ 投資と資金(円)</t>
    <rPh sb="2" eb="4">
      <t>トウシ</t>
    </rPh>
    <rPh sb="5" eb="7">
      <t>シキン</t>
    </rPh>
    <rPh sb="8" eb="9">
      <t>エン</t>
    </rPh>
    <phoneticPr fontId="1"/>
  </si>
  <si>
    <t>a</t>
    <phoneticPr fontId="1"/>
  </si>
  <si>
    <t>１経営体当たり</t>
    <rPh sb="1" eb="4">
      <t>ケイエイタイ</t>
    </rPh>
    <rPh sb="4" eb="5">
      <t>トウ</t>
    </rPh>
    <phoneticPr fontId="1"/>
  </si>
  <si>
    <t>農業関連事業区分</t>
    <rPh sb="0" eb="2">
      <t>ノウギョウ</t>
    </rPh>
    <rPh sb="2" eb="4">
      <t>カンレン</t>
    </rPh>
    <rPh sb="4" eb="6">
      <t>ジギョウ</t>
    </rPh>
    <rPh sb="6" eb="8">
      <t>クブン</t>
    </rPh>
    <phoneticPr fontId="28"/>
  </si>
  <si>
    <t>雑収入</t>
    <rPh sb="0" eb="3">
      <t>ザツシュウニュウ</t>
    </rPh>
    <phoneticPr fontId="1"/>
  </si>
  <si>
    <t>販売金額</t>
    <phoneticPr fontId="1"/>
  </si>
  <si>
    <t>家計・事業消費</t>
    <phoneticPr fontId="1"/>
  </si>
  <si>
    <t>農業雑収入</t>
    <rPh sb="0" eb="2">
      <t>ノウギョウ</t>
    </rPh>
    <phoneticPr fontId="1"/>
  </si>
  <si>
    <t>農作業受託収入</t>
    <phoneticPr fontId="1"/>
  </si>
  <si>
    <t>農産物棚卸高(期末－期首）</t>
    <rPh sb="7" eb="9">
      <t>キマツ</t>
    </rPh>
    <rPh sb="10" eb="12">
      <t>キシュ</t>
    </rPh>
    <phoneticPr fontId="1"/>
  </si>
  <si>
    <t>貸借対照表区分</t>
    <rPh sb="0" eb="2">
      <t>タイシャク</t>
    </rPh>
    <rPh sb="2" eb="5">
      <t>タイショウヒョウ</t>
    </rPh>
    <rPh sb="5" eb="7">
      <t>クブン</t>
    </rPh>
    <phoneticPr fontId="1"/>
  </si>
  <si>
    <t>売上原価（円）</t>
    <rPh sb="0" eb="2">
      <t>ウリアゲ</t>
    </rPh>
    <rPh sb="2" eb="4">
      <t>ゲンカ</t>
    </rPh>
    <rPh sb="5" eb="6">
      <t>エン</t>
    </rPh>
    <phoneticPr fontId="1"/>
  </si>
  <si>
    <t>月平均搾乳牛頭数</t>
    <rPh sb="0" eb="3">
      <t>ツキヘイキン</t>
    </rPh>
    <rPh sb="3" eb="4">
      <t>サク</t>
    </rPh>
    <rPh sb="4" eb="6">
      <t>ニュウギュウ</t>
    </rPh>
    <rPh sb="6" eb="8">
      <t>トウスウ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</si>
</sst>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0"/>
    <numFmt numFmtId="177" formatCode="0000"/>
    <numFmt numFmtId="178" formatCode="000000"/>
    <numFmt numFmtId="179" formatCode="00"/>
    <numFmt numFmtId="180" formatCode="#,##0.00;\-#,##0.00;&quot;&quot;"/>
  </numFmts>
  <fonts count="3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6"/>
      <color theme="1"/>
      <name val="ＭＳ 明朝"/>
      <family val="1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6"/>
      <name val="ＭＳ ゴシック"/>
      <family val="3"/>
      <charset val="128"/>
    </font>
    <font>
      <sz val="5"/>
      <name val="ＭＳ 明朝"/>
      <family val="1"/>
      <charset val="128"/>
    </font>
    <font>
      <sz val="6"/>
      <name val="ＭＳ 明朝"/>
      <family val="1"/>
      <charset val="128"/>
    </font>
    <font>
      <sz val="8"/>
      <name val="ＭＳ 明朝"/>
      <family val="1"/>
      <charset val="128"/>
    </font>
    <font>
      <b/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0"/>
      <name val="HGｺﾞｼｯｸE"/>
      <family val="3"/>
      <charset val="128"/>
    </font>
    <font>
      <sz val="4"/>
      <color theme="1"/>
      <name val="ＭＳ 明朝"/>
      <family val="1"/>
      <charset val="128"/>
    </font>
    <font>
      <sz val="4"/>
      <name val="ＭＳ 明朝"/>
      <family val="1"/>
      <charset val="128"/>
    </font>
    <font>
      <sz val="5"/>
      <color theme="1"/>
      <name val="ＭＳ 明朝"/>
      <family val="1"/>
      <charset val="128"/>
    </font>
    <font>
      <b/>
      <sz val="6"/>
      <color theme="1"/>
      <name val="ＭＳ 明朝"/>
      <family val="1"/>
      <charset val="128"/>
    </font>
    <font>
      <b/>
      <sz val="6"/>
      <name val="ＭＳ 明朝"/>
      <family val="1"/>
      <charset val="128"/>
    </font>
    <font>
      <sz val="6"/>
      <color theme="1"/>
      <name val="ＭＳ ゴシック"/>
      <family val="3"/>
      <charset val="128"/>
    </font>
    <font>
      <sz val="6"/>
      <color theme="0" tint="-0.499984740745262"/>
      <name val="ＭＳ 明朝"/>
      <family val="1"/>
      <charset val="128"/>
    </font>
    <font>
      <sz val="6"/>
      <name val="HGｺﾞｼｯｸE"/>
      <family val="3"/>
      <charset val="128"/>
    </font>
    <font>
      <b/>
      <sz val="6"/>
      <name val="ＭＳ ゴシック"/>
      <family val="3"/>
      <charset val="128"/>
    </font>
    <font>
      <sz val="11"/>
      <name val="ＭＳ ゴシック"/>
      <family val="3"/>
      <charset val="128"/>
    </font>
    <font>
      <sz val="3"/>
      <name val="ＭＳ 明朝"/>
      <family val="1"/>
      <charset val="128"/>
    </font>
    <font>
      <sz val="3"/>
      <color theme="1"/>
      <name val="ＭＳ 明朝"/>
      <family val="1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</fills>
  <borders count="309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 diagonalDown="1">
      <left style="thin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indexed="64"/>
      </top>
      <bottom style="hair">
        <color auto="1"/>
      </bottom>
      <diagonal style="hair">
        <color auto="1"/>
      </diagonal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theme="1"/>
      </top>
      <bottom style="hair">
        <color theme="1"/>
      </bottom>
      <diagonal/>
    </border>
    <border>
      <left style="medium">
        <color auto="1"/>
      </left>
      <right style="hair">
        <color theme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hair">
        <color theme="1"/>
      </bottom>
      <diagonal/>
    </border>
    <border>
      <left/>
      <right/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/>
      <right style="medium">
        <color indexed="64"/>
      </right>
      <top style="hair">
        <color theme="1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indexed="64"/>
      </right>
      <top style="hair">
        <color theme="1"/>
      </top>
      <bottom style="hair">
        <color theme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 diagonalDown="1">
      <left/>
      <right/>
      <top/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hair">
        <color theme="1"/>
      </left>
      <right/>
      <top style="hair">
        <color theme="1"/>
      </top>
      <bottom style="thin">
        <color indexed="64"/>
      </bottom>
      <diagonal/>
    </border>
    <border>
      <left/>
      <right/>
      <top style="hair">
        <color theme="1"/>
      </top>
      <bottom style="thin">
        <color indexed="64"/>
      </bottom>
      <diagonal/>
    </border>
    <border>
      <left/>
      <right style="thin">
        <color indexed="64"/>
      </right>
      <top style="hair">
        <color theme="1"/>
      </top>
      <bottom style="thin">
        <color indexed="64"/>
      </bottom>
      <diagonal/>
    </border>
    <border>
      <left/>
      <right style="medium">
        <color indexed="64"/>
      </right>
      <top style="hair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auto="1"/>
      </top>
      <bottom style="hair">
        <color theme="1"/>
      </bottom>
      <diagonal/>
    </border>
    <border>
      <left/>
      <right style="thin">
        <color theme="1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thin">
        <color indexed="64"/>
      </bottom>
      <diagonal/>
    </border>
    <border diagonalDown="1">
      <left style="thin">
        <color auto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/>
      <diagonal style="hair">
        <color auto="1"/>
      </diagonal>
    </border>
    <border>
      <left/>
      <right style="thin">
        <color indexed="64"/>
      </right>
      <top style="hair">
        <color theme="1"/>
      </top>
      <bottom style="medium">
        <color indexed="64"/>
      </bottom>
      <diagonal/>
    </border>
    <border>
      <left style="hair">
        <color indexed="64"/>
      </left>
      <right/>
      <top style="hair">
        <color theme="1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theme="1"/>
      </left>
      <right/>
      <top style="thin">
        <color auto="1"/>
      </top>
      <bottom style="hair">
        <color theme="1"/>
      </bottom>
      <diagonal/>
    </border>
    <border>
      <left/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/>
      <top style="thin">
        <color auto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 diagonalDown="1">
      <left/>
      <right/>
      <top style="hair">
        <color indexed="64"/>
      </top>
      <bottom/>
      <diagonal style="hair">
        <color auto="1"/>
      </diagonal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auto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indexed="64"/>
      </bottom>
      <diagonal/>
    </border>
    <border diagonalDown="1">
      <left style="thin">
        <color theme="1"/>
      </left>
      <right/>
      <top style="hair">
        <color theme="1"/>
      </top>
      <bottom style="hair">
        <color theme="1"/>
      </bottom>
      <diagonal style="hair">
        <color theme="1"/>
      </diagonal>
    </border>
    <border diagonalDown="1">
      <left style="thin">
        <color theme="1"/>
      </left>
      <right/>
      <top style="hair">
        <color theme="1"/>
      </top>
      <bottom style="thin">
        <color theme="1"/>
      </bottom>
      <diagonal style="hair">
        <color theme="1"/>
      </diagonal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theme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hair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hair">
        <color theme="1"/>
      </bottom>
      <diagonal/>
    </border>
    <border>
      <left/>
      <right/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 diagonalDown="1">
      <left/>
      <right/>
      <top/>
      <bottom/>
      <diagonal style="hair">
        <color auto="1"/>
      </diagonal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theme="1"/>
      </left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theme="1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theme="1"/>
      </right>
      <top style="thin">
        <color auto="1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thin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theme="1"/>
      </left>
      <right/>
      <top/>
      <bottom style="thin">
        <color auto="1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theme="1"/>
      </bottom>
      <diagonal/>
    </border>
    <border>
      <left/>
      <right/>
      <top style="hair">
        <color auto="1"/>
      </top>
      <bottom style="hair">
        <color theme="1"/>
      </bottom>
      <diagonal/>
    </border>
    <border>
      <left/>
      <right style="medium">
        <color auto="1"/>
      </right>
      <top style="hair">
        <color auto="1"/>
      </top>
      <bottom style="hair">
        <color theme="1"/>
      </bottom>
      <diagonal/>
    </border>
    <border>
      <left style="medium">
        <color theme="1"/>
      </left>
      <right style="hair">
        <color auto="1"/>
      </right>
      <top style="thin">
        <color auto="1"/>
      </top>
      <bottom/>
      <diagonal/>
    </border>
    <border>
      <left/>
      <right style="medium">
        <color theme="1"/>
      </right>
      <top style="thin">
        <color auto="1"/>
      </top>
      <bottom style="hair">
        <color auto="1"/>
      </bottom>
      <diagonal/>
    </border>
    <border>
      <left style="medium">
        <color theme="1"/>
      </left>
      <right style="hair">
        <color auto="1"/>
      </right>
      <top/>
      <bottom/>
      <diagonal/>
    </border>
    <border>
      <left/>
      <right style="medium">
        <color theme="1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hair">
        <color auto="1"/>
      </right>
      <top/>
      <bottom style="thin">
        <color auto="1"/>
      </bottom>
      <diagonal/>
    </border>
    <border>
      <left/>
      <right style="medium">
        <color theme="1"/>
      </right>
      <top style="hair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1"/>
      </right>
      <top style="thin">
        <color indexed="64"/>
      </top>
      <bottom style="thin">
        <color auto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medium">
        <color theme="1"/>
      </left>
      <right/>
      <top/>
      <bottom style="medium">
        <color auto="1"/>
      </bottom>
      <diagonal/>
    </border>
    <border>
      <left/>
      <right style="medium">
        <color theme="1"/>
      </right>
      <top style="hair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theme="1"/>
      </left>
      <right style="hair">
        <color theme="1"/>
      </right>
      <top style="thin">
        <color auto="1"/>
      </top>
      <bottom/>
      <diagonal/>
    </border>
    <border>
      <left style="medium">
        <color theme="1"/>
      </left>
      <right style="hair">
        <color theme="1"/>
      </right>
      <top/>
      <bottom/>
      <diagonal/>
    </border>
    <border>
      <left style="medium">
        <color theme="1"/>
      </left>
      <right style="hair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/>
      <bottom style="medium">
        <color indexed="64"/>
      </bottom>
      <diagonal/>
    </border>
    <border>
      <left style="medium">
        <color theme="1"/>
      </left>
      <right/>
      <top style="thin">
        <color auto="1"/>
      </top>
      <bottom style="hair">
        <color auto="1"/>
      </bottom>
      <diagonal/>
    </border>
    <border>
      <left style="medium">
        <color theme="1"/>
      </left>
      <right/>
      <top style="hair">
        <color indexed="64"/>
      </top>
      <bottom style="hair">
        <color indexed="64"/>
      </bottom>
      <diagonal/>
    </border>
    <border>
      <left style="medium">
        <color theme="1"/>
      </left>
      <right/>
      <top style="hair">
        <color indexed="64"/>
      </top>
      <bottom style="medium">
        <color theme="1"/>
      </bottom>
      <diagonal/>
    </border>
    <border>
      <left/>
      <right/>
      <top style="hair">
        <color indexed="64"/>
      </top>
      <bottom style="medium">
        <color theme="1"/>
      </bottom>
      <diagonal/>
    </border>
    <border>
      <left/>
      <right style="thin">
        <color indexed="64"/>
      </right>
      <top style="hair">
        <color indexed="64"/>
      </top>
      <bottom style="medium">
        <color theme="1"/>
      </bottom>
      <diagonal/>
    </border>
    <border>
      <left style="thin">
        <color indexed="64"/>
      </left>
      <right/>
      <top style="hair">
        <color indexed="64"/>
      </top>
      <bottom style="medium">
        <color theme="1"/>
      </bottom>
      <diagonal/>
    </border>
    <border>
      <left/>
      <right style="medium">
        <color theme="1"/>
      </right>
      <top style="hair">
        <color indexed="64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auto="1"/>
      </bottom>
      <diagonal/>
    </border>
    <border diagonalDown="1">
      <left style="thin">
        <color theme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thin">
        <color theme="1"/>
      </left>
      <right/>
      <top/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/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thin">
        <color indexed="64"/>
      </bottom>
      <diagonal style="hair">
        <color auto="1"/>
      </diagonal>
    </border>
    <border diagonalDown="1">
      <left style="thin">
        <color theme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thin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/>
      <diagonal style="hair">
        <color auto="1"/>
      </diagonal>
    </border>
    <border diagonalDown="1">
      <left style="thin">
        <color theme="1"/>
      </left>
      <right/>
      <top/>
      <bottom/>
      <diagonal style="hair">
        <color auto="1"/>
      </diagonal>
    </border>
    <border diagonalDown="1">
      <left/>
      <right style="thin">
        <color theme="1"/>
      </right>
      <top/>
      <bottom/>
      <diagonal style="hair">
        <color auto="1"/>
      </diagonal>
    </border>
    <border diagonalDown="1">
      <left style="thin">
        <color theme="1"/>
      </left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medium">
        <color theme="1"/>
      </bottom>
      <diagonal style="hair">
        <color indexed="64"/>
      </diagonal>
    </border>
    <border>
      <left style="thin">
        <color theme="1"/>
      </left>
      <right/>
      <top style="hair">
        <color auto="1"/>
      </top>
      <bottom style="medium">
        <color theme="1"/>
      </bottom>
      <diagonal/>
    </border>
    <border>
      <left/>
      <right style="medium">
        <color indexed="64"/>
      </right>
      <top style="hair">
        <color auto="1"/>
      </top>
      <bottom style="medium">
        <color theme="1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 style="hair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/>
      <diagonal style="hair">
        <color auto="1"/>
      </diagonal>
    </border>
    <border>
      <left style="thin">
        <color theme="1"/>
      </left>
      <right/>
      <top/>
      <bottom style="hair">
        <color indexed="64"/>
      </bottom>
      <diagonal/>
    </border>
    <border>
      <left/>
      <right style="medium">
        <color theme="1"/>
      </right>
      <top/>
      <bottom style="hair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 diagonalDown="1">
      <left style="thin">
        <color theme="1"/>
      </left>
      <right/>
      <top style="thin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thin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medium">
        <color theme="1"/>
      </bottom>
      <diagonal style="hair">
        <color auto="1"/>
      </diagonal>
    </border>
    <border>
      <left style="thin">
        <color theme="1"/>
      </left>
      <right/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hair">
        <color auto="1"/>
      </left>
      <right/>
      <top/>
      <bottom style="medium">
        <color theme="1"/>
      </bottom>
      <diagonal/>
    </border>
    <border>
      <left/>
      <right style="hair">
        <color auto="1"/>
      </right>
      <top/>
      <bottom style="medium">
        <color theme="1"/>
      </bottom>
      <diagonal/>
    </border>
    <border>
      <left style="hair">
        <color auto="1"/>
      </left>
      <right/>
      <top style="hair">
        <color auto="1"/>
      </top>
      <bottom style="medium">
        <color theme="1"/>
      </bottom>
      <diagonal/>
    </border>
    <border>
      <left/>
      <right style="hair">
        <color auto="1"/>
      </right>
      <top style="hair">
        <color auto="1"/>
      </top>
      <bottom style="medium">
        <color theme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theme="1"/>
      </bottom>
      <diagonal/>
    </border>
    <border>
      <left/>
      <right style="medium">
        <color theme="1"/>
      </right>
      <top style="medium">
        <color auto="1"/>
      </top>
      <bottom style="medium">
        <color indexed="64"/>
      </bottom>
      <diagonal/>
    </border>
  </borders>
  <cellStyleXfs count="10">
    <xf numFmtId="0" fontId="0" fillId="0" borderId="0"/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29" fillId="0" borderId="0"/>
    <xf numFmtId="38" fontId="29" fillId="0" borderId="0" applyFont="0" applyFill="0" applyBorder="0" applyAlignment="0" applyProtection="0">
      <alignment vertical="center"/>
    </xf>
    <xf numFmtId="0" fontId="5" fillId="0" borderId="0"/>
  </cellStyleXfs>
  <cellXfs count="2118">
    <xf numFmtId="0" fontId="0" fillId="0" borderId="0" xfId="0"/>
    <xf numFmtId="0" fontId="2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24" xfId="0" applyFont="1" applyBorder="1" applyAlignment="1">
      <alignment vertical="center"/>
    </xf>
    <xf numFmtId="0" fontId="6" fillId="0" borderId="0" xfId="0" applyFont="1" applyAlignment="1">
      <alignment vertical="center" shrinkToFit="1"/>
    </xf>
    <xf numFmtId="0" fontId="2" fillId="0" borderId="23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29" xfId="0" applyFont="1" applyBorder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1" fillId="0" borderId="114" xfId="0" applyFont="1" applyBorder="1" applyAlignment="1">
      <alignment vertical="center" textRotation="255" shrinkToFit="1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10" fillId="0" borderId="103" xfId="0" applyFont="1" applyBorder="1" applyAlignment="1">
      <alignment horizontal="distributed" vertical="center" shrinkToFit="1"/>
    </xf>
    <xf numFmtId="0" fontId="4" fillId="0" borderId="104" xfId="0" applyFont="1" applyBorder="1" applyAlignment="1">
      <alignment vertical="center"/>
    </xf>
    <xf numFmtId="0" fontId="2" fillId="0" borderId="59" xfId="0" applyFont="1" applyBorder="1" applyAlignment="1">
      <alignment horizontal="distributed" vertical="center"/>
    </xf>
    <xf numFmtId="0" fontId="2" fillId="0" borderId="24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4" fillId="0" borderId="11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21" fillId="0" borderId="27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9" xfId="0" applyFont="1" applyBorder="1" applyAlignment="1">
      <alignment horizontal="left" vertical="center"/>
    </xf>
    <xf numFmtId="0" fontId="10" fillId="0" borderId="120" xfId="0" applyFont="1" applyBorder="1" applyAlignment="1">
      <alignment horizontal="left" vertical="center"/>
    </xf>
    <xf numFmtId="0" fontId="4" fillId="0" borderId="24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0" fillId="0" borderId="11" xfId="0" applyFont="1" applyBorder="1" applyAlignment="1">
      <alignment horizontal="left" vertical="center"/>
    </xf>
    <xf numFmtId="0" fontId="10" fillId="0" borderId="11" xfId="0" applyFont="1" applyBorder="1" applyAlignment="1">
      <alignment horizontal="distributed" vertical="center"/>
    </xf>
    <xf numFmtId="0" fontId="10" fillId="0" borderId="11" xfId="0" applyFont="1" applyBorder="1" applyAlignment="1">
      <alignment horizontal="distributed" vertical="center" wrapText="1"/>
    </xf>
    <xf numFmtId="0" fontId="10" fillId="0" borderId="11" xfId="0" applyFont="1" applyBorder="1" applyAlignment="1">
      <alignment vertical="center" wrapText="1"/>
    </xf>
    <xf numFmtId="0" fontId="10" fillId="0" borderId="91" xfId="0" applyFont="1" applyBorder="1" applyAlignment="1">
      <alignment vertical="center"/>
    </xf>
    <xf numFmtId="0" fontId="10" fillId="0" borderId="92" xfId="0" applyFont="1" applyBorder="1" applyAlignment="1">
      <alignment vertical="center"/>
    </xf>
    <xf numFmtId="0" fontId="10" fillId="0" borderId="100" xfId="0" applyFont="1" applyBorder="1" applyAlignment="1">
      <alignment horizontal="left" vertical="center"/>
    </xf>
    <xf numFmtId="0" fontId="10" fillId="0" borderId="25" xfId="0" applyFont="1" applyBorder="1" applyAlignment="1">
      <alignment horizontal="center" vertical="center"/>
    </xf>
    <xf numFmtId="177" fontId="23" fillId="0" borderId="11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10" fillId="0" borderId="67" xfId="0" applyFont="1" applyBorder="1" applyAlignment="1">
      <alignment horizontal="center" vertical="center"/>
    </xf>
    <xf numFmtId="0" fontId="8" fillId="0" borderId="163" xfId="0" applyFont="1" applyBorder="1" applyAlignment="1">
      <alignment vertical="center"/>
    </xf>
    <xf numFmtId="0" fontId="10" fillId="0" borderId="8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10" fillId="0" borderId="0" xfId="0" applyFont="1" applyAlignment="1">
      <alignment vertical="center" shrinkToFit="1"/>
    </xf>
    <xf numFmtId="0" fontId="8" fillId="0" borderId="24" xfId="0" applyFont="1" applyBorder="1" applyAlignment="1">
      <alignment vertical="center"/>
    </xf>
    <xf numFmtId="0" fontId="4" fillId="0" borderId="118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4" fillId="0" borderId="9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10" fillId="0" borderId="174" xfId="0" applyFont="1" applyBorder="1" applyAlignment="1">
      <alignment horizontal="center" vertical="center"/>
    </xf>
    <xf numFmtId="0" fontId="10" fillId="0" borderId="68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39" xfId="0" applyFont="1" applyBorder="1" applyAlignment="1">
      <alignment vertical="center"/>
    </xf>
    <xf numFmtId="0" fontId="21" fillId="0" borderId="11" xfId="0" applyFont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4" fillId="0" borderId="35" xfId="0" applyFont="1" applyBorder="1" applyAlignment="1">
      <alignment vertical="center"/>
    </xf>
    <xf numFmtId="0" fontId="10" fillId="0" borderId="25" xfId="0" applyFont="1" applyBorder="1" applyAlignment="1">
      <alignment horizontal="left" vertical="center"/>
    </xf>
    <xf numFmtId="0" fontId="10" fillId="0" borderId="82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6" xfId="0" applyFont="1" applyBorder="1" applyAlignment="1">
      <alignment horizontal="distributed" vertical="center"/>
    </xf>
    <xf numFmtId="0" fontId="25" fillId="0" borderId="0" xfId="0" applyFont="1" applyAlignment="1">
      <alignment horizontal="center" vertical="center"/>
    </xf>
    <xf numFmtId="176" fontId="9" fillId="0" borderId="0" xfId="0" applyNumberFormat="1" applyFont="1" applyAlignment="1">
      <alignment horizontal="distributed" vertical="center"/>
    </xf>
    <xf numFmtId="0" fontId="10" fillId="0" borderId="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29" xfId="0" applyFont="1" applyBorder="1" applyAlignment="1">
      <alignment vertical="center" justifyLastLine="1"/>
    </xf>
    <xf numFmtId="0" fontId="22" fillId="0" borderId="24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0" fontId="19" fillId="0" borderId="14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24" fillId="0" borderId="35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10" fillId="0" borderId="24" xfId="0" applyFont="1" applyBorder="1" applyAlignment="1">
      <alignment vertical="center" wrapText="1"/>
    </xf>
    <xf numFmtId="0" fontId="20" fillId="0" borderId="24" xfId="0" applyFont="1" applyBorder="1" applyAlignment="1">
      <alignment vertical="center"/>
    </xf>
    <xf numFmtId="0" fontId="20" fillId="0" borderId="26" xfId="0" applyFont="1" applyBorder="1" applyAlignment="1">
      <alignment vertical="center"/>
    </xf>
    <xf numFmtId="0" fontId="21" fillId="0" borderId="13" xfId="0" applyFont="1" applyBorder="1" applyAlignment="1">
      <alignment horizontal="left" vertical="center"/>
    </xf>
    <xf numFmtId="0" fontId="21" fillId="0" borderId="14" xfId="0" applyFont="1" applyBorder="1" applyAlignment="1">
      <alignment horizontal="left" vertical="center"/>
    </xf>
    <xf numFmtId="0" fontId="21" fillId="0" borderId="35" xfId="0" applyFont="1" applyBorder="1" applyAlignment="1">
      <alignment horizontal="left" vertical="center"/>
    </xf>
    <xf numFmtId="0" fontId="4" fillId="0" borderId="0" xfId="2" applyFont="1">
      <alignment vertical="center"/>
    </xf>
    <xf numFmtId="0" fontId="4" fillId="0" borderId="23" xfId="2" applyFont="1" applyBorder="1">
      <alignment vertical="center"/>
    </xf>
    <xf numFmtId="0" fontId="25" fillId="0" borderId="0" xfId="2" applyFont="1">
      <alignment vertical="center"/>
    </xf>
    <xf numFmtId="0" fontId="25" fillId="0" borderId="0" xfId="2" applyFont="1" applyAlignment="1">
      <alignment horizontal="left" vertical="center"/>
    </xf>
    <xf numFmtId="0" fontId="22" fillId="0" borderId="0" xfId="2" applyFont="1">
      <alignment vertical="center"/>
    </xf>
    <xf numFmtId="0" fontId="10" fillId="0" borderId="58" xfId="2" applyFont="1" applyBorder="1" applyAlignment="1">
      <alignment horizontal="center" vertical="center"/>
    </xf>
    <xf numFmtId="0" fontId="10" fillId="0" borderId="119" xfId="2" applyFont="1" applyBorder="1" applyAlignment="1">
      <alignment horizontal="center" vertical="center"/>
    </xf>
    <xf numFmtId="0" fontId="10" fillId="0" borderId="104" xfId="2" applyFont="1" applyBorder="1" applyAlignment="1">
      <alignment vertical="center" wrapText="1"/>
    </xf>
    <xf numFmtId="0" fontId="10" fillId="0" borderId="61" xfId="2" applyFont="1" applyBorder="1">
      <alignment vertical="center"/>
    </xf>
    <xf numFmtId="0" fontId="10" fillId="0" borderId="59" xfId="2" applyFont="1" applyBorder="1" applyAlignment="1">
      <alignment horizontal="center" vertical="center" shrinkToFit="1"/>
    </xf>
    <xf numFmtId="0" fontId="10" fillId="0" borderId="60" xfId="2" applyFont="1" applyBorder="1" applyAlignment="1">
      <alignment horizontal="center" vertical="center"/>
    </xf>
    <xf numFmtId="0" fontId="10" fillId="0" borderId="61" xfId="2" applyFont="1" applyBorder="1" applyAlignment="1">
      <alignment horizontal="center" vertical="center" shrinkToFit="1"/>
    </xf>
    <xf numFmtId="0" fontId="10" fillId="0" borderId="60" xfId="2" applyFont="1" applyBorder="1" applyAlignment="1">
      <alignment horizontal="center" vertical="center" shrinkToFit="1"/>
    </xf>
    <xf numFmtId="0" fontId="10" fillId="0" borderId="54" xfId="2" applyFont="1" applyBorder="1" applyAlignment="1">
      <alignment horizontal="center" vertical="center" shrinkToFit="1"/>
    </xf>
    <xf numFmtId="0" fontId="4" fillId="0" borderId="8" xfId="2" applyFont="1" applyBorder="1">
      <alignment vertical="center"/>
    </xf>
    <xf numFmtId="0" fontId="4" fillId="0" borderId="7" xfId="2" applyFont="1" applyBorder="1">
      <alignment vertical="center"/>
    </xf>
    <xf numFmtId="0" fontId="4" fillId="0" borderId="22" xfId="2" applyFont="1" applyBorder="1">
      <alignment vertical="center"/>
    </xf>
    <xf numFmtId="0" fontId="4" fillId="0" borderId="9" xfId="2" applyFont="1" applyBorder="1">
      <alignment vertical="center"/>
    </xf>
    <xf numFmtId="0" fontId="4" fillId="0" borderId="0" xfId="3" applyFont="1">
      <alignment vertical="center"/>
    </xf>
    <xf numFmtId="0" fontId="4" fillId="0" borderId="23" xfId="3" applyFont="1" applyBorder="1">
      <alignment vertical="center"/>
    </xf>
    <xf numFmtId="0" fontId="4" fillId="0" borderId="9" xfId="3" applyFont="1" applyBorder="1" applyAlignment="1">
      <alignment vertical="center" textRotation="255"/>
    </xf>
    <xf numFmtId="0" fontId="4" fillId="0" borderId="59" xfId="3" applyFont="1" applyBorder="1">
      <alignment vertical="center"/>
    </xf>
    <xf numFmtId="0" fontId="4" fillId="0" borderId="61" xfId="3" applyFont="1" applyBorder="1">
      <alignment vertical="center"/>
    </xf>
    <xf numFmtId="0" fontId="4" fillId="0" borderId="25" xfId="3" applyFont="1" applyBorder="1" applyAlignment="1">
      <alignment vertical="center" textRotation="255"/>
    </xf>
    <xf numFmtId="0" fontId="10" fillId="0" borderId="104" xfId="2" applyFont="1" applyBorder="1" applyAlignment="1">
      <alignment vertical="center" shrinkToFit="1"/>
    </xf>
    <xf numFmtId="0" fontId="10" fillId="0" borderId="64" xfId="2" applyFont="1" applyBorder="1" applyAlignment="1">
      <alignment horizontal="center" vertical="center"/>
    </xf>
    <xf numFmtId="0" fontId="4" fillId="0" borderId="9" xfId="2" applyFont="1" applyBorder="1" applyAlignment="1">
      <alignment horizontal="distributed" vertical="center"/>
    </xf>
    <xf numFmtId="0" fontId="4" fillId="0" borderId="0" xfId="2" applyFont="1" applyAlignment="1">
      <alignment horizontal="distributed" vertical="center"/>
    </xf>
    <xf numFmtId="0" fontId="4" fillId="0" borderId="13" xfId="2" applyFont="1" applyBorder="1" applyAlignment="1">
      <alignment horizontal="distributed" vertical="center"/>
    </xf>
    <xf numFmtId="0" fontId="4" fillId="0" borderId="129" xfId="2" applyFont="1" applyBorder="1" applyAlignment="1">
      <alignment vertical="center" shrinkToFit="1"/>
    </xf>
    <xf numFmtId="0" fontId="4" fillId="0" borderId="9" xfId="2" applyFont="1" applyBorder="1" applyAlignment="1">
      <alignment horizontal="left" vertical="center"/>
    </xf>
    <xf numFmtId="0" fontId="4" fillId="0" borderId="67" xfId="2" applyFont="1" applyBorder="1" applyAlignment="1">
      <alignment horizontal="distributed" vertical="center"/>
    </xf>
    <xf numFmtId="0" fontId="4" fillId="0" borderId="59" xfId="2" applyFont="1" applyBorder="1" applyAlignment="1">
      <alignment horizontal="distributed" vertical="center" shrinkToFit="1"/>
    </xf>
    <xf numFmtId="0" fontId="4" fillId="0" borderId="120" xfId="2" applyFont="1" applyBorder="1" applyAlignment="1">
      <alignment horizontal="distributed" vertical="center" shrinkToFit="1"/>
    </xf>
    <xf numFmtId="0" fontId="22" fillId="0" borderId="0" xfId="0" applyFont="1" applyAlignment="1">
      <alignment horizontal="center" vertical="center"/>
    </xf>
    <xf numFmtId="0" fontId="4" fillId="0" borderId="0" xfId="0" applyFont="1" applyAlignment="1">
      <alignment horizontal="distributed" vertical="center"/>
    </xf>
    <xf numFmtId="0" fontId="21" fillId="0" borderId="11" xfId="0" applyFont="1" applyBorder="1" applyAlignment="1">
      <alignment horizontal="left" vertical="center"/>
    </xf>
    <xf numFmtId="0" fontId="21" fillId="0" borderId="29" xfId="0" applyFont="1" applyBorder="1" applyAlignment="1">
      <alignment horizontal="left" vertical="center"/>
    </xf>
    <xf numFmtId="0" fontId="4" fillId="0" borderId="24" xfId="0" applyFont="1" applyBorder="1" applyAlignment="1">
      <alignment horizontal="distributed" vertical="center"/>
    </xf>
    <xf numFmtId="0" fontId="22" fillId="0" borderId="23" xfId="0" applyFont="1" applyBorder="1" applyAlignment="1">
      <alignment horizontal="center" vertical="center"/>
    </xf>
    <xf numFmtId="0" fontId="10" fillId="0" borderId="14" xfId="0" applyFont="1" applyBorder="1" applyAlignment="1">
      <alignment horizontal="distributed" vertical="center"/>
    </xf>
    <xf numFmtId="0" fontId="10" fillId="0" borderId="29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0" fillId="0" borderId="24" xfId="0" applyFont="1" applyBorder="1" applyAlignment="1">
      <alignment vertical="center"/>
    </xf>
    <xf numFmtId="0" fontId="10" fillId="0" borderId="24" xfId="0" applyFont="1" applyBorder="1" applyAlignment="1">
      <alignment vertical="center" shrinkToFit="1"/>
    </xf>
    <xf numFmtId="0" fontId="21" fillId="0" borderId="192" xfId="0" applyFont="1" applyBorder="1" applyAlignment="1">
      <alignment vertical="center"/>
    </xf>
    <xf numFmtId="0" fontId="21" fillId="0" borderId="208" xfId="0" applyFont="1" applyBorder="1" applyAlignment="1">
      <alignment vertical="center"/>
    </xf>
    <xf numFmtId="0" fontId="4" fillId="0" borderId="0" xfId="0" applyFont="1" applyAlignment="1">
      <alignment horizontal="center" vertical="center" shrinkToFit="1"/>
    </xf>
    <xf numFmtId="0" fontId="4" fillId="0" borderId="24" xfId="0" applyFont="1" applyBorder="1" applyAlignment="1">
      <alignment horizontal="center" vertical="center" shrinkToFit="1"/>
    </xf>
    <xf numFmtId="0" fontId="25" fillId="0" borderId="0" xfId="0" applyFont="1" applyAlignment="1">
      <alignment horizontal="left" vertical="center"/>
    </xf>
    <xf numFmtId="0" fontId="4" fillId="0" borderId="55" xfId="0" applyFont="1" applyBorder="1" applyAlignment="1">
      <alignment vertical="center"/>
    </xf>
    <xf numFmtId="0" fontId="4" fillId="0" borderId="298" xfId="0" applyFont="1" applyBorder="1" applyAlignment="1">
      <alignment vertical="center"/>
    </xf>
    <xf numFmtId="0" fontId="4" fillId="0" borderId="245" xfId="0" applyFont="1" applyBorder="1" applyAlignment="1">
      <alignment vertical="center"/>
    </xf>
    <xf numFmtId="0" fontId="4" fillId="0" borderId="241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8" fillId="0" borderId="29" xfId="2" applyFont="1" applyBorder="1">
      <alignment vertical="center"/>
    </xf>
    <xf numFmtId="0" fontId="10" fillId="0" borderId="27" xfId="2" applyFont="1" applyBorder="1">
      <alignment vertical="center"/>
    </xf>
    <xf numFmtId="0" fontId="24" fillId="0" borderId="11" xfId="2" applyFont="1" applyBorder="1">
      <alignment vertical="center"/>
    </xf>
    <xf numFmtId="0" fontId="24" fillId="0" borderId="14" xfId="2" applyFont="1" applyBorder="1">
      <alignment vertical="center"/>
    </xf>
    <xf numFmtId="0" fontId="10" fillId="0" borderId="14" xfId="2" applyFont="1" applyBorder="1" applyAlignment="1">
      <alignment vertical="center" justifyLastLine="1"/>
    </xf>
    <xf numFmtId="0" fontId="10" fillId="0" borderId="14" xfId="2" applyFont="1" applyBorder="1">
      <alignment vertical="center"/>
    </xf>
    <xf numFmtId="0" fontId="10" fillId="0" borderId="35" xfId="2" applyFont="1" applyBorder="1">
      <alignment vertical="center"/>
    </xf>
    <xf numFmtId="0" fontId="4" fillId="0" borderId="0" xfId="2" applyFont="1" applyAlignment="1">
      <alignment vertical="center" justifyLastLine="1"/>
    </xf>
    <xf numFmtId="0" fontId="4" fillId="0" borderId="0" xfId="0" applyFont="1" applyAlignment="1">
      <alignment vertical="center" justifyLastLine="1"/>
    </xf>
    <xf numFmtId="0" fontId="4" fillId="0" borderId="23" xfId="0" applyFont="1" applyBorder="1" applyAlignment="1">
      <alignment vertical="center" justifyLastLine="1"/>
    </xf>
    <xf numFmtId="0" fontId="4" fillId="0" borderId="0" xfId="2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23" xfId="0" applyFont="1" applyBorder="1" applyAlignment="1">
      <alignment vertical="center" shrinkToFit="1"/>
    </xf>
    <xf numFmtId="178" fontId="4" fillId="0" borderId="0" xfId="3" applyNumberFormat="1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2" applyFont="1" applyAlignment="1">
      <alignment vertical="center" wrapText="1" shrinkToFit="1"/>
    </xf>
    <xf numFmtId="0" fontId="22" fillId="0" borderId="9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10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8" fillId="0" borderId="0" xfId="2" applyFont="1">
      <alignment vertical="center"/>
    </xf>
    <xf numFmtId="0" fontId="10" fillId="0" borderId="0" xfId="2" applyFont="1">
      <alignment vertical="center"/>
    </xf>
    <xf numFmtId="0" fontId="24" fillId="0" borderId="0" xfId="2" applyFont="1">
      <alignment vertical="center"/>
    </xf>
    <xf numFmtId="0" fontId="10" fillId="0" borderId="0" xfId="2" applyFont="1" applyAlignment="1">
      <alignment vertical="center" justifyLastLine="1"/>
    </xf>
    <xf numFmtId="0" fontId="19" fillId="0" borderId="0" xfId="0" applyFont="1" applyAlignment="1">
      <alignment vertical="center"/>
    </xf>
    <xf numFmtId="49" fontId="10" fillId="0" borderId="0" xfId="2" applyNumberFormat="1" applyFont="1">
      <alignment vertical="center"/>
    </xf>
    <xf numFmtId="0" fontId="9" fillId="0" borderId="0" xfId="2" applyFont="1" applyAlignment="1">
      <alignment vertical="center" wrapText="1"/>
    </xf>
    <xf numFmtId="0" fontId="10" fillId="0" borderId="0" xfId="2" applyFont="1" applyAlignment="1">
      <alignment horizontal="left" vertical="center"/>
    </xf>
    <xf numFmtId="176" fontId="10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textRotation="255" shrinkToFit="1"/>
    </xf>
    <xf numFmtId="176" fontId="26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0" fontId="4" fillId="0" borderId="0" xfId="0" applyFont="1" applyAlignment="1">
      <alignment vertical="distributed" textRotation="255" justifyLastLine="1"/>
    </xf>
    <xf numFmtId="0" fontId="4" fillId="0" borderId="0" xfId="0" applyFont="1" applyAlignment="1">
      <alignment vertical="center" wrapText="1" shrinkToFit="1"/>
    </xf>
    <xf numFmtId="0" fontId="4" fillId="0" borderId="0" xfId="2" applyFont="1" applyAlignment="1">
      <alignment horizontal="distributed" vertical="center" shrinkToFit="1"/>
    </xf>
    <xf numFmtId="176" fontId="17" fillId="0" borderId="0" xfId="0" applyNumberFormat="1" applyFont="1" applyAlignment="1">
      <alignment vertical="center"/>
    </xf>
    <xf numFmtId="0" fontId="4" fillId="0" borderId="24" xfId="2" applyFont="1" applyBorder="1">
      <alignment vertical="center"/>
    </xf>
    <xf numFmtId="178" fontId="4" fillId="0" borderId="24" xfId="3" applyNumberFormat="1" applyFont="1" applyBorder="1">
      <alignment vertical="center"/>
    </xf>
    <xf numFmtId="0" fontId="10" fillId="0" borderId="17" xfId="2" applyFont="1" applyBorder="1">
      <alignment vertical="center"/>
    </xf>
    <xf numFmtId="0" fontId="10" fillId="0" borderId="100" xfId="2" applyFont="1" applyBorder="1" applyAlignment="1">
      <alignment vertical="center" shrinkToFit="1"/>
    </xf>
    <xf numFmtId="0" fontId="10" fillId="0" borderId="125" xfId="0" applyFont="1" applyBorder="1" applyAlignment="1">
      <alignment horizontal="center" vertical="center"/>
    </xf>
    <xf numFmtId="0" fontId="4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14" fillId="0" borderId="0" xfId="7" applyFont="1" applyAlignment="1">
      <alignment vertical="center"/>
    </xf>
    <xf numFmtId="0" fontId="2" fillId="0" borderId="0" xfId="7" applyFont="1" applyAlignment="1">
      <alignment vertical="center"/>
    </xf>
    <xf numFmtId="0" fontId="7" fillId="0" borderId="0" xfId="7" applyFont="1" applyAlignment="1">
      <alignment horizontal="left" vertical="center"/>
    </xf>
    <xf numFmtId="0" fontId="22" fillId="0" borderId="0" xfId="7" applyFont="1" applyAlignment="1">
      <alignment vertical="center"/>
    </xf>
    <xf numFmtId="0" fontId="21" fillId="0" borderId="27" xfId="7" applyFont="1" applyBorder="1" applyAlignment="1">
      <alignment vertical="center"/>
    </xf>
    <xf numFmtId="0" fontId="21" fillId="0" borderId="11" xfId="7" applyFont="1" applyBorder="1" applyAlignment="1">
      <alignment vertical="center"/>
    </xf>
    <xf numFmtId="0" fontId="21" fillId="0" borderId="13" xfId="7" applyFont="1" applyBorder="1" applyAlignment="1">
      <alignment horizontal="left" vertical="center"/>
    </xf>
    <xf numFmtId="0" fontId="21" fillId="0" borderId="14" xfId="7" applyFont="1" applyBorder="1" applyAlignment="1">
      <alignment horizontal="left" vertical="center"/>
    </xf>
    <xf numFmtId="0" fontId="21" fillId="0" borderId="35" xfId="7" applyFont="1" applyBorder="1" applyAlignment="1">
      <alignment horizontal="left" vertical="center"/>
    </xf>
    <xf numFmtId="0" fontId="4" fillId="0" borderId="5" xfId="7" applyFont="1" applyBorder="1" applyAlignment="1">
      <alignment horizontal="center" vertical="center" shrinkToFit="1"/>
    </xf>
    <xf numFmtId="0" fontId="10" fillId="0" borderId="9" xfId="7" applyFont="1" applyBorder="1" applyAlignment="1">
      <alignment vertical="distributed"/>
    </xf>
    <xf numFmtId="0" fontId="4" fillId="0" borderId="44" xfId="7" applyFont="1" applyBorder="1" applyAlignment="1">
      <alignment horizontal="center" vertical="center" shrinkToFit="1"/>
    </xf>
    <xf numFmtId="0" fontId="4" fillId="0" borderId="9" xfId="7" applyFont="1" applyBorder="1" applyAlignment="1">
      <alignment vertical="center"/>
    </xf>
    <xf numFmtId="0" fontId="10" fillId="0" borderId="0" xfId="7" applyFont="1" applyAlignment="1">
      <alignment horizontal="distributed" vertical="center"/>
    </xf>
    <xf numFmtId="0" fontId="4" fillId="0" borderId="104" xfId="7" applyFont="1" applyBorder="1" applyAlignment="1">
      <alignment vertical="center"/>
    </xf>
    <xf numFmtId="0" fontId="10" fillId="0" borderId="0" xfId="7" applyFont="1" applyAlignment="1">
      <alignment vertical="center"/>
    </xf>
    <xf numFmtId="0" fontId="10" fillId="0" borderId="59" xfId="7" applyFont="1" applyBorder="1" applyAlignment="1">
      <alignment vertical="center"/>
    </xf>
    <xf numFmtId="0" fontId="10" fillId="0" borderId="9" xfId="7" applyFont="1" applyBorder="1" applyAlignment="1">
      <alignment vertical="center"/>
    </xf>
    <xf numFmtId="0" fontId="10" fillId="0" borderId="104" xfId="7" applyFont="1" applyBorder="1" applyAlignment="1">
      <alignment vertical="center"/>
    </xf>
    <xf numFmtId="0" fontId="10" fillId="0" borderId="104" xfId="7" applyFont="1" applyBorder="1" applyAlignment="1">
      <alignment horizontal="distributed" vertical="center"/>
    </xf>
    <xf numFmtId="0" fontId="4" fillId="0" borderId="90" xfId="7" applyFont="1" applyBorder="1" applyAlignment="1">
      <alignment horizontal="center" vertical="center" shrinkToFit="1"/>
    </xf>
    <xf numFmtId="0" fontId="4" fillId="0" borderId="59" xfId="7" applyFont="1" applyBorder="1" applyAlignment="1">
      <alignment vertical="center"/>
    </xf>
    <xf numFmtId="0" fontId="10" fillId="0" borderId="61" xfId="7" applyFont="1" applyBorder="1" applyAlignment="1">
      <alignment horizontal="distributed" vertical="center"/>
    </xf>
    <xf numFmtId="0" fontId="10" fillId="0" borderId="9" xfId="7" applyFont="1" applyBorder="1" applyAlignment="1">
      <alignment vertical="center" wrapText="1"/>
    </xf>
    <xf numFmtId="0" fontId="4" fillId="0" borderId="61" xfId="7" applyFont="1" applyBorder="1" applyAlignment="1">
      <alignment vertical="center"/>
    </xf>
    <xf numFmtId="0" fontId="10" fillId="0" borderId="67" xfId="7" applyFont="1" applyBorder="1" applyAlignment="1">
      <alignment vertical="center" wrapText="1"/>
    </xf>
    <xf numFmtId="0" fontId="10" fillId="0" borderId="13" xfId="7" applyFont="1" applyBorder="1" applyAlignment="1">
      <alignment vertical="distributed"/>
    </xf>
    <xf numFmtId="0" fontId="10" fillId="0" borderId="13" xfId="7" applyFont="1" applyBorder="1" applyAlignment="1">
      <alignment vertical="center" wrapText="1"/>
    </xf>
    <xf numFmtId="0" fontId="4" fillId="0" borderId="94" xfId="7" applyFont="1" applyBorder="1" applyAlignment="1">
      <alignment horizontal="distributed" vertical="center"/>
    </xf>
    <xf numFmtId="0" fontId="4" fillId="0" borderId="53" xfId="7" applyFont="1" applyBorder="1" applyAlignment="1">
      <alignment horizontal="center" vertical="center" shrinkToFit="1"/>
    </xf>
    <xf numFmtId="0" fontId="10" fillId="0" borderId="114" xfId="7" applyFont="1" applyBorder="1" applyAlignment="1">
      <alignment vertical="center" textRotation="255" shrinkToFit="1"/>
    </xf>
    <xf numFmtId="0" fontId="4" fillId="0" borderId="34" xfId="7" applyFont="1" applyBorder="1" applyAlignment="1">
      <alignment horizontal="center" vertical="center" shrinkToFit="1"/>
    </xf>
    <xf numFmtId="0" fontId="4" fillId="0" borderId="201" xfId="7" applyFont="1" applyBorder="1" applyAlignment="1">
      <alignment horizontal="distributed" vertical="center"/>
    </xf>
    <xf numFmtId="0" fontId="4" fillId="0" borderId="87" xfId="7" applyFont="1" applyBorder="1" applyAlignment="1">
      <alignment horizontal="center" vertical="center" shrinkToFit="1"/>
    </xf>
    <xf numFmtId="0" fontId="2" fillId="0" borderId="80" xfId="7" applyFont="1" applyBorder="1" applyAlignment="1">
      <alignment vertical="center"/>
    </xf>
    <xf numFmtId="0" fontId="2" fillId="0" borderId="100" xfId="7" applyFont="1" applyBorder="1" applyAlignment="1">
      <alignment vertical="center"/>
    </xf>
    <xf numFmtId="0" fontId="11" fillId="0" borderId="114" xfId="7" applyFont="1" applyBorder="1" applyAlignment="1">
      <alignment vertical="center" textRotation="255" shrinkToFit="1"/>
    </xf>
    <xf numFmtId="0" fontId="3" fillId="0" borderId="159" xfId="7" applyFont="1" applyBorder="1" applyAlignment="1">
      <alignment vertical="center"/>
    </xf>
    <xf numFmtId="0" fontId="4" fillId="0" borderId="31" xfId="7" applyFont="1" applyBorder="1" applyAlignment="1">
      <alignment horizontal="center" vertical="center" shrinkToFit="1"/>
    </xf>
    <xf numFmtId="0" fontId="4" fillId="0" borderId="100" xfId="7" applyFont="1" applyBorder="1" applyAlignment="1">
      <alignment vertical="center"/>
    </xf>
    <xf numFmtId="0" fontId="10" fillId="0" borderId="80" xfId="7" applyFont="1" applyBorder="1" applyAlignment="1">
      <alignment vertical="center"/>
    </xf>
    <xf numFmtId="0" fontId="10" fillId="0" borderId="67" xfId="7" applyFont="1" applyBorder="1" applyAlignment="1">
      <alignment vertical="center"/>
    </xf>
    <xf numFmtId="0" fontId="10" fillId="0" borderId="196" xfId="7" applyFont="1" applyBorder="1" applyAlignment="1">
      <alignment vertical="center" textRotation="255" shrinkToFit="1"/>
    </xf>
    <xf numFmtId="0" fontId="10" fillId="0" borderId="138" xfId="7" applyFont="1" applyBorder="1" applyAlignment="1">
      <alignment horizontal="center" vertical="center" shrinkToFit="1"/>
    </xf>
    <xf numFmtId="0" fontId="10" fillId="0" borderId="169" xfId="7" applyFont="1" applyBorder="1" applyAlignment="1">
      <alignment horizontal="center" vertical="center" shrinkToFit="1"/>
    </xf>
    <xf numFmtId="0" fontId="2" fillId="0" borderId="0" xfId="3" applyFont="1">
      <alignment vertical="center"/>
    </xf>
    <xf numFmtId="0" fontId="10" fillId="0" borderId="170" xfId="7" applyFont="1" applyBorder="1" applyAlignment="1">
      <alignment horizontal="center" vertical="center" shrinkToFit="1"/>
    </xf>
    <xf numFmtId="0" fontId="10" fillId="0" borderId="79" xfId="7" applyFont="1" applyBorder="1" applyAlignment="1">
      <alignment horizontal="center" vertical="center" shrinkToFit="1"/>
    </xf>
    <xf numFmtId="0" fontId="4" fillId="0" borderId="104" xfId="7" applyFont="1" applyBorder="1" applyAlignment="1">
      <alignment horizontal="distributed" vertical="center"/>
    </xf>
    <xf numFmtId="0" fontId="16" fillId="0" borderId="61" xfId="7" applyFont="1" applyBorder="1" applyAlignment="1">
      <alignment vertical="center"/>
    </xf>
    <xf numFmtId="0" fontId="10" fillId="0" borderId="77" xfId="7" applyFont="1" applyBorder="1" applyAlignment="1">
      <alignment horizontal="center" vertical="center" shrinkToFit="1"/>
    </xf>
    <xf numFmtId="0" fontId="10" fillId="0" borderId="82" xfId="7" applyFont="1" applyBorder="1" applyAlignment="1">
      <alignment horizontal="distributed" vertical="center"/>
    </xf>
    <xf numFmtId="0" fontId="10" fillId="0" borderId="181" xfId="7" applyFont="1" applyBorder="1" applyAlignment="1">
      <alignment horizontal="center" vertical="center" shrinkToFit="1"/>
    </xf>
    <xf numFmtId="0" fontId="2" fillId="0" borderId="9" xfId="7" applyFont="1" applyBorder="1" applyAlignment="1">
      <alignment horizontal="distributed" vertical="center"/>
    </xf>
    <xf numFmtId="0" fontId="2" fillId="0" borderId="59" xfId="7" applyFont="1" applyBorder="1" applyAlignment="1">
      <alignment horizontal="distributed" vertical="center"/>
    </xf>
    <xf numFmtId="0" fontId="18" fillId="0" borderId="100" xfId="7" applyFont="1" applyBorder="1" applyAlignment="1">
      <alignment horizontal="distributed" vertical="center"/>
    </xf>
    <xf numFmtId="0" fontId="2" fillId="0" borderId="25" xfId="7" applyFont="1" applyBorder="1" applyAlignment="1">
      <alignment vertical="center"/>
    </xf>
    <xf numFmtId="0" fontId="2" fillId="0" borderId="24" xfId="7" applyFont="1" applyBorder="1" applyAlignment="1">
      <alignment vertical="center"/>
    </xf>
    <xf numFmtId="0" fontId="2" fillId="0" borderId="24" xfId="3" applyFont="1" applyBorder="1">
      <alignment vertical="center"/>
    </xf>
    <xf numFmtId="0" fontId="2" fillId="0" borderId="26" xfId="3" applyFont="1" applyBorder="1">
      <alignment vertical="center"/>
    </xf>
    <xf numFmtId="0" fontId="10" fillId="0" borderId="93" xfId="7" applyFont="1" applyBorder="1" applyAlignment="1">
      <alignment horizontal="distributed" vertical="center"/>
    </xf>
    <xf numFmtId="0" fontId="4" fillId="0" borderId="48" xfId="7" applyFont="1" applyBorder="1" applyAlignment="1">
      <alignment horizontal="center" vertical="center" shrinkToFit="1"/>
    </xf>
    <xf numFmtId="0" fontId="10" fillId="0" borderId="86" xfId="7" applyFont="1" applyBorder="1" applyAlignment="1">
      <alignment horizontal="center" vertical="center"/>
    </xf>
    <xf numFmtId="0" fontId="2" fillId="0" borderId="104" xfId="7" applyFont="1" applyBorder="1" applyAlignment="1">
      <alignment vertical="center"/>
    </xf>
    <xf numFmtId="0" fontId="4" fillId="0" borderId="67" xfId="7" applyFont="1" applyBorder="1" applyAlignment="1">
      <alignment horizontal="distributed" vertical="center"/>
    </xf>
    <xf numFmtId="0" fontId="4" fillId="0" borderId="185" xfId="7" applyFont="1" applyBorder="1" applyAlignment="1">
      <alignment horizontal="center" vertical="center" shrinkToFit="1"/>
    </xf>
    <xf numFmtId="0" fontId="4" fillId="0" borderId="68" xfId="7" applyFont="1" applyBorder="1" applyAlignment="1">
      <alignment horizontal="distributed" vertical="center"/>
    </xf>
    <xf numFmtId="0" fontId="2" fillId="0" borderId="7" xfId="3" applyFont="1" applyBorder="1">
      <alignment vertical="center"/>
    </xf>
    <xf numFmtId="0" fontId="2" fillId="0" borderId="22" xfId="3" applyFont="1" applyBorder="1">
      <alignment vertical="center"/>
    </xf>
    <xf numFmtId="0" fontId="10" fillId="0" borderId="94" xfId="7" applyFont="1" applyBorder="1" applyAlignment="1">
      <alignment horizontal="center" vertical="center"/>
    </xf>
    <xf numFmtId="0" fontId="4" fillId="0" borderId="186" xfId="7" applyFont="1" applyBorder="1" applyAlignment="1">
      <alignment horizontal="center" vertical="center" shrinkToFit="1"/>
    </xf>
    <xf numFmtId="0" fontId="10" fillId="0" borderId="95" xfId="7" applyFont="1" applyBorder="1" applyAlignment="1">
      <alignment horizontal="distributed" vertical="center"/>
    </xf>
    <xf numFmtId="0" fontId="4" fillId="0" borderId="125" xfId="7" applyFont="1" applyBorder="1" applyAlignment="1">
      <alignment horizontal="distributed" vertical="center"/>
    </xf>
    <xf numFmtId="0" fontId="2" fillId="0" borderId="14" xfId="7" applyFont="1" applyBorder="1" applyAlignment="1">
      <alignment vertical="center"/>
    </xf>
    <xf numFmtId="0" fontId="4" fillId="0" borderId="58" xfId="7" applyFont="1" applyBorder="1" applyAlignment="1">
      <alignment horizontal="distributed" vertical="center" wrapText="1"/>
    </xf>
    <xf numFmtId="0" fontId="4" fillId="0" borderId="187" xfId="7" applyFont="1" applyBorder="1" applyAlignment="1">
      <alignment horizontal="center" vertical="center" shrinkToFit="1"/>
    </xf>
    <xf numFmtId="0" fontId="4" fillId="0" borderId="58" xfId="7" applyFont="1" applyBorder="1" applyAlignment="1">
      <alignment vertical="center" wrapText="1"/>
    </xf>
    <xf numFmtId="0" fontId="10" fillId="0" borderId="103" xfId="7" applyFont="1" applyBorder="1" applyAlignment="1">
      <alignment horizontal="distributed" vertical="center" shrinkToFit="1"/>
    </xf>
    <xf numFmtId="0" fontId="4" fillId="0" borderId="11" xfId="7" applyFont="1" applyBorder="1" applyAlignment="1">
      <alignment vertical="center"/>
    </xf>
    <xf numFmtId="0" fontId="4" fillId="0" borderId="29" xfId="7" applyFont="1" applyBorder="1" applyAlignment="1">
      <alignment vertical="center"/>
    </xf>
    <xf numFmtId="0" fontId="4" fillId="0" borderId="23" xfId="7" applyFont="1" applyBorder="1" applyAlignment="1">
      <alignment vertical="center"/>
    </xf>
    <xf numFmtId="0" fontId="4" fillId="0" borderId="188" xfId="7" applyFont="1" applyBorder="1" applyAlignment="1">
      <alignment horizontal="center" vertical="center" shrinkToFit="1"/>
    </xf>
    <xf numFmtId="0" fontId="2" fillId="0" borderId="8" xfId="3" applyFont="1" applyBorder="1">
      <alignment vertical="center"/>
    </xf>
    <xf numFmtId="0" fontId="2" fillId="0" borderId="9" xfId="3" applyFont="1" applyBorder="1">
      <alignment vertical="center"/>
    </xf>
    <xf numFmtId="0" fontId="4" fillId="0" borderId="8" xfId="3" applyFont="1" applyBorder="1">
      <alignment vertical="center"/>
    </xf>
    <xf numFmtId="0" fontId="4" fillId="0" borderId="7" xfId="3" applyFont="1" applyBorder="1">
      <alignment vertical="center"/>
    </xf>
    <xf numFmtId="0" fontId="4" fillId="0" borderId="22" xfId="3" applyFont="1" applyBorder="1">
      <alignment vertical="center"/>
    </xf>
    <xf numFmtId="0" fontId="2" fillId="0" borderId="67" xfId="7" applyFont="1" applyBorder="1" applyAlignment="1">
      <alignment horizontal="distributed" vertical="center"/>
    </xf>
    <xf numFmtId="0" fontId="2" fillId="0" borderId="13" xfId="7" applyFont="1" applyBorder="1" applyAlignment="1">
      <alignment horizontal="distributed" vertical="center"/>
    </xf>
    <xf numFmtId="0" fontId="10" fillId="0" borderId="102" xfId="7" applyFont="1" applyBorder="1" applyAlignment="1">
      <alignment horizontal="center" vertical="center"/>
    </xf>
    <xf numFmtId="0" fontId="16" fillId="0" borderId="24" xfId="3" applyFont="1" applyBorder="1">
      <alignment vertical="center"/>
    </xf>
    <xf numFmtId="0" fontId="2" fillId="0" borderId="25" xfId="7" applyFont="1" applyBorder="1" applyAlignment="1">
      <alignment horizontal="distributed" vertical="center"/>
    </xf>
    <xf numFmtId="0" fontId="2" fillId="0" borderId="192" xfId="7" applyFont="1" applyBorder="1" applyAlignment="1">
      <alignment vertical="center"/>
    </xf>
    <xf numFmtId="0" fontId="2" fillId="0" borderId="0" xfId="7" applyFont="1" applyAlignment="1">
      <alignment horizontal="left" vertical="center"/>
    </xf>
    <xf numFmtId="0" fontId="4" fillId="0" borderId="9" xfId="3" applyFont="1" applyBorder="1">
      <alignment vertical="center"/>
    </xf>
    <xf numFmtId="0" fontId="21" fillId="0" borderId="14" xfId="7" applyFont="1" applyBorder="1" applyAlignment="1">
      <alignment vertical="center"/>
    </xf>
    <xf numFmtId="0" fontId="2" fillId="0" borderId="35" xfId="7" applyFont="1" applyBorder="1" applyAlignment="1">
      <alignment vertical="center"/>
    </xf>
    <xf numFmtId="0" fontId="4" fillId="0" borderId="207" xfId="7" applyFont="1" applyBorder="1" applyAlignment="1">
      <alignment vertical="center"/>
    </xf>
    <xf numFmtId="0" fontId="4" fillId="0" borderId="192" xfId="7" applyFont="1" applyBorder="1" applyAlignment="1">
      <alignment vertical="center"/>
    </xf>
    <xf numFmtId="0" fontId="4" fillId="0" borderId="9" xfId="7" applyFont="1" applyBorder="1" applyAlignment="1">
      <alignment horizontal="distributed" vertical="center"/>
    </xf>
    <xf numFmtId="0" fontId="4" fillId="0" borderId="58" xfId="7" applyFont="1" applyBorder="1" applyAlignment="1">
      <alignment horizontal="distributed" vertical="center"/>
    </xf>
    <xf numFmtId="0" fontId="4" fillId="0" borderId="59" xfId="7" applyFont="1" applyBorder="1" applyAlignment="1">
      <alignment horizontal="distributed" vertical="center"/>
    </xf>
    <xf numFmtId="0" fontId="4" fillId="0" borderId="86" xfId="7" applyFont="1" applyBorder="1" applyAlignment="1">
      <alignment horizontal="distributed" vertical="center"/>
    </xf>
    <xf numFmtId="0" fontId="4" fillId="0" borderId="100" xfId="7" applyFont="1" applyBorder="1" applyAlignment="1">
      <alignment horizontal="distributed" vertical="center"/>
    </xf>
    <xf numFmtId="0" fontId="4" fillId="0" borderId="24" xfId="7" applyFont="1" applyBorder="1" applyAlignment="1">
      <alignment horizontal="distributed" vertical="center"/>
    </xf>
    <xf numFmtId="0" fontId="4" fillId="0" borderId="25" xfId="7" applyFont="1" applyBorder="1" applyAlignment="1">
      <alignment horizontal="distributed" vertical="center"/>
    </xf>
    <xf numFmtId="0" fontId="21" fillId="0" borderId="27" xfId="7" applyFont="1" applyBorder="1" applyAlignment="1">
      <alignment horizontal="left" vertical="center"/>
    </xf>
    <xf numFmtId="0" fontId="10" fillId="0" borderId="54" xfId="2" applyFont="1" applyBorder="1" applyAlignment="1">
      <alignment horizontal="center" vertical="center"/>
    </xf>
    <xf numFmtId="0" fontId="10" fillId="0" borderId="59" xfId="2" applyFont="1" applyBorder="1" applyAlignment="1">
      <alignment horizontal="center" vertical="center"/>
    </xf>
    <xf numFmtId="0" fontId="10" fillId="0" borderId="68" xfId="2" applyFont="1" applyBorder="1" applyAlignment="1">
      <alignment horizontal="center" vertical="center"/>
    </xf>
    <xf numFmtId="0" fontId="10" fillId="0" borderId="120" xfId="2" applyFont="1" applyBorder="1" applyAlignment="1">
      <alignment horizontal="center" vertical="center"/>
    </xf>
    <xf numFmtId="0" fontId="10" fillId="0" borderId="61" xfId="2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distributed" vertical="center"/>
    </xf>
    <xf numFmtId="0" fontId="4" fillId="0" borderId="90" xfId="0" applyFont="1" applyBorder="1" applyAlignment="1">
      <alignment horizontal="center" vertical="center" shrinkToFit="1"/>
    </xf>
    <xf numFmtId="0" fontId="10" fillId="0" borderId="9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53" xfId="0" applyFont="1" applyBorder="1" applyAlignment="1">
      <alignment horizontal="center" vertical="center" shrinkToFit="1"/>
    </xf>
    <xf numFmtId="0" fontId="10" fillId="0" borderId="11" xfId="0" applyFont="1" applyBorder="1" applyAlignment="1">
      <alignment horizontal="center" vertical="center"/>
    </xf>
    <xf numFmtId="0" fontId="21" fillId="0" borderId="7" xfId="0" applyFont="1" applyBorder="1" applyAlignment="1">
      <alignment horizontal="left" vertical="center"/>
    </xf>
    <xf numFmtId="0" fontId="10" fillId="0" borderId="58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4" fillId="0" borderId="25" xfId="0" applyFont="1" applyBorder="1" applyAlignment="1">
      <alignment horizontal="distributed" vertical="center"/>
    </xf>
    <xf numFmtId="0" fontId="4" fillId="0" borderId="9" xfId="0" applyFont="1" applyBorder="1" applyAlignment="1">
      <alignment horizontal="distributed" vertical="center"/>
    </xf>
    <xf numFmtId="0" fontId="4" fillId="0" borderId="59" xfId="0" applyFont="1" applyBorder="1" applyAlignment="1">
      <alignment horizontal="distributed" vertical="center"/>
    </xf>
    <xf numFmtId="178" fontId="4" fillId="0" borderId="192" xfId="3" applyNumberFormat="1" applyFont="1" applyBorder="1">
      <alignment vertical="center"/>
    </xf>
    <xf numFmtId="178" fontId="4" fillId="0" borderId="208" xfId="3" applyNumberFormat="1" applyFont="1" applyBorder="1">
      <alignment vertical="center"/>
    </xf>
    <xf numFmtId="0" fontId="4" fillId="0" borderId="5" xfId="0" applyFont="1" applyBorder="1" applyAlignment="1">
      <alignment horizontal="center" vertical="center" shrinkToFit="1"/>
    </xf>
    <xf numFmtId="0" fontId="10" fillId="0" borderId="9" xfId="0" applyFont="1" applyBorder="1" applyAlignment="1">
      <alignment vertical="distributed"/>
    </xf>
    <xf numFmtId="0" fontId="10" fillId="0" borderId="0" xfId="0" applyFont="1" applyAlignment="1">
      <alignment horizontal="distributed" vertical="center"/>
    </xf>
    <xf numFmtId="0" fontId="10" fillId="0" borderId="104" xfId="0" applyFont="1" applyBorder="1" applyAlignment="1">
      <alignment vertical="center"/>
    </xf>
    <xf numFmtId="0" fontId="10" fillId="0" borderId="59" xfId="0" applyFont="1" applyBorder="1" applyAlignment="1">
      <alignment vertical="center"/>
    </xf>
    <xf numFmtId="0" fontId="10" fillId="0" borderId="59" xfId="0" applyFont="1" applyBorder="1" applyAlignment="1">
      <alignment horizontal="distributed" vertical="center"/>
    </xf>
    <xf numFmtId="0" fontId="4" fillId="0" borderId="59" xfId="0" applyFont="1" applyBorder="1" applyAlignment="1">
      <alignment vertical="center"/>
    </xf>
    <xf numFmtId="0" fontId="10" fillId="0" borderId="67" xfId="0" applyFont="1" applyBorder="1" applyAlignment="1">
      <alignment vertical="center"/>
    </xf>
    <xf numFmtId="0" fontId="10" fillId="0" borderId="104" xfId="0" applyFont="1" applyBorder="1" applyAlignment="1">
      <alignment horizontal="distributed" vertical="center"/>
    </xf>
    <xf numFmtId="0" fontId="10" fillId="0" borderId="114" xfId="0" applyFont="1" applyBorder="1" applyAlignment="1">
      <alignment vertical="center" textRotation="255" shrinkToFit="1"/>
    </xf>
    <xf numFmtId="0" fontId="4" fillId="0" borderId="34" xfId="0" applyFont="1" applyBorder="1" applyAlignment="1">
      <alignment horizontal="center" vertical="center" shrinkToFit="1"/>
    </xf>
    <xf numFmtId="0" fontId="4" fillId="0" borderId="87" xfId="0" applyFont="1" applyBorder="1" applyAlignment="1">
      <alignment horizontal="center" vertical="center" shrinkToFit="1"/>
    </xf>
    <xf numFmtId="0" fontId="2" fillId="0" borderId="0" xfId="0" applyFont="1" applyAlignment="1">
      <alignment horizontal="distributed" vertical="center"/>
    </xf>
    <xf numFmtId="0" fontId="3" fillId="0" borderId="159" xfId="0" applyFont="1" applyBorder="1" applyAlignment="1">
      <alignment vertical="center"/>
    </xf>
    <xf numFmtId="0" fontId="4" fillId="0" borderId="31" xfId="0" applyFont="1" applyBorder="1" applyAlignment="1">
      <alignment horizontal="center" vertical="center" shrinkToFit="1"/>
    </xf>
    <xf numFmtId="0" fontId="4" fillId="0" borderId="68" xfId="0" applyFont="1" applyBorder="1" applyAlignment="1">
      <alignment horizontal="distributed" vertical="center"/>
    </xf>
    <xf numFmtId="0" fontId="10" fillId="0" borderId="138" xfId="0" applyFont="1" applyBorder="1" applyAlignment="1">
      <alignment horizontal="center" vertical="center" shrinkToFit="1"/>
    </xf>
    <xf numFmtId="0" fontId="10" fillId="0" borderId="79" xfId="0" applyFont="1" applyBorder="1" applyAlignment="1">
      <alignment horizontal="center" vertical="center" shrinkToFit="1"/>
    </xf>
    <xf numFmtId="0" fontId="4" fillId="0" borderId="0" xfId="2" applyFont="1" applyAlignment="1">
      <alignment vertical="center" textRotation="255"/>
    </xf>
    <xf numFmtId="0" fontId="10" fillId="0" borderId="77" xfId="0" applyFont="1" applyBorder="1" applyAlignment="1">
      <alignment horizontal="center" vertical="center" shrinkToFit="1"/>
    </xf>
    <xf numFmtId="0" fontId="4" fillId="0" borderId="67" xfId="0" applyFont="1" applyBorder="1" applyAlignment="1">
      <alignment horizontal="distributed" vertical="center"/>
    </xf>
    <xf numFmtId="0" fontId="4" fillId="0" borderId="100" xfId="0" applyFont="1" applyBorder="1" applyAlignment="1">
      <alignment horizontal="distributed" vertical="center"/>
    </xf>
    <xf numFmtId="0" fontId="10" fillId="0" borderId="181" xfId="0" applyFont="1" applyBorder="1" applyAlignment="1">
      <alignment horizontal="center" vertical="center" shrinkToFit="1"/>
    </xf>
    <xf numFmtId="0" fontId="10" fillId="0" borderId="93" xfId="0" applyFont="1" applyBorder="1" applyAlignment="1">
      <alignment horizontal="distributed" vertical="center"/>
    </xf>
    <xf numFmtId="0" fontId="10" fillId="0" borderId="86" xfId="0" applyFont="1" applyBorder="1" applyAlignment="1">
      <alignment horizontal="center" vertical="center"/>
    </xf>
    <xf numFmtId="0" fontId="10" fillId="0" borderId="94" xfId="0" applyFont="1" applyBorder="1" applyAlignment="1">
      <alignment horizontal="center" vertical="center"/>
    </xf>
    <xf numFmtId="0" fontId="10" fillId="0" borderId="95" xfId="0" applyFont="1" applyBorder="1" applyAlignment="1">
      <alignment horizontal="distributed" vertical="center"/>
    </xf>
    <xf numFmtId="0" fontId="4" fillId="0" borderId="185" xfId="0" applyFont="1" applyBorder="1" applyAlignment="1">
      <alignment horizontal="center" vertical="center" shrinkToFit="1"/>
    </xf>
    <xf numFmtId="0" fontId="4" fillId="0" borderId="186" xfId="0" applyFont="1" applyBorder="1" applyAlignment="1">
      <alignment horizontal="center" vertical="center" shrinkToFit="1"/>
    </xf>
    <xf numFmtId="0" fontId="2" fillId="0" borderId="80" xfId="0" applyFont="1" applyBorder="1" applyAlignment="1">
      <alignment horizontal="distributed" vertical="center"/>
    </xf>
    <xf numFmtId="0" fontId="2" fillId="0" borderId="14" xfId="0" applyFont="1" applyBorder="1" applyAlignment="1">
      <alignment horizontal="distributed" vertical="center"/>
    </xf>
    <xf numFmtId="0" fontId="4" fillId="0" borderId="187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distributed" vertical="center"/>
    </xf>
    <xf numFmtId="0" fontId="4" fillId="0" borderId="188" xfId="0" applyFont="1" applyBorder="1" applyAlignment="1">
      <alignment horizontal="center" vertical="center" shrinkToFit="1"/>
    </xf>
    <xf numFmtId="0" fontId="4" fillId="0" borderId="261" xfId="0" applyFont="1" applyBorder="1" applyAlignment="1">
      <alignment horizontal="center" vertical="center" shrinkToFit="1"/>
    </xf>
    <xf numFmtId="0" fontId="10" fillId="0" borderId="102" xfId="0" applyFont="1" applyBorder="1" applyAlignment="1">
      <alignment horizontal="center" vertical="center"/>
    </xf>
    <xf numFmtId="0" fontId="10" fillId="0" borderId="161" xfId="0" applyFont="1" applyBorder="1" applyAlignment="1">
      <alignment horizontal="center" vertical="center"/>
    </xf>
    <xf numFmtId="0" fontId="10" fillId="0" borderId="119" xfId="0" applyFont="1" applyBorder="1" applyAlignment="1">
      <alignment horizontal="center" vertical="center"/>
    </xf>
    <xf numFmtId="0" fontId="10" fillId="0" borderId="54" xfId="0" applyFont="1" applyBorder="1" applyAlignment="1">
      <alignment horizontal="center" vertical="center"/>
    </xf>
    <xf numFmtId="0" fontId="10" fillId="0" borderId="120" xfId="0" applyFont="1" applyBorder="1" applyAlignment="1">
      <alignment horizontal="center" vertical="center"/>
    </xf>
    <xf numFmtId="0" fontId="10" fillId="0" borderId="104" xfId="0" applyFont="1" applyBorder="1" applyAlignment="1">
      <alignment vertical="center" wrapText="1"/>
    </xf>
    <xf numFmtId="0" fontId="10" fillId="0" borderId="61" xfId="0" applyFont="1" applyBorder="1" applyAlignment="1">
      <alignment vertical="center"/>
    </xf>
    <xf numFmtId="0" fontId="10" fillId="0" borderId="59" xfId="0" applyFont="1" applyBorder="1" applyAlignment="1">
      <alignment horizontal="center" vertical="center" shrinkToFit="1"/>
    </xf>
    <xf numFmtId="0" fontId="10" fillId="0" borderId="61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 shrinkToFit="1"/>
    </xf>
    <xf numFmtId="0" fontId="10" fillId="0" borderId="60" xfId="0" applyFont="1" applyBorder="1" applyAlignment="1">
      <alignment horizontal="center" vertical="center" shrinkToFit="1"/>
    </xf>
    <xf numFmtId="0" fontId="10" fillId="0" borderId="54" xfId="0" applyFont="1" applyBorder="1" applyAlignment="1">
      <alignment horizontal="center" vertical="center" shrinkToFit="1"/>
    </xf>
    <xf numFmtId="0" fontId="4" fillId="0" borderId="164" xfId="2" applyFont="1" applyBorder="1" applyAlignment="1">
      <alignment horizontal="distributed" vertical="center"/>
    </xf>
    <xf numFmtId="0" fontId="4" fillId="0" borderId="177" xfId="2" applyFont="1" applyBorder="1" applyAlignment="1">
      <alignment vertical="center" shrinkToFit="1"/>
    </xf>
    <xf numFmtId="0" fontId="4" fillId="0" borderId="9" xfId="0" applyFont="1" applyBorder="1" applyAlignment="1">
      <alignment vertical="center" textRotation="255"/>
    </xf>
    <xf numFmtId="0" fontId="10" fillId="0" borderId="17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4" fillId="0" borderId="61" xfId="0" applyFont="1" applyBorder="1" applyAlignment="1">
      <alignment vertical="center"/>
    </xf>
    <xf numFmtId="0" fontId="4" fillId="0" borderId="25" xfId="0" applyFont="1" applyBorder="1" applyAlignment="1">
      <alignment vertical="center" textRotation="255"/>
    </xf>
    <xf numFmtId="0" fontId="10" fillId="0" borderId="104" xfId="0" applyFont="1" applyBorder="1" applyAlignment="1">
      <alignment vertical="center" shrinkToFit="1"/>
    </xf>
    <xf numFmtId="0" fontId="10" fillId="0" borderId="100" xfId="0" applyFont="1" applyBorder="1" applyAlignment="1">
      <alignment vertical="center" shrinkToFit="1"/>
    </xf>
    <xf numFmtId="0" fontId="10" fillId="0" borderId="94" xfId="2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305" xfId="2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82" xfId="0" applyFont="1" applyBorder="1" applyAlignment="1">
      <alignment horizontal="center" vertical="center"/>
    </xf>
    <xf numFmtId="0" fontId="10" fillId="0" borderId="25" xfId="0" applyFont="1" applyBorder="1" applyAlignment="1">
      <alignment vertical="center"/>
    </xf>
    <xf numFmtId="0" fontId="8" fillId="0" borderId="217" xfId="7" applyFont="1" applyBorder="1" applyAlignment="1">
      <alignment horizontal="left" vertical="center"/>
    </xf>
    <xf numFmtId="0" fontId="8" fillId="0" borderId="218" xfId="7" applyFont="1" applyBorder="1" applyAlignment="1">
      <alignment horizontal="left" vertical="center"/>
    </xf>
    <xf numFmtId="0" fontId="8" fillId="0" borderId="219" xfId="7" applyFont="1" applyBorder="1" applyAlignment="1">
      <alignment horizontal="left" vertical="center"/>
    </xf>
    <xf numFmtId="0" fontId="4" fillId="0" borderId="194" xfId="7" applyFont="1" applyBorder="1" applyAlignment="1">
      <alignment horizontal="center" vertical="center"/>
    </xf>
    <xf numFmtId="0" fontId="4" fillId="0" borderId="3" xfId="7" applyFont="1" applyBorder="1" applyAlignment="1">
      <alignment horizontal="center" vertical="center"/>
    </xf>
    <xf numFmtId="0" fontId="4" fillId="0" borderId="34" xfId="7" applyFont="1" applyBorder="1" applyAlignment="1">
      <alignment horizontal="center" vertical="center"/>
    </xf>
    <xf numFmtId="0" fontId="10" fillId="0" borderId="3" xfId="7" applyFont="1" applyBorder="1" applyAlignment="1">
      <alignment horizontal="center" vertical="center"/>
    </xf>
    <xf numFmtId="0" fontId="10" fillId="0" borderId="34" xfId="7" applyFont="1" applyBorder="1" applyAlignment="1">
      <alignment horizontal="center" vertical="center"/>
    </xf>
    <xf numFmtId="0" fontId="10" fillId="0" borderId="6" xfId="7" applyFont="1" applyBorder="1" applyAlignment="1">
      <alignment horizontal="center" vertical="center"/>
    </xf>
    <xf numFmtId="0" fontId="10" fillId="0" borderId="118" xfId="7" applyFont="1" applyBorder="1" applyAlignment="1">
      <alignment horizontal="center" vertical="center"/>
    </xf>
    <xf numFmtId="0" fontId="10" fillId="0" borderId="34" xfId="7" applyFont="1" applyBorder="1" applyAlignment="1">
      <alignment horizontal="center" vertical="center" shrinkToFit="1"/>
    </xf>
    <xf numFmtId="0" fontId="10" fillId="0" borderId="6" xfId="7" applyFont="1" applyBorder="1" applyAlignment="1">
      <alignment horizontal="center" vertical="center" shrinkToFit="1"/>
    </xf>
    <xf numFmtId="0" fontId="10" fillId="0" borderId="118" xfId="7" applyFont="1" applyBorder="1" applyAlignment="1">
      <alignment horizontal="center" vertical="center" shrinkToFit="1"/>
    </xf>
    <xf numFmtId="0" fontId="10" fillId="0" borderId="3" xfId="7" applyFont="1" applyBorder="1" applyAlignment="1">
      <alignment horizontal="center" vertical="center" shrinkToFit="1"/>
    </xf>
    <xf numFmtId="0" fontId="10" fillId="0" borderId="194" xfId="7" applyFont="1" applyBorder="1" applyAlignment="1">
      <alignment horizontal="center" vertical="center" shrinkToFit="1"/>
    </xf>
    <xf numFmtId="0" fontId="4" fillId="0" borderId="131" xfId="7" applyFont="1" applyBorder="1" applyAlignment="1">
      <alignment horizontal="center" vertical="center"/>
    </xf>
    <xf numFmtId="0" fontId="10" fillId="0" borderId="40" xfId="3" applyFont="1" applyBorder="1" applyAlignment="1">
      <alignment horizontal="center" vertical="center"/>
    </xf>
    <xf numFmtId="0" fontId="10" fillId="0" borderId="6" xfId="3" applyFont="1" applyBorder="1" applyAlignment="1">
      <alignment horizontal="center" vertical="center"/>
    </xf>
    <xf numFmtId="179" fontId="10" fillId="0" borderId="34" xfId="3" applyNumberFormat="1" applyFont="1" applyBorder="1" applyAlignment="1">
      <alignment horizontal="center" vertical="center"/>
    </xf>
    <xf numFmtId="179" fontId="10" fillId="0" borderId="6" xfId="3" applyNumberFormat="1" applyFont="1" applyBorder="1" applyAlignment="1">
      <alignment horizontal="center" vertical="center"/>
    </xf>
    <xf numFmtId="179" fontId="10" fillId="0" borderId="118" xfId="3" applyNumberFormat="1" applyFont="1" applyBorder="1" applyAlignment="1">
      <alignment horizontal="center" vertical="center"/>
    </xf>
    <xf numFmtId="49" fontId="10" fillId="0" borderId="3" xfId="7" applyNumberFormat="1" applyFont="1" applyBorder="1" applyAlignment="1">
      <alignment horizontal="center" vertical="center"/>
    </xf>
    <xf numFmtId="49" fontId="10" fillId="0" borderId="17" xfId="7" applyNumberFormat="1" applyFont="1" applyBorder="1" applyAlignment="1" applyProtection="1">
      <alignment horizontal="center" vertical="center"/>
      <protection locked="0"/>
    </xf>
    <xf numFmtId="49" fontId="10" fillId="0" borderId="14" xfId="7" applyNumberFormat="1" applyFont="1" applyBorder="1" applyAlignment="1" applyProtection="1">
      <alignment horizontal="center" vertical="center"/>
      <protection locked="0"/>
    </xf>
    <xf numFmtId="49" fontId="10" fillId="0" borderId="21" xfId="7" applyNumberFormat="1" applyFont="1" applyBorder="1" applyAlignment="1" applyProtection="1">
      <alignment horizontal="center" vertical="center"/>
      <protection locked="0"/>
    </xf>
    <xf numFmtId="179" fontId="10" fillId="0" borderId="17" xfId="7" applyNumberFormat="1" applyFont="1" applyBorder="1" applyAlignment="1" applyProtection="1">
      <alignment horizontal="center" vertical="center"/>
      <protection locked="0"/>
    </xf>
    <xf numFmtId="179" fontId="10" fillId="0" borderId="14" xfId="7" applyNumberFormat="1" applyFont="1" applyBorder="1" applyAlignment="1" applyProtection="1">
      <alignment horizontal="center" vertical="center"/>
      <protection locked="0"/>
    </xf>
    <xf numFmtId="179" fontId="10" fillId="0" borderId="21" xfId="7" applyNumberFormat="1" applyFont="1" applyBorder="1" applyAlignment="1" applyProtection="1">
      <alignment horizontal="center" vertical="center"/>
      <protection locked="0"/>
    </xf>
    <xf numFmtId="179" fontId="10" fillId="3" borderId="3" xfId="7" applyNumberFormat="1" applyFont="1" applyFill="1" applyBorder="1" applyAlignment="1">
      <alignment horizontal="center" vertical="center"/>
    </xf>
    <xf numFmtId="179" fontId="10" fillId="0" borderId="3" xfId="7" applyNumberFormat="1" applyFont="1" applyBorder="1" applyAlignment="1" applyProtection="1">
      <alignment horizontal="center" vertical="center"/>
      <protection locked="0"/>
    </xf>
    <xf numFmtId="1" fontId="10" fillId="0" borderId="3" xfId="7" applyNumberFormat="1" applyFont="1" applyBorder="1" applyAlignment="1" applyProtection="1">
      <alignment horizontal="center" vertical="center"/>
      <protection locked="0"/>
    </xf>
    <xf numFmtId="1" fontId="10" fillId="3" borderId="3" xfId="7" applyNumberFormat="1" applyFont="1" applyFill="1" applyBorder="1" applyAlignment="1">
      <alignment horizontal="center" vertical="center"/>
    </xf>
    <xf numFmtId="1" fontId="10" fillId="3" borderId="131" xfId="7" applyNumberFormat="1" applyFont="1" applyFill="1" applyBorder="1" applyAlignment="1">
      <alignment horizontal="center" vertical="center"/>
    </xf>
    <xf numFmtId="1" fontId="10" fillId="0" borderId="131" xfId="7" applyNumberFormat="1" applyFont="1" applyBorder="1" applyAlignment="1" applyProtection="1">
      <alignment horizontal="center" vertical="center"/>
      <protection locked="0"/>
    </xf>
    <xf numFmtId="0" fontId="10" fillId="0" borderId="1" xfId="7" applyFont="1" applyBorder="1" applyAlignment="1">
      <alignment horizontal="center" vertical="center" shrinkToFit="1"/>
    </xf>
    <xf numFmtId="0" fontId="10" fillId="0" borderId="4" xfId="7" applyFont="1" applyBorder="1" applyAlignment="1">
      <alignment horizontal="center" vertical="center" shrinkToFit="1"/>
    </xf>
    <xf numFmtId="0" fontId="10" fillId="0" borderId="17" xfId="7" applyFont="1" applyBorder="1" applyAlignment="1">
      <alignment horizontal="center" vertical="center" shrinkToFit="1"/>
    </xf>
    <xf numFmtId="0" fontId="10" fillId="0" borderId="14" xfId="7" applyFont="1" applyBorder="1" applyAlignment="1">
      <alignment horizontal="center" vertical="center" shrinkToFit="1"/>
    </xf>
    <xf numFmtId="0" fontId="10" fillId="0" borderId="21" xfId="7" applyFont="1" applyBorder="1" applyAlignment="1">
      <alignment horizontal="center" vertical="center" shrinkToFit="1"/>
    </xf>
    <xf numFmtId="0" fontId="4" fillId="0" borderId="4" xfId="7" applyFont="1" applyBorder="1" applyAlignment="1">
      <alignment horizontal="center" vertical="center"/>
    </xf>
    <xf numFmtId="180" fontId="10" fillId="0" borderId="194" xfId="7" applyNumberFormat="1" applyFont="1" applyBorder="1" applyAlignment="1" applyProtection="1">
      <alignment horizontal="center" vertical="center"/>
      <protection locked="0"/>
    </xf>
    <xf numFmtId="180" fontId="10" fillId="0" borderId="3" xfId="7" applyNumberFormat="1" applyFont="1" applyBorder="1" applyAlignment="1" applyProtection="1">
      <alignment horizontal="center" vertical="center"/>
      <protection locked="0"/>
    </xf>
    <xf numFmtId="1" fontId="10" fillId="0" borderId="34" xfId="7" applyNumberFormat="1" applyFont="1" applyBorder="1" applyAlignment="1" applyProtection="1">
      <alignment horizontal="center" vertical="center"/>
      <protection locked="0"/>
    </xf>
    <xf numFmtId="1" fontId="10" fillId="0" borderId="6" xfId="7" applyNumberFormat="1" applyFont="1" applyBorder="1" applyAlignment="1" applyProtection="1">
      <alignment horizontal="center" vertical="center"/>
      <protection locked="0"/>
    </xf>
    <xf numFmtId="1" fontId="10" fillId="0" borderId="118" xfId="7" applyNumberFormat="1" applyFont="1" applyBorder="1" applyAlignment="1" applyProtection="1">
      <alignment horizontal="center" vertical="center"/>
      <protection locked="0"/>
    </xf>
    <xf numFmtId="0" fontId="4" fillId="0" borderId="33" xfId="7" applyFont="1" applyBorder="1" applyAlignment="1">
      <alignment horizontal="center" vertical="center"/>
    </xf>
    <xf numFmtId="0" fontId="10" fillId="0" borderId="173" xfId="7" applyFont="1" applyBorder="1" applyAlignment="1" applyProtection="1">
      <alignment horizontal="center" vertical="center"/>
      <protection locked="0"/>
    </xf>
    <xf numFmtId="0" fontId="10" fillId="0" borderId="66" xfId="7" applyFont="1" applyBorder="1" applyAlignment="1" applyProtection="1">
      <alignment horizontal="center" vertical="center"/>
      <protection locked="0"/>
    </xf>
    <xf numFmtId="0" fontId="10" fillId="0" borderId="41" xfId="7" applyFont="1" applyBorder="1" applyAlignment="1" applyProtection="1">
      <alignment horizontal="center" vertical="center"/>
      <protection locked="0"/>
    </xf>
    <xf numFmtId="0" fontId="10" fillId="0" borderId="37" xfId="7" applyFont="1" applyBorder="1" applyAlignment="1" applyProtection="1">
      <alignment horizontal="center" vertical="center"/>
      <protection locked="0"/>
    </xf>
    <xf numFmtId="0" fontId="10" fillId="0" borderId="38" xfId="7" applyFont="1" applyBorder="1" applyAlignment="1" applyProtection="1">
      <alignment horizontal="center" vertical="center"/>
      <protection locked="0"/>
    </xf>
    <xf numFmtId="0" fontId="8" fillId="0" borderId="13" xfId="7" applyFont="1" applyBorder="1" applyAlignment="1">
      <alignment horizontal="left" vertical="center"/>
    </xf>
    <xf numFmtId="0" fontId="8" fillId="0" borderId="14" xfId="7" applyFont="1" applyBorder="1" applyAlignment="1">
      <alignment horizontal="left" vertical="center"/>
    </xf>
    <xf numFmtId="0" fontId="8" fillId="0" borderId="35" xfId="7" applyFont="1" applyBorder="1" applyAlignment="1">
      <alignment horizontal="left" vertical="center"/>
    </xf>
    <xf numFmtId="0" fontId="8" fillId="0" borderId="27" xfId="7" applyFont="1" applyBorder="1" applyAlignment="1">
      <alignment horizontal="left" vertical="distributed"/>
    </xf>
    <xf numFmtId="0" fontId="10" fillId="0" borderId="11" xfId="7" applyFont="1" applyBorder="1" applyAlignment="1">
      <alignment horizontal="left" vertical="distributed"/>
    </xf>
    <xf numFmtId="0" fontId="10" fillId="0" borderId="29" xfId="7" applyFont="1" applyBorder="1" applyAlignment="1">
      <alignment horizontal="left" vertical="distributed"/>
    </xf>
    <xf numFmtId="0" fontId="4" fillId="0" borderId="13" xfId="7" applyFont="1" applyBorder="1" applyAlignment="1">
      <alignment horizontal="distributed" vertical="center" justifyLastLine="1"/>
    </xf>
    <xf numFmtId="0" fontId="4" fillId="0" borderId="14" xfId="7" applyFont="1" applyBorder="1" applyAlignment="1">
      <alignment horizontal="distributed" vertical="center" justifyLastLine="1"/>
    </xf>
    <xf numFmtId="0" fontId="4" fillId="0" borderId="35" xfId="7" applyFont="1" applyBorder="1" applyAlignment="1">
      <alignment horizontal="distributed" vertical="center" justifyLastLine="1"/>
    </xf>
    <xf numFmtId="0" fontId="4" fillId="0" borderId="28" xfId="7" applyFont="1" applyBorder="1" applyAlignment="1">
      <alignment horizontal="distributed" vertical="center"/>
    </xf>
    <xf numFmtId="0" fontId="4" fillId="0" borderId="91" xfId="7" applyFont="1" applyBorder="1" applyAlignment="1">
      <alignment horizontal="distributed" vertical="center"/>
    </xf>
    <xf numFmtId="0" fontId="4" fillId="0" borderId="92" xfId="7" applyFont="1" applyBorder="1" applyAlignment="1">
      <alignment horizontal="distributed" vertical="center"/>
    </xf>
    <xf numFmtId="49" fontId="10" fillId="3" borderId="90" xfId="3" applyNumberFormat="1" applyFont="1" applyFill="1" applyBorder="1" applyAlignment="1">
      <alignment horizontal="right" vertical="center"/>
    </xf>
    <xf numFmtId="49" fontId="10" fillId="3" borderId="91" xfId="3" applyNumberFormat="1" applyFont="1" applyFill="1" applyBorder="1" applyAlignment="1">
      <alignment horizontal="right" vertical="center"/>
    </xf>
    <xf numFmtId="49" fontId="10" fillId="3" borderId="97" xfId="3" applyNumberFormat="1" applyFont="1" applyFill="1" applyBorder="1" applyAlignment="1">
      <alignment horizontal="right" vertical="center"/>
    </xf>
    <xf numFmtId="0" fontId="10" fillId="0" borderId="18" xfId="7" applyFont="1" applyBorder="1" applyAlignment="1">
      <alignment horizontal="distributed" vertical="center"/>
    </xf>
    <xf numFmtId="0" fontId="10" fillId="0" borderId="91" xfId="7" applyFont="1" applyBorder="1" applyAlignment="1">
      <alignment horizontal="distributed" vertical="center"/>
    </xf>
    <xf numFmtId="0" fontId="10" fillId="0" borderId="92" xfId="7" applyFont="1" applyBorder="1" applyAlignment="1">
      <alignment horizontal="distributed" vertical="center"/>
    </xf>
    <xf numFmtId="49" fontId="10" fillId="3" borderId="87" xfId="3" applyNumberFormat="1" applyFont="1" applyFill="1" applyBorder="1" applyAlignment="1">
      <alignment horizontal="right" vertical="center"/>
    </xf>
    <xf numFmtId="49" fontId="10" fillId="3" borderId="62" xfId="3" applyNumberFormat="1" applyFont="1" applyFill="1" applyBorder="1" applyAlignment="1">
      <alignment horizontal="right" vertical="center"/>
    </xf>
    <xf numFmtId="0" fontId="10" fillId="0" borderId="40" xfId="7" applyFont="1" applyBorder="1" applyAlignment="1">
      <alignment horizontal="center" vertical="center"/>
    </xf>
    <xf numFmtId="0" fontId="10" fillId="0" borderId="34" xfId="7" applyFont="1" applyBorder="1" applyAlignment="1">
      <alignment horizontal="center" vertical="center" wrapText="1"/>
    </xf>
    <xf numFmtId="0" fontId="10" fillId="0" borderId="6" xfId="7" applyFont="1" applyBorder="1" applyAlignment="1">
      <alignment horizontal="center" vertical="center" wrapText="1"/>
    </xf>
    <xf numFmtId="0" fontId="10" fillId="0" borderId="39" xfId="7" applyFont="1" applyBorder="1" applyAlignment="1">
      <alignment horizontal="center" vertical="center" wrapText="1"/>
    </xf>
    <xf numFmtId="0" fontId="10" fillId="0" borderId="9" xfId="7" applyFont="1" applyBorder="1" applyAlignment="1">
      <alignment horizontal="distributed" vertical="distributed"/>
    </xf>
    <xf numFmtId="0" fontId="10" fillId="0" borderId="0" xfId="7" applyFont="1" applyAlignment="1">
      <alignment horizontal="distributed" vertical="distributed"/>
    </xf>
    <xf numFmtId="0" fontId="10" fillId="0" borderId="20" xfId="7" applyFont="1" applyBorder="1" applyAlignment="1">
      <alignment horizontal="distributed" vertical="distributed"/>
    </xf>
    <xf numFmtId="49" fontId="4" fillId="3" borderId="307" xfId="3" applyNumberFormat="1" applyFont="1" applyFill="1" applyBorder="1" applyAlignment="1">
      <alignment horizontal="right" vertical="center"/>
    </xf>
    <xf numFmtId="49" fontId="4" fillId="3" borderId="121" xfId="3" applyNumberFormat="1" applyFont="1" applyFill="1" applyBorder="1" applyAlignment="1">
      <alignment horizontal="right" vertical="center"/>
    </xf>
    <xf numFmtId="49" fontId="4" fillId="3" borderId="165" xfId="3" applyNumberFormat="1" applyFont="1" applyFill="1" applyBorder="1" applyAlignment="1">
      <alignment horizontal="right" vertical="center"/>
    </xf>
    <xf numFmtId="0" fontId="4" fillId="0" borderId="9" xfId="7" applyFont="1" applyBorder="1" applyAlignment="1">
      <alignment horizontal="distributed" vertical="center"/>
    </xf>
    <xf numFmtId="0" fontId="4" fillId="0" borderId="0" xfId="7" applyFont="1" applyAlignment="1">
      <alignment horizontal="distributed" vertical="center"/>
    </xf>
    <xf numFmtId="49" fontId="4" fillId="3" borderId="90" xfId="3" applyNumberFormat="1" applyFont="1" applyFill="1" applyBorder="1" applyAlignment="1">
      <alignment horizontal="right" vertical="center"/>
    </xf>
    <xf numFmtId="49" fontId="4" fillId="3" borderId="91" xfId="3" applyNumberFormat="1" applyFont="1" applyFill="1" applyBorder="1" applyAlignment="1">
      <alignment horizontal="right" vertical="center"/>
    </xf>
    <xf numFmtId="49" fontId="4" fillId="3" borderId="97" xfId="3" applyNumberFormat="1" applyFont="1" applyFill="1" applyBorder="1" applyAlignment="1">
      <alignment horizontal="right" vertical="center"/>
    </xf>
    <xf numFmtId="0" fontId="4" fillId="0" borderId="126" xfId="7" applyFont="1" applyBorder="1" applyAlignment="1">
      <alignment horizontal="center" vertical="center" textRotation="255" shrinkToFit="1"/>
    </xf>
    <xf numFmtId="0" fontId="4" fillId="0" borderId="67" xfId="7" applyFont="1" applyBorder="1" applyAlignment="1">
      <alignment horizontal="center" vertical="center" textRotation="255" shrinkToFit="1"/>
    </xf>
    <xf numFmtId="0" fontId="4" fillId="0" borderId="125" xfId="7" applyFont="1" applyBorder="1" applyAlignment="1">
      <alignment horizontal="center" vertical="center" textRotation="255" shrinkToFit="1"/>
    </xf>
    <xf numFmtId="0" fontId="4" fillId="0" borderId="119" xfId="7" applyFont="1" applyBorder="1" applyAlignment="1">
      <alignment horizontal="distributed" vertical="center" shrinkToFit="1"/>
    </xf>
    <xf numFmtId="0" fontId="4" fillId="0" borderId="91" xfId="7" applyFont="1" applyBorder="1" applyAlignment="1">
      <alignment horizontal="distributed" vertical="center" shrinkToFit="1"/>
    </xf>
    <xf numFmtId="0" fontId="4" fillId="0" borderId="92" xfId="7" applyFont="1" applyBorder="1" applyAlignment="1">
      <alignment horizontal="distributed" vertical="center" shrinkToFit="1"/>
    </xf>
    <xf numFmtId="0" fontId="10" fillId="0" borderId="59" xfId="7" applyFont="1" applyBorder="1" applyAlignment="1">
      <alignment horizontal="distributed" vertical="center"/>
    </xf>
    <xf numFmtId="0" fontId="10" fillId="0" borderId="62" xfId="7" applyFont="1" applyBorder="1" applyAlignment="1">
      <alignment horizontal="distributed" vertical="center"/>
    </xf>
    <xf numFmtId="0" fontId="10" fillId="0" borderId="88" xfId="7" applyFont="1" applyBorder="1" applyAlignment="1">
      <alignment horizontal="distributed" vertical="center"/>
    </xf>
    <xf numFmtId="0" fontId="10" fillId="0" borderId="54" xfId="7" applyFont="1" applyBorder="1" applyAlignment="1">
      <alignment horizontal="distributed" vertical="center"/>
    </xf>
    <xf numFmtId="0" fontId="10" fillId="0" borderId="43" xfId="7" applyFont="1" applyBorder="1" applyAlignment="1">
      <alignment horizontal="distributed" vertical="center"/>
    </xf>
    <xf numFmtId="0" fontId="10" fillId="0" borderId="50" xfId="7" applyFont="1" applyBorder="1" applyAlignment="1">
      <alignment horizontal="distributed" vertical="center"/>
    </xf>
    <xf numFmtId="0" fontId="10" fillId="0" borderId="58" xfId="7" applyFont="1" applyBorder="1" applyAlignment="1">
      <alignment horizontal="distributed" vertical="center"/>
    </xf>
    <xf numFmtId="49" fontId="4" fillId="0" borderId="140" xfId="3" applyNumberFormat="1" applyFont="1" applyBorder="1" applyAlignment="1" applyProtection="1">
      <alignment horizontal="right" vertical="center"/>
      <protection locked="0"/>
    </xf>
    <xf numFmtId="49" fontId="4" fillId="0" borderId="70" xfId="3" applyNumberFormat="1" applyFont="1" applyBorder="1" applyAlignment="1" applyProtection="1">
      <alignment horizontal="right" vertical="center"/>
      <protection locked="0"/>
    </xf>
    <xf numFmtId="49" fontId="4" fillId="0" borderId="113" xfId="3" applyNumberFormat="1" applyFont="1" applyBorder="1" applyAlignment="1" applyProtection="1">
      <alignment horizontal="right" vertical="center"/>
      <protection locked="0"/>
    </xf>
    <xf numFmtId="0" fontId="4" fillId="0" borderId="58" xfId="7" applyFont="1" applyBorder="1" applyAlignment="1">
      <alignment horizontal="distributed" vertical="center"/>
    </xf>
    <xf numFmtId="0" fontId="4" fillId="0" borderId="43" xfId="7" applyFont="1" applyBorder="1" applyAlignment="1">
      <alignment horizontal="distributed" vertical="center"/>
    </xf>
    <xf numFmtId="0" fontId="4" fillId="0" borderId="50" xfId="7" applyFont="1" applyBorder="1" applyAlignment="1">
      <alignment horizontal="distributed" vertical="center"/>
    </xf>
    <xf numFmtId="49" fontId="4" fillId="3" borderId="44" xfId="3" applyNumberFormat="1" applyFont="1" applyFill="1" applyBorder="1" applyAlignment="1">
      <alignment horizontal="right" vertical="center"/>
    </xf>
    <xf numFmtId="49" fontId="4" fillId="3" borderId="43" xfId="3" applyNumberFormat="1" applyFont="1" applyFill="1" applyBorder="1" applyAlignment="1">
      <alignment horizontal="right" vertical="center"/>
    </xf>
    <xf numFmtId="49" fontId="4" fillId="3" borderId="45" xfId="3" applyNumberFormat="1" applyFont="1" applyFill="1" applyBorder="1" applyAlignment="1">
      <alignment horizontal="right" vertical="center"/>
    </xf>
    <xf numFmtId="0" fontId="4" fillId="0" borderId="58" xfId="7" applyFont="1" applyBorder="1" applyAlignment="1">
      <alignment horizontal="distributed" vertical="center" shrinkToFit="1"/>
    </xf>
    <xf numFmtId="0" fontId="4" fillId="0" borderId="43" xfId="7" applyFont="1" applyBorder="1" applyAlignment="1">
      <alignment horizontal="distributed" vertical="center" shrinkToFit="1"/>
    </xf>
    <xf numFmtId="0" fontId="4" fillId="0" borderId="50" xfId="7" applyFont="1" applyBorder="1" applyAlignment="1">
      <alignment horizontal="distributed" vertical="center" shrinkToFit="1"/>
    </xf>
    <xf numFmtId="49" fontId="10" fillId="3" borderId="44" xfId="3" applyNumberFormat="1" applyFont="1" applyFill="1" applyBorder="1" applyAlignment="1">
      <alignment horizontal="right" vertical="center"/>
    </xf>
    <xf numFmtId="49" fontId="10" fillId="3" borderId="43" xfId="3" applyNumberFormat="1" applyFont="1" applyFill="1" applyBorder="1" applyAlignment="1">
      <alignment horizontal="right" vertical="center"/>
    </xf>
    <xf numFmtId="49" fontId="10" fillId="3" borderId="45" xfId="3" applyNumberFormat="1" applyFont="1" applyFill="1" applyBorder="1" applyAlignment="1">
      <alignment horizontal="right" vertical="center"/>
    </xf>
    <xf numFmtId="0" fontId="4" fillId="0" borderId="54" xfId="7" applyFont="1" applyBorder="1" applyAlignment="1">
      <alignment horizontal="distributed" vertical="center"/>
    </xf>
    <xf numFmtId="49" fontId="10" fillId="4" borderId="44" xfId="3" applyNumberFormat="1" applyFont="1" applyFill="1" applyBorder="1" applyAlignment="1" applyProtection="1">
      <alignment horizontal="right" vertical="center"/>
      <protection locked="0"/>
    </xf>
    <xf numFmtId="49" fontId="10" fillId="4" borderId="43" xfId="3" applyNumberFormat="1" applyFont="1" applyFill="1" applyBorder="1" applyAlignment="1" applyProtection="1">
      <alignment horizontal="right" vertical="center"/>
      <protection locked="0"/>
    </xf>
    <xf numFmtId="49" fontId="10" fillId="4" borderId="45" xfId="3" applyNumberFormat="1" applyFont="1" applyFill="1" applyBorder="1" applyAlignment="1" applyProtection="1">
      <alignment horizontal="right" vertical="center"/>
      <protection locked="0"/>
    </xf>
    <xf numFmtId="0" fontId="10" fillId="0" borderId="28" xfId="7" applyFont="1" applyBorder="1" applyAlignment="1">
      <alignment horizontal="distributed" vertical="center" wrapText="1"/>
    </xf>
    <xf numFmtId="0" fontId="10" fillId="0" borderId="91" xfId="7" applyFont="1" applyBorder="1" applyAlignment="1">
      <alignment horizontal="distributed" vertical="center" wrapText="1"/>
    </xf>
    <xf numFmtId="0" fontId="10" fillId="0" borderId="92" xfId="7" applyFont="1" applyBorder="1" applyAlignment="1">
      <alignment horizontal="distributed" vertical="center" wrapText="1"/>
    </xf>
    <xf numFmtId="0" fontId="10" fillId="0" borderId="69" xfId="7" applyFont="1" applyBorder="1" applyAlignment="1">
      <alignment horizontal="distributed" vertical="center" shrinkToFit="1"/>
    </xf>
    <xf numFmtId="0" fontId="10" fillId="0" borderId="70" xfId="7" applyFont="1" applyBorder="1" applyAlignment="1">
      <alignment horizontal="distributed" vertical="center" shrinkToFit="1"/>
    </xf>
    <xf numFmtId="0" fontId="10" fillId="0" borderId="128" xfId="7" applyFont="1" applyBorder="1" applyAlignment="1">
      <alignment horizontal="distributed" vertical="center" shrinkToFit="1"/>
    </xf>
    <xf numFmtId="0" fontId="16" fillId="0" borderId="58" xfId="7" applyFont="1" applyBorder="1" applyAlignment="1">
      <alignment horizontal="distributed" vertical="center"/>
    </xf>
    <xf numFmtId="0" fontId="16" fillId="0" borderId="43" xfId="7" applyFont="1" applyBorder="1" applyAlignment="1">
      <alignment horizontal="distributed" vertical="center"/>
    </xf>
    <xf numFmtId="0" fontId="16" fillId="0" borderId="50" xfId="7" applyFont="1" applyBorder="1" applyAlignment="1">
      <alignment horizontal="distributed" vertical="center"/>
    </xf>
    <xf numFmtId="49" fontId="4" fillId="4" borderId="44" xfId="3" applyNumberFormat="1" applyFont="1" applyFill="1" applyBorder="1" applyAlignment="1" applyProtection="1">
      <alignment horizontal="right" vertical="center"/>
      <protection locked="0"/>
    </xf>
    <xf numFmtId="49" fontId="4" fillId="4" borderId="43" xfId="3" applyNumberFormat="1" applyFont="1" applyFill="1" applyBorder="1" applyAlignment="1" applyProtection="1">
      <alignment horizontal="right" vertical="center"/>
      <protection locked="0"/>
    </xf>
    <xf numFmtId="49" fontId="4" fillId="4" borderId="45" xfId="3" applyNumberFormat="1" applyFont="1" applyFill="1" applyBorder="1" applyAlignment="1" applyProtection="1">
      <alignment horizontal="right" vertical="center"/>
      <protection locked="0"/>
    </xf>
    <xf numFmtId="49" fontId="10" fillId="0" borderId="44" xfId="3" applyNumberFormat="1" applyFont="1" applyBorder="1" applyAlignment="1" applyProtection="1">
      <alignment horizontal="right" vertical="center"/>
      <protection locked="0"/>
    </xf>
    <xf numFmtId="49" fontId="10" fillId="0" borderId="43" xfId="3" applyNumberFormat="1" applyFont="1" applyBorder="1" applyAlignment="1" applyProtection="1">
      <alignment horizontal="right" vertical="center"/>
      <protection locked="0"/>
    </xf>
    <xf numFmtId="49" fontId="10" fillId="0" borderId="45" xfId="3" applyNumberFormat="1" applyFont="1" applyBorder="1" applyAlignment="1" applyProtection="1">
      <alignment horizontal="right" vertical="center"/>
      <protection locked="0"/>
    </xf>
    <xf numFmtId="49" fontId="4" fillId="3" borderId="53" xfId="3" applyNumberFormat="1" applyFont="1" applyFill="1" applyBorder="1" applyAlignment="1">
      <alignment horizontal="right" vertical="center"/>
    </xf>
    <xf numFmtId="49" fontId="4" fillId="3" borderId="51" xfId="3" applyNumberFormat="1" applyFont="1" applyFill="1" applyBorder="1" applyAlignment="1">
      <alignment horizontal="right" vertical="center"/>
    </xf>
    <xf numFmtId="49" fontId="4" fillId="3" borderId="89" xfId="3" applyNumberFormat="1" applyFont="1" applyFill="1" applyBorder="1" applyAlignment="1">
      <alignment horizontal="right" vertical="center"/>
    </xf>
    <xf numFmtId="0" fontId="4" fillId="0" borderId="85" xfId="7" applyFont="1" applyBorder="1" applyAlignment="1">
      <alignment horizontal="distributed" vertical="center"/>
    </xf>
    <xf numFmtId="0" fontId="4" fillId="0" borderId="126" xfId="7" applyFont="1" applyBorder="1" applyAlignment="1">
      <alignment horizontal="center" vertical="center" textRotation="255"/>
    </xf>
    <xf numFmtId="0" fontId="4" fillId="0" borderId="67" xfId="7" applyFont="1" applyBorder="1" applyAlignment="1">
      <alignment horizontal="center" vertical="center" textRotation="255"/>
    </xf>
    <xf numFmtId="0" fontId="4" fillId="0" borderId="125" xfId="7" applyFont="1" applyBorder="1" applyAlignment="1">
      <alignment horizontal="center" vertical="center" textRotation="255"/>
    </xf>
    <xf numFmtId="0" fontId="4" fillId="0" borderId="59" xfId="7" applyFont="1" applyBorder="1" applyAlignment="1">
      <alignment horizontal="distributed" vertical="center"/>
    </xf>
    <xf numFmtId="0" fontId="4" fillId="0" borderId="20" xfId="7" applyFont="1" applyBorder="1" applyAlignment="1">
      <alignment horizontal="distributed" vertical="center"/>
    </xf>
    <xf numFmtId="49" fontId="4" fillId="0" borderId="44" xfId="3" applyNumberFormat="1" applyFont="1" applyBorder="1" applyAlignment="1" applyProtection="1">
      <alignment horizontal="right" vertical="center"/>
      <protection locked="0"/>
    </xf>
    <xf numFmtId="49" fontId="4" fillId="0" borderId="43" xfId="3" applyNumberFormat="1" applyFont="1" applyBorder="1" applyAlignment="1" applyProtection="1">
      <alignment horizontal="right" vertical="center"/>
      <protection locked="0"/>
    </xf>
    <xf numFmtId="49" fontId="4" fillId="0" borderId="45" xfId="3" applyNumberFormat="1" applyFont="1" applyBorder="1" applyAlignment="1" applyProtection="1">
      <alignment horizontal="right" vertical="center"/>
      <protection locked="0"/>
    </xf>
    <xf numFmtId="0" fontId="18" fillId="0" borderId="58" xfId="7" applyFont="1" applyBorder="1" applyAlignment="1">
      <alignment horizontal="distributed" vertical="center"/>
    </xf>
    <xf numFmtId="0" fontId="18" fillId="0" borderId="43" xfId="7" applyFont="1" applyBorder="1" applyAlignment="1">
      <alignment horizontal="distributed" vertical="center"/>
    </xf>
    <xf numFmtId="0" fontId="18" fillId="0" borderId="50" xfId="7" applyFont="1" applyBorder="1" applyAlignment="1">
      <alignment horizontal="distributed" vertical="center"/>
    </xf>
    <xf numFmtId="0" fontId="10" fillId="0" borderId="193" xfId="7" applyFont="1" applyBorder="1" applyAlignment="1">
      <alignment horizontal="distributed" vertical="center" shrinkToFit="1"/>
    </xf>
    <xf numFmtId="0" fontId="10" fillId="0" borderId="14" xfId="7" applyFont="1" applyBorder="1" applyAlignment="1">
      <alignment horizontal="distributed" vertical="center" shrinkToFit="1"/>
    </xf>
    <xf numFmtId="0" fontId="10" fillId="0" borderId="21" xfId="7" applyFont="1" applyBorder="1" applyAlignment="1">
      <alignment horizontal="distributed" vertical="center" shrinkToFit="1"/>
    </xf>
    <xf numFmtId="49" fontId="4" fillId="0" borderId="141" xfId="3" applyNumberFormat="1" applyFont="1" applyBorder="1" applyAlignment="1" applyProtection="1">
      <alignment horizontal="right" vertical="center"/>
      <protection locked="0"/>
    </xf>
    <xf numFmtId="49" fontId="4" fillId="0" borderId="135" xfId="3" applyNumberFormat="1" applyFont="1" applyBorder="1" applyAlignment="1" applyProtection="1">
      <alignment horizontal="right" vertical="center"/>
      <protection locked="0"/>
    </xf>
    <xf numFmtId="49" fontId="4" fillId="0" borderId="137" xfId="3" applyNumberFormat="1" applyFont="1" applyBorder="1" applyAlignment="1" applyProtection="1">
      <alignment horizontal="right" vertical="center"/>
      <protection locked="0"/>
    </xf>
    <xf numFmtId="49" fontId="10" fillId="0" borderId="53" xfId="3" applyNumberFormat="1" applyFont="1" applyBorder="1" applyAlignment="1" applyProtection="1">
      <alignment horizontal="right" vertical="center"/>
      <protection locked="0"/>
    </xf>
    <xf numFmtId="49" fontId="10" fillId="0" borderId="51" xfId="3" applyNumberFormat="1" applyFont="1" applyBorder="1" applyAlignment="1" applyProtection="1">
      <alignment horizontal="right" vertical="center"/>
      <protection locked="0"/>
    </xf>
    <xf numFmtId="49" fontId="10" fillId="0" borderId="89" xfId="3" applyNumberFormat="1" applyFont="1" applyBorder="1" applyAlignment="1" applyProtection="1">
      <alignment horizontal="right" vertical="center"/>
      <protection locked="0"/>
    </xf>
    <xf numFmtId="0" fontId="4" fillId="0" borderId="28" xfId="7" applyFont="1" applyBorder="1" applyAlignment="1">
      <alignment horizontal="distributed"/>
    </xf>
    <xf numFmtId="0" fontId="4" fillId="0" borderId="18" xfId="7" applyFont="1" applyBorder="1" applyAlignment="1">
      <alignment horizontal="distributed"/>
    </xf>
    <xf numFmtId="0" fontId="4" fillId="0" borderId="19" xfId="7" applyFont="1" applyBorder="1" applyAlignment="1">
      <alignment horizontal="distributed"/>
    </xf>
    <xf numFmtId="49" fontId="4" fillId="3" borderId="158" xfId="3" applyNumberFormat="1" applyFont="1" applyFill="1" applyBorder="1" applyAlignment="1">
      <alignment horizontal="right" vertical="center"/>
    </xf>
    <xf numFmtId="49" fontId="4" fillId="3" borderId="156" xfId="3" applyNumberFormat="1" applyFont="1" applyFill="1" applyBorder="1" applyAlignment="1">
      <alignment horizontal="right" vertical="center"/>
    </xf>
    <xf numFmtId="49" fontId="4" fillId="3" borderId="167" xfId="3" applyNumberFormat="1" applyFont="1" applyFill="1" applyBorder="1" applyAlignment="1">
      <alignment horizontal="right" vertical="center"/>
    </xf>
    <xf numFmtId="0" fontId="18" fillId="0" borderId="58" xfId="7" applyFont="1" applyBorder="1" applyAlignment="1">
      <alignment horizontal="distributed" vertical="center" shrinkToFit="1"/>
    </xf>
    <xf numFmtId="0" fontId="18" fillId="0" borderId="43" xfId="7" applyFont="1" applyBorder="1" applyAlignment="1">
      <alignment horizontal="distributed" vertical="center" shrinkToFit="1"/>
    </xf>
    <xf numFmtId="0" fontId="18" fillId="0" borderId="50" xfId="7" applyFont="1" applyBorder="1" applyAlignment="1">
      <alignment horizontal="distributed" vertical="center" shrinkToFit="1"/>
    </xf>
    <xf numFmtId="0" fontId="9" fillId="0" borderId="54" xfId="7" applyFont="1" applyBorder="1" applyAlignment="1">
      <alignment horizontal="center" vertical="center" wrapText="1"/>
    </xf>
    <xf numFmtId="0" fontId="9" fillId="0" borderId="55" xfId="7" applyFont="1" applyBorder="1" applyAlignment="1">
      <alignment horizontal="center" vertical="center" wrapText="1"/>
    </xf>
    <xf numFmtId="0" fontId="9" fillId="0" borderId="162" xfId="7" applyFont="1" applyBorder="1" applyAlignment="1">
      <alignment horizontal="center" vertical="center" wrapText="1"/>
    </xf>
    <xf numFmtId="0" fontId="9" fillId="0" borderId="120" xfId="7" applyFont="1" applyBorder="1" applyAlignment="1">
      <alignment horizontal="center" vertical="center" wrapText="1"/>
    </xf>
    <xf numFmtId="0" fontId="9" fillId="0" borderId="14" xfId="7" applyFont="1" applyBorder="1" applyAlignment="1">
      <alignment horizontal="center" vertical="center" wrapText="1"/>
    </xf>
    <xf numFmtId="0" fontId="9" fillId="0" borderId="116" xfId="7" applyFont="1" applyBorder="1" applyAlignment="1">
      <alignment horizontal="center" vertical="center" wrapText="1"/>
    </xf>
    <xf numFmtId="49" fontId="4" fillId="0" borderId="71" xfId="3" applyNumberFormat="1" applyFont="1" applyBorder="1" applyAlignment="1" applyProtection="1">
      <alignment horizontal="right" vertical="center"/>
      <protection locked="0"/>
    </xf>
    <xf numFmtId="0" fontId="4" fillId="0" borderId="40" xfId="7" applyFont="1" applyBorder="1" applyAlignment="1">
      <alignment horizontal="center" vertical="center"/>
    </xf>
    <xf numFmtId="0" fontId="4" fillId="0" borderId="6" xfId="7" applyFont="1" applyBorder="1" applyAlignment="1">
      <alignment horizontal="center" vertical="center"/>
    </xf>
    <xf numFmtId="0" fontId="4" fillId="0" borderId="189" xfId="7" applyFont="1" applyBorder="1" applyAlignment="1">
      <alignment horizontal="center" vertical="center"/>
    </xf>
    <xf numFmtId="0" fontId="4" fillId="0" borderId="154" xfId="7" applyFont="1" applyBorder="1" applyAlignment="1">
      <alignment horizontal="distributed" vertical="center"/>
    </xf>
    <xf numFmtId="0" fontId="4" fillId="0" borderId="6" xfId="7" applyFont="1" applyBorder="1" applyAlignment="1">
      <alignment horizontal="distributed" vertical="center"/>
    </xf>
    <xf numFmtId="0" fontId="4" fillId="0" borderId="118" xfId="7" applyFont="1" applyBorder="1" applyAlignment="1">
      <alignment horizontal="distributed" vertical="center"/>
    </xf>
    <xf numFmtId="49" fontId="4" fillId="3" borderId="34" xfId="3" applyNumberFormat="1" applyFont="1" applyFill="1" applyBorder="1" applyAlignment="1">
      <alignment horizontal="right" vertical="center"/>
    </xf>
    <xf numFmtId="49" fontId="4" fillId="3" borderId="6" xfId="3" applyNumberFormat="1" applyFont="1" applyFill="1" applyBorder="1" applyAlignment="1">
      <alignment horizontal="right" vertical="center"/>
    </xf>
    <xf numFmtId="49" fontId="4" fillId="3" borderId="39" xfId="3" applyNumberFormat="1" applyFont="1" applyFill="1" applyBorder="1" applyAlignment="1">
      <alignment horizontal="right" vertical="center"/>
    </xf>
    <xf numFmtId="0" fontId="4" fillId="0" borderId="60" xfId="7" applyFont="1" applyBorder="1" applyAlignment="1">
      <alignment horizontal="distributed" vertical="center"/>
    </xf>
    <xf numFmtId="0" fontId="4" fillId="0" borderId="51" xfId="7" applyFont="1" applyBorder="1" applyAlignment="1">
      <alignment horizontal="distributed" vertical="center"/>
    </xf>
    <xf numFmtId="0" fontId="4" fillId="0" borderId="52" xfId="7" applyFont="1" applyBorder="1" applyAlignment="1">
      <alignment horizontal="distributed" vertical="center"/>
    </xf>
    <xf numFmtId="0" fontId="10" fillId="0" borderId="73" xfId="7" applyFont="1" applyBorder="1" applyAlignment="1">
      <alignment horizontal="distributed" vertical="center"/>
    </xf>
    <xf numFmtId="0" fontId="10" fillId="0" borderId="70" xfId="7" applyFont="1" applyBorder="1" applyAlignment="1">
      <alignment horizontal="distributed" vertical="center"/>
    </xf>
    <xf numFmtId="0" fontId="10" fillId="0" borderId="72" xfId="7" applyFont="1" applyBorder="1" applyAlignment="1">
      <alignment horizontal="distributed" vertical="center"/>
    </xf>
    <xf numFmtId="0" fontId="4" fillId="0" borderId="55" xfId="7" applyFont="1" applyBorder="1" applyAlignment="1">
      <alignment horizontal="distributed" vertical="center"/>
    </xf>
    <xf numFmtId="0" fontId="4" fillId="0" borderId="57" xfId="7" applyFont="1" applyBorder="1" applyAlignment="1">
      <alignment horizontal="distributed" vertical="center"/>
    </xf>
    <xf numFmtId="0" fontId="10" fillId="0" borderId="69" xfId="7" applyFont="1" applyBorder="1" applyAlignment="1">
      <alignment horizontal="distributed" vertical="center"/>
    </xf>
    <xf numFmtId="0" fontId="10" fillId="0" borderId="55" xfId="7" applyFont="1" applyBorder="1" applyAlignment="1">
      <alignment horizontal="distributed" vertical="center"/>
    </xf>
    <xf numFmtId="0" fontId="10" fillId="0" borderId="57" xfId="7" applyFont="1" applyBorder="1" applyAlignment="1">
      <alignment horizontal="distributed" vertical="center"/>
    </xf>
    <xf numFmtId="0" fontId="9" fillId="0" borderId="69" xfId="7" applyFont="1" applyBorder="1" applyAlignment="1">
      <alignment horizontal="distributed" vertical="center" shrinkToFit="1"/>
    </xf>
    <xf numFmtId="0" fontId="9" fillId="0" borderId="70" xfId="7" applyFont="1" applyBorder="1" applyAlignment="1">
      <alignment horizontal="distributed" vertical="center" shrinkToFit="1"/>
    </xf>
    <xf numFmtId="0" fontId="9" fillId="0" borderId="72" xfId="7" applyFont="1" applyBorder="1" applyAlignment="1">
      <alignment horizontal="distributed" vertical="center" shrinkToFit="1"/>
    </xf>
    <xf numFmtId="0" fontId="4" fillId="0" borderId="28" xfId="7" applyFont="1" applyBorder="1" applyAlignment="1">
      <alignment horizontal="center" vertical="center"/>
    </xf>
    <xf numFmtId="0" fontId="4" fillId="0" borderId="18" xfId="7" applyFont="1" applyBorder="1" applyAlignment="1">
      <alignment horizontal="center" vertical="center"/>
    </xf>
    <xf numFmtId="0" fontId="4" fillId="0" borderId="81" xfId="7" applyFont="1" applyBorder="1" applyAlignment="1">
      <alignment horizontal="center" vertical="center"/>
    </xf>
    <xf numFmtId="0" fontId="4" fillId="0" borderId="25" xfId="7" applyFont="1" applyBorder="1" applyAlignment="1">
      <alignment horizontal="center" vertical="center"/>
    </xf>
    <xf numFmtId="0" fontId="4" fillId="0" borderId="24" xfId="7" applyFont="1" applyBorder="1" applyAlignment="1">
      <alignment horizontal="center" vertical="center"/>
    </xf>
    <xf numFmtId="0" fontId="4" fillId="0" borderId="82" xfId="7" applyFont="1" applyBorder="1" applyAlignment="1">
      <alignment horizontal="center" vertical="center"/>
    </xf>
    <xf numFmtId="0" fontId="4" fillId="0" borderId="119" xfId="7" applyFont="1" applyBorder="1" applyAlignment="1">
      <alignment horizontal="distributed" vertical="center"/>
    </xf>
    <xf numFmtId="0" fontId="4" fillId="0" borderId="27" xfId="7" applyFont="1" applyBorder="1" applyAlignment="1">
      <alignment horizontal="distributed" vertical="center" justifyLastLine="1"/>
    </xf>
    <xf numFmtId="0" fontId="4" fillId="0" borderId="11" xfId="7" applyFont="1" applyBorder="1" applyAlignment="1">
      <alignment horizontal="distributed" vertical="center" justifyLastLine="1"/>
    </xf>
    <xf numFmtId="0" fontId="4" fillId="0" borderId="29" xfId="7" applyFont="1" applyBorder="1" applyAlignment="1">
      <alignment horizontal="distributed" vertical="center" justifyLastLine="1"/>
    </xf>
    <xf numFmtId="49" fontId="4" fillId="3" borderId="5" xfId="3" applyNumberFormat="1" applyFont="1" applyFill="1" applyBorder="1" applyAlignment="1">
      <alignment horizontal="right" vertical="center"/>
    </xf>
    <xf numFmtId="49" fontId="4" fillId="3" borderId="18" xfId="3" applyNumberFormat="1" applyFont="1" applyFill="1" applyBorder="1" applyAlignment="1">
      <alignment horizontal="right" vertical="center"/>
    </xf>
    <xf numFmtId="0" fontId="10" fillId="0" borderId="19" xfId="7" applyFont="1" applyBorder="1" applyAlignment="1">
      <alignment horizontal="distributed" vertical="center"/>
    </xf>
    <xf numFmtId="0" fontId="4" fillId="0" borderId="64" xfId="7" applyFont="1" applyBorder="1" applyAlignment="1">
      <alignment horizontal="distributed" vertical="center"/>
    </xf>
    <xf numFmtId="0" fontId="4" fillId="0" borderId="47" xfId="7" applyFont="1" applyBorder="1" applyAlignment="1">
      <alignment horizontal="distributed" vertical="center"/>
    </xf>
    <xf numFmtId="0" fontId="4" fillId="0" borderId="65" xfId="7" applyFont="1" applyBorder="1" applyAlignment="1">
      <alignment horizontal="distributed" vertical="center"/>
    </xf>
    <xf numFmtId="49" fontId="4" fillId="3" borderId="48" xfId="3" applyNumberFormat="1" applyFont="1" applyFill="1" applyBorder="1" applyAlignment="1">
      <alignment horizontal="right" vertical="center"/>
    </xf>
    <xf numFmtId="49" fontId="4" fillId="3" borderId="47" xfId="3" applyNumberFormat="1" applyFont="1" applyFill="1" applyBorder="1" applyAlignment="1">
      <alignment horizontal="right" vertical="center"/>
    </xf>
    <xf numFmtId="49" fontId="4" fillId="3" borderId="49" xfId="3" applyNumberFormat="1" applyFont="1" applyFill="1" applyBorder="1" applyAlignment="1">
      <alignment horizontal="right" vertical="center"/>
    </xf>
    <xf numFmtId="49" fontId="4" fillId="4" borderId="56" xfId="3" applyNumberFormat="1" applyFont="1" applyFill="1" applyBorder="1" applyAlignment="1" applyProtection="1">
      <alignment horizontal="right" vertical="center"/>
      <protection locked="0"/>
    </xf>
    <xf numFmtId="49" fontId="4" fillId="4" borderId="55" xfId="3" applyNumberFormat="1" applyFont="1" applyFill="1" applyBorder="1" applyAlignment="1" applyProtection="1">
      <alignment horizontal="right" vertical="center"/>
      <protection locked="0"/>
    </xf>
    <xf numFmtId="0" fontId="2" fillId="0" borderId="28" xfId="7" applyFont="1" applyBorder="1" applyAlignment="1">
      <alignment horizontal="center" vertical="center" textRotation="255" shrinkToFit="1"/>
    </xf>
    <xf numFmtId="0" fontId="2" fillId="0" borderId="13" xfId="7" applyFont="1" applyBorder="1" applyAlignment="1">
      <alignment horizontal="center" vertical="center" textRotation="255" shrinkToFit="1"/>
    </xf>
    <xf numFmtId="0" fontId="4" fillId="0" borderId="90" xfId="7" applyFont="1" applyBorder="1" applyAlignment="1">
      <alignment horizontal="distributed" vertical="center"/>
    </xf>
    <xf numFmtId="0" fontId="4" fillId="0" borderId="53" xfId="7" applyFont="1" applyBorder="1" applyAlignment="1">
      <alignment horizontal="distributed" vertical="center"/>
    </xf>
    <xf numFmtId="0" fontId="10" fillId="0" borderId="193" xfId="7" applyFont="1" applyBorder="1" applyAlignment="1">
      <alignment horizontal="distributed" vertical="center"/>
    </xf>
    <xf numFmtId="0" fontId="10" fillId="0" borderId="14" xfId="7" applyFont="1" applyBorder="1" applyAlignment="1">
      <alignment horizontal="distributed" vertical="center"/>
    </xf>
    <xf numFmtId="0" fontId="10" fillId="0" borderId="203" xfId="7" applyFont="1" applyBorder="1" applyAlignment="1">
      <alignment horizontal="distributed" vertical="center"/>
    </xf>
    <xf numFmtId="49" fontId="10" fillId="0" borderId="168" xfId="3" applyNumberFormat="1" applyFont="1" applyBorder="1" applyAlignment="1" applyProtection="1">
      <alignment horizontal="right" vertical="center"/>
      <protection locked="0"/>
    </xf>
    <xf numFmtId="49" fontId="10" fillId="0" borderId="135" xfId="3" applyNumberFormat="1" applyFont="1" applyBorder="1" applyAlignment="1" applyProtection="1">
      <alignment horizontal="right" vertical="center"/>
      <protection locked="0"/>
    </xf>
    <xf numFmtId="49" fontId="10" fillId="0" borderId="137" xfId="3" applyNumberFormat="1" applyFont="1" applyBorder="1" applyAlignment="1" applyProtection="1">
      <alignment horizontal="right" vertical="center"/>
      <protection locked="0"/>
    </xf>
    <xf numFmtId="0" fontId="4" fillId="0" borderId="84" xfId="7" applyFont="1" applyBorder="1" applyAlignment="1">
      <alignment horizontal="distributed" vertical="center"/>
    </xf>
    <xf numFmtId="0" fontId="4" fillId="0" borderId="9" xfId="7" applyFont="1" applyBorder="1" applyAlignment="1">
      <alignment horizontal="center" vertical="center" textRotation="255"/>
    </xf>
    <xf numFmtId="0" fontId="4" fillId="0" borderId="25" xfId="7" applyFont="1" applyBorder="1" applyAlignment="1">
      <alignment horizontal="center" vertical="center" textRotation="255"/>
    </xf>
    <xf numFmtId="0" fontId="10" fillId="0" borderId="6" xfId="7" applyFont="1" applyBorder="1" applyAlignment="1">
      <alignment horizontal="distributed" vertical="center"/>
    </xf>
    <xf numFmtId="0" fontId="10" fillId="0" borderId="207" xfId="7" applyFont="1" applyBorder="1" applyAlignment="1">
      <alignment horizontal="distributed" vertical="center"/>
    </xf>
    <xf numFmtId="0" fontId="10" fillId="0" borderId="192" xfId="7" applyFont="1" applyBorder="1" applyAlignment="1">
      <alignment horizontal="distributed" vertical="center"/>
    </xf>
    <xf numFmtId="0" fontId="10" fillId="0" borderId="212" xfId="7" applyFont="1" applyBorder="1" applyAlignment="1">
      <alignment horizontal="distributed" vertical="center"/>
    </xf>
    <xf numFmtId="49" fontId="10" fillId="0" borderId="213" xfId="3" applyNumberFormat="1" applyFont="1" applyBorder="1" applyAlignment="1" applyProtection="1">
      <alignment horizontal="right" vertical="center"/>
      <protection locked="0"/>
    </xf>
    <xf numFmtId="49" fontId="10" fillId="0" borderId="192" xfId="3" applyNumberFormat="1" applyFont="1" applyBorder="1" applyAlignment="1" applyProtection="1">
      <alignment horizontal="right" vertical="center"/>
      <protection locked="0"/>
    </xf>
    <xf numFmtId="49" fontId="10" fillId="0" borderId="208" xfId="3" applyNumberFormat="1" applyFont="1" applyBorder="1" applyAlignment="1" applyProtection="1">
      <alignment horizontal="right" vertical="center"/>
      <protection locked="0"/>
    </xf>
    <xf numFmtId="0" fontId="10" fillId="0" borderId="215" xfId="7" applyFont="1" applyBorder="1" applyAlignment="1">
      <alignment horizontal="distributed" vertical="center"/>
    </xf>
    <xf numFmtId="0" fontId="10" fillId="0" borderId="183" xfId="7" applyFont="1" applyBorder="1" applyAlignment="1">
      <alignment horizontal="distributed" vertical="center"/>
    </xf>
    <xf numFmtId="0" fontId="10" fillId="0" borderId="191" xfId="7" applyFont="1" applyBorder="1" applyAlignment="1">
      <alignment horizontal="distributed" vertical="center"/>
    </xf>
    <xf numFmtId="49" fontId="10" fillId="0" borderId="182" xfId="3" applyNumberFormat="1" applyFont="1" applyBorder="1" applyAlignment="1" applyProtection="1">
      <alignment horizontal="right" vertical="center"/>
      <protection locked="0"/>
    </xf>
    <xf numFmtId="49" fontId="10" fillId="0" borderId="183" xfId="3" applyNumberFormat="1" applyFont="1" applyBorder="1" applyAlignment="1" applyProtection="1">
      <alignment horizontal="right" vertical="center"/>
      <protection locked="0"/>
    </xf>
    <xf numFmtId="49" fontId="10" fillId="0" borderId="184" xfId="3" applyNumberFormat="1" applyFont="1" applyBorder="1" applyAlignment="1" applyProtection="1">
      <alignment horizontal="right" vertical="center"/>
      <protection locked="0"/>
    </xf>
    <xf numFmtId="0" fontId="4" fillId="0" borderId="16" xfId="7" applyFont="1" applyBorder="1" applyAlignment="1">
      <alignment horizontal="distributed" vertical="center"/>
    </xf>
    <xf numFmtId="0" fontId="4" fillId="0" borderId="7" xfId="7" applyFont="1" applyBorder="1" applyAlignment="1">
      <alignment horizontal="distributed" vertical="center"/>
    </xf>
    <xf numFmtId="0" fontId="4" fillId="0" borderId="15" xfId="7" applyFont="1" applyBorder="1" applyAlignment="1">
      <alignment horizontal="distributed" vertical="center"/>
    </xf>
    <xf numFmtId="49" fontId="4" fillId="0" borderId="182" xfId="3" applyNumberFormat="1" applyFont="1" applyBorder="1" applyAlignment="1" applyProtection="1">
      <alignment horizontal="right" vertical="center"/>
      <protection locked="0"/>
    </xf>
    <xf numFmtId="49" fontId="4" fillId="0" borderId="183" xfId="3" applyNumberFormat="1" applyFont="1" applyBorder="1" applyAlignment="1" applyProtection="1">
      <alignment horizontal="right" vertical="center"/>
      <protection locked="0"/>
    </xf>
    <xf numFmtId="49" fontId="4" fillId="0" borderId="184" xfId="3" applyNumberFormat="1" applyFont="1" applyBorder="1" applyAlignment="1" applyProtection="1">
      <alignment horizontal="right" vertical="center"/>
      <protection locked="0"/>
    </xf>
    <xf numFmtId="0" fontId="9" fillId="0" borderId="59" xfId="7" applyFont="1" applyBorder="1" applyAlignment="1">
      <alignment horizontal="center" vertical="center"/>
    </xf>
    <xf numFmtId="0" fontId="9" fillId="0" borderId="0" xfId="7" applyFont="1" applyAlignment="1">
      <alignment horizontal="center" vertical="center"/>
    </xf>
    <xf numFmtId="0" fontId="9" fillId="0" borderId="20" xfId="7" applyFont="1" applyBorder="1" applyAlignment="1">
      <alignment horizontal="center" vertical="center"/>
    </xf>
    <xf numFmtId="49" fontId="4" fillId="0" borderId="53" xfId="3" applyNumberFormat="1" applyFont="1" applyBorder="1" applyAlignment="1" applyProtection="1">
      <alignment horizontal="right" vertical="center"/>
      <protection locked="0"/>
    </xf>
    <xf numFmtId="49" fontId="4" fillId="0" borderId="51" xfId="3" applyNumberFormat="1" applyFont="1" applyBorder="1" applyAlignment="1" applyProtection="1">
      <alignment horizontal="right" vertical="center"/>
      <protection locked="0"/>
    </xf>
    <xf numFmtId="49" fontId="4" fillId="0" borderId="89" xfId="3" applyNumberFormat="1" applyFont="1" applyBorder="1" applyAlignment="1" applyProtection="1">
      <alignment horizontal="right" vertical="center"/>
      <protection locked="0"/>
    </xf>
    <xf numFmtId="0" fontId="10" fillId="0" borderId="13" xfId="7" applyFont="1" applyBorder="1" applyAlignment="1">
      <alignment horizontal="distributed" vertical="center" justifyLastLine="1" shrinkToFit="1"/>
    </xf>
    <xf numFmtId="0" fontId="10" fillId="0" borderId="14" xfId="7" applyFont="1" applyBorder="1" applyAlignment="1">
      <alignment horizontal="distributed" vertical="center" justifyLastLine="1" shrinkToFit="1"/>
    </xf>
    <xf numFmtId="0" fontId="10" fillId="0" borderId="35" xfId="7" applyFont="1" applyBorder="1" applyAlignment="1">
      <alignment horizontal="distributed" vertical="center" justifyLastLine="1" shrinkToFit="1"/>
    </xf>
    <xf numFmtId="0" fontId="4" fillId="0" borderId="204" xfId="7" applyFont="1" applyBorder="1" applyAlignment="1">
      <alignment horizontal="distributed" vertical="center" textRotation="255"/>
    </xf>
    <xf numFmtId="0" fontId="4" fillId="0" borderId="117" xfId="7" applyFont="1" applyBorder="1" applyAlignment="1">
      <alignment horizontal="distributed" vertical="center" textRotation="255"/>
    </xf>
    <xf numFmtId="0" fontId="4" fillId="0" borderId="205" xfId="7" applyFont="1" applyBorder="1" applyAlignment="1">
      <alignment horizontal="distributed" vertical="center" textRotation="255"/>
    </xf>
    <xf numFmtId="0" fontId="4" fillId="0" borderId="98" xfId="7" applyFont="1" applyBorder="1" applyAlignment="1">
      <alignment horizontal="distributed" vertical="center" textRotation="255"/>
    </xf>
    <xf numFmtId="0" fontId="4" fillId="0" borderId="117" xfId="7" applyFont="1" applyBorder="1" applyAlignment="1">
      <alignment horizontal="distributed" vertical="center"/>
    </xf>
    <xf numFmtId="0" fontId="4" fillId="0" borderId="95" xfId="7" applyFont="1" applyBorder="1" applyAlignment="1">
      <alignment horizontal="distributed" vertical="center"/>
    </xf>
    <xf numFmtId="49" fontId="10" fillId="0" borderId="90" xfId="3" applyNumberFormat="1" applyFont="1" applyBorder="1" applyAlignment="1" applyProtection="1">
      <alignment horizontal="right" vertical="center"/>
      <protection locked="0"/>
    </xf>
    <xf numFmtId="49" fontId="10" fillId="0" borderId="91" xfId="3" applyNumberFormat="1" applyFont="1" applyBorder="1" applyAlignment="1" applyProtection="1">
      <alignment horizontal="right" vertical="center"/>
      <protection locked="0"/>
    </xf>
    <xf numFmtId="49" fontId="10" fillId="0" borderId="97" xfId="3" applyNumberFormat="1" applyFont="1" applyBorder="1" applyAlignment="1" applyProtection="1">
      <alignment horizontal="right" vertical="center"/>
      <protection locked="0"/>
    </xf>
    <xf numFmtId="0" fontId="4" fillId="0" borderId="44" xfId="7" applyFont="1" applyBorder="1" applyAlignment="1">
      <alignment horizontal="distributed" vertical="center"/>
    </xf>
    <xf numFmtId="0" fontId="10" fillId="0" borderId="28" xfId="7" applyFont="1" applyBorder="1" applyAlignment="1">
      <alignment horizontal="center" vertical="center" wrapText="1" shrinkToFit="1"/>
    </xf>
    <xf numFmtId="0" fontId="10" fillId="0" borderId="19" xfId="7" applyFont="1" applyBorder="1" applyAlignment="1">
      <alignment horizontal="center" vertical="center" wrapText="1" shrinkToFit="1"/>
    </xf>
    <xf numFmtId="0" fontId="10" fillId="0" borderId="9" xfId="7" applyFont="1" applyBorder="1" applyAlignment="1">
      <alignment horizontal="center" vertical="center" wrapText="1" shrinkToFit="1"/>
    </xf>
    <xf numFmtId="0" fontId="10" fillId="0" borderId="20" xfId="7" applyFont="1" applyBorder="1" applyAlignment="1">
      <alignment horizontal="center" vertical="center" wrapText="1" shrinkToFit="1"/>
    </xf>
    <xf numFmtId="0" fontId="10" fillId="0" borderId="13" xfId="7" applyFont="1" applyBorder="1" applyAlignment="1">
      <alignment horizontal="center" vertical="center" wrapText="1" shrinkToFit="1"/>
    </xf>
    <xf numFmtId="0" fontId="10" fillId="0" borderId="21" xfId="7" applyFont="1" applyBorder="1" applyAlignment="1">
      <alignment horizontal="center" vertical="center" wrapText="1" shrinkToFit="1"/>
    </xf>
    <xf numFmtId="0" fontId="10" fillId="0" borderId="158" xfId="7" applyFont="1" applyBorder="1" applyAlignment="1">
      <alignment horizontal="distributed" vertical="center" shrinkToFit="1"/>
    </xf>
    <xf numFmtId="0" fontId="10" fillId="0" borderId="139" xfId="7" applyFont="1" applyBorder="1" applyAlignment="1">
      <alignment horizontal="distributed" vertical="center" shrinkToFit="1"/>
    </xf>
    <xf numFmtId="49" fontId="4" fillId="0" borderId="138" xfId="3" applyNumberFormat="1" applyFont="1" applyBorder="1" applyAlignment="1" applyProtection="1">
      <alignment horizontal="right" vertical="center"/>
      <protection locked="0"/>
    </xf>
    <xf numFmtId="49" fontId="4" fillId="0" borderId="156" xfId="3" applyNumberFormat="1" applyFont="1" applyBorder="1" applyAlignment="1" applyProtection="1">
      <alignment horizontal="right" vertical="center"/>
      <protection locked="0"/>
    </xf>
    <xf numFmtId="49" fontId="4" fillId="0" borderId="167" xfId="3" applyNumberFormat="1" applyFont="1" applyBorder="1" applyAlignment="1" applyProtection="1">
      <alignment horizontal="right" vertical="center"/>
      <protection locked="0"/>
    </xf>
    <xf numFmtId="0" fontId="4" fillId="0" borderId="98" xfId="7" applyFont="1" applyBorder="1" applyAlignment="1">
      <alignment horizontal="distributed" vertical="center"/>
    </xf>
    <xf numFmtId="0" fontId="4" fillId="0" borderId="86" xfId="7" applyFont="1" applyBorder="1" applyAlignment="1">
      <alignment horizontal="distributed" vertical="center"/>
    </xf>
    <xf numFmtId="0" fontId="4" fillId="0" borderId="56" xfId="7" applyFont="1" applyBorder="1" applyAlignment="1">
      <alignment horizontal="distributed" vertical="center" wrapText="1"/>
    </xf>
    <xf numFmtId="0" fontId="4" fillId="0" borderId="55" xfId="7" applyFont="1" applyBorder="1" applyAlignment="1">
      <alignment horizontal="distributed" vertical="center" wrapText="1"/>
    </xf>
    <xf numFmtId="0" fontId="4" fillId="0" borderId="2" xfId="7" applyFont="1" applyBorder="1" applyAlignment="1">
      <alignment horizontal="distributed" vertical="center" wrapText="1"/>
    </xf>
    <xf numFmtId="0" fontId="4" fillId="0" borderId="0" xfId="7" applyFont="1" applyAlignment="1">
      <alignment horizontal="distributed" vertical="center" wrapText="1"/>
    </xf>
    <xf numFmtId="0" fontId="4" fillId="0" borderId="87" xfId="7" applyFont="1" applyBorder="1" applyAlignment="1">
      <alignment horizontal="distributed" vertical="center" wrapText="1"/>
    </xf>
    <xf numFmtId="0" fontId="4" fillId="0" borderId="62" xfId="7" applyFont="1" applyBorder="1" applyAlignment="1">
      <alignment horizontal="distributed" vertical="center" wrapText="1"/>
    </xf>
    <xf numFmtId="0" fontId="18" fillId="0" borderId="61" xfId="7" applyFont="1" applyBorder="1" applyAlignment="1">
      <alignment horizontal="distributed" vertical="center"/>
    </xf>
    <xf numFmtId="0" fontId="18" fillId="0" borderId="88" xfId="7" applyFont="1" applyBorder="1" applyAlignment="1">
      <alignment horizontal="distributed" vertical="center"/>
    </xf>
    <xf numFmtId="0" fontId="17" fillId="0" borderId="178" xfId="7" applyFont="1" applyBorder="1" applyAlignment="1">
      <alignment horizontal="distributed" vertical="center" shrinkToFit="1"/>
    </xf>
    <xf numFmtId="0" fontId="17" fillId="0" borderId="76" xfId="7" applyFont="1" applyBorder="1" applyAlignment="1">
      <alignment horizontal="distributed" vertical="center" shrinkToFit="1"/>
    </xf>
    <xf numFmtId="0" fontId="17" fillId="0" borderId="140" xfId="7" applyFont="1" applyBorder="1" applyAlignment="1">
      <alignment horizontal="distributed" vertical="center" shrinkToFit="1"/>
    </xf>
    <xf numFmtId="0" fontId="17" fillId="0" borderId="72" xfId="7" applyFont="1" applyBorder="1" applyAlignment="1">
      <alignment horizontal="distributed" vertical="center" shrinkToFit="1"/>
    </xf>
    <xf numFmtId="49" fontId="4" fillId="0" borderId="77" xfId="3" applyNumberFormat="1" applyFont="1" applyBorder="1" applyAlignment="1" applyProtection="1">
      <alignment horizontal="right" vertical="center"/>
      <protection locked="0"/>
    </xf>
    <xf numFmtId="49" fontId="4" fillId="0" borderId="75" xfId="3" applyNumberFormat="1" applyFont="1" applyBorder="1" applyAlignment="1" applyProtection="1">
      <alignment horizontal="right" vertical="center"/>
      <protection locked="0"/>
    </xf>
    <xf numFmtId="49" fontId="4" fillId="0" borderId="166" xfId="3" applyNumberFormat="1" applyFont="1" applyBorder="1" applyAlignment="1" applyProtection="1">
      <alignment horizontal="right" vertical="center"/>
      <protection locked="0"/>
    </xf>
    <xf numFmtId="0" fontId="27" fillId="0" borderId="58" xfId="7" applyFont="1" applyBorder="1" applyAlignment="1">
      <alignment horizontal="center" vertical="center"/>
    </xf>
    <xf numFmtId="0" fontId="27" fillId="0" borderId="50" xfId="7" applyFont="1" applyBorder="1" applyAlignment="1">
      <alignment horizontal="center" vertical="center"/>
    </xf>
    <xf numFmtId="0" fontId="10" fillId="0" borderId="7" xfId="7" applyFont="1" applyBorder="1" applyAlignment="1">
      <alignment horizontal="distributed" vertical="center"/>
    </xf>
    <xf numFmtId="0" fontId="10" fillId="0" borderId="15" xfId="7" applyFont="1" applyBorder="1" applyAlignment="1">
      <alignment horizontal="distributed" vertical="center"/>
    </xf>
    <xf numFmtId="49" fontId="10" fillId="3" borderId="182" xfId="3" applyNumberFormat="1" applyFont="1" applyFill="1" applyBorder="1" applyAlignment="1">
      <alignment horizontal="right" vertical="center"/>
    </xf>
    <xf numFmtId="49" fontId="10" fillId="3" borderId="183" xfId="3" applyNumberFormat="1" applyFont="1" applyFill="1" applyBorder="1" applyAlignment="1">
      <alignment horizontal="right" vertical="center"/>
    </xf>
    <xf numFmtId="49" fontId="10" fillId="3" borderId="184" xfId="3" applyNumberFormat="1" applyFont="1" applyFill="1" applyBorder="1" applyAlignment="1">
      <alignment horizontal="right" vertical="center"/>
    </xf>
    <xf numFmtId="0" fontId="10" fillId="0" borderId="179" xfId="7" applyFont="1" applyBorder="1" applyAlignment="1">
      <alignment horizontal="distributed" vertical="center" shrinkToFit="1"/>
    </xf>
    <xf numFmtId="0" fontId="10" fillId="0" borderId="78" xfId="7" applyFont="1" applyBorder="1" applyAlignment="1">
      <alignment horizontal="distributed" vertical="center" shrinkToFit="1"/>
    </xf>
    <xf numFmtId="49" fontId="4" fillId="0" borderId="79" xfId="3" applyNumberFormat="1" applyFont="1" applyBorder="1" applyAlignment="1" applyProtection="1">
      <alignment horizontal="right" vertical="center"/>
      <protection locked="0"/>
    </xf>
    <xf numFmtId="49" fontId="4" fillId="0" borderId="180" xfId="3" applyNumberFormat="1" applyFont="1" applyBorder="1" applyAlignment="1" applyProtection="1">
      <alignment horizontal="right" vertical="center"/>
      <protection locked="0"/>
    </xf>
    <xf numFmtId="49" fontId="4" fillId="0" borderId="220" xfId="3" applyNumberFormat="1" applyFont="1" applyBorder="1" applyAlignment="1" applyProtection="1">
      <alignment horizontal="right" vertical="center"/>
      <protection locked="0"/>
    </xf>
    <xf numFmtId="0" fontId="4" fillId="0" borderId="61" xfId="7" applyFont="1" applyBorder="1" applyAlignment="1">
      <alignment horizontal="distributed" vertical="center"/>
    </xf>
    <xf numFmtId="0" fontId="4" fillId="0" borderId="88" xfId="7" applyFont="1" applyBorder="1" applyAlignment="1">
      <alignment horizontal="distributed" vertical="center"/>
    </xf>
    <xf numFmtId="0" fontId="10" fillId="0" borderId="178" xfId="7" applyFont="1" applyBorder="1" applyAlignment="1">
      <alignment horizontal="distributed" vertical="center" shrinkToFit="1"/>
    </xf>
    <xf numFmtId="0" fontId="10" fillId="0" borderId="76" xfId="7" applyFont="1" applyBorder="1" applyAlignment="1">
      <alignment horizontal="distributed" vertical="center" shrinkToFit="1"/>
    </xf>
    <xf numFmtId="0" fontId="10" fillId="0" borderId="64" xfId="7" applyFont="1" applyBorder="1" applyAlignment="1">
      <alignment horizontal="distributed" vertical="center"/>
    </xf>
    <xf numFmtId="0" fontId="10" fillId="0" borderId="47" xfId="7" applyFont="1" applyBorder="1" applyAlignment="1">
      <alignment horizontal="distributed" vertical="center"/>
    </xf>
    <xf numFmtId="0" fontId="10" fillId="0" borderId="65" xfId="7" applyFont="1" applyBorder="1" applyAlignment="1">
      <alignment horizontal="distributed" vertical="center"/>
    </xf>
    <xf numFmtId="0" fontId="10" fillId="0" borderId="127" xfId="7" applyFont="1" applyBorder="1" applyAlignment="1">
      <alignment horizontal="distributed" vertical="center" shrinkToFit="1"/>
    </xf>
    <xf numFmtId="0" fontId="10" fillId="0" borderId="123" xfId="7" applyFont="1" applyBorder="1" applyAlignment="1">
      <alignment horizontal="distributed" vertical="center" shrinkToFit="1"/>
    </xf>
    <xf numFmtId="0" fontId="17" fillId="0" borderId="28" xfId="7" applyFont="1" applyBorder="1" applyAlignment="1">
      <alignment horizontal="center" vertical="center" wrapText="1" shrinkToFit="1"/>
    </xf>
    <xf numFmtId="0" fontId="17" fillId="0" borderId="19" xfId="7" applyFont="1" applyBorder="1" applyAlignment="1">
      <alignment horizontal="center" vertical="center" wrapText="1" shrinkToFit="1"/>
    </xf>
    <xf numFmtId="0" fontId="17" fillId="0" borderId="25" xfId="7" applyFont="1" applyBorder="1" applyAlignment="1">
      <alignment horizontal="center" vertical="center" wrapText="1" shrinkToFit="1"/>
    </xf>
    <xf numFmtId="0" fontId="17" fillId="0" borderId="30" xfId="7" applyFont="1" applyBorder="1" applyAlignment="1">
      <alignment horizontal="center" vertical="center" wrapText="1" shrinkToFit="1"/>
    </xf>
    <xf numFmtId="49" fontId="4" fillId="0" borderId="181" xfId="3" applyNumberFormat="1" applyFont="1" applyBorder="1" applyAlignment="1" applyProtection="1">
      <alignment horizontal="right" vertical="center"/>
      <protection locked="0"/>
    </xf>
    <xf numFmtId="49" fontId="4" fillId="0" borderId="122" xfId="3" applyNumberFormat="1" applyFont="1" applyBorder="1" applyAlignment="1" applyProtection="1">
      <alignment horizontal="right" vertical="center"/>
      <protection locked="0"/>
    </xf>
    <xf numFmtId="49" fontId="4" fillId="0" borderId="124" xfId="3" applyNumberFormat="1" applyFont="1" applyBorder="1" applyAlignment="1" applyProtection="1">
      <alignment horizontal="right" vertical="center"/>
      <protection locked="0"/>
    </xf>
    <xf numFmtId="0" fontId="4" fillId="0" borderId="103" xfId="7" applyFont="1" applyBorder="1" applyAlignment="1">
      <alignment horizontal="distributed" vertical="center" textRotation="255"/>
    </xf>
    <xf numFmtId="0" fontId="4" fillId="0" borderId="100" xfId="7" applyFont="1" applyBorder="1" applyAlignment="1">
      <alignment horizontal="distributed" vertical="center" textRotation="255"/>
    </xf>
    <xf numFmtId="0" fontId="4" fillId="0" borderId="100" xfId="7" applyFont="1" applyBorder="1" applyAlignment="1">
      <alignment horizontal="distributed" vertical="center"/>
    </xf>
    <xf numFmtId="49" fontId="4" fillId="0" borderId="90" xfId="3" applyNumberFormat="1" applyFont="1" applyBorder="1" applyAlignment="1" applyProtection="1">
      <alignment horizontal="right" vertical="center"/>
      <protection locked="0"/>
    </xf>
    <xf numFmtId="49" fontId="4" fillId="0" borderId="91" xfId="3" applyNumberFormat="1" applyFont="1" applyBorder="1" applyAlignment="1" applyProtection="1">
      <alignment horizontal="right" vertical="center"/>
      <protection locked="0"/>
    </xf>
    <xf numFmtId="49" fontId="4" fillId="0" borderId="97" xfId="3" applyNumberFormat="1" applyFont="1" applyBorder="1" applyAlignment="1" applyProtection="1">
      <alignment horizontal="right" vertical="center"/>
      <protection locked="0"/>
    </xf>
    <xf numFmtId="0" fontId="4" fillId="0" borderId="46" xfId="7" applyFont="1" applyBorder="1" applyAlignment="1">
      <alignment horizontal="distributed" vertical="center" shrinkToFit="1"/>
    </xf>
    <xf numFmtId="0" fontId="4" fillId="0" borderId="47" xfId="7" applyFont="1" applyBorder="1" applyAlignment="1">
      <alignment horizontal="distributed" vertical="center" shrinkToFit="1"/>
    </xf>
    <xf numFmtId="0" fontId="4" fillId="0" borderId="65" xfId="7" applyFont="1" applyBorder="1" applyAlignment="1">
      <alignment horizontal="distributed" vertical="center" shrinkToFit="1"/>
    </xf>
    <xf numFmtId="49" fontId="10" fillId="0" borderId="48" xfId="3" applyNumberFormat="1" applyFont="1" applyBorder="1" applyAlignment="1" applyProtection="1">
      <alignment horizontal="right" vertical="center"/>
      <protection locked="0"/>
    </xf>
    <xf numFmtId="49" fontId="10" fillId="0" borderId="47" xfId="3" applyNumberFormat="1" applyFont="1" applyBorder="1" applyAlignment="1" applyProtection="1">
      <alignment horizontal="right" vertical="center"/>
      <protection locked="0"/>
    </xf>
    <xf numFmtId="49" fontId="10" fillId="0" borderId="49" xfId="3" applyNumberFormat="1" applyFont="1" applyBorder="1" applyAlignment="1" applyProtection="1">
      <alignment horizontal="right" vertical="center"/>
      <protection locked="0"/>
    </xf>
    <xf numFmtId="0" fontId="18" fillId="0" borderId="54" xfId="7" applyFont="1" applyBorder="1" applyAlignment="1">
      <alignment horizontal="distributed" vertical="center"/>
    </xf>
    <xf numFmtId="0" fontId="8" fillId="0" borderId="27" xfId="7" applyFont="1" applyBorder="1" applyAlignment="1">
      <alignment horizontal="left" vertical="center"/>
    </xf>
    <xf numFmtId="0" fontId="8" fillId="0" borderId="11" xfId="7" applyFont="1" applyBorder="1" applyAlignment="1">
      <alignment horizontal="left" vertical="center"/>
    </xf>
    <xf numFmtId="0" fontId="8" fillId="0" borderId="29" xfId="7" applyFont="1" applyBorder="1" applyAlignment="1">
      <alignment horizontal="left" vertical="center"/>
    </xf>
    <xf numFmtId="0" fontId="4" fillId="0" borderId="2" xfId="7" applyFont="1" applyBorder="1" applyAlignment="1">
      <alignment horizontal="distributed" vertical="center"/>
    </xf>
    <xf numFmtId="0" fontId="4" fillId="0" borderId="31" xfId="7" applyFont="1" applyBorder="1" applyAlignment="1">
      <alignment horizontal="distributed" vertical="center"/>
    </xf>
    <xf numFmtId="0" fontId="4" fillId="0" borderId="24" xfId="7" applyFont="1" applyBorder="1" applyAlignment="1">
      <alignment horizontal="distributed" vertical="center"/>
    </xf>
    <xf numFmtId="0" fontId="10" fillId="0" borderId="13" xfId="7" applyFont="1" applyBorder="1" applyAlignment="1">
      <alignment horizontal="center" vertical="center"/>
    </xf>
    <xf numFmtId="0" fontId="10" fillId="0" borderId="14" xfId="7" applyFont="1" applyBorder="1" applyAlignment="1">
      <alignment horizontal="center" vertical="center"/>
    </xf>
    <xf numFmtId="0" fontId="10" fillId="0" borderId="21" xfId="7" applyFont="1" applyBorder="1" applyAlignment="1">
      <alignment horizontal="center" vertical="center"/>
    </xf>
    <xf numFmtId="0" fontId="10" fillId="0" borderId="17" xfId="7" applyFont="1" applyBorder="1" applyAlignment="1">
      <alignment horizontal="center" vertical="center"/>
    </xf>
    <xf numFmtId="0" fontId="10" fillId="0" borderId="35" xfId="7" applyFont="1" applyBorder="1" applyAlignment="1">
      <alignment horizontal="center" vertical="center"/>
    </xf>
    <xf numFmtId="49" fontId="4" fillId="0" borderId="50" xfId="3" applyNumberFormat="1" applyFont="1" applyBorder="1" applyAlignment="1" applyProtection="1">
      <alignment horizontal="right" vertical="center"/>
      <protection locked="0"/>
    </xf>
    <xf numFmtId="0" fontId="10" fillId="0" borderId="42" xfId="7" applyFont="1" applyBorder="1" applyAlignment="1">
      <alignment horizontal="distributed" vertical="center" shrinkToFit="1"/>
    </xf>
    <xf numFmtId="0" fontId="10" fillId="0" borderId="43" xfId="7" applyFont="1" applyBorder="1" applyAlignment="1">
      <alignment horizontal="distributed" vertical="center" shrinkToFit="1"/>
    </xf>
    <xf numFmtId="0" fontId="10" fillId="0" borderId="99" xfId="7" applyFont="1" applyBorder="1" applyAlignment="1">
      <alignment horizontal="distributed" vertical="center" shrinkToFit="1"/>
    </xf>
    <xf numFmtId="0" fontId="10" fillId="0" borderId="96" xfId="7" applyFont="1" applyBorder="1" applyAlignment="1">
      <alignment horizontal="distributed" vertical="center"/>
    </xf>
    <xf numFmtId="0" fontId="10" fillId="0" borderId="110" xfId="7" applyFont="1" applyBorder="1" applyAlignment="1">
      <alignment horizontal="distributed" vertical="center"/>
    </xf>
    <xf numFmtId="49" fontId="4" fillId="4" borderId="48" xfId="3" applyNumberFormat="1" applyFont="1" applyFill="1" applyBorder="1" applyAlignment="1" applyProtection="1">
      <alignment horizontal="right" vertical="center"/>
      <protection locked="0"/>
    </xf>
    <xf numFmtId="49" fontId="4" fillId="4" borderId="47" xfId="3" applyNumberFormat="1" applyFont="1" applyFill="1" applyBorder="1" applyAlignment="1" applyProtection="1">
      <alignment horizontal="right" vertical="center"/>
      <protection locked="0"/>
    </xf>
    <xf numFmtId="49" fontId="4" fillId="4" borderId="49" xfId="3" applyNumberFormat="1" applyFont="1" applyFill="1" applyBorder="1" applyAlignment="1" applyProtection="1">
      <alignment horizontal="right" vertical="center"/>
      <protection locked="0"/>
    </xf>
    <xf numFmtId="0" fontId="18" fillId="0" borderId="61" xfId="7" applyFont="1" applyBorder="1" applyAlignment="1">
      <alignment horizontal="center" vertical="center"/>
    </xf>
    <xf numFmtId="0" fontId="18" fillId="0" borderId="62" xfId="7" applyFont="1" applyBorder="1" applyAlignment="1">
      <alignment horizontal="center" vertical="center"/>
    </xf>
    <xf numFmtId="0" fontId="18" fillId="0" borderId="88" xfId="7" applyFont="1" applyBorder="1" applyAlignment="1">
      <alignment horizontal="center" vertical="center"/>
    </xf>
    <xf numFmtId="0" fontId="9" fillId="0" borderId="58" xfId="7" applyFont="1" applyBorder="1" applyAlignment="1">
      <alignment horizontal="distributed" vertical="center"/>
    </xf>
    <xf numFmtId="0" fontId="9" fillId="0" borderId="50" xfId="7" applyFont="1" applyBorder="1" applyAlignment="1">
      <alignment horizontal="distributed" vertical="center"/>
    </xf>
    <xf numFmtId="0" fontId="10" fillId="0" borderId="84" xfId="7" applyFont="1" applyBorder="1" applyAlignment="1">
      <alignment horizontal="distributed" vertical="center" shrinkToFit="1"/>
    </xf>
    <xf numFmtId="0" fontId="10" fillId="0" borderId="51" xfId="7" applyFont="1" applyBorder="1" applyAlignment="1">
      <alignment horizontal="distributed" vertical="center" shrinkToFit="1"/>
    </xf>
    <xf numFmtId="0" fontId="10" fillId="0" borderId="111" xfId="7" applyFont="1" applyBorder="1" applyAlignment="1">
      <alignment horizontal="distributed" vertical="center" shrinkToFit="1"/>
    </xf>
    <xf numFmtId="0" fontId="9" fillId="0" borderId="128" xfId="7" applyFont="1" applyBorder="1" applyAlignment="1">
      <alignment horizontal="distributed" vertical="center" shrinkToFit="1"/>
    </xf>
    <xf numFmtId="49" fontId="10" fillId="3" borderId="140" xfId="3" applyNumberFormat="1" applyFont="1" applyFill="1" applyBorder="1" applyAlignment="1">
      <alignment horizontal="right" vertical="center"/>
    </xf>
    <xf numFmtId="49" fontId="10" fillId="3" borderId="70" xfId="3" applyNumberFormat="1" applyFont="1" applyFill="1" applyBorder="1" applyAlignment="1">
      <alignment horizontal="right" vertical="center"/>
    </xf>
    <xf numFmtId="49" fontId="10" fillId="3" borderId="113" xfId="3" applyNumberFormat="1" applyFont="1" applyFill="1" applyBorder="1" applyAlignment="1">
      <alignment horizontal="right" vertical="center"/>
    </xf>
    <xf numFmtId="0" fontId="10" fillId="0" borderId="202" xfId="7" applyFont="1" applyBorder="1" applyAlignment="1">
      <alignment horizontal="center" vertical="center" textRotation="255" shrinkToFit="1"/>
    </xf>
    <xf numFmtId="0" fontId="10" fillId="0" borderId="114" xfId="7" applyFont="1" applyBorder="1" applyAlignment="1">
      <alignment horizontal="center" vertical="center" textRotation="255" shrinkToFit="1"/>
    </xf>
    <xf numFmtId="0" fontId="10" fillId="0" borderId="196" xfId="7" applyFont="1" applyBorder="1" applyAlignment="1">
      <alignment horizontal="center" vertical="center" textRotation="255" shrinkToFit="1"/>
    </xf>
    <xf numFmtId="0" fontId="10" fillId="0" borderId="155" xfId="7" applyFont="1" applyBorder="1" applyAlignment="1">
      <alignment horizontal="distributed" vertical="center" shrinkToFit="1"/>
    </xf>
    <xf numFmtId="0" fontId="10" fillId="0" borderId="156" xfId="7" applyFont="1" applyBorder="1" applyAlignment="1">
      <alignment horizontal="distributed" vertical="center" shrinkToFit="1"/>
    </xf>
    <xf numFmtId="0" fontId="10" fillId="0" borderId="157" xfId="7" applyFont="1" applyBorder="1" applyAlignment="1">
      <alignment horizontal="distributed" vertical="center" shrinkToFit="1"/>
    </xf>
    <xf numFmtId="0" fontId="18" fillId="0" borderId="64" xfId="7" applyFont="1" applyBorder="1" applyAlignment="1">
      <alignment horizontal="center" vertical="center"/>
    </xf>
    <xf numFmtId="0" fontId="18" fillId="0" borderId="47" xfId="7" applyFont="1" applyBorder="1" applyAlignment="1">
      <alignment horizontal="center" vertical="center"/>
    </xf>
    <xf numFmtId="0" fontId="18" fillId="0" borderId="65" xfId="7" applyFont="1" applyBorder="1" applyAlignment="1">
      <alignment horizontal="center" vertical="center"/>
    </xf>
    <xf numFmtId="49" fontId="4" fillId="0" borderId="48" xfId="3" applyNumberFormat="1" applyFont="1" applyBorder="1" applyAlignment="1" applyProtection="1">
      <alignment horizontal="right" vertical="center"/>
      <protection locked="0"/>
    </xf>
    <xf numFmtId="49" fontId="4" fillId="0" borderId="47" xfId="3" applyNumberFormat="1" applyFont="1" applyBorder="1" applyAlignment="1" applyProtection="1">
      <alignment horizontal="right" vertical="center"/>
      <protection locked="0"/>
    </xf>
    <xf numFmtId="49" fontId="4" fillId="0" borderId="49" xfId="3" applyNumberFormat="1" applyFont="1" applyBorder="1" applyAlignment="1" applyProtection="1">
      <alignment horizontal="right" vertical="center"/>
      <protection locked="0"/>
    </xf>
    <xf numFmtId="0" fontId="10" fillId="0" borderId="96" xfId="7" applyFont="1" applyBorder="1" applyAlignment="1">
      <alignment horizontal="distributed" vertical="center" shrinkToFit="1"/>
    </xf>
    <xf numFmtId="0" fontId="10" fillId="0" borderId="91" xfId="7" applyFont="1" applyBorder="1" applyAlignment="1">
      <alignment horizontal="distributed" vertical="center" shrinkToFit="1"/>
    </xf>
    <xf numFmtId="0" fontId="10" fillId="0" borderId="110" xfId="7" applyFont="1" applyBorder="1" applyAlignment="1">
      <alignment horizontal="distributed" vertical="center" shrinkToFit="1"/>
    </xf>
    <xf numFmtId="0" fontId="4" fillId="0" borderId="120" xfId="7" applyFont="1" applyBorder="1" applyAlignment="1">
      <alignment horizontal="distributed" vertical="center"/>
    </xf>
    <xf numFmtId="0" fontId="4" fillId="0" borderId="14" xfId="7" applyFont="1" applyBorder="1" applyAlignment="1">
      <alignment horizontal="distributed" vertical="center"/>
    </xf>
    <xf numFmtId="0" fontId="4" fillId="0" borderId="21" xfId="7" applyFont="1" applyBorder="1" applyAlignment="1">
      <alignment horizontal="distributed" vertical="center"/>
    </xf>
    <xf numFmtId="0" fontId="18" fillId="0" borderId="54" xfId="7" applyFont="1" applyBorder="1" applyAlignment="1">
      <alignment horizontal="center" vertical="center" wrapText="1"/>
    </xf>
    <xf numFmtId="0" fontId="18" fillId="0" borderId="55" xfId="7" applyFont="1" applyBorder="1" applyAlignment="1">
      <alignment horizontal="center" vertical="center" wrapText="1"/>
    </xf>
    <xf numFmtId="0" fontId="18" fillId="0" borderId="162" xfId="7" applyFont="1" applyBorder="1" applyAlignment="1">
      <alignment horizontal="center" vertical="center" wrapText="1"/>
    </xf>
    <xf numFmtId="0" fontId="18" fillId="0" borderId="59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80" xfId="7" applyFont="1" applyBorder="1" applyAlignment="1">
      <alignment horizontal="center" vertical="center" wrapText="1"/>
    </xf>
    <xf numFmtId="0" fontId="18" fillId="0" borderId="61" xfId="7" applyFont="1" applyBorder="1" applyAlignment="1">
      <alignment horizontal="center" vertical="center" wrapText="1"/>
    </xf>
    <xf numFmtId="0" fontId="18" fillId="0" borderId="62" xfId="7" applyFont="1" applyBorder="1" applyAlignment="1">
      <alignment horizontal="center" vertical="center" wrapText="1"/>
    </xf>
    <xf numFmtId="0" fontId="18" fillId="0" borderId="153" xfId="7" applyFont="1" applyBorder="1" applyAlignment="1">
      <alignment horizontal="center" vertical="center" wrapText="1"/>
    </xf>
    <xf numFmtId="0" fontId="17" fillId="0" borderId="134" xfId="7" applyFont="1" applyBorder="1" applyAlignment="1">
      <alignment horizontal="distributed" vertical="center" shrinkToFit="1"/>
    </xf>
    <xf numFmtId="0" fontId="17" fillId="0" borderId="135" xfId="7" applyFont="1" applyBorder="1" applyAlignment="1">
      <alignment horizontal="distributed" vertical="center" shrinkToFit="1"/>
    </xf>
    <xf numFmtId="0" fontId="17" fillId="0" borderId="136" xfId="7" applyFont="1" applyBorder="1" applyAlignment="1">
      <alignment horizontal="distributed" vertical="center" shrinkToFit="1"/>
    </xf>
    <xf numFmtId="49" fontId="10" fillId="3" borderId="141" xfId="3" applyNumberFormat="1" applyFont="1" applyFill="1" applyBorder="1" applyAlignment="1">
      <alignment horizontal="right" vertical="center"/>
    </xf>
    <xf numFmtId="49" fontId="10" fillId="3" borderId="135" xfId="3" applyNumberFormat="1" applyFont="1" applyFill="1" applyBorder="1" applyAlignment="1">
      <alignment horizontal="right" vertical="center"/>
    </xf>
    <xf numFmtId="49" fontId="10" fillId="3" borderId="137" xfId="3" applyNumberFormat="1" applyFont="1" applyFill="1" applyBorder="1" applyAlignment="1">
      <alignment horizontal="right" vertical="center"/>
    </xf>
    <xf numFmtId="49" fontId="4" fillId="3" borderId="92" xfId="3" applyNumberFormat="1" applyFont="1" applyFill="1" applyBorder="1" applyAlignment="1">
      <alignment horizontal="right" vertical="center"/>
    </xf>
    <xf numFmtId="0" fontId="18" fillId="0" borderId="84" xfId="7" applyFont="1" applyBorder="1" applyAlignment="1">
      <alignment horizontal="distributed" vertical="center"/>
    </xf>
    <xf numFmtId="0" fontId="18" fillId="0" borderId="51" xfId="7" applyFont="1" applyBorder="1" applyAlignment="1">
      <alignment horizontal="distributed" vertical="center"/>
    </xf>
    <xf numFmtId="0" fontId="4" fillId="0" borderId="96" xfId="7" applyFont="1" applyBorder="1" applyAlignment="1">
      <alignment horizontal="distributed" vertical="center"/>
    </xf>
    <xf numFmtId="0" fontId="4" fillId="0" borderId="31" xfId="3" applyFont="1" applyBorder="1" applyAlignment="1">
      <alignment horizontal="distributed" vertical="center"/>
    </xf>
    <xf numFmtId="0" fontId="4" fillId="0" borderId="24" xfId="3" applyFont="1" applyBorder="1" applyAlignment="1">
      <alignment horizontal="distributed" vertical="center"/>
    </xf>
    <xf numFmtId="0" fontId="4" fillId="0" borderId="30" xfId="3" applyFont="1" applyBorder="1" applyAlignment="1">
      <alignment horizontal="distributed" vertical="center"/>
    </xf>
    <xf numFmtId="0" fontId="10" fillId="0" borderId="85" xfId="7" applyFont="1" applyBorder="1" applyAlignment="1">
      <alignment horizontal="distributed" vertical="center" shrinkToFit="1"/>
    </xf>
    <xf numFmtId="0" fontId="10" fillId="0" borderId="126" xfId="7" applyFont="1" applyBorder="1" applyAlignment="1">
      <alignment horizontal="center" vertical="center" textRotation="255" shrinkToFit="1"/>
    </xf>
    <xf numFmtId="0" fontId="10" fillId="0" borderId="67" xfId="7" applyFont="1" applyBorder="1" applyAlignment="1">
      <alignment horizontal="center" vertical="center" textRotation="255" shrinkToFit="1"/>
    </xf>
    <xf numFmtId="0" fontId="10" fillId="0" borderId="174" xfId="7" applyFont="1" applyBorder="1" applyAlignment="1">
      <alignment horizontal="center" vertical="center" textRotation="255" shrinkToFit="1"/>
    </xf>
    <xf numFmtId="0" fontId="10" fillId="0" borderId="175" xfId="7" applyFont="1" applyBorder="1" applyAlignment="1">
      <alignment horizontal="distributed" vertical="center" shrinkToFit="1"/>
    </xf>
    <xf numFmtId="178" fontId="4" fillId="0" borderId="41" xfId="3" applyNumberFormat="1" applyFont="1" applyBorder="1" applyAlignment="1">
      <alignment horizontal="center" vertical="center"/>
    </xf>
    <xf numFmtId="178" fontId="4" fillId="0" borderId="37" xfId="3" applyNumberFormat="1" applyFont="1" applyBorder="1" applyAlignment="1">
      <alignment horizontal="center" vertical="center"/>
    </xf>
    <xf numFmtId="178" fontId="4" fillId="0" borderId="171" xfId="3" applyNumberFormat="1" applyFont="1" applyBorder="1" applyAlignment="1">
      <alignment horizontal="center" vertical="center"/>
    </xf>
    <xf numFmtId="0" fontId="10" fillId="0" borderId="58" xfId="7" applyFont="1" applyBorder="1" applyAlignment="1">
      <alignment horizontal="distributed" vertical="center" shrinkToFit="1"/>
    </xf>
    <xf numFmtId="0" fontId="4" fillId="0" borderId="42" xfId="7" applyFont="1" applyBorder="1" applyAlignment="1">
      <alignment horizontal="distributed" vertical="center"/>
    </xf>
    <xf numFmtId="0" fontId="10" fillId="0" borderId="151" xfId="7" applyFont="1" applyBorder="1" applyAlignment="1">
      <alignment horizontal="distributed" vertical="center" shrinkToFit="1"/>
    </xf>
    <xf numFmtId="0" fontId="4" fillId="0" borderId="58" xfId="3" applyFont="1" applyBorder="1" applyAlignment="1">
      <alignment horizontal="distributed" vertical="center"/>
    </xf>
    <xf numFmtId="0" fontId="4" fillId="0" borderId="43" xfId="3" applyFont="1" applyBorder="1" applyAlignment="1">
      <alignment horizontal="distributed" vertical="center"/>
    </xf>
    <xf numFmtId="0" fontId="4" fillId="0" borderId="50" xfId="3" applyFont="1" applyBorder="1" applyAlignment="1">
      <alignment horizontal="distributed" vertical="center"/>
    </xf>
    <xf numFmtId="0" fontId="4" fillId="0" borderId="39" xfId="7" applyFont="1" applyBorder="1" applyAlignment="1">
      <alignment horizontal="center" vertical="center"/>
    </xf>
    <xf numFmtId="0" fontId="10" fillId="0" borderId="9" xfId="7" applyFont="1" applyBorder="1" applyAlignment="1">
      <alignment horizontal="center" vertical="center"/>
    </xf>
    <xf numFmtId="0" fontId="10" fillId="0" borderId="0" xfId="7" applyFont="1" applyAlignment="1">
      <alignment horizontal="center" vertical="center"/>
    </xf>
    <xf numFmtId="0" fontId="10" fillId="0" borderId="20" xfId="7" applyFont="1" applyBorder="1" applyAlignment="1">
      <alignment horizontal="center" vertical="center"/>
    </xf>
    <xf numFmtId="0" fontId="4" fillId="0" borderId="2" xfId="7" applyFont="1" applyBorder="1" applyAlignment="1">
      <alignment horizontal="center" vertical="center"/>
    </xf>
    <xf numFmtId="0" fontId="4" fillId="0" borderId="0" xfId="7" applyFont="1" applyAlignment="1">
      <alignment horizontal="center" vertical="center"/>
    </xf>
    <xf numFmtId="0" fontId="4" fillId="0" borderId="17" xfId="7" applyFont="1" applyBorder="1" applyAlignment="1">
      <alignment horizontal="center" vertical="center"/>
    </xf>
    <xf numFmtId="0" fontId="4" fillId="0" borderId="14" xfId="7" applyFont="1" applyBorder="1" applyAlignment="1">
      <alignment horizontal="center" vertical="center"/>
    </xf>
    <xf numFmtId="0" fontId="21" fillId="0" borderId="27" xfId="7" applyFont="1" applyBorder="1" applyAlignment="1">
      <alignment horizontal="left" vertical="center"/>
    </xf>
    <xf numFmtId="0" fontId="21" fillId="0" borderId="11" xfId="7" applyFont="1" applyBorder="1" applyAlignment="1">
      <alignment horizontal="left" vertical="center"/>
    </xf>
    <xf numFmtId="0" fontId="9" fillId="0" borderId="152" xfId="7" applyFont="1" applyBorder="1" applyAlignment="1">
      <alignment horizontal="distributed" vertical="center" shrinkToFit="1"/>
    </xf>
    <xf numFmtId="0" fontId="9" fillId="0" borderId="122" xfId="7" applyFont="1" applyBorder="1" applyAlignment="1">
      <alignment horizontal="distributed" vertical="center" shrinkToFit="1"/>
    </xf>
    <xf numFmtId="0" fontId="9" fillId="0" borderId="150" xfId="7" applyFont="1" applyBorder="1" applyAlignment="1">
      <alignment horizontal="distributed" vertical="center" shrinkToFit="1"/>
    </xf>
    <xf numFmtId="49" fontId="10" fillId="3" borderId="127" xfId="3" applyNumberFormat="1" applyFont="1" applyFill="1" applyBorder="1" applyAlignment="1">
      <alignment horizontal="right" vertical="center"/>
    </xf>
    <xf numFmtId="49" fontId="10" fillId="3" borderId="122" xfId="3" applyNumberFormat="1" applyFont="1" applyFill="1" applyBorder="1" applyAlignment="1">
      <alignment horizontal="right" vertical="center"/>
    </xf>
    <xf numFmtId="49" fontId="10" fillId="3" borderId="124" xfId="3" applyNumberFormat="1" applyFont="1" applyFill="1" applyBorder="1" applyAlignment="1">
      <alignment horizontal="right" vertical="center"/>
    </xf>
    <xf numFmtId="0" fontId="4" fillId="0" borderId="54" xfId="3" applyFont="1" applyBorder="1" applyAlignment="1">
      <alignment horizontal="distributed" vertical="center"/>
    </xf>
    <xf numFmtId="0" fontId="4" fillId="0" borderId="55" xfId="3" applyFont="1" applyBorder="1" applyAlignment="1">
      <alignment horizontal="distributed" vertical="center"/>
    </xf>
    <xf numFmtId="0" fontId="4" fillId="0" borderId="57" xfId="3" applyFont="1" applyBorder="1" applyAlignment="1">
      <alignment horizontal="distributed" vertical="center"/>
    </xf>
    <xf numFmtId="49" fontId="4" fillId="0" borderId="56" xfId="3" applyNumberFormat="1" applyFont="1" applyBorder="1" applyAlignment="1" applyProtection="1">
      <alignment horizontal="right" vertical="center"/>
      <protection locked="0"/>
    </xf>
    <xf numFmtId="49" fontId="4" fillId="0" borderId="55" xfId="3" applyNumberFormat="1" applyFont="1" applyBorder="1" applyAlignment="1" applyProtection="1">
      <alignment horizontal="right" vertical="center"/>
      <protection locked="0"/>
    </xf>
    <xf numFmtId="49" fontId="4" fillId="0" borderId="57" xfId="3" applyNumberFormat="1" applyFont="1" applyBorder="1" applyAlignment="1" applyProtection="1">
      <alignment horizontal="right" vertical="center"/>
      <protection locked="0"/>
    </xf>
    <xf numFmtId="0" fontId="4" fillId="0" borderId="25" xfId="7" applyFont="1" applyBorder="1" applyAlignment="1">
      <alignment horizontal="distributed" vertical="center"/>
    </xf>
    <xf numFmtId="0" fontId="4" fillId="0" borderId="30" xfId="7" applyFont="1" applyBorder="1" applyAlignment="1">
      <alignment horizontal="distributed" vertical="center"/>
    </xf>
    <xf numFmtId="0" fontId="9" fillId="0" borderId="151" xfId="7" applyFont="1" applyBorder="1" applyAlignment="1">
      <alignment horizontal="distributed" vertical="center" shrinkToFit="1"/>
    </xf>
    <xf numFmtId="0" fontId="4" fillId="0" borderId="18" xfId="7" applyFont="1" applyBorder="1" applyAlignment="1">
      <alignment horizontal="distributed" vertical="center"/>
    </xf>
    <xf numFmtId="0" fontId="4" fillId="0" borderId="19" xfId="7" applyFont="1" applyBorder="1" applyAlignment="1">
      <alignment horizontal="distributed" vertical="center"/>
    </xf>
    <xf numFmtId="0" fontId="4" fillId="0" borderId="63" xfId="3" applyFont="1" applyBorder="1" applyAlignment="1">
      <alignment horizontal="distributed" vertical="center"/>
    </xf>
    <xf numFmtId="0" fontId="4" fillId="0" borderId="62" xfId="3" applyFont="1" applyBorder="1" applyAlignment="1">
      <alignment horizontal="distributed" vertical="center"/>
    </xf>
    <xf numFmtId="0" fontId="4" fillId="0" borderId="88" xfId="3" applyFont="1" applyBorder="1" applyAlignment="1">
      <alignment horizontal="distributed" vertical="center"/>
    </xf>
    <xf numFmtId="0" fontId="21" fillId="0" borderId="29" xfId="7" applyFont="1" applyBorder="1" applyAlignment="1">
      <alignment horizontal="left" vertical="center"/>
    </xf>
    <xf numFmtId="0" fontId="4" fillId="0" borderId="215" xfId="3" applyFont="1" applyBorder="1" applyAlignment="1">
      <alignment horizontal="distributed" vertical="center"/>
    </xf>
    <xf numFmtId="0" fontId="4" fillId="0" borderId="183" xfId="3" applyFont="1" applyBorder="1" applyAlignment="1">
      <alignment horizontal="distributed" vertical="center"/>
    </xf>
    <xf numFmtId="0" fontId="4" fillId="0" borderId="191" xfId="3" applyFont="1" applyBorder="1" applyAlignment="1">
      <alignment horizontal="distributed" vertical="center"/>
    </xf>
    <xf numFmtId="0" fontId="9" fillId="0" borderId="42" xfId="7" applyFont="1" applyBorder="1" applyAlignment="1">
      <alignment horizontal="distributed" vertical="center" shrinkToFit="1"/>
    </xf>
    <xf numFmtId="0" fontId="9" fillId="0" borderId="43" xfId="7" applyFont="1" applyBorder="1" applyAlignment="1">
      <alignment horizontal="distributed" vertical="center" shrinkToFit="1"/>
    </xf>
    <xf numFmtId="0" fontId="9" fillId="0" borderId="99" xfId="7" applyFont="1" applyBorder="1" applyAlignment="1">
      <alignment horizontal="distributed" vertical="center" shrinkToFit="1"/>
    </xf>
    <xf numFmtId="0" fontId="4" fillId="0" borderId="42" xfId="3" applyFont="1" applyBorder="1" applyAlignment="1">
      <alignment horizontal="distributed" vertical="center"/>
    </xf>
    <xf numFmtId="0" fontId="10" fillId="0" borderId="47" xfId="7" applyFont="1" applyBorder="1" applyAlignment="1">
      <alignment horizontal="distributed" vertical="center" shrinkToFit="1"/>
    </xf>
    <xf numFmtId="0" fontId="10" fillId="0" borderId="112" xfId="7" applyFont="1" applyBorder="1" applyAlignment="1">
      <alignment horizontal="distributed" vertical="center" shrinkToFit="1"/>
    </xf>
    <xf numFmtId="49" fontId="4" fillId="0" borderId="52" xfId="3" applyNumberFormat="1" applyFont="1" applyBorder="1" applyAlignment="1" applyProtection="1">
      <alignment horizontal="right" vertical="center"/>
      <protection locked="0"/>
    </xf>
    <xf numFmtId="0" fontId="4" fillId="0" borderId="46" xfId="7" applyFont="1" applyBorder="1" applyAlignment="1">
      <alignment horizontal="distributed" vertical="center"/>
    </xf>
    <xf numFmtId="0" fontId="22" fillId="0" borderId="0" xfId="7" applyFont="1" applyAlignment="1">
      <alignment horizontal="center" vertical="center"/>
    </xf>
    <xf numFmtId="49" fontId="4" fillId="3" borderId="41" xfId="3" applyNumberFormat="1" applyFont="1" applyFill="1" applyBorder="1" applyAlignment="1">
      <alignment horizontal="right" vertical="center"/>
    </xf>
    <xf numFmtId="49" fontId="4" fillId="3" borderId="37" xfId="3" applyNumberFormat="1" applyFont="1" applyFill="1" applyBorder="1" applyAlignment="1">
      <alignment horizontal="right" vertical="center"/>
    </xf>
    <xf numFmtId="49" fontId="4" fillId="3" borderId="171" xfId="3" applyNumberFormat="1" applyFont="1" applyFill="1" applyBorder="1" applyAlignment="1">
      <alignment horizontal="right" vertical="center"/>
    </xf>
    <xf numFmtId="0" fontId="16" fillId="0" borderId="46" xfId="3" applyFont="1" applyBorder="1" applyAlignment="1">
      <alignment horizontal="center" vertical="center"/>
    </xf>
    <xf numFmtId="0" fontId="16" fillId="0" borderId="47" xfId="3" applyFont="1" applyBorder="1" applyAlignment="1">
      <alignment horizontal="center" vertical="center"/>
    </xf>
    <xf numFmtId="0" fontId="16" fillId="0" borderId="65" xfId="3" applyFont="1" applyBorder="1" applyAlignment="1">
      <alignment horizontal="center" vertical="center"/>
    </xf>
    <xf numFmtId="49" fontId="4" fillId="0" borderId="65" xfId="3" applyNumberFormat="1" applyFont="1" applyBorder="1" applyAlignment="1" applyProtection="1">
      <alignment horizontal="right" vertical="center"/>
      <protection locked="0"/>
    </xf>
    <xf numFmtId="0" fontId="22" fillId="0" borderId="23" xfId="7" applyFont="1" applyBorder="1" applyAlignment="1">
      <alignment horizontal="center" vertical="center"/>
    </xf>
    <xf numFmtId="0" fontId="22" fillId="0" borderId="7" xfId="7" applyFont="1" applyBorder="1" applyAlignment="1">
      <alignment horizontal="center" vertical="center"/>
    </xf>
    <xf numFmtId="0" fontId="17" fillId="0" borderId="54" xfId="7" applyFont="1" applyBorder="1" applyAlignment="1">
      <alignment horizontal="distributed" vertical="center"/>
    </xf>
    <xf numFmtId="0" fontId="17" fillId="0" borderId="55" xfId="7" applyFont="1" applyBorder="1" applyAlignment="1">
      <alignment horizontal="distributed" vertical="center"/>
    </xf>
    <xf numFmtId="0" fontId="17" fillId="0" borderId="57" xfId="7" applyFont="1" applyBorder="1" applyAlignment="1">
      <alignment horizontal="distributed" vertical="center"/>
    </xf>
    <xf numFmtId="0" fontId="18" fillId="0" borderId="55" xfId="7" applyFont="1" applyBorder="1" applyAlignment="1">
      <alignment horizontal="distributed" vertical="center"/>
    </xf>
    <xf numFmtId="0" fontId="18" fillId="0" borderId="57" xfId="7" applyFont="1" applyBorder="1" applyAlignment="1">
      <alignment horizontal="distributed" vertical="center"/>
    </xf>
    <xf numFmtId="0" fontId="4" fillId="0" borderId="96" xfId="3" applyFont="1" applyBorder="1" applyAlignment="1">
      <alignment horizontal="distributed" vertical="center"/>
    </xf>
    <xf numFmtId="0" fontId="4" fillId="0" borderId="91" xfId="3" applyFont="1" applyBorder="1" applyAlignment="1">
      <alignment horizontal="distributed" vertical="center"/>
    </xf>
    <xf numFmtId="0" fontId="4" fillId="0" borderId="92" xfId="3" applyFont="1" applyBorder="1" applyAlignment="1">
      <alignment horizontal="distributed" vertical="center"/>
    </xf>
    <xf numFmtId="49" fontId="4" fillId="3" borderId="182" xfId="3" applyNumberFormat="1" applyFont="1" applyFill="1" applyBorder="1" applyAlignment="1">
      <alignment horizontal="right" vertical="center"/>
    </xf>
    <xf numFmtId="49" fontId="4" fillId="3" borderId="183" xfId="3" applyNumberFormat="1" applyFont="1" applyFill="1" applyBorder="1" applyAlignment="1">
      <alignment horizontal="right" vertical="center"/>
    </xf>
    <xf numFmtId="49" fontId="4" fillId="3" borderId="184" xfId="3" applyNumberFormat="1" applyFont="1" applyFill="1" applyBorder="1" applyAlignment="1">
      <alignment horizontal="right" vertical="center"/>
    </xf>
    <xf numFmtId="0" fontId="4" fillId="0" borderId="0" xfId="3" applyFont="1" applyAlignment="1">
      <alignment horizontal="distributed" vertical="center"/>
    </xf>
    <xf numFmtId="178" fontId="4" fillId="2" borderId="0" xfId="3" applyNumberFormat="1" applyFont="1" applyFill="1" applyAlignment="1">
      <alignment horizontal="center" vertical="center"/>
    </xf>
    <xf numFmtId="0" fontId="4" fillId="0" borderId="19" xfId="7" applyFont="1" applyBorder="1" applyAlignment="1">
      <alignment horizontal="center" vertical="center"/>
    </xf>
    <xf numFmtId="0" fontId="4" fillId="0" borderId="13" xfId="7" applyFont="1" applyBorder="1" applyAlignment="1">
      <alignment horizontal="center" vertical="center"/>
    </xf>
    <xf numFmtId="0" fontId="4" fillId="0" borderId="21" xfId="7" applyFont="1" applyBorder="1" applyAlignment="1">
      <alignment horizontal="center" vertical="center"/>
    </xf>
    <xf numFmtId="0" fontId="4" fillId="0" borderId="5" xfId="7" applyFont="1" applyBorder="1" applyAlignment="1">
      <alignment horizontal="center" vertical="center"/>
    </xf>
    <xf numFmtId="0" fontId="4" fillId="0" borderId="4" xfId="7" applyFont="1" applyBorder="1" applyAlignment="1">
      <alignment horizontal="distributed" vertical="center"/>
    </xf>
    <xf numFmtId="0" fontId="4" fillId="0" borderId="17" xfId="7" applyFont="1" applyBorder="1" applyAlignment="1">
      <alignment horizontal="distributed" vertical="center"/>
    </xf>
    <xf numFmtId="0" fontId="4" fillId="0" borderId="3" xfId="7" applyFont="1" applyBorder="1" applyAlignment="1">
      <alignment horizontal="distributed" vertical="center"/>
    </xf>
    <xf numFmtId="0" fontId="4" fillId="0" borderId="131" xfId="7" applyFont="1" applyBorder="1" applyAlignment="1">
      <alignment horizontal="distributed" vertical="center"/>
    </xf>
    <xf numFmtId="0" fontId="4" fillId="0" borderId="28" xfId="3" applyFont="1" applyBorder="1" applyAlignment="1">
      <alignment horizontal="distributed" vertical="center"/>
    </xf>
    <xf numFmtId="0" fontId="4" fillId="0" borderId="18" xfId="3" applyFont="1" applyBorder="1" applyAlignment="1">
      <alignment horizontal="distributed" vertical="center"/>
    </xf>
    <xf numFmtId="0" fontId="4" fillId="0" borderId="19" xfId="3" applyFont="1" applyBorder="1" applyAlignment="1">
      <alignment horizontal="distributed" vertical="center"/>
    </xf>
    <xf numFmtId="0" fontId="4" fillId="0" borderId="48" xfId="7" applyFont="1" applyBorder="1" applyAlignment="1">
      <alignment horizontal="distributed" vertical="center"/>
    </xf>
    <xf numFmtId="0" fontId="22" fillId="0" borderId="0" xfId="2" applyFont="1" applyAlignment="1">
      <alignment horizontal="center" vertical="center"/>
    </xf>
    <xf numFmtId="0" fontId="10" fillId="0" borderId="64" xfId="2" applyFont="1" applyBorder="1" applyAlignment="1">
      <alignment horizontal="distributed" vertical="center" shrinkToFit="1"/>
    </xf>
    <xf numFmtId="0" fontId="10" fillId="0" borderId="47" xfId="2" applyFont="1" applyBorder="1" applyAlignment="1">
      <alignment horizontal="distributed" vertical="center" shrinkToFit="1"/>
    </xf>
    <xf numFmtId="0" fontId="10" fillId="0" borderId="112" xfId="2" applyFont="1" applyBorder="1" applyAlignment="1">
      <alignment horizontal="distributed" vertical="center" shrinkToFit="1"/>
    </xf>
    <xf numFmtId="49" fontId="10" fillId="0" borderId="48" xfId="3" applyNumberFormat="1" applyFont="1" applyBorder="1" applyAlignment="1" applyProtection="1">
      <alignment horizontal="right" vertical="center" shrinkToFit="1"/>
      <protection locked="0"/>
    </xf>
    <xf numFmtId="49" fontId="10" fillId="0" borderId="47" xfId="3" applyNumberFormat="1" applyFont="1" applyBorder="1" applyAlignment="1" applyProtection="1">
      <alignment horizontal="right" vertical="center" shrinkToFit="1"/>
      <protection locked="0"/>
    </xf>
    <xf numFmtId="0" fontId="10" fillId="0" borderId="0" xfId="2" applyFont="1" applyAlignment="1">
      <alignment horizontal="distributed" vertical="center" shrinkToFit="1"/>
    </xf>
    <xf numFmtId="0" fontId="10" fillId="0" borderId="80" xfId="2" applyFont="1" applyBorder="1" applyAlignment="1">
      <alignment horizontal="distributed" vertical="center" shrinkToFit="1"/>
    </xf>
    <xf numFmtId="49" fontId="10" fillId="3" borderId="44" xfId="3" applyNumberFormat="1" applyFont="1" applyFill="1" applyBorder="1" applyAlignment="1">
      <alignment horizontal="right" vertical="center" shrinkToFit="1"/>
    </xf>
    <xf numFmtId="49" fontId="10" fillId="3" borderId="43" xfId="3" applyNumberFormat="1" applyFont="1" applyFill="1" applyBorder="1" applyAlignment="1">
      <alignment horizontal="right" vertical="center" shrinkToFit="1"/>
    </xf>
    <xf numFmtId="0" fontId="10" fillId="0" borderId="58" xfId="2" applyFont="1" applyBorder="1" applyAlignment="1">
      <alignment horizontal="distributed" vertical="center" shrinkToFit="1"/>
    </xf>
    <xf numFmtId="0" fontId="10" fillId="0" borderId="43" xfId="2" applyFont="1" applyBorder="1" applyAlignment="1">
      <alignment horizontal="distributed" vertical="center" shrinkToFit="1"/>
    </xf>
    <xf numFmtId="0" fontId="10" fillId="0" borderId="99" xfId="2" applyFont="1" applyBorder="1" applyAlignment="1">
      <alignment horizontal="distributed" vertical="center" shrinkToFit="1"/>
    </xf>
    <xf numFmtId="49" fontId="10" fillId="0" borderId="44" xfId="3" applyNumberFormat="1" applyFont="1" applyBorder="1" applyAlignment="1" applyProtection="1">
      <alignment horizontal="right" vertical="center" shrinkToFit="1"/>
      <protection locked="0"/>
    </xf>
    <xf numFmtId="49" fontId="10" fillId="0" borderId="43" xfId="3" applyNumberFormat="1" applyFont="1" applyBorder="1" applyAlignment="1" applyProtection="1">
      <alignment horizontal="right" vertical="center" shrinkToFit="1"/>
      <protection locked="0"/>
    </xf>
    <xf numFmtId="0" fontId="10" fillId="0" borderId="64" xfId="2" applyFont="1" applyBorder="1" applyAlignment="1">
      <alignment horizontal="distributed" vertical="center"/>
    </xf>
    <xf numFmtId="0" fontId="10" fillId="0" borderId="47" xfId="2" applyFont="1" applyBorder="1" applyAlignment="1">
      <alignment horizontal="distributed" vertical="center"/>
    </xf>
    <xf numFmtId="0" fontId="10" fillId="0" borderId="112" xfId="2" applyFont="1" applyBorder="1" applyAlignment="1">
      <alignment horizontal="distributed" vertical="center"/>
    </xf>
    <xf numFmtId="49" fontId="10" fillId="0" borderId="48" xfId="2" applyNumberFormat="1" applyFont="1" applyBorder="1" applyAlignment="1" applyProtection="1">
      <alignment horizontal="right" vertical="center" shrinkToFit="1"/>
      <protection locked="0"/>
    </xf>
    <xf numFmtId="49" fontId="10" fillId="0" borderId="47" xfId="2" applyNumberFormat="1" applyFont="1" applyBorder="1" applyAlignment="1" applyProtection="1">
      <alignment horizontal="right" vertical="center" shrinkToFit="1"/>
      <protection locked="0"/>
    </xf>
    <xf numFmtId="49" fontId="10" fillId="0" borderId="49" xfId="2" applyNumberFormat="1" applyFont="1" applyBorder="1" applyAlignment="1" applyProtection="1">
      <alignment horizontal="right" vertical="center" shrinkToFit="1"/>
      <protection locked="0"/>
    </xf>
    <xf numFmtId="0" fontId="10" fillId="0" borderId="28" xfId="2" applyFont="1" applyBorder="1" applyAlignment="1">
      <alignment horizontal="center" vertical="center" textRotation="255"/>
    </xf>
    <xf numFmtId="0" fontId="10" fillId="0" borderId="81" xfId="2" applyFont="1" applyBorder="1" applyAlignment="1">
      <alignment horizontal="center" vertical="center" textRotation="255"/>
    </xf>
    <xf numFmtId="0" fontId="10" fillId="0" borderId="9" xfId="2" applyFont="1" applyBorder="1" applyAlignment="1">
      <alignment horizontal="center" vertical="center" textRotation="255"/>
    </xf>
    <xf numFmtId="0" fontId="10" fillId="0" borderId="80" xfId="2" applyFont="1" applyBorder="1" applyAlignment="1">
      <alignment horizontal="center" vertical="center" textRotation="255"/>
    </xf>
    <xf numFmtId="0" fontId="10" fillId="0" borderId="54" xfId="2" applyFont="1" applyBorder="1" applyAlignment="1">
      <alignment horizontal="center" vertical="center"/>
    </xf>
    <xf numFmtId="0" fontId="10" fillId="0" borderId="162" xfId="2" applyFont="1" applyBorder="1" applyAlignment="1">
      <alignment horizontal="center" vertical="center"/>
    </xf>
    <xf numFmtId="0" fontId="10" fillId="0" borderId="59" xfId="2" applyFont="1" applyBorder="1" applyAlignment="1">
      <alignment horizontal="center" vertical="center"/>
    </xf>
    <xf numFmtId="0" fontId="10" fillId="0" borderId="80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 textRotation="255"/>
    </xf>
    <xf numFmtId="0" fontId="10" fillId="0" borderId="82" xfId="2" applyFont="1" applyBorder="1" applyAlignment="1">
      <alignment horizontal="center" vertical="center" textRotation="255"/>
    </xf>
    <xf numFmtId="0" fontId="10" fillId="0" borderId="161" xfId="2" applyFont="1" applyBorder="1" applyAlignment="1">
      <alignment horizontal="center" vertical="center" textRotation="255"/>
    </xf>
    <xf numFmtId="0" fontId="10" fillId="0" borderId="59" xfId="2" applyFont="1" applyBorder="1" applyAlignment="1">
      <alignment horizontal="center" vertical="center" textRotation="255"/>
    </xf>
    <xf numFmtId="0" fontId="10" fillId="0" borderId="68" xfId="2" applyFont="1" applyBorder="1" applyAlignment="1">
      <alignment horizontal="center" vertical="center"/>
    </xf>
    <xf numFmtId="0" fontId="10" fillId="0" borderId="82" xfId="2" applyFont="1" applyBorder="1" applyAlignment="1">
      <alignment horizontal="center" vertical="center"/>
    </xf>
    <xf numFmtId="49" fontId="10" fillId="0" borderId="50" xfId="3" applyNumberFormat="1" applyFont="1" applyBorder="1" applyAlignment="1" applyProtection="1">
      <alignment horizontal="right" vertical="center" shrinkToFit="1"/>
      <protection locked="0"/>
    </xf>
    <xf numFmtId="0" fontId="10" fillId="0" borderId="2" xfId="2" applyFont="1" applyBorder="1" applyAlignment="1">
      <alignment horizontal="center" vertical="center" textRotation="255"/>
    </xf>
    <xf numFmtId="0" fontId="10" fillId="0" borderId="0" xfId="2" applyFont="1" applyAlignment="1">
      <alignment horizontal="center" vertical="center" textRotation="255"/>
    </xf>
    <xf numFmtId="0" fontId="10" fillId="0" borderId="17" xfId="2" applyFont="1" applyBorder="1" applyAlignment="1">
      <alignment horizontal="center" vertical="center" textRotation="255"/>
    </xf>
    <xf numFmtId="0" fontId="10" fillId="0" borderId="14" xfId="2" applyFont="1" applyBorder="1" applyAlignment="1">
      <alignment horizontal="center" vertical="center" textRotation="255"/>
    </xf>
    <xf numFmtId="0" fontId="10" fillId="0" borderId="61" xfId="2" applyFont="1" applyBorder="1" applyAlignment="1">
      <alignment horizontal="distributed" vertical="center" wrapText="1"/>
    </xf>
    <xf numFmtId="0" fontId="10" fillId="0" borderId="153" xfId="2" applyFont="1" applyBorder="1" applyAlignment="1">
      <alignment horizontal="distributed" vertical="center" wrapText="1"/>
    </xf>
    <xf numFmtId="0" fontId="10" fillId="0" borderId="60" xfId="2" applyFont="1" applyBorder="1" applyAlignment="1">
      <alignment horizontal="distributed" vertical="center" wrapText="1"/>
    </xf>
    <xf numFmtId="0" fontId="10" fillId="0" borderId="111" xfId="2" applyFont="1" applyBorder="1" applyAlignment="1">
      <alignment horizontal="distributed" vertical="center" wrapText="1"/>
    </xf>
    <xf numFmtId="0" fontId="10" fillId="0" borderId="5" xfId="2" applyFont="1" applyBorder="1" applyAlignment="1">
      <alignment horizontal="center" vertical="center" textRotation="255"/>
    </xf>
    <xf numFmtId="0" fontId="10" fillId="0" borderId="116" xfId="2" applyFont="1" applyBorder="1" applyAlignment="1">
      <alignment horizontal="center" vertical="center" textRotation="255"/>
    </xf>
    <xf numFmtId="0" fontId="10" fillId="0" borderId="61" xfId="2" applyFont="1" applyBorder="1" applyAlignment="1">
      <alignment horizontal="distributed" vertical="center" shrinkToFit="1"/>
    </xf>
    <xf numFmtId="0" fontId="10" fillId="0" borderId="62" xfId="2" applyFont="1" applyBorder="1" applyAlignment="1">
      <alignment horizontal="distributed" vertical="center" shrinkToFit="1"/>
    </xf>
    <xf numFmtId="0" fontId="10" fillId="0" borderId="153" xfId="2" applyFont="1" applyBorder="1" applyAlignment="1">
      <alignment horizontal="distributed" vertical="center" shrinkToFit="1"/>
    </xf>
    <xf numFmtId="0" fontId="10" fillId="0" borderId="60" xfId="2" applyFont="1" applyBorder="1" applyAlignment="1">
      <alignment horizontal="distributed" vertical="center"/>
    </xf>
    <xf numFmtId="0" fontId="10" fillId="0" borderId="51" xfId="2" applyFont="1" applyBorder="1" applyAlignment="1">
      <alignment horizontal="distributed" vertical="center"/>
    </xf>
    <xf numFmtId="0" fontId="10" fillId="0" borderId="52" xfId="2" applyFont="1" applyBorder="1" applyAlignment="1">
      <alignment horizontal="distributed" vertical="center"/>
    </xf>
    <xf numFmtId="0" fontId="10" fillId="0" borderId="61" xfId="2" applyFont="1" applyBorder="1" applyAlignment="1">
      <alignment horizontal="distributed" vertical="center"/>
    </xf>
    <xf numFmtId="0" fontId="10" fillId="0" borderId="62" xfId="2" applyFont="1" applyBorder="1" applyAlignment="1">
      <alignment horizontal="distributed" vertical="center"/>
    </xf>
    <xf numFmtId="0" fontId="10" fillId="0" borderId="153" xfId="2" applyFont="1" applyBorder="1" applyAlignment="1">
      <alignment horizontal="distributed" vertical="center"/>
    </xf>
    <xf numFmtId="0" fontId="10" fillId="0" borderId="58" xfId="2" applyFont="1" applyBorder="1" applyAlignment="1">
      <alignment horizontal="distributed" vertical="center"/>
    </xf>
    <xf numFmtId="0" fontId="10" fillId="0" borderId="50" xfId="2" applyFont="1" applyBorder="1" applyAlignment="1">
      <alignment horizontal="distributed" vertical="center"/>
    </xf>
    <xf numFmtId="49" fontId="10" fillId="0" borderId="53" xfId="2" applyNumberFormat="1" applyFont="1" applyBorder="1" applyAlignment="1" applyProtection="1">
      <alignment horizontal="right" vertical="center" shrinkToFit="1"/>
      <protection locked="0"/>
    </xf>
    <xf numFmtId="49" fontId="10" fillId="0" borderId="51" xfId="2" applyNumberFormat="1" applyFont="1" applyBorder="1" applyAlignment="1" applyProtection="1">
      <alignment horizontal="right" vertical="center" shrinkToFit="1"/>
      <protection locked="0"/>
    </xf>
    <xf numFmtId="49" fontId="10" fillId="0" borderId="89" xfId="2" applyNumberFormat="1" applyFont="1" applyBorder="1" applyAlignment="1" applyProtection="1">
      <alignment horizontal="right" vertical="center" shrinkToFit="1"/>
      <protection locked="0"/>
    </xf>
    <xf numFmtId="49" fontId="10" fillId="0" borderId="90" xfId="2" applyNumberFormat="1" applyFont="1" applyBorder="1" applyAlignment="1" applyProtection="1">
      <alignment horizontal="right" vertical="center" shrinkToFit="1"/>
      <protection locked="0"/>
    </xf>
    <xf numFmtId="49" fontId="10" fillId="0" borderId="91" xfId="2" applyNumberFormat="1" applyFont="1" applyBorder="1" applyAlignment="1" applyProtection="1">
      <alignment horizontal="right" vertical="center" shrinkToFit="1"/>
      <protection locked="0"/>
    </xf>
    <xf numFmtId="49" fontId="10" fillId="0" borderId="97" xfId="2" applyNumberFormat="1" applyFont="1" applyBorder="1" applyAlignment="1" applyProtection="1">
      <alignment horizontal="right" vertical="center" shrinkToFit="1"/>
      <protection locked="0"/>
    </xf>
    <xf numFmtId="0" fontId="10" fillId="0" borderId="31" xfId="2" applyFont="1" applyBorder="1" applyAlignment="1">
      <alignment horizontal="center" vertical="center" textRotation="255"/>
    </xf>
    <xf numFmtId="0" fontId="4" fillId="0" borderId="36" xfId="2" applyFont="1" applyBorder="1" applyAlignment="1">
      <alignment horizontal="distributed" vertical="center"/>
    </xf>
    <xf numFmtId="0" fontId="4" fillId="0" borderId="37" xfId="2" applyFont="1" applyBorder="1" applyAlignment="1">
      <alignment horizontal="distributed" vertical="center"/>
    </xf>
    <xf numFmtId="0" fontId="10" fillId="0" borderId="60" xfId="2" applyFont="1" applyBorder="1" applyAlignment="1">
      <alignment horizontal="distributed" vertical="center" shrinkToFit="1"/>
    </xf>
    <xf numFmtId="0" fontId="10" fillId="0" borderId="51" xfId="2" applyFont="1" applyBorder="1" applyAlignment="1">
      <alignment horizontal="distributed" vertical="center" shrinkToFit="1"/>
    </xf>
    <xf numFmtId="0" fontId="10" fillId="0" borderId="111" xfId="2" applyFont="1" applyBorder="1" applyAlignment="1">
      <alignment horizontal="distributed" vertical="center" shrinkToFit="1"/>
    </xf>
    <xf numFmtId="0" fontId="10" fillId="0" borderId="101" xfId="2" applyFont="1" applyBorder="1" applyAlignment="1">
      <alignment horizontal="distributed" vertical="center"/>
    </xf>
    <xf numFmtId="49" fontId="10" fillId="0" borderId="107" xfId="3" applyNumberFormat="1" applyFont="1" applyBorder="1" applyAlignment="1">
      <alignment horizontal="right" vertical="center"/>
    </xf>
    <xf numFmtId="49" fontId="10" fillId="0" borderId="108" xfId="3" applyNumberFormat="1" applyFont="1" applyBorder="1" applyAlignment="1">
      <alignment horizontal="right" vertical="center"/>
    </xf>
    <xf numFmtId="49" fontId="10" fillId="0" borderId="109" xfId="3" applyNumberFormat="1" applyFont="1" applyBorder="1" applyAlignment="1">
      <alignment horizontal="right" vertical="center"/>
    </xf>
    <xf numFmtId="0" fontId="10" fillId="0" borderId="54" xfId="2" applyFont="1" applyBorder="1" applyAlignment="1">
      <alignment horizontal="distributed" vertical="center" shrinkToFit="1"/>
    </xf>
    <xf numFmtId="0" fontId="10" fillId="0" borderId="55" xfId="2" applyFont="1" applyBorder="1" applyAlignment="1">
      <alignment horizontal="distributed" vertical="center" shrinkToFit="1"/>
    </xf>
    <xf numFmtId="0" fontId="10" fillId="0" borderId="162" xfId="2" applyFont="1" applyBorder="1" applyAlignment="1">
      <alignment horizontal="distributed" vertical="center" shrinkToFit="1"/>
    </xf>
    <xf numFmtId="0" fontId="10" fillId="0" borderId="54" xfId="2" applyFont="1" applyBorder="1" applyAlignment="1">
      <alignment horizontal="center" vertical="center" wrapText="1" shrinkToFit="1"/>
    </xf>
    <xf numFmtId="0" fontId="10" fillId="0" borderId="162" xfId="2" applyFont="1" applyBorder="1" applyAlignment="1">
      <alignment horizontal="center" vertical="center" wrapText="1" shrinkToFit="1"/>
    </xf>
    <xf numFmtId="0" fontId="10" fillId="0" borderId="59" xfId="2" applyFont="1" applyBorder="1" applyAlignment="1">
      <alignment horizontal="center" vertical="center" wrapText="1" shrinkToFit="1"/>
    </xf>
    <xf numFmtId="0" fontId="10" fillId="0" borderId="80" xfId="2" applyFont="1" applyBorder="1" applyAlignment="1">
      <alignment horizontal="center" vertical="center" wrapText="1" shrinkToFit="1"/>
    </xf>
    <xf numFmtId="0" fontId="10" fillId="0" borderId="120" xfId="2" applyFont="1" applyBorder="1" applyAlignment="1">
      <alignment horizontal="center" vertical="center" wrapText="1" shrinkToFit="1"/>
    </xf>
    <xf numFmtId="0" fontId="10" fillId="0" borderId="116" xfId="2" applyFont="1" applyBorder="1" applyAlignment="1">
      <alignment horizontal="center" vertical="center" wrapText="1" shrinkToFit="1"/>
    </xf>
    <xf numFmtId="0" fontId="10" fillId="0" borderId="0" xfId="2" applyFont="1" applyAlignment="1">
      <alignment horizontal="center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104" xfId="2" applyFont="1" applyBorder="1" applyAlignment="1">
      <alignment horizontal="distributed" vertical="center"/>
    </xf>
    <xf numFmtId="0" fontId="10" fillId="0" borderId="111" xfId="2" applyFont="1" applyBorder="1" applyAlignment="1">
      <alignment horizontal="distributed" vertical="center"/>
    </xf>
    <xf numFmtId="0" fontId="10" fillId="0" borderId="115" xfId="2" applyFont="1" applyBorder="1" applyAlignment="1">
      <alignment horizontal="distributed" vertical="center"/>
    </xf>
    <xf numFmtId="0" fontId="10" fillId="0" borderId="94" xfId="2" applyFont="1" applyBorder="1" applyAlignment="1">
      <alignment horizontal="distributed" vertical="center"/>
    </xf>
    <xf numFmtId="49" fontId="10" fillId="0" borderId="142" xfId="3" applyNumberFormat="1" applyFont="1" applyBorder="1" applyAlignment="1">
      <alignment horizontal="right" vertical="center"/>
    </xf>
    <xf numFmtId="49" fontId="10" fillId="0" borderId="143" xfId="3" applyNumberFormat="1" applyFont="1" applyBorder="1" applyAlignment="1">
      <alignment horizontal="right" vertical="center"/>
    </xf>
    <xf numFmtId="49" fontId="10" fillId="0" borderId="144" xfId="3" applyNumberFormat="1" applyFont="1" applyBorder="1" applyAlignment="1">
      <alignment horizontal="right" vertical="center"/>
    </xf>
    <xf numFmtId="49" fontId="10" fillId="3" borderId="53" xfId="3" applyNumberFormat="1" applyFont="1" applyFill="1" applyBorder="1" applyAlignment="1">
      <alignment horizontal="right" vertical="center"/>
    </xf>
    <xf numFmtId="49" fontId="10" fillId="3" borderId="51" xfId="3" applyNumberFormat="1" applyFont="1" applyFill="1" applyBorder="1" applyAlignment="1">
      <alignment horizontal="right" vertical="center"/>
    </xf>
    <xf numFmtId="49" fontId="10" fillId="3" borderId="89" xfId="3" applyNumberFormat="1" applyFont="1" applyFill="1" applyBorder="1" applyAlignment="1">
      <alignment horizontal="right" vertical="center"/>
    </xf>
    <xf numFmtId="49" fontId="10" fillId="0" borderId="105" xfId="3" applyNumberFormat="1" applyFont="1" applyBorder="1" applyAlignment="1">
      <alignment horizontal="right" vertical="center"/>
    </xf>
    <xf numFmtId="49" fontId="10" fillId="0" borderId="106" xfId="3" applyNumberFormat="1" applyFont="1" applyBorder="1" applyAlignment="1">
      <alignment horizontal="right" vertical="center"/>
    </xf>
    <xf numFmtId="49" fontId="10" fillId="0" borderId="145" xfId="3" applyNumberFormat="1" applyFont="1" applyBorder="1" applyAlignment="1">
      <alignment horizontal="right" vertical="center"/>
    </xf>
    <xf numFmtId="49" fontId="10" fillId="0" borderId="44" xfId="2" applyNumberFormat="1" applyFont="1" applyBorder="1" applyAlignment="1" applyProtection="1">
      <alignment horizontal="right" vertical="center" shrinkToFit="1"/>
      <protection locked="0"/>
    </xf>
    <xf numFmtId="49" fontId="10" fillId="0" borderId="43" xfId="2" applyNumberFormat="1" applyFont="1" applyBorder="1" applyAlignment="1" applyProtection="1">
      <alignment horizontal="right" vertical="center" shrinkToFit="1"/>
      <protection locked="0"/>
    </xf>
    <xf numFmtId="49" fontId="10" fillId="0" borderId="45" xfId="2" applyNumberFormat="1" applyFont="1" applyBorder="1" applyAlignment="1" applyProtection="1">
      <alignment horizontal="right" vertical="center" shrinkToFit="1"/>
      <protection locked="0"/>
    </xf>
    <xf numFmtId="0" fontId="26" fillId="0" borderId="101" xfId="2" applyFont="1" applyBorder="1" applyAlignment="1">
      <alignment horizontal="distributed" vertical="center"/>
    </xf>
    <xf numFmtId="0" fontId="10" fillId="0" borderId="18" xfId="2" applyFont="1" applyBorder="1" applyAlignment="1">
      <alignment horizontal="distributed" vertical="center" shrinkToFit="1"/>
    </xf>
    <xf numFmtId="0" fontId="10" fillId="0" borderId="81" xfId="2" applyFont="1" applyBorder="1" applyAlignment="1">
      <alignment horizontal="distributed" vertical="center" shrinkToFit="1"/>
    </xf>
    <xf numFmtId="49" fontId="10" fillId="0" borderId="5" xfId="3" applyNumberFormat="1" applyFont="1" applyBorder="1" applyAlignment="1" applyProtection="1">
      <alignment horizontal="right" vertical="center" shrinkToFit="1"/>
      <protection locked="0"/>
    </xf>
    <xf numFmtId="49" fontId="10" fillId="0" borderId="18" xfId="3" applyNumberFormat="1" applyFont="1" applyBorder="1" applyAlignment="1" applyProtection="1">
      <alignment horizontal="right" vertical="center" shrinkToFit="1"/>
      <protection locked="0"/>
    </xf>
    <xf numFmtId="0" fontId="26" fillId="0" borderId="58" xfId="2" applyFont="1" applyBorder="1" applyAlignment="1">
      <alignment horizontal="distributed" vertical="center"/>
    </xf>
    <xf numFmtId="0" fontId="26" fillId="0" borderId="50" xfId="2" applyFont="1" applyBorder="1" applyAlignment="1">
      <alignment horizontal="distributed" vertical="center"/>
    </xf>
    <xf numFmtId="49" fontId="10" fillId="0" borderId="42" xfId="2" applyNumberFormat="1" applyFont="1" applyBorder="1" applyAlignment="1">
      <alignment horizontal="center" vertical="center" shrinkToFit="1"/>
    </xf>
    <xf numFmtId="49" fontId="10" fillId="0" borderId="43" xfId="2" applyNumberFormat="1" applyFont="1" applyBorder="1" applyAlignment="1">
      <alignment horizontal="center" vertical="center" shrinkToFit="1"/>
    </xf>
    <xf numFmtId="49" fontId="10" fillId="0" borderId="50" xfId="2" applyNumberFormat="1" applyFont="1" applyBorder="1" applyAlignment="1">
      <alignment horizontal="center" vertical="center" shrinkToFit="1"/>
    </xf>
    <xf numFmtId="49" fontId="10" fillId="0" borderId="85" xfId="2" applyNumberFormat="1" applyFont="1" applyBorder="1" applyAlignment="1">
      <alignment horizontal="center" vertical="center" shrinkToFit="1"/>
    </xf>
    <xf numFmtId="49" fontId="10" fillId="0" borderId="55" xfId="2" applyNumberFormat="1" applyFont="1" applyBorder="1" applyAlignment="1">
      <alignment horizontal="center" vertical="center" shrinkToFit="1"/>
    </xf>
    <xf numFmtId="49" fontId="10" fillId="0" borderId="57" xfId="2" applyNumberFormat="1" applyFont="1" applyBorder="1" applyAlignment="1">
      <alignment horizontal="center" vertical="center" shrinkToFit="1"/>
    </xf>
    <xf numFmtId="49" fontId="10" fillId="3" borderId="44" xfId="2" applyNumberFormat="1" applyFont="1" applyFill="1" applyBorder="1" applyAlignment="1">
      <alignment horizontal="right" vertical="center" shrinkToFit="1"/>
    </xf>
    <xf numFmtId="49" fontId="10" fillId="3" borderId="43" xfId="2" applyNumberFormat="1" applyFont="1" applyFill="1" applyBorder="1" applyAlignment="1">
      <alignment horizontal="right" vertical="center" shrinkToFit="1"/>
    </xf>
    <xf numFmtId="49" fontId="10" fillId="3" borderId="45" xfId="2" applyNumberFormat="1" applyFont="1" applyFill="1" applyBorder="1" applyAlignment="1">
      <alignment horizontal="right" vertical="center" shrinkToFit="1"/>
    </xf>
    <xf numFmtId="0" fontId="10" fillId="0" borderId="5" xfId="2" applyFont="1" applyBorder="1" applyAlignment="1">
      <alignment horizontal="distributed" vertical="center"/>
    </xf>
    <xf numFmtId="0" fontId="10" fillId="0" borderId="18" xfId="2" applyFont="1" applyBorder="1" applyAlignment="1">
      <alignment horizontal="distributed" vertical="center"/>
    </xf>
    <xf numFmtId="0" fontId="10" fillId="0" borderId="81" xfId="2" applyFont="1" applyBorder="1" applyAlignment="1">
      <alignment horizontal="distributed" vertical="center"/>
    </xf>
    <xf numFmtId="0" fontId="26" fillId="0" borderId="54" xfId="2" applyFont="1" applyBorder="1" applyAlignment="1">
      <alignment horizontal="distributed" vertical="center"/>
    </xf>
    <xf numFmtId="0" fontId="26" fillId="0" borderId="57" xfId="2" applyFont="1" applyBorder="1" applyAlignment="1">
      <alignment horizontal="distributed" vertical="center"/>
    </xf>
    <xf numFmtId="0" fontId="4" fillId="0" borderId="64" xfId="3" applyFont="1" applyBorder="1" applyAlignment="1">
      <alignment horizontal="distributed" vertical="center"/>
    </xf>
    <xf numFmtId="0" fontId="4" fillId="0" borderId="47" xfId="3" applyFont="1" applyBorder="1" applyAlignment="1">
      <alignment horizontal="distributed" vertical="center"/>
    </xf>
    <xf numFmtId="0" fontId="4" fillId="0" borderId="65" xfId="3" applyFont="1" applyBorder="1" applyAlignment="1">
      <alignment horizontal="distributed" vertical="center"/>
    </xf>
    <xf numFmtId="0" fontId="10" fillId="0" borderId="161" xfId="2" applyFont="1" applyBorder="1" applyAlignment="1">
      <alignment horizontal="distributed" vertical="center" wrapText="1"/>
    </xf>
    <xf numFmtId="0" fontId="10" fillId="0" borderId="81" xfId="2" applyFont="1" applyBorder="1" applyAlignment="1">
      <alignment horizontal="distributed" vertical="center" wrapText="1"/>
    </xf>
    <xf numFmtId="0" fontId="10" fillId="0" borderId="59" xfId="2" applyFont="1" applyBorder="1" applyAlignment="1">
      <alignment horizontal="distributed" vertical="center" wrapText="1"/>
    </xf>
    <xf numFmtId="0" fontId="10" fillId="0" borderId="80" xfId="2" applyFont="1" applyBorder="1" applyAlignment="1">
      <alignment horizontal="distributed" vertical="center" wrapText="1"/>
    </xf>
    <xf numFmtId="0" fontId="9" fillId="0" borderId="119" xfId="2" applyFont="1" applyBorder="1" applyAlignment="1">
      <alignment horizontal="distributed" vertical="center"/>
    </xf>
    <xf numFmtId="0" fontId="9" fillId="0" borderId="92" xfId="2" applyFont="1" applyBorder="1" applyAlignment="1">
      <alignment horizontal="distributed" vertical="center"/>
    </xf>
    <xf numFmtId="0" fontId="16" fillId="0" borderId="58" xfId="3" applyFont="1" applyBorder="1" applyAlignment="1">
      <alignment horizontal="distributed" vertical="center"/>
    </xf>
    <xf numFmtId="0" fontId="16" fillId="0" borderId="43" xfId="3" applyFont="1" applyBorder="1" applyAlignment="1">
      <alignment horizontal="distributed" vertical="center"/>
    </xf>
    <xf numFmtId="0" fontId="16" fillId="0" borderId="50" xfId="3" applyFont="1" applyBorder="1" applyAlignment="1">
      <alignment horizontal="distributed" vertical="center"/>
    </xf>
    <xf numFmtId="0" fontId="10" fillId="0" borderId="61" xfId="2" applyFont="1" applyBorder="1" applyAlignment="1">
      <alignment horizontal="center" vertical="center" textRotation="255"/>
    </xf>
    <xf numFmtId="0" fontId="10" fillId="0" borderId="153" xfId="2" applyFont="1" applyBorder="1" applyAlignment="1">
      <alignment horizontal="center" vertical="center" textRotation="255"/>
    </xf>
    <xf numFmtId="0" fontId="10" fillId="0" borderId="119" xfId="2" applyFont="1" applyBorder="1" applyAlignment="1">
      <alignment horizontal="distributed" vertical="center" shrinkToFit="1"/>
    </xf>
    <xf numFmtId="0" fontId="10" fillId="0" borderId="91" xfId="2" applyFont="1" applyBorder="1" applyAlignment="1">
      <alignment horizontal="distributed" vertical="center" shrinkToFit="1"/>
    </xf>
    <xf numFmtId="0" fontId="10" fillId="0" borderId="110" xfId="2" applyFont="1" applyBorder="1" applyAlignment="1">
      <alignment horizontal="distributed" vertical="center" shrinkToFit="1"/>
    </xf>
    <xf numFmtId="49" fontId="10" fillId="0" borderId="19" xfId="3" applyNumberFormat="1" applyFont="1" applyBorder="1" applyAlignment="1" applyProtection="1">
      <alignment horizontal="right" vertical="center" shrinkToFit="1"/>
      <protection locked="0"/>
    </xf>
    <xf numFmtId="0" fontId="4" fillId="0" borderId="58" xfId="2" applyFont="1" applyBorder="1" applyAlignment="1">
      <alignment horizontal="distributed" vertical="center"/>
    </xf>
    <xf numFmtId="0" fontId="4" fillId="0" borderId="43" xfId="2" applyFont="1" applyBorder="1" applyAlignment="1">
      <alignment horizontal="distributed" vertical="center"/>
    </xf>
    <xf numFmtId="0" fontId="4" fillId="0" borderId="99" xfId="2" applyFont="1" applyBorder="1" applyAlignment="1">
      <alignment horizontal="distributed" vertical="center"/>
    </xf>
    <xf numFmtId="49" fontId="10" fillId="3" borderId="56" xfId="2" applyNumberFormat="1" applyFont="1" applyFill="1" applyBorder="1" applyAlignment="1">
      <alignment horizontal="right" vertical="center" shrinkToFit="1"/>
    </xf>
    <xf numFmtId="49" fontId="10" fillId="3" borderId="55" xfId="2" applyNumberFormat="1" applyFont="1" applyFill="1" applyBorder="1" applyAlignment="1">
      <alignment horizontal="right" vertical="center" shrinkToFit="1"/>
    </xf>
    <xf numFmtId="49" fontId="10" fillId="3" borderId="83" xfId="2" applyNumberFormat="1" applyFont="1" applyFill="1" applyBorder="1" applyAlignment="1">
      <alignment horizontal="right" vertical="center" shrinkToFit="1"/>
    </xf>
    <xf numFmtId="0" fontId="10" fillId="0" borderId="18" xfId="2" applyFont="1" applyBorder="1" applyAlignment="1">
      <alignment horizontal="center" vertical="center" wrapText="1"/>
    </xf>
    <xf numFmtId="0" fontId="4" fillId="0" borderId="60" xfId="2" applyFont="1" applyBorder="1" applyAlignment="1">
      <alignment horizontal="distributed" vertical="center"/>
    </xf>
    <xf numFmtId="0" fontId="4" fillId="0" borderId="51" xfId="2" applyFont="1" applyBorder="1" applyAlignment="1">
      <alignment horizontal="distributed" vertical="center"/>
    </xf>
    <xf numFmtId="0" fontId="4" fillId="0" borderId="111" xfId="2" applyFont="1" applyBorder="1" applyAlignment="1">
      <alignment horizontal="distributed" vertical="center"/>
    </xf>
    <xf numFmtId="49" fontId="10" fillId="3" borderId="53" xfId="3" applyNumberFormat="1" applyFont="1" applyFill="1" applyBorder="1" applyAlignment="1">
      <alignment horizontal="right" vertical="center" shrinkToFit="1"/>
    </xf>
    <xf numFmtId="49" fontId="10" fillId="3" borderId="51" xfId="3" applyNumberFormat="1" applyFont="1" applyFill="1" applyBorder="1" applyAlignment="1">
      <alignment horizontal="right" vertical="center" shrinkToFit="1"/>
    </xf>
    <xf numFmtId="49" fontId="10" fillId="3" borderId="52" xfId="3" applyNumberFormat="1" applyFont="1" applyFill="1" applyBorder="1" applyAlignment="1">
      <alignment horizontal="right" vertical="center" shrinkToFit="1"/>
    </xf>
    <xf numFmtId="0" fontId="10" fillId="0" borderId="54" xfId="2" applyFont="1" applyBorder="1" applyAlignment="1">
      <alignment horizontal="distributed" vertical="center" wrapText="1"/>
    </xf>
    <xf numFmtId="0" fontId="10" fillId="0" borderId="162" xfId="2" applyFont="1" applyBorder="1" applyAlignment="1">
      <alignment horizontal="distributed" vertical="center" wrapText="1"/>
    </xf>
    <xf numFmtId="0" fontId="9" fillId="0" borderId="58" xfId="2" applyFont="1" applyBorder="1" applyAlignment="1">
      <alignment horizontal="distributed" vertical="center"/>
    </xf>
    <xf numFmtId="0" fontId="9" fillId="0" borderId="50" xfId="2" applyFont="1" applyBorder="1" applyAlignment="1">
      <alignment horizontal="distributed" vertical="center"/>
    </xf>
    <xf numFmtId="49" fontId="10" fillId="3" borderId="56" xfId="3" applyNumberFormat="1" applyFont="1" applyFill="1" applyBorder="1" applyAlignment="1">
      <alignment horizontal="right" vertical="center" shrinkToFit="1"/>
    </xf>
    <xf numFmtId="49" fontId="10" fillId="3" borderId="55" xfId="3" applyNumberFormat="1" applyFont="1" applyFill="1" applyBorder="1" applyAlignment="1">
      <alignment horizontal="right" vertical="center" shrinkToFit="1"/>
    </xf>
    <xf numFmtId="0" fontId="10" fillId="0" borderId="120" xfId="2" applyFont="1" applyBorder="1" applyAlignment="1">
      <alignment horizontal="center" vertical="center"/>
    </xf>
    <xf numFmtId="0" fontId="10" fillId="0" borderId="116" xfId="2" applyFont="1" applyBorder="1" applyAlignment="1">
      <alignment horizontal="center" vertical="center"/>
    </xf>
    <xf numFmtId="49" fontId="10" fillId="0" borderId="34" xfId="3" applyNumberFormat="1" applyFont="1" applyBorder="1" applyAlignment="1" applyProtection="1">
      <alignment horizontal="right" vertical="center"/>
      <protection locked="0"/>
    </xf>
    <xf numFmtId="49" fontId="10" fillId="0" borderId="6" xfId="3" applyNumberFormat="1" applyFont="1" applyBorder="1" applyAlignment="1" applyProtection="1">
      <alignment horizontal="right" vertical="center"/>
      <protection locked="0"/>
    </xf>
    <xf numFmtId="49" fontId="10" fillId="0" borderId="39" xfId="3" applyNumberFormat="1" applyFont="1" applyBorder="1" applyAlignment="1" applyProtection="1">
      <alignment horizontal="right" vertical="center"/>
      <protection locked="0"/>
    </xf>
    <xf numFmtId="0" fontId="16" fillId="0" borderId="58" xfId="3" applyFont="1" applyBorder="1" applyAlignment="1">
      <alignment horizontal="distributed" vertical="center" shrinkToFit="1"/>
    </xf>
    <xf numFmtId="0" fontId="16" fillId="0" borderId="43" xfId="3" applyFont="1" applyBorder="1" applyAlignment="1">
      <alignment horizontal="distributed" vertical="center" shrinkToFit="1"/>
    </xf>
    <xf numFmtId="0" fontId="16" fillId="0" borderId="50" xfId="3" applyFont="1" applyBorder="1" applyAlignment="1">
      <alignment horizontal="distributed" vertical="center" shrinkToFit="1"/>
    </xf>
    <xf numFmtId="0" fontId="4" fillId="0" borderId="58" xfId="3" applyFont="1" applyBorder="1" applyAlignment="1">
      <alignment horizontal="center" vertical="center" shrinkToFit="1"/>
    </xf>
    <xf numFmtId="0" fontId="4" fillId="0" borderId="43" xfId="3" applyFont="1" applyBorder="1" applyAlignment="1">
      <alignment horizontal="center" vertical="center" shrinkToFit="1"/>
    </xf>
    <xf numFmtId="0" fontId="4" fillId="0" borderId="50" xfId="3" applyFont="1" applyBorder="1" applyAlignment="1">
      <alignment horizontal="center" vertical="center" shrinkToFit="1"/>
    </xf>
    <xf numFmtId="49" fontId="10" fillId="0" borderId="90" xfId="3" applyNumberFormat="1" applyFont="1" applyBorder="1" applyAlignment="1" applyProtection="1">
      <alignment horizontal="right" vertical="center" shrinkToFit="1"/>
      <protection locked="0"/>
    </xf>
    <xf numFmtId="49" fontId="10" fillId="0" borderId="91" xfId="3" applyNumberFormat="1" applyFont="1" applyBorder="1" applyAlignment="1" applyProtection="1">
      <alignment horizontal="right" vertical="center" shrinkToFit="1"/>
      <protection locked="0"/>
    </xf>
    <xf numFmtId="49" fontId="10" fillId="0" borderId="92" xfId="3" applyNumberFormat="1" applyFont="1" applyBorder="1" applyAlignment="1" applyProtection="1">
      <alignment horizontal="right" vertical="center" shrinkToFit="1"/>
      <protection locked="0"/>
    </xf>
    <xf numFmtId="0" fontId="10" fillId="0" borderId="119" xfId="2" applyFont="1" applyBorder="1" applyAlignment="1">
      <alignment horizontal="distributed" vertical="center"/>
    </xf>
    <xf numFmtId="0" fontId="10" fillId="0" borderId="91" xfId="2" applyFont="1" applyBorder="1" applyAlignment="1">
      <alignment horizontal="distributed" vertical="center"/>
    </xf>
    <xf numFmtId="0" fontId="10" fillId="0" borderId="92" xfId="2" applyFont="1" applyBorder="1" applyAlignment="1">
      <alignment horizontal="distributed" vertical="center"/>
    </xf>
    <xf numFmtId="0" fontId="17" fillId="0" borderId="60" xfId="2" applyFont="1" applyBorder="1" applyAlignment="1">
      <alignment horizontal="distributed" vertical="center" wrapText="1"/>
    </xf>
    <xf numFmtId="0" fontId="17" fillId="0" borderId="51" xfId="2" applyFont="1" applyBorder="1" applyAlignment="1">
      <alignment horizontal="distributed" vertical="center" wrapText="1"/>
    </xf>
    <xf numFmtId="0" fontId="17" fillId="0" borderId="58" xfId="2" applyFont="1" applyBorder="1" applyAlignment="1">
      <alignment horizontal="distributed" vertical="center" shrinkToFit="1"/>
    </xf>
    <xf numFmtId="0" fontId="17" fillId="0" borderId="43" xfId="2" applyFont="1" applyBorder="1" applyAlignment="1">
      <alignment horizontal="distributed" vertical="center" shrinkToFit="1"/>
    </xf>
    <xf numFmtId="0" fontId="10" fillId="0" borderId="81" xfId="2" applyFont="1" applyBorder="1" applyAlignment="1">
      <alignment horizontal="center" vertical="center" textRotation="255" wrapText="1"/>
    </xf>
    <xf numFmtId="0" fontId="10" fillId="0" borderId="80" xfId="2" applyFont="1" applyBorder="1" applyAlignment="1">
      <alignment horizontal="center" vertical="center" textRotation="255" wrapText="1"/>
    </xf>
    <xf numFmtId="0" fontId="10" fillId="0" borderId="116" xfId="2" applyFont="1" applyBorder="1" applyAlignment="1">
      <alignment horizontal="center" vertical="center" textRotation="255" wrapText="1"/>
    </xf>
    <xf numFmtId="0" fontId="10" fillId="0" borderId="117" xfId="2" applyFont="1" applyBorder="1" applyAlignment="1">
      <alignment horizontal="distributed" vertical="center"/>
    </xf>
    <xf numFmtId="49" fontId="10" fillId="0" borderId="56" xfId="3" applyNumberFormat="1" applyFont="1" applyBorder="1" applyAlignment="1" applyProtection="1">
      <alignment horizontal="right" vertical="center" shrinkToFit="1"/>
      <protection locked="0"/>
    </xf>
    <xf numFmtId="49" fontId="10" fillId="0" borderId="55" xfId="3" applyNumberFormat="1" applyFont="1" applyBorder="1" applyAlignment="1" applyProtection="1">
      <alignment horizontal="right" vertical="center" shrinkToFit="1"/>
      <protection locked="0"/>
    </xf>
    <xf numFmtId="49" fontId="10" fillId="0" borderId="57" xfId="3" applyNumberFormat="1" applyFont="1" applyBorder="1" applyAlignment="1" applyProtection="1">
      <alignment horizontal="right" vertical="center" shrinkToFit="1"/>
      <protection locked="0"/>
    </xf>
    <xf numFmtId="0" fontId="10" fillId="0" borderId="13" xfId="2" applyFont="1" applyBorder="1" applyAlignment="1">
      <alignment horizontal="center" vertical="center" textRotation="255"/>
    </xf>
    <xf numFmtId="49" fontId="10" fillId="3" borderId="57" xfId="3" applyNumberFormat="1" applyFont="1" applyFill="1" applyBorder="1" applyAlignment="1">
      <alignment horizontal="right" vertical="center" shrinkToFit="1"/>
    </xf>
    <xf numFmtId="0" fontId="10" fillId="0" borderId="6" xfId="2" applyFont="1" applyBorder="1" applyAlignment="1">
      <alignment horizontal="distributed" vertical="center"/>
    </xf>
    <xf numFmtId="0" fontId="10" fillId="0" borderId="118" xfId="2" applyFont="1" applyBorder="1" applyAlignment="1">
      <alignment horizontal="distributed" vertical="center"/>
    </xf>
    <xf numFmtId="49" fontId="10" fillId="0" borderId="146" xfId="3" applyNumberFormat="1" applyFont="1" applyBorder="1" applyAlignment="1">
      <alignment horizontal="right" vertical="center"/>
    </xf>
    <xf numFmtId="49" fontId="10" fillId="0" borderId="147" xfId="3" applyNumberFormat="1" applyFont="1" applyBorder="1" applyAlignment="1">
      <alignment horizontal="right" vertical="center"/>
    </xf>
    <xf numFmtId="49" fontId="10" fillId="0" borderId="148" xfId="3" applyNumberFormat="1" applyFont="1" applyBorder="1" applyAlignment="1">
      <alignment horizontal="right" vertical="center"/>
    </xf>
    <xf numFmtId="0" fontId="16" fillId="0" borderId="54" xfId="3" applyFont="1" applyBorder="1" applyAlignment="1">
      <alignment horizontal="distributed" vertical="center" shrinkToFit="1"/>
    </xf>
    <xf numFmtId="0" fontId="16" fillId="0" borderId="55" xfId="3" applyFont="1" applyBorder="1" applyAlignment="1">
      <alignment horizontal="distributed" vertical="center" shrinkToFit="1"/>
    </xf>
    <xf numFmtId="0" fontId="16" fillId="0" borderId="57" xfId="3" applyFont="1" applyBorder="1" applyAlignment="1">
      <alignment horizontal="distributed" vertical="center" shrinkToFit="1"/>
    </xf>
    <xf numFmtId="0" fontId="10" fillId="0" borderId="43" xfId="2" applyFont="1" applyBorder="1" applyAlignment="1">
      <alignment horizontal="distributed" vertical="center"/>
    </xf>
    <xf numFmtId="49" fontId="10" fillId="3" borderId="50" xfId="3" applyNumberFormat="1" applyFont="1" applyFill="1" applyBorder="1" applyAlignment="1">
      <alignment horizontal="right" vertical="center" shrinkToFit="1"/>
    </xf>
    <xf numFmtId="0" fontId="10" fillId="0" borderId="18" xfId="2" applyFont="1" applyBorder="1" applyAlignment="1">
      <alignment horizontal="center" vertical="center" textRotation="255"/>
    </xf>
    <xf numFmtId="0" fontId="10" fillId="0" borderId="119" xfId="2" applyFont="1" applyBorder="1" applyAlignment="1">
      <alignment horizontal="distributed" vertical="center" textRotation="255"/>
    </xf>
    <xf numFmtId="0" fontId="10" fillId="0" borderId="110" xfId="2" applyFont="1" applyBorder="1" applyAlignment="1">
      <alignment horizontal="distributed" vertical="center" textRotation="255"/>
    </xf>
    <xf numFmtId="0" fontId="10" fillId="0" borderId="58" xfId="2" applyFont="1" applyBorder="1" applyAlignment="1">
      <alignment horizontal="distributed" vertical="center" textRotation="255"/>
    </xf>
    <xf numFmtId="0" fontId="10" fillId="0" borderId="99" xfId="2" applyFont="1" applyBorder="1" applyAlignment="1">
      <alignment horizontal="distributed" vertical="center" textRotation="255"/>
    </xf>
    <xf numFmtId="0" fontId="10" fillId="0" borderId="58" xfId="2" applyFont="1" applyBorder="1" applyAlignment="1">
      <alignment horizontal="center" vertical="center" wrapText="1"/>
    </xf>
    <xf numFmtId="0" fontId="10" fillId="0" borderId="43" xfId="2" applyFont="1" applyBorder="1" applyAlignment="1">
      <alignment horizontal="center" vertical="center" wrapText="1"/>
    </xf>
    <xf numFmtId="0" fontId="10" fillId="0" borderId="50" xfId="2" applyFont="1" applyBorder="1" applyAlignment="1">
      <alignment horizontal="center" vertical="center" wrapText="1"/>
    </xf>
    <xf numFmtId="49" fontId="10" fillId="0" borderId="92" xfId="3" applyNumberFormat="1" applyFont="1" applyBorder="1" applyAlignment="1" applyProtection="1">
      <alignment horizontal="right" vertical="center"/>
      <protection locked="0"/>
    </xf>
    <xf numFmtId="49" fontId="10" fillId="0" borderId="50" xfId="3" applyNumberFormat="1" applyFont="1" applyBorder="1" applyAlignment="1" applyProtection="1">
      <alignment horizontal="right" vertical="center"/>
      <protection locked="0"/>
    </xf>
    <xf numFmtId="0" fontId="10" fillId="0" borderId="54" xfId="2" applyFont="1" applyBorder="1" applyAlignment="1">
      <alignment horizontal="distributed" vertical="center"/>
    </xf>
    <xf numFmtId="0" fontId="10" fillId="0" borderId="55" xfId="2" applyFont="1" applyBorder="1" applyAlignment="1">
      <alignment horizontal="distributed" vertical="center"/>
    </xf>
    <xf numFmtId="49" fontId="10" fillId="3" borderId="52" xfId="3" applyNumberFormat="1" applyFont="1" applyFill="1" applyBorder="1" applyAlignment="1">
      <alignment horizontal="right" vertical="center"/>
    </xf>
    <xf numFmtId="0" fontId="8" fillId="0" borderId="27" xfId="3" applyFont="1" applyBorder="1" applyAlignment="1">
      <alignment horizontal="left" vertical="center"/>
    </xf>
    <xf numFmtId="0" fontId="8" fillId="0" borderId="11" xfId="3" applyFont="1" applyBorder="1" applyAlignment="1">
      <alignment horizontal="left" vertical="center"/>
    </xf>
    <xf numFmtId="0" fontId="8" fillId="0" borderId="29" xfId="3" applyFont="1" applyBorder="1" applyAlignment="1">
      <alignment horizontal="left" vertical="center"/>
    </xf>
    <xf numFmtId="0" fontId="10" fillId="0" borderId="19" xfId="2" applyFont="1" applyBorder="1" applyAlignment="1">
      <alignment horizontal="distributed" vertical="center"/>
    </xf>
    <xf numFmtId="49" fontId="10" fillId="0" borderId="209" xfId="3" applyNumberFormat="1" applyFont="1" applyBorder="1" applyAlignment="1">
      <alignment horizontal="right" vertical="center"/>
    </xf>
    <xf numFmtId="49" fontId="10" fillId="0" borderId="210" xfId="3" applyNumberFormat="1" applyFont="1" applyBorder="1" applyAlignment="1">
      <alignment horizontal="right" vertical="center"/>
    </xf>
    <xf numFmtId="49" fontId="10" fillId="0" borderId="211" xfId="3" applyNumberFormat="1" applyFont="1" applyBorder="1" applyAlignment="1">
      <alignment horizontal="right" vertical="center"/>
    </xf>
    <xf numFmtId="49" fontId="10" fillId="3" borderId="41" xfId="3" applyNumberFormat="1" applyFont="1" applyFill="1" applyBorder="1" applyAlignment="1">
      <alignment horizontal="right" vertical="center"/>
    </xf>
    <xf numFmtId="49" fontId="10" fillId="3" borderId="37" xfId="3" applyNumberFormat="1" applyFont="1" applyFill="1" applyBorder="1" applyAlignment="1">
      <alignment horizontal="right" vertical="center"/>
    </xf>
    <xf numFmtId="49" fontId="10" fillId="3" borderId="171" xfId="3" applyNumberFormat="1" applyFont="1" applyFill="1" applyBorder="1" applyAlignment="1">
      <alignment horizontal="right" vertical="center"/>
    </xf>
    <xf numFmtId="0" fontId="10" fillId="0" borderId="98" xfId="2" applyFont="1" applyBorder="1" applyAlignment="1">
      <alignment horizontal="distributed" vertical="center"/>
    </xf>
    <xf numFmtId="49" fontId="10" fillId="3" borderId="53" xfId="2" applyNumberFormat="1" applyFont="1" applyFill="1" applyBorder="1" applyAlignment="1">
      <alignment horizontal="right" vertical="center" shrinkToFit="1"/>
    </xf>
    <xf numFmtId="49" fontId="10" fillId="3" borderId="51" xfId="2" applyNumberFormat="1" applyFont="1" applyFill="1" applyBorder="1" applyAlignment="1">
      <alignment horizontal="right" vertical="center" shrinkToFit="1"/>
    </xf>
    <xf numFmtId="49" fontId="10" fillId="3" borderId="89" xfId="2" applyNumberFormat="1" applyFont="1" applyFill="1" applyBorder="1" applyAlignment="1">
      <alignment horizontal="right" vertical="center" shrinkToFit="1"/>
    </xf>
    <xf numFmtId="0" fontId="10" fillId="0" borderId="54" xfId="2" applyFont="1" applyBorder="1" applyAlignment="1">
      <alignment horizontal="center" vertical="center" textRotation="255"/>
    </xf>
    <xf numFmtId="0" fontId="10" fillId="0" borderId="162" xfId="2" applyFont="1" applyBorder="1" applyAlignment="1">
      <alignment horizontal="center" vertical="center" textRotation="255"/>
    </xf>
    <xf numFmtId="0" fontId="10" fillId="0" borderId="120" xfId="2" applyFont="1" applyBorder="1" applyAlignment="1">
      <alignment horizontal="center" vertical="center" textRotation="255"/>
    </xf>
    <xf numFmtId="0" fontId="10" fillId="0" borderId="110" xfId="2" applyFont="1" applyBorder="1" applyAlignment="1">
      <alignment horizontal="distributed" vertical="center"/>
    </xf>
    <xf numFmtId="0" fontId="4" fillId="0" borderId="60" xfId="2" applyFont="1" applyBorder="1" applyAlignment="1">
      <alignment horizontal="center" vertical="center"/>
    </xf>
    <xf numFmtId="0" fontId="4" fillId="0" borderId="51" xfId="2" applyFont="1" applyBorder="1" applyAlignment="1">
      <alignment horizontal="center" vertical="center"/>
    </xf>
    <xf numFmtId="0" fontId="4" fillId="0" borderId="52" xfId="2" applyFont="1" applyBorder="1" applyAlignment="1">
      <alignment horizontal="center" vertical="center"/>
    </xf>
    <xf numFmtId="49" fontId="10" fillId="3" borderId="2" xfId="3" applyNumberFormat="1" applyFont="1" applyFill="1" applyBorder="1" applyAlignment="1">
      <alignment horizontal="right" vertical="center" shrinkToFit="1"/>
    </xf>
    <xf numFmtId="49" fontId="10" fillId="3" borderId="0" xfId="3" applyNumberFormat="1" applyFont="1" applyFill="1" applyAlignment="1">
      <alignment horizontal="right" vertical="center" shrinkToFit="1"/>
    </xf>
    <xf numFmtId="49" fontId="10" fillId="3" borderId="20" xfId="3" applyNumberFormat="1" applyFont="1" applyFill="1" applyBorder="1" applyAlignment="1">
      <alignment horizontal="right" vertical="center" shrinkToFit="1"/>
    </xf>
    <xf numFmtId="49" fontId="10" fillId="0" borderId="9" xfId="2" applyNumberFormat="1" applyFont="1" applyBorder="1" applyAlignment="1">
      <alignment horizontal="center" vertical="center" shrinkToFit="1"/>
    </xf>
    <xf numFmtId="49" fontId="10" fillId="0" borderId="0" xfId="2" applyNumberFormat="1" applyFont="1" applyAlignment="1">
      <alignment horizontal="center" vertical="center" shrinkToFit="1"/>
    </xf>
    <xf numFmtId="49" fontId="10" fillId="0" borderId="20" xfId="2" applyNumberFormat="1" applyFont="1" applyBorder="1" applyAlignment="1">
      <alignment horizontal="center" vertical="center" shrinkToFit="1"/>
    </xf>
    <xf numFmtId="0" fontId="10" fillId="0" borderId="99" xfId="2" applyFont="1" applyBorder="1" applyAlignment="1">
      <alignment horizontal="distributed" vertical="center"/>
    </xf>
    <xf numFmtId="0" fontId="17" fillId="0" borderId="54" xfId="2" applyFont="1" applyBorder="1" applyAlignment="1">
      <alignment horizontal="distributed" vertical="center"/>
    </xf>
    <xf numFmtId="0" fontId="17" fillId="0" borderId="55" xfId="2" applyFont="1" applyBorder="1" applyAlignment="1">
      <alignment horizontal="distributed" vertical="center"/>
    </xf>
    <xf numFmtId="0" fontId="10" fillId="0" borderId="164" xfId="2" applyFont="1" applyBorder="1" applyAlignment="1">
      <alignment horizontal="distributed" vertical="center"/>
    </xf>
    <xf numFmtId="0" fontId="10" fillId="0" borderId="129" xfId="2" applyFont="1" applyBorder="1" applyAlignment="1">
      <alignment horizontal="distributed" vertical="center"/>
    </xf>
    <xf numFmtId="0" fontId="10" fillId="0" borderId="195" xfId="2" applyFont="1" applyBorder="1" applyAlignment="1">
      <alignment horizontal="distributed" vertical="center"/>
    </xf>
    <xf numFmtId="0" fontId="10" fillId="0" borderId="61" xfId="2" applyFont="1" applyBorder="1" applyAlignment="1">
      <alignment horizontal="distributed" vertical="center" textRotation="255"/>
    </xf>
    <xf numFmtId="0" fontId="10" fillId="0" borderId="153" xfId="2" applyFont="1" applyBorder="1" applyAlignment="1">
      <alignment horizontal="distributed" vertical="center" textRotation="255"/>
    </xf>
    <xf numFmtId="0" fontId="10" fillId="0" borderId="60" xfId="2" applyFont="1" applyBorder="1" applyAlignment="1">
      <alignment horizontal="distributed" vertical="center" textRotation="255"/>
    </xf>
    <xf numFmtId="0" fontId="10" fillId="0" borderId="111" xfId="2" applyFont="1" applyBorder="1" applyAlignment="1">
      <alignment horizontal="distributed" vertical="center" textRotation="255"/>
    </xf>
    <xf numFmtId="0" fontId="10" fillId="0" borderId="18" xfId="2" applyFont="1" applyBorder="1" applyAlignment="1">
      <alignment horizontal="left" vertical="center" textRotation="255"/>
    </xf>
    <xf numFmtId="0" fontId="10" fillId="0" borderId="0" xfId="2" applyFont="1" applyAlignment="1">
      <alignment horizontal="left" vertical="center" textRotation="255"/>
    </xf>
    <xf numFmtId="0" fontId="10" fillId="0" borderId="14" xfId="2" applyFont="1" applyBorder="1" applyAlignment="1">
      <alignment horizontal="left" vertical="center" textRotation="255"/>
    </xf>
    <xf numFmtId="0" fontId="9" fillId="0" borderId="5" xfId="2" applyFont="1" applyBorder="1" applyAlignment="1">
      <alignment horizontal="center" vertical="center" wrapText="1"/>
    </xf>
    <xf numFmtId="0" fontId="9" fillId="0" borderId="81" xfId="2" applyFont="1" applyBorder="1" applyAlignment="1">
      <alignment horizontal="center" vertical="center" wrapText="1"/>
    </xf>
    <xf numFmtId="0" fontId="9" fillId="0" borderId="2" xfId="2" applyFont="1" applyBorder="1" applyAlignment="1">
      <alignment horizontal="center" vertical="center" wrapText="1"/>
    </xf>
    <xf numFmtId="0" fontId="9" fillId="0" borderId="80" xfId="2" applyFont="1" applyBorder="1" applyAlignment="1">
      <alignment horizontal="center" vertical="center" wrapText="1"/>
    </xf>
    <xf numFmtId="0" fontId="9" fillId="0" borderId="17" xfId="2" applyFont="1" applyBorder="1" applyAlignment="1">
      <alignment horizontal="center" vertical="center" wrapText="1"/>
    </xf>
    <xf numFmtId="0" fontId="9" fillId="0" borderId="116" xfId="2" applyFont="1" applyBorder="1" applyAlignment="1">
      <alignment horizontal="center" vertical="center" wrapText="1"/>
    </xf>
    <xf numFmtId="0" fontId="17" fillId="0" borderId="119" xfId="2" applyFont="1" applyBorder="1" applyAlignment="1">
      <alignment horizontal="distributed" vertical="center"/>
    </xf>
    <xf numFmtId="0" fontId="17" fillId="0" borderId="91" xfId="2" applyFont="1" applyBorder="1" applyAlignment="1">
      <alignment horizontal="distributed" vertical="center"/>
    </xf>
    <xf numFmtId="0" fontId="17" fillId="0" borderId="92" xfId="2" applyFont="1" applyBorder="1" applyAlignment="1">
      <alignment horizontal="distributed" vertical="center"/>
    </xf>
    <xf numFmtId="0" fontId="9" fillId="0" borderId="43" xfId="2" applyFont="1" applyBorder="1" applyAlignment="1">
      <alignment horizontal="distributed" vertical="center"/>
    </xf>
    <xf numFmtId="0" fontId="10" fillId="0" borderId="126" xfId="2" applyFont="1" applyBorder="1" applyAlignment="1">
      <alignment horizontal="center" vertical="center" textRotation="255"/>
    </xf>
    <xf numFmtId="0" fontId="10" fillId="0" borderId="67" xfId="2" applyFont="1" applyBorder="1" applyAlignment="1">
      <alignment horizontal="center" vertical="center" textRotation="255"/>
    </xf>
    <xf numFmtId="0" fontId="10" fillId="0" borderId="125" xfId="2" applyFont="1" applyBorder="1" applyAlignment="1">
      <alignment horizontal="center" vertical="center" textRotation="255"/>
    </xf>
    <xf numFmtId="0" fontId="4" fillId="0" borderId="120" xfId="2" applyFont="1" applyBorder="1" applyAlignment="1">
      <alignment horizontal="distributed" vertical="center"/>
    </xf>
    <xf numFmtId="0" fontId="4" fillId="0" borderId="14" xfId="2" applyFont="1" applyBorder="1" applyAlignment="1">
      <alignment horizontal="distributed" vertical="center"/>
    </xf>
    <xf numFmtId="0" fontId="4" fillId="0" borderId="21" xfId="2" applyFont="1" applyBorder="1" applyAlignment="1">
      <alignment horizontal="distributed" vertical="center"/>
    </xf>
    <xf numFmtId="0" fontId="10" fillId="0" borderId="5" xfId="2" applyFont="1" applyBorder="1" applyAlignment="1">
      <alignment horizontal="center" vertical="center"/>
    </xf>
    <xf numFmtId="0" fontId="10" fillId="0" borderId="81" xfId="2" applyFont="1" applyBorder="1" applyAlignment="1">
      <alignment horizontal="center" vertical="center"/>
    </xf>
    <xf numFmtId="0" fontId="10" fillId="0" borderId="2" xfId="2" applyFont="1" applyBorder="1" applyAlignment="1">
      <alignment horizontal="center" vertical="center"/>
    </xf>
    <xf numFmtId="0" fontId="10" fillId="0" borderId="17" xfId="2" applyFont="1" applyBorder="1" applyAlignment="1">
      <alignment horizontal="center" vertical="center"/>
    </xf>
    <xf numFmtId="0" fontId="10" fillId="0" borderId="88" xfId="2" applyFont="1" applyBorder="1" applyAlignment="1">
      <alignment horizontal="distributed" vertical="center"/>
    </xf>
    <xf numFmtId="49" fontId="10" fillId="0" borderId="118" xfId="3" applyNumberFormat="1" applyFont="1" applyBorder="1" applyAlignment="1" applyProtection="1">
      <alignment horizontal="right" vertical="center"/>
      <protection locked="0"/>
    </xf>
    <xf numFmtId="0" fontId="10" fillId="0" borderId="5" xfId="2" applyFont="1" applyBorder="1" applyAlignment="1">
      <alignment horizontal="center" vertical="center" textRotation="255" wrapText="1"/>
    </xf>
    <xf numFmtId="0" fontId="10" fillId="0" borderId="18" xfId="2" applyFont="1" applyBorder="1" applyAlignment="1">
      <alignment horizontal="center" vertical="center" textRotation="255" wrapText="1"/>
    </xf>
    <xf numFmtId="0" fontId="10" fillId="0" borderId="2" xfId="2" applyFont="1" applyBorder="1" applyAlignment="1">
      <alignment horizontal="center" vertical="center" textRotation="255" wrapText="1"/>
    </xf>
    <xf numFmtId="0" fontId="10" fillId="0" borderId="0" xfId="2" applyFont="1" applyAlignment="1">
      <alignment horizontal="center" vertical="center" textRotation="255" wrapText="1"/>
    </xf>
    <xf numFmtId="0" fontId="10" fillId="0" borderId="17" xfId="2" applyFont="1" applyBorder="1" applyAlignment="1">
      <alignment horizontal="center" vertical="center" textRotation="255" wrapText="1"/>
    </xf>
    <xf numFmtId="0" fontId="10" fillId="0" borderId="14" xfId="2" applyFont="1" applyBorder="1" applyAlignment="1">
      <alignment horizontal="center" vertical="center" textRotation="255" wrapText="1"/>
    </xf>
    <xf numFmtId="0" fontId="9" fillId="0" borderId="161" xfId="2" applyFont="1" applyBorder="1" applyAlignment="1">
      <alignment horizontal="center" vertical="center" shrinkToFit="1"/>
    </xf>
    <xf numFmtId="0" fontId="9" fillId="0" borderId="18" xfId="2" applyFont="1" applyBorder="1" applyAlignment="1">
      <alignment horizontal="center" vertical="center" shrinkToFit="1"/>
    </xf>
    <xf numFmtId="0" fontId="9" fillId="0" borderId="19" xfId="2" applyFont="1" applyBorder="1" applyAlignment="1">
      <alignment horizontal="center" vertical="center" shrinkToFit="1"/>
    </xf>
    <xf numFmtId="0" fontId="9" fillId="0" borderId="58" xfId="2" applyFont="1" applyBorder="1" applyAlignment="1">
      <alignment horizontal="distributed" vertical="center" wrapText="1"/>
    </xf>
    <xf numFmtId="0" fontId="9" fillId="0" borderId="50" xfId="2" applyFont="1" applyBorder="1" applyAlignment="1">
      <alignment horizontal="distributed" vertical="center" wrapText="1"/>
    </xf>
    <xf numFmtId="49" fontId="10" fillId="0" borderId="53" xfId="3" applyNumberFormat="1" applyFont="1" applyBorder="1" applyAlignment="1" applyProtection="1">
      <alignment horizontal="right" vertical="center" shrinkToFit="1"/>
      <protection locked="0"/>
    </xf>
    <xf numFmtId="49" fontId="10" fillId="0" borderId="51" xfId="3" applyNumberFormat="1" applyFont="1" applyBorder="1" applyAlignment="1" applyProtection="1">
      <alignment horizontal="right" vertical="center" shrinkToFit="1"/>
      <protection locked="0"/>
    </xf>
    <xf numFmtId="49" fontId="10" fillId="0" borderId="52" xfId="3" applyNumberFormat="1" applyFont="1" applyBorder="1" applyAlignment="1" applyProtection="1">
      <alignment horizontal="right" vertical="center" shrinkToFit="1"/>
      <protection locked="0"/>
    </xf>
    <xf numFmtId="0" fontId="10" fillId="0" borderId="59" xfId="2" applyFont="1" applyBorder="1" applyAlignment="1">
      <alignment horizontal="distributed" vertical="center"/>
    </xf>
    <xf numFmtId="0" fontId="10" fillId="0" borderId="0" xfId="2" applyFont="1" applyAlignment="1">
      <alignment horizontal="distributed" vertical="center"/>
    </xf>
    <xf numFmtId="0" fontId="4" fillId="0" borderId="52" xfId="2" applyFont="1" applyBorder="1" applyAlignment="1">
      <alignment horizontal="distributed" vertical="center"/>
    </xf>
    <xf numFmtId="0" fontId="17" fillId="0" borderId="34" xfId="2" applyFont="1" applyBorder="1" applyAlignment="1">
      <alignment horizontal="distributed" vertical="center" shrinkToFit="1"/>
    </xf>
    <xf numFmtId="0" fontId="17" fillId="0" borderId="6" xfId="2" applyFont="1" applyBorder="1" applyAlignment="1">
      <alignment horizontal="distributed" vertical="center" shrinkToFit="1"/>
    </xf>
    <xf numFmtId="0" fontId="17" fillId="0" borderId="118" xfId="2" applyFont="1" applyBorder="1" applyAlignment="1">
      <alignment horizontal="distributed" vertical="center" shrinkToFit="1"/>
    </xf>
    <xf numFmtId="0" fontId="10" fillId="0" borderId="9" xfId="2" applyFont="1" applyBorder="1" applyAlignment="1">
      <alignment horizontal="distributed" vertical="center" shrinkToFit="1"/>
    </xf>
    <xf numFmtId="0" fontId="10" fillId="0" borderId="20" xfId="2" applyFont="1" applyBorder="1" applyAlignment="1">
      <alignment horizontal="distributed" vertical="center" shrinkToFit="1"/>
    </xf>
    <xf numFmtId="0" fontId="10" fillId="0" borderId="161" xfId="2" applyFont="1" applyBorder="1" applyAlignment="1">
      <alignment horizontal="center" vertical="center" textRotation="255" wrapText="1" shrinkToFit="1"/>
    </xf>
    <xf numFmtId="0" fontId="10" fillId="0" borderId="18" xfId="2" applyFont="1" applyBorder="1" applyAlignment="1">
      <alignment horizontal="center" vertical="center" textRotation="255" wrapText="1" shrinkToFit="1"/>
    </xf>
    <xf numFmtId="0" fontId="10" fillId="0" borderId="59" xfId="2" applyFont="1" applyBorder="1" applyAlignment="1">
      <alignment horizontal="center" vertical="center" textRotation="255" wrapText="1" shrinkToFit="1"/>
    </xf>
    <xf numFmtId="0" fontId="10" fillId="0" borderId="0" xfId="2" applyFont="1" applyAlignment="1">
      <alignment horizontal="center" vertical="center" textRotation="255" wrapText="1" shrinkToFit="1"/>
    </xf>
    <xf numFmtId="0" fontId="10" fillId="0" borderId="61" xfId="2" applyFont="1" applyBorder="1" applyAlignment="1">
      <alignment horizontal="center" vertical="center" textRotation="255" wrapText="1" shrinkToFit="1"/>
    </xf>
    <xf numFmtId="0" fontId="10" fillId="0" borderId="62" xfId="2" applyFont="1" applyBorder="1" applyAlignment="1">
      <alignment horizontal="center" vertical="center" textRotation="255" wrapText="1" shrinkToFit="1"/>
    </xf>
    <xf numFmtId="0" fontId="4" fillId="0" borderId="6" xfId="2" applyFont="1" applyBorder="1" applyAlignment="1">
      <alignment horizontal="center" vertical="center"/>
    </xf>
    <xf numFmtId="0" fontId="10" fillId="0" borderId="13" xfId="2" applyFont="1" applyBorder="1" applyAlignment="1">
      <alignment horizontal="center" vertical="center" shrinkToFit="1"/>
    </xf>
    <xf numFmtId="0" fontId="10" fillId="0" borderId="14" xfId="2" applyFont="1" applyBorder="1" applyAlignment="1">
      <alignment horizontal="center" vertical="center" shrinkToFit="1"/>
    </xf>
    <xf numFmtId="0" fontId="10" fillId="0" borderId="21" xfId="2" applyFont="1" applyBorder="1" applyAlignment="1">
      <alignment horizontal="center" vertical="center" shrinkToFit="1"/>
    </xf>
    <xf numFmtId="0" fontId="9" fillId="0" borderId="98" xfId="2" applyFont="1" applyBorder="1" applyAlignment="1">
      <alignment horizontal="distributed" vertical="center"/>
    </xf>
    <xf numFmtId="0" fontId="9" fillId="0" borderId="58" xfId="2" applyFont="1" applyBorder="1" applyAlignment="1">
      <alignment horizontal="center" vertical="center" shrinkToFit="1"/>
    </xf>
    <xf numFmtId="0" fontId="9" fillId="0" borderId="43" xfId="2" applyFont="1" applyBorder="1" applyAlignment="1">
      <alignment horizontal="center" vertical="center" shrinkToFit="1"/>
    </xf>
    <xf numFmtId="0" fontId="9" fillId="0" borderId="50" xfId="2" applyFont="1" applyBorder="1" applyAlignment="1">
      <alignment horizontal="center" vertical="center" shrinkToFit="1"/>
    </xf>
    <xf numFmtId="0" fontId="10" fillId="0" borderId="59" xfId="2" applyFont="1" applyBorder="1" applyAlignment="1">
      <alignment horizontal="center" vertical="center" wrapText="1"/>
    </xf>
    <xf numFmtId="0" fontId="10" fillId="0" borderId="61" xfId="2" applyFont="1" applyBorder="1" applyAlignment="1">
      <alignment horizontal="center" vertical="center"/>
    </xf>
    <xf numFmtId="0" fontId="10" fillId="0" borderId="153" xfId="2" applyFont="1" applyBorder="1" applyAlignment="1">
      <alignment horizontal="center" vertical="center"/>
    </xf>
    <xf numFmtId="0" fontId="9" fillId="0" borderId="100" xfId="2" applyFont="1" applyBorder="1" applyAlignment="1">
      <alignment horizontal="distributed" vertical="center"/>
    </xf>
    <xf numFmtId="0" fontId="10" fillId="0" borderId="100" xfId="2" applyFont="1" applyBorder="1" applyAlignment="1">
      <alignment horizontal="distributed" vertical="center"/>
    </xf>
    <xf numFmtId="0" fontId="10" fillId="0" borderId="200" xfId="2" applyFont="1" applyBorder="1" applyAlignment="1">
      <alignment horizontal="distributed" vertical="center"/>
    </xf>
    <xf numFmtId="0" fontId="4" fillId="0" borderId="197" xfId="2" applyFont="1" applyBorder="1" applyAlignment="1">
      <alignment horizontal="distributed" vertical="center"/>
    </xf>
    <xf numFmtId="0" fontId="4" fillId="0" borderId="198" xfId="2" applyFont="1" applyBorder="1" applyAlignment="1">
      <alignment horizontal="distributed" vertical="center"/>
    </xf>
    <xf numFmtId="0" fontId="4" fillId="0" borderId="199" xfId="2" applyFont="1" applyBorder="1" applyAlignment="1">
      <alignment horizontal="distributed" vertical="center"/>
    </xf>
    <xf numFmtId="0" fontId="8" fillId="0" borderId="27" xfId="2" applyFont="1" applyBorder="1" applyAlignment="1">
      <alignment horizontal="left" vertical="center" shrinkToFit="1"/>
    </xf>
    <xf numFmtId="0" fontId="8" fillId="0" borderId="11" xfId="2" applyFont="1" applyBorder="1" applyAlignment="1">
      <alignment horizontal="left" vertical="center" shrinkToFit="1"/>
    </xf>
    <xf numFmtId="0" fontId="8" fillId="0" borderId="29" xfId="2" applyFont="1" applyBorder="1" applyAlignment="1">
      <alignment horizontal="left" vertical="center" shrinkToFit="1"/>
    </xf>
    <xf numFmtId="0" fontId="10" fillId="0" borderId="59" xfId="2" applyFont="1" applyBorder="1" applyAlignment="1">
      <alignment horizontal="center" vertical="center" textRotation="255" shrinkToFit="1"/>
    </xf>
    <xf numFmtId="0" fontId="10" fillId="0" borderId="80" xfId="2" applyFont="1" applyBorder="1" applyAlignment="1">
      <alignment horizontal="center" vertical="center" textRotation="255" shrinkToFit="1"/>
    </xf>
    <xf numFmtId="0" fontId="10" fillId="0" borderId="61" xfId="2" applyFont="1" applyBorder="1" applyAlignment="1">
      <alignment horizontal="center" vertical="center" textRotation="255" shrinkToFit="1"/>
    </xf>
    <xf numFmtId="0" fontId="10" fillId="0" borderId="153" xfId="2" applyFont="1" applyBorder="1" applyAlignment="1">
      <alignment horizontal="center" vertical="center" textRotation="255" shrinkToFit="1"/>
    </xf>
    <xf numFmtId="49" fontId="10" fillId="0" borderId="2" xfId="3" applyNumberFormat="1" applyFont="1" applyBorder="1" applyAlignment="1" applyProtection="1">
      <alignment horizontal="right" vertical="center" shrinkToFit="1"/>
      <protection locked="0"/>
    </xf>
    <xf numFmtId="49" fontId="10" fillId="0" borderId="0" xfId="3" applyNumberFormat="1" applyFont="1" applyAlignment="1" applyProtection="1">
      <alignment horizontal="right" vertical="center" shrinkToFit="1"/>
      <protection locked="0"/>
    </xf>
    <xf numFmtId="0" fontId="10" fillId="0" borderId="125" xfId="2" applyFont="1" applyBorder="1" applyAlignment="1">
      <alignment horizontal="distributed" vertical="center"/>
    </xf>
    <xf numFmtId="49" fontId="10" fillId="3" borderId="34" xfId="3" applyNumberFormat="1" applyFont="1" applyFill="1" applyBorder="1" applyAlignment="1">
      <alignment horizontal="right" vertical="center"/>
    </xf>
    <xf numFmtId="49" fontId="10" fillId="3" borderId="6" xfId="3" applyNumberFormat="1" applyFont="1" applyFill="1" applyBorder="1" applyAlignment="1">
      <alignment horizontal="right" vertical="center"/>
    </xf>
    <xf numFmtId="49" fontId="10" fillId="3" borderId="118" xfId="3" applyNumberFormat="1" applyFont="1" applyFill="1" applyBorder="1" applyAlignment="1">
      <alignment horizontal="right" vertical="center"/>
    </xf>
    <xf numFmtId="49" fontId="10" fillId="3" borderId="39" xfId="3" applyNumberFormat="1" applyFont="1" applyFill="1" applyBorder="1" applyAlignment="1">
      <alignment horizontal="right" vertical="center"/>
    </xf>
    <xf numFmtId="49" fontId="10" fillId="3" borderId="92" xfId="3" applyNumberFormat="1" applyFont="1" applyFill="1" applyBorder="1" applyAlignment="1">
      <alignment horizontal="right" vertical="center"/>
    </xf>
    <xf numFmtId="49" fontId="4" fillId="3" borderId="157" xfId="3" applyNumberFormat="1" applyFont="1" applyFill="1" applyBorder="1" applyAlignment="1">
      <alignment horizontal="right" vertical="center"/>
    </xf>
    <xf numFmtId="49" fontId="4" fillId="0" borderId="128" xfId="3" applyNumberFormat="1" applyFont="1" applyBorder="1" applyAlignment="1" applyProtection="1">
      <alignment horizontal="right" vertical="center"/>
      <protection locked="0"/>
    </xf>
    <xf numFmtId="0" fontId="4" fillId="0" borderId="17" xfId="2" applyFont="1" applyBorder="1" applyAlignment="1">
      <alignment horizontal="center" vertical="center"/>
    </xf>
    <xf numFmtId="0" fontId="4" fillId="0" borderId="14" xfId="2" applyFont="1" applyBorder="1" applyAlignment="1">
      <alignment horizontal="center" vertical="center"/>
    </xf>
    <xf numFmtId="0" fontId="4" fillId="0" borderId="35" xfId="2" applyFont="1" applyBorder="1" applyAlignment="1">
      <alignment horizontal="center" vertical="center"/>
    </xf>
    <xf numFmtId="0" fontId="4" fillId="0" borderId="40" xfId="2" applyFont="1" applyBorder="1" applyAlignment="1">
      <alignment horizontal="center" vertical="center"/>
    </xf>
    <xf numFmtId="0" fontId="4" fillId="0" borderId="118" xfId="2" applyFont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 shrinkToFit="1"/>
    </xf>
    <xf numFmtId="0" fontId="10" fillId="0" borderId="0" xfId="2" applyFont="1" applyAlignment="1">
      <alignment horizontal="center" vertical="center"/>
    </xf>
    <xf numFmtId="0" fontId="8" fillId="0" borderId="11" xfId="2" applyFont="1" applyBorder="1" applyAlignment="1">
      <alignment horizontal="left" vertical="center"/>
    </xf>
    <xf numFmtId="0" fontId="10" fillId="0" borderId="1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8" fillId="0" borderId="24" xfId="2" applyFont="1" applyBorder="1" applyAlignment="1">
      <alignment horizontal="center" vertical="center"/>
    </xf>
    <xf numFmtId="0" fontId="10" fillId="3" borderId="41" xfId="2" applyFont="1" applyFill="1" applyBorder="1" applyAlignment="1">
      <alignment horizontal="center" vertical="center"/>
    </xf>
    <xf numFmtId="0" fontId="10" fillId="3" borderId="37" xfId="2" applyFont="1" applyFill="1" applyBorder="1" applyAlignment="1">
      <alignment horizontal="center" vertical="center"/>
    </xf>
    <xf numFmtId="0" fontId="4" fillId="0" borderId="21" xfId="2" applyFont="1" applyBorder="1" applyAlignment="1">
      <alignment horizontal="center" vertical="center"/>
    </xf>
    <xf numFmtId="49" fontId="4" fillId="0" borderId="182" xfId="2" applyNumberFormat="1" applyFont="1" applyBorder="1" applyAlignment="1" applyProtection="1">
      <alignment horizontal="right" vertical="center"/>
      <protection locked="0"/>
    </xf>
    <xf numFmtId="49" fontId="4" fillId="0" borderId="183" xfId="2" applyNumberFormat="1" applyFont="1" applyBorder="1" applyAlignment="1" applyProtection="1">
      <alignment horizontal="right" vertical="center"/>
      <protection locked="0"/>
    </xf>
    <xf numFmtId="49" fontId="4" fillId="0" borderId="191" xfId="2" applyNumberFormat="1" applyFont="1" applyBorder="1" applyAlignment="1" applyProtection="1">
      <alignment horizontal="right" vertical="center"/>
      <protection locked="0"/>
    </xf>
    <xf numFmtId="49" fontId="4" fillId="0" borderId="44" xfId="2" applyNumberFormat="1" applyFont="1" applyBorder="1" applyAlignment="1" applyProtection="1">
      <alignment horizontal="right" vertical="center"/>
      <protection locked="0"/>
    </xf>
    <xf numFmtId="49" fontId="4" fillId="0" borderId="43" xfId="2" applyNumberFormat="1" applyFont="1" applyBorder="1" applyAlignment="1" applyProtection="1">
      <alignment horizontal="right" vertical="center"/>
      <protection locked="0"/>
    </xf>
    <xf numFmtId="49" fontId="4" fillId="0" borderId="50" xfId="2" applyNumberFormat="1" applyFont="1" applyBorder="1" applyAlignment="1" applyProtection="1">
      <alignment horizontal="right" vertical="center"/>
      <protection locked="0"/>
    </xf>
    <xf numFmtId="49" fontId="4" fillId="0" borderId="215" xfId="3" applyNumberFormat="1" applyFont="1" applyBorder="1" applyAlignment="1" applyProtection="1">
      <alignment horizontal="right" vertical="center"/>
      <protection locked="0"/>
    </xf>
    <xf numFmtId="49" fontId="4" fillId="0" borderId="191" xfId="3" applyNumberFormat="1" applyFont="1" applyBorder="1" applyAlignment="1" applyProtection="1">
      <alignment horizontal="right" vertical="center"/>
      <protection locked="0"/>
    </xf>
    <xf numFmtId="49" fontId="4" fillId="0" borderId="42" xfId="3" applyNumberFormat="1" applyFont="1" applyBorder="1" applyAlignment="1" applyProtection="1">
      <alignment horizontal="right" vertical="center"/>
      <protection locked="0"/>
    </xf>
    <xf numFmtId="49" fontId="4" fillId="0" borderId="222" xfId="3" applyNumberFormat="1" applyFont="1" applyBorder="1" applyAlignment="1" applyProtection="1">
      <alignment horizontal="right" vertical="center"/>
      <protection locked="0"/>
    </xf>
    <xf numFmtId="0" fontId="10" fillId="0" borderId="120" xfId="2" applyFont="1" applyBorder="1" applyAlignment="1">
      <alignment horizontal="distributed" vertical="center"/>
    </xf>
    <xf numFmtId="0" fontId="10" fillId="0" borderId="14" xfId="2" applyFont="1" applyBorder="1" applyAlignment="1">
      <alignment horizontal="distributed" vertical="center"/>
    </xf>
    <xf numFmtId="0" fontId="10" fillId="0" borderId="21" xfId="2" applyFont="1" applyBorder="1" applyAlignment="1">
      <alignment horizontal="distributed" vertical="center"/>
    </xf>
    <xf numFmtId="49" fontId="10" fillId="0" borderId="41" xfId="3" applyNumberFormat="1" applyFont="1" applyBorder="1" applyAlignment="1" applyProtection="1">
      <alignment horizontal="right" vertical="center"/>
      <protection locked="0"/>
    </xf>
    <xf numFmtId="49" fontId="10" fillId="0" borderId="37" xfId="3" applyNumberFormat="1" applyFont="1" applyBorder="1" applyAlignment="1" applyProtection="1">
      <alignment horizontal="right" vertical="center"/>
      <protection locked="0"/>
    </xf>
    <xf numFmtId="49" fontId="10" fillId="0" borderId="171" xfId="3" applyNumberFormat="1" applyFont="1" applyBorder="1" applyAlignment="1" applyProtection="1">
      <alignment horizontal="right" vertical="center"/>
      <protection locked="0"/>
    </xf>
    <xf numFmtId="0" fontId="10" fillId="0" borderId="34" xfId="2" applyFont="1" applyBorder="1" applyAlignment="1">
      <alignment horizontal="distributed" vertical="center" wrapText="1"/>
    </xf>
    <xf numFmtId="0" fontId="10" fillId="0" borderId="6" xfId="2" applyFont="1" applyBorder="1" applyAlignment="1">
      <alignment horizontal="distributed" vertical="center" wrapText="1"/>
    </xf>
    <xf numFmtId="0" fontId="10" fillId="0" borderId="118" xfId="2" applyFont="1" applyBorder="1" applyAlignment="1">
      <alignment horizontal="distributed" vertical="center" wrapText="1"/>
    </xf>
    <xf numFmtId="0" fontId="4" fillId="0" borderId="174" xfId="3" applyFont="1" applyBorder="1" applyAlignment="1">
      <alignment horizontal="distributed" vertical="center"/>
    </xf>
    <xf numFmtId="0" fontId="4" fillId="0" borderId="214" xfId="3" applyFont="1" applyBorder="1" applyAlignment="1">
      <alignment horizontal="distributed" vertical="center"/>
    </xf>
    <xf numFmtId="0" fontId="4" fillId="0" borderId="216" xfId="3" applyFont="1" applyBorder="1" applyAlignment="1">
      <alignment horizontal="distributed" vertical="center"/>
    </xf>
    <xf numFmtId="49" fontId="10" fillId="0" borderId="31" xfId="3" applyNumberFormat="1" applyFont="1" applyBorder="1" applyAlignment="1" applyProtection="1">
      <alignment horizontal="right" vertical="center"/>
      <protection locked="0"/>
    </xf>
    <xf numFmtId="49" fontId="10" fillId="0" borderId="24" xfId="3" applyNumberFormat="1" applyFont="1" applyBorder="1" applyAlignment="1" applyProtection="1">
      <alignment horizontal="right" vertical="center"/>
      <protection locked="0"/>
    </xf>
    <xf numFmtId="49" fontId="10" fillId="0" borderId="26" xfId="3" applyNumberFormat="1" applyFont="1" applyBorder="1" applyAlignment="1" applyProtection="1">
      <alignment horizontal="right" vertical="center"/>
      <protection locked="0"/>
    </xf>
    <xf numFmtId="49" fontId="4" fillId="0" borderId="127" xfId="3" applyNumberFormat="1" applyFont="1" applyBorder="1" applyAlignment="1" applyProtection="1">
      <alignment horizontal="right" vertical="center"/>
      <protection locked="0"/>
    </xf>
    <xf numFmtId="49" fontId="4" fillId="0" borderId="150" xfId="3" applyNumberFormat="1" applyFont="1" applyBorder="1" applyAlignment="1" applyProtection="1">
      <alignment horizontal="right" vertical="center"/>
      <protection locked="0"/>
    </xf>
    <xf numFmtId="49" fontId="4" fillId="0" borderId="223" xfId="2" applyNumberFormat="1" applyFont="1" applyBorder="1" applyAlignment="1" applyProtection="1">
      <alignment horizontal="right" vertical="center"/>
      <protection locked="0"/>
    </xf>
    <xf numFmtId="49" fontId="4" fillId="0" borderId="46" xfId="2" applyNumberFormat="1" applyFont="1" applyBorder="1" applyAlignment="1" applyProtection="1">
      <alignment horizontal="right" vertical="center"/>
      <protection locked="0"/>
    </xf>
    <xf numFmtId="49" fontId="4" fillId="0" borderId="47" xfId="2" applyNumberFormat="1" applyFont="1" applyBorder="1" applyAlignment="1" applyProtection="1">
      <alignment horizontal="right" vertical="center"/>
      <protection locked="0"/>
    </xf>
    <xf numFmtId="49" fontId="4" fillId="0" borderId="65" xfId="2" applyNumberFormat="1" applyFont="1" applyBorder="1" applyAlignment="1" applyProtection="1">
      <alignment horizontal="right" vertical="center"/>
      <protection locked="0"/>
    </xf>
    <xf numFmtId="49" fontId="4" fillId="0" borderId="48" xfId="2" applyNumberFormat="1" applyFont="1" applyBorder="1" applyAlignment="1" applyProtection="1">
      <alignment horizontal="right" vertical="center"/>
      <protection locked="0"/>
    </xf>
    <xf numFmtId="49" fontId="4" fillId="0" borderId="223" xfId="3" applyNumberFormat="1" applyFont="1" applyBorder="1" applyAlignment="1" applyProtection="1">
      <alignment horizontal="right" vertical="center"/>
      <protection locked="0"/>
    </xf>
    <xf numFmtId="49" fontId="4" fillId="0" borderId="222" xfId="2" applyNumberFormat="1" applyFont="1" applyBorder="1" applyAlignment="1" applyProtection="1">
      <alignment horizontal="right" vertical="center"/>
      <protection locked="0"/>
    </xf>
    <xf numFmtId="0" fontId="4" fillId="0" borderId="217" xfId="0" applyFont="1" applyBorder="1" applyAlignment="1">
      <alignment horizontal="center" vertical="center"/>
    </xf>
    <xf numFmtId="0" fontId="4" fillId="0" borderId="21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0" fillId="3" borderId="36" xfId="2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shrinkToFit="1"/>
    </xf>
    <xf numFmtId="0" fontId="10" fillId="0" borderId="11" xfId="0" applyFont="1" applyBorder="1" applyAlignment="1">
      <alignment horizontal="center" vertical="center" shrinkToFit="1"/>
    </xf>
    <xf numFmtId="0" fontId="10" fillId="0" borderId="12" xfId="0" applyFont="1" applyBorder="1" applyAlignment="1">
      <alignment horizontal="center" vertical="center" shrinkToFit="1"/>
    </xf>
    <xf numFmtId="0" fontId="10" fillId="0" borderId="218" xfId="0" applyFont="1" applyBorder="1" applyAlignment="1">
      <alignment horizontal="center" vertical="center" shrinkToFit="1"/>
    </xf>
    <xf numFmtId="0" fontId="10" fillId="0" borderId="219" xfId="0" applyFont="1" applyBorder="1" applyAlignment="1">
      <alignment horizontal="center" vertical="center" shrinkToFit="1"/>
    </xf>
    <xf numFmtId="179" fontId="10" fillId="3" borderId="31" xfId="0" applyNumberFormat="1" applyFont="1" applyFill="1" applyBorder="1" applyAlignment="1">
      <alignment horizontal="center" vertical="center"/>
    </xf>
    <xf numFmtId="179" fontId="10" fillId="3" borderId="24" xfId="0" applyNumberFormat="1" applyFont="1" applyFill="1" applyBorder="1" applyAlignment="1">
      <alignment horizontal="center" vertical="center"/>
    </xf>
    <xf numFmtId="179" fontId="10" fillId="3" borderId="30" xfId="0" applyNumberFormat="1" applyFont="1" applyFill="1" applyBorder="1" applyAlignment="1">
      <alignment horizontal="center" vertical="center"/>
    </xf>
    <xf numFmtId="179" fontId="10" fillId="3" borderId="66" xfId="0" applyNumberFormat="1" applyFont="1" applyFill="1" applyBorder="1" applyAlignment="1">
      <alignment horizontal="center" vertical="center"/>
    </xf>
    <xf numFmtId="179" fontId="10" fillId="3" borderId="132" xfId="0" applyNumberFormat="1" applyFont="1" applyFill="1" applyBorder="1" applyAlignment="1">
      <alignment horizontal="center" vertical="center"/>
    </xf>
    <xf numFmtId="49" fontId="4" fillId="0" borderId="215" xfId="2" applyNumberFormat="1" applyFont="1" applyBorder="1" applyAlignment="1" applyProtection="1">
      <alignment horizontal="right" vertical="center"/>
      <protection locked="0"/>
    </xf>
    <xf numFmtId="49" fontId="4" fillId="0" borderId="42" xfId="2" applyNumberFormat="1" applyFont="1" applyBorder="1" applyAlignment="1" applyProtection="1">
      <alignment horizontal="right" vertical="center"/>
      <protection locked="0"/>
    </xf>
    <xf numFmtId="49" fontId="4" fillId="0" borderId="221" xfId="2" applyNumberFormat="1" applyFont="1" applyBorder="1" applyAlignment="1" applyProtection="1">
      <alignment horizontal="right" vertical="center"/>
      <protection locked="0"/>
    </xf>
    <xf numFmtId="0" fontId="22" fillId="0" borderId="0" xfId="0" applyFont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18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0" xfId="2" applyFont="1" applyBorder="1" applyAlignment="1">
      <alignment horizontal="distributed" vertical="center" justifyLastLine="1"/>
    </xf>
    <xf numFmtId="0" fontId="4" fillId="0" borderId="6" xfId="2" applyFont="1" applyBorder="1" applyAlignment="1">
      <alignment horizontal="distributed" vertical="center" justifyLastLine="1"/>
    </xf>
    <xf numFmtId="0" fontId="4" fillId="0" borderId="39" xfId="2" applyFont="1" applyBorder="1" applyAlignment="1">
      <alignment horizontal="distributed" vertical="center" justifyLastLine="1"/>
    </xf>
    <xf numFmtId="0" fontId="4" fillId="0" borderId="58" xfId="2" applyFont="1" applyBorder="1" applyAlignment="1">
      <alignment horizontal="center" vertical="center" shrinkToFit="1"/>
    </xf>
    <xf numFmtId="0" fontId="4" fillId="0" borderId="43" xfId="2" applyFont="1" applyBorder="1" applyAlignment="1">
      <alignment horizontal="center" vertical="center" shrinkToFit="1"/>
    </xf>
    <xf numFmtId="0" fontId="4" fillId="0" borderId="50" xfId="2" applyFont="1" applyBorder="1" applyAlignment="1">
      <alignment horizontal="center" vertical="center" shrinkToFit="1"/>
    </xf>
    <xf numFmtId="0" fontId="4" fillId="0" borderId="60" xfId="2" applyFont="1" applyBorder="1" applyAlignment="1">
      <alignment horizontal="center" vertical="center" shrinkToFit="1"/>
    </xf>
    <xf numFmtId="0" fontId="4" fillId="0" borderId="51" xfId="2" applyFont="1" applyBorder="1" applyAlignment="1">
      <alignment horizontal="center" vertical="center" shrinkToFit="1"/>
    </xf>
    <xf numFmtId="0" fontId="4" fillId="0" borderId="52" xfId="2" applyFont="1" applyBorder="1" applyAlignment="1">
      <alignment horizontal="center" vertical="center" shrinkToFit="1"/>
    </xf>
    <xf numFmtId="0" fontId="9" fillId="0" borderId="58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20" xfId="0" applyFont="1" applyBorder="1" applyAlignment="1">
      <alignment horizontal="distributed" vertical="center"/>
    </xf>
    <xf numFmtId="0" fontId="10" fillId="0" borderId="54" xfId="0" applyFont="1" applyBorder="1" applyAlignment="1">
      <alignment horizontal="distributed" vertical="center"/>
    </xf>
    <xf numFmtId="0" fontId="10" fillId="0" borderId="55" xfId="0" applyFont="1" applyBorder="1" applyAlignment="1">
      <alignment horizontal="distributed" vertical="center"/>
    </xf>
    <xf numFmtId="0" fontId="10" fillId="0" borderId="57" xfId="0" applyFont="1" applyBorder="1" applyAlignment="1">
      <alignment horizontal="distributed" vertical="center"/>
    </xf>
    <xf numFmtId="0" fontId="4" fillId="0" borderId="81" xfId="0" applyFont="1" applyBorder="1" applyAlignment="1">
      <alignment horizontal="center" vertical="center" textRotation="255" shrinkToFit="1"/>
    </xf>
    <xf numFmtId="0" fontId="4" fillId="0" borderId="116" xfId="0" applyFont="1" applyBorder="1" applyAlignment="1">
      <alignment horizontal="center" vertical="center" textRotation="255" shrinkToFit="1"/>
    </xf>
    <xf numFmtId="0" fontId="10" fillId="0" borderId="61" xfId="0" applyFont="1" applyBorder="1" applyAlignment="1">
      <alignment horizontal="distributed" vertical="center"/>
    </xf>
    <xf numFmtId="0" fontId="10" fillId="0" borderId="62" xfId="0" applyFont="1" applyBorder="1" applyAlignment="1">
      <alignment horizontal="distributed" vertical="center"/>
    </xf>
    <xf numFmtId="0" fontId="10" fillId="0" borderId="88" xfId="0" applyFont="1" applyBorder="1" applyAlignment="1">
      <alignment horizontal="distributed" vertical="center"/>
    </xf>
    <xf numFmtId="0" fontId="4" fillId="0" borderId="90" xfId="0" applyFont="1" applyBorder="1" applyAlignment="1">
      <alignment horizontal="center" vertical="center" shrinkToFit="1"/>
    </xf>
    <xf numFmtId="0" fontId="4" fillId="0" borderId="92" xfId="0" applyFont="1" applyBorder="1" applyAlignment="1">
      <alignment horizontal="center" vertical="center" shrinkToFit="1"/>
    </xf>
    <xf numFmtId="0" fontId="4" fillId="0" borderId="54" xfId="2" applyFont="1" applyBorder="1" applyAlignment="1">
      <alignment horizontal="center" vertical="center" shrinkToFit="1"/>
    </xf>
    <xf numFmtId="0" fontId="4" fillId="0" borderId="28" xfId="2" applyFont="1" applyBorder="1" applyAlignment="1">
      <alignment horizontal="distributed" vertical="center"/>
    </xf>
    <xf numFmtId="0" fontId="4" fillId="0" borderId="18" xfId="2" applyFont="1" applyBorder="1" applyAlignment="1">
      <alignment horizontal="distributed" vertical="center"/>
    </xf>
    <xf numFmtId="0" fontId="4" fillId="0" borderId="19" xfId="2" applyFont="1" applyBorder="1" applyAlignment="1">
      <alignment horizontal="distributed" vertical="center"/>
    </xf>
    <xf numFmtId="0" fontId="4" fillId="0" borderId="17" xfId="2" applyFont="1" applyBorder="1" applyAlignment="1">
      <alignment horizontal="center" vertical="center" shrinkToFit="1"/>
    </xf>
    <xf numFmtId="0" fontId="4" fillId="0" borderId="14" xfId="2" applyFont="1" applyBorder="1" applyAlignment="1">
      <alignment horizontal="center" vertical="center" shrinkToFit="1"/>
    </xf>
    <xf numFmtId="0" fontId="4" fillId="0" borderId="21" xfId="2" applyFont="1" applyBorder="1" applyAlignment="1">
      <alignment horizontal="center" vertical="center" shrinkToFit="1"/>
    </xf>
    <xf numFmtId="49" fontId="4" fillId="3" borderId="50" xfId="3" applyNumberFormat="1" applyFont="1" applyFill="1" applyBorder="1" applyAlignment="1">
      <alignment horizontal="right" vertical="center"/>
    </xf>
    <xf numFmtId="0" fontId="10" fillId="0" borderId="58" xfId="0" applyFont="1" applyBorder="1" applyAlignment="1">
      <alignment horizontal="distributed" vertical="center"/>
    </xf>
    <xf numFmtId="0" fontId="10" fillId="0" borderId="43" xfId="0" applyFont="1" applyBorder="1" applyAlignment="1">
      <alignment horizontal="distributed" vertical="center"/>
    </xf>
    <xf numFmtId="0" fontId="10" fillId="0" borderId="50" xfId="0" applyFont="1" applyBorder="1" applyAlignment="1">
      <alignment horizontal="distributed" vertical="center"/>
    </xf>
    <xf numFmtId="0" fontId="10" fillId="0" borderId="60" xfId="0" applyFont="1" applyBorder="1" applyAlignment="1">
      <alignment horizontal="distributed" vertical="center"/>
    </xf>
    <xf numFmtId="0" fontId="10" fillId="0" borderId="51" xfId="0" applyFont="1" applyBorder="1" applyAlignment="1">
      <alignment horizontal="distributed" vertical="center"/>
    </xf>
    <xf numFmtId="0" fontId="10" fillId="0" borderId="52" xfId="0" applyFont="1" applyBorder="1" applyAlignment="1">
      <alignment horizontal="distributed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distributed" vertical="center"/>
    </xf>
    <xf numFmtId="0" fontId="10" fillId="0" borderId="7" xfId="0" applyFont="1" applyBorder="1" applyAlignment="1">
      <alignment horizontal="distributed" vertical="center"/>
    </xf>
    <xf numFmtId="49" fontId="10" fillId="3" borderId="182" xfId="2" applyNumberFormat="1" applyFont="1" applyFill="1" applyBorder="1" applyAlignment="1">
      <alignment horizontal="right" vertical="center"/>
    </xf>
    <xf numFmtId="49" fontId="10" fillId="3" borderId="183" xfId="2" applyNumberFormat="1" applyFont="1" applyFill="1" applyBorder="1" applyAlignment="1">
      <alignment horizontal="right" vertical="center"/>
    </xf>
    <xf numFmtId="49" fontId="10" fillId="3" borderId="191" xfId="2" applyNumberFormat="1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 textRotation="255"/>
    </xf>
    <xf numFmtId="0" fontId="10" fillId="0" borderId="18" xfId="0" applyFont="1" applyBorder="1" applyAlignment="1">
      <alignment horizontal="center" vertical="center" textRotation="255"/>
    </xf>
    <xf numFmtId="0" fontId="10" fillId="0" borderId="9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13" xfId="0" applyFont="1" applyBorder="1" applyAlignment="1">
      <alignment horizontal="center" vertical="center" textRotation="255"/>
    </xf>
    <xf numFmtId="0" fontId="10" fillId="0" borderId="14" xfId="0" applyFont="1" applyBorder="1" applyAlignment="1">
      <alignment horizontal="center" vertical="center" textRotation="255"/>
    </xf>
    <xf numFmtId="49" fontId="10" fillId="3" borderId="90" xfId="2" applyNumberFormat="1" applyFont="1" applyFill="1" applyBorder="1" applyAlignment="1">
      <alignment horizontal="right" vertical="center"/>
    </xf>
    <xf numFmtId="49" fontId="10" fillId="3" borderId="91" xfId="2" applyNumberFormat="1" applyFont="1" applyFill="1" applyBorder="1" applyAlignment="1">
      <alignment horizontal="right" vertical="center"/>
    </xf>
    <xf numFmtId="49" fontId="10" fillId="3" borderId="92" xfId="2" applyNumberFormat="1" applyFont="1" applyFill="1" applyBorder="1" applyAlignment="1">
      <alignment horizontal="right" vertical="center"/>
    </xf>
    <xf numFmtId="49" fontId="10" fillId="3" borderId="87" xfId="2" applyNumberFormat="1" applyFont="1" applyFill="1" applyBorder="1" applyAlignment="1">
      <alignment horizontal="right" vertical="center"/>
    </xf>
    <xf numFmtId="49" fontId="10" fillId="3" borderId="62" xfId="2" applyNumberFormat="1" applyFont="1" applyFill="1" applyBorder="1" applyAlignment="1">
      <alignment horizontal="right" vertical="center"/>
    </xf>
    <xf numFmtId="49" fontId="10" fillId="3" borderId="88" xfId="2" applyNumberFormat="1" applyFont="1" applyFill="1" applyBorder="1" applyAlignment="1">
      <alignment horizontal="right" vertical="center"/>
    </xf>
    <xf numFmtId="0" fontId="10" fillId="0" borderId="64" xfId="0" applyFont="1" applyBorder="1" applyAlignment="1">
      <alignment horizontal="distributed" vertical="center"/>
    </xf>
    <xf numFmtId="0" fontId="10" fillId="0" borderId="47" xfId="0" applyFont="1" applyBorder="1" applyAlignment="1">
      <alignment horizontal="distributed" vertical="center"/>
    </xf>
    <xf numFmtId="0" fontId="10" fillId="0" borderId="65" xfId="0" applyFont="1" applyBorder="1" applyAlignment="1">
      <alignment horizontal="distributed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49" fontId="4" fillId="3" borderId="182" xfId="2" applyNumberFormat="1" applyFont="1" applyFill="1" applyBorder="1" applyAlignment="1">
      <alignment horizontal="right" vertical="center"/>
    </xf>
    <xf numFmtId="49" fontId="4" fillId="3" borderId="183" xfId="2" applyNumberFormat="1" applyFont="1" applyFill="1" applyBorder="1" applyAlignment="1">
      <alignment horizontal="right" vertical="center"/>
    </xf>
    <xf numFmtId="49" fontId="4" fillId="3" borderId="184" xfId="2" applyNumberFormat="1" applyFont="1" applyFill="1" applyBorder="1" applyAlignment="1">
      <alignment horizontal="right" vertical="center"/>
    </xf>
    <xf numFmtId="0" fontId="9" fillId="0" borderId="58" xfId="0" applyFont="1" applyBorder="1" applyAlignment="1">
      <alignment horizontal="distributed" vertical="center"/>
    </xf>
    <xf numFmtId="0" fontId="9" fillId="0" borderId="50" xfId="0" applyFont="1" applyBorder="1" applyAlignment="1">
      <alignment horizontal="distributed" vertical="center"/>
    </xf>
    <xf numFmtId="0" fontId="17" fillId="0" borderId="9" xfId="0" applyFont="1" applyBorder="1" applyAlignment="1">
      <alignment horizontal="distributed" vertical="center"/>
    </xf>
    <xf numFmtId="0" fontId="17" fillId="0" borderId="0" xfId="0" applyFont="1" applyAlignment="1">
      <alignment horizontal="distributed" vertical="center"/>
    </xf>
    <xf numFmtId="0" fontId="17" fillId="0" borderId="20" xfId="0" applyFont="1" applyBorder="1" applyAlignment="1">
      <alignment horizontal="distributed" vertical="center"/>
    </xf>
    <xf numFmtId="49" fontId="10" fillId="3" borderId="44" xfId="2" applyNumberFormat="1" applyFont="1" applyFill="1" applyBorder="1" applyAlignment="1">
      <alignment horizontal="right" vertical="center"/>
    </xf>
    <xf numFmtId="49" fontId="10" fillId="3" borderId="43" xfId="2" applyNumberFormat="1" applyFont="1" applyFill="1" applyBorder="1" applyAlignment="1">
      <alignment horizontal="right" vertical="center"/>
    </xf>
    <xf numFmtId="49" fontId="10" fillId="3" borderId="50" xfId="2" applyNumberFormat="1" applyFont="1" applyFill="1" applyBorder="1" applyAlignment="1">
      <alignment horizontal="right" vertical="center"/>
    </xf>
    <xf numFmtId="49" fontId="4" fillId="3" borderId="90" xfId="2" applyNumberFormat="1" applyFont="1" applyFill="1" applyBorder="1" applyAlignment="1">
      <alignment horizontal="right" vertical="center"/>
    </xf>
    <xf numFmtId="49" fontId="4" fillId="3" borderId="91" xfId="2" applyNumberFormat="1" applyFont="1" applyFill="1" applyBorder="1" applyAlignment="1">
      <alignment horizontal="right" vertical="center"/>
    </xf>
    <xf numFmtId="49" fontId="4" fillId="3" borderId="97" xfId="2" applyNumberFormat="1" applyFont="1" applyFill="1" applyBorder="1" applyAlignment="1">
      <alignment horizontal="right" vertical="center"/>
    </xf>
    <xf numFmtId="49" fontId="4" fillId="3" borderId="44" xfId="2" applyNumberFormat="1" applyFont="1" applyFill="1" applyBorder="1" applyAlignment="1">
      <alignment horizontal="right" vertical="center"/>
    </xf>
    <xf numFmtId="49" fontId="4" fillId="3" borderId="43" xfId="2" applyNumberFormat="1" applyFont="1" applyFill="1" applyBorder="1" applyAlignment="1">
      <alignment horizontal="right" vertical="center"/>
    </xf>
    <xf numFmtId="49" fontId="4" fillId="3" borderId="45" xfId="2" applyNumberFormat="1" applyFont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49" fontId="10" fillId="3" borderId="53" xfId="2" applyNumberFormat="1" applyFont="1" applyFill="1" applyBorder="1" applyAlignment="1">
      <alignment horizontal="right" vertical="center"/>
    </xf>
    <xf numFmtId="49" fontId="10" fillId="3" borderId="51" xfId="2" applyNumberFormat="1" applyFont="1" applyFill="1" applyBorder="1" applyAlignment="1">
      <alignment horizontal="right" vertical="center"/>
    </xf>
    <xf numFmtId="49" fontId="10" fillId="3" borderId="52" xfId="2" applyNumberFormat="1" applyFont="1" applyFill="1" applyBorder="1" applyAlignment="1">
      <alignment horizontal="right" vertical="center"/>
    </xf>
    <xf numFmtId="49" fontId="4" fillId="3" borderId="53" xfId="2" applyNumberFormat="1" applyFont="1" applyFill="1" applyBorder="1" applyAlignment="1">
      <alignment horizontal="right" vertical="center"/>
    </xf>
    <xf numFmtId="49" fontId="4" fillId="3" borderId="51" xfId="2" applyNumberFormat="1" applyFont="1" applyFill="1" applyBorder="1" applyAlignment="1">
      <alignment horizontal="right" vertical="center"/>
    </xf>
    <xf numFmtId="49" fontId="4" fillId="3" borderId="89" xfId="2" applyNumberFormat="1" applyFont="1" applyFill="1" applyBorder="1" applyAlignment="1">
      <alignment horizontal="right" vertical="center"/>
    </xf>
    <xf numFmtId="49" fontId="4" fillId="3" borderId="92" xfId="2" applyNumberFormat="1" applyFont="1" applyFill="1" applyBorder="1" applyAlignment="1">
      <alignment horizontal="right" vertical="center"/>
    </xf>
    <xf numFmtId="0" fontId="9" fillId="0" borderId="9" xfId="0" applyFont="1" applyBorder="1" applyAlignment="1">
      <alignment horizontal="distributed" vertical="center"/>
    </xf>
    <xf numFmtId="0" fontId="9" fillId="0" borderId="0" xfId="0" applyFont="1" applyAlignment="1">
      <alignment horizontal="distributed" vertical="center"/>
    </xf>
    <xf numFmtId="0" fontId="10" fillId="0" borderId="28" xfId="0" applyFont="1" applyBorder="1" applyAlignment="1">
      <alignment horizontal="distributed" vertical="center"/>
    </xf>
    <xf numFmtId="0" fontId="10" fillId="0" borderId="18" xfId="0" applyFont="1" applyBorder="1" applyAlignment="1">
      <alignment horizontal="distributed" vertical="center"/>
    </xf>
    <xf numFmtId="0" fontId="10" fillId="0" borderId="42" xfId="0" applyFont="1" applyBorder="1" applyAlignment="1">
      <alignment horizontal="distributed" vertical="center"/>
    </xf>
    <xf numFmtId="49" fontId="4" fillId="3" borderId="50" xfId="2" applyNumberFormat="1" applyFont="1" applyFill="1" applyBorder="1" applyAlignment="1">
      <alignment horizontal="right" vertical="center"/>
    </xf>
    <xf numFmtId="49" fontId="10" fillId="3" borderId="48" xfId="2" applyNumberFormat="1" applyFont="1" applyFill="1" applyBorder="1" applyAlignment="1">
      <alignment horizontal="right" vertical="center"/>
    </xf>
    <xf numFmtId="49" fontId="10" fillId="3" borderId="47" xfId="2" applyNumberFormat="1" applyFont="1" applyFill="1" applyBorder="1" applyAlignment="1">
      <alignment horizontal="right" vertical="center"/>
    </xf>
    <xf numFmtId="49" fontId="10" fillId="3" borderId="65" xfId="2" applyNumberFormat="1" applyFont="1" applyFill="1" applyBorder="1" applyAlignment="1">
      <alignment horizontal="right" vertical="center"/>
    </xf>
    <xf numFmtId="49" fontId="4" fillId="3" borderId="48" xfId="2" applyNumberFormat="1" applyFont="1" applyFill="1" applyBorder="1" applyAlignment="1">
      <alignment horizontal="right" vertical="center"/>
    </xf>
    <xf numFmtId="49" fontId="4" fillId="3" borderId="47" xfId="2" applyNumberFormat="1" applyFont="1" applyFill="1" applyBorder="1" applyAlignment="1">
      <alignment horizontal="right" vertical="center"/>
    </xf>
    <xf numFmtId="49" fontId="4" fillId="3" borderId="65" xfId="2" applyNumberFormat="1" applyFont="1" applyFill="1" applyBorder="1" applyAlignment="1">
      <alignment horizontal="right" vertical="center"/>
    </xf>
    <xf numFmtId="49" fontId="10" fillId="0" borderId="44" xfId="2" applyNumberFormat="1" applyFont="1" applyBorder="1" applyAlignment="1" applyProtection="1">
      <alignment horizontal="right" vertical="center"/>
      <protection locked="0"/>
    </xf>
    <xf numFmtId="49" fontId="10" fillId="0" borderId="43" xfId="2" applyNumberFormat="1" applyFont="1" applyBorder="1" applyAlignment="1" applyProtection="1">
      <alignment horizontal="right" vertical="center"/>
      <protection locked="0"/>
    </xf>
    <xf numFmtId="49" fontId="10" fillId="0" borderId="50" xfId="2" applyNumberFormat="1" applyFont="1" applyBorder="1" applyAlignment="1" applyProtection="1">
      <alignment horizontal="right" vertical="center"/>
      <protection locked="0"/>
    </xf>
    <xf numFmtId="0" fontId="10" fillId="0" borderId="25" xfId="0" applyFont="1" applyBorder="1" applyAlignment="1">
      <alignment horizontal="distributed" vertical="center"/>
    </xf>
    <xf numFmtId="0" fontId="10" fillId="0" borderId="24" xfId="0" applyFont="1" applyBorder="1" applyAlignment="1">
      <alignment horizontal="distributed" vertical="center"/>
    </xf>
    <xf numFmtId="0" fontId="10" fillId="0" borderId="30" xfId="0" applyFont="1" applyBorder="1" applyAlignment="1">
      <alignment horizontal="distributed" vertical="center"/>
    </xf>
    <xf numFmtId="0" fontId="10" fillId="0" borderId="2" xfId="0" applyFont="1" applyBorder="1" applyAlignment="1">
      <alignment horizontal="distributed" vertical="center"/>
    </xf>
    <xf numFmtId="0" fontId="4" fillId="0" borderId="54" xfId="0" applyFont="1" applyBorder="1" applyAlignment="1">
      <alignment horizontal="distributed" vertical="center" shrinkToFit="1"/>
    </xf>
    <xf numFmtId="0" fontId="4" fillId="0" borderId="55" xfId="0" applyFont="1" applyBorder="1" applyAlignment="1">
      <alignment horizontal="distributed" vertical="center" shrinkToFit="1"/>
    </xf>
    <xf numFmtId="0" fontId="4" fillId="0" borderId="57" xfId="0" applyFont="1" applyBorder="1" applyAlignment="1">
      <alignment horizontal="distributed" vertical="center" shrinkToFit="1"/>
    </xf>
    <xf numFmtId="0" fontId="4" fillId="0" borderId="44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0" borderId="194" xfId="0" applyFont="1" applyBorder="1" applyAlignment="1">
      <alignment horizontal="center" vertical="center"/>
    </xf>
    <xf numFmtId="49" fontId="10" fillId="0" borderId="87" xfId="2" applyNumberFormat="1" applyFont="1" applyBorder="1" applyAlignment="1" applyProtection="1">
      <alignment horizontal="right" vertical="center"/>
      <protection locked="0"/>
    </xf>
    <xf numFmtId="49" fontId="10" fillId="0" borderId="62" xfId="2" applyNumberFormat="1" applyFont="1" applyBorder="1" applyAlignment="1" applyProtection="1">
      <alignment horizontal="right" vertical="center"/>
      <protection locked="0"/>
    </xf>
    <xf numFmtId="49" fontId="10" fillId="0" borderId="88" xfId="2" applyNumberFormat="1" applyFont="1" applyBorder="1" applyAlignment="1" applyProtection="1">
      <alignment horizontal="right" vertical="center"/>
      <protection locked="0"/>
    </xf>
    <xf numFmtId="0" fontId="4" fillId="0" borderId="81" xfId="0" applyFont="1" applyBorder="1" applyAlignment="1">
      <alignment horizontal="center" vertical="distributed" textRotation="255" justifyLastLine="1"/>
    </xf>
    <xf numFmtId="0" fontId="4" fillId="0" borderId="80" xfId="0" applyFont="1" applyBorder="1" applyAlignment="1">
      <alignment horizontal="center" vertical="distributed" textRotation="255" justifyLastLine="1"/>
    </xf>
    <xf numFmtId="0" fontId="4" fillId="0" borderId="67" xfId="0" applyFont="1" applyBorder="1" applyAlignment="1">
      <alignment horizontal="center" vertical="distributed" textRotation="255" justifyLastLine="1"/>
    </xf>
    <xf numFmtId="0" fontId="4" fillId="0" borderId="174" xfId="0" applyFont="1" applyBorder="1" applyAlignment="1">
      <alignment horizontal="center" vertical="distributed" textRotation="255" justifyLastLine="1"/>
    </xf>
    <xf numFmtId="0" fontId="4" fillId="0" borderId="119" xfId="0" applyFont="1" applyBorder="1" applyAlignment="1">
      <alignment horizontal="distributed" vertical="center" shrinkToFit="1"/>
    </xf>
    <xf numFmtId="0" fontId="4" fillId="0" borderId="91" xfId="0" applyFont="1" applyBorder="1" applyAlignment="1">
      <alignment horizontal="distributed" vertical="center" shrinkToFit="1"/>
    </xf>
    <xf numFmtId="0" fontId="4" fillId="0" borderId="92" xfId="0" applyFont="1" applyBorder="1" applyAlignment="1">
      <alignment horizontal="distributed" vertical="center" shrinkToFit="1"/>
    </xf>
    <xf numFmtId="0" fontId="4" fillId="0" borderId="35" xfId="2" applyFont="1" applyBorder="1" applyAlignment="1">
      <alignment horizontal="center" vertical="center" shrinkToFit="1"/>
    </xf>
    <xf numFmtId="0" fontId="4" fillId="0" borderId="44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64" xfId="0" applyFont="1" applyBorder="1" applyAlignment="1">
      <alignment horizontal="distributed" vertical="center" shrinkToFit="1"/>
    </xf>
    <xf numFmtId="0" fontId="4" fillId="0" borderId="47" xfId="0" applyFont="1" applyBorder="1" applyAlignment="1">
      <alignment horizontal="distributed" vertical="center" shrinkToFit="1"/>
    </xf>
    <xf numFmtId="0" fontId="4" fillId="0" borderId="65" xfId="0" applyFont="1" applyBorder="1" applyAlignment="1">
      <alignment horizontal="distributed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65" xfId="0" applyFont="1" applyBorder="1" applyAlignment="1">
      <alignment horizontal="center" vertical="center" shrinkToFit="1"/>
    </xf>
    <xf numFmtId="0" fontId="4" fillId="0" borderId="58" xfId="0" applyFont="1" applyBorder="1" applyAlignment="1">
      <alignment horizontal="distributed" vertical="center" shrinkToFit="1"/>
    </xf>
    <xf numFmtId="0" fontId="4" fillId="0" borderId="43" xfId="0" applyFont="1" applyBorder="1" applyAlignment="1">
      <alignment horizontal="distributed" vertical="center" shrinkToFit="1"/>
    </xf>
    <xf numFmtId="0" fontId="4" fillId="0" borderId="50" xfId="0" applyFont="1" applyBorder="1" applyAlignment="1">
      <alignment horizontal="distributed" vertical="center" shrinkToFit="1"/>
    </xf>
    <xf numFmtId="0" fontId="4" fillId="0" borderId="50" xfId="2" applyFont="1" applyBorder="1" applyAlignment="1">
      <alignment horizontal="distributed" vertical="center"/>
    </xf>
    <xf numFmtId="0" fontId="4" fillId="0" borderId="58" xfId="2" applyFont="1" applyBorder="1" applyAlignment="1">
      <alignment horizontal="distributed" vertical="center" shrinkToFit="1"/>
    </xf>
    <xf numFmtId="0" fontId="4" fillId="0" borderId="43" xfId="2" applyFont="1" applyBorder="1" applyAlignment="1">
      <alignment horizontal="distributed" vertical="center" shrinkToFit="1"/>
    </xf>
    <xf numFmtId="0" fontId="4" fillId="0" borderId="50" xfId="2" applyFont="1" applyBorder="1" applyAlignment="1">
      <alignment horizontal="distributed" vertical="center" shrinkToFit="1"/>
    </xf>
    <xf numFmtId="0" fontId="4" fillId="0" borderId="119" xfId="0" applyFont="1" applyBorder="1" applyAlignment="1">
      <alignment horizontal="center" vertical="center" shrinkToFit="1"/>
    </xf>
    <xf numFmtId="0" fontId="4" fillId="0" borderId="91" xfId="0" applyFont="1" applyBorder="1" applyAlignment="1">
      <alignment horizontal="center" vertical="center" shrinkToFit="1"/>
    </xf>
    <xf numFmtId="0" fontId="4" fillId="0" borderId="60" xfId="0" applyFont="1" applyBorder="1" applyAlignment="1">
      <alignment horizontal="distributed" vertical="center" shrinkToFit="1"/>
    </xf>
    <xf numFmtId="0" fontId="4" fillId="0" borderId="51" xfId="0" applyFont="1" applyBorder="1" applyAlignment="1">
      <alignment horizontal="distributed" vertical="center" shrinkToFit="1"/>
    </xf>
    <xf numFmtId="0" fontId="4" fillId="0" borderId="52" xfId="0" applyFont="1" applyBorder="1" applyAlignment="1">
      <alignment horizontal="distributed" vertical="center" shrinkToFit="1"/>
    </xf>
    <xf numFmtId="0" fontId="4" fillId="0" borderId="53" xfId="0" applyFont="1" applyBorder="1" applyAlignment="1">
      <alignment horizontal="center" vertical="center" shrinkToFit="1"/>
    </xf>
    <xf numFmtId="0" fontId="4" fillId="0" borderId="52" xfId="0" applyFont="1" applyBorder="1" applyAlignment="1">
      <alignment horizontal="center" vertical="center" shrinkToFit="1"/>
    </xf>
    <xf numFmtId="0" fontId="10" fillId="0" borderId="63" xfId="0" applyFont="1" applyBorder="1" applyAlignment="1">
      <alignment horizontal="distributed" vertical="center" shrinkToFit="1"/>
    </xf>
    <xf numFmtId="0" fontId="10" fillId="0" borderId="62" xfId="0" applyFont="1" applyBorder="1" applyAlignment="1">
      <alignment horizontal="distributed" vertical="center" shrinkToFit="1"/>
    </xf>
    <xf numFmtId="0" fontId="10" fillId="0" borderId="153" xfId="0" applyFont="1" applyBorder="1" applyAlignment="1">
      <alignment horizontal="distributed" vertical="center" shrinkToFit="1"/>
    </xf>
    <xf numFmtId="0" fontId="4" fillId="0" borderId="11" xfId="0" applyFont="1" applyBorder="1" applyAlignment="1">
      <alignment horizontal="distributed" vertical="center" justifyLastLine="1"/>
    </xf>
    <xf numFmtId="0" fontId="4" fillId="0" borderId="29" xfId="0" applyFont="1" applyBorder="1" applyAlignment="1">
      <alignment horizontal="distributed" vertical="center" justifyLastLine="1"/>
    </xf>
    <xf numFmtId="176" fontId="17" fillId="0" borderId="46" xfId="0" applyNumberFormat="1" applyFont="1" applyBorder="1" applyAlignment="1">
      <alignment horizontal="distributed" vertical="center"/>
    </xf>
    <xf numFmtId="176" fontId="17" fillId="0" borderId="47" xfId="0" applyNumberFormat="1" applyFont="1" applyBorder="1" applyAlignment="1">
      <alignment horizontal="distributed" vertical="center"/>
    </xf>
    <xf numFmtId="176" fontId="17" fillId="0" borderId="65" xfId="0" applyNumberFormat="1" applyFont="1" applyBorder="1" applyAlignment="1">
      <alignment horizontal="distributed" vertical="center"/>
    </xf>
    <xf numFmtId="0" fontId="4" fillId="0" borderId="54" xfId="0" applyFont="1" applyBorder="1" applyAlignment="1">
      <alignment horizontal="distributed" vertical="center" wrapText="1" shrinkToFit="1"/>
    </xf>
    <xf numFmtId="0" fontId="4" fillId="0" borderId="59" xfId="0" applyFont="1" applyBorder="1" applyAlignment="1">
      <alignment horizontal="distributed" vertical="center" shrinkToFit="1"/>
    </xf>
    <xf numFmtId="0" fontId="4" fillId="0" borderId="0" xfId="0" applyFont="1" applyAlignment="1">
      <alignment horizontal="distributed" vertical="center" shrinkToFit="1"/>
    </xf>
    <xf numFmtId="0" fontId="4" fillId="0" borderId="61" xfId="0" applyFont="1" applyBorder="1" applyAlignment="1">
      <alignment horizontal="distributed" vertical="center" shrinkToFit="1"/>
    </xf>
    <xf numFmtId="0" fontId="4" fillId="0" borderId="62" xfId="0" applyFont="1" applyBorder="1" applyAlignment="1">
      <alignment horizontal="distributed" vertical="center" shrinkToFit="1"/>
    </xf>
    <xf numFmtId="176" fontId="17" fillId="0" borderId="42" xfId="0" applyNumberFormat="1" applyFont="1" applyBorder="1" applyAlignment="1">
      <alignment horizontal="distributed" vertical="center"/>
    </xf>
    <xf numFmtId="176" fontId="17" fillId="0" borderId="43" xfId="0" applyNumberFormat="1" applyFont="1" applyBorder="1" applyAlignment="1">
      <alignment horizontal="distributed" vertical="center"/>
    </xf>
    <xf numFmtId="176" fontId="17" fillId="0" borderId="50" xfId="0" applyNumberFormat="1" applyFont="1" applyBorder="1" applyAlignment="1">
      <alignment horizontal="distributed" vertical="center"/>
    </xf>
    <xf numFmtId="176" fontId="10" fillId="0" borderId="42" xfId="0" applyNumberFormat="1" applyFont="1" applyBorder="1" applyAlignment="1">
      <alignment horizontal="distributed" vertical="center"/>
    </xf>
    <xf numFmtId="176" fontId="10" fillId="0" borderId="43" xfId="0" applyNumberFormat="1" applyFont="1" applyBorder="1" applyAlignment="1">
      <alignment horizontal="distributed" vertical="center"/>
    </xf>
    <xf numFmtId="176" fontId="10" fillId="0" borderId="50" xfId="0" applyNumberFormat="1" applyFont="1" applyBorder="1" applyAlignment="1">
      <alignment horizontal="distributed" vertical="center"/>
    </xf>
    <xf numFmtId="0" fontId="4" fillId="0" borderId="54" xfId="2" applyFont="1" applyBorder="1" applyAlignment="1">
      <alignment horizontal="distributed" vertical="center" shrinkToFit="1"/>
    </xf>
    <xf numFmtId="0" fontId="4" fillId="0" borderId="55" xfId="2" applyFont="1" applyBorder="1" applyAlignment="1">
      <alignment horizontal="distributed" vertical="center" shrinkToFit="1"/>
    </xf>
    <xf numFmtId="0" fontId="4" fillId="0" borderId="57" xfId="2" applyFont="1" applyBorder="1" applyAlignment="1">
      <alignment horizontal="distributed" vertical="center" shrinkToFit="1"/>
    </xf>
    <xf numFmtId="49" fontId="4" fillId="3" borderId="49" xfId="2" applyNumberFormat="1" applyFont="1" applyFill="1" applyBorder="1" applyAlignment="1">
      <alignment horizontal="right" vertical="center"/>
    </xf>
    <xf numFmtId="0" fontId="4" fillId="0" borderId="9" xfId="0" applyFont="1" applyBorder="1" applyAlignment="1">
      <alignment horizontal="distributed" vertical="center" shrinkToFit="1"/>
    </xf>
    <xf numFmtId="0" fontId="4" fillId="0" borderId="20" xfId="0" applyFont="1" applyBorder="1" applyAlignment="1">
      <alignment horizontal="distributed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10" fillId="0" borderId="2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76" fontId="10" fillId="0" borderId="42" xfId="0" applyNumberFormat="1" applyFont="1" applyBorder="1" applyAlignment="1">
      <alignment horizontal="distributed" vertical="center" shrinkToFit="1"/>
    </xf>
    <xf numFmtId="176" fontId="10" fillId="0" borderId="43" xfId="0" applyNumberFormat="1" applyFont="1" applyBorder="1" applyAlignment="1">
      <alignment horizontal="distributed" vertical="center" shrinkToFit="1"/>
    </xf>
    <xf numFmtId="176" fontId="10" fillId="0" borderId="50" xfId="0" applyNumberFormat="1" applyFont="1" applyBorder="1" applyAlignment="1">
      <alignment horizontal="distributed" vertical="center" shrinkToFit="1"/>
    </xf>
    <xf numFmtId="49" fontId="4" fillId="0" borderId="90" xfId="2" applyNumberFormat="1" applyFont="1" applyBorder="1" applyAlignment="1" applyProtection="1">
      <alignment horizontal="right" vertical="center"/>
      <protection locked="0"/>
    </xf>
    <xf numFmtId="49" fontId="4" fillId="0" borderId="91" xfId="2" applyNumberFormat="1" applyFont="1" applyBorder="1" applyAlignment="1" applyProtection="1">
      <alignment horizontal="right" vertical="center"/>
      <protection locked="0"/>
    </xf>
    <xf numFmtId="49" fontId="4" fillId="0" borderId="92" xfId="2" applyNumberFormat="1" applyFont="1" applyBorder="1" applyAlignment="1" applyProtection="1">
      <alignment horizontal="right" vertical="center"/>
      <protection locked="0"/>
    </xf>
    <xf numFmtId="176" fontId="26" fillId="0" borderId="42" xfId="0" applyNumberFormat="1" applyFont="1" applyBorder="1" applyAlignment="1">
      <alignment horizontal="distributed" vertical="center"/>
    </xf>
    <xf numFmtId="176" fontId="26" fillId="0" borderId="43" xfId="0" applyNumberFormat="1" applyFont="1" applyBorder="1" applyAlignment="1">
      <alignment horizontal="distributed" vertical="center"/>
    </xf>
    <xf numFmtId="176" fontId="26" fillId="0" borderId="50" xfId="0" applyNumberFormat="1" applyFont="1" applyBorder="1" applyAlignment="1">
      <alignment horizontal="distributed" vertical="center"/>
    </xf>
    <xf numFmtId="49" fontId="4" fillId="0" borderId="53" xfId="2" applyNumberFormat="1" applyFont="1" applyBorder="1" applyAlignment="1" applyProtection="1">
      <alignment horizontal="right" vertical="center"/>
      <protection locked="0"/>
    </xf>
    <xf numFmtId="49" fontId="4" fillId="0" borderId="51" xfId="2" applyNumberFormat="1" applyFont="1" applyBorder="1" applyAlignment="1" applyProtection="1">
      <alignment horizontal="right" vertical="center"/>
      <protection locked="0"/>
    </xf>
    <xf numFmtId="49" fontId="4" fillId="0" borderId="52" xfId="2" applyNumberFormat="1" applyFont="1" applyBorder="1" applyAlignment="1" applyProtection="1">
      <alignment horizontal="right" vertical="center"/>
      <protection locked="0"/>
    </xf>
    <xf numFmtId="0" fontId="4" fillId="3" borderId="10" xfId="0" applyFont="1" applyFill="1" applyBorder="1" applyAlignment="1">
      <alignment horizontal="center" vertical="center" shrinkToFit="1"/>
    </xf>
    <xf numFmtId="0" fontId="4" fillId="3" borderId="11" xfId="0" applyFont="1" applyFill="1" applyBorder="1" applyAlignment="1">
      <alignment horizontal="center" vertical="center" shrinkToFit="1"/>
    </xf>
    <xf numFmtId="0" fontId="4" fillId="3" borderId="29" xfId="0" applyFont="1" applyFill="1" applyBorder="1" applyAlignment="1">
      <alignment horizontal="center" vertical="center" shrinkToFit="1"/>
    </xf>
    <xf numFmtId="0" fontId="4" fillId="0" borderId="40" xfId="0" applyFont="1" applyBorder="1" applyAlignment="1">
      <alignment horizontal="distributed" vertical="center" justifyLastLine="1"/>
    </xf>
    <xf numFmtId="0" fontId="4" fillId="0" borderId="6" xfId="0" applyFont="1" applyBorder="1" applyAlignment="1">
      <alignment horizontal="distributed" vertical="center" justifyLastLine="1"/>
    </xf>
    <xf numFmtId="0" fontId="4" fillId="0" borderId="39" xfId="0" applyFont="1" applyBorder="1" applyAlignment="1">
      <alignment horizontal="distributed" vertical="center" justifyLastLine="1"/>
    </xf>
    <xf numFmtId="0" fontId="4" fillId="0" borderId="17" xfId="0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35" xfId="0" applyFont="1" applyBorder="1" applyAlignment="1">
      <alignment horizontal="center" vertical="center" shrinkToFit="1"/>
    </xf>
    <xf numFmtId="0" fontId="4" fillId="0" borderId="21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distributed" shrinkToFit="1"/>
    </xf>
    <xf numFmtId="0" fontId="4" fillId="0" borderId="0" xfId="0" applyFont="1" applyAlignment="1">
      <alignment horizontal="distributed" shrinkToFit="1"/>
    </xf>
    <xf numFmtId="0" fontId="4" fillId="0" borderId="20" xfId="0" applyFont="1" applyBorder="1" applyAlignment="1">
      <alignment horizontal="distributed" shrinkToFit="1"/>
    </xf>
    <xf numFmtId="0" fontId="4" fillId="0" borderId="60" xfId="0" applyFont="1" applyBorder="1" applyAlignment="1">
      <alignment horizontal="distributed" vertical="center"/>
    </xf>
    <xf numFmtId="0" fontId="4" fillId="0" borderId="51" xfId="0" applyFont="1" applyBorder="1" applyAlignment="1">
      <alignment horizontal="distributed" vertical="center"/>
    </xf>
    <xf numFmtId="0" fontId="4" fillId="0" borderId="52" xfId="0" applyFont="1" applyBorder="1" applyAlignment="1">
      <alignment horizontal="distributed" vertical="center"/>
    </xf>
    <xf numFmtId="0" fontId="4" fillId="0" borderId="58" xfId="0" applyFont="1" applyBorder="1" applyAlignment="1">
      <alignment horizontal="distributed" vertical="center"/>
    </xf>
    <xf numFmtId="0" fontId="4" fillId="0" borderId="43" xfId="0" applyFont="1" applyBorder="1" applyAlignment="1">
      <alignment horizontal="distributed" vertical="center"/>
    </xf>
    <xf numFmtId="0" fontId="4" fillId="0" borderId="50" xfId="0" applyFont="1" applyBorder="1" applyAlignment="1">
      <alignment horizontal="distributed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18" fillId="0" borderId="3" xfId="0" applyFont="1" applyBorder="1" applyAlignment="1">
      <alignment horizontal="distributed" vertical="center"/>
    </xf>
    <xf numFmtId="0" fontId="10" fillId="0" borderId="24" xfId="0" applyFont="1" applyBorder="1" applyAlignment="1">
      <alignment horizontal="center" vertical="center" textRotation="255"/>
    </xf>
    <xf numFmtId="0" fontId="10" fillId="0" borderId="40" xfId="0" applyFont="1" applyBorder="1" applyAlignment="1">
      <alignment horizontal="center" vertical="center"/>
    </xf>
    <xf numFmtId="49" fontId="4" fillId="0" borderId="97" xfId="2" applyNumberFormat="1" applyFont="1" applyBorder="1" applyAlignment="1" applyProtection="1">
      <alignment horizontal="right" vertical="center"/>
      <protection locked="0"/>
    </xf>
    <xf numFmtId="49" fontId="4" fillId="0" borderId="45" xfId="2" applyNumberFormat="1" applyFont="1" applyBorder="1" applyAlignment="1" applyProtection="1">
      <alignment horizontal="right" vertical="center"/>
      <protection locked="0"/>
    </xf>
    <xf numFmtId="49" fontId="10" fillId="0" borderId="48" xfId="2" applyNumberFormat="1" applyFont="1" applyBorder="1" applyAlignment="1" applyProtection="1">
      <alignment horizontal="right" vertical="center"/>
      <protection locked="0"/>
    </xf>
    <xf numFmtId="49" fontId="10" fillId="0" borderId="47" xfId="2" applyNumberFormat="1" applyFont="1" applyBorder="1" applyAlignment="1" applyProtection="1">
      <alignment horizontal="right" vertical="center"/>
      <protection locked="0"/>
    </xf>
    <xf numFmtId="49" fontId="10" fillId="0" borderId="65" xfId="2" applyNumberFormat="1" applyFont="1" applyBorder="1" applyAlignment="1" applyProtection="1">
      <alignment horizontal="right" vertical="center"/>
      <protection locked="0"/>
    </xf>
    <xf numFmtId="49" fontId="4" fillId="0" borderId="49" xfId="2" applyNumberFormat="1" applyFont="1" applyBorder="1" applyAlignment="1" applyProtection="1">
      <alignment horizontal="right" vertical="center"/>
      <protection locked="0"/>
    </xf>
    <xf numFmtId="49" fontId="4" fillId="3" borderId="52" xfId="2" applyNumberFormat="1" applyFont="1" applyFill="1" applyBorder="1" applyAlignment="1">
      <alignment horizontal="right" vertical="center"/>
    </xf>
    <xf numFmtId="49" fontId="10" fillId="3" borderId="97" xfId="2" applyNumberFormat="1" applyFont="1" applyFill="1" applyBorder="1" applyAlignment="1">
      <alignment horizontal="right" vertical="center"/>
    </xf>
    <xf numFmtId="49" fontId="10" fillId="0" borderId="45" xfId="2" applyNumberFormat="1" applyFont="1" applyBorder="1" applyAlignment="1" applyProtection="1">
      <alignment horizontal="right" vertical="center"/>
      <protection locked="0"/>
    </xf>
    <xf numFmtId="49" fontId="10" fillId="0" borderId="49" xfId="2" applyNumberFormat="1" applyFont="1" applyBorder="1" applyAlignment="1" applyProtection="1">
      <alignment horizontal="right" vertical="center"/>
      <protection locked="0"/>
    </xf>
    <xf numFmtId="0" fontId="4" fillId="0" borderId="173" xfId="2" applyFont="1" applyBorder="1" applyAlignment="1">
      <alignment horizontal="distributed" vertical="center"/>
    </xf>
    <xf numFmtId="0" fontId="4" fillId="0" borderId="66" xfId="2" applyFont="1" applyBorder="1" applyAlignment="1">
      <alignment horizontal="distributed" vertical="center"/>
    </xf>
    <xf numFmtId="0" fontId="4" fillId="0" borderId="206" xfId="2" applyFont="1" applyBorder="1" applyAlignment="1">
      <alignment horizontal="distributed" vertical="center"/>
    </xf>
    <xf numFmtId="49" fontId="4" fillId="3" borderId="38" xfId="3" applyNumberFormat="1" applyFont="1" applyFill="1" applyBorder="1" applyAlignment="1">
      <alignment horizontal="right" vertical="center"/>
    </xf>
    <xf numFmtId="176" fontId="10" fillId="0" borderId="96" xfId="0" applyNumberFormat="1" applyFont="1" applyBorder="1" applyAlignment="1">
      <alignment horizontal="distributed" vertical="center" shrinkToFit="1"/>
    </xf>
    <xf numFmtId="176" fontId="10" fillId="0" borderId="91" xfId="0" applyNumberFormat="1" applyFont="1" applyBorder="1" applyAlignment="1">
      <alignment horizontal="distributed" vertical="center" shrinkToFit="1"/>
    </xf>
    <xf numFmtId="176" fontId="10" fillId="0" borderId="92" xfId="0" applyNumberFormat="1" applyFont="1" applyBorder="1" applyAlignment="1">
      <alignment horizontal="distributed" vertical="center" shrinkToFit="1"/>
    </xf>
    <xf numFmtId="49" fontId="4" fillId="3" borderId="52" xfId="3" applyNumberFormat="1" applyFont="1" applyFill="1" applyBorder="1" applyAlignment="1">
      <alignment horizontal="right" vertical="center"/>
    </xf>
    <xf numFmtId="0" fontId="4" fillId="0" borderId="54" xfId="2" applyFont="1" applyBorder="1" applyAlignment="1">
      <alignment horizontal="center" vertical="center" wrapText="1" shrinkToFit="1"/>
    </xf>
    <xf numFmtId="0" fontId="4" fillId="0" borderId="55" xfId="2" applyFont="1" applyBorder="1" applyAlignment="1">
      <alignment horizontal="center" vertical="center" shrinkToFit="1"/>
    </xf>
    <xf numFmtId="0" fontId="4" fillId="0" borderId="61" xfId="2" applyFont="1" applyBorder="1" applyAlignment="1">
      <alignment horizontal="center" vertical="center" shrinkToFit="1"/>
    </xf>
    <xf numFmtId="0" fontId="4" fillId="0" borderId="62" xfId="2" applyFont="1" applyBorder="1" applyAlignment="1">
      <alignment horizontal="center" vertical="center" shrinkToFit="1"/>
    </xf>
    <xf numFmtId="0" fontId="22" fillId="0" borderId="7" xfId="0" applyFont="1" applyBorder="1" applyAlignment="1">
      <alignment horizontal="center" vertical="center"/>
    </xf>
    <xf numFmtId="0" fontId="10" fillId="0" borderId="46" xfId="0" applyFont="1" applyBorder="1" applyAlignment="1">
      <alignment horizontal="distributed" vertical="center" shrinkToFit="1"/>
    </xf>
    <xf numFmtId="0" fontId="10" fillId="0" borderId="47" xfId="0" applyFont="1" applyBorder="1" applyAlignment="1">
      <alignment horizontal="distributed" vertical="center" shrinkToFit="1"/>
    </xf>
    <xf numFmtId="0" fontId="10" fillId="0" borderId="112" xfId="0" applyFont="1" applyBorder="1" applyAlignment="1">
      <alignment horizontal="distributed" vertical="center" shrinkToFit="1"/>
    </xf>
    <xf numFmtId="49" fontId="4" fillId="3" borderId="48" xfId="0" applyNumberFormat="1" applyFont="1" applyFill="1" applyBorder="1" applyAlignment="1">
      <alignment horizontal="right" vertical="center"/>
    </xf>
    <xf numFmtId="49" fontId="4" fillId="3" borderId="47" xfId="0" applyNumberFormat="1" applyFont="1" applyFill="1" applyBorder="1" applyAlignment="1">
      <alignment horizontal="right" vertical="center"/>
    </xf>
    <xf numFmtId="49" fontId="4" fillId="3" borderId="49" xfId="0" applyNumberFormat="1" applyFont="1" applyFill="1" applyBorder="1" applyAlignment="1">
      <alignment horizontal="right" vertical="center"/>
    </xf>
    <xf numFmtId="0" fontId="4" fillId="0" borderId="257" xfId="0" applyFont="1" applyBorder="1" applyAlignment="1">
      <alignment horizontal="distributed" vertical="center"/>
    </xf>
    <xf numFmtId="49" fontId="4" fillId="3" borderId="44" xfId="0" applyNumberFormat="1" applyFont="1" applyFill="1" applyBorder="1" applyAlignment="1">
      <alignment horizontal="right" vertical="center"/>
    </xf>
    <xf numFmtId="49" fontId="4" fillId="3" borderId="43" xfId="0" applyNumberFormat="1" applyFont="1" applyFill="1" applyBorder="1" applyAlignment="1">
      <alignment horizontal="right" vertical="center"/>
    </xf>
    <xf numFmtId="49" fontId="4" fillId="3" borderId="235" xfId="0" applyNumberFormat="1" applyFont="1" applyFill="1" applyBorder="1" applyAlignment="1">
      <alignment horizontal="right" vertical="center"/>
    </xf>
    <xf numFmtId="0" fontId="10" fillId="0" borderId="42" xfId="0" applyFont="1" applyBorder="1" applyAlignment="1">
      <alignment horizontal="distributed" vertical="center" shrinkToFit="1"/>
    </xf>
    <xf numFmtId="0" fontId="10" fillId="0" borderId="43" xfId="0" applyFont="1" applyBorder="1" applyAlignment="1">
      <alignment horizontal="distributed" vertical="center" shrinkToFit="1"/>
    </xf>
    <xf numFmtId="0" fontId="10" fillId="0" borderId="99" xfId="0" applyFont="1" applyBorder="1" applyAlignment="1">
      <alignment horizontal="distributed" vertical="center" shrinkToFit="1"/>
    </xf>
    <xf numFmtId="49" fontId="4" fillId="3" borderId="45" xfId="0" applyNumberFormat="1" applyFont="1" applyFill="1" applyBorder="1" applyAlignment="1">
      <alignment horizontal="right" vertical="center"/>
    </xf>
    <xf numFmtId="0" fontId="4" fillId="0" borderId="258" xfId="0" applyFont="1" applyBorder="1" applyAlignment="1">
      <alignment horizontal="distributed" vertical="center"/>
    </xf>
    <xf numFmtId="0" fontId="4" fillId="0" borderId="259" xfId="0" applyFont="1" applyBorder="1" applyAlignment="1">
      <alignment horizontal="distributed" vertical="center"/>
    </xf>
    <xf numFmtId="0" fontId="4" fillId="0" borderId="260" xfId="0" applyFont="1" applyBorder="1" applyAlignment="1">
      <alignment horizontal="distributed" vertical="center"/>
    </xf>
    <xf numFmtId="49" fontId="4" fillId="3" borderId="261" xfId="0" applyNumberFormat="1" applyFont="1" applyFill="1" applyBorder="1" applyAlignment="1">
      <alignment horizontal="right" vertical="center"/>
    </xf>
    <xf numFmtId="49" fontId="4" fillId="3" borderId="259" xfId="0" applyNumberFormat="1" applyFont="1" applyFill="1" applyBorder="1" applyAlignment="1">
      <alignment horizontal="right" vertical="center"/>
    </xf>
    <xf numFmtId="49" fontId="4" fillId="3" borderId="262" xfId="0" applyNumberFormat="1" applyFont="1" applyFill="1" applyBorder="1" applyAlignment="1">
      <alignment horizontal="right" vertical="center"/>
    </xf>
    <xf numFmtId="0" fontId="4" fillId="0" borderId="243" xfId="0" applyFont="1" applyBorder="1" applyAlignment="1">
      <alignment horizontal="distributed" vertical="center" justifyLastLine="1"/>
    </xf>
    <xf numFmtId="0" fontId="4" fillId="0" borderId="14" xfId="0" applyFont="1" applyBorder="1" applyAlignment="1">
      <alignment horizontal="distributed" vertical="center" justifyLastLine="1"/>
    </xf>
    <xf numFmtId="0" fontId="4" fillId="0" borderId="228" xfId="0" applyFont="1" applyBorder="1" applyAlignment="1">
      <alignment horizontal="distributed" vertical="center" justifyLastLine="1"/>
    </xf>
    <xf numFmtId="0" fontId="4" fillId="0" borderId="256" xfId="0" applyFont="1" applyBorder="1" applyAlignment="1">
      <alignment horizontal="distributed" vertical="center"/>
    </xf>
    <xf numFmtId="0" fontId="4" fillId="0" borderId="91" xfId="0" applyFont="1" applyBorder="1" applyAlignment="1">
      <alignment horizontal="distributed" vertical="center"/>
    </xf>
    <xf numFmtId="0" fontId="4" fillId="0" borderId="92" xfId="0" applyFont="1" applyBorder="1" applyAlignment="1">
      <alignment horizontal="distributed" vertical="center"/>
    </xf>
    <xf numFmtId="49" fontId="4" fillId="3" borderId="90" xfId="0" applyNumberFormat="1" applyFont="1" applyFill="1" applyBorder="1" applyAlignment="1">
      <alignment horizontal="right" vertical="center"/>
    </xf>
    <xf numFmtId="49" fontId="4" fillId="3" borderId="91" xfId="0" applyNumberFormat="1" applyFont="1" applyFill="1" applyBorder="1" applyAlignment="1">
      <alignment horizontal="right" vertical="center"/>
    </xf>
    <xf numFmtId="49" fontId="4" fillId="3" borderId="233" xfId="0" applyNumberFormat="1" applyFont="1" applyFill="1" applyBorder="1" applyAlignment="1">
      <alignment horizontal="right" vertical="center"/>
    </xf>
    <xf numFmtId="0" fontId="9" fillId="0" borderId="42" xfId="0" applyFont="1" applyBorder="1" applyAlignment="1">
      <alignment horizontal="distributed" vertical="center" shrinkToFit="1"/>
    </xf>
    <xf numFmtId="0" fontId="9" fillId="0" borderId="43" xfId="0" applyFont="1" applyBorder="1" applyAlignment="1">
      <alignment horizontal="distributed" vertical="center" shrinkToFit="1"/>
    </xf>
    <xf numFmtId="0" fontId="9" fillId="0" borderId="99" xfId="0" applyFont="1" applyBorder="1" applyAlignment="1">
      <alignment horizontal="distributed" vertical="center" shrinkToFit="1"/>
    </xf>
    <xf numFmtId="0" fontId="9" fillId="0" borderId="152" xfId="0" applyFont="1" applyBorder="1" applyAlignment="1">
      <alignment horizontal="distributed" vertical="center" shrinkToFit="1"/>
    </xf>
    <xf numFmtId="0" fontId="9" fillId="0" borderId="122" xfId="0" applyFont="1" applyBorder="1" applyAlignment="1">
      <alignment horizontal="distributed" vertical="center" shrinkToFit="1"/>
    </xf>
    <xf numFmtId="0" fontId="9" fillId="0" borderId="150" xfId="0" applyFont="1" applyBorder="1" applyAlignment="1">
      <alignment horizontal="distributed" vertical="center" shrinkToFit="1"/>
    </xf>
    <xf numFmtId="49" fontId="4" fillId="3" borderId="242" xfId="0" applyNumberFormat="1" applyFont="1" applyFill="1" applyBorder="1" applyAlignment="1">
      <alignment horizontal="right" vertical="center"/>
    </xf>
    <xf numFmtId="0" fontId="10" fillId="0" borderId="151" xfId="0" applyFont="1" applyBorder="1" applyAlignment="1">
      <alignment horizontal="distributed" vertical="center" shrinkToFit="1"/>
    </xf>
    <xf numFmtId="0" fontId="10" fillId="0" borderId="70" xfId="0" applyFont="1" applyBorder="1" applyAlignment="1">
      <alignment horizontal="distributed" vertical="center" shrinkToFit="1"/>
    </xf>
    <xf numFmtId="0" fontId="10" fillId="0" borderId="128" xfId="0" applyFont="1" applyBorder="1" applyAlignment="1">
      <alignment horizontal="distributed" vertical="center" shrinkToFit="1"/>
    </xf>
    <xf numFmtId="0" fontId="4" fillId="0" borderId="64" xfId="0" applyFont="1" applyBorder="1" applyAlignment="1">
      <alignment horizontal="distributed" vertical="center"/>
    </xf>
    <xf numFmtId="0" fontId="4" fillId="0" borderId="47" xfId="0" applyFont="1" applyBorder="1" applyAlignment="1">
      <alignment horizontal="distributed" vertical="center"/>
    </xf>
    <xf numFmtId="0" fontId="4" fillId="0" borderId="65" xfId="0" applyFont="1" applyBorder="1" applyAlignment="1">
      <alignment horizontal="distributed" vertical="center"/>
    </xf>
    <xf numFmtId="49" fontId="4" fillId="3" borderId="65" xfId="0" applyNumberFormat="1" applyFont="1" applyFill="1" applyBorder="1" applyAlignment="1">
      <alignment horizontal="right" vertical="center"/>
    </xf>
    <xf numFmtId="0" fontId="10" fillId="0" borderId="232" xfId="0" applyFont="1" applyBorder="1" applyAlignment="1">
      <alignment horizontal="center" vertical="center" textRotation="255" shrinkToFit="1"/>
    </xf>
    <xf numFmtId="0" fontId="10" fillId="0" borderId="234" xfId="0" applyFont="1" applyBorder="1" applyAlignment="1">
      <alignment horizontal="center" vertical="center" textRotation="255" shrinkToFit="1"/>
    </xf>
    <xf numFmtId="0" fontId="10" fillId="0" borderId="255" xfId="0" applyFont="1" applyBorder="1" applyAlignment="1">
      <alignment horizontal="center" vertical="center" textRotation="255" shrinkToFit="1"/>
    </xf>
    <xf numFmtId="0" fontId="10" fillId="0" borderId="175" xfId="0" applyFont="1" applyBorder="1" applyAlignment="1">
      <alignment horizontal="distributed" vertical="center" shrinkToFit="1"/>
    </xf>
    <xf numFmtId="0" fontId="10" fillId="0" borderId="156" xfId="0" applyFont="1" applyBorder="1" applyAlignment="1">
      <alignment horizontal="distributed" vertical="center" shrinkToFit="1"/>
    </xf>
    <xf numFmtId="0" fontId="10" fillId="0" borderId="157" xfId="0" applyFont="1" applyBorder="1" applyAlignment="1">
      <alignment horizontal="distributed" vertical="center" shrinkToFit="1"/>
    </xf>
    <xf numFmtId="49" fontId="4" fillId="3" borderId="50" xfId="0" applyNumberFormat="1" applyFont="1" applyFill="1" applyBorder="1" applyAlignment="1">
      <alignment horizontal="right" vertical="center"/>
    </xf>
    <xf numFmtId="0" fontId="9" fillId="0" borderId="151" xfId="0" applyFont="1" applyBorder="1" applyAlignment="1">
      <alignment horizontal="distributed" vertical="center" shrinkToFit="1"/>
    </xf>
    <xf numFmtId="0" fontId="9" fillId="0" borderId="70" xfId="0" applyFont="1" applyBorder="1" applyAlignment="1">
      <alignment horizontal="distributed" vertical="center" shrinkToFit="1"/>
    </xf>
    <xf numFmtId="0" fontId="9" fillId="0" borderId="128" xfId="0" applyFont="1" applyBorder="1" applyAlignment="1">
      <alignment horizontal="distributed" vertical="center" shrinkToFit="1"/>
    </xf>
    <xf numFmtId="0" fontId="10" fillId="0" borderId="85" xfId="0" applyFont="1" applyBorder="1" applyAlignment="1">
      <alignment horizontal="distributed" vertical="center" shrinkToFit="1"/>
    </xf>
    <xf numFmtId="0" fontId="4" fillId="0" borderId="36" xfId="0" applyFont="1" applyBorder="1" applyAlignment="1">
      <alignment horizontal="distributed" vertical="center"/>
    </xf>
    <xf numFmtId="0" fontId="4" fillId="0" borderId="37" xfId="0" applyFont="1" applyBorder="1" applyAlignment="1">
      <alignment horizontal="distributed" vertical="center"/>
    </xf>
    <xf numFmtId="49" fontId="4" fillId="3" borderId="41" xfId="0" applyNumberFormat="1" applyFont="1" applyFill="1" applyBorder="1" applyAlignment="1">
      <alignment horizontal="right" vertical="center"/>
    </xf>
    <xf numFmtId="49" fontId="4" fillId="3" borderId="37" xfId="0" applyNumberFormat="1" applyFont="1" applyFill="1" applyBorder="1" applyAlignment="1">
      <alignment horizontal="right" vertical="center"/>
    </xf>
    <xf numFmtId="49" fontId="4" fillId="3" borderId="306" xfId="0" applyNumberFormat="1" applyFont="1" applyFill="1" applyBorder="1" applyAlignment="1">
      <alignment horizontal="right" vertical="center"/>
    </xf>
    <xf numFmtId="0" fontId="17" fillId="0" borderId="134" xfId="0" applyFont="1" applyBorder="1" applyAlignment="1">
      <alignment horizontal="distributed" vertical="center" shrinkToFit="1"/>
    </xf>
    <xf numFmtId="0" fontId="17" fillId="0" borderId="135" xfId="0" applyFont="1" applyBorder="1" applyAlignment="1">
      <alignment horizontal="distributed" vertical="center" shrinkToFit="1"/>
    </xf>
    <xf numFmtId="0" fontId="17" fillId="0" borderId="136" xfId="0" applyFont="1" applyBorder="1" applyAlignment="1">
      <alignment horizontal="distributed" vertical="center" shrinkToFit="1"/>
    </xf>
    <xf numFmtId="49" fontId="4" fillId="3" borderId="53" xfId="0" applyNumberFormat="1" applyFont="1" applyFill="1" applyBorder="1" applyAlignment="1">
      <alignment horizontal="right" vertical="center"/>
    </xf>
    <xf numFmtId="49" fontId="4" fillId="3" borderId="51" xfId="0" applyNumberFormat="1" applyFont="1" applyFill="1" applyBorder="1" applyAlignment="1">
      <alignment horizontal="right" vertical="center"/>
    </xf>
    <xf numFmtId="49" fontId="4" fillId="3" borderId="237" xfId="0" applyNumberFormat="1" applyFont="1" applyFill="1" applyBorder="1" applyAlignment="1">
      <alignment horizontal="right" vertical="center"/>
    </xf>
    <xf numFmtId="0" fontId="4" fillId="0" borderId="18" xfId="0" applyFont="1" applyBorder="1" applyAlignment="1">
      <alignment horizontal="distributed" vertical="center"/>
    </xf>
    <xf numFmtId="0" fontId="4" fillId="0" borderId="19" xfId="0" applyFont="1" applyBorder="1" applyAlignment="1">
      <alignment horizontal="distributed" vertical="center"/>
    </xf>
    <xf numFmtId="49" fontId="4" fillId="3" borderId="92" xfId="0" applyNumberFormat="1" applyFont="1" applyFill="1" applyBorder="1" applyAlignment="1">
      <alignment horizontal="right" vertical="center"/>
    </xf>
    <xf numFmtId="0" fontId="21" fillId="0" borderId="8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9" fillId="0" borderId="69" xfId="0" applyFont="1" applyBorder="1" applyAlignment="1">
      <alignment horizontal="distributed" vertical="center" shrinkToFit="1"/>
    </xf>
    <xf numFmtId="49" fontId="4" fillId="3" borderId="52" xfId="0" applyNumberFormat="1" applyFont="1" applyFill="1" applyBorder="1" applyAlignment="1">
      <alignment horizontal="right" vertical="center"/>
    </xf>
    <xf numFmtId="49" fontId="4" fillId="3" borderId="89" xfId="0" applyNumberFormat="1" applyFont="1" applyFill="1" applyBorder="1" applyAlignment="1">
      <alignment horizontal="right" vertical="center"/>
    </xf>
    <xf numFmtId="0" fontId="10" fillId="0" borderId="58" xfId="0" applyFont="1" applyBorder="1" applyAlignment="1">
      <alignment horizontal="distributed" vertical="center" shrinkToFit="1"/>
    </xf>
    <xf numFmtId="49" fontId="4" fillId="3" borderId="97" xfId="0" applyNumberFormat="1" applyFont="1" applyFill="1" applyBorder="1" applyAlignment="1">
      <alignment horizontal="right" vertical="center"/>
    </xf>
    <xf numFmtId="0" fontId="10" fillId="0" borderId="96" xfId="0" applyFont="1" applyBorder="1" applyAlignment="1">
      <alignment horizontal="distributed" vertical="center" shrinkToFit="1"/>
    </xf>
    <xf numFmtId="0" fontId="10" fillId="0" borderId="91" xfId="0" applyFont="1" applyBorder="1" applyAlignment="1">
      <alignment horizontal="distributed" vertical="center" shrinkToFit="1"/>
    </xf>
    <xf numFmtId="0" fontId="10" fillId="0" borderId="110" xfId="0" applyFont="1" applyBorder="1" applyAlignment="1">
      <alignment horizontal="distributed" vertical="center" shrinkToFit="1"/>
    </xf>
    <xf numFmtId="0" fontId="4" fillId="0" borderId="96" xfId="0" applyFont="1" applyBorder="1" applyAlignment="1">
      <alignment horizontal="distributed" vertical="center"/>
    </xf>
    <xf numFmtId="0" fontId="10" fillId="0" borderId="252" xfId="0" applyFont="1" applyBorder="1" applyAlignment="1">
      <alignment horizontal="center" vertical="center" textRotation="255" shrinkToFit="1"/>
    </xf>
    <xf numFmtId="0" fontId="10" fillId="0" borderId="253" xfId="0" applyFont="1" applyBorder="1" applyAlignment="1">
      <alignment horizontal="center" vertical="center" textRotation="255" shrinkToFit="1"/>
    </xf>
    <xf numFmtId="0" fontId="10" fillId="0" borderId="254" xfId="0" applyFont="1" applyBorder="1" applyAlignment="1">
      <alignment horizontal="center" vertical="center" textRotation="255" shrinkToFit="1"/>
    </xf>
    <xf numFmtId="0" fontId="10" fillId="0" borderId="155" xfId="0" applyFont="1" applyBorder="1" applyAlignment="1">
      <alignment horizontal="distributed" vertical="center" shrinkToFit="1"/>
    </xf>
    <xf numFmtId="0" fontId="4" fillId="0" borderId="46" xfId="0" applyFont="1" applyBorder="1" applyAlignment="1">
      <alignment horizontal="distributed" vertical="center"/>
    </xf>
    <xf numFmtId="0" fontId="4" fillId="0" borderId="56" xfId="0" applyFont="1" applyBorder="1" applyAlignment="1">
      <alignment horizontal="distributed" vertical="center" wrapText="1"/>
    </xf>
    <xf numFmtId="0" fontId="4" fillId="0" borderId="55" xfId="0" applyFont="1" applyBorder="1" applyAlignment="1">
      <alignment horizontal="distributed" vertical="center"/>
    </xf>
    <xf numFmtId="0" fontId="4" fillId="0" borderId="2" xfId="0" applyFont="1" applyBorder="1" applyAlignment="1">
      <alignment horizontal="distributed" vertical="center"/>
    </xf>
    <xf numFmtId="0" fontId="4" fillId="0" borderId="0" xfId="0" applyFont="1" applyAlignment="1">
      <alignment horizontal="distributed" vertical="center"/>
    </xf>
    <xf numFmtId="0" fontId="4" fillId="0" borderId="31" xfId="0" applyFont="1" applyBorder="1" applyAlignment="1">
      <alignment horizontal="distributed" vertical="center"/>
    </xf>
    <xf numFmtId="0" fontId="4" fillId="0" borderId="24" xfId="0" applyFont="1" applyBorder="1" applyAlignment="1">
      <alignment horizontal="distributed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46" xfId="0" applyFont="1" applyBorder="1" applyAlignment="1">
      <alignment horizontal="distributed" vertical="center"/>
    </xf>
    <xf numFmtId="0" fontId="18" fillId="0" borderId="47" xfId="0" applyFont="1" applyBorder="1" applyAlignment="1">
      <alignment horizontal="distributed" vertical="center"/>
    </xf>
    <xf numFmtId="0" fontId="10" fillId="0" borderId="84" xfId="0" applyFont="1" applyBorder="1" applyAlignment="1">
      <alignment horizontal="distributed" vertical="center" shrinkToFit="1"/>
    </xf>
    <xf numFmtId="0" fontId="10" fillId="0" borderId="51" xfId="0" applyFont="1" applyBorder="1" applyAlignment="1">
      <alignment horizontal="distributed" vertical="center" shrinkToFit="1"/>
    </xf>
    <xf numFmtId="0" fontId="10" fillId="0" borderId="111" xfId="0" applyFont="1" applyBorder="1" applyAlignment="1">
      <alignment horizontal="distributed" vertical="center" shrinkToFit="1"/>
    </xf>
    <xf numFmtId="0" fontId="8" fillId="0" borderId="27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4" fillId="0" borderId="9" xfId="0" applyFont="1" applyBorder="1" applyAlignment="1">
      <alignment horizontal="distributed" vertical="center"/>
    </xf>
    <xf numFmtId="0" fontId="4" fillId="0" borderId="20" xfId="0" applyFont="1" applyBorder="1" applyAlignment="1">
      <alignment horizontal="distributed" vertical="center"/>
    </xf>
    <xf numFmtId="49" fontId="4" fillId="3" borderId="56" xfId="0" applyNumberFormat="1" applyFont="1" applyFill="1" applyBorder="1" applyAlignment="1">
      <alignment horizontal="right" vertical="center"/>
    </xf>
    <xf numFmtId="49" fontId="4" fillId="3" borderId="55" xfId="0" applyNumberFormat="1" applyFont="1" applyFill="1" applyBorder="1" applyAlignment="1">
      <alignment horizontal="right" vertical="center"/>
    </xf>
    <xf numFmtId="0" fontId="4" fillId="0" borderId="44" xfId="0" applyFont="1" applyBorder="1" applyAlignment="1">
      <alignment horizontal="distributed" vertical="center"/>
    </xf>
    <xf numFmtId="0" fontId="10" fillId="0" borderId="96" xfId="0" applyFont="1" applyBorder="1" applyAlignment="1">
      <alignment horizontal="distributed" vertical="center"/>
    </xf>
    <xf numFmtId="0" fontId="10" fillId="0" borderId="91" xfId="0" applyFont="1" applyBorder="1" applyAlignment="1">
      <alignment horizontal="distributed" vertical="center"/>
    </xf>
    <xf numFmtId="0" fontId="10" fillId="0" borderId="110" xfId="0" applyFont="1" applyBorder="1" applyAlignment="1">
      <alignment horizontal="distributed" vertical="center"/>
    </xf>
    <xf numFmtId="0" fontId="4" fillId="0" borderId="42" xfId="0" applyFont="1" applyBorder="1" applyAlignment="1">
      <alignment horizontal="distributed" vertical="center"/>
    </xf>
    <xf numFmtId="0" fontId="4" fillId="0" borderId="24" xfId="2" applyFont="1" applyBorder="1" applyAlignment="1">
      <alignment horizontal="distributed" vertical="center"/>
    </xf>
    <xf numFmtId="0" fontId="4" fillId="0" borderId="30" xfId="2" applyFont="1" applyBorder="1" applyAlignment="1">
      <alignment horizontal="distributed" vertical="center"/>
    </xf>
    <xf numFmtId="49" fontId="4" fillId="3" borderId="223" xfId="3" applyNumberFormat="1" applyFont="1" applyFill="1" applyBorder="1" applyAlignment="1">
      <alignment horizontal="right" vertical="center"/>
    </xf>
    <xf numFmtId="49" fontId="4" fillId="3" borderId="251" xfId="3" applyNumberFormat="1" applyFont="1" applyFill="1" applyBorder="1" applyAlignment="1">
      <alignment horizontal="right" vertical="center"/>
    </xf>
    <xf numFmtId="0" fontId="17" fillId="0" borderId="28" xfId="0" applyFont="1" applyBorder="1" applyAlignment="1">
      <alignment horizontal="center" vertical="center" wrapText="1" shrinkToFit="1"/>
    </xf>
    <xf numFmtId="0" fontId="17" fillId="0" borderId="19" xfId="0" applyFont="1" applyBorder="1" applyAlignment="1">
      <alignment horizontal="center" vertical="center" wrapText="1" shrinkToFit="1"/>
    </xf>
    <xf numFmtId="0" fontId="17" fillId="0" borderId="25" xfId="0" applyFont="1" applyBorder="1" applyAlignment="1">
      <alignment horizontal="center" vertical="center" wrapText="1" shrinkToFit="1"/>
    </xf>
    <xf numFmtId="0" fontId="17" fillId="0" borderId="30" xfId="0" applyFont="1" applyBorder="1" applyAlignment="1">
      <alignment horizontal="center" vertical="center" wrapText="1" shrinkToFit="1"/>
    </xf>
    <xf numFmtId="0" fontId="10" fillId="0" borderId="179" xfId="0" applyFont="1" applyBorder="1" applyAlignment="1">
      <alignment horizontal="distributed" vertical="center" shrinkToFit="1"/>
    </xf>
    <xf numFmtId="0" fontId="10" fillId="0" borderId="78" xfId="0" applyFont="1" applyBorder="1" applyAlignment="1">
      <alignment horizontal="distributed" vertical="center" shrinkToFit="1"/>
    </xf>
    <xf numFmtId="0" fontId="4" fillId="0" borderId="91" xfId="2" applyFont="1" applyBorder="1" applyAlignment="1">
      <alignment horizontal="distributed" vertical="center"/>
    </xf>
    <xf numFmtId="0" fontId="4" fillId="0" borderId="92" xfId="2" applyFont="1" applyBorder="1" applyAlignment="1">
      <alignment horizontal="distributed" vertical="center"/>
    </xf>
    <xf numFmtId="49" fontId="4" fillId="3" borderId="246" xfId="3" applyNumberFormat="1" applyFont="1" applyFill="1" applyBorder="1" applyAlignment="1">
      <alignment horizontal="right" vertical="center"/>
    </xf>
    <xf numFmtId="49" fontId="4" fillId="3" borderId="247" xfId="3" applyNumberFormat="1" applyFont="1" applyFill="1" applyBorder="1" applyAlignment="1">
      <alignment horizontal="right" vertical="center"/>
    </xf>
    <xf numFmtId="0" fontId="18" fillId="0" borderId="64" xfId="0" applyFont="1" applyBorder="1" applyAlignment="1">
      <alignment horizontal="distributed" vertical="center"/>
    </xf>
    <xf numFmtId="0" fontId="18" fillId="0" borderId="65" xfId="0" applyFont="1" applyBorder="1" applyAlignment="1">
      <alignment horizontal="distributed" vertical="center"/>
    </xf>
    <xf numFmtId="0" fontId="10" fillId="0" borderId="127" xfId="0" applyFont="1" applyBorder="1" applyAlignment="1">
      <alignment horizontal="distributed" vertical="center" shrinkToFit="1"/>
    </xf>
    <xf numFmtId="0" fontId="10" fillId="0" borderId="123" xfId="0" applyFont="1" applyBorder="1" applyAlignment="1">
      <alignment horizontal="distributed" vertical="center" shrinkToFit="1"/>
    </xf>
    <xf numFmtId="0" fontId="4" fillId="0" borderId="59" xfId="0" applyFont="1" applyBorder="1" applyAlignment="1">
      <alignment horizontal="distributed" vertical="center"/>
    </xf>
    <xf numFmtId="0" fontId="4" fillId="0" borderId="55" xfId="0" applyFont="1" applyBorder="1" applyAlignment="1">
      <alignment horizontal="distributed" vertical="center" wrapText="1"/>
    </xf>
    <xf numFmtId="0" fontId="4" fillId="0" borderId="2" xfId="0" applyFont="1" applyBorder="1" applyAlignment="1">
      <alignment horizontal="distributed" vertical="center" wrapText="1"/>
    </xf>
    <xf numFmtId="0" fontId="4" fillId="0" borderId="0" xfId="0" applyFont="1" applyAlignment="1">
      <alignment horizontal="distributed" vertical="center" wrapText="1"/>
    </xf>
    <xf numFmtId="0" fontId="4" fillId="0" borderId="87" xfId="0" applyFont="1" applyBorder="1" applyAlignment="1">
      <alignment horizontal="distributed" vertical="center" wrapText="1"/>
    </xf>
    <xf numFmtId="0" fontId="4" fillId="0" borderId="62" xfId="0" applyFont="1" applyBorder="1" applyAlignment="1">
      <alignment horizontal="distributed" vertical="center" wrapText="1"/>
    </xf>
    <xf numFmtId="0" fontId="4" fillId="0" borderId="54" xfId="2" applyFont="1" applyBorder="1" applyAlignment="1">
      <alignment horizontal="distributed" vertical="center"/>
    </xf>
    <xf numFmtId="0" fontId="4" fillId="0" borderId="55" xfId="2" applyFont="1" applyBorder="1" applyAlignment="1">
      <alignment horizontal="distributed" vertical="center"/>
    </xf>
    <xf numFmtId="0" fontId="4" fillId="0" borderId="57" xfId="2" applyFont="1" applyBorder="1" applyAlignment="1">
      <alignment horizontal="distributed" vertical="center"/>
    </xf>
    <xf numFmtId="49" fontId="4" fillId="3" borderId="249" xfId="3" applyNumberFormat="1" applyFont="1" applyFill="1" applyBorder="1" applyAlignment="1">
      <alignment horizontal="right" vertical="center"/>
    </xf>
    <xf numFmtId="49" fontId="4" fillId="3" borderId="250" xfId="3" applyNumberFormat="1" applyFont="1" applyFill="1" applyBorder="1" applyAlignment="1">
      <alignment horizontal="right" vertical="center"/>
    </xf>
    <xf numFmtId="0" fontId="18" fillId="0" borderId="58" xfId="0" applyFont="1" applyBorder="1" applyAlignment="1">
      <alignment horizontal="center" vertical="center" wrapText="1"/>
    </xf>
    <xf numFmtId="0" fontId="18" fillId="0" borderId="43" xfId="0" applyFont="1" applyBorder="1" applyAlignment="1">
      <alignment horizontal="center" vertical="center" wrapText="1"/>
    </xf>
    <xf numFmtId="0" fontId="18" fillId="0" borderId="50" xfId="0" applyFont="1" applyBorder="1" applyAlignment="1">
      <alignment horizontal="center" vertical="center" wrapText="1"/>
    </xf>
    <xf numFmtId="49" fontId="4" fillId="3" borderId="87" xfId="0" applyNumberFormat="1" applyFont="1" applyFill="1" applyBorder="1" applyAlignment="1">
      <alignment horizontal="right" vertical="center"/>
    </xf>
    <xf numFmtId="49" fontId="4" fillId="3" borderId="62" xfId="0" applyNumberFormat="1" applyFont="1" applyFill="1" applyBorder="1" applyAlignment="1">
      <alignment horizontal="right" vertical="center"/>
    </xf>
    <xf numFmtId="0" fontId="4" fillId="0" borderId="85" xfId="0" applyFont="1" applyBorder="1" applyAlignment="1">
      <alignment horizontal="distributed" vertical="center"/>
    </xf>
    <xf numFmtId="49" fontId="4" fillId="3" borderId="222" xfId="3" applyNumberFormat="1" applyFont="1" applyFill="1" applyBorder="1" applyAlignment="1">
      <alignment horizontal="right" vertical="center"/>
    </xf>
    <xf numFmtId="49" fontId="4" fillId="3" borderId="248" xfId="3" applyNumberFormat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distributed" vertical="center"/>
    </xf>
    <xf numFmtId="0" fontId="4" fillId="0" borderId="57" xfId="0" applyFont="1" applyBorder="1" applyAlignment="1">
      <alignment horizontal="distributed" vertical="center"/>
    </xf>
    <xf numFmtId="0" fontId="10" fillId="0" borderId="178" xfId="0" applyFont="1" applyBorder="1" applyAlignment="1">
      <alignment horizontal="distributed" vertical="center" shrinkToFit="1"/>
    </xf>
    <xf numFmtId="0" fontId="10" fillId="0" borderId="76" xfId="0" applyFont="1" applyBorder="1" applyAlignment="1">
      <alignment horizontal="distributed" vertical="center" shrinkToFit="1"/>
    </xf>
    <xf numFmtId="0" fontId="10" fillId="0" borderId="28" xfId="0" applyFont="1" applyBorder="1" applyAlignment="1">
      <alignment horizontal="center" vertical="center" wrapText="1" shrinkToFit="1"/>
    </xf>
    <xf numFmtId="0" fontId="10" fillId="0" borderId="19" xfId="0" applyFont="1" applyBorder="1" applyAlignment="1">
      <alignment horizontal="center" vertical="center" wrapText="1" shrinkToFit="1"/>
    </xf>
    <xf numFmtId="0" fontId="10" fillId="0" borderId="13" xfId="0" applyFont="1" applyBorder="1" applyAlignment="1">
      <alignment horizontal="center" vertical="center" wrapText="1" shrinkToFit="1"/>
    </xf>
    <xf numFmtId="0" fontId="10" fillId="0" borderId="21" xfId="0" applyFont="1" applyBorder="1" applyAlignment="1">
      <alignment horizontal="center" vertical="center" wrapText="1" shrinkToFit="1"/>
    </xf>
    <xf numFmtId="49" fontId="4" fillId="3" borderId="172" xfId="2" applyNumberFormat="1" applyFont="1" applyFill="1" applyBorder="1" applyAlignment="1">
      <alignment horizontal="right" vertical="center"/>
    </xf>
    <xf numFmtId="49" fontId="4" fillId="3" borderId="5" xfId="0" applyNumberFormat="1" applyFont="1" applyFill="1" applyBorder="1" applyAlignment="1">
      <alignment horizontal="right" vertical="center"/>
    </xf>
    <xf numFmtId="49" fontId="4" fillId="3" borderId="18" xfId="0" applyNumberFormat="1" applyFont="1" applyFill="1" applyBorder="1" applyAlignment="1">
      <alignment horizontal="right" vertical="center"/>
    </xf>
    <xf numFmtId="49" fontId="4" fillId="3" borderId="32" xfId="0" applyNumberFormat="1" applyFont="1" applyFill="1" applyBorder="1" applyAlignment="1">
      <alignment horizontal="right" vertical="center"/>
    </xf>
    <xf numFmtId="0" fontId="18" fillId="0" borderId="54" xfId="0" applyFont="1" applyBorder="1" applyAlignment="1">
      <alignment horizontal="distributed" vertical="center"/>
    </xf>
    <xf numFmtId="0" fontId="18" fillId="0" borderId="43" xfId="0" applyFont="1" applyBorder="1" applyAlignment="1">
      <alignment horizontal="distributed" vertical="center"/>
    </xf>
    <xf numFmtId="0" fontId="18" fillId="0" borderId="50" xfId="0" applyFont="1" applyBorder="1" applyAlignment="1">
      <alignment horizontal="distributed" vertical="center"/>
    </xf>
    <xf numFmtId="49" fontId="4" fillId="3" borderId="56" xfId="2" applyNumberFormat="1" applyFont="1" applyFill="1" applyBorder="1" applyAlignment="1">
      <alignment horizontal="right" vertical="center"/>
    </xf>
    <xf numFmtId="49" fontId="4" fillId="3" borderId="55" xfId="2" applyNumberFormat="1" applyFont="1" applyFill="1" applyBorder="1" applyAlignment="1">
      <alignment horizontal="right" vertical="center"/>
    </xf>
    <xf numFmtId="0" fontId="4" fillId="0" borderId="245" xfId="0" applyFont="1" applyBorder="1" applyAlignment="1">
      <alignment horizontal="center" vertical="center" textRotation="255"/>
    </xf>
    <xf numFmtId="0" fontId="4" fillId="0" borderId="241" xfId="0" applyFont="1" applyBorder="1" applyAlignment="1">
      <alignment horizontal="center" vertical="center" textRotation="255"/>
    </xf>
    <xf numFmtId="0" fontId="4" fillId="0" borderId="90" xfId="0" applyFont="1" applyBorder="1" applyAlignment="1">
      <alignment horizontal="distributed" vertical="center"/>
    </xf>
    <xf numFmtId="0" fontId="10" fillId="0" borderId="40" xfId="0" applyFont="1" applyBorder="1" applyAlignment="1">
      <alignment horizontal="distributed" vertical="center" justifyLastLine="1" shrinkToFit="1"/>
    </xf>
    <xf numFmtId="0" fontId="10" fillId="0" borderId="6" xfId="0" applyFont="1" applyBorder="1" applyAlignment="1">
      <alignment horizontal="distributed" vertical="center" justifyLastLine="1" shrinkToFit="1"/>
    </xf>
    <xf numFmtId="0" fontId="10" fillId="0" borderId="39" xfId="0" applyFont="1" applyBorder="1" applyAlignment="1">
      <alignment horizontal="distributed" vertical="center" justifyLastLine="1" shrinkToFit="1"/>
    </xf>
    <xf numFmtId="0" fontId="4" fillId="0" borderId="3" xfId="0" applyFont="1" applyBorder="1" applyAlignment="1">
      <alignment horizontal="distributed" vertical="center"/>
    </xf>
    <xf numFmtId="0" fontId="4" fillId="0" borderId="131" xfId="0" applyFont="1" applyBorder="1" applyAlignment="1">
      <alignment horizontal="distributed" vertical="center"/>
    </xf>
    <xf numFmtId="0" fontId="10" fillId="0" borderId="158" xfId="0" applyFont="1" applyBorder="1" applyAlignment="1">
      <alignment horizontal="distributed" vertical="center" shrinkToFit="1"/>
    </xf>
    <xf numFmtId="0" fontId="10" fillId="0" borderId="139" xfId="0" applyFont="1" applyBorder="1" applyAlignment="1">
      <alignment horizontal="distributed" vertical="center" shrinkToFit="1"/>
    </xf>
    <xf numFmtId="49" fontId="4" fillId="3" borderId="158" xfId="0" applyNumberFormat="1" applyFont="1" applyFill="1" applyBorder="1" applyAlignment="1">
      <alignment horizontal="right" vertical="center"/>
    </xf>
    <xf numFmtId="49" fontId="4" fillId="3" borderId="156" xfId="0" applyNumberFormat="1" applyFont="1" applyFill="1" applyBorder="1" applyAlignment="1">
      <alignment horizontal="right" vertical="center"/>
    </xf>
    <xf numFmtId="49" fontId="4" fillId="3" borderId="167" xfId="0" applyNumberFormat="1" applyFont="1" applyFill="1" applyBorder="1" applyAlignment="1">
      <alignment horizontal="right" vertical="center"/>
    </xf>
    <xf numFmtId="0" fontId="10" fillId="0" borderId="69" xfId="0" applyFont="1" applyBorder="1" applyAlignment="1">
      <alignment horizontal="distributed" vertical="center"/>
    </xf>
    <xf numFmtId="0" fontId="10" fillId="0" borderId="70" xfId="0" applyFont="1" applyBorder="1" applyAlignment="1">
      <alignment horizontal="distributed" vertical="center"/>
    </xf>
    <xf numFmtId="0" fontId="10" fillId="0" borderId="72" xfId="0" applyFont="1" applyBorder="1" applyAlignment="1">
      <alignment horizontal="distributed" vertical="center"/>
    </xf>
    <xf numFmtId="49" fontId="4" fillId="3" borderId="229" xfId="0" applyNumberFormat="1" applyFont="1" applyFill="1" applyBorder="1" applyAlignment="1">
      <alignment horizontal="right" vertical="center"/>
    </xf>
    <xf numFmtId="49" fontId="4" fillId="3" borderId="230" xfId="0" applyNumberFormat="1" applyFont="1" applyFill="1" applyBorder="1" applyAlignment="1">
      <alignment horizontal="right" vertical="center"/>
    </xf>
    <xf numFmtId="49" fontId="4" fillId="3" borderId="231" xfId="0" applyNumberFormat="1" applyFont="1" applyFill="1" applyBorder="1" applyAlignment="1">
      <alignment horizontal="right" vertical="center"/>
    </xf>
    <xf numFmtId="0" fontId="4" fillId="0" borderId="53" xfId="0" applyFont="1" applyBorder="1" applyAlignment="1">
      <alignment horizontal="distributed" vertical="center"/>
    </xf>
    <xf numFmtId="0" fontId="10" fillId="0" borderId="73" xfId="0" applyFont="1" applyBorder="1" applyAlignment="1">
      <alignment horizontal="distributed" vertical="center" shrinkToFit="1"/>
    </xf>
    <xf numFmtId="0" fontId="10" fillId="0" borderId="74" xfId="0" applyFont="1" applyBorder="1" applyAlignment="1">
      <alignment horizontal="distributed" vertical="center" shrinkToFit="1"/>
    </xf>
    <xf numFmtId="0" fontId="10" fillId="0" borderId="244" xfId="0" applyFont="1" applyBorder="1" applyAlignment="1">
      <alignment horizontal="distributed" vertical="center" shrinkToFit="1"/>
    </xf>
    <xf numFmtId="49" fontId="4" fillId="3" borderId="83" xfId="0" applyNumberFormat="1" applyFont="1" applyFill="1" applyBorder="1" applyAlignment="1">
      <alignment horizontal="right" vertical="center"/>
    </xf>
    <xf numFmtId="0" fontId="2" fillId="0" borderId="240" xfId="0" applyFont="1" applyBorder="1" applyAlignment="1">
      <alignment horizontal="center" vertical="center" textRotation="255" shrinkToFit="1"/>
    </xf>
    <xf numFmtId="0" fontId="2" fillId="0" borderId="227" xfId="0" applyFont="1" applyBorder="1" applyAlignment="1">
      <alignment horizontal="center" vertical="center" textRotation="255" shrinkToFit="1"/>
    </xf>
    <xf numFmtId="0" fontId="9" fillId="0" borderId="72" xfId="0" applyFont="1" applyBorder="1" applyAlignment="1">
      <alignment horizontal="distributed" vertical="center" shrinkToFit="1"/>
    </xf>
    <xf numFmtId="0" fontId="18" fillId="0" borderId="58" xfId="0" applyFont="1" applyBorder="1" applyAlignment="1">
      <alignment horizontal="distributed" vertical="center"/>
    </xf>
    <xf numFmtId="0" fontId="4" fillId="0" borderId="240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24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119" xfId="0" applyFont="1" applyBorder="1" applyAlignment="1">
      <alignment horizontal="distributed" vertical="center"/>
    </xf>
    <xf numFmtId="0" fontId="10" fillId="0" borderId="207" xfId="0" applyFont="1" applyBorder="1" applyAlignment="1">
      <alignment horizontal="distributed" vertical="center"/>
    </xf>
    <xf numFmtId="0" fontId="10" fillId="0" borderId="192" xfId="0" applyFont="1" applyBorder="1" applyAlignment="1">
      <alignment horizontal="distributed" vertical="center"/>
    </xf>
    <xf numFmtId="0" fontId="10" fillId="0" borderId="212" xfId="0" applyFont="1" applyBorder="1" applyAlignment="1">
      <alignment horizontal="distributed" vertical="center"/>
    </xf>
    <xf numFmtId="49" fontId="4" fillId="3" borderId="213" xfId="0" applyNumberFormat="1" applyFont="1" applyFill="1" applyBorder="1" applyAlignment="1">
      <alignment horizontal="right" vertical="center"/>
    </xf>
    <xf numFmtId="49" fontId="4" fillId="3" borderId="192" xfId="0" applyNumberFormat="1" applyFont="1" applyFill="1" applyBorder="1" applyAlignment="1">
      <alignment horizontal="right" vertical="center"/>
    </xf>
    <xf numFmtId="49" fontId="4" fillId="3" borderId="208" xfId="0" applyNumberFormat="1" applyFont="1" applyFill="1" applyBorder="1" applyAlignment="1">
      <alignment horizontal="right" vertical="center"/>
    </xf>
    <xf numFmtId="0" fontId="4" fillId="0" borderId="238" xfId="0" applyFont="1" applyBorder="1" applyAlignment="1">
      <alignment horizontal="center" vertical="center"/>
    </xf>
    <xf numFmtId="0" fontId="4" fillId="0" borderId="189" xfId="0" applyFont="1" applyBorder="1" applyAlignment="1">
      <alignment horizontal="center" vertical="center"/>
    </xf>
    <xf numFmtId="0" fontId="4" fillId="0" borderId="154" xfId="0" applyFont="1" applyBorder="1" applyAlignment="1">
      <alignment horizontal="distributed" vertical="center"/>
    </xf>
    <xf numFmtId="0" fontId="4" fillId="0" borderId="6" xfId="0" applyFont="1" applyBorder="1" applyAlignment="1">
      <alignment horizontal="distributed" vertical="center"/>
    </xf>
    <xf numFmtId="0" fontId="4" fillId="0" borderId="118" xfId="0" applyFont="1" applyBorder="1" applyAlignment="1">
      <alignment horizontal="distributed" vertical="center"/>
    </xf>
    <xf numFmtId="49" fontId="4" fillId="3" borderId="34" xfId="0" applyNumberFormat="1" applyFont="1" applyFill="1" applyBorder="1" applyAlignment="1">
      <alignment horizontal="right" vertical="center"/>
    </xf>
    <xf numFmtId="49" fontId="4" fillId="3" borderId="6" xfId="0" applyNumberFormat="1" applyFont="1" applyFill="1" applyBorder="1" applyAlignment="1">
      <alignment horizontal="right" vertical="center"/>
    </xf>
    <xf numFmtId="49" fontId="4" fillId="3" borderId="239" xfId="0" applyNumberFormat="1" applyFont="1" applyFill="1" applyBorder="1" applyAlignment="1">
      <alignment horizontal="right" vertical="center"/>
    </xf>
    <xf numFmtId="0" fontId="10" fillId="0" borderId="36" xfId="0" applyFont="1" applyBorder="1" applyAlignment="1">
      <alignment horizontal="distributed" vertical="center"/>
    </xf>
    <xf numFmtId="0" fontId="10" fillId="0" borderId="37" xfId="0" applyFont="1" applyBorder="1" applyAlignment="1">
      <alignment horizontal="distributed" vertical="center"/>
    </xf>
    <xf numFmtId="0" fontId="10" fillId="0" borderId="38" xfId="0" applyFont="1" applyBorder="1" applyAlignment="1">
      <alignment horizontal="distributed" vertical="center"/>
    </xf>
    <xf numFmtId="49" fontId="4" fillId="3" borderId="171" xfId="0" applyNumberFormat="1" applyFont="1" applyFill="1" applyBorder="1" applyAlignment="1">
      <alignment horizontal="right" vertical="center"/>
    </xf>
    <xf numFmtId="0" fontId="10" fillId="0" borderId="73" xfId="0" applyFont="1" applyBorder="1" applyAlignment="1">
      <alignment horizontal="distributed" vertical="center"/>
    </xf>
    <xf numFmtId="0" fontId="4" fillId="0" borderId="232" xfId="0" applyFont="1" applyBorder="1" applyAlignment="1">
      <alignment horizontal="center" vertical="center" textRotation="255"/>
    </xf>
    <xf numFmtId="0" fontId="4" fillId="0" borderId="234" xfId="0" applyFont="1" applyBorder="1" applyAlignment="1">
      <alignment horizontal="center" vertical="center" textRotation="255"/>
    </xf>
    <xf numFmtId="0" fontId="4" fillId="0" borderId="236" xfId="0" applyFont="1" applyBorder="1" applyAlignment="1">
      <alignment horizontal="center" vertical="center" textRotation="255"/>
    </xf>
    <xf numFmtId="0" fontId="10" fillId="0" borderId="69" xfId="0" applyFont="1" applyBorder="1" applyAlignment="1">
      <alignment horizontal="distributed" vertical="center" shrinkToFit="1"/>
    </xf>
    <xf numFmtId="49" fontId="4" fillId="3" borderId="141" xfId="0" applyNumberFormat="1" applyFont="1" applyFill="1" applyBorder="1" applyAlignment="1">
      <alignment horizontal="right" vertical="center"/>
    </xf>
    <xf numFmtId="49" fontId="4" fillId="3" borderId="135" xfId="0" applyNumberFormat="1" applyFont="1" applyFill="1" applyBorder="1" applyAlignment="1">
      <alignment horizontal="right" vertical="center"/>
    </xf>
    <xf numFmtId="49" fontId="4" fillId="3" borderId="137" xfId="0" applyNumberFormat="1" applyFont="1" applyFill="1" applyBorder="1" applyAlignment="1">
      <alignment horizontal="right" vertical="center"/>
    </xf>
    <xf numFmtId="0" fontId="16" fillId="0" borderId="58" xfId="0" applyFont="1" applyBorder="1" applyAlignment="1">
      <alignment horizontal="distributed" vertical="center"/>
    </xf>
    <xf numFmtId="0" fontId="16" fillId="0" borderId="43" xfId="0" applyFont="1" applyBorder="1" applyAlignment="1">
      <alignment horizontal="distributed" vertical="center"/>
    </xf>
    <xf numFmtId="0" fontId="16" fillId="0" borderId="50" xfId="0" applyFont="1" applyBorder="1" applyAlignment="1">
      <alignment horizontal="distributed" vertical="center"/>
    </xf>
    <xf numFmtId="0" fontId="18" fillId="0" borderId="58" xfId="0" applyFont="1" applyBorder="1" applyAlignment="1">
      <alignment horizontal="distributed" vertical="center" shrinkToFit="1"/>
    </xf>
    <xf numFmtId="0" fontId="18" fillId="0" borderId="43" xfId="0" applyFont="1" applyBorder="1" applyAlignment="1">
      <alignment horizontal="distributed" vertical="center" shrinkToFit="1"/>
    </xf>
    <xf numFmtId="0" fontId="18" fillId="0" borderId="50" xfId="0" applyFont="1" applyBorder="1" applyAlignment="1">
      <alignment horizontal="distributed" vertical="center" shrinkToFit="1"/>
    </xf>
    <xf numFmtId="0" fontId="4" fillId="0" borderId="28" xfId="0" applyFont="1" applyBorder="1" applyAlignment="1">
      <alignment horizontal="distributed"/>
    </xf>
    <xf numFmtId="0" fontId="4" fillId="0" borderId="18" xfId="0" applyFont="1" applyBorder="1" applyAlignment="1">
      <alignment horizontal="distributed"/>
    </xf>
    <xf numFmtId="0" fontId="4" fillId="0" borderId="19" xfId="0" applyFont="1" applyBorder="1" applyAlignment="1">
      <alignment horizontal="distributed"/>
    </xf>
    <xf numFmtId="0" fontId="9" fillId="0" borderId="43" xfId="0" applyFont="1" applyBorder="1" applyAlignment="1">
      <alignment horizontal="distributed" vertical="center"/>
    </xf>
    <xf numFmtId="0" fontId="10" fillId="0" borderId="92" xfId="0" applyFont="1" applyBorder="1" applyAlignment="1">
      <alignment horizontal="distributed" vertical="center"/>
    </xf>
    <xf numFmtId="0" fontId="10" fillId="0" borderId="12" xfId="2" applyFont="1" applyBorder="1" applyAlignment="1">
      <alignment horizontal="center" vertical="center"/>
    </xf>
    <xf numFmtId="0" fontId="10" fillId="3" borderId="38" xfId="2" applyFont="1" applyFill="1" applyBorder="1" applyAlignment="1">
      <alignment horizontal="center" vertical="center"/>
    </xf>
    <xf numFmtId="0" fontId="4" fillId="0" borderId="232" xfId="0" applyFont="1" applyBorder="1" applyAlignment="1">
      <alignment horizontal="center" vertical="center" textRotation="255" shrinkToFit="1"/>
    </xf>
    <xf numFmtId="0" fontId="4" fillId="0" borderId="234" xfId="0" applyFont="1" applyBorder="1" applyAlignment="1">
      <alignment horizontal="center" vertical="center" textRotation="255" shrinkToFit="1"/>
    </xf>
    <xf numFmtId="0" fontId="4" fillId="0" borderId="236" xfId="0" applyFont="1" applyBorder="1" applyAlignment="1">
      <alignment horizontal="center" vertical="center" textRotation="255" shrinkToFit="1"/>
    </xf>
    <xf numFmtId="0" fontId="4" fillId="0" borderId="207" xfId="0" applyFont="1" applyBorder="1" applyAlignment="1">
      <alignment horizontal="distributed" vertical="center"/>
    </xf>
    <xf numFmtId="0" fontId="4" fillId="0" borderId="192" xfId="0" applyFont="1" applyBorder="1" applyAlignment="1">
      <alignment horizontal="distributed" vertical="center"/>
    </xf>
    <xf numFmtId="49" fontId="4" fillId="3" borderId="308" xfId="0" applyNumberFormat="1" applyFont="1" applyFill="1" applyBorder="1" applyAlignment="1">
      <alignment horizontal="right" vertical="center"/>
    </xf>
    <xf numFmtId="0" fontId="8" fillId="0" borderId="1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8" fillId="0" borderId="224" xfId="0" applyFont="1" applyBorder="1" applyAlignment="1">
      <alignment horizontal="left" vertical="center"/>
    </xf>
    <xf numFmtId="0" fontId="8" fillId="0" borderId="225" xfId="0" applyFont="1" applyBorder="1" applyAlignment="1">
      <alignment horizontal="left" vertical="center"/>
    </xf>
    <xf numFmtId="0" fontId="8" fillId="0" borderId="226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distributed"/>
    </xf>
    <xf numFmtId="0" fontId="10" fillId="0" borderId="14" xfId="0" applyFont="1" applyBorder="1" applyAlignment="1">
      <alignment horizontal="left" vertical="distributed"/>
    </xf>
    <xf numFmtId="0" fontId="10" fillId="0" borderId="35" xfId="0" applyFont="1" applyBorder="1" applyAlignment="1">
      <alignment horizontal="left" vertical="distributed"/>
    </xf>
    <xf numFmtId="0" fontId="4" fillId="0" borderId="13" xfId="0" applyFont="1" applyBorder="1" applyAlignment="1">
      <alignment horizontal="distributed" vertical="center" justifyLastLine="1"/>
    </xf>
    <xf numFmtId="0" fontId="4" fillId="0" borderId="227" xfId="0" applyFont="1" applyBorder="1" applyAlignment="1">
      <alignment horizontal="distributed" vertical="center" justifyLastLine="1"/>
    </xf>
    <xf numFmtId="0" fontId="10" fillId="0" borderId="17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3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distributed" vertical="distributed"/>
    </xf>
    <xf numFmtId="0" fontId="10" fillId="0" borderId="18" xfId="0" applyFont="1" applyBorder="1" applyAlignment="1">
      <alignment horizontal="distributed" vertical="distributed"/>
    </xf>
    <xf numFmtId="0" fontId="10" fillId="0" borderId="19" xfId="0" applyFont="1" applyBorder="1" applyAlignment="1">
      <alignment horizontal="distributed" vertical="distributed"/>
    </xf>
    <xf numFmtId="0" fontId="10" fillId="0" borderId="59" xfId="0" applyFont="1" applyBorder="1" applyAlignment="1">
      <alignment horizontal="distributed" vertical="center"/>
    </xf>
    <xf numFmtId="0" fontId="10" fillId="0" borderId="303" xfId="2" applyFont="1" applyBorder="1" applyAlignment="1">
      <alignment horizontal="distributed" vertical="center" shrinkToFit="1"/>
    </xf>
    <xf numFmtId="0" fontId="10" fillId="0" borderId="259" xfId="2" applyFont="1" applyBorder="1" applyAlignment="1">
      <alignment horizontal="distributed" vertical="center" shrinkToFit="1"/>
    </xf>
    <xf numFmtId="0" fontId="10" fillId="0" borderId="304" xfId="2" applyFont="1" applyBorder="1" applyAlignment="1">
      <alignment horizontal="distributed" vertical="center" shrinkToFit="1"/>
    </xf>
    <xf numFmtId="0" fontId="10" fillId="0" borderId="240" xfId="2" applyFont="1" applyBorder="1" applyAlignment="1">
      <alignment horizontal="center" vertical="center" textRotation="255"/>
    </xf>
    <xf numFmtId="0" fontId="10" fillId="0" borderId="245" xfId="2" applyFont="1" applyBorder="1" applyAlignment="1">
      <alignment horizontal="center" vertical="center" textRotation="255"/>
    </xf>
    <xf numFmtId="0" fontId="10" fillId="0" borderId="299" xfId="2" applyFont="1" applyBorder="1" applyAlignment="1">
      <alignment horizontal="center" vertical="center" textRotation="255"/>
    </xf>
    <xf numFmtId="0" fontId="10" fillId="0" borderId="300" xfId="2" applyFont="1" applyBorder="1" applyAlignment="1">
      <alignment horizontal="center" vertical="center" textRotation="255"/>
    </xf>
    <xf numFmtId="0" fontId="10" fillId="0" borderId="301" xfId="2" applyFont="1" applyBorder="1" applyAlignment="1">
      <alignment horizontal="center" vertical="center"/>
    </xf>
    <xf numFmtId="0" fontId="10" fillId="0" borderId="302" xfId="2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textRotation="255"/>
    </xf>
    <xf numFmtId="0" fontId="10" fillId="0" borderId="81" xfId="0" applyFont="1" applyBorder="1" applyAlignment="1">
      <alignment horizontal="center" vertical="center" textRotation="255"/>
    </xf>
    <xf numFmtId="0" fontId="10" fillId="0" borderId="2" xfId="0" applyFont="1" applyBorder="1" applyAlignment="1">
      <alignment horizontal="center" vertical="center" textRotation="255"/>
    </xf>
    <xf numFmtId="0" fontId="10" fillId="0" borderId="80" xfId="0" applyFont="1" applyBorder="1" applyAlignment="1">
      <alignment horizontal="center" vertical="center" textRotation="255"/>
    </xf>
    <xf numFmtId="0" fontId="10" fillId="0" borderId="31" xfId="0" applyFont="1" applyBorder="1" applyAlignment="1">
      <alignment horizontal="center" vertical="center" textRotation="255"/>
    </xf>
    <xf numFmtId="0" fontId="10" fillId="0" borderId="82" xfId="0" applyFont="1" applyBorder="1" applyAlignment="1">
      <alignment horizontal="center" vertical="center" textRotation="255"/>
    </xf>
    <xf numFmtId="0" fontId="10" fillId="0" borderId="119" xfId="0" applyFont="1" applyBorder="1" applyAlignment="1">
      <alignment horizontal="distributed" vertical="center"/>
    </xf>
    <xf numFmtId="0" fontId="10" fillId="0" borderId="153" xfId="0" applyFont="1" applyBorder="1" applyAlignment="1">
      <alignment horizontal="distributed" vertical="center"/>
    </xf>
    <xf numFmtId="49" fontId="10" fillId="0" borderId="292" xfId="0" applyNumberFormat="1" applyFont="1" applyBorder="1" applyAlignment="1">
      <alignment horizontal="right" vertical="center"/>
    </xf>
    <xf numFmtId="49" fontId="10" fillId="0" borderId="293" xfId="0" applyNumberFormat="1" applyFont="1" applyBorder="1" applyAlignment="1">
      <alignment horizontal="right" vertical="center"/>
    </xf>
    <xf numFmtId="49" fontId="10" fillId="0" borderId="294" xfId="0" applyNumberFormat="1" applyFont="1" applyBorder="1" applyAlignment="1">
      <alignment horizontal="right" vertical="center"/>
    </xf>
    <xf numFmtId="49" fontId="10" fillId="3" borderId="295" xfId="0" applyNumberFormat="1" applyFont="1" applyFill="1" applyBorder="1" applyAlignment="1">
      <alignment horizontal="right" vertical="center"/>
    </xf>
    <xf numFmtId="49" fontId="10" fillId="3" borderId="296" xfId="0" applyNumberFormat="1" applyFont="1" applyFill="1" applyBorder="1" applyAlignment="1">
      <alignment horizontal="right" vertical="center"/>
    </xf>
    <xf numFmtId="49" fontId="10" fillId="3" borderId="297" xfId="0" applyNumberFormat="1" applyFont="1" applyFill="1" applyBorder="1" applyAlignment="1">
      <alignment horizontal="right" vertical="center"/>
    </xf>
    <xf numFmtId="0" fontId="10" fillId="0" borderId="162" xfId="0" applyFont="1" applyBorder="1" applyAlignment="1">
      <alignment horizontal="distributed" vertical="center"/>
    </xf>
    <xf numFmtId="0" fontId="10" fillId="0" borderId="112" xfId="0" applyFont="1" applyBorder="1" applyAlignment="1">
      <alignment horizontal="distributed" vertical="center"/>
    </xf>
    <xf numFmtId="0" fontId="26" fillId="0" borderId="101" xfId="0" applyFont="1" applyBorder="1" applyAlignment="1">
      <alignment horizontal="distributed" vertical="center"/>
    </xf>
    <xf numFmtId="0" fontId="26" fillId="0" borderId="54" xfId="0" applyFont="1" applyBorder="1" applyAlignment="1">
      <alignment horizontal="distributed" vertical="center"/>
    </xf>
    <xf numFmtId="49" fontId="10" fillId="0" borderId="270" xfId="0" applyNumberFormat="1" applyFont="1" applyBorder="1" applyAlignment="1">
      <alignment horizontal="right" vertical="center"/>
    </xf>
    <xf numFmtId="49" fontId="10" fillId="0" borderId="108" xfId="0" applyNumberFormat="1" applyFont="1" applyBorder="1" applyAlignment="1">
      <alignment horizontal="right" vertical="center"/>
    </xf>
    <xf numFmtId="49" fontId="10" fillId="0" borderId="271" xfId="0" applyNumberFormat="1" applyFont="1" applyBorder="1" applyAlignment="1">
      <alignment horizontal="right" vertical="center"/>
    </xf>
    <xf numFmtId="49" fontId="10" fillId="3" borderId="289" xfId="0" applyNumberFormat="1" applyFont="1" applyFill="1" applyBorder="1" applyAlignment="1">
      <alignment horizontal="right" vertical="center"/>
    </xf>
    <xf numFmtId="49" fontId="10" fillId="3" borderId="62" xfId="0" applyNumberFormat="1" applyFont="1" applyFill="1" applyBorder="1" applyAlignment="1">
      <alignment horizontal="right" vertical="center"/>
    </xf>
    <xf numFmtId="49" fontId="10" fillId="3" borderId="290" xfId="0" applyNumberFormat="1" applyFont="1" applyFill="1" applyBorder="1" applyAlignment="1">
      <alignment horizontal="right" vertical="center"/>
    </xf>
    <xf numFmtId="0" fontId="10" fillId="0" borderId="60" xfId="0" applyFont="1" applyBorder="1" applyAlignment="1">
      <alignment horizontal="distributed" vertical="center" shrinkToFit="1"/>
    </xf>
    <xf numFmtId="0" fontId="10" fillId="0" borderId="115" xfId="0" applyFont="1" applyBorder="1" applyAlignment="1">
      <alignment horizontal="distributed" vertical="center"/>
    </xf>
    <xf numFmtId="49" fontId="10" fillId="0" borderId="272" xfId="0" applyNumberFormat="1" applyFont="1" applyBorder="1" applyAlignment="1">
      <alignment horizontal="right" vertical="center"/>
    </xf>
    <xf numFmtId="49" fontId="10" fillId="0" borderId="143" xfId="0" applyNumberFormat="1" applyFont="1" applyBorder="1" applyAlignment="1">
      <alignment horizontal="right" vertical="center"/>
    </xf>
    <xf numFmtId="49" fontId="10" fillId="0" borderId="273" xfId="0" applyNumberFormat="1" applyFont="1" applyBorder="1" applyAlignment="1">
      <alignment horizontal="right" vertical="center"/>
    </xf>
    <xf numFmtId="49" fontId="10" fillId="3" borderId="133" xfId="0" applyNumberFormat="1" applyFont="1" applyFill="1" applyBorder="1" applyAlignment="1">
      <alignment horizontal="right" vertical="center"/>
    </xf>
    <xf numFmtId="49" fontId="10" fillId="3" borderId="14" xfId="0" applyNumberFormat="1" applyFont="1" applyFill="1" applyBorder="1" applyAlignment="1">
      <alignment horizontal="right" vertical="center"/>
    </xf>
    <xf numFmtId="49" fontId="10" fillId="3" borderId="228" xfId="0" applyNumberFormat="1" applyFont="1" applyFill="1" applyBorder="1" applyAlignment="1">
      <alignment horizontal="right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61" xfId="0" applyFont="1" applyBorder="1" applyAlignment="1">
      <alignment horizontal="distributed" vertical="center" wrapText="1"/>
    </xf>
    <xf numFmtId="0" fontId="10" fillId="0" borderId="153" xfId="0" applyFont="1" applyBorder="1" applyAlignment="1">
      <alignment horizontal="distributed" vertical="center" wrapText="1"/>
    </xf>
    <xf numFmtId="0" fontId="10" fillId="0" borderId="60" xfId="0" applyFont="1" applyBorder="1" applyAlignment="1">
      <alignment horizontal="distributed" vertical="center" wrapText="1"/>
    </xf>
    <xf numFmtId="0" fontId="10" fillId="0" borderId="111" xfId="0" applyFont="1" applyBorder="1" applyAlignment="1">
      <alignment horizontal="distributed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04" xfId="0" applyFont="1" applyBorder="1" applyAlignment="1">
      <alignment horizontal="distributed" vertical="center"/>
    </xf>
    <xf numFmtId="49" fontId="10" fillId="0" borderId="268" xfId="0" applyNumberFormat="1" applyFont="1" applyBorder="1" applyAlignment="1">
      <alignment horizontal="right" vertical="center"/>
    </xf>
    <xf numFmtId="49" fontId="10" fillId="0" borderId="130" xfId="0" applyNumberFormat="1" applyFont="1" applyBorder="1" applyAlignment="1">
      <alignment horizontal="right" vertical="center"/>
    </xf>
    <xf numFmtId="49" fontId="10" fillId="0" borderId="269" xfId="0" applyNumberFormat="1" applyFont="1" applyBorder="1" applyAlignment="1">
      <alignment horizontal="right" vertical="center"/>
    </xf>
    <xf numFmtId="49" fontId="10" fillId="3" borderId="286" xfId="0" applyNumberFormat="1" applyFont="1" applyFill="1" applyBorder="1" applyAlignment="1">
      <alignment horizontal="right" vertical="center"/>
    </xf>
    <xf numFmtId="49" fontId="10" fillId="3" borderId="91" xfId="0" applyNumberFormat="1" applyFont="1" applyFill="1" applyBorder="1" applyAlignment="1">
      <alignment horizontal="right" vertical="center"/>
    </xf>
    <xf numFmtId="49" fontId="10" fillId="3" borderId="233" xfId="0" applyNumberFormat="1" applyFont="1" applyFill="1" applyBorder="1" applyAlignment="1">
      <alignment horizontal="right" vertical="center"/>
    </xf>
    <xf numFmtId="0" fontId="10" fillId="0" borderId="101" xfId="0" applyFont="1" applyBorder="1" applyAlignment="1">
      <alignment horizontal="distributed" vertical="center"/>
    </xf>
    <xf numFmtId="49" fontId="10" fillId="3" borderId="222" xfId="0" applyNumberFormat="1" applyFont="1" applyFill="1" applyBorder="1" applyAlignment="1">
      <alignment horizontal="right" vertical="center"/>
    </xf>
    <xf numFmtId="49" fontId="10" fillId="3" borderId="248" xfId="0" applyNumberFormat="1" applyFont="1" applyFill="1" applyBorder="1" applyAlignment="1">
      <alignment horizontal="right" vertical="center"/>
    </xf>
    <xf numFmtId="0" fontId="10" fillId="0" borderId="116" xfId="0" applyFont="1" applyBorder="1" applyAlignment="1">
      <alignment horizontal="center" vertical="center" textRotation="255"/>
    </xf>
    <xf numFmtId="0" fontId="10" fillId="0" borderId="61" xfId="0" applyFont="1" applyBorder="1" applyAlignment="1">
      <alignment horizontal="distributed" vertical="center" shrinkToFit="1"/>
    </xf>
    <xf numFmtId="49" fontId="10" fillId="3" borderId="44" xfId="0" applyNumberFormat="1" applyFont="1" applyFill="1" applyBorder="1" applyAlignment="1">
      <alignment horizontal="right" vertical="center"/>
    </xf>
    <xf numFmtId="49" fontId="10" fillId="3" borderId="43" xfId="0" applyNumberFormat="1" applyFont="1" applyFill="1" applyBorder="1" applyAlignment="1">
      <alignment horizontal="right" vertical="center"/>
    </xf>
    <xf numFmtId="49" fontId="10" fillId="3" borderId="45" xfId="0" applyNumberFormat="1" applyFont="1" applyFill="1" applyBorder="1" applyAlignment="1">
      <alignment horizontal="right" vertical="center"/>
    </xf>
    <xf numFmtId="0" fontId="10" fillId="0" borderId="42" xfId="0" applyFont="1" applyBorder="1" applyAlignment="1">
      <alignment horizontal="center" vertical="center" shrinkToFit="1"/>
    </xf>
    <xf numFmtId="0" fontId="10" fillId="0" borderId="43" xfId="0" applyFont="1" applyBorder="1" applyAlignment="1">
      <alignment horizontal="center" vertical="center" shrinkToFit="1"/>
    </xf>
    <xf numFmtId="0" fontId="10" fillId="0" borderId="50" xfId="0" applyFont="1" applyBorder="1" applyAlignment="1">
      <alignment horizontal="center" vertical="center" shrinkToFit="1"/>
    </xf>
    <xf numFmtId="0" fontId="26" fillId="0" borderId="55" xfId="0" applyFont="1" applyBorder="1" applyAlignment="1">
      <alignment horizontal="distributed" vertical="center"/>
    </xf>
    <xf numFmtId="0" fontId="10" fillId="0" borderId="46" xfId="0" applyFont="1" applyBorder="1" applyAlignment="1">
      <alignment horizontal="center" vertical="center" shrinkToFit="1"/>
    </xf>
    <xf numFmtId="0" fontId="10" fillId="0" borderId="47" xfId="0" applyFont="1" applyBorder="1" applyAlignment="1">
      <alignment horizontal="center" vertical="center" shrinkToFit="1"/>
    </xf>
    <xf numFmtId="0" fontId="10" fillId="0" borderId="65" xfId="0" applyFont="1" applyBorder="1" applyAlignment="1">
      <alignment horizontal="center" vertical="center" shrinkToFit="1"/>
    </xf>
    <xf numFmtId="49" fontId="10" fillId="3" borderId="223" xfId="0" applyNumberFormat="1" applyFont="1" applyFill="1" applyBorder="1" applyAlignment="1">
      <alignment horizontal="right" vertical="center"/>
    </xf>
    <xf numFmtId="49" fontId="10" fillId="3" borderId="251" xfId="0" applyNumberFormat="1" applyFont="1" applyFill="1" applyBorder="1" applyAlignment="1">
      <alignment horizontal="right" vertical="center"/>
    </xf>
    <xf numFmtId="49" fontId="10" fillId="3" borderId="48" xfId="0" applyNumberFormat="1" applyFont="1" applyFill="1" applyBorder="1" applyAlignment="1">
      <alignment horizontal="right" vertical="center"/>
    </xf>
    <xf numFmtId="49" fontId="10" fillId="3" borderId="47" xfId="0" applyNumberFormat="1" applyFont="1" applyFill="1" applyBorder="1" applyAlignment="1">
      <alignment horizontal="right" vertical="center"/>
    </xf>
    <xf numFmtId="49" fontId="10" fillId="3" borderId="49" xfId="0" applyNumberFormat="1" applyFont="1" applyFill="1" applyBorder="1" applyAlignment="1">
      <alignment horizontal="right" vertical="center"/>
    </xf>
    <xf numFmtId="0" fontId="10" fillId="0" borderId="85" xfId="0" applyFont="1" applyBorder="1" applyAlignment="1">
      <alignment horizontal="center" vertical="center" shrinkToFit="1"/>
    </xf>
    <xf numFmtId="0" fontId="10" fillId="0" borderId="55" xfId="0" applyFont="1" applyBorder="1" applyAlignment="1">
      <alignment horizontal="center" vertical="center" shrinkToFit="1"/>
    </xf>
    <xf numFmtId="0" fontId="10" fillId="0" borderId="57" xfId="0" applyFont="1" applyBorder="1" applyAlignment="1">
      <alignment horizontal="center" vertical="center" shrinkToFit="1"/>
    </xf>
    <xf numFmtId="0" fontId="10" fillId="0" borderId="111" xfId="0" applyFont="1" applyBorder="1" applyAlignment="1">
      <alignment horizontal="distributed" vertical="center"/>
    </xf>
    <xf numFmtId="0" fontId="10" fillId="0" borderId="54" xfId="0" applyFont="1" applyBorder="1" applyAlignment="1">
      <alignment horizontal="distributed" vertical="center" wrapText="1"/>
    </xf>
    <xf numFmtId="0" fontId="10" fillId="0" borderId="162" xfId="0" applyFont="1" applyBorder="1" applyAlignment="1">
      <alignment horizontal="distributed" vertical="center" wrapText="1"/>
    </xf>
    <xf numFmtId="0" fontId="10" fillId="0" borderId="59" xfId="0" applyFont="1" applyBorder="1" applyAlignment="1">
      <alignment horizontal="distributed" vertical="center" wrapText="1"/>
    </xf>
    <xf numFmtId="0" fontId="10" fillId="0" borderId="80" xfId="0" applyFont="1" applyBorder="1" applyAlignment="1">
      <alignment horizontal="distributed" vertical="center" wrapText="1"/>
    </xf>
    <xf numFmtId="0" fontId="10" fillId="0" borderId="54" xfId="0" applyFont="1" applyBorder="1" applyAlignment="1">
      <alignment horizontal="center" vertical="center" wrapText="1" shrinkToFit="1"/>
    </xf>
    <xf numFmtId="0" fontId="10" fillId="0" borderId="162" xfId="0" applyFont="1" applyBorder="1" applyAlignment="1">
      <alignment horizontal="center" vertical="center" wrapText="1" shrinkToFit="1"/>
    </xf>
    <xf numFmtId="0" fontId="10" fillId="0" borderId="59" xfId="0" applyFont="1" applyBorder="1" applyAlignment="1">
      <alignment horizontal="center" vertical="center" wrapText="1" shrinkToFit="1"/>
    </xf>
    <xf numFmtId="0" fontId="10" fillId="0" borderId="80" xfId="0" applyFont="1" applyBorder="1" applyAlignment="1">
      <alignment horizontal="center" vertical="center" wrapText="1" shrinkToFit="1"/>
    </xf>
    <xf numFmtId="0" fontId="10" fillId="0" borderId="120" xfId="0" applyFont="1" applyBorder="1" applyAlignment="1">
      <alignment horizontal="center" vertical="center" wrapText="1" shrinkToFit="1"/>
    </xf>
    <xf numFmtId="0" fontId="10" fillId="0" borderId="116" xfId="0" applyFont="1" applyBorder="1" applyAlignment="1">
      <alignment horizontal="center" vertical="center" wrapText="1" shrinkToFit="1"/>
    </xf>
    <xf numFmtId="0" fontId="10" fillId="0" borderId="54" xfId="0" applyFont="1" applyBorder="1" applyAlignment="1">
      <alignment horizontal="distributed" vertical="center" shrinkToFit="1"/>
    </xf>
    <xf numFmtId="0" fontId="10" fillId="0" borderId="161" xfId="0" applyFont="1" applyBorder="1" applyAlignment="1">
      <alignment horizontal="distributed" vertical="center" wrapText="1"/>
    </xf>
    <xf numFmtId="0" fontId="10" fillId="0" borderId="81" xfId="0" applyFont="1" applyBorder="1" applyAlignment="1">
      <alignment horizontal="distributed" vertical="center" wrapText="1"/>
    </xf>
    <xf numFmtId="0" fontId="9" fillId="0" borderId="119" xfId="0" applyFont="1" applyBorder="1" applyAlignment="1">
      <alignment horizontal="distributed" vertical="center"/>
    </xf>
    <xf numFmtId="0" fontId="9" fillId="0" borderId="91" xfId="0" applyFont="1" applyBorder="1" applyAlignment="1">
      <alignment horizontal="distributed" vertical="center"/>
    </xf>
    <xf numFmtId="49" fontId="10" fillId="0" borderId="274" xfId="0" applyNumberFormat="1" applyFont="1" applyBorder="1" applyAlignment="1">
      <alignment horizontal="right" vertical="center"/>
    </xf>
    <xf numFmtId="49" fontId="10" fillId="0" borderId="106" xfId="0" applyNumberFormat="1" applyFont="1" applyBorder="1" applyAlignment="1">
      <alignment horizontal="right" vertical="center"/>
    </xf>
    <xf numFmtId="49" fontId="10" fillId="0" borderId="275" xfId="0" applyNumberFormat="1" applyFont="1" applyBorder="1" applyAlignment="1">
      <alignment horizontal="right" vertical="center"/>
    </xf>
    <xf numFmtId="0" fontId="16" fillId="0" borderId="58" xfId="0" applyFont="1" applyBorder="1" applyAlignment="1">
      <alignment horizontal="distributed" vertical="center" shrinkToFit="1"/>
    </xf>
    <xf numFmtId="0" fontId="16" fillId="0" borderId="43" xfId="0" applyFont="1" applyBorder="1" applyAlignment="1">
      <alignment horizontal="distributed" vertical="center" shrinkToFit="1"/>
    </xf>
    <xf numFmtId="0" fontId="16" fillId="0" borderId="50" xfId="0" applyFont="1" applyBorder="1" applyAlignment="1">
      <alignment horizontal="distributed" vertical="center" shrinkToFit="1"/>
    </xf>
    <xf numFmtId="49" fontId="10" fillId="0" borderId="287" xfId="0" applyNumberFormat="1" applyFont="1" applyBorder="1" applyAlignment="1">
      <alignment horizontal="right" vertical="center"/>
    </xf>
    <xf numFmtId="49" fontId="10" fillId="0" borderId="160" xfId="0" applyNumberFormat="1" applyFont="1" applyBorder="1" applyAlignment="1">
      <alignment horizontal="right" vertical="center"/>
    </xf>
    <xf numFmtId="49" fontId="10" fillId="0" borderId="288" xfId="0" applyNumberFormat="1" applyFont="1" applyBorder="1" applyAlignment="1">
      <alignment horizontal="right" vertical="center"/>
    </xf>
    <xf numFmtId="49" fontId="10" fillId="3" borderId="291" xfId="0" applyNumberFormat="1" applyFont="1" applyFill="1" applyBorder="1" applyAlignment="1">
      <alignment horizontal="right" vertical="center"/>
    </xf>
    <xf numFmtId="49" fontId="10" fillId="3" borderId="6" xfId="0" applyNumberFormat="1" applyFont="1" applyFill="1" applyBorder="1" applyAlignment="1">
      <alignment horizontal="right" vertical="center"/>
    </xf>
    <xf numFmtId="49" fontId="10" fillId="3" borderId="239" xfId="0" applyNumberFormat="1" applyFont="1" applyFill="1" applyBorder="1" applyAlignment="1">
      <alignment horizontal="right" vertical="center"/>
    </xf>
    <xf numFmtId="0" fontId="16" fillId="0" borderId="54" xfId="0" applyFont="1" applyBorder="1" applyAlignment="1">
      <alignment horizontal="distributed" vertical="center" shrinkToFit="1"/>
    </xf>
    <xf numFmtId="0" fontId="16" fillId="0" borderId="55" xfId="0" applyFont="1" applyBorder="1" applyAlignment="1">
      <alignment horizontal="distributed" vertical="center" shrinkToFit="1"/>
    </xf>
    <xf numFmtId="0" fontId="16" fillId="0" borderId="57" xfId="0" applyFont="1" applyBorder="1" applyAlignment="1">
      <alignment horizontal="distributed" vertical="center" shrinkToFit="1"/>
    </xf>
    <xf numFmtId="0" fontId="10" fillId="0" borderId="227" xfId="2" applyFont="1" applyBorder="1" applyAlignment="1">
      <alignment horizontal="center" vertical="center" textRotation="255"/>
    </xf>
    <xf numFmtId="0" fontId="10" fillId="0" borderId="5" xfId="0" applyFont="1" applyBorder="1" applyAlignment="1">
      <alignment horizontal="distributed" vertical="center"/>
    </xf>
    <xf numFmtId="0" fontId="10" fillId="0" borderId="81" xfId="0" applyFont="1" applyBorder="1" applyAlignment="1">
      <alignment horizontal="distributed" vertical="center"/>
    </xf>
    <xf numFmtId="49" fontId="10" fillId="3" borderId="90" xfId="0" applyNumberFormat="1" applyFont="1" applyFill="1" applyBorder="1" applyAlignment="1">
      <alignment horizontal="right" vertical="center"/>
    </xf>
    <xf numFmtId="49" fontId="10" fillId="3" borderId="97" xfId="0" applyNumberFormat="1" applyFont="1" applyFill="1" applyBorder="1" applyAlignment="1">
      <alignment horizontal="right" vertical="center"/>
    </xf>
    <xf numFmtId="0" fontId="4" fillId="0" borderId="99" xfId="0" applyFont="1" applyBorder="1" applyAlignment="1">
      <alignment horizontal="distributed" vertical="center"/>
    </xf>
    <xf numFmtId="0" fontId="4" fillId="0" borderId="58" xfId="0" applyFont="1" applyBorder="1" applyAlignment="1">
      <alignment horizontal="center" vertical="center" shrinkToFit="1"/>
    </xf>
    <xf numFmtId="0" fontId="4" fillId="0" borderId="43" xfId="0" applyFont="1" applyBorder="1" applyAlignment="1">
      <alignment horizontal="center" vertical="center" shrinkToFit="1"/>
    </xf>
    <xf numFmtId="0" fontId="10" fillId="0" borderId="120" xfId="0" applyFont="1" applyBorder="1" applyAlignment="1">
      <alignment horizontal="distributed" vertical="center"/>
    </xf>
    <xf numFmtId="0" fontId="10" fillId="0" borderId="14" xfId="0" applyFont="1" applyBorder="1" applyAlignment="1">
      <alignment horizontal="distributed" vertical="center"/>
    </xf>
    <xf numFmtId="0" fontId="4" fillId="0" borderId="111" xfId="0" applyFont="1" applyBorder="1" applyAlignment="1">
      <alignment horizontal="distributed" vertical="center"/>
    </xf>
    <xf numFmtId="0" fontId="10" fillId="0" borderId="6" xfId="0" applyFont="1" applyBorder="1" applyAlignment="1">
      <alignment horizontal="distributed" vertical="center"/>
    </xf>
    <xf numFmtId="0" fontId="10" fillId="0" borderId="240" xfId="0" applyFont="1" applyBorder="1" applyAlignment="1">
      <alignment horizontal="center" vertical="center" textRotation="255"/>
    </xf>
    <xf numFmtId="0" fontId="10" fillId="0" borderId="245" xfId="0" applyFont="1" applyBorder="1" applyAlignment="1">
      <alignment horizontal="center" vertical="center" textRotation="255"/>
    </xf>
    <xf numFmtId="0" fontId="10" fillId="0" borderId="227" xfId="0" applyFont="1" applyBorder="1" applyAlignment="1">
      <alignment horizontal="center" vertical="center" textRotation="255"/>
    </xf>
    <xf numFmtId="0" fontId="10" fillId="0" borderId="161" xfId="0" applyFont="1" applyBorder="1" applyAlignment="1">
      <alignment horizontal="center" vertical="center" textRotation="255"/>
    </xf>
    <xf numFmtId="0" fontId="10" fillId="0" borderId="59" xfId="0" applyFont="1" applyBorder="1" applyAlignment="1">
      <alignment horizontal="center" vertical="center" textRotation="255"/>
    </xf>
    <xf numFmtId="0" fontId="10" fillId="0" borderId="61" xfId="0" applyFont="1" applyBorder="1" applyAlignment="1">
      <alignment horizontal="center" vertical="center" textRotation="255"/>
    </xf>
    <xf numFmtId="0" fontId="10" fillId="0" borderId="153" xfId="0" applyFont="1" applyBorder="1" applyAlignment="1">
      <alignment horizontal="center" vertical="center" textRotation="255"/>
    </xf>
    <xf numFmtId="49" fontId="10" fillId="3" borderId="285" xfId="0" applyNumberFormat="1" applyFont="1" applyFill="1" applyBorder="1" applyAlignment="1">
      <alignment horizontal="right" vertical="center"/>
    </xf>
    <xf numFmtId="49" fontId="10" fillId="3" borderId="235" xfId="0" applyNumberFormat="1" applyFont="1" applyFill="1" applyBorder="1" applyAlignment="1">
      <alignment horizontal="right" vertical="center"/>
    </xf>
    <xf numFmtId="0" fontId="17" fillId="0" borderId="60" xfId="0" applyFont="1" applyBorder="1" applyAlignment="1">
      <alignment horizontal="distributed" vertical="center" wrapText="1"/>
    </xf>
    <xf numFmtId="0" fontId="17" fillId="0" borderId="51" xfId="0" applyFont="1" applyBorder="1" applyAlignment="1">
      <alignment horizontal="distributed" vertical="center" wrapText="1"/>
    </xf>
    <xf numFmtId="0" fontId="10" fillId="0" borderId="54" xfId="0" applyFont="1" applyBorder="1" applyAlignment="1">
      <alignment horizontal="center" vertical="center"/>
    </xf>
    <xf numFmtId="0" fontId="10" fillId="0" borderId="162" xfId="0" applyFont="1" applyBorder="1" applyAlignment="1">
      <alignment horizontal="center" vertical="center"/>
    </xf>
    <xf numFmtId="0" fontId="10" fillId="0" borderId="120" xfId="0" applyFont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7" fillId="0" borderId="58" xfId="0" applyFont="1" applyBorder="1" applyAlignment="1">
      <alignment horizontal="distributed" vertical="center" shrinkToFit="1"/>
    </xf>
    <xf numFmtId="0" fontId="17" fillId="0" borderId="43" xfId="0" applyFont="1" applyBorder="1" applyAlignment="1">
      <alignment horizontal="distributed" vertical="center" shrinkToFit="1"/>
    </xf>
    <xf numFmtId="0" fontId="10" fillId="0" borderId="54" xfId="0" applyFont="1" applyBorder="1" applyAlignment="1">
      <alignment horizontal="center" vertical="center" textRotation="255"/>
    </xf>
    <xf numFmtId="0" fontId="10" fillId="0" borderId="162" xfId="0" applyFont="1" applyBorder="1" applyAlignment="1">
      <alignment horizontal="center" vertical="center" textRotation="255"/>
    </xf>
    <xf numFmtId="0" fontId="10" fillId="0" borderId="120" xfId="0" applyFont="1" applyBorder="1" applyAlignment="1">
      <alignment horizontal="center" vertical="center" textRotation="255"/>
    </xf>
    <xf numFmtId="49" fontId="10" fillId="0" borderId="278" xfId="2" applyNumberFormat="1" applyFont="1" applyBorder="1" applyAlignment="1">
      <alignment horizontal="right" vertical="center"/>
    </xf>
    <xf numFmtId="49" fontId="10" fillId="0" borderId="190" xfId="2" applyNumberFormat="1" applyFont="1" applyBorder="1" applyAlignment="1">
      <alignment horizontal="right" vertical="center"/>
    </xf>
    <xf numFmtId="49" fontId="10" fillId="0" borderId="279" xfId="2" applyNumberFormat="1" applyFont="1" applyBorder="1" applyAlignment="1">
      <alignment horizontal="right" vertical="center"/>
    </xf>
    <xf numFmtId="0" fontId="10" fillId="0" borderId="34" xfId="2" applyFont="1" applyBorder="1" applyAlignment="1">
      <alignment horizontal="distributed" vertical="center"/>
    </xf>
    <xf numFmtId="49" fontId="10" fillId="0" borderId="266" xfId="2" applyNumberFormat="1" applyFont="1" applyBorder="1" applyAlignment="1">
      <alignment horizontal="right" vertical="center"/>
    </xf>
    <xf numFmtId="49" fontId="10" fillId="0" borderId="147" xfId="2" applyNumberFormat="1" applyFont="1" applyBorder="1" applyAlignment="1">
      <alignment horizontal="right" vertical="center"/>
    </xf>
    <xf numFmtId="49" fontId="10" fillId="0" borderId="267" xfId="2" applyNumberFormat="1" applyFont="1" applyBorder="1" applyAlignment="1">
      <alignment horizontal="right" vertical="center"/>
    </xf>
    <xf numFmtId="0" fontId="4" fillId="0" borderId="47" xfId="2" applyFont="1" applyBorder="1" applyAlignment="1">
      <alignment vertical="center" shrinkToFit="1"/>
    </xf>
    <xf numFmtId="0" fontId="10" fillId="0" borderId="58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distributed" vertical="center"/>
    </xf>
    <xf numFmtId="0" fontId="10" fillId="0" borderId="98" xfId="0" applyFont="1" applyBorder="1" applyAlignment="1">
      <alignment horizontal="distributed" vertical="center"/>
    </xf>
    <xf numFmtId="0" fontId="10" fillId="0" borderId="81" xfId="0" applyFont="1" applyBorder="1" applyAlignment="1">
      <alignment horizontal="center" vertical="center" textRotation="255" wrapText="1"/>
    </xf>
    <xf numFmtId="0" fontId="10" fillId="0" borderId="80" xfId="0" applyFont="1" applyBorder="1" applyAlignment="1">
      <alignment horizontal="center" vertical="center" textRotation="255" wrapText="1"/>
    </xf>
    <xf numFmtId="0" fontId="10" fillId="0" borderId="116" xfId="0" applyFont="1" applyBorder="1" applyAlignment="1">
      <alignment horizontal="center" vertical="center" textRotation="255" wrapText="1"/>
    </xf>
    <xf numFmtId="0" fontId="10" fillId="0" borderId="117" xfId="0" applyFont="1" applyBorder="1" applyAlignment="1">
      <alignment horizontal="distributed" vertical="center"/>
    </xf>
    <xf numFmtId="0" fontId="10" fillId="0" borderId="119" xfId="0" applyFont="1" applyBorder="1" applyAlignment="1">
      <alignment horizontal="distributed" vertical="center" shrinkToFit="1"/>
    </xf>
    <xf numFmtId="0" fontId="10" fillId="0" borderId="119" xfId="0" applyFont="1" applyBorder="1" applyAlignment="1">
      <alignment horizontal="distributed" vertical="center" textRotation="255"/>
    </xf>
    <xf numFmtId="0" fontId="10" fillId="0" borderId="110" xfId="0" applyFont="1" applyBorder="1" applyAlignment="1">
      <alignment horizontal="distributed" vertical="center" textRotation="255"/>
    </xf>
    <xf numFmtId="0" fontId="10" fillId="0" borderId="58" xfId="0" applyFont="1" applyBorder="1" applyAlignment="1">
      <alignment horizontal="distributed" vertical="center" textRotation="255"/>
    </xf>
    <xf numFmtId="0" fontId="10" fillId="0" borderId="99" xfId="0" applyFont="1" applyBorder="1" applyAlignment="1">
      <alignment horizontal="distributed" vertical="center" textRotation="255"/>
    </xf>
    <xf numFmtId="49" fontId="10" fillId="0" borderId="276" xfId="0" applyNumberFormat="1" applyFont="1" applyBorder="1" applyAlignment="1">
      <alignment horizontal="right" vertical="center"/>
    </xf>
    <xf numFmtId="49" fontId="10" fillId="0" borderId="149" xfId="0" applyNumberFormat="1" applyFont="1" applyBorder="1" applyAlignment="1">
      <alignment horizontal="right" vertical="center"/>
    </xf>
    <xf numFmtId="49" fontId="10" fillId="0" borderId="277" xfId="0" applyNumberFormat="1" applyFont="1" applyBorder="1" applyAlignment="1">
      <alignment horizontal="right" vertical="center"/>
    </xf>
    <xf numFmtId="0" fontId="4" fillId="0" borderId="176" xfId="2" applyFont="1" applyBorder="1" applyAlignment="1">
      <alignment horizontal="distributed" vertical="center"/>
    </xf>
    <xf numFmtId="0" fontId="4" fillId="0" borderId="117" xfId="2" applyFont="1" applyBorder="1" applyAlignment="1">
      <alignment horizontal="distributed" vertical="center"/>
    </xf>
    <xf numFmtId="0" fontId="4" fillId="0" borderId="119" xfId="2" applyFont="1" applyBorder="1" applyAlignment="1">
      <alignment horizontal="distributed" vertical="center"/>
    </xf>
    <xf numFmtId="49" fontId="10" fillId="0" borderId="274" xfId="2" applyNumberFormat="1" applyFont="1" applyBorder="1" applyAlignment="1">
      <alignment horizontal="right" vertical="center"/>
    </xf>
    <xf numFmtId="49" fontId="10" fillId="0" borderId="106" xfId="2" applyNumberFormat="1" applyFont="1" applyBorder="1" applyAlignment="1">
      <alignment horizontal="right" vertical="center"/>
    </xf>
    <xf numFmtId="49" fontId="10" fillId="0" borderId="275" xfId="2" applyNumberFormat="1" applyFont="1" applyBorder="1" applyAlignment="1">
      <alignment horizontal="right" vertical="center"/>
    </xf>
    <xf numFmtId="0" fontId="18" fillId="0" borderId="115" xfId="2" applyFont="1" applyBorder="1" applyAlignment="1">
      <alignment horizontal="distributed" vertical="center"/>
    </xf>
    <xf numFmtId="0" fontId="18" fillId="0" borderId="60" xfId="2" applyFont="1" applyBorder="1" applyAlignment="1">
      <alignment horizontal="distributed" vertical="center"/>
    </xf>
    <xf numFmtId="49" fontId="10" fillId="0" borderId="272" xfId="2" applyNumberFormat="1" applyFont="1" applyBorder="1" applyAlignment="1">
      <alignment horizontal="right" vertical="center"/>
    </xf>
    <xf numFmtId="49" fontId="10" fillId="0" borderId="143" xfId="2" applyNumberFormat="1" applyFont="1" applyBorder="1" applyAlignment="1">
      <alignment horizontal="right" vertical="center"/>
    </xf>
    <xf numFmtId="49" fontId="10" fillId="0" borderId="273" xfId="2" applyNumberFormat="1" applyFont="1" applyBorder="1" applyAlignment="1">
      <alignment horizontal="right" vertical="center"/>
    </xf>
    <xf numFmtId="49" fontId="10" fillId="3" borderId="51" xfId="0" applyNumberFormat="1" applyFont="1" applyFill="1" applyBorder="1" applyAlignment="1">
      <alignment horizontal="right" vertical="center"/>
    </xf>
    <xf numFmtId="49" fontId="10" fillId="3" borderId="89" xfId="0" applyNumberFormat="1" applyFont="1" applyFill="1" applyBorder="1" applyAlignment="1">
      <alignment horizontal="right" vertical="center"/>
    </xf>
    <xf numFmtId="49" fontId="10" fillId="0" borderId="280" xfId="2" applyNumberFormat="1" applyFont="1" applyBorder="1" applyAlignment="1">
      <alignment horizontal="right" vertical="center"/>
    </xf>
    <xf numFmtId="49" fontId="10" fillId="0" borderId="281" xfId="2" applyNumberFormat="1" applyFont="1" applyBorder="1" applyAlignment="1">
      <alignment horizontal="right" vertical="center"/>
    </xf>
    <xf numFmtId="49" fontId="10" fillId="0" borderId="282" xfId="2" applyNumberFormat="1" applyFont="1" applyBorder="1" applyAlignment="1">
      <alignment horizontal="right" vertical="center"/>
    </xf>
    <xf numFmtId="49" fontId="10" fillId="3" borderId="283" xfId="0" applyNumberFormat="1" applyFont="1" applyFill="1" applyBorder="1" applyAlignment="1">
      <alignment horizontal="right" vertical="center"/>
    </xf>
    <xf numFmtId="49" fontId="10" fillId="3" borderId="259" xfId="0" applyNumberFormat="1" applyFont="1" applyFill="1" applyBorder="1" applyAlignment="1">
      <alignment horizontal="right" vertical="center"/>
    </xf>
    <xf numFmtId="49" fontId="10" fillId="3" borderId="284" xfId="0" applyNumberFormat="1" applyFont="1" applyFill="1" applyBorder="1" applyAlignment="1">
      <alignment horizontal="right" vertical="center"/>
    </xf>
    <xf numFmtId="0" fontId="10" fillId="0" borderId="61" xfId="0" applyFont="1" applyBorder="1" applyAlignment="1">
      <alignment horizontal="distributed" vertical="center" textRotation="255"/>
    </xf>
    <xf numFmtId="0" fontId="10" fillId="0" borderId="153" xfId="0" applyFont="1" applyBorder="1" applyAlignment="1">
      <alignment horizontal="distributed" vertical="center" textRotation="255"/>
    </xf>
    <xf numFmtId="0" fontId="10" fillId="0" borderId="60" xfId="0" applyFont="1" applyBorder="1" applyAlignment="1">
      <alignment horizontal="distributed" vertical="center" textRotation="255"/>
    </xf>
    <xf numFmtId="0" fontId="10" fillId="0" borderId="111" xfId="0" applyFont="1" applyBorder="1" applyAlignment="1">
      <alignment horizontal="distributed" vertical="center" textRotation="255"/>
    </xf>
    <xf numFmtId="0" fontId="4" fillId="0" borderId="6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0" fillId="0" borderId="20" xfId="0" applyFont="1" applyBorder="1" applyAlignment="1">
      <alignment horizontal="center" vertical="center" shrinkToFit="1"/>
    </xf>
    <xf numFmtId="0" fontId="9" fillId="0" borderId="5" xfId="0" applyFont="1" applyBorder="1" applyAlignment="1">
      <alignment horizontal="center" vertical="center" wrapText="1"/>
    </xf>
    <xf numFmtId="0" fontId="9" fillId="0" borderId="8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80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16" xfId="0" applyFont="1" applyBorder="1" applyAlignment="1">
      <alignment horizontal="center" vertical="center" wrapText="1"/>
    </xf>
    <xf numFmtId="0" fontId="17" fillId="0" borderId="119" xfId="0" applyFont="1" applyBorder="1" applyAlignment="1">
      <alignment horizontal="distributed" vertical="center"/>
    </xf>
    <xf numFmtId="0" fontId="17" fillId="0" borderId="91" xfId="0" applyFont="1" applyBorder="1" applyAlignment="1">
      <alignment horizontal="distributed" vertical="center"/>
    </xf>
    <xf numFmtId="0" fontId="17" fillId="0" borderId="54" xfId="0" applyFont="1" applyBorder="1" applyAlignment="1">
      <alignment horizontal="distributed" vertical="center"/>
    </xf>
    <xf numFmtId="0" fontId="17" fillId="0" borderId="55" xfId="0" applyFont="1" applyBorder="1" applyAlignment="1">
      <alignment horizontal="distributed" vertical="center"/>
    </xf>
    <xf numFmtId="0" fontId="10" fillId="0" borderId="164" xfId="0" applyFont="1" applyBorder="1" applyAlignment="1">
      <alignment horizontal="distributed" vertical="center"/>
    </xf>
    <xf numFmtId="0" fontId="10" fillId="0" borderId="129" xfId="0" applyFont="1" applyBorder="1" applyAlignment="1">
      <alignment horizontal="distributed" vertical="center"/>
    </xf>
    <xf numFmtId="49" fontId="10" fillId="3" borderId="34" xfId="0" applyNumberFormat="1" applyFont="1" applyFill="1" applyBorder="1" applyAlignment="1">
      <alignment horizontal="right" vertical="center"/>
    </xf>
    <xf numFmtId="49" fontId="10" fillId="3" borderId="118" xfId="0" applyNumberFormat="1" applyFont="1" applyFill="1" applyBorder="1" applyAlignment="1">
      <alignment horizontal="right" vertical="center"/>
    </xf>
    <xf numFmtId="0" fontId="10" fillId="0" borderId="99" xfId="0" applyFont="1" applyBorder="1" applyAlignment="1">
      <alignment horizontal="distributed" vertical="center"/>
    </xf>
    <xf numFmtId="0" fontId="10" fillId="0" borderId="34" xfId="0" applyFont="1" applyBorder="1" applyAlignment="1">
      <alignment horizontal="distributed" vertical="center" wrapText="1"/>
    </xf>
    <xf numFmtId="0" fontId="10" fillId="0" borderId="6" xfId="0" applyFont="1" applyBorder="1" applyAlignment="1">
      <alignment horizontal="distributed" vertical="center" wrapText="1"/>
    </xf>
    <xf numFmtId="0" fontId="4" fillId="0" borderId="120" xfId="0" applyFont="1" applyBorder="1" applyAlignment="1">
      <alignment horizontal="distributed" vertical="center"/>
    </xf>
    <xf numFmtId="0" fontId="4" fillId="0" borderId="14" xfId="0" applyFont="1" applyBorder="1" applyAlignment="1">
      <alignment horizontal="distributed" vertical="center"/>
    </xf>
    <xf numFmtId="49" fontId="10" fillId="0" borderId="266" xfId="0" applyNumberFormat="1" applyFont="1" applyBorder="1" applyAlignment="1">
      <alignment horizontal="right" vertical="center"/>
    </xf>
    <xf numFmtId="49" fontId="10" fillId="0" borderId="147" xfId="0" applyNumberFormat="1" applyFont="1" applyBorder="1" applyAlignment="1">
      <alignment horizontal="right" vertical="center"/>
    </xf>
    <xf numFmtId="49" fontId="10" fillId="0" borderId="267" xfId="0" applyNumberFormat="1" applyFont="1" applyBorder="1" applyAlignment="1">
      <alignment horizontal="right" vertical="center"/>
    </xf>
    <xf numFmtId="49" fontId="10" fillId="3" borderId="50" xfId="0" applyNumberFormat="1" applyFont="1" applyFill="1" applyBorder="1" applyAlignment="1">
      <alignment horizontal="right" vertical="center"/>
    </xf>
    <xf numFmtId="0" fontId="10" fillId="0" borderId="18" xfId="0" applyFont="1" applyBorder="1" applyAlignment="1">
      <alignment horizontal="left" vertical="center" textRotation="255"/>
    </xf>
    <xf numFmtId="0" fontId="10" fillId="0" borderId="0" xfId="0" applyFont="1" applyAlignment="1">
      <alignment horizontal="left" vertical="center" textRotation="255"/>
    </xf>
    <xf numFmtId="0" fontId="10" fillId="0" borderId="14" xfId="0" applyFont="1" applyBorder="1" applyAlignment="1">
      <alignment horizontal="left" vertical="center" textRotation="255"/>
    </xf>
    <xf numFmtId="0" fontId="10" fillId="0" borderId="81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9" fillId="0" borderId="58" xfId="0" applyFont="1" applyBorder="1" applyAlignment="1">
      <alignment horizontal="distributed" vertical="center" wrapText="1"/>
    </xf>
    <xf numFmtId="0" fontId="9" fillId="0" borderId="43" xfId="0" applyFont="1" applyBorder="1" applyAlignment="1">
      <alignment horizontal="distributed" vertical="center" wrapText="1"/>
    </xf>
    <xf numFmtId="0" fontId="10" fillId="0" borderId="5" xfId="0" applyFont="1" applyBorder="1" applyAlignment="1">
      <alignment horizontal="center" vertical="center" textRotation="255" wrapText="1"/>
    </xf>
    <xf numFmtId="0" fontId="10" fillId="0" borderId="18" xfId="0" applyFont="1" applyBorder="1" applyAlignment="1">
      <alignment horizontal="center" vertical="center" textRotation="255" wrapText="1"/>
    </xf>
    <xf numFmtId="0" fontId="10" fillId="0" borderId="2" xfId="0" applyFont="1" applyBorder="1" applyAlignment="1">
      <alignment horizontal="center" vertical="center" textRotation="255" wrapText="1"/>
    </xf>
    <xf numFmtId="0" fontId="10" fillId="0" borderId="0" xfId="0" applyFont="1" applyAlignment="1">
      <alignment horizontal="center" vertical="center" textRotation="255" wrapText="1"/>
    </xf>
    <xf numFmtId="0" fontId="10" fillId="0" borderId="17" xfId="0" applyFont="1" applyBorder="1" applyAlignment="1">
      <alignment horizontal="center" vertical="center" textRotation="255" wrapText="1"/>
    </xf>
    <xf numFmtId="0" fontId="10" fillId="0" borderId="14" xfId="0" applyFont="1" applyBorder="1" applyAlignment="1">
      <alignment horizontal="center" vertical="center" textRotation="255" wrapText="1"/>
    </xf>
    <xf numFmtId="0" fontId="17" fillId="0" borderId="34" xfId="0" applyFont="1" applyBorder="1" applyAlignment="1">
      <alignment horizontal="distributed" vertical="center" shrinkToFit="1"/>
    </xf>
    <xf numFmtId="0" fontId="17" fillId="0" borderId="6" xfId="0" applyFont="1" applyBorder="1" applyAlignment="1">
      <alignment horizontal="distributed" vertical="center" shrinkToFit="1"/>
    </xf>
    <xf numFmtId="0" fontId="9" fillId="0" borderId="161" xfId="0" applyFont="1" applyBorder="1" applyAlignment="1">
      <alignment horizontal="center" vertical="center" shrinkToFit="1"/>
    </xf>
    <xf numFmtId="0" fontId="9" fillId="0" borderId="18" xfId="0" applyFont="1" applyBorder="1" applyAlignment="1">
      <alignment horizontal="center" vertical="center" shrinkToFit="1"/>
    </xf>
    <xf numFmtId="49" fontId="10" fillId="3" borderId="92" xfId="0" applyNumberFormat="1" applyFont="1" applyFill="1" applyBorder="1" applyAlignment="1">
      <alignment horizontal="right" vertical="center"/>
    </xf>
    <xf numFmtId="0" fontId="10" fillId="0" borderId="59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/>
    </xf>
    <xf numFmtId="0" fontId="10" fillId="0" borderId="153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 shrinkToFit="1"/>
    </xf>
    <xf numFmtId="0" fontId="9" fillId="0" borderId="43" xfId="0" applyFont="1" applyBorder="1" applyAlignment="1">
      <alignment horizontal="center" vertical="center" shrinkToFit="1"/>
    </xf>
    <xf numFmtId="0" fontId="10" fillId="0" borderId="100" xfId="0" applyFont="1" applyBorder="1" applyAlignment="1">
      <alignment horizontal="distributed" vertical="center"/>
    </xf>
    <xf numFmtId="0" fontId="10" fillId="0" borderId="116" xfId="0" applyFont="1" applyBorder="1" applyAlignment="1">
      <alignment horizontal="distributed" vertical="center"/>
    </xf>
    <xf numFmtId="0" fontId="9" fillId="0" borderId="98" xfId="0" applyFont="1" applyBorder="1" applyAlignment="1">
      <alignment horizontal="distributed" vertical="center"/>
    </xf>
    <xf numFmtId="0" fontId="8" fillId="0" borderId="224" xfId="0" applyFont="1" applyBorder="1" applyAlignment="1">
      <alignment horizontal="left" vertical="center" shrinkToFit="1"/>
    </xf>
    <xf numFmtId="0" fontId="8" fillId="0" borderId="225" xfId="0" applyFont="1" applyBorder="1" applyAlignment="1">
      <alignment horizontal="left" vertical="center" shrinkToFit="1"/>
    </xf>
    <xf numFmtId="0" fontId="8" fillId="0" borderId="226" xfId="0" applyFont="1" applyBorder="1" applyAlignment="1">
      <alignment horizontal="left" vertical="center" shrinkToFit="1"/>
    </xf>
    <xf numFmtId="0" fontId="8" fillId="0" borderId="7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 shrinkToFit="1"/>
    </xf>
    <xf numFmtId="0" fontId="8" fillId="0" borderId="11" xfId="0" applyFont="1" applyBorder="1" applyAlignment="1">
      <alignment horizontal="left" vertical="center" shrinkToFit="1"/>
    </xf>
    <xf numFmtId="0" fontId="8" fillId="0" borderId="29" xfId="0" applyFont="1" applyBorder="1" applyAlignment="1">
      <alignment horizontal="left" vertical="center" shrinkToFit="1"/>
    </xf>
    <xf numFmtId="0" fontId="10" fillId="0" borderId="161" xfId="0" applyFont="1" applyBorder="1" applyAlignment="1">
      <alignment horizontal="center" vertical="center" textRotation="255" shrinkToFit="1"/>
    </xf>
    <xf numFmtId="0" fontId="10" fillId="0" borderId="81" xfId="0" applyFont="1" applyBorder="1" applyAlignment="1">
      <alignment horizontal="center" vertical="center" textRotation="255" shrinkToFit="1"/>
    </xf>
    <xf numFmtId="0" fontId="10" fillId="0" borderId="59" xfId="0" applyFont="1" applyBorder="1" applyAlignment="1">
      <alignment horizontal="center" vertical="center" textRotation="255" shrinkToFit="1"/>
    </xf>
    <xf numFmtId="0" fontId="10" fillId="0" borderId="80" xfId="0" applyFont="1" applyBorder="1" applyAlignment="1">
      <alignment horizontal="center" vertical="center" textRotation="255" shrinkToFit="1"/>
    </xf>
    <xf numFmtId="0" fontId="10" fillId="0" borderId="61" xfId="0" applyFont="1" applyBorder="1" applyAlignment="1">
      <alignment horizontal="center" vertical="center" textRotation="255" shrinkToFit="1"/>
    </xf>
    <xf numFmtId="0" fontId="10" fillId="0" borderId="153" xfId="0" applyFont="1" applyBorder="1" applyAlignment="1">
      <alignment horizontal="center" vertical="center" textRotation="255" shrinkToFit="1"/>
    </xf>
    <xf numFmtId="0" fontId="18" fillId="0" borderId="263" xfId="0" applyFont="1" applyBorder="1" applyAlignment="1">
      <alignment horizontal="center" vertical="center"/>
    </xf>
    <xf numFmtId="0" fontId="18" fillId="0" borderId="264" xfId="0" applyFont="1" applyBorder="1" applyAlignment="1">
      <alignment horizontal="center" vertical="center"/>
    </xf>
    <xf numFmtId="0" fontId="18" fillId="0" borderId="265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 shrinkToFit="1"/>
    </xf>
    <xf numFmtId="0" fontId="10" fillId="0" borderId="21" xfId="0" applyFont="1" applyBorder="1" applyAlignment="1">
      <alignment horizontal="center" vertical="center" shrinkToFit="1"/>
    </xf>
    <xf numFmtId="0" fontId="10" fillId="0" borderId="161" xfId="0" applyFont="1" applyBorder="1" applyAlignment="1">
      <alignment horizontal="center" vertical="center" textRotation="255" wrapText="1" shrinkToFit="1"/>
    </xf>
    <xf numFmtId="0" fontId="10" fillId="0" borderId="18" xfId="0" applyFont="1" applyBorder="1" applyAlignment="1">
      <alignment horizontal="center" vertical="center" textRotation="255" wrapText="1" shrinkToFit="1"/>
    </xf>
    <xf numFmtId="0" fontId="10" fillId="0" borderId="59" xfId="0" applyFont="1" applyBorder="1" applyAlignment="1">
      <alignment horizontal="center" vertical="center" textRotation="255" wrapText="1" shrinkToFit="1"/>
    </xf>
    <xf numFmtId="0" fontId="10" fillId="0" borderId="0" xfId="0" applyFont="1" applyAlignment="1">
      <alignment horizontal="center" vertical="center" textRotation="255" wrapText="1" shrinkToFit="1"/>
    </xf>
    <xf numFmtId="0" fontId="10" fillId="0" borderId="61" xfId="0" applyFont="1" applyBorder="1" applyAlignment="1">
      <alignment horizontal="center" vertical="center" textRotation="255" wrapText="1" shrinkToFit="1"/>
    </xf>
    <xf numFmtId="0" fontId="10" fillId="0" borderId="62" xfId="0" applyFont="1" applyBorder="1" applyAlignment="1">
      <alignment horizontal="center" vertical="center" textRotation="255" wrapText="1" shrinkToFit="1"/>
    </xf>
    <xf numFmtId="0" fontId="4" fillId="0" borderId="197" xfId="0" applyFont="1" applyBorder="1" applyAlignment="1">
      <alignment horizontal="distributed" vertical="center"/>
    </xf>
    <xf numFmtId="0" fontId="4" fillId="0" borderId="198" xfId="0" applyFont="1" applyBorder="1" applyAlignment="1">
      <alignment horizontal="distributed" vertical="center"/>
    </xf>
    <xf numFmtId="0" fontId="10" fillId="0" borderId="9" xfId="0" applyFont="1" applyBorder="1" applyAlignment="1">
      <alignment horizontal="distributed" vertical="center" shrinkToFit="1"/>
    </xf>
    <xf numFmtId="0" fontId="10" fillId="0" borderId="0" xfId="0" applyFont="1" applyAlignment="1">
      <alignment horizontal="distributed" vertical="center" shrinkToFit="1"/>
    </xf>
    <xf numFmtId="0" fontId="10" fillId="0" borderId="20" xfId="0" applyFont="1" applyBorder="1" applyAlignment="1">
      <alignment horizontal="distributed" vertical="center" shrinkToFit="1"/>
    </xf>
    <xf numFmtId="49" fontId="10" fillId="3" borderId="246" xfId="0" applyNumberFormat="1" applyFont="1" applyFill="1" applyBorder="1" applyAlignment="1">
      <alignment horizontal="right" vertical="center"/>
    </xf>
    <xf numFmtId="49" fontId="10" fillId="3" borderId="247" xfId="0" applyNumberFormat="1" applyFont="1" applyFill="1" applyBorder="1" applyAlignment="1">
      <alignment horizontal="right" vertical="center"/>
    </xf>
    <xf numFmtId="0" fontId="4" fillId="0" borderId="263" xfId="0" applyFont="1" applyBorder="1" applyAlignment="1">
      <alignment horizontal="center" vertical="center"/>
    </xf>
    <xf numFmtId="0" fontId="4" fillId="0" borderId="264" xfId="0" applyFont="1" applyBorder="1" applyAlignment="1">
      <alignment horizontal="center" vertical="center"/>
    </xf>
    <xf numFmtId="0" fontId="4" fillId="0" borderId="265" xfId="0" applyFont="1" applyBorder="1" applyAlignment="1">
      <alignment horizontal="center" vertical="center"/>
    </xf>
    <xf numFmtId="0" fontId="9" fillId="0" borderId="100" xfId="0" applyFont="1" applyBorder="1" applyAlignment="1">
      <alignment horizontal="distributed" vertical="center"/>
    </xf>
    <xf numFmtId="0" fontId="9" fillId="0" borderId="61" xfId="0" applyFont="1" applyBorder="1" applyAlignment="1">
      <alignment horizontal="distributed" vertical="center"/>
    </xf>
    <xf numFmtId="49" fontId="10" fillId="3" borderId="65" xfId="0" applyNumberFormat="1" applyFont="1" applyFill="1" applyBorder="1" applyAlignment="1">
      <alignment horizontal="right" vertical="center"/>
    </xf>
    <xf numFmtId="0" fontId="10" fillId="0" borderId="41" xfId="2" applyFont="1" applyBorder="1" applyAlignment="1">
      <alignment horizontal="distributed" vertical="center" wrapText="1"/>
    </xf>
    <xf numFmtId="0" fontId="10" fillId="0" borderId="37" xfId="2" applyFont="1" applyBorder="1" applyAlignment="1">
      <alignment horizontal="distributed" vertical="center" wrapText="1"/>
    </xf>
    <xf numFmtId="0" fontId="10" fillId="0" borderId="38" xfId="2" applyFont="1" applyBorder="1" applyAlignment="1">
      <alignment horizontal="distributed" vertical="center" wrapText="1"/>
    </xf>
    <xf numFmtId="0" fontId="10" fillId="0" borderId="34" xfId="2" applyFont="1" applyBorder="1" applyAlignment="1">
      <alignment horizontal="center" vertical="center"/>
    </xf>
    <xf numFmtId="0" fontId="10" fillId="0" borderId="6" xfId="2" applyFont="1" applyBorder="1" applyAlignment="1">
      <alignment horizontal="center" vertical="center"/>
    </xf>
    <xf numFmtId="0" fontId="10" fillId="0" borderId="118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39" xfId="2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textRotation="255"/>
    </xf>
    <xf numFmtId="0" fontId="17" fillId="0" borderId="28" xfId="0" applyFont="1" applyBorder="1" applyAlignment="1">
      <alignment horizontal="distributed" vertical="center"/>
    </xf>
    <xf numFmtId="0" fontId="17" fillId="0" borderId="18" xfId="0" applyFont="1" applyBorder="1" applyAlignment="1">
      <alignment horizontal="distributed" vertical="center"/>
    </xf>
    <xf numFmtId="0" fontId="17" fillId="0" borderId="19" xfId="0" applyFont="1" applyBorder="1" applyAlignment="1">
      <alignment horizontal="distributed" vertical="center"/>
    </xf>
    <xf numFmtId="49" fontId="10" fillId="3" borderId="53" xfId="0" applyNumberFormat="1" applyFont="1" applyFill="1" applyBorder="1" applyAlignment="1">
      <alignment horizontal="right" vertical="center"/>
    </xf>
    <xf numFmtId="49" fontId="10" fillId="3" borderId="52" xfId="0" applyNumberFormat="1" applyFont="1" applyFill="1" applyBorder="1" applyAlignment="1">
      <alignment horizontal="right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</cellXfs>
  <cellStyles count="10">
    <cellStyle name="桁区切り 2" xfId="8" xr:uid="{00000000-0005-0000-0000-000000000000}"/>
    <cellStyle name="標準" xfId="0" builtinId="0"/>
    <cellStyle name="標準 2" xfId="1" xr:uid="{00000000-0005-0000-0000-000002000000}"/>
    <cellStyle name="標準 2 2" xfId="9" xr:uid="{00000000-0005-0000-0000-000003000000}"/>
    <cellStyle name="標準 2 3" xfId="5" xr:uid="{00000000-0005-0000-0000-000004000000}"/>
    <cellStyle name="標準 2 4" xfId="6" xr:uid="{00000000-0005-0000-0000-000005000000}"/>
    <cellStyle name="標準 3" xfId="2" xr:uid="{00000000-0005-0000-0000-000006000000}"/>
    <cellStyle name="標準 3 2" xfId="3" xr:uid="{00000000-0005-0000-0000-000007000000}"/>
    <cellStyle name="標準 3 3" xfId="7" xr:uid="{00000000-0005-0000-0000-000008000000}"/>
    <cellStyle name="標準 4" xfId="4" xr:uid="{00000000-0005-0000-0000-000009000000}"/>
  </cellStyles>
  <dxfs count="0"/>
  <tableStyles count="0" defaultTableStyle="TableStyleMedium2" defaultPivotStyle="PivotStyleMedium9"/>
  <colors>
    <mruColors>
      <color rgb="FFD9D9D9"/>
      <color rgb="FFFFFF99"/>
      <color rgb="FFFFFFCC"/>
      <color rgb="FFCCFF99"/>
      <color rgb="FF99FF99"/>
      <color rgb="FFCCFFCC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98"/>
  <sheetViews>
    <sheetView tabSelected="1" view="pageBreakPreview" zoomScale="130" zoomScaleNormal="120" zoomScaleSheetLayoutView="130" workbookViewId="0"/>
  </sheetViews>
  <sheetFormatPr defaultColWidth="9" defaultRowHeight="12" x14ac:dyDescent="0.15"/>
  <cols>
    <col min="1" max="1" width="1.875" style="193" customWidth="1"/>
    <col min="2" max="2" width="1" style="196" customWidth="1"/>
    <col min="3" max="3" width="0.875" style="288" customWidth="1"/>
    <col min="4" max="4" width="1.75" style="288" customWidth="1"/>
    <col min="5" max="5" width="4.5" style="288" customWidth="1"/>
    <col min="6" max="6" width="2.125" style="288" customWidth="1"/>
    <col min="7" max="19" width="2" style="196" customWidth="1"/>
    <col min="20" max="20" width="1.25" style="196" customWidth="1"/>
    <col min="21" max="21" width="2.5" style="196" customWidth="1"/>
    <col min="22" max="26" width="2" style="196" customWidth="1"/>
    <col min="27" max="31" width="1" style="196" customWidth="1"/>
    <col min="32" max="32" width="6" style="196" customWidth="1"/>
    <col min="33" max="37" width="2" style="196" customWidth="1"/>
    <col min="38" max="39" width="1.125" style="196" customWidth="1"/>
    <col min="40" max="40" width="1.25" style="196" customWidth="1"/>
    <col min="41" max="41" width="2.375" style="196" customWidth="1"/>
    <col min="42" max="42" width="4.125" style="196" customWidth="1"/>
    <col min="43" max="43" width="1.25" style="196" customWidth="1"/>
    <col min="44" max="44" width="3" style="196" customWidth="1"/>
    <col min="45" max="47" width="2" style="196" customWidth="1"/>
    <col min="48" max="50" width="1.125" style="196" customWidth="1"/>
    <col min="51" max="51" width="1" style="196" customWidth="1"/>
    <col min="52" max="52" width="5.625" style="196" customWidth="1"/>
    <col min="53" max="57" width="2" style="196" customWidth="1"/>
    <col min="58" max="59" width="1.625" style="196" customWidth="1"/>
    <col min="60" max="60" width="1.125" style="196" customWidth="1"/>
    <col min="61" max="61" width="4.125" style="196" customWidth="1"/>
    <col min="62" max="62" width="1.625" style="196" customWidth="1"/>
    <col min="63" max="67" width="2" style="196" customWidth="1"/>
    <col min="68" max="83" width="2.625" style="196" customWidth="1"/>
    <col min="84" max="404" width="9" style="196" customWidth="1"/>
    <col min="405" max="16384" width="9" style="196"/>
  </cols>
  <sheetData>
    <row r="1" spans="1:67" ht="14.25" customHeight="1" x14ac:dyDescent="0.15">
      <c r="B1" s="194" t="str">
        <f>B5&amp;"年　農業経営統計調査（営農類型別経営統計（個人経営））　個別結果表No.１"</f>
        <v>年　農業経営統計調査（営農類型別経営統計（個人経営））　個別結果表No.１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5"/>
      <c r="AP1" s="195"/>
      <c r="AQ1" s="195"/>
      <c r="AR1" s="195"/>
      <c r="AS1" s="195"/>
      <c r="AT1" s="195"/>
      <c r="AU1" s="195"/>
    </row>
    <row r="2" spans="1:67" ht="10.5" customHeight="1" thickBot="1" x14ac:dyDescent="0.2"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5"/>
      <c r="AP2" s="195"/>
      <c r="AQ2" s="195"/>
      <c r="AR2" s="195"/>
      <c r="AS2" s="195"/>
      <c r="AT2" s="195"/>
      <c r="AU2" s="195"/>
    </row>
    <row r="3" spans="1:67" ht="10.5" customHeight="1" x14ac:dyDescent="0.15">
      <c r="B3" s="387" t="s">
        <v>281</v>
      </c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  <c r="Y3" s="388"/>
      <c r="Z3" s="388"/>
      <c r="AA3" s="388"/>
      <c r="AB3" s="388"/>
      <c r="AC3" s="388"/>
      <c r="AD3" s="388"/>
      <c r="AE3" s="388"/>
      <c r="AF3" s="388"/>
      <c r="AG3" s="388"/>
      <c r="AH3" s="388"/>
      <c r="AI3" s="388"/>
      <c r="AJ3" s="388"/>
      <c r="AK3" s="388"/>
      <c r="AL3" s="388"/>
      <c r="AM3" s="388"/>
      <c r="AN3" s="388"/>
      <c r="AO3" s="388"/>
      <c r="AP3" s="388"/>
      <c r="AQ3" s="388"/>
      <c r="AR3" s="388"/>
      <c r="AS3" s="388"/>
      <c r="AT3" s="388"/>
      <c r="AU3" s="388"/>
      <c r="AV3" s="388"/>
      <c r="AW3" s="388"/>
      <c r="AX3" s="388"/>
      <c r="AY3" s="388"/>
      <c r="AZ3" s="388"/>
      <c r="BA3" s="388"/>
      <c r="BB3" s="388"/>
      <c r="BC3" s="388"/>
      <c r="BD3" s="388"/>
      <c r="BE3" s="388"/>
      <c r="BF3" s="388"/>
      <c r="BG3" s="388"/>
      <c r="BH3" s="388"/>
      <c r="BI3" s="388"/>
      <c r="BJ3" s="388"/>
      <c r="BK3" s="388"/>
      <c r="BL3" s="388"/>
      <c r="BM3" s="388"/>
      <c r="BN3" s="388"/>
      <c r="BO3" s="389"/>
    </row>
    <row r="4" spans="1:67" ht="10.5" customHeight="1" x14ac:dyDescent="0.15">
      <c r="A4" s="198">
        <v>1</v>
      </c>
      <c r="B4" s="390" t="s">
        <v>153</v>
      </c>
      <c r="C4" s="391"/>
      <c r="D4" s="391"/>
      <c r="E4" s="391"/>
      <c r="F4" s="392"/>
      <c r="G4" s="391" t="s">
        <v>161</v>
      </c>
      <c r="H4" s="391"/>
      <c r="I4" s="391"/>
      <c r="J4" s="391"/>
      <c r="K4" s="391"/>
      <c r="L4" s="393" t="s">
        <v>240</v>
      </c>
      <c r="M4" s="393"/>
      <c r="N4" s="393"/>
      <c r="O4" s="393"/>
      <c r="P4" s="393"/>
      <c r="Q4" s="393"/>
      <c r="R4" s="393"/>
      <c r="S4" s="393"/>
      <c r="T4" s="393"/>
      <c r="U4" s="393"/>
      <c r="V4" s="394" t="s">
        <v>408</v>
      </c>
      <c r="W4" s="395"/>
      <c r="X4" s="395"/>
      <c r="Y4" s="395"/>
      <c r="Z4" s="395"/>
      <c r="AA4" s="395"/>
      <c r="AB4" s="395"/>
      <c r="AC4" s="395"/>
      <c r="AD4" s="395"/>
      <c r="AE4" s="395"/>
      <c r="AF4" s="396"/>
      <c r="AG4" s="397" t="s">
        <v>215</v>
      </c>
      <c r="AH4" s="398"/>
      <c r="AI4" s="398"/>
      <c r="AJ4" s="398"/>
      <c r="AK4" s="399"/>
      <c r="AL4" s="400" t="s">
        <v>154</v>
      </c>
      <c r="AM4" s="400"/>
      <c r="AN4" s="400"/>
      <c r="AO4" s="400"/>
      <c r="AP4" s="400"/>
      <c r="AQ4" s="400" t="s">
        <v>155</v>
      </c>
      <c r="AR4" s="400"/>
      <c r="AS4" s="400"/>
      <c r="AT4" s="400"/>
      <c r="AU4" s="400"/>
      <c r="AV4" s="400" t="s">
        <v>156</v>
      </c>
      <c r="AW4" s="400"/>
      <c r="AX4" s="400"/>
      <c r="AY4" s="400"/>
      <c r="AZ4" s="400"/>
      <c r="BA4" s="400" t="s">
        <v>157</v>
      </c>
      <c r="BB4" s="400"/>
      <c r="BC4" s="400"/>
      <c r="BD4" s="400"/>
      <c r="BE4" s="400"/>
      <c r="BF4" s="400" t="s">
        <v>158</v>
      </c>
      <c r="BG4" s="400"/>
      <c r="BH4" s="400"/>
      <c r="BI4" s="400"/>
      <c r="BJ4" s="400"/>
      <c r="BK4" s="391" t="s">
        <v>160</v>
      </c>
      <c r="BL4" s="391"/>
      <c r="BM4" s="391"/>
      <c r="BN4" s="391"/>
      <c r="BO4" s="402"/>
    </row>
    <row r="5" spans="1:67" ht="10.5" customHeight="1" x14ac:dyDescent="0.15">
      <c r="A5" s="198">
        <v>2</v>
      </c>
      <c r="B5" s="403"/>
      <c r="C5" s="404"/>
      <c r="D5" s="404"/>
      <c r="E5" s="404"/>
      <c r="F5" s="404"/>
      <c r="G5" s="405"/>
      <c r="H5" s="406"/>
      <c r="I5" s="406"/>
      <c r="J5" s="406"/>
      <c r="K5" s="407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9"/>
      <c r="W5" s="410"/>
      <c r="X5" s="410"/>
      <c r="Y5" s="410"/>
      <c r="Z5" s="410"/>
      <c r="AA5" s="410"/>
      <c r="AB5" s="410"/>
      <c r="AC5" s="410"/>
      <c r="AD5" s="410"/>
      <c r="AE5" s="410"/>
      <c r="AF5" s="411"/>
      <c r="AG5" s="412"/>
      <c r="AH5" s="413"/>
      <c r="AI5" s="413"/>
      <c r="AJ5" s="413"/>
      <c r="AK5" s="414"/>
      <c r="AL5" s="415"/>
      <c r="AM5" s="415"/>
      <c r="AN5" s="415"/>
      <c r="AO5" s="415"/>
      <c r="AP5" s="415"/>
      <c r="AQ5" s="416"/>
      <c r="AR5" s="416"/>
      <c r="AS5" s="416"/>
      <c r="AT5" s="416"/>
      <c r="AU5" s="416"/>
      <c r="AV5" s="415"/>
      <c r="AW5" s="415"/>
      <c r="AX5" s="415"/>
      <c r="AY5" s="415"/>
      <c r="AZ5" s="415"/>
      <c r="BA5" s="417"/>
      <c r="BB5" s="417"/>
      <c r="BC5" s="417"/>
      <c r="BD5" s="417"/>
      <c r="BE5" s="417"/>
      <c r="BF5" s="417"/>
      <c r="BG5" s="417"/>
      <c r="BH5" s="417"/>
      <c r="BI5" s="417"/>
      <c r="BJ5" s="417"/>
      <c r="BK5" s="418"/>
      <c r="BL5" s="418"/>
      <c r="BM5" s="418"/>
      <c r="BN5" s="418"/>
      <c r="BO5" s="419"/>
    </row>
    <row r="6" spans="1:67" ht="10.5" customHeight="1" x14ac:dyDescent="0.15">
      <c r="A6" s="198">
        <v>3</v>
      </c>
      <c r="B6" s="401" t="s">
        <v>461</v>
      </c>
      <c r="C6" s="400"/>
      <c r="D6" s="400"/>
      <c r="E6" s="400"/>
      <c r="F6" s="400"/>
      <c r="G6" s="400" t="s">
        <v>462</v>
      </c>
      <c r="H6" s="400"/>
      <c r="I6" s="400"/>
      <c r="J6" s="400"/>
      <c r="K6" s="400"/>
      <c r="L6" s="400" t="s">
        <v>531</v>
      </c>
      <c r="M6" s="400"/>
      <c r="N6" s="400"/>
      <c r="O6" s="400"/>
      <c r="P6" s="400"/>
      <c r="Q6" s="397" t="s">
        <v>159</v>
      </c>
      <c r="R6" s="398"/>
      <c r="S6" s="398"/>
      <c r="T6" s="398"/>
      <c r="U6" s="399"/>
      <c r="V6" s="397" t="s">
        <v>273</v>
      </c>
      <c r="W6" s="398"/>
      <c r="X6" s="398"/>
      <c r="Y6" s="398"/>
      <c r="Z6" s="399"/>
      <c r="AA6" s="397" t="s">
        <v>532</v>
      </c>
      <c r="AB6" s="398"/>
      <c r="AC6" s="398"/>
      <c r="AD6" s="398"/>
      <c r="AE6" s="398"/>
      <c r="AF6" s="399"/>
      <c r="AG6" s="391" t="s">
        <v>637</v>
      </c>
      <c r="AH6" s="391"/>
      <c r="AI6" s="391"/>
      <c r="AJ6" s="391"/>
      <c r="AK6" s="391"/>
      <c r="AL6" s="391" t="s">
        <v>626</v>
      </c>
      <c r="AM6" s="391"/>
      <c r="AN6" s="391"/>
      <c r="AO6" s="391"/>
      <c r="AP6" s="391"/>
      <c r="AQ6" s="391" t="s">
        <v>625</v>
      </c>
      <c r="AR6" s="391"/>
      <c r="AS6" s="391"/>
      <c r="AT6" s="391"/>
      <c r="AU6" s="391"/>
      <c r="AV6" s="400" t="s">
        <v>534</v>
      </c>
      <c r="AW6" s="400"/>
      <c r="AX6" s="400"/>
      <c r="AY6" s="400"/>
      <c r="AZ6" s="400"/>
      <c r="BA6" s="400" t="s">
        <v>454</v>
      </c>
      <c r="BB6" s="400"/>
      <c r="BC6" s="400"/>
      <c r="BD6" s="400"/>
      <c r="BE6" s="397"/>
      <c r="BF6" s="400" t="s">
        <v>624</v>
      </c>
      <c r="BG6" s="400"/>
      <c r="BH6" s="400"/>
      <c r="BI6" s="400"/>
      <c r="BJ6" s="397"/>
      <c r="BK6" s="400" t="s">
        <v>630</v>
      </c>
      <c r="BL6" s="400"/>
      <c r="BM6" s="400"/>
      <c r="BN6" s="400"/>
      <c r="BO6" s="400"/>
    </row>
    <row r="7" spans="1:67" ht="10.5" customHeight="1" x14ac:dyDescent="0.15">
      <c r="A7" s="198">
        <v>4</v>
      </c>
      <c r="B7" s="427"/>
      <c r="C7" s="428"/>
      <c r="D7" s="428"/>
      <c r="E7" s="428"/>
      <c r="F7" s="428"/>
      <c r="G7" s="428"/>
      <c r="H7" s="428"/>
      <c r="I7" s="428"/>
      <c r="J7" s="428"/>
      <c r="K7" s="428"/>
      <c r="L7" s="417"/>
      <c r="M7" s="417"/>
      <c r="N7" s="417"/>
      <c r="O7" s="417"/>
      <c r="P7" s="417"/>
      <c r="Q7" s="417"/>
      <c r="R7" s="417"/>
      <c r="S7" s="417"/>
      <c r="T7" s="417"/>
      <c r="U7" s="417"/>
      <c r="V7" s="418"/>
      <c r="W7" s="418"/>
      <c r="X7" s="418"/>
      <c r="Y7" s="418"/>
      <c r="Z7" s="418"/>
      <c r="AA7" s="429"/>
      <c r="AB7" s="430"/>
      <c r="AC7" s="430"/>
      <c r="AD7" s="430"/>
      <c r="AE7" s="430"/>
      <c r="AF7" s="431"/>
      <c r="AG7" s="417"/>
      <c r="AH7" s="417"/>
      <c r="AI7" s="417"/>
      <c r="AJ7" s="417"/>
      <c r="AK7" s="417"/>
      <c r="AL7" s="415"/>
      <c r="AM7" s="415"/>
      <c r="AN7" s="415"/>
      <c r="AO7" s="415"/>
      <c r="AP7" s="415"/>
      <c r="AQ7" s="415"/>
      <c r="AR7" s="415"/>
      <c r="AS7" s="415"/>
      <c r="AT7" s="415"/>
      <c r="AU7" s="415"/>
      <c r="AV7" s="416"/>
      <c r="AW7" s="416"/>
      <c r="AX7" s="416"/>
      <c r="AY7" s="416"/>
      <c r="AZ7" s="416"/>
      <c r="BA7" s="416"/>
      <c r="BB7" s="416"/>
      <c r="BC7" s="416"/>
      <c r="BD7" s="416"/>
      <c r="BE7" s="416"/>
      <c r="BF7" s="417"/>
      <c r="BG7" s="417"/>
      <c r="BH7" s="417"/>
      <c r="BI7" s="417"/>
      <c r="BJ7" s="417"/>
      <c r="BK7" s="417"/>
      <c r="BL7" s="417"/>
      <c r="BM7" s="417"/>
      <c r="BN7" s="417"/>
      <c r="BO7" s="420"/>
    </row>
    <row r="8" spans="1:67" ht="10.5" customHeight="1" x14ac:dyDescent="0.15">
      <c r="A8" s="198">
        <v>5</v>
      </c>
      <c r="B8" s="421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422"/>
      <c r="Q8" s="423"/>
      <c r="R8" s="424"/>
      <c r="S8" s="424"/>
      <c r="T8" s="424"/>
      <c r="U8" s="425"/>
      <c r="V8" s="423"/>
      <c r="W8" s="424"/>
      <c r="X8" s="424"/>
      <c r="Y8" s="424"/>
      <c r="Z8" s="425"/>
      <c r="AA8" s="423"/>
      <c r="AB8" s="424"/>
      <c r="AC8" s="424"/>
      <c r="AD8" s="424"/>
      <c r="AE8" s="424"/>
      <c r="AF8" s="425"/>
      <c r="AG8" s="426"/>
      <c r="AH8" s="426"/>
      <c r="AI8" s="426"/>
      <c r="AJ8" s="426"/>
      <c r="AK8" s="426"/>
      <c r="AL8" s="426"/>
      <c r="AM8" s="426"/>
      <c r="AN8" s="426"/>
      <c r="AO8" s="426"/>
      <c r="AP8" s="426"/>
      <c r="AQ8" s="426"/>
      <c r="AR8" s="426"/>
      <c r="AS8" s="426"/>
      <c r="AT8" s="426"/>
      <c r="AU8" s="426"/>
      <c r="AV8" s="422"/>
      <c r="AW8" s="422"/>
      <c r="AX8" s="422"/>
      <c r="AY8" s="422"/>
      <c r="AZ8" s="422"/>
      <c r="BA8" s="422"/>
      <c r="BB8" s="422"/>
      <c r="BC8" s="422"/>
      <c r="BD8" s="422"/>
      <c r="BE8" s="423"/>
      <c r="BF8" s="422"/>
      <c r="BG8" s="422"/>
      <c r="BH8" s="422"/>
      <c r="BI8" s="422"/>
      <c r="BJ8" s="423"/>
      <c r="BK8" s="426"/>
      <c r="BL8" s="426"/>
      <c r="BM8" s="426"/>
      <c r="BN8" s="426"/>
      <c r="BO8" s="432"/>
    </row>
    <row r="9" spans="1:67" ht="10.5" customHeight="1" thickBot="1" x14ac:dyDescent="0.2">
      <c r="A9" s="198">
        <v>6</v>
      </c>
      <c r="B9" s="433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5"/>
      <c r="AB9" s="436"/>
      <c r="AC9" s="436"/>
      <c r="AD9" s="436"/>
      <c r="AE9" s="436"/>
      <c r="AF9" s="437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  <c r="AR9" s="434"/>
      <c r="AS9" s="434"/>
      <c r="AT9" s="434"/>
      <c r="AU9" s="434"/>
      <c r="AV9" s="434"/>
      <c r="AW9" s="434"/>
      <c r="AX9" s="434"/>
      <c r="AY9" s="434"/>
      <c r="AZ9" s="434"/>
      <c r="BA9" s="434"/>
      <c r="BB9" s="434"/>
      <c r="BC9" s="434"/>
      <c r="BD9" s="434"/>
      <c r="BE9" s="434"/>
      <c r="BF9" s="434"/>
      <c r="BG9" s="434"/>
      <c r="BH9" s="434"/>
      <c r="BI9" s="434"/>
      <c r="BJ9" s="434"/>
      <c r="BK9" s="434"/>
      <c r="BL9" s="434"/>
      <c r="BM9" s="434"/>
      <c r="BN9" s="434"/>
      <c r="BO9" s="434"/>
    </row>
    <row r="10" spans="1:67" ht="10.5" customHeight="1" x14ac:dyDescent="0.15">
      <c r="A10" s="198">
        <v>7</v>
      </c>
      <c r="B10" s="438" t="s">
        <v>282</v>
      </c>
      <c r="C10" s="439"/>
      <c r="D10" s="439"/>
      <c r="E10" s="439"/>
      <c r="F10" s="439"/>
      <c r="G10" s="439"/>
      <c r="H10" s="439"/>
      <c r="I10" s="439"/>
      <c r="J10" s="439"/>
      <c r="K10" s="440"/>
      <c r="L10" s="438" t="s">
        <v>483</v>
      </c>
      <c r="M10" s="439"/>
      <c r="N10" s="439"/>
      <c r="O10" s="439"/>
      <c r="P10" s="439"/>
      <c r="Q10" s="439"/>
      <c r="R10" s="439"/>
      <c r="S10" s="439"/>
      <c r="T10" s="439"/>
      <c r="U10" s="439"/>
      <c r="V10" s="439"/>
      <c r="W10" s="439"/>
      <c r="X10" s="439"/>
      <c r="Y10" s="439"/>
      <c r="Z10" s="440"/>
      <c r="AA10" s="199" t="s">
        <v>484</v>
      </c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1" t="s">
        <v>485</v>
      </c>
      <c r="AW10" s="202"/>
      <c r="AX10" s="202"/>
      <c r="AY10" s="202"/>
      <c r="AZ10" s="202"/>
      <c r="BA10" s="202"/>
      <c r="BB10" s="202"/>
      <c r="BC10" s="202"/>
      <c r="BD10" s="202"/>
      <c r="BE10" s="203"/>
      <c r="BF10" s="441" t="s">
        <v>486</v>
      </c>
      <c r="BG10" s="442"/>
      <c r="BH10" s="442"/>
      <c r="BI10" s="442"/>
      <c r="BJ10" s="442"/>
      <c r="BK10" s="442"/>
      <c r="BL10" s="442"/>
      <c r="BM10" s="442"/>
      <c r="BN10" s="442"/>
      <c r="BO10" s="443"/>
    </row>
    <row r="11" spans="1:67" ht="10.5" customHeight="1" x14ac:dyDescent="0.15">
      <c r="A11" s="198">
        <v>8</v>
      </c>
      <c r="B11" s="444" t="s">
        <v>207</v>
      </c>
      <c r="C11" s="445"/>
      <c r="D11" s="445"/>
      <c r="E11" s="445"/>
      <c r="F11" s="445"/>
      <c r="G11" s="445"/>
      <c r="H11" s="445"/>
      <c r="I11" s="445"/>
      <c r="J11" s="445"/>
      <c r="K11" s="446"/>
      <c r="L11" s="444" t="s">
        <v>173</v>
      </c>
      <c r="M11" s="445"/>
      <c r="N11" s="445"/>
      <c r="O11" s="445"/>
      <c r="P11" s="445"/>
      <c r="Q11" s="445"/>
      <c r="R11" s="445"/>
      <c r="S11" s="445"/>
      <c r="T11" s="445"/>
      <c r="U11" s="445"/>
      <c r="V11" s="445"/>
      <c r="W11" s="445"/>
      <c r="X11" s="445"/>
      <c r="Y11" s="445"/>
      <c r="Z11" s="446"/>
      <c r="AA11" s="447" t="s">
        <v>93</v>
      </c>
      <c r="AB11" s="448"/>
      <c r="AC11" s="448"/>
      <c r="AD11" s="448"/>
      <c r="AE11" s="448"/>
      <c r="AF11" s="449"/>
      <c r="AG11" s="450"/>
      <c r="AH11" s="451"/>
      <c r="AI11" s="451"/>
      <c r="AJ11" s="451"/>
      <c r="AK11" s="452"/>
      <c r="AL11" s="453" t="s">
        <v>94</v>
      </c>
      <c r="AM11" s="454"/>
      <c r="AN11" s="454"/>
      <c r="AO11" s="454"/>
      <c r="AP11" s="455"/>
      <c r="AQ11" s="456"/>
      <c r="AR11" s="457"/>
      <c r="AS11" s="457"/>
      <c r="AT11" s="457"/>
      <c r="AU11" s="457"/>
      <c r="AV11" s="458" t="s">
        <v>59</v>
      </c>
      <c r="AW11" s="395"/>
      <c r="AX11" s="395"/>
      <c r="AY11" s="395"/>
      <c r="AZ11" s="396"/>
      <c r="BA11" s="459" t="s">
        <v>60</v>
      </c>
      <c r="BB11" s="460"/>
      <c r="BC11" s="460"/>
      <c r="BD11" s="460"/>
      <c r="BE11" s="461"/>
      <c r="BF11" s="462" t="s">
        <v>262</v>
      </c>
      <c r="BG11" s="463"/>
      <c r="BH11" s="463"/>
      <c r="BI11" s="463"/>
      <c r="BJ11" s="464"/>
      <c r="BK11" s="465"/>
      <c r="BL11" s="466"/>
      <c r="BM11" s="466"/>
      <c r="BN11" s="466"/>
      <c r="BO11" s="467"/>
    </row>
    <row r="12" spans="1:67" ht="10.5" customHeight="1" x14ac:dyDescent="0.15">
      <c r="A12" s="198">
        <v>9</v>
      </c>
      <c r="B12" s="468" t="s">
        <v>114</v>
      </c>
      <c r="C12" s="469"/>
      <c r="D12" s="469"/>
      <c r="E12" s="469"/>
      <c r="F12" s="469"/>
      <c r="G12" s="470"/>
      <c r="H12" s="471"/>
      <c r="I12" s="471"/>
      <c r="J12" s="471"/>
      <c r="K12" s="472"/>
      <c r="L12" s="473" t="s">
        <v>274</v>
      </c>
      <c r="M12" s="476" t="s">
        <v>174</v>
      </c>
      <c r="N12" s="477"/>
      <c r="O12" s="477"/>
      <c r="P12" s="477"/>
      <c r="Q12" s="477"/>
      <c r="R12" s="477"/>
      <c r="S12" s="477"/>
      <c r="T12" s="478"/>
      <c r="U12" s="204" t="s">
        <v>164</v>
      </c>
      <c r="V12" s="470"/>
      <c r="W12" s="471"/>
      <c r="X12" s="471"/>
      <c r="Y12" s="471"/>
      <c r="Z12" s="472"/>
      <c r="AA12" s="207"/>
      <c r="AB12" s="501" t="s">
        <v>221</v>
      </c>
      <c r="AC12" s="575"/>
      <c r="AD12" s="575"/>
      <c r="AE12" s="575"/>
      <c r="AF12" s="576"/>
      <c r="AG12" s="492"/>
      <c r="AH12" s="493"/>
      <c r="AI12" s="493"/>
      <c r="AJ12" s="493"/>
      <c r="AK12" s="494"/>
      <c r="AL12" s="208"/>
      <c r="AM12" s="479" t="s">
        <v>95</v>
      </c>
      <c r="AN12" s="480"/>
      <c r="AO12" s="480"/>
      <c r="AP12" s="481"/>
      <c r="AQ12" s="502"/>
      <c r="AR12" s="503"/>
      <c r="AS12" s="503"/>
      <c r="AT12" s="503"/>
      <c r="AU12" s="504"/>
      <c r="AV12" s="505" t="s">
        <v>453</v>
      </c>
      <c r="AW12" s="506"/>
      <c r="AX12" s="506"/>
      <c r="AY12" s="506"/>
      <c r="AZ12" s="507"/>
      <c r="BA12" s="450"/>
      <c r="BB12" s="451"/>
      <c r="BC12" s="451"/>
      <c r="BD12" s="451"/>
      <c r="BE12" s="452"/>
      <c r="BF12" s="205"/>
      <c r="BG12" s="508" t="s">
        <v>210</v>
      </c>
      <c r="BH12" s="509"/>
      <c r="BI12" s="509"/>
      <c r="BJ12" s="510"/>
      <c r="BK12" s="486"/>
      <c r="BL12" s="487"/>
      <c r="BM12" s="487"/>
      <c r="BN12" s="487"/>
      <c r="BO12" s="488"/>
    </row>
    <row r="13" spans="1:67" ht="10.5" customHeight="1" x14ac:dyDescent="0.15">
      <c r="A13" s="198">
        <v>10</v>
      </c>
      <c r="B13" s="294"/>
      <c r="C13" s="489" t="s">
        <v>474</v>
      </c>
      <c r="D13" s="490"/>
      <c r="E13" s="490"/>
      <c r="F13" s="491"/>
      <c r="G13" s="492"/>
      <c r="H13" s="493"/>
      <c r="I13" s="493"/>
      <c r="J13" s="493"/>
      <c r="K13" s="494"/>
      <c r="L13" s="474"/>
      <c r="M13" s="495" t="s">
        <v>175</v>
      </c>
      <c r="N13" s="496"/>
      <c r="O13" s="496"/>
      <c r="P13" s="496"/>
      <c r="Q13" s="496"/>
      <c r="R13" s="496"/>
      <c r="S13" s="496"/>
      <c r="T13" s="497"/>
      <c r="U13" s="206" t="s">
        <v>163</v>
      </c>
      <c r="V13" s="492"/>
      <c r="W13" s="493"/>
      <c r="X13" s="493"/>
      <c r="Y13" s="493"/>
      <c r="Z13" s="494"/>
      <c r="AA13" s="294"/>
      <c r="AB13" s="209"/>
      <c r="AC13" s="862" t="s">
        <v>459</v>
      </c>
      <c r="AD13" s="863"/>
      <c r="AE13" s="863"/>
      <c r="AF13" s="864"/>
      <c r="AG13" s="492"/>
      <c r="AH13" s="493"/>
      <c r="AI13" s="493"/>
      <c r="AJ13" s="493"/>
      <c r="AK13" s="494"/>
      <c r="AL13" s="210"/>
      <c r="AM13" s="211"/>
      <c r="AN13" s="482" t="s">
        <v>97</v>
      </c>
      <c r="AO13" s="483"/>
      <c r="AP13" s="484"/>
      <c r="AQ13" s="498"/>
      <c r="AR13" s="499"/>
      <c r="AS13" s="499"/>
      <c r="AT13" s="499"/>
      <c r="AU13" s="500"/>
      <c r="AV13" s="207"/>
      <c r="AW13" s="501" t="s">
        <v>449</v>
      </c>
      <c r="AX13" s="490"/>
      <c r="AY13" s="490"/>
      <c r="AZ13" s="491"/>
      <c r="BA13" s="498"/>
      <c r="BB13" s="499"/>
      <c r="BC13" s="499"/>
      <c r="BD13" s="499"/>
      <c r="BE13" s="500"/>
      <c r="BF13" s="205"/>
      <c r="BG13" s="508" t="s">
        <v>211</v>
      </c>
      <c r="BH13" s="509"/>
      <c r="BI13" s="509"/>
      <c r="BJ13" s="510"/>
      <c r="BK13" s="486"/>
      <c r="BL13" s="487"/>
      <c r="BM13" s="487"/>
      <c r="BN13" s="487"/>
      <c r="BO13" s="488"/>
    </row>
    <row r="14" spans="1:67" ht="10.5" customHeight="1" x14ac:dyDescent="0.15">
      <c r="A14" s="198">
        <v>11</v>
      </c>
      <c r="B14" s="294"/>
      <c r="C14" s="511" t="s">
        <v>42</v>
      </c>
      <c r="D14" s="512"/>
      <c r="E14" s="512"/>
      <c r="F14" s="513"/>
      <c r="G14" s="492"/>
      <c r="H14" s="493"/>
      <c r="I14" s="493"/>
      <c r="J14" s="493"/>
      <c r="K14" s="494"/>
      <c r="L14" s="474"/>
      <c r="M14" s="495" t="s">
        <v>183</v>
      </c>
      <c r="N14" s="496"/>
      <c r="O14" s="496"/>
      <c r="P14" s="496"/>
      <c r="Q14" s="496"/>
      <c r="R14" s="496"/>
      <c r="S14" s="496"/>
      <c r="T14" s="497"/>
      <c r="U14" s="206" t="s">
        <v>163</v>
      </c>
      <c r="V14" s="492"/>
      <c r="W14" s="493"/>
      <c r="X14" s="493"/>
      <c r="Y14" s="493"/>
      <c r="Z14" s="494"/>
      <c r="AA14" s="294"/>
      <c r="AB14" s="296"/>
      <c r="AC14" s="209"/>
      <c r="AD14" s="723" t="s">
        <v>206</v>
      </c>
      <c r="AE14" s="865"/>
      <c r="AF14" s="866"/>
      <c r="AG14" s="492"/>
      <c r="AH14" s="493"/>
      <c r="AI14" s="493"/>
      <c r="AJ14" s="493"/>
      <c r="AK14" s="494"/>
      <c r="AL14" s="210"/>
      <c r="AM14" s="211"/>
      <c r="AN14" s="214"/>
      <c r="AO14" s="485" t="s">
        <v>431</v>
      </c>
      <c r="AP14" s="484"/>
      <c r="AQ14" s="514"/>
      <c r="AR14" s="515"/>
      <c r="AS14" s="515"/>
      <c r="AT14" s="515"/>
      <c r="AU14" s="516"/>
      <c r="AV14" s="212"/>
      <c r="AW14" s="213"/>
      <c r="AX14" s="485" t="s">
        <v>451</v>
      </c>
      <c r="AY14" s="483"/>
      <c r="AZ14" s="484"/>
      <c r="BA14" s="517"/>
      <c r="BB14" s="518"/>
      <c r="BC14" s="518"/>
      <c r="BD14" s="518"/>
      <c r="BE14" s="519"/>
      <c r="BF14" s="205"/>
      <c r="BG14" s="508" t="s">
        <v>212</v>
      </c>
      <c r="BH14" s="509"/>
      <c r="BI14" s="509"/>
      <c r="BJ14" s="510"/>
      <c r="BK14" s="486"/>
      <c r="BL14" s="487"/>
      <c r="BM14" s="487"/>
      <c r="BN14" s="487"/>
      <c r="BO14" s="488"/>
    </row>
    <row r="15" spans="1:67" ht="10.5" customHeight="1" x14ac:dyDescent="0.15">
      <c r="A15" s="198">
        <v>12</v>
      </c>
      <c r="B15" s="294"/>
      <c r="C15" s="489" t="s">
        <v>475</v>
      </c>
      <c r="D15" s="490"/>
      <c r="E15" s="490"/>
      <c r="F15" s="491"/>
      <c r="G15" s="492"/>
      <c r="H15" s="493"/>
      <c r="I15" s="493"/>
      <c r="J15" s="493"/>
      <c r="K15" s="494"/>
      <c r="L15" s="475"/>
      <c r="M15" s="495" t="s">
        <v>184</v>
      </c>
      <c r="N15" s="496"/>
      <c r="O15" s="496"/>
      <c r="P15" s="496"/>
      <c r="Q15" s="496"/>
      <c r="R15" s="496"/>
      <c r="S15" s="496"/>
      <c r="T15" s="497"/>
      <c r="U15" s="206" t="s">
        <v>163</v>
      </c>
      <c r="V15" s="520"/>
      <c r="W15" s="521"/>
      <c r="X15" s="521"/>
      <c r="Y15" s="521"/>
      <c r="Z15" s="522"/>
      <c r="AA15" s="294"/>
      <c r="AB15" s="296"/>
      <c r="AC15" s="216"/>
      <c r="AD15" s="209"/>
      <c r="AE15" s="489" t="s">
        <v>177</v>
      </c>
      <c r="AF15" s="491"/>
      <c r="AG15" s="514"/>
      <c r="AH15" s="515"/>
      <c r="AI15" s="515"/>
      <c r="AJ15" s="515"/>
      <c r="AK15" s="516"/>
      <c r="AL15" s="210"/>
      <c r="AM15" s="211"/>
      <c r="AN15" s="217"/>
      <c r="AO15" s="485" t="s">
        <v>432</v>
      </c>
      <c r="AP15" s="484"/>
      <c r="AQ15" s="529"/>
      <c r="AR15" s="530"/>
      <c r="AS15" s="530"/>
      <c r="AT15" s="530"/>
      <c r="AU15" s="531"/>
      <c r="AV15" s="212"/>
      <c r="AW15" s="209"/>
      <c r="AX15" s="532" t="s">
        <v>452</v>
      </c>
      <c r="AY15" s="533"/>
      <c r="AZ15" s="534"/>
      <c r="BA15" s="517"/>
      <c r="BB15" s="518"/>
      <c r="BC15" s="518"/>
      <c r="BD15" s="518"/>
      <c r="BE15" s="519"/>
      <c r="BF15" s="205"/>
      <c r="BG15" s="508" t="s">
        <v>213</v>
      </c>
      <c r="BH15" s="509"/>
      <c r="BI15" s="509"/>
      <c r="BJ15" s="510"/>
      <c r="BK15" s="486"/>
      <c r="BL15" s="487"/>
      <c r="BM15" s="487"/>
      <c r="BN15" s="487"/>
      <c r="BO15" s="488"/>
    </row>
    <row r="16" spans="1:67" ht="10.5" customHeight="1" x14ac:dyDescent="0.15">
      <c r="A16" s="198">
        <v>13</v>
      </c>
      <c r="B16" s="523" t="s">
        <v>88</v>
      </c>
      <c r="C16" s="490"/>
      <c r="D16" s="490"/>
      <c r="E16" s="490"/>
      <c r="F16" s="491"/>
      <c r="G16" s="492"/>
      <c r="H16" s="493"/>
      <c r="I16" s="493"/>
      <c r="J16" s="493"/>
      <c r="K16" s="494"/>
      <c r="L16" s="524" t="s">
        <v>275</v>
      </c>
      <c r="M16" s="476" t="s">
        <v>36</v>
      </c>
      <c r="N16" s="477"/>
      <c r="O16" s="477"/>
      <c r="P16" s="477"/>
      <c r="Q16" s="477"/>
      <c r="R16" s="477"/>
      <c r="S16" s="477"/>
      <c r="T16" s="478"/>
      <c r="U16" s="215" t="s">
        <v>38</v>
      </c>
      <c r="V16" s="470"/>
      <c r="W16" s="471"/>
      <c r="X16" s="471"/>
      <c r="Y16" s="471"/>
      <c r="Z16" s="472"/>
      <c r="AA16" s="294"/>
      <c r="AB16" s="296"/>
      <c r="AC16" s="216"/>
      <c r="AD16" s="209"/>
      <c r="AE16" s="527" t="s">
        <v>280</v>
      </c>
      <c r="AF16" s="528"/>
      <c r="AG16" s="514"/>
      <c r="AH16" s="515"/>
      <c r="AI16" s="515"/>
      <c r="AJ16" s="515"/>
      <c r="AK16" s="516"/>
      <c r="AL16" s="208"/>
      <c r="AM16" s="211"/>
      <c r="AN16" s="485" t="s">
        <v>72</v>
      </c>
      <c r="AO16" s="483"/>
      <c r="AP16" s="484"/>
      <c r="AQ16" s="514"/>
      <c r="AR16" s="515"/>
      <c r="AS16" s="515"/>
      <c r="AT16" s="515"/>
      <c r="AU16" s="515"/>
      <c r="AV16" s="218"/>
      <c r="AW16" s="219"/>
      <c r="AX16" s="489" t="s">
        <v>631</v>
      </c>
      <c r="AY16" s="490"/>
      <c r="AZ16" s="491"/>
      <c r="BA16" s="517"/>
      <c r="BB16" s="518"/>
      <c r="BC16" s="518"/>
      <c r="BD16" s="518"/>
      <c r="BE16" s="519"/>
      <c r="BF16" s="205"/>
      <c r="BG16" s="508" t="s">
        <v>214</v>
      </c>
      <c r="BH16" s="509"/>
      <c r="BI16" s="509"/>
      <c r="BJ16" s="510"/>
      <c r="BK16" s="486"/>
      <c r="BL16" s="487"/>
      <c r="BM16" s="487"/>
      <c r="BN16" s="487"/>
      <c r="BO16" s="488"/>
    </row>
    <row r="17" spans="1:67" ht="10.5" customHeight="1" x14ac:dyDescent="0.15">
      <c r="A17" s="198">
        <v>14</v>
      </c>
      <c r="B17" s="294"/>
      <c r="C17" s="489" t="s">
        <v>476</v>
      </c>
      <c r="D17" s="490"/>
      <c r="E17" s="490"/>
      <c r="F17" s="491"/>
      <c r="G17" s="492"/>
      <c r="H17" s="493"/>
      <c r="I17" s="493"/>
      <c r="J17" s="493"/>
      <c r="K17" s="494"/>
      <c r="L17" s="525"/>
      <c r="M17" s="495" t="s">
        <v>185</v>
      </c>
      <c r="N17" s="496"/>
      <c r="O17" s="496"/>
      <c r="P17" s="496"/>
      <c r="Q17" s="496"/>
      <c r="R17" s="496"/>
      <c r="S17" s="496"/>
      <c r="T17" s="497"/>
      <c r="U17" s="206" t="s">
        <v>164</v>
      </c>
      <c r="V17" s="492"/>
      <c r="W17" s="493"/>
      <c r="X17" s="493"/>
      <c r="Y17" s="493"/>
      <c r="Z17" s="494"/>
      <c r="AA17" s="294"/>
      <c r="AB17" s="296"/>
      <c r="AC17" s="216"/>
      <c r="AD17" s="209"/>
      <c r="AE17" s="216"/>
      <c r="AF17" s="297" t="s">
        <v>428</v>
      </c>
      <c r="AG17" s="529"/>
      <c r="AH17" s="530"/>
      <c r="AI17" s="530"/>
      <c r="AJ17" s="530"/>
      <c r="AK17" s="531"/>
      <c r="AL17" s="208"/>
      <c r="AM17" s="211"/>
      <c r="AN17" s="485" t="s">
        <v>433</v>
      </c>
      <c r="AO17" s="483"/>
      <c r="AP17" s="484"/>
      <c r="AQ17" s="529"/>
      <c r="AR17" s="530"/>
      <c r="AS17" s="530"/>
      <c r="AT17" s="530"/>
      <c r="AU17" s="530"/>
      <c r="AV17" s="220"/>
      <c r="AW17" s="553" t="s">
        <v>458</v>
      </c>
      <c r="AX17" s="554"/>
      <c r="AY17" s="555"/>
      <c r="AZ17" s="297" t="s">
        <v>447</v>
      </c>
      <c r="BA17" s="517"/>
      <c r="BB17" s="518"/>
      <c r="BC17" s="518"/>
      <c r="BD17" s="518"/>
      <c r="BE17" s="519"/>
      <c r="BF17" s="221"/>
      <c r="BG17" s="535" t="s">
        <v>1</v>
      </c>
      <c r="BH17" s="536"/>
      <c r="BI17" s="536"/>
      <c r="BJ17" s="537"/>
      <c r="BK17" s="538"/>
      <c r="BL17" s="539"/>
      <c r="BM17" s="539"/>
      <c r="BN17" s="539"/>
      <c r="BO17" s="540"/>
    </row>
    <row r="18" spans="1:67" ht="10.5" customHeight="1" x14ac:dyDescent="0.15">
      <c r="A18" s="198">
        <v>15</v>
      </c>
      <c r="B18" s="294"/>
      <c r="C18" s="511" t="s">
        <v>182</v>
      </c>
      <c r="D18" s="512"/>
      <c r="E18" s="512"/>
      <c r="F18" s="513"/>
      <c r="G18" s="492"/>
      <c r="H18" s="493"/>
      <c r="I18" s="493"/>
      <c r="J18" s="493"/>
      <c r="K18" s="494"/>
      <c r="L18" s="525"/>
      <c r="M18" s="550" t="s">
        <v>253</v>
      </c>
      <c r="N18" s="551"/>
      <c r="O18" s="551"/>
      <c r="P18" s="551"/>
      <c r="Q18" s="551"/>
      <c r="R18" s="551"/>
      <c r="S18" s="551"/>
      <c r="T18" s="552"/>
      <c r="U18" s="206" t="s">
        <v>38</v>
      </c>
      <c r="V18" s="492"/>
      <c r="W18" s="493"/>
      <c r="X18" s="493"/>
      <c r="Y18" s="493"/>
      <c r="Z18" s="494"/>
      <c r="AA18" s="294"/>
      <c r="AB18" s="296"/>
      <c r="AC18" s="216"/>
      <c r="AD18" s="209"/>
      <c r="AE18" s="193"/>
      <c r="AF18" s="297" t="s">
        <v>429</v>
      </c>
      <c r="AG18" s="529"/>
      <c r="AH18" s="530"/>
      <c r="AI18" s="530"/>
      <c r="AJ18" s="530"/>
      <c r="AK18" s="531"/>
      <c r="AL18" s="208"/>
      <c r="AM18" s="211"/>
      <c r="AN18" s="485" t="s">
        <v>434</v>
      </c>
      <c r="AO18" s="483"/>
      <c r="AP18" s="484"/>
      <c r="AQ18" s="529"/>
      <c r="AR18" s="530"/>
      <c r="AS18" s="530"/>
      <c r="AT18" s="530"/>
      <c r="AU18" s="530"/>
      <c r="AV18" s="222"/>
      <c r="AW18" s="556"/>
      <c r="AX18" s="557"/>
      <c r="AY18" s="558"/>
      <c r="AZ18" s="223" t="s">
        <v>448</v>
      </c>
      <c r="BA18" s="541"/>
      <c r="BB18" s="542"/>
      <c r="BC18" s="542"/>
      <c r="BD18" s="542"/>
      <c r="BE18" s="543"/>
      <c r="BF18" s="544" t="s">
        <v>265</v>
      </c>
      <c r="BG18" s="545"/>
      <c r="BH18" s="545"/>
      <c r="BI18" s="545"/>
      <c r="BJ18" s="546"/>
      <c r="BK18" s="547"/>
      <c r="BL18" s="548"/>
      <c r="BM18" s="548"/>
      <c r="BN18" s="548"/>
      <c r="BO18" s="549"/>
    </row>
    <row r="19" spans="1:67" ht="10.5" customHeight="1" x14ac:dyDescent="0.15">
      <c r="A19" s="198">
        <v>16</v>
      </c>
      <c r="B19" s="294"/>
      <c r="C19" s="489" t="s">
        <v>477</v>
      </c>
      <c r="D19" s="490"/>
      <c r="E19" s="490"/>
      <c r="F19" s="491"/>
      <c r="G19" s="492"/>
      <c r="H19" s="493"/>
      <c r="I19" s="493"/>
      <c r="J19" s="493"/>
      <c r="K19" s="494"/>
      <c r="L19" s="526"/>
      <c r="M19" s="569" t="s">
        <v>254</v>
      </c>
      <c r="N19" s="570"/>
      <c r="O19" s="570"/>
      <c r="P19" s="570"/>
      <c r="Q19" s="570"/>
      <c r="R19" s="570"/>
      <c r="S19" s="570"/>
      <c r="T19" s="571"/>
      <c r="U19" s="224" t="s">
        <v>163</v>
      </c>
      <c r="V19" s="520"/>
      <c r="W19" s="521"/>
      <c r="X19" s="521"/>
      <c r="Y19" s="521"/>
      <c r="Z19" s="522"/>
      <c r="AA19" s="294"/>
      <c r="AB19" s="296"/>
      <c r="AC19" s="216"/>
      <c r="AD19" s="209"/>
      <c r="AE19" s="216"/>
      <c r="AF19" s="227" t="s">
        <v>430</v>
      </c>
      <c r="AG19" s="529"/>
      <c r="AH19" s="530"/>
      <c r="AI19" s="530"/>
      <c r="AJ19" s="530"/>
      <c r="AK19" s="531"/>
      <c r="AL19" s="210"/>
      <c r="AM19" s="213"/>
      <c r="AN19" s="485" t="s">
        <v>450</v>
      </c>
      <c r="AO19" s="483"/>
      <c r="AP19" s="484"/>
      <c r="AQ19" s="529"/>
      <c r="AR19" s="530"/>
      <c r="AS19" s="530"/>
      <c r="AT19" s="530"/>
      <c r="AU19" s="531"/>
      <c r="AV19" s="468" t="s">
        <v>100</v>
      </c>
      <c r="AW19" s="469"/>
      <c r="AX19" s="469"/>
      <c r="AY19" s="469"/>
      <c r="AZ19" s="528"/>
      <c r="BA19" s="470"/>
      <c r="BB19" s="471"/>
      <c r="BC19" s="471"/>
      <c r="BD19" s="471"/>
      <c r="BE19" s="472"/>
      <c r="BF19" s="225"/>
      <c r="BG19" s="577" t="s">
        <v>217</v>
      </c>
      <c r="BH19" s="573"/>
      <c r="BI19" s="573"/>
      <c r="BJ19" s="574"/>
      <c r="BK19" s="559"/>
      <c r="BL19" s="487"/>
      <c r="BM19" s="487"/>
      <c r="BN19" s="487"/>
      <c r="BO19" s="488"/>
    </row>
    <row r="20" spans="1:67" ht="10.5" customHeight="1" x14ac:dyDescent="0.15">
      <c r="A20" s="198">
        <v>17</v>
      </c>
      <c r="B20" s="523" t="s">
        <v>89</v>
      </c>
      <c r="C20" s="490"/>
      <c r="D20" s="490"/>
      <c r="E20" s="490"/>
      <c r="F20" s="491"/>
      <c r="G20" s="492"/>
      <c r="H20" s="493"/>
      <c r="I20" s="493"/>
      <c r="J20" s="493"/>
      <c r="K20" s="494"/>
      <c r="L20" s="560" t="s">
        <v>190</v>
      </c>
      <c r="M20" s="561"/>
      <c r="N20" s="562"/>
      <c r="O20" s="563" t="s">
        <v>186</v>
      </c>
      <c r="P20" s="564"/>
      <c r="Q20" s="564"/>
      <c r="R20" s="564"/>
      <c r="S20" s="564"/>
      <c r="T20" s="565"/>
      <c r="U20" s="226" t="s">
        <v>39</v>
      </c>
      <c r="V20" s="566"/>
      <c r="W20" s="567"/>
      <c r="X20" s="567"/>
      <c r="Y20" s="567"/>
      <c r="Z20" s="568"/>
      <c r="AA20" s="294"/>
      <c r="AB20" s="296"/>
      <c r="AC20" s="216"/>
      <c r="AD20" s="209"/>
      <c r="AE20" s="209"/>
      <c r="AF20" s="295" t="s">
        <v>436</v>
      </c>
      <c r="AG20" s="529"/>
      <c r="AH20" s="530"/>
      <c r="AI20" s="530"/>
      <c r="AJ20" s="530"/>
      <c r="AK20" s="531"/>
      <c r="AL20" s="229"/>
      <c r="AM20" s="230"/>
      <c r="AN20" s="485" t="s">
        <v>1</v>
      </c>
      <c r="AO20" s="483"/>
      <c r="AP20" s="484"/>
      <c r="AQ20" s="529"/>
      <c r="AR20" s="530"/>
      <c r="AS20" s="530"/>
      <c r="AT20" s="530"/>
      <c r="AU20" s="531"/>
      <c r="AV20" s="294"/>
      <c r="AW20" s="501" t="s">
        <v>449</v>
      </c>
      <c r="AX20" s="575"/>
      <c r="AY20" s="575"/>
      <c r="AZ20" s="576"/>
      <c r="BA20" s="498"/>
      <c r="BB20" s="499"/>
      <c r="BC20" s="499"/>
      <c r="BD20" s="499"/>
      <c r="BE20" s="500"/>
      <c r="BF20" s="225"/>
      <c r="BG20" s="572" t="s">
        <v>43</v>
      </c>
      <c r="BH20" s="573"/>
      <c r="BI20" s="573"/>
      <c r="BJ20" s="574"/>
      <c r="BK20" s="559"/>
      <c r="BL20" s="487"/>
      <c r="BM20" s="487"/>
      <c r="BN20" s="487"/>
      <c r="BO20" s="488"/>
    </row>
    <row r="21" spans="1:67" ht="10.5" customHeight="1" x14ac:dyDescent="0.15">
      <c r="A21" s="198">
        <v>18</v>
      </c>
      <c r="B21" s="294"/>
      <c r="C21" s="489" t="s">
        <v>64</v>
      </c>
      <c r="D21" s="490"/>
      <c r="E21" s="490"/>
      <c r="F21" s="491"/>
      <c r="G21" s="492"/>
      <c r="H21" s="493"/>
      <c r="I21" s="493"/>
      <c r="J21" s="493"/>
      <c r="K21" s="494"/>
      <c r="L21" s="583" t="s">
        <v>189</v>
      </c>
      <c r="M21" s="584"/>
      <c r="N21" s="585"/>
      <c r="O21" s="589" t="s">
        <v>187</v>
      </c>
      <c r="P21" s="448"/>
      <c r="Q21" s="448"/>
      <c r="R21" s="448"/>
      <c r="S21" s="448"/>
      <c r="T21" s="449"/>
      <c r="U21" s="228" t="s">
        <v>164</v>
      </c>
      <c r="V21" s="470"/>
      <c r="W21" s="471"/>
      <c r="X21" s="471"/>
      <c r="Y21" s="471"/>
      <c r="Z21" s="472"/>
      <c r="AA21" s="294"/>
      <c r="AB21" s="296"/>
      <c r="AC21" s="216"/>
      <c r="AD21" s="209"/>
      <c r="AE21" s="209"/>
      <c r="AF21" s="295" t="s">
        <v>439</v>
      </c>
      <c r="AG21" s="529"/>
      <c r="AH21" s="530"/>
      <c r="AI21" s="530"/>
      <c r="AJ21" s="530"/>
      <c r="AK21" s="531"/>
      <c r="AL21" s="208"/>
      <c r="AM21" s="482" t="s">
        <v>98</v>
      </c>
      <c r="AN21" s="483"/>
      <c r="AO21" s="483"/>
      <c r="AP21" s="484"/>
      <c r="AQ21" s="492"/>
      <c r="AR21" s="493"/>
      <c r="AS21" s="493"/>
      <c r="AT21" s="493"/>
      <c r="AU21" s="493"/>
      <c r="AV21" s="294"/>
      <c r="AW21" s="296"/>
      <c r="AX21" s="489" t="s">
        <v>23</v>
      </c>
      <c r="AY21" s="490"/>
      <c r="AZ21" s="491"/>
      <c r="BA21" s="529"/>
      <c r="BB21" s="530"/>
      <c r="BC21" s="530"/>
      <c r="BD21" s="530"/>
      <c r="BE21" s="531"/>
      <c r="BF21" s="231"/>
      <c r="BG21" s="232"/>
      <c r="BH21" s="580" t="s">
        <v>218</v>
      </c>
      <c r="BI21" s="581"/>
      <c r="BJ21" s="582"/>
      <c r="BK21" s="559"/>
      <c r="BL21" s="487"/>
      <c r="BM21" s="487"/>
      <c r="BN21" s="487"/>
      <c r="BO21" s="488"/>
    </row>
    <row r="22" spans="1:67" ht="10.5" customHeight="1" thickBot="1" x14ac:dyDescent="0.2">
      <c r="A22" s="198">
        <v>19</v>
      </c>
      <c r="B22" s="294"/>
      <c r="C22" s="489" t="s">
        <v>479</v>
      </c>
      <c r="D22" s="490"/>
      <c r="E22" s="490"/>
      <c r="F22" s="491"/>
      <c r="G22" s="492"/>
      <c r="H22" s="493"/>
      <c r="I22" s="493"/>
      <c r="J22" s="493"/>
      <c r="K22" s="494"/>
      <c r="L22" s="586"/>
      <c r="M22" s="587"/>
      <c r="N22" s="588"/>
      <c r="O22" s="596" t="s">
        <v>188</v>
      </c>
      <c r="P22" s="597"/>
      <c r="Q22" s="597"/>
      <c r="R22" s="597"/>
      <c r="S22" s="597"/>
      <c r="T22" s="598"/>
      <c r="U22" s="233" t="s">
        <v>163</v>
      </c>
      <c r="V22" s="599"/>
      <c r="W22" s="600"/>
      <c r="X22" s="600"/>
      <c r="Y22" s="600"/>
      <c r="Z22" s="601"/>
      <c r="AA22" s="294"/>
      <c r="AB22" s="296"/>
      <c r="AC22" s="216"/>
      <c r="AD22" s="234"/>
      <c r="AE22" s="219"/>
      <c r="AF22" s="295" t="s">
        <v>440</v>
      </c>
      <c r="AG22" s="529"/>
      <c r="AH22" s="530"/>
      <c r="AI22" s="530"/>
      <c r="AJ22" s="530"/>
      <c r="AK22" s="531"/>
      <c r="AL22" s="235"/>
      <c r="AM22" s="214"/>
      <c r="AN22" s="482" t="s">
        <v>71</v>
      </c>
      <c r="AO22" s="578"/>
      <c r="AP22" s="579"/>
      <c r="AQ22" s="602"/>
      <c r="AR22" s="603"/>
      <c r="AS22" s="603"/>
      <c r="AT22" s="603"/>
      <c r="AU22" s="603"/>
      <c r="AV22" s="294"/>
      <c r="AW22" s="296"/>
      <c r="AX22" s="489" t="s">
        <v>24</v>
      </c>
      <c r="AY22" s="490"/>
      <c r="AZ22" s="491"/>
      <c r="BA22" s="529"/>
      <c r="BB22" s="530"/>
      <c r="BC22" s="530"/>
      <c r="BD22" s="530"/>
      <c r="BE22" s="531"/>
      <c r="BF22" s="225"/>
      <c r="BG22" s="577" t="s">
        <v>23</v>
      </c>
      <c r="BH22" s="573"/>
      <c r="BI22" s="573"/>
      <c r="BJ22" s="574"/>
      <c r="BK22" s="559"/>
      <c r="BL22" s="487"/>
      <c r="BM22" s="487"/>
      <c r="BN22" s="487"/>
      <c r="BO22" s="488"/>
    </row>
    <row r="23" spans="1:67" ht="10.5" customHeight="1" x14ac:dyDescent="0.15">
      <c r="A23" s="198">
        <v>20</v>
      </c>
      <c r="B23" s="294"/>
      <c r="C23" s="489" t="s">
        <v>478</v>
      </c>
      <c r="D23" s="490"/>
      <c r="E23" s="490"/>
      <c r="F23" s="491"/>
      <c r="G23" s="492"/>
      <c r="H23" s="493"/>
      <c r="I23" s="493"/>
      <c r="J23" s="493"/>
      <c r="K23" s="494"/>
      <c r="L23" s="590" t="s">
        <v>167</v>
      </c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Z23" s="592"/>
      <c r="AA23" s="294"/>
      <c r="AB23" s="296"/>
      <c r="AC23" s="216"/>
      <c r="AD23" s="723" t="s">
        <v>441</v>
      </c>
      <c r="AE23" s="533"/>
      <c r="AF23" s="534"/>
      <c r="AG23" s="514"/>
      <c r="AH23" s="515"/>
      <c r="AI23" s="515"/>
      <c r="AJ23" s="515"/>
      <c r="AK23" s="516"/>
      <c r="AL23" s="453" t="s">
        <v>208</v>
      </c>
      <c r="AM23" s="453"/>
      <c r="AN23" s="453"/>
      <c r="AO23" s="453"/>
      <c r="AP23" s="595"/>
      <c r="AQ23" s="593"/>
      <c r="AR23" s="594"/>
      <c r="AS23" s="594"/>
      <c r="AT23" s="594"/>
      <c r="AU23" s="594"/>
      <c r="AV23" s="294"/>
      <c r="AW23" s="296"/>
      <c r="AX23" s="489" t="s">
        <v>101</v>
      </c>
      <c r="AY23" s="490"/>
      <c r="AZ23" s="491"/>
      <c r="BA23" s="529"/>
      <c r="BB23" s="530"/>
      <c r="BC23" s="530"/>
      <c r="BD23" s="530"/>
      <c r="BE23" s="531"/>
      <c r="BF23" s="225"/>
      <c r="BG23" s="577" t="s">
        <v>44</v>
      </c>
      <c r="BH23" s="573"/>
      <c r="BI23" s="573"/>
      <c r="BJ23" s="574"/>
      <c r="BK23" s="559"/>
      <c r="BL23" s="487"/>
      <c r="BM23" s="487"/>
      <c r="BN23" s="487"/>
      <c r="BO23" s="488"/>
    </row>
    <row r="24" spans="1:67" ht="10.5" customHeight="1" x14ac:dyDescent="0.15">
      <c r="A24" s="198">
        <v>21</v>
      </c>
      <c r="B24" s="523" t="s">
        <v>90</v>
      </c>
      <c r="C24" s="490"/>
      <c r="D24" s="490"/>
      <c r="E24" s="490"/>
      <c r="F24" s="491"/>
      <c r="G24" s="492"/>
      <c r="H24" s="493"/>
      <c r="I24" s="493"/>
      <c r="J24" s="493"/>
      <c r="K24" s="494"/>
      <c r="L24" s="604" t="s">
        <v>34</v>
      </c>
      <c r="M24" s="606" t="s">
        <v>168</v>
      </c>
      <c r="N24" s="448"/>
      <c r="O24" s="448"/>
      <c r="P24" s="448"/>
      <c r="Q24" s="448"/>
      <c r="R24" s="448"/>
      <c r="S24" s="448"/>
      <c r="T24" s="449"/>
      <c r="U24" s="204" t="s">
        <v>164</v>
      </c>
      <c r="V24" s="470"/>
      <c r="W24" s="471"/>
      <c r="X24" s="471"/>
      <c r="Y24" s="471"/>
      <c r="Z24" s="472"/>
      <c r="AA24" s="294"/>
      <c r="AB24" s="296"/>
      <c r="AC24" s="216"/>
      <c r="AD24" s="216"/>
      <c r="AE24" s="489" t="s">
        <v>442</v>
      </c>
      <c r="AF24" s="491"/>
      <c r="AG24" s="529"/>
      <c r="AH24" s="530"/>
      <c r="AI24" s="530"/>
      <c r="AJ24" s="530"/>
      <c r="AK24" s="531"/>
      <c r="AL24" s="236"/>
      <c r="AM24" s="485" t="s">
        <v>444</v>
      </c>
      <c r="AN24" s="483"/>
      <c r="AO24" s="483"/>
      <c r="AP24" s="484"/>
      <c r="AQ24" s="529"/>
      <c r="AR24" s="530"/>
      <c r="AS24" s="530"/>
      <c r="AT24" s="530"/>
      <c r="AU24" s="531"/>
      <c r="AV24" s="294"/>
      <c r="AW24" s="296"/>
      <c r="AX24" s="489" t="s">
        <v>25</v>
      </c>
      <c r="AY24" s="490"/>
      <c r="AZ24" s="491"/>
      <c r="BA24" s="529"/>
      <c r="BB24" s="530"/>
      <c r="BC24" s="530"/>
      <c r="BD24" s="530"/>
      <c r="BE24" s="531"/>
      <c r="BF24" s="225"/>
      <c r="BG24" s="577" t="s">
        <v>112</v>
      </c>
      <c r="BH24" s="573"/>
      <c r="BI24" s="573"/>
      <c r="BJ24" s="574"/>
      <c r="BK24" s="559"/>
      <c r="BL24" s="487"/>
      <c r="BM24" s="487"/>
      <c r="BN24" s="487"/>
      <c r="BO24" s="488"/>
    </row>
    <row r="25" spans="1:67" ht="10.5" customHeight="1" x14ac:dyDescent="0.15">
      <c r="A25" s="198">
        <v>22</v>
      </c>
      <c r="B25" s="523" t="s">
        <v>91</v>
      </c>
      <c r="C25" s="490"/>
      <c r="D25" s="490"/>
      <c r="E25" s="490"/>
      <c r="F25" s="491"/>
      <c r="G25" s="492"/>
      <c r="H25" s="493"/>
      <c r="I25" s="493"/>
      <c r="J25" s="493"/>
      <c r="K25" s="494"/>
      <c r="L25" s="605"/>
      <c r="M25" s="607" t="s">
        <v>169</v>
      </c>
      <c r="N25" s="570"/>
      <c r="O25" s="570"/>
      <c r="P25" s="570"/>
      <c r="Q25" s="570"/>
      <c r="R25" s="570"/>
      <c r="S25" s="570"/>
      <c r="T25" s="571"/>
      <c r="U25" s="224" t="s">
        <v>163</v>
      </c>
      <c r="V25" s="520"/>
      <c r="W25" s="521"/>
      <c r="X25" s="521"/>
      <c r="Y25" s="521"/>
      <c r="Z25" s="522"/>
      <c r="AA25" s="294"/>
      <c r="AB25" s="296"/>
      <c r="AC25" s="234"/>
      <c r="AD25" s="219"/>
      <c r="AE25" s="489" t="s">
        <v>435</v>
      </c>
      <c r="AF25" s="491"/>
      <c r="AG25" s="529"/>
      <c r="AH25" s="530"/>
      <c r="AI25" s="530"/>
      <c r="AJ25" s="530"/>
      <c r="AK25" s="531"/>
      <c r="AL25" s="210"/>
      <c r="AM25" s="485" t="s">
        <v>445</v>
      </c>
      <c r="AN25" s="483"/>
      <c r="AO25" s="483"/>
      <c r="AP25" s="484"/>
      <c r="AQ25" s="529"/>
      <c r="AR25" s="530"/>
      <c r="AS25" s="530"/>
      <c r="AT25" s="530"/>
      <c r="AU25" s="531"/>
      <c r="AV25" s="294"/>
      <c r="AW25" s="296"/>
      <c r="AX25" s="489" t="s">
        <v>102</v>
      </c>
      <c r="AY25" s="490"/>
      <c r="AZ25" s="491"/>
      <c r="BA25" s="529"/>
      <c r="BB25" s="530"/>
      <c r="BC25" s="530"/>
      <c r="BD25" s="530"/>
      <c r="BE25" s="531"/>
      <c r="BF25" s="237"/>
      <c r="BG25" s="608" t="s">
        <v>45</v>
      </c>
      <c r="BH25" s="609"/>
      <c r="BI25" s="609"/>
      <c r="BJ25" s="610"/>
      <c r="BK25" s="611"/>
      <c r="BL25" s="612"/>
      <c r="BM25" s="612"/>
      <c r="BN25" s="612"/>
      <c r="BO25" s="613"/>
    </row>
    <row r="26" spans="1:67" ht="10.5" customHeight="1" x14ac:dyDescent="0.15">
      <c r="A26" s="198">
        <v>23</v>
      </c>
      <c r="B26" s="614" t="s">
        <v>92</v>
      </c>
      <c r="C26" s="570"/>
      <c r="D26" s="570"/>
      <c r="E26" s="570"/>
      <c r="F26" s="571"/>
      <c r="G26" s="492"/>
      <c r="H26" s="493"/>
      <c r="I26" s="493"/>
      <c r="J26" s="493"/>
      <c r="K26" s="494"/>
      <c r="L26" s="615" t="s">
        <v>279</v>
      </c>
      <c r="M26" s="606" t="s">
        <v>36</v>
      </c>
      <c r="N26" s="448"/>
      <c r="O26" s="448"/>
      <c r="P26" s="448"/>
      <c r="Q26" s="448"/>
      <c r="R26" s="448"/>
      <c r="S26" s="448"/>
      <c r="T26" s="449"/>
      <c r="U26" s="228" t="s">
        <v>38</v>
      </c>
      <c r="V26" s="470"/>
      <c r="W26" s="471"/>
      <c r="X26" s="471"/>
      <c r="Y26" s="471"/>
      <c r="Z26" s="472"/>
      <c r="AA26" s="294"/>
      <c r="AB26" s="209"/>
      <c r="AC26" s="501" t="s">
        <v>99</v>
      </c>
      <c r="AD26" s="575"/>
      <c r="AE26" s="575"/>
      <c r="AF26" s="576"/>
      <c r="AG26" s="492"/>
      <c r="AH26" s="493"/>
      <c r="AI26" s="493"/>
      <c r="AJ26" s="493"/>
      <c r="AK26" s="494"/>
      <c r="AM26" s="636" t="s">
        <v>519</v>
      </c>
      <c r="AN26" s="637"/>
      <c r="AO26" s="637"/>
      <c r="AP26" s="638"/>
      <c r="AQ26" s="639"/>
      <c r="AR26" s="640"/>
      <c r="AS26" s="640"/>
      <c r="AT26" s="640"/>
      <c r="AU26" s="641"/>
      <c r="AV26" s="294"/>
      <c r="AW26" s="296"/>
      <c r="AX26" s="489" t="s">
        <v>26</v>
      </c>
      <c r="AY26" s="490"/>
      <c r="AZ26" s="491"/>
      <c r="BA26" s="529"/>
      <c r="BB26" s="530"/>
      <c r="BC26" s="530"/>
      <c r="BD26" s="530"/>
      <c r="BE26" s="531"/>
      <c r="BF26" s="642" t="s">
        <v>129</v>
      </c>
      <c r="BG26" s="643"/>
      <c r="BH26" s="643"/>
      <c r="BI26" s="643"/>
      <c r="BJ26" s="643"/>
      <c r="BK26" s="643"/>
      <c r="BL26" s="643"/>
      <c r="BM26" s="643"/>
      <c r="BN26" s="643"/>
      <c r="BO26" s="644"/>
    </row>
    <row r="27" spans="1:67" ht="10.5" customHeight="1" x14ac:dyDescent="0.15">
      <c r="A27" s="198">
        <v>24</v>
      </c>
      <c r="B27" s="645" t="s">
        <v>463</v>
      </c>
      <c r="C27" s="646"/>
      <c r="D27" s="646" t="s">
        <v>464</v>
      </c>
      <c r="E27" s="649" t="s">
        <v>465</v>
      </c>
      <c r="F27" s="650"/>
      <c r="G27" s="651"/>
      <c r="H27" s="652"/>
      <c r="I27" s="652"/>
      <c r="J27" s="652"/>
      <c r="K27" s="653"/>
      <c r="L27" s="615"/>
      <c r="M27" s="654" t="s">
        <v>170</v>
      </c>
      <c r="N27" s="490"/>
      <c r="O27" s="490"/>
      <c r="P27" s="490"/>
      <c r="Q27" s="490"/>
      <c r="R27" s="490"/>
      <c r="S27" s="490"/>
      <c r="T27" s="491"/>
      <c r="U27" s="206" t="s">
        <v>164</v>
      </c>
      <c r="V27" s="492"/>
      <c r="W27" s="493"/>
      <c r="X27" s="493"/>
      <c r="Y27" s="493"/>
      <c r="Z27" s="494"/>
      <c r="AA27" s="294"/>
      <c r="AB27" s="296"/>
      <c r="AC27" s="209"/>
      <c r="AD27" s="501" t="s">
        <v>0</v>
      </c>
      <c r="AE27" s="490"/>
      <c r="AF27" s="491"/>
      <c r="AG27" s="492"/>
      <c r="AH27" s="493"/>
      <c r="AI27" s="493"/>
      <c r="AJ27" s="493"/>
      <c r="AK27" s="494"/>
      <c r="AL27" s="617" t="s">
        <v>498</v>
      </c>
      <c r="AM27" s="617"/>
      <c r="AN27" s="617"/>
      <c r="AO27" s="617"/>
      <c r="AP27" s="617"/>
      <c r="AQ27" s="566"/>
      <c r="AR27" s="567"/>
      <c r="AS27" s="567"/>
      <c r="AT27" s="567"/>
      <c r="AU27" s="568"/>
      <c r="AV27" s="294"/>
      <c r="AW27" s="296"/>
      <c r="AX27" s="489" t="s">
        <v>27</v>
      </c>
      <c r="AY27" s="490"/>
      <c r="AZ27" s="491"/>
      <c r="BA27" s="529"/>
      <c r="BB27" s="530"/>
      <c r="BC27" s="530"/>
      <c r="BD27" s="530"/>
      <c r="BE27" s="531"/>
      <c r="BF27" s="655" t="s">
        <v>202</v>
      </c>
      <c r="BG27" s="656"/>
      <c r="BH27" s="661" t="s">
        <v>246</v>
      </c>
      <c r="BI27" s="662"/>
      <c r="BJ27" s="238" t="s">
        <v>46</v>
      </c>
      <c r="BK27" s="663"/>
      <c r="BL27" s="664"/>
      <c r="BM27" s="664"/>
      <c r="BN27" s="664"/>
      <c r="BO27" s="665"/>
    </row>
    <row r="28" spans="1:67" ht="10.5" customHeight="1" thickBot="1" x14ac:dyDescent="0.2">
      <c r="A28" s="198">
        <v>25</v>
      </c>
      <c r="B28" s="647"/>
      <c r="C28" s="648"/>
      <c r="D28" s="648"/>
      <c r="E28" s="666" t="s">
        <v>64</v>
      </c>
      <c r="F28" s="667"/>
      <c r="G28" s="517"/>
      <c r="H28" s="518"/>
      <c r="I28" s="518"/>
      <c r="J28" s="518"/>
      <c r="K28" s="519"/>
      <c r="L28" s="615"/>
      <c r="M28" s="668" t="s">
        <v>354</v>
      </c>
      <c r="N28" s="669"/>
      <c r="O28" s="669"/>
      <c r="P28" s="669"/>
      <c r="Q28" s="489" t="s">
        <v>36</v>
      </c>
      <c r="R28" s="490"/>
      <c r="S28" s="490"/>
      <c r="T28" s="491"/>
      <c r="U28" s="206" t="s">
        <v>38</v>
      </c>
      <c r="V28" s="492"/>
      <c r="W28" s="493"/>
      <c r="X28" s="493"/>
      <c r="Y28" s="493"/>
      <c r="Z28" s="494"/>
      <c r="AA28" s="294"/>
      <c r="AB28" s="296"/>
      <c r="AC28" s="209"/>
      <c r="AD28" s="296"/>
      <c r="AE28" s="695" t="s">
        <v>437</v>
      </c>
      <c r="AF28" s="696"/>
      <c r="AG28" s="529"/>
      <c r="AH28" s="530"/>
      <c r="AI28" s="530"/>
      <c r="AJ28" s="530"/>
      <c r="AK28" s="531"/>
      <c r="AQ28" s="240"/>
      <c r="AR28" s="240"/>
      <c r="AS28" s="240"/>
      <c r="AT28" s="240"/>
      <c r="AU28" s="240"/>
      <c r="AV28" s="294"/>
      <c r="AW28" s="296"/>
      <c r="AX28" s="489" t="s">
        <v>28</v>
      </c>
      <c r="AY28" s="490"/>
      <c r="AZ28" s="491"/>
      <c r="BA28" s="529"/>
      <c r="BB28" s="530"/>
      <c r="BC28" s="530"/>
      <c r="BD28" s="530"/>
      <c r="BE28" s="531"/>
      <c r="BF28" s="657"/>
      <c r="BG28" s="658"/>
      <c r="BH28" s="678" t="s">
        <v>148</v>
      </c>
      <c r="BI28" s="679"/>
      <c r="BJ28" s="239"/>
      <c r="BK28" s="559"/>
      <c r="BL28" s="487"/>
      <c r="BM28" s="487"/>
      <c r="BN28" s="487"/>
      <c r="BO28" s="488"/>
    </row>
    <row r="29" spans="1:67" ht="10.5" customHeight="1" thickBot="1" x14ac:dyDescent="0.2">
      <c r="A29" s="198">
        <v>26</v>
      </c>
      <c r="B29" s="647"/>
      <c r="C29" s="648"/>
      <c r="D29" s="666" t="s">
        <v>466</v>
      </c>
      <c r="E29" s="666"/>
      <c r="F29" s="667"/>
      <c r="G29" s="517"/>
      <c r="H29" s="518"/>
      <c r="I29" s="518"/>
      <c r="J29" s="518"/>
      <c r="K29" s="519"/>
      <c r="L29" s="615"/>
      <c r="M29" s="670"/>
      <c r="N29" s="671"/>
      <c r="O29" s="671"/>
      <c r="P29" s="671"/>
      <c r="Q29" s="489" t="s">
        <v>355</v>
      </c>
      <c r="R29" s="490"/>
      <c r="S29" s="490"/>
      <c r="T29" s="491"/>
      <c r="U29" s="206" t="s">
        <v>163</v>
      </c>
      <c r="V29" s="492"/>
      <c r="W29" s="493"/>
      <c r="X29" s="493"/>
      <c r="Y29" s="493"/>
      <c r="Z29" s="494"/>
      <c r="AA29" s="294"/>
      <c r="AB29" s="296"/>
      <c r="AC29" s="209"/>
      <c r="AD29" s="296"/>
      <c r="AE29" s="674" t="s">
        <v>438</v>
      </c>
      <c r="AF29" s="675"/>
      <c r="AG29" s="529"/>
      <c r="AH29" s="530"/>
      <c r="AI29" s="530"/>
      <c r="AJ29" s="530"/>
      <c r="AK29" s="531"/>
      <c r="AL29" s="618" t="s">
        <v>460</v>
      </c>
      <c r="AM29" s="619"/>
      <c r="AN29" s="619"/>
      <c r="AO29" s="619"/>
      <c r="AP29" s="620"/>
      <c r="AQ29" s="621"/>
      <c r="AR29" s="622"/>
      <c r="AS29" s="622"/>
      <c r="AT29" s="622"/>
      <c r="AU29" s="623"/>
      <c r="AV29" s="294"/>
      <c r="AW29" s="296"/>
      <c r="AX29" s="489" t="s">
        <v>103</v>
      </c>
      <c r="AY29" s="490"/>
      <c r="AZ29" s="491"/>
      <c r="BA29" s="529"/>
      <c r="BB29" s="530"/>
      <c r="BC29" s="530"/>
      <c r="BD29" s="530"/>
      <c r="BE29" s="531"/>
      <c r="BF29" s="659"/>
      <c r="BG29" s="660"/>
      <c r="BH29" s="676" t="s">
        <v>149</v>
      </c>
      <c r="BI29" s="677"/>
      <c r="BJ29" s="241"/>
      <c r="BK29" s="680"/>
      <c r="BL29" s="681"/>
      <c r="BM29" s="681"/>
      <c r="BN29" s="681"/>
      <c r="BO29" s="682"/>
    </row>
    <row r="30" spans="1:67" ht="10.5" customHeight="1" x14ac:dyDescent="0.15">
      <c r="A30" s="198">
        <v>27</v>
      </c>
      <c r="B30" s="647"/>
      <c r="C30" s="648"/>
      <c r="D30" s="666" t="s">
        <v>60</v>
      </c>
      <c r="E30" s="666"/>
      <c r="F30" s="667"/>
      <c r="G30" s="517"/>
      <c r="H30" s="518"/>
      <c r="I30" s="518"/>
      <c r="J30" s="518"/>
      <c r="K30" s="519"/>
      <c r="L30" s="615"/>
      <c r="M30" s="670"/>
      <c r="N30" s="671"/>
      <c r="O30" s="671"/>
      <c r="P30" s="671"/>
      <c r="Q30" s="489" t="s">
        <v>100</v>
      </c>
      <c r="R30" s="490"/>
      <c r="S30" s="490"/>
      <c r="T30" s="491"/>
      <c r="U30" s="206" t="s">
        <v>163</v>
      </c>
      <c r="V30" s="492"/>
      <c r="W30" s="493"/>
      <c r="X30" s="493"/>
      <c r="Y30" s="493"/>
      <c r="Z30" s="494"/>
      <c r="AA30" s="294"/>
      <c r="AB30" s="209"/>
      <c r="AC30" s="243"/>
      <c r="AD30" s="244"/>
      <c r="AE30" s="683" t="s">
        <v>515</v>
      </c>
      <c r="AF30" s="684"/>
      <c r="AG30" s="529"/>
      <c r="AH30" s="530"/>
      <c r="AI30" s="530"/>
      <c r="AJ30" s="530"/>
      <c r="AK30" s="531"/>
      <c r="AL30" s="685" t="s">
        <v>528</v>
      </c>
      <c r="AM30" s="685"/>
      <c r="AN30" s="685"/>
      <c r="AO30" s="685"/>
      <c r="AP30" s="686"/>
      <c r="AQ30" s="687"/>
      <c r="AR30" s="688"/>
      <c r="AS30" s="688"/>
      <c r="AT30" s="688"/>
      <c r="AU30" s="689"/>
      <c r="AV30" s="294"/>
      <c r="AW30" s="296"/>
      <c r="AX30" s="489" t="s">
        <v>104</v>
      </c>
      <c r="AY30" s="490"/>
      <c r="AZ30" s="491"/>
      <c r="BA30" s="529"/>
      <c r="BB30" s="530"/>
      <c r="BC30" s="530"/>
      <c r="BD30" s="530"/>
      <c r="BE30" s="531"/>
      <c r="BF30" s="655" t="s">
        <v>176</v>
      </c>
      <c r="BG30" s="656"/>
      <c r="BH30" s="690" t="s">
        <v>247</v>
      </c>
      <c r="BI30" s="691"/>
      <c r="BJ30" s="242" t="s">
        <v>46</v>
      </c>
      <c r="BK30" s="692"/>
      <c r="BL30" s="693"/>
      <c r="BM30" s="693"/>
      <c r="BN30" s="693"/>
      <c r="BO30" s="694"/>
    </row>
    <row r="31" spans="1:67" ht="10.5" customHeight="1" x14ac:dyDescent="0.15">
      <c r="A31" s="198">
        <v>28</v>
      </c>
      <c r="B31" s="711" t="s">
        <v>467</v>
      </c>
      <c r="C31" s="712"/>
      <c r="D31" s="712" t="s">
        <v>464</v>
      </c>
      <c r="E31" s="713" t="s">
        <v>465</v>
      </c>
      <c r="F31" s="695"/>
      <c r="G31" s="517"/>
      <c r="H31" s="518"/>
      <c r="I31" s="518"/>
      <c r="J31" s="518"/>
      <c r="K31" s="519"/>
      <c r="L31" s="615"/>
      <c r="M31" s="672"/>
      <c r="N31" s="673"/>
      <c r="O31" s="673"/>
      <c r="P31" s="673"/>
      <c r="Q31" s="489" t="s">
        <v>116</v>
      </c>
      <c r="R31" s="490"/>
      <c r="S31" s="490"/>
      <c r="T31" s="491"/>
      <c r="U31" s="206" t="s">
        <v>163</v>
      </c>
      <c r="V31" s="492"/>
      <c r="W31" s="493"/>
      <c r="X31" s="493"/>
      <c r="Y31" s="493"/>
      <c r="Z31" s="494"/>
      <c r="AA31" s="294"/>
      <c r="AB31" s="296"/>
      <c r="AC31" s="234"/>
      <c r="AD31" s="511" t="s">
        <v>518</v>
      </c>
      <c r="AE31" s="512"/>
      <c r="AF31" s="513"/>
      <c r="AG31" s="529"/>
      <c r="AH31" s="530"/>
      <c r="AI31" s="530"/>
      <c r="AJ31" s="530"/>
      <c r="AK31" s="531"/>
      <c r="AL31" s="208"/>
      <c r="AM31" s="485" t="s">
        <v>238</v>
      </c>
      <c r="AN31" s="483"/>
      <c r="AO31" s="483"/>
      <c r="AP31" s="484"/>
      <c r="AQ31" s="492"/>
      <c r="AR31" s="493"/>
      <c r="AS31" s="493"/>
      <c r="AT31" s="493"/>
      <c r="AU31" s="494"/>
      <c r="AV31" s="294"/>
      <c r="AW31" s="296"/>
      <c r="AX31" s="489" t="s">
        <v>105</v>
      </c>
      <c r="AY31" s="490"/>
      <c r="AZ31" s="491"/>
      <c r="BA31" s="529"/>
      <c r="BB31" s="530"/>
      <c r="BC31" s="530"/>
      <c r="BD31" s="530"/>
      <c r="BE31" s="531"/>
      <c r="BF31" s="659"/>
      <c r="BG31" s="660"/>
      <c r="BH31" s="697" t="s">
        <v>248</v>
      </c>
      <c r="BI31" s="698"/>
      <c r="BJ31" s="245" t="s">
        <v>47</v>
      </c>
      <c r="BK31" s="680"/>
      <c r="BL31" s="681"/>
      <c r="BM31" s="681"/>
      <c r="BN31" s="681"/>
      <c r="BO31" s="682"/>
    </row>
    <row r="32" spans="1:67" ht="10.5" customHeight="1" x14ac:dyDescent="0.15">
      <c r="A32" s="198">
        <v>29</v>
      </c>
      <c r="B32" s="647"/>
      <c r="C32" s="648"/>
      <c r="D32" s="648"/>
      <c r="E32" s="666" t="s">
        <v>64</v>
      </c>
      <c r="F32" s="489"/>
      <c r="G32" s="517"/>
      <c r="H32" s="518"/>
      <c r="I32" s="518"/>
      <c r="J32" s="518"/>
      <c r="K32" s="519"/>
      <c r="L32" s="615"/>
      <c r="M32" s="668" t="s">
        <v>455</v>
      </c>
      <c r="N32" s="669"/>
      <c r="O32" s="669"/>
      <c r="P32" s="669"/>
      <c r="Q32" s="489" t="s">
        <v>355</v>
      </c>
      <c r="R32" s="490"/>
      <c r="S32" s="490"/>
      <c r="T32" s="491"/>
      <c r="U32" s="206" t="s">
        <v>38</v>
      </c>
      <c r="V32" s="492"/>
      <c r="W32" s="493"/>
      <c r="X32" s="493"/>
      <c r="Y32" s="493"/>
      <c r="Z32" s="494"/>
      <c r="AA32" s="294"/>
      <c r="AB32" s="209"/>
      <c r="AC32" s="501" t="s">
        <v>1</v>
      </c>
      <c r="AD32" s="490"/>
      <c r="AE32" s="490"/>
      <c r="AF32" s="491"/>
      <c r="AG32" s="529"/>
      <c r="AH32" s="530"/>
      <c r="AI32" s="530"/>
      <c r="AJ32" s="530"/>
      <c r="AK32" s="531"/>
      <c r="AL32" s="208"/>
      <c r="AM32" s="485" t="s">
        <v>68</v>
      </c>
      <c r="AN32" s="483"/>
      <c r="AO32" s="483"/>
      <c r="AP32" s="484"/>
      <c r="AQ32" s="492"/>
      <c r="AR32" s="493"/>
      <c r="AS32" s="493"/>
      <c r="AT32" s="493"/>
      <c r="AU32" s="494"/>
      <c r="AV32" s="294"/>
      <c r="AW32" s="296"/>
      <c r="AX32" s="489" t="s">
        <v>106</v>
      </c>
      <c r="AY32" s="490"/>
      <c r="AZ32" s="491"/>
      <c r="BA32" s="529"/>
      <c r="BB32" s="530"/>
      <c r="BC32" s="530"/>
      <c r="BD32" s="530"/>
      <c r="BE32" s="531"/>
      <c r="BF32" s="655" t="s">
        <v>201</v>
      </c>
      <c r="BG32" s="656"/>
      <c r="BH32" s="690" t="s">
        <v>247</v>
      </c>
      <c r="BI32" s="691"/>
      <c r="BJ32" s="242" t="s">
        <v>46</v>
      </c>
      <c r="BK32" s="692"/>
      <c r="BL32" s="693"/>
      <c r="BM32" s="693"/>
      <c r="BN32" s="693"/>
      <c r="BO32" s="694"/>
    </row>
    <row r="33" spans="1:67" ht="10.5" customHeight="1" thickBot="1" x14ac:dyDescent="0.2">
      <c r="A33" s="198">
        <v>30</v>
      </c>
      <c r="B33" s="647"/>
      <c r="C33" s="648"/>
      <c r="D33" s="666" t="s">
        <v>466</v>
      </c>
      <c r="E33" s="666"/>
      <c r="F33" s="489"/>
      <c r="G33" s="517"/>
      <c r="H33" s="518"/>
      <c r="I33" s="518"/>
      <c r="J33" s="518"/>
      <c r="K33" s="519"/>
      <c r="L33" s="615"/>
      <c r="M33" s="670"/>
      <c r="N33" s="671"/>
      <c r="O33" s="671"/>
      <c r="P33" s="671"/>
      <c r="Q33" s="489" t="s">
        <v>100</v>
      </c>
      <c r="R33" s="490"/>
      <c r="S33" s="490"/>
      <c r="T33" s="491"/>
      <c r="U33" s="206" t="s">
        <v>163</v>
      </c>
      <c r="V33" s="492"/>
      <c r="W33" s="493"/>
      <c r="X33" s="493"/>
      <c r="Y33" s="493"/>
      <c r="Z33" s="494"/>
      <c r="AA33" s="294"/>
      <c r="AB33" s="216"/>
      <c r="AC33" s="298"/>
      <c r="AD33" s="490" t="s">
        <v>443</v>
      </c>
      <c r="AE33" s="490"/>
      <c r="AF33" s="491"/>
      <c r="AG33" s="529"/>
      <c r="AH33" s="530"/>
      <c r="AI33" s="530"/>
      <c r="AJ33" s="530"/>
      <c r="AK33" s="531"/>
      <c r="AL33" s="246"/>
      <c r="AM33" s="699" t="s">
        <v>69</v>
      </c>
      <c r="AN33" s="700"/>
      <c r="AO33" s="700"/>
      <c r="AP33" s="701"/>
      <c r="AQ33" s="599"/>
      <c r="AR33" s="600"/>
      <c r="AS33" s="600"/>
      <c r="AT33" s="600"/>
      <c r="AU33" s="601"/>
      <c r="AV33" s="294"/>
      <c r="AW33" s="296"/>
      <c r="AX33" s="489" t="s">
        <v>107</v>
      </c>
      <c r="AY33" s="490"/>
      <c r="AZ33" s="491"/>
      <c r="BA33" s="529"/>
      <c r="BB33" s="530"/>
      <c r="BC33" s="530"/>
      <c r="BD33" s="530"/>
      <c r="BE33" s="531"/>
      <c r="BF33" s="659"/>
      <c r="BG33" s="660"/>
      <c r="BH33" s="697" t="s">
        <v>249</v>
      </c>
      <c r="BI33" s="698"/>
      <c r="BJ33" s="245" t="s">
        <v>47</v>
      </c>
      <c r="BK33" s="680"/>
      <c r="BL33" s="681"/>
      <c r="BM33" s="681"/>
      <c r="BN33" s="681"/>
      <c r="BO33" s="682"/>
    </row>
    <row r="34" spans="1:67" ht="10.5" customHeight="1" thickBot="1" x14ac:dyDescent="0.2">
      <c r="A34" s="198">
        <v>31</v>
      </c>
      <c r="B34" s="647"/>
      <c r="C34" s="648"/>
      <c r="D34" s="666" t="s">
        <v>60</v>
      </c>
      <c r="E34" s="666"/>
      <c r="F34" s="489"/>
      <c r="G34" s="517"/>
      <c r="H34" s="518"/>
      <c r="I34" s="518"/>
      <c r="J34" s="518"/>
      <c r="K34" s="519"/>
      <c r="L34" s="615"/>
      <c r="M34" s="672"/>
      <c r="N34" s="673"/>
      <c r="O34" s="673"/>
      <c r="P34" s="673"/>
      <c r="Q34" s="489" t="s">
        <v>116</v>
      </c>
      <c r="R34" s="490"/>
      <c r="S34" s="490"/>
      <c r="T34" s="491"/>
      <c r="U34" s="206" t="s">
        <v>163</v>
      </c>
      <c r="V34" s="492"/>
      <c r="W34" s="493"/>
      <c r="X34" s="493"/>
      <c r="Y34" s="493"/>
      <c r="Z34" s="494"/>
      <c r="AA34" s="207"/>
      <c r="AB34" s="501" t="s">
        <v>222</v>
      </c>
      <c r="AC34" s="575"/>
      <c r="AD34" s="575"/>
      <c r="AE34" s="575"/>
      <c r="AF34" s="576"/>
      <c r="AG34" s="492"/>
      <c r="AH34" s="493"/>
      <c r="AI34" s="493"/>
      <c r="AJ34" s="493"/>
      <c r="AK34" s="494"/>
      <c r="AQ34" s="240"/>
      <c r="AR34" s="240"/>
      <c r="AS34" s="240"/>
      <c r="AT34" s="240"/>
      <c r="AU34" s="240"/>
      <c r="AV34" s="294"/>
      <c r="AW34" s="296"/>
      <c r="AX34" s="489" t="s">
        <v>108</v>
      </c>
      <c r="AY34" s="490"/>
      <c r="AZ34" s="491"/>
      <c r="BA34" s="529"/>
      <c r="BB34" s="530"/>
      <c r="BC34" s="530"/>
      <c r="BD34" s="530"/>
      <c r="BE34" s="531"/>
      <c r="BF34" s="704" t="s">
        <v>286</v>
      </c>
      <c r="BG34" s="705"/>
      <c r="BH34" s="690" t="s">
        <v>250</v>
      </c>
      <c r="BI34" s="691"/>
      <c r="BJ34" s="242" t="s">
        <v>46</v>
      </c>
      <c r="BK34" s="692"/>
      <c r="BL34" s="693"/>
      <c r="BM34" s="693"/>
      <c r="BN34" s="693"/>
      <c r="BO34" s="694"/>
    </row>
    <row r="35" spans="1:67" ht="10.5" customHeight="1" thickBot="1" x14ac:dyDescent="0.2">
      <c r="A35" s="198">
        <v>32</v>
      </c>
      <c r="B35" s="614" t="s">
        <v>468</v>
      </c>
      <c r="C35" s="570"/>
      <c r="D35" s="570"/>
      <c r="E35" s="570"/>
      <c r="F35" s="570"/>
      <c r="G35" s="541"/>
      <c r="H35" s="542"/>
      <c r="I35" s="542"/>
      <c r="J35" s="542"/>
      <c r="K35" s="543"/>
      <c r="L35" s="615"/>
      <c r="M35" s="654" t="s">
        <v>171</v>
      </c>
      <c r="N35" s="490"/>
      <c r="O35" s="490"/>
      <c r="P35" s="490"/>
      <c r="Q35" s="490"/>
      <c r="R35" s="490"/>
      <c r="S35" s="490"/>
      <c r="T35" s="491"/>
      <c r="U35" s="206" t="s">
        <v>163</v>
      </c>
      <c r="V35" s="492"/>
      <c r="W35" s="493"/>
      <c r="X35" s="493"/>
      <c r="Y35" s="493"/>
      <c r="Z35" s="494"/>
      <c r="AA35" s="248"/>
      <c r="AB35" s="249"/>
      <c r="AC35" s="532" t="s">
        <v>68</v>
      </c>
      <c r="AD35" s="533"/>
      <c r="AE35" s="533"/>
      <c r="AF35" s="534"/>
      <c r="AG35" s="514"/>
      <c r="AH35" s="515"/>
      <c r="AI35" s="515"/>
      <c r="AJ35" s="515"/>
      <c r="AK35" s="515"/>
      <c r="AL35" s="624" t="s">
        <v>450</v>
      </c>
      <c r="AM35" s="625"/>
      <c r="AN35" s="625"/>
      <c r="AO35" s="625"/>
      <c r="AP35" s="626"/>
      <c r="AQ35" s="627"/>
      <c r="AR35" s="628"/>
      <c r="AS35" s="628"/>
      <c r="AT35" s="628"/>
      <c r="AU35" s="629"/>
      <c r="AV35" s="294"/>
      <c r="AW35" s="296"/>
      <c r="AX35" s="489" t="s">
        <v>109</v>
      </c>
      <c r="AY35" s="490"/>
      <c r="AZ35" s="491"/>
      <c r="BA35" s="529"/>
      <c r="BB35" s="530"/>
      <c r="BC35" s="530"/>
      <c r="BD35" s="530"/>
      <c r="BE35" s="531"/>
      <c r="BF35" s="706"/>
      <c r="BG35" s="707"/>
      <c r="BH35" s="702" t="s">
        <v>251</v>
      </c>
      <c r="BI35" s="703"/>
      <c r="BJ35" s="247" t="s">
        <v>47</v>
      </c>
      <c r="BK35" s="708"/>
      <c r="BL35" s="709"/>
      <c r="BM35" s="709"/>
      <c r="BN35" s="709"/>
      <c r="BO35" s="710"/>
    </row>
    <row r="36" spans="1:67" ht="10.5" customHeight="1" thickBot="1" x14ac:dyDescent="0.2">
      <c r="A36" s="198">
        <v>33</v>
      </c>
      <c r="B36" s="523" t="s">
        <v>469</v>
      </c>
      <c r="C36" s="575"/>
      <c r="D36" s="575"/>
      <c r="E36" s="575"/>
      <c r="F36" s="575"/>
      <c r="G36" s="714"/>
      <c r="H36" s="715"/>
      <c r="I36" s="715"/>
      <c r="J36" s="715"/>
      <c r="K36" s="716"/>
      <c r="L36" s="615"/>
      <c r="M36" s="654" t="s">
        <v>172</v>
      </c>
      <c r="N36" s="490"/>
      <c r="O36" s="490"/>
      <c r="P36" s="490"/>
      <c r="Q36" s="490"/>
      <c r="R36" s="490"/>
      <c r="S36" s="490"/>
      <c r="T36" s="491"/>
      <c r="U36" s="206" t="s">
        <v>39</v>
      </c>
      <c r="V36" s="492"/>
      <c r="W36" s="493"/>
      <c r="X36" s="493"/>
      <c r="Y36" s="493"/>
      <c r="Z36" s="494"/>
      <c r="AA36" s="294"/>
      <c r="AB36" s="296"/>
      <c r="AC36" s="532" t="s">
        <v>67</v>
      </c>
      <c r="AD36" s="533"/>
      <c r="AE36" s="533"/>
      <c r="AF36" s="534"/>
      <c r="AG36" s="514"/>
      <c r="AH36" s="515"/>
      <c r="AI36" s="515"/>
      <c r="AJ36" s="515"/>
      <c r="AK36" s="515"/>
      <c r="AL36" s="717" t="s">
        <v>457</v>
      </c>
      <c r="AM36" s="718"/>
      <c r="AN36" s="718"/>
      <c r="AO36" s="718"/>
      <c r="AP36" s="719"/>
      <c r="AQ36" s="720"/>
      <c r="AR36" s="721"/>
      <c r="AS36" s="721"/>
      <c r="AT36" s="721"/>
      <c r="AU36" s="722"/>
      <c r="AV36" s="294"/>
      <c r="AW36" s="296"/>
      <c r="AX36" s="723" t="s">
        <v>110</v>
      </c>
      <c r="AY36" s="533"/>
      <c r="AZ36" s="534"/>
      <c r="BA36" s="529"/>
      <c r="BB36" s="530"/>
      <c r="BC36" s="530"/>
      <c r="BD36" s="530"/>
      <c r="BE36" s="531"/>
      <c r="BF36" s="724" t="s">
        <v>487</v>
      </c>
      <c r="BG36" s="725"/>
      <c r="BH36" s="725"/>
      <c r="BI36" s="725"/>
      <c r="BJ36" s="725"/>
      <c r="BK36" s="725"/>
      <c r="BL36" s="725"/>
      <c r="BM36" s="725"/>
      <c r="BN36" s="725"/>
      <c r="BO36" s="726"/>
    </row>
    <row r="37" spans="1:67" ht="10.5" customHeight="1" thickBot="1" x14ac:dyDescent="0.2">
      <c r="A37" s="198">
        <v>34</v>
      </c>
      <c r="B37" s="614" t="s">
        <v>470</v>
      </c>
      <c r="C37" s="570"/>
      <c r="D37" s="570"/>
      <c r="E37" s="570"/>
      <c r="F37" s="571"/>
      <c r="G37" s="639"/>
      <c r="H37" s="640"/>
      <c r="I37" s="640"/>
      <c r="J37" s="640"/>
      <c r="K37" s="641"/>
      <c r="L37" s="615"/>
      <c r="M37" s="668" t="s">
        <v>356</v>
      </c>
      <c r="N37" s="575"/>
      <c r="O37" s="575"/>
      <c r="P37" s="575"/>
      <c r="Q37" s="489" t="s">
        <v>355</v>
      </c>
      <c r="R37" s="490"/>
      <c r="S37" s="490"/>
      <c r="T37" s="491"/>
      <c r="U37" s="206" t="s">
        <v>38</v>
      </c>
      <c r="V37" s="492"/>
      <c r="W37" s="493"/>
      <c r="X37" s="493"/>
      <c r="Y37" s="493"/>
      <c r="Z37" s="494"/>
      <c r="AA37" s="294"/>
      <c r="AB37" s="296"/>
      <c r="AC37" s="501" t="s">
        <v>66</v>
      </c>
      <c r="AD37" s="490"/>
      <c r="AE37" s="490"/>
      <c r="AF37" s="491"/>
      <c r="AG37" s="514"/>
      <c r="AH37" s="515"/>
      <c r="AI37" s="515"/>
      <c r="AJ37" s="515"/>
      <c r="AK37" s="515"/>
      <c r="AL37" s="251"/>
      <c r="AM37" s="252"/>
      <c r="AN37" s="252"/>
      <c r="AO37" s="252"/>
      <c r="AP37" s="252"/>
      <c r="AQ37" s="253"/>
      <c r="AR37" s="253"/>
      <c r="AS37" s="253"/>
      <c r="AT37" s="253"/>
      <c r="AU37" s="254"/>
      <c r="AV37" s="294"/>
      <c r="AW37" s="296"/>
      <c r="AX37" s="250"/>
      <c r="AY37" s="533" t="s">
        <v>499</v>
      </c>
      <c r="AZ37" s="534"/>
      <c r="BA37" s="529"/>
      <c r="BB37" s="530"/>
      <c r="BC37" s="530"/>
      <c r="BD37" s="530"/>
      <c r="BE37" s="531"/>
      <c r="BF37" s="730" t="s">
        <v>73</v>
      </c>
      <c r="BG37" s="731"/>
      <c r="BH37" s="731"/>
      <c r="BI37" s="731"/>
      <c r="BJ37" s="732"/>
      <c r="BK37" s="733" t="s">
        <v>74</v>
      </c>
      <c r="BL37" s="731"/>
      <c r="BM37" s="731"/>
      <c r="BN37" s="731"/>
      <c r="BO37" s="734"/>
    </row>
    <row r="38" spans="1:67" ht="10.5" customHeight="1" x14ac:dyDescent="0.15">
      <c r="A38" s="198">
        <v>35</v>
      </c>
      <c r="B38" s="444" t="s">
        <v>115</v>
      </c>
      <c r="C38" s="445"/>
      <c r="D38" s="445"/>
      <c r="E38" s="445"/>
      <c r="F38" s="445"/>
      <c r="G38" s="445"/>
      <c r="H38" s="445"/>
      <c r="I38" s="445"/>
      <c r="J38" s="445"/>
      <c r="K38" s="445"/>
      <c r="L38" s="615"/>
      <c r="M38" s="727"/>
      <c r="N38" s="469"/>
      <c r="O38" s="469"/>
      <c r="P38" s="469"/>
      <c r="Q38" s="489" t="s">
        <v>100</v>
      </c>
      <c r="R38" s="490"/>
      <c r="S38" s="490"/>
      <c r="T38" s="491"/>
      <c r="U38" s="206" t="s">
        <v>163</v>
      </c>
      <c r="V38" s="492"/>
      <c r="W38" s="493"/>
      <c r="X38" s="493"/>
      <c r="Y38" s="493"/>
      <c r="Z38" s="494"/>
      <c r="AA38" s="294"/>
      <c r="AB38" s="296"/>
      <c r="AC38" s="296"/>
      <c r="AD38" s="489" t="s">
        <v>66</v>
      </c>
      <c r="AE38" s="490"/>
      <c r="AF38" s="491"/>
      <c r="AG38" s="529"/>
      <c r="AH38" s="530"/>
      <c r="AI38" s="530"/>
      <c r="AJ38" s="530"/>
      <c r="AK38" s="735"/>
      <c r="AL38" s="630" t="s">
        <v>446</v>
      </c>
      <c r="AM38" s="631"/>
      <c r="AN38" s="631"/>
      <c r="AO38" s="631"/>
      <c r="AP38" s="632"/>
      <c r="AQ38" s="633"/>
      <c r="AR38" s="634"/>
      <c r="AS38" s="634"/>
      <c r="AT38" s="634"/>
      <c r="AU38" s="635"/>
      <c r="AV38" s="294"/>
      <c r="AW38" s="296"/>
      <c r="AX38" s="501" t="s">
        <v>111</v>
      </c>
      <c r="AY38" s="490"/>
      <c r="AZ38" s="491"/>
      <c r="BA38" s="492"/>
      <c r="BB38" s="493"/>
      <c r="BC38" s="493"/>
      <c r="BD38" s="493"/>
      <c r="BE38" s="494"/>
      <c r="BF38" s="739" t="s">
        <v>139</v>
      </c>
      <c r="BG38" s="454"/>
      <c r="BH38" s="454"/>
      <c r="BI38" s="740"/>
      <c r="BJ38" s="255" t="s">
        <v>75</v>
      </c>
      <c r="BK38" s="651"/>
      <c r="BL38" s="652"/>
      <c r="BM38" s="652"/>
      <c r="BN38" s="652"/>
      <c r="BO38" s="653"/>
    </row>
    <row r="39" spans="1:67" ht="10.5" customHeight="1" thickBot="1" x14ac:dyDescent="0.2">
      <c r="A39" s="198">
        <v>36</v>
      </c>
      <c r="B39" s="468" t="s">
        <v>116</v>
      </c>
      <c r="C39" s="469"/>
      <c r="D39" s="469"/>
      <c r="E39" s="469"/>
      <c r="F39" s="469"/>
      <c r="G39" s="470"/>
      <c r="H39" s="471"/>
      <c r="I39" s="471"/>
      <c r="J39" s="471"/>
      <c r="K39" s="472"/>
      <c r="L39" s="616"/>
      <c r="M39" s="728"/>
      <c r="N39" s="729"/>
      <c r="O39" s="729"/>
      <c r="P39" s="729"/>
      <c r="Q39" s="596" t="s">
        <v>116</v>
      </c>
      <c r="R39" s="597"/>
      <c r="S39" s="597"/>
      <c r="T39" s="598"/>
      <c r="U39" s="256" t="s">
        <v>163</v>
      </c>
      <c r="V39" s="599"/>
      <c r="W39" s="600"/>
      <c r="X39" s="600"/>
      <c r="Y39" s="600"/>
      <c r="Z39" s="601"/>
      <c r="AB39" s="258"/>
      <c r="AD39" s="744" t="s">
        <v>512</v>
      </c>
      <c r="AE39" s="745"/>
      <c r="AF39" s="746"/>
      <c r="AG39" s="529"/>
      <c r="AH39" s="530"/>
      <c r="AI39" s="530"/>
      <c r="AJ39" s="530"/>
      <c r="AK39" s="735"/>
      <c r="AL39" s="886" t="s">
        <v>511</v>
      </c>
      <c r="AM39" s="597"/>
      <c r="AN39" s="597"/>
      <c r="AO39" s="597"/>
      <c r="AP39" s="598"/>
      <c r="AQ39" s="765"/>
      <c r="AR39" s="766"/>
      <c r="AS39" s="766"/>
      <c r="AT39" s="766"/>
      <c r="AU39" s="767"/>
      <c r="AV39" s="294"/>
      <c r="AW39" s="296"/>
      <c r="AX39" s="296"/>
      <c r="AY39" s="501" t="s">
        <v>501</v>
      </c>
      <c r="AZ39" s="491"/>
      <c r="BA39" s="529"/>
      <c r="BB39" s="530"/>
      <c r="BC39" s="530"/>
      <c r="BD39" s="530"/>
      <c r="BE39" s="531"/>
      <c r="BF39" s="736" t="s">
        <v>76</v>
      </c>
      <c r="BG39" s="737"/>
      <c r="BH39" s="737"/>
      <c r="BI39" s="738"/>
      <c r="BJ39" s="257" t="s">
        <v>77</v>
      </c>
      <c r="BK39" s="517"/>
      <c r="BL39" s="518"/>
      <c r="BM39" s="518"/>
      <c r="BN39" s="518"/>
      <c r="BO39" s="519"/>
    </row>
    <row r="40" spans="1:67" ht="10.5" customHeight="1" thickBot="1" x14ac:dyDescent="0.2">
      <c r="A40" s="198">
        <v>37</v>
      </c>
      <c r="B40" s="523" t="s">
        <v>117</v>
      </c>
      <c r="C40" s="490"/>
      <c r="D40" s="490"/>
      <c r="E40" s="490"/>
      <c r="F40" s="491"/>
      <c r="G40" s="492"/>
      <c r="H40" s="493"/>
      <c r="I40" s="493"/>
      <c r="J40" s="493"/>
      <c r="K40" s="494"/>
      <c r="L40" s="590" t="s">
        <v>216</v>
      </c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2"/>
      <c r="AA40" s="299"/>
      <c r="AB40" s="261"/>
      <c r="AC40" s="596" t="s">
        <v>526</v>
      </c>
      <c r="AD40" s="597"/>
      <c r="AE40" s="597"/>
      <c r="AF40" s="598"/>
      <c r="AG40" s="741"/>
      <c r="AH40" s="742"/>
      <c r="AI40" s="742"/>
      <c r="AJ40" s="742"/>
      <c r="AK40" s="743"/>
      <c r="AL40" s="292"/>
      <c r="AM40" s="293"/>
      <c r="AN40" s="293"/>
      <c r="AO40" s="293"/>
      <c r="AP40" s="293"/>
      <c r="AQ40" s="323"/>
      <c r="AR40" s="323"/>
      <c r="AS40" s="323"/>
      <c r="AT40" s="323"/>
      <c r="AU40" s="324"/>
      <c r="AV40" s="294"/>
      <c r="AW40" s="296"/>
      <c r="AX40" s="296"/>
      <c r="AY40" s="234"/>
      <c r="AZ40" s="295" t="s">
        <v>500</v>
      </c>
      <c r="BA40" s="529"/>
      <c r="BB40" s="530"/>
      <c r="BC40" s="530"/>
      <c r="BD40" s="530"/>
      <c r="BE40" s="531"/>
      <c r="BF40" s="736" t="s">
        <v>145</v>
      </c>
      <c r="BG40" s="737"/>
      <c r="BH40" s="737"/>
      <c r="BI40" s="738"/>
      <c r="BJ40" s="257" t="s">
        <v>77</v>
      </c>
      <c r="BK40" s="517"/>
      <c r="BL40" s="518"/>
      <c r="BM40" s="518"/>
      <c r="BN40" s="518"/>
      <c r="BO40" s="519"/>
    </row>
    <row r="41" spans="1:67" ht="10.5" customHeight="1" x14ac:dyDescent="0.15">
      <c r="A41" s="198">
        <v>38</v>
      </c>
      <c r="B41" s="259"/>
      <c r="C41" s="527" t="s">
        <v>209</v>
      </c>
      <c r="D41" s="469"/>
      <c r="E41" s="469"/>
      <c r="F41" s="528"/>
      <c r="G41" s="492"/>
      <c r="H41" s="493"/>
      <c r="I41" s="493"/>
      <c r="J41" s="493"/>
      <c r="K41" s="494"/>
      <c r="L41" s="756" t="s">
        <v>34</v>
      </c>
      <c r="M41" s="759" t="s">
        <v>220</v>
      </c>
      <c r="N41" s="760"/>
      <c r="O41" s="760"/>
      <c r="P41" s="760"/>
      <c r="Q41" s="760"/>
      <c r="R41" s="760"/>
      <c r="S41" s="760"/>
      <c r="T41" s="761"/>
      <c r="U41" s="260" t="s">
        <v>164</v>
      </c>
      <c r="V41" s="548"/>
      <c r="W41" s="548"/>
      <c r="X41" s="548"/>
      <c r="Y41" s="548"/>
      <c r="Z41" s="549"/>
      <c r="AA41" s="199" t="s">
        <v>516</v>
      </c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90"/>
      <c r="AM41" s="290"/>
      <c r="AN41" s="290"/>
      <c r="AO41" s="290"/>
      <c r="AP41" s="290"/>
      <c r="AQ41" s="268"/>
      <c r="AR41" s="268"/>
      <c r="AS41" s="268"/>
      <c r="AT41" s="268"/>
      <c r="AU41" s="291"/>
      <c r="AV41" s="294"/>
      <c r="AW41" s="296"/>
      <c r="AX41" s="298"/>
      <c r="AY41" s="747" t="s">
        <v>520</v>
      </c>
      <c r="AZ41" s="748"/>
      <c r="BA41" s="492"/>
      <c r="BB41" s="493"/>
      <c r="BC41" s="493"/>
      <c r="BD41" s="493"/>
      <c r="BE41" s="494"/>
      <c r="BF41" s="749" t="s">
        <v>78</v>
      </c>
      <c r="BG41" s="750"/>
      <c r="BH41" s="750"/>
      <c r="BI41" s="751"/>
      <c r="BJ41" s="264" t="s">
        <v>77</v>
      </c>
      <c r="BK41" s="541"/>
      <c r="BL41" s="542"/>
      <c r="BM41" s="542"/>
      <c r="BN41" s="542"/>
      <c r="BO41" s="543"/>
    </row>
    <row r="42" spans="1:67" ht="10.5" customHeight="1" x14ac:dyDescent="0.15">
      <c r="A42" s="198">
        <v>39</v>
      </c>
      <c r="B42" s="523" t="s">
        <v>100</v>
      </c>
      <c r="C42" s="490"/>
      <c r="D42" s="490"/>
      <c r="E42" s="490"/>
      <c r="F42" s="491"/>
      <c r="G42" s="492"/>
      <c r="H42" s="493"/>
      <c r="I42" s="493"/>
      <c r="J42" s="493"/>
      <c r="K42" s="494"/>
      <c r="L42" s="757"/>
      <c r="M42" s="580" t="s">
        <v>49</v>
      </c>
      <c r="N42" s="581"/>
      <c r="O42" s="581"/>
      <c r="P42" s="581"/>
      <c r="Q42" s="581"/>
      <c r="R42" s="581"/>
      <c r="S42" s="581"/>
      <c r="T42" s="752"/>
      <c r="U42" s="265" t="s">
        <v>38</v>
      </c>
      <c r="V42" s="753"/>
      <c r="W42" s="754"/>
      <c r="X42" s="754"/>
      <c r="Y42" s="754"/>
      <c r="Z42" s="755"/>
      <c r="AA42" s="583" t="s">
        <v>290</v>
      </c>
      <c r="AB42" s="584"/>
      <c r="AC42" s="584"/>
      <c r="AD42" s="584"/>
      <c r="AE42" s="584"/>
      <c r="AF42" s="875"/>
      <c r="AG42" s="878" t="s">
        <v>60</v>
      </c>
      <c r="AH42" s="584"/>
      <c r="AI42" s="584"/>
      <c r="AJ42" s="584"/>
      <c r="AK42" s="584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94"/>
      <c r="AW42" s="296"/>
      <c r="AX42" s="501" t="s">
        <v>112</v>
      </c>
      <c r="AY42" s="575"/>
      <c r="AZ42" s="576"/>
      <c r="BA42" s="529"/>
      <c r="BB42" s="530"/>
      <c r="BC42" s="530"/>
      <c r="BD42" s="530"/>
      <c r="BE42" s="531"/>
      <c r="BF42" s="768" t="s">
        <v>140</v>
      </c>
      <c r="BG42" s="769"/>
      <c r="BH42" s="769"/>
      <c r="BI42" s="770"/>
      <c r="BJ42" s="266" t="s">
        <v>79</v>
      </c>
      <c r="BK42" s="651"/>
      <c r="BL42" s="652"/>
      <c r="BM42" s="652"/>
      <c r="BN42" s="652"/>
      <c r="BO42" s="653"/>
    </row>
    <row r="43" spans="1:67" ht="10.5" customHeight="1" x14ac:dyDescent="0.15">
      <c r="A43" s="198">
        <v>40</v>
      </c>
      <c r="B43" s="267"/>
      <c r="C43" s="771" t="s">
        <v>181</v>
      </c>
      <c r="D43" s="772"/>
      <c r="E43" s="772"/>
      <c r="F43" s="773"/>
      <c r="G43" s="520"/>
      <c r="H43" s="521"/>
      <c r="I43" s="521"/>
      <c r="J43" s="521"/>
      <c r="K43" s="522"/>
      <c r="L43" s="757"/>
      <c r="M43" s="580" t="s">
        <v>260</v>
      </c>
      <c r="N43" s="581"/>
      <c r="O43" s="581"/>
      <c r="P43" s="581"/>
      <c r="Q43" s="581"/>
      <c r="R43" s="581"/>
      <c r="S43" s="581"/>
      <c r="T43" s="752"/>
      <c r="U43" s="265" t="s">
        <v>163</v>
      </c>
      <c r="V43" s="753"/>
      <c r="W43" s="754"/>
      <c r="X43" s="754"/>
      <c r="Y43" s="754"/>
      <c r="Z43" s="755"/>
      <c r="AA43" s="876"/>
      <c r="AB43" s="817"/>
      <c r="AC43" s="817"/>
      <c r="AD43" s="817"/>
      <c r="AE43" s="817"/>
      <c r="AF43" s="877"/>
      <c r="AG43" s="816"/>
      <c r="AH43" s="817"/>
      <c r="AI43" s="817"/>
      <c r="AJ43" s="817"/>
      <c r="AK43" s="817"/>
      <c r="AL43" s="879" t="s">
        <v>123</v>
      </c>
      <c r="AM43" s="879"/>
      <c r="AN43" s="879"/>
      <c r="AO43" s="879"/>
      <c r="AP43" s="880"/>
      <c r="AQ43" s="881" t="s">
        <v>122</v>
      </c>
      <c r="AR43" s="881"/>
      <c r="AS43" s="881"/>
      <c r="AT43" s="881"/>
      <c r="AU43" s="882"/>
      <c r="AV43" s="294"/>
      <c r="AW43" s="774" t="s">
        <v>276</v>
      </c>
      <c r="AX43" s="775"/>
      <c r="AY43" s="776"/>
      <c r="AZ43" s="269" t="s">
        <v>447</v>
      </c>
      <c r="BA43" s="529"/>
      <c r="BB43" s="530"/>
      <c r="BC43" s="530"/>
      <c r="BD43" s="530"/>
      <c r="BE43" s="531"/>
      <c r="BF43" s="736" t="s">
        <v>80</v>
      </c>
      <c r="BG43" s="737"/>
      <c r="BH43" s="737"/>
      <c r="BI43" s="738"/>
      <c r="BJ43" s="257" t="s">
        <v>77</v>
      </c>
      <c r="BK43" s="517"/>
      <c r="BL43" s="518"/>
      <c r="BM43" s="518"/>
      <c r="BN43" s="518"/>
      <c r="BO43" s="519"/>
    </row>
    <row r="44" spans="1:67" ht="10.5" customHeight="1" thickBot="1" x14ac:dyDescent="0.2">
      <c r="A44" s="198">
        <v>41</v>
      </c>
      <c r="B44" s="444" t="s">
        <v>239</v>
      </c>
      <c r="C44" s="445"/>
      <c r="D44" s="445"/>
      <c r="E44" s="445"/>
      <c r="F44" s="445"/>
      <c r="G44" s="445"/>
      <c r="H44" s="445"/>
      <c r="I44" s="445"/>
      <c r="J44" s="445"/>
      <c r="K44" s="445"/>
      <c r="L44" s="758"/>
      <c r="M44" s="783" t="s">
        <v>48</v>
      </c>
      <c r="N44" s="784"/>
      <c r="O44" s="784"/>
      <c r="P44" s="784"/>
      <c r="Q44" s="784"/>
      <c r="R44" s="784"/>
      <c r="S44" s="784"/>
      <c r="T44" s="785"/>
      <c r="U44" s="270" t="s">
        <v>52</v>
      </c>
      <c r="V44" s="786"/>
      <c r="W44" s="787"/>
      <c r="X44" s="787"/>
      <c r="Y44" s="787"/>
      <c r="Z44" s="788"/>
      <c r="AA44" s="883" t="s">
        <v>230</v>
      </c>
      <c r="AB44" s="884"/>
      <c r="AC44" s="884"/>
      <c r="AD44" s="884"/>
      <c r="AE44" s="884"/>
      <c r="AF44" s="885"/>
      <c r="AG44" s="470"/>
      <c r="AH44" s="471"/>
      <c r="AI44" s="471"/>
      <c r="AJ44" s="471"/>
      <c r="AK44" s="789"/>
      <c r="AL44" s="470"/>
      <c r="AM44" s="471"/>
      <c r="AN44" s="471"/>
      <c r="AO44" s="471"/>
      <c r="AP44" s="789"/>
      <c r="AQ44" s="853"/>
      <c r="AR44" s="854"/>
      <c r="AS44" s="854"/>
      <c r="AT44" s="854"/>
      <c r="AU44" s="855"/>
      <c r="AV44" s="294"/>
      <c r="AW44" s="777"/>
      <c r="AX44" s="778"/>
      <c r="AY44" s="779"/>
      <c r="AZ44" s="269" t="s">
        <v>448</v>
      </c>
      <c r="BA44" s="529"/>
      <c r="BB44" s="530"/>
      <c r="BC44" s="530"/>
      <c r="BD44" s="530"/>
      <c r="BE44" s="531"/>
      <c r="BF44" s="796" t="s">
        <v>81</v>
      </c>
      <c r="BG44" s="737"/>
      <c r="BH44" s="737"/>
      <c r="BI44" s="738"/>
      <c r="BJ44" s="257" t="s">
        <v>77</v>
      </c>
      <c r="BK44" s="517"/>
      <c r="BL44" s="518"/>
      <c r="BM44" s="518"/>
      <c r="BN44" s="518"/>
      <c r="BO44" s="519"/>
    </row>
    <row r="45" spans="1:67" ht="10.5" customHeight="1" thickBot="1" x14ac:dyDescent="0.2">
      <c r="A45" s="198">
        <v>42</v>
      </c>
      <c r="B45" s="468" t="s">
        <v>261</v>
      </c>
      <c r="C45" s="469"/>
      <c r="D45" s="469"/>
      <c r="E45" s="469"/>
      <c r="F45" s="469"/>
      <c r="G45" s="470"/>
      <c r="H45" s="471"/>
      <c r="I45" s="471"/>
      <c r="J45" s="471"/>
      <c r="K45" s="472"/>
      <c r="L45" s="797" t="s">
        <v>35</v>
      </c>
      <c r="M45" s="800" t="s">
        <v>36</v>
      </c>
      <c r="N45" s="760"/>
      <c r="O45" s="760"/>
      <c r="P45" s="760"/>
      <c r="Q45" s="760"/>
      <c r="R45" s="760"/>
      <c r="S45" s="760"/>
      <c r="T45" s="761"/>
      <c r="U45" s="260" t="s">
        <v>38</v>
      </c>
      <c r="V45" s="548"/>
      <c r="W45" s="548"/>
      <c r="X45" s="548"/>
      <c r="Y45" s="548"/>
      <c r="Z45" s="549"/>
      <c r="AA45" s="115"/>
      <c r="AB45" s="807" t="s">
        <v>118</v>
      </c>
      <c r="AC45" s="808"/>
      <c r="AD45" s="808"/>
      <c r="AE45" s="808"/>
      <c r="AF45" s="809"/>
      <c r="AG45" s="529"/>
      <c r="AH45" s="530"/>
      <c r="AI45" s="530"/>
      <c r="AJ45" s="530"/>
      <c r="AK45" s="735"/>
      <c r="AL45" s="529"/>
      <c r="AM45" s="530"/>
      <c r="AN45" s="530"/>
      <c r="AO45" s="530"/>
      <c r="AP45" s="531"/>
      <c r="AQ45" s="801"/>
      <c r="AR45" s="802"/>
      <c r="AS45" s="802"/>
      <c r="AT45" s="802"/>
      <c r="AU45" s="803"/>
      <c r="AV45" s="294"/>
      <c r="AW45" s="780"/>
      <c r="AX45" s="781"/>
      <c r="AY45" s="782"/>
      <c r="AZ45" s="271" t="s">
        <v>472</v>
      </c>
      <c r="BA45" s="492"/>
      <c r="BB45" s="493"/>
      <c r="BC45" s="493"/>
      <c r="BD45" s="493"/>
      <c r="BE45" s="494"/>
      <c r="BF45" s="272"/>
      <c r="BG45" s="804" t="s">
        <v>82</v>
      </c>
      <c r="BH45" s="737"/>
      <c r="BI45" s="738"/>
      <c r="BJ45" s="257" t="s">
        <v>77</v>
      </c>
      <c r="BK45" s="517"/>
      <c r="BL45" s="518"/>
      <c r="BM45" s="518"/>
      <c r="BN45" s="518"/>
      <c r="BO45" s="519"/>
    </row>
    <row r="46" spans="1:67" ht="10.5" customHeight="1" thickBot="1" x14ac:dyDescent="0.2">
      <c r="A46" s="198">
        <v>43</v>
      </c>
      <c r="B46" s="805" t="s">
        <v>262</v>
      </c>
      <c r="C46" s="490"/>
      <c r="D46" s="490"/>
      <c r="E46" s="490"/>
      <c r="F46" s="491"/>
      <c r="G46" s="492"/>
      <c r="H46" s="493"/>
      <c r="I46" s="493"/>
      <c r="J46" s="493"/>
      <c r="K46" s="494"/>
      <c r="L46" s="798"/>
      <c r="M46" s="806" t="s">
        <v>37</v>
      </c>
      <c r="N46" s="509"/>
      <c r="O46" s="509"/>
      <c r="P46" s="509"/>
      <c r="Q46" s="509"/>
      <c r="R46" s="509"/>
      <c r="S46" s="509"/>
      <c r="T46" s="510"/>
      <c r="U46" s="265" t="s">
        <v>164</v>
      </c>
      <c r="V46" s="753"/>
      <c r="W46" s="754"/>
      <c r="X46" s="754"/>
      <c r="Y46" s="754"/>
      <c r="Z46" s="755"/>
      <c r="AA46" s="115"/>
      <c r="AB46" s="807" t="s">
        <v>119</v>
      </c>
      <c r="AC46" s="808"/>
      <c r="AD46" s="808"/>
      <c r="AE46" s="808"/>
      <c r="AF46" s="809"/>
      <c r="AG46" s="529"/>
      <c r="AH46" s="530"/>
      <c r="AI46" s="530"/>
      <c r="AJ46" s="530"/>
      <c r="AK46" s="735"/>
      <c r="AL46" s="529"/>
      <c r="AM46" s="530"/>
      <c r="AN46" s="530"/>
      <c r="AO46" s="530"/>
      <c r="AP46" s="531"/>
      <c r="AQ46" s="301" t="s">
        <v>627</v>
      </c>
      <c r="AR46" s="273"/>
      <c r="AS46" s="274"/>
      <c r="AT46" s="273"/>
      <c r="AU46" s="274"/>
      <c r="AV46" s="300"/>
      <c r="AW46" s="762" t="s">
        <v>113</v>
      </c>
      <c r="AX46" s="763"/>
      <c r="AY46" s="763"/>
      <c r="AZ46" s="764"/>
      <c r="BA46" s="765"/>
      <c r="BB46" s="766"/>
      <c r="BC46" s="766"/>
      <c r="BD46" s="766"/>
      <c r="BE46" s="767"/>
      <c r="BF46" s="736" t="s">
        <v>83</v>
      </c>
      <c r="BG46" s="737"/>
      <c r="BH46" s="737"/>
      <c r="BI46" s="738"/>
      <c r="BJ46" s="257" t="s">
        <v>77</v>
      </c>
      <c r="BK46" s="517"/>
      <c r="BL46" s="518"/>
      <c r="BM46" s="518"/>
      <c r="BN46" s="518"/>
      <c r="BO46" s="519"/>
    </row>
    <row r="47" spans="1:67" ht="10.5" customHeight="1" thickBot="1" x14ac:dyDescent="0.2">
      <c r="A47" s="198">
        <v>44</v>
      </c>
      <c r="B47" s="832" t="s">
        <v>263</v>
      </c>
      <c r="C47" s="729"/>
      <c r="D47" s="729"/>
      <c r="E47" s="729"/>
      <c r="F47" s="833"/>
      <c r="G47" s="599"/>
      <c r="H47" s="600"/>
      <c r="I47" s="600"/>
      <c r="J47" s="600"/>
      <c r="K47" s="601"/>
      <c r="L47" s="798"/>
      <c r="M47" s="834" t="s">
        <v>50</v>
      </c>
      <c r="N47" s="581"/>
      <c r="O47" s="581"/>
      <c r="P47" s="581"/>
      <c r="Q47" s="581"/>
      <c r="R47" s="581"/>
      <c r="S47" s="581"/>
      <c r="T47" s="752"/>
      <c r="U47" s="265" t="s">
        <v>38</v>
      </c>
      <c r="V47" s="753"/>
      <c r="W47" s="754"/>
      <c r="X47" s="754"/>
      <c r="Y47" s="754"/>
      <c r="Z47" s="755"/>
      <c r="AA47" s="115"/>
      <c r="AB47" s="807" t="s">
        <v>120</v>
      </c>
      <c r="AC47" s="808"/>
      <c r="AD47" s="808"/>
      <c r="AE47" s="808"/>
      <c r="AF47" s="809"/>
      <c r="AG47" s="529"/>
      <c r="AH47" s="530"/>
      <c r="AI47" s="530"/>
      <c r="AJ47" s="530"/>
      <c r="AK47" s="735"/>
      <c r="AL47" s="529"/>
      <c r="AM47" s="530"/>
      <c r="AN47" s="530"/>
      <c r="AO47" s="530"/>
      <c r="AP47" s="531"/>
      <c r="AQ47" s="811" t="s">
        <v>59</v>
      </c>
      <c r="AR47" s="812"/>
      <c r="AS47" s="812"/>
      <c r="AT47" s="812"/>
      <c r="AU47" s="813"/>
      <c r="AV47" s="814" t="s">
        <v>60</v>
      </c>
      <c r="AW47" s="815"/>
      <c r="AX47" s="815"/>
      <c r="AY47" s="815"/>
      <c r="AZ47" s="815"/>
      <c r="BA47" s="193"/>
      <c r="BB47" s="193"/>
      <c r="BC47" s="193"/>
      <c r="BD47" s="193"/>
      <c r="BE47" s="275"/>
      <c r="BF47" s="736" t="s">
        <v>84</v>
      </c>
      <c r="BG47" s="737"/>
      <c r="BH47" s="737"/>
      <c r="BI47" s="738"/>
      <c r="BJ47" s="257" t="s">
        <v>77</v>
      </c>
      <c r="BK47" s="517"/>
      <c r="BL47" s="518"/>
      <c r="BM47" s="518"/>
      <c r="BN47" s="518"/>
      <c r="BO47" s="519"/>
    </row>
    <row r="48" spans="1:67" ht="10.5" customHeight="1" thickBot="1" x14ac:dyDescent="0.2">
      <c r="A48" s="198">
        <v>45</v>
      </c>
      <c r="B48" s="818" t="s">
        <v>283</v>
      </c>
      <c r="C48" s="819"/>
      <c r="D48" s="819"/>
      <c r="E48" s="819"/>
      <c r="F48" s="819"/>
      <c r="G48" s="819"/>
      <c r="H48" s="819"/>
      <c r="I48" s="819"/>
      <c r="J48" s="819"/>
      <c r="K48" s="819"/>
      <c r="L48" s="799"/>
      <c r="M48" s="820" t="s">
        <v>51</v>
      </c>
      <c r="N48" s="821"/>
      <c r="O48" s="821"/>
      <c r="P48" s="821"/>
      <c r="Q48" s="821"/>
      <c r="R48" s="821"/>
      <c r="S48" s="821"/>
      <c r="T48" s="822"/>
      <c r="U48" s="276" t="s">
        <v>163</v>
      </c>
      <c r="V48" s="823"/>
      <c r="W48" s="824"/>
      <c r="X48" s="824"/>
      <c r="Y48" s="824"/>
      <c r="Z48" s="825"/>
      <c r="AA48" s="115"/>
      <c r="AB48" s="826" t="s">
        <v>121</v>
      </c>
      <c r="AC48" s="827"/>
      <c r="AD48" s="827"/>
      <c r="AE48" s="827"/>
      <c r="AF48" s="828"/>
      <c r="AG48" s="829"/>
      <c r="AH48" s="830"/>
      <c r="AI48" s="830"/>
      <c r="AJ48" s="830"/>
      <c r="AK48" s="831"/>
      <c r="AL48" s="765"/>
      <c r="AM48" s="766"/>
      <c r="AN48" s="766"/>
      <c r="AO48" s="766"/>
      <c r="AP48" s="767"/>
      <c r="AQ48" s="730"/>
      <c r="AR48" s="731"/>
      <c r="AS48" s="731"/>
      <c r="AT48" s="731"/>
      <c r="AU48" s="732"/>
      <c r="AV48" s="816"/>
      <c r="AW48" s="817"/>
      <c r="AX48" s="817"/>
      <c r="AY48" s="817"/>
      <c r="AZ48" s="817"/>
      <c r="BA48" s="392" t="s">
        <v>285</v>
      </c>
      <c r="BB48" s="561"/>
      <c r="BC48" s="561"/>
      <c r="BD48" s="561"/>
      <c r="BE48" s="810"/>
      <c r="BF48" s="736" t="s">
        <v>85</v>
      </c>
      <c r="BG48" s="737"/>
      <c r="BH48" s="737"/>
      <c r="BI48" s="738"/>
      <c r="BJ48" s="257" t="s">
        <v>77</v>
      </c>
      <c r="BK48" s="517"/>
      <c r="BL48" s="518"/>
      <c r="BM48" s="518"/>
      <c r="BN48" s="518"/>
      <c r="BO48" s="519"/>
    </row>
    <row r="49" spans="1:67" ht="10.5" customHeight="1" x14ac:dyDescent="0.15">
      <c r="A49" s="198">
        <v>46</v>
      </c>
      <c r="B49" s="805" t="s">
        <v>241</v>
      </c>
      <c r="C49" s="490"/>
      <c r="D49" s="490"/>
      <c r="E49" s="490"/>
      <c r="F49" s="490"/>
      <c r="G49" s="470"/>
      <c r="H49" s="471"/>
      <c r="I49" s="471"/>
      <c r="J49" s="471"/>
      <c r="K49" s="472"/>
      <c r="L49" s="590" t="s">
        <v>243</v>
      </c>
      <c r="M49" s="591"/>
      <c r="N49" s="591"/>
      <c r="O49" s="591"/>
      <c r="P49" s="591"/>
      <c r="Q49" s="591"/>
      <c r="R49" s="591"/>
      <c r="S49" s="591"/>
      <c r="T49" s="591"/>
      <c r="U49" s="591"/>
      <c r="V49" s="591"/>
      <c r="W49" s="591"/>
      <c r="X49" s="591"/>
      <c r="Y49" s="591"/>
      <c r="Z49" s="592"/>
      <c r="AA49" s="867" t="s">
        <v>124</v>
      </c>
      <c r="AB49" s="868"/>
      <c r="AC49" s="868"/>
      <c r="AD49" s="868"/>
      <c r="AE49" s="868"/>
      <c r="AF49" s="869"/>
      <c r="AG49" s="714"/>
      <c r="AH49" s="715"/>
      <c r="AI49" s="715"/>
      <c r="AJ49" s="715"/>
      <c r="AK49" s="716"/>
      <c r="AL49" s="277"/>
      <c r="AM49" s="262"/>
      <c r="AN49" s="262"/>
      <c r="AO49" s="262"/>
      <c r="AP49" s="263"/>
      <c r="AQ49" s="447" t="s">
        <v>65</v>
      </c>
      <c r="AR49" s="835"/>
      <c r="AS49" s="835"/>
      <c r="AT49" s="835"/>
      <c r="AU49" s="836"/>
      <c r="AV49" s="470"/>
      <c r="AW49" s="471"/>
      <c r="AX49" s="471"/>
      <c r="AY49" s="471"/>
      <c r="AZ49" s="789"/>
      <c r="BA49" s="470"/>
      <c r="BB49" s="471"/>
      <c r="BC49" s="471"/>
      <c r="BD49" s="471"/>
      <c r="BE49" s="472"/>
      <c r="BF49" s="736" t="s">
        <v>144</v>
      </c>
      <c r="BG49" s="737"/>
      <c r="BH49" s="737"/>
      <c r="BI49" s="738"/>
      <c r="BJ49" s="257" t="s">
        <v>77</v>
      </c>
      <c r="BK49" s="517"/>
      <c r="BL49" s="518"/>
      <c r="BM49" s="518"/>
      <c r="BN49" s="518"/>
      <c r="BO49" s="519"/>
    </row>
    <row r="50" spans="1:67" ht="10.5" customHeight="1" thickBot="1" x14ac:dyDescent="0.2">
      <c r="A50" s="198">
        <v>47</v>
      </c>
      <c r="B50" s="790" t="s">
        <v>264</v>
      </c>
      <c r="C50" s="791"/>
      <c r="D50" s="791"/>
      <c r="E50" s="791"/>
      <c r="F50" s="791"/>
      <c r="G50" s="599"/>
      <c r="H50" s="600"/>
      <c r="I50" s="600"/>
      <c r="J50" s="600"/>
      <c r="K50" s="601"/>
      <c r="L50" s="792" t="s">
        <v>255</v>
      </c>
      <c r="M50" s="448"/>
      <c r="N50" s="448"/>
      <c r="O50" s="448"/>
      <c r="P50" s="448"/>
      <c r="Q50" s="448"/>
      <c r="R50" s="448"/>
      <c r="S50" s="448"/>
      <c r="T50" s="449"/>
      <c r="U50" s="204" t="s">
        <v>164</v>
      </c>
      <c r="V50" s="470"/>
      <c r="W50" s="471"/>
      <c r="X50" s="471"/>
      <c r="Y50" s="471"/>
      <c r="Z50" s="472"/>
      <c r="AA50" s="793" t="s">
        <v>125</v>
      </c>
      <c r="AB50" s="794"/>
      <c r="AC50" s="794"/>
      <c r="AD50" s="794"/>
      <c r="AE50" s="794"/>
      <c r="AF50" s="795"/>
      <c r="AG50" s="765"/>
      <c r="AH50" s="766"/>
      <c r="AI50" s="766"/>
      <c r="AJ50" s="766"/>
      <c r="AK50" s="767"/>
      <c r="AL50" s="278"/>
      <c r="AM50" s="240"/>
      <c r="AN50" s="240"/>
      <c r="AO50" s="240"/>
      <c r="AP50" s="240"/>
      <c r="AQ50" s="248"/>
      <c r="AR50" s="489" t="s">
        <v>66</v>
      </c>
      <c r="AS50" s="490"/>
      <c r="AT50" s="490"/>
      <c r="AU50" s="491"/>
      <c r="AV50" s="529"/>
      <c r="AW50" s="530"/>
      <c r="AX50" s="530"/>
      <c r="AY50" s="530"/>
      <c r="AZ50" s="735"/>
      <c r="BA50" s="492"/>
      <c r="BB50" s="493"/>
      <c r="BC50" s="493"/>
      <c r="BD50" s="493"/>
      <c r="BE50" s="494"/>
      <c r="BF50" s="736" t="s">
        <v>141</v>
      </c>
      <c r="BG50" s="737"/>
      <c r="BH50" s="737"/>
      <c r="BI50" s="738"/>
      <c r="BJ50" s="257" t="s">
        <v>77</v>
      </c>
      <c r="BK50" s="517"/>
      <c r="BL50" s="518"/>
      <c r="BM50" s="518"/>
      <c r="BN50" s="518"/>
      <c r="BO50" s="519"/>
    </row>
    <row r="51" spans="1:67" ht="10.5" customHeight="1" x14ac:dyDescent="0.15">
      <c r="A51" s="198">
        <v>48</v>
      </c>
      <c r="B51" s="818" t="s">
        <v>284</v>
      </c>
      <c r="C51" s="819"/>
      <c r="D51" s="819"/>
      <c r="E51" s="819"/>
      <c r="F51" s="819"/>
      <c r="G51" s="819"/>
      <c r="H51" s="819"/>
      <c r="I51" s="819"/>
      <c r="J51" s="819"/>
      <c r="K51" s="840"/>
      <c r="L51" s="490" t="s">
        <v>256</v>
      </c>
      <c r="M51" s="490"/>
      <c r="N51" s="490"/>
      <c r="O51" s="490"/>
      <c r="P51" s="490"/>
      <c r="Q51" s="490"/>
      <c r="R51" s="490"/>
      <c r="S51" s="490"/>
      <c r="T51" s="491"/>
      <c r="U51" s="206" t="s">
        <v>38</v>
      </c>
      <c r="V51" s="492"/>
      <c r="W51" s="493"/>
      <c r="X51" s="493"/>
      <c r="Y51" s="493"/>
      <c r="Z51" s="494"/>
      <c r="AA51" s="279"/>
      <c r="AB51" s="280"/>
      <c r="AC51" s="280"/>
      <c r="AD51" s="280"/>
      <c r="AE51" s="280"/>
      <c r="AF51" s="281"/>
      <c r="AG51" s="841" t="s">
        <v>117</v>
      </c>
      <c r="AH51" s="842"/>
      <c r="AI51" s="842"/>
      <c r="AJ51" s="842"/>
      <c r="AK51" s="843"/>
      <c r="AL51" s="870"/>
      <c r="AM51" s="871"/>
      <c r="AN51" s="871"/>
      <c r="AO51" s="871"/>
      <c r="AP51" s="872"/>
      <c r="AQ51" s="248"/>
      <c r="AR51" s="489" t="s">
        <v>67</v>
      </c>
      <c r="AS51" s="490"/>
      <c r="AT51" s="490"/>
      <c r="AU51" s="491"/>
      <c r="AV51" s="529"/>
      <c r="AW51" s="530"/>
      <c r="AX51" s="530"/>
      <c r="AY51" s="530"/>
      <c r="AZ51" s="735"/>
      <c r="BA51" s="492"/>
      <c r="BB51" s="493"/>
      <c r="BC51" s="493"/>
      <c r="BD51" s="493"/>
      <c r="BE51" s="494"/>
      <c r="BF51" s="736" t="s">
        <v>142</v>
      </c>
      <c r="BG51" s="737"/>
      <c r="BH51" s="737"/>
      <c r="BI51" s="738"/>
      <c r="BJ51" s="257" t="s">
        <v>77</v>
      </c>
      <c r="BK51" s="517"/>
      <c r="BL51" s="518"/>
      <c r="BM51" s="518"/>
      <c r="BN51" s="518"/>
      <c r="BO51" s="519"/>
    </row>
    <row r="52" spans="1:67" ht="10.5" customHeight="1" thickBot="1" x14ac:dyDescent="0.2">
      <c r="A52" s="198">
        <v>49</v>
      </c>
      <c r="B52" s="468" t="s">
        <v>244</v>
      </c>
      <c r="C52" s="469"/>
      <c r="D52" s="469"/>
      <c r="E52" s="469"/>
      <c r="F52" s="469"/>
      <c r="G52" s="470"/>
      <c r="H52" s="471"/>
      <c r="I52" s="471"/>
      <c r="J52" s="471"/>
      <c r="K52" s="472"/>
      <c r="L52" s="597" t="s">
        <v>257</v>
      </c>
      <c r="M52" s="597"/>
      <c r="N52" s="597"/>
      <c r="O52" s="597"/>
      <c r="P52" s="597"/>
      <c r="Q52" s="597"/>
      <c r="R52" s="597"/>
      <c r="S52" s="597"/>
      <c r="T52" s="598"/>
      <c r="U52" s="256" t="s">
        <v>164</v>
      </c>
      <c r="V52" s="599"/>
      <c r="W52" s="600"/>
      <c r="X52" s="600"/>
      <c r="Y52" s="600"/>
      <c r="Z52" s="601"/>
      <c r="AA52" s="289"/>
      <c r="AB52" s="113"/>
      <c r="AC52" s="113"/>
      <c r="AD52" s="113"/>
      <c r="AE52" s="113"/>
      <c r="AF52" s="114"/>
      <c r="AG52" s="837" t="s">
        <v>632</v>
      </c>
      <c r="AH52" s="838"/>
      <c r="AI52" s="838"/>
      <c r="AJ52" s="838"/>
      <c r="AK52" s="839"/>
      <c r="AL52" s="492"/>
      <c r="AM52" s="493"/>
      <c r="AN52" s="493"/>
      <c r="AO52" s="493"/>
      <c r="AP52" s="494"/>
      <c r="AQ52" s="282"/>
      <c r="AR52" s="489" t="s">
        <v>68</v>
      </c>
      <c r="AS52" s="490"/>
      <c r="AT52" s="490"/>
      <c r="AU52" s="491"/>
      <c r="AV52" s="529"/>
      <c r="AW52" s="530"/>
      <c r="AX52" s="530"/>
      <c r="AY52" s="530"/>
      <c r="AZ52" s="735"/>
      <c r="BA52" s="492"/>
      <c r="BB52" s="493"/>
      <c r="BC52" s="493"/>
      <c r="BD52" s="493"/>
      <c r="BE52" s="494"/>
      <c r="BF52" s="844" t="s">
        <v>289</v>
      </c>
      <c r="BG52" s="845"/>
      <c r="BH52" s="845"/>
      <c r="BI52" s="846"/>
      <c r="BJ52" s="257" t="s">
        <v>77</v>
      </c>
      <c r="BK52" s="517"/>
      <c r="BL52" s="518"/>
      <c r="BM52" s="518"/>
      <c r="BN52" s="518"/>
      <c r="BO52" s="519"/>
    </row>
    <row r="53" spans="1:67" ht="10.5" customHeight="1" x14ac:dyDescent="0.15">
      <c r="A53" s="198">
        <v>50</v>
      </c>
      <c r="B53" s="805" t="s">
        <v>245</v>
      </c>
      <c r="C53" s="490"/>
      <c r="D53" s="490"/>
      <c r="E53" s="490"/>
      <c r="F53" s="490"/>
      <c r="G53" s="492"/>
      <c r="H53" s="493"/>
      <c r="I53" s="493"/>
      <c r="J53" s="493"/>
      <c r="K53" s="494"/>
      <c r="AA53" s="113"/>
      <c r="AB53" s="113"/>
      <c r="AC53" s="113"/>
      <c r="AD53" s="113"/>
      <c r="AE53" s="113"/>
      <c r="AF53" s="114"/>
      <c r="AG53" s="847" t="s">
        <v>633</v>
      </c>
      <c r="AH53" s="808"/>
      <c r="AI53" s="808"/>
      <c r="AJ53" s="808"/>
      <c r="AK53" s="809"/>
      <c r="AL53" s="492"/>
      <c r="AM53" s="493"/>
      <c r="AN53" s="493"/>
      <c r="AO53" s="493"/>
      <c r="AP53" s="494"/>
      <c r="AQ53" s="283"/>
      <c r="AR53" s="569" t="s">
        <v>69</v>
      </c>
      <c r="AS53" s="570"/>
      <c r="AT53" s="570"/>
      <c r="AU53" s="571"/>
      <c r="AV53" s="639"/>
      <c r="AW53" s="640"/>
      <c r="AX53" s="640"/>
      <c r="AY53" s="640"/>
      <c r="AZ53" s="850"/>
      <c r="BA53" s="520"/>
      <c r="BB53" s="521"/>
      <c r="BC53" s="521"/>
      <c r="BD53" s="521"/>
      <c r="BE53" s="522"/>
      <c r="BF53" s="736" t="s">
        <v>143</v>
      </c>
      <c r="BG53" s="737"/>
      <c r="BH53" s="737"/>
      <c r="BI53" s="738"/>
      <c r="BJ53" s="257" t="s">
        <v>77</v>
      </c>
      <c r="BK53" s="517"/>
      <c r="BL53" s="518"/>
      <c r="BM53" s="518"/>
      <c r="BN53" s="518"/>
      <c r="BO53" s="519"/>
    </row>
    <row r="54" spans="1:67" ht="10.5" customHeight="1" thickBot="1" x14ac:dyDescent="0.2">
      <c r="A54" s="198">
        <v>51</v>
      </c>
      <c r="B54" s="851" t="s">
        <v>252</v>
      </c>
      <c r="C54" s="597"/>
      <c r="D54" s="597"/>
      <c r="E54" s="597"/>
      <c r="F54" s="597"/>
      <c r="G54" s="599"/>
      <c r="H54" s="600"/>
      <c r="I54" s="600"/>
      <c r="J54" s="600"/>
      <c r="K54" s="601"/>
      <c r="AA54" s="113"/>
      <c r="AB54" s="113"/>
      <c r="AC54" s="113"/>
      <c r="AD54" s="113"/>
      <c r="AE54" s="113"/>
      <c r="AF54" s="114"/>
      <c r="AG54" s="847" t="s">
        <v>635</v>
      </c>
      <c r="AH54" s="808"/>
      <c r="AI54" s="808"/>
      <c r="AJ54" s="808"/>
      <c r="AK54" s="809"/>
      <c r="AL54" s="492"/>
      <c r="AM54" s="493"/>
      <c r="AN54" s="493"/>
      <c r="AO54" s="493"/>
      <c r="AP54" s="494"/>
      <c r="AQ54" s="447" t="s">
        <v>70</v>
      </c>
      <c r="AR54" s="835"/>
      <c r="AS54" s="835"/>
      <c r="AT54" s="835"/>
      <c r="AU54" s="836"/>
      <c r="AV54" s="470"/>
      <c r="AW54" s="471"/>
      <c r="AX54" s="471"/>
      <c r="AY54" s="471"/>
      <c r="AZ54" s="789"/>
      <c r="BA54" s="470"/>
      <c r="BB54" s="471"/>
      <c r="BC54" s="471"/>
      <c r="BD54" s="471"/>
      <c r="BE54" s="472"/>
      <c r="BF54" s="736" t="s">
        <v>86</v>
      </c>
      <c r="BG54" s="737"/>
      <c r="BH54" s="737"/>
      <c r="BI54" s="738"/>
      <c r="BJ54" s="257" t="s">
        <v>77</v>
      </c>
      <c r="BK54" s="517"/>
      <c r="BL54" s="518"/>
      <c r="BM54" s="518"/>
      <c r="BN54" s="518"/>
      <c r="BO54" s="519"/>
    </row>
    <row r="55" spans="1:67" ht="10.5" customHeight="1" thickBot="1" x14ac:dyDescent="0.2">
      <c r="A55" s="198">
        <v>52</v>
      </c>
      <c r="B55" s="818" t="s">
        <v>288</v>
      </c>
      <c r="C55" s="819"/>
      <c r="D55" s="819"/>
      <c r="E55" s="819"/>
      <c r="F55" s="819"/>
      <c r="G55" s="819"/>
      <c r="H55" s="819"/>
      <c r="I55" s="819"/>
      <c r="J55" s="819"/>
      <c r="K55" s="840"/>
      <c r="AA55" s="113"/>
      <c r="AB55" s="113"/>
      <c r="AC55" s="113"/>
      <c r="AD55" s="113"/>
      <c r="AE55" s="113"/>
      <c r="AF55" s="114"/>
      <c r="AG55" s="847" t="s">
        <v>634</v>
      </c>
      <c r="AH55" s="808"/>
      <c r="AI55" s="808"/>
      <c r="AJ55" s="808"/>
      <c r="AK55" s="809"/>
      <c r="AL55" s="492"/>
      <c r="AM55" s="493"/>
      <c r="AN55" s="493"/>
      <c r="AO55" s="493"/>
      <c r="AP55" s="494"/>
      <c r="AQ55" s="282"/>
      <c r="AR55" s="489" t="s">
        <v>72</v>
      </c>
      <c r="AS55" s="490"/>
      <c r="AT55" s="490"/>
      <c r="AU55" s="491"/>
      <c r="AV55" s="529"/>
      <c r="AW55" s="530"/>
      <c r="AX55" s="530"/>
      <c r="AY55" s="530"/>
      <c r="AZ55" s="735"/>
      <c r="BA55" s="492"/>
      <c r="BB55" s="493"/>
      <c r="BC55" s="493"/>
      <c r="BD55" s="493"/>
      <c r="BE55" s="494"/>
      <c r="BF55" s="848" t="s">
        <v>87</v>
      </c>
      <c r="BG55" s="848"/>
      <c r="BH55" s="848"/>
      <c r="BI55" s="849"/>
      <c r="BJ55" s="284" t="s">
        <v>77</v>
      </c>
      <c r="BK55" s="720"/>
      <c r="BL55" s="721"/>
      <c r="BM55" s="721"/>
      <c r="BN55" s="721"/>
      <c r="BO55" s="722"/>
    </row>
    <row r="56" spans="1:67" ht="10.5" customHeight="1" thickBot="1" x14ac:dyDescent="0.2">
      <c r="A56" s="198">
        <v>53</v>
      </c>
      <c r="B56" s="832" t="s">
        <v>178</v>
      </c>
      <c r="C56" s="729"/>
      <c r="D56" s="729"/>
      <c r="E56" s="729"/>
      <c r="F56" s="729"/>
      <c r="G56" s="853"/>
      <c r="H56" s="854"/>
      <c r="I56" s="854"/>
      <c r="J56" s="854"/>
      <c r="K56" s="855"/>
      <c r="L56" s="251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85"/>
      <c r="AB56" s="285"/>
      <c r="AC56" s="285"/>
      <c r="AD56" s="285"/>
      <c r="AE56" s="285"/>
      <c r="AF56" s="285"/>
      <c r="AG56" s="856" t="s">
        <v>636</v>
      </c>
      <c r="AH56" s="857"/>
      <c r="AI56" s="857"/>
      <c r="AJ56" s="857"/>
      <c r="AK56" s="858"/>
      <c r="AL56" s="599"/>
      <c r="AM56" s="600"/>
      <c r="AN56" s="600"/>
      <c r="AO56" s="600"/>
      <c r="AP56" s="601"/>
      <c r="AQ56" s="286"/>
      <c r="AR56" s="596" t="s">
        <v>71</v>
      </c>
      <c r="AS56" s="597"/>
      <c r="AT56" s="597"/>
      <c r="AU56" s="598"/>
      <c r="AV56" s="765"/>
      <c r="AW56" s="766"/>
      <c r="AX56" s="766"/>
      <c r="AY56" s="766"/>
      <c r="AZ56" s="859"/>
      <c r="BA56" s="599"/>
      <c r="BB56" s="600"/>
      <c r="BC56" s="600"/>
      <c r="BD56" s="600"/>
      <c r="BE56" s="601"/>
      <c r="BF56" s="287"/>
      <c r="BG56" s="252"/>
      <c r="BH56" s="252"/>
      <c r="BI56" s="252"/>
      <c r="BJ56" s="252"/>
      <c r="BK56" s="852"/>
      <c r="BL56" s="852"/>
      <c r="BM56" s="852"/>
      <c r="BN56" s="852"/>
      <c r="BO56" s="860"/>
    </row>
    <row r="57" spans="1:67" ht="10.5" customHeight="1" x14ac:dyDescent="0.15">
      <c r="B57" s="852">
        <v>1</v>
      </c>
      <c r="C57" s="852"/>
      <c r="D57" s="852"/>
      <c r="E57" s="852"/>
      <c r="F57" s="852"/>
      <c r="G57" s="852">
        <v>2</v>
      </c>
      <c r="H57" s="852"/>
      <c r="I57" s="852"/>
      <c r="J57" s="852"/>
      <c r="K57" s="852"/>
      <c r="L57" s="852">
        <v>3</v>
      </c>
      <c r="M57" s="852"/>
      <c r="N57" s="852"/>
      <c r="O57" s="852"/>
      <c r="P57" s="852"/>
      <c r="Q57" s="852">
        <v>4</v>
      </c>
      <c r="R57" s="852"/>
      <c r="S57" s="852"/>
      <c r="T57" s="852"/>
      <c r="U57" s="852"/>
      <c r="V57" s="852">
        <v>5</v>
      </c>
      <c r="W57" s="852"/>
      <c r="X57" s="852"/>
      <c r="Y57" s="852"/>
      <c r="Z57" s="852"/>
      <c r="AA57" s="852">
        <v>6</v>
      </c>
      <c r="AB57" s="852"/>
      <c r="AC57" s="852"/>
      <c r="AD57" s="852"/>
      <c r="AE57" s="852"/>
      <c r="AF57" s="852"/>
      <c r="AG57" s="852">
        <v>7</v>
      </c>
      <c r="AH57" s="852"/>
      <c r="AI57" s="852"/>
      <c r="AJ57" s="852"/>
      <c r="AK57" s="852"/>
      <c r="AL57" s="852">
        <v>8</v>
      </c>
      <c r="AM57" s="852"/>
      <c r="AN57" s="852"/>
      <c r="AO57" s="852"/>
      <c r="AP57" s="852"/>
      <c r="AQ57" s="852">
        <v>9</v>
      </c>
      <c r="AR57" s="852"/>
      <c r="AS57" s="852"/>
      <c r="AT57" s="852"/>
      <c r="AU57" s="852"/>
      <c r="AV57" s="852">
        <v>10</v>
      </c>
      <c r="AW57" s="852"/>
      <c r="AX57" s="852"/>
      <c r="AY57" s="852"/>
      <c r="AZ57" s="852"/>
      <c r="BA57" s="852">
        <v>11</v>
      </c>
      <c r="BB57" s="852"/>
      <c r="BC57" s="852"/>
      <c r="BD57" s="852"/>
      <c r="BE57" s="852"/>
      <c r="BF57" s="852">
        <v>12</v>
      </c>
      <c r="BG57" s="852"/>
      <c r="BH57" s="852"/>
      <c r="BI57" s="852"/>
      <c r="BJ57" s="852"/>
      <c r="BK57" s="861">
        <v>13</v>
      </c>
      <c r="BL57" s="861"/>
      <c r="BM57" s="861"/>
      <c r="BN57" s="861"/>
      <c r="BO57" s="861"/>
    </row>
    <row r="58" spans="1:67" ht="10.5" customHeight="1" x14ac:dyDescent="0.15"/>
    <row r="59" spans="1:67" ht="12.75" customHeight="1" x14ac:dyDescent="0.15">
      <c r="AH59" s="873"/>
      <c r="AI59" s="873"/>
      <c r="AJ59" s="873"/>
      <c r="AK59" s="873"/>
      <c r="AL59" s="873"/>
      <c r="AM59" s="874"/>
      <c r="AN59" s="874"/>
      <c r="AO59" s="874"/>
      <c r="AP59" s="874"/>
      <c r="AQ59" s="874"/>
    </row>
    <row r="60" spans="1:67" ht="12.75" customHeight="1" x14ac:dyDescent="0.15"/>
    <row r="61" spans="1:67" ht="12.75" customHeight="1" x14ac:dyDescent="0.15"/>
    <row r="62" spans="1:67" ht="12.75" customHeight="1" x14ac:dyDescent="0.15">
      <c r="C62" s="196"/>
      <c r="D62" s="196"/>
      <c r="E62" s="196"/>
      <c r="F62" s="196"/>
    </row>
    <row r="63" spans="1:67" ht="12.75" customHeight="1" x14ac:dyDescent="0.15">
      <c r="C63" s="196"/>
      <c r="D63" s="196"/>
      <c r="E63" s="196"/>
      <c r="F63" s="196"/>
    </row>
    <row r="64" spans="1:67" ht="12.75" customHeight="1" x14ac:dyDescent="0.15">
      <c r="C64" s="196"/>
      <c r="D64" s="196"/>
      <c r="E64" s="196"/>
      <c r="F64" s="196"/>
    </row>
    <row r="65" spans="3:6" ht="12.75" customHeight="1" x14ac:dyDescent="0.15">
      <c r="C65" s="196"/>
      <c r="D65" s="196"/>
      <c r="E65" s="196"/>
      <c r="F65" s="196"/>
    </row>
    <row r="66" spans="3:6" ht="12.75" customHeight="1" x14ac:dyDescent="0.15">
      <c r="C66" s="196"/>
      <c r="D66" s="196"/>
      <c r="E66" s="196"/>
      <c r="F66" s="196"/>
    </row>
    <row r="67" spans="3:6" ht="12.75" customHeight="1" x14ac:dyDescent="0.15">
      <c r="C67" s="196"/>
      <c r="D67" s="196"/>
      <c r="E67" s="196"/>
      <c r="F67" s="196"/>
    </row>
    <row r="68" spans="3:6" ht="12.75" customHeight="1" x14ac:dyDescent="0.15">
      <c r="C68" s="196"/>
      <c r="D68" s="196"/>
      <c r="E68" s="196"/>
      <c r="F68" s="196"/>
    </row>
    <row r="69" spans="3:6" ht="12.75" customHeight="1" x14ac:dyDescent="0.15">
      <c r="C69" s="196"/>
      <c r="D69" s="196"/>
      <c r="E69" s="196"/>
      <c r="F69" s="196"/>
    </row>
    <row r="70" spans="3:6" ht="12.75" customHeight="1" x14ac:dyDescent="0.15">
      <c r="C70" s="196"/>
      <c r="D70" s="196"/>
      <c r="E70" s="196"/>
      <c r="F70" s="196"/>
    </row>
    <row r="71" spans="3:6" ht="12.75" customHeight="1" x14ac:dyDescent="0.15">
      <c r="C71" s="196"/>
      <c r="D71" s="196"/>
      <c r="E71" s="196"/>
      <c r="F71" s="196"/>
    </row>
    <row r="72" spans="3:6" ht="12.75" customHeight="1" x14ac:dyDescent="0.15">
      <c r="C72" s="196"/>
      <c r="D72" s="196"/>
      <c r="E72" s="196"/>
      <c r="F72" s="196"/>
    </row>
    <row r="73" spans="3:6" ht="12.75" customHeight="1" x14ac:dyDescent="0.15">
      <c r="C73" s="196"/>
      <c r="D73" s="196"/>
      <c r="E73" s="196"/>
      <c r="F73" s="196"/>
    </row>
    <row r="74" spans="3:6" ht="12.75" customHeight="1" x14ac:dyDescent="0.15">
      <c r="C74" s="196"/>
      <c r="D74" s="196"/>
      <c r="E74" s="196"/>
      <c r="F74" s="196"/>
    </row>
    <row r="75" spans="3:6" ht="12.75" customHeight="1" x14ac:dyDescent="0.15">
      <c r="C75" s="196"/>
      <c r="D75" s="196"/>
      <c r="E75" s="196"/>
      <c r="F75" s="196"/>
    </row>
    <row r="76" spans="3:6" ht="12.75" customHeight="1" x14ac:dyDescent="0.15">
      <c r="C76" s="196"/>
      <c r="D76" s="196"/>
      <c r="E76" s="196"/>
      <c r="F76" s="196"/>
    </row>
    <row r="77" spans="3:6" ht="12.75" customHeight="1" x14ac:dyDescent="0.15">
      <c r="C77" s="196"/>
      <c r="D77" s="196"/>
      <c r="E77" s="196"/>
      <c r="F77" s="196"/>
    </row>
    <row r="78" spans="3:6" ht="12.75" customHeight="1" x14ac:dyDescent="0.15">
      <c r="C78" s="196"/>
      <c r="D78" s="196"/>
      <c r="E78" s="196"/>
      <c r="F78" s="196"/>
    </row>
    <row r="79" spans="3:6" ht="12.75" customHeight="1" x14ac:dyDescent="0.15">
      <c r="C79" s="196"/>
      <c r="D79" s="196"/>
      <c r="E79" s="196"/>
      <c r="F79" s="196"/>
    </row>
    <row r="80" spans="3:6" ht="12.75" customHeight="1" x14ac:dyDescent="0.15">
      <c r="C80" s="196"/>
      <c r="D80" s="196"/>
      <c r="E80" s="196"/>
      <c r="F80" s="196"/>
    </row>
    <row r="81" spans="3:6" ht="12.75" customHeight="1" x14ac:dyDescent="0.15">
      <c r="C81" s="196"/>
      <c r="D81" s="196"/>
      <c r="E81" s="196"/>
      <c r="F81" s="196"/>
    </row>
    <row r="82" spans="3:6" ht="12.75" customHeight="1" x14ac:dyDescent="0.15">
      <c r="C82" s="196"/>
      <c r="D82" s="196"/>
      <c r="E82" s="196"/>
      <c r="F82" s="196"/>
    </row>
    <row r="83" spans="3:6" x14ac:dyDescent="0.15">
      <c r="C83" s="196"/>
      <c r="D83" s="196"/>
      <c r="E83" s="196"/>
      <c r="F83" s="196"/>
    </row>
    <row r="87" spans="3:6" x14ac:dyDescent="0.15">
      <c r="C87" s="196"/>
      <c r="D87" s="196"/>
      <c r="E87" s="196"/>
      <c r="F87" s="196"/>
    </row>
    <row r="88" spans="3:6" x14ac:dyDescent="0.15">
      <c r="C88" s="196"/>
      <c r="D88" s="196"/>
      <c r="E88" s="196"/>
      <c r="F88" s="196"/>
    </row>
    <row r="89" spans="3:6" x14ac:dyDescent="0.15">
      <c r="C89" s="196"/>
      <c r="D89" s="196"/>
      <c r="E89" s="196"/>
      <c r="F89" s="196"/>
    </row>
    <row r="90" spans="3:6" x14ac:dyDescent="0.15">
      <c r="C90" s="196"/>
      <c r="D90" s="196"/>
      <c r="E90" s="196"/>
      <c r="F90" s="196"/>
    </row>
    <row r="91" spans="3:6" x14ac:dyDescent="0.15">
      <c r="C91" s="196"/>
      <c r="D91" s="196"/>
      <c r="E91" s="196"/>
      <c r="F91" s="196"/>
    </row>
    <row r="92" spans="3:6" x14ac:dyDescent="0.15">
      <c r="C92" s="196"/>
      <c r="D92" s="196"/>
      <c r="E92" s="196"/>
      <c r="F92" s="196"/>
    </row>
    <row r="93" spans="3:6" x14ac:dyDescent="0.15">
      <c r="C93" s="196"/>
      <c r="D93" s="196"/>
      <c r="E93" s="196"/>
      <c r="F93" s="196"/>
    </row>
    <row r="94" spans="3:6" x14ac:dyDescent="0.15">
      <c r="C94" s="196"/>
      <c r="D94" s="196"/>
      <c r="E94" s="196"/>
      <c r="F94" s="196"/>
    </row>
    <row r="95" spans="3:6" x14ac:dyDescent="0.15">
      <c r="C95" s="196"/>
      <c r="D95" s="196"/>
      <c r="E95" s="196"/>
      <c r="F95" s="196"/>
    </row>
    <row r="96" spans="3:6" x14ac:dyDescent="0.15">
      <c r="C96" s="196"/>
      <c r="D96" s="196"/>
      <c r="E96" s="196"/>
      <c r="F96" s="196"/>
    </row>
    <row r="97" spans="3:6" x14ac:dyDescent="0.15">
      <c r="C97" s="196"/>
      <c r="D97" s="196"/>
      <c r="E97" s="196"/>
      <c r="F97" s="196"/>
    </row>
    <row r="98" spans="3:6" x14ac:dyDescent="0.15">
      <c r="C98" s="196"/>
      <c r="D98" s="196"/>
      <c r="E98" s="196"/>
      <c r="F98" s="196"/>
    </row>
  </sheetData>
  <mergeCells count="605">
    <mergeCell ref="BF54:BI54"/>
    <mergeCell ref="AB45:AF45"/>
    <mergeCell ref="AA49:AF49"/>
    <mergeCell ref="AL51:AP51"/>
    <mergeCell ref="AH59:AL59"/>
    <mergeCell ref="AM59:AQ59"/>
    <mergeCell ref="AD38:AF38"/>
    <mergeCell ref="AA42:AF43"/>
    <mergeCell ref="AG42:AK43"/>
    <mergeCell ref="AL43:AP43"/>
    <mergeCell ref="AQ43:AU43"/>
    <mergeCell ref="AA44:AF44"/>
    <mergeCell ref="AG44:AK44"/>
    <mergeCell ref="AR52:AU52"/>
    <mergeCell ref="AG50:AK50"/>
    <mergeCell ref="AR50:AU50"/>
    <mergeCell ref="AL47:AP47"/>
    <mergeCell ref="AL39:AP39"/>
    <mergeCell ref="AQ39:AU39"/>
    <mergeCell ref="AV51:AZ51"/>
    <mergeCell ref="BA51:BE51"/>
    <mergeCell ref="BF51:BI51"/>
    <mergeCell ref="BF46:BI46"/>
    <mergeCell ref="AQ44:AU44"/>
    <mergeCell ref="AB12:AF12"/>
    <mergeCell ref="AC13:AF13"/>
    <mergeCell ref="AD14:AF14"/>
    <mergeCell ref="AE15:AF15"/>
    <mergeCell ref="AD23:AF23"/>
    <mergeCell ref="AE24:AF24"/>
    <mergeCell ref="AC26:AF26"/>
    <mergeCell ref="AD27:AF27"/>
    <mergeCell ref="AG57:AK57"/>
    <mergeCell ref="AG28:AK28"/>
    <mergeCell ref="AG20:AK20"/>
    <mergeCell ref="AG46:AK46"/>
    <mergeCell ref="B57:F57"/>
    <mergeCell ref="G57:K57"/>
    <mergeCell ref="L57:P57"/>
    <mergeCell ref="Q57:U57"/>
    <mergeCell ref="V57:Z57"/>
    <mergeCell ref="AA57:AF57"/>
    <mergeCell ref="BK55:BO55"/>
    <mergeCell ref="B56:F56"/>
    <mergeCell ref="G56:K56"/>
    <mergeCell ref="AG56:AK56"/>
    <mergeCell ref="AL56:AP56"/>
    <mergeCell ref="AR56:AU56"/>
    <mergeCell ref="AV56:AZ56"/>
    <mergeCell ref="BA56:BE56"/>
    <mergeCell ref="BK56:BO56"/>
    <mergeCell ref="BK57:BO57"/>
    <mergeCell ref="AL57:AP57"/>
    <mergeCell ref="AQ57:AU57"/>
    <mergeCell ref="AV57:AZ57"/>
    <mergeCell ref="BA57:BE57"/>
    <mergeCell ref="BF57:BJ57"/>
    <mergeCell ref="B53:F53"/>
    <mergeCell ref="G53:K53"/>
    <mergeCell ref="AG53:AK53"/>
    <mergeCell ref="AL53:AP53"/>
    <mergeCell ref="AR53:AU53"/>
    <mergeCell ref="BK54:BO54"/>
    <mergeCell ref="B55:K55"/>
    <mergeCell ref="AG55:AK55"/>
    <mergeCell ref="AL55:AP55"/>
    <mergeCell ref="AR55:AU55"/>
    <mergeCell ref="AV55:AZ55"/>
    <mergeCell ref="BA55:BE55"/>
    <mergeCell ref="BF55:BI55"/>
    <mergeCell ref="AV53:AZ53"/>
    <mergeCell ref="BA53:BE53"/>
    <mergeCell ref="BF53:BI53"/>
    <mergeCell ref="BK53:BO53"/>
    <mergeCell ref="B54:F54"/>
    <mergeCell ref="G54:K54"/>
    <mergeCell ref="AG54:AK54"/>
    <mergeCell ref="AL54:AP54"/>
    <mergeCell ref="AQ54:AU54"/>
    <mergeCell ref="AV54:AZ54"/>
    <mergeCell ref="BA54:BE54"/>
    <mergeCell ref="BK51:BO51"/>
    <mergeCell ref="B52:F52"/>
    <mergeCell ref="G52:K52"/>
    <mergeCell ref="L52:T52"/>
    <mergeCell ref="V52:Z52"/>
    <mergeCell ref="AG52:AK52"/>
    <mergeCell ref="AL52:AP52"/>
    <mergeCell ref="B51:K51"/>
    <mergeCell ref="L51:T51"/>
    <mergeCell ref="V51:Z51"/>
    <mergeCell ref="AG51:AK51"/>
    <mergeCell ref="AR51:AU51"/>
    <mergeCell ref="AV52:AZ52"/>
    <mergeCell ref="BA52:BE52"/>
    <mergeCell ref="BF52:BI52"/>
    <mergeCell ref="BK52:BO52"/>
    <mergeCell ref="AV50:AZ50"/>
    <mergeCell ref="BA50:BE50"/>
    <mergeCell ref="BF50:BI50"/>
    <mergeCell ref="BK50:BO50"/>
    <mergeCell ref="AQ49:AU49"/>
    <mergeCell ref="AV49:AZ49"/>
    <mergeCell ref="BA49:BE49"/>
    <mergeCell ref="BF49:BI49"/>
    <mergeCell ref="BK49:BO49"/>
    <mergeCell ref="AL48:AP48"/>
    <mergeCell ref="BA48:BE48"/>
    <mergeCell ref="BF48:BI48"/>
    <mergeCell ref="BK48:BO48"/>
    <mergeCell ref="B49:F49"/>
    <mergeCell ref="G49:K49"/>
    <mergeCell ref="L49:Z49"/>
    <mergeCell ref="AG49:AK49"/>
    <mergeCell ref="AQ47:AU48"/>
    <mergeCell ref="AV47:AZ48"/>
    <mergeCell ref="BF47:BI47"/>
    <mergeCell ref="BK47:BO47"/>
    <mergeCell ref="B48:K48"/>
    <mergeCell ref="M48:T48"/>
    <mergeCell ref="V48:Z48"/>
    <mergeCell ref="AB48:AF48"/>
    <mergeCell ref="AG48:AK48"/>
    <mergeCell ref="B47:F47"/>
    <mergeCell ref="G47:K47"/>
    <mergeCell ref="M47:T47"/>
    <mergeCell ref="V47:Z47"/>
    <mergeCell ref="AB47:AF47"/>
    <mergeCell ref="AG47:AK47"/>
    <mergeCell ref="B50:F50"/>
    <mergeCell ref="G50:K50"/>
    <mergeCell ref="L50:T50"/>
    <mergeCell ref="V50:Z50"/>
    <mergeCell ref="AA50:AF50"/>
    <mergeCell ref="BA44:BE44"/>
    <mergeCell ref="BF44:BI44"/>
    <mergeCell ref="BK44:BO44"/>
    <mergeCell ref="B45:F45"/>
    <mergeCell ref="G45:K45"/>
    <mergeCell ref="L45:L48"/>
    <mergeCell ref="M45:T45"/>
    <mergeCell ref="V45:Z45"/>
    <mergeCell ref="AG45:AK45"/>
    <mergeCell ref="AL45:AP45"/>
    <mergeCell ref="AQ45:AU45"/>
    <mergeCell ref="BA45:BE45"/>
    <mergeCell ref="BG45:BI45"/>
    <mergeCell ref="BK45:BO45"/>
    <mergeCell ref="B46:F46"/>
    <mergeCell ref="G46:K46"/>
    <mergeCell ref="M46:T46"/>
    <mergeCell ref="V46:Z46"/>
    <mergeCell ref="AB46:AF46"/>
    <mergeCell ref="AL46:AP46"/>
    <mergeCell ref="AW46:AZ46"/>
    <mergeCell ref="BA46:BE46"/>
    <mergeCell ref="BK46:BO46"/>
    <mergeCell ref="BA42:BE42"/>
    <mergeCell ref="BF42:BI42"/>
    <mergeCell ref="BK42:BO42"/>
    <mergeCell ref="C43:F43"/>
    <mergeCell ref="G43:K43"/>
    <mergeCell ref="M43:T43"/>
    <mergeCell ref="V43:Z43"/>
    <mergeCell ref="AW43:AY45"/>
    <mergeCell ref="BA43:BE43"/>
    <mergeCell ref="BF43:BI43"/>
    <mergeCell ref="BK43:BO43"/>
    <mergeCell ref="B44:K44"/>
    <mergeCell ref="M44:T44"/>
    <mergeCell ref="V44:Z44"/>
    <mergeCell ref="AL44:AP44"/>
    <mergeCell ref="AY41:AZ41"/>
    <mergeCell ref="BA41:BE41"/>
    <mergeCell ref="BF41:BI41"/>
    <mergeCell ref="BK41:BO41"/>
    <mergeCell ref="B42:F42"/>
    <mergeCell ref="G42:K42"/>
    <mergeCell ref="M42:T42"/>
    <mergeCell ref="V42:Z42"/>
    <mergeCell ref="AX42:AZ42"/>
    <mergeCell ref="C41:F41"/>
    <mergeCell ref="G41:K41"/>
    <mergeCell ref="L41:L44"/>
    <mergeCell ref="M41:T41"/>
    <mergeCell ref="V41:Z41"/>
    <mergeCell ref="B40:F40"/>
    <mergeCell ref="G40:K40"/>
    <mergeCell ref="L40:Z40"/>
    <mergeCell ref="AG40:AK40"/>
    <mergeCell ref="AC40:AF40"/>
    <mergeCell ref="BK38:BO38"/>
    <mergeCell ref="B39:F39"/>
    <mergeCell ref="G39:K39"/>
    <mergeCell ref="Q39:T39"/>
    <mergeCell ref="V39:Z39"/>
    <mergeCell ref="AD39:AF39"/>
    <mergeCell ref="AG39:AK39"/>
    <mergeCell ref="BA40:BE40"/>
    <mergeCell ref="BF40:BI40"/>
    <mergeCell ref="BK40:BO40"/>
    <mergeCell ref="BA36:BE36"/>
    <mergeCell ref="BF36:BO36"/>
    <mergeCell ref="B37:F37"/>
    <mergeCell ref="G37:K37"/>
    <mergeCell ref="M37:P39"/>
    <mergeCell ref="Q37:T37"/>
    <mergeCell ref="V37:Z37"/>
    <mergeCell ref="AC37:AF37"/>
    <mergeCell ref="AG37:AK37"/>
    <mergeCell ref="AY37:AZ37"/>
    <mergeCell ref="BA37:BE37"/>
    <mergeCell ref="BF37:BJ37"/>
    <mergeCell ref="BK37:BO37"/>
    <mergeCell ref="B38:K38"/>
    <mergeCell ref="Q38:T38"/>
    <mergeCell ref="V38:Z38"/>
    <mergeCell ref="AG38:AK38"/>
    <mergeCell ref="AY39:AZ39"/>
    <mergeCell ref="BA39:BE39"/>
    <mergeCell ref="BF39:BI39"/>
    <mergeCell ref="BK39:BO39"/>
    <mergeCell ref="AX38:AZ38"/>
    <mergeCell ref="BA38:BE38"/>
    <mergeCell ref="BF38:BI38"/>
    <mergeCell ref="B36:F36"/>
    <mergeCell ref="G36:K36"/>
    <mergeCell ref="M36:T36"/>
    <mergeCell ref="V36:Z36"/>
    <mergeCell ref="AC36:AF36"/>
    <mergeCell ref="AG36:AK36"/>
    <mergeCell ref="AL36:AP36"/>
    <mergeCell ref="AQ36:AU36"/>
    <mergeCell ref="AX36:AZ36"/>
    <mergeCell ref="BK34:BO34"/>
    <mergeCell ref="B35:F35"/>
    <mergeCell ref="G35:K35"/>
    <mergeCell ref="M35:T35"/>
    <mergeCell ref="V35:Z35"/>
    <mergeCell ref="AG35:AK35"/>
    <mergeCell ref="AX35:AZ35"/>
    <mergeCell ref="BA35:BE35"/>
    <mergeCell ref="BH35:BI35"/>
    <mergeCell ref="AX34:AZ34"/>
    <mergeCell ref="BA34:BE34"/>
    <mergeCell ref="BF34:BG35"/>
    <mergeCell ref="BH34:BI34"/>
    <mergeCell ref="D34:F34"/>
    <mergeCell ref="G34:K34"/>
    <mergeCell ref="Q34:T34"/>
    <mergeCell ref="V34:Z34"/>
    <mergeCell ref="AG34:AK34"/>
    <mergeCell ref="BK35:BO35"/>
    <mergeCell ref="AB34:AF34"/>
    <mergeCell ref="AC35:AF35"/>
    <mergeCell ref="B31:C34"/>
    <mergeCell ref="D31:D32"/>
    <mergeCell ref="E31:F31"/>
    <mergeCell ref="BF32:BG33"/>
    <mergeCell ref="BH32:BI32"/>
    <mergeCell ref="BK32:BO32"/>
    <mergeCell ref="BH31:BI31"/>
    <mergeCell ref="BK31:BO31"/>
    <mergeCell ref="E32:F32"/>
    <mergeCell ref="G32:K32"/>
    <mergeCell ref="M32:P34"/>
    <mergeCell ref="Q32:T32"/>
    <mergeCell ref="V32:Z32"/>
    <mergeCell ref="AG32:AK32"/>
    <mergeCell ref="AM32:AP32"/>
    <mergeCell ref="AG31:AK31"/>
    <mergeCell ref="AQ31:AU31"/>
    <mergeCell ref="AX31:AZ31"/>
    <mergeCell ref="BA31:BE31"/>
    <mergeCell ref="AM33:AP33"/>
    <mergeCell ref="AQ33:AU33"/>
    <mergeCell ref="AX33:AZ33"/>
    <mergeCell ref="BA33:BE33"/>
    <mergeCell ref="BH33:BI33"/>
    <mergeCell ref="BK33:BO33"/>
    <mergeCell ref="D33:F33"/>
    <mergeCell ref="G33:K33"/>
    <mergeCell ref="AQ32:AU32"/>
    <mergeCell ref="AX32:AZ32"/>
    <mergeCell ref="BA32:BE32"/>
    <mergeCell ref="Q33:T33"/>
    <mergeCell ref="V33:Z33"/>
    <mergeCell ref="AG33:AK33"/>
    <mergeCell ref="AD31:AF31"/>
    <mergeCell ref="AC32:AF32"/>
    <mergeCell ref="AD33:AF33"/>
    <mergeCell ref="BA29:BE29"/>
    <mergeCell ref="BH29:BI29"/>
    <mergeCell ref="AX28:AZ28"/>
    <mergeCell ref="BA28:BE28"/>
    <mergeCell ref="BH28:BI28"/>
    <mergeCell ref="BK29:BO29"/>
    <mergeCell ref="D30:F30"/>
    <mergeCell ref="G30:K30"/>
    <mergeCell ref="Q30:T30"/>
    <mergeCell ref="V30:Z30"/>
    <mergeCell ref="AE30:AF30"/>
    <mergeCell ref="AG30:AK30"/>
    <mergeCell ref="AL30:AP30"/>
    <mergeCell ref="AQ30:AU30"/>
    <mergeCell ref="AX30:AZ30"/>
    <mergeCell ref="BA30:BE30"/>
    <mergeCell ref="BF30:BG31"/>
    <mergeCell ref="BH30:BI30"/>
    <mergeCell ref="BK30:BO30"/>
    <mergeCell ref="AE28:AF28"/>
    <mergeCell ref="G31:K31"/>
    <mergeCell ref="Q31:T31"/>
    <mergeCell ref="V31:Z31"/>
    <mergeCell ref="E27:F27"/>
    <mergeCell ref="G27:K27"/>
    <mergeCell ref="M27:T27"/>
    <mergeCell ref="BA27:BE27"/>
    <mergeCell ref="BF27:BG29"/>
    <mergeCell ref="BH27:BI27"/>
    <mergeCell ref="BK27:BO27"/>
    <mergeCell ref="E28:F28"/>
    <mergeCell ref="G28:K28"/>
    <mergeCell ref="M28:P31"/>
    <mergeCell ref="Q28:T28"/>
    <mergeCell ref="V28:Z28"/>
    <mergeCell ref="V27:Z27"/>
    <mergeCell ref="AG27:AK27"/>
    <mergeCell ref="AQ27:AU27"/>
    <mergeCell ref="AX27:AZ27"/>
    <mergeCell ref="BK28:BO28"/>
    <mergeCell ref="D29:F29"/>
    <mergeCell ref="G29:K29"/>
    <mergeCell ref="Q29:T29"/>
    <mergeCell ref="V29:Z29"/>
    <mergeCell ref="AE29:AF29"/>
    <mergeCell ref="AG29:AK29"/>
    <mergeCell ref="AX29:AZ29"/>
    <mergeCell ref="BA25:BE25"/>
    <mergeCell ref="BG25:BJ25"/>
    <mergeCell ref="BK25:BO25"/>
    <mergeCell ref="B26:F26"/>
    <mergeCell ref="G26:K26"/>
    <mergeCell ref="L26:L39"/>
    <mergeCell ref="M26:T26"/>
    <mergeCell ref="V26:Z26"/>
    <mergeCell ref="AG26:AK26"/>
    <mergeCell ref="AL27:AP27"/>
    <mergeCell ref="AL29:AP29"/>
    <mergeCell ref="AQ29:AU29"/>
    <mergeCell ref="AM31:AP31"/>
    <mergeCell ref="AL35:AP35"/>
    <mergeCell ref="AQ35:AU35"/>
    <mergeCell ref="AL38:AP38"/>
    <mergeCell ref="AQ38:AU38"/>
    <mergeCell ref="AM26:AP26"/>
    <mergeCell ref="AQ26:AU26"/>
    <mergeCell ref="AX26:AZ26"/>
    <mergeCell ref="BA26:BE26"/>
    <mergeCell ref="BF26:BO26"/>
    <mergeCell ref="B27:C30"/>
    <mergeCell ref="D27:D28"/>
    <mergeCell ref="BA23:BE23"/>
    <mergeCell ref="BG23:BJ23"/>
    <mergeCell ref="BK23:BO23"/>
    <mergeCell ref="B24:F24"/>
    <mergeCell ref="G24:K24"/>
    <mergeCell ref="L24:L25"/>
    <mergeCell ref="M24:T24"/>
    <mergeCell ref="V24:Z24"/>
    <mergeCell ref="AM24:AP24"/>
    <mergeCell ref="BK24:BO24"/>
    <mergeCell ref="B25:F25"/>
    <mergeCell ref="G25:K25"/>
    <mergeCell ref="M25:T25"/>
    <mergeCell ref="V25:Z25"/>
    <mergeCell ref="AE25:AF25"/>
    <mergeCell ref="AG25:AK25"/>
    <mergeCell ref="AM25:AP25"/>
    <mergeCell ref="AQ25:AU25"/>
    <mergeCell ref="AX25:AZ25"/>
    <mergeCell ref="AG24:AK24"/>
    <mergeCell ref="AQ24:AU24"/>
    <mergeCell ref="AX24:AZ24"/>
    <mergeCell ref="BA24:BE24"/>
    <mergeCell ref="BG24:BJ24"/>
    <mergeCell ref="C23:F23"/>
    <mergeCell ref="G23:K23"/>
    <mergeCell ref="L23:Z23"/>
    <mergeCell ref="AG23:AK23"/>
    <mergeCell ref="AQ23:AU23"/>
    <mergeCell ref="AL23:AP23"/>
    <mergeCell ref="AX23:AZ23"/>
    <mergeCell ref="C22:F22"/>
    <mergeCell ref="G22:K22"/>
    <mergeCell ref="O22:T22"/>
    <mergeCell ref="V22:Z22"/>
    <mergeCell ref="AG22:AK22"/>
    <mergeCell ref="AQ22:AU22"/>
    <mergeCell ref="AX22:AZ22"/>
    <mergeCell ref="AQ19:AU19"/>
    <mergeCell ref="AV19:AZ19"/>
    <mergeCell ref="BA19:BE19"/>
    <mergeCell ref="BG19:BJ19"/>
    <mergeCell ref="BA21:BE21"/>
    <mergeCell ref="BH21:BJ21"/>
    <mergeCell ref="C21:F21"/>
    <mergeCell ref="G21:K21"/>
    <mergeCell ref="L21:N22"/>
    <mergeCell ref="O21:T21"/>
    <mergeCell ref="V21:Z21"/>
    <mergeCell ref="AG21:AK21"/>
    <mergeCell ref="AQ21:AU21"/>
    <mergeCell ref="AX21:AZ21"/>
    <mergeCell ref="BK21:BO21"/>
    <mergeCell ref="BK22:BO22"/>
    <mergeCell ref="BK19:BO19"/>
    <mergeCell ref="B20:F20"/>
    <mergeCell ref="G20:K20"/>
    <mergeCell ref="L20:N20"/>
    <mergeCell ref="O20:T20"/>
    <mergeCell ref="V20:Z20"/>
    <mergeCell ref="C19:F19"/>
    <mergeCell ref="G19:K19"/>
    <mergeCell ref="M19:T19"/>
    <mergeCell ref="V19:Z19"/>
    <mergeCell ref="AG19:AK19"/>
    <mergeCell ref="AN19:AP19"/>
    <mergeCell ref="BK20:BO20"/>
    <mergeCell ref="BA20:BE20"/>
    <mergeCell ref="BG20:BJ20"/>
    <mergeCell ref="AN20:AP20"/>
    <mergeCell ref="AQ20:AU20"/>
    <mergeCell ref="AW20:AZ20"/>
    <mergeCell ref="BA22:BE22"/>
    <mergeCell ref="BG22:BJ22"/>
    <mergeCell ref="AM21:AP21"/>
    <mergeCell ref="AN22:AP22"/>
    <mergeCell ref="AQ18:AU18"/>
    <mergeCell ref="BA18:BE18"/>
    <mergeCell ref="BF18:BJ18"/>
    <mergeCell ref="BK18:BO18"/>
    <mergeCell ref="AX16:AZ16"/>
    <mergeCell ref="BA16:BE16"/>
    <mergeCell ref="BG16:BJ16"/>
    <mergeCell ref="BK16:BO16"/>
    <mergeCell ref="C18:F18"/>
    <mergeCell ref="G18:K18"/>
    <mergeCell ref="M18:T18"/>
    <mergeCell ref="V18:Z18"/>
    <mergeCell ref="AG18:AK18"/>
    <mergeCell ref="AN18:AP18"/>
    <mergeCell ref="AN17:AP17"/>
    <mergeCell ref="AQ17:AU17"/>
    <mergeCell ref="AW17:AY18"/>
    <mergeCell ref="C17:F17"/>
    <mergeCell ref="G17:K17"/>
    <mergeCell ref="M17:T17"/>
    <mergeCell ref="V17:Z17"/>
    <mergeCell ref="AG17:AK17"/>
    <mergeCell ref="BK14:BO14"/>
    <mergeCell ref="C15:F15"/>
    <mergeCell ref="G15:K15"/>
    <mergeCell ref="M15:T15"/>
    <mergeCell ref="V15:Z15"/>
    <mergeCell ref="BK15:BO15"/>
    <mergeCell ref="B16:F16"/>
    <mergeCell ref="G16:K16"/>
    <mergeCell ref="L16:L19"/>
    <mergeCell ref="M16:T16"/>
    <mergeCell ref="V16:Z16"/>
    <mergeCell ref="AE16:AF16"/>
    <mergeCell ref="AG16:AK16"/>
    <mergeCell ref="AQ16:AU16"/>
    <mergeCell ref="AG15:AK15"/>
    <mergeCell ref="AO15:AP15"/>
    <mergeCell ref="AQ15:AU15"/>
    <mergeCell ref="AX15:AZ15"/>
    <mergeCell ref="BA15:BE15"/>
    <mergeCell ref="BG15:BJ15"/>
    <mergeCell ref="AN16:AP16"/>
    <mergeCell ref="BA17:BE17"/>
    <mergeCell ref="BG17:BJ17"/>
    <mergeCell ref="BK17:BO17"/>
    <mergeCell ref="C14:F14"/>
    <mergeCell ref="G14:K14"/>
    <mergeCell ref="M14:T14"/>
    <mergeCell ref="V14:Z14"/>
    <mergeCell ref="AG14:AK14"/>
    <mergeCell ref="AQ14:AU14"/>
    <mergeCell ref="AX14:AZ14"/>
    <mergeCell ref="BA14:BE14"/>
    <mergeCell ref="BG14:BJ14"/>
    <mergeCell ref="B12:F12"/>
    <mergeCell ref="G12:K12"/>
    <mergeCell ref="L12:L15"/>
    <mergeCell ref="M12:T12"/>
    <mergeCell ref="V12:Z12"/>
    <mergeCell ref="AM12:AP12"/>
    <mergeCell ref="AN13:AP13"/>
    <mergeCell ref="AO14:AP14"/>
    <mergeCell ref="BK12:BO12"/>
    <mergeCell ref="C13:F13"/>
    <mergeCell ref="G13:K13"/>
    <mergeCell ref="M13:T13"/>
    <mergeCell ref="V13:Z13"/>
    <mergeCell ref="AG13:AK13"/>
    <mergeCell ref="AQ13:AU13"/>
    <mergeCell ref="AW13:AZ13"/>
    <mergeCell ref="AG12:AK12"/>
    <mergeCell ref="AQ12:AU12"/>
    <mergeCell ref="AV12:AZ12"/>
    <mergeCell ref="BA12:BE12"/>
    <mergeCell ref="BG12:BJ12"/>
    <mergeCell ref="BA13:BE13"/>
    <mergeCell ref="BG13:BJ13"/>
    <mergeCell ref="BK13:BO13"/>
    <mergeCell ref="B10:K10"/>
    <mergeCell ref="L10:Z10"/>
    <mergeCell ref="BF10:BO10"/>
    <mergeCell ref="B11:K11"/>
    <mergeCell ref="L11:Z11"/>
    <mergeCell ref="AA11:AF11"/>
    <mergeCell ref="AG11:AK11"/>
    <mergeCell ref="AL11:AP11"/>
    <mergeCell ref="AQ11:AU11"/>
    <mergeCell ref="AV11:AZ11"/>
    <mergeCell ref="BA11:BE11"/>
    <mergeCell ref="BF11:BJ11"/>
    <mergeCell ref="BK11:BO11"/>
    <mergeCell ref="AV8:AZ8"/>
    <mergeCell ref="BA8:BE8"/>
    <mergeCell ref="BF8:BJ8"/>
    <mergeCell ref="BK8:BO8"/>
    <mergeCell ref="B9:F9"/>
    <mergeCell ref="G9:K9"/>
    <mergeCell ref="L9:P9"/>
    <mergeCell ref="Q9:U9"/>
    <mergeCell ref="V9:Z9"/>
    <mergeCell ref="AA9:AF9"/>
    <mergeCell ref="BK9:BO9"/>
    <mergeCell ref="AG9:AK9"/>
    <mergeCell ref="AL9:AP9"/>
    <mergeCell ref="AQ9:AU9"/>
    <mergeCell ref="AV9:AZ9"/>
    <mergeCell ref="BA9:BE9"/>
    <mergeCell ref="BF9:BJ9"/>
    <mergeCell ref="BF5:BJ5"/>
    <mergeCell ref="BK5:BO5"/>
    <mergeCell ref="BK7:BO7"/>
    <mergeCell ref="B8:F8"/>
    <mergeCell ref="G8:K8"/>
    <mergeCell ref="L8:P8"/>
    <mergeCell ref="Q8:U8"/>
    <mergeCell ref="V8:Z8"/>
    <mergeCell ref="AA8:AF8"/>
    <mergeCell ref="AG8:AK8"/>
    <mergeCell ref="AL8:AP8"/>
    <mergeCell ref="AQ8:AU8"/>
    <mergeCell ref="AG7:AK7"/>
    <mergeCell ref="AL7:AP7"/>
    <mergeCell ref="AQ7:AU7"/>
    <mergeCell ref="AV7:AZ7"/>
    <mergeCell ref="BA7:BE7"/>
    <mergeCell ref="BF7:BJ7"/>
    <mergeCell ref="B7:F7"/>
    <mergeCell ref="G7:K7"/>
    <mergeCell ref="L7:P7"/>
    <mergeCell ref="Q7:U7"/>
    <mergeCell ref="V7:Z7"/>
    <mergeCell ref="AA7:AF7"/>
    <mergeCell ref="B6:F6"/>
    <mergeCell ref="G6:K6"/>
    <mergeCell ref="L6:P6"/>
    <mergeCell ref="Q6:U6"/>
    <mergeCell ref="V6:Z6"/>
    <mergeCell ref="AA6:AF6"/>
    <mergeCell ref="AG6:AK6"/>
    <mergeCell ref="BF4:BJ4"/>
    <mergeCell ref="BK4:BO4"/>
    <mergeCell ref="B5:F5"/>
    <mergeCell ref="G5:K5"/>
    <mergeCell ref="L5:U5"/>
    <mergeCell ref="V5:AF5"/>
    <mergeCell ref="AG5:AK5"/>
    <mergeCell ref="AL5:AP5"/>
    <mergeCell ref="AQ5:AU5"/>
    <mergeCell ref="AV5:AZ5"/>
    <mergeCell ref="AL6:AP6"/>
    <mergeCell ref="AQ6:AU6"/>
    <mergeCell ref="AV6:AZ6"/>
    <mergeCell ref="BA6:BE6"/>
    <mergeCell ref="BF6:BJ6"/>
    <mergeCell ref="BK6:BO6"/>
    <mergeCell ref="BA5:BE5"/>
    <mergeCell ref="B3:BO3"/>
    <mergeCell ref="B4:F4"/>
    <mergeCell ref="G4:K4"/>
    <mergeCell ref="L4:U4"/>
    <mergeCell ref="V4:AF4"/>
    <mergeCell ref="AG4:AK4"/>
    <mergeCell ref="AL4:AP4"/>
    <mergeCell ref="AQ4:AU4"/>
    <mergeCell ref="AV4:AZ4"/>
    <mergeCell ref="BA4:BE4"/>
  </mergeCells>
  <phoneticPr fontId="1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8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X53"/>
  <sheetViews>
    <sheetView view="pageBreakPreview" zoomScale="130" zoomScaleNormal="120" zoomScaleSheetLayoutView="130" workbookViewId="0"/>
  </sheetViews>
  <sheetFormatPr defaultColWidth="2.75" defaultRowHeight="14.25" customHeight="1" x14ac:dyDescent="0.15"/>
  <cols>
    <col min="1" max="1" width="2" style="95" customWidth="1"/>
    <col min="2" max="3" width="1.375" style="95" customWidth="1"/>
    <col min="4" max="4" width="1.75" style="95" customWidth="1"/>
    <col min="5" max="5" width="2.625" style="95" customWidth="1"/>
    <col min="6" max="6" width="2.375" style="95" customWidth="1"/>
    <col min="7" max="10" width="1.75" style="95" customWidth="1"/>
    <col min="11" max="11" width="2.5" style="95" customWidth="1"/>
    <col min="12" max="16" width="1.875" style="95" customWidth="1"/>
    <col min="17" max="18" width="1.5" style="95" customWidth="1"/>
    <col min="19" max="19" width="2.25" style="95" customWidth="1"/>
    <col min="20" max="20" width="2.625" style="95" customWidth="1"/>
    <col min="21" max="21" width="1.5" style="95" customWidth="1"/>
    <col min="22" max="25" width="1.75" style="95" customWidth="1"/>
    <col min="26" max="26" width="2.25" style="95" customWidth="1"/>
    <col min="27" max="31" width="1.875" style="95" customWidth="1"/>
    <col min="32" max="33" width="1.75" style="95" customWidth="1"/>
    <col min="34" max="34" width="1.125" style="95" customWidth="1"/>
    <col min="35" max="35" width="1.75" style="95" customWidth="1"/>
    <col min="36" max="36" width="2.75" style="95" customWidth="1"/>
    <col min="37" max="46" width="1.875" style="95" customWidth="1"/>
    <col min="47" max="47" width="0.875" style="95" customWidth="1"/>
    <col min="48" max="48" width="2.375" style="95" customWidth="1"/>
    <col min="49" max="49" width="1.25" style="95" customWidth="1"/>
    <col min="50" max="50" width="1.875" style="95" customWidth="1"/>
    <col min="51" max="51" width="3.375" style="95" customWidth="1"/>
    <col min="52" max="53" width="0.875" style="95" customWidth="1"/>
    <col min="54" max="54" width="0.75" style="95" customWidth="1"/>
    <col min="55" max="55" width="2.875" style="95" customWidth="1"/>
    <col min="56" max="56" width="3.5" style="95" customWidth="1"/>
    <col min="57" max="61" width="1.875" style="95" customWidth="1"/>
    <col min="62" max="63" width="1.125" style="95" customWidth="1"/>
    <col min="64" max="65" width="1.875" style="95" customWidth="1"/>
    <col min="66" max="66" width="3.5" style="95" customWidth="1"/>
    <col min="67" max="76" width="1.875" style="95" customWidth="1"/>
    <col min="77" max="16384" width="2.75" style="95"/>
  </cols>
  <sheetData>
    <row r="1" spans="1:76" ht="14.25" customHeight="1" x14ac:dyDescent="0.15">
      <c r="B1" s="97" t="str">
        <f>AZ4&amp;"年　農業経営統計調査（営農類型別経営統計（個人経営））　個別結果表No.２"</f>
        <v>0年　農業経営統計調査（営農類型別経営統計（個人経営））　個別結果表No.２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</row>
    <row r="2" spans="1:76" ht="14.25" customHeight="1" thickBot="1" x14ac:dyDescent="0.2"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</row>
    <row r="3" spans="1:76" ht="10.5" customHeight="1" x14ac:dyDescent="0.15">
      <c r="A3" s="99"/>
      <c r="B3" s="1229"/>
      <c r="C3" s="1229"/>
      <c r="D3" s="1229"/>
      <c r="E3" s="1229"/>
      <c r="F3" s="1229"/>
      <c r="G3" s="1230"/>
      <c r="H3" s="1230"/>
      <c r="I3" s="1230"/>
      <c r="J3" s="1230"/>
      <c r="K3" s="1230"/>
      <c r="L3" s="1230"/>
      <c r="M3" s="1230"/>
      <c r="N3" s="1230"/>
      <c r="O3" s="1230"/>
      <c r="P3" s="1230"/>
      <c r="Q3" s="1229"/>
      <c r="R3" s="1229"/>
      <c r="S3" s="1229"/>
      <c r="T3" s="1229"/>
      <c r="U3" s="1229"/>
      <c r="V3" s="1229"/>
      <c r="W3" s="1229"/>
      <c r="X3" s="1229"/>
      <c r="Y3" s="1229"/>
      <c r="Z3" s="1229"/>
      <c r="AA3" s="1229"/>
      <c r="AB3" s="1229"/>
      <c r="AC3" s="1229"/>
      <c r="AD3" s="1229"/>
      <c r="AE3" s="1229"/>
      <c r="AF3" s="1229"/>
      <c r="AG3" s="1229"/>
      <c r="AH3" s="1229"/>
      <c r="AI3" s="1229"/>
      <c r="AJ3" s="1229"/>
      <c r="AZ3" s="1272" t="s">
        <v>153</v>
      </c>
      <c r="BA3" s="1273"/>
      <c r="BB3" s="1273"/>
      <c r="BC3" s="1273"/>
      <c r="BD3" s="1274"/>
      <c r="BE3" s="1232" t="s">
        <v>240</v>
      </c>
      <c r="BF3" s="1233"/>
      <c r="BG3" s="1233"/>
      <c r="BH3" s="1233"/>
      <c r="BI3" s="1233"/>
      <c r="BJ3" s="1233"/>
      <c r="BK3" s="1233"/>
      <c r="BL3" s="1233"/>
      <c r="BM3" s="1233"/>
      <c r="BN3" s="1233"/>
      <c r="BO3" s="1276" t="s">
        <v>215</v>
      </c>
      <c r="BP3" s="1277"/>
      <c r="BQ3" s="1277"/>
      <c r="BR3" s="1277"/>
      <c r="BS3" s="1278"/>
      <c r="BT3" s="1279" t="s">
        <v>154</v>
      </c>
      <c r="BU3" s="1279"/>
      <c r="BV3" s="1279"/>
      <c r="BW3" s="1279"/>
      <c r="BX3" s="1280"/>
    </row>
    <row r="4" spans="1:76" ht="10.5" customHeight="1" thickBot="1" x14ac:dyDescent="0.2">
      <c r="A4" s="99"/>
      <c r="B4" s="1234"/>
      <c r="C4" s="1234"/>
      <c r="D4" s="1234"/>
      <c r="E4" s="1234"/>
      <c r="F4" s="1234"/>
      <c r="G4" s="1234"/>
      <c r="H4" s="1234"/>
      <c r="I4" s="1234"/>
      <c r="J4" s="1234"/>
      <c r="K4" s="1234"/>
      <c r="L4" s="1234"/>
      <c r="M4" s="1234"/>
      <c r="N4" s="1234"/>
      <c r="O4" s="1234"/>
      <c r="P4" s="1234"/>
      <c r="Q4" s="1234"/>
      <c r="R4" s="1234"/>
      <c r="S4" s="1234"/>
      <c r="T4" s="1234"/>
      <c r="U4" s="1234"/>
      <c r="V4" s="1234"/>
      <c r="W4" s="1234"/>
      <c r="X4" s="1234"/>
      <c r="Y4" s="1234"/>
      <c r="Z4" s="1234"/>
      <c r="AA4" s="1234"/>
      <c r="AB4" s="1234"/>
      <c r="AC4" s="1234"/>
      <c r="AD4" s="1234"/>
      <c r="AE4" s="1234"/>
      <c r="AF4" s="1234"/>
      <c r="AG4" s="1234"/>
      <c r="AH4" s="1234"/>
      <c r="AI4" s="1234"/>
      <c r="AJ4" s="1234"/>
      <c r="AZ4" s="1275">
        <f>'No1'!B5</f>
        <v>0</v>
      </c>
      <c r="BA4" s="1236"/>
      <c r="BB4" s="1236"/>
      <c r="BC4" s="1236"/>
      <c r="BD4" s="1236"/>
      <c r="BE4" s="1235" t="str">
        <f>IF('No1'!L5&lt;&gt;"",'No1'!L5,"")</f>
        <v/>
      </c>
      <c r="BF4" s="1236"/>
      <c r="BG4" s="1236"/>
      <c r="BH4" s="1236"/>
      <c r="BI4" s="1236"/>
      <c r="BJ4" s="1236"/>
      <c r="BK4" s="1236"/>
      <c r="BL4" s="1236"/>
      <c r="BM4" s="1236"/>
      <c r="BN4" s="1236"/>
      <c r="BO4" s="1281">
        <f>'No1'!AG5</f>
        <v>0</v>
      </c>
      <c r="BP4" s="1282"/>
      <c r="BQ4" s="1282"/>
      <c r="BR4" s="1282"/>
      <c r="BS4" s="1283"/>
      <c r="BT4" s="1284">
        <f>'No1'!AL5</f>
        <v>0</v>
      </c>
      <c r="BU4" s="1284"/>
      <c r="BV4" s="1284"/>
      <c r="BW4" s="1284"/>
      <c r="BX4" s="1285"/>
    </row>
    <row r="5" spans="1:76" ht="10.5" customHeight="1" x14ac:dyDescent="0.15">
      <c r="A5" s="99"/>
      <c r="B5" s="1205" t="s">
        <v>535</v>
      </c>
      <c r="C5" s="1206"/>
      <c r="D5" s="1206"/>
      <c r="E5" s="1206"/>
      <c r="F5" s="1206"/>
      <c r="G5" s="1206"/>
      <c r="H5" s="1206"/>
      <c r="I5" s="1206"/>
      <c r="J5" s="1206"/>
      <c r="K5" s="1206"/>
      <c r="L5" s="1206"/>
      <c r="M5" s="1206"/>
      <c r="N5" s="1206"/>
      <c r="O5" s="1206"/>
      <c r="P5" s="1206"/>
      <c r="Q5" s="1206"/>
      <c r="R5" s="1206"/>
      <c r="S5" s="1206"/>
      <c r="T5" s="1206"/>
      <c r="U5" s="1206"/>
      <c r="V5" s="1206"/>
      <c r="W5" s="1206"/>
      <c r="X5" s="1206"/>
      <c r="Y5" s="1206"/>
      <c r="Z5" s="1206"/>
      <c r="AA5" s="1206"/>
      <c r="AB5" s="1206"/>
      <c r="AC5" s="1206"/>
      <c r="AD5" s="1206"/>
      <c r="AE5" s="1207"/>
      <c r="AF5" s="1231" t="s">
        <v>523</v>
      </c>
      <c r="AG5" s="1231"/>
      <c r="AH5" s="1231"/>
      <c r="AI5" s="1231"/>
      <c r="AJ5" s="1231"/>
      <c r="AK5" s="1231"/>
      <c r="AL5" s="1231"/>
      <c r="AM5" s="1231"/>
      <c r="AN5" s="1231"/>
      <c r="AO5" s="1231"/>
      <c r="AP5" s="1231"/>
      <c r="AQ5" s="1231"/>
      <c r="AR5" s="1231"/>
      <c r="AS5" s="1231"/>
      <c r="AT5" s="1231"/>
      <c r="AU5" s="1231"/>
      <c r="AV5" s="1231"/>
      <c r="AW5" s="1231"/>
      <c r="AX5" s="1231"/>
      <c r="AY5" s="1231"/>
      <c r="AZ5" s="1231"/>
      <c r="BA5" s="1231"/>
      <c r="BB5" s="1231"/>
      <c r="BC5" s="1231"/>
      <c r="BD5" s="1231"/>
      <c r="BE5" s="1231"/>
      <c r="BF5" s="1231"/>
      <c r="BG5" s="1231"/>
      <c r="BH5" s="1231"/>
      <c r="BI5" s="1231"/>
      <c r="BJ5" s="1205" t="s">
        <v>287</v>
      </c>
      <c r="BK5" s="1206"/>
      <c r="BL5" s="1206"/>
      <c r="BM5" s="1206"/>
      <c r="BN5" s="1206"/>
      <c r="BO5" s="1206"/>
      <c r="BP5" s="1206"/>
      <c r="BQ5" s="1206"/>
      <c r="BR5" s="1206"/>
      <c r="BS5" s="1206"/>
      <c r="BT5" s="1206"/>
      <c r="BU5" s="1206"/>
      <c r="BV5" s="1206"/>
      <c r="BW5" s="1206"/>
      <c r="BX5" s="1207"/>
    </row>
    <row r="6" spans="1:76" ht="10.5" customHeight="1" x14ac:dyDescent="0.15">
      <c r="A6" s="99">
        <v>1</v>
      </c>
      <c r="B6" s="910" t="s">
        <v>325</v>
      </c>
      <c r="C6" s="911"/>
      <c r="D6" s="1208" t="s">
        <v>29</v>
      </c>
      <c r="E6" s="1209"/>
      <c r="F6" s="933" t="s">
        <v>521</v>
      </c>
      <c r="G6" s="934"/>
      <c r="H6" s="934"/>
      <c r="I6" s="934"/>
      <c r="J6" s="935"/>
      <c r="K6" s="303" t="s">
        <v>536</v>
      </c>
      <c r="L6" s="1212"/>
      <c r="M6" s="1213"/>
      <c r="N6" s="1213"/>
      <c r="O6" s="1213"/>
      <c r="P6" s="1213"/>
      <c r="Q6" s="931" t="s">
        <v>343</v>
      </c>
      <c r="R6" s="909"/>
      <c r="S6" s="1182" t="s">
        <v>351</v>
      </c>
      <c r="T6" s="1183"/>
      <c r="U6" s="933" t="s">
        <v>306</v>
      </c>
      <c r="V6" s="934"/>
      <c r="W6" s="934"/>
      <c r="X6" s="934"/>
      <c r="Y6" s="935"/>
      <c r="Z6" s="306" t="s">
        <v>536</v>
      </c>
      <c r="AA6" s="947"/>
      <c r="AB6" s="948"/>
      <c r="AC6" s="948"/>
      <c r="AD6" s="948"/>
      <c r="AE6" s="949"/>
      <c r="AF6" s="1225"/>
      <c r="AG6" s="1188"/>
      <c r="AH6" s="1188"/>
      <c r="AI6" s="1188"/>
      <c r="AJ6" s="1226"/>
      <c r="AK6" s="1227" t="s">
        <v>327</v>
      </c>
      <c r="AL6" s="1227"/>
      <c r="AM6" s="1227"/>
      <c r="AN6" s="1227"/>
      <c r="AO6" s="1227"/>
      <c r="AP6" s="1188" t="s">
        <v>456</v>
      </c>
      <c r="AQ6" s="1188"/>
      <c r="AR6" s="1188"/>
      <c r="AS6" s="1188"/>
      <c r="AT6" s="1226"/>
      <c r="AU6" s="1227"/>
      <c r="AV6" s="1227"/>
      <c r="AW6" s="1227"/>
      <c r="AX6" s="1227"/>
      <c r="AY6" s="1227"/>
      <c r="AZ6" s="1228" t="s">
        <v>347</v>
      </c>
      <c r="BA6" s="1228"/>
      <c r="BB6" s="1228"/>
      <c r="BC6" s="1228"/>
      <c r="BD6" s="1228"/>
      <c r="BE6" s="1188" t="s">
        <v>456</v>
      </c>
      <c r="BF6" s="1188"/>
      <c r="BG6" s="1188"/>
      <c r="BH6" s="1188"/>
      <c r="BI6" s="1188"/>
      <c r="BJ6" s="1189" t="s">
        <v>41</v>
      </c>
      <c r="BK6" s="1190"/>
      <c r="BL6" s="1190"/>
      <c r="BM6" s="1190"/>
      <c r="BN6" s="1191"/>
      <c r="BO6" s="1222" t="s">
        <v>268</v>
      </c>
      <c r="BP6" s="1223"/>
      <c r="BQ6" s="1223"/>
      <c r="BR6" s="1223"/>
      <c r="BS6" s="1237"/>
      <c r="BT6" s="1222" t="s">
        <v>269</v>
      </c>
      <c r="BU6" s="1223"/>
      <c r="BV6" s="1223"/>
      <c r="BW6" s="1223"/>
      <c r="BX6" s="1224"/>
    </row>
    <row r="7" spans="1:76" ht="10.5" customHeight="1" x14ac:dyDescent="0.15">
      <c r="A7" s="99">
        <v>2</v>
      </c>
      <c r="B7" s="910"/>
      <c r="C7" s="911"/>
      <c r="D7" s="1208"/>
      <c r="E7" s="1209"/>
      <c r="F7" s="897" t="s">
        <v>298</v>
      </c>
      <c r="G7" s="898"/>
      <c r="H7" s="898"/>
      <c r="I7" s="898"/>
      <c r="J7" s="899"/>
      <c r="K7" s="302" t="s">
        <v>537</v>
      </c>
      <c r="L7" s="900"/>
      <c r="M7" s="901"/>
      <c r="N7" s="901"/>
      <c r="O7" s="901"/>
      <c r="P7" s="922"/>
      <c r="Q7" s="923"/>
      <c r="R7" s="911"/>
      <c r="S7" s="1184"/>
      <c r="T7" s="1185"/>
      <c r="U7" s="897" t="s">
        <v>298</v>
      </c>
      <c r="V7" s="898"/>
      <c r="W7" s="898"/>
      <c r="X7" s="898"/>
      <c r="Y7" s="899"/>
      <c r="Z7" s="100" t="s">
        <v>292</v>
      </c>
      <c r="AA7" s="984"/>
      <c r="AB7" s="985"/>
      <c r="AC7" s="985"/>
      <c r="AD7" s="985"/>
      <c r="AE7" s="986"/>
      <c r="AF7" s="1214" t="s">
        <v>200</v>
      </c>
      <c r="AG7" s="1129"/>
      <c r="AH7" s="1129"/>
      <c r="AI7" s="1129"/>
      <c r="AJ7" s="1130"/>
      <c r="AK7" s="1077"/>
      <c r="AL7" s="1078"/>
      <c r="AM7" s="1078"/>
      <c r="AN7" s="1078"/>
      <c r="AO7" s="1079"/>
      <c r="AP7" s="1215"/>
      <c r="AQ7" s="1216"/>
      <c r="AR7" s="1216"/>
      <c r="AS7" s="1216"/>
      <c r="AT7" s="1217"/>
      <c r="AU7" s="1202" t="s">
        <v>199</v>
      </c>
      <c r="AV7" s="1203"/>
      <c r="AW7" s="1203"/>
      <c r="AX7" s="1203"/>
      <c r="AY7" s="1204"/>
      <c r="AZ7" s="1077"/>
      <c r="BA7" s="1078"/>
      <c r="BB7" s="1078"/>
      <c r="BC7" s="1078"/>
      <c r="BD7" s="1079"/>
      <c r="BE7" s="1215"/>
      <c r="BF7" s="1216"/>
      <c r="BG7" s="1216"/>
      <c r="BH7" s="1216"/>
      <c r="BI7" s="1218"/>
      <c r="BJ7" s="1180" t="s">
        <v>506</v>
      </c>
      <c r="BK7" s="893"/>
      <c r="BL7" s="893"/>
      <c r="BM7" s="893"/>
      <c r="BN7" s="1181"/>
      <c r="BO7" s="547"/>
      <c r="BP7" s="548"/>
      <c r="BQ7" s="548"/>
      <c r="BR7" s="548"/>
      <c r="BS7" s="1220"/>
      <c r="BT7" s="547"/>
      <c r="BU7" s="548"/>
      <c r="BV7" s="548"/>
      <c r="BW7" s="548"/>
      <c r="BX7" s="549"/>
    </row>
    <row r="8" spans="1:76" ht="10.5" customHeight="1" x14ac:dyDescent="0.15">
      <c r="A8" s="99">
        <v>3</v>
      </c>
      <c r="B8" s="910"/>
      <c r="C8" s="911"/>
      <c r="D8" s="1208"/>
      <c r="E8" s="1209"/>
      <c r="F8" s="897" t="s">
        <v>332</v>
      </c>
      <c r="G8" s="898"/>
      <c r="H8" s="898"/>
      <c r="I8" s="898"/>
      <c r="J8" s="899"/>
      <c r="K8" s="100" t="s">
        <v>537</v>
      </c>
      <c r="L8" s="900"/>
      <c r="M8" s="901"/>
      <c r="N8" s="901"/>
      <c r="O8" s="901"/>
      <c r="P8" s="922"/>
      <c r="Q8" s="923"/>
      <c r="R8" s="911"/>
      <c r="S8" s="1184"/>
      <c r="T8" s="1185"/>
      <c r="U8" s="897" t="s">
        <v>307</v>
      </c>
      <c r="V8" s="898"/>
      <c r="W8" s="898"/>
      <c r="X8" s="898"/>
      <c r="Y8" s="899"/>
      <c r="Z8" s="100" t="s">
        <v>292</v>
      </c>
      <c r="AA8" s="984"/>
      <c r="AB8" s="985"/>
      <c r="AC8" s="985"/>
      <c r="AD8" s="985"/>
      <c r="AE8" s="986"/>
      <c r="AF8" s="911" t="s">
        <v>4</v>
      </c>
      <c r="AG8" s="1196" t="s">
        <v>270</v>
      </c>
      <c r="AH8" s="915"/>
      <c r="AI8" s="1199" t="s">
        <v>2</v>
      </c>
      <c r="AJ8" s="1199"/>
      <c r="AK8" s="651"/>
      <c r="AL8" s="652"/>
      <c r="AM8" s="652"/>
      <c r="AN8" s="652"/>
      <c r="AO8" s="1093"/>
      <c r="AP8" s="651"/>
      <c r="AQ8" s="652"/>
      <c r="AR8" s="652"/>
      <c r="AS8" s="652"/>
      <c r="AT8" s="1093"/>
      <c r="AU8" s="1156" t="s">
        <v>18</v>
      </c>
      <c r="AV8" s="915"/>
      <c r="AW8" s="1200" t="s">
        <v>191</v>
      </c>
      <c r="AX8" s="1200"/>
      <c r="AY8" s="1201"/>
      <c r="AZ8" s="981"/>
      <c r="BA8" s="982"/>
      <c r="BB8" s="982"/>
      <c r="BC8" s="982"/>
      <c r="BD8" s="983"/>
      <c r="BE8" s="651"/>
      <c r="BF8" s="652"/>
      <c r="BG8" s="652"/>
      <c r="BH8" s="652"/>
      <c r="BI8" s="653"/>
      <c r="BJ8" s="994"/>
      <c r="BK8" s="995"/>
      <c r="BL8" s="995"/>
      <c r="BM8" s="995"/>
      <c r="BN8" s="996"/>
      <c r="BO8" s="486"/>
      <c r="BP8" s="487"/>
      <c r="BQ8" s="487"/>
      <c r="BR8" s="487"/>
      <c r="BS8" s="1221"/>
      <c r="BT8" s="486"/>
      <c r="BU8" s="487"/>
      <c r="BV8" s="487"/>
      <c r="BW8" s="487"/>
      <c r="BX8" s="488"/>
    </row>
    <row r="9" spans="1:76" ht="10.5" customHeight="1" x14ac:dyDescent="0.15">
      <c r="A9" s="99">
        <v>4</v>
      </c>
      <c r="B9" s="910"/>
      <c r="C9" s="911"/>
      <c r="D9" s="1208"/>
      <c r="E9" s="1209"/>
      <c r="F9" s="897" t="s">
        <v>298</v>
      </c>
      <c r="G9" s="898"/>
      <c r="H9" s="898"/>
      <c r="I9" s="898"/>
      <c r="J9" s="899"/>
      <c r="K9" s="302" t="s">
        <v>537</v>
      </c>
      <c r="L9" s="900"/>
      <c r="M9" s="901"/>
      <c r="N9" s="901"/>
      <c r="O9" s="901"/>
      <c r="P9" s="922"/>
      <c r="Q9" s="923"/>
      <c r="R9" s="911"/>
      <c r="S9" s="1184"/>
      <c r="T9" s="1185"/>
      <c r="U9" s="897" t="s">
        <v>298</v>
      </c>
      <c r="V9" s="898"/>
      <c r="W9" s="898"/>
      <c r="X9" s="898"/>
      <c r="Y9" s="899"/>
      <c r="Z9" s="100" t="s">
        <v>292</v>
      </c>
      <c r="AA9" s="984"/>
      <c r="AB9" s="985"/>
      <c r="AC9" s="985"/>
      <c r="AD9" s="985"/>
      <c r="AE9" s="986"/>
      <c r="AF9" s="911"/>
      <c r="AG9" s="1197"/>
      <c r="AH9" s="1198"/>
      <c r="AI9" s="1192" t="s">
        <v>3</v>
      </c>
      <c r="AJ9" s="1192"/>
      <c r="AK9" s="517"/>
      <c r="AL9" s="518"/>
      <c r="AM9" s="518"/>
      <c r="AN9" s="518"/>
      <c r="AO9" s="1094"/>
      <c r="AP9" s="517"/>
      <c r="AQ9" s="518"/>
      <c r="AR9" s="518"/>
      <c r="AS9" s="518"/>
      <c r="AT9" s="1094"/>
      <c r="AU9" s="1156"/>
      <c r="AV9" s="915"/>
      <c r="AW9" s="1193" t="s">
        <v>192</v>
      </c>
      <c r="AX9" s="1194"/>
      <c r="AY9" s="1195"/>
      <c r="AZ9" s="517"/>
      <c r="BA9" s="518"/>
      <c r="BB9" s="518"/>
      <c r="BC9" s="518"/>
      <c r="BD9" s="1094"/>
      <c r="BE9" s="517"/>
      <c r="BF9" s="518"/>
      <c r="BG9" s="518"/>
      <c r="BH9" s="518"/>
      <c r="BI9" s="519"/>
      <c r="BJ9" s="994"/>
      <c r="BK9" s="995"/>
      <c r="BL9" s="995"/>
      <c r="BM9" s="995"/>
      <c r="BN9" s="996"/>
      <c r="BO9" s="486"/>
      <c r="BP9" s="487"/>
      <c r="BQ9" s="487"/>
      <c r="BR9" s="487"/>
      <c r="BS9" s="1221"/>
      <c r="BT9" s="486"/>
      <c r="BU9" s="487"/>
      <c r="BV9" s="487"/>
      <c r="BW9" s="487"/>
      <c r="BX9" s="488"/>
    </row>
    <row r="10" spans="1:76" ht="10.5" customHeight="1" x14ac:dyDescent="0.15">
      <c r="A10" s="99">
        <v>5</v>
      </c>
      <c r="B10" s="910"/>
      <c r="C10" s="911"/>
      <c r="D10" s="1210"/>
      <c r="E10" s="1211"/>
      <c r="F10" s="897" t="s">
        <v>296</v>
      </c>
      <c r="G10" s="898"/>
      <c r="H10" s="898"/>
      <c r="I10" s="898"/>
      <c r="J10" s="899"/>
      <c r="K10" s="302" t="s">
        <v>537</v>
      </c>
      <c r="L10" s="895"/>
      <c r="M10" s="896"/>
      <c r="N10" s="896"/>
      <c r="O10" s="896"/>
      <c r="P10" s="1084"/>
      <c r="Q10" s="923"/>
      <c r="R10" s="911"/>
      <c r="S10" s="1184"/>
      <c r="T10" s="1185"/>
      <c r="U10" s="897" t="s">
        <v>502</v>
      </c>
      <c r="V10" s="898"/>
      <c r="W10" s="898"/>
      <c r="X10" s="898"/>
      <c r="Y10" s="899"/>
      <c r="Z10" s="100" t="s">
        <v>292</v>
      </c>
      <c r="AA10" s="984"/>
      <c r="AB10" s="985"/>
      <c r="AC10" s="985"/>
      <c r="AD10" s="985"/>
      <c r="AE10" s="986"/>
      <c r="AF10" s="911"/>
      <c r="AG10" s="1108" t="s">
        <v>134</v>
      </c>
      <c r="AH10" s="1108"/>
      <c r="AI10" s="1108"/>
      <c r="AJ10" s="1108"/>
      <c r="AK10" s="957"/>
      <c r="AL10" s="958"/>
      <c r="AM10" s="958"/>
      <c r="AN10" s="958"/>
      <c r="AO10" s="959"/>
      <c r="AP10" s="517"/>
      <c r="AQ10" s="518"/>
      <c r="AR10" s="518"/>
      <c r="AS10" s="518"/>
      <c r="AT10" s="1094"/>
      <c r="AU10" s="1157"/>
      <c r="AV10" s="1046"/>
      <c r="AW10" s="1033" t="s">
        <v>348</v>
      </c>
      <c r="AX10" s="1034"/>
      <c r="AY10" s="1176"/>
      <c r="AZ10" s="975"/>
      <c r="BA10" s="976"/>
      <c r="BB10" s="976"/>
      <c r="BC10" s="976"/>
      <c r="BD10" s="977"/>
      <c r="BE10" s="978"/>
      <c r="BF10" s="979"/>
      <c r="BG10" s="979"/>
      <c r="BH10" s="979"/>
      <c r="BI10" s="980"/>
      <c r="BJ10" s="994"/>
      <c r="BK10" s="995"/>
      <c r="BL10" s="995"/>
      <c r="BM10" s="995"/>
      <c r="BN10" s="996"/>
      <c r="BO10" s="486"/>
      <c r="BP10" s="487"/>
      <c r="BQ10" s="487"/>
      <c r="BR10" s="487"/>
      <c r="BS10" s="1221"/>
      <c r="BT10" s="486"/>
      <c r="BU10" s="487"/>
      <c r="BV10" s="487"/>
      <c r="BW10" s="487"/>
      <c r="BX10" s="488"/>
    </row>
    <row r="11" spans="1:76" ht="10.5" customHeight="1" x14ac:dyDescent="0.15">
      <c r="A11" s="99">
        <v>6</v>
      </c>
      <c r="B11" s="910"/>
      <c r="C11" s="911"/>
      <c r="D11" s="912" t="s">
        <v>293</v>
      </c>
      <c r="E11" s="913"/>
      <c r="F11" s="897" t="s">
        <v>522</v>
      </c>
      <c r="G11" s="898"/>
      <c r="H11" s="898"/>
      <c r="I11" s="898"/>
      <c r="J11" s="899"/>
      <c r="K11" s="100" t="s">
        <v>538</v>
      </c>
      <c r="L11" s="900"/>
      <c r="M11" s="901"/>
      <c r="N11" s="901"/>
      <c r="O11" s="901"/>
      <c r="P11" s="922"/>
      <c r="Q11" s="923"/>
      <c r="R11" s="911"/>
      <c r="S11" s="1184"/>
      <c r="T11" s="1185"/>
      <c r="U11" s="897" t="s">
        <v>298</v>
      </c>
      <c r="V11" s="898"/>
      <c r="W11" s="898"/>
      <c r="X11" s="898"/>
      <c r="Y11" s="899"/>
      <c r="Z11" s="100" t="s">
        <v>292</v>
      </c>
      <c r="AA11" s="984"/>
      <c r="AB11" s="985"/>
      <c r="AC11" s="985"/>
      <c r="AD11" s="985"/>
      <c r="AE11" s="986"/>
      <c r="AF11" s="932"/>
      <c r="AG11" s="973" t="s">
        <v>296</v>
      </c>
      <c r="AH11" s="973"/>
      <c r="AI11" s="973"/>
      <c r="AJ11" s="973"/>
      <c r="AK11" s="975"/>
      <c r="AL11" s="976"/>
      <c r="AM11" s="976"/>
      <c r="AN11" s="976"/>
      <c r="AO11" s="977"/>
      <c r="AP11" s="978"/>
      <c r="AQ11" s="979"/>
      <c r="AR11" s="979"/>
      <c r="AS11" s="979"/>
      <c r="AT11" s="1097"/>
      <c r="AU11" s="1177" t="s">
        <v>360</v>
      </c>
      <c r="AV11" s="1178"/>
      <c r="AW11" s="1178"/>
      <c r="AX11" s="1178"/>
      <c r="AY11" s="1179"/>
      <c r="AZ11" s="1047"/>
      <c r="BA11" s="1048"/>
      <c r="BB11" s="1048"/>
      <c r="BC11" s="1048"/>
      <c r="BD11" s="1159"/>
      <c r="BE11" s="1047"/>
      <c r="BF11" s="1048"/>
      <c r="BG11" s="1048"/>
      <c r="BH11" s="1048"/>
      <c r="BI11" s="1049"/>
      <c r="BJ11" s="994"/>
      <c r="BK11" s="995"/>
      <c r="BL11" s="995"/>
      <c r="BM11" s="995"/>
      <c r="BN11" s="996"/>
      <c r="BO11" s="486"/>
      <c r="BP11" s="487"/>
      <c r="BQ11" s="487"/>
      <c r="BR11" s="487"/>
      <c r="BS11" s="1221"/>
      <c r="BT11" s="486"/>
      <c r="BU11" s="487"/>
      <c r="BV11" s="487"/>
      <c r="BW11" s="487"/>
      <c r="BX11" s="488"/>
    </row>
    <row r="12" spans="1:76" ht="10.5" customHeight="1" x14ac:dyDescent="0.15">
      <c r="A12" s="99">
        <v>7</v>
      </c>
      <c r="B12" s="1073"/>
      <c r="C12" s="932"/>
      <c r="D12" s="1045"/>
      <c r="E12" s="1046"/>
      <c r="F12" s="953" t="s">
        <v>3</v>
      </c>
      <c r="G12" s="954"/>
      <c r="H12" s="954"/>
      <c r="I12" s="954"/>
      <c r="J12" s="955"/>
      <c r="K12" s="305" t="s">
        <v>537</v>
      </c>
      <c r="L12" s="1171"/>
      <c r="M12" s="1172"/>
      <c r="N12" s="1172"/>
      <c r="O12" s="1172"/>
      <c r="P12" s="1173"/>
      <c r="Q12" s="923"/>
      <c r="R12" s="911"/>
      <c r="S12" s="1184"/>
      <c r="T12" s="1185"/>
      <c r="U12" s="960" t="s">
        <v>361</v>
      </c>
      <c r="V12" s="898"/>
      <c r="W12" s="898"/>
      <c r="X12" s="898"/>
      <c r="Y12" s="899"/>
      <c r="Z12" s="302" t="s">
        <v>292</v>
      </c>
      <c r="AA12" s="1000"/>
      <c r="AB12" s="1001"/>
      <c r="AC12" s="1001"/>
      <c r="AD12" s="1001"/>
      <c r="AE12" s="1002"/>
      <c r="AF12" s="1135" t="s">
        <v>5</v>
      </c>
      <c r="AG12" s="1174" t="s">
        <v>6</v>
      </c>
      <c r="AH12" s="1175"/>
      <c r="AI12" s="1175"/>
      <c r="AJ12" s="1175"/>
      <c r="AK12" s="651"/>
      <c r="AL12" s="652"/>
      <c r="AM12" s="652"/>
      <c r="AN12" s="652"/>
      <c r="AO12" s="1093"/>
      <c r="AP12" s="651"/>
      <c r="AQ12" s="652"/>
      <c r="AR12" s="652"/>
      <c r="AS12" s="652"/>
      <c r="AT12" s="1093"/>
      <c r="AU12" s="1160" t="s">
        <v>505</v>
      </c>
      <c r="AV12" s="1161"/>
      <c r="AW12" s="1166" t="s">
        <v>530</v>
      </c>
      <c r="AX12" s="1167"/>
      <c r="AY12" s="1168"/>
      <c r="AZ12" s="450"/>
      <c r="BA12" s="451"/>
      <c r="BB12" s="451"/>
      <c r="BC12" s="451"/>
      <c r="BD12" s="1219"/>
      <c r="BE12" s="450"/>
      <c r="BF12" s="451"/>
      <c r="BG12" s="451"/>
      <c r="BH12" s="451"/>
      <c r="BI12" s="452"/>
      <c r="BJ12" s="994"/>
      <c r="BK12" s="995"/>
      <c r="BL12" s="995"/>
      <c r="BM12" s="995"/>
      <c r="BN12" s="996"/>
      <c r="BO12" s="486"/>
      <c r="BP12" s="487"/>
      <c r="BQ12" s="487"/>
      <c r="BR12" s="487"/>
      <c r="BS12" s="1221"/>
      <c r="BT12" s="486"/>
      <c r="BU12" s="487"/>
      <c r="BV12" s="487"/>
      <c r="BW12" s="487"/>
      <c r="BX12" s="488"/>
    </row>
    <row r="13" spans="1:76" ht="10.5" customHeight="1" x14ac:dyDescent="0.15">
      <c r="A13" s="99">
        <v>8</v>
      </c>
      <c r="B13" s="908" t="s">
        <v>539</v>
      </c>
      <c r="C13" s="909"/>
      <c r="D13" s="918" t="s">
        <v>340</v>
      </c>
      <c r="E13" s="909"/>
      <c r="F13" s="1022" t="s">
        <v>297</v>
      </c>
      <c r="G13" s="1023"/>
      <c r="H13" s="1023"/>
      <c r="I13" s="1023"/>
      <c r="J13" s="1024"/>
      <c r="K13" s="101" t="s">
        <v>291</v>
      </c>
      <c r="L13" s="990"/>
      <c r="M13" s="991"/>
      <c r="N13" s="991"/>
      <c r="O13" s="991"/>
      <c r="P13" s="1025"/>
      <c r="Q13" s="923"/>
      <c r="R13" s="911"/>
      <c r="S13" s="1186"/>
      <c r="T13" s="1187"/>
      <c r="U13" s="897" t="s">
        <v>298</v>
      </c>
      <c r="V13" s="898"/>
      <c r="W13" s="898"/>
      <c r="X13" s="898"/>
      <c r="Y13" s="899"/>
      <c r="Z13" s="302" t="s">
        <v>292</v>
      </c>
      <c r="AA13" s="1000"/>
      <c r="AB13" s="1001"/>
      <c r="AC13" s="1001"/>
      <c r="AD13" s="1001"/>
      <c r="AE13" s="1002"/>
      <c r="AF13" s="1136"/>
      <c r="AG13" s="942" t="s">
        <v>7</v>
      </c>
      <c r="AH13" s="1083"/>
      <c r="AI13" s="1083"/>
      <c r="AJ13" s="1083"/>
      <c r="AK13" s="517"/>
      <c r="AL13" s="518"/>
      <c r="AM13" s="518"/>
      <c r="AN13" s="518"/>
      <c r="AO13" s="1094"/>
      <c r="AP13" s="517"/>
      <c r="AQ13" s="518"/>
      <c r="AR13" s="518"/>
      <c r="AS13" s="518"/>
      <c r="AT13" s="1094"/>
      <c r="AU13" s="1162"/>
      <c r="AV13" s="1163"/>
      <c r="AW13" s="102"/>
      <c r="AX13" s="1169" t="s">
        <v>193</v>
      </c>
      <c r="AY13" s="1170"/>
      <c r="AZ13" s="517"/>
      <c r="BA13" s="518"/>
      <c r="BB13" s="518"/>
      <c r="BC13" s="518"/>
      <c r="BD13" s="1094"/>
      <c r="BE13" s="517"/>
      <c r="BF13" s="518"/>
      <c r="BG13" s="518"/>
      <c r="BH13" s="518"/>
      <c r="BI13" s="519"/>
      <c r="BJ13" s="994"/>
      <c r="BK13" s="995"/>
      <c r="BL13" s="995"/>
      <c r="BM13" s="995"/>
      <c r="BN13" s="996"/>
      <c r="BO13" s="486"/>
      <c r="BP13" s="487"/>
      <c r="BQ13" s="487"/>
      <c r="BR13" s="487"/>
      <c r="BS13" s="1221"/>
      <c r="BT13" s="486"/>
      <c r="BU13" s="487"/>
      <c r="BV13" s="487"/>
      <c r="BW13" s="487"/>
      <c r="BX13" s="488"/>
    </row>
    <row r="14" spans="1:76" ht="10.5" customHeight="1" x14ac:dyDescent="0.15">
      <c r="A14" s="99">
        <v>9</v>
      </c>
      <c r="B14" s="910"/>
      <c r="C14" s="911"/>
      <c r="D14" s="919"/>
      <c r="E14" s="911"/>
      <c r="F14" s="897" t="s">
        <v>298</v>
      </c>
      <c r="G14" s="898"/>
      <c r="H14" s="898"/>
      <c r="I14" s="898"/>
      <c r="J14" s="899"/>
      <c r="K14" s="100" t="s">
        <v>292</v>
      </c>
      <c r="L14" s="900"/>
      <c r="M14" s="901"/>
      <c r="N14" s="901"/>
      <c r="O14" s="901"/>
      <c r="P14" s="922"/>
      <c r="Q14" s="923"/>
      <c r="R14" s="911"/>
      <c r="S14" s="942" t="s">
        <v>362</v>
      </c>
      <c r="T14" s="1083"/>
      <c r="U14" s="1083"/>
      <c r="V14" s="1083"/>
      <c r="W14" s="1083"/>
      <c r="X14" s="1083"/>
      <c r="Y14" s="1125"/>
      <c r="Z14" s="302" t="s">
        <v>292</v>
      </c>
      <c r="AA14" s="984"/>
      <c r="AB14" s="985"/>
      <c r="AC14" s="985"/>
      <c r="AD14" s="985"/>
      <c r="AE14" s="986"/>
      <c r="AF14" s="1136"/>
      <c r="AG14" s="939" t="s">
        <v>8</v>
      </c>
      <c r="AH14" s="940"/>
      <c r="AI14" s="940"/>
      <c r="AJ14" s="940"/>
      <c r="AK14" s="517"/>
      <c r="AL14" s="518"/>
      <c r="AM14" s="518"/>
      <c r="AN14" s="518"/>
      <c r="AO14" s="1094"/>
      <c r="AP14" s="517"/>
      <c r="AQ14" s="518"/>
      <c r="AR14" s="518"/>
      <c r="AS14" s="518"/>
      <c r="AT14" s="1094"/>
      <c r="AU14" s="1162"/>
      <c r="AV14" s="1163"/>
      <c r="AW14" s="103"/>
      <c r="AX14" s="942" t="s">
        <v>504</v>
      </c>
      <c r="AY14" s="943"/>
      <c r="AZ14" s="517"/>
      <c r="BA14" s="518"/>
      <c r="BB14" s="518"/>
      <c r="BC14" s="518"/>
      <c r="BD14" s="1094"/>
      <c r="BE14" s="517"/>
      <c r="BF14" s="518"/>
      <c r="BG14" s="518"/>
      <c r="BH14" s="518"/>
      <c r="BI14" s="519"/>
      <c r="BJ14" s="994"/>
      <c r="BK14" s="995"/>
      <c r="BL14" s="995"/>
      <c r="BM14" s="995"/>
      <c r="BN14" s="996"/>
      <c r="BO14" s="486"/>
      <c r="BP14" s="487"/>
      <c r="BQ14" s="487"/>
      <c r="BR14" s="487"/>
      <c r="BS14" s="1221"/>
      <c r="BT14" s="486"/>
      <c r="BU14" s="487"/>
      <c r="BV14" s="487"/>
      <c r="BW14" s="487"/>
      <c r="BX14" s="488"/>
    </row>
    <row r="15" spans="1:76" ht="10.5" customHeight="1" x14ac:dyDescent="0.15">
      <c r="A15" s="99">
        <v>10</v>
      </c>
      <c r="B15" s="910"/>
      <c r="C15" s="911"/>
      <c r="D15" s="919"/>
      <c r="E15" s="911"/>
      <c r="F15" s="897" t="s">
        <v>299</v>
      </c>
      <c r="G15" s="898"/>
      <c r="H15" s="898"/>
      <c r="I15" s="898"/>
      <c r="J15" s="899"/>
      <c r="K15" s="100" t="s">
        <v>292</v>
      </c>
      <c r="L15" s="900"/>
      <c r="M15" s="901"/>
      <c r="N15" s="901"/>
      <c r="O15" s="901"/>
      <c r="P15" s="922"/>
      <c r="Q15" s="923"/>
      <c r="R15" s="911"/>
      <c r="S15" s="942" t="s">
        <v>493</v>
      </c>
      <c r="T15" s="1083"/>
      <c r="U15" s="1083"/>
      <c r="V15" s="1083"/>
      <c r="W15" s="1083"/>
      <c r="X15" s="1083"/>
      <c r="Y15" s="1125"/>
      <c r="Z15" s="100" t="s">
        <v>292</v>
      </c>
      <c r="AA15" s="984"/>
      <c r="AB15" s="985"/>
      <c r="AC15" s="985"/>
      <c r="AD15" s="985"/>
      <c r="AE15" s="986"/>
      <c r="AF15" s="1136"/>
      <c r="AG15" s="942" t="s">
        <v>9</v>
      </c>
      <c r="AH15" s="1083"/>
      <c r="AI15" s="1083"/>
      <c r="AJ15" s="1083"/>
      <c r="AK15" s="517"/>
      <c r="AL15" s="518"/>
      <c r="AM15" s="518"/>
      <c r="AN15" s="518"/>
      <c r="AO15" s="1094"/>
      <c r="AP15" s="517"/>
      <c r="AQ15" s="518"/>
      <c r="AR15" s="518"/>
      <c r="AS15" s="518"/>
      <c r="AT15" s="1094"/>
      <c r="AU15" s="1162"/>
      <c r="AV15" s="1163"/>
      <c r="AW15" s="942" t="s">
        <v>194</v>
      </c>
      <c r="AX15" s="1083"/>
      <c r="AY15" s="943"/>
      <c r="AZ15" s="517"/>
      <c r="BA15" s="518"/>
      <c r="BB15" s="518"/>
      <c r="BC15" s="518"/>
      <c r="BD15" s="1094"/>
      <c r="BE15" s="517"/>
      <c r="BF15" s="518"/>
      <c r="BG15" s="518"/>
      <c r="BH15" s="518"/>
      <c r="BI15" s="519"/>
      <c r="BJ15" s="994"/>
      <c r="BK15" s="995"/>
      <c r="BL15" s="995"/>
      <c r="BM15" s="995"/>
      <c r="BN15" s="996"/>
      <c r="BO15" s="486"/>
      <c r="BP15" s="487"/>
      <c r="BQ15" s="487"/>
      <c r="BR15" s="487"/>
      <c r="BS15" s="1221"/>
      <c r="BT15" s="486"/>
      <c r="BU15" s="487"/>
      <c r="BV15" s="487"/>
      <c r="BW15" s="487"/>
      <c r="BX15" s="488"/>
    </row>
    <row r="16" spans="1:76" ht="10.5" customHeight="1" x14ac:dyDescent="0.15">
      <c r="A16" s="99">
        <v>11</v>
      </c>
      <c r="B16" s="910"/>
      <c r="C16" s="911"/>
      <c r="D16" s="919"/>
      <c r="E16" s="911"/>
      <c r="F16" s="897" t="s">
        <v>298</v>
      </c>
      <c r="G16" s="898"/>
      <c r="H16" s="898"/>
      <c r="I16" s="898"/>
      <c r="J16" s="899"/>
      <c r="K16" s="100" t="s">
        <v>292</v>
      </c>
      <c r="L16" s="900"/>
      <c r="M16" s="901"/>
      <c r="N16" s="901"/>
      <c r="O16" s="901"/>
      <c r="P16" s="922"/>
      <c r="Q16" s="923"/>
      <c r="R16" s="911"/>
      <c r="S16" s="1088" t="s">
        <v>293</v>
      </c>
      <c r="T16" s="1089"/>
      <c r="U16" s="942" t="s">
        <v>540</v>
      </c>
      <c r="V16" s="1083"/>
      <c r="W16" s="1083"/>
      <c r="X16" s="1083"/>
      <c r="Y16" s="1125"/>
      <c r="Z16" s="104" t="s">
        <v>363</v>
      </c>
      <c r="AA16" s="984"/>
      <c r="AB16" s="985"/>
      <c r="AC16" s="985"/>
      <c r="AD16" s="985"/>
      <c r="AE16" s="986"/>
      <c r="AF16" s="1136"/>
      <c r="AG16" s="942" t="s">
        <v>135</v>
      </c>
      <c r="AH16" s="1083"/>
      <c r="AI16" s="1083"/>
      <c r="AJ16" s="1083"/>
      <c r="AK16" s="517"/>
      <c r="AL16" s="518"/>
      <c r="AM16" s="518"/>
      <c r="AN16" s="518"/>
      <c r="AO16" s="1094"/>
      <c r="AP16" s="517"/>
      <c r="AQ16" s="518"/>
      <c r="AR16" s="518"/>
      <c r="AS16" s="518"/>
      <c r="AT16" s="1094"/>
      <c r="AU16" s="1164"/>
      <c r="AV16" s="1165"/>
      <c r="AW16" s="1033" t="s">
        <v>349</v>
      </c>
      <c r="AX16" s="1034"/>
      <c r="AY16" s="1176"/>
      <c r="AZ16" s="975"/>
      <c r="BA16" s="976"/>
      <c r="BB16" s="976"/>
      <c r="BC16" s="976"/>
      <c r="BD16" s="977"/>
      <c r="BE16" s="978"/>
      <c r="BF16" s="979"/>
      <c r="BG16" s="979"/>
      <c r="BH16" s="979"/>
      <c r="BI16" s="980"/>
      <c r="BJ16" s="994"/>
      <c r="BK16" s="995"/>
      <c r="BL16" s="995"/>
      <c r="BM16" s="995"/>
      <c r="BN16" s="996"/>
      <c r="BO16" s="486"/>
      <c r="BP16" s="487"/>
      <c r="BQ16" s="487"/>
      <c r="BR16" s="487"/>
      <c r="BS16" s="1221"/>
      <c r="BT16" s="486"/>
      <c r="BU16" s="487"/>
      <c r="BV16" s="487"/>
      <c r="BW16" s="487"/>
      <c r="BX16" s="488"/>
    </row>
    <row r="17" spans="1:76" ht="10.5" customHeight="1" x14ac:dyDescent="0.15">
      <c r="A17" s="99">
        <v>12</v>
      </c>
      <c r="B17" s="910"/>
      <c r="C17" s="911"/>
      <c r="D17" s="919"/>
      <c r="E17" s="911"/>
      <c r="F17" s="897" t="s">
        <v>300</v>
      </c>
      <c r="G17" s="898"/>
      <c r="H17" s="898"/>
      <c r="I17" s="898"/>
      <c r="J17" s="899"/>
      <c r="K17" s="100" t="s">
        <v>292</v>
      </c>
      <c r="L17" s="1070"/>
      <c r="M17" s="1071"/>
      <c r="N17" s="1071"/>
      <c r="O17" s="1071"/>
      <c r="P17" s="1072"/>
      <c r="Q17" s="923"/>
      <c r="R17" s="911"/>
      <c r="S17" s="1088"/>
      <c r="T17" s="1089"/>
      <c r="U17" s="942" t="s">
        <v>541</v>
      </c>
      <c r="V17" s="1083"/>
      <c r="W17" s="1083"/>
      <c r="X17" s="1083"/>
      <c r="Y17" s="1125"/>
      <c r="Z17" s="100" t="s">
        <v>292</v>
      </c>
      <c r="AA17" s="984"/>
      <c r="AB17" s="985"/>
      <c r="AC17" s="985"/>
      <c r="AD17" s="985"/>
      <c r="AE17" s="986"/>
      <c r="AF17" s="1137"/>
      <c r="AG17" s="936" t="s">
        <v>344</v>
      </c>
      <c r="AH17" s="937"/>
      <c r="AI17" s="937"/>
      <c r="AJ17" s="937"/>
      <c r="AK17" s="978"/>
      <c r="AL17" s="979"/>
      <c r="AM17" s="979"/>
      <c r="AN17" s="979"/>
      <c r="AO17" s="1097"/>
      <c r="AP17" s="978"/>
      <c r="AQ17" s="979"/>
      <c r="AR17" s="979"/>
      <c r="AS17" s="979"/>
      <c r="AT17" s="1097"/>
      <c r="AU17" s="1154" t="s">
        <v>15</v>
      </c>
      <c r="AV17" s="1155"/>
      <c r="AW17" s="939" t="s">
        <v>197</v>
      </c>
      <c r="AX17" s="940"/>
      <c r="AY17" s="1158"/>
      <c r="AZ17" s="651"/>
      <c r="BA17" s="652"/>
      <c r="BB17" s="652"/>
      <c r="BC17" s="652"/>
      <c r="BD17" s="1093"/>
      <c r="BE17" s="651"/>
      <c r="BF17" s="652"/>
      <c r="BG17" s="652"/>
      <c r="BH17" s="652"/>
      <c r="BI17" s="653"/>
      <c r="BJ17" s="994"/>
      <c r="BK17" s="995"/>
      <c r="BL17" s="995"/>
      <c r="BM17" s="995"/>
      <c r="BN17" s="996"/>
      <c r="BO17" s="486"/>
      <c r="BP17" s="487"/>
      <c r="BQ17" s="487"/>
      <c r="BR17" s="487"/>
      <c r="BS17" s="1221"/>
      <c r="BT17" s="486"/>
      <c r="BU17" s="487"/>
      <c r="BV17" s="487"/>
      <c r="BW17" s="487"/>
      <c r="BX17" s="488"/>
    </row>
    <row r="18" spans="1:76" ht="10.5" customHeight="1" x14ac:dyDescent="0.15">
      <c r="A18" s="99">
        <v>13</v>
      </c>
      <c r="B18" s="910"/>
      <c r="C18" s="911"/>
      <c r="D18" s="919"/>
      <c r="E18" s="911"/>
      <c r="F18" s="897" t="s">
        <v>298</v>
      </c>
      <c r="G18" s="898"/>
      <c r="H18" s="898"/>
      <c r="I18" s="898"/>
      <c r="J18" s="899"/>
      <c r="K18" s="100" t="s">
        <v>292</v>
      </c>
      <c r="L18" s="1070"/>
      <c r="M18" s="1071"/>
      <c r="N18" s="1071"/>
      <c r="O18" s="1071"/>
      <c r="P18" s="1072"/>
      <c r="Q18" s="925"/>
      <c r="R18" s="932"/>
      <c r="S18" s="1133"/>
      <c r="T18" s="1134"/>
      <c r="U18" s="936" t="s">
        <v>308</v>
      </c>
      <c r="V18" s="937"/>
      <c r="W18" s="937"/>
      <c r="X18" s="937"/>
      <c r="Y18" s="972"/>
      <c r="Z18" s="105" t="s">
        <v>292</v>
      </c>
      <c r="AA18" s="944"/>
      <c r="AB18" s="945"/>
      <c r="AC18" s="945"/>
      <c r="AD18" s="945"/>
      <c r="AE18" s="946"/>
      <c r="AF18" s="1135" t="s">
        <v>10</v>
      </c>
      <c r="AG18" s="1059" t="s">
        <v>542</v>
      </c>
      <c r="AH18" s="1060"/>
      <c r="AI18" s="1060"/>
      <c r="AJ18" s="1060"/>
      <c r="AK18" s="651"/>
      <c r="AL18" s="652"/>
      <c r="AM18" s="652"/>
      <c r="AN18" s="652"/>
      <c r="AO18" s="1093"/>
      <c r="AP18" s="651"/>
      <c r="AQ18" s="652"/>
      <c r="AR18" s="652"/>
      <c r="AS18" s="652"/>
      <c r="AT18" s="1093"/>
      <c r="AU18" s="1156"/>
      <c r="AV18" s="915"/>
      <c r="AW18" s="942" t="s">
        <v>196</v>
      </c>
      <c r="AX18" s="1083"/>
      <c r="AY18" s="943"/>
      <c r="AZ18" s="517"/>
      <c r="BA18" s="518"/>
      <c r="BB18" s="518"/>
      <c r="BC18" s="518"/>
      <c r="BD18" s="1094"/>
      <c r="BE18" s="517"/>
      <c r="BF18" s="518"/>
      <c r="BG18" s="518"/>
      <c r="BH18" s="518"/>
      <c r="BI18" s="519"/>
      <c r="BJ18" s="994"/>
      <c r="BK18" s="995"/>
      <c r="BL18" s="995"/>
      <c r="BM18" s="995"/>
      <c r="BN18" s="996"/>
      <c r="BO18" s="486"/>
      <c r="BP18" s="487"/>
      <c r="BQ18" s="487"/>
      <c r="BR18" s="487"/>
      <c r="BS18" s="1221"/>
      <c r="BT18" s="486"/>
      <c r="BU18" s="487"/>
      <c r="BV18" s="487"/>
      <c r="BW18" s="487"/>
      <c r="BX18" s="488"/>
    </row>
    <row r="19" spans="1:76" ht="10.5" customHeight="1" x14ac:dyDescent="0.15">
      <c r="A19" s="99">
        <v>14</v>
      </c>
      <c r="B19" s="910"/>
      <c r="C19" s="911"/>
      <c r="D19" s="919"/>
      <c r="E19" s="911"/>
      <c r="F19" s="897" t="s">
        <v>301</v>
      </c>
      <c r="G19" s="898"/>
      <c r="H19" s="898"/>
      <c r="I19" s="898"/>
      <c r="J19" s="899"/>
      <c r="K19" s="100" t="s">
        <v>292</v>
      </c>
      <c r="L19" s="900"/>
      <c r="M19" s="901"/>
      <c r="N19" s="901"/>
      <c r="O19" s="901"/>
      <c r="P19" s="922"/>
      <c r="Q19" s="923" t="s">
        <v>225</v>
      </c>
      <c r="R19" s="911"/>
      <c r="S19" s="927" t="s">
        <v>352</v>
      </c>
      <c r="T19" s="941"/>
      <c r="U19" s="939" t="s">
        <v>17</v>
      </c>
      <c r="V19" s="940"/>
      <c r="W19" s="940"/>
      <c r="X19" s="940"/>
      <c r="Y19" s="941"/>
      <c r="Z19" s="306" t="s">
        <v>543</v>
      </c>
      <c r="AA19" s="947"/>
      <c r="AB19" s="948"/>
      <c r="AC19" s="948"/>
      <c r="AD19" s="948"/>
      <c r="AE19" s="949"/>
      <c r="AF19" s="1136"/>
      <c r="AG19" s="1041" t="s">
        <v>345</v>
      </c>
      <c r="AH19" s="1147"/>
      <c r="AI19" s="1147"/>
      <c r="AJ19" s="1147"/>
      <c r="AK19" s="957"/>
      <c r="AL19" s="958"/>
      <c r="AM19" s="958"/>
      <c r="AN19" s="958"/>
      <c r="AO19" s="959"/>
      <c r="AP19" s="517"/>
      <c r="AQ19" s="518"/>
      <c r="AR19" s="518"/>
      <c r="AS19" s="518"/>
      <c r="AT19" s="1094"/>
      <c r="AU19" s="1157"/>
      <c r="AV19" s="1046"/>
      <c r="AW19" s="1151" t="s">
        <v>350</v>
      </c>
      <c r="AX19" s="1152"/>
      <c r="AY19" s="1153"/>
      <c r="AZ19" s="975"/>
      <c r="BA19" s="976"/>
      <c r="BB19" s="976"/>
      <c r="BC19" s="976"/>
      <c r="BD19" s="977"/>
      <c r="BE19" s="978"/>
      <c r="BF19" s="979"/>
      <c r="BG19" s="979"/>
      <c r="BH19" s="979"/>
      <c r="BI19" s="980"/>
      <c r="BJ19" s="997"/>
      <c r="BK19" s="998"/>
      <c r="BL19" s="998"/>
      <c r="BM19" s="998"/>
      <c r="BN19" s="999"/>
      <c r="BO19" s="486"/>
      <c r="BP19" s="487"/>
      <c r="BQ19" s="487"/>
      <c r="BR19" s="487"/>
      <c r="BS19" s="1221"/>
      <c r="BT19" s="486"/>
      <c r="BU19" s="487"/>
      <c r="BV19" s="487"/>
      <c r="BW19" s="487"/>
      <c r="BX19" s="488"/>
    </row>
    <row r="20" spans="1:76" ht="10.5" customHeight="1" x14ac:dyDescent="0.15">
      <c r="A20" s="99">
        <v>15</v>
      </c>
      <c r="B20" s="910"/>
      <c r="C20" s="911"/>
      <c r="D20" s="919"/>
      <c r="E20" s="911"/>
      <c r="F20" s="897" t="s">
        <v>298</v>
      </c>
      <c r="G20" s="898"/>
      <c r="H20" s="898"/>
      <c r="I20" s="898"/>
      <c r="J20" s="899"/>
      <c r="K20" s="100" t="s">
        <v>292</v>
      </c>
      <c r="L20" s="900"/>
      <c r="M20" s="901"/>
      <c r="N20" s="901"/>
      <c r="O20" s="901"/>
      <c r="P20" s="922"/>
      <c r="Q20" s="923"/>
      <c r="R20" s="911"/>
      <c r="S20" s="942"/>
      <c r="T20" s="1125"/>
      <c r="U20" s="942" t="s">
        <v>13</v>
      </c>
      <c r="V20" s="1083"/>
      <c r="W20" s="1083"/>
      <c r="X20" s="1083"/>
      <c r="Y20" s="1125"/>
      <c r="Z20" s="302" t="s">
        <v>544</v>
      </c>
      <c r="AA20" s="984"/>
      <c r="AB20" s="985"/>
      <c r="AC20" s="985"/>
      <c r="AD20" s="985"/>
      <c r="AE20" s="986"/>
      <c r="AF20" s="1137"/>
      <c r="AG20" s="936" t="s">
        <v>331</v>
      </c>
      <c r="AH20" s="937"/>
      <c r="AI20" s="937"/>
      <c r="AJ20" s="937"/>
      <c r="AK20" s="975"/>
      <c r="AL20" s="976"/>
      <c r="AM20" s="976"/>
      <c r="AN20" s="976"/>
      <c r="AO20" s="977"/>
      <c r="AP20" s="978"/>
      <c r="AQ20" s="979"/>
      <c r="AR20" s="979"/>
      <c r="AS20" s="979"/>
      <c r="AT20" s="1097"/>
      <c r="AU20" s="1254" t="s">
        <v>198</v>
      </c>
      <c r="AV20" s="1255"/>
      <c r="AW20" s="1255"/>
      <c r="AX20" s="1255"/>
      <c r="AY20" s="1256"/>
      <c r="AZ20" s="1077"/>
      <c r="BA20" s="1078"/>
      <c r="BB20" s="1078"/>
      <c r="BC20" s="1078"/>
      <c r="BD20" s="1079"/>
      <c r="BE20" s="1047"/>
      <c r="BF20" s="1048"/>
      <c r="BG20" s="1048"/>
      <c r="BH20" s="1048"/>
      <c r="BI20" s="1049"/>
      <c r="BJ20" s="994"/>
      <c r="BK20" s="995"/>
      <c r="BL20" s="995"/>
      <c r="BM20" s="995"/>
      <c r="BN20" s="996"/>
      <c r="BO20" s="486"/>
      <c r="BP20" s="487"/>
      <c r="BQ20" s="487"/>
      <c r="BR20" s="487"/>
      <c r="BS20" s="1221"/>
      <c r="BT20" s="486"/>
      <c r="BU20" s="487"/>
      <c r="BV20" s="487"/>
      <c r="BW20" s="487"/>
      <c r="BX20" s="488"/>
    </row>
    <row r="21" spans="1:76" ht="10.5" customHeight="1" x14ac:dyDescent="0.15">
      <c r="A21" s="99">
        <v>16</v>
      </c>
      <c r="B21" s="910"/>
      <c r="C21" s="911"/>
      <c r="D21" s="919"/>
      <c r="E21" s="911"/>
      <c r="F21" s="897" t="s">
        <v>302</v>
      </c>
      <c r="G21" s="898"/>
      <c r="H21" s="898"/>
      <c r="I21" s="898"/>
      <c r="J21" s="899"/>
      <c r="K21" s="100" t="s">
        <v>292</v>
      </c>
      <c r="L21" s="900"/>
      <c r="M21" s="901"/>
      <c r="N21" s="901"/>
      <c r="O21" s="901"/>
      <c r="P21" s="922"/>
      <c r="Q21" s="925"/>
      <c r="R21" s="932"/>
      <c r="S21" s="936"/>
      <c r="T21" s="972"/>
      <c r="U21" s="936" t="s">
        <v>329</v>
      </c>
      <c r="V21" s="937"/>
      <c r="W21" s="937"/>
      <c r="X21" s="937"/>
      <c r="Y21" s="972"/>
      <c r="Z21" s="105" t="s">
        <v>545</v>
      </c>
      <c r="AA21" s="1109"/>
      <c r="AB21" s="1110"/>
      <c r="AC21" s="1110"/>
      <c r="AD21" s="1110"/>
      <c r="AE21" s="1111"/>
      <c r="AF21" s="1148" t="s">
        <v>132</v>
      </c>
      <c r="AG21" s="939" t="s">
        <v>11</v>
      </c>
      <c r="AH21" s="940"/>
      <c r="AI21" s="940"/>
      <c r="AJ21" s="940"/>
      <c r="AK21" s="651"/>
      <c r="AL21" s="652"/>
      <c r="AM21" s="652"/>
      <c r="AN21" s="652"/>
      <c r="AO21" s="1093"/>
      <c r="AP21" s="651"/>
      <c r="AQ21" s="652"/>
      <c r="AR21" s="652"/>
      <c r="AS21" s="652"/>
      <c r="AT21" s="1093"/>
      <c r="AU21" s="1128" t="s">
        <v>19</v>
      </c>
      <c r="AV21" s="1129"/>
      <c r="AW21" s="1129"/>
      <c r="AX21" s="1129"/>
      <c r="AY21" s="1130"/>
      <c r="AZ21" s="1047"/>
      <c r="BA21" s="1048"/>
      <c r="BB21" s="1048"/>
      <c r="BC21" s="1048"/>
      <c r="BD21" s="1159"/>
      <c r="BE21" s="1047"/>
      <c r="BF21" s="1048"/>
      <c r="BG21" s="1048"/>
      <c r="BH21" s="1048"/>
      <c r="BI21" s="1049"/>
      <c r="BJ21" s="997"/>
      <c r="BK21" s="998"/>
      <c r="BL21" s="998"/>
      <c r="BM21" s="998"/>
      <c r="BN21" s="999"/>
      <c r="BO21" s="486"/>
      <c r="BP21" s="487"/>
      <c r="BQ21" s="487"/>
      <c r="BR21" s="487"/>
      <c r="BS21" s="1221"/>
      <c r="BT21" s="486"/>
      <c r="BU21" s="487"/>
      <c r="BV21" s="487"/>
      <c r="BW21" s="487"/>
      <c r="BX21" s="488"/>
    </row>
    <row r="22" spans="1:76" ht="10.5" customHeight="1" x14ac:dyDescent="0.15">
      <c r="A22" s="99">
        <v>17</v>
      </c>
      <c r="B22" s="910"/>
      <c r="C22" s="911"/>
      <c r="D22" s="919"/>
      <c r="E22" s="911"/>
      <c r="F22" s="897" t="s">
        <v>298</v>
      </c>
      <c r="G22" s="898"/>
      <c r="H22" s="898"/>
      <c r="I22" s="898"/>
      <c r="J22" s="899"/>
      <c r="K22" s="100" t="s">
        <v>292</v>
      </c>
      <c r="L22" s="900"/>
      <c r="M22" s="901"/>
      <c r="N22" s="901"/>
      <c r="O22" s="901"/>
      <c r="P22" s="922"/>
      <c r="Q22" s="923" t="s">
        <v>14</v>
      </c>
      <c r="R22" s="924"/>
      <c r="S22" s="1059" t="s">
        <v>20</v>
      </c>
      <c r="T22" s="1060"/>
      <c r="U22" s="1060"/>
      <c r="V22" s="1060"/>
      <c r="W22" s="1060"/>
      <c r="X22" s="1060"/>
      <c r="Y22" s="1115"/>
      <c r="Z22" s="106" t="s">
        <v>546</v>
      </c>
      <c r="AA22" s="947"/>
      <c r="AB22" s="948"/>
      <c r="AC22" s="948"/>
      <c r="AD22" s="948"/>
      <c r="AE22" s="949"/>
      <c r="AF22" s="1149"/>
      <c r="AG22" s="1126" t="s">
        <v>346</v>
      </c>
      <c r="AH22" s="1127"/>
      <c r="AI22" s="1127"/>
      <c r="AJ22" s="1127"/>
      <c r="AK22" s="517"/>
      <c r="AL22" s="518"/>
      <c r="AM22" s="518"/>
      <c r="AN22" s="518"/>
      <c r="AO22" s="1094"/>
      <c r="AP22" s="517"/>
      <c r="AQ22" s="518"/>
      <c r="AR22" s="518"/>
      <c r="AS22" s="518"/>
      <c r="AT22" s="1094"/>
      <c r="AU22" s="1138" t="s">
        <v>229</v>
      </c>
      <c r="AV22" s="1139"/>
      <c r="AW22" s="1144" t="s">
        <v>133</v>
      </c>
      <c r="AX22" s="1145"/>
      <c r="AY22" s="1146"/>
      <c r="AZ22" s="981"/>
      <c r="BA22" s="982"/>
      <c r="BB22" s="982"/>
      <c r="BC22" s="982"/>
      <c r="BD22" s="983"/>
      <c r="BE22" s="651"/>
      <c r="BF22" s="652"/>
      <c r="BG22" s="652"/>
      <c r="BH22" s="652"/>
      <c r="BI22" s="653"/>
      <c r="BJ22" s="994"/>
      <c r="BK22" s="995"/>
      <c r="BL22" s="995"/>
      <c r="BM22" s="995"/>
      <c r="BN22" s="996"/>
      <c r="BO22" s="486"/>
      <c r="BP22" s="487"/>
      <c r="BQ22" s="487"/>
      <c r="BR22" s="487"/>
      <c r="BS22" s="1221"/>
      <c r="BT22" s="486"/>
      <c r="BU22" s="487"/>
      <c r="BV22" s="487"/>
      <c r="BW22" s="487"/>
      <c r="BX22" s="488"/>
    </row>
    <row r="23" spans="1:76" ht="10.5" customHeight="1" x14ac:dyDescent="0.15">
      <c r="A23" s="99">
        <v>18</v>
      </c>
      <c r="B23" s="910"/>
      <c r="C23" s="911"/>
      <c r="D23" s="919"/>
      <c r="E23" s="911"/>
      <c r="F23" s="897" t="s">
        <v>303</v>
      </c>
      <c r="G23" s="898"/>
      <c r="H23" s="898"/>
      <c r="I23" s="898"/>
      <c r="J23" s="899"/>
      <c r="K23" s="100" t="s">
        <v>292</v>
      </c>
      <c r="L23" s="1119"/>
      <c r="M23" s="1120"/>
      <c r="N23" s="1120"/>
      <c r="O23" s="1120"/>
      <c r="P23" s="1121"/>
      <c r="Q23" s="925"/>
      <c r="R23" s="926"/>
      <c r="S23" s="936" t="s">
        <v>227</v>
      </c>
      <c r="T23" s="937"/>
      <c r="U23" s="937"/>
      <c r="V23" s="937"/>
      <c r="W23" s="937"/>
      <c r="X23" s="937"/>
      <c r="Y23" s="972"/>
      <c r="Z23" s="107" t="s">
        <v>537</v>
      </c>
      <c r="AA23" s="944"/>
      <c r="AB23" s="945"/>
      <c r="AC23" s="945"/>
      <c r="AD23" s="945"/>
      <c r="AE23" s="946"/>
      <c r="AF23" s="1149"/>
      <c r="AG23" s="942" t="s">
        <v>492</v>
      </c>
      <c r="AH23" s="1083"/>
      <c r="AI23" s="1083"/>
      <c r="AJ23" s="943"/>
      <c r="AK23" s="957"/>
      <c r="AL23" s="958"/>
      <c r="AM23" s="958"/>
      <c r="AN23" s="958"/>
      <c r="AO23" s="959"/>
      <c r="AP23" s="517"/>
      <c r="AQ23" s="518"/>
      <c r="AR23" s="518"/>
      <c r="AS23" s="518"/>
      <c r="AT23" s="1094"/>
      <c r="AU23" s="1140"/>
      <c r="AV23" s="1141"/>
      <c r="AW23" s="942" t="s">
        <v>1</v>
      </c>
      <c r="AX23" s="1083"/>
      <c r="AY23" s="943"/>
      <c r="AZ23" s="957"/>
      <c r="BA23" s="958"/>
      <c r="BB23" s="958"/>
      <c r="BC23" s="958"/>
      <c r="BD23" s="959"/>
      <c r="BE23" s="517"/>
      <c r="BF23" s="518"/>
      <c r="BG23" s="518"/>
      <c r="BH23" s="518"/>
      <c r="BI23" s="519"/>
      <c r="BJ23" s="994"/>
      <c r="BK23" s="995"/>
      <c r="BL23" s="995"/>
      <c r="BM23" s="995"/>
      <c r="BN23" s="996"/>
      <c r="BO23" s="486"/>
      <c r="BP23" s="487"/>
      <c r="BQ23" s="487"/>
      <c r="BR23" s="487"/>
      <c r="BS23" s="1221"/>
      <c r="BT23" s="486"/>
      <c r="BU23" s="487"/>
      <c r="BV23" s="487"/>
      <c r="BW23" s="487"/>
      <c r="BX23" s="488"/>
    </row>
    <row r="24" spans="1:76" ht="10.5" customHeight="1" x14ac:dyDescent="0.15">
      <c r="A24" s="99">
        <v>19</v>
      </c>
      <c r="B24" s="910"/>
      <c r="C24" s="911"/>
      <c r="D24" s="1020"/>
      <c r="E24" s="1021"/>
      <c r="F24" s="897" t="s">
        <v>298</v>
      </c>
      <c r="G24" s="898"/>
      <c r="H24" s="898"/>
      <c r="I24" s="898"/>
      <c r="J24" s="899"/>
      <c r="K24" s="302" t="s">
        <v>292</v>
      </c>
      <c r="L24" s="1043"/>
      <c r="M24" s="1044"/>
      <c r="N24" s="1044"/>
      <c r="O24" s="1044"/>
      <c r="P24" s="1074"/>
      <c r="Q24" s="923" t="s">
        <v>342</v>
      </c>
      <c r="R24" s="911"/>
      <c r="S24" s="1131" t="s">
        <v>29</v>
      </c>
      <c r="T24" s="1132"/>
      <c r="U24" s="933" t="s">
        <v>309</v>
      </c>
      <c r="V24" s="934"/>
      <c r="W24" s="934"/>
      <c r="X24" s="934"/>
      <c r="Y24" s="935"/>
      <c r="Z24" s="306" t="s">
        <v>291</v>
      </c>
      <c r="AA24" s="947"/>
      <c r="AB24" s="948"/>
      <c r="AC24" s="948"/>
      <c r="AD24" s="948"/>
      <c r="AE24" s="949"/>
      <c r="AF24" s="1150"/>
      <c r="AG24" s="936" t="s">
        <v>305</v>
      </c>
      <c r="AH24" s="937"/>
      <c r="AI24" s="937"/>
      <c r="AJ24" s="938"/>
      <c r="AK24" s="978"/>
      <c r="AL24" s="979"/>
      <c r="AM24" s="979"/>
      <c r="AN24" s="979"/>
      <c r="AO24" s="1097"/>
      <c r="AP24" s="978"/>
      <c r="AQ24" s="979"/>
      <c r="AR24" s="979"/>
      <c r="AS24" s="979"/>
      <c r="AT24" s="1097"/>
      <c r="AU24" s="1142"/>
      <c r="AV24" s="1143"/>
      <c r="AW24" s="1116" t="s">
        <v>60</v>
      </c>
      <c r="AX24" s="1117"/>
      <c r="AY24" s="1118"/>
      <c r="AZ24" s="975"/>
      <c r="BA24" s="976"/>
      <c r="BB24" s="976"/>
      <c r="BC24" s="976"/>
      <c r="BD24" s="977"/>
      <c r="BE24" s="978"/>
      <c r="BF24" s="979"/>
      <c r="BG24" s="979"/>
      <c r="BH24" s="979"/>
      <c r="BI24" s="980"/>
      <c r="BJ24" s="1122"/>
      <c r="BK24" s="1123"/>
      <c r="BL24" s="1123"/>
      <c r="BM24" s="1123"/>
      <c r="BN24" s="1124"/>
      <c r="BO24" s="486"/>
      <c r="BP24" s="487"/>
      <c r="BQ24" s="487"/>
      <c r="BR24" s="487"/>
      <c r="BS24" s="1221"/>
      <c r="BT24" s="486"/>
      <c r="BU24" s="487"/>
      <c r="BV24" s="487"/>
      <c r="BW24" s="487"/>
      <c r="BX24" s="488"/>
    </row>
    <row r="25" spans="1:76" ht="10.5" customHeight="1" thickBot="1" x14ac:dyDescent="0.2">
      <c r="A25" s="99">
        <v>20</v>
      </c>
      <c r="B25" s="910"/>
      <c r="C25" s="911"/>
      <c r="D25" s="1112" t="s">
        <v>293</v>
      </c>
      <c r="E25" s="1113"/>
      <c r="F25" s="897" t="s">
        <v>6</v>
      </c>
      <c r="G25" s="898"/>
      <c r="H25" s="898"/>
      <c r="I25" s="898"/>
      <c r="J25" s="899"/>
      <c r="K25" s="108" t="s">
        <v>547</v>
      </c>
      <c r="L25" s="900"/>
      <c r="M25" s="901"/>
      <c r="N25" s="901"/>
      <c r="O25" s="901"/>
      <c r="P25" s="922"/>
      <c r="Q25" s="923"/>
      <c r="R25" s="911"/>
      <c r="S25" s="1088"/>
      <c r="T25" s="1089"/>
      <c r="U25" s="897" t="s">
        <v>310</v>
      </c>
      <c r="V25" s="898"/>
      <c r="W25" s="898"/>
      <c r="X25" s="898"/>
      <c r="Y25" s="899"/>
      <c r="Z25" s="100" t="s">
        <v>292</v>
      </c>
      <c r="AA25" s="984"/>
      <c r="AB25" s="985"/>
      <c r="AC25" s="985"/>
      <c r="AD25" s="985"/>
      <c r="AE25" s="986"/>
      <c r="AF25" s="1085" t="s">
        <v>131</v>
      </c>
      <c r="AG25" s="939" t="s">
        <v>548</v>
      </c>
      <c r="AH25" s="940"/>
      <c r="AI25" s="940"/>
      <c r="AJ25" s="940"/>
      <c r="AK25" s="651"/>
      <c r="AL25" s="652"/>
      <c r="AM25" s="652"/>
      <c r="AN25" s="652"/>
      <c r="AO25" s="1093"/>
      <c r="AP25" s="651"/>
      <c r="AQ25" s="652"/>
      <c r="AR25" s="652"/>
      <c r="AS25" s="652"/>
      <c r="AT25" s="1093"/>
      <c r="AU25" s="1003" t="s">
        <v>130</v>
      </c>
      <c r="AV25" s="1004"/>
      <c r="AW25" s="1004"/>
      <c r="AX25" s="1004"/>
      <c r="AY25" s="1101"/>
      <c r="AZ25" s="1102"/>
      <c r="BA25" s="1103"/>
      <c r="BB25" s="1103"/>
      <c r="BC25" s="1103"/>
      <c r="BD25" s="1104"/>
      <c r="BE25" s="1105"/>
      <c r="BF25" s="1106"/>
      <c r="BG25" s="1106"/>
      <c r="BH25" s="1106"/>
      <c r="BI25" s="1107"/>
      <c r="BJ25" s="994"/>
      <c r="BK25" s="995"/>
      <c r="BL25" s="995"/>
      <c r="BM25" s="995"/>
      <c r="BN25" s="996"/>
      <c r="BO25" s="486"/>
      <c r="BP25" s="487"/>
      <c r="BQ25" s="487"/>
      <c r="BR25" s="487"/>
      <c r="BS25" s="1221"/>
      <c r="BT25" s="486"/>
      <c r="BU25" s="487"/>
      <c r="BV25" s="487"/>
      <c r="BW25" s="487"/>
      <c r="BX25" s="488"/>
    </row>
    <row r="26" spans="1:76" ht="10.5" customHeight="1" thickBot="1" x14ac:dyDescent="0.2">
      <c r="A26" s="99">
        <v>21</v>
      </c>
      <c r="B26" s="910"/>
      <c r="C26" s="911"/>
      <c r="D26" s="919"/>
      <c r="E26" s="911"/>
      <c r="F26" s="897" t="s">
        <v>7</v>
      </c>
      <c r="G26" s="898"/>
      <c r="H26" s="898"/>
      <c r="I26" s="898"/>
      <c r="J26" s="899"/>
      <c r="K26" s="302" t="s">
        <v>292</v>
      </c>
      <c r="L26" s="900"/>
      <c r="M26" s="901"/>
      <c r="N26" s="901"/>
      <c r="O26" s="901"/>
      <c r="P26" s="922"/>
      <c r="Q26" s="923"/>
      <c r="R26" s="911"/>
      <c r="S26" s="1088"/>
      <c r="T26" s="1089"/>
      <c r="U26" s="897" t="s">
        <v>311</v>
      </c>
      <c r="V26" s="898"/>
      <c r="W26" s="898"/>
      <c r="X26" s="898"/>
      <c r="Y26" s="899"/>
      <c r="Z26" s="100" t="s">
        <v>292</v>
      </c>
      <c r="AA26" s="1000"/>
      <c r="AB26" s="1001"/>
      <c r="AC26" s="1001"/>
      <c r="AD26" s="1001"/>
      <c r="AE26" s="1002"/>
      <c r="AF26" s="924"/>
      <c r="AG26" s="942" t="s">
        <v>549</v>
      </c>
      <c r="AH26" s="1083"/>
      <c r="AI26" s="1083"/>
      <c r="AJ26" s="943"/>
      <c r="AK26" s="517"/>
      <c r="AL26" s="518"/>
      <c r="AM26" s="518"/>
      <c r="AN26" s="518"/>
      <c r="AO26" s="1094"/>
      <c r="AP26" s="517"/>
      <c r="AQ26" s="518"/>
      <c r="AR26" s="518"/>
      <c r="AS26" s="518"/>
      <c r="AT26" s="519"/>
      <c r="AU26" s="109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1"/>
      <c r="BJ26" s="994"/>
      <c r="BK26" s="995"/>
      <c r="BL26" s="995"/>
      <c r="BM26" s="995"/>
      <c r="BN26" s="996"/>
      <c r="BO26" s="486"/>
      <c r="BP26" s="487"/>
      <c r="BQ26" s="487"/>
      <c r="BR26" s="487"/>
      <c r="BS26" s="1221"/>
      <c r="BT26" s="486"/>
      <c r="BU26" s="487"/>
      <c r="BV26" s="487"/>
      <c r="BW26" s="487"/>
      <c r="BX26" s="488"/>
    </row>
    <row r="27" spans="1:76" ht="10.5" customHeight="1" x14ac:dyDescent="0.15">
      <c r="A27" s="99">
        <v>22</v>
      </c>
      <c r="B27" s="910"/>
      <c r="C27" s="911"/>
      <c r="D27" s="919"/>
      <c r="E27" s="911"/>
      <c r="F27" s="897" t="s">
        <v>8</v>
      </c>
      <c r="G27" s="898"/>
      <c r="H27" s="898"/>
      <c r="I27" s="898"/>
      <c r="J27" s="899"/>
      <c r="K27" s="302" t="s">
        <v>292</v>
      </c>
      <c r="L27" s="1070"/>
      <c r="M27" s="1071"/>
      <c r="N27" s="1071"/>
      <c r="O27" s="1071"/>
      <c r="P27" s="1072"/>
      <c r="Q27" s="923"/>
      <c r="R27" s="911"/>
      <c r="S27" s="1088"/>
      <c r="T27" s="1089"/>
      <c r="U27" s="897" t="s">
        <v>312</v>
      </c>
      <c r="V27" s="898"/>
      <c r="W27" s="898"/>
      <c r="X27" s="898"/>
      <c r="Y27" s="899"/>
      <c r="Z27" s="100" t="s">
        <v>544</v>
      </c>
      <c r="AA27" s="984"/>
      <c r="AB27" s="985"/>
      <c r="AC27" s="985"/>
      <c r="AD27" s="985"/>
      <c r="AE27" s="986"/>
      <c r="AF27" s="926"/>
      <c r="AG27" s="1095" t="s">
        <v>328</v>
      </c>
      <c r="AH27" s="1096"/>
      <c r="AI27" s="1096"/>
      <c r="AJ27" s="1096"/>
      <c r="AK27" s="978"/>
      <c r="AL27" s="979"/>
      <c r="AM27" s="979"/>
      <c r="AN27" s="979"/>
      <c r="AO27" s="1097"/>
      <c r="AP27" s="978"/>
      <c r="AQ27" s="979"/>
      <c r="AR27" s="979"/>
      <c r="AS27" s="979"/>
      <c r="AT27" s="980"/>
      <c r="AU27" s="112"/>
      <c r="AZ27" s="1098" t="s">
        <v>524</v>
      </c>
      <c r="BA27" s="1099"/>
      <c r="BB27" s="1099"/>
      <c r="BC27" s="1099"/>
      <c r="BD27" s="1099"/>
      <c r="BE27" s="1099"/>
      <c r="BF27" s="1099"/>
      <c r="BG27" s="1099"/>
      <c r="BH27" s="1099"/>
      <c r="BI27" s="1100"/>
      <c r="BJ27" s="994"/>
      <c r="BK27" s="995"/>
      <c r="BL27" s="995"/>
      <c r="BM27" s="995"/>
      <c r="BN27" s="996"/>
      <c r="BO27" s="486"/>
      <c r="BP27" s="487"/>
      <c r="BQ27" s="487"/>
      <c r="BR27" s="487"/>
      <c r="BS27" s="1221"/>
      <c r="BT27" s="486"/>
      <c r="BU27" s="487"/>
      <c r="BV27" s="487"/>
      <c r="BW27" s="487"/>
      <c r="BX27" s="488"/>
    </row>
    <row r="28" spans="1:76" ht="10.5" customHeight="1" thickBot="1" x14ac:dyDescent="0.2">
      <c r="A28" s="99">
        <v>23</v>
      </c>
      <c r="B28" s="910"/>
      <c r="C28" s="911"/>
      <c r="D28" s="919"/>
      <c r="E28" s="911"/>
      <c r="F28" s="897" t="s">
        <v>9</v>
      </c>
      <c r="G28" s="898"/>
      <c r="H28" s="898"/>
      <c r="I28" s="898"/>
      <c r="J28" s="899"/>
      <c r="K28" s="302" t="s">
        <v>292</v>
      </c>
      <c r="L28" s="1070"/>
      <c r="M28" s="1071"/>
      <c r="N28" s="1071"/>
      <c r="O28" s="1071"/>
      <c r="P28" s="1072"/>
      <c r="Q28" s="923"/>
      <c r="R28" s="911"/>
      <c r="S28" s="1088"/>
      <c r="T28" s="1089"/>
      <c r="U28" s="897" t="s">
        <v>313</v>
      </c>
      <c r="V28" s="898"/>
      <c r="W28" s="898"/>
      <c r="X28" s="898"/>
      <c r="Y28" s="899"/>
      <c r="Z28" s="306" t="s">
        <v>537</v>
      </c>
      <c r="AA28" s="984"/>
      <c r="AB28" s="985"/>
      <c r="AC28" s="985"/>
      <c r="AD28" s="985"/>
      <c r="AE28" s="986"/>
      <c r="AF28" s="1066" t="s">
        <v>12</v>
      </c>
      <c r="AG28" s="1069" t="s">
        <v>540</v>
      </c>
      <c r="AH28" s="1069"/>
      <c r="AI28" s="1069"/>
      <c r="AJ28" s="1069"/>
      <c r="AK28" s="651"/>
      <c r="AL28" s="652"/>
      <c r="AM28" s="652"/>
      <c r="AN28" s="652"/>
      <c r="AO28" s="1093"/>
      <c r="AP28" s="651"/>
      <c r="AQ28" s="652"/>
      <c r="AR28" s="652"/>
      <c r="AS28" s="652"/>
      <c r="AT28" s="653"/>
      <c r="AU28" s="112"/>
      <c r="AZ28" s="1257" t="s">
        <v>228</v>
      </c>
      <c r="BA28" s="1258"/>
      <c r="BB28" s="1258"/>
      <c r="BC28" s="1258"/>
      <c r="BD28" s="1259"/>
      <c r="BE28" s="1260"/>
      <c r="BF28" s="1261"/>
      <c r="BG28" s="1261"/>
      <c r="BH28" s="1261"/>
      <c r="BI28" s="1262"/>
      <c r="BJ28" s="994"/>
      <c r="BK28" s="995"/>
      <c r="BL28" s="995"/>
      <c r="BM28" s="995"/>
      <c r="BN28" s="996"/>
      <c r="BO28" s="486"/>
      <c r="BP28" s="487"/>
      <c r="BQ28" s="487"/>
      <c r="BR28" s="487"/>
      <c r="BS28" s="1221"/>
      <c r="BT28" s="486"/>
      <c r="BU28" s="487"/>
      <c r="BV28" s="487"/>
      <c r="BW28" s="487"/>
      <c r="BX28" s="488"/>
    </row>
    <row r="29" spans="1:76" ht="10.5" customHeight="1" thickBot="1" x14ac:dyDescent="0.2">
      <c r="A29" s="99">
        <v>24</v>
      </c>
      <c r="B29" s="910"/>
      <c r="C29" s="911"/>
      <c r="D29" s="919"/>
      <c r="E29" s="911"/>
      <c r="F29" s="897" t="s">
        <v>304</v>
      </c>
      <c r="G29" s="898"/>
      <c r="H29" s="898"/>
      <c r="I29" s="898"/>
      <c r="J29" s="899"/>
      <c r="K29" s="100" t="s">
        <v>292</v>
      </c>
      <c r="L29" s="900"/>
      <c r="M29" s="901"/>
      <c r="N29" s="901"/>
      <c r="O29" s="901"/>
      <c r="P29" s="922"/>
      <c r="Q29" s="923"/>
      <c r="R29" s="911"/>
      <c r="S29" s="1088"/>
      <c r="T29" s="1089"/>
      <c r="U29" s="897" t="s">
        <v>314</v>
      </c>
      <c r="V29" s="898"/>
      <c r="W29" s="898"/>
      <c r="X29" s="898"/>
      <c r="Y29" s="899"/>
      <c r="Z29" s="306" t="s">
        <v>537</v>
      </c>
      <c r="AA29" s="1000"/>
      <c r="AB29" s="1001"/>
      <c r="AC29" s="1001"/>
      <c r="AD29" s="1001"/>
      <c r="AE29" s="1002"/>
      <c r="AF29" s="1067"/>
      <c r="AG29" s="1108" t="s">
        <v>541</v>
      </c>
      <c r="AH29" s="1108"/>
      <c r="AI29" s="1108"/>
      <c r="AJ29" s="1108"/>
      <c r="AK29" s="517"/>
      <c r="AL29" s="518"/>
      <c r="AM29" s="518"/>
      <c r="AN29" s="518"/>
      <c r="AO29" s="1094"/>
      <c r="AP29" s="517"/>
      <c r="AQ29" s="518"/>
      <c r="AR29" s="518"/>
      <c r="AS29" s="518"/>
      <c r="AT29" s="519"/>
      <c r="AU29" s="112"/>
      <c r="AZ29" s="113"/>
      <c r="BA29" s="113"/>
      <c r="BB29" s="113"/>
      <c r="BC29" s="113"/>
      <c r="BD29" s="113"/>
      <c r="BE29" s="113"/>
      <c r="BF29" s="113"/>
      <c r="BG29" s="113"/>
      <c r="BH29" s="113"/>
      <c r="BI29" s="114"/>
      <c r="BJ29" s="994"/>
      <c r="BK29" s="995"/>
      <c r="BL29" s="995"/>
      <c r="BM29" s="995"/>
      <c r="BN29" s="996"/>
      <c r="BO29" s="486"/>
      <c r="BP29" s="487"/>
      <c r="BQ29" s="487"/>
      <c r="BR29" s="487"/>
      <c r="BS29" s="1221"/>
      <c r="BT29" s="486"/>
      <c r="BU29" s="487"/>
      <c r="BV29" s="487"/>
      <c r="BW29" s="487"/>
      <c r="BX29" s="488"/>
    </row>
    <row r="30" spans="1:76" ht="10.5" customHeight="1" x14ac:dyDescent="0.15">
      <c r="A30" s="99">
        <v>25</v>
      </c>
      <c r="B30" s="1073"/>
      <c r="C30" s="932"/>
      <c r="D30" s="1114"/>
      <c r="E30" s="932"/>
      <c r="F30" s="953" t="s">
        <v>303</v>
      </c>
      <c r="G30" s="954"/>
      <c r="H30" s="954"/>
      <c r="I30" s="954"/>
      <c r="J30" s="955"/>
      <c r="K30" s="105" t="s">
        <v>292</v>
      </c>
      <c r="L30" s="1036"/>
      <c r="M30" s="1037"/>
      <c r="N30" s="1037"/>
      <c r="O30" s="1037"/>
      <c r="P30" s="1038"/>
      <c r="Q30" s="925"/>
      <c r="R30" s="932"/>
      <c r="S30" s="1133"/>
      <c r="T30" s="1134"/>
      <c r="U30" s="953" t="s">
        <v>315</v>
      </c>
      <c r="V30" s="954"/>
      <c r="W30" s="954"/>
      <c r="X30" s="954"/>
      <c r="Y30" s="955"/>
      <c r="Z30" s="105" t="s">
        <v>628</v>
      </c>
      <c r="AA30" s="1109"/>
      <c r="AB30" s="1110"/>
      <c r="AC30" s="1110"/>
      <c r="AD30" s="1110"/>
      <c r="AE30" s="1111"/>
      <c r="AF30" s="1067"/>
      <c r="AG30" s="1090" t="s">
        <v>180</v>
      </c>
      <c r="AH30" s="1091"/>
      <c r="AI30" s="1091"/>
      <c r="AJ30" s="1092"/>
      <c r="AK30" s="517"/>
      <c r="AL30" s="518"/>
      <c r="AM30" s="518"/>
      <c r="AN30" s="518"/>
      <c r="AO30" s="1094"/>
      <c r="AP30" s="517"/>
      <c r="AQ30" s="518"/>
      <c r="AR30" s="518"/>
      <c r="AS30" s="518"/>
      <c r="AT30" s="519"/>
      <c r="AU30" s="112"/>
      <c r="AY30" s="96"/>
      <c r="AZ30" s="1098" t="s">
        <v>525</v>
      </c>
      <c r="BA30" s="1099"/>
      <c r="BB30" s="1099"/>
      <c r="BC30" s="1099"/>
      <c r="BD30" s="1099"/>
      <c r="BE30" s="1099"/>
      <c r="BF30" s="1099"/>
      <c r="BG30" s="1099"/>
      <c r="BH30" s="1099"/>
      <c r="BI30" s="1100"/>
      <c r="BJ30" s="994"/>
      <c r="BK30" s="995"/>
      <c r="BL30" s="995"/>
      <c r="BM30" s="995"/>
      <c r="BN30" s="996"/>
      <c r="BO30" s="486"/>
      <c r="BP30" s="487"/>
      <c r="BQ30" s="487"/>
      <c r="BR30" s="487"/>
      <c r="BS30" s="1221"/>
      <c r="BT30" s="486"/>
      <c r="BU30" s="487"/>
      <c r="BV30" s="487"/>
      <c r="BW30" s="487"/>
      <c r="BX30" s="488"/>
    </row>
    <row r="31" spans="1:76" ht="10.5" customHeight="1" x14ac:dyDescent="0.15">
      <c r="A31" s="99">
        <v>26</v>
      </c>
      <c r="B31" s="908" t="s">
        <v>341</v>
      </c>
      <c r="C31" s="909"/>
      <c r="D31" s="918" t="s">
        <v>29</v>
      </c>
      <c r="E31" s="909"/>
      <c r="F31" s="1022" t="s">
        <v>330</v>
      </c>
      <c r="G31" s="1023"/>
      <c r="H31" s="1023"/>
      <c r="I31" s="1023"/>
      <c r="J31" s="1024"/>
      <c r="K31" s="101" t="s">
        <v>291</v>
      </c>
      <c r="L31" s="1056"/>
      <c r="M31" s="1057"/>
      <c r="N31" s="1057"/>
      <c r="O31" s="1057"/>
      <c r="P31" s="1058"/>
      <c r="Q31" s="931" t="s">
        <v>338</v>
      </c>
      <c r="R31" s="1085"/>
      <c r="S31" s="1086" t="s">
        <v>29</v>
      </c>
      <c r="T31" s="1087"/>
      <c r="U31" s="1022" t="s">
        <v>16</v>
      </c>
      <c r="V31" s="1023"/>
      <c r="W31" s="1023"/>
      <c r="X31" s="1023"/>
      <c r="Y31" s="1024"/>
      <c r="Z31" s="101" t="s">
        <v>545</v>
      </c>
      <c r="AA31" s="947"/>
      <c r="AB31" s="948"/>
      <c r="AC31" s="948"/>
      <c r="AD31" s="948"/>
      <c r="AE31" s="949"/>
      <c r="AF31" s="1067"/>
      <c r="AG31" s="1064" t="s">
        <v>237</v>
      </c>
      <c r="AH31" s="1065"/>
      <c r="AI31" s="1065"/>
      <c r="AJ31" s="1065"/>
      <c r="AK31" s="957"/>
      <c r="AL31" s="958"/>
      <c r="AM31" s="958"/>
      <c r="AN31" s="958"/>
      <c r="AO31" s="959"/>
      <c r="AP31" s="517"/>
      <c r="AQ31" s="518"/>
      <c r="AR31" s="518"/>
      <c r="AS31" s="518"/>
      <c r="AT31" s="519"/>
      <c r="AU31" s="112"/>
      <c r="AZ31" s="883" t="s">
        <v>236</v>
      </c>
      <c r="BA31" s="884"/>
      <c r="BB31" s="884"/>
      <c r="BC31" s="884"/>
      <c r="BD31" s="885"/>
      <c r="BE31" s="714"/>
      <c r="BF31" s="715"/>
      <c r="BG31" s="715"/>
      <c r="BH31" s="715"/>
      <c r="BI31" s="716"/>
      <c r="BJ31" s="994"/>
      <c r="BK31" s="995"/>
      <c r="BL31" s="995"/>
      <c r="BM31" s="995"/>
      <c r="BN31" s="996"/>
      <c r="BO31" s="486"/>
      <c r="BP31" s="487"/>
      <c r="BQ31" s="487"/>
      <c r="BR31" s="487"/>
      <c r="BS31" s="1221"/>
      <c r="BT31" s="486"/>
      <c r="BU31" s="487"/>
      <c r="BV31" s="487"/>
      <c r="BW31" s="487"/>
      <c r="BX31" s="488"/>
    </row>
    <row r="32" spans="1:76" ht="10.5" customHeight="1" x14ac:dyDescent="0.15">
      <c r="A32" s="99">
        <v>27</v>
      </c>
      <c r="B32" s="910"/>
      <c r="C32" s="911"/>
      <c r="D32" s="919"/>
      <c r="E32" s="911"/>
      <c r="F32" s="897" t="s">
        <v>298</v>
      </c>
      <c r="G32" s="898"/>
      <c r="H32" s="898"/>
      <c r="I32" s="898"/>
      <c r="J32" s="899"/>
      <c r="K32" s="100" t="s">
        <v>537</v>
      </c>
      <c r="L32" s="900"/>
      <c r="M32" s="901"/>
      <c r="N32" s="901"/>
      <c r="O32" s="901"/>
      <c r="P32" s="922"/>
      <c r="Q32" s="923"/>
      <c r="R32" s="924"/>
      <c r="S32" s="1088"/>
      <c r="T32" s="1089"/>
      <c r="U32" s="897" t="s">
        <v>295</v>
      </c>
      <c r="V32" s="898"/>
      <c r="W32" s="898"/>
      <c r="X32" s="898"/>
      <c r="Y32" s="899"/>
      <c r="Z32" s="100" t="s">
        <v>537</v>
      </c>
      <c r="AA32" s="984"/>
      <c r="AB32" s="985"/>
      <c r="AC32" s="985"/>
      <c r="AD32" s="985"/>
      <c r="AE32" s="986"/>
      <c r="AF32" s="1068"/>
      <c r="AG32" s="1062" t="s">
        <v>361</v>
      </c>
      <c r="AH32" s="1063"/>
      <c r="AI32" s="1063"/>
      <c r="AJ32" s="1063"/>
      <c r="AK32" s="975"/>
      <c r="AL32" s="976"/>
      <c r="AM32" s="976"/>
      <c r="AN32" s="976"/>
      <c r="AO32" s="977"/>
      <c r="AP32" s="978"/>
      <c r="AQ32" s="979"/>
      <c r="AR32" s="979"/>
      <c r="AS32" s="979"/>
      <c r="AT32" s="980"/>
      <c r="AU32" s="112"/>
      <c r="AZ32" s="115"/>
      <c r="BA32" s="807" t="s">
        <v>231</v>
      </c>
      <c r="BB32" s="808"/>
      <c r="BC32" s="808"/>
      <c r="BD32" s="809"/>
      <c r="BE32" s="529"/>
      <c r="BF32" s="530"/>
      <c r="BG32" s="530"/>
      <c r="BH32" s="530"/>
      <c r="BI32" s="531"/>
      <c r="BJ32" s="994"/>
      <c r="BK32" s="995"/>
      <c r="BL32" s="995"/>
      <c r="BM32" s="995"/>
      <c r="BN32" s="996"/>
      <c r="BO32" s="486"/>
      <c r="BP32" s="487"/>
      <c r="BQ32" s="487"/>
      <c r="BR32" s="487"/>
      <c r="BS32" s="1221"/>
      <c r="BT32" s="486"/>
      <c r="BU32" s="487"/>
      <c r="BV32" s="487"/>
      <c r="BW32" s="487"/>
      <c r="BX32" s="488"/>
    </row>
    <row r="33" spans="1:76" ht="10.5" customHeight="1" x14ac:dyDescent="0.15">
      <c r="A33" s="99">
        <v>28</v>
      </c>
      <c r="B33" s="910"/>
      <c r="C33" s="911"/>
      <c r="D33" s="919"/>
      <c r="E33" s="911"/>
      <c r="F33" s="1026" t="s">
        <v>331</v>
      </c>
      <c r="G33" s="1027"/>
      <c r="H33" s="1027"/>
      <c r="I33" s="1027"/>
      <c r="J33" s="1028"/>
      <c r="K33" s="100" t="s">
        <v>537</v>
      </c>
      <c r="L33" s="895"/>
      <c r="M33" s="896"/>
      <c r="N33" s="896"/>
      <c r="O33" s="896"/>
      <c r="P33" s="1084"/>
      <c r="Q33" s="923"/>
      <c r="R33" s="924"/>
      <c r="S33" s="1088"/>
      <c r="T33" s="1089"/>
      <c r="U33" s="897" t="s">
        <v>1</v>
      </c>
      <c r="V33" s="898"/>
      <c r="W33" s="898"/>
      <c r="X33" s="898"/>
      <c r="Y33" s="899"/>
      <c r="Z33" s="100" t="s">
        <v>537</v>
      </c>
      <c r="AA33" s="984"/>
      <c r="AB33" s="985"/>
      <c r="AC33" s="985"/>
      <c r="AD33" s="985"/>
      <c r="AE33" s="986"/>
      <c r="AF33" s="1085" t="s">
        <v>225</v>
      </c>
      <c r="AG33" s="1059" t="s">
        <v>17</v>
      </c>
      <c r="AH33" s="1060"/>
      <c r="AI33" s="1060"/>
      <c r="AJ33" s="1061"/>
      <c r="AK33" s="981"/>
      <c r="AL33" s="982"/>
      <c r="AM33" s="982"/>
      <c r="AN33" s="982"/>
      <c r="AO33" s="983"/>
      <c r="AP33" s="651"/>
      <c r="AQ33" s="652"/>
      <c r="AR33" s="652"/>
      <c r="AS33" s="652"/>
      <c r="AT33" s="653"/>
      <c r="AU33" s="112"/>
      <c r="AZ33" s="115"/>
      <c r="BA33" s="1053" t="s">
        <v>232</v>
      </c>
      <c r="BB33" s="1054"/>
      <c r="BC33" s="1054"/>
      <c r="BD33" s="1055"/>
      <c r="BE33" s="529"/>
      <c r="BF33" s="530"/>
      <c r="BG33" s="530"/>
      <c r="BH33" s="530"/>
      <c r="BI33" s="531"/>
      <c r="BJ33" s="994"/>
      <c r="BK33" s="995"/>
      <c r="BL33" s="995"/>
      <c r="BM33" s="995"/>
      <c r="BN33" s="996"/>
      <c r="BO33" s="486"/>
      <c r="BP33" s="487"/>
      <c r="BQ33" s="487"/>
      <c r="BR33" s="487"/>
      <c r="BS33" s="1221"/>
      <c r="BT33" s="486"/>
      <c r="BU33" s="487"/>
      <c r="BV33" s="487"/>
      <c r="BW33" s="487"/>
      <c r="BX33" s="488"/>
    </row>
    <row r="34" spans="1:76" ht="10.5" customHeight="1" x14ac:dyDescent="0.15">
      <c r="A34" s="99">
        <v>29</v>
      </c>
      <c r="B34" s="910"/>
      <c r="C34" s="911"/>
      <c r="D34" s="1020"/>
      <c r="E34" s="1021"/>
      <c r="F34" s="1026" t="s">
        <v>298</v>
      </c>
      <c r="G34" s="1027"/>
      <c r="H34" s="1027"/>
      <c r="I34" s="1027"/>
      <c r="J34" s="1028"/>
      <c r="K34" s="302" t="s">
        <v>550</v>
      </c>
      <c r="L34" s="1043"/>
      <c r="M34" s="1044"/>
      <c r="N34" s="1044"/>
      <c r="O34" s="1044"/>
      <c r="P34" s="1074"/>
      <c r="Q34" s="923"/>
      <c r="R34" s="924"/>
      <c r="S34" s="1088"/>
      <c r="T34" s="1089"/>
      <c r="U34" s="897" t="s">
        <v>298</v>
      </c>
      <c r="V34" s="898"/>
      <c r="W34" s="898"/>
      <c r="X34" s="898"/>
      <c r="Y34" s="899"/>
      <c r="Z34" s="100" t="s">
        <v>550</v>
      </c>
      <c r="AA34" s="984"/>
      <c r="AB34" s="985"/>
      <c r="AC34" s="985"/>
      <c r="AD34" s="985"/>
      <c r="AE34" s="986"/>
      <c r="AF34" s="924"/>
      <c r="AG34" s="942" t="s">
        <v>13</v>
      </c>
      <c r="AH34" s="1083"/>
      <c r="AI34" s="1083"/>
      <c r="AJ34" s="943"/>
      <c r="AK34" s="957"/>
      <c r="AL34" s="958"/>
      <c r="AM34" s="958"/>
      <c r="AN34" s="958"/>
      <c r="AO34" s="959"/>
      <c r="AP34" s="517"/>
      <c r="AQ34" s="518"/>
      <c r="AR34" s="518"/>
      <c r="AS34" s="518"/>
      <c r="AT34" s="519"/>
      <c r="AZ34" s="115"/>
      <c r="BA34" s="1080" t="s">
        <v>503</v>
      </c>
      <c r="BB34" s="1081"/>
      <c r="BC34" s="1081"/>
      <c r="BD34" s="1082"/>
      <c r="BE34" s="492"/>
      <c r="BF34" s="493"/>
      <c r="BG34" s="493"/>
      <c r="BH34" s="493"/>
      <c r="BI34" s="494"/>
      <c r="BJ34" s="994"/>
      <c r="BK34" s="995"/>
      <c r="BL34" s="995"/>
      <c r="BM34" s="995"/>
      <c r="BN34" s="996"/>
      <c r="BO34" s="486"/>
      <c r="BP34" s="487"/>
      <c r="BQ34" s="487"/>
      <c r="BR34" s="487"/>
      <c r="BS34" s="1221"/>
      <c r="BT34" s="486"/>
      <c r="BU34" s="487"/>
      <c r="BV34" s="487"/>
      <c r="BW34" s="487"/>
      <c r="BX34" s="488"/>
    </row>
    <row r="35" spans="1:76" ht="10.5" customHeight="1" x14ac:dyDescent="0.15">
      <c r="A35" s="99">
        <v>30</v>
      </c>
      <c r="B35" s="910"/>
      <c r="C35" s="911"/>
      <c r="D35" s="912" t="s">
        <v>293</v>
      </c>
      <c r="E35" s="913"/>
      <c r="F35" s="1026" t="s">
        <v>551</v>
      </c>
      <c r="G35" s="1027"/>
      <c r="H35" s="1027"/>
      <c r="I35" s="1027"/>
      <c r="J35" s="1028"/>
      <c r="K35" s="100" t="s">
        <v>552</v>
      </c>
      <c r="L35" s="900"/>
      <c r="M35" s="901"/>
      <c r="N35" s="901"/>
      <c r="O35" s="901"/>
      <c r="P35" s="922"/>
      <c r="Q35" s="923"/>
      <c r="R35" s="924"/>
      <c r="S35" s="1088"/>
      <c r="T35" s="1089"/>
      <c r="U35" s="1026" t="s">
        <v>336</v>
      </c>
      <c r="V35" s="1027"/>
      <c r="W35" s="1027"/>
      <c r="X35" s="1027"/>
      <c r="Y35" s="1028"/>
      <c r="Z35" s="302" t="s">
        <v>550</v>
      </c>
      <c r="AA35" s="1029"/>
      <c r="AB35" s="1030"/>
      <c r="AC35" s="1030"/>
      <c r="AD35" s="1030"/>
      <c r="AE35" s="1031"/>
      <c r="AF35" s="926"/>
      <c r="AG35" s="1248" t="s">
        <v>329</v>
      </c>
      <c r="AH35" s="1249"/>
      <c r="AI35" s="1249"/>
      <c r="AJ35" s="1250"/>
      <c r="AK35" s="975"/>
      <c r="AL35" s="976"/>
      <c r="AM35" s="976"/>
      <c r="AN35" s="976"/>
      <c r="AO35" s="977"/>
      <c r="AP35" s="978"/>
      <c r="AQ35" s="979"/>
      <c r="AR35" s="979"/>
      <c r="AS35" s="979"/>
      <c r="AT35" s="980"/>
      <c r="AZ35" s="115"/>
      <c r="BA35" s="116"/>
      <c r="BB35" s="807" t="s">
        <v>233</v>
      </c>
      <c r="BC35" s="808"/>
      <c r="BD35" s="809"/>
      <c r="BE35" s="529"/>
      <c r="BF35" s="530"/>
      <c r="BG35" s="530"/>
      <c r="BH35" s="530"/>
      <c r="BI35" s="531"/>
      <c r="BJ35" s="994"/>
      <c r="BK35" s="995"/>
      <c r="BL35" s="995"/>
      <c r="BM35" s="995"/>
      <c r="BN35" s="996"/>
      <c r="BO35" s="486"/>
      <c r="BP35" s="487"/>
      <c r="BQ35" s="487"/>
      <c r="BR35" s="487"/>
      <c r="BS35" s="1221"/>
      <c r="BT35" s="486"/>
      <c r="BU35" s="487"/>
      <c r="BV35" s="487"/>
      <c r="BW35" s="487"/>
      <c r="BX35" s="488"/>
    </row>
    <row r="36" spans="1:76" ht="10.5" customHeight="1" x14ac:dyDescent="0.15">
      <c r="A36" s="99">
        <v>31</v>
      </c>
      <c r="B36" s="1073"/>
      <c r="C36" s="932"/>
      <c r="D36" s="1045"/>
      <c r="E36" s="1046"/>
      <c r="F36" s="1033" t="s">
        <v>331</v>
      </c>
      <c r="G36" s="1034"/>
      <c r="H36" s="1034"/>
      <c r="I36" s="1034"/>
      <c r="J36" s="1035"/>
      <c r="K36" s="105" t="s">
        <v>550</v>
      </c>
      <c r="L36" s="1036"/>
      <c r="M36" s="1037"/>
      <c r="N36" s="1037"/>
      <c r="O36" s="1037"/>
      <c r="P36" s="1038"/>
      <c r="Q36" s="925"/>
      <c r="R36" s="926"/>
      <c r="S36" s="936" t="s">
        <v>337</v>
      </c>
      <c r="T36" s="937"/>
      <c r="U36" s="937"/>
      <c r="V36" s="937"/>
      <c r="W36" s="937"/>
      <c r="X36" s="937"/>
      <c r="Y36" s="972"/>
      <c r="Z36" s="105" t="s">
        <v>552</v>
      </c>
      <c r="AA36" s="944"/>
      <c r="AB36" s="945"/>
      <c r="AC36" s="945"/>
      <c r="AD36" s="945"/>
      <c r="AE36" s="946"/>
      <c r="AF36" s="1075" t="s">
        <v>14</v>
      </c>
      <c r="AG36" s="1075"/>
      <c r="AH36" s="1075"/>
      <c r="AI36" s="1075"/>
      <c r="AJ36" s="1076"/>
      <c r="AK36" s="1077"/>
      <c r="AL36" s="1078"/>
      <c r="AM36" s="1078"/>
      <c r="AN36" s="1078"/>
      <c r="AO36" s="1079"/>
      <c r="AP36" s="1047"/>
      <c r="AQ36" s="1048"/>
      <c r="AR36" s="1048"/>
      <c r="AS36" s="1048"/>
      <c r="AT36" s="1049"/>
      <c r="AZ36" s="115"/>
      <c r="BA36" s="116"/>
      <c r="BB36" s="1050" t="s">
        <v>235</v>
      </c>
      <c r="BC36" s="1051"/>
      <c r="BD36" s="1052"/>
      <c r="BE36" s="529"/>
      <c r="BF36" s="530"/>
      <c r="BG36" s="530"/>
      <c r="BH36" s="530"/>
      <c r="BI36" s="531"/>
      <c r="BJ36" s="994"/>
      <c r="BK36" s="995"/>
      <c r="BL36" s="995"/>
      <c r="BM36" s="995"/>
      <c r="BN36" s="996"/>
      <c r="BO36" s="486"/>
      <c r="BP36" s="487"/>
      <c r="BQ36" s="487"/>
      <c r="BR36" s="487"/>
      <c r="BS36" s="1221"/>
      <c r="BT36" s="486"/>
      <c r="BU36" s="487"/>
      <c r="BV36" s="487"/>
      <c r="BW36" s="487"/>
      <c r="BX36" s="488"/>
    </row>
    <row r="37" spans="1:76" ht="10.5" customHeight="1" x14ac:dyDescent="0.15">
      <c r="A37" s="99">
        <v>32</v>
      </c>
      <c r="B37" s="908" t="s">
        <v>326</v>
      </c>
      <c r="C37" s="909"/>
      <c r="D37" s="918" t="s">
        <v>29</v>
      </c>
      <c r="E37" s="909"/>
      <c r="F37" s="1022" t="s">
        <v>333</v>
      </c>
      <c r="G37" s="1023"/>
      <c r="H37" s="1023"/>
      <c r="I37" s="1023"/>
      <c r="J37" s="1024"/>
      <c r="K37" s="101" t="s">
        <v>291</v>
      </c>
      <c r="L37" s="990"/>
      <c r="M37" s="991"/>
      <c r="N37" s="991"/>
      <c r="O37" s="991"/>
      <c r="P37" s="1025"/>
      <c r="Q37" s="1003" t="s">
        <v>489</v>
      </c>
      <c r="R37" s="1004"/>
      <c r="S37" s="1004"/>
      <c r="T37" s="1004"/>
      <c r="U37" s="1004"/>
      <c r="V37" s="1004"/>
      <c r="W37" s="1004"/>
      <c r="X37" s="1004"/>
      <c r="Y37" s="1005"/>
      <c r="Z37" s="106" t="s">
        <v>546</v>
      </c>
      <c r="AA37" s="947"/>
      <c r="AB37" s="948"/>
      <c r="AC37" s="948"/>
      <c r="AD37" s="948"/>
      <c r="AE37" s="949"/>
      <c r="AF37" s="1032" t="s">
        <v>226</v>
      </c>
      <c r="AG37" s="1011" t="s">
        <v>165</v>
      </c>
      <c r="AH37" s="1012"/>
      <c r="AI37" s="1015" t="s">
        <v>150</v>
      </c>
      <c r="AJ37" s="1016"/>
      <c r="AK37" s="981"/>
      <c r="AL37" s="982"/>
      <c r="AM37" s="982"/>
      <c r="AN37" s="982"/>
      <c r="AO37" s="983"/>
      <c r="AP37" s="651"/>
      <c r="AQ37" s="652"/>
      <c r="AR37" s="652"/>
      <c r="AS37" s="652"/>
      <c r="AT37" s="653"/>
      <c r="AZ37" s="115"/>
      <c r="BA37" s="116"/>
      <c r="BB37" s="1017" t="s">
        <v>553</v>
      </c>
      <c r="BC37" s="1018"/>
      <c r="BD37" s="1019"/>
      <c r="BE37" s="529"/>
      <c r="BF37" s="530"/>
      <c r="BG37" s="530"/>
      <c r="BH37" s="530"/>
      <c r="BI37" s="531"/>
      <c r="BJ37" s="994"/>
      <c r="BK37" s="995"/>
      <c r="BL37" s="995"/>
      <c r="BM37" s="995"/>
      <c r="BN37" s="996"/>
      <c r="BO37" s="486"/>
      <c r="BP37" s="487"/>
      <c r="BQ37" s="487"/>
      <c r="BR37" s="487"/>
      <c r="BS37" s="1221"/>
      <c r="BT37" s="486"/>
      <c r="BU37" s="487"/>
      <c r="BV37" s="487"/>
      <c r="BW37" s="487"/>
      <c r="BX37" s="488"/>
    </row>
    <row r="38" spans="1:76" ht="10.5" customHeight="1" x14ac:dyDescent="0.15">
      <c r="A38" s="99">
        <v>33</v>
      </c>
      <c r="B38" s="910"/>
      <c r="C38" s="911"/>
      <c r="D38" s="919"/>
      <c r="E38" s="911"/>
      <c r="F38" s="960" t="s">
        <v>298</v>
      </c>
      <c r="G38" s="961"/>
      <c r="H38" s="961"/>
      <c r="I38" s="961"/>
      <c r="J38" s="962"/>
      <c r="K38" s="100" t="s">
        <v>292</v>
      </c>
      <c r="L38" s="900"/>
      <c r="M38" s="901"/>
      <c r="N38" s="901"/>
      <c r="O38" s="901"/>
      <c r="P38" s="901"/>
      <c r="Q38" s="190"/>
      <c r="R38" s="156"/>
      <c r="S38" s="936" t="s">
        <v>490</v>
      </c>
      <c r="T38" s="937"/>
      <c r="U38" s="937"/>
      <c r="V38" s="937"/>
      <c r="W38" s="937"/>
      <c r="X38" s="937"/>
      <c r="Y38" s="972"/>
      <c r="Z38" s="107" t="s">
        <v>554</v>
      </c>
      <c r="AA38" s="944"/>
      <c r="AB38" s="945"/>
      <c r="AC38" s="945"/>
      <c r="AD38" s="945"/>
      <c r="AE38" s="946"/>
      <c r="AF38" s="969"/>
      <c r="AG38" s="1013"/>
      <c r="AH38" s="1014"/>
      <c r="AI38" s="942" t="s">
        <v>151</v>
      </c>
      <c r="AJ38" s="943"/>
      <c r="AK38" s="957"/>
      <c r="AL38" s="958"/>
      <c r="AM38" s="958"/>
      <c r="AN38" s="958"/>
      <c r="AO38" s="959"/>
      <c r="AP38" s="517"/>
      <c r="AQ38" s="518"/>
      <c r="AR38" s="518"/>
      <c r="AS38" s="518"/>
      <c r="AT38" s="519"/>
      <c r="AZ38" s="115"/>
      <c r="BA38" s="117"/>
      <c r="BB38" s="807" t="s">
        <v>234</v>
      </c>
      <c r="BC38" s="808"/>
      <c r="BD38" s="809"/>
      <c r="BE38" s="529"/>
      <c r="BF38" s="530"/>
      <c r="BG38" s="530"/>
      <c r="BH38" s="530"/>
      <c r="BI38" s="531"/>
      <c r="BJ38" s="994"/>
      <c r="BK38" s="995"/>
      <c r="BL38" s="995"/>
      <c r="BM38" s="995"/>
      <c r="BN38" s="996"/>
      <c r="BO38" s="486"/>
      <c r="BP38" s="487"/>
      <c r="BQ38" s="487"/>
      <c r="BR38" s="487"/>
      <c r="BS38" s="1221"/>
      <c r="BT38" s="486"/>
      <c r="BU38" s="487"/>
      <c r="BV38" s="487"/>
      <c r="BW38" s="487"/>
      <c r="BX38" s="488"/>
    </row>
    <row r="39" spans="1:76" ht="10.5" customHeight="1" thickBot="1" x14ac:dyDescent="0.2">
      <c r="A39" s="99">
        <v>34</v>
      </c>
      <c r="B39" s="910"/>
      <c r="C39" s="911"/>
      <c r="D39" s="919"/>
      <c r="E39" s="911"/>
      <c r="F39" s="897" t="s">
        <v>491</v>
      </c>
      <c r="G39" s="898"/>
      <c r="H39" s="898"/>
      <c r="I39" s="898"/>
      <c r="J39" s="899"/>
      <c r="K39" s="100" t="s">
        <v>292</v>
      </c>
      <c r="L39" s="900"/>
      <c r="M39" s="901"/>
      <c r="N39" s="901"/>
      <c r="O39" s="901"/>
      <c r="P39" s="922"/>
      <c r="Q39" s="923" t="s">
        <v>18</v>
      </c>
      <c r="R39" s="924"/>
      <c r="S39" s="933" t="s">
        <v>639</v>
      </c>
      <c r="T39" s="934"/>
      <c r="U39" s="934"/>
      <c r="V39" s="934"/>
      <c r="W39" s="934"/>
      <c r="X39" s="934"/>
      <c r="Y39" s="935"/>
      <c r="Z39" s="306" t="s">
        <v>294</v>
      </c>
      <c r="AA39" s="947"/>
      <c r="AB39" s="948"/>
      <c r="AC39" s="948"/>
      <c r="AD39" s="948"/>
      <c r="AE39" s="949"/>
      <c r="AF39" s="969"/>
      <c r="AG39" s="1013"/>
      <c r="AH39" s="1014"/>
      <c r="AI39" s="1006" t="s">
        <v>364</v>
      </c>
      <c r="AJ39" s="1007"/>
      <c r="AK39" s="957"/>
      <c r="AL39" s="958"/>
      <c r="AM39" s="958"/>
      <c r="AN39" s="958"/>
      <c r="AO39" s="959"/>
      <c r="AP39" s="498"/>
      <c r="AQ39" s="499"/>
      <c r="AR39" s="499"/>
      <c r="AS39" s="499"/>
      <c r="AT39" s="500"/>
      <c r="AZ39" s="118"/>
      <c r="BA39" s="1008" t="s">
        <v>1</v>
      </c>
      <c r="BB39" s="1009"/>
      <c r="BC39" s="1009"/>
      <c r="BD39" s="1010"/>
      <c r="BE39" s="765"/>
      <c r="BF39" s="766"/>
      <c r="BG39" s="766"/>
      <c r="BH39" s="766"/>
      <c r="BI39" s="767"/>
      <c r="BJ39" s="994"/>
      <c r="BK39" s="995"/>
      <c r="BL39" s="995"/>
      <c r="BM39" s="995"/>
      <c r="BN39" s="996"/>
      <c r="BO39" s="486"/>
      <c r="BP39" s="487"/>
      <c r="BQ39" s="487"/>
      <c r="BR39" s="487"/>
      <c r="BS39" s="1221"/>
      <c r="BT39" s="486"/>
      <c r="BU39" s="487"/>
      <c r="BV39" s="487"/>
      <c r="BW39" s="487"/>
      <c r="BX39" s="488"/>
    </row>
    <row r="40" spans="1:76" ht="10.5" customHeight="1" x14ac:dyDescent="0.15">
      <c r="A40" s="99">
        <v>35</v>
      </c>
      <c r="B40" s="910"/>
      <c r="C40" s="911"/>
      <c r="D40" s="919"/>
      <c r="E40" s="911"/>
      <c r="F40" s="897" t="s">
        <v>298</v>
      </c>
      <c r="G40" s="898"/>
      <c r="H40" s="898"/>
      <c r="I40" s="898"/>
      <c r="J40" s="899"/>
      <c r="K40" s="100" t="s">
        <v>292</v>
      </c>
      <c r="L40" s="900"/>
      <c r="M40" s="901"/>
      <c r="N40" s="901"/>
      <c r="O40" s="901"/>
      <c r="P40" s="922"/>
      <c r="Q40" s="925"/>
      <c r="R40" s="926"/>
      <c r="S40" s="936" t="s">
        <v>317</v>
      </c>
      <c r="T40" s="937"/>
      <c r="U40" s="937"/>
      <c r="V40" s="937"/>
      <c r="W40" s="937"/>
      <c r="X40" s="937"/>
      <c r="Y40" s="972"/>
      <c r="Z40" s="105" t="s">
        <v>555</v>
      </c>
      <c r="AA40" s="944"/>
      <c r="AB40" s="945"/>
      <c r="AC40" s="945"/>
      <c r="AD40" s="945"/>
      <c r="AE40" s="946"/>
      <c r="AF40" s="969"/>
      <c r="AG40" s="1039" t="s">
        <v>166</v>
      </c>
      <c r="AH40" s="1040"/>
      <c r="AI40" s="1041" t="s">
        <v>150</v>
      </c>
      <c r="AJ40" s="1042"/>
      <c r="AK40" s="957"/>
      <c r="AL40" s="958"/>
      <c r="AM40" s="958"/>
      <c r="AN40" s="958"/>
      <c r="AO40" s="959"/>
      <c r="AP40" s="517"/>
      <c r="AQ40" s="518"/>
      <c r="AR40" s="518"/>
      <c r="AS40" s="518"/>
      <c r="AT40" s="519"/>
      <c r="BJ40" s="994"/>
      <c r="BK40" s="995"/>
      <c r="BL40" s="995"/>
      <c r="BM40" s="995"/>
      <c r="BN40" s="996"/>
      <c r="BO40" s="486"/>
      <c r="BP40" s="487"/>
      <c r="BQ40" s="487"/>
      <c r="BR40" s="487"/>
      <c r="BS40" s="1221"/>
      <c r="BT40" s="486"/>
      <c r="BU40" s="487"/>
      <c r="BV40" s="487"/>
      <c r="BW40" s="487"/>
      <c r="BX40" s="488"/>
    </row>
    <row r="41" spans="1:76" ht="10.5" customHeight="1" x14ac:dyDescent="0.15">
      <c r="A41" s="99">
        <v>36</v>
      </c>
      <c r="B41" s="910"/>
      <c r="C41" s="911"/>
      <c r="D41" s="919"/>
      <c r="E41" s="911"/>
      <c r="F41" s="897" t="s">
        <v>305</v>
      </c>
      <c r="G41" s="898"/>
      <c r="H41" s="898"/>
      <c r="I41" s="898"/>
      <c r="J41" s="899"/>
      <c r="K41" s="100" t="s">
        <v>292</v>
      </c>
      <c r="L41" s="895"/>
      <c r="M41" s="896"/>
      <c r="N41" s="896"/>
      <c r="O41" s="896"/>
      <c r="P41" s="896"/>
      <c r="Q41" s="931" t="s">
        <v>316</v>
      </c>
      <c r="R41" s="909"/>
      <c r="S41" s="933" t="s">
        <v>318</v>
      </c>
      <c r="T41" s="934"/>
      <c r="U41" s="934"/>
      <c r="V41" s="934"/>
      <c r="W41" s="934"/>
      <c r="X41" s="934"/>
      <c r="Y41" s="935"/>
      <c r="Z41" s="306" t="s">
        <v>353</v>
      </c>
      <c r="AA41" s="947"/>
      <c r="AB41" s="948"/>
      <c r="AC41" s="948"/>
      <c r="AD41" s="948"/>
      <c r="AE41" s="949"/>
      <c r="AF41" s="969"/>
      <c r="AG41" s="1013"/>
      <c r="AH41" s="1014"/>
      <c r="AI41" s="942" t="s">
        <v>151</v>
      </c>
      <c r="AJ41" s="943"/>
      <c r="AK41" s="957"/>
      <c r="AL41" s="958"/>
      <c r="AM41" s="958"/>
      <c r="AN41" s="958"/>
      <c r="AO41" s="959"/>
      <c r="AP41" s="517"/>
      <c r="AQ41" s="518"/>
      <c r="AR41" s="518"/>
      <c r="AS41" s="518"/>
      <c r="AT41" s="519"/>
      <c r="BJ41" s="997"/>
      <c r="BK41" s="998"/>
      <c r="BL41" s="998"/>
      <c r="BM41" s="998"/>
      <c r="BN41" s="999"/>
      <c r="BO41" s="486"/>
      <c r="BP41" s="487"/>
      <c r="BQ41" s="487"/>
      <c r="BR41" s="487"/>
      <c r="BS41" s="1221"/>
      <c r="BT41" s="486"/>
      <c r="BU41" s="487"/>
      <c r="BV41" s="487"/>
      <c r="BW41" s="487"/>
      <c r="BX41" s="488"/>
    </row>
    <row r="42" spans="1:76" ht="10.5" customHeight="1" thickBot="1" x14ac:dyDescent="0.2">
      <c r="A42" s="99">
        <v>37</v>
      </c>
      <c r="B42" s="910"/>
      <c r="C42" s="911"/>
      <c r="D42" s="1020"/>
      <c r="E42" s="1021"/>
      <c r="F42" s="897" t="s">
        <v>298</v>
      </c>
      <c r="G42" s="898"/>
      <c r="H42" s="898"/>
      <c r="I42" s="898"/>
      <c r="J42" s="899"/>
      <c r="K42" s="302" t="s">
        <v>292</v>
      </c>
      <c r="L42" s="1043"/>
      <c r="M42" s="1044"/>
      <c r="N42" s="1044"/>
      <c r="O42" s="1044"/>
      <c r="P42" s="1044"/>
      <c r="Q42" s="923"/>
      <c r="R42" s="911"/>
      <c r="S42" s="963" t="s">
        <v>494</v>
      </c>
      <c r="T42" s="964"/>
      <c r="U42" s="960" t="s">
        <v>529</v>
      </c>
      <c r="V42" s="898"/>
      <c r="W42" s="898"/>
      <c r="X42" s="898"/>
      <c r="Y42" s="899"/>
      <c r="Z42" s="100" t="s">
        <v>292</v>
      </c>
      <c r="AA42" s="1000"/>
      <c r="AB42" s="1001"/>
      <c r="AC42" s="1001"/>
      <c r="AD42" s="1001"/>
      <c r="AE42" s="1002"/>
      <c r="AF42" s="969"/>
      <c r="AG42" s="927"/>
      <c r="AH42" s="928"/>
      <c r="AI42" s="992" t="s">
        <v>365</v>
      </c>
      <c r="AJ42" s="993"/>
      <c r="AK42" s="957"/>
      <c r="AL42" s="958"/>
      <c r="AM42" s="958"/>
      <c r="AN42" s="958"/>
      <c r="AO42" s="959"/>
      <c r="AP42" s="498"/>
      <c r="AQ42" s="499"/>
      <c r="AR42" s="499"/>
      <c r="AS42" s="499"/>
      <c r="AT42" s="500"/>
      <c r="BJ42" s="997"/>
      <c r="BK42" s="998"/>
      <c r="BL42" s="998"/>
      <c r="BM42" s="998"/>
      <c r="BN42" s="999"/>
      <c r="BO42" s="1263"/>
      <c r="BP42" s="709"/>
      <c r="BQ42" s="709"/>
      <c r="BR42" s="709"/>
      <c r="BS42" s="1264"/>
      <c r="BT42" s="1263"/>
      <c r="BU42" s="709"/>
      <c r="BV42" s="709"/>
      <c r="BW42" s="709"/>
      <c r="BX42" s="710"/>
    </row>
    <row r="43" spans="1:76" ht="10.5" customHeight="1" x14ac:dyDescent="0.15">
      <c r="A43" s="99">
        <v>38</v>
      </c>
      <c r="B43" s="910"/>
      <c r="C43" s="911"/>
      <c r="D43" s="912" t="s">
        <v>293</v>
      </c>
      <c r="E43" s="913"/>
      <c r="F43" s="897" t="s">
        <v>11</v>
      </c>
      <c r="G43" s="898"/>
      <c r="H43" s="898"/>
      <c r="I43" s="898"/>
      <c r="J43" s="899"/>
      <c r="K43" s="100" t="s">
        <v>556</v>
      </c>
      <c r="L43" s="900"/>
      <c r="M43" s="901"/>
      <c r="N43" s="901"/>
      <c r="O43" s="901"/>
      <c r="P43" s="922"/>
      <c r="Q43" s="923"/>
      <c r="R43" s="911"/>
      <c r="S43" s="965"/>
      <c r="T43" s="966"/>
      <c r="U43" s="119"/>
      <c r="V43" s="897" t="s">
        <v>319</v>
      </c>
      <c r="W43" s="898"/>
      <c r="X43" s="898"/>
      <c r="Y43" s="899"/>
      <c r="Z43" s="100" t="s">
        <v>292</v>
      </c>
      <c r="AA43" s="984"/>
      <c r="AB43" s="985"/>
      <c r="AC43" s="985"/>
      <c r="AD43" s="985"/>
      <c r="AE43" s="986"/>
      <c r="AF43" s="970"/>
      <c r="AG43" s="936" t="s">
        <v>315</v>
      </c>
      <c r="AH43" s="937"/>
      <c r="AI43" s="937"/>
      <c r="AJ43" s="938"/>
      <c r="AK43" s="975"/>
      <c r="AL43" s="976"/>
      <c r="AM43" s="976"/>
      <c r="AN43" s="976"/>
      <c r="AO43" s="977"/>
      <c r="AP43" s="978"/>
      <c r="AQ43" s="979"/>
      <c r="AR43" s="979"/>
      <c r="AS43" s="979"/>
      <c r="AT43" s="980"/>
      <c r="AU43" s="1244"/>
      <c r="AV43" s="634"/>
      <c r="AW43" s="634"/>
      <c r="AX43" s="634"/>
      <c r="AY43" s="1245"/>
      <c r="AZ43" s="633"/>
      <c r="BA43" s="634"/>
      <c r="BB43" s="634"/>
      <c r="BC43" s="634"/>
      <c r="BD43" s="1245"/>
      <c r="BE43" s="633"/>
      <c r="BF43" s="634"/>
      <c r="BG43" s="634"/>
      <c r="BH43" s="634"/>
      <c r="BI43" s="1245"/>
      <c r="BJ43" s="633"/>
      <c r="BK43" s="634"/>
      <c r="BL43" s="634"/>
      <c r="BM43" s="634"/>
      <c r="BN43" s="1245"/>
      <c r="BO43" s="633"/>
      <c r="BP43" s="634"/>
      <c r="BQ43" s="634"/>
      <c r="BR43" s="634"/>
      <c r="BS43" s="1245"/>
      <c r="BT43" s="633"/>
      <c r="BU43" s="634"/>
      <c r="BV43" s="634"/>
      <c r="BW43" s="634"/>
      <c r="BX43" s="635"/>
    </row>
    <row r="44" spans="1:76" ht="10.5" customHeight="1" x14ac:dyDescent="0.15">
      <c r="A44" s="99">
        <v>39</v>
      </c>
      <c r="B44" s="910"/>
      <c r="C44" s="911"/>
      <c r="D44" s="914"/>
      <c r="E44" s="915"/>
      <c r="F44" s="960" t="s">
        <v>21</v>
      </c>
      <c r="G44" s="961"/>
      <c r="H44" s="961"/>
      <c r="I44" s="961"/>
      <c r="J44" s="962"/>
      <c r="K44" s="303" t="s">
        <v>557</v>
      </c>
      <c r="L44" s="900"/>
      <c r="M44" s="901"/>
      <c r="N44" s="901"/>
      <c r="O44" s="901"/>
      <c r="P44" s="922"/>
      <c r="Q44" s="923"/>
      <c r="R44" s="911"/>
      <c r="S44" s="965"/>
      <c r="T44" s="966"/>
      <c r="U44" s="191"/>
      <c r="V44" s="897" t="s">
        <v>495</v>
      </c>
      <c r="W44" s="898"/>
      <c r="X44" s="898"/>
      <c r="Y44" s="899"/>
      <c r="Z44" s="100" t="s">
        <v>292</v>
      </c>
      <c r="AA44" s="984"/>
      <c r="AB44" s="985"/>
      <c r="AC44" s="985"/>
      <c r="AD44" s="985"/>
      <c r="AE44" s="986"/>
      <c r="AF44" s="969" t="s">
        <v>203</v>
      </c>
      <c r="AG44" s="971" t="s">
        <v>16</v>
      </c>
      <c r="AH44" s="971"/>
      <c r="AI44" s="971"/>
      <c r="AJ44" s="971"/>
      <c r="AK44" s="981"/>
      <c r="AL44" s="982"/>
      <c r="AM44" s="982"/>
      <c r="AN44" s="982"/>
      <c r="AO44" s="983"/>
      <c r="AP44" s="651"/>
      <c r="AQ44" s="652"/>
      <c r="AR44" s="652"/>
      <c r="AS44" s="652"/>
      <c r="AT44" s="653"/>
      <c r="AU44" s="1246"/>
      <c r="AV44" s="530"/>
      <c r="AW44" s="530"/>
      <c r="AX44" s="530"/>
      <c r="AY44" s="735"/>
      <c r="AZ44" s="529"/>
      <c r="BA44" s="530"/>
      <c r="BB44" s="530"/>
      <c r="BC44" s="530"/>
      <c r="BD44" s="735"/>
      <c r="BE44" s="529"/>
      <c r="BF44" s="530"/>
      <c r="BG44" s="530"/>
      <c r="BH44" s="530"/>
      <c r="BI44" s="735"/>
      <c r="BJ44" s="529"/>
      <c r="BK44" s="530"/>
      <c r="BL44" s="530"/>
      <c r="BM44" s="530"/>
      <c r="BN44" s="735"/>
      <c r="BO44" s="529"/>
      <c r="BP44" s="530"/>
      <c r="BQ44" s="530"/>
      <c r="BR44" s="530"/>
      <c r="BS44" s="735"/>
      <c r="BT44" s="529"/>
      <c r="BU44" s="530"/>
      <c r="BV44" s="530"/>
      <c r="BW44" s="530"/>
      <c r="BX44" s="531"/>
    </row>
    <row r="45" spans="1:76" ht="10.5" customHeight="1" x14ac:dyDescent="0.15">
      <c r="A45" s="99">
        <v>40</v>
      </c>
      <c r="B45" s="908" t="s">
        <v>533</v>
      </c>
      <c r="C45" s="909"/>
      <c r="D45" s="918" t="s">
        <v>29</v>
      </c>
      <c r="E45" s="909"/>
      <c r="F45" s="988" t="s">
        <v>334</v>
      </c>
      <c r="G45" s="988"/>
      <c r="H45" s="988"/>
      <c r="I45" s="988"/>
      <c r="J45" s="989"/>
      <c r="K45" s="101" t="s">
        <v>291</v>
      </c>
      <c r="L45" s="990"/>
      <c r="M45" s="991"/>
      <c r="N45" s="991"/>
      <c r="O45" s="991"/>
      <c r="P45" s="991"/>
      <c r="Q45" s="925"/>
      <c r="R45" s="932"/>
      <c r="S45" s="967"/>
      <c r="T45" s="968"/>
      <c r="U45" s="936" t="s">
        <v>194</v>
      </c>
      <c r="V45" s="937"/>
      <c r="W45" s="937"/>
      <c r="X45" s="937"/>
      <c r="Y45" s="972"/>
      <c r="Z45" s="107" t="s">
        <v>557</v>
      </c>
      <c r="AA45" s="944"/>
      <c r="AB45" s="945"/>
      <c r="AC45" s="945"/>
      <c r="AD45" s="945"/>
      <c r="AE45" s="946"/>
      <c r="AF45" s="969"/>
      <c r="AG45" s="956" t="s">
        <v>204</v>
      </c>
      <c r="AH45" s="956"/>
      <c r="AI45" s="956"/>
      <c r="AJ45" s="956"/>
      <c r="AK45" s="957"/>
      <c r="AL45" s="958"/>
      <c r="AM45" s="958"/>
      <c r="AN45" s="958"/>
      <c r="AO45" s="959"/>
      <c r="AP45" s="517"/>
      <c r="AQ45" s="518"/>
      <c r="AR45" s="518"/>
      <c r="AS45" s="518"/>
      <c r="AT45" s="519"/>
      <c r="AU45" s="1246"/>
      <c r="AV45" s="530"/>
      <c r="AW45" s="530"/>
      <c r="AX45" s="530"/>
      <c r="AY45" s="735"/>
      <c r="AZ45" s="529"/>
      <c r="BA45" s="530"/>
      <c r="BB45" s="530"/>
      <c r="BC45" s="530"/>
      <c r="BD45" s="735"/>
      <c r="BE45" s="529"/>
      <c r="BF45" s="530"/>
      <c r="BG45" s="530"/>
      <c r="BH45" s="530"/>
      <c r="BI45" s="735"/>
      <c r="BJ45" s="529"/>
      <c r="BK45" s="530"/>
      <c r="BL45" s="530"/>
      <c r="BM45" s="530"/>
      <c r="BN45" s="735"/>
      <c r="BO45" s="529"/>
      <c r="BP45" s="530"/>
      <c r="BQ45" s="530"/>
      <c r="BR45" s="530"/>
      <c r="BS45" s="735"/>
      <c r="BT45" s="529"/>
      <c r="BU45" s="530"/>
      <c r="BV45" s="530"/>
      <c r="BW45" s="530"/>
      <c r="BX45" s="531"/>
    </row>
    <row r="46" spans="1:76" ht="10.5" customHeight="1" x14ac:dyDescent="0.15">
      <c r="A46" s="99">
        <v>41</v>
      </c>
      <c r="B46" s="910"/>
      <c r="C46" s="911"/>
      <c r="D46" s="919"/>
      <c r="E46" s="911"/>
      <c r="F46" s="897" t="s">
        <v>298</v>
      </c>
      <c r="G46" s="898"/>
      <c r="H46" s="898"/>
      <c r="I46" s="898"/>
      <c r="J46" s="899"/>
      <c r="K46" s="100" t="s">
        <v>292</v>
      </c>
      <c r="L46" s="900"/>
      <c r="M46" s="901"/>
      <c r="N46" s="901"/>
      <c r="O46" s="901"/>
      <c r="P46" s="901"/>
      <c r="Q46" s="923" t="s">
        <v>15</v>
      </c>
      <c r="R46" s="924"/>
      <c r="S46" s="927" t="s">
        <v>320</v>
      </c>
      <c r="T46" s="928"/>
      <c r="U46" s="939" t="s">
        <v>195</v>
      </c>
      <c r="V46" s="940"/>
      <c r="W46" s="940"/>
      <c r="X46" s="940"/>
      <c r="Y46" s="941"/>
      <c r="Z46" s="106" t="s">
        <v>294</v>
      </c>
      <c r="AA46" s="947"/>
      <c r="AB46" s="948"/>
      <c r="AC46" s="948"/>
      <c r="AD46" s="948"/>
      <c r="AE46" s="949"/>
      <c r="AF46" s="969"/>
      <c r="AG46" s="987" t="s">
        <v>205</v>
      </c>
      <c r="AH46" s="987"/>
      <c r="AI46" s="987"/>
      <c r="AJ46" s="987"/>
      <c r="AK46" s="957"/>
      <c r="AL46" s="958"/>
      <c r="AM46" s="958"/>
      <c r="AN46" s="958"/>
      <c r="AO46" s="959"/>
      <c r="AP46" s="517"/>
      <c r="AQ46" s="518"/>
      <c r="AR46" s="518"/>
      <c r="AS46" s="518"/>
      <c r="AT46" s="519"/>
      <c r="AU46" s="1246"/>
      <c r="AV46" s="530"/>
      <c r="AW46" s="530"/>
      <c r="AX46" s="530"/>
      <c r="AY46" s="735"/>
      <c r="AZ46" s="529"/>
      <c r="BA46" s="530"/>
      <c r="BB46" s="530"/>
      <c r="BC46" s="530"/>
      <c r="BD46" s="735"/>
      <c r="BE46" s="529"/>
      <c r="BF46" s="530"/>
      <c r="BG46" s="530"/>
      <c r="BH46" s="530"/>
      <c r="BI46" s="735"/>
      <c r="BJ46" s="529"/>
      <c r="BK46" s="530"/>
      <c r="BL46" s="530"/>
      <c r="BM46" s="530"/>
      <c r="BN46" s="735"/>
      <c r="BO46" s="529"/>
      <c r="BP46" s="530"/>
      <c r="BQ46" s="530"/>
      <c r="BR46" s="530"/>
      <c r="BS46" s="735"/>
      <c r="BT46" s="529"/>
      <c r="BU46" s="530"/>
      <c r="BV46" s="530"/>
      <c r="BW46" s="530"/>
      <c r="BX46" s="531"/>
    </row>
    <row r="47" spans="1:76" ht="10.5" customHeight="1" x14ac:dyDescent="0.15">
      <c r="A47" s="99">
        <v>42</v>
      </c>
      <c r="B47" s="910"/>
      <c r="C47" s="911"/>
      <c r="D47" s="919"/>
      <c r="E47" s="911"/>
      <c r="F47" s="897" t="s">
        <v>335</v>
      </c>
      <c r="G47" s="898"/>
      <c r="H47" s="898"/>
      <c r="I47" s="898"/>
      <c r="J47" s="899"/>
      <c r="K47" s="100" t="s">
        <v>292</v>
      </c>
      <c r="L47" s="900"/>
      <c r="M47" s="901"/>
      <c r="N47" s="901"/>
      <c r="O47" s="901"/>
      <c r="P47" s="901"/>
      <c r="Q47" s="925"/>
      <c r="R47" s="926"/>
      <c r="S47" s="929"/>
      <c r="T47" s="930"/>
      <c r="U47" s="953" t="s">
        <v>321</v>
      </c>
      <c r="V47" s="954"/>
      <c r="W47" s="954"/>
      <c r="X47" s="954"/>
      <c r="Y47" s="955"/>
      <c r="Z47" s="305" t="s">
        <v>558</v>
      </c>
      <c r="AA47" s="944"/>
      <c r="AB47" s="945"/>
      <c r="AC47" s="945"/>
      <c r="AD47" s="945"/>
      <c r="AE47" s="946"/>
      <c r="AF47" s="970"/>
      <c r="AG47" s="973" t="s">
        <v>336</v>
      </c>
      <c r="AH47" s="973"/>
      <c r="AI47" s="973"/>
      <c r="AJ47" s="974"/>
      <c r="AK47" s="975"/>
      <c r="AL47" s="976"/>
      <c r="AM47" s="976"/>
      <c r="AN47" s="976"/>
      <c r="AO47" s="977"/>
      <c r="AP47" s="978"/>
      <c r="AQ47" s="979"/>
      <c r="AR47" s="979"/>
      <c r="AS47" s="979"/>
      <c r="AT47" s="980"/>
      <c r="AU47" s="1246"/>
      <c r="AV47" s="530"/>
      <c r="AW47" s="530"/>
      <c r="AX47" s="530"/>
      <c r="AY47" s="735"/>
      <c r="AZ47" s="529"/>
      <c r="BA47" s="530"/>
      <c r="BB47" s="530"/>
      <c r="BC47" s="530"/>
      <c r="BD47" s="735"/>
      <c r="BE47" s="529"/>
      <c r="BF47" s="530"/>
      <c r="BG47" s="530"/>
      <c r="BH47" s="530"/>
      <c r="BI47" s="735"/>
      <c r="BJ47" s="529"/>
      <c r="BK47" s="530"/>
      <c r="BL47" s="530"/>
      <c r="BM47" s="530"/>
      <c r="BN47" s="735"/>
      <c r="BO47" s="529"/>
      <c r="BP47" s="530"/>
      <c r="BQ47" s="530"/>
      <c r="BR47" s="530"/>
      <c r="BS47" s="735"/>
      <c r="BT47" s="529"/>
      <c r="BU47" s="530"/>
      <c r="BV47" s="530"/>
      <c r="BW47" s="530"/>
      <c r="BX47" s="531"/>
    </row>
    <row r="48" spans="1:76" ht="10.5" customHeight="1" thickBot="1" x14ac:dyDescent="0.2">
      <c r="A48" s="99">
        <v>43</v>
      </c>
      <c r="B48" s="910"/>
      <c r="C48" s="911"/>
      <c r="D48" s="919"/>
      <c r="E48" s="911"/>
      <c r="F48" s="897" t="s">
        <v>359</v>
      </c>
      <c r="G48" s="898"/>
      <c r="H48" s="898"/>
      <c r="I48" s="898"/>
      <c r="J48" s="899"/>
      <c r="K48" s="302" t="s">
        <v>292</v>
      </c>
      <c r="L48" s="900"/>
      <c r="M48" s="901"/>
      <c r="N48" s="901"/>
      <c r="O48" s="901"/>
      <c r="P48" s="901"/>
      <c r="Q48" s="931" t="s">
        <v>339</v>
      </c>
      <c r="R48" s="909"/>
      <c r="S48" s="939" t="s">
        <v>322</v>
      </c>
      <c r="T48" s="940"/>
      <c r="U48" s="940"/>
      <c r="V48" s="940"/>
      <c r="W48" s="940"/>
      <c r="X48" s="940"/>
      <c r="Y48" s="941"/>
      <c r="Z48" s="306" t="s">
        <v>324</v>
      </c>
      <c r="AA48" s="947"/>
      <c r="AB48" s="948"/>
      <c r="AC48" s="948"/>
      <c r="AD48" s="948"/>
      <c r="AE48" s="949"/>
      <c r="AF48" s="951" t="s">
        <v>366</v>
      </c>
      <c r="AG48" s="952"/>
      <c r="AH48" s="952"/>
      <c r="AI48" s="952"/>
      <c r="AJ48" s="952"/>
      <c r="AK48" s="1102"/>
      <c r="AL48" s="1103"/>
      <c r="AM48" s="1103"/>
      <c r="AN48" s="1103"/>
      <c r="AO48" s="1104"/>
      <c r="AP48" s="1251"/>
      <c r="AQ48" s="1252"/>
      <c r="AR48" s="1252"/>
      <c r="AS48" s="1252"/>
      <c r="AT48" s="1253"/>
      <c r="AU48" s="1246"/>
      <c r="AV48" s="530"/>
      <c r="AW48" s="530"/>
      <c r="AX48" s="530"/>
      <c r="AY48" s="735"/>
      <c r="AZ48" s="529"/>
      <c r="BA48" s="530"/>
      <c r="BB48" s="530"/>
      <c r="BC48" s="530"/>
      <c r="BD48" s="735"/>
      <c r="BE48" s="529"/>
      <c r="BF48" s="530"/>
      <c r="BG48" s="530"/>
      <c r="BH48" s="530"/>
      <c r="BI48" s="735"/>
      <c r="BJ48" s="529"/>
      <c r="BK48" s="530"/>
      <c r="BL48" s="530"/>
      <c r="BM48" s="530"/>
      <c r="BN48" s="735"/>
      <c r="BO48" s="529"/>
      <c r="BP48" s="530"/>
      <c r="BQ48" s="530"/>
      <c r="BR48" s="530"/>
      <c r="BS48" s="735"/>
      <c r="BT48" s="529"/>
      <c r="BU48" s="530"/>
      <c r="BV48" s="530"/>
      <c r="BW48" s="530"/>
      <c r="BX48" s="531"/>
    </row>
    <row r="49" spans="1:76" ht="10.5" customHeight="1" thickBot="1" x14ac:dyDescent="0.2">
      <c r="A49" s="99">
        <v>44</v>
      </c>
      <c r="B49" s="910"/>
      <c r="C49" s="911"/>
      <c r="D49" s="919"/>
      <c r="E49" s="911"/>
      <c r="F49" s="897" t="s">
        <v>328</v>
      </c>
      <c r="G49" s="898"/>
      <c r="H49" s="898"/>
      <c r="I49" s="898"/>
      <c r="J49" s="899"/>
      <c r="K49" s="100" t="s">
        <v>292</v>
      </c>
      <c r="L49" s="895"/>
      <c r="M49" s="896"/>
      <c r="N49" s="896"/>
      <c r="O49" s="896"/>
      <c r="P49" s="896"/>
      <c r="Q49" s="950"/>
      <c r="R49" s="917"/>
      <c r="S49" s="902" t="s">
        <v>323</v>
      </c>
      <c r="T49" s="903"/>
      <c r="U49" s="903"/>
      <c r="V49" s="903"/>
      <c r="W49" s="903"/>
      <c r="X49" s="903"/>
      <c r="Y49" s="904"/>
      <c r="Z49" s="120" t="s">
        <v>559</v>
      </c>
      <c r="AA49" s="905"/>
      <c r="AB49" s="906"/>
      <c r="AC49" s="906"/>
      <c r="AD49" s="906"/>
      <c r="AE49" s="907"/>
      <c r="AF49" s="1286"/>
      <c r="AG49" s="1239"/>
      <c r="AH49" s="1239"/>
      <c r="AI49" s="1239"/>
      <c r="AJ49" s="1240"/>
      <c r="AK49" s="1238"/>
      <c r="AL49" s="1239"/>
      <c r="AM49" s="1239"/>
      <c r="AN49" s="1239"/>
      <c r="AO49" s="1240"/>
      <c r="AP49" s="1288"/>
      <c r="AQ49" s="1288"/>
      <c r="AR49" s="1288"/>
      <c r="AS49" s="1288"/>
      <c r="AT49" s="1288"/>
      <c r="AU49" s="1247"/>
      <c r="AV49" s="1247"/>
      <c r="AW49" s="1247"/>
      <c r="AX49" s="1247"/>
      <c r="AY49" s="1247"/>
      <c r="AZ49" s="529"/>
      <c r="BA49" s="530"/>
      <c r="BB49" s="530"/>
      <c r="BC49" s="530"/>
      <c r="BD49" s="735"/>
      <c r="BE49" s="529"/>
      <c r="BF49" s="530"/>
      <c r="BG49" s="530"/>
      <c r="BH49" s="530"/>
      <c r="BI49" s="735"/>
      <c r="BJ49" s="529"/>
      <c r="BK49" s="530"/>
      <c r="BL49" s="530"/>
      <c r="BM49" s="530"/>
      <c r="BN49" s="735"/>
      <c r="BO49" s="529"/>
      <c r="BP49" s="530"/>
      <c r="BQ49" s="530"/>
      <c r="BR49" s="530"/>
      <c r="BS49" s="735"/>
      <c r="BT49" s="529"/>
      <c r="BU49" s="530"/>
      <c r="BV49" s="530"/>
      <c r="BW49" s="530"/>
      <c r="BX49" s="531"/>
    </row>
    <row r="50" spans="1:76" ht="9.75" customHeight="1" x14ac:dyDescent="0.15">
      <c r="A50" s="99">
        <v>45</v>
      </c>
      <c r="B50" s="910"/>
      <c r="C50" s="911"/>
      <c r="D50" s="919"/>
      <c r="E50" s="911"/>
      <c r="F50" s="893" t="s">
        <v>359</v>
      </c>
      <c r="G50" s="893"/>
      <c r="H50" s="893"/>
      <c r="I50" s="893"/>
      <c r="J50" s="894"/>
      <c r="K50" s="302" t="s">
        <v>292</v>
      </c>
      <c r="L50" s="895"/>
      <c r="M50" s="896"/>
      <c r="N50" s="896"/>
      <c r="O50" s="896"/>
      <c r="P50" s="896"/>
      <c r="Q50" s="1286"/>
      <c r="R50" s="1239"/>
      <c r="S50" s="1239"/>
      <c r="T50" s="1239"/>
      <c r="U50" s="1240"/>
      <c r="V50" s="1238"/>
      <c r="W50" s="1239"/>
      <c r="X50" s="1239"/>
      <c r="Y50" s="1239"/>
      <c r="Z50" s="1240"/>
      <c r="AA50" s="1238"/>
      <c r="AB50" s="1239"/>
      <c r="AC50" s="1239"/>
      <c r="AD50" s="1239"/>
      <c r="AE50" s="1240"/>
      <c r="AF50" s="1242"/>
      <c r="AG50" s="1242"/>
      <c r="AH50" s="1242"/>
      <c r="AI50" s="1242"/>
      <c r="AJ50" s="1243"/>
      <c r="AK50" s="1241"/>
      <c r="AL50" s="1242"/>
      <c r="AM50" s="1242"/>
      <c r="AN50" s="1242"/>
      <c r="AO50" s="1243"/>
      <c r="AP50" s="1271"/>
      <c r="AQ50" s="1271"/>
      <c r="AR50" s="1271"/>
      <c r="AS50" s="1271"/>
      <c r="AT50" s="1271"/>
      <c r="AU50" s="1247"/>
      <c r="AV50" s="1247"/>
      <c r="AW50" s="1247"/>
      <c r="AX50" s="1247"/>
      <c r="AY50" s="1247"/>
      <c r="AZ50" s="529"/>
      <c r="BA50" s="530"/>
      <c r="BB50" s="530"/>
      <c r="BC50" s="530"/>
      <c r="BD50" s="735"/>
      <c r="BE50" s="529"/>
      <c r="BF50" s="530"/>
      <c r="BG50" s="530"/>
      <c r="BH50" s="530"/>
      <c r="BI50" s="735"/>
      <c r="BJ50" s="529"/>
      <c r="BK50" s="530"/>
      <c r="BL50" s="530"/>
      <c r="BM50" s="530"/>
      <c r="BN50" s="735"/>
      <c r="BO50" s="529"/>
      <c r="BP50" s="530"/>
      <c r="BQ50" s="530"/>
      <c r="BR50" s="530"/>
      <c r="BS50" s="735"/>
      <c r="BT50" s="529"/>
      <c r="BU50" s="530"/>
      <c r="BV50" s="530"/>
      <c r="BW50" s="530"/>
      <c r="BX50" s="531"/>
    </row>
    <row r="51" spans="1:76" ht="10.5" customHeight="1" x14ac:dyDescent="0.15">
      <c r="A51" s="99">
        <v>46</v>
      </c>
      <c r="B51" s="910"/>
      <c r="C51" s="911"/>
      <c r="D51" s="912" t="s">
        <v>293</v>
      </c>
      <c r="E51" s="913"/>
      <c r="F51" s="897" t="s">
        <v>560</v>
      </c>
      <c r="G51" s="898"/>
      <c r="H51" s="898"/>
      <c r="I51" s="898"/>
      <c r="J51" s="899"/>
      <c r="K51" s="100" t="s">
        <v>559</v>
      </c>
      <c r="L51" s="900"/>
      <c r="M51" s="901"/>
      <c r="N51" s="901"/>
      <c r="O51" s="901"/>
      <c r="P51" s="901"/>
      <c r="Q51" s="1287"/>
      <c r="R51" s="1242"/>
      <c r="S51" s="1242"/>
      <c r="T51" s="1242"/>
      <c r="U51" s="1243"/>
      <c r="V51" s="1241"/>
      <c r="W51" s="1242"/>
      <c r="X51" s="1242"/>
      <c r="Y51" s="1242"/>
      <c r="Z51" s="1243"/>
      <c r="AA51" s="1241"/>
      <c r="AB51" s="1242"/>
      <c r="AC51" s="1242"/>
      <c r="AD51" s="1242"/>
      <c r="AE51" s="1243"/>
      <c r="AF51" s="1242"/>
      <c r="AG51" s="1242"/>
      <c r="AH51" s="1242"/>
      <c r="AI51" s="1242"/>
      <c r="AJ51" s="1243"/>
      <c r="AK51" s="1241"/>
      <c r="AL51" s="1242"/>
      <c r="AM51" s="1242"/>
      <c r="AN51" s="1242"/>
      <c r="AO51" s="1243"/>
      <c r="AP51" s="1271"/>
      <c r="AQ51" s="1271"/>
      <c r="AR51" s="1271"/>
      <c r="AS51" s="1271"/>
      <c r="AT51" s="1271"/>
      <c r="AU51" s="1247"/>
      <c r="AV51" s="1247"/>
      <c r="AW51" s="1247"/>
      <c r="AX51" s="1247"/>
      <c r="AY51" s="1247"/>
      <c r="AZ51" s="529"/>
      <c r="BA51" s="530"/>
      <c r="BB51" s="530"/>
      <c r="BC51" s="530"/>
      <c r="BD51" s="735"/>
      <c r="BE51" s="529"/>
      <c r="BF51" s="530"/>
      <c r="BG51" s="530"/>
      <c r="BH51" s="530"/>
      <c r="BI51" s="735"/>
      <c r="BJ51" s="529"/>
      <c r="BK51" s="530"/>
      <c r="BL51" s="530"/>
      <c r="BM51" s="530"/>
      <c r="BN51" s="735"/>
      <c r="BO51" s="529"/>
      <c r="BP51" s="530"/>
      <c r="BQ51" s="530"/>
      <c r="BR51" s="530"/>
      <c r="BS51" s="735"/>
      <c r="BT51" s="529"/>
      <c r="BU51" s="530"/>
      <c r="BV51" s="530"/>
      <c r="BW51" s="530"/>
      <c r="BX51" s="531"/>
    </row>
    <row r="52" spans="1:76" ht="9.75" customHeight="1" thickBot="1" x14ac:dyDescent="0.2">
      <c r="A52" s="99">
        <v>47</v>
      </c>
      <c r="B52" s="916"/>
      <c r="C52" s="917"/>
      <c r="D52" s="920"/>
      <c r="E52" s="921"/>
      <c r="F52" s="888" t="s">
        <v>561</v>
      </c>
      <c r="G52" s="889"/>
      <c r="H52" s="889"/>
      <c r="I52" s="889"/>
      <c r="J52" s="890"/>
      <c r="K52" s="304" t="s">
        <v>562</v>
      </c>
      <c r="L52" s="891"/>
      <c r="M52" s="892"/>
      <c r="N52" s="892"/>
      <c r="O52" s="892"/>
      <c r="P52" s="892"/>
      <c r="Q52" s="1266"/>
      <c r="R52" s="1267"/>
      <c r="S52" s="1267"/>
      <c r="T52" s="1267"/>
      <c r="U52" s="1268"/>
      <c r="V52" s="1269"/>
      <c r="W52" s="1267"/>
      <c r="X52" s="1267"/>
      <c r="Y52" s="1267"/>
      <c r="Z52" s="1268"/>
      <c r="AA52" s="1269"/>
      <c r="AB52" s="1267"/>
      <c r="AC52" s="1267"/>
      <c r="AD52" s="1267"/>
      <c r="AE52" s="1268"/>
      <c r="AF52" s="1267"/>
      <c r="AG52" s="1267"/>
      <c r="AH52" s="1267"/>
      <c r="AI52" s="1267"/>
      <c r="AJ52" s="1268"/>
      <c r="AK52" s="1269"/>
      <c r="AL52" s="1267"/>
      <c r="AM52" s="1267"/>
      <c r="AN52" s="1267"/>
      <c r="AO52" s="1268"/>
      <c r="AP52" s="1265"/>
      <c r="AQ52" s="1265"/>
      <c r="AR52" s="1265"/>
      <c r="AS52" s="1265"/>
      <c r="AT52" s="1265"/>
      <c r="AU52" s="1270"/>
      <c r="AV52" s="1270"/>
      <c r="AW52" s="1270"/>
      <c r="AX52" s="1270"/>
      <c r="AY52" s="1270"/>
      <c r="AZ52" s="765"/>
      <c r="BA52" s="766"/>
      <c r="BB52" s="766"/>
      <c r="BC52" s="766"/>
      <c r="BD52" s="859"/>
      <c r="BE52" s="765"/>
      <c r="BF52" s="766"/>
      <c r="BG52" s="766"/>
      <c r="BH52" s="766"/>
      <c r="BI52" s="859"/>
      <c r="BJ52" s="765"/>
      <c r="BK52" s="766"/>
      <c r="BL52" s="766"/>
      <c r="BM52" s="766"/>
      <c r="BN52" s="859"/>
      <c r="BO52" s="765"/>
      <c r="BP52" s="766"/>
      <c r="BQ52" s="766"/>
      <c r="BR52" s="766"/>
      <c r="BS52" s="859"/>
      <c r="BT52" s="765"/>
      <c r="BU52" s="766"/>
      <c r="BV52" s="766"/>
      <c r="BW52" s="766"/>
      <c r="BX52" s="767"/>
    </row>
    <row r="53" spans="1:76" ht="9.75" customHeight="1" x14ac:dyDescent="0.15">
      <c r="A53" s="99"/>
      <c r="B53" s="887">
        <v>1</v>
      </c>
      <c r="C53" s="887"/>
      <c r="D53" s="887"/>
      <c r="E53" s="887"/>
      <c r="F53" s="887"/>
      <c r="G53" s="887">
        <v>2</v>
      </c>
      <c r="H53" s="887"/>
      <c r="I53" s="887"/>
      <c r="J53" s="887"/>
      <c r="K53" s="887"/>
      <c r="L53" s="887">
        <v>3</v>
      </c>
      <c r="M53" s="887"/>
      <c r="N53" s="887"/>
      <c r="O53" s="887"/>
      <c r="P53" s="887"/>
      <c r="Q53" s="887">
        <v>4</v>
      </c>
      <c r="R53" s="887"/>
      <c r="S53" s="887"/>
      <c r="T53" s="887"/>
      <c r="U53" s="887"/>
      <c r="V53" s="887">
        <v>5</v>
      </c>
      <c r="W53" s="887"/>
      <c r="X53" s="887"/>
      <c r="Y53" s="887"/>
      <c r="Z53" s="887"/>
      <c r="AA53" s="887">
        <v>6</v>
      </c>
      <c r="AB53" s="887"/>
      <c r="AC53" s="887"/>
      <c r="AD53" s="887"/>
      <c r="AE53" s="887"/>
      <c r="AF53" s="887">
        <v>7</v>
      </c>
      <c r="AG53" s="887"/>
      <c r="AH53" s="887"/>
      <c r="AI53" s="887"/>
      <c r="AJ53" s="887"/>
      <c r="AK53" s="887">
        <v>8</v>
      </c>
      <c r="AL53" s="887"/>
      <c r="AM53" s="887"/>
      <c r="AN53" s="887"/>
      <c r="AO53" s="887"/>
      <c r="AP53" s="887">
        <v>9</v>
      </c>
      <c r="AQ53" s="887"/>
      <c r="AR53" s="887"/>
      <c r="AS53" s="887"/>
      <c r="AT53" s="887"/>
      <c r="AU53" s="887">
        <v>10</v>
      </c>
      <c r="AV53" s="887"/>
      <c r="AW53" s="887"/>
      <c r="AX53" s="887"/>
      <c r="AY53" s="887"/>
      <c r="AZ53" s="887">
        <v>11</v>
      </c>
      <c r="BA53" s="887"/>
      <c r="BB53" s="887"/>
      <c r="BC53" s="887"/>
      <c r="BD53" s="887"/>
      <c r="BE53" s="887">
        <v>12</v>
      </c>
      <c r="BF53" s="887"/>
      <c r="BG53" s="887"/>
      <c r="BH53" s="887"/>
      <c r="BI53" s="887"/>
      <c r="BJ53" s="887">
        <v>13</v>
      </c>
      <c r="BK53" s="887"/>
      <c r="BL53" s="887"/>
      <c r="BM53" s="887"/>
      <c r="BN53" s="887"/>
      <c r="BO53" s="887">
        <v>14</v>
      </c>
      <c r="BP53" s="887"/>
      <c r="BQ53" s="887"/>
      <c r="BR53" s="887"/>
      <c r="BS53" s="887"/>
      <c r="BT53" s="887">
        <v>15</v>
      </c>
      <c r="BU53" s="887"/>
      <c r="BV53" s="887"/>
      <c r="BW53" s="887"/>
      <c r="BX53" s="887"/>
    </row>
  </sheetData>
  <mergeCells count="670">
    <mergeCell ref="AZ3:BD3"/>
    <mergeCell ref="AZ4:BD4"/>
    <mergeCell ref="BO3:BS3"/>
    <mergeCell ref="BT3:BX3"/>
    <mergeCell ref="BO4:BS4"/>
    <mergeCell ref="BT4:BX4"/>
    <mergeCell ref="Q50:U50"/>
    <mergeCell ref="V50:Z50"/>
    <mergeCell ref="Q51:U51"/>
    <mergeCell ref="AP50:AT50"/>
    <mergeCell ref="AF49:AJ49"/>
    <mergeCell ref="AK49:AO49"/>
    <mergeCell ref="AP49:AT49"/>
    <mergeCell ref="AF50:AJ50"/>
    <mergeCell ref="AF51:AJ51"/>
    <mergeCell ref="BO45:BS45"/>
    <mergeCell ref="BT45:BX45"/>
    <mergeCell ref="BO46:BS46"/>
    <mergeCell ref="BT46:BX46"/>
    <mergeCell ref="BO47:BS47"/>
    <mergeCell ref="BT47:BX47"/>
    <mergeCell ref="BO48:BS48"/>
    <mergeCell ref="BT48:BX48"/>
    <mergeCell ref="BO49:BS49"/>
    <mergeCell ref="Q52:U52"/>
    <mergeCell ref="Q53:U53"/>
    <mergeCell ref="V51:Z51"/>
    <mergeCell ref="V52:Z52"/>
    <mergeCell ref="V53:Z53"/>
    <mergeCell ref="BT52:BX52"/>
    <mergeCell ref="BT53:BX53"/>
    <mergeCell ref="AU52:AY52"/>
    <mergeCell ref="AU53:AY53"/>
    <mergeCell ref="AZ52:BD52"/>
    <mergeCell ref="AZ53:BD53"/>
    <mergeCell ref="BE52:BI52"/>
    <mergeCell ref="BE53:BI53"/>
    <mergeCell ref="BJ52:BN52"/>
    <mergeCell ref="BJ53:BN53"/>
    <mergeCell ref="BO52:BS52"/>
    <mergeCell ref="BO53:BS53"/>
    <mergeCell ref="AA52:AE52"/>
    <mergeCell ref="AA53:AE53"/>
    <mergeCell ref="AF52:AJ52"/>
    <mergeCell ref="AF53:AJ53"/>
    <mergeCell ref="AK52:AO52"/>
    <mergeCell ref="AK53:AO53"/>
    <mergeCell ref="AP51:AT51"/>
    <mergeCell ref="AP52:AT52"/>
    <mergeCell ref="AP53:AT53"/>
    <mergeCell ref="BO50:BS50"/>
    <mergeCell ref="AU51:AY51"/>
    <mergeCell ref="AZ51:BD51"/>
    <mergeCell ref="BE51:BI51"/>
    <mergeCell ref="BJ51:BN51"/>
    <mergeCell ref="BT50:BX50"/>
    <mergeCell ref="BO51:BS51"/>
    <mergeCell ref="BT51:BX51"/>
    <mergeCell ref="BT49:BX49"/>
    <mergeCell ref="BE49:BI49"/>
    <mergeCell ref="BJ49:BN49"/>
    <mergeCell ref="AU50:AY50"/>
    <mergeCell ref="AZ50:BD50"/>
    <mergeCell ref="BE50:BI50"/>
    <mergeCell ref="BJ50:BN50"/>
    <mergeCell ref="BO40:BS40"/>
    <mergeCell ref="BT40:BX40"/>
    <mergeCell ref="BO41:BS41"/>
    <mergeCell ref="BT41:BX41"/>
    <mergeCell ref="BO42:BS42"/>
    <mergeCell ref="BT42:BX42"/>
    <mergeCell ref="BO43:BS43"/>
    <mergeCell ref="BT43:BX43"/>
    <mergeCell ref="BO44:BS44"/>
    <mergeCell ref="BT44:BX44"/>
    <mergeCell ref="BJ46:BN46"/>
    <mergeCell ref="AU47:AY47"/>
    <mergeCell ref="AZ47:BD47"/>
    <mergeCell ref="BE47:BI47"/>
    <mergeCell ref="BJ47:BN47"/>
    <mergeCell ref="AU48:AY48"/>
    <mergeCell ref="AZ48:BD48"/>
    <mergeCell ref="BO35:BS35"/>
    <mergeCell ref="BT35:BX35"/>
    <mergeCell ref="BO36:BS36"/>
    <mergeCell ref="BT36:BX36"/>
    <mergeCell ref="BO37:BS37"/>
    <mergeCell ref="BT37:BX37"/>
    <mergeCell ref="BO38:BS38"/>
    <mergeCell ref="BT38:BX38"/>
    <mergeCell ref="BO39:BS39"/>
    <mergeCell ref="BT39:BX39"/>
    <mergeCell ref="BO30:BS30"/>
    <mergeCell ref="BT30:BX30"/>
    <mergeCell ref="BO31:BS31"/>
    <mergeCell ref="BT31:BX31"/>
    <mergeCell ref="BO32:BS32"/>
    <mergeCell ref="BT32:BX32"/>
    <mergeCell ref="BO33:BS33"/>
    <mergeCell ref="BT33:BX33"/>
    <mergeCell ref="BO34:BS34"/>
    <mergeCell ref="BT34:BX34"/>
    <mergeCell ref="BO25:BS25"/>
    <mergeCell ref="BT25:BX25"/>
    <mergeCell ref="BO26:BS26"/>
    <mergeCell ref="BT26:BX26"/>
    <mergeCell ref="BO27:BS27"/>
    <mergeCell ref="BT27:BX27"/>
    <mergeCell ref="BO28:BS28"/>
    <mergeCell ref="BT28:BX28"/>
    <mergeCell ref="BO29:BS29"/>
    <mergeCell ref="BT29:BX29"/>
    <mergeCell ref="BO20:BS20"/>
    <mergeCell ref="BT20:BX20"/>
    <mergeCell ref="BO21:BS21"/>
    <mergeCell ref="BT21:BX21"/>
    <mergeCell ref="BO22:BS22"/>
    <mergeCell ref="BT22:BX22"/>
    <mergeCell ref="BO23:BS23"/>
    <mergeCell ref="BT23:BX23"/>
    <mergeCell ref="BO24:BS24"/>
    <mergeCell ref="BT24:BX24"/>
    <mergeCell ref="BO15:BS15"/>
    <mergeCell ref="BT15:BX15"/>
    <mergeCell ref="BO16:BS16"/>
    <mergeCell ref="BT16:BX16"/>
    <mergeCell ref="BO17:BS17"/>
    <mergeCell ref="BT17:BX17"/>
    <mergeCell ref="BO18:BS18"/>
    <mergeCell ref="BT18:BX18"/>
    <mergeCell ref="BO19:BS19"/>
    <mergeCell ref="BT19:BX19"/>
    <mergeCell ref="BT10:BX10"/>
    <mergeCell ref="BO11:BS11"/>
    <mergeCell ref="BT11:BX11"/>
    <mergeCell ref="BO12:BS12"/>
    <mergeCell ref="BT12:BX12"/>
    <mergeCell ref="BO13:BS13"/>
    <mergeCell ref="BT13:BX13"/>
    <mergeCell ref="BO14:BS14"/>
    <mergeCell ref="BT14:BX14"/>
    <mergeCell ref="BE48:BI48"/>
    <mergeCell ref="BJ48:BN48"/>
    <mergeCell ref="BJ43:BN43"/>
    <mergeCell ref="AU44:AY44"/>
    <mergeCell ref="AZ44:BD44"/>
    <mergeCell ref="BE44:BI44"/>
    <mergeCell ref="BJ44:BN44"/>
    <mergeCell ref="AU45:AY45"/>
    <mergeCell ref="AZ45:BD45"/>
    <mergeCell ref="BE45:BI45"/>
    <mergeCell ref="BJ45:BN45"/>
    <mergeCell ref="AZ14:BD14"/>
    <mergeCell ref="BE14:BI14"/>
    <mergeCell ref="BE31:BI31"/>
    <mergeCell ref="BE32:BI32"/>
    <mergeCell ref="BE33:BI33"/>
    <mergeCell ref="BE34:BI34"/>
    <mergeCell ref="BE20:BI20"/>
    <mergeCell ref="AZ21:BD21"/>
    <mergeCell ref="AU20:AY20"/>
    <mergeCell ref="AZ20:BD20"/>
    <mergeCell ref="BE23:BI23"/>
    <mergeCell ref="AZ19:BD19"/>
    <mergeCell ref="BE19:BI19"/>
    <mergeCell ref="AZ31:BD31"/>
    <mergeCell ref="AZ30:BI30"/>
    <mergeCell ref="AZ28:BD28"/>
    <mergeCell ref="BE28:BI28"/>
    <mergeCell ref="AA50:AE50"/>
    <mergeCell ref="AA51:AE51"/>
    <mergeCell ref="BE35:BI35"/>
    <mergeCell ref="BE36:BI36"/>
    <mergeCell ref="BE37:BI37"/>
    <mergeCell ref="BE38:BI38"/>
    <mergeCell ref="BE39:BI39"/>
    <mergeCell ref="AU43:AY43"/>
    <mergeCell ref="AZ43:BD43"/>
    <mergeCell ref="BE43:BI43"/>
    <mergeCell ref="AU46:AY46"/>
    <mergeCell ref="AZ46:BD46"/>
    <mergeCell ref="BE46:BI46"/>
    <mergeCell ref="AU49:AY49"/>
    <mergeCell ref="AZ49:BD49"/>
    <mergeCell ref="AK50:AO50"/>
    <mergeCell ref="AK51:AO51"/>
    <mergeCell ref="AG35:AJ35"/>
    <mergeCell ref="AK41:AO41"/>
    <mergeCell ref="AP41:AT41"/>
    <mergeCell ref="AK43:AO43"/>
    <mergeCell ref="AP43:AT43"/>
    <mergeCell ref="AK48:AO48"/>
    <mergeCell ref="AP48:AT48"/>
    <mergeCell ref="AA7:AE7"/>
    <mergeCell ref="AA8:AE8"/>
    <mergeCell ref="AA9:AE9"/>
    <mergeCell ref="AA10:AE10"/>
    <mergeCell ref="AA11:AE11"/>
    <mergeCell ref="AA12:AE12"/>
    <mergeCell ref="AA13:AE13"/>
    <mergeCell ref="AA14:AE14"/>
    <mergeCell ref="AA15:AE15"/>
    <mergeCell ref="BT6:BX6"/>
    <mergeCell ref="AF6:AJ6"/>
    <mergeCell ref="AK6:AO6"/>
    <mergeCell ref="AP6:AT6"/>
    <mergeCell ref="AU6:AY6"/>
    <mergeCell ref="AZ6:BD6"/>
    <mergeCell ref="B3:F3"/>
    <mergeCell ref="G3:P3"/>
    <mergeCell ref="Q3:U3"/>
    <mergeCell ref="V3:Z3"/>
    <mergeCell ref="AA3:AE3"/>
    <mergeCell ref="AF3:AJ3"/>
    <mergeCell ref="B5:AE5"/>
    <mergeCell ref="AF5:BI5"/>
    <mergeCell ref="AA6:AE6"/>
    <mergeCell ref="BE3:BN3"/>
    <mergeCell ref="B4:F4"/>
    <mergeCell ref="G4:P4"/>
    <mergeCell ref="Q4:U4"/>
    <mergeCell ref="V4:Z4"/>
    <mergeCell ref="AA4:AE4"/>
    <mergeCell ref="AF4:AJ4"/>
    <mergeCell ref="BE4:BN4"/>
    <mergeCell ref="BO6:BS6"/>
    <mergeCell ref="AW8:AY8"/>
    <mergeCell ref="AU7:AY7"/>
    <mergeCell ref="AZ7:BD7"/>
    <mergeCell ref="U8:Y8"/>
    <mergeCell ref="BJ5:BX5"/>
    <mergeCell ref="B6:C12"/>
    <mergeCell ref="D6:E10"/>
    <mergeCell ref="F6:J6"/>
    <mergeCell ref="L6:P6"/>
    <mergeCell ref="F7:J7"/>
    <mergeCell ref="AF7:AJ7"/>
    <mergeCell ref="AK7:AO7"/>
    <mergeCell ref="AP7:AT7"/>
    <mergeCell ref="L7:P7"/>
    <mergeCell ref="BE7:BI7"/>
    <mergeCell ref="AZ12:BD12"/>
    <mergeCell ref="BE12:BI12"/>
    <mergeCell ref="BO7:BS7"/>
    <mergeCell ref="BT7:BX7"/>
    <mergeCell ref="BO8:BS8"/>
    <mergeCell ref="BT8:BX8"/>
    <mergeCell ref="BO9:BS9"/>
    <mergeCell ref="BT9:BX9"/>
    <mergeCell ref="BO10:BS10"/>
    <mergeCell ref="AZ8:BD8"/>
    <mergeCell ref="BE8:BI8"/>
    <mergeCell ref="BJ8:BN8"/>
    <mergeCell ref="U9:Y9"/>
    <mergeCell ref="BJ7:BN7"/>
    <mergeCell ref="F8:J8"/>
    <mergeCell ref="L8:P8"/>
    <mergeCell ref="Q6:R18"/>
    <mergeCell ref="S6:T13"/>
    <mergeCell ref="U6:Y6"/>
    <mergeCell ref="AF8:AF11"/>
    <mergeCell ref="BE6:BI6"/>
    <mergeCell ref="BJ6:BN6"/>
    <mergeCell ref="U7:Y7"/>
    <mergeCell ref="AI9:AJ9"/>
    <mergeCell ref="AK9:AO9"/>
    <mergeCell ref="AP9:AT9"/>
    <mergeCell ref="AW9:AY9"/>
    <mergeCell ref="AZ9:BD9"/>
    <mergeCell ref="AG8:AH9"/>
    <mergeCell ref="AI8:AJ8"/>
    <mergeCell ref="AK8:AO8"/>
    <mergeCell ref="AP8:AT8"/>
    <mergeCell ref="AU8:AV10"/>
    <mergeCell ref="AG11:AJ11"/>
    <mergeCell ref="AK11:AO11"/>
    <mergeCell ref="AP11:AT11"/>
    <mergeCell ref="AU11:AY11"/>
    <mergeCell ref="BE9:BI9"/>
    <mergeCell ref="BJ9:BN9"/>
    <mergeCell ref="F10:J10"/>
    <mergeCell ref="L10:P10"/>
    <mergeCell ref="F9:J9"/>
    <mergeCell ref="BJ11:BN11"/>
    <mergeCell ref="L9:P9"/>
    <mergeCell ref="AG10:AJ10"/>
    <mergeCell ref="AK10:AO10"/>
    <mergeCell ref="AP10:AT10"/>
    <mergeCell ref="AW10:AY10"/>
    <mergeCell ref="AZ10:BD10"/>
    <mergeCell ref="F12:J12"/>
    <mergeCell ref="L12:P12"/>
    <mergeCell ref="U10:Y10"/>
    <mergeCell ref="AF12:AF17"/>
    <mergeCell ref="AG12:AJ12"/>
    <mergeCell ref="AK12:AO12"/>
    <mergeCell ref="AP12:AT12"/>
    <mergeCell ref="BE10:BI10"/>
    <mergeCell ref="BJ10:BN10"/>
    <mergeCell ref="F11:J11"/>
    <mergeCell ref="L11:P11"/>
    <mergeCell ref="BJ13:BN13"/>
    <mergeCell ref="BJ12:BN12"/>
    <mergeCell ref="AZ13:BD13"/>
    <mergeCell ref="BE13:BI13"/>
    <mergeCell ref="S14:Y14"/>
    <mergeCell ref="AG16:AJ16"/>
    <mergeCell ref="AK16:AO16"/>
    <mergeCell ref="AP16:AT16"/>
    <mergeCell ref="AW16:AY16"/>
    <mergeCell ref="AP14:AT14"/>
    <mergeCell ref="AX14:AY14"/>
    <mergeCell ref="BJ14:BN14"/>
    <mergeCell ref="F15:J15"/>
    <mergeCell ref="B13:C30"/>
    <mergeCell ref="D13:E24"/>
    <mergeCell ref="F13:J13"/>
    <mergeCell ref="L13:P13"/>
    <mergeCell ref="U11:Y11"/>
    <mergeCell ref="AG13:AJ13"/>
    <mergeCell ref="AK13:AO13"/>
    <mergeCell ref="AZ11:BD11"/>
    <mergeCell ref="BE11:BI11"/>
    <mergeCell ref="D11:E12"/>
    <mergeCell ref="F14:J14"/>
    <mergeCell ref="L14:P14"/>
    <mergeCell ref="U12:Y12"/>
    <mergeCell ref="AG14:AJ14"/>
    <mergeCell ref="AK14:AO14"/>
    <mergeCell ref="AU12:AV16"/>
    <mergeCell ref="AW12:AY12"/>
    <mergeCell ref="U13:Y13"/>
    <mergeCell ref="AG15:AJ15"/>
    <mergeCell ref="AK15:AO15"/>
    <mergeCell ref="AP15:AT15"/>
    <mergeCell ref="AW15:AY15"/>
    <mergeCell ref="AP13:AT13"/>
    <mergeCell ref="AX13:AY13"/>
    <mergeCell ref="L15:P15"/>
    <mergeCell ref="S15:Y15"/>
    <mergeCell ref="AG17:AJ17"/>
    <mergeCell ref="AK17:AO17"/>
    <mergeCell ref="AP17:AT17"/>
    <mergeCell ref="AU17:AV19"/>
    <mergeCell ref="AZ15:BD15"/>
    <mergeCell ref="BE15:BI15"/>
    <mergeCell ref="BJ15:BN15"/>
    <mergeCell ref="AW18:AY18"/>
    <mergeCell ref="AZ18:BD18"/>
    <mergeCell ref="BE18:BI18"/>
    <mergeCell ref="BJ18:BN18"/>
    <mergeCell ref="AW17:AY17"/>
    <mergeCell ref="AZ17:BD17"/>
    <mergeCell ref="BE17:BI17"/>
    <mergeCell ref="BJ17:BN17"/>
    <mergeCell ref="AA16:AE16"/>
    <mergeCell ref="AA17:AE17"/>
    <mergeCell ref="AA18:AE18"/>
    <mergeCell ref="AA19:AE19"/>
    <mergeCell ref="BE16:BI16"/>
    <mergeCell ref="BJ16:BN16"/>
    <mergeCell ref="AP19:AT19"/>
    <mergeCell ref="AA23:AE23"/>
    <mergeCell ref="AP22:AT22"/>
    <mergeCell ref="AU22:AV24"/>
    <mergeCell ref="AW22:AY22"/>
    <mergeCell ref="AZ22:BD22"/>
    <mergeCell ref="F17:J17"/>
    <mergeCell ref="L17:P17"/>
    <mergeCell ref="U18:Y18"/>
    <mergeCell ref="AG20:AJ20"/>
    <mergeCell ref="AK20:AO20"/>
    <mergeCell ref="F19:J19"/>
    <mergeCell ref="L19:P19"/>
    <mergeCell ref="U17:Y17"/>
    <mergeCell ref="AG19:AJ19"/>
    <mergeCell ref="AK19:AO19"/>
    <mergeCell ref="AK18:AO18"/>
    <mergeCell ref="AP23:AT23"/>
    <mergeCell ref="AG23:AJ23"/>
    <mergeCell ref="AK23:AO23"/>
    <mergeCell ref="AW23:AY23"/>
    <mergeCell ref="AZ23:BD23"/>
    <mergeCell ref="U19:Y19"/>
    <mergeCell ref="AF21:AF24"/>
    <mergeCell ref="AW19:AY19"/>
    <mergeCell ref="BJ21:BN21"/>
    <mergeCell ref="F22:J22"/>
    <mergeCell ref="L22:P22"/>
    <mergeCell ref="BE21:BI21"/>
    <mergeCell ref="AP18:AT18"/>
    <mergeCell ref="F16:J16"/>
    <mergeCell ref="L16:P16"/>
    <mergeCell ref="AA20:AE20"/>
    <mergeCell ref="U21:Y21"/>
    <mergeCell ref="AP20:AT20"/>
    <mergeCell ref="F18:J18"/>
    <mergeCell ref="L18:P18"/>
    <mergeCell ref="S16:T18"/>
    <mergeCell ref="U16:Y16"/>
    <mergeCell ref="AF18:AF20"/>
    <mergeCell ref="AG18:AJ18"/>
    <mergeCell ref="AZ16:BD16"/>
    <mergeCell ref="AA21:AE21"/>
    <mergeCell ref="AA22:AE22"/>
    <mergeCell ref="BJ20:BN20"/>
    <mergeCell ref="F21:J21"/>
    <mergeCell ref="L21:P21"/>
    <mergeCell ref="Q19:R21"/>
    <mergeCell ref="S19:T21"/>
    <mergeCell ref="BJ19:BN19"/>
    <mergeCell ref="F20:J20"/>
    <mergeCell ref="L20:P20"/>
    <mergeCell ref="BJ22:BN22"/>
    <mergeCell ref="F23:J23"/>
    <mergeCell ref="L23:P23"/>
    <mergeCell ref="BJ24:BN24"/>
    <mergeCell ref="U20:Y20"/>
    <mergeCell ref="AG22:AJ22"/>
    <mergeCell ref="AK22:AO22"/>
    <mergeCell ref="AG21:AJ21"/>
    <mergeCell ref="AK21:AO21"/>
    <mergeCell ref="AP21:AT21"/>
    <mergeCell ref="AU21:AY21"/>
    <mergeCell ref="S24:T30"/>
    <mergeCell ref="U24:Y24"/>
    <mergeCell ref="BE24:BI24"/>
    <mergeCell ref="U26:Y26"/>
    <mergeCell ref="U28:Y28"/>
    <mergeCell ref="F29:J29"/>
    <mergeCell ref="L29:P29"/>
    <mergeCell ref="F30:J30"/>
    <mergeCell ref="L30:P30"/>
    <mergeCell ref="U30:Y30"/>
    <mergeCell ref="D25:E30"/>
    <mergeCell ref="F25:J25"/>
    <mergeCell ref="L25:P25"/>
    <mergeCell ref="S23:Y23"/>
    <mergeCell ref="AF25:AF27"/>
    <mergeCell ref="AG25:AJ25"/>
    <mergeCell ref="AK25:AO25"/>
    <mergeCell ref="AP25:AT25"/>
    <mergeCell ref="BJ23:BN23"/>
    <mergeCell ref="F24:J24"/>
    <mergeCell ref="L24:P24"/>
    <mergeCell ref="Q22:R23"/>
    <mergeCell ref="S22:Y22"/>
    <mergeCell ref="AG24:AJ24"/>
    <mergeCell ref="AK24:AO24"/>
    <mergeCell ref="AP24:AT24"/>
    <mergeCell ref="AW24:AY24"/>
    <mergeCell ref="AZ24:BD24"/>
    <mergeCell ref="BE22:BI22"/>
    <mergeCell ref="AK26:AO26"/>
    <mergeCell ref="AP26:AT26"/>
    <mergeCell ref="BJ28:BN28"/>
    <mergeCell ref="AK29:AO29"/>
    <mergeCell ref="AP29:AT29"/>
    <mergeCell ref="BJ26:BN26"/>
    <mergeCell ref="F27:J27"/>
    <mergeCell ref="L27:P27"/>
    <mergeCell ref="U25:Y25"/>
    <mergeCell ref="AG27:AJ27"/>
    <mergeCell ref="AK27:AO27"/>
    <mergeCell ref="AP27:AT27"/>
    <mergeCell ref="AZ27:BI27"/>
    <mergeCell ref="AU25:AY25"/>
    <mergeCell ref="AZ25:BD25"/>
    <mergeCell ref="BE25:BI25"/>
    <mergeCell ref="BJ25:BN25"/>
    <mergeCell ref="F26:J26"/>
    <mergeCell ref="L26:P26"/>
    <mergeCell ref="Q24:R30"/>
    <mergeCell ref="BJ30:BN30"/>
    <mergeCell ref="U27:Y27"/>
    <mergeCell ref="AG29:AJ29"/>
    <mergeCell ref="AA28:AE28"/>
    <mergeCell ref="AA29:AE29"/>
    <mergeCell ref="AA30:AE30"/>
    <mergeCell ref="BJ29:BN29"/>
    <mergeCell ref="BJ27:BN27"/>
    <mergeCell ref="F28:J28"/>
    <mergeCell ref="AK31:AO31"/>
    <mergeCell ref="AP31:AT31"/>
    <mergeCell ref="AA31:AE31"/>
    <mergeCell ref="AA24:AE24"/>
    <mergeCell ref="AA25:AE25"/>
    <mergeCell ref="AA26:AE26"/>
    <mergeCell ref="AA27:AE27"/>
    <mergeCell ref="AG30:AJ30"/>
    <mergeCell ref="AK28:AO28"/>
    <mergeCell ref="AP28:AT28"/>
    <mergeCell ref="AG26:AJ26"/>
    <mergeCell ref="AK30:AO30"/>
    <mergeCell ref="AP30:AT30"/>
    <mergeCell ref="U29:Y29"/>
    <mergeCell ref="AF28:AF32"/>
    <mergeCell ref="AG28:AJ28"/>
    <mergeCell ref="L28:P28"/>
    <mergeCell ref="B31:C36"/>
    <mergeCell ref="BJ38:BN38"/>
    <mergeCell ref="BJ33:BN33"/>
    <mergeCell ref="F34:J34"/>
    <mergeCell ref="L34:P34"/>
    <mergeCell ref="U34:Y34"/>
    <mergeCell ref="AA34:AE34"/>
    <mergeCell ref="AF36:AJ36"/>
    <mergeCell ref="AK36:AO36"/>
    <mergeCell ref="AK34:AO34"/>
    <mergeCell ref="AP34:AT34"/>
    <mergeCell ref="BA34:BD34"/>
    <mergeCell ref="BJ34:BN34"/>
    <mergeCell ref="AG34:AJ34"/>
    <mergeCell ref="F33:J33"/>
    <mergeCell ref="L33:P33"/>
    <mergeCell ref="Q31:R36"/>
    <mergeCell ref="S31:T35"/>
    <mergeCell ref="U31:Y31"/>
    <mergeCell ref="AF33:AF35"/>
    <mergeCell ref="S36:Y36"/>
    <mergeCell ref="AA36:AE36"/>
    <mergeCell ref="U33:Y33"/>
    <mergeCell ref="D35:E36"/>
    <mergeCell ref="F35:J35"/>
    <mergeCell ref="L35:P35"/>
    <mergeCell ref="D31:E34"/>
    <mergeCell ref="AP36:AT36"/>
    <mergeCell ref="BB36:BD36"/>
    <mergeCell ref="AK33:AO33"/>
    <mergeCell ref="AP33:AT33"/>
    <mergeCell ref="BA33:BD33"/>
    <mergeCell ref="F31:J31"/>
    <mergeCell ref="L31:P31"/>
    <mergeCell ref="U32:Y32"/>
    <mergeCell ref="AA32:AE32"/>
    <mergeCell ref="AA33:AE33"/>
    <mergeCell ref="AG33:AJ33"/>
    <mergeCell ref="L32:P32"/>
    <mergeCell ref="AG32:AJ32"/>
    <mergeCell ref="AK32:AO32"/>
    <mergeCell ref="AP32:AT32"/>
    <mergeCell ref="BA32:BD32"/>
    <mergeCell ref="AG31:AJ31"/>
    <mergeCell ref="BJ36:BN36"/>
    <mergeCell ref="D37:E42"/>
    <mergeCell ref="F37:J37"/>
    <mergeCell ref="L37:P37"/>
    <mergeCell ref="U35:Y35"/>
    <mergeCell ref="AA35:AE35"/>
    <mergeCell ref="AF37:AF43"/>
    <mergeCell ref="AK35:AO35"/>
    <mergeCell ref="AP35:AT35"/>
    <mergeCell ref="BB35:BD35"/>
    <mergeCell ref="BJ35:BN35"/>
    <mergeCell ref="F36:J36"/>
    <mergeCell ref="L36:P36"/>
    <mergeCell ref="F38:J38"/>
    <mergeCell ref="L38:P38"/>
    <mergeCell ref="AA39:AE39"/>
    <mergeCell ref="AA40:AE40"/>
    <mergeCell ref="BJ41:BN41"/>
    <mergeCell ref="F40:J40"/>
    <mergeCell ref="AG40:AH42"/>
    <mergeCell ref="AI40:AJ40"/>
    <mergeCell ref="AK40:AO40"/>
    <mergeCell ref="AP40:AT40"/>
    <mergeCell ref="L42:P42"/>
    <mergeCell ref="BJ32:BN32"/>
    <mergeCell ref="F32:J32"/>
    <mergeCell ref="BJ31:BN31"/>
    <mergeCell ref="Q37:Y37"/>
    <mergeCell ref="AI39:AJ39"/>
    <mergeCell ref="AK39:AO39"/>
    <mergeCell ref="AP39:AT39"/>
    <mergeCell ref="BA39:BD39"/>
    <mergeCell ref="BJ39:BN39"/>
    <mergeCell ref="AG37:AH39"/>
    <mergeCell ref="AI37:AJ37"/>
    <mergeCell ref="AK37:AO37"/>
    <mergeCell ref="AP37:AT37"/>
    <mergeCell ref="BB37:BD37"/>
    <mergeCell ref="BJ37:BN37"/>
    <mergeCell ref="AI38:AJ38"/>
    <mergeCell ref="AK38:AO38"/>
    <mergeCell ref="AP38:AT38"/>
    <mergeCell ref="BB38:BD38"/>
    <mergeCell ref="S38:Y38"/>
    <mergeCell ref="Q39:R40"/>
    <mergeCell ref="S39:Y39"/>
    <mergeCell ref="AA37:AE37"/>
    <mergeCell ref="AA38:AE38"/>
    <mergeCell ref="S40:Y40"/>
    <mergeCell ref="AI42:AJ42"/>
    <mergeCell ref="AK42:AO42"/>
    <mergeCell ref="BJ40:BN40"/>
    <mergeCell ref="BJ42:BN42"/>
    <mergeCell ref="AA42:AE42"/>
    <mergeCell ref="AA41:AE41"/>
    <mergeCell ref="L40:P40"/>
    <mergeCell ref="F42:J42"/>
    <mergeCell ref="L41:P41"/>
    <mergeCell ref="AK45:AO45"/>
    <mergeCell ref="AP45:AT45"/>
    <mergeCell ref="F44:J44"/>
    <mergeCell ref="L44:P44"/>
    <mergeCell ref="S42:T45"/>
    <mergeCell ref="U42:Y42"/>
    <mergeCell ref="AF44:AF47"/>
    <mergeCell ref="AG44:AJ44"/>
    <mergeCell ref="AP42:AT42"/>
    <mergeCell ref="U45:Y45"/>
    <mergeCell ref="AG47:AJ47"/>
    <mergeCell ref="AK47:AO47"/>
    <mergeCell ref="AP47:AT47"/>
    <mergeCell ref="AK44:AO44"/>
    <mergeCell ref="AP44:AT44"/>
    <mergeCell ref="AA43:AE43"/>
    <mergeCell ref="AA44:AE44"/>
    <mergeCell ref="AA45:AE45"/>
    <mergeCell ref="AA46:AE46"/>
    <mergeCell ref="V44:Y44"/>
    <mergeCell ref="AG46:AJ46"/>
    <mergeCell ref="AK46:AO46"/>
    <mergeCell ref="F45:J45"/>
    <mergeCell ref="L45:P45"/>
    <mergeCell ref="S48:Y48"/>
    <mergeCell ref="U46:Y46"/>
    <mergeCell ref="AI41:AJ41"/>
    <mergeCell ref="AA47:AE47"/>
    <mergeCell ref="AA48:AE48"/>
    <mergeCell ref="Q48:R49"/>
    <mergeCell ref="AF48:AJ48"/>
    <mergeCell ref="F49:J49"/>
    <mergeCell ref="L49:P49"/>
    <mergeCell ref="U47:Y47"/>
    <mergeCell ref="V43:Y43"/>
    <mergeCell ref="AG45:AJ45"/>
    <mergeCell ref="AP46:AT46"/>
    <mergeCell ref="F47:J47"/>
    <mergeCell ref="L47:P47"/>
    <mergeCell ref="F46:J46"/>
    <mergeCell ref="L46:P46"/>
    <mergeCell ref="S49:Y49"/>
    <mergeCell ref="AA49:AE49"/>
    <mergeCell ref="B37:C44"/>
    <mergeCell ref="D43:E44"/>
    <mergeCell ref="B45:C52"/>
    <mergeCell ref="D45:E50"/>
    <mergeCell ref="D51:E52"/>
    <mergeCell ref="F39:J39"/>
    <mergeCell ref="L39:P39"/>
    <mergeCell ref="F48:J48"/>
    <mergeCell ref="L48:P48"/>
    <mergeCell ref="Q46:R47"/>
    <mergeCell ref="S46:T47"/>
    <mergeCell ref="F43:J43"/>
    <mergeCell ref="L43:P43"/>
    <mergeCell ref="Q41:R45"/>
    <mergeCell ref="S41:Y41"/>
    <mergeCell ref="AG43:AJ43"/>
    <mergeCell ref="F41:J41"/>
    <mergeCell ref="B53:F53"/>
    <mergeCell ref="G53:K53"/>
    <mergeCell ref="F52:J52"/>
    <mergeCell ref="L53:P53"/>
    <mergeCell ref="L52:P52"/>
    <mergeCell ref="F50:J50"/>
    <mergeCell ref="L50:P50"/>
    <mergeCell ref="F51:J51"/>
    <mergeCell ref="L51:P51"/>
  </mergeCells>
  <phoneticPr fontId="1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Q63"/>
  <sheetViews>
    <sheetView view="pageBreakPreview" zoomScale="130" zoomScaleNormal="120" zoomScaleSheetLayoutView="130" workbookViewId="0"/>
  </sheetViews>
  <sheetFormatPr defaultColWidth="9" defaultRowHeight="12" x14ac:dyDescent="0.15"/>
  <cols>
    <col min="1" max="1" width="1.875" style="27" customWidth="1"/>
    <col min="2" max="2" width="0.5" style="1" customWidth="1"/>
    <col min="3" max="4" width="0.5" style="4" customWidth="1"/>
    <col min="5" max="6" width="3.375" style="4" customWidth="1"/>
    <col min="7" max="21" width="1.625" style="1" customWidth="1"/>
    <col min="22" max="24" width="0.5" style="1" customWidth="1"/>
    <col min="25" max="26" width="3.5" style="1" customWidth="1"/>
    <col min="27" max="40" width="1.625" style="1" customWidth="1"/>
    <col min="41" max="41" width="2.375" style="1" customWidth="1"/>
    <col min="42" max="43" width="1" style="1" customWidth="1"/>
    <col min="44" max="44" width="3.375" style="1" customWidth="1"/>
    <col min="45" max="45" width="2" style="1" customWidth="1"/>
    <col min="46" max="46" width="1.375" style="1" customWidth="1"/>
    <col min="47" max="51" width="1.625" style="1" customWidth="1"/>
    <col min="52" max="53" width="1" style="1" customWidth="1"/>
    <col min="54" max="56" width="2" style="1" customWidth="1"/>
    <col min="57" max="70" width="1.625" style="1" customWidth="1"/>
    <col min="71" max="71" width="2.125" style="1" customWidth="1"/>
    <col min="72" max="81" width="1.625" style="1" customWidth="1"/>
    <col min="82" max="129" width="2.375" style="1" customWidth="1"/>
    <col min="130" max="487" width="9" style="1" customWidth="1"/>
    <col min="488" max="16384" width="9" style="1"/>
  </cols>
  <sheetData>
    <row r="1" spans="1:81" ht="14.25" customHeight="1" x14ac:dyDescent="0.15">
      <c r="A1" s="52"/>
      <c r="B1" s="58" t="str">
        <f>BE4&amp;"年　農業経営統計調査（営農類型別経営統計（個人経営））　個別結果表No.３"</f>
        <v>0年　農業経営統計調査（営農類型別経営統計（個人経営））　個別結果表No.３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</row>
    <row r="2" spans="1:81" ht="14.25" customHeight="1" thickBot="1" x14ac:dyDescent="0.2">
      <c r="A2" s="5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</row>
    <row r="3" spans="1:81" ht="10.5" customHeight="1" x14ac:dyDescent="0.15">
      <c r="A3" s="31"/>
      <c r="B3" s="55"/>
      <c r="C3" s="55"/>
      <c r="D3" s="55"/>
      <c r="E3" s="55"/>
      <c r="F3" s="55"/>
      <c r="G3" s="33"/>
      <c r="H3" s="33"/>
      <c r="I3" s="33"/>
      <c r="J3" s="33"/>
      <c r="K3" s="33"/>
      <c r="L3" s="33"/>
      <c r="M3" s="33"/>
      <c r="N3" s="33"/>
      <c r="O3" s="33"/>
      <c r="P3" s="33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BE3" s="1272" t="s">
        <v>153</v>
      </c>
      <c r="BF3" s="1273"/>
      <c r="BG3" s="1273"/>
      <c r="BH3" s="1273"/>
      <c r="BI3" s="1274"/>
      <c r="BJ3" s="1232" t="s">
        <v>240</v>
      </c>
      <c r="BK3" s="1233"/>
      <c r="BL3" s="1233"/>
      <c r="BM3" s="1233"/>
      <c r="BN3" s="1233"/>
      <c r="BO3" s="1233"/>
      <c r="BP3" s="1233"/>
      <c r="BQ3" s="1233"/>
      <c r="BR3" s="1233"/>
      <c r="BS3" s="1233"/>
      <c r="BT3" s="1276" t="s">
        <v>215</v>
      </c>
      <c r="BU3" s="1277"/>
      <c r="BV3" s="1277"/>
      <c r="BW3" s="1277"/>
      <c r="BX3" s="1278"/>
      <c r="BY3" s="1279" t="s">
        <v>154</v>
      </c>
      <c r="BZ3" s="1279"/>
      <c r="CA3" s="1279"/>
      <c r="CB3" s="1279"/>
      <c r="CC3" s="1280"/>
    </row>
    <row r="4" spans="1:81" ht="10.5" customHeight="1" thickBot="1" x14ac:dyDescent="0.2">
      <c r="A4" s="3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BE4" s="1275">
        <f>'No1'!B5</f>
        <v>0</v>
      </c>
      <c r="BF4" s="1236"/>
      <c r="BG4" s="1236"/>
      <c r="BH4" s="1236"/>
      <c r="BI4" s="1236"/>
      <c r="BJ4" s="1235" t="str">
        <f>IF('No1'!L5&lt;&gt;"",'No1'!L5,"")</f>
        <v/>
      </c>
      <c r="BK4" s="1236"/>
      <c r="BL4" s="1236"/>
      <c r="BM4" s="1236"/>
      <c r="BN4" s="1236"/>
      <c r="BO4" s="1236"/>
      <c r="BP4" s="1236"/>
      <c r="BQ4" s="1236"/>
      <c r="BR4" s="1236"/>
      <c r="BS4" s="1236"/>
      <c r="BT4" s="1281">
        <f>'No1'!AG5</f>
        <v>0</v>
      </c>
      <c r="BU4" s="1282"/>
      <c r="BV4" s="1282"/>
      <c r="BW4" s="1282"/>
      <c r="BX4" s="1283"/>
      <c r="BY4" s="1284">
        <f>'No1'!AL5</f>
        <v>0</v>
      </c>
      <c r="BZ4" s="1284"/>
      <c r="CA4" s="1284"/>
      <c r="CB4" s="1284"/>
      <c r="CC4" s="1285"/>
    </row>
    <row r="5" spans="1:81" ht="10.5" customHeight="1" x14ac:dyDescent="0.15">
      <c r="A5" s="31"/>
      <c r="B5" s="21" t="s">
        <v>271</v>
      </c>
      <c r="C5" s="39"/>
      <c r="D5" s="39"/>
      <c r="E5" s="39"/>
      <c r="F5" s="39"/>
      <c r="G5" s="40"/>
      <c r="H5" s="32"/>
      <c r="I5" s="20"/>
      <c r="J5" s="40"/>
      <c r="K5" s="316"/>
      <c r="L5" s="40"/>
      <c r="M5" s="40"/>
      <c r="N5" s="316"/>
      <c r="O5" s="316"/>
      <c r="P5" s="316"/>
      <c r="Q5" s="40"/>
      <c r="R5" s="40"/>
      <c r="S5" s="316"/>
      <c r="T5" s="316"/>
      <c r="U5" s="136"/>
      <c r="V5" s="21" t="s">
        <v>480</v>
      </c>
      <c r="W5" s="39"/>
      <c r="X5" s="39"/>
      <c r="Y5" s="39"/>
      <c r="Z5" s="39"/>
      <c r="AA5" s="40"/>
      <c r="AB5" s="40"/>
      <c r="AC5" s="40"/>
      <c r="AD5" s="40"/>
      <c r="AE5" s="316"/>
      <c r="AF5" s="40"/>
      <c r="AG5" s="40"/>
      <c r="AH5" s="316"/>
      <c r="AI5" s="316"/>
      <c r="AJ5" s="316"/>
      <c r="AK5" s="40"/>
      <c r="AL5" s="40"/>
      <c r="AM5" s="316"/>
      <c r="AN5" s="316"/>
      <c r="AO5" s="136"/>
      <c r="AP5" s="22" t="s">
        <v>481</v>
      </c>
      <c r="AQ5" s="20"/>
      <c r="AR5" s="20"/>
      <c r="AS5" s="20"/>
      <c r="AT5" s="20"/>
      <c r="AU5" s="20"/>
      <c r="AV5" s="20"/>
      <c r="AW5" s="20"/>
      <c r="AX5" s="20"/>
      <c r="AY5" s="20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2"/>
      <c r="BK5" s="42"/>
      <c r="BL5" s="42"/>
      <c r="BM5" s="42"/>
      <c r="BN5" s="42"/>
      <c r="BO5" s="32"/>
      <c r="BP5" s="316"/>
      <c r="BQ5" s="316"/>
      <c r="BR5" s="316"/>
      <c r="BS5" s="316"/>
      <c r="BT5" s="63"/>
      <c r="BU5" s="63"/>
      <c r="BV5" s="63"/>
      <c r="BW5" s="63"/>
      <c r="BX5" s="63"/>
      <c r="BY5" s="20"/>
      <c r="BZ5" s="20"/>
      <c r="CA5" s="20"/>
      <c r="CB5" s="20"/>
      <c r="CC5" s="23"/>
    </row>
    <row r="6" spans="1:81" ht="10.5" customHeight="1" x14ac:dyDescent="0.15">
      <c r="A6" s="31">
        <v>1</v>
      </c>
      <c r="B6" s="1369" t="s">
        <v>59</v>
      </c>
      <c r="C6" s="1370"/>
      <c r="D6" s="1370"/>
      <c r="E6" s="1370"/>
      <c r="F6" s="1371"/>
      <c r="G6" s="1372" t="s">
        <v>60</v>
      </c>
      <c r="H6" s="1370"/>
      <c r="I6" s="1370"/>
      <c r="J6" s="1370"/>
      <c r="K6" s="1370"/>
      <c r="L6" s="135"/>
      <c r="M6" s="135"/>
      <c r="N6" s="307"/>
      <c r="O6" s="307"/>
      <c r="P6" s="307"/>
      <c r="Q6" s="25"/>
      <c r="R6" s="25"/>
      <c r="S6" s="25"/>
      <c r="T6" s="25"/>
      <c r="U6" s="68"/>
      <c r="V6" s="1373" t="s">
        <v>59</v>
      </c>
      <c r="W6" s="1291"/>
      <c r="X6" s="1291"/>
      <c r="Y6" s="1291"/>
      <c r="Z6" s="1292"/>
      <c r="AA6" s="1290" t="s">
        <v>60</v>
      </c>
      <c r="AB6" s="1291"/>
      <c r="AC6" s="1291"/>
      <c r="AD6" s="1291"/>
      <c r="AE6" s="1291"/>
      <c r="AF6" s="72"/>
      <c r="AG6" s="72"/>
      <c r="AH6" s="308"/>
      <c r="AI6" s="308"/>
      <c r="AJ6" s="308"/>
      <c r="AK6" s="38"/>
      <c r="AL6" s="38"/>
      <c r="AM6" s="38"/>
      <c r="AN6" s="38"/>
      <c r="AO6" s="65"/>
      <c r="AP6" s="1373" t="s">
        <v>59</v>
      </c>
      <c r="AQ6" s="1291"/>
      <c r="AR6" s="1291"/>
      <c r="AS6" s="1291"/>
      <c r="AT6" s="1292"/>
      <c r="AU6" s="1343" t="s">
        <v>60</v>
      </c>
      <c r="AV6" s="1344"/>
      <c r="AW6" s="1344"/>
      <c r="AX6" s="1344"/>
      <c r="AY6" s="1345"/>
      <c r="AZ6" s="1343" t="s">
        <v>382</v>
      </c>
      <c r="BA6" s="1344"/>
      <c r="BB6" s="1344"/>
      <c r="BC6" s="1344"/>
      <c r="BD6" s="1344"/>
      <c r="BE6" s="308"/>
      <c r="BF6" s="308"/>
      <c r="BG6" s="308"/>
      <c r="BH6" s="308"/>
      <c r="BI6" s="308"/>
      <c r="BJ6" s="71"/>
      <c r="BK6" s="71"/>
      <c r="BL6" s="71"/>
      <c r="BM6" s="71"/>
      <c r="BN6" s="71"/>
      <c r="BO6" s="1391" t="s">
        <v>137</v>
      </c>
      <c r="BP6" s="1392"/>
      <c r="BQ6" s="1392"/>
      <c r="BR6" s="1392"/>
      <c r="BS6" s="1392"/>
      <c r="BT6" s="38"/>
      <c r="BU6" s="38"/>
      <c r="BV6" s="38"/>
      <c r="BW6" s="38"/>
      <c r="BX6" s="38"/>
      <c r="BY6" s="1391" t="s">
        <v>138</v>
      </c>
      <c r="BZ6" s="1392"/>
      <c r="CA6" s="1392"/>
      <c r="CB6" s="1392"/>
      <c r="CC6" s="1397"/>
    </row>
    <row r="7" spans="1:81" ht="10.5" customHeight="1" thickBot="1" x14ac:dyDescent="0.2">
      <c r="A7" s="31">
        <v>2</v>
      </c>
      <c r="B7" s="1369"/>
      <c r="C7" s="1370"/>
      <c r="D7" s="1370"/>
      <c r="E7" s="1370"/>
      <c r="F7" s="1371"/>
      <c r="G7" s="1372"/>
      <c r="H7" s="1370"/>
      <c r="I7" s="1370"/>
      <c r="J7" s="1370"/>
      <c r="K7" s="1370"/>
      <c r="L7" s="1290" t="s">
        <v>136</v>
      </c>
      <c r="M7" s="1291"/>
      <c r="N7" s="1291"/>
      <c r="O7" s="1291"/>
      <c r="P7" s="1292"/>
      <c r="Q7" s="1391" t="s">
        <v>63</v>
      </c>
      <c r="R7" s="1392"/>
      <c r="S7" s="1392"/>
      <c r="T7" s="1392"/>
      <c r="U7" s="1397"/>
      <c r="V7" s="1315"/>
      <c r="W7" s="1294"/>
      <c r="X7" s="1294"/>
      <c r="Y7" s="1294"/>
      <c r="Z7" s="1295"/>
      <c r="AA7" s="1293"/>
      <c r="AB7" s="1294"/>
      <c r="AC7" s="1294"/>
      <c r="AD7" s="1294"/>
      <c r="AE7" s="1294"/>
      <c r="AF7" s="1296" t="s">
        <v>136</v>
      </c>
      <c r="AG7" s="1297"/>
      <c r="AH7" s="1297"/>
      <c r="AI7" s="1297"/>
      <c r="AJ7" s="1298"/>
      <c r="AK7" s="1299" t="s">
        <v>63</v>
      </c>
      <c r="AL7" s="1300"/>
      <c r="AM7" s="1300"/>
      <c r="AN7" s="1300"/>
      <c r="AO7" s="1301"/>
      <c r="AP7" s="1315"/>
      <c r="AQ7" s="1294"/>
      <c r="AR7" s="1294"/>
      <c r="AS7" s="1294"/>
      <c r="AT7" s="1295"/>
      <c r="AU7" s="1346"/>
      <c r="AV7" s="1347"/>
      <c r="AW7" s="1347"/>
      <c r="AX7" s="1347"/>
      <c r="AY7" s="1348"/>
      <c r="AZ7" s="1346"/>
      <c r="BA7" s="1347"/>
      <c r="BB7" s="1347"/>
      <c r="BC7" s="1347"/>
      <c r="BD7" s="1347"/>
      <c r="BE7" s="1299" t="s">
        <v>62</v>
      </c>
      <c r="BF7" s="1300"/>
      <c r="BG7" s="1300"/>
      <c r="BH7" s="1300"/>
      <c r="BI7" s="1300"/>
      <c r="BJ7" s="1299" t="s">
        <v>471</v>
      </c>
      <c r="BK7" s="1300"/>
      <c r="BL7" s="1300"/>
      <c r="BM7" s="1300"/>
      <c r="BN7" s="1396"/>
      <c r="BO7" s="1393"/>
      <c r="BP7" s="1394"/>
      <c r="BQ7" s="1394"/>
      <c r="BR7" s="1394"/>
      <c r="BS7" s="1395"/>
      <c r="BT7" s="38" t="s">
        <v>258</v>
      </c>
      <c r="BU7" s="38"/>
      <c r="BV7" s="38"/>
      <c r="BW7" s="38"/>
      <c r="BX7" s="38"/>
      <c r="BY7" s="1393"/>
      <c r="BZ7" s="1394"/>
      <c r="CA7" s="1394"/>
      <c r="CB7" s="1394"/>
      <c r="CC7" s="1398"/>
    </row>
    <row r="8" spans="1:81" ht="10.5" customHeight="1" x14ac:dyDescent="0.15">
      <c r="A8" s="31">
        <v>3</v>
      </c>
      <c r="B8" s="1349" t="s">
        <v>223</v>
      </c>
      <c r="C8" s="1350"/>
      <c r="D8" s="1350"/>
      <c r="E8" s="1350"/>
      <c r="F8" s="1350"/>
      <c r="G8" s="1351"/>
      <c r="H8" s="1352"/>
      <c r="I8" s="1352"/>
      <c r="J8" s="1352"/>
      <c r="K8" s="1353"/>
      <c r="L8" s="1351"/>
      <c r="M8" s="1352"/>
      <c r="N8" s="1352"/>
      <c r="O8" s="1352"/>
      <c r="P8" s="1353"/>
      <c r="Q8" s="1374"/>
      <c r="R8" s="1375"/>
      <c r="S8" s="1375"/>
      <c r="T8" s="1375"/>
      <c r="U8" s="1376"/>
      <c r="V8" s="1316" t="s">
        <v>372</v>
      </c>
      <c r="W8" s="1317"/>
      <c r="X8" s="1317"/>
      <c r="Y8" s="1317"/>
      <c r="Z8" s="1317"/>
      <c r="AA8" s="1363"/>
      <c r="AB8" s="1364"/>
      <c r="AC8" s="1364"/>
      <c r="AD8" s="1364"/>
      <c r="AE8" s="1365"/>
      <c r="AF8" s="1363"/>
      <c r="AG8" s="1364"/>
      <c r="AH8" s="1364"/>
      <c r="AI8" s="1364"/>
      <c r="AJ8" s="1365"/>
      <c r="AK8" s="1385"/>
      <c r="AL8" s="1386"/>
      <c r="AM8" s="1386"/>
      <c r="AN8" s="1386"/>
      <c r="AO8" s="1387"/>
      <c r="AP8" s="1354" t="s">
        <v>152</v>
      </c>
      <c r="AQ8" s="1355"/>
      <c r="AR8" s="43"/>
      <c r="AS8" s="43"/>
      <c r="AT8" s="44"/>
      <c r="AU8" s="1360"/>
      <c r="AV8" s="1361"/>
      <c r="AW8" s="1361"/>
      <c r="AX8" s="1361"/>
      <c r="AY8" s="1362"/>
      <c r="AZ8" s="1363"/>
      <c r="BA8" s="1364"/>
      <c r="BB8" s="1364"/>
      <c r="BC8" s="1364"/>
      <c r="BD8" s="1365"/>
      <c r="BE8" s="1360"/>
      <c r="BF8" s="1361"/>
      <c r="BG8" s="1361"/>
      <c r="BH8" s="1361"/>
      <c r="BI8" s="1362"/>
      <c r="BJ8" s="1385"/>
      <c r="BK8" s="1386"/>
      <c r="BL8" s="1386"/>
      <c r="BM8" s="1386"/>
      <c r="BN8" s="1405"/>
      <c r="BO8" s="1385"/>
      <c r="BP8" s="1386"/>
      <c r="BQ8" s="1386"/>
      <c r="BR8" s="1386"/>
      <c r="BS8" s="1405"/>
      <c r="BT8" s="1385"/>
      <c r="BU8" s="1386"/>
      <c r="BV8" s="1386"/>
      <c r="BW8" s="1386"/>
      <c r="BX8" s="1405"/>
      <c r="BY8" s="1385"/>
      <c r="BZ8" s="1386"/>
      <c r="CA8" s="1386"/>
      <c r="CB8" s="1386"/>
      <c r="CC8" s="1387"/>
    </row>
    <row r="9" spans="1:81" ht="10.5" customHeight="1" x14ac:dyDescent="0.15">
      <c r="A9" s="31">
        <v>4</v>
      </c>
      <c r="B9" s="310"/>
      <c r="C9" s="1337" t="s">
        <v>382</v>
      </c>
      <c r="D9" s="1338"/>
      <c r="E9" s="1338"/>
      <c r="F9" s="1339"/>
      <c r="G9" s="1382"/>
      <c r="H9" s="1383"/>
      <c r="I9" s="1383"/>
      <c r="J9" s="1383"/>
      <c r="K9" s="1384"/>
      <c r="L9" s="1382"/>
      <c r="M9" s="1383"/>
      <c r="N9" s="1383"/>
      <c r="O9" s="1383"/>
      <c r="P9" s="1384"/>
      <c r="Q9" s="1388"/>
      <c r="R9" s="1389"/>
      <c r="S9" s="1389"/>
      <c r="T9" s="1389"/>
      <c r="U9" s="1390"/>
      <c r="V9" s="312"/>
      <c r="W9" s="1337" t="s">
        <v>382</v>
      </c>
      <c r="X9" s="1338"/>
      <c r="Y9" s="1338"/>
      <c r="Z9" s="1339"/>
      <c r="AA9" s="1382"/>
      <c r="AB9" s="1383"/>
      <c r="AC9" s="1383"/>
      <c r="AD9" s="1383"/>
      <c r="AE9" s="1384"/>
      <c r="AF9" s="1382"/>
      <c r="AG9" s="1383"/>
      <c r="AH9" s="1383"/>
      <c r="AI9" s="1383"/>
      <c r="AJ9" s="1384"/>
      <c r="AK9" s="1388"/>
      <c r="AL9" s="1389"/>
      <c r="AM9" s="1389"/>
      <c r="AN9" s="1389"/>
      <c r="AO9" s="1390"/>
      <c r="AP9" s="1356"/>
      <c r="AQ9" s="1357"/>
      <c r="AR9" s="1337" t="s">
        <v>146</v>
      </c>
      <c r="AS9" s="1338"/>
      <c r="AT9" s="1339"/>
      <c r="AU9" s="1382"/>
      <c r="AV9" s="1383"/>
      <c r="AW9" s="1383"/>
      <c r="AX9" s="1383"/>
      <c r="AY9" s="1384"/>
      <c r="AZ9" s="1382"/>
      <c r="BA9" s="1383"/>
      <c r="BB9" s="1383"/>
      <c r="BC9" s="1383"/>
      <c r="BD9" s="1384"/>
      <c r="BE9" s="1382"/>
      <c r="BF9" s="1383"/>
      <c r="BG9" s="1383"/>
      <c r="BH9" s="1383"/>
      <c r="BI9" s="1384"/>
      <c r="BJ9" s="1382"/>
      <c r="BK9" s="1383"/>
      <c r="BL9" s="1383"/>
      <c r="BM9" s="1383"/>
      <c r="BN9" s="1384"/>
      <c r="BO9" s="1382"/>
      <c r="BP9" s="1383"/>
      <c r="BQ9" s="1383"/>
      <c r="BR9" s="1383"/>
      <c r="BS9" s="1384"/>
      <c r="BT9" s="1382"/>
      <c r="BU9" s="1383"/>
      <c r="BV9" s="1383"/>
      <c r="BW9" s="1383"/>
      <c r="BX9" s="1384"/>
      <c r="BY9" s="1388"/>
      <c r="BZ9" s="1389"/>
      <c r="CA9" s="1389"/>
      <c r="CB9" s="1389"/>
      <c r="CC9" s="1390"/>
    </row>
    <row r="10" spans="1:81" ht="10.5" customHeight="1" x14ac:dyDescent="0.15">
      <c r="A10" s="31">
        <v>5</v>
      </c>
      <c r="B10" s="310"/>
      <c r="C10" s="1319" t="s">
        <v>22</v>
      </c>
      <c r="D10" s="1320"/>
      <c r="E10" s="1320"/>
      <c r="F10" s="1321"/>
      <c r="G10" s="1382"/>
      <c r="H10" s="1383"/>
      <c r="I10" s="1383"/>
      <c r="J10" s="1383"/>
      <c r="K10" s="1384"/>
      <c r="L10" s="1382"/>
      <c r="M10" s="1383"/>
      <c r="N10" s="1383"/>
      <c r="O10" s="1383"/>
      <c r="P10" s="1384"/>
      <c r="Q10" s="1388"/>
      <c r="R10" s="1389"/>
      <c r="S10" s="1389"/>
      <c r="T10" s="1389"/>
      <c r="U10" s="1390"/>
      <c r="V10" s="312"/>
      <c r="W10" s="1319" t="s">
        <v>22</v>
      </c>
      <c r="X10" s="1320"/>
      <c r="Y10" s="1320"/>
      <c r="Z10" s="1321"/>
      <c r="AA10" s="1382"/>
      <c r="AB10" s="1383"/>
      <c r="AC10" s="1383"/>
      <c r="AD10" s="1383"/>
      <c r="AE10" s="1384"/>
      <c r="AF10" s="1382"/>
      <c r="AG10" s="1383"/>
      <c r="AH10" s="1383"/>
      <c r="AI10" s="1383"/>
      <c r="AJ10" s="1384"/>
      <c r="AK10" s="1388"/>
      <c r="AL10" s="1389"/>
      <c r="AM10" s="1389"/>
      <c r="AN10" s="1389"/>
      <c r="AO10" s="1390"/>
      <c r="AP10" s="1356"/>
      <c r="AQ10" s="1357"/>
      <c r="AR10" s="1337" t="s">
        <v>367</v>
      </c>
      <c r="AS10" s="1338"/>
      <c r="AT10" s="1339"/>
      <c r="AU10" s="1382"/>
      <c r="AV10" s="1383"/>
      <c r="AW10" s="1383"/>
      <c r="AX10" s="1383"/>
      <c r="AY10" s="1384"/>
      <c r="AZ10" s="1382"/>
      <c r="BA10" s="1383"/>
      <c r="BB10" s="1383"/>
      <c r="BC10" s="1383"/>
      <c r="BD10" s="1384"/>
      <c r="BE10" s="1382"/>
      <c r="BF10" s="1383"/>
      <c r="BG10" s="1383"/>
      <c r="BH10" s="1383"/>
      <c r="BI10" s="1384"/>
      <c r="BJ10" s="1382"/>
      <c r="BK10" s="1383"/>
      <c r="BL10" s="1383"/>
      <c r="BM10" s="1383"/>
      <c r="BN10" s="1384"/>
      <c r="BO10" s="1382"/>
      <c r="BP10" s="1383"/>
      <c r="BQ10" s="1383"/>
      <c r="BR10" s="1383"/>
      <c r="BS10" s="1384"/>
      <c r="BT10" s="1382"/>
      <c r="BU10" s="1383"/>
      <c r="BV10" s="1383"/>
      <c r="BW10" s="1383"/>
      <c r="BX10" s="1384"/>
      <c r="BY10" s="1388"/>
      <c r="BZ10" s="1389"/>
      <c r="CA10" s="1389"/>
      <c r="CB10" s="1389"/>
      <c r="CC10" s="1390"/>
    </row>
    <row r="11" spans="1:81" ht="10.5" customHeight="1" x14ac:dyDescent="0.15">
      <c r="A11" s="31">
        <v>6</v>
      </c>
      <c r="B11" s="312"/>
      <c r="C11" s="34"/>
      <c r="D11" s="1319" t="s">
        <v>137</v>
      </c>
      <c r="E11" s="1320"/>
      <c r="F11" s="1321"/>
      <c r="G11" s="1382"/>
      <c r="H11" s="1383"/>
      <c r="I11" s="1383"/>
      <c r="J11" s="1383"/>
      <c r="K11" s="1384"/>
      <c r="L11" s="1382"/>
      <c r="M11" s="1383"/>
      <c r="N11" s="1383"/>
      <c r="O11" s="1383"/>
      <c r="P11" s="1384"/>
      <c r="Q11" s="1388"/>
      <c r="R11" s="1389"/>
      <c r="S11" s="1389"/>
      <c r="T11" s="1389"/>
      <c r="U11" s="1390"/>
      <c r="V11" s="312"/>
      <c r="W11" s="34"/>
      <c r="X11" s="1319" t="s">
        <v>137</v>
      </c>
      <c r="Y11" s="1320"/>
      <c r="Z11" s="1321"/>
      <c r="AA11" s="1382"/>
      <c r="AB11" s="1383"/>
      <c r="AC11" s="1383"/>
      <c r="AD11" s="1383"/>
      <c r="AE11" s="1384"/>
      <c r="AF11" s="1382"/>
      <c r="AG11" s="1383"/>
      <c r="AH11" s="1383"/>
      <c r="AI11" s="1383"/>
      <c r="AJ11" s="1384"/>
      <c r="AK11" s="1388"/>
      <c r="AL11" s="1389"/>
      <c r="AM11" s="1389"/>
      <c r="AN11" s="1389"/>
      <c r="AO11" s="1390"/>
      <c r="AP11" s="1356"/>
      <c r="AQ11" s="1357"/>
      <c r="AR11" s="1337" t="s">
        <v>368</v>
      </c>
      <c r="AS11" s="1338"/>
      <c r="AT11" s="1339"/>
      <c r="AU11" s="1382"/>
      <c r="AV11" s="1383"/>
      <c r="AW11" s="1383"/>
      <c r="AX11" s="1383"/>
      <c r="AY11" s="1384"/>
      <c r="AZ11" s="1382"/>
      <c r="BA11" s="1383"/>
      <c r="BB11" s="1383"/>
      <c r="BC11" s="1383"/>
      <c r="BD11" s="1384"/>
      <c r="BE11" s="1382"/>
      <c r="BF11" s="1383"/>
      <c r="BG11" s="1383"/>
      <c r="BH11" s="1383"/>
      <c r="BI11" s="1384"/>
      <c r="BJ11" s="1382"/>
      <c r="BK11" s="1383"/>
      <c r="BL11" s="1383"/>
      <c r="BM11" s="1383"/>
      <c r="BN11" s="1384"/>
      <c r="BO11" s="1382"/>
      <c r="BP11" s="1383"/>
      <c r="BQ11" s="1383"/>
      <c r="BR11" s="1383"/>
      <c r="BS11" s="1384"/>
      <c r="BT11" s="1382"/>
      <c r="BU11" s="1383"/>
      <c r="BV11" s="1383"/>
      <c r="BW11" s="1383"/>
      <c r="BX11" s="1384"/>
      <c r="BY11" s="1388"/>
      <c r="BZ11" s="1389"/>
      <c r="CA11" s="1389"/>
      <c r="CB11" s="1389"/>
      <c r="CC11" s="1390"/>
    </row>
    <row r="12" spans="1:81" ht="10.5" customHeight="1" x14ac:dyDescent="0.15">
      <c r="A12" s="31">
        <v>7</v>
      </c>
      <c r="B12" s="312"/>
      <c r="C12" s="34"/>
      <c r="D12" s="45"/>
      <c r="E12" s="1377" t="s">
        <v>266</v>
      </c>
      <c r="F12" s="1378"/>
      <c r="G12" s="1382"/>
      <c r="H12" s="1383"/>
      <c r="I12" s="1383"/>
      <c r="J12" s="1383"/>
      <c r="K12" s="1384"/>
      <c r="L12" s="1382"/>
      <c r="M12" s="1383"/>
      <c r="N12" s="1383"/>
      <c r="O12" s="1383"/>
      <c r="P12" s="1384"/>
      <c r="Q12" s="1388"/>
      <c r="R12" s="1389"/>
      <c r="S12" s="1389"/>
      <c r="T12" s="1389"/>
      <c r="U12" s="1390"/>
      <c r="V12" s="312"/>
      <c r="W12" s="34"/>
      <c r="X12" s="45"/>
      <c r="Y12" s="1377" t="s">
        <v>266</v>
      </c>
      <c r="Z12" s="1378"/>
      <c r="AA12" s="1382"/>
      <c r="AB12" s="1383"/>
      <c r="AC12" s="1383"/>
      <c r="AD12" s="1383"/>
      <c r="AE12" s="1384"/>
      <c r="AF12" s="1382"/>
      <c r="AG12" s="1383"/>
      <c r="AH12" s="1383"/>
      <c r="AI12" s="1383"/>
      <c r="AJ12" s="1384"/>
      <c r="AK12" s="1388"/>
      <c r="AL12" s="1389"/>
      <c r="AM12" s="1389"/>
      <c r="AN12" s="1389"/>
      <c r="AO12" s="1390"/>
      <c r="AP12" s="1356"/>
      <c r="AQ12" s="1357"/>
      <c r="AR12" s="1337" t="s">
        <v>369</v>
      </c>
      <c r="AS12" s="1338"/>
      <c r="AT12" s="1339"/>
      <c r="AU12" s="1382"/>
      <c r="AV12" s="1383"/>
      <c r="AW12" s="1383"/>
      <c r="AX12" s="1383"/>
      <c r="AY12" s="1384"/>
      <c r="AZ12" s="1382"/>
      <c r="BA12" s="1383"/>
      <c r="BB12" s="1383"/>
      <c r="BC12" s="1383"/>
      <c r="BD12" s="1384"/>
      <c r="BE12" s="1382"/>
      <c r="BF12" s="1383"/>
      <c r="BG12" s="1383"/>
      <c r="BH12" s="1383"/>
      <c r="BI12" s="1384"/>
      <c r="BJ12" s="1382"/>
      <c r="BK12" s="1383"/>
      <c r="BL12" s="1383"/>
      <c r="BM12" s="1383"/>
      <c r="BN12" s="1384"/>
      <c r="BO12" s="1382"/>
      <c r="BP12" s="1383"/>
      <c r="BQ12" s="1383"/>
      <c r="BR12" s="1383"/>
      <c r="BS12" s="1384"/>
      <c r="BT12" s="1382"/>
      <c r="BU12" s="1383"/>
      <c r="BV12" s="1383"/>
      <c r="BW12" s="1383"/>
      <c r="BX12" s="1384"/>
      <c r="BY12" s="1388"/>
      <c r="BZ12" s="1389"/>
      <c r="CA12" s="1389"/>
      <c r="CB12" s="1389"/>
      <c r="CC12" s="1390"/>
    </row>
    <row r="13" spans="1:81" ht="10.5" customHeight="1" x14ac:dyDescent="0.15">
      <c r="A13" s="31">
        <v>8</v>
      </c>
      <c r="B13" s="309"/>
      <c r="C13" s="35"/>
      <c r="D13" s="1340" t="s">
        <v>138</v>
      </c>
      <c r="E13" s="1341"/>
      <c r="F13" s="1342"/>
      <c r="G13" s="1399"/>
      <c r="H13" s="1400"/>
      <c r="I13" s="1400"/>
      <c r="J13" s="1400"/>
      <c r="K13" s="1401"/>
      <c r="L13" s="1399"/>
      <c r="M13" s="1400"/>
      <c r="N13" s="1400"/>
      <c r="O13" s="1400"/>
      <c r="P13" s="1401"/>
      <c r="Q13" s="1402"/>
      <c r="R13" s="1403"/>
      <c r="S13" s="1403"/>
      <c r="T13" s="1403"/>
      <c r="U13" s="1404"/>
      <c r="V13" s="309"/>
      <c r="W13" s="35"/>
      <c r="X13" s="1340" t="s">
        <v>138</v>
      </c>
      <c r="Y13" s="1341"/>
      <c r="Z13" s="1342"/>
      <c r="AA13" s="1399"/>
      <c r="AB13" s="1400"/>
      <c r="AC13" s="1400"/>
      <c r="AD13" s="1400"/>
      <c r="AE13" s="1401"/>
      <c r="AF13" s="1399"/>
      <c r="AG13" s="1400"/>
      <c r="AH13" s="1400"/>
      <c r="AI13" s="1400"/>
      <c r="AJ13" s="1401"/>
      <c r="AK13" s="1402"/>
      <c r="AL13" s="1403"/>
      <c r="AM13" s="1403"/>
      <c r="AN13" s="1403"/>
      <c r="AO13" s="1404"/>
      <c r="AP13" s="1356"/>
      <c r="AQ13" s="1357"/>
      <c r="AR13" s="1337" t="s">
        <v>370</v>
      </c>
      <c r="AS13" s="1338"/>
      <c r="AT13" s="1339"/>
      <c r="AU13" s="1382"/>
      <c r="AV13" s="1383"/>
      <c r="AW13" s="1383"/>
      <c r="AX13" s="1383"/>
      <c r="AY13" s="1384"/>
      <c r="AZ13" s="1382"/>
      <c r="BA13" s="1383"/>
      <c r="BB13" s="1383"/>
      <c r="BC13" s="1383"/>
      <c r="BD13" s="1384"/>
      <c r="BE13" s="1382"/>
      <c r="BF13" s="1383"/>
      <c r="BG13" s="1383"/>
      <c r="BH13" s="1383"/>
      <c r="BI13" s="1384"/>
      <c r="BJ13" s="1382"/>
      <c r="BK13" s="1383"/>
      <c r="BL13" s="1383"/>
      <c r="BM13" s="1383"/>
      <c r="BN13" s="1384"/>
      <c r="BO13" s="1382"/>
      <c r="BP13" s="1383"/>
      <c r="BQ13" s="1383"/>
      <c r="BR13" s="1383"/>
      <c r="BS13" s="1384"/>
      <c r="BT13" s="1382"/>
      <c r="BU13" s="1383"/>
      <c r="BV13" s="1383"/>
      <c r="BW13" s="1383"/>
      <c r="BX13" s="1384"/>
      <c r="BY13" s="1388"/>
      <c r="BZ13" s="1389"/>
      <c r="CA13" s="1389"/>
      <c r="CB13" s="1389"/>
      <c r="CC13" s="1390"/>
    </row>
    <row r="14" spans="1:81" ht="10.5" customHeight="1" x14ac:dyDescent="0.15">
      <c r="A14" s="31">
        <v>9</v>
      </c>
      <c r="B14" s="1406" t="s">
        <v>224</v>
      </c>
      <c r="C14" s="1407"/>
      <c r="D14" s="1407"/>
      <c r="E14" s="1407"/>
      <c r="F14" s="1407"/>
      <c r="G14" s="1360"/>
      <c r="H14" s="1361"/>
      <c r="I14" s="1361"/>
      <c r="J14" s="1361"/>
      <c r="K14" s="1362"/>
      <c r="L14" s="1360"/>
      <c r="M14" s="1361"/>
      <c r="N14" s="1361"/>
      <c r="O14" s="1361"/>
      <c r="P14" s="1362"/>
      <c r="Q14" s="1385"/>
      <c r="R14" s="1386"/>
      <c r="S14" s="1386"/>
      <c r="T14" s="1386"/>
      <c r="U14" s="1387"/>
      <c r="V14" s="1379" t="s">
        <v>259</v>
      </c>
      <c r="W14" s="1380"/>
      <c r="X14" s="1380"/>
      <c r="Y14" s="1380"/>
      <c r="Z14" s="1381"/>
      <c r="AA14" s="1382"/>
      <c r="AB14" s="1383"/>
      <c r="AC14" s="1383"/>
      <c r="AD14" s="1383"/>
      <c r="AE14" s="1384"/>
      <c r="AF14" s="1382"/>
      <c r="AG14" s="1383"/>
      <c r="AH14" s="1383"/>
      <c r="AI14" s="1383"/>
      <c r="AJ14" s="1384"/>
      <c r="AK14" s="1388"/>
      <c r="AL14" s="1389"/>
      <c r="AM14" s="1389"/>
      <c r="AN14" s="1389"/>
      <c r="AO14" s="1390"/>
      <c r="AP14" s="1356"/>
      <c r="AQ14" s="1357"/>
      <c r="AR14" s="1337" t="s">
        <v>371</v>
      </c>
      <c r="AS14" s="1338"/>
      <c r="AT14" s="1339"/>
      <c r="AU14" s="1382"/>
      <c r="AV14" s="1383"/>
      <c r="AW14" s="1383"/>
      <c r="AX14" s="1383"/>
      <c r="AY14" s="1384"/>
      <c r="AZ14" s="1382"/>
      <c r="BA14" s="1383"/>
      <c r="BB14" s="1383"/>
      <c r="BC14" s="1383"/>
      <c r="BD14" s="1384"/>
      <c r="BE14" s="1382"/>
      <c r="BF14" s="1383"/>
      <c r="BG14" s="1383"/>
      <c r="BH14" s="1383"/>
      <c r="BI14" s="1384"/>
      <c r="BJ14" s="1382"/>
      <c r="BK14" s="1383"/>
      <c r="BL14" s="1383"/>
      <c r="BM14" s="1383"/>
      <c r="BN14" s="1384"/>
      <c r="BO14" s="1382"/>
      <c r="BP14" s="1383"/>
      <c r="BQ14" s="1383"/>
      <c r="BR14" s="1383"/>
      <c r="BS14" s="1384"/>
      <c r="BT14" s="1382"/>
      <c r="BU14" s="1383"/>
      <c r="BV14" s="1383"/>
      <c r="BW14" s="1383"/>
      <c r="BX14" s="1384"/>
      <c r="BY14" s="1388"/>
      <c r="BZ14" s="1389"/>
      <c r="CA14" s="1389"/>
      <c r="CB14" s="1389"/>
      <c r="CC14" s="1390"/>
    </row>
    <row r="15" spans="1:81" ht="10.5" customHeight="1" x14ac:dyDescent="0.15">
      <c r="A15" s="31">
        <v>10</v>
      </c>
      <c r="B15" s="312"/>
      <c r="C15" s="1337" t="s">
        <v>382</v>
      </c>
      <c r="D15" s="1338"/>
      <c r="E15" s="1338"/>
      <c r="F15" s="1339"/>
      <c r="G15" s="1382"/>
      <c r="H15" s="1383"/>
      <c r="I15" s="1383"/>
      <c r="J15" s="1383"/>
      <c r="K15" s="1384"/>
      <c r="L15" s="1382"/>
      <c r="M15" s="1383"/>
      <c r="N15" s="1383"/>
      <c r="O15" s="1383"/>
      <c r="P15" s="1384"/>
      <c r="Q15" s="1388"/>
      <c r="R15" s="1389"/>
      <c r="S15" s="1389"/>
      <c r="T15" s="1389"/>
      <c r="U15" s="1390"/>
      <c r="V15" s="312"/>
      <c r="W15" s="1337" t="s">
        <v>382</v>
      </c>
      <c r="X15" s="1338"/>
      <c r="Y15" s="1338"/>
      <c r="Z15" s="1339"/>
      <c r="AA15" s="1382"/>
      <c r="AB15" s="1383"/>
      <c r="AC15" s="1383"/>
      <c r="AD15" s="1383"/>
      <c r="AE15" s="1384"/>
      <c r="AF15" s="1382"/>
      <c r="AG15" s="1383"/>
      <c r="AH15" s="1383"/>
      <c r="AI15" s="1383"/>
      <c r="AJ15" s="1384"/>
      <c r="AK15" s="1388"/>
      <c r="AL15" s="1389"/>
      <c r="AM15" s="1389"/>
      <c r="AN15" s="1389"/>
      <c r="AO15" s="1390"/>
      <c r="AP15" s="1358"/>
      <c r="AQ15" s="1359"/>
      <c r="AR15" s="1340" t="s">
        <v>147</v>
      </c>
      <c r="AS15" s="1341"/>
      <c r="AT15" s="1342"/>
      <c r="AU15" s="1399"/>
      <c r="AV15" s="1400"/>
      <c r="AW15" s="1400"/>
      <c r="AX15" s="1400"/>
      <c r="AY15" s="1401"/>
      <c r="AZ15" s="1399"/>
      <c r="BA15" s="1400"/>
      <c r="BB15" s="1400"/>
      <c r="BC15" s="1400"/>
      <c r="BD15" s="1401"/>
      <c r="BE15" s="1399"/>
      <c r="BF15" s="1400"/>
      <c r="BG15" s="1400"/>
      <c r="BH15" s="1400"/>
      <c r="BI15" s="1401"/>
      <c r="BJ15" s="1402"/>
      <c r="BK15" s="1403"/>
      <c r="BL15" s="1403"/>
      <c r="BM15" s="1403"/>
      <c r="BN15" s="1541"/>
      <c r="BO15" s="1402"/>
      <c r="BP15" s="1403"/>
      <c r="BQ15" s="1403"/>
      <c r="BR15" s="1403"/>
      <c r="BS15" s="1541"/>
      <c r="BT15" s="1402"/>
      <c r="BU15" s="1403"/>
      <c r="BV15" s="1403"/>
      <c r="BW15" s="1403"/>
      <c r="BX15" s="1541"/>
      <c r="BY15" s="1402"/>
      <c r="BZ15" s="1403"/>
      <c r="CA15" s="1403"/>
      <c r="CB15" s="1403"/>
      <c r="CC15" s="1404"/>
    </row>
    <row r="16" spans="1:81" ht="10.5" customHeight="1" x14ac:dyDescent="0.15">
      <c r="A16" s="31">
        <v>11</v>
      </c>
      <c r="B16" s="312"/>
      <c r="C16" s="1319" t="s">
        <v>22</v>
      </c>
      <c r="D16" s="1320"/>
      <c r="E16" s="1320"/>
      <c r="F16" s="1321"/>
      <c r="G16" s="1382"/>
      <c r="H16" s="1383"/>
      <c r="I16" s="1383"/>
      <c r="J16" s="1383"/>
      <c r="K16" s="1384"/>
      <c r="L16" s="1382"/>
      <c r="M16" s="1383"/>
      <c r="N16" s="1383"/>
      <c r="O16" s="1383"/>
      <c r="P16" s="1384"/>
      <c r="Q16" s="1388"/>
      <c r="R16" s="1389"/>
      <c r="S16" s="1389"/>
      <c r="T16" s="1389"/>
      <c r="U16" s="1390"/>
      <c r="V16" s="309"/>
      <c r="W16" s="1340" t="s">
        <v>22</v>
      </c>
      <c r="X16" s="1341"/>
      <c r="Y16" s="1341"/>
      <c r="Z16" s="1342"/>
      <c r="AA16" s="1399"/>
      <c r="AB16" s="1400"/>
      <c r="AC16" s="1400"/>
      <c r="AD16" s="1400"/>
      <c r="AE16" s="1401"/>
      <c r="AF16" s="1399"/>
      <c r="AG16" s="1400"/>
      <c r="AH16" s="1400"/>
      <c r="AI16" s="1400"/>
      <c r="AJ16" s="1401"/>
      <c r="AK16" s="1402"/>
      <c r="AL16" s="1403"/>
      <c r="AM16" s="1403"/>
      <c r="AN16" s="1403"/>
      <c r="AO16" s="1404"/>
      <c r="AP16" s="1354" t="s">
        <v>63</v>
      </c>
      <c r="AQ16" s="1355"/>
      <c r="AR16" s="43"/>
      <c r="AS16" s="43"/>
      <c r="AT16" s="44"/>
      <c r="AU16" s="1360"/>
      <c r="AV16" s="1361"/>
      <c r="AW16" s="1361"/>
      <c r="AX16" s="1361"/>
      <c r="AY16" s="1362"/>
      <c r="AZ16" s="1363"/>
      <c r="BA16" s="1364"/>
      <c r="BB16" s="1364"/>
      <c r="BC16" s="1364"/>
      <c r="BD16" s="1365"/>
      <c r="BE16" s="1360"/>
      <c r="BF16" s="1361"/>
      <c r="BG16" s="1361"/>
      <c r="BH16" s="1361"/>
      <c r="BI16" s="1362"/>
      <c r="BJ16" s="1385"/>
      <c r="BK16" s="1386"/>
      <c r="BL16" s="1386"/>
      <c r="BM16" s="1386"/>
      <c r="BN16" s="1405"/>
      <c r="BO16" s="1385"/>
      <c r="BP16" s="1386"/>
      <c r="BQ16" s="1386"/>
      <c r="BR16" s="1386"/>
      <c r="BS16" s="1405"/>
      <c r="BT16" s="1385"/>
      <c r="BU16" s="1386"/>
      <c r="BV16" s="1386"/>
      <c r="BW16" s="1386"/>
      <c r="BX16" s="1405"/>
      <c r="BY16" s="1385"/>
      <c r="BZ16" s="1386"/>
      <c r="CA16" s="1386"/>
      <c r="CB16" s="1386"/>
      <c r="CC16" s="1387"/>
    </row>
    <row r="17" spans="1:95" ht="10.5" customHeight="1" x14ac:dyDescent="0.15">
      <c r="A17" s="31">
        <v>12</v>
      </c>
      <c r="B17" s="312"/>
      <c r="C17" s="34"/>
      <c r="D17" s="1319" t="s">
        <v>137</v>
      </c>
      <c r="E17" s="1320"/>
      <c r="F17" s="1321"/>
      <c r="G17" s="1382"/>
      <c r="H17" s="1383"/>
      <c r="I17" s="1383"/>
      <c r="J17" s="1383"/>
      <c r="K17" s="1384"/>
      <c r="L17" s="1382"/>
      <c r="M17" s="1383"/>
      <c r="N17" s="1383"/>
      <c r="O17" s="1383"/>
      <c r="P17" s="1384"/>
      <c r="Q17" s="1388"/>
      <c r="R17" s="1389"/>
      <c r="S17" s="1389"/>
      <c r="T17" s="1389"/>
      <c r="U17" s="1390"/>
      <c r="V17" s="1316" t="s">
        <v>267</v>
      </c>
      <c r="W17" s="1317"/>
      <c r="X17" s="1317"/>
      <c r="Y17" s="1317"/>
      <c r="Z17" s="1317"/>
      <c r="AA17" s="1382"/>
      <c r="AB17" s="1383"/>
      <c r="AC17" s="1383"/>
      <c r="AD17" s="1383"/>
      <c r="AE17" s="1384"/>
      <c r="AF17" s="1382"/>
      <c r="AG17" s="1383"/>
      <c r="AH17" s="1383"/>
      <c r="AI17" s="1383"/>
      <c r="AJ17" s="1384"/>
      <c r="AK17" s="1388"/>
      <c r="AL17" s="1389"/>
      <c r="AM17" s="1389"/>
      <c r="AN17" s="1389"/>
      <c r="AO17" s="1390"/>
      <c r="AP17" s="1356"/>
      <c r="AQ17" s="1357"/>
      <c r="AR17" s="1337" t="s">
        <v>146</v>
      </c>
      <c r="AS17" s="1338"/>
      <c r="AT17" s="1339"/>
      <c r="AU17" s="1382"/>
      <c r="AV17" s="1383"/>
      <c r="AW17" s="1383"/>
      <c r="AX17" s="1383"/>
      <c r="AY17" s="1384"/>
      <c r="AZ17" s="1382"/>
      <c r="BA17" s="1383"/>
      <c r="BB17" s="1383"/>
      <c r="BC17" s="1383"/>
      <c r="BD17" s="1384"/>
      <c r="BE17" s="1382"/>
      <c r="BF17" s="1383"/>
      <c r="BG17" s="1383"/>
      <c r="BH17" s="1383"/>
      <c r="BI17" s="1384"/>
      <c r="BJ17" s="1382"/>
      <c r="BK17" s="1383"/>
      <c r="BL17" s="1383"/>
      <c r="BM17" s="1383"/>
      <c r="BN17" s="1384"/>
      <c r="BO17" s="1382"/>
      <c r="BP17" s="1383"/>
      <c r="BQ17" s="1383"/>
      <c r="BR17" s="1383"/>
      <c r="BS17" s="1384"/>
      <c r="BT17" s="1382"/>
      <c r="BU17" s="1383"/>
      <c r="BV17" s="1383"/>
      <c r="BW17" s="1383"/>
      <c r="BX17" s="1384"/>
      <c r="BY17" s="1388"/>
      <c r="BZ17" s="1389"/>
      <c r="CA17" s="1389"/>
      <c r="CB17" s="1389"/>
      <c r="CC17" s="1390"/>
      <c r="CL17" s="3"/>
      <c r="CM17" s="3"/>
      <c r="CN17" s="3"/>
      <c r="CO17" s="3"/>
      <c r="CP17" s="3"/>
      <c r="CQ17" s="3"/>
    </row>
    <row r="18" spans="1:95" ht="10.5" customHeight="1" x14ac:dyDescent="0.15">
      <c r="A18" s="31">
        <v>13</v>
      </c>
      <c r="B18" s="312"/>
      <c r="C18" s="34"/>
      <c r="D18" s="45"/>
      <c r="E18" s="1377" t="s">
        <v>266</v>
      </c>
      <c r="F18" s="1378"/>
      <c r="G18" s="1382"/>
      <c r="H18" s="1383"/>
      <c r="I18" s="1383"/>
      <c r="J18" s="1383"/>
      <c r="K18" s="1384"/>
      <c r="L18" s="1382"/>
      <c r="M18" s="1383"/>
      <c r="N18" s="1383"/>
      <c r="O18" s="1383"/>
      <c r="P18" s="1384"/>
      <c r="Q18" s="1388"/>
      <c r="R18" s="1389"/>
      <c r="S18" s="1389"/>
      <c r="T18" s="1389"/>
      <c r="U18" s="1390"/>
      <c r="V18" s="312"/>
      <c r="W18" s="1337" t="s">
        <v>382</v>
      </c>
      <c r="X18" s="1338"/>
      <c r="Y18" s="1338"/>
      <c r="Z18" s="1339"/>
      <c r="AA18" s="1382"/>
      <c r="AB18" s="1383"/>
      <c r="AC18" s="1383"/>
      <c r="AD18" s="1383"/>
      <c r="AE18" s="1384"/>
      <c r="AF18" s="1382"/>
      <c r="AG18" s="1383"/>
      <c r="AH18" s="1383"/>
      <c r="AI18" s="1383"/>
      <c r="AJ18" s="1384"/>
      <c r="AK18" s="1388"/>
      <c r="AL18" s="1389"/>
      <c r="AM18" s="1389"/>
      <c r="AN18" s="1389"/>
      <c r="AO18" s="1390"/>
      <c r="AP18" s="1356"/>
      <c r="AQ18" s="1357"/>
      <c r="AR18" s="1337" t="s">
        <v>367</v>
      </c>
      <c r="AS18" s="1338"/>
      <c r="AT18" s="1339"/>
      <c r="AU18" s="1382"/>
      <c r="AV18" s="1383"/>
      <c r="AW18" s="1383"/>
      <c r="AX18" s="1383"/>
      <c r="AY18" s="1384"/>
      <c r="AZ18" s="1382"/>
      <c r="BA18" s="1383"/>
      <c r="BB18" s="1383"/>
      <c r="BC18" s="1383"/>
      <c r="BD18" s="1384"/>
      <c r="BE18" s="1382"/>
      <c r="BF18" s="1383"/>
      <c r="BG18" s="1383"/>
      <c r="BH18" s="1383"/>
      <c r="BI18" s="1384"/>
      <c r="BJ18" s="1382"/>
      <c r="BK18" s="1383"/>
      <c r="BL18" s="1383"/>
      <c r="BM18" s="1383"/>
      <c r="BN18" s="1384"/>
      <c r="BO18" s="1382"/>
      <c r="BP18" s="1383"/>
      <c r="BQ18" s="1383"/>
      <c r="BR18" s="1383"/>
      <c r="BS18" s="1384"/>
      <c r="BT18" s="1382"/>
      <c r="BU18" s="1383"/>
      <c r="BV18" s="1383"/>
      <c r="BW18" s="1383"/>
      <c r="BX18" s="1384"/>
      <c r="BY18" s="1388"/>
      <c r="BZ18" s="1389"/>
      <c r="CA18" s="1389"/>
      <c r="CB18" s="1389"/>
      <c r="CC18" s="1390"/>
      <c r="CL18" s="3"/>
      <c r="CM18" s="3"/>
      <c r="CN18" s="3"/>
      <c r="CO18" s="3"/>
      <c r="CP18" s="3"/>
      <c r="CQ18" s="3"/>
    </row>
    <row r="19" spans="1:95" ht="10.5" customHeight="1" x14ac:dyDescent="0.15">
      <c r="A19" s="31">
        <v>14</v>
      </c>
      <c r="B19" s="192"/>
      <c r="C19" s="35"/>
      <c r="D19" s="1340" t="s">
        <v>138</v>
      </c>
      <c r="E19" s="1341"/>
      <c r="F19" s="1342"/>
      <c r="G19" s="1399"/>
      <c r="H19" s="1400"/>
      <c r="I19" s="1400"/>
      <c r="J19" s="1400"/>
      <c r="K19" s="1401"/>
      <c r="L19" s="1399"/>
      <c r="M19" s="1400"/>
      <c r="N19" s="1400"/>
      <c r="O19" s="1400"/>
      <c r="P19" s="1401"/>
      <c r="Q19" s="1402"/>
      <c r="R19" s="1403"/>
      <c r="S19" s="1403"/>
      <c r="T19" s="1403"/>
      <c r="U19" s="1404"/>
      <c r="V19" s="312"/>
      <c r="W19" s="1319" t="s">
        <v>22</v>
      </c>
      <c r="X19" s="1320"/>
      <c r="Y19" s="1320"/>
      <c r="Z19" s="1321"/>
      <c r="AA19" s="1382"/>
      <c r="AB19" s="1383"/>
      <c r="AC19" s="1383"/>
      <c r="AD19" s="1383"/>
      <c r="AE19" s="1384"/>
      <c r="AF19" s="1382"/>
      <c r="AG19" s="1383"/>
      <c r="AH19" s="1383"/>
      <c r="AI19" s="1383"/>
      <c r="AJ19" s="1384"/>
      <c r="AK19" s="1388"/>
      <c r="AL19" s="1389"/>
      <c r="AM19" s="1389"/>
      <c r="AN19" s="1389"/>
      <c r="AO19" s="1390"/>
      <c r="AP19" s="1356"/>
      <c r="AQ19" s="1357"/>
      <c r="AR19" s="1337" t="s">
        <v>368</v>
      </c>
      <c r="AS19" s="1338"/>
      <c r="AT19" s="1339"/>
      <c r="AU19" s="1382"/>
      <c r="AV19" s="1383"/>
      <c r="AW19" s="1383"/>
      <c r="AX19" s="1383"/>
      <c r="AY19" s="1384"/>
      <c r="AZ19" s="1382"/>
      <c r="BA19" s="1383"/>
      <c r="BB19" s="1383"/>
      <c r="BC19" s="1383"/>
      <c r="BD19" s="1384"/>
      <c r="BE19" s="1382"/>
      <c r="BF19" s="1383"/>
      <c r="BG19" s="1383"/>
      <c r="BH19" s="1383"/>
      <c r="BI19" s="1384"/>
      <c r="BJ19" s="1382"/>
      <c r="BK19" s="1383"/>
      <c r="BL19" s="1383"/>
      <c r="BM19" s="1383"/>
      <c r="BN19" s="1384"/>
      <c r="BO19" s="1382"/>
      <c r="BP19" s="1383"/>
      <c r="BQ19" s="1383"/>
      <c r="BR19" s="1383"/>
      <c r="BS19" s="1384"/>
      <c r="BT19" s="1382"/>
      <c r="BU19" s="1383"/>
      <c r="BV19" s="1383"/>
      <c r="BW19" s="1383"/>
      <c r="BX19" s="1384"/>
      <c r="BY19" s="1388"/>
      <c r="BZ19" s="1389"/>
      <c r="CA19" s="1389"/>
      <c r="CB19" s="1389"/>
      <c r="CC19" s="1390"/>
      <c r="CL19" s="3"/>
      <c r="CM19" s="3"/>
      <c r="CN19" s="3"/>
      <c r="CO19" s="3"/>
      <c r="CP19" s="3"/>
      <c r="CQ19" s="3"/>
    </row>
    <row r="20" spans="1:95" ht="10.5" customHeight="1" x14ac:dyDescent="0.15">
      <c r="A20" s="31">
        <v>15</v>
      </c>
      <c r="B20" s="1379" t="s">
        <v>375</v>
      </c>
      <c r="C20" s="1380"/>
      <c r="D20" s="1380"/>
      <c r="E20" s="1380"/>
      <c r="F20" s="1380"/>
      <c r="G20" s="1360"/>
      <c r="H20" s="1361"/>
      <c r="I20" s="1361"/>
      <c r="J20" s="1361"/>
      <c r="K20" s="1362"/>
      <c r="L20" s="1360"/>
      <c r="M20" s="1361"/>
      <c r="N20" s="1361"/>
      <c r="O20" s="1361"/>
      <c r="P20" s="1362"/>
      <c r="Q20" s="1385"/>
      <c r="R20" s="1386"/>
      <c r="S20" s="1386"/>
      <c r="T20" s="1386"/>
      <c r="U20" s="1387"/>
      <c r="V20" s="49"/>
      <c r="W20" s="34"/>
      <c r="X20" s="1319" t="s">
        <v>137</v>
      </c>
      <c r="Y20" s="1320"/>
      <c r="Z20" s="1321"/>
      <c r="AA20" s="1382"/>
      <c r="AB20" s="1383"/>
      <c r="AC20" s="1383"/>
      <c r="AD20" s="1383"/>
      <c r="AE20" s="1384"/>
      <c r="AF20" s="1382"/>
      <c r="AG20" s="1383"/>
      <c r="AH20" s="1383"/>
      <c r="AI20" s="1383"/>
      <c r="AJ20" s="1384"/>
      <c r="AK20" s="1388"/>
      <c r="AL20" s="1389"/>
      <c r="AM20" s="1389"/>
      <c r="AN20" s="1389"/>
      <c r="AO20" s="1390"/>
      <c r="AP20" s="1356"/>
      <c r="AQ20" s="1357"/>
      <c r="AR20" s="1337" t="s">
        <v>369</v>
      </c>
      <c r="AS20" s="1338"/>
      <c r="AT20" s="1339"/>
      <c r="AU20" s="1382"/>
      <c r="AV20" s="1383"/>
      <c r="AW20" s="1383"/>
      <c r="AX20" s="1383"/>
      <c r="AY20" s="1384"/>
      <c r="AZ20" s="1382"/>
      <c r="BA20" s="1383"/>
      <c r="BB20" s="1383"/>
      <c r="BC20" s="1383"/>
      <c r="BD20" s="1384"/>
      <c r="BE20" s="1382"/>
      <c r="BF20" s="1383"/>
      <c r="BG20" s="1383"/>
      <c r="BH20" s="1383"/>
      <c r="BI20" s="1384"/>
      <c r="BJ20" s="1382"/>
      <c r="BK20" s="1383"/>
      <c r="BL20" s="1383"/>
      <c r="BM20" s="1383"/>
      <c r="BN20" s="1384"/>
      <c r="BO20" s="1382"/>
      <c r="BP20" s="1383"/>
      <c r="BQ20" s="1383"/>
      <c r="BR20" s="1383"/>
      <c r="BS20" s="1384"/>
      <c r="BT20" s="1382"/>
      <c r="BU20" s="1383"/>
      <c r="BV20" s="1383"/>
      <c r="BW20" s="1383"/>
      <c r="BX20" s="1384"/>
      <c r="BY20" s="1388"/>
      <c r="BZ20" s="1389"/>
      <c r="CA20" s="1389"/>
      <c r="CB20" s="1389"/>
      <c r="CC20" s="1390"/>
      <c r="CL20" s="3"/>
      <c r="CM20" s="3"/>
      <c r="CN20" s="3"/>
      <c r="CO20" s="3"/>
      <c r="CP20" s="3"/>
      <c r="CQ20" s="3"/>
    </row>
    <row r="21" spans="1:95" ht="10.5" customHeight="1" x14ac:dyDescent="0.15">
      <c r="A21" s="31">
        <v>16</v>
      </c>
      <c r="B21" s="312"/>
      <c r="C21" s="1337" t="s">
        <v>382</v>
      </c>
      <c r="D21" s="1338"/>
      <c r="E21" s="1338"/>
      <c r="F21" s="1339"/>
      <c r="G21" s="1382"/>
      <c r="H21" s="1383"/>
      <c r="I21" s="1383"/>
      <c r="J21" s="1383"/>
      <c r="K21" s="1384"/>
      <c r="L21" s="1382"/>
      <c r="M21" s="1383"/>
      <c r="N21" s="1383"/>
      <c r="O21" s="1383"/>
      <c r="P21" s="1384"/>
      <c r="Q21" s="1388"/>
      <c r="R21" s="1389"/>
      <c r="S21" s="1389"/>
      <c r="T21" s="1389"/>
      <c r="U21" s="1390"/>
      <c r="V21" s="49"/>
      <c r="W21" s="34"/>
      <c r="X21" s="45"/>
      <c r="Y21" s="1377" t="s">
        <v>266</v>
      </c>
      <c r="Z21" s="1378"/>
      <c r="AA21" s="1382"/>
      <c r="AB21" s="1383"/>
      <c r="AC21" s="1383"/>
      <c r="AD21" s="1383"/>
      <c r="AE21" s="1384"/>
      <c r="AF21" s="1382"/>
      <c r="AG21" s="1383"/>
      <c r="AH21" s="1383"/>
      <c r="AI21" s="1383"/>
      <c r="AJ21" s="1384"/>
      <c r="AK21" s="1388"/>
      <c r="AL21" s="1389"/>
      <c r="AM21" s="1389"/>
      <c r="AN21" s="1389"/>
      <c r="AO21" s="1390"/>
      <c r="AP21" s="1356"/>
      <c r="AQ21" s="1357"/>
      <c r="AR21" s="1337" t="s">
        <v>370</v>
      </c>
      <c r="AS21" s="1338"/>
      <c r="AT21" s="1339"/>
      <c r="AU21" s="1382"/>
      <c r="AV21" s="1383"/>
      <c r="AW21" s="1383"/>
      <c r="AX21" s="1383"/>
      <c r="AY21" s="1384"/>
      <c r="AZ21" s="1382"/>
      <c r="BA21" s="1383"/>
      <c r="BB21" s="1383"/>
      <c r="BC21" s="1383"/>
      <c r="BD21" s="1384"/>
      <c r="BE21" s="1382"/>
      <c r="BF21" s="1383"/>
      <c r="BG21" s="1383"/>
      <c r="BH21" s="1383"/>
      <c r="BI21" s="1384"/>
      <c r="BJ21" s="1382"/>
      <c r="BK21" s="1383"/>
      <c r="BL21" s="1383"/>
      <c r="BM21" s="1383"/>
      <c r="BN21" s="1384"/>
      <c r="BO21" s="1382"/>
      <c r="BP21" s="1383"/>
      <c r="BQ21" s="1383"/>
      <c r="BR21" s="1383"/>
      <c r="BS21" s="1384"/>
      <c r="BT21" s="1382"/>
      <c r="BU21" s="1383"/>
      <c r="BV21" s="1383"/>
      <c r="BW21" s="1383"/>
      <c r="BX21" s="1384"/>
      <c r="BY21" s="1388"/>
      <c r="BZ21" s="1389"/>
      <c r="CA21" s="1389"/>
      <c r="CB21" s="1389"/>
      <c r="CC21" s="1390"/>
      <c r="CL21" s="3"/>
      <c r="CM21" s="3"/>
      <c r="CN21" s="3"/>
      <c r="CO21" s="3"/>
      <c r="CP21" s="3"/>
      <c r="CQ21" s="3"/>
    </row>
    <row r="22" spans="1:95" ht="10.5" customHeight="1" thickBot="1" x14ac:dyDescent="0.2">
      <c r="A22" s="31">
        <v>17</v>
      </c>
      <c r="B22" s="312"/>
      <c r="C22" s="1319" t="s">
        <v>22</v>
      </c>
      <c r="D22" s="1320"/>
      <c r="E22" s="1320"/>
      <c r="F22" s="1321"/>
      <c r="G22" s="1382"/>
      <c r="H22" s="1383"/>
      <c r="I22" s="1383"/>
      <c r="J22" s="1383"/>
      <c r="K22" s="1384"/>
      <c r="L22" s="1382"/>
      <c r="M22" s="1383"/>
      <c r="N22" s="1383"/>
      <c r="O22" s="1383"/>
      <c r="P22" s="1384"/>
      <c r="Q22" s="1388"/>
      <c r="R22" s="1389"/>
      <c r="S22" s="1389"/>
      <c r="T22" s="1389"/>
      <c r="U22" s="1390"/>
      <c r="V22" s="61"/>
      <c r="W22" s="62"/>
      <c r="X22" s="1366" t="s">
        <v>138</v>
      </c>
      <c r="Y22" s="1367"/>
      <c r="Z22" s="1368"/>
      <c r="AA22" s="1412"/>
      <c r="AB22" s="1413"/>
      <c r="AC22" s="1413"/>
      <c r="AD22" s="1413"/>
      <c r="AE22" s="1414"/>
      <c r="AF22" s="1412"/>
      <c r="AG22" s="1413"/>
      <c r="AH22" s="1413"/>
      <c r="AI22" s="1413"/>
      <c r="AJ22" s="1414"/>
      <c r="AK22" s="1415"/>
      <c r="AL22" s="1416"/>
      <c r="AM22" s="1416"/>
      <c r="AN22" s="1416"/>
      <c r="AO22" s="1487"/>
      <c r="AP22" s="1356"/>
      <c r="AQ22" s="1357"/>
      <c r="AR22" s="1337" t="s">
        <v>371</v>
      </c>
      <c r="AS22" s="1338"/>
      <c r="AT22" s="1339"/>
      <c r="AU22" s="1382"/>
      <c r="AV22" s="1383"/>
      <c r="AW22" s="1383"/>
      <c r="AX22" s="1383"/>
      <c r="AY22" s="1384"/>
      <c r="AZ22" s="1382"/>
      <c r="BA22" s="1383"/>
      <c r="BB22" s="1383"/>
      <c r="BC22" s="1383"/>
      <c r="BD22" s="1384"/>
      <c r="BE22" s="1382"/>
      <c r="BF22" s="1383"/>
      <c r="BG22" s="1383"/>
      <c r="BH22" s="1383"/>
      <c r="BI22" s="1384"/>
      <c r="BJ22" s="1382"/>
      <c r="BK22" s="1383"/>
      <c r="BL22" s="1383"/>
      <c r="BM22" s="1383"/>
      <c r="BN22" s="1384"/>
      <c r="BO22" s="1382"/>
      <c r="BP22" s="1383"/>
      <c r="BQ22" s="1383"/>
      <c r="BR22" s="1383"/>
      <c r="BS22" s="1384"/>
      <c r="BT22" s="1382"/>
      <c r="BU22" s="1383"/>
      <c r="BV22" s="1383"/>
      <c r="BW22" s="1383"/>
      <c r="BX22" s="1384"/>
      <c r="BY22" s="1388"/>
      <c r="BZ22" s="1389"/>
      <c r="CA22" s="1389"/>
      <c r="CB22" s="1389"/>
      <c r="CC22" s="1390"/>
      <c r="CL22" s="3"/>
      <c r="CM22" s="3"/>
      <c r="CN22" s="3"/>
      <c r="CO22" s="3"/>
      <c r="CP22" s="3"/>
      <c r="CQ22" s="3"/>
    </row>
    <row r="23" spans="1:95" ht="10.5" customHeight="1" x14ac:dyDescent="0.15">
      <c r="A23" s="31">
        <v>18</v>
      </c>
      <c r="B23" s="312"/>
      <c r="C23" s="34"/>
      <c r="D23" s="1319" t="s">
        <v>137</v>
      </c>
      <c r="E23" s="1320"/>
      <c r="F23" s="1321"/>
      <c r="G23" s="1382"/>
      <c r="H23" s="1383"/>
      <c r="I23" s="1383"/>
      <c r="J23" s="1383"/>
      <c r="K23" s="1384"/>
      <c r="L23" s="1382"/>
      <c r="M23" s="1383"/>
      <c r="N23" s="1383"/>
      <c r="O23" s="1383"/>
      <c r="P23" s="1384"/>
      <c r="Q23" s="1388"/>
      <c r="R23" s="1389"/>
      <c r="S23" s="1389"/>
      <c r="T23" s="1389"/>
      <c r="U23" s="1390"/>
      <c r="AP23" s="1358"/>
      <c r="AQ23" s="1359"/>
      <c r="AR23" s="1340" t="s">
        <v>147</v>
      </c>
      <c r="AS23" s="1341"/>
      <c r="AT23" s="1342"/>
      <c r="AU23" s="1399"/>
      <c r="AV23" s="1400"/>
      <c r="AW23" s="1400"/>
      <c r="AX23" s="1400"/>
      <c r="AY23" s="1401"/>
      <c r="AZ23" s="1399"/>
      <c r="BA23" s="1400"/>
      <c r="BB23" s="1400"/>
      <c r="BC23" s="1400"/>
      <c r="BD23" s="1401"/>
      <c r="BE23" s="1399"/>
      <c r="BF23" s="1400"/>
      <c r="BG23" s="1400"/>
      <c r="BH23" s="1400"/>
      <c r="BI23" s="1401"/>
      <c r="BJ23" s="1402"/>
      <c r="BK23" s="1403"/>
      <c r="BL23" s="1403"/>
      <c r="BM23" s="1403"/>
      <c r="BN23" s="1541"/>
      <c r="BO23" s="1402"/>
      <c r="BP23" s="1403"/>
      <c r="BQ23" s="1403"/>
      <c r="BR23" s="1403"/>
      <c r="BS23" s="1541"/>
      <c r="BT23" s="1402"/>
      <c r="BU23" s="1403"/>
      <c r="BV23" s="1403"/>
      <c r="BW23" s="1403"/>
      <c r="BX23" s="1541"/>
      <c r="BY23" s="1402"/>
      <c r="BZ23" s="1403"/>
      <c r="CA23" s="1403"/>
      <c r="CB23" s="1403"/>
      <c r="CC23" s="1404"/>
      <c r="CL23" s="3"/>
      <c r="CM23" s="3"/>
      <c r="CN23" s="3"/>
      <c r="CO23" s="3"/>
      <c r="CP23" s="3"/>
      <c r="CQ23" s="3"/>
    </row>
    <row r="24" spans="1:95" ht="10.5" customHeight="1" x14ac:dyDescent="0.15">
      <c r="A24" s="31">
        <v>19</v>
      </c>
      <c r="B24" s="312"/>
      <c r="C24" s="34"/>
      <c r="D24" s="45"/>
      <c r="E24" s="1377" t="s">
        <v>266</v>
      </c>
      <c r="F24" s="1378"/>
      <c r="G24" s="1382"/>
      <c r="H24" s="1383"/>
      <c r="I24" s="1383"/>
      <c r="J24" s="1383"/>
      <c r="K24" s="1384"/>
      <c r="L24" s="1382"/>
      <c r="M24" s="1383"/>
      <c r="N24" s="1383"/>
      <c r="O24" s="1383"/>
      <c r="P24" s="1384"/>
      <c r="Q24" s="1388"/>
      <c r="R24" s="1389"/>
      <c r="S24" s="1389"/>
      <c r="T24" s="1389"/>
      <c r="U24" s="1390"/>
      <c r="AP24" s="1354" t="s">
        <v>60</v>
      </c>
      <c r="AQ24" s="1355"/>
      <c r="AR24" s="43"/>
      <c r="AS24" s="43"/>
      <c r="AT24" s="44"/>
      <c r="AU24" s="1360"/>
      <c r="AV24" s="1361"/>
      <c r="AW24" s="1361"/>
      <c r="AX24" s="1361"/>
      <c r="AY24" s="1362"/>
      <c r="AZ24" s="1360"/>
      <c r="BA24" s="1361"/>
      <c r="BB24" s="1361"/>
      <c r="BC24" s="1361"/>
      <c r="BD24" s="1362"/>
      <c r="BE24" s="1360"/>
      <c r="BF24" s="1361"/>
      <c r="BG24" s="1361"/>
      <c r="BH24" s="1361"/>
      <c r="BI24" s="1362"/>
      <c r="BJ24" s="1385"/>
      <c r="BK24" s="1386"/>
      <c r="BL24" s="1386"/>
      <c r="BM24" s="1386"/>
      <c r="BN24" s="1405"/>
      <c r="BO24" s="1385"/>
      <c r="BP24" s="1386"/>
      <c r="BQ24" s="1386"/>
      <c r="BR24" s="1386"/>
      <c r="BS24" s="1405"/>
      <c r="BT24" s="1385"/>
      <c r="BU24" s="1386"/>
      <c r="BV24" s="1386"/>
      <c r="BW24" s="1386"/>
      <c r="BX24" s="1405"/>
      <c r="BY24" s="1385"/>
      <c r="BZ24" s="1386"/>
      <c r="CA24" s="1386"/>
      <c r="CB24" s="1386"/>
      <c r="CC24" s="1387"/>
      <c r="CL24" s="3"/>
      <c r="CM24" s="3"/>
      <c r="CN24" s="3"/>
      <c r="CO24" s="3"/>
      <c r="CP24" s="3"/>
      <c r="CQ24" s="3"/>
    </row>
    <row r="25" spans="1:95" ht="10.5" customHeight="1" thickBot="1" x14ac:dyDescent="0.2">
      <c r="A25" s="31">
        <v>20</v>
      </c>
      <c r="B25" s="46"/>
      <c r="C25" s="62"/>
      <c r="D25" s="1366" t="s">
        <v>138</v>
      </c>
      <c r="E25" s="1367"/>
      <c r="F25" s="1368"/>
      <c r="G25" s="1412"/>
      <c r="H25" s="1413"/>
      <c r="I25" s="1413"/>
      <c r="J25" s="1413"/>
      <c r="K25" s="1414"/>
      <c r="L25" s="1412"/>
      <c r="M25" s="1413"/>
      <c r="N25" s="1413"/>
      <c r="O25" s="1413"/>
      <c r="P25" s="1414"/>
      <c r="Q25" s="1415"/>
      <c r="R25" s="1416"/>
      <c r="S25" s="1416"/>
      <c r="T25" s="1416"/>
      <c r="U25" s="1487"/>
      <c r="AP25" s="1356"/>
      <c r="AQ25" s="1357"/>
      <c r="AR25" s="1337" t="s">
        <v>146</v>
      </c>
      <c r="AS25" s="1338"/>
      <c r="AT25" s="1339"/>
      <c r="AU25" s="1382"/>
      <c r="AV25" s="1383"/>
      <c r="AW25" s="1383"/>
      <c r="AX25" s="1383"/>
      <c r="AY25" s="1384"/>
      <c r="AZ25" s="1382"/>
      <c r="BA25" s="1383"/>
      <c r="BB25" s="1383"/>
      <c r="BC25" s="1383"/>
      <c r="BD25" s="1384"/>
      <c r="BE25" s="1382"/>
      <c r="BF25" s="1383"/>
      <c r="BG25" s="1383"/>
      <c r="BH25" s="1383"/>
      <c r="BI25" s="1384"/>
      <c r="BJ25" s="1382"/>
      <c r="BK25" s="1383"/>
      <c r="BL25" s="1383"/>
      <c r="BM25" s="1383"/>
      <c r="BN25" s="1384"/>
      <c r="BO25" s="1382"/>
      <c r="BP25" s="1383"/>
      <c r="BQ25" s="1383"/>
      <c r="BR25" s="1383"/>
      <c r="BS25" s="1384"/>
      <c r="BT25" s="1382"/>
      <c r="BU25" s="1383"/>
      <c r="BV25" s="1383"/>
      <c r="BW25" s="1383"/>
      <c r="BX25" s="1384"/>
      <c r="BY25" s="1388"/>
      <c r="BZ25" s="1389"/>
      <c r="CA25" s="1389"/>
      <c r="CB25" s="1389"/>
      <c r="CC25" s="1390"/>
      <c r="CL25" s="3"/>
      <c r="CM25" s="3"/>
      <c r="CN25" s="3"/>
      <c r="CO25" s="3"/>
      <c r="CP25" s="3"/>
      <c r="CQ25" s="3"/>
    </row>
    <row r="26" spans="1:95" ht="10.5" customHeight="1" x14ac:dyDescent="0.15">
      <c r="A26" s="31">
        <v>21</v>
      </c>
      <c r="B26" s="22" t="s">
        <v>272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20"/>
      <c r="R26" s="20"/>
      <c r="S26" s="20"/>
      <c r="T26" s="20"/>
      <c r="U26" s="20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9"/>
      <c r="AP26" s="1357"/>
      <c r="AQ26" s="1357"/>
      <c r="AR26" s="1337" t="s">
        <v>373</v>
      </c>
      <c r="AS26" s="1338"/>
      <c r="AT26" s="1339"/>
      <c r="AU26" s="1382"/>
      <c r="AV26" s="1383"/>
      <c r="AW26" s="1383"/>
      <c r="AX26" s="1383"/>
      <c r="AY26" s="1384"/>
      <c r="AZ26" s="1382"/>
      <c r="BA26" s="1383"/>
      <c r="BB26" s="1383"/>
      <c r="BC26" s="1383"/>
      <c r="BD26" s="1384"/>
      <c r="BE26" s="1382"/>
      <c r="BF26" s="1383"/>
      <c r="BG26" s="1383"/>
      <c r="BH26" s="1383"/>
      <c r="BI26" s="1384"/>
      <c r="BJ26" s="1382"/>
      <c r="BK26" s="1383"/>
      <c r="BL26" s="1383"/>
      <c r="BM26" s="1383"/>
      <c r="BN26" s="1384"/>
      <c r="BO26" s="1382"/>
      <c r="BP26" s="1383"/>
      <c r="BQ26" s="1383"/>
      <c r="BR26" s="1383"/>
      <c r="BS26" s="1384"/>
      <c r="BT26" s="1382"/>
      <c r="BU26" s="1383"/>
      <c r="BV26" s="1383"/>
      <c r="BW26" s="1383"/>
      <c r="BX26" s="1384"/>
      <c r="BY26" s="1388"/>
      <c r="BZ26" s="1389"/>
      <c r="CA26" s="1389"/>
      <c r="CB26" s="1389"/>
      <c r="CC26" s="1390"/>
      <c r="CL26" s="3"/>
      <c r="CM26" s="3"/>
      <c r="CN26" s="3"/>
      <c r="CO26" s="3"/>
      <c r="CP26" s="3"/>
      <c r="CQ26" s="3"/>
    </row>
    <row r="27" spans="1:95" ht="10.5" customHeight="1" x14ac:dyDescent="0.15">
      <c r="A27" s="31">
        <v>22</v>
      </c>
      <c r="B27" s="1369" t="s">
        <v>59</v>
      </c>
      <c r="C27" s="1370"/>
      <c r="D27" s="1370"/>
      <c r="E27" s="1370"/>
      <c r="F27" s="1371"/>
      <c r="G27" s="1372" t="s">
        <v>60</v>
      </c>
      <c r="H27" s="1370"/>
      <c r="I27" s="1370"/>
      <c r="J27" s="1370"/>
      <c r="K27" s="1370"/>
      <c r="L27" s="135"/>
      <c r="M27" s="135"/>
      <c r="N27" s="307"/>
      <c r="O27" s="307"/>
      <c r="P27" s="307"/>
      <c r="Q27" s="25"/>
      <c r="R27" s="25"/>
      <c r="S27" s="25"/>
      <c r="T27" s="25"/>
      <c r="U27" s="25"/>
      <c r="V27" s="1290" t="s">
        <v>59</v>
      </c>
      <c r="W27" s="1291"/>
      <c r="X27" s="1291"/>
      <c r="Y27" s="1291"/>
      <c r="Z27" s="1292"/>
      <c r="AA27" s="1290" t="s">
        <v>60</v>
      </c>
      <c r="AB27" s="1291"/>
      <c r="AC27" s="1291"/>
      <c r="AD27" s="1291"/>
      <c r="AE27" s="1291"/>
      <c r="AF27" s="135"/>
      <c r="AG27" s="135"/>
      <c r="AH27" s="307"/>
      <c r="AI27" s="307"/>
      <c r="AJ27" s="307"/>
      <c r="AK27" s="25"/>
      <c r="AL27" s="25"/>
      <c r="AM27" s="25"/>
      <c r="AN27" s="25"/>
      <c r="AO27" s="68"/>
      <c r="AP27" s="1357"/>
      <c r="AQ27" s="1357"/>
      <c r="AR27" s="1337" t="s">
        <v>374</v>
      </c>
      <c r="AS27" s="1338"/>
      <c r="AT27" s="1339"/>
      <c r="AU27" s="1382"/>
      <c r="AV27" s="1383"/>
      <c r="AW27" s="1383"/>
      <c r="AX27" s="1383"/>
      <c r="AY27" s="1384"/>
      <c r="AZ27" s="1382"/>
      <c r="BA27" s="1383"/>
      <c r="BB27" s="1383"/>
      <c r="BC27" s="1383"/>
      <c r="BD27" s="1384"/>
      <c r="BE27" s="1382"/>
      <c r="BF27" s="1383"/>
      <c r="BG27" s="1383"/>
      <c r="BH27" s="1383"/>
      <c r="BI27" s="1384"/>
      <c r="BJ27" s="1382"/>
      <c r="BK27" s="1383"/>
      <c r="BL27" s="1383"/>
      <c r="BM27" s="1383"/>
      <c r="BN27" s="1384"/>
      <c r="BO27" s="1382"/>
      <c r="BP27" s="1383"/>
      <c r="BQ27" s="1383"/>
      <c r="BR27" s="1383"/>
      <c r="BS27" s="1384"/>
      <c r="BT27" s="1382"/>
      <c r="BU27" s="1383"/>
      <c r="BV27" s="1383"/>
      <c r="BW27" s="1383"/>
      <c r="BX27" s="1384"/>
      <c r="BY27" s="1388"/>
      <c r="BZ27" s="1389"/>
      <c r="CA27" s="1389"/>
      <c r="CB27" s="1389"/>
      <c r="CC27" s="1390"/>
      <c r="CL27" s="3"/>
      <c r="CM27" s="3"/>
      <c r="CN27" s="3"/>
      <c r="CO27" s="3"/>
      <c r="CP27" s="3"/>
      <c r="CQ27" s="3"/>
    </row>
    <row r="28" spans="1:95" ht="10.5" customHeight="1" x14ac:dyDescent="0.15">
      <c r="A28" s="31">
        <v>23</v>
      </c>
      <c r="B28" s="1369"/>
      <c r="C28" s="1370"/>
      <c r="D28" s="1370"/>
      <c r="E28" s="1370"/>
      <c r="F28" s="1371"/>
      <c r="G28" s="1372"/>
      <c r="H28" s="1370"/>
      <c r="I28" s="1370"/>
      <c r="J28" s="1370"/>
      <c r="K28" s="1370"/>
      <c r="L28" s="1296" t="s">
        <v>136</v>
      </c>
      <c r="M28" s="1297"/>
      <c r="N28" s="1297"/>
      <c r="O28" s="1297"/>
      <c r="P28" s="1298"/>
      <c r="Q28" s="1299" t="s">
        <v>63</v>
      </c>
      <c r="R28" s="1300"/>
      <c r="S28" s="1300"/>
      <c r="T28" s="1300"/>
      <c r="U28" s="1300"/>
      <c r="V28" s="1293"/>
      <c r="W28" s="1294"/>
      <c r="X28" s="1294"/>
      <c r="Y28" s="1294"/>
      <c r="Z28" s="1295"/>
      <c r="AA28" s="1293"/>
      <c r="AB28" s="1294"/>
      <c r="AC28" s="1294"/>
      <c r="AD28" s="1294"/>
      <c r="AE28" s="1294"/>
      <c r="AF28" s="1296" t="s">
        <v>136</v>
      </c>
      <c r="AG28" s="1297"/>
      <c r="AH28" s="1297"/>
      <c r="AI28" s="1297"/>
      <c r="AJ28" s="1298"/>
      <c r="AK28" s="1299" t="s">
        <v>63</v>
      </c>
      <c r="AL28" s="1300"/>
      <c r="AM28" s="1300"/>
      <c r="AN28" s="1300"/>
      <c r="AO28" s="1301"/>
      <c r="AP28" s="1357"/>
      <c r="AQ28" s="1357"/>
      <c r="AR28" s="1337" t="s">
        <v>376</v>
      </c>
      <c r="AS28" s="1338"/>
      <c r="AT28" s="1339"/>
      <c r="AU28" s="1382"/>
      <c r="AV28" s="1383"/>
      <c r="AW28" s="1383"/>
      <c r="AX28" s="1383"/>
      <c r="AY28" s="1384"/>
      <c r="AZ28" s="1382"/>
      <c r="BA28" s="1383"/>
      <c r="BB28" s="1383"/>
      <c r="BC28" s="1383"/>
      <c r="BD28" s="1384"/>
      <c r="BE28" s="1382"/>
      <c r="BF28" s="1383"/>
      <c r="BG28" s="1383"/>
      <c r="BH28" s="1383"/>
      <c r="BI28" s="1384"/>
      <c r="BJ28" s="1382"/>
      <c r="BK28" s="1383"/>
      <c r="BL28" s="1383"/>
      <c r="BM28" s="1383"/>
      <c r="BN28" s="1384"/>
      <c r="BO28" s="1382"/>
      <c r="BP28" s="1383"/>
      <c r="BQ28" s="1383"/>
      <c r="BR28" s="1383"/>
      <c r="BS28" s="1384"/>
      <c r="BT28" s="1382"/>
      <c r="BU28" s="1383"/>
      <c r="BV28" s="1383"/>
      <c r="BW28" s="1383"/>
      <c r="BX28" s="1384"/>
      <c r="BY28" s="1388"/>
      <c r="BZ28" s="1389"/>
      <c r="CA28" s="1389"/>
      <c r="CB28" s="1389"/>
      <c r="CC28" s="1390"/>
    </row>
    <row r="29" spans="1:95" ht="10.5" customHeight="1" x14ac:dyDescent="0.15">
      <c r="A29" s="31">
        <v>24</v>
      </c>
      <c r="B29" s="1408" t="s">
        <v>179</v>
      </c>
      <c r="C29" s="1409"/>
      <c r="D29" s="1409"/>
      <c r="E29" s="1409"/>
      <c r="F29" s="1409"/>
      <c r="G29" s="1360"/>
      <c r="H29" s="1361"/>
      <c r="I29" s="1361"/>
      <c r="J29" s="1361"/>
      <c r="K29" s="1362"/>
      <c r="L29" s="1360"/>
      <c r="M29" s="1361"/>
      <c r="N29" s="1361"/>
      <c r="O29" s="1361"/>
      <c r="P29" s="1362"/>
      <c r="Q29" s="1385"/>
      <c r="R29" s="1386"/>
      <c r="S29" s="1386"/>
      <c r="T29" s="1386"/>
      <c r="U29" s="1405"/>
      <c r="V29" s="1424" t="s">
        <v>242</v>
      </c>
      <c r="W29" s="1317"/>
      <c r="X29" s="1317"/>
      <c r="Y29" s="1317"/>
      <c r="Z29" s="1318"/>
      <c r="AA29" s="1360"/>
      <c r="AB29" s="1361"/>
      <c r="AC29" s="1361"/>
      <c r="AD29" s="1361"/>
      <c r="AE29" s="1362"/>
      <c r="AF29" s="1360"/>
      <c r="AG29" s="1361"/>
      <c r="AH29" s="1361"/>
      <c r="AI29" s="1361"/>
      <c r="AJ29" s="1362"/>
      <c r="AK29" s="1385"/>
      <c r="AL29" s="1386"/>
      <c r="AM29" s="1386"/>
      <c r="AN29" s="1386"/>
      <c r="AO29" s="1387"/>
      <c r="AP29" s="1357"/>
      <c r="AQ29" s="1357"/>
      <c r="AR29" s="1337" t="s">
        <v>377</v>
      </c>
      <c r="AS29" s="1338"/>
      <c r="AT29" s="1339"/>
      <c r="AU29" s="1382"/>
      <c r="AV29" s="1383"/>
      <c r="AW29" s="1383"/>
      <c r="AX29" s="1383"/>
      <c r="AY29" s="1384"/>
      <c r="AZ29" s="1382"/>
      <c r="BA29" s="1383"/>
      <c r="BB29" s="1383"/>
      <c r="BC29" s="1383"/>
      <c r="BD29" s="1384"/>
      <c r="BE29" s="1382"/>
      <c r="BF29" s="1383"/>
      <c r="BG29" s="1383"/>
      <c r="BH29" s="1383"/>
      <c r="BI29" s="1384"/>
      <c r="BJ29" s="1382"/>
      <c r="BK29" s="1383"/>
      <c r="BL29" s="1383"/>
      <c r="BM29" s="1383"/>
      <c r="BN29" s="1384"/>
      <c r="BO29" s="1382"/>
      <c r="BP29" s="1383"/>
      <c r="BQ29" s="1383"/>
      <c r="BR29" s="1383"/>
      <c r="BS29" s="1384"/>
      <c r="BT29" s="1382"/>
      <c r="BU29" s="1383"/>
      <c r="BV29" s="1383"/>
      <c r="BW29" s="1383"/>
      <c r="BX29" s="1384"/>
      <c r="BY29" s="1388"/>
      <c r="BZ29" s="1389"/>
      <c r="CA29" s="1389"/>
      <c r="CB29" s="1389"/>
      <c r="CC29" s="1390"/>
    </row>
    <row r="30" spans="1:95" ht="10.5" customHeight="1" x14ac:dyDescent="0.15">
      <c r="A30" s="31">
        <v>25</v>
      </c>
      <c r="B30" s="19"/>
      <c r="C30" s="51"/>
      <c r="D30" s="1337" t="s">
        <v>146</v>
      </c>
      <c r="E30" s="1338"/>
      <c r="F30" s="1339"/>
      <c r="G30" s="1382"/>
      <c r="H30" s="1383"/>
      <c r="I30" s="1383"/>
      <c r="J30" s="1383"/>
      <c r="K30" s="1384"/>
      <c r="L30" s="1382"/>
      <c r="M30" s="1383"/>
      <c r="N30" s="1383"/>
      <c r="O30" s="1383"/>
      <c r="P30" s="1384"/>
      <c r="Q30" s="1388"/>
      <c r="R30" s="1389"/>
      <c r="S30" s="1389"/>
      <c r="T30" s="1389"/>
      <c r="U30" s="1411"/>
      <c r="V30" s="75"/>
      <c r="W30" s="51"/>
      <c r="X30" s="1337" t="s">
        <v>146</v>
      </c>
      <c r="Y30" s="1338"/>
      <c r="Z30" s="1339"/>
      <c r="AA30" s="1382"/>
      <c r="AB30" s="1383"/>
      <c r="AC30" s="1383"/>
      <c r="AD30" s="1383"/>
      <c r="AE30" s="1384"/>
      <c r="AF30" s="1382"/>
      <c r="AG30" s="1383"/>
      <c r="AH30" s="1383"/>
      <c r="AI30" s="1383"/>
      <c r="AJ30" s="1384"/>
      <c r="AK30" s="1388"/>
      <c r="AL30" s="1389"/>
      <c r="AM30" s="1389"/>
      <c r="AN30" s="1389"/>
      <c r="AO30" s="1390"/>
      <c r="AP30" s="1357"/>
      <c r="AQ30" s="1357"/>
      <c r="AR30" s="1337" t="s">
        <v>378</v>
      </c>
      <c r="AS30" s="1338"/>
      <c r="AT30" s="1339"/>
      <c r="AU30" s="1382"/>
      <c r="AV30" s="1383"/>
      <c r="AW30" s="1383"/>
      <c r="AX30" s="1383"/>
      <c r="AY30" s="1384"/>
      <c r="AZ30" s="1382"/>
      <c r="BA30" s="1383"/>
      <c r="BB30" s="1383"/>
      <c r="BC30" s="1383"/>
      <c r="BD30" s="1384"/>
      <c r="BE30" s="1382"/>
      <c r="BF30" s="1383"/>
      <c r="BG30" s="1383"/>
      <c r="BH30" s="1383"/>
      <c r="BI30" s="1384"/>
      <c r="BJ30" s="1382"/>
      <c r="BK30" s="1383"/>
      <c r="BL30" s="1383"/>
      <c r="BM30" s="1383"/>
      <c r="BN30" s="1384"/>
      <c r="BO30" s="1382"/>
      <c r="BP30" s="1383"/>
      <c r="BQ30" s="1383"/>
      <c r="BR30" s="1383"/>
      <c r="BS30" s="1384"/>
      <c r="BT30" s="1382"/>
      <c r="BU30" s="1383"/>
      <c r="BV30" s="1383"/>
      <c r="BW30" s="1383"/>
      <c r="BX30" s="1384"/>
      <c r="BY30" s="1388"/>
      <c r="BZ30" s="1389"/>
      <c r="CA30" s="1389"/>
      <c r="CB30" s="1389"/>
      <c r="CC30" s="1390"/>
    </row>
    <row r="31" spans="1:95" ht="10.5" customHeight="1" thickBot="1" x14ac:dyDescent="0.2">
      <c r="A31" s="31">
        <v>26</v>
      </c>
      <c r="B31" s="19"/>
      <c r="C31" s="51"/>
      <c r="D31" s="1337" t="s">
        <v>383</v>
      </c>
      <c r="E31" s="1338"/>
      <c r="F31" s="1339"/>
      <c r="G31" s="1382"/>
      <c r="H31" s="1383"/>
      <c r="I31" s="1383"/>
      <c r="J31" s="1383"/>
      <c r="K31" s="1384"/>
      <c r="L31" s="1382"/>
      <c r="M31" s="1383"/>
      <c r="N31" s="1383"/>
      <c r="O31" s="1383"/>
      <c r="P31" s="1384"/>
      <c r="Q31" s="1388"/>
      <c r="R31" s="1389"/>
      <c r="S31" s="1389"/>
      <c r="T31" s="1389"/>
      <c r="U31" s="1411"/>
      <c r="V31" s="75"/>
      <c r="W31" s="51"/>
      <c r="X31" s="1337" t="s">
        <v>383</v>
      </c>
      <c r="Y31" s="1338"/>
      <c r="Z31" s="1339"/>
      <c r="AA31" s="1382"/>
      <c r="AB31" s="1383"/>
      <c r="AC31" s="1383"/>
      <c r="AD31" s="1383"/>
      <c r="AE31" s="1384"/>
      <c r="AF31" s="1382"/>
      <c r="AG31" s="1383"/>
      <c r="AH31" s="1383"/>
      <c r="AI31" s="1383"/>
      <c r="AJ31" s="1384"/>
      <c r="AK31" s="1388"/>
      <c r="AL31" s="1389"/>
      <c r="AM31" s="1389"/>
      <c r="AN31" s="1389"/>
      <c r="AO31" s="1390"/>
      <c r="AP31" s="1533"/>
      <c r="AQ31" s="1533"/>
      <c r="AR31" s="1366" t="s">
        <v>147</v>
      </c>
      <c r="AS31" s="1367"/>
      <c r="AT31" s="1368"/>
      <c r="AU31" s="1412"/>
      <c r="AV31" s="1413"/>
      <c r="AW31" s="1413"/>
      <c r="AX31" s="1413"/>
      <c r="AY31" s="1414"/>
      <c r="AZ31" s="1412"/>
      <c r="BA31" s="1413"/>
      <c r="BB31" s="1413"/>
      <c r="BC31" s="1413"/>
      <c r="BD31" s="1414"/>
      <c r="BE31" s="1412"/>
      <c r="BF31" s="1413"/>
      <c r="BG31" s="1413"/>
      <c r="BH31" s="1413"/>
      <c r="BI31" s="1414"/>
      <c r="BJ31" s="1415"/>
      <c r="BK31" s="1416"/>
      <c r="BL31" s="1416"/>
      <c r="BM31" s="1416"/>
      <c r="BN31" s="1417"/>
      <c r="BO31" s="1415"/>
      <c r="BP31" s="1416"/>
      <c r="BQ31" s="1416"/>
      <c r="BR31" s="1416"/>
      <c r="BS31" s="1417"/>
      <c r="BT31" s="1415"/>
      <c r="BU31" s="1416"/>
      <c r="BV31" s="1416"/>
      <c r="BW31" s="1416"/>
      <c r="BX31" s="1417"/>
      <c r="BY31" s="1415"/>
      <c r="BZ31" s="1416"/>
      <c r="CA31" s="1416"/>
      <c r="CB31" s="1416"/>
      <c r="CC31" s="1487"/>
    </row>
    <row r="32" spans="1:95" ht="10.5" customHeight="1" x14ac:dyDescent="0.15">
      <c r="A32" s="31">
        <v>27</v>
      </c>
      <c r="B32" s="19"/>
      <c r="C32" s="51"/>
      <c r="D32" s="1337" t="s">
        <v>384</v>
      </c>
      <c r="E32" s="1338"/>
      <c r="F32" s="1339"/>
      <c r="G32" s="1382"/>
      <c r="H32" s="1383"/>
      <c r="I32" s="1383"/>
      <c r="J32" s="1383"/>
      <c r="K32" s="1384"/>
      <c r="L32" s="1382"/>
      <c r="M32" s="1383"/>
      <c r="N32" s="1383"/>
      <c r="O32" s="1383"/>
      <c r="P32" s="1384"/>
      <c r="Q32" s="1388"/>
      <c r="R32" s="1389"/>
      <c r="S32" s="1389"/>
      <c r="T32" s="1389"/>
      <c r="U32" s="1411"/>
      <c r="V32" s="75"/>
      <c r="W32" s="51"/>
      <c r="X32" s="1337" t="s">
        <v>384</v>
      </c>
      <c r="Y32" s="1338"/>
      <c r="Z32" s="1339"/>
      <c r="AA32" s="1382"/>
      <c r="AB32" s="1383"/>
      <c r="AC32" s="1383"/>
      <c r="AD32" s="1383"/>
      <c r="AE32" s="1384"/>
      <c r="AF32" s="1382"/>
      <c r="AG32" s="1383"/>
      <c r="AH32" s="1383"/>
      <c r="AI32" s="1383"/>
      <c r="AJ32" s="1384"/>
      <c r="AK32" s="1388"/>
      <c r="AL32" s="1389"/>
      <c r="AM32" s="1389"/>
      <c r="AN32" s="1389"/>
      <c r="AO32" s="1390"/>
      <c r="AP32" s="50" t="s">
        <v>513</v>
      </c>
      <c r="AQ32" s="26"/>
      <c r="AR32" s="37"/>
      <c r="AS32" s="37"/>
      <c r="AT32" s="37"/>
      <c r="AU32" s="37"/>
      <c r="AV32" s="37"/>
      <c r="AW32" s="37"/>
      <c r="AX32" s="37"/>
      <c r="AY32" s="77"/>
      <c r="AZ32" s="1302" t="s">
        <v>473</v>
      </c>
      <c r="BA32" s="1303"/>
      <c r="BB32" s="1303"/>
      <c r="BC32" s="1303"/>
      <c r="BD32" s="1303"/>
      <c r="BE32" s="1303"/>
      <c r="BF32" s="1303"/>
      <c r="BG32" s="1303"/>
      <c r="BH32" s="1303"/>
      <c r="BI32" s="1303"/>
      <c r="BJ32" s="1303"/>
      <c r="BK32" s="1303"/>
      <c r="BL32" s="1303"/>
      <c r="BM32" s="1303"/>
      <c r="BN32" s="1304"/>
      <c r="BO32" s="1511" t="s">
        <v>128</v>
      </c>
      <c r="BP32" s="1512"/>
      <c r="BQ32" s="1512"/>
      <c r="BR32" s="1512"/>
      <c r="BS32" s="1512"/>
      <c r="BT32" s="1512"/>
      <c r="BU32" s="1512"/>
      <c r="BV32" s="1512"/>
      <c r="BW32" s="1512"/>
      <c r="BX32" s="1512"/>
      <c r="BY32" s="1512"/>
      <c r="BZ32" s="1512"/>
      <c r="CA32" s="1512"/>
      <c r="CB32" s="1512"/>
      <c r="CC32" s="1513"/>
    </row>
    <row r="33" spans="1:121" ht="10.5" customHeight="1" x14ac:dyDescent="0.15">
      <c r="A33" s="31">
        <v>28</v>
      </c>
      <c r="B33" s="19"/>
      <c r="C33" s="51"/>
      <c r="D33" s="1337" t="s">
        <v>386</v>
      </c>
      <c r="E33" s="1338"/>
      <c r="F33" s="1339"/>
      <c r="G33" s="1382"/>
      <c r="H33" s="1383"/>
      <c r="I33" s="1383"/>
      <c r="J33" s="1383"/>
      <c r="K33" s="1384"/>
      <c r="L33" s="1382"/>
      <c r="M33" s="1383"/>
      <c r="N33" s="1383"/>
      <c r="O33" s="1383"/>
      <c r="P33" s="1384"/>
      <c r="Q33" s="1388"/>
      <c r="R33" s="1389"/>
      <c r="S33" s="1389"/>
      <c r="T33" s="1389"/>
      <c r="U33" s="1411"/>
      <c r="V33" s="75"/>
      <c r="W33" s="51"/>
      <c r="X33" s="1337" t="s">
        <v>386</v>
      </c>
      <c r="Y33" s="1338"/>
      <c r="Z33" s="1339"/>
      <c r="AA33" s="1382"/>
      <c r="AB33" s="1383"/>
      <c r="AC33" s="1383"/>
      <c r="AD33" s="1383"/>
      <c r="AE33" s="1384"/>
      <c r="AF33" s="1382"/>
      <c r="AG33" s="1383"/>
      <c r="AH33" s="1383"/>
      <c r="AI33" s="1383"/>
      <c r="AJ33" s="1384"/>
      <c r="AK33" s="1388"/>
      <c r="AL33" s="1389"/>
      <c r="AM33" s="1389"/>
      <c r="AN33" s="1389"/>
      <c r="AO33" s="1390"/>
      <c r="AP33" s="1315" t="s">
        <v>41</v>
      </c>
      <c r="AQ33" s="1294"/>
      <c r="AR33" s="1294"/>
      <c r="AS33" s="1294"/>
      <c r="AT33" s="1295"/>
      <c r="AU33" s="1293" t="s">
        <v>514</v>
      </c>
      <c r="AV33" s="1294"/>
      <c r="AW33" s="1294"/>
      <c r="AX33" s="1294"/>
      <c r="AY33" s="1314"/>
      <c r="AZ33" s="1225" t="s">
        <v>41</v>
      </c>
      <c r="BA33" s="1188"/>
      <c r="BB33" s="1188"/>
      <c r="BC33" s="1188"/>
      <c r="BD33" s="1226"/>
      <c r="BE33" s="1333" t="s">
        <v>629</v>
      </c>
      <c r="BF33" s="1334"/>
      <c r="BG33" s="1334"/>
      <c r="BH33" s="1334"/>
      <c r="BI33" s="1335"/>
      <c r="BJ33" s="1333" t="s">
        <v>33</v>
      </c>
      <c r="BK33" s="1334"/>
      <c r="BL33" s="1334"/>
      <c r="BM33" s="1334"/>
      <c r="BN33" s="1443"/>
      <c r="BO33" s="1315" t="s">
        <v>41</v>
      </c>
      <c r="BP33" s="1294"/>
      <c r="BQ33" s="1294"/>
      <c r="BR33" s="1294"/>
      <c r="BS33" s="1295"/>
      <c r="BT33" s="1514" t="s">
        <v>629</v>
      </c>
      <c r="BU33" s="1515"/>
      <c r="BV33" s="1515"/>
      <c r="BW33" s="1515"/>
      <c r="BX33" s="1517"/>
      <c r="BY33" s="1514" t="s">
        <v>33</v>
      </c>
      <c r="BZ33" s="1515"/>
      <c r="CA33" s="1515"/>
      <c r="CB33" s="1515"/>
      <c r="CC33" s="1516"/>
    </row>
    <row r="34" spans="1:121" ht="10.5" customHeight="1" x14ac:dyDescent="0.15">
      <c r="A34" s="31">
        <v>29</v>
      </c>
      <c r="B34" s="19"/>
      <c r="C34" s="51"/>
      <c r="D34" s="1337" t="s">
        <v>387</v>
      </c>
      <c r="E34" s="1338"/>
      <c r="F34" s="1339"/>
      <c r="G34" s="1382"/>
      <c r="H34" s="1383"/>
      <c r="I34" s="1383"/>
      <c r="J34" s="1383"/>
      <c r="K34" s="1384"/>
      <c r="L34" s="1382"/>
      <c r="M34" s="1383"/>
      <c r="N34" s="1383"/>
      <c r="O34" s="1383"/>
      <c r="P34" s="1384"/>
      <c r="Q34" s="1388"/>
      <c r="R34" s="1389"/>
      <c r="S34" s="1389"/>
      <c r="T34" s="1389"/>
      <c r="U34" s="1411"/>
      <c r="V34" s="75"/>
      <c r="W34" s="51"/>
      <c r="X34" s="1337" t="s">
        <v>387</v>
      </c>
      <c r="Y34" s="1338"/>
      <c r="Z34" s="1339"/>
      <c r="AA34" s="1382"/>
      <c r="AB34" s="1383"/>
      <c r="AC34" s="1383"/>
      <c r="AD34" s="1383"/>
      <c r="AE34" s="1384"/>
      <c r="AF34" s="1382"/>
      <c r="AG34" s="1383"/>
      <c r="AH34" s="1383"/>
      <c r="AI34" s="1383"/>
      <c r="AJ34" s="1384"/>
      <c r="AK34" s="1388"/>
      <c r="AL34" s="1389"/>
      <c r="AM34" s="1389"/>
      <c r="AN34" s="1389"/>
      <c r="AO34" s="1390"/>
      <c r="AP34" s="1316" t="s">
        <v>401</v>
      </c>
      <c r="AQ34" s="1317"/>
      <c r="AR34" s="1317"/>
      <c r="AS34" s="1317"/>
      <c r="AT34" s="1318"/>
      <c r="AU34" s="1360"/>
      <c r="AV34" s="1361"/>
      <c r="AW34" s="1361"/>
      <c r="AX34" s="1361"/>
      <c r="AY34" s="1542"/>
      <c r="AZ34" s="1330" t="s">
        <v>563</v>
      </c>
      <c r="BA34" s="1331"/>
      <c r="BB34" s="1331"/>
      <c r="BC34" s="1331"/>
      <c r="BD34" s="1332"/>
      <c r="BE34" s="470"/>
      <c r="BF34" s="471"/>
      <c r="BG34" s="471"/>
      <c r="BH34" s="471"/>
      <c r="BI34" s="789"/>
      <c r="BJ34" s="470"/>
      <c r="BK34" s="471"/>
      <c r="BL34" s="471"/>
      <c r="BM34" s="471"/>
      <c r="BN34" s="472"/>
      <c r="BO34" s="1316" t="s">
        <v>381</v>
      </c>
      <c r="BP34" s="1317"/>
      <c r="BQ34" s="1317"/>
      <c r="BR34" s="1317"/>
      <c r="BS34" s="1318"/>
      <c r="BT34" s="1385"/>
      <c r="BU34" s="1386"/>
      <c r="BV34" s="1386"/>
      <c r="BW34" s="1386"/>
      <c r="BX34" s="1405"/>
      <c r="BY34" s="1385"/>
      <c r="BZ34" s="1386"/>
      <c r="CA34" s="1386"/>
      <c r="CB34" s="1386"/>
      <c r="CC34" s="1387"/>
    </row>
    <row r="35" spans="1:121" ht="10.5" customHeight="1" x14ac:dyDescent="0.15">
      <c r="A35" s="31">
        <v>30</v>
      </c>
      <c r="B35" s="19"/>
      <c r="C35" s="51"/>
      <c r="D35" s="1337" t="s">
        <v>388</v>
      </c>
      <c r="E35" s="1338"/>
      <c r="F35" s="1339"/>
      <c r="G35" s="1382"/>
      <c r="H35" s="1383"/>
      <c r="I35" s="1383"/>
      <c r="J35" s="1383"/>
      <c r="K35" s="1384"/>
      <c r="L35" s="1382"/>
      <c r="M35" s="1383"/>
      <c r="N35" s="1383"/>
      <c r="O35" s="1383"/>
      <c r="P35" s="1384"/>
      <c r="Q35" s="1388"/>
      <c r="R35" s="1389"/>
      <c r="S35" s="1389"/>
      <c r="T35" s="1389"/>
      <c r="U35" s="1411"/>
      <c r="V35" s="75"/>
      <c r="W35" s="51"/>
      <c r="X35" s="1337" t="s">
        <v>396</v>
      </c>
      <c r="Y35" s="1338"/>
      <c r="Z35" s="1339"/>
      <c r="AA35" s="1382"/>
      <c r="AB35" s="1383"/>
      <c r="AC35" s="1383"/>
      <c r="AD35" s="1383"/>
      <c r="AE35" s="1384"/>
      <c r="AF35" s="1382"/>
      <c r="AG35" s="1383"/>
      <c r="AH35" s="1383"/>
      <c r="AI35" s="1383"/>
      <c r="AJ35" s="1384"/>
      <c r="AK35" s="1388"/>
      <c r="AL35" s="1389"/>
      <c r="AM35" s="1389"/>
      <c r="AN35" s="1389"/>
      <c r="AO35" s="1390"/>
      <c r="AP35" s="48"/>
      <c r="AQ35" s="1311" t="s">
        <v>403</v>
      </c>
      <c r="AR35" s="1312"/>
      <c r="AS35" s="1312"/>
      <c r="AT35" s="1313"/>
      <c r="AU35" s="1418"/>
      <c r="AV35" s="1419"/>
      <c r="AW35" s="1419"/>
      <c r="AX35" s="1419"/>
      <c r="AY35" s="1543"/>
      <c r="AZ35" s="121"/>
      <c r="BA35" s="1329" t="s">
        <v>379</v>
      </c>
      <c r="BB35" s="1306"/>
      <c r="BC35" s="1306"/>
      <c r="BD35" s="1307"/>
      <c r="BE35" s="492"/>
      <c r="BF35" s="493"/>
      <c r="BG35" s="493"/>
      <c r="BH35" s="493"/>
      <c r="BI35" s="1336"/>
      <c r="BJ35" s="492"/>
      <c r="BK35" s="493"/>
      <c r="BL35" s="493"/>
      <c r="BM35" s="493"/>
      <c r="BN35" s="494"/>
      <c r="BO35" s="59"/>
      <c r="BP35" s="1524" t="s">
        <v>382</v>
      </c>
      <c r="BQ35" s="1525"/>
      <c r="BR35" s="1525"/>
      <c r="BS35" s="1526"/>
      <c r="BT35" s="1241"/>
      <c r="BU35" s="1242"/>
      <c r="BV35" s="1242"/>
      <c r="BW35" s="1242"/>
      <c r="BX35" s="1243"/>
      <c r="BY35" s="1388"/>
      <c r="BZ35" s="1389"/>
      <c r="CA35" s="1389"/>
      <c r="CB35" s="1389"/>
      <c r="CC35" s="1390"/>
    </row>
    <row r="36" spans="1:121" ht="10.5" customHeight="1" thickBot="1" x14ac:dyDescent="0.2">
      <c r="A36" s="31">
        <v>31</v>
      </c>
      <c r="B36" s="69"/>
      <c r="C36" s="70"/>
      <c r="D36" s="1366" t="s">
        <v>147</v>
      </c>
      <c r="E36" s="1367"/>
      <c r="F36" s="1368"/>
      <c r="G36" s="1412"/>
      <c r="H36" s="1413"/>
      <c r="I36" s="1413"/>
      <c r="J36" s="1413"/>
      <c r="K36" s="1414"/>
      <c r="L36" s="1412"/>
      <c r="M36" s="1413"/>
      <c r="N36" s="1413"/>
      <c r="O36" s="1413"/>
      <c r="P36" s="1414"/>
      <c r="Q36" s="1415"/>
      <c r="R36" s="1416"/>
      <c r="S36" s="1416"/>
      <c r="T36" s="1416"/>
      <c r="U36" s="1417"/>
      <c r="V36" s="76"/>
      <c r="W36" s="70"/>
      <c r="X36" s="1366" t="s">
        <v>147</v>
      </c>
      <c r="Y36" s="1367"/>
      <c r="Z36" s="1368"/>
      <c r="AA36" s="1412"/>
      <c r="AB36" s="1413"/>
      <c r="AC36" s="1413"/>
      <c r="AD36" s="1413"/>
      <c r="AE36" s="1414"/>
      <c r="AF36" s="1412"/>
      <c r="AG36" s="1413"/>
      <c r="AH36" s="1413"/>
      <c r="AI36" s="1413"/>
      <c r="AJ36" s="1414"/>
      <c r="AK36" s="1415"/>
      <c r="AL36" s="1416"/>
      <c r="AM36" s="1416"/>
      <c r="AN36" s="1416"/>
      <c r="AO36" s="1487"/>
      <c r="AP36" s="48"/>
      <c r="AQ36" s="1319" t="s">
        <v>61</v>
      </c>
      <c r="AR36" s="1320"/>
      <c r="AS36" s="1320"/>
      <c r="AT36" s="1321"/>
      <c r="AU36" s="1537"/>
      <c r="AV36" s="1538"/>
      <c r="AW36" s="1538"/>
      <c r="AX36" s="1538"/>
      <c r="AY36" s="1544"/>
      <c r="AZ36" s="122"/>
      <c r="BA36" s="1553" t="s">
        <v>509</v>
      </c>
      <c r="BB36" s="1554"/>
      <c r="BC36" s="1455" t="s">
        <v>447</v>
      </c>
      <c r="BD36" s="1457"/>
      <c r="BE36" s="529"/>
      <c r="BF36" s="530"/>
      <c r="BG36" s="530"/>
      <c r="BH36" s="530"/>
      <c r="BI36" s="735"/>
      <c r="BJ36" s="492"/>
      <c r="BK36" s="493"/>
      <c r="BL36" s="493"/>
      <c r="BM36" s="493"/>
      <c r="BN36" s="494"/>
      <c r="BO36" s="60"/>
      <c r="BP36" s="1521" t="s">
        <v>22</v>
      </c>
      <c r="BQ36" s="1522"/>
      <c r="BR36" s="1522"/>
      <c r="BS36" s="1523"/>
      <c r="BT36" s="1505"/>
      <c r="BU36" s="1506"/>
      <c r="BV36" s="1506"/>
      <c r="BW36" s="1506"/>
      <c r="BX36" s="1507"/>
      <c r="BY36" s="1402"/>
      <c r="BZ36" s="1403"/>
      <c r="CA36" s="1403"/>
      <c r="CB36" s="1403"/>
      <c r="CC36" s="1404"/>
    </row>
    <row r="37" spans="1:121" ht="10.5" customHeight="1" x14ac:dyDescent="0.15">
      <c r="A37" s="31">
        <v>32</v>
      </c>
      <c r="B37" s="22" t="s">
        <v>482</v>
      </c>
      <c r="C37" s="20"/>
      <c r="D37" s="20"/>
      <c r="E37" s="20"/>
      <c r="F37" s="20"/>
      <c r="G37" s="20"/>
      <c r="H37" s="20"/>
      <c r="I37" s="20"/>
      <c r="J37" s="20"/>
      <c r="K37" s="20"/>
      <c r="L37" s="41"/>
      <c r="M37" s="41"/>
      <c r="N37" s="41"/>
      <c r="O37" s="41"/>
      <c r="P37" s="41"/>
      <c r="Q37" s="42"/>
      <c r="R37" s="42"/>
      <c r="S37" s="42"/>
      <c r="T37" s="42"/>
      <c r="U37" s="42"/>
      <c r="V37" s="32"/>
      <c r="W37" s="316"/>
      <c r="X37" s="316"/>
      <c r="Y37" s="316"/>
      <c r="Z37" s="316"/>
      <c r="AA37" s="63"/>
      <c r="AB37" s="63"/>
      <c r="AC37" s="63"/>
      <c r="AD37" s="63"/>
      <c r="AE37" s="63"/>
      <c r="AF37" s="20"/>
      <c r="AG37" s="20"/>
      <c r="AH37" s="20"/>
      <c r="AI37" s="20"/>
      <c r="AJ37" s="23"/>
      <c r="AK37" s="29"/>
      <c r="AL37" s="30"/>
      <c r="AM37" s="30"/>
      <c r="AN37" s="30"/>
      <c r="AO37" s="30"/>
      <c r="AP37" s="86"/>
      <c r="AQ37" s="86"/>
      <c r="AR37" s="86"/>
      <c r="AS37" s="86"/>
      <c r="AT37" s="86"/>
      <c r="AU37" s="86"/>
      <c r="AV37" s="86"/>
      <c r="AW37" s="86"/>
      <c r="AX37" s="86"/>
      <c r="AY37" s="87"/>
      <c r="AZ37" s="122"/>
      <c r="BA37" s="1555"/>
      <c r="BB37" s="1556"/>
      <c r="BC37" s="1455" t="s">
        <v>448</v>
      </c>
      <c r="BD37" s="1457"/>
      <c r="BE37" s="529"/>
      <c r="BF37" s="530"/>
      <c r="BG37" s="530"/>
      <c r="BH37" s="530"/>
      <c r="BI37" s="735"/>
      <c r="BJ37" s="492"/>
      <c r="BK37" s="493"/>
      <c r="BL37" s="493"/>
      <c r="BM37" s="493"/>
      <c r="BN37" s="494"/>
      <c r="BO37" s="1518" t="s">
        <v>385</v>
      </c>
      <c r="BP37" s="1519"/>
      <c r="BQ37" s="1519"/>
      <c r="BR37" s="1519"/>
      <c r="BS37" s="1520"/>
      <c r="BT37" s="1385"/>
      <c r="BU37" s="1386"/>
      <c r="BV37" s="1386"/>
      <c r="BW37" s="1386"/>
      <c r="BX37" s="1405"/>
      <c r="BY37" s="1385"/>
      <c r="BZ37" s="1386"/>
      <c r="CA37" s="1386"/>
      <c r="CB37" s="1386"/>
      <c r="CC37" s="1387"/>
    </row>
    <row r="38" spans="1:121" ht="10.5" customHeight="1" thickBot="1" x14ac:dyDescent="0.2">
      <c r="A38" s="31">
        <v>33</v>
      </c>
      <c r="B38" s="1432" t="s">
        <v>59</v>
      </c>
      <c r="C38" s="1431"/>
      <c r="D38" s="1431"/>
      <c r="E38" s="1431"/>
      <c r="F38" s="1431"/>
      <c r="G38" s="1430" t="s">
        <v>424</v>
      </c>
      <c r="H38" s="1431"/>
      <c r="I38" s="1431"/>
      <c r="J38" s="1431"/>
      <c r="K38" s="1431"/>
      <c r="L38" s="1430" t="s">
        <v>425</v>
      </c>
      <c r="M38" s="1431"/>
      <c r="N38" s="1431"/>
      <c r="O38" s="1431"/>
      <c r="P38" s="1431"/>
      <c r="Q38" s="1430" t="s">
        <v>426</v>
      </c>
      <c r="R38" s="1431"/>
      <c r="S38" s="1431"/>
      <c r="T38" s="1431"/>
      <c r="U38" s="1431"/>
      <c r="V38" s="1527" t="s">
        <v>507</v>
      </c>
      <c r="W38" s="1528"/>
      <c r="X38" s="1528"/>
      <c r="Y38" s="1528"/>
      <c r="Z38" s="1299"/>
      <c r="AA38" s="38"/>
      <c r="AB38" s="38"/>
      <c r="AC38" s="38"/>
      <c r="AD38" s="38"/>
      <c r="AE38" s="57"/>
      <c r="AF38" s="1529" t="s">
        <v>508</v>
      </c>
      <c r="AG38" s="1530"/>
      <c r="AH38" s="1530"/>
      <c r="AI38" s="1530"/>
      <c r="AJ38" s="1531"/>
      <c r="AK38" s="88"/>
      <c r="AL38" s="36"/>
      <c r="AM38" s="36"/>
      <c r="AN38" s="36"/>
      <c r="AO38" s="36"/>
      <c r="AP38" s="89"/>
      <c r="AQ38" s="89"/>
      <c r="AR38" s="89"/>
      <c r="AS38" s="89"/>
      <c r="AT38" s="89"/>
      <c r="AU38" s="90"/>
      <c r="AV38" s="90"/>
      <c r="AW38" s="90"/>
      <c r="AX38" s="90"/>
      <c r="AY38" s="91"/>
      <c r="AZ38" s="121"/>
      <c r="BA38" s="1484" t="s">
        <v>380</v>
      </c>
      <c r="BB38" s="1456"/>
      <c r="BC38" s="1456"/>
      <c r="BD38" s="1457"/>
      <c r="BE38" s="492"/>
      <c r="BF38" s="493"/>
      <c r="BG38" s="493"/>
      <c r="BH38" s="493"/>
      <c r="BI38" s="1336"/>
      <c r="BJ38" s="492"/>
      <c r="BK38" s="493"/>
      <c r="BL38" s="493"/>
      <c r="BM38" s="493"/>
      <c r="BN38" s="494"/>
      <c r="BO38" s="59"/>
      <c r="BP38" s="1451" t="s">
        <v>382</v>
      </c>
      <c r="BQ38" s="1452"/>
      <c r="BR38" s="1452"/>
      <c r="BS38" s="1453"/>
      <c r="BT38" s="1241"/>
      <c r="BU38" s="1242"/>
      <c r="BV38" s="1242"/>
      <c r="BW38" s="1242"/>
      <c r="BX38" s="1243"/>
      <c r="BY38" s="1388"/>
      <c r="BZ38" s="1389"/>
      <c r="CA38" s="1389"/>
      <c r="CB38" s="1389"/>
      <c r="CC38" s="1390"/>
    </row>
    <row r="39" spans="1:121" ht="10.5" customHeight="1" x14ac:dyDescent="0.15">
      <c r="A39" s="31">
        <v>34</v>
      </c>
      <c r="B39" s="1432"/>
      <c r="C39" s="1431"/>
      <c r="D39" s="1431"/>
      <c r="E39" s="1431"/>
      <c r="F39" s="1431"/>
      <c r="G39" s="1431"/>
      <c r="H39" s="1431"/>
      <c r="I39" s="1431"/>
      <c r="J39" s="1431"/>
      <c r="K39" s="1431"/>
      <c r="L39" s="1431"/>
      <c r="M39" s="1431"/>
      <c r="N39" s="1431"/>
      <c r="O39" s="1431"/>
      <c r="P39" s="1431"/>
      <c r="Q39" s="1431"/>
      <c r="R39" s="1431"/>
      <c r="S39" s="1431"/>
      <c r="T39" s="1431"/>
      <c r="U39" s="1431"/>
      <c r="V39" s="1528"/>
      <c r="W39" s="1528"/>
      <c r="X39" s="1528"/>
      <c r="Y39" s="1528"/>
      <c r="Z39" s="1528"/>
      <c r="AA39" s="1532" t="s">
        <v>510</v>
      </c>
      <c r="AB39" s="1532"/>
      <c r="AC39" s="1532"/>
      <c r="AD39" s="1532"/>
      <c r="AE39" s="1532"/>
      <c r="AF39" s="1530"/>
      <c r="AG39" s="1530"/>
      <c r="AH39" s="1530"/>
      <c r="AI39" s="1530"/>
      <c r="AJ39" s="1531"/>
      <c r="AK39" s="85" t="s">
        <v>488</v>
      </c>
      <c r="AL39" s="82"/>
      <c r="AM39" s="82"/>
      <c r="AN39" s="82"/>
      <c r="AO39" s="82"/>
      <c r="AP39" s="82"/>
      <c r="AQ39" s="82"/>
      <c r="AR39" s="82"/>
      <c r="AS39" s="82"/>
      <c r="AT39" s="82"/>
      <c r="AU39" s="83"/>
      <c r="AV39" s="83"/>
      <c r="AW39" s="83"/>
      <c r="AX39" s="83"/>
      <c r="AY39" s="84"/>
      <c r="AZ39" s="123"/>
      <c r="BA39" s="124"/>
      <c r="BB39" s="1308" t="s">
        <v>209</v>
      </c>
      <c r="BC39" s="1309"/>
      <c r="BD39" s="1310"/>
      <c r="BE39" s="520"/>
      <c r="BF39" s="521"/>
      <c r="BG39" s="521"/>
      <c r="BH39" s="521"/>
      <c r="BI39" s="1552"/>
      <c r="BJ39" s="520"/>
      <c r="BK39" s="521"/>
      <c r="BL39" s="521"/>
      <c r="BM39" s="521"/>
      <c r="BN39" s="522"/>
      <c r="BO39" s="60"/>
      <c r="BP39" s="1460" t="s">
        <v>22</v>
      </c>
      <c r="BQ39" s="1461"/>
      <c r="BR39" s="1461"/>
      <c r="BS39" s="1462"/>
      <c r="BT39" s="1505"/>
      <c r="BU39" s="1506"/>
      <c r="BV39" s="1506"/>
      <c r="BW39" s="1506"/>
      <c r="BX39" s="1507"/>
      <c r="BY39" s="1402"/>
      <c r="BZ39" s="1403"/>
      <c r="CA39" s="1403"/>
      <c r="CB39" s="1403"/>
      <c r="CC39" s="1404"/>
    </row>
    <row r="40" spans="1:121" ht="10.5" customHeight="1" x14ac:dyDescent="0.15">
      <c r="A40" s="31">
        <v>35</v>
      </c>
      <c r="B40" s="1316" t="s">
        <v>62</v>
      </c>
      <c r="C40" s="1317"/>
      <c r="D40" s="1317"/>
      <c r="E40" s="1317"/>
      <c r="F40" s="1318"/>
      <c r="G40" s="1433"/>
      <c r="H40" s="1434"/>
      <c r="I40" s="1434"/>
      <c r="J40" s="1434"/>
      <c r="K40" s="1435"/>
      <c r="L40" s="1433"/>
      <c r="M40" s="1434"/>
      <c r="N40" s="1434"/>
      <c r="O40" s="1434"/>
      <c r="P40" s="1435"/>
      <c r="Q40" s="1433"/>
      <c r="R40" s="1434"/>
      <c r="S40" s="1434"/>
      <c r="T40" s="1434"/>
      <c r="U40" s="1435"/>
      <c r="V40" s="1433"/>
      <c r="W40" s="1434"/>
      <c r="X40" s="1434"/>
      <c r="Y40" s="1434"/>
      <c r="Z40" s="1435"/>
      <c r="AA40" s="1433"/>
      <c r="AB40" s="1434"/>
      <c r="AC40" s="1434"/>
      <c r="AD40" s="1434"/>
      <c r="AE40" s="1435"/>
      <c r="AF40" s="1499"/>
      <c r="AG40" s="1500"/>
      <c r="AH40" s="1500"/>
      <c r="AI40" s="1500"/>
      <c r="AJ40" s="1535"/>
      <c r="AK40" s="1534" t="s">
        <v>277</v>
      </c>
      <c r="AL40" s="1294"/>
      <c r="AM40" s="1294"/>
      <c r="AN40" s="1294"/>
      <c r="AO40" s="1294"/>
      <c r="AP40" s="1294"/>
      <c r="AQ40" s="1294"/>
      <c r="AR40" s="1294"/>
      <c r="AS40" s="1294"/>
      <c r="AT40" s="1294"/>
      <c r="AU40" s="1294"/>
      <c r="AV40" s="1294"/>
      <c r="AW40" s="1294"/>
      <c r="AX40" s="1294"/>
      <c r="AY40" s="1314"/>
      <c r="AZ40" s="1330" t="s">
        <v>564</v>
      </c>
      <c r="BA40" s="1331"/>
      <c r="BB40" s="1331"/>
      <c r="BC40" s="1331"/>
      <c r="BD40" s="1332"/>
      <c r="BE40" s="470"/>
      <c r="BF40" s="471"/>
      <c r="BG40" s="471"/>
      <c r="BH40" s="471"/>
      <c r="BI40" s="789"/>
      <c r="BJ40" s="470"/>
      <c r="BK40" s="471"/>
      <c r="BL40" s="471"/>
      <c r="BM40" s="471"/>
      <c r="BN40" s="472"/>
      <c r="BO40" s="1488" t="s">
        <v>389</v>
      </c>
      <c r="BP40" s="1475"/>
      <c r="BQ40" s="1475"/>
      <c r="BR40" s="1475"/>
      <c r="BS40" s="1489"/>
      <c r="BT40" s="1385"/>
      <c r="BU40" s="1386"/>
      <c r="BV40" s="1386"/>
      <c r="BW40" s="1386"/>
      <c r="BX40" s="1405"/>
      <c r="BY40" s="1385"/>
      <c r="BZ40" s="1386"/>
      <c r="CA40" s="1386"/>
      <c r="CB40" s="1386"/>
      <c r="CC40" s="1387"/>
    </row>
    <row r="41" spans="1:121" ht="10.5" customHeight="1" x14ac:dyDescent="0.15">
      <c r="A41" s="31">
        <v>36</v>
      </c>
      <c r="B41" s="1410" t="s">
        <v>409</v>
      </c>
      <c r="C41" s="1338"/>
      <c r="D41" s="1338"/>
      <c r="E41" s="1338"/>
      <c r="F41" s="1339"/>
      <c r="G41" s="1418"/>
      <c r="H41" s="1419"/>
      <c r="I41" s="1419"/>
      <c r="J41" s="1419"/>
      <c r="K41" s="1420"/>
      <c r="L41" s="1418"/>
      <c r="M41" s="1419"/>
      <c r="N41" s="1419"/>
      <c r="O41" s="1419"/>
      <c r="P41" s="1420"/>
      <c r="Q41" s="1418"/>
      <c r="R41" s="1419"/>
      <c r="S41" s="1419"/>
      <c r="T41" s="1419"/>
      <c r="U41" s="1420"/>
      <c r="V41" s="1418"/>
      <c r="W41" s="1419"/>
      <c r="X41" s="1419"/>
      <c r="Y41" s="1419"/>
      <c r="Z41" s="1420"/>
      <c r="AA41" s="1418"/>
      <c r="AB41" s="1419"/>
      <c r="AC41" s="1419"/>
      <c r="AD41" s="1419"/>
      <c r="AE41" s="1420"/>
      <c r="AF41" s="1241"/>
      <c r="AG41" s="1242"/>
      <c r="AH41" s="1242"/>
      <c r="AI41" s="1242"/>
      <c r="AJ41" s="1536"/>
      <c r="AK41" s="1465" t="s">
        <v>162</v>
      </c>
      <c r="AL41" s="1466"/>
      <c r="AM41" s="1466"/>
      <c r="AN41" s="1467"/>
      <c r="AO41" s="1324" t="s">
        <v>29</v>
      </c>
      <c r="AP41" s="1325"/>
      <c r="AQ41" s="1325"/>
      <c r="AR41" s="1326"/>
      <c r="AS41" s="1327" t="s">
        <v>219</v>
      </c>
      <c r="AT41" s="1328"/>
      <c r="AU41" s="1385"/>
      <c r="AV41" s="1386"/>
      <c r="AW41" s="1386"/>
      <c r="AX41" s="1386"/>
      <c r="AY41" s="1387"/>
      <c r="AZ41" s="125"/>
      <c r="BA41" s="1026" t="s">
        <v>23</v>
      </c>
      <c r="BB41" s="1027"/>
      <c r="BC41" s="1027"/>
      <c r="BD41" s="1454"/>
      <c r="BE41" s="492"/>
      <c r="BF41" s="493"/>
      <c r="BG41" s="493"/>
      <c r="BH41" s="493"/>
      <c r="BI41" s="1336"/>
      <c r="BJ41" s="492"/>
      <c r="BK41" s="493"/>
      <c r="BL41" s="493"/>
      <c r="BM41" s="493"/>
      <c r="BN41" s="494"/>
      <c r="BO41" s="59"/>
      <c r="BP41" s="1451" t="s">
        <v>382</v>
      </c>
      <c r="BQ41" s="1452"/>
      <c r="BR41" s="1452"/>
      <c r="BS41" s="1453"/>
      <c r="BT41" s="1241"/>
      <c r="BU41" s="1242"/>
      <c r="BV41" s="1242"/>
      <c r="BW41" s="1242"/>
      <c r="BX41" s="1243"/>
      <c r="BY41" s="1388"/>
      <c r="BZ41" s="1389"/>
      <c r="CA41" s="1389"/>
      <c r="CB41" s="1389"/>
      <c r="CC41" s="1390"/>
    </row>
    <row r="42" spans="1:121" ht="10.5" customHeight="1" thickBot="1" x14ac:dyDescent="0.2">
      <c r="A42" s="31">
        <v>37</v>
      </c>
      <c r="B42" s="1410" t="s">
        <v>410</v>
      </c>
      <c r="C42" s="1338"/>
      <c r="D42" s="1338"/>
      <c r="E42" s="1338"/>
      <c r="F42" s="1339"/>
      <c r="G42" s="1418"/>
      <c r="H42" s="1419"/>
      <c r="I42" s="1419"/>
      <c r="J42" s="1419"/>
      <c r="K42" s="1420"/>
      <c r="L42" s="1418"/>
      <c r="M42" s="1419"/>
      <c r="N42" s="1419"/>
      <c r="O42" s="1419"/>
      <c r="P42" s="1420"/>
      <c r="Q42" s="1418"/>
      <c r="R42" s="1419"/>
      <c r="S42" s="1419"/>
      <c r="T42" s="1419"/>
      <c r="U42" s="1420"/>
      <c r="V42" s="1418"/>
      <c r="W42" s="1419"/>
      <c r="X42" s="1419"/>
      <c r="Y42" s="1419"/>
      <c r="Z42" s="1420"/>
      <c r="AA42" s="1418"/>
      <c r="AB42" s="1419"/>
      <c r="AC42" s="1419"/>
      <c r="AD42" s="1419"/>
      <c r="AE42" s="1420"/>
      <c r="AF42" s="1241"/>
      <c r="AG42" s="1242"/>
      <c r="AH42" s="1242"/>
      <c r="AI42" s="1242"/>
      <c r="AJ42" s="1536"/>
      <c r="AK42" s="1410" t="s">
        <v>40</v>
      </c>
      <c r="AL42" s="1338"/>
      <c r="AM42" s="1338"/>
      <c r="AN42" s="1338"/>
      <c r="AO42" s="1338"/>
      <c r="AP42" s="1338"/>
      <c r="AQ42" s="1338"/>
      <c r="AR42" s="1339"/>
      <c r="AS42" s="1444" t="s">
        <v>357</v>
      </c>
      <c r="AT42" s="1445"/>
      <c r="AU42" s="1241"/>
      <c r="AV42" s="1242"/>
      <c r="AW42" s="1242"/>
      <c r="AX42" s="1242"/>
      <c r="AY42" s="1536"/>
      <c r="AZ42" s="121"/>
      <c r="BA42" s="1026" t="s">
        <v>24</v>
      </c>
      <c r="BB42" s="1027"/>
      <c r="BC42" s="1027"/>
      <c r="BD42" s="1454"/>
      <c r="BE42" s="492"/>
      <c r="BF42" s="493"/>
      <c r="BG42" s="493"/>
      <c r="BH42" s="493"/>
      <c r="BI42" s="1336"/>
      <c r="BJ42" s="492"/>
      <c r="BK42" s="493"/>
      <c r="BL42" s="493"/>
      <c r="BM42" s="493"/>
      <c r="BN42" s="494"/>
      <c r="BO42" s="64"/>
      <c r="BP42" s="1446" t="s">
        <v>22</v>
      </c>
      <c r="BQ42" s="1447"/>
      <c r="BR42" s="1447"/>
      <c r="BS42" s="1448"/>
      <c r="BT42" s="1505"/>
      <c r="BU42" s="1506"/>
      <c r="BV42" s="1506"/>
      <c r="BW42" s="1506"/>
      <c r="BX42" s="1507"/>
      <c r="BY42" s="1402"/>
      <c r="BZ42" s="1403"/>
      <c r="CA42" s="1403"/>
      <c r="CB42" s="1403"/>
      <c r="CC42" s="1404"/>
    </row>
    <row r="43" spans="1:121" ht="10.5" customHeight="1" x14ac:dyDescent="0.15">
      <c r="A43" s="31">
        <v>38</v>
      </c>
      <c r="B43" s="1410" t="s">
        <v>411</v>
      </c>
      <c r="C43" s="1338"/>
      <c r="D43" s="1338"/>
      <c r="E43" s="1338"/>
      <c r="F43" s="1339"/>
      <c r="G43" s="1418"/>
      <c r="H43" s="1419"/>
      <c r="I43" s="1419"/>
      <c r="J43" s="1419"/>
      <c r="K43" s="1420"/>
      <c r="L43" s="1418"/>
      <c r="M43" s="1419"/>
      <c r="N43" s="1419"/>
      <c r="O43" s="1419"/>
      <c r="P43" s="1420"/>
      <c r="Q43" s="1418"/>
      <c r="R43" s="1419"/>
      <c r="S43" s="1419"/>
      <c r="T43" s="1419"/>
      <c r="U43" s="1420"/>
      <c r="V43" s="1418"/>
      <c r="W43" s="1419"/>
      <c r="X43" s="1419"/>
      <c r="Y43" s="1419"/>
      <c r="Z43" s="1420"/>
      <c r="AA43" s="1418"/>
      <c r="AB43" s="1419"/>
      <c r="AC43" s="1419"/>
      <c r="AD43" s="1419"/>
      <c r="AE43" s="1420"/>
      <c r="AF43" s="1241"/>
      <c r="AG43" s="1242"/>
      <c r="AH43" s="1242"/>
      <c r="AI43" s="1242"/>
      <c r="AJ43" s="1536"/>
      <c r="AK43" s="1410" t="s">
        <v>358</v>
      </c>
      <c r="AL43" s="1338"/>
      <c r="AM43" s="1338"/>
      <c r="AN43" s="1338"/>
      <c r="AO43" s="1338"/>
      <c r="AP43" s="1338"/>
      <c r="AQ43" s="1338"/>
      <c r="AR43" s="1339"/>
      <c r="AS43" s="1444" t="s">
        <v>163</v>
      </c>
      <c r="AT43" s="1445"/>
      <c r="AU43" s="1241"/>
      <c r="AV43" s="1242"/>
      <c r="AW43" s="1242"/>
      <c r="AX43" s="1242"/>
      <c r="AY43" s="1536"/>
      <c r="AZ43" s="121"/>
      <c r="BA43" s="1026" t="s">
        <v>25</v>
      </c>
      <c r="BB43" s="1027"/>
      <c r="BC43" s="1027"/>
      <c r="BD43" s="1454"/>
      <c r="BE43" s="492"/>
      <c r="BF43" s="493"/>
      <c r="BG43" s="493"/>
      <c r="BH43" s="493"/>
      <c r="BI43" s="1336"/>
      <c r="BJ43" s="492"/>
      <c r="BK43" s="493"/>
      <c r="BL43" s="493"/>
      <c r="BM43" s="493"/>
      <c r="BN43" s="494"/>
      <c r="BO43" s="1493" t="s">
        <v>41</v>
      </c>
      <c r="BP43" s="1494"/>
      <c r="BQ43" s="1494"/>
      <c r="BR43" s="1494"/>
      <c r="BS43" s="1495"/>
      <c r="BT43" s="1490" t="s">
        <v>629</v>
      </c>
      <c r="BU43" s="1491"/>
      <c r="BV43" s="1491"/>
      <c r="BW43" s="1491"/>
      <c r="BX43" s="1492"/>
      <c r="BY43" s="1508" t="s">
        <v>33</v>
      </c>
      <c r="BZ43" s="1509"/>
      <c r="CA43" s="1509"/>
      <c r="CB43" s="1509"/>
      <c r="CC43" s="1510"/>
    </row>
    <row r="44" spans="1:121" ht="10.5" customHeight="1" thickBot="1" x14ac:dyDescent="0.2">
      <c r="A44" s="31">
        <v>39</v>
      </c>
      <c r="B44" s="1410" t="s">
        <v>412</v>
      </c>
      <c r="C44" s="1338"/>
      <c r="D44" s="1338"/>
      <c r="E44" s="1338"/>
      <c r="F44" s="1339"/>
      <c r="G44" s="1418"/>
      <c r="H44" s="1419"/>
      <c r="I44" s="1419"/>
      <c r="J44" s="1419"/>
      <c r="K44" s="1420"/>
      <c r="L44" s="1418"/>
      <c r="M44" s="1419"/>
      <c r="N44" s="1419"/>
      <c r="O44" s="1419"/>
      <c r="P44" s="1420"/>
      <c r="Q44" s="1418"/>
      <c r="R44" s="1419"/>
      <c r="S44" s="1419"/>
      <c r="T44" s="1419"/>
      <c r="U44" s="1420"/>
      <c r="V44" s="1418"/>
      <c r="W44" s="1419"/>
      <c r="X44" s="1419"/>
      <c r="Y44" s="1419"/>
      <c r="Z44" s="1420"/>
      <c r="AA44" s="1418"/>
      <c r="AB44" s="1419"/>
      <c r="AC44" s="1419"/>
      <c r="AD44" s="1419"/>
      <c r="AE44" s="1420"/>
      <c r="AF44" s="1241"/>
      <c r="AG44" s="1242"/>
      <c r="AH44" s="1242"/>
      <c r="AI44" s="1242"/>
      <c r="AJ44" s="1536"/>
      <c r="AK44" s="1410" t="s">
        <v>527</v>
      </c>
      <c r="AL44" s="1338"/>
      <c r="AM44" s="1338"/>
      <c r="AN44" s="1338"/>
      <c r="AO44" s="1338"/>
      <c r="AP44" s="1338"/>
      <c r="AQ44" s="1338"/>
      <c r="AR44" s="1339"/>
      <c r="AS44" s="1444" t="s">
        <v>38</v>
      </c>
      <c r="AT44" s="1445"/>
      <c r="AU44" s="1415"/>
      <c r="AV44" s="1416"/>
      <c r="AW44" s="1416"/>
      <c r="AX44" s="1416"/>
      <c r="AY44" s="1487"/>
      <c r="AZ44" s="121"/>
      <c r="BA44" s="1026" t="s">
        <v>26</v>
      </c>
      <c r="BB44" s="1027"/>
      <c r="BC44" s="1027"/>
      <c r="BD44" s="1454"/>
      <c r="BE44" s="492"/>
      <c r="BF44" s="493"/>
      <c r="BG44" s="493"/>
      <c r="BH44" s="493"/>
      <c r="BI44" s="1336"/>
      <c r="BJ44" s="492"/>
      <c r="BK44" s="493"/>
      <c r="BL44" s="493"/>
      <c r="BM44" s="493"/>
      <c r="BN44" s="494"/>
      <c r="BO44" s="1549" t="s">
        <v>390</v>
      </c>
      <c r="BP44" s="1550"/>
      <c r="BQ44" s="1550"/>
      <c r="BR44" s="1550"/>
      <c r="BS44" s="1551"/>
      <c r="BT44" s="1499"/>
      <c r="BU44" s="1500"/>
      <c r="BV44" s="1500"/>
      <c r="BW44" s="1500"/>
      <c r="BX44" s="1501"/>
      <c r="BY44" s="1385"/>
      <c r="BZ44" s="1386"/>
      <c r="CA44" s="1386"/>
      <c r="CB44" s="1386"/>
      <c r="CC44" s="1387"/>
    </row>
    <row r="45" spans="1:121" ht="10.5" customHeight="1" x14ac:dyDescent="0.15">
      <c r="A45" s="31">
        <v>40</v>
      </c>
      <c r="B45" s="1410" t="s">
        <v>413</v>
      </c>
      <c r="C45" s="1338"/>
      <c r="D45" s="1338"/>
      <c r="E45" s="1338"/>
      <c r="F45" s="1339"/>
      <c r="G45" s="1418"/>
      <c r="H45" s="1419"/>
      <c r="I45" s="1419"/>
      <c r="J45" s="1419"/>
      <c r="K45" s="1420"/>
      <c r="L45" s="1418"/>
      <c r="M45" s="1419"/>
      <c r="N45" s="1419"/>
      <c r="O45" s="1419"/>
      <c r="P45" s="1420"/>
      <c r="Q45" s="1418"/>
      <c r="R45" s="1419"/>
      <c r="S45" s="1419"/>
      <c r="T45" s="1419"/>
      <c r="U45" s="1420"/>
      <c r="V45" s="1418"/>
      <c r="W45" s="1419"/>
      <c r="X45" s="1419"/>
      <c r="Y45" s="1419"/>
      <c r="Z45" s="1420"/>
      <c r="AA45" s="1418"/>
      <c r="AB45" s="1419"/>
      <c r="AC45" s="1419"/>
      <c r="AD45" s="1419"/>
      <c r="AE45" s="1420"/>
      <c r="AF45" s="1241"/>
      <c r="AG45" s="1242"/>
      <c r="AH45" s="1242"/>
      <c r="AI45" s="1242"/>
      <c r="AJ45" s="1536"/>
      <c r="AK45" s="1468" t="s">
        <v>394</v>
      </c>
      <c r="AL45" s="1468"/>
      <c r="AM45" s="1468"/>
      <c r="AN45" s="1468"/>
      <c r="AO45" s="1468"/>
      <c r="AP45" s="1468"/>
      <c r="AQ45" s="1468"/>
      <c r="AR45" s="1468"/>
      <c r="AS45" s="1468"/>
      <c r="AT45" s="1468"/>
      <c r="AU45" s="1468"/>
      <c r="AV45" s="1468"/>
      <c r="AW45" s="1468"/>
      <c r="AX45" s="1468"/>
      <c r="AY45" s="1469"/>
      <c r="AZ45" s="121"/>
      <c r="BA45" s="1026" t="s">
        <v>27</v>
      </c>
      <c r="BB45" s="1027"/>
      <c r="BC45" s="1027"/>
      <c r="BD45" s="1454"/>
      <c r="BE45" s="492"/>
      <c r="BF45" s="493"/>
      <c r="BG45" s="493"/>
      <c r="BH45" s="493"/>
      <c r="BI45" s="1336"/>
      <c r="BJ45" s="492"/>
      <c r="BK45" s="493"/>
      <c r="BL45" s="493"/>
      <c r="BM45" s="493"/>
      <c r="BN45" s="494"/>
      <c r="BO45" s="1496" t="s">
        <v>391</v>
      </c>
      <c r="BP45" s="1497"/>
      <c r="BQ45" s="1497"/>
      <c r="BR45" s="1497"/>
      <c r="BS45" s="1498"/>
      <c r="BT45" s="1241"/>
      <c r="BU45" s="1242"/>
      <c r="BV45" s="1242"/>
      <c r="BW45" s="1242"/>
      <c r="BX45" s="1243"/>
      <c r="BY45" s="1388"/>
      <c r="BZ45" s="1389"/>
      <c r="CA45" s="1389"/>
      <c r="CB45" s="1389"/>
      <c r="CC45" s="1390"/>
      <c r="DJ45" s="10"/>
      <c r="DK45" s="10"/>
    </row>
    <row r="46" spans="1:121" ht="10.5" customHeight="1" x14ac:dyDescent="0.15">
      <c r="A46" s="31">
        <v>41</v>
      </c>
      <c r="B46" s="1410" t="s">
        <v>414</v>
      </c>
      <c r="C46" s="1338"/>
      <c r="D46" s="1338"/>
      <c r="E46" s="1338"/>
      <c r="F46" s="1339"/>
      <c r="G46" s="1418"/>
      <c r="H46" s="1419"/>
      <c r="I46" s="1419"/>
      <c r="J46" s="1419"/>
      <c r="K46" s="1420"/>
      <c r="L46" s="1418"/>
      <c r="M46" s="1419"/>
      <c r="N46" s="1419"/>
      <c r="O46" s="1419"/>
      <c r="P46" s="1420"/>
      <c r="Q46" s="1418"/>
      <c r="R46" s="1419"/>
      <c r="S46" s="1419"/>
      <c r="T46" s="1419"/>
      <c r="U46" s="1420"/>
      <c r="V46" s="1418"/>
      <c r="W46" s="1419"/>
      <c r="X46" s="1419"/>
      <c r="Y46" s="1419"/>
      <c r="Z46" s="1420"/>
      <c r="AA46" s="1418"/>
      <c r="AB46" s="1419"/>
      <c r="AC46" s="1419"/>
      <c r="AD46" s="1419"/>
      <c r="AE46" s="1420"/>
      <c r="AF46" s="1241"/>
      <c r="AG46" s="1242"/>
      <c r="AH46" s="1242"/>
      <c r="AI46" s="1242"/>
      <c r="AJ46" s="1536"/>
      <c r="AK46" s="1322" t="s">
        <v>34</v>
      </c>
      <c r="AL46" s="1458" t="s">
        <v>395</v>
      </c>
      <c r="AM46" s="1459"/>
      <c r="AN46" s="1459"/>
      <c r="AO46" s="1459"/>
      <c r="AP46" s="1459"/>
      <c r="AQ46" s="1459"/>
      <c r="AR46" s="1328"/>
      <c r="AS46" s="1327" t="s">
        <v>38</v>
      </c>
      <c r="AT46" s="1328"/>
      <c r="AU46" s="1385"/>
      <c r="AV46" s="1386"/>
      <c r="AW46" s="1386"/>
      <c r="AX46" s="1386"/>
      <c r="AY46" s="1387"/>
      <c r="AZ46" s="121"/>
      <c r="BA46" s="1026" t="s">
        <v>28</v>
      </c>
      <c r="BB46" s="1027"/>
      <c r="BC46" s="1027"/>
      <c r="BD46" s="1454"/>
      <c r="BE46" s="492"/>
      <c r="BF46" s="493"/>
      <c r="BG46" s="493"/>
      <c r="BH46" s="493"/>
      <c r="BI46" s="1336"/>
      <c r="BJ46" s="492"/>
      <c r="BK46" s="493"/>
      <c r="BL46" s="493"/>
      <c r="BM46" s="493"/>
      <c r="BN46" s="494"/>
      <c r="BO46" s="1502" t="s">
        <v>392</v>
      </c>
      <c r="BP46" s="1503"/>
      <c r="BQ46" s="1503"/>
      <c r="BR46" s="1503"/>
      <c r="BS46" s="1504"/>
      <c r="BT46" s="1241"/>
      <c r="BU46" s="1242"/>
      <c r="BV46" s="1242"/>
      <c r="BW46" s="1242"/>
      <c r="BX46" s="1243"/>
      <c r="BY46" s="1388"/>
      <c r="BZ46" s="1389"/>
      <c r="CA46" s="1389"/>
      <c r="CB46" s="1389"/>
      <c r="CC46" s="1390"/>
      <c r="DJ46" s="10"/>
      <c r="DK46" s="10"/>
    </row>
    <row r="47" spans="1:121" ht="10.5" customHeight="1" x14ac:dyDescent="0.15">
      <c r="A47" s="31">
        <v>42</v>
      </c>
      <c r="B47" s="1410" t="s">
        <v>415</v>
      </c>
      <c r="C47" s="1338"/>
      <c r="D47" s="1338"/>
      <c r="E47" s="1338"/>
      <c r="F47" s="1339"/>
      <c r="G47" s="1418"/>
      <c r="H47" s="1419"/>
      <c r="I47" s="1419"/>
      <c r="J47" s="1419"/>
      <c r="K47" s="1420"/>
      <c r="L47" s="1418"/>
      <c r="M47" s="1419"/>
      <c r="N47" s="1419"/>
      <c r="O47" s="1419"/>
      <c r="P47" s="1420"/>
      <c r="Q47" s="1418"/>
      <c r="R47" s="1419"/>
      <c r="S47" s="1419"/>
      <c r="T47" s="1419"/>
      <c r="U47" s="1420"/>
      <c r="V47" s="1418"/>
      <c r="W47" s="1419"/>
      <c r="X47" s="1419"/>
      <c r="Y47" s="1419"/>
      <c r="Z47" s="1420"/>
      <c r="AA47" s="1418"/>
      <c r="AB47" s="1419"/>
      <c r="AC47" s="1419"/>
      <c r="AD47" s="1419"/>
      <c r="AE47" s="1420"/>
      <c r="AF47" s="1241"/>
      <c r="AG47" s="1242"/>
      <c r="AH47" s="1242"/>
      <c r="AI47" s="1242"/>
      <c r="AJ47" s="1536"/>
      <c r="AK47" s="1323"/>
      <c r="AL47" s="1460" t="s">
        <v>397</v>
      </c>
      <c r="AM47" s="1461"/>
      <c r="AN47" s="1461"/>
      <c r="AO47" s="1461"/>
      <c r="AP47" s="1461"/>
      <c r="AQ47" s="1461"/>
      <c r="AR47" s="1462"/>
      <c r="AS47" s="1463" t="s">
        <v>398</v>
      </c>
      <c r="AT47" s="1464"/>
      <c r="AU47" s="1402"/>
      <c r="AV47" s="1403"/>
      <c r="AW47" s="1403"/>
      <c r="AX47" s="1403"/>
      <c r="AY47" s="1404"/>
      <c r="AZ47" s="121"/>
      <c r="BA47" s="1026" t="s">
        <v>30</v>
      </c>
      <c r="BB47" s="1027"/>
      <c r="BC47" s="1027"/>
      <c r="BD47" s="1454"/>
      <c r="BE47" s="492"/>
      <c r="BF47" s="493"/>
      <c r="BG47" s="493"/>
      <c r="BH47" s="493"/>
      <c r="BI47" s="1336"/>
      <c r="BJ47" s="492"/>
      <c r="BK47" s="493"/>
      <c r="BL47" s="493"/>
      <c r="BM47" s="493"/>
      <c r="BN47" s="494"/>
      <c r="BO47" s="1481" t="s">
        <v>393</v>
      </c>
      <c r="BP47" s="1482"/>
      <c r="BQ47" s="1482"/>
      <c r="BR47" s="1482"/>
      <c r="BS47" s="1483"/>
      <c r="BT47" s="1241"/>
      <c r="BU47" s="1242"/>
      <c r="BV47" s="1242"/>
      <c r="BW47" s="1242"/>
      <c r="BX47" s="1243"/>
      <c r="BY47" s="1388"/>
      <c r="BZ47" s="1389"/>
      <c r="CA47" s="1389"/>
      <c r="CB47" s="1389"/>
      <c r="CC47" s="1390"/>
      <c r="DJ47" s="10"/>
      <c r="DK47" s="10"/>
    </row>
    <row r="48" spans="1:121" ht="10.5" customHeight="1" x14ac:dyDescent="0.15">
      <c r="A48" s="31">
        <v>43</v>
      </c>
      <c r="B48" s="1410" t="s">
        <v>416</v>
      </c>
      <c r="C48" s="1338"/>
      <c r="D48" s="1338"/>
      <c r="E48" s="1338"/>
      <c r="F48" s="1339"/>
      <c r="G48" s="1418"/>
      <c r="H48" s="1419"/>
      <c r="I48" s="1419"/>
      <c r="J48" s="1419"/>
      <c r="K48" s="1420"/>
      <c r="L48" s="1418"/>
      <c r="M48" s="1419"/>
      <c r="N48" s="1419"/>
      <c r="O48" s="1419"/>
      <c r="P48" s="1420"/>
      <c r="Q48" s="1418"/>
      <c r="R48" s="1419"/>
      <c r="S48" s="1419"/>
      <c r="T48" s="1419"/>
      <c r="U48" s="1420"/>
      <c r="V48" s="1418"/>
      <c r="W48" s="1419"/>
      <c r="X48" s="1419"/>
      <c r="Y48" s="1419"/>
      <c r="Z48" s="1420"/>
      <c r="AA48" s="1418"/>
      <c r="AB48" s="1419"/>
      <c r="AC48" s="1419"/>
      <c r="AD48" s="1419"/>
      <c r="AE48" s="1420"/>
      <c r="AF48" s="1241"/>
      <c r="AG48" s="1242"/>
      <c r="AH48" s="1242"/>
      <c r="AI48" s="1242"/>
      <c r="AJ48" s="1536"/>
      <c r="AK48" s="1436" t="s">
        <v>35</v>
      </c>
      <c r="AL48" s="1440" t="s">
        <v>36</v>
      </c>
      <c r="AM48" s="1441"/>
      <c r="AN48" s="1441"/>
      <c r="AO48" s="1441"/>
      <c r="AP48" s="1441"/>
      <c r="AQ48" s="1441"/>
      <c r="AR48" s="1442"/>
      <c r="AS48" s="1327" t="s">
        <v>38</v>
      </c>
      <c r="AT48" s="1328"/>
      <c r="AU48" s="1385"/>
      <c r="AV48" s="1386"/>
      <c r="AW48" s="1386"/>
      <c r="AX48" s="1386"/>
      <c r="AY48" s="1387"/>
      <c r="AZ48" s="121"/>
      <c r="BA48" s="1305" t="s">
        <v>31</v>
      </c>
      <c r="BB48" s="1306"/>
      <c r="BC48" s="1306"/>
      <c r="BD48" s="1307"/>
      <c r="BE48" s="492"/>
      <c r="BF48" s="493"/>
      <c r="BG48" s="493"/>
      <c r="BH48" s="493"/>
      <c r="BI48" s="1336"/>
      <c r="BJ48" s="492"/>
      <c r="BK48" s="493"/>
      <c r="BL48" s="493"/>
      <c r="BM48" s="493"/>
      <c r="BN48" s="494"/>
      <c r="BO48" s="1481" t="s">
        <v>58</v>
      </c>
      <c r="BP48" s="1482"/>
      <c r="BQ48" s="1482"/>
      <c r="BR48" s="1482"/>
      <c r="BS48" s="1483"/>
      <c r="BT48" s="1241"/>
      <c r="BU48" s="1242"/>
      <c r="BV48" s="1242"/>
      <c r="BW48" s="1242"/>
      <c r="BX48" s="1243"/>
      <c r="BY48" s="1388"/>
      <c r="BZ48" s="1389"/>
      <c r="CA48" s="1389"/>
      <c r="CB48" s="1389"/>
      <c r="CC48" s="1390"/>
      <c r="DJ48" s="6"/>
      <c r="DK48" s="6"/>
      <c r="DL48" s="6"/>
      <c r="DM48" s="6"/>
      <c r="DN48" s="6"/>
      <c r="DO48" s="6"/>
      <c r="DP48" s="6"/>
      <c r="DQ48" s="6"/>
    </row>
    <row r="49" spans="1:81" ht="10.5" customHeight="1" x14ac:dyDescent="0.15">
      <c r="A49" s="31">
        <v>44</v>
      </c>
      <c r="B49" s="1410" t="s">
        <v>417</v>
      </c>
      <c r="C49" s="1338"/>
      <c r="D49" s="1338"/>
      <c r="E49" s="1338"/>
      <c r="F49" s="1339"/>
      <c r="G49" s="1418"/>
      <c r="H49" s="1419"/>
      <c r="I49" s="1419"/>
      <c r="J49" s="1419"/>
      <c r="K49" s="1420"/>
      <c r="L49" s="1418"/>
      <c r="M49" s="1419"/>
      <c r="N49" s="1419"/>
      <c r="O49" s="1419"/>
      <c r="P49" s="1420"/>
      <c r="Q49" s="1418"/>
      <c r="R49" s="1419"/>
      <c r="S49" s="1419"/>
      <c r="T49" s="1419"/>
      <c r="U49" s="1420"/>
      <c r="V49" s="1418"/>
      <c r="W49" s="1419"/>
      <c r="X49" s="1419"/>
      <c r="Y49" s="1419"/>
      <c r="Z49" s="1420"/>
      <c r="AA49" s="1418"/>
      <c r="AB49" s="1419"/>
      <c r="AC49" s="1419"/>
      <c r="AD49" s="1419"/>
      <c r="AE49" s="1420"/>
      <c r="AF49" s="1241"/>
      <c r="AG49" s="1242"/>
      <c r="AH49" s="1242"/>
      <c r="AI49" s="1242"/>
      <c r="AJ49" s="1536"/>
      <c r="AK49" s="1437"/>
      <c r="AL49" s="1451" t="s">
        <v>399</v>
      </c>
      <c r="AM49" s="1452"/>
      <c r="AN49" s="1452"/>
      <c r="AO49" s="1452"/>
      <c r="AP49" s="1452"/>
      <c r="AQ49" s="1452"/>
      <c r="AR49" s="1453"/>
      <c r="AS49" s="1428" t="s">
        <v>163</v>
      </c>
      <c r="AT49" s="1429"/>
      <c r="AU49" s="1388"/>
      <c r="AV49" s="1389"/>
      <c r="AW49" s="1389"/>
      <c r="AX49" s="1389"/>
      <c r="AY49" s="1390"/>
      <c r="AZ49" s="121"/>
      <c r="BA49" s="1455" t="s">
        <v>112</v>
      </c>
      <c r="BB49" s="1456"/>
      <c r="BC49" s="1456"/>
      <c r="BD49" s="1457"/>
      <c r="BE49" s="492"/>
      <c r="BF49" s="493"/>
      <c r="BG49" s="493"/>
      <c r="BH49" s="493"/>
      <c r="BI49" s="1336"/>
      <c r="BJ49" s="492"/>
      <c r="BK49" s="493"/>
      <c r="BL49" s="493"/>
      <c r="BM49" s="493"/>
      <c r="BN49" s="494"/>
      <c r="BO49" s="1481" t="s">
        <v>53</v>
      </c>
      <c r="BP49" s="1482"/>
      <c r="BQ49" s="1482"/>
      <c r="BR49" s="1482"/>
      <c r="BS49" s="1483"/>
      <c r="BT49" s="1241"/>
      <c r="BU49" s="1242"/>
      <c r="BV49" s="1242"/>
      <c r="BW49" s="1242"/>
      <c r="BX49" s="1243"/>
      <c r="BY49" s="1388"/>
      <c r="BZ49" s="1389"/>
      <c r="CA49" s="1389"/>
      <c r="CB49" s="1389"/>
      <c r="CC49" s="1390"/>
    </row>
    <row r="50" spans="1:81" ht="10.5" customHeight="1" x14ac:dyDescent="0.15">
      <c r="A50" s="31">
        <v>45</v>
      </c>
      <c r="B50" s="1410" t="s">
        <v>418</v>
      </c>
      <c r="C50" s="1338"/>
      <c r="D50" s="1338"/>
      <c r="E50" s="1338"/>
      <c r="F50" s="1339"/>
      <c r="G50" s="1418"/>
      <c r="H50" s="1419"/>
      <c r="I50" s="1419"/>
      <c r="J50" s="1419"/>
      <c r="K50" s="1420"/>
      <c r="L50" s="1418"/>
      <c r="M50" s="1419"/>
      <c r="N50" s="1419"/>
      <c r="O50" s="1419"/>
      <c r="P50" s="1420"/>
      <c r="Q50" s="1418"/>
      <c r="R50" s="1419"/>
      <c r="S50" s="1419"/>
      <c r="T50" s="1419"/>
      <c r="U50" s="1420"/>
      <c r="V50" s="1418"/>
      <c r="W50" s="1419"/>
      <c r="X50" s="1419"/>
      <c r="Y50" s="1419"/>
      <c r="Z50" s="1420"/>
      <c r="AA50" s="1418"/>
      <c r="AB50" s="1419"/>
      <c r="AC50" s="1419"/>
      <c r="AD50" s="1419"/>
      <c r="AE50" s="1420"/>
      <c r="AF50" s="1241"/>
      <c r="AG50" s="1242"/>
      <c r="AH50" s="1242"/>
      <c r="AI50" s="1242"/>
      <c r="AJ50" s="1536"/>
      <c r="AK50" s="1437"/>
      <c r="AL50" s="1451" t="s">
        <v>37</v>
      </c>
      <c r="AM50" s="1452"/>
      <c r="AN50" s="1452"/>
      <c r="AO50" s="1452"/>
      <c r="AP50" s="1452"/>
      <c r="AQ50" s="1452"/>
      <c r="AR50" s="1453"/>
      <c r="AS50" s="1428" t="s">
        <v>398</v>
      </c>
      <c r="AT50" s="1429"/>
      <c r="AU50" s="1388"/>
      <c r="AV50" s="1389"/>
      <c r="AW50" s="1389"/>
      <c r="AX50" s="1389"/>
      <c r="AY50" s="1390"/>
      <c r="AZ50" s="121"/>
      <c r="BA50" s="1484" t="s">
        <v>278</v>
      </c>
      <c r="BB50" s="1485"/>
      <c r="BC50" s="1485"/>
      <c r="BD50" s="1486"/>
      <c r="BE50" s="492"/>
      <c r="BF50" s="493"/>
      <c r="BG50" s="493"/>
      <c r="BH50" s="493"/>
      <c r="BI50" s="1336"/>
      <c r="BJ50" s="492"/>
      <c r="BK50" s="493"/>
      <c r="BL50" s="493"/>
      <c r="BM50" s="493"/>
      <c r="BN50" s="494"/>
      <c r="BO50" s="1481" t="s">
        <v>54</v>
      </c>
      <c r="BP50" s="1482"/>
      <c r="BQ50" s="1482"/>
      <c r="BR50" s="1482"/>
      <c r="BS50" s="1483"/>
      <c r="BT50" s="1241"/>
      <c r="BU50" s="1242"/>
      <c r="BV50" s="1242"/>
      <c r="BW50" s="1242"/>
      <c r="BX50" s="1243"/>
      <c r="BY50" s="1388"/>
      <c r="BZ50" s="1389"/>
      <c r="CA50" s="1389"/>
      <c r="CB50" s="1389"/>
      <c r="CC50" s="1390"/>
    </row>
    <row r="51" spans="1:81" ht="10.5" customHeight="1" x14ac:dyDescent="0.15">
      <c r="A51" s="31">
        <v>46</v>
      </c>
      <c r="B51" s="1410" t="s">
        <v>419</v>
      </c>
      <c r="C51" s="1338"/>
      <c r="D51" s="1338"/>
      <c r="E51" s="1338"/>
      <c r="F51" s="1339"/>
      <c r="G51" s="1418"/>
      <c r="H51" s="1419"/>
      <c r="I51" s="1419"/>
      <c r="J51" s="1419"/>
      <c r="K51" s="1420"/>
      <c r="L51" s="1418"/>
      <c r="M51" s="1419"/>
      <c r="N51" s="1419"/>
      <c r="O51" s="1419"/>
      <c r="P51" s="1420"/>
      <c r="Q51" s="1418"/>
      <c r="R51" s="1419"/>
      <c r="S51" s="1419"/>
      <c r="T51" s="1419"/>
      <c r="U51" s="1420"/>
      <c r="V51" s="1418"/>
      <c r="W51" s="1419"/>
      <c r="X51" s="1419"/>
      <c r="Y51" s="1419"/>
      <c r="Z51" s="1420"/>
      <c r="AA51" s="1418"/>
      <c r="AB51" s="1419"/>
      <c r="AC51" s="1419"/>
      <c r="AD51" s="1419"/>
      <c r="AE51" s="1420"/>
      <c r="AF51" s="1241"/>
      <c r="AG51" s="1242"/>
      <c r="AH51" s="1242"/>
      <c r="AI51" s="1242"/>
      <c r="AJ51" s="1536"/>
      <c r="AK51" s="1438"/>
      <c r="AL51" s="1473" t="s">
        <v>402</v>
      </c>
      <c r="AM51" s="1426"/>
      <c r="AN51" s="1426"/>
      <c r="AO51" s="1425" t="s">
        <v>36</v>
      </c>
      <c r="AP51" s="1426"/>
      <c r="AQ51" s="1426"/>
      <c r="AR51" s="1427"/>
      <c r="AS51" s="1428" t="s">
        <v>38</v>
      </c>
      <c r="AT51" s="1429"/>
      <c r="AU51" s="1388"/>
      <c r="AV51" s="1389"/>
      <c r="AW51" s="1389"/>
      <c r="AX51" s="1389"/>
      <c r="AY51" s="1390"/>
      <c r="AZ51" s="126"/>
      <c r="BA51" s="1484" t="s">
        <v>1</v>
      </c>
      <c r="BB51" s="1485"/>
      <c r="BC51" s="1485"/>
      <c r="BD51" s="1486"/>
      <c r="BE51" s="492"/>
      <c r="BF51" s="493"/>
      <c r="BG51" s="493"/>
      <c r="BH51" s="493"/>
      <c r="BI51" s="1336"/>
      <c r="BJ51" s="492"/>
      <c r="BK51" s="493"/>
      <c r="BL51" s="493"/>
      <c r="BM51" s="493"/>
      <c r="BN51" s="494"/>
      <c r="BO51" s="1481" t="s">
        <v>55</v>
      </c>
      <c r="BP51" s="1482"/>
      <c r="BQ51" s="1482"/>
      <c r="BR51" s="1482"/>
      <c r="BS51" s="1483"/>
      <c r="BT51" s="1241"/>
      <c r="BU51" s="1242"/>
      <c r="BV51" s="1242"/>
      <c r="BW51" s="1242"/>
      <c r="BX51" s="1243"/>
      <c r="BY51" s="1388"/>
      <c r="BZ51" s="1389"/>
      <c r="CA51" s="1389"/>
      <c r="CB51" s="1389"/>
      <c r="CC51" s="1390"/>
    </row>
    <row r="52" spans="1:81" ht="10.5" customHeight="1" x14ac:dyDescent="0.15">
      <c r="A52" s="31">
        <v>47</v>
      </c>
      <c r="B52" s="1410" t="s">
        <v>420</v>
      </c>
      <c r="C52" s="1338"/>
      <c r="D52" s="1338"/>
      <c r="E52" s="1338"/>
      <c r="F52" s="1339"/>
      <c r="G52" s="1418"/>
      <c r="H52" s="1419"/>
      <c r="I52" s="1419"/>
      <c r="J52" s="1419"/>
      <c r="K52" s="1420"/>
      <c r="L52" s="1418"/>
      <c r="M52" s="1419"/>
      <c r="N52" s="1419"/>
      <c r="O52" s="1419"/>
      <c r="P52" s="1420"/>
      <c r="Q52" s="1418"/>
      <c r="R52" s="1419"/>
      <c r="S52" s="1419"/>
      <c r="T52" s="1419"/>
      <c r="U52" s="1420"/>
      <c r="V52" s="1418"/>
      <c r="W52" s="1419"/>
      <c r="X52" s="1419"/>
      <c r="Y52" s="1419"/>
      <c r="Z52" s="1420"/>
      <c r="AA52" s="1418"/>
      <c r="AB52" s="1419"/>
      <c r="AC52" s="1419"/>
      <c r="AD52" s="1419"/>
      <c r="AE52" s="1420"/>
      <c r="AF52" s="1241"/>
      <c r="AG52" s="1242"/>
      <c r="AH52" s="1242"/>
      <c r="AI52" s="1242"/>
      <c r="AJ52" s="1536"/>
      <c r="AK52" s="1438"/>
      <c r="AL52" s="1474"/>
      <c r="AM52" s="1475"/>
      <c r="AN52" s="1475"/>
      <c r="AO52" s="1425" t="s">
        <v>404</v>
      </c>
      <c r="AP52" s="1426"/>
      <c r="AQ52" s="1426"/>
      <c r="AR52" s="1427"/>
      <c r="AS52" s="1428" t="s">
        <v>400</v>
      </c>
      <c r="AT52" s="1429"/>
      <c r="AU52" s="1388"/>
      <c r="AV52" s="1389"/>
      <c r="AW52" s="1389"/>
      <c r="AX52" s="1389"/>
      <c r="AY52" s="1390"/>
      <c r="AZ52" s="121"/>
      <c r="BA52" s="127"/>
      <c r="BB52" s="1455" t="s">
        <v>103</v>
      </c>
      <c r="BC52" s="1456"/>
      <c r="BD52" s="1457"/>
      <c r="BE52" s="492"/>
      <c r="BF52" s="493"/>
      <c r="BG52" s="493"/>
      <c r="BH52" s="493"/>
      <c r="BI52" s="1336"/>
      <c r="BJ52" s="492"/>
      <c r="BK52" s="493"/>
      <c r="BL52" s="493"/>
      <c r="BM52" s="493"/>
      <c r="BN52" s="494"/>
      <c r="BO52" s="1478" t="s">
        <v>56</v>
      </c>
      <c r="BP52" s="1479"/>
      <c r="BQ52" s="1479"/>
      <c r="BR52" s="1479"/>
      <c r="BS52" s="1480"/>
      <c r="BT52" s="1241"/>
      <c r="BU52" s="1242"/>
      <c r="BV52" s="1242"/>
      <c r="BW52" s="1242"/>
      <c r="BX52" s="1243"/>
      <c r="BY52" s="1388"/>
      <c r="BZ52" s="1389"/>
      <c r="CA52" s="1389"/>
      <c r="CB52" s="1389"/>
      <c r="CC52" s="1390"/>
    </row>
    <row r="53" spans="1:81" ht="10.5" customHeight="1" thickBot="1" x14ac:dyDescent="0.2">
      <c r="A53" s="31">
        <v>48</v>
      </c>
      <c r="B53" s="1410" t="s">
        <v>421</v>
      </c>
      <c r="C53" s="1338"/>
      <c r="D53" s="1338"/>
      <c r="E53" s="1338"/>
      <c r="F53" s="1339"/>
      <c r="G53" s="1418"/>
      <c r="H53" s="1419"/>
      <c r="I53" s="1419"/>
      <c r="J53" s="1419"/>
      <c r="K53" s="1420"/>
      <c r="L53" s="1418"/>
      <c r="M53" s="1419"/>
      <c r="N53" s="1419"/>
      <c r="O53" s="1419"/>
      <c r="P53" s="1420"/>
      <c r="Q53" s="1418"/>
      <c r="R53" s="1419"/>
      <c r="S53" s="1419"/>
      <c r="T53" s="1419"/>
      <c r="U53" s="1420"/>
      <c r="V53" s="1418"/>
      <c r="W53" s="1419"/>
      <c r="X53" s="1419"/>
      <c r="Y53" s="1419"/>
      <c r="Z53" s="1420"/>
      <c r="AA53" s="1418"/>
      <c r="AB53" s="1419"/>
      <c r="AC53" s="1419"/>
      <c r="AD53" s="1419"/>
      <c r="AE53" s="1420"/>
      <c r="AF53" s="1241"/>
      <c r="AG53" s="1242"/>
      <c r="AH53" s="1242"/>
      <c r="AI53" s="1242"/>
      <c r="AJ53" s="1536"/>
      <c r="AK53" s="1438"/>
      <c r="AL53" s="1474"/>
      <c r="AM53" s="1475"/>
      <c r="AN53" s="1475"/>
      <c r="AO53" s="1425" t="s">
        <v>405</v>
      </c>
      <c r="AP53" s="1426"/>
      <c r="AQ53" s="1426"/>
      <c r="AR53" s="1427"/>
      <c r="AS53" s="1428" t="s">
        <v>400</v>
      </c>
      <c r="AT53" s="1429"/>
      <c r="AU53" s="1388"/>
      <c r="AV53" s="1389"/>
      <c r="AW53" s="1389"/>
      <c r="AX53" s="1389"/>
      <c r="AY53" s="1390"/>
      <c r="AZ53" s="121"/>
      <c r="BA53" s="127"/>
      <c r="BB53" s="1305" t="s">
        <v>427</v>
      </c>
      <c r="BC53" s="1306"/>
      <c r="BD53" s="1307"/>
      <c r="BE53" s="492"/>
      <c r="BF53" s="493"/>
      <c r="BG53" s="493"/>
      <c r="BH53" s="493"/>
      <c r="BI53" s="1336"/>
      <c r="BJ53" s="492"/>
      <c r="BK53" s="493"/>
      <c r="BL53" s="493"/>
      <c r="BM53" s="493"/>
      <c r="BN53" s="494"/>
      <c r="BO53" s="1470" t="s">
        <v>57</v>
      </c>
      <c r="BP53" s="1471"/>
      <c r="BQ53" s="1471"/>
      <c r="BR53" s="1471"/>
      <c r="BS53" s="1472"/>
      <c r="BT53" s="1269"/>
      <c r="BU53" s="1267"/>
      <c r="BV53" s="1267"/>
      <c r="BW53" s="1267"/>
      <c r="BX53" s="1268"/>
      <c r="BY53" s="1415"/>
      <c r="BZ53" s="1416"/>
      <c r="CA53" s="1416"/>
      <c r="CB53" s="1416"/>
      <c r="CC53" s="1487"/>
    </row>
    <row r="54" spans="1:81" ht="10.5" customHeight="1" x14ac:dyDescent="0.15">
      <c r="A54" s="31">
        <v>49</v>
      </c>
      <c r="B54" s="1410" t="s">
        <v>422</v>
      </c>
      <c r="C54" s="1338"/>
      <c r="D54" s="1338"/>
      <c r="E54" s="1338"/>
      <c r="F54" s="1339"/>
      <c r="G54" s="1418"/>
      <c r="H54" s="1419"/>
      <c r="I54" s="1419"/>
      <c r="J54" s="1419"/>
      <c r="K54" s="1420"/>
      <c r="L54" s="1418"/>
      <c r="M54" s="1419"/>
      <c r="N54" s="1419"/>
      <c r="O54" s="1419"/>
      <c r="P54" s="1420"/>
      <c r="Q54" s="1418"/>
      <c r="R54" s="1419"/>
      <c r="S54" s="1419"/>
      <c r="T54" s="1419"/>
      <c r="U54" s="1420"/>
      <c r="V54" s="1418"/>
      <c r="W54" s="1419"/>
      <c r="X54" s="1419"/>
      <c r="Y54" s="1419"/>
      <c r="Z54" s="1420"/>
      <c r="AA54" s="1418"/>
      <c r="AB54" s="1419"/>
      <c r="AC54" s="1419"/>
      <c r="AD54" s="1419"/>
      <c r="AE54" s="1420"/>
      <c r="AF54" s="1241"/>
      <c r="AG54" s="1242"/>
      <c r="AH54" s="1242"/>
      <c r="AI54" s="1242"/>
      <c r="AJ54" s="1536"/>
      <c r="AK54" s="1438"/>
      <c r="AL54" s="1476"/>
      <c r="AM54" s="1477"/>
      <c r="AN54" s="1477"/>
      <c r="AO54" s="1451" t="s">
        <v>406</v>
      </c>
      <c r="AP54" s="1452"/>
      <c r="AQ54" s="1452"/>
      <c r="AR54" s="1453"/>
      <c r="AS54" s="1428" t="s">
        <v>400</v>
      </c>
      <c r="AT54" s="1429"/>
      <c r="AU54" s="1388"/>
      <c r="AV54" s="1389"/>
      <c r="AW54" s="1389"/>
      <c r="AX54" s="1389"/>
      <c r="AY54" s="1390"/>
      <c r="AZ54" s="121"/>
      <c r="BA54" s="127"/>
      <c r="BB54" s="1305" t="s">
        <v>109</v>
      </c>
      <c r="BC54" s="1306"/>
      <c r="BD54" s="1307"/>
      <c r="BE54" s="492"/>
      <c r="BF54" s="493"/>
      <c r="BG54" s="493"/>
      <c r="BH54" s="493"/>
      <c r="BI54" s="1336"/>
      <c r="BJ54" s="492"/>
      <c r="BK54" s="493"/>
      <c r="BL54" s="493"/>
      <c r="BM54" s="493"/>
      <c r="BN54" s="494"/>
      <c r="BO54" s="74"/>
      <c r="BP54" s="74"/>
      <c r="BQ54" s="74"/>
      <c r="BR54" s="74"/>
      <c r="BS54" s="74"/>
      <c r="BT54" s="27"/>
      <c r="BU54" s="27"/>
      <c r="BV54" s="27"/>
      <c r="BW54" s="27"/>
      <c r="BX54" s="27"/>
      <c r="BY54" s="27"/>
      <c r="BZ54" s="27"/>
      <c r="CA54" s="27"/>
      <c r="CB54" s="27"/>
      <c r="CC54" s="28"/>
    </row>
    <row r="55" spans="1:81" ht="10.5" customHeight="1" thickBot="1" x14ac:dyDescent="0.2">
      <c r="A55" s="31">
        <v>50</v>
      </c>
      <c r="B55" s="1421" t="s">
        <v>423</v>
      </c>
      <c r="C55" s="1422"/>
      <c r="D55" s="1422"/>
      <c r="E55" s="1422"/>
      <c r="F55" s="1423"/>
      <c r="G55" s="1537"/>
      <c r="H55" s="1538"/>
      <c r="I55" s="1538"/>
      <c r="J55" s="1538"/>
      <c r="K55" s="1539"/>
      <c r="L55" s="1537"/>
      <c r="M55" s="1538"/>
      <c r="N55" s="1538"/>
      <c r="O55" s="1538"/>
      <c r="P55" s="1539"/>
      <c r="Q55" s="1269"/>
      <c r="R55" s="1267"/>
      <c r="S55" s="1267"/>
      <c r="T55" s="1267"/>
      <c r="U55" s="1268"/>
      <c r="V55" s="1269"/>
      <c r="W55" s="1267"/>
      <c r="X55" s="1267"/>
      <c r="Y55" s="1267"/>
      <c r="Z55" s="1268"/>
      <c r="AA55" s="1269"/>
      <c r="AB55" s="1267"/>
      <c r="AC55" s="1267"/>
      <c r="AD55" s="1267"/>
      <c r="AE55" s="1268"/>
      <c r="AF55" s="1269"/>
      <c r="AG55" s="1267"/>
      <c r="AH55" s="1267"/>
      <c r="AI55" s="1267"/>
      <c r="AJ55" s="1540"/>
      <c r="AK55" s="1439"/>
      <c r="AL55" s="1446" t="s">
        <v>407</v>
      </c>
      <c r="AM55" s="1447"/>
      <c r="AN55" s="1447"/>
      <c r="AO55" s="1447"/>
      <c r="AP55" s="1447"/>
      <c r="AQ55" s="1447"/>
      <c r="AR55" s="1448"/>
      <c r="AS55" s="1449" t="s">
        <v>398</v>
      </c>
      <c r="AT55" s="1450"/>
      <c r="AU55" s="1415"/>
      <c r="AV55" s="1416"/>
      <c r="AW55" s="1416"/>
      <c r="AX55" s="1416"/>
      <c r="AY55" s="1487"/>
      <c r="AZ55" s="121"/>
      <c r="BA55" s="127"/>
      <c r="BB55" s="1305" t="s">
        <v>106</v>
      </c>
      <c r="BC55" s="1306"/>
      <c r="BD55" s="1307"/>
      <c r="BE55" s="492"/>
      <c r="BF55" s="493"/>
      <c r="BG55" s="493"/>
      <c r="BH55" s="493"/>
      <c r="BI55" s="1336"/>
      <c r="BJ55" s="492"/>
      <c r="BK55" s="493"/>
      <c r="BL55" s="493"/>
      <c r="BM55" s="493"/>
      <c r="BN55" s="494"/>
      <c r="BO55" s="24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8"/>
    </row>
    <row r="56" spans="1:81" ht="10.5" customHeight="1" x14ac:dyDescent="0.15">
      <c r="A56" s="31">
        <v>51</v>
      </c>
      <c r="B56" s="80"/>
      <c r="C56" s="81"/>
      <c r="D56" s="81"/>
      <c r="E56" s="81"/>
      <c r="F56" s="81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4"/>
      <c r="AZ56" s="121"/>
      <c r="BA56" s="128"/>
      <c r="BB56" s="1308" t="s">
        <v>107</v>
      </c>
      <c r="BC56" s="1309"/>
      <c r="BD56" s="1310"/>
      <c r="BE56" s="492"/>
      <c r="BF56" s="493"/>
      <c r="BG56" s="493"/>
      <c r="BH56" s="493"/>
      <c r="BI56" s="1336"/>
      <c r="BJ56" s="492"/>
      <c r="BK56" s="493"/>
      <c r="BL56" s="493"/>
      <c r="BM56" s="493"/>
      <c r="BN56" s="494"/>
      <c r="BO56" s="2"/>
      <c r="CC56" s="7"/>
    </row>
    <row r="57" spans="1:81" ht="9.75" customHeight="1" thickBot="1" x14ac:dyDescent="0.2">
      <c r="A57" s="31">
        <v>52</v>
      </c>
      <c r="B57" s="13"/>
      <c r="C57" s="18"/>
      <c r="D57" s="18"/>
      <c r="E57" s="18"/>
      <c r="F57" s="18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14"/>
      <c r="AZ57" s="1545" t="s">
        <v>32</v>
      </c>
      <c r="BA57" s="1546"/>
      <c r="BB57" s="1547"/>
      <c r="BC57" s="1547"/>
      <c r="BD57" s="1547"/>
      <c r="BE57" s="853"/>
      <c r="BF57" s="854"/>
      <c r="BG57" s="854"/>
      <c r="BH57" s="854"/>
      <c r="BI57" s="1548"/>
      <c r="BJ57" s="853"/>
      <c r="BK57" s="854"/>
      <c r="BL57" s="854"/>
      <c r="BM57" s="854"/>
      <c r="BN57" s="855"/>
      <c r="BO57" s="13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14"/>
    </row>
    <row r="58" spans="1:81" x14ac:dyDescent="0.15">
      <c r="B58" s="1289">
        <v>1</v>
      </c>
      <c r="C58" s="1289"/>
      <c r="D58" s="1289"/>
      <c r="E58" s="1289"/>
      <c r="F58" s="1289"/>
      <c r="G58" s="1289">
        <v>2</v>
      </c>
      <c r="H58" s="1289"/>
      <c r="I58" s="1289"/>
      <c r="J58" s="1289"/>
      <c r="K58" s="1289"/>
      <c r="L58" s="1289">
        <v>3</v>
      </c>
      <c r="M58" s="1289"/>
      <c r="N58" s="1289"/>
      <c r="O58" s="1289"/>
      <c r="P58" s="1289"/>
      <c r="Q58" s="1289">
        <v>4</v>
      </c>
      <c r="R58" s="1289"/>
      <c r="S58" s="1289"/>
      <c r="T58" s="1289"/>
      <c r="U58" s="1289"/>
      <c r="V58" s="1289">
        <v>5</v>
      </c>
      <c r="W58" s="1289"/>
      <c r="X58" s="1289"/>
      <c r="Y58" s="1289"/>
      <c r="Z58" s="1289"/>
      <c r="AA58" s="1289">
        <v>6</v>
      </c>
      <c r="AB58" s="1289"/>
      <c r="AC58" s="1289"/>
      <c r="AD58" s="1289"/>
      <c r="AE58" s="1289"/>
      <c r="AF58" s="1289">
        <v>7</v>
      </c>
      <c r="AG58" s="1289"/>
      <c r="AH58" s="1289"/>
      <c r="AI58" s="1289"/>
      <c r="AJ58" s="1289"/>
      <c r="AK58" s="1289">
        <v>8</v>
      </c>
      <c r="AL58" s="1289"/>
      <c r="AM58" s="1289"/>
      <c r="AN58" s="1289"/>
      <c r="AO58" s="1289"/>
      <c r="AP58" s="1289">
        <v>9</v>
      </c>
      <c r="AQ58" s="1289"/>
      <c r="AR58" s="1289"/>
      <c r="AS58" s="1289"/>
      <c r="AT58" s="1289"/>
      <c r="AU58" s="1289">
        <v>10</v>
      </c>
      <c r="AV58" s="1289"/>
      <c r="AW58" s="1289"/>
      <c r="AX58" s="1289"/>
      <c r="AY58" s="1289"/>
      <c r="AZ58" s="1289">
        <v>11</v>
      </c>
      <c r="BA58" s="1289"/>
      <c r="BB58" s="1289"/>
      <c r="BC58" s="1289"/>
      <c r="BD58" s="1289"/>
      <c r="BE58" s="1289">
        <v>12</v>
      </c>
      <c r="BF58" s="1289"/>
      <c r="BG58" s="1289"/>
      <c r="BH58" s="1289"/>
      <c r="BI58" s="1289"/>
      <c r="BJ58" s="1289">
        <v>13</v>
      </c>
      <c r="BK58" s="1289"/>
      <c r="BL58" s="1289"/>
      <c r="BM58" s="1289"/>
      <c r="BN58" s="1289"/>
      <c r="BO58" s="1289">
        <v>14</v>
      </c>
      <c r="BP58" s="1289"/>
      <c r="BQ58" s="1289"/>
      <c r="BR58" s="1289"/>
      <c r="BS58" s="1289"/>
      <c r="BT58" s="1289">
        <v>15</v>
      </c>
      <c r="BU58" s="1289"/>
      <c r="BV58" s="1289"/>
      <c r="BW58" s="1289"/>
      <c r="BX58" s="1289"/>
      <c r="BY58" s="1289">
        <v>16</v>
      </c>
      <c r="BZ58" s="1289"/>
      <c r="CA58" s="1289"/>
      <c r="CB58" s="1289"/>
      <c r="CC58" s="1289"/>
    </row>
    <row r="59" spans="1:81" ht="12" customHeight="1" x14ac:dyDescent="0.15"/>
    <row r="60" spans="1:81" ht="12" customHeight="1" x14ac:dyDescent="0.15"/>
    <row r="61" spans="1:81" ht="12" customHeight="1" x14ac:dyDescent="0.15"/>
    <row r="63" spans="1:81" x14ac:dyDescent="0.15">
      <c r="BD63" s="3"/>
    </row>
  </sheetData>
  <mergeCells count="751">
    <mergeCell ref="BE3:BI3"/>
    <mergeCell ref="BJ3:BS3"/>
    <mergeCell ref="BT3:BX3"/>
    <mergeCell ref="BY3:CC3"/>
    <mergeCell ref="BE4:BI4"/>
    <mergeCell ref="BJ4:BS4"/>
    <mergeCell ref="BT4:BX4"/>
    <mergeCell ref="BY4:CC4"/>
    <mergeCell ref="BA36:BB37"/>
    <mergeCell ref="BC36:BD36"/>
    <mergeCell ref="AZ28:BD28"/>
    <mergeCell ref="BE28:BI28"/>
    <mergeCell ref="BJ28:BN28"/>
    <mergeCell ref="BO28:BS28"/>
    <mergeCell ref="BT28:BX28"/>
    <mergeCell ref="BY28:CC28"/>
    <mergeCell ref="BE24:BI24"/>
    <mergeCell ref="BJ24:BN24"/>
    <mergeCell ref="BO24:BS24"/>
    <mergeCell ref="BT24:BX24"/>
    <mergeCell ref="BY24:CC24"/>
    <mergeCell ref="BE16:BI16"/>
    <mergeCell ref="BJ16:BN16"/>
    <mergeCell ref="BO16:BS16"/>
    <mergeCell ref="BA38:BD38"/>
    <mergeCell ref="BB39:BD39"/>
    <mergeCell ref="AZ40:BD40"/>
    <mergeCell ref="BA41:BD41"/>
    <mergeCell ref="BB52:BD52"/>
    <mergeCell ref="AZ57:BD57"/>
    <mergeCell ref="BT50:BX50"/>
    <mergeCell ref="BE55:BI55"/>
    <mergeCell ref="BJ55:BN55"/>
    <mergeCell ref="BE56:BI56"/>
    <mergeCell ref="BJ56:BN56"/>
    <mergeCell ref="BE57:BI57"/>
    <mergeCell ref="BJ57:BN57"/>
    <mergeCell ref="BT39:BX39"/>
    <mergeCell ref="BE52:BI52"/>
    <mergeCell ref="BJ52:BN52"/>
    <mergeCell ref="BE53:BI53"/>
    <mergeCell ref="BJ53:BN53"/>
    <mergeCell ref="BE54:BI54"/>
    <mergeCell ref="BJ54:BN54"/>
    <mergeCell ref="BP38:BS38"/>
    <mergeCell ref="BO44:BS44"/>
    <mergeCell ref="BE39:BI39"/>
    <mergeCell ref="BJ39:BN39"/>
    <mergeCell ref="BY50:CC50"/>
    <mergeCell ref="BT51:BX51"/>
    <mergeCell ref="BY51:CC51"/>
    <mergeCell ref="BT52:BX52"/>
    <mergeCell ref="BY52:CC52"/>
    <mergeCell ref="BT53:BX53"/>
    <mergeCell ref="BY53:CC53"/>
    <mergeCell ref="BY45:CC45"/>
    <mergeCell ref="BT46:BX46"/>
    <mergeCell ref="BY46:CC46"/>
    <mergeCell ref="BT47:BX47"/>
    <mergeCell ref="BY47:CC47"/>
    <mergeCell ref="BT48:BX48"/>
    <mergeCell ref="BY48:CC48"/>
    <mergeCell ref="BT49:BX49"/>
    <mergeCell ref="BY49:CC49"/>
    <mergeCell ref="BE40:BI40"/>
    <mergeCell ref="BJ40:BN40"/>
    <mergeCell ref="BE41:BI41"/>
    <mergeCell ref="BJ41:BN41"/>
    <mergeCell ref="BE42:BI42"/>
    <mergeCell ref="BJ42:BN42"/>
    <mergeCell ref="BE43:BI43"/>
    <mergeCell ref="BJ43:BN43"/>
    <mergeCell ref="BE34:BI34"/>
    <mergeCell ref="BJ34:BN34"/>
    <mergeCell ref="BE35:BI35"/>
    <mergeCell ref="BJ35:BN35"/>
    <mergeCell ref="BE36:BI36"/>
    <mergeCell ref="BJ36:BN36"/>
    <mergeCell ref="BE37:BI37"/>
    <mergeCell ref="BJ37:BN37"/>
    <mergeCell ref="BE38:BI38"/>
    <mergeCell ref="BJ38:BN38"/>
    <mergeCell ref="AU34:AY34"/>
    <mergeCell ref="AU35:AY35"/>
    <mergeCell ref="AU36:AY36"/>
    <mergeCell ref="AU41:AY41"/>
    <mergeCell ref="AU42:AY42"/>
    <mergeCell ref="AU43:AY43"/>
    <mergeCell ref="AU44:AY44"/>
    <mergeCell ref="AU46:AY46"/>
    <mergeCell ref="AU47:AY47"/>
    <mergeCell ref="AU30:AY30"/>
    <mergeCell ref="AZ30:BD30"/>
    <mergeCell ref="BE30:BI30"/>
    <mergeCell ref="BJ30:BN30"/>
    <mergeCell ref="BO30:BS30"/>
    <mergeCell ref="BT30:BX30"/>
    <mergeCell ref="BY30:CC30"/>
    <mergeCell ref="AU31:AY31"/>
    <mergeCell ref="AZ31:BD31"/>
    <mergeCell ref="BE31:BI31"/>
    <mergeCell ref="BJ31:BN31"/>
    <mergeCell ref="BO31:BS31"/>
    <mergeCell ref="BT31:BX31"/>
    <mergeCell ref="BY31:CC31"/>
    <mergeCell ref="AU29:AY29"/>
    <mergeCell ref="AZ29:BD29"/>
    <mergeCell ref="BE29:BI29"/>
    <mergeCell ref="BJ29:BN29"/>
    <mergeCell ref="BO29:BS29"/>
    <mergeCell ref="BT29:BX29"/>
    <mergeCell ref="BY29:CC29"/>
    <mergeCell ref="AZ26:BD26"/>
    <mergeCell ref="BE26:BI26"/>
    <mergeCell ref="BJ26:BN26"/>
    <mergeCell ref="BO26:BS26"/>
    <mergeCell ref="BT26:BX26"/>
    <mergeCell ref="BY26:CC26"/>
    <mergeCell ref="AU27:AY27"/>
    <mergeCell ref="AZ27:BD27"/>
    <mergeCell ref="BE27:BI27"/>
    <mergeCell ref="BJ27:BN27"/>
    <mergeCell ref="BO27:BS27"/>
    <mergeCell ref="BT27:BX27"/>
    <mergeCell ref="BY27:CC27"/>
    <mergeCell ref="AU25:AY25"/>
    <mergeCell ref="AZ25:BD25"/>
    <mergeCell ref="BE25:BI25"/>
    <mergeCell ref="BJ25:BN25"/>
    <mergeCell ref="BO25:BS25"/>
    <mergeCell ref="BT25:BX25"/>
    <mergeCell ref="BY25:CC25"/>
    <mergeCell ref="AZ24:BD24"/>
    <mergeCell ref="AU22:AY22"/>
    <mergeCell ref="AZ22:BD22"/>
    <mergeCell ref="BE22:BI22"/>
    <mergeCell ref="BJ22:BN22"/>
    <mergeCell ref="BO22:BS22"/>
    <mergeCell ref="BT22:BX22"/>
    <mergeCell ref="BY22:CC22"/>
    <mergeCell ref="AU23:AY23"/>
    <mergeCell ref="AZ23:BD23"/>
    <mergeCell ref="BE23:BI23"/>
    <mergeCell ref="BJ23:BN23"/>
    <mergeCell ref="BO23:BS23"/>
    <mergeCell ref="BT23:BX23"/>
    <mergeCell ref="BY23:CC23"/>
    <mergeCell ref="AU20:AY20"/>
    <mergeCell ref="AZ20:BD20"/>
    <mergeCell ref="BE20:BI20"/>
    <mergeCell ref="BJ20:BN20"/>
    <mergeCell ref="BO20:BS20"/>
    <mergeCell ref="BT20:BX20"/>
    <mergeCell ref="BY20:CC20"/>
    <mergeCell ref="AU21:AY21"/>
    <mergeCell ref="AZ21:BD21"/>
    <mergeCell ref="BE21:BI21"/>
    <mergeCell ref="BJ21:BN21"/>
    <mergeCell ref="BO21:BS21"/>
    <mergeCell ref="BT21:BX21"/>
    <mergeCell ref="BY21:CC21"/>
    <mergeCell ref="AU18:AY18"/>
    <mergeCell ref="AZ18:BD18"/>
    <mergeCell ref="BE18:BI18"/>
    <mergeCell ref="BJ18:BN18"/>
    <mergeCell ref="BO18:BS18"/>
    <mergeCell ref="BT18:BX18"/>
    <mergeCell ref="BY18:CC18"/>
    <mergeCell ref="AU19:AY19"/>
    <mergeCell ref="AZ19:BD19"/>
    <mergeCell ref="BE19:BI19"/>
    <mergeCell ref="BJ19:BN19"/>
    <mergeCell ref="BO19:BS19"/>
    <mergeCell ref="BT19:BX19"/>
    <mergeCell ref="BY19:CC19"/>
    <mergeCell ref="BT16:BX16"/>
    <mergeCell ref="BY16:CC16"/>
    <mergeCell ref="AU17:AY17"/>
    <mergeCell ref="AZ17:BD17"/>
    <mergeCell ref="BE17:BI17"/>
    <mergeCell ref="BJ17:BN17"/>
    <mergeCell ref="BO17:BS17"/>
    <mergeCell ref="BT17:BX17"/>
    <mergeCell ref="BY17:CC17"/>
    <mergeCell ref="AU14:AY14"/>
    <mergeCell ref="AZ14:BD14"/>
    <mergeCell ref="BE14:BI14"/>
    <mergeCell ref="BJ14:BN14"/>
    <mergeCell ref="BO14:BS14"/>
    <mergeCell ref="BT14:BX14"/>
    <mergeCell ref="BY14:CC14"/>
    <mergeCell ref="AU15:AY15"/>
    <mergeCell ref="AZ15:BD15"/>
    <mergeCell ref="BE15:BI15"/>
    <mergeCell ref="BJ15:BN15"/>
    <mergeCell ref="BO15:BS15"/>
    <mergeCell ref="BT15:BX15"/>
    <mergeCell ref="BY15:CC15"/>
    <mergeCell ref="AU12:AY12"/>
    <mergeCell ref="AZ12:BD12"/>
    <mergeCell ref="BE12:BI12"/>
    <mergeCell ref="BJ12:BN12"/>
    <mergeCell ref="BO12:BS12"/>
    <mergeCell ref="BT12:BX12"/>
    <mergeCell ref="BY12:CC12"/>
    <mergeCell ref="AU13:AY13"/>
    <mergeCell ref="AZ13:BD13"/>
    <mergeCell ref="BE13:BI13"/>
    <mergeCell ref="BJ13:BN13"/>
    <mergeCell ref="BO13:BS13"/>
    <mergeCell ref="BT13:BX13"/>
    <mergeCell ref="BY13:CC13"/>
    <mergeCell ref="AU10:AY10"/>
    <mergeCell ref="AZ10:BD10"/>
    <mergeCell ref="BE10:BI10"/>
    <mergeCell ref="BJ10:BN10"/>
    <mergeCell ref="BO10:BS10"/>
    <mergeCell ref="BT10:BX10"/>
    <mergeCell ref="BY10:CC10"/>
    <mergeCell ref="AU11:AY11"/>
    <mergeCell ref="AZ11:BD11"/>
    <mergeCell ref="BE11:BI11"/>
    <mergeCell ref="BJ11:BN11"/>
    <mergeCell ref="BO11:BS11"/>
    <mergeCell ref="BT11:BX11"/>
    <mergeCell ref="BY11:CC11"/>
    <mergeCell ref="BO8:BS8"/>
    <mergeCell ref="BT8:BX8"/>
    <mergeCell ref="BY8:CC8"/>
    <mergeCell ref="AU9:AY9"/>
    <mergeCell ref="AZ9:BD9"/>
    <mergeCell ref="BE9:BI9"/>
    <mergeCell ref="BJ9:BN9"/>
    <mergeCell ref="BO9:BS9"/>
    <mergeCell ref="BT9:BX9"/>
    <mergeCell ref="BY9:CC9"/>
    <mergeCell ref="AA20:AE20"/>
    <mergeCell ref="AF20:AJ20"/>
    <mergeCell ref="AK20:AO20"/>
    <mergeCell ref="AA21:AE21"/>
    <mergeCell ref="AF21:AJ21"/>
    <mergeCell ref="AK21:AO21"/>
    <mergeCell ref="AA22:AE22"/>
    <mergeCell ref="AF22:AJ22"/>
    <mergeCell ref="AK22:AO22"/>
    <mergeCell ref="AA16:AE16"/>
    <mergeCell ref="AF16:AJ16"/>
    <mergeCell ref="AK16:AO16"/>
    <mergeCell ref="AK17:AO17"/>
    <mergeCell ref="AA18:AE18"/>
    <mergeCell ref="AF18:AJ18"/>
    <mergeCell ref="AK18:AO18"/>
    <mergeCell ref="AA19:AE19"/>
    <mergeCell ref="AF19:AJ19"/>
    <mergeCell ref="AK19:AO19"/>
    <mergeCell ref="G54:K54"/>
    <mergeCell ref="L54:P54"/>
    <mergeCell ref="Q54:U54"/>
    <mergeCell ref="V54:Z54"/>
    <mergeCell ref="AA54:AE54"/>
    <mergeCell ref="AF54:AJ54"/>
    <mergeCell ref="G55:K55"/>
    <mergeCell ref="L55:P55"/>
    <mergeCell ref="Q55:U55"/>
    <mergeCell ref="V55:Z55"/>
    <mergeCell ref="AA55:AE55"/>
    <mergeCell ref="AF55:AJ55"/>
    <mergeCell ref="G52:K52"/>
    <mergeCell ref="L52:P52"/>
    <mergeCell ref="Q52:U52"/>
    <mergeCell ref="V52:Z52"/>
    <mergeCell ref="AA52:AE52"/>
    <mergeCell ref="AF52:AJ52"/>
    <mergeCell ref="G53:K53"/>
    <mergeCell ref="L53:P53"/>
    <mergeCell ref="Q53:U53"/>
    <mergeCell ref="V53:Z53"/>
    <mergeCell ref="AA53:AE53"/>
    <mergeCell ref="AF53:AJ53"/>
    <mergeCell ref="G50:K50"/>
    <mergeCell ref="L50:P50"/>
    <mergeCell ref="Q50:U50"/>
    <mergeCell ref="V50:Z50"/>
    <mergeCell ref="AA50:AE50"/>
    <mergeCell ref="AF50:AJ50"/>
    <mergeCell ref="G51:K51"/>
    <mergeCell ref="L51:P51"/>
    <mergeCell ref="Q51:U51"/>
    <mergeCell ref="V51:Z51"/>
    <mergeCell ref="AA51:AE51"/>
    <mergeCell ref="AF51:AJ51"/>
    <mergeCell ref="G48:K48"/>
    <mergeCell ref="L48:P48"/>
    <mergeCell ref="Q48:U48"/>
    <mergeCell ref="V48:Z48"/>
    <mergeCell ref="AA48:AE48"/>
    <mergeCell ref="AF48:AJ48"/>
    <mergeCell ref="G49:K49"/>
    <mergeCell ref="L49:P49"/>
    <mergeCell ref="Q49:U49"/>
    <mergeCell ref="V49:Z49"/>
    <mergeCell ref="AA49:AE49"/>
    <mergeCell ref="AF49:AJ49"/>
    <mergeCell ref="G46:K46"/>
    <mergeCell ref="L46:P46"/>
    <mergeCell ref="Q46:U46"/>
    <mergeCell ref="V46:Z46"/>
    <mergeCell ref="AA46:AE46"/>
    <mergeCell ref="AF46:AJ46"/>
    <mergeCell ref="G47:K47"/>
    <mergeCell ref="L47:P47"/>
    <mergeCell ref="Q47:U47"/>
    <mergeCell ref="V47:Z47"/>
    <mergeCell ref="AA47:AE47"/>
    <mergeCell ref="AF47:AJ47"/>
    <mergeCell ref="G44:K44"/>
    <mergeCell ref="L44:P44"/>
    <mergeCell ref="Q44:U44"/>
    <mergeCell ref="V44:Z44"/>
    <mergeCell ref="AA44:AE44"/>
    <mergeCell ref="AF44:AJ44"/>
    <mergeCell ref="Q45:U45"/>
    <mergeCell ref="V45:Z45"/>
    <mergeCell ref="AA45:AE45"/>
    <mergeCell ref="AF45:AJ45"/>
    <mergeCell ref="G41:K41"/>
    <mergeCell ref="L41:P41"/>
    <mergeCell ref="Q41:U41"/>
    <mergeCell ref="V41:Z41"/>
    <mergeCell ref="AA41:AE41"/>
    <mergeCell ref="AF41:AJ41"/>
    <mergeCell ref="AA42:AE42"/>
    <mergeCell ref="AF42:AJ42"/>
    <mergeCell ref="G43:K43"/>
    <mergeCell ref="L43:P43"/>
    <mergeCell ref="Q43:U43"/>
    <mergeCell ref="V43:Z43"/>
    <mergeCell ref="AA43:AE43"/>
    <mergeCell ref="AF43:AJ43"/>
    <mergeCell ref="AA34:AE34"/>
    <mergeCell ref="AF34:AJ34"/>
    <mergeCell ref="AK34:AO34"/>
    <mergeCell ref="AA35:AE35"/>
    <mergeCell ref="AF35:AJ35"/>
    <mergeCell ref="AK35:AO35"/>
    <mergeCell ref="AA36:AE36"/>
    <mergeCell ref="AF36:AJ36"/>
    <mergeCell ref="Q40:U40"/>
    <mergeCell ref="V40:Z40"/>
    <mergeCell ref="AA40:AE40"/>
    <mergeCell ref="AF40:AJ40"/>
    <mergeCell ref="AA31:AE31"/>
    <mergeCell ref="AF31:AJ31"/>
    <mergeCell ref="AK31:AO31"/>
    <mergeCell ref="AA32:AE32"/>
    <mergeCell ref="AF32:AJ32"/>
    <mergeCell ref="AK32:AO32"/>
    <mergeCell ref="AA33:AE33"/>
    <mergeCell ref="AF33:AJ33"/>
    <mergeCell ref="AK33:AO33"/>
    <mergeCell ref="G24:K24"/>
    <mergeCell ref="L24:P24"/>
    <mergeCell ref="Q24:U24"/>
    <mergeCell ref="G25:K25"/>
    <mergeCell ref="L25:P25"/>
    <mergeCell ref="Q25:U25"/>
    <mergeCell ref="AK29:AO29"/>
    <mergeCell ref="AA30:AE30"/>
    <mergeCell ref="AF30:AJ30"/>
    <mergeCell ref="AK30:AO30"/>
    <mergeCell ref="G21:K21"/>
    <mergeCell ref="L21:P21"/>
    <mergeCell ref="Q21:U21"/>
    <mergeCell ref="G22:K22"/>
    <mergeCell ref="L22:P22"/>
    <mergeCell ref="Q22:U22"/>
    <mergeCell ref="G23:K23"/>
    <mergeCell ref="L23:P23"/>
    <mergeCell ref="Q23:U23"/>
    <mergeCell ref="G9:K9"/>
    <mergeCell ref="L17:P17"/>
    <mergeCell ref="Q17:U17"/>
    <mergeCell ref="G18:K18"/>
    <mergeCell ref="L18:P18"/>
    <mergeCell ref="Q18:U18"/>
    <mergeCell ref="G19:K19"/>
    <mergeCell ref="L19:P19"/>
    <mergeCell ref="Q19:U19"/>
    <mergeCell ref="G10:K10"/>
    <mergeCell ref="L10:P10"/>
    <mergeCell ref="Q10:U10"/>
    <mergeCell ref="G11:K11"/>
    <mergeCell ref="L11:P11"/>
    <mergeCell ref="Q11:U11"/>
    <mergeCell ref="G12:K12"/>
    <mergeCell ref="L12:P12"/>
    <mergeCell ref="Q12:U12"/>
    <mergeCell ref="Q16:U16"/>
    <mergeCell ref="G17:K17"/>
    <mergeCell ref="AZ58:BD58"/>
    <mergeCell ref="BT58:BX58"/>
    <mergeCell ref="AA58:AE58"/>
    <mergeCell ref="B58:F58"/>
    <mergeCell ref="G58:K58"/>
    <mergeCell ref="L58:P58"/>
    <mergeCell ref="Q58:U58"/>
    <mergeCell ref="V58:Z58"/>
    <mergeCell ref="AF58:AJ58"/>
    <mergeCell ref="BJ58:BN58"/>
    <mergeCell ref="BO58:BS58"/>
    <mergeCell ref="AP58:AT58"/>
    <mergeCell ref="AU58:AY58"/>
    <mergeCell ref="BE58:BI58"/>
    <mergeCell ref="AR28:AT28"/>
    <mergeCell ref="AR29:AT29"/>
    <mergeCell ref="AR27:AT27"/>
    <mergeCell ref="AK42:AR42"/>
    <mergeCell ref="AS42:AT42"/>
    <mergeCell ref="V38:Z39"/>
    <mergeCell ref="AF38:AJ39"/>
    <mergeCell ref="AA39:AE39"/>
    <mergeCell ref="X34:Z34"/>
    <mergeCell ref="AP24:AQ31"/>
    <mergeCell ref="AA29:AE29"/>
    <mergeCell ref="AF29:AJ29"/>
    <mergeCell ref="AK40:AY40"/>
    <mergeCell ref="X36:Z36"/>
    <mergeCell ref="X31:Z31"/>
    <mergeCell ref="AU24:AY24"/>
    <mergeCell ref="AR30:AT30"/>
    <mergeCell ref="AR31:AT31"/>
    <mergeCell ref="X33:Z33"/>
    <mergeCell ref="AR25:AT25"/>
    <mergeCell ref="AR26:AT26"/>
    <mergeCell ref="AK36:AO36"/>
    <mergeCell ref="AU26:AY26"/>
    <mergeCell ref="AU28:AY28"/>
    <mergeCell ref="BO32:CC32"/>
    <mergeCell ref="BY33:CC33"/>
    <mergeCell ref="BO33:BS33"/>
    <mergeCell ref="BT33:BX33"/>
    <mergeCell ref="BO37:BS37"/>
    <mergeCell ref="BP36:BS36"/>
    <mergeCell ref="BP35:BS35"/>
    <mergeCell ref="BO34:BS34"/>
    <mergeCell ref="BP39:BS39"/>
    <mergeCell ref="BY39:CC39"/>
    <mergeCell ref="BT34:BX34"/>
    <mergeCell ref="BY34:CC34"/>
    <mergeCell ref="BT35:BX35"/>
    <mergeCell ref="BY35:CC35"/>
    <mergeCell ref="BT36:BX36"/>
    <mergeCell ref="BY36:CC36"/>
    <mergeCell ref="BT37:BX37"/>
    <mergeCell ref="BY37:CC37"/>
    <mergeCell ref="BT38:BX38"/>
    <mergeCell ref="BY38:CC38"/>
    <mergeCell ref="AU55:AY55"/>
    <mergeCell ref="BO40:BS40"/>
    <mergeCell ref="BT43:BX43"/>
    <mergeCell ref="BO48:BS48"/>
    <mergeCell ref="BO47:BS47"/>
    <mergeCell ref="BO43:BS43"/>
    <mergeCell ref="BO45:BS45"/>
    <mergeCell ref="BT44:BX44"/>
    <mergeCell ref="BY44:CC44"/>
    <mergeCell ref="BT45:BX45"/>
    <mergeCell ref="BO46:BS46"/>
    <mergeCell ref="BT40:BX40"/>
    <mergeCell ref="BY40:CC40"/>
    <mergeCell ref="BT41:BX41"/>
    <mergeCell ref="BY41:CC41"/>
    <mergeCell ref="BT42:BX42"/>
    <mergeCell ref="BY42:CC42"/>
    <mergeCell ref="BJ50:BN50"/>
    <mergeCell ref="BE51:BI51"/>
    <mergeCell ref="BJ51:BN51"/>
    <mergeCell ref="BO49:BS49"/>
    <mergeCell ref="BP42:BS42"/>
    <mergeCell ref="BP41:BS41"/>
    <mergeCell ref="BY43:CC43"/>
    <mergeCell ref="AS48:AT48"/>
    <mergeCell ref="AS46:AT46"/>
    <mergeCell ref="BA51:BD51"/>
    <mergeCell ref="BA47:BD47"/>
    <mergeCell ref="BA46:BD46"/>
    <mergeCell ref="BA50:BD50"/>
    <mergeCell ref="AS53:AT53"/>
    <mergeCell ref="AO53:AR53"/>
    <mergeCell ref="AL49:AR49"/>
    <mergeCell ref="AS49:AT49"/>
    <mergeCell ref="AU48:AY48"/>
    <mergeCell ref="AU49:AY49"/>
    <mergeCell ref="AU50:AY50"/>
    <mergeCell ref="AU51:AY51"/>
    <mergeCell ref="AU52:AY52"/>
    <mergeCell ref="AU53:AY53"/>
    <mergeCell ref="BO53:BS53"/>
    <mergeCell ref="AL51:AN54"/>
    <mergeCell ref="AO51:AR51"/>
    <mergeCell ref="AS51:AT51"/>
    <mergeCell ref="BO52:BS52"/>
    <mergeCell ref="AL50:AR50"/>
    <mergeCell ref="AS50:AT50"/>
    <mergeCell ref="BO50:BS50"/>
    <mergeCell ref="BO51:BS51"/>
    <mergeCell ref="AU54:AY54"/>
    <mergeCell ref="BJ44:BN44"/>
    <mergeCell ref="BE45:BI45"/>
    <mergeCell ref="BJ45:BN45"/>
    <mergeCell ref="BE46:BI46"/>
    <mergeCell ref="BJ46:BN46"/>
    <mergeCell ref="BE47:BI47"/>
    <mergeCell ref="BJ47:BN47"/>
    <mergeCell ref="BE48:BI48"/>
    <mergeCell ref="BJ48:BN48"/>
    <mergeCell ref="BJ49:BN49"/>
    <mergeCell ref="BE50:BI50"/>
    <mergeCell ref="BJ33:BN33"/>
    <mergeCell ref="AK43:AR43"/>
    <mergeCell ref="AS43:AT43"/>
    <mergeCell ref="AL55:AR55"/>
    <mergeCell ref="AS55:AT55"/>
    <mergeCell ref="AO54:AR54"/>
    <mergeCell ref="AS54:AT54"/>
    <mergeCell ref="BA43:BD43"/>
    <mergeCell ref="BA49:BD49"/>
    <mergeCell ref="BA48:BD48"/>
    <mergeCell ref="AL46:AR46"/>
    <mergeCell ref="BA45:BD45"/>
    <mergeCell ref="BA44:BD44"/>
    <mergeCell ref="AL47:AR47"/>
    <mergeCell ref="AS47:AT47"/>
    <mergeCell ref="AK41:AN41"/>
    <mergeCell ref="AK45:AY45"/>
    <mergeCell ref="BC37:BD37"/>
    <mergeCell ref="BA42:BD42"/>
    <mergeCell ref="AK44:AR44"/>
    <mergeCell ref="AS44:AT44"/>
    <mergeCell ref="BE44:BI44"/>
    <mergeCell ref="D36:F36"/>
    <mergeCell ref="D31:F31"/>
    <mergeCell ref="AO52:AR52"/>
    <mergeCell ref="AS52:AT52"/>
    <mergeCell ref="B51:F51"/>
    <mergeCell ref="B52:F52"/>
    <mergeCell ref="D33:F33"/>
    <mergeCell ref="D32:F32"/>
    <mergeCell ref="B42:F42"/>
    <mergeCell ref="B43:F43"/>
    <mergeCell ref="L38:P39"/>
    <mergeCell ref="B38:F39"/>
    <mergeCell ref="G38:K39"/>
    <mergeCell ref="G40:K40"/>
    <mergeCell ref="L40:P40"/>
    <mergeCell ref="Q38:U39"/>
    <mergeCell ref="B40:F40"/>
    <mergeCell ref="B41:F41"/>
    <mergeCell ref="B44:F44"/>
    <mergeCell ref="Q32:U32"/>
    <mergeCell ref="G33:K33"/>
    <mergeCell ref="L33:P33"/>
    <mergeCell ref="AK48:AK55"/>
    <mergeCell ref="AL48:AR48"/>
    <mergeCell ref="B55:F55"/>
    <mergeCell ref="D30:F30"/>
    <mergeCell ref="X32:Z32"/>
    <mergeCell ref="B45:F45"/>
    <mergeCell ref="B46:F46"/>
    <mergeCell ref="B47:F47"/>
    <mergeCell ref="B49:F49"/>
    <mergeCell ref="B50:F50"/>
    <mergeCell ref="B27:F28"/>
    <mergeCell ref="B48:F48"/>
    <mergeCell ref="V29:Z29"/>
    <mergeCell ref="Q29:U29"/>
    <mergeCell ref="G30:K30"/>
    <mergeCell ref="L30:P30"/>
    <mergeCell ref="Q30:U30"/>
    <mergeCell ref="Q28:U28"/>
    <mergeCell ref="L28:P28"/>
    <mergeCell ref="G27:K28"/>
    <mergeCell ref="Q33:U33"/>
    <mergeCell ref="G34:K34"/>
    <mergeCell ref="L34:P34"/>
    <mergeCell ref="Q34:U34"/>
    <mergeCell ref="G35:K35"/>
    <mergeCell ref="L35:P35"/>
    <mergeCell ref="B29:F29"/>
    <mergeCell ref="G29:K29"/>
    <mergeCell ref="L29:P29"/>
    <mergeCell ref="D35:F35"/>
    <mergeCell ref="D34:F34"/>
    <mergeCell ref="X35:Z35"/>
    <mergeCell ref="B54:F54"/>
    <mergeCell ref="B53:F53"/>
    <mergeCell ref="G31:K31"/>
    <mergeCell ref="L31:P31"/>
    <mergeCell ref="Q31:U31"/>
    <mergeCell ref="G32:K32"/>
    <mergeCell ref="L32:P32"/>
    <mergeCell ref="X30:Z30"/>
    <mergeCell ref="Q35:U35"/>
    <mergeCell ref="G36:K36"/>
    <mergeCell ref="L36:P36"/>
    <mergeCell ref="Q36:U36"/>
    <mergeCell ref="G42:K42"/>
    <mergeCell ref="L42:P42"/>
    <mergeCell ref="Q42:U42"/>
    <mergeCell ref="V42:Z42"/>
    <mergeCell ref="G45:K45"/>
    <mergeCell ref="L45:P45"/>
    <mergeCell ref="D25:F25"/>
    <mergeCell ref="D19:F19"/>
    <mergeCell ref="X13:Z13"/>
    <mergeCell ref="D17:F17"/>
    <mergeCell ref="C21:F21"/>
    <mergeCell ref="C22:F22"/>
    <mergeCell ref="B20:F20"/>
    <mergeCell ref="C16:F16"/>
    <mergeCell ref="E18:F18"/>
    <mergeCell ref="V17:Z17"/>
    <mergeCell ref="B14:F14"/>
    <mergeCell ref="W16:Z16"/>
    <mergeCell ref="W15:Z15"/>
    <mergeCell ref="W18:Z18"/>
    <mergeCell ref="X20:Z20"/>
    <mergeCell ref="Y21:Z21"/>
    <mergeCell ref="D23:F23"/>
    <mergeCell ref="C15:F15"/>
    <mergeCell ref="E24:F24"/>
    <mergeCell ref="G13:K13"/>
    <mergeCell ref="L13:P13"/>
    <mergeCell ref="Q13:U13"/>
    <mergeCell ref="G14:K14"/>
    <mergeCell ref="L14:P14"/>
    <mergeCell ref="L7:P7"/>
    <mergeCell ref="Q7:U7"/>
    <mergeCell ref="AF7:AJ7"/>
    <mergeCell ref="AK7:AO7"/>
    <mergeCell ref="AR10:AT10"/>
    <mergeCell ref="L8:P8"/>
    <mergeCell ref="W10:Z10"/>
    <mergeCell ref="V8:Z8"/>
    <mergeCell ref="AA8:AE8"/>
    <mergeCell ref="AF8:AJ8"/>
    <mergeCell ref="L9:P9"/>
    <mergeCell ref="Q9:U9"/>
    <mergeCell ref="AK8:AO8"/>
    <mergeCell ref="AA9:AE9"/>
    <mergeCell ref="AF9:AJ9"/>
    <mergeCell ref="AK9:AO9"/>
    <mergeCell ref="AA10:AE10"/>
    <mergeCell ref="AF10:AJ10"/>
    <mergeCell ref="AK10:AO10"/>
    <mergeCell ref="BO6:BS7"/>
    <mergeCell ref="W9:Z9"/>
    <mergeCell ref="BE7:BI7"/>
    <mergeCell ref="BJ7:BN7"/>
    <mergeCell ref="AP8:AQ15"/>
    <mergeCell ref="AU8:AY8"/>
    <mergeCell ref="AZ8:BD8"/>
    <mergeCell ref="AR9:AT9"/>
    <mergeCell ref="BY6:CC7"/>
    <mergeCell ref="AF15:AJ15"/>
    <mergeCell ref="AA11:AE11"/>
    <mergeCell ref="AF11:AJ11"/>
    <mergeCell ref="AK11:AO11"/>
    <mergeCell ref="AA12:AE12"/>
    <mergeCell ref="AF12:AJ12"/>
    <mergeCell ref="AK12:AO12"/>
    <mergeCell ref="AA13:AE13"/>
    <mergeCell ref="AF13:AJ13"/>
    <mergeCell ref="AK13:AO13"/>
    <mergeCell ref="AK14:AO14"/>
    <mergeCell ref="AA15:AE15"/>
    <mergeCell ref="AK15:AO15"/>
    <mergeCell ref="BE8:BI8"/>
    <mergeCell ref="BJ8:BN8"/>
    <mergeCell ref="AR20:AT20"/>
    <mergeCell ref="AR18:AT18"/>
    <mergeCell ref="E12:F12"/>
    <mergeCell ref="AR15:AT15"/>
    <mergeCell ref="D13:F13"/>
    <mergeCell ref="AR12:AT12"/>
    <mergeCell ref="Y12:Z12"/>
    <mergeCell ref="AR14:AT14"/>
    <mergeCell ref="AR13:AT13"/>
    <mergeCell ref="V14:Z14"/>
    <mergeCell ref="AA14:AE14"/>
    <mergeCell ref="AF14:AJ14"/>
    <mergeCell ref="AA17:AE17"/>
    <mergeCell ref="AF17:AJ17"/>
    <mergeCell ref="W19:Z19"/>
    <mergeCell ref="Q14:U14"/>
    <mergeCell ref="G15:K15"/>
    <mergeCell ref="L15:P15"/>
    <mergeCell ref="Q15:U15"/>
    <mergeCell ref="G16:K16"/>
    <mergeCell ref="L16:P16"/>
    <mergeCell ref="G20:K20"/>
    <mergeCell ref="L20:P20"/>
    <mergeCell ref="Q20:U20"/>
    <mergeCell ref="AR22:AT22"/>
    <mergeCell ref="AR23:AT23"/>
    <mergeCell ref="AU6:AY7"/>
    <mergeCell ref="AZ6:BD7"/>
    <mergeCell ref="AR19:AT19"/>
    <mergeCell ref="B8:F8"/>
    <mergeCell ref="G8:K8"/>
    <mergeCell ref="AP16:AQ23"/>
    <mergeCell ref="AU16:AY16"/>
    <mergeCell ref="AZ16:BD16"/>
    <mergeCell ref="X22:Z22"/>
    <mergeCell ref="B6:F7"/>
    <mergeCell ref="G6:K7"/>
    <mergeCell ref="V6:Z7"/>
    <mergeCell ref="AA6:AE7"/>
    <mergeCell ref="AP6:AT7"/>
    <mergeCell ref="AR11:AT11"/>
    <mergeCell ref="D11:F11"/>
    <mergeCell ref="C10:F10"/>
    <mergeCell ref="X11:Z11"/>
    <mergeCell ref="C9:F9"/>
    <mergeCell ref="Q8:U8"/>
    <mergeCell ref="AR17:AT17"/>
    <mergeCell ref="AR21:AT21"/>
    <mergeCell ref="BY58:CC58"/>
    <mergeCell ref="V27:Z28"/>
    <mergeCell ref="AA27:AE28"/>
    <mergeCell ref="AF28:AJ28"/>
    <mergeCell ref="AK28:AO28"/>
    <mergeCell ref="AZ32:BN32"/>
    <mergeCell ref="BB53:BD53"/>
    <mergeCell ref="BB54:BD54"/>
    <mergeCell ref="BB55:BD55"/>
    <mergeCell ref="BB56:BD56"/>
    <mergeCell ref="AQ35:AT35"/>
    <mergeCell ref="AU33:AY33"/>
    <mergeCell ref="AP33:AT33"/>
    <mergeCell ref="AP34:AT34"/>
    <mergeCell ref="AQ36:AT36"/>
    <mergeCell ref="AK58:AO58"/>
    <mergeCell ref="AK46:AK47"/>
    <mergeCell ref="AO41:AR41"/>
    <mergeCell ref="AS41:AT41"/>
    <mergeCell ref="BA35:BD35"/>
    <mergeCell ref="AZ34:BD34"/>
    <mergeCell ref="AZ33:BD33"/>
    <mergeCell ref="BE33:BI33"/>
    <mergeCell ref="BE49:BI49"/>
  </mergeCells>
  <phoneticPr fontId="1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P87"/>
  <sheetViews>
    <sheetView view="pageBreakPreview" zoomScale="130" zoomScaleNormal="120" zoomScaleSheetLayoutView="130" workbookViewId="0"/>
  </sheetViews>
  <sheetFormatPr defaultColWidth="9" defaultRowHeight="12" x14ac:dyDescent="0.15"/>
  <cols>
    <col min="1" max="1" width="1.875" style="27" customWidth="1"/>
    <col min="2" max="2" width="1" style="1" customWidth="1"/>
    <col min="3" max="3" width="0.875" style="4" customWidth="1"/>
    <col min="4" max="4" width="1.75" style="4" customWidth="1"/>
    <col min="5" max="5" width="4.5" style="4" customWidth="1"/>
    <col min="6" max="6" width="2.125" style="4" customWidth="1"/>
    <col min="7" max="19" width="2" style="1" customWidth="1"/>
    <col min="20" max="20" width="1.25" style="1" customWidth="1"/>
    <col min="21" max="21" width="2.5" style="1" customWidth="1"/>
    <col min="22" max="26" width="2" style="1" customWidth="1"/>
    <col min="27" max="31" width="1" style="1" customWidth="1"/>
    <col min="32" max="32" width="6" style="1" customWidth="1"/>
    <col min="33" max="37" width="2" style="1" customWidth="1"/>
    <col min="38" max="39" width="1.125" style="1" customWidth="1"/>
    <col min="40" max="42" width="1.25" style="1" customWidth="1"/>
    <col min="43" max="43" width="4.125" style="1" customWidth="1"/>
    <col min="44" max="44" width="1.25" style="1" customWidth="1"/>
    <col min="45" max="45" width="3" style="1" customWidth="1"/>
    <col min="46" max="48" width="2" style="1" customWidth="1"/>
    <col min="49" max="51" width="1.125" style="1" customWidth="1"/>
    <col min="52" max="52" width="1" style="1" customWidth="1"/>
    <col min="53" max="53" width="5.625" style="1" customWidth="1"/>
    <col min="54" max="58" width="2" style="1" customWidth="1"/>
    <col min="59" max="60" width="1.625" style="1" customWidth="1"/>
    <col min="61" max="61" width="1.125" style="1" customWidth="1"/>
    <col min="62" max="62" width="4.125" style="1" customWidth="1"/>
    <col min="63" max="63" width="1.625" style="1" customWidth="1"/>
    <col min="64" max="68" width="2" style="1" customWidth="1"/>
    <col min="69" max="86" width="2.625" style="1" customWidth="1"/>
    <col min="87" max="407" width="9" style="1" customWidth="1"/>
    <col min="408" max="16384" width="9" style="1"/>
  </cols>
  <sheetData>
    <row r="1" spans="1:68" ht="14.25" customHeight="1" x14ac:dyDescent="0.15">
      <c r="B1" s="58" t="str">
        <f>AR4&amp;"年　農業経営統計調査（営農類型別経営統計（農業経営体））　個別結果表No.４"</f>
        <v>0年　農業経営統計調査（営農類型別経営統計（農業経営体））　個別結果表No.４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11"/>
      <c r="AQ1" s="11"/>
      <c r="AR1" s="11"/>
      <c r="AS1" s="11"/>
      <c r="AT1" s="11"/>
      <c r="AU1" s="11"/>
      <c r="AV1" s="11"/>
    </row>
    <row r="2" spans="1:68" ht="10.5" customHeight="1" thickBot="1" x14ac:dyDescent="0.2"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11"/>
      <c r="AQ2" s="11"/>
      <c r="AR2" s="11"/>
      <c r="AS2" s="11"/>
      <c r="AT2" s="11"/>
      <c r="AU2" s="11"/>
      <c r="AV2" s="11"/>
    </row>
    <row r="3" spans="1:68" ht="10.5" customHeight="1" x14ac:dyDescent="0.1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272" t="s">
        <v>153</v>
      </c>
      <c r="AS3" s="1273"/>
      <c r="AT3" s="1273"/>
      <c r="AU3" s="1273"/>
      <c r="AV3" s="1274"/>
      <c r="AW3" s="1232" t="s">
        <v>240</v>
      </c>
      <c r="AX3" s="1233"/>
      <c r="AY3" s="1233"/>
      <c r="AZ3" s="1233"/>
      <c r="BA3" s="1233"/>
      <c r="BB3" s="1233"/>
      <c r="BC3" s="1233"/>
      <c r="BD3" s="1233"/>
      <c r="BE3" s="1233"/>
      <c r="BF3" s="1792"/>
      <c r="BG3" s="1276" t="s">
        <v>215</v>
      </c>
      <c r="BH3" s="1277"/>
      <c r="BI3" s="1277"/>
      <c r="BJ3" s="1277"/>
      <c r="BK3" s="1278"/>
      <c r="BL3" s="1279" t="s">
        <v>154</v>
      </c>
      <c r="BM3" s="1279"/>
      <c r="BN3" s="1279"/>
      <c r="BO3" s="1279"/>
      <c r="BP3" s="1280"/>
    </row>
    <row r="4" spans="1:68" ht="10.5" customHeight="1" thickBot="1" x14ac:dyDescent="0.2">
      <c r="A4" s="31"/>
      <c r="B4" s="36"/>
      <c r="C4" s="36"/>
      <c r="D4" s="36"/>
      <c r="E4" s="36"/>
      <c r="F4" s="36"/>
      <c r="G4" s="138"/>
      <c r="H4" s="138"/>
      <c r="I4" s="138"/>
      <c r="J4" s="138"/>
      <c r="K4" s="138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275">
        <f>'No1'!B5</f>
        <v>0</v>
      </c>
      <c r="AS4" s="1236"/>
      <c r="AT4" s="1236"/>
      <c r="AU4" s="1236"/>
      <c r="AV4" s="1236"/>
      <c r="AW4" s="1235" t="str">
        <f>IF('No1'!L5&lt;&gt;"",'No1'!L5,"")</f>
        <v/>
      </c>
      <c r="AX4" s="1236"/>
      <c r="AY4" s="1236"/>
      <c r="AZ4" s="1236"/>
      <c r="BA4" s="1236"/>
      <c r="BB4" s="1236"/>
      <c r="BC4" s="1236"/>
      <c r="BD4" s="1236"/>
      <c r="BE4" s="1236"/>
      <c r="BF4" s="1793"/>
      <c r="BG4" s="1281">
        <f>'No1'!AG5</f>
        <v>0</v>
      </c>
      <c r="BH4" s="1282"/>
      <c r="BI4" s="1282"/>
      <c r="BJ4" s="1282"/>
      <c r="BK4" s="1283"/>
      <c r="BL4" s="1284">
        <f>'No1'!AL5</f>
        <v>0</v>
      </c>
      <c r="BM4" s="1284"/>
      <c r="BN4" s="1284"/>
      <c r="BO4" s="1284"/>
      <c r="BP4" s="1285"/>
    </row>
    <row r="5" spans="1:68" ht="10.5" customHeight="1" thickBot="1" x14ac:dyDescent="0.2">
      <c r="A5" s="31"/>
      <c r="B5" s="1800" t="s">
        <v>282</v>
      </c>
      <c r="C5" s="1801"/>
      <c r="D5" s="1801"/>
      <c r="E5" s="1801"/>
      <c r="F5" s="1801"/>
      <c r="G5" s="1801"/>
      <c r="H5" s="1801"/>
      <c r="I5" s="1801"/>
      <c r="J5" s="1801"/>
      <c r="K5" s="1801"/>
      <c r="L5" s="1802" t="s">
        <v>483</v>
      </c>
      <c r="M5" s="1803"/>
      <c r="N5" s="1803"/>
      <c r="O5" s="1803"/>
      <c r="P5" s="1803"/>
      <c r="Q5" s="1803"/>
      <c r="R5" s="1803"/>
      <c r="S5" s="1803"/>
      <c r="T5" s="1803"/>
      <c r="U5" s="1803"/>
      <c r="V5" s="1803"/>
      <c r="W5" s="1803"/>
      <c r="X5" s="1803"/>
      <c r="Y5" s="1803"/>
      <c r="Z5" s="1804"/>
      <c r="AA5" s="140" t="s">
        <v>484</v>
      </c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1"/>
      <c r="AW5" s="92" t="s">
        <v>565</v>
      </c>
      <c r="AX5" s="93"/>
      <c r="AY5" s="93"/>
      <c r="AZ5" s="93"/>
      <c r="BA5" s="93"/>
      <c r="BB5" s="93"/>
      <c r="BC5" s="93"/>
      <c r="BD5" s="93"/>
      <c r="BE5" s="93"/>
      <c r="BF5" s="94"/>
      <c r="BG5" s="1805" t="s">
        <v>486</v>
      </c>
      <c r="BH5" s="1806"/>
      <c r="BI5" s="1806"/>
      <c r="BJ5" s="1806"/>
      <c r="BK5" s="1806"/>
      <c r="BL5" s="1806"/>
      <c r="BM5" s="1806"/>
      <c r="BN5" s="1806"/>
      <c r="BO5" s="1806"/>
      <c r="BP5" s="1807"/>
    </row>
    <row r="6" spans="1:68" ht="10.5" customHeight="1" x14ac:dyDescent="0.15">
      <c r="A6" s="31">
        <v>1</v>
      </c>
      <c r="B6" s="1808" t="s">
        <v>207</v>
      </c>
      <c r="C6" s="1579"/>
      <c r="D6" s="1579"/>
      <c r="E6" s="1579"/>
      <c r="F6" s="1579"/>
      <c r="G6" s="1579"/>
      <c r="H6" s="1579"/>
      <c r="I6" s="1579"/>
      <c r="J6" s="1579"/>
      <c r="K6" s="1579"/>
      <c r="L6" s="1809" t="s">
        <v>173</v>
      </c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  <c r="Z6" s="1580"/>
      <c r="AA6" s="1294" t="s">
        <v>59</v>
      </c>
      <c r="AB6" s="1294"/>
      <c r="AC6" s="1294"/>
      <c r="AD6" s="1294"/>
      <c r="AE6" s="1294"/>
      <c r="AF6" s="1295"/>
      <c r="AG6" s="1810" t="s">
        <v>496</v>
      </c>
      <c r="AH6" s="1811"/>
      <c r="AI6" s="1811"/>
      <c r="AJ6" s="1811"/>
      <c r="AK6" s="1812"/>
      <c r="AL6" s="1315" t="s">
        <v>59</v>
      </c>
      <c r="AM6" s="1294"/>
      <c r="AN6" s="1294"/>
      <c r="AO6" s="1294"/>
      <c r="AP6" s="1294"/>
      <c r="AQ6" s="1295"/>
      <c r="AR6" s="1810" t="s">
        <v>497</v>
      </c>
      <c r="AS6" s="1811"/>
      <c r="AT6" s="1811"/>
      <c r="AU6" s="1811"/>
      <c r="AV6" s="1812"/>
      <c r="AW6" s="1534" t="s">
        <v>59</v>
      </c>
      <c r="AX6" s="1297"/>
      <c r="AY6" s="1297"/>
      <c r="AZ6" s="1297"/>
      <c r="BA6" s="1298"/>
      <c r="BB6" s="1813" t="s">
        <v>60</v>
      </c>
      <c r="BC6" s="1814"/>
      <c r="BD6" s="1814"/>
      <c r="BE6" s="1814"/>
      <c r="BF6" s="1815"/>
      <c r="BG6" s="1816" t="s">
        <v>262</v>
      </c>
      <c r="BH6" s="1817"/>
      <c r="BI6" s="1817"/>
      <c r="BJ6" s="1817"/>
      <c r="BK6" s="1818"/>
      <c r="BL6" s="1737"/>
      <c r="BM6" s="1738"/>
      <c r="BN6" s="1738"/>
      <c r="BO6" s="1738"/>
      <c r="BP6" s="1739"/>
    </row>
    <row r="7" spans="1:68" ht="10.5" customHeight="1" x14ac:dyDescent="0.15">
      <c r="A7" s="31">
        <v>2</v>
      </c>
      <c r="B7" s="1658" t="s">
        <v>114</v>
      </c>
      <c r="C7" s="1645"/>
      <c r="D7" s="1645"/>
      <c r="E7" s="1645"/>
      <c r="F7" s="1645"/>
      <c r="G7" s="1584"/>
      <c r="H7" s="1585"/>
      <c r="I7" s="1585"/>
      <c r="J7" s="1585"/>
      <c r="K7" s="1585"/>
      <c r="L7" s="1794" t="s">
        <v>274</v>
      </c>
      <c r="M7" s="1440" t="s">
        <v>174</v>
      </c>
      <c r="N7" s="1441"/>
      <c r="O7" s="1441"/>
      <c r="P7" s="1441"/>
      <c r="Q7" s="1441"/>
      <c r="R7" s="1441"/>
      <c r="S7" s="1441"/>
      <c r="T7" s="1442"/>
      <c r="U7" s="325" t="s">
        <v>164</v>
      </c>
      <c r="V7" s="1584"/>
      <c r="W7" s="1585"/>
      <c r="X7" s="1585"/>
      <c r="Y7" s="1585"/>
      <c r="Z7" s="1586"/>
      <c r="AA7" s="1409" t="s">
        <v>93</v>
      </c>
      <c r="AB7" s="1664"/>
      <c r="AC7" s="1664"/>
      <c r="AD7" s="1664"/>
      <c r="AE7" s="1664"/>
      <c r="AF7" s="1791"/>
      <c r="AG7" s="1584"/>
      <c r="AH7" s="1585"/>
      <c r="AI7" s="1585"/>
      <c r="AJ7" s="1585"/>
      <c r="AK7" s="1586"/>
      <c r="AL7" s="1408" t="s">
        <v>94</v>
      </c>
      <c r="AM7" s="1664"/>
      <c r="AN7" s="1664"/>
      <c r="AO7" s="1664"/>
      <c r="AP7" s="1664"/>
      <c r="AQ7" s="1791"/>
      <c r="AR7" s="1584"/>
      <c r="AS7" s="1585"/>
      <c r="AT7" s="1585"/>
      <c r="AU7" s="1585"/>
      <c r="AV7" s="1632"/>
      <c r="AW7" s="1658" t="s">
        <v>100</v>
      </c>
      <c r="AX7" s="1645"/>
      <c r="AY7" s="1645"/>
      <c r="AZ7" s="1645"/>
      <c r="BA7" s="1659"/>
      <c r="BB7" s="1584"/>
      <c r="BC7" s="1585"/>
      <c r="BD7" s="1585"/>
      <c r="BE7" s="1585"/>
      <c r="BF7" s="1632"/>
      <c r="BG7" s="326"/>
      <c r="BH7" s="1777" t="s">
        <v>210</v>
      </c>
      <c r="BI7" s="1595"/>
      <c r="BJ7" s="1595"/>
      <c r="BK7" s="1596"/>
      <c r="BL7" s="1737"/>
      <c r="BM7" s="1738"/>
      <c r="BN7" s="1738"/>
      <c r="BO7" s="1738"/>
      <c r="BP7" s="1739"/>
    </row>
    <row r="8" spans="1:68" ht="10.5" customHeight="1" x14ac:dyDescent="0.15">
      <c r="A8" s="31">
        <v>3</v>
      </c>
      <c r="B8" s="321"/>
      <c r="C8" s="1524" t="s">
        <v>474</v>
      </c>
      <c r="D8" s="1525"/>
      <c r="E8" s="1525"/>
      <c r="F8" s="1526"/>
      <c r="G8" s="1388"/>
      <c r="H8" s="1389"/>
      <c r="I8" s="1389"/>
      <c r="J8" s="1389"/>
      <c r="K8" s="1389"/>
      <c r="L8" s="1795"/>
      <c r="M8" s="1451" t="s">
        <v>175</v>
      </c>
      <c r="N8" s="1452"/>
      <c r="O8" s="1452"/>
      <c r="P8" s="1452"/>
      <c r="Q8" s="1452"/>
      <c r="R8" s="1452"/>
      <c r="S8" s="1452"/>
      <c r="T8" s="1453"/>
      <c r="U8" s="313" t="s">
        <v>163</v>
      </c>
      <c r="V8" s="1565"/>
      <c r="W8" s="1566"/>
      <c r="X8" s="1566"/>
      <c r="Y8" s="1566"/>
      <c r="Z8" s="1567"/>
      <c r="AA8" s="33"/>
      <c r="AB8" s="1319" t="s">
        <v>221</v>
      </c>
      <c r="AC8" s="1320"/>
      <c r="AD8" s="1320"/>
      <c r="AE8" s="1320"/>
      <c r="AF8" s="1321"/>
      <c r="AG8" s="1565"/>
      <c r="AH8" s="1566"/>
      <c r="AI8" s="1566"/>
      <c r="AJ8" s="1566"/>
      <c r="AK8" s="1567"/>
      <c r="AL8" s="310"/>
      <c r="AM8" s="1819" t="s">
        <v>95</v>
      </c>
      <c r="AN8" s="1325"/>
      <c r="AO8" s="1325"/>
      <c r="AP8" s="1325"/>
      <c r="AQ8" s="1326"/>
      <c r="AR8" s="1565"/>
      <c r="AS8" s="1566"/>
      <c r="AT8" s="1566"/>
      <c r="AU8" s="1566"/>
      <c r="AV8" s="1571"/>
      <c r="AW8" s="321"/>
      <c r="AX8" s="322"/>
      <c r="AY8" s="1524" t="s">
        <v>23</v>
      </c>
      <c r="AZ8" s="1525"/>
      <c r="BA8" s="1526"/>
      <c r="BB8" s="1565"/>
      <c r="BC8" s="1566"/>
      <c r="BD8" s="1566"/>
      <c r="BE8" s="1566"/>
      <c r="BF8" s="1571"/>
      <c r="BG8" s="326"/>
      <c r="BH8" s="1777" t="s">
        <v>211</v>
      </c>
      <c r="BI8" s="1595"/>
      <c r="BJ8" s="1595"/>
      <c r="BK8" s="1596"/>
      <c r="BL8" s="1737"/>
      <c r="BM8" s="1738"/>
      <c r="BN8" s="1738"/>
      <c r="BO8" s="1738"/>
      <c r="BP8" s="1739"/>
    </row>
    <row r="9" spans="1:68" ht="10.5" customHeight="1" x14ac:dyDescent="0.15">
      <c r="A9" s="31">
        <v>4</v>
      </c>
      <c r="B9" s="321"/>
      <c r="C9" s="1781" t="s">
        <v>42</v>
      </c>
      <c r="D9" s="1782"/>
      <c r="E9" s="1782"/>
      <c r="F9" s="1783"/>
      <c r="G9" s="1388"/>
      <c r="H9" s="1389"/>
      <c r="I9" s="1389"/>
      <c r="J9" s="1389"/>
      <c r="K9" s="1389"/>
      <c r="L9" s="1795"/>
      <c r="M9" s="1451" t="s">
        <v>183</v>
      </c>
      <c r="N9" s="1452"/>
      <c r="O9" s="1452"/>
      <c r="P9" s="1452"/>
      <c r="Q9" s="1452"/>
      <c r="R9" s="1452"/>
      <c r="S9" s="1452"/>
      <c r="T9" s="1453"/>
      <c r="U9" s="313" t="s">
        <v>163</v>
      </c>
      <c r="V9" s="1565"/>
      <c r="W9" s="1566"/>
      <c r="X9" s="1566"/>
      <c r="Y9" s="1566"/>
      <c r="Z9" s="1567"/>
      <c r="AA9" s="327"/>
      <c r="AB9" s="328"/>
      <c r="AC9" s="1319" t="s">
        <v>96</v>
      </c>
      <c r="AD9" s="1320"/>
      <c r="AE9" s="1320"/>
      <c r="AF9" s="1321"/>
      <c r="AG9" s="1565"/>
      <c r="AH9" s="1566"/>
      <c r="AI9" s="1566"/>
      <c r="AJ9" s="1566"/>
      <c r="AK9" s="1567"/>
      <c r="AL9" s="48"/>
      <c r="AM9" s="329"/>
      <c r="AN9" s="1319" t="s">
        <v>97</v>
      </c>
      <c r="AO9" s="1320"/>
      <c r="AP9" s="1338"/>
      <c r="AQ9" s="1339"/>
      <c r="AR9" s="1565"/>
      <c r="AS9" s="1566"/>
      <c r="AT9" s="1566"/>
      <c r="AU9" s="1566"/>
      <c r="AV9" s="1571"/>
      <c r="AW9" s="321"/>
      <c r="AX9" s="322"/>
      <c r="AY9" s="1524" t="s">
        <v>24</v>
      </c>
      <c r="AZ9" s="1525"/>
      <c r="BA9" s="1526"/>
      <c r="BB9" s="1565"/>
      <c r="BC9" s="1566"/>
      <c r="BD9" s="1566"/>
      <c r="BE9" s="1566"/>
      <c r="BF9" s="1571"/>
      <c r="BG9" s="326"/>
      <c r="BH9" s="1777" t="s">
        <v>212</v>
      </c>
      <c r="BI9" s="1595"/>
      <c r="BJ9" s="1595"/>
      <c r="BK9" s="1596"/>
      <c r="BL9" s="1737"/>
      <c r="BM9" s="1738"/>
      <c r="BN9" s="1738"/>
      <c r="BO9" s="1738"/>
      <c r="BP9" s="1739"/>
    </row>
    <row r="10" spans="1:68" ht="10.5" customHeight="1" x14ac:dyDescent="0.15">
      <c r="A10" s="31">
        <v>5</v>
      </c>
      <c r="B10" s="321"/>
      <c r="C10" s="1524" t="s">
        <v>475</v>
      </c>
      <c r="D10" s="1525"/>
      <c r="E10" s="1525"/>
      <c r="F10" s="1526"/>
      <c r="G10" s="1388"/>
      <c r="H10" s="1389"/>
      <c r="I10" s="1389"/>
      <c r="J10" s="1389"/>
      <c r="K10" s="1389"/>
      <c r="L10" s="1796"/>
      <c r="M10" s="1451" t="s">
        <v>184</v>
      </c>
      <c r="N10" s="1452"/>
      <c r="O10" s="1452"/>
      <c r="P10" s="1452"/>
      <c r="Q10" s="1452"/>
      <c r="R10" s="1452"/>
      <c r="S10" s="1452"/>
      <c r="T10" s="1453"/>
      <c r="U10" s="313" t="s">
        <v>163</v>
      </c>
      <c r="V10" s="1620"/>
      <c r="W10" s="1621"/>
      <c r="X10" s="1621"/>
      <c r="Y10" s="1621"/>
      <c r="Z10" s="1622"/>
      <c r="AA10" s="327"/>
      <c r="AB10" s="330"/>
      <c r="AC10" s="328"/>
      <c r="AD10" s="1377" t="s">
        <v>206</v>
      </c>
      <c r="AE10" s="1790"/>
      <c r="AF10" s="1378"/>
      <c r="AG10" s="1565"/>
      <c r="AH10" s="1566"/>
      <c r="AI10" s="1566"/>
      <c r="AJ10" s="1566"/>
      <c r="AK10" s="1567"/>
      <c r="AL10" s="310"/>
      <c r="AM10" s="329"/>
      <c r="AN10" s="1337" t="s">
        <v>72</v>
      </c>
      <c r="AO10" s="1338"/>
      <c r="AP10" s="1338"/>
      <c r="AQ10" s="1339"/>
      <c r="AR10" s="1565"/>
      <c r="AS10" s="1566"/>
      <c r="AT10" s="1566"/>
      <c r="AU10" s="1566"/>
      <c r="AV10" s="1571"/>
      <c r="AW10" s="321"/>
      <c r="AX10" s="322"/>
      <c r="AY10" s="1524" t="s">
        <v>101</v>
      </c>
      <c r="AZ10" s="1525"/>
      <c r="BA10" s="1526"/>
      <c r="BB10" s="1565"/>
      <c r="BC10" s="1566"/>
      <c r="BD10" s="1566"/>
      <c r="BE10" s="1566"/>
      <c r="BF10" s="1571"/>
      <c r="BG10" s="326"/>
      <c r="BH10" s="1777" t="s">
        <v>213</v>
      </c>
      <c r="BI10" s="1595"/>
      <c r="BJ10" s="1595"/>
      <c r="BK10" s="1596"/>
      <c r="BL10" s="1737"/>
      <c r="BM10" s="1738"/>
      <c r="BN10" s="1738"/>
      <c r="BO10" s="1738"/>
      <c r="BP10" s="1739"/>
    </row>
    <row r="11" spans="1:68" ht="10.5" customHeight="1" x14ac:dyDescent="0.15">
      <c r="A11" s="31">
        <v>6</v>
      </c>
      <c r="B11" s="1701" t="s">
        <v>88</v>
      </c>
      <c r="C11" s="1525"/>
      <c r="D11" s="1525"/>
      <c r="E11" s="1525"/>
      <c r="F11" s="1526"/>
      <c r="G11" s="1388"/>
      <c r="H11" s="1389"/>
      <c r="I11" s="1389"/>
      <c r="J11" s="1389"/>
      <c r="K11" s="1389"/>
      <c r="L11" s="1774" t="s">
        <v>275</v>
      </c>
      <c r="M11" s="1440" t="s">
        <v>36</v>
      </c>
      <c r="N11" s="1441"/>
      <c r="O11" s="1441"/>
      <c r="P11" s="1441"/>
      <c r="Q11" s="1441"/>
      <c r="R11" s="1441"/>
      <c r="S11" s="1441"/>
      <c r="T11" s="1442"/>
      <c r="U11" s="311" t="s">
        <v>38</v>
      </c>
      <c r="V11" s="1584"/>
      <c r="W11" s="1585"/>
      <c r="X11" s="1585"/>
      <c r="Y11" s="1585"/>
      <c r="Z11" s="1586"/>
      <c r="AA11" s="130"/>
      <c r="AB11" s="322"/>
      <c r="AC11" s="331"/>
      <c r="AD11" s="1524" t="s">
        <v>442</v>
      </c>
      <c r="AE11" s="1525"/>
      <c r="AF11" s="1526"/>
      <c r="AG11" s="1565"/>
      <c r="AH11" s="1566"/>
      <c r="AI11" s="1566"/>
      <c r="AJ11" s="1566"/>
      <c r="AK11" s="1567"/>
      <c r="AL11" s="310"/>
      <c r="AM11" s="329"/>
      <c r="AN11" s="1337" t="s">
        <v>1</v>
      </c>
      <c r="AO11" s="1338"/>
      <c r="AP11" s="1338"/>
      <c r="AQ11" s="1339"/>
      <c r="AR11" s="1565"/>
      <c r="AS11" s="1566"/>
      <c r="AT11" s="1566"/>
      <c r="AU11" s="1566"/>
      <c r="AV11" s="1571"/>
      <c r="AW11" s="321"/>
      <c r="AX11" s="322"/>
      <c r="AY11" s="1524" t="s">
        <v>25</v>
      </c>
      <c r="AZ11" s="1525"/>
      <c r="BA11" s="1526"/>
      <c r="BB11" s="1565"/>
      <c r="BC11" s="1566"/>
      <c r="BD11" s="1566"/>
      <c r="BE11" s="1566"/>
      <c r="BF11" s="1571"/>
      <c r="BG11" s="326"/>
      <c r="BH11" s="1777" t="s">
        <v>214</v>
      </c>
      <c r="BI11" s="1595"/>
      <c r="BJ11" s="1595"/>
      <c r="BK11" s="1596"/>
      <c r="BL11" s="1737"/>
      <c r="BM11" s="1738"/>
      <c r="BN11" s="1738"/>
      <c r="BO11" s="1738"/>
      <c r="BP11" s="1739"/>
    </row>
    <row r="12" spans="1:68" ht="10.5" customHeight="1" x14ac:dyDescent="0.15">
      <c r="A12" s="31">
        <v>7</v>
      </c>
      <c r="B12" s="321"/>
      <c r="C12" s="1524" t="s">
        <v>476</v>
      </c>
      <c r="D12" s="1525"/>
      <c r="E12" s="1525"/>
      <c r="F12" s="1526"/>
      <c r="G12" s="1388"/>
      <c r="H12" s="1389"/>
      <c r="I12" s="1389"/>
      <c r="J12" s="1389"/>
      <c r="K12" s="1389"/>
      <c r="L12" s="1775"/>
      <c r="M12" s="1451" t="s">
        <v>185</v>
      </c>
      <c r="N12" s="1452"/>
      <c r="O12" s="1452"/>
      <c r="P12" s="1452"/>
      <c r="Q12" s="1452"/>
      <c r="R12" s="1452"/>
      <c r="S12" s="1452"/>
      <c r="T12" s="1453"/>
      <c r="U12" s="313" t="s">
        <v>566</v>
      </c>
      <c r="V12" s="1565"/>
      <c r="W12" s="1566"/>
      <c r="X12" s="1566"/>
      <c r="Y12" s="1566"/>
      <c r="Z12" s="1567"/>
      <c r="AA12" s="130"/>
      <c r="AB12" s="16"/>
      <c r="AC12" s="1704" t="s">
        <v>99</v>
      </c>
      <c r="AD12" s="1643"/>
      <c r="AE12" s="1643"/>
      <c r="AF12" s="1705"/>
      <c r="AG12" s="1565"/>
      <c r="AH12" s="1566"/>
      <c r="AI12" s="1566"/>
      <c r="AJ12" s="1566"/>
      <c r="AK12" s="1567"/>
      <c r="AL12" s="310"/>
      <c r="AM12" s="1319" t="s">
        <v>98</v>
      </c>
      <c r="AN12" s="1338"/>
      <c r="AO12" s="1338"/>
      <c r="AP12" s="1338"/>
      <c r="AQ12" s="1339"/>
      <c r="AR12" s="1565"/>
      <c r="AS12" s="1566"/>
      <c r="AT12" s="1566"/>
      <c r="AU12" s="1566"/>
      <c r="AV12" s="1571"/>
      <c r="AW12" s="321"/>
      <c r="AX12" s="322"/>
      <c r="AY12" s="1524" t="s">
        <v>102</v>
      </c>
      <c r="AZ12" s="1525"/>
      <c r="BA12" s="1526"/>
      <c r="BB12" s="1565"/>
      <c r="BC12" s="1566"/>
      <c r="BD12" s="1566"/>
      <c r="BE12" s="1566"/>
      <c r="BF12" s="1571"/>
      <c r="BG12" s="326"/>
      <c r="BH12" s="1777" t="s">
        <v>1</v>
      </c>
      <c r="BI12" s="1595"/>
      <c r="BJ12" s="1595"/>
      <c r="BK12" s="1596"/>
      <c r="BL12" s="1778"/>
      <c r="BM12" s="1779"/>
      <c r="BN12" s="1779"/>
      <c r="BO12" s="1779"/>
      <c r="BP12" s="1780"/>
    </row>
    <row r="13" spans="1:68" ht="10.5" customHeight="1" x14ac:dyDescent="0.15">
      <c r="A13" s="31">
        <v>8</v>
      </c>
      <c r="B13" s="321"/>
      <c r="C13" s="1781" t="s">
        <v>182</v>
      </c>
      <c r="D13" s="1782"/>
      <c r="E13" s="1782"/>
      <c r="F13" s="1783"/>
      <c r="G13" s="1388"/>
      <c r="H13" s="1389"/>
      <c r="I13" s="1389"/>
      <c r="J13" s="1389"/>
      <c r="K13" s="1389"/>
      <c r="L13" s="1775"/>
      <c r="M13" s="1784" t="s">
        <v>253</v>
      </c>
      <c r="N13" s="1785"/>
      <c r="O13" s="1785"/>
      <c r="P13" s="1785"/>
      <c r="Q13" s="1785"/>
      <c r="R13" s="1785"/>
      <c r="S13" s="1785"/>
      <c r="T13" s="1786"/>
      <c r="U13" s="313" t="s">
        <v>38</v>
      </c>
      <c r="V13" s="1565"/>
      <c r="W13" s="1566"/>
      <c r="X13" s="1566"/>
      <c r="Y13" s="1566"/>
      <c r="Z13" s="1567"/>
      <c r="AA13" s="130"/>
      <c r="AB13" s="322"/>
      <c r="AC13" s="16"/>
      <c r="AD13" s="1704" t="s">
        <v>0</v>
      </c>
      <c r="AE13" s="1525"/>
      <c r="AF13" s="1526"/>
      <c r="AG13" s="1565"/>
      <c r="AH13" s="1566"/>
      <c r="AI13" s="1566"/>
      <c r="AJ13" s="1566"/>
      <c r="AK13" s="1567"/>
      <c r="AL13" s="332"/>
      <c r="AM13" s="333"/>
      <c r="AN13" s="1319" t="s">
        <v>71</v>
      </c>
      <c r="AO13" s="1320"/>
      <c r="AP13" s="1320"/>
      <c r="AQ13" s="1321"/>
      <c r="AR13" s="1620"/>
      <c r="AS13" s="1621"/>
      <c r="AT13" s="1621"/>
      <c r="AU13" s="1621"/>
      <c r="AV13" s="1630"/>
      <c r="AW13" s="321"/>
      <c r="AX13" s="322"/>
      <c r="AY13" s="1524" t="s">
        <v>26</v>
      </c>
      <c r="AZ13" s="1525"/>
      <c r="BA13" s="1526"/>
      <c r="BB13" s="1565"/>
      <c r="BC13" s="1566"/>
      <c r="BD13" s="1566"/>
      <c r="BE13" s="1566"/>
      <c r="BF13" s="1571"/>
      <c r="BG13" s="1787" t="s">
        <v>567</v>
      </c>
      <c r="BH13" s="1788"/>
      <c r="BI13" s="1788"/>
      <c r="BJ13" s="1788"/>
      <c r="BK13" s="1789"/>
      <c r="BL13" s="1584"/>
      <c r="BM13" s="1585"/>
      <c r="BN13" s="1585"/>
      <c r="BO13" s="1585"/>
      <c r="BP13" s="1632"/>
    </row>
    <row r="14" spans="1:68" ht="10.5" customHeight="1" thickBot="1" x14ac:dyDescent="0.2">
      <c r="A14" s="31">
        <v>9</v>
      </c>
      <c r="B14" s="321"/>
      <c r="C14" s="1524" t="s">
        <v>477</v>
      </c>
      <c r="D14" s="1525"/>
      <c r="E14" s="1525"/>
      <c r="F14" s="1526"/>
      <c r="G14" s="1388"/>
      <c r="H14" s="1389"/>
      <c r="I14" s="1389"/>
      <c r="J14" s="1389"/>
      <c r="K14" s="1389"/>
      <c r="L14" s="1776"/>
      <c r="M14" s="1521" t="s">
        <v>254</v>
      </c>
      <c r="N14" s="1522"/>
      <c r="O14" s="1522"/>
      <c r="P14" s="1522"/>
      <c r="Q14" s="1522"/>
      <c r="R14" s="1522"/>
      <c r="S14" s="1522"/>
      <c r="T14" s="1523"/>
      <c r="U14" s="315" t="s">
        <v>38</v>
      </c>
      <c r="V14" s="1620"/>
      <c r="W14" s="1621"/>
      <c r="X14" s="1621"/>
      <c r="Y14" s="1621"/>
      <c r="Z14" s="1622"/>
      <c r="AA14" s="130"/>
      <c r="AB14" s="16"/>
      <c r="AC14" s="1704" t="s">
        <v>1</v>
      </c>
      <c r="AD14" s="1525"/>
      <c r="AE14" s="1525"/>
      <c r="AF14" s="1526"/>
      <c r="AG14" s="1565"/>
      <c r="AH14" s="1566"/>
      <c r="AI14" s="1566"/>
      <c r="AJ14" s="1566"/>
      <c r="AK14" s="1567"/>
      <c r="AL14" s="1769" t="s">
        <v>208</v>
      </c>
      <c r="AM14" s="1770"/>
      <c r="AN14" s="1770"/>
      <c r="AO14" s="1770"/>
      <c r="AP14" s="1770"/>
      <c r="AQ14" s="1771"/>
      <c r="AR14" s="1614"/>
      <c r="AS14" s="1615"/>
      <c r="AT14" s="1615"/>
      <c r="AU14" s="1615"/>
      <c r="AV14" s="1772"/>
      <c r="AW14" s="321"/>
      <c r="AX14" s="322"/>
      <c r="AY14" s="1524" t="s">
        <v>27</v>
      </c>
      <c r="AZ14" s="1525"/>
      <c r="BA14" s="1526"/>
      <c r="BB14" s="1565"/>
      <c r="BC14" s="1566"/>
      <c r="BD14" s="1566"/>
      <c r="BE14" s="1566"/>
      <c r="BF14" s="1571"/>
      <c r="BG14" s="334"/>
      <c r="BH14" s="1734" t="s">
        <v>217</v>
      </c>
      <c r="BI14" s="1735"/>
      <c r="BJ14" s="1735"/>
      <c r="BK14" s="1736"/>
      <c r="BL14" s="1737"/>
      <c r="BM14" s="1738"/>
      <c r="BN14" s="1738"/>
      <c r="BO14" s="1738"/>
      <c r="BP14" s="1739"/>
    </row>
    <row r="15" spans="1:68" ht="10.5" customHeight="1" thickBot="1" x14ac:dyDescent="0.2">
      <c r="A15" s="31">
        <v>10</v>
      </c>
      <c r="B15" s="1701" t="s">
        <v>89</v>
      </c>
      <c r="C15" s="1525"/>
      <c r="D15" s="1525"/>
      <c r="E15" s="1525"/>
      <c r="F15" s="1526"/>
      <c r="G15" s="1388"/>
      <c r="H15" s="1389"/>
      <c r="I15" s="1389"/>
      <c r="J15" s="1389"/>
      <c r="K15" s="1389"/>
      <c r="L15" s="1761" t="s">
        <v>190</v>
      </c>
      <c r="M15" s="1300"/>
      <c r="N15" s="1762"/>
      <c r="O15" s="1763" t="s">
        <v>186</v>
      </c>
      <c r="P15" s="1764"/>
      <c r="Q15" s="1764"/>
      <c r="R15" s="1764"/>
      <c r="S15" s="1764"/>
      <c r="T15" s="1765"/>
      <c r="U15" s="335" t="s">
        <v>39</v>
      </c>
      <c r="V15" s="1766"/>
      <c r="W15" s="1767"/>
      <c r="X15" s="1767"/>
      <c r="Y15" s="1767"/>
      <c r="Z15" s="1768"/>
      <c r="AA15" s="27"/>
      <c r="AB15" s="1704" t="s">
        <v>222</v>
      </c>
      <c r="AC15" s="1643"/>
      <c r="AD15" s="1643"/>
      <c r="AE15" s="1643"/>
      <c r="AF15" s="1705"/>
      <c r="AG15" s="1565"/>
      <c r="AH15" s="1566"/>
      <c r="AI15" s="1566"/>
      <c r="AJ15" s="1566"/>
      <c r="AK15" s="1567"/>
      <c r="AW15" s="321"/>
      <c r="AX15" s="322"/>
      <c r="AY15" s="1524" t="s">
        <v>28</v>
      </c>
      <c r="AZ15" s="1525"/>
      <c r="BA15" s="1526"/>
      <c r="BB15" s="1565"/>
      <c r="BC15" s="1566"/>
      <c r="BD15" s="1566"/>
      <c r="BE15" s="1566"/>
      <c r="BF15" s="1571"/>
      <c r="BG15" s="334"/>
      <c r="BH15" s="1773" t="s">
        <v>43</v>
      </c>
      <c r="BI15" s="1735"/>
      <c r="BJ15" s="1735"/>
      <c r="BK15" s="1736"/>
      <c r="BL15" s="1737"/>
      <c r="BM15" s="1738"/>
      <c r="BN15" s="1738"/>
      <c r="BO15" s="1738"/>
      <c r="BP15" s="1739"/>
    </row>
    <row r="16" spans="1:68" ht="10.5" customHeight="1" thickBot="1" x14ac:dyDescent="0.2">
      <c r="A16" s="31">
        <v>11</v>
      </c>
      <c r="B16" s="321"/>
      <c r="C16" s="1524" t="s">
        <v>64</v>
      </c>
      <c r="D16" s="1525"/>
      <c r="E16" s="1525"/>
      <c r="F16" s="1526"/>
      <c r="G16" s="1388"/>
      <c r="H16" s="1389"/>
      <c r="I16" s="1389"/>
      <c r="J16" s="1389"/>
      <c r="K16" s="1389"/>
      <c r="L16" s="1749" t="s">
        <v>189</v>
      </c>
      <c r="M16" s="1392"/>
      <c r="N16" s="1750"/>
      <c r="O16" s="1754" t="s">
        <v>187</v>
      </c>
      <c r="P16" s="1582"/>
      <c r="Q16" s="1582"/>
      <c r="R16" s="1582"/>
      <c r="S16" s="1582"/>
      <c r="T16" s="1583"/>
      <c r="U16" s="336" t="s">
        <v>164</v>
      </c>
      <c r="V16" s="1584"/>
      <c r="W16" s="1585"/>
      <c r="X16" s="1585"/>
      <c r="Y16" s="1585"/>
      <c r="Z16" s="1586"/>
      <c r="AA16" s="337"/>
      <c r="AB16" s="17"/>
      <c r="AC16" s="1748" t="s">
        <v>68</v>
      </c>
      <c r="AD16" s="1717"/>
      <c r="AE16" s="1717"/>
      <c r="AF16" s="1718"/>
      <c r="AG16" s="1565"/>
      <c r="AH16" s="1566"/>
      <c r="AI16" s="1566"/>
      <c r="AJ16" s="1566"/>
      <c r="AK16" s="1567"/>
      <c r="AL16" s="1755" t="s">
        <v>528</v>
      </c>
      <c r="AM16" s="1756"/>
      <c r="AN16" s="1756"/>
      <c r="AO16" s="1756"/>
      <c r="AP16" s="1756"/>
      <c r="AQ16" s="1757"/>
      <c r="AR16" s="1758"/>
      <c r="AS16" s="1759"/>
      <c r="AT16" s="1759"/>
      <c r="AU16" s="1759"/>
      <c r="AV16" s="1760"/>
      <c r="AW16" s="321"/>
      <c r="AX16" s="322"/>
      <c r="AY16" s="1524" t="s">
        <v>103</v>
      </c>
      <c r="AZ16" s="1525"/>
      <c r="BA16" s="1526"/>
      <c r="BB16" s="1565"/>
      <c r="BC16" s="1566"/>
      <c r="BD16" s="1566"/>
      <c r="BE16" s="1566"/>
      <c r="BF16" s="1571"/>
      <c r="BG16" s="12"/>
      <c r="BH16" s="338"/>
      <c r="BI16" s="1628" t="s">
        <v>218</v>
      </c>
      <c r="BJ16" s="1609"/>
      <c r="BK16" s="1747"/>
      <c r="BL16" s="1737"/>
      <c r="BM16" s="1738"/>
      <c r="BN16" s="1738"/>
      <c r="BO16" s="1738"/>
      <c r="BP16" s="1739"/>
    </row>
    <row r="17" spans="1:68" ht="10.5" customHeight="1" thickBot="1" x14ac:dyDescent="0.2">
      <c r="A17" s="31">
        <v>12</v>
      </c>
      <c r="B17" s="321"/>
      <c r="C17" s="1524" t="s">
        <v>479</v>
      </c>
      <c r="D17" s="1525"/>
      <c r="E17" s="1525"/>
      <c r="F17" s="1526"/>
      <c r="G17" s="1388"/>
      <c r="H17" s="1389"/>
      <c r="I17" s="1389"/>
      <c r="J17" s="1389"/>
      <c r="K17" s="1389"/>
      <c r="L17" s="1751"/>
      <c r="M17" s="1752"/>
      <c r="N17" s="1753"/>
      <c r="O17" s="1597" t="s">
        <v>188</v>
      </c>
      <c r="P17" s="1598"/>
      <c r="Q17" s="1598"/>
      <c r="R17" s="1598"/>
      <c r="S17" s="1598"/>
      <c r="T17" s="1599"/>
      <c r="U17" s="339" t="s">
        <v>163</v>
      </c>
      <c r="V17" s="1561"/>
      <c r="W17" s="1562"/>
      <c r="X17" s="1562"/>
      <c r="Y17" s="1562"/>
      <c r="Z17" s="1593"/>
      <c r="AA17" s="130"/>
      <c r="AB17" s="322"/>
      <c r="AC17" s="1748" t="s">
        <v>67</v>
      </c>
      <c r="AD17" s="1717"/>
      <c r="AE17" s="1717"/>
      <c r="AF17" s="1718"/>
      <c r="AG17" s="1565"/>
      <c r="AH17" s="1566"/>
      <c r="AI17" s="1566"/>
      <c r="AJ17" s="1566"/>
      <c r="AK17" s="1567"/>
      <c r="AV17" s="7"/>
      <c r="AW17" s="321"/>
      <c r="AX17" s="322"/>
      <c r="AY17" s="1524" t="s">
        <v>104</v>
      </c>
      <c r="AZ17" s="1525"/>
      <c r="BA17" s="1526"/>
      <c r="BB17" s="1565"/>
      <c r="BC17" s="1566"/>
      <c r="BD17" s="1566"/>
      <c r="BE17" s="1566"/>
      <c r="BF17" s="1571"/>
      <c r="BG17" s="334"/>
      <c r="BH17" s="1734" t="s">
        <v>23</v>
      </c>
      <c r="BI17" s="1735"/>
      <c r="BJ17" s="1735"/>
      <c r="BK17" s="1736"/>
      <c r="BL17" s="1737"/>
      <c r="BM17" s="1738"/>
      <c r="BN17" s="1738"/>
      <c r="BO17" s="1738"/>
      <c r="BP17" s="1739"/>
    </row>
    <row r="18" spans="1:68" ht="10.5" customHeight="1" x14ac:dyDescent="0.15">
      <c r="A18" s="31">
        <v>13</v>
      </c>
      <c r="B18" s="321"/>
      <c r="C18" s="1524" t="s">
        <v>478</v>
      </c>
      <c r="D18" s="1525"/>
      <c r="E18" s="1525"/>
      <c r="F18" s="1526"/>
      <c r="G18" s="1388"/>
      <c r="H18" s="1389"/>
      <c r="I18" s="1389"/>
      <c r="J18" s="1389"/>
      <c r="K18" s="1389"/>
      <c r="L18" s="1578" t="s">
        <v>167</v>
      </c>
      <c r="M18" s="1468"/>
      <c r="N18" s="1468"/>
      <c r="O18" s="1468"/>
      <c r="P18" s="1468"/>
      <c r="Q18" s="1468"/>
      <c r="R18" s="1468"/>
      <c r="S18" s="1468"/>
      <c r="T18" s="1468"/>
      <c r="U18" s="1468"/>
      <c r="V18" s="1579"/>
      <c r="W18" s="1579"/>
      <c r="X18" s="1579"/>
      <c r="Y18" s="1579"/>
      <c r="Z18" s="1580"/>
      <c r="AA18" s="130"/>
      <c r="AB18" s="322"/>
      <c r="AC18" s="1704" t="s">
        <v>66</v>
      </c>
      <c r="AD18" s="1525"/>
      <c r="AE18" s="1525"/>
      <c r="AF18" s="1526"/>
      <c r="AG18" s="1565"/>
      <c r="AH18" s="1566"/>
      <c r="AI18" s="1566"/>
      <c r="AJ18" s="1566"/>
      <c r="AK18" s="1567"/>
      <c r="AV18" s="7"/>
      <c r="AW18" s="321"/>
      <c r="AX18" s="322"/>
      <c r="AY18" s="1524" t="s">
        <v>105</v>
      </c>
      <c r="AZ18" s="1525"/>
      <c r="BA18" s="1526"/>
      <c r="BB18" s="1565"/>
      <c r="BC18" s="1566"/>
      <c r="BD18" s="1566"/>
      <c r="BE18" s="1566"/>
      <c r="BF18" s="1571"/>
      <c r="BG18" s="334"/>
      <c r="BH18" s="1734" t="s">
        <v>44</v>
      </c>
      <c r="BI18" s="1735"/>
      <c r="BJ18" s="1735"/>
      <c r="BK18" s="1736"/>
      <c r="BL18" s="1737"/>
      <c r="BM18" s="1738"/>
      <c r="BN18" s="1738"/>
      <c r="BO18" s="1738"/>
      <c r="BP18" s="1739"/>
    </row>
    <row r="19" spans="1:68" ht="10.5" customHeight="1" thickBot="1" x14ac:dyDescent="0.2">
      <c r="A19" s="31">
        <v>14</v>
      </c>
      <c r="B19" s="1701" t="s">
        <v>90</v>
      </c>
      <c r="C19" s="1525"/>
      <c r="D19" s="1525"/>
      <c r="E19" s="1525"/>
      <c r="F19" s="1526"/>
      <c r="G19" s="1388"/>
      <c r="H19" s="1389"/>
      <c r="I19" s="1389"/>
      <c r="J19" s="1389"/>
      <c r="K19" s="1389"/>
      <c r="L19" s="1745" t="s">
        <v>34</v>
      </c>
      <c r="M19" s="1723" t="s">
        <v>168</v>
      </c>
      <c r="N19" s="1582"/>
      <c r="O19" s="1582"/>
      <c r="P19" s="1582"/>
      <c r="Q19" s="1582"/>
      <c r="R19" s="1582"/>
      <c r="S19" s="1582"/>
      <c r="T19" s="1583"/>
      <c r="U19" s="325" t="s">
        <v>568</v>
      </c>
      <c r="V19" s="1584"/>
      <c r="W19" s="1585"/>
      <c r="X19" s="1585"/>
      <c r="Y19" s="1585"/>
      <c r="Z19" s="1586"/>
      <c r="AA19" s="133"/>
      <c r="AB19" s="340"/>
      <c r="AC19" s="1597" t="s">
        <v>526</v>
      </c>
      <c r="AD19" s="1598"/>
      <c r="AE19" s="1598"/>
      <c r="AF19" s="1599"/>
      <c r="AG19" s="1561"/>
      <c r="AH19" s="1562"/>
      <c r="AI19" s="1562"/>
      <c r="AJ19" s="1562"/>
      <c r="AK19" s="1593"/>
      <c r="AW19" s="321"/>
      <c r="AX19" s="322"/>
      <c r="AY19" s="1524" t="s">
        <v>106</v>
      </c>
      <c r="AZ19" s="1525"/>
      <c r="BA19" s="1526"/>
      <c r="BB19" s="1565"/>
      <c r="BC19" s="1566"/>
      <c r="BD19" s="1566"/>
      <c r="BE19" s="1566"/>
      <c r="BF19" s="1571"/>
      <c r="BG19" s="334"/>
      <c r="BH19" s="1734" t="s">
        <v>112</v>
      </c>
      <c r="BI19" s="1735"/>
      <c r="BJ19" s="1735"/>
      <c r="BK19" s="1736"/>
      <c r="BL19" s="1737"/>
      <c r="BM19" s="1738"/>
      <c r="BN19" s="1738"/>
      <c r="BO19" s="1738"/>
      <c r="BP19" s="1739"/>
    </row>
    <row r="20" spans="1:68" ht="10.5" customHeight="1" thickBot="1" x14ac:dyDescent="0.2">
      <c r="A20" s="31">
        <v>15</v>
      </c>
      <c r="B20" s="1701" t="s">
        <v>91</v>
      </c>
      <c r="C20" s="1525"/>
      <c r="D20" s="1525"/>
      <c r="E20" s="1525"/>
      <c r="F20" s="1526"/>
      <c r="G20" s="1388"/>
      <c r="H20" s="1389"/>
      <c r="I20" s="1389"/>
      <c r="J20" s="1389"/>
      <c r="K20" s="1389"/>
      <c r="L20" s="1746"/>
      <c r="M20" s="1740" t="s">
        <v>169</v>
      </c>
      <c r="N20" s="1522"/>
      <c r="O20" s="1522"/>
      <c r="P20" s="1522"/>
      <c r="Q20" s="1522"/>
      <c r="R20" s="1522"/>
      <c r="S20" s="1522"/>
      <c r="T20" s="1523"/>
      <c r="U20" s="315" t="s">
        <v>569</v>
      </c>
      <c r="V20" s="1620"/>
      <c r="W20" s="1621"/>
      <c r="X20" s="1621"/>
      <c r="Y20" s="1621"/>
      <c r="Z20" s="1622"/>
      <c r="AL20" s="52"/>
      <c r="AM20" s="52"/>
      <c r="AN20" s="52"/>
      <c r="AO20" s="52"/>
      <c r="AP20" s="52"/>
      <c r="AQ20" s="52"/>
      <c r="AW20" s="321"/>
      <c r="AX20" s="322"/>
      <c r="AY20" s="1524" t="s">
        <v>107</v>
      </c>
      <c r="AZ20" s="1525"/>
      <c r="BA20" s="1526"/>
      <c r="BB20" s="1565"/>
      <c r="BC20" s="1566"/>
      <c r="BD20" s="1566"/>
      <c r="BE20" s="1566"/>
      <c r="BF20" s="1571"/>
      <c r="BG20" s="326"/>
      <c r="BH20" s="1741" t="s">
        <v>1</v>
      </c>
      <c r="BI20" s="1742"/>
      <c r="BJ20" s="1742"/>
      <c r="BK20" s="1743"/>
      <c r="BL20" s="1660"/>
      <c r="BM20" s="1661"/>
      <c r="BN20" s="1661"/>
      <c r="BO20" s="1661"/>
      <c r="BP20" s="1744"/>
    </row>
    <row r="21" spans="1:68" ht="10.5" customHeight="1" x14ac:dyDescent="0.15">
      <c r="A21" s="31">
        <v>16</v>
      </c>
      <c r="B21" s="1701" t="s">
        <v>92</v>
      </c>
      <c r="C21" s="1643"/>
      <c r="D21" s="1643"/>
      <c r="E21" s="1643"/>
      <c r="F21" s="1705"/>
      <c r="G21" s="1719"/>
      <c r="H21" s="1720"/>
      <c r="I21" s="1720"/>
      <c r="J21" s="1720"/>
      <c r="K21" s="1720"/>
      <c r="L21" s="1721" t="s">
        <v>279</v>
      </c>
      <c r="M21" s="1723" t="s">
        <v>36</v>
      </c>
      <c r="N21" s="1582"/>
      <c r="O21" s="1582"/>
      <c r="P21" s="1582"/>
      <c r="Q21" s="1582"/>
      <c r="R21" s="1582"/>
      <c r="S21" s="1582"/>
      <c r="T21" s="1583"/>
      <c r="U21" s="336" t="s">
        <v>38</v>
      </c>
      <c r="V21" s="1584"/>
      <c r="W21" s="1585"/>
      <c r="X21" s="1585"/>
      <c r="Y21" s="1585"/>
      <c r="Z21" s="1586"/>
      <c r="AA21" s="66" t="s">
        <v>516</v>
      </c>
      <c r="AB21" s="66"/>
      <c r="AC21" s="66"/>
      <c r="AD21" s="66"/>
      <c r="AE21" s="66"/>
      <c r="AF21" s="66"/>
      <c r="AG21" s="66"/>
      <c r="AH21" s="8"/>
      <c r="AI21" s="66"/>
      <c r="AJ21" s="66"/>
      <c r="AK21" s="66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321"/>
      <c r="AX21" s="322"/>
      <c r="AY21" s="1524" t="s">
        <v>108</v>
      </c>
      <c r="AZ21" s="1525"/>
      <c r="BA21" s="1526"/>
      <c r="BB21" s="1565"/>
      <c r="BC21" s="1566"/>
      <c r="BD21" s="1566"/>
      <c r="BE21" s="1566"/>
      <c r="BF21" s="1571"/>
      <c r="BG21" s="1724" t="s">
        <v>129</v>
      </c>
      <c r="BH21" s="1725"/>
      <c r="BI21" s="1725"/>
      <c r="BJ21" s="1725"/>
      <c r="BK21" s="1725"/>
      <c r="BL21" s="1725"/>
      <c r="BM21" s="1725"/>
      <c r="BN21" s="1725"/>
      <c r="BO21" s="1725"/>
      <c r="BP21" s="1726"/>
    </row>
    <row r="22" spans="1:68" ht="10.5" customHeight="1" x14ac:dyDescent="0.15">
      <c r="A22" s="31">
        <v>17</v>
      </c>
      <c r="B22" s="1511" t="s">
        <v>115</v>
      </c>
      <c r="C22" s="1512"/>
      <c r="D22" s="1512"/>
      <c r="E22" s="1512"/>
      <c r="F22" s="1512"/>
      <c r="G22" s="1512"/>
      <c r="H22" s="1512"/>
      <c r="I22" s="1512"/>
      <c r="J22" s="1512"/>
      <c r="K22" s="1512"/>
      <c r="L22" s="1721"/>
      <c r="M22" s="1662" t="s">
        <v>170</v>
      </c>
      <c r="N22" s="1525"/>
      <c r="O22" s="1525"/>
      <c r="P22" s="1525"/>
      <c r="Q22" s="1525"/>
      <c r="R22" s="1525"/>
      <c r="S22" s="1525"/>
      <c r="T22" s="1526"/>
      <c r="U22" s="313" t="s">
        <v>566</v>
      </c>
      <c r="V22" s="1565"/>
      <c r="W22" s="1566"/>
      <c r="X22" s="1566"/>
      <c r="Y22" s="1566"/>
      <c r="Z22" s="1567"/>
      <c r="AA22" s="1300" t="s">
        <v>290</v>
      </c>
      <c r="AB22" s="1300"/>
      <c r="AC22" s="1300"/>
      <c r="AD22" s="1300"/>
      <c r="AE22" s="1300"/>
      <c r="AF22" s="1396"/>
      <c r="AG22" s="1528" t="s">
        <v>60</v>
      </c>
      <c r="AH22" s="1528"/>
      <c r="AI22" s="1528"/>
      <c r="AJ22" s="1528"/>
      <c r="AK22" s="1528"/>
      <c r="AL22" s="1727" t="s">
        <v>123</v>
      </c>
      <c r="AM22" s="1727"/>
      <c r="AN22" s="1727"/>
      <c r="AO22" s="1727"/>
      <c r="AP22" s="1727"/>
      <c r="AQ22" s="1727"/>
      <c r="AR22" s="1727" t="s">
        <v>122</v>
      </c>
      <c r="AS22" s="1727"/>
      <c r="AT22" s="1727"/>
      <c r="AU22" s="1727"/>
      <c r="AV22" s="1728"/>
      <c r="AW22" s="321"/>
      <c r="AX22" s="322"/>
      <c r="AY22" s="1524" t="s">
        <v>109</v>
      </c>
      <c r="AZ22" s="1525"/>
      <c r="BA22" s="1526"/>
      <c r="BB22" s="1565"/>
      <c r="BC22" s="1566"/>
      <c r="BD22" s="1566"/>
      <c r="BE22" s="1566"/>
      <c r="BF22" s="1571"/>
      <c r="BG22" s="1671" t="s">
        <v>202</v>
      </c>
      <c r="BH22" s="1672"/>
      <c r="BI22" s="1729" t="s">
        <v>246</v>
      </c>
      <c r="BJ22" s="1730"/>
      <c r="BK22" s="341" t="s">
        <v>46</v>
      </c>
      <c r="BL22" s="1731"/>
      <c r="BM22" s="1732"/>
      <c r="BN22" s="1732"/>
      <c r="BO22" s="1732"/>
      <c r="BP22" s="1733"/>
    </row>
    <row r="23" spans="1:68" ht="10.5" customHeight="1" thickBot="1" x14ac:dyDescent="0.2">
      <c r="A23" s="31">
        <v>18</v>
      </c>
      <c r="B23" s="1658" t="s">
        <v>116</v>
      </c>
      <c r="C23" s="1645"/>
      <c r="D23" s="1645"/>
      <c r="E23" s="1645"/>
      <c r="F23" s="1645"/>
      <c r="G23" s="1699"/>
      <c r="H23" s="1700"/>
      <c r="I23" s="1700"/>
      <c r="J23" s="1700"/>
      <c r="K23" s="1700"/>
      <c r="L23" s="1721"/>
      <c r="M23" s="1642" t="s">
        <v>354</v>
      </c>
      <c r="N23" s="1686"/>
      <c r="O23" s="1686"/>
      <c r="P23" s="1686"/>
      <c r="Q23" s="1524" t="s">
        <v>36</v>
      </c>
      <c r="R23" s="1525"/>
      <c r="S23" s="1525"/>
      <c r="T23" s="1526"/>
      <c r="U23" s="313" t="s">
        <v>38</v>
      </c>
      <c r="V23" s="1565"/>
      <c r="W23" s="1566"/>
      <c r="X23" s="1566"/>
      <c r="Y23" s="1566"/>
      <c r="Z23" s="1567"/>
      <c r="AA23" s="1331" t="s">
        <v>230</v>
      </c>
      <c r="AB23" s="1331"/>
      <c r="AC23" s="1331"/>
      <c r="AD23" s="1331"/>
      <c r="AE23" s="1331"/>
      <c r="AF23" s="1332"/>
      <c r="AG23" s="1679"/>
      <c r="AH23" s="1679"/>
      <c r="AI23" s="1679"/>
      <c r="AJ23" s="1679"/>
      <c r="AK23" s="1679"/>
      <c r="AL23" s="1712"/>
      <c r="AM23" s="1712"/>
      <c r="AN23" s="1712"/>
      <c r="AO23" s="1712"/>
      <c r="AP23" s="1712"/>
      <c r="AQ23" s="1712"/>
      <c r="AR23" s="1713"/>
      <c r="AS23" s="1714"/>
      <c r="AT23" s="1714"/>
      <c r="AU23" s="1714"/>
      <c r="AV23" s="1715"/>
      <c r="AW23" s="321"/>
      <c r="AX23" s="322"/>
      <c r="AY23" s="1716" t="s">
        <v>110</v>
      </c>
      <c r="AZ23" s="1717"/>
      <c r="BA23" s="1718"/>
      <c r="BB23" s="1565"/>
      <c r="BC23" s="1566"/>
      <c r="BD23" s="1566"/>
      <c r="BE23" s="1566"/>
      <c r="BF23" s="1571"/>
      <c r="BG23" s="1708" t="s">
        <v>176</v>
      </c>
      <c r="BH23" s="1709"/>
      <c r="BI23" s="1675" t="s">
        <v>247</v>
      </c>
      <c r="BJ23" s="1676"/>
      <c r="BK23" s="342" t="s">
        <v>46</v>
      </c>
      <c r="BL23" s="1584"/>
      <c r="BM23" s="1585"/>
      <c r="BN23" s="1585"/>
      <c r="BO23" s="1585"/>
      <c r="BP23" s="1632"/>
    </row>
    <row r="24" spans="1:68" ht="10.5" customHeight="1" x14ac:dyDescent="0.15">
      <c r="A24" s="31">
        <v>19</v>
      </c>
      <c r="B24" s="1701" t="s">
        <v>117</v>
      </c>
      <c r="C24" s="1525"/>
      <c r="D24" s="1525"/>
      <c r="E24" s="1525"/>
      <c r="F24" s="1526"/>
      <c r="G24" s="1565"/>
      <c r="H24" s="1566"/>
      <c r="I24" s="1566"/>
      <c r="J24" s="1566"/>
      <c r="K24" s="1566"/>
      <c r="L24" s="1721"/>
      <c r="M24" s="1687"/>
      <c r="N24" s="1688"/>
      <c r="O24" s="1688"/>
      <c r="P24" s="1688"/>
      <c r="Q24" s="1524" t="s">
        <v>355</v>
      </c>
      <c r="R24" s="1525"/>
      <c r="S24" s="1525"/>
      <c r="T24" s="1526"/>
      <c r="U24" s="313" t="s">
        <v>570</v>
      </c>
      <c r="V24" s="1565"/>
      <c r="W24" s="1566"/>
      <c r="X24" s="1566"/>
      <c r="Y24" s="1566"/>
      <c r="Z24" s="1567"/>
      <c r="AA24" s="343"/>
      <c r="AB24" s="1026" t="s">
        <v>118</v>
      </c>
      <c r="AC24" s="1027"/>
      <c r="AD24" s="1027"/>
      <c r="AE24" s="1027"/>
      <c r="AF24" s="1454"/>
      <c r="AG24" s="1679"/>
      <c r="AH24" s="1679"/>
      <c r="AI24" s="1679"/>
      <c r="AJ24" s="1679"/>
      <c r="AK24" s="1680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4"/>
      <c r="AW24" s="321"/>
      <c r="AX24" s="322"/>
      <c r="AY24" s="1704" t="s">
        <v>111</v>
      </c>
      <c r="AZ24" s="1525"/>
      <c r="BA24" s="1526"/>
      <c r="BB24" s="1565"/>
      <c r="BC24" s="1566"/>
      <c r="BD24" s="1566"/>
      <c r="BE24" s="1566"/>
      <c r="BF24" s="1571"/>
      <c r="BG24" s="1710"/>
      <c r="BH24" s="1711"/>
      <c r="BI24" s="1706" t="s">
        <v>248</v>
      </c>
      <c r="BJ24" s="1707"/>
      <c r="BK24" s="344" t="s">
        <v>47</v>
      </c>
      <c r="BL24" s="1620"/>
      <c r="BM24" s="1621"/>
      <c r="BN24" s="1621"/>
      <c r="BO24" s="1621"/>
      <c r="BP24" s="1630"/>
    </row>
    <row r="25" spans="1:68" ht="10.5" customHeight="1" x14ac:dyDescent="0.15">
      <c r="A25" s="31">
        <v>20</v>
      </c>
      <c r="B25" s="345"/>
      <c r="C25" s="1685" t="s">
        <v>209</v>
      </c>
      <c r="D25" s="1645"/>
      <c r="E25" s="1645"/>
      <c r="F25" s="1659"/>
      <c r="G25" s="1565"/>
      <c r="H25" s="1566"/>
      <c r="I25" s="1566"/>
      <c r="J25" s="1566"/>
      <c r="K25" s="1566"/>
      <c r="L25" s="1721"/>
      <c r="M25" s="1687"/>
      <c r="N25" s="1688"/>
      <c r="O25" s="1688"/>
      <c r="P25" s="1688"/>
      <c r="Q25" s="1524" t="s">
        <v>100</v>
      </c>
      <c r="R25" s="1525"/>
      <c r="S25" s="1525"/>
      <c r="T25" s="1526"/>
      <c r="U25" s="313" t="s">
        <v>570</v>
      </c>
      <c r="V25" s="1565"/>
      <c r="W25" s="1566"/>
      <c r="X25" s="1566"/>
      <c r="Y25" s="1566"/>
      <c r="Z25" s="1567"/>
      <c r="AA25" s="343"/>
      <c r="AB25" s="1026" t="s">
        <v>119</v>
      </c>
      <c r="AC25" s="1027"/>
      <c r="AD25" s="1027"/>
      <c r="AE25" s="1027"/>
      <c r="AF25" s="1454"/>
      <c r="AG25" s="1702"/>
      <c r="AH25" s="1702"/>
      <c r="AI25" s="1702"/>
      <c r="AJ25" s="1702"/>
      <c r="AK25" s="1703"/>
      <c r="AV25" s="7"/>
      <c r="AW25" s="321"/>
      <c r="AX25" s="322"/>
      <c r="AY25" s="346"/>
      <c r="AZ25" s="1377" t="s">
        <v>520</v>
      </c>
      <c r="BA25" s="1378"/>
      <c r="BB25" s="1565"/>
      <c r="BC25" s="1566"/>
      <c r="BD25" s="1566"/>
      <c r="BE25" s="1566"/>
      <c r="BF25" s="1571"/>
      <c r="BG25" s="1708" t="s">
        <v>201</v>
      </c>
      <c r="BH25" s="1709"/>
      <c r="BI25" s="1675" t="s">
        <v>247</v>
      </c>
      <c r="BJ25" s="1676"/>
      <c r="BK25" s="342" t="s">
        <v>46</v>
      </c>
      <c r="BL25" s="1584"/>
      <c r="BM25" s="1585"/>
      <c r="BN25" s="1585"/>
      <c r="BO25" s="1585"/>
      <c r="BP25" s="1632"/>
    </row>
    <row r="26" spans="1:68" ht="10.5" customHeight="1" x14ac:dyDescent="0.15">
      <c r="A26" s="31">
        <v>21</v>
      </c>
      <c r="B26" s="1701" t="s">
        <v>100</v>
      </c>
      <c r="C26" s="1525"/>
      <c r="D26" s="1525"/>
      <c r="E26" s="1525"/>
      <c r="F26" s="1526"/>
      <c r="G26" s="1565"/>
      <c r="H26" s="1566"/>
      <c r="I26" s="1566"/>
      <c r="J26" s="1566"/>
      <c r="K26" s="1566"/>
      <c r="L26" s="1721"/>
      <c r="M26" s="1689"/>
      <c r="N26" s="1690"/>
      <c r="O26" s="1690"/>
      <c r="P26" s="1690"/>
      <c r="Q26" s="1524" t="s">
        <v>116</v>
      </c>
      <c r="R26" s="1525"/>
      <c r="S26" s="1525"/>
      <c r="T26" s="1526"/>
      <c r="U26" s="313" t="s">
        <v>570</v>
      </c>
      <c r="V26" s="1565"/>
      <c r="W26" s="1566"/>
      <c r="X26" s="1566"/>
      <c r="Y26" s="1566"/>
      <c r="Z26" s="1567"/>
      <c r="AA26" s="343"/>
      <c r="AB26" s="1026" t="s">
        <v>120</v>
      </c>
      <c r="AC26" s="1027"/>
      <c r="AD26" s="1027"/>
      <c r="AE26" s="1027"/>
      <c r="AF26" s="1454"/>
      <c r="AG26" s="1702"/>
      <c r="AH26" s="1702"/>
      <c r="AI26" s="1702"/>
      <c r="AJ26" s="1702"/>
      <c r="AK26" s="1703"/>
      <c r="AV26" s="7"/>
      <c r="AW26" s="321"/>
      <c r="AX26" s="322"/>
      <c r="AY26" s="1704" t="s">
        <v>112</v>
      </c>
      <c r="AZ26" s="1643"/>
      <c r="BA26" s="1705"/>
      <c r="BB26" s="1565"/>
      <c r="BC26" s="1566"/>
      <c r="BD26" s="1566"/>
      <c r="BE26" s="1566"/>
      <c r="BF26" s="1571"/>
      <c r="BG26" s="1710"/>
      <c r="BH26" s="1711"/>
      <c r="BI26" s="1706" t="s">
        <v>249</v>
      </c>
      <c r="BJ26" s="1707"/>
      <c r="BK26" s="344" t="s">
        <v>47</v>
      </c>
      <c r="BL26" s="1620"/>
      <c r="BM26" s="1621"/>
      <c r="BN26" s="1621"/>
      <c r="BO26" s="1621"/>
      <c r="BP26" s="1630"/>
    </row>
    <row r="27" spans="1:68" ht="10.5" customHeight="1" x14ac:dyDescent="0.15">
      <c r="A27" s="31">
        <v>22</v>
      </c>
      <c r="B27" s="345"/>
      <c r="C27" s="1685" t="s">
        <v>181</v>
      </c>
      <c r="D27" s="1645"/>
      <c r="E27" s="1645"/>
      <c r="F27" s="1659"/>
      <c r="G27" s="1660"/>
      <c r="H27" s="1661"/>
      <c r="I27" s="1661"/>
      <c r="J27" s="1661"/>
      <c r="K27" s="1661"/>
      <c r="L27" s="1721"/>
      <c r="M27" s="1642" t="s">
        <v>571</v>
      </c>
      <c r="N27" s="1686"/>
      <c r="O27" s="1686"/>
      <c r="P27" s="1686"/>
      <c r="Q27" s="1524" t="s">
        <v>355</v>
      </c>
      <c r="R27" s="1525"/>
      <c r="S27" s="1525"/>
      <c r="T27" s="1526"/>
      <c r="U27" s="313" t="s">
        <v>570</v>
      </c>
      <c r="V27" s="1565"/>
      <c r="W27" s="1566"/>
      <c r="X27" s="1566"/>
      <c r="Y27" s="1566"/>
      <c r="Z27" s="1567"/>
      <c r="AA27" s="343"/>
      <c r="AB27" s="1691" t="s">
        <v>121</v>
      </c>
      <c r="AC27" s="1692"/>
      <c r="AD27" s="1692"/>
      <c r="AE27" s="1692"/>
      <c r="AF27" s="1693"/>
      <c r="AG27" s="1694"/>
      <c r="AH27" s="1694"/>
      <c r="AI27" s="1694"/>
      <c r="AJ27" s="1694"/>
      <c r="AK27" s="1695"/>
      <c r="AV27" s="7"/>
      <c r="AW27" s="321"/>
      <c r="AX27" s="1696" t="s">
        <v>572</v>
      </c>
      <c r="AY27" s="1697"/>
      <c r="AZ27" s="1697"/>
      <c r="BA27" s="1698"/>
      <c r="BB27" s="1565"/>
      <c r="BC27" s="1566"/>
      <c r="BD27" s="1566"/>
      <c r="BE27" s="1566"/>
      <c r="BF27" s="1571"/>
      <c r="BG27" s="1671" t="s">
        <v>286</v>
      </c>
      <c r="BH27" s="1672"/>
      <c r="BI27" s="1675" t="s">
        <v>250</v>
      </c>
      <c r="BJ27" s="1676"/>
      <c r="BK27" s="342" t="s">
        <v>46</v>
      </c>
      <c r="BL27" s="1584"/>
      <c r="BM27" s="1585"/>
      <c r="BN27" s="1585"/>
      <c r="BO27" s="1585"/>
      <c r="BP27" s="1632"/>
    </row>
    <row r="28" spans="1:68" ht="10.5" customHeight="1" thickBot="1" x14ac:dyDescent="0.2">
      <c r="A28" s="31">
        <v>23</v>
      </c>
      <c r="B28" s="1511" t="s">
        <v>239</v>
      </c>
      <c r="C28" s="1512"/>
      <c r="D28" s="1512"/>
      <c r="E28" s="1512"/>
      <c r="F28" s="1512"/>
      <c r="G28" s="1512"/>
      <c r="H28" s="1512"/>
      <c r="I28" s="1512"/>
      <c r="J28" s="1512"/>
      <c r="K28" s="1512"/>
      <c r="L28" s="1721"/>
      <c r="M28" s="1687"/>
      <c r="N28" s="1688"/>
      <c r="O28" s="1688"/>
      <c r="P28" s="1688"/>
      <c r="Q28" s="1524" t="s">
        <v>100</v>
      </c>
      <c r="R28" s="1525"/>
      <c r="S28" s="1525"/>
      <c r="T28" s="1526"/>
      <c r="U28" s="313" t="s">
        <v>570</v>
      </c>
      <c r="V28" s="1565"/>
      <c r="W28" s="1566"/>
      <c r="X28" s="1566"/>
      <c r="Y28" s="1566"/>
      <c r="Z28" s="1567"/>
      <c r="AA28" s="1677" t="s">
        <v>124</v>
      </c>
      <c r="AB28" s="1677"/>
      <c r="AC28" s="1677"/>
      <c r="AD28" s="1677"/>
      <c r="AE28" s="1677"/>
      <c r="AF28" s="1678"/>
      <c r="AG28" s="1679"/>
      <c r="AH28" s="1679"/>
      <c r="AI28" s="1679"/>
      <c r="AJ28" s="1679"/>
      <c r="AK28" s="1680"/>
      <c r="AW28" s="320"/>
      <c r="AX28" s="1681" t="s">
        <v>113</v>
      </c>
      <c r="AY28" s="1651"/>
      <c r="AZ28" s="1651"/>
      <c r="BA28" s="1682"/>
      <c r="BB28" s="1561"/>
      <c r="BC28" s="1562"/>
      <c r="BD28" s="1562"/>
      <c r="BE28" s="1562"/>
      <c r="BF28" s="1563"/>
      <c r="BG28" s="1673"/>
      <c r="BH28" s="1674"/>
      <c r="BI28" s="1683" t="s">
        <v>251</v>
      </c>
      <c r="BJ28" s="1684"/>
      <c r="BK28" s="347" t="s">
        <v>47</v>
      </c>
      <c r="BL28" s="1561"/>
      <c r="BM28" s="1562"/>
      <c r="BN28" s="1562"/>
      <c r="BO28" s="1562"/>
      <c r="BP28" s="1563"/>
    </row>
    <row r="29" spans="1:68" ht="10.5" customHeight="1" thickBot="1" x14ac:dyDescent="0.2">
      <c r="A29" s="31">
        <v>24</v>
      </c>
      <c r="B29" s="1658" t="s">
        <v>261</v>
      </c>
      <c r="C29" s="1645"/>
      <c r="D29" s="1645"/>
      <c r="E29" s="1645"/>
      <c r="F29" s="1645"/>
      <c r="G29" s="1699"/>
      <c r="H29" s="1700"/>
      <c r="I29" s="1700"/>
      <c r="J29" s="1700"/>
      <c r="K29" s="1700"/>
      <c r="L29" s="1721"/>
      <c r="M29" s="1689"/>
      <c r="N29" s="1690"/>
      <c r="O29" s="1690"/>
      <c r="P29" s="1690"/>
      <c r="Q29" s="1524" t="s">
        <v>116</v>
      </c>
      <c r="R29" s="1525"/>
      <c r="S29" s="1525"/>
      <c r="T29" s="1526"/>
      <c r="U29" s="313" t="s">
        <v>570</v>
      </c>
      <c r="V29" s="1565"/>
      <c r="W29" s="1566"/>
      <c r="X29" s="1566"/>
      <c r="Y29" s="1566"/>
      <c r="Z29" s="1567"/>
      <c r="AA29" s="1667" t="s">
        <v>125</v>
      </c>
      <c r="AB29" s="1667"/>
      <c r="AC29" s="1667"/>
      <c r="AD29" s="1667"/>
      <c r="AE29" s="1667"/>
      <c r="AF29" s="1668"/>
      <c r="AG29" s="1669"/>
      <c r="AH29" s="1669"/>
      <c r="AI29" s="1669"/>
      <c r="AJ29" s="1669"/>
      <c r="AK29" s="1670"/>
      <c r="BG29" s="1655" t="s">
        <v>487</v>
      </c>
      <c r="BH29" s="1656"/>
      <c r="BI29" s="1656"/>
      <c r="BJ29" s="1656"/>
      <c r="BK29" s="1656"/>
      <c r="BL29" s="1656"/>
      <c r="BM29" s="1656"/>
      <c r="BN29" s="1656"/>
      <c r="BO29" s="1656"/>
      <c r="BP29" s="1657"/>
    </row>
    <row r="30" spans="1:68" ht="10.5" customHeight="1" thickBot="1" x14ac:dyDescent="0.2">
      <c r="A30" s="31">
        <v>25</v>
      </c>
      <c r="B30" s="1666" t="s">
        <v>262</v>
      </c>
      <c r="C30" s="1525"/>
      <c r="D30" s="1525"/>
      <c r="E30" s="1525"/>
      <c r="F30" s="1526"/>
      <c r="G30" s="1565"/>
      <c r="H30" s="1566"/>
      <c r="I30" s="1566"/>
      <c r="J30" s="1566"/>
      <c r="K30" s="1566"/>
      <c r="L30" s="1721"/>
      <c r="M30" s="1662" t="s">
        <v>171</v>
      </c>
      <c r="N30" s="1525"/>
      <c r="O30" s="1525"/>
      <c r="P30" s="1525"/>
      <c r="Q30" s="1525"/>
      <c r="R30" s="1525"/>
      <c r="S30" s="1525"/>
      <c r="T30" s="1526"/>
      <c r="U30" s="313" t="s">
        <v>163</v>
      </c>
      <c r="V30" s="1565"/>
      <c r="W30" s="1566"/>
      <c r="X30" s="1566"/>
      <c r="Y30" s="1566"/>
      <c r="Z30" s="1567"/>
      <c r="BF30" s="7"/>
      <c r="BG30" s="1315" t="s">
        <v>73</v>
      </c>
      <c r="BH30" s="1294"/>
      <c r="BI30" s="1294"/>
      <c r="BJ30" s="1294"/>
      <c r="BK30" s="1295"/>
      <c r="BL30" s="1293" t="s">
        <v>74</v>
      </c>
      <c r="BM30" s="1294"/>
      <c r="BN30" s="1294"/>
      <c r="BO30" s="1294"/>
      <c r="BP30" s="1314"/>
    </row>
    <row r="31" spans="1:68" ht="10.5" customHeight="1" thickBot="1" x14ac:dyDescent="0.2">
      <c r="A31" s="31">
        <v>26</v>
      </c>
      <c r="B31" s="1658" t="s">
        <v>263</v>
      </c>
      <c r="C31" s="1645"/>
      <c r="D31" s="1645"/>
      <c r="E31" s="1645"/>
      <c r="F31" s="1659"/>
      <c r="G31" s="1660"/>
      <c r="H31" s="1661"/>
      <c r="I31" s="1661"/>
      <c r="J31" s="1661"/>
      <c r="K31" s="1661"/>
      <c r="L31" s="1721"/>
      <c r="M31" s="1662" t="s">
        <v>172</v>
      </c>
      <c r="N31" s="1525"/>
      <c r="O31" s="1525"/>
      <c r="P31" s="1525"/>
      <c r="Q31" s="1525"/>
      <c r="R31" s="1525"/>
      <c r="S31" s="1525"/>
      <c r="T31" s="1526"/>
      <c r="U31" s="313" t="s">
        <v>39</v>
      </c>
      <c r="V31" s="1565"/>
      <c r="W31" s="1566"/>
      <c r="X31" s="1566"/>
      <c r="Y31" s="1566"/>
      <c r="Z31" s="1567"/>
      <c r="AA31" s="317" t="s">
        <v>517</v>
      </c>
      <c r="AB31" s="53"/>
      <c r="AC31" s="53"/>
      <c r="AD31" s="317"/>
      <c r="AE31" s="317"/>
      <c r="AF31" s="317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2"/>
      <c r="BF31" s="7"/>
      <c r="BG31" s="1663" t="s">
        <v>139</v>
      </c>
      <c r="BH31" s="1664"/>
      <c r="BI31" s="1664"/>
      <c r="BJ31" s="1665"/>
      <c r="BK31" s="348" t="s">
        <v>573</v>
      </c>
      <c r="BL31" s="1584"/>
      <c r="BM31" s="1585"/>
      <c r="BN31" s="1585"/>
      <c r="BO31" s="1585"/>
      <c r="BP31" s="1632"/>
    </row>
    <row r="32" spans="1:68" ht="10.5" customHeight="1" x14ac:dyDescent="0.15">
      <c r="A32" s="31">
        <v>27</v>
      </c>
      <c r="B32" s="1626" t="s">
        <v>283</v>
      </c>
      <c r="C32" s="1627"/>
      <c r="D32" s="1627"/>
      <c r="E32" s="1627"/>
      <c r="F32" s="1627"/>
      <c r="G32" s="1627"/>
      <c r="H32" s="1627"/>
      <c r="I32" s="1627"/>
      <c r="J32" s="1627"/>
      <c r="K32" s="1627"/>
      <c r="L32" s="1721"/>
      <c r="M32" s="1642" t="s">
        <v>356</v>
      </c>
      <c r="N32" s="1643"/>
      <c r="O32" s="1643"/>
      <c r="P32" s="1643"/>
      <c r="Q32" s="1524" t="s">
        <v>355</v>
      </c>
      <c r="R32" s="1525"/>
      <c r="S32" s="1525"/>
      <c r="T32" s="1526"/>
      <c r="U32" s="313" t="s">
        <v>38</v>
      </c>
      <c r="V32" s="1565"/>
      <c r="W32" s="1566"/>
      <c r="X32" s="1566"/>
      <c r="Y32" s="1566"/>
      <c r="Z32" s="1567"/>
      <c r="AA32" s="1291" t="s">
        <v>59</v>
      </c>
      <c r="AB32" s="1291"/>
      <c r="AC32" s="1291"/>
      <c r="AD32" s="1291"/>
      <c r="AE32" s="1291"/>
      <c r="AF32" s="1292"/>
      <c r="AG32" s="1648" t="s">
        <v>60</v>
      </c>
      <c r="AH32" s="1649"/>
      <c r="AI32" s="1649"/>
      <c r="AJ32" s="1649"/>
      <c r="AK32" s="1649"/>
      <c r="AL32" s="27"/>
      <c r="AM32" s="27"/>
      <c r="AN32" s="27"/>
      <c r="AO32" s="27"/>
      <c r="AP32" s="27"/>
      <c r="AQ32" s="28"/>
      <c r="BF32" s="7"/>
      <c r="BG32" s="1568" t="s">
        <v>76</v>
      </c>
      <c r="BH32" s="1569"/>
      <c r="BI32" s="1569"/>
      <c r="BJ32" s="1570"/>
      <c r="BK32" s="349" t="s">
        <v>574</v>
      </c>
      <c r="BL32" s="1565"/>
      <c r="BM32" s="1566"/>
      <c r="BN32" s="1566"/>
      <c r="BO32" s="1566"/>
      <c r="BP32" s="1571"/>
    </row>
    <row r="33" spans="1:68" ht="10.5" customHeight="1" x14ac:dyDescent="0.15">
      <c r="A33" s="31">
        <v>28</v>
      </c>
      <c r="B33" s="1636" t="s">
        <v>241</v>
      </c>
      <c r="C33" s="1582"/>
      <c r="D33" s="1582"/>
      <c r="E33" s="1582"/>
      <c r="F33" s="1582"/>
      <c r="G33" s="1584"/>
      <c r="H33" s="1585"/>
      <c r="I33" s="1585"/>
      <c r="J33" s="1585"/>
      <c r="K33" s="1586"/>
      <c r="L33" s="1721"/>
      <c r="M33" s="1644"/>
      <c r="N33" s="1645"/>
      <c r="O33" s="1645"/>
      <c r="P33" s="1645"/>
      <c r="Q33" s="1524" t="s">
        <v>100</v>
      </c>
      <c r="R33" s="1525"/>
      <c r="S33" s="1525"/>
      <c r="T33" s="1526"/>
      <c r="U33" s="313" t="s">
        <v>575</v>
      </c>
      <c r="V33" s="1565"/>
      <c r="W33" s="1566"/>
      <c r="X33" s="1566"/>
      <c r="Y33" s="1566"/>
      <c r="Z33" s="1567"/>
      <c r="AA33" s="1294"/>
      <c r="AB33" s="1294"/>
      <c r="AC33" s="1294"/>
      <c r="AD33" s="1294"/>
      <c r="AE33" s="1294"/>
      <c r="AF33" s="1295"/>
      <c r="AG33" s="1393"/>
      <c r="AH33" s="1394"/>
      <c r="AI33" s="1394"/>
      <c r="AJ33" s="1394"/>
      <c r="AK33" s="1394"/>
      <c r="AL33" s="1299" t="s">
        <v>285</v>
      </c>
      <c r="AM33" s="1300"/>
      <c r="AN33" s="1300"/>
      <c r="AO33" s="1300"/>
      <c r="AP33" s="1300"/>
      <c r="AQ33" s="1301"/>
      <c r="BG33" s="1568" t="s">
        <v>576</v>
      </c>
      <c r="BH33" s="1569"/>
      <c r="BI33" s="1569"/>
      <c r="BJ33" s="1570"/>
      <c r="BK33" s="349" t="s">
        <v>574</v>
      </c>
      <c r="BL33" s="1565"/>
      <c r="BM33" s="1566"/>
      <c r="BN33" s="1566"/>
      <c r="BO33" s="1566"/>
      <c r="BP33" s="1571"/>
    </row>
    <row r="34" spans="1:68" ht="10.5" customHeight="1" thickBot="1" x14ac:dyDescent="0.2">
      <c r="A34" s="31">
        <v>29</v>
      </c>
      <c r="B34" s="1650" t="s">
        <v>264</v>
      </c>
      <c r="C34" s="1651"/>
      <c r="D34" s="1651"/>
      <c r="E34" s="1651"/>
      <c r="F34" s="1651"/>
      <c r="G34" s="1561"/>
      <c r="H34" s="1562"/>
      <c r="I34" s="1562"/>
      <c r="J34" s="1562"/>
      <c r="K34" s="1593"/>
      <c r="L34" s="1722"/>
      <c r="M34" s="1646"/>
      <c r="N34" s="1647"/>
      <c r="O34" s="1647"/>
      <c r="P34" s="1647"/>
      <c r="Q34" s="1597" t="s">
        <v>116</v>
      </c>
      <c r="R34" s="1598"/>
      <c r="S34" s="1598"/>
      <c r="T34" s="1599"/>
      <c r="U34" s="314" t="s">
        <v>575</v>
      </c>
      <c r="V34" s="1561"/>
      <c r="W34" s="1562"/>
      <c r="X34" s="1562"/>
      <c r="Y34" s="1562"/>
      <c r="Z34" s="1593"/>
      <c r="AA34" s="1623" t="s">
        <v>65</v>
      </c>
      <c r="AB34" s="1623"/>
      <c r="AC34" s="1623"/>
      <c r="AD34" s="1623"/>
      <c r="AE34" s="1623"/>
      <c r="AF34" s="1624"/>
      <c r="AG34" s="1584"/>
      <c r="AH34" s="1585"/>
      <c r="AI34" s="1585"/>
      <c r="AJ34" s="1585"/>
      <c r="AK34" s="1625"/>
      <c r="AL34" s="1584"/>
      <c r="AM34" s="1585"/>
      <c r="AN34" s="1585"/>
      <c r="AO34" s="1585"/>
      <c r="AP34" s="1585"/>
      <c r="AQ34" s="1632"/>
      <c r="BG34" s="1652" t="s">
        <v>78</v>
      </c>
      <c r="BH34" s="1653"/>
      <c r="BI34" s="1653"/>
      <c r="BJ34" s="1654"/>
      <c r="BK34" s="350" t="s">
        <v>574</v>
      </c>
      <c r="BL34" s="1620"/>
      <c r="BM34" s="1621"/>
      <c r="BN34" s="1621"/>
      <c r="BO34" s="1621"/>
      <c r="BP34" s="1630"/>
    </row>
    <row r="35" spans="1:68" ht="10.5" customHeight="1" x14ac:dyDescent="0.15">
      <c r="A35" s="31">
        <v>30</v>
      </c>
      <c r="B35" s="1626" t="s">
        <v>284</v>
      </c>
      <c r="C35" s="1627"/>
      <c r="D35" s="1627"/>
      <c r="E35" s="1627"/>
      <c r="F35" s="1627"/>
      <c r="G35" s="1627"/>
      <c r="H35" s="1627"/>
      <c r="I35" s="1627"/>
      <c r="J35" s="1627"/>
      <c r="K35" s="1627"/>
      <c r="L35" s="1578" t="s">
        <v>216</v>
      </c>
      <c r="M35" s="1468"/>
      <c r="N35" s="1468"/>
      <c r="O35" s="1468"/>
      <c r="P35" s="1468"/>
      <c r="Q35" s="1468"/>
      <c r="R35" s="1468"/>
      <c r="S35" s="1468"/>
      <c r="T35" s="1468"/>
      <c r="U35" s="1468"/>
      <c r="V35" s="1579"/>
      <c r="W35" s="1579"/>
      <c r="X35" s="1579"/>
      <c r="Y35" s="1579"/>
      <c r="Z35" s="1580"/>
      <c r="AA35" s="337"/>
      <c r="AB35" s="1524" t="s">
        <v>66</v>
      </c>
      <c r="AC35" s="1525"/>
      <c r="AD35" s="1525"/>
      <c r="AE35" s="1525"/>
      <c r="AF35" s="1526"/>
      <c r="AG35" s="1565"/>
      <c r="AH35" s="1566"/>
      <c r="AI35" s="1566"/>
      <c r="AJ35" s="1566"/>
      <c r="AK35" s="1607"/>
      <c r="AL35" s="1565"/>
      <c r="AM35" s="1566"/>
      <c r="AN35" s="1566"/>
      <c r="AO35" s="1566"/>
      <c r="AP35" s="1566"/>
      <c r="AQ35" s="1571"/>
      <c r="BG35" s="1633" t="s">
        <v>140</v>
      </c>
      <c r="BH35" s="1634"/>
      <c r="BI35" s="1634"/>
      <c r="BJ35" s="1635"/>
      <c r="BK35" s="351" t="s">
        <v>79</v>
      </c>
      <c r="BL35" s="1584"/>
      <c r="BM35" s="1585"/>
      <c r="BN35" s="1585"/>
      <c r="BO35" s="1585"/>
      <c r="BP35" s="1632"/>
    </row>
    <row r="36" spans="1:68" ht="10.5" customHeight="1" x14ac:dyDescent="0.15">
      <c r="A36" s="31">
        <v>31</v>
      </c>
      <c r="B36" s="1636" t="s">
        <v>245</v>
      </c>
      <c r="C36" s="1582"/>
      <c r="D36" s="1582"/>
      <c r="E36" s="1582"/>
      <c r="F36" s="1582"/>
      <c r="G36" s="1584"/>
      <c r="H36" s="1585"/>
      <c r="I36" s="1585"/>
      <c r="J36" s="1585"/>
      <c r="K36" s="1586"/>
      <c r="L36" s="1637" t="s">
        <v>34</v>
      </c>
      <c r="M36" s="1640" t="s">
        <v>220</v>
      </c>
      <c r="N36" s="1605"/>
      <c r="O36" s="1605"/>
      <c r="P36" s="1605"/>
      <c r="Q36" s="1605"/>
      <c r="R36" s="1605"/>
      <c r="S36" s="1605"/>
      <c r="T36" s="1606"/>
      <c r="U36" s="352" t="s">
        <v>577</v>
      </c>
      <c r="V36" s="1584"/>
      <c r="W36" s="1585"/>
      <c r="X36" s="1585"/>
      <c r="Y36" s="1585"/>
      <c r="Z36" s="1586"/>
      <c r="AA36" s="337"/>
      <c r="AB36" s="1524" t="s">
        <v>67</v>
      </c>
      <c r="AC36" s="1525"/>
      <c r="AD36" s="1525"/>
      <c r="AE36" s="1525"/>
      <c r="AF36" s="1526"/>
      <c r="AG36" s="1565"/>
      <c r="AH36" s="1566"/>
      <c r="AI36" s="1566"/>
      <c r="AJ36" s="1566"/>
      <c r="AK36" s="1607"/>
      <c r="AL36" s="1565"/>
      <c r="AM36" s="1566"/>
      <c r="AN36" s="1566"/>
      <c r="AO36" s="1566"/>
      <c r="AP36" s="1566"/>
      <c r="AQ36" s="1571"/>
      <c r="BG36" s="1568" t="s">
        <v>578</v>
      </c>
      <c r="BH36" s="1569"/>
      <c r="BI36" s="1569"/>
      <c r="BJ36" s="1570"/>
      <c r="BK36" s="349" t="s">
        <v>574</v>
      </c>
      <c r="BL36" s="1565"/>
      <c r="BM36" s="1566"/>
      <c r="BN36" s="1566"/>
      <c r="BO36" s="1566"/>
      <c r="BP36" s="1571"/>
    </row>
    <row r="37" spans="1:68" ht="10.5" customHeight="1" thickBot="1" x14ac:dyDescent="0.2">
      <c r="A37" s="31">
        <v>32</v>
      </c>
      <c r="B37" s="1641" t="s">
        <v>252</v>
      </c>
      <c r="C37" s="1598"/>
      <c r="D37" s="1598"/>
      <c r="E37" s="1598"/>
      <c r="F37" s="1598"/>
      <c r="G37" s="1561"/>
      <c r="H37" s="1562"/>
      <c r="I37" s="1562"/>
      <c r="J37" s="1562"/>
      <c r="K37" s="1593"/>
      <c r="L37" s="1638"/>
      <c r="M37" s="1628" t="s">
        <v>49</v>
      </c>
      <c r="N37" s="1609"/>
      <c r="O37" s="1609"/>
      <c r="P37" s="1609"/>
      <c r="Q37" s="1609"/>
      <c r="R37" s="1609"/>
      <c r="S37" s="1609"/>
      <c r="T37" s="1610"/>
      <c r="U37" s="353" t="s">
        <v>38</v>
      </c>
      <c r="V37" s="1565"/>
      <c r="W37" s="1566"/>
      <c r="X37" s="1566"/>
      <c r="Y37" s="1566"/>
      <c r="Z37" s="1567"/>
      <c r="AA37" s="354"/>
      <c r="AB37" s="1524" t="s">
        <v>68</v>
      </c>
      <c r="AC37" s="1525"/>
      <c r="AD37" s="1525"/>
      <c r="AE37" s="1525"/>
      <c r="AF37" s="1526"/>
      <c r="AG37" s="1565"/>
      <c r="AH37" s="1566"/>
      <c r="AI37" s="1566"/>
      <c r="AJ37" s="1566"/>
      <c r="AK37" s="1607"/>
      <c r="AL37" s="1565"/>
      <c r="AM37" s="1566"/>
      <c r="AN37" s="1566"/>
      <c r="AO37" s="1566"/>
      <c r="AP37" s="1566"/>
      <c r="AQ37" s="1571"/>
      <c r="BG37" s="1611" t="s">
        <v>81</v>
      </c>
      <c r="BH37" s="1569"/>
      <c r="BI37" s="1569"/>
      <c r="BJ37" s="1570"/>
      <c r="BK37" s="349" t="s">
        <v>579</v>
      </c>
      <c r="BL37" s="1565"/>
      <c r="BM37" s="1566"/>
      <c r="BN37" s="1566"/>
      <c r="BO37" s="1566"/>
      <c r="BP37" s="1571"/>
    </row>
    <row r="38" spans="1:68" ht="10.5" customHeight="1" x14ac:dyDescent="0.15">
      <c r="A38" s="31">
        <v>33</v>
      </c>
      <c r="B38" s="1626" t="s">
        <v>288</v>
      </c>
      <c r="C38" s="1627"/>
      <c r="D38" s="1627"/>
      <c r="E38" s="1627"/>
      <c r="F38" s="1627"/>
      <c r="G38" s="1627"/>
      <c r="H38" s="1627"/>
      <c r="I38" s="1627"/>
      <c r="J38" s="1627"/>
      <c r="K38" s="1627"/>
      <c r="L38" s="1638"/>
      <c r="M38" s="1628" t="s">
        <v>260</v>
      </c>
      <c r="N38" s="1609"/>
      <c r="O38" s="1609"/>
      <c r="P38" s="1609"/>
      <c r="Q38" s="1609"/>
      <c r="R38" s="1609"/>
      <c r="S38" s="1609"/>
      <c r="T38" s="1610"/>
      <c r="U38" s="353" t="s">
        <v>38</v>
      </c>
      <c r="V38" s="1565"/>
      <c r="W38" s="1566"/>
      <c r="X38" s="1566"/>
      <c r="Y38" s="1566"/>
      <c r="Z38" s="1567"/>
      <c r="AA38" s="355"/>
      <c r="AB38" s="1521" t="s">
        <v>69</v>
      </c>
      <c r="AC38" s="1522"/>
      <c r="AD38" s="1522"/>
      <c r="AE38" s="1522"/>
      <c r="AF38" s="1523"/>
      <c r="AG38" s="1620"/>
      <c r="AH38" s="1621"/>
      <c r="AI38" s="1621"/>
      <c r="AJ38" s="1621"/>
      <c r="AK38" s="1629"/>
      <c r="AL38" s="1620"/>
      <c r="AM38" s="1621"/>
      <c r="AN38" s="1621"/>
      <c r="AO38" s="1621"/>
      <c r="AP38" s="1621"/>
      <c r="AQ38" s="1630"/>
      <c r="BG38" s="15"/>
      <c r="BH38" s="1631" t="s">
        <v>82</v>
      </c>
      <c r="BI38" s="1569"/>
      <c r="BJ38" s="1570"/>
      <c r="BK38" s="349" t="s">
        <v>579</v>
      </c>
      <c r="BL38" s="1565"/>
      <c r="BM38" s="1566"/>
      <c r="BN38" s="1566"/>
      <c r="BO38" s="1566"/>
      <c r="BP38" s="1571"/>
    </row>
    <row r="39" spans="1:68" ht="10.5" customHeight="1" thickBot="1" x14ac:dyDescent="0.2">
      <c r="A39" s="31">
        <v>34</v>
      </c>
      <c r="B39" s="1612" t="s">
        <v>178</v>
      </c>
      <c r="C39" s="1613"/>
      <c r="D39" s="1613"/>
      <c r="E39" s="1613"/>
      <c r="F39" s="1613"/>
      <c r="G39" s="1614"/>
      <c r="H39" s="1615"/>
      <c r="I39" s="1615"/>
      <c r="J39" s="1615"/>
      <c r="K39" s="1616"/>
      <c r="L39" s="1639"/>
      <c r="M39" s="1617" t="s">
        <v>48</v>
      </c>
      <c r="N39" s="1618"/>
      <c r="O39" s="1618"/>
      <c r="P39" s="1618"/>
      <c r="Q39" s="1618"/>
      <c r="R39" s="1618"/>
      <c r="S39" s="1618"/>
      <c r="T39" s="1619"/>
      <c r="U39" s="356" t="s">
        <v>52</v>
      </c>
      <c r="V39" s="1620"/>
      <c r="W39" s="1621"/>
      <c r="X39" s="1621"/>
      <c r="Y39" s="1621"/>
      <c r="Z39" s="1622"/>
      <c r="AA39" s="1623" t="s">
        <v>70</v>
      </c>
      <c r="AB39" s="1623"/>
      <c r="AC39" s="1623"/>
      <c r="AD39" s="1623"/>
      <c r="AE39" s="1623"/>
      <c r="AF39" s="1624"/>
      <c r="AG39" s="1584"/>
      <c r="AH39" s="1585"/>
      <c r="AI39" s="1585"/>
      <c r="AJ39" s="1585"/>
      <c r="AK39" s="1625"/>
      <c r="AL39" s="1584"/>
      <c r="AM39" s="1585"/>
      <c r="AN39" s="1585"/>
      <c r="AO39" s="1585"/>
      <c r="AP39" s="1585"/>
      <c r="AQ39" s="1632"/>
      <c r="BF39" s="7"/>
      <c r="BG39" s="1568" t="s">
        <v>83</v>
      </c>
      <c r="BH39" s="1569"/>
      <c r="BI39" s="1569"/>
      <c r="BJ39" s="1570"/>
      <c r="BK39" s="349" t="s">
        <v>580</v>
      </c>
      <c r="BL39" s="1565"/>
      <c r="BM39" s="1566"/>
      <c r="BN39" s="1566"/>
      <c r="BO39" s="1566"/>
      <c r="BP39" s="1571"/>
    </row>
    <row r="40" spans="1:68" ht="10.5" customHeight="1" thickBot="1" x14ac:dyDescent="0.2">
      <c r="A40" s="31">
        <v>35</v>
      </c>
      <c r="B40" s="2"/>
      <c r="L40" s="1601" t="s">
        <v>35</v>
      </c>
      <c r="M40" s="1604" t="s">
        <v>36</v>
      </c>
      <c r="N40" s="1605"/>
      <c r="O40" s="1605"/>
      <c r="P40" s="1605"/>
      <c r="Q40" s="1605"/>
      <c r="R40" s="1605"/>
      <c r="S40" s="1605"/>
      <c r="T40" s="1606"/>
      <c r="U40" s="352" t="s">
        <v>38</v>
      </c>
      <c r="V40" s="1584"/>
      <c r="W40" s="1585"/>
      <c r="X40" s="1585"/>
      <c r="Y40" s="1585"/>
      <c r="Z40" s="1586"/>
      <c r="AA40" s="354"/>
      <c r="AB40" s="1524" t="s">
        <v>71</v>
      </c>
      <c r="AC40" s="1525"/>
      <c r="AD40" s="1525"/>
      <c r="AE40" s="1525"/>
      <c r="AF40" s="1526"/>
      <c r="AG40" s="1565"/>
      <c r="AH40" s="1566"/>
      <c r="AI40" s="1566"/>
      <c r="AJ40" s="1566"/>
      <c r="AK40" s="1607"/>
      <c r="AL40" s="1565"/>
      <c r="AM40" s="1566"/>
      <c r="AN40" s="1566"/>
      <c r="AO40" s="1566"/>
      <c r="AP40" s="1566"/>
      <c r="AQ40" s="1571"/>
      <c r="BG40" s="1568" t="s">
        <v>84</v>
      </c>
      <c r="BH40" s="1569"/>
      <c r="BI40" s="1569"/>
      <c r="BJ40" s="1570"/>
      <c r="BK40" s="349" t="s">
        <v>579</v>
      </c>
      <c r="BL40" s="1565"/>
      <c r="BM40" s="1566"/>
      <c r="BN40" s="1566"/>
      <c r="BO40" s="1566"/>
      <c r="BP40" s="1571"/>
    </row>
    <row r="41" spans="1:68" ht="10.5" customHeight="1" thickBot="1" x14ac:dyDescent="0.2">
      <c r="A41" s="31">
        <v>36</v>
      </c>
      <c r="B41" s="1797" t="s">
        <v>638</v>
      </c>
      <c r="C41" s="1798"/>
      <c r="D41" s="1798"/>
      <c r="E41" s="1798"/>
      <c r="F41" s="1798"/>
      <c r="G41" s="1758"/>
      <c r="H41" s="1759"/>
      <c r="I41" s="1759"/>
      <c r="J41" s="1759"/>
      <c r="K41" s="1799"/>
      <c r="L41" s="1602"/>
      <c r="M41" s="1594" t="s">
        <v>37</v>
      </c>
      <c r="N41" s="1595"/>
      <c r="O41" s="1595"/>
      <c r="P41" s="1595"/>
      <c r="Q41" s="1595"/>
      <c r="R41" s="1595"/>
      <c r="S41" s="1595"/>
      <c r="T41" s="1596"/>
      <c r="U41" s="353" t="s">
        <v>566</v>
      </c>
      <c r="V41" s="1565"/>
      <c r="W41" s="1566"/>
      <c r="X41" s="1566"/>
      <c r="Y41" s="1566"/>
      <c r="Z41" s="1567"/>
      <c r="AA41" s="357"/>
      <c r="AB41" s="1597" t="s">
        <v>72</v>
      </c>
      <c r="AC41" s="1598"/>
      <c r="AD41" s="1598"/>
      <c r="AE41" s="1598"/>
      <c r="AF41" s="1599"/>
      <c r="AG41" s="1561"/>
      <c r="AH41" s="1562"/>
      <c r="AI41" s="1562"/>
      <c r="AJ41" s="1562"/>
      <c r="AK41" s="1600"/>
      <c r="AL41" s="1561"/>
      <c r="AM41" s="1562"/>
      <c r="AN41" s="1562"/>
      <c r="AO41" s="1562"/>
      <c r="AP41" s="1562"/>
      <c r="AQ41" s="1563"/>
      <c r="BG41" s="1568" t="s">
        <v>85</v>
      </c>
      <c r="BH41" s="1569"/>
      <c r="BI41" s="1569"/>
      <c r="BJ41" s="1570"/>
      <c r="BK41" s="349" t="s">
        <v>579</v>
      </c>
      <c r="BL41" s="1565"/>
      <c r="BM41" s="1566"/>
      <c r="BN41" s="1566"/>
      <c r="BO41" s="1566"/>
      <c r="BP41" s="1571"/>
    </row>
    <row r="42" spans="1:68" ht="10.5" customHeight="1" x14ac:dyDescent="0.15">
      <c r="A42" s="31">
        <v>37</v>
      </c>
      <c r="B42" s="2"/>
      <c r="L42" s="1602"/>
      <c r="M42" s="1608" t="s">
        <v>50</v>
      </c>
      <c r="N42" s="1609"/>
      <c r="O42" s="1609"/>
      <c r="P42" s="1609"/>
      <c r="Q42" s="1609"/>
      <c r="R42" s="1609"/>
      <c r="S42" s="1609"/>
      <c r="T42" s="1610"/>
      <c r="U42" s="353" t="s">
        <v>38</v>
      </c>
      <c r="V42" s="1565"/>
      <c r="W42" s="1566"/>
      <c r="X42" s="1566"/>
      <c r="Y42" s="1566"/>
      <c r="Z42" s="1567"/>
      <c r="BG42" s="1568" t="s">
        <v>144</v>
      </c>
      <c r="BH42" s="1569"/>
      <c r="BI42" s="1569"/>
      <c r="BJ42" s="1570"/>
      <c r="BK42" s="349" t="s">
        <v>579</v>
      </c>
      <c r="BL42" s="1565"/>
      <c r="BM42" s="1566"/>
      <c r="BN42" s="1566"/>
      <c r="BO42" s="1566"/>
      <c r="BP42" s="1571"/>
    </row>
    <row r="43" spans="1:68" ht="10.5" customHeight="1" thickBot="1" x14ac:dyDescent="0.2">
      <c r="A43" s="31">
        <v>38</v>
      </c>
      <c r="B43" s="2"/>
      <c r="L43" s="1603"/>
      <c r="M43" s="1590" t="s">
        <v>51</v>
      </c>
      <c r="N43" s="1591"/>
      <c r="O43" s="1591"/>
      <c r="P43" s="1591"/>
      <c r="Q43" s="1591"/>
      <c r="R43" s="1591"/>
      <c r="S43" s="1591"/>
      <c r="T43" s="1592"/>
      <c r="U43" s="358" t="s">
        <v>163</v>
      </c>
      <c r="V43" s="1561"/>
      <c r="W43" s="1562"/>
      <c r="X43" s="1562"/>
      <c r="Y43" s="1562"/>
      <c r="Z43" s="1593"/>
      <c r="BG43" s="1568" t="s">
        <v>141</v>
      </c>
      <c r="BH43" s="1569"/>
      <c r="BI43" s="1569"/>
      <c r="BJ43" s="1570"/>
      <c r="BK43" s="349" t="s">
        <v>77</v>
      </c>
      <c r="BL43" s="1565"/>
      <c r="BM43" s="1566"/>
      <c r="BN43" s="1566"/>
      <c r="BO43" s="1566"/>
      <c r="BP43" s="1571"/>
    </row>
    <row r="44" spans="1:68" ht="10.5" customHeight="1" x14ac:dyDescent="0.15">
      <c r="A44" s="31">
        <v>39</v>
      </c>
      <c r="B44" s="2"/>
      <c r="L44" s="1578" t="s">
        <v>243</v>
      </c>
      <c r="M44" s="1468"/>
      <c r="N44" s="1468"/>
      <c r="O44" s="1468"/>
      <c r="P44" s="1468"/>
      <c r="Q44" s="1468"/>
      <c r="R44" s="1468"/>
      <c r="S44" s="1468"/>
      <c r="T44" s="1468"/>
      <c r="U44" s="1468"/>
      <c r="V44" s="1579"/>
      <c r="W44" s="1579"/>
      <c r="X44" s="1579"/>
      <c r="Y44" s="1579"/>
      <c r="Z44" s="1580"/>
      <c r="BG44" s="1568" t="s">
        <v>142</v>
      </c>
      <c r="BH44" s="1569"/>
      <c r="BI44" s="1569"/>
      <c r="BJ44" s="1570"/>
      <c r="BK44" s="349" t="s">
        <v>77</v>
      </c>
      <c r="BL44" s="1565"/>
      <c r="BM44" s="1566"/>
      <c r="BN44" s="1566"/>
      <c r="BO44" s="1566"/>
      <c r="BP44" s="1571"/>
    </row>
    <row r="45" spans="1:68" ht="10.5" customHeight="1" x14ac:dyDescent="0.15">
      <c r="A45" s="31">
        <v>40</v>
      </c>
      <c r="B45" s="2"/>
      <c r="L45" s="1581" t="s">
        <v>255</v>
      </c>
      <c r="M45" s="1582"/>
      <c r="N45" s="1582"/>
      <c r="O45" s="1582"/>
      <c r="P45" s="1582"/>
      <c r="Q45" s="1582"/>
      <c r="R45" s="1582"/>
      <c r="S45" s="1582"/>
      <c r="T45" s="1583"/>
      <c r="U45" s="325" t="s">
        <v>164</v>
      </c>
      <c r="V45" s="1584"/>
      <c r="W45" s="1585"/>
      <c r="X45" s="1585"/>
      <c r="Y45" s="1585"/>
      <c r="Z45" s="1586"/>
      <c r="BG45" s="1587" t="s">
        <v>289</v>
      </c>
      <c r="BH45" s="1588"/>
      <c r="BI45" s="1588"/>
      <c r="BJ45" s="1589"/>
      <c r="BK45" s="349" t="s">
        <v>77</v>
      </c>
      <c r="BL45" s="1565"/>
      <c r="BM45" s="1566"/>
      <c r="BN45" s="1566"/>
      <c r="BO45" s="1566"/>
      <c r="BP45" s="1571"/>
    </row>
    <row r="46" spans="1:68" ht="10.5" customHeight="1" x14ac:dyDescent="0.15">
      <c r="A46" s="31">
        <v>41</v>
      </c>
      <c r="B46" s="2"/>
      <c r="L46" s="1564" t="s">
        <v>256</v>
      </c>
      <c r="M46" s="1525"/>
      <c r="N46" s="1525"/>
      <c r="O46" s="1525"/>
      <c r="P46" s="1525"/>
      <c r="Q46" s="1525"/>
      <c r="R46" s="1525"/>
      <c r="S46" s="1525"/>
      <c r="T46" s="1526"/>
      <c r="U46" s="313" t="s">
        <v>38</v>
      </c>
      <c r="V46" s="1565"/>
      <c r="W46" s="1566"/>
      <c r="X46" s="1566"/>
      <c r="Y46" s="1566"/>
      <c r="Z46" s="1567"/>
      <c r="BF46" s="7"/>
      <c r="BG46" s="1568" t="s">
        <v>143</v>
      </c>
      <c r="BH46" s="1569"/>
      <c r="BI46" s="1569"/>
      <c r="BJ46" s="1570"/>
      <c r="BK46" s="349" t="s">
        <v>579</v>
      </c>
      <c r="BL46" s="1565"/>
      <c r="BM46" s="1566"/>
      <c r="BN46" s="1566"/>
      <c r="BO46" s="1566"/>
      <c r="BP46" s="1571"/>
    </row>
    <row r="47" spans="1:68" ht="10.5" customHeight="1" thickBot="1" x14ac:dyDescent="0.2">
      <c r="A47" s="31">
        <v>42</v>
      </c>
      <c r="B47" s="2"/>
      <c r="L47" s="1572" t="s">
        <v>257</v>
      </c>
      <c r="M47" s="1573"/>
      <c r="N47" s="1573"/>
      <c r="O47" s="1573"/>
      <c r="P47" s="1573"/>
      <c r="Q47" s="1573"/>
      <c r="R47" s="1573"/>
      <c r="S47" s="1573"/>
      <c r="T47" s="1574"/>
      <c r="U47" s="359" t="s">
        <v>164</v>
      </c>
      <c r="V47" s="1575"/>
      <c r="W47" s="1576"/>
      <c r="X47" s="1576"/>
      <c r="Y47" s="1576"/>
      <c r="Z47" s="1577"/>
      <c r="BG47" s="1568" t="s">
        <v>86</v>
      </c>
      <c r="BH47" s="1569"/>
      <c r="BI47" s="1569"/>
      <c r="BJ47" s="1570"/>
      <c r="BK47" s="349" t="s">
        <v>77</v>
      </c>
      <c r="BL47" s="1565"/>
      <c r="BM47" s="1566"/>
      <c r="BN47" s="1566"/>
      <c r="BO47" s="1566"/>
      <c r="BP47" s="1571"/>
    </row>
    <row r="48" spans="1:68" ht="10.5" customHeight="1" thickBot="1" x14ac:dyDescent="0.2">
      <c r="A48" s="31">
        <v>43</v>
      </c>
      <c r="B48" s="2"/>
      <c r="L48" s="130"/>
      <c r="M48" s="130"/>
      <c r="N48" s="130"/>
      <c r="O48" s="130"/>
      <c r="P48" s="130"/>
      <c r="Q48" s="130"/>
      <c r="R48" s="130"/>
      <c r="S48" s="130"/>
      <c r="T48" s="130"/>
      <c r="U48" s="142"/>
      <c r="V48" s="27"/>
      <c r="W48" s="27"/>
      <c r="X48" s="27"/>
      <c r="Y48" s="27"/>
      <c r="Z48" s="27"/>
      <c r="BG48" s="1558" t="s">
        <v>87</v>
      </c>
      <c r="BH48" s="1559"/>
      <c r="BI48" s="1559"/>
      <c r="BJ48" s="1560"/>
      <c r="BK48" s="360" t="s">
        <v>77</v>
      </c>
      <c r="BL48" s="1561"/>
      <c r="BM48" s="1562"/>
      <c r="BN48" s="1562"/>
      <c r="BO48" s="1562"/>
      <c r="BP48" s="1563"/>
    </row>
    <row r="49" spans="1:68" ht="10.5" customHeight="1" x14ac:dyDescent="0.15">
      <c r="A49" s="31">
        <v>44</v>
      </c>
      <c r="B49" s="2"/>
      <c r="L49" s="130"/>
      <c r="M49" s="130"/>
      <c r="N49" s="130"/>
      <c r="O49" s="130"/>
      <c r="P49" s="130"/>
      <c r="Q49" s="130"/>
      <c r="R49" s="130"/>
      <c r="S49" s="130"/>
      <c r="T49" s="130"/>
      <c r="U49" s="142"/>
      <c r="V49" s="27"/>
      <c r="W49" s="27"/>
      <c r="X49" s="27"/>
      <c r="Y49" s="27"/>
      <c r="Z49" s="27"/>
      <c r="BL49" s="129"/>
      <c r="BM49" s="129"/>
      <c r="BN49" s="129"/>
      <c r="BO49" s="129"/>
      <c r="BP49" s="134"/>
    </row>
    <row r="50" spans="1:68" ht="10.5" customHeight="1" x14ac:dyDescent="0.15">
      <c r="A50" s="31">
        <v>45</v>
      </c>
      <c r="B50" s="2"/>
      <c r="L50" s="130"/>
      <c r="M50" s="130"/>
      <c r="N50" s="130"/>
      <c r="O50" s="130"/>
      <c r="P50" s="130"/>
      <c r="Q50" s="130"/>
      <c r="R50" s="130"/>
      <c r="S50" s="130"/>
      <c r="T50" s="130"/>
      <c r="U50" s="142"/>
      <c r="V50" s="27"/>
      <c r="W50" s="27"/>
      <c r="X50" s="27"/>
      <c r="Y50" s="27"/>
      <c r="Z50" s="27"/>
      <c r="BL50" s="129"/>
      <c r="BM50" s="129"/>
      <c r="BN50" s="129"/>
      <c r="BO50" s="129"/>
      <c r="BP50" s="134"/>
    </row>
    <row r="51" spans="1:68" ht="10.5" customHeight="1" x14ac:dyDescent="0.15">
      <c r="A51" s="31">
        <v>46</v>
      </c>
      <c r="B51" s="2"/>
      <c r="L51" s="130"/>
      <c r="M51" s="130"/>
      <c r="N51" s="130"/>
      <c r="O51" s="130"/>
      <c r="P51" s="130"/>
      <c r="Q51" s="130"/>
      <c r="R51" s="130"/>
      <c r="S51" s="130"/>
      <c r="T51" s="130"/>
      <c r="U51" s="142"/>
      <c r="V51" s="27"/>
      <c r="W51" s="27"/>
      <c r="X51" s="27"/>
      <c r="Y51" s="27"/>
      <c r="Z51" s="27"/>
      <c r="BL51" s="129"/>
      <c r="BM51" s="129"/>
      <c r="BN51" s="129"/>
      <c r="BO51" s="129"/>
      <c r="BP51" s="134"/>
    </row>
    <row r="52" spans="1:68" ht="10.5" customHeight="1" x14ac:dyDescent="0.15">
      <c r="A52" s="31">
        <v>47</v>
      </c>
      <c r="B52" s="2"/>
      <c r="L52" s="130"/>
      <c r="M52" s="130"/>
      <c r="N52" s="130"/>
      <c r="O52" s="130"/>
      <c r="P52" s="130"/>
      <c r="Q52" s="130"/>
      <c r="R52" s="130"/>
      <c r="S52" s="130"/>
      <c r="T52" s="130"/>
      <c r="U52" s="142"/>
      <c r="V52" s="27"/>
      <c r="W52" s="27"/>
      <c r="X52" s="27"/>
      <c r="Y52" s="27"/>
      <c r="Z52" s="27"/>
      <c r="BL52" s="129"/>
      <c r="BM52" s="129"/>
      <c r="BN52" s="129"/>
      <c r="BO52" s="129"/>
      <c r="BP52" s="134"/>
    </row>
    <row r="53" spans="1:68" ht="10.5" customHeight="1" x14ac:dyDescent="0.15">
      <c r="A53" s="31">
        <v>48</v>
      </c>
      <c r="B53" s="2"/>
      <c r="L53" s="130"/>
      <c r="M53" s="130"/>
      <c r="N53" s="130"/>
      <c r="O53" s="130"/>
      <c r="P53" s="130"/>
      <c r="Q53" s="130"/>
      <c r="R53" s="130"/>
      <c r="S53" s="130"/>
      <c r="T53" s="130"/>
      <c r="U53" s="142"/>
      <c r="V53" s="27"/>
      <c r="W53" s="27"/>
      <c r="X53" s="27"/>
      <c r="Y53" s="27"/>
      <c r="Z53" s="27"/>
      <c r="BL53" s="129"/>
      <c r="BM53" s="129"/>
      <c r="BN53" s="129"/>
      <c r="BO53" s="129"/>
      <c r="BP53" s="134"/>
    </row>
    <row r="54" spans="1:68" ht="10.5" customHeight="1" x14ac:dyDescent="0.15">
      <c r="A54" s="31">
        <v>49</v>
      </c>
      <c r="B54" s="2"/>
      <c r="L54" s="130"/>
      <c r="M54" s="130"/>
      <c r="N54" s="130"/>
      <c r="O54" s="130"/>
      <c r="P54" s="130"/>
      <c r="Q54" s="130"/>
      <c r="R54" s="130"/>
      <c r="S54" s="130"/>
      <c r="T54" s="130"/>
      <c r="U54" s="142"/>
      <c r="V54" s="27"/>
      <c r="W54" s="27"/>
      <c r="X54" s="27"/>
      <c r="Y54" s="27"/>
      <c r="Z54" s="27"/>
      <c r="BL54" s="129"/>
      <c r="BM54" s="129"/>
      <c r="BN54" s="129"/>
      <c r="BO54" s="129"/>
      <c r="BP54" s="134"/>
    </row>
    <row r="55" spans="1:68" ht="10.5" customHeight="1" thickBot="1" x14ac:dyDescent="0.2">
      <c r="A55" s="31">
        <v>50</v>
      </c>
      <c r="B55" s="13"/>
      <c r="C55" s="18"/>
      <c r="D55" s="18"/>
      <c r="E55" s="18"/>
      <c r="F55" s="18"/>
      <c r="G55" s="5"/>
      <c r="H55" s="5"/>
      <c r="I55" s="5"/>
      <c r="J55" s="5"/>
      <c r="K55" s="5"/>
      <c r="L55" s="133"/>
      <c r="M55" s="133"/>
      <c r="N55" s="133"/>
      <c r="O55" s="133"/>
      <c r="P55" s="133"/>
      <c r="Q55" s="133"/>
      <c r="R55" s="133"/>
      <c r="S55" s="133"/>
      <c r="T55" s="133"/>
      <c r="U55" s="143"/>
      <c r="V55" s="36"/>
      <c r="W55" s="36"/>
      <c r="X55" s="36"/>
      <c r="Y55" s="36"/>
      <c r="Z55" s="36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BG55" s="5"/>
      <c r="BH55" s="5"/>
      <c r="BI55" s="5"/>
      <c r="BJ55" s="5"/>
      <c r="BK55" s="5"/>
      <c r="BL55" s="78"/>
      <c r="BM55" s="78"/>
      <c r="BN55" s="78"/>
      <c r="BO55" s="78"/>
      <c r="BP55" s="79"/>
    </row>
    <row r="56" spans="1:68" ht="10.5" customHeight="1" x14ac:dyDescent="0.15">
      <c r="A56" s="31"/>
      <c r="B56" s="1557">
        <v>1</v>
      </c>
      <c r="C56" s="1557"/>
      <c r="D56" s="1557"/>
      <c r="E56" s="1557"/>
      <c r="F56" s="1557"/>
      <c r="G56" s="1557">
        <v>2</v>
      </c>
      <c r="H56" s="1557"/>
      <c r="I56" s="1557"/>
      <c r="J56" s="1557"/>
      <c r="K56" s="1557"/>
      <c r="L56" s="1557">
        <v>3</v>
      </c>
      <c r="M56" s="1557"/>
      <c r="N56" s="1557"/>
      <c r="O56" s="1557"/>
      <c r="P56" s="1557"/>
      <c r="Q56" s="1557">
        <v>4</v>
      </c>
      <c r="R56" s="1557"/>
      <c r="S56" s="1557"/>
      <c r="T56" s="1557"/>
      <c r="U56" s="1557"/>
      <c r="V56" s="1557">
        <v>5</v>
      </c>
      <c r="W56" s="1557"/>
      <c r="X56" s="1557"/>
      <c r="Y56" s="1557"/>
      <c r="Z56" s="1557"/>
      <c r="AA56" s="1557">
        <v>6</v>
      </c>
      <c r="AB56" s="1557"/>
      <c r="AC56" s="1557"/>
      <c r="AD56" s="1557"/>
      <c r="AE56" s="1557"/>
      <c r="AF56" s="1557"/>
      <c r="AG56" s="1557">
        <v>7</v>
      </c>
      <c r="AH56" s="1557"/>
      <c r="AI56" s="1557"/>
      <c r="AJ56" s="1557"/>
      <c r="AK56" s="1557"/>
      <c r="AL56" s="1557">
        <v>8</v>
      </c>
      <c r="AM56" s="1557"/>
      <c r="AN56" s="1557"/>
      <c r="AO56" s="1557"/>
      <c r="AP56" s="1557"/>
      <c r="AQ56" s="1557"/>
      <c r="AR56" s="1557">
        <v>9</v>
      </c>
      <c r="AS56" s="1557"/>
      <c r="AT56" s="1557"/>
      <c r="AU56" s="1557"/>
      <c r="AV56" s="1557"/>
      <c r="AW56" s="1557">
        <v>10</v>
      </c>
      <c r="AX56" s="1557"/>
      <c r="AY56" s="1557"/>
      <c r="AZ56" s="1557"/>
      <c r="BA56" s="1557"/>
      <c r="BB56" s="1557">
        <v>11</v>
      </c>
      <c r="BC56" s="1557"/>
      <c r="BD56" s="1557"/>
      <c r="BE56" s="1557"/>
      <c r="BF56" s="1557"/>
      <c r="BG56" s="1557">
        <v>12</v>
      </c>
      <c r="BH56" s="1557"/>
      <c r="BI56" s="1557"/>
      <c r="BJ56" s="1557"/>
      <c r="BK56" s="1557"/>
      <c r="BL56" s="1557">
        <v>13</v>
      </c>
      <c r="BM56" s="1557"/>
      <c r="BN56" s="1557"/>
      <c r="BO56" s="1557"/>
      <c r="BP56" s="1557"/>
    </row>
    <row r="57" spans="1:68" ht="10.5" customHeight="1" x14ac:dyDescent="0.15">
      <c r="A57" s="31"/>
      <c r="C57" s="1"/>
      <c r="D57" s="1"/>
      <c r="E57" s="1"/>
      <c r="F57" s="1"/>
    </row>
    <row r="58" spans="1:68" ht="10.5" customHeight="1" x14ac:dyDescent="0.15">
      <c r="A58" s="31"/>
    </row>
    <row r="59" spans="1:68" ht="10.5" customHeight="1" x14ac:dyDescent="0.15">
      <c r="C59" s="1"/>
      <c r="D59" s="1"/>
      <c r="E59" s="1"/>
      <c r="F59" s="1"/>
    </row>
    <row r="60" spans="1:68" ht="10.5" customHeight="1" x14ac:dyDescent="0.15">
      <c r="C60" s="1"/>
      <c r="D60" s="1"/>
      <c r="E60" s="1"/>
      <c r="F60" s="1"/>
    </row>
    <row r="61" spans="1:68" ht="12.75" customHeight="1" x14ac:dyDescent="0.15">
      <c r="C61" s="1"/>
      <c r="D61" s="1"/>
      <c r="E61" s="1"/>
      <c r="F61" s="1"/>
    </row>
    <row r="62" spans="1:68" ht="12.75" customHeight="1" x14ac:dyDescent="0.15">
      <c r="C62" s="1"/>
      <c r="D62" s="1"/>
      <c r="E62" s="1"/>
      <c r="F62" s="1"/>
    </row>
    <row r="63" spans="1:68" ht="12.75" customHeight="1" x14ac:dyDescent="0.15">
      <c r="C63" s="1"/>
      <c r="D63" s="1"/>
      <c r="E63" s="1"/>
      <c r="F63" s="1"/>
    </row>
    <row r="64" spans="1:68" ht="12.75" customHeight="1" x14ac:dyDescent="0.15">
      <c r="C64" s="1"/>
      <c r="D64" s="1"/>
      <c r="E64" s="1"/>
      <c r="F64" s="1"/>
    </row>
    <row r="65" spans="3:6" ht="12.75" customHeight="1" x14ac:dyDescent="0.15">
      <c r="C65" s="1"/>
      <c r="D65" s="1"/>
      <c r="E65" s="1"/>
      <c r="F65" s="1"/>
    </row>
    <row r="66" spans="3:6" ht="12.75" customHeight="1" x14ac:dyDescent="0.15">
      <c r="C66" s="1"/>
      <c r="D66" s="1"/>
      <c r="E66" s="1"/>
      <c r="F66" s="1"/>
    </row>
    <row r="67" spans="3:6" ht="12.75" customHeight="1" x14ac:dyDescent="0.15">
      <c r="C67" s="1"/>
      <c r="D67" s="1"/>
      <c r="E67" s="1"/>
      <c r="F67" s="1"/>
    </row>
    <row r="68" spans="3:6" ht="12.75" customHeight="1" x14ac:dyDescent="0.15">
      <c r="C68" s="1"/>
      <c r="D68" s="1"/>
      <c r="E68" s="1"/>
      <c r="F68" s="1"/>
    </row>
    <row r="69" spans="3:6" ht="12.75" customHeight="1" x14ac:dyDescent="0.15">
      <c r="C69" s="1"/>
      <c r="D69" s="1"/>
      <c r="E69" s="1"/>
      <c r="F69" s="1"/>
    </row>
    <row r="70" spans="3:6" ht="12.75" customHeight="1" x14ac:dyDescent="0.15">
      <c r="C70" s="1"/>
      <c r="D70" s="1"/>
      <c r="E70" s="1"/>
      <c r="F70" s="1"/>
    </row>
    <row r="71" spans="3:6" ht="12.75" customHeight="1" x14ac:dyDescent="0.15">
      <c r="C71" s="1"/>
      <c r="D71" s="1"/>
      <c r="E71" s="1"/>
      <c r="F71" s="1"/>
    </row>
    <row r="72" spans="3:6" ht="12.75" customHeight="1" x14ac:dyDescent="0.15">
      <c r="C72" s="1"/>
      <c r="D72" s="1"/>
      <c r="E72" s="1"/>
      <c r="F72" s="1"/>
    </row>
    <row r="73" spans="3:6" ht="12.75" customHeight="1" x14ac:dyDescent="0.15"/>
    <row r="74" spans="3:6" ht="12.75" customHeight="1" x14ac:dyDescent="0.15"/>
    <row r="75" spans="3:6" ht="12.75" customHeight="1" x14ac:dyDescent="0.15"/>
    <row r="76" spans="3:6" ht="12.75" customHeight="1" x14ac:dyDescent="0.15">
      <c r="C76" s="1"/>
      <c r="D76" s="1"/>
      <c r="E76" s="1"/>
      <c r="F76" s="1"/>
    </row>
    <row r="77" spans="3:6" ht="12.75" customHeight="1" x14ac:dyDescent="0.15">
      <c r="C77" s="1"/>
      <c r="D77" s="1"/>
      <c r="E77" s="1"/>
      <c r="F77" s="1"/>
    </row>
    <row r="78" spans="3:6" ht="12.75" customHeight="1" x14ac:dyDescent="0.15">
      <c r="C78" s="1"/>
      <c r="D78" s="1"/>
      <c r="E78" s="1"/>
      <c r="F78" s="1"/>
    </row>
    <row r="79" spans="3:6" ht="12.75" customHeight="1" x14ac:dyDescent="0.15">
      <c r="C79" s="1"/>
      <c r="D79" s="1"/>
      <c r="E79" s="1"/>
      <c r="F79" s="1"/>
    </row>
    <row r="80" spans="3:6" ht="12.75" customHeight="1" x14ac:dyDescent="0.15">
      <c r="C80" s="1"/>
      <c r="D80" s="1"/>
      <c r="E80" s="1"/>
      <c r="F80" s="1"/>
    </row>
    <row r="81" spans="3:6" ht="12.75" customHeight="1" x14ac:dyDescent="0.15">
      <c r="C81" s="1"/>
      <c r="D81" s="1"/>
      <c r="E81" s="1"/>
      <c r="F81" s="1"/>
    </row>
    <row r="82" spans="3:6" ht="12.75" customHeight="1" x14ac:dyDescent="0.15">
      <c r="C82" s="1"/>
      <c r="D82" s="1"/>
      <c r="E82" s="1"/>
      <c r="F82" s="1"/>
    </row>
    <row r="83" spans="3:6" ht="12.75" customHeight="1" x14ac:dyDescent="0.15">
      <c r="C83" s="1"/>
      <c r="D83" s="1"/>
      <c r="E83" s="1"/>
      <c r="F83" s="1"/>
    </row>
    <row r="84" spans="3:6" ht="12.75" customHeight="1" x14ac:dyDescent="0.15">
      <c r="C84" s="1"/>
      <c r="D84" s="1"/>
      <c r="E84" s="1"/>
      <c r="F84" s="1"/>
    </row>
    <row r="85" spans="3:6" x14ac:dyDescent="0.15">
      <c r="C85" s="1"/>
      <c r="D85" s="1"/>
      <c r="E85" s="1"/>
      <c r="F85" s="1"/>
    </row>
    <row r="86" spans="3:6" x14ac:dyDescent="0.15">
      <c r="C86" s="1"/>
      <c r="D86" s="1"/>
      <c r="E86" s="1"/>
      <c r="F86" s="1"/>
    </row>
    <row r="87" spans="3:6" x14ac:dyDescent="0.15">
      <c r="C87" s="1"/>
      <c r="D87" s="1"/>
      <c r="E87" s="1"/>
      <c r="F87" s="1"/>
    </row>
  </sheetData>
  <mergeCells count="408">
    <mergeCell ref="B41:F41"/>
    <mergeCell ref="G41:K41"/>
    <mergeCell ref="B5:K5"/>
    <mergeCell ref="L5:Z5"/>
    <mergeCell ref="BG5:BP5"/>
    <mergeCell ref="B6:K6"/>
    <mergeCell ref="L6:Z6"/>
    <mergeCell ref="AA6:AF6"/>
    <mergeCell ref="AG6:AK6"/>
    <mergeCell ref="AL6:AQ6"/>
    <mergeCell ref="AR6:AV6"/>
    <mergeCell ref="AW6:BA6"/>
    <mergeCell ref="BB6:BF6"/>
    <mergeCell ref="BG6:BK6"/>
    <mergeCell ref="BL6:BP6"/>
    <mergeCell ref="BL7:BP7"/>
    <mergeCell ref="C8:F8"/>
    <mergeCell ref="G8:K8"/>
    <mergeCell ref="M8:T8"/>
    <mergeCell ref="V8:Z8"/>
    <mergeCell ref="AB8:AF8"/>
    <mergeCell ref="AG8:AK8"/>
    <mergeCell ref="AM8:AQ8"/>
    <mergeCell ref="AR8:AV8"/>
    <mergeCell ref="AR3:AV3"/>
    <mergeCell ref="AW3:BF3"/>
    <mergeCell ref="BG3:BK3"/>
    <mergeCell ref="BL3:BP3"/>
    <mergeCell ref="AR4:AV4"/>
    <mergeCell ref="AW4:BF4"/>
    <mergeCell ref="BG4:BK4"/>
    <mergeCell ref="BL4:BP4"/>
    <mergeCell ref="B7:F7"/>
    <mergeCell ref="G7:K7"/>
    <mergeCell ref="L7:L10"/>
    <mergeCell ref="M7:T7"/>
    <mergeCell ref="V7:Z7"/>
    <mergeCell ref="C9:F9"/>
    <mergeCell ref="G9:K9"/>
    <mergeCell ref="M9:T9"/>
    <mergeCell ref="V9:Z9"/>
    <mergeCell ref="C10:F10"/>
    <mergeCell ref="G10:K10"/>
    <mergeCell ref="M10:T10"/>
    <mergeCell ref="V10:Z10"/>
    <mergeCell ref="AC9:AF9"/>
    <mergeCell ref="AG9:AK9"/>
    <mergeCell ref="BH7:BK7"/>
    <mergeCell ref="AA7:AF7"/>
    <mergeCell ref="AG7:AK7"/>
    <mergeCell ref="AL7:AQ7"/>
    <mergeCell ref="AR7:AV7"/>
    <mergeCell ref="AW7:BA7"/>
    <mergeCell ref="BB7:BF7"/>
    <mergeCell ref="AN9:AQ9"/>
    <mergeCell ref="AR9:AV9"/>
    <mergeCell ref="AY9:BA9"/>
    <mergeCell ref="BB9:BF9"/>
    <mergeCell ref="BH9:BK9"/>
    <mergeCell ref="BL9:BP9"/>
    <mergeCell ref="AY8:BA8"/>
    <mergeCell ref="BB8:BF8"/>
    <mergeCell ref="BH8:BK8"/>
    <mergeCell ref="BL8:BP8"/>
    <mergeCell ref="AN10:AQ10"/>
    <mergeCell ref="AR10:AV10"/>
    <mergeCell ref="AY10:BA10"/>
    <mergeCell ref="BB10:BF10"/>
    <mergeCell ref="BH10:BK10"/>
    <mergeCell ref="BL10:BP10"/>
    <mergeCell ref="AD10:AF10"/>
    <mergeCell ref="AG10:AK10"/>
    <mergeCell ref="BL11:BP11"/>
    <mergeCell ref="AG11:AK11"/>
    <mergeCell ref="AN11:AQ11"/>
    <mergeCell ref="AR11:AV11"/>
    <mergeCell ref="AY11:BA11"/>
    <mergeCell ref="BB11:BF11"/>
    <mergeCell ref="BH11:BK11"/>
    <mergeCell ref="C12:F12"/>
    <mergeCell ref="G12:K12"/>
    <mergeCell ref="M12:T12"/>
    <mergeCell ref="V12:Z12"/>
    <mergeCell ref="AC12:AF12"/>
    <mergeCell ref="AG12:AK12"/>
    <mergeCell ref="AM12:AQ12"/>
    <mergeCell ref="AR12:AV12"/>
    <mergeCell ref="AY12:BA12"/>
    <mergeCell ref="B11:F11"/>
    <mergeCell ref="G11:K11"/>
    <mergeCell ref="L11:L14"/>
    <mergeCell ref="M11:T11"/>
    <mergeCell ref="V11:Z11"/>
    <mergeCell ref="AD11:AF11"/>
    <mergeCell ref="BB12:BF12"/>
    <mergeCell ref="BH12:BK12"/>
    <mergeCell ref="BL12:BP12"/>
    <mergeCell ref="C13:F13"/>
    <mergeCell ref="G13:K13"/>
    <mergeCell ref="M13:T13"/>
    <mergeCell ref="V13:Z13"/>
    <mergeCell ref="AD13:AF13"/>
    <mergeCell ref="AG13:AK13"/>
    <mergeCell ref="AN13:AQ13"/>
    <mergeCell ref="AR13:AV13"/>
    <mergeCell ref="AY13:BA13"/>
    <mergeCell ref="BB13:BF13"/>
    <mergeCell ref="BG13:BK13"/>
    <mergeCell ref="BL13:BP13"/>
    <mergeCell ref="C14:F14"/>
    <mergeCell ref="G14:K14"/>
    <mergeCell ref="M14:T14"/>
    <mergeCell ref="V14:Z14"/>
    <mergeCell ref="AC14:AF14"/>
    <mergeCell ref="BL14:BP14"/>
    <mergeCell ref="B15:F15"/>
    <mergeCell ref="G15:K15"/>
    <mergeCell ref="L15:N15"/>
    <mergeCell ref="O15:T15"/>
    <mergeCell ref="V15:Z15"/>
    <mergeCell ref="AB15:AF15"/>
    <mergeCell ref="AG15:AK15"/>
    <mergeCell ref="AY15:BA15"/>
    <mergeCell ref="BB15:BF15"/>
    <mergeCell ref="AG14:AK14"/>
    <mergeCell ref="AL14:AQ14"/>
    <mergeCell ref="AR14:AV14"/>
    <mergeCell ref="AY14:BA14"/>
    <mergeCell ref="BB14:BF14"/>
    <mergeCell ref="BH14:BK14"/>
    <mergeCell ref="BH15:BK15"/>
    <mergeCell ref="BL15:BP15"/>
    <mergeCell ref="AY16:BA16"/>
    <mergeCell ref="BB16:BF16"/>
    <mergeCell ref="BI16:BK16"/>
    <mergeCell ref="BL16:BP16"/>
    <mergeCell ref="C17:F17"/>
    <mergeCell ref="G17:K17"/>
    <mergeCell ref="O17:T17"/>
    <mergeCell ref="V17:Z17"/>
    <mergeCell ref="AC17:AF17"/>
    <mergeCell ref="AG17:AK17"/>
    <mergeCell ref="AY17:BA17"/>
    <mergeCell ref="BB17:BF17"/>
    <mergeCell ref="BH17:BK17"/>
    <mergeCell ref="BL17:BP17"/>
    <mergeCell ref="C16:F16"/>
    <mergeCell ref="G16:K16"/>
    <mergeCell ref="L16:N17"/>
    <mergeCell ref="O16:T16"/>
    <mergeCell ref="V16:Z16"/>
    <mergeCell ref="AC16:AF16"/>
    <mergeCell ref="AG16:AK16"/>
    <mergeCell ref="AL16:AQ16"/>
    <mergeCell ref="AR16:AV16"/>
    <mergeCell ref="C18:F18"/>
    <mergeCell ref="G18:K18"/>
    <mergeCell ref="L18:Z18"/>
    <mergeCell ref="AC18:AF18"/>
    <mergeCell ref="AG18:AK18"/>
    <mergeCell ref="AY18:BA18"/>
    <mergeCell ref="BB18:BF18"/>
    <mergeCell ref="BH18:BK18"/>
    <mergeCell ref="BL18:BP18"/>
    <mergeCell ref="BH19:BK19"/>
    <mergeCell ref="BL19:BP19"/>
    <mergeCell ref="B20:F20"/>
    <mergeCell ref="G20:K20"/>
    <mergeCell ref="M20:T20"/>
    <mergeCell ref="V20:Z20"/>
    <mergeCell ref="AY20:BA20"/>
    <mergeCell ref="BB20:BF20"/>
    <mergeCell ref="BH20:BK20"/>
    <mergeCell ref="BL20:BP20"/>
    <mergeCell ref="B19:F19"/>
    <mergeCell ref="G19:K19"/>
    <mergeCell ref="L19:L20"/>
    <mergeCell ref="M19:T19"/>
    <mergeCell ref="V19:Z19"/>
    <mergeCell ref="AC19:AF19"/>
    <mergeCell ref="AG19:AK19"/>
    <mergeCell ref="AY19:BA19"/>
    <mergeCell ref="BB19:BF19"/>
    <mergeCell ref="B21:F21"/>
    <mergeCell ref="G21:K21"/>
    <mergeCell ref="L21:L34"/>
    <mergeCell ref="M21:T21"/>
    <mergeCell ref="V21:Z21"/>
    <mergeCell ref="AY21:BA21"/>
    <mergeCell ref="BB21:BF21"/>
    <mergeCell ref="BG21:BP21"/>
    <mergeCell ref="B22:K22"/>
    <mergeCell ref="M22:T22"/>
    <mergeCell ref="V22:Z22"/>
    <mergeCell ref="AA22:AF22"/>
    <mergeCell ref="AG22:AK22"/>
    <mergeCell ref="AL22:AQ22"/>
    <mergeCell ref="AR22:AV22"/>
    <mergeCell ref="AY22:BA22"/>
    <mergeCell ref="BB22:BF22"/>
    <mergeCell ref="BG22:BH22"/>
    <mergeCell ref="BI22:BJ22"/>
    <mergeCell ref="BL22:BP22"/>
    <mergeCell ref="B23:F23"/>
    <mergeCell ref="G23:K23"/>
    <mergeCell ref="M23:P26"/>
    <mergeCell ref="Q23:T23"/>
    <mergeCell ref="V23:Z23"/>
    <mergeCell ref="AA23:AF23"/>
    <mergeCell ref="AG23:AK23"/>
    <mergeCell ref="BL23:BP23"/>
    <mergeCell ref="B24:F24"/>
    <mergeCell ref="G24:K24"/>
    <mergeCell ref="Q24:T24"/>
    <mergeCell ref="V24:Z24"/>
    <mergeCell ref="AB24:AF24"/>
    <mergeCell ref="AG24:AK24"/>
    <mergeCell ref="AY24:BA24"/>
    <mergeCell ref="BB24:BF24"/>
    <mergeCell ref="BI24:BJ24"/>
    <mergeCell ref="AL23:AQ23"/>
    <mergeCell ref="AR23:AV23"/>
    <mergeCell ref="AY23:BA23"/>
    <mergeCell ref="BB23:BF23"/>
    <mergeCell ref="BG23:BH24"/>
    <mergeCell ref="BI23:BJ23"/>
    <mergeCell ref="BL24:BP24"/>
    <mergeCell ref="BI25:BJ25"/>
    <mergeCell ref="BL25:BP25"/>
    <mergeCell ref="B26:F26"/>
    <mergeCell ref="G26:K26"/>
    <mergeCell ref="Q26:T26"/>
    <mergeCell ref="V26:Z26"/>
    <mergeCell ref="AB26:AF26"/>
    <mergeCell ref="AG26:AK26"/>
    <mergeCell ref="AY26:BA26"/>
    <mergeCell ref="BB26:BF26"/>
    <mergeCell ref="BI26:BJ26"/>
    <mergeCell ref="BL26:BP26"/>
    <mergeCell ref="C25:F25"/>
    <mergeCell ref="G25:K25"/>
    <mergeCell ref="Q25:T25"/>
    <mergeCell ref="V25:Z25"/>
    <mergeCell ref="AB25:AF25"/>
    <mergeCell ref="AG25:AK25"/>
    <mergeCell ref="AZ25:BA25"/>
    <mergeCell ref="BB25:BF25"/>
    <mergeCell ref="BG25:BH26"/>
    <mergeCell ref="BG27:BH28"/>
    <mergeCell ref="BI27:BJ27"/>
    <mergeCell ref="BL27:BP27"/>
    <mergeCell ref="B28:K28"/>
    <mergeCell ref="Q28:T28"/>
    <mergeCell ref="V28:Z28"/>
    <mergeCell ref="AA28:AF28"/>
    <mergeCell ref="AG28:AK28"/>
    <mergeCell ref="AX28:BA28"/>
    <mergeCell ref="BB28:BF28"/>
    <mergeCell ref="BI28:BJ28"/>
    <mergeCell ref="BL28:BP28"/>
    <mergeCell ref="C27:F27"/>
    <mergeCell ref="G27:K27"/>
    <mergeCell ref="M27:P29"/>
    <mergeCell ref="Q27:T27"/>
    <mergeCell ref="V27:Z27"/>
    <mergeCell ref="AB27:AF27"/>
    <mergeCell ref="AG27:AK27"/>
    <mergeCell ref="AX27:BA27"/>
    <mergeCell ref="BB27:BF27"/>
    <mergeCell ref="B29:F29"/>
    <mergeCell ref="G29:K29"/>
    <mergeCell ref="Q29:T29"/>
    <mergeCell ref="BG29:BP29"/>
    <mergeCell ref="B31:F31"/>
    <mergeCell ref="G31:K31"/>
    <mergeCell ref="M31:T31"/>
    <mergeCell ref="V31:Z31"/>
    <mergeCell ref="BG31:BJ31"/>
    <mergeCell ref="BL31:BP31"/>
    <mergeCell ref="B30:F30"/>
    <mergeCell ref="G30:K30"/>
    <mergeCell ref="M30:T30"/>
    <mergeCell ref="V30:Z30"/>
    <mergeCell ref="BG30:BK30"/>
    <mergeCell ref="BL30:BP30"/>
    <mergeCell ref="V29:Z29"/>
    <mergeCell ref="AA29:AF29"/>
    <mergeCell ref="AG29:AK29"/>
    <mergeCell ref="BG32:BJ32"/>
    <mergeCell ref="BL32:BP32"/>
    <mergeCell ref="B33:F33"/>
    <mergeCell ref="G33:K33"/>
    <mergeCell ref="Q33:T33"/>
    <mergeCell ref="V33:Z33"/>
    <mergeCell ref="AL33:AQ33"/>
    <mergeCell ref="BG33:BJ33"/>
    <mergeCell ref="BL33:BP33"/>
    <mergeCell ref="B32:K32"/>
    <mergeCell ref="M32:P34"/>
    <mergeCell ref="Q32:T32"/>
    <mergeCell ref="V32:Z32"/>
    <mergeCell ref="AA32:AF33"/>
    <mergeCell ref="AG32:AK33"/>
    <mergeCell ref="B34:F34"/>
    <mergeCell ref="G34:K34"/>
    <mergeCell ref="Q34:T34"/>
    <mergeCell ref="V34:Z34"/>
    <mergeCell ref="AA34:AF34"/>
    <mergeCell ref="AG34:AK34"/>
    <mergeCell ref="AL34:AQ34"/>
    <mergeCell ref="BG34:BJ34"/>
    <mergeCell ref="BL34:BP34"/>
    <mergeCell ref="B35:K35"/>
    <mergeCell ref="L35:Z35"/>
    <mergeCell ref="AB35:AF35"/>
    <mergeCell ref="AG35:AK35"/>
    <mergeCell ref="AL35:AQ35"/>
    <mergeCell ref="BG35:BJ35"/>
    <mergeCell ref="BL35:BP35"/>
    <mergeCell ref="B36:F36"/>
    <mergeCell ref="G36:K36"/>
    <mergeCell ref="L36:L39"/>
    <mergeCell ref="M36:T36"/>
    <mergeCell ref="V36:Z36"/>
    <mergeCell ref="AB36:AF36"/>
    <mergeCell ref="AG36:AK36"/>
    <mergeCell ref="AL36:AQ36"/>
    <mergeCell ref="BG36:BJ36"/>
    <mergeCell ref="BL36:BP36"/>
    <mergeCell ref="B37:F37"/>
    <mergeCell ref="G37:K37"/>
    <mergeCell ref="M37:T37"/>
    <mergeCell ref="V37:Z37"/>
    <mergeCell ref="AB37:AF37"/>
    <mergeCell ref="AG37:AK37"/>
    <mergeCell ref="AL37:AQ37"/>
    <mergeCell ref="BG37:BJ37"/>
    <mergeCell ref="B39:F39"/>
    <mergeCell ref="G39:K39"/>
    <mergeCell ref="M39:T39"/>
    <mergeCell ref="V39:Z39"/>
    <mergeCell ref="AA39:AF39"/>
    <mergeCell ref="AG39:AK39"/>
    <mergeCell ref="BL37:BP37"/>
    <mergeCell ref="B38:K38"/>
    <mergeCell ref="M38:T38"/>
    <mergeCell ref="V38:Z38"/>
    <mergeCell ref="AB38:AF38"/>
    <mergeCell ref="AG38:AK38"/>
    <mergeCell ref="AL38:AQ38"/>
    <mergeCell ref="BH38:BJ38"/>
    <mergeCell ref="BL38:BP38"/>
    <mergeCell ref="AL39:AQ39"/>
    <mergeCell ref="BG39:BJ39"/>
    <mergeCell ref="BL39:BP39"/>
    <mergeCell ref="L40:L43"/>
    <mergeCell ref="M40:T40"/>
    <mergeCell ref="V40:Z40"/>
    <mergeCell ref="AB40:AF40"/>
    <mergeCell ref="AG40:AK40"/>
    <mergeCell ref="AL40:AQ40"/>
    <mergeCell ref="BG40:BJ40"/>
    <mergeCell ref="M42:T42"/>
    <mergeCell ref="V42:Z42"/>
    <mergeCell ref="BG42:BJ42"/>
    <mergeCell ref="BL42:BP42"/>
    <mergeCell ref="M43:T43"/>
    <mergeCell ref="V43:Z43"/>
    <mergeCell ref="BG43:BJ43"/>
    <mergeCell ref="BL43:BP43"/>
    <mergeCell ref="BL40:BP40"/>
    <mergeCell ref="M41:T41"/>
    <mergeCell ref="V41:Z41"/>
    <mergeCell ref="AB41:AF41"/>
    <mergeCell ref="AG41:AK41"/>
    <mergeCell ref="AL41:AQ41"/>
    <mergeCell ref="BG41:BJ41"/>
    <mergeCell ref="BL41:BP41"/>
    <mergeCell ref="L46:T46"/>
    <mergeCell ref="V46:Z46"/>
    <mergeCell ref="BG46:BJ46"/>
    <mergeCell ref="BL46:BP46"/>
    <mergeCell ref="L47:T47"/>
    <mergeCell ref="V47:Z47"/>
    <mergeCell ref="BG47:BJ47"/>
    <mergeCell ref="BL47:BP47"/>
    <mergeCell ref="L44:Z44"/>
    <mergeCell ref="BG44:BJ44"/>
    <mergeCell ref="BL44:BP44"/>
    <mergeCell ref="L45:T45"/>
    <mergeCell ref="V45:Z45"/>
    <mergeCell ref="BG45:BJ45"/>
    <mergeCell ref="BL45:BP45"/>
    <mergeCell ref="AR56:AV56"/>
    <mergeCell ref="AW56:BA56"/>
    <mergeCell ref="BB56:BF56"/>
    <mergeCell ref="BG56:BK56"/>
    <mergeCell ref="BL56:BP56"/>
    <mergeCell ref="BG48:BJ48"/>
    <mergeCell ref="BL48:BP48"/>
    <mergeCell ref="B56:F56"/>
    <mergeCell ref="G56:K56"/>
    <mergeCell ref="L56:P56"/>
    <mergeCell ref="Q56:U56"/>
    <mergeCell ref="V56:Z56"/>
    <mergeCell ref="AA56:AF56"/>
    <mergeCell ref="AG56:AK56"/>
    <mergeCell ref="AL56:AQ56"/>
  </mergeCells>
  <phoneticPr fontId="1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9" orientation="landscape" cellComments="asDisplaye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X55"/>
  <sheetViews>
    <sheetView view="pageBreakPreview" zoomScale="130" zoomScaleNormal="120" zoomScaleSheetLayoutView="130" workbookViewId="0"/>
  </sheetViews>
  <sheetFormatPr defaultColWidth="2.75" defaultRowHeight="14.25" customHeight="1" x14ac:dyDescent="0.15"/>
  <cols>
    <col min="1" max="1" width="2" style="27" customWidth="1"/>
    <col min="2" max="3" width="1.375" style="27" customWidth="1"/>
    <col min="4" max="4" width="1.75" style="27" customWidth="1"/>
    <col min="5" max="5" width="2.625" style="27" customWidth="1"/>
    <col min="6" max="6" width="2.375" style="27" customWidth="1"/>
    <col min="7" max="10" width="1.75" style="27" customWidth="1"/>
    <col min="11" max="11" width="2.5" style="27" customWidth="1"/>
    <col min="12" max="16" width="1.875" style="27" customWidth="1"/>
    <col min="17" max="18" width="1.5" style="27" customWidth="1"/>
    <col min="19" max="19" width="2.25" style="27" customWidth="1"/>
    <col min="20" max="20" width="2.625" style="27" customWidth="1"/>
    <col min="21" max="21" width="1.5" style="27" customWidth="1"/>
    <col min="22" max="25" width="1.75" style="27" customWidth="1"/>
    <col min="26" max="26" width="2.25" style="27" customWidth="1"/>
    <col min="27" max="31" width="1.875" style="27" customWidth="1"/>
    <col min="32" max="33" width="1.75" style="27" customWidth="1"/>
    <col min="34" max="34" width="1.125" style="27" customWidth="1"/>
    <col min="35" max="35" width="1.75" style="27" customWidth="1"/>
    <col min="36" max="36" width="2.75" style="27" customWidth="1"/>
    <col min="37" max="46" width="1.875" style="27" customWidth="1"/>
    <col min="47" max="47" width="0.875" style="27" customWidth="1"/>
    <col min="48" max="48" width="2.375" style="27" customWidth="1"/>
    <col min="49" max="49" width="1.25" style="27" customWidth="1"/>
    <col min="50" max="50" width="1.875" style="27" customWidth="1"/>
    <col min="51" max="51" width="3.375" style="27" customWidth="1"/>
    <col min="52" max="53" width="0.875" style="27" customWidth="1"/>
    <col min="54" max="54" width="0.75" style="27" customWidth="1"/>
    <col min="55" max="55" width="2.875" style="27" customWidth="1"/>
    <col min="56" max="56" width="3.5" style="27" customWidth="1"/>
    <col min="57" max="61" width="1.875" style="27" customWidth="1"/>
    <col min="62" max="63" width="1.125" style="27" customWidth="1"/>
    <col min="64" max="65" width="1.875" style="27" customWidth="1"/>
    <col min="66" max="66" width="3.5" style="27" customWidth="1"/>
    <col min="67" max="76" width="1.875" style="27" customWidth="1"/>
    <col min="77" max="16384" width="2.75" style="27"/>
  </cols>
  <sheetData>
    <row r="1" spans="1:76" ht="14.25" customHeight="1" x14ac:dyDescent="0.15">
      <c r="B1" s="58" t="str">
        <f>AZ4&amp;"年　農業経営統計調査（営農類型別経営統計（農業経営体））　個別結果表No.５"</f>
        <v>0年　農業経営統計調査（営農類型別経営統計（農業経営体））　個別結果表No.５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</row>
    <row r="2" spans="1:76" ht="14.25" customHeight="1" thickBot="1" x14ac:dyDescent="0.2"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</row>
    <row r="3" spans="1:76" ht="10.5" customHeight="1" x14ac:dyDescent="0.15">
      <c r="A3" s="31"/>
      <c r="B3" s="55"/>
      <c r="C3" s="55"/>
      <c r="D3" s="55"/>
      <c r="E3" s="55"/>
      <c r="F3" s="55"/>
      <c r="G3" s="33"/>
      <c r="H3" s="33"/>
      <c r="I3" s="33"/>
      <c r="J3" s="33"/>
      <c r="K3" s="33"/>
      <c r="L3" s="33"/>
      <c r="M3" s="33"/>
      <c r="N3" s="33"/>
      <c r="O3" s="33"/>
      <c r="P3" s="33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Z3" s="1272" t="s">
        <v>153</v>
      </c>
      <c r="BA3" s="1273"/>
      <c r="BB3" s="1273"/>
      <c r="BC3" s="1273"/>
      <c r="BD3" s="1274"/>
      <c r="BE3" s="1232" t="s">
        <v>240</v>
      </c>
      <c r="BF3" s="1233"/>
      <c r="BG3" s="1233"/>
      <c r="BH3" s="1233"/>
      <c r="BI3" s="1233"/>
      <c r="BJ3" s="1233"/>
      <c r="BK3" s="1233"/>
      <c r="BL3" s="1233"/>
      <c r="BM3" s="1233"/>
      <c r="BN3" s="1792"/>
      <c r="BO3" s="1276" t="s">
        <v>215</v>
      </c>
      <c r="BP3" s="1277"/>
      <c r="BQ3" s="1277"/>
      <c r="BR3" s="1277"/>
      <c r="BS3" s="1278"/>
      <c r="BT3" s="1279" t="s">
        <v>154</v>
      </c>
      <c r="BU3" s="1279"/>
      <c r="BV3" s="1279"/>
      <c r="BW3" s="1279"/>
      <c r="BX3" s="1280"/>
    </row>
    <row r="4" spans="1:76" ht="10.5" customHeight="1" thickBot="1" x14ac:dyDescent="0.2">
      <c r="A4" s="31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56"/>
      <c r="AG4" s="56"/>
      <c r="AH4" s="56"/>
      <c r="AI4" s="56"/>
      <c r="AJ4" s="56"/>
      <c r="AZ4" s="1275">
        <f>'No1'!B5</f>
        <v>0</v>
      </c>
      <c r="BA4" s="1236"/>
      <c r="BB4" s="1236"/>
      <c r="BC4" s="1236"/>
      <c r="BD4" s="1236"/>
      <c r="BE4" s="1235" t="str">
        <f>IF('No1'!L5&lt;&gt;"",'No1'!L5,"")</f>
        <v/>
      </c>
      <c r="BF4" s="1236"/>
      <c r="BG4" s="1236"/>
      <c r="BH4" s="1236"/>
      <c r="BI4" s="1236"/>
      <c r="BJ4" s="1236"/>
      <c r="BK4" s="1236"/>
      <c r="BL4" s="1236"/>
      <c r="BM4" s="1236"/>
      <c r="BN4" s="1793"/>
      <c r="BO4" s="1281">
        <f>'No1'!AG5</f>
        <v>0</v>
      </c>
      <c r="BP4" s="1282"/>
      <c r="BQ4" s="1282"/>
      <c r="BR4" s="1282"/>
      <c r="BS4" s="1283"/>
      <c r="BT4" s="1284">
        <f>'No1'!AL5</f>
        <v>0</v>
      </c>
      <c r="BU4" s="1284"/>
      <c r="BV4" s="1284"/>
      <c r="BW4" s="1284"/>
      <c r="BX4" s="1285"/>
    </row>
    <row r="5" spans="1:76" ht="10.5" customHeight="1" x14ac:dyDescent="0.15">
      <c r="A5" s="31"/>
      <c r="B5" s="2061" t="s">
        <v>535</v>
      </c>
      <c r="C5" s="2062"/>
      <c r="D5" s="2062"/>
      <c r="E5" s="2062"/>
      <c r="F5" s="2062"/>
      <c r="G5" s="2062"/>
      <c r="H5" s="2062"/>
      <c r="I5" s="2062"/>
      <c r="J5" s="2062"/>
      <c r="K5" s="2062"/>
      <c r="L5" s="2062"/>
      <c r="M5" s="2062"/>
      <c r="N5" s="2062"/>
      <c r="O5" s="2062"/>
      <c r="P5" s="2062"/>
      <c r="Q5" s="2062"/>
      <c r="R5" s="2062"/>
      <c r="S5" s="2062"/>
      <c r="T5" s="2062"/>
      <c r="U5" s="2062"/>
      <c r="V5" s="2062"/>
      <c r="W5" s="2062"/>
      <c r="X5" s="2062"/>
      <c r="Y5" s="2062"/>
      <c r="Z5" s="2062"/>
      <c r="AA5" s="2062"/>
      <c r="AB5" s="2062"/>
      <c r="AC5" s="2062"/>
      <c r="AD5" s="2062"/>
      <c r="AE5" s="2063"/>
      <c r="AF5" s="1656" t="s">
        <v>523</v>
      </c>
      <c r="AG5" s="1656"/>
      <c r="AH5" s="1656"/>
      <c r="AI5" s="1656"/>
      <c r="AJ5" s="1656"/>
      <c r="AK5" s="2064"/>
      <c r="AL5" s="2064"/>
      <c r="AM5" s="2064"/>
      <c r="AN5" s="2064"/>
      <c r="AO5" s="2064"/>
      <c r="AP5" s="1656"/>
      <c r="AQ5" s="1656"/>
      <c r="AR5" s="1656"/>
      <c r="AS5" s="1656"/>
      <c r="AT5" s="1656"/>
      <c r="AU5" s="1656"/>
      <c r="AV5" s="1656"/>
      <c r="AW5" s="1656"/>
      <c r="AX5" s="1656"/>
      <c r="AY5" s="1656"/>
      <c r="AZ5" s="2064"/>
      <c r="BA5" s="2064"/>
      <c r="BB5" s="2064"/>
      <c r="BC5" s="2064"/>
      <c r="BD5" s="2064"/>
      <c r="BE5" s="1656"/>
      <c r="BF5" s="1656"/>
      <c r="BG5" s="1656"/>
      <c r="BH5" s="1656"/>
      <c r="BI5" s="1656"/>
      <c r="BJ5" s="2065" t="s">
        <v>287</v>
      </c>
      <c r="BK5" s="2066"/>
      <c r="BL5" s="2066"/>
      <c r="BM5" s="2066"/>
      <c r="BN5" s="2066"/>
      <c r="BO5" s="2066"/>
      <c r="BP5" s="2066"/>
      <c r="BQ5" s="2066"/>
      <c r="BR5" s="2066"/>
      <c r="BS5" s="2066"/>
      <c r="BT5" s="2066"/>
      <c r="BU5" s="2066"/>
      <c r="BV5" s="2066"/>
      <c r="BW5" s="2066"/>
      <c r="BX5" s="2067"/>
    </row>
    <row r="6" spans="1:76" ht="10.5" customHeight="1" x14ac:dyDescent="0.15">
      <c r="A6" s="31">
        <v>1</v>
      </c>
      <c r="B6" s="1940" t="s">
        <v>325</v>
      </c>
      <c r="C6" s="1830"/>
      <c r="D6" s="2068" t="s">
        <v>29</v>
      </c>
      <c r="E6" s="2069"/>
      <c r="F6" s="1976" t="s">
        <v>521</v>
      </c>
      <c r="G6" s="1634"/>
      <c r="H6" s="1634"/>
      <c r="I6" s="1634"/>
      <c r="J6" s="1635"/>
      <c r="K6" s="361" t="s">
        <v>536</v>
      </c>
      <c r="L6" s="1584"/>
      <c r="M6" s="1585"/>
      <c r="N6" s="1585"/>
      <c r="O6" s="1585"/>
      <c r="P6" s="1625"/>
      <c r="Q6" s="1829" t="s">
        <v>343</v>
      </c>
      <c r="R6" s="1830"/>
      <c r="S6" s="2079" t="s">
        <v>351</v>
      </c>
      <c r="T6" s="2080"/>
      <c r="U6" s="1976" t="s">
        <v>306</v>
      </c>
      <c r="V6" s="1634"/>
      <c r="W6" s="1634"/>
      <c r="X6" s="1634"/>
      <c r="Y6" s="1635"/>
      <c r="Z6" s="362" t="s">
        <v>536</v>
      </c>
      <c r="AA6" s="1584"/>
      <c r="AB6" s="1585"/>
      <c r="AC6" s="1585"/>
      <c r="AD6" s="1585"/>
      <c r="AE6" s="1632"/>
      <c r="AF6" s="1300"/>
      <c r="AG6" s="1300"/>
      <c r="AH6" s="1300"/>
      <c r="AI6" s="1300"/>
      <c r="AJ6" s="1300"/>
      <c r="AK6" s="2092" t="s">
        <v>327</v>
      </c>
      <c r="AL6" s="2093"/>
      <c r="AM6" s="2093"/>
      <c r="AN6" s="2093"/>
      <c r="AO6" s="2094"/>
      <c r="AP6" s="1300" t="s">
        <v>456</v>
      </c>
      <c r="AQ6" s="1300"/>
      <c r="AR6" s="1300"/>
      <c r="AS6" s="1300"/>
      <c r="AT6" s="1396"/>
      <c r="AU6" s="1528"/>
      <c r="AV6" s="1528"/>
      <c r="AW6" s="1528"/>
      <c r="AX6" s="1528"/>
      <c r="AY6" s="1299"/>
      <c r="AZ6" s="2074" t="s">
        <v>347</v>
      </c>
      <c r="BA6" s="2075"/>
      <c r="BB6" s="2075"/>
      <c r="BC6" s="2075"/>
      <c r="BD6" s="2076"/>
      <c r="BE6" s="1300" t="s">
        <v>456</v>
      </c>
      <c r="BF6" s="1300"/>
      <c r="BG6" s="1300"/>
      <c r="BH6" s="1300"/>
      <c r="BI6" s="1300"/>
      <c r="BJ6" s="2077" t="s">
        <v>41</v>
      </c>
      <c r="BK6" s="1811"/>
      <c r="BL6" s="1811"/>
      <c r="BM6" s="1811"/>
      <c r="BN6" s="2078"/>
      <c r="BO6" s="1393" t="s">
        <v>268</v>
      </c>
      <c r="BP6" s="1394"/>
      <c r="BQ6" s="1394"/>
      <c r="BR6" s="1394"/>
      <c r="BS6" s="1395"/>
      <c r="BT6" s="1393" t="s">
        <v>269</v>
      </c>
      <c r="BU6" s="1394"/>
      <c r="BV6" s="1394"/>
      <c r="BW6" s="1394"/>
      <c r="BX6" s="1398"/>
    </row>
    <row r="7" spans="1:76" ht="10.5" customHeight="1" x14ac:dyDescent="0.15">
      <c r="A7" s="31">
        <v>2</v>
      </c>
      <c r="B7" s="1941"/>
      <c r="C7" s="1832"/>
      <c r="D7" s="2070"/>
      <c r="E7" s="2071"/>
      <c r="F7" s="1631" t="s">
        <v>298</v>
      </c>
      <c r="G7" s="1569"/>
      <c r="H7" s="1569"/>
      <c r="I7" s="1569"/>
      <c r="J7" s="1570"/>
      <c r="K7" s="363" t="s">
        <v>163</v>
      </c>
      <c r="L7" s="1565"/>
      <c r="M7" s="1566"/>
      <c r="N7" s="1566"/>
      <c r="O7" s="1566"/>
      <c r="P7" s="1607"/>
      <c r="Q7" s="1831"/>
      <c r="R7" s="1832"/>
      <c r="S7" s="2081"/>
      <c r="T7" s="2082"/>
      <c r="U7" s="1631" t="s">
        <v>298</v>
      </c>
      <c r="V7" s="1569"/>
      <c r="W7" s="1569"/>
      <c r="X7" s="1569"/>
      <c r="Y7" s="1570"/>
      <c r="Z7" s="318" t="s">
        <v>292</v>
      </c>
      <c r="AA7" s="1565"/>
      <c r="AB7" s="1566"/>
      <c r="AC7" s="1566"/>
      <c r="AD7" s="1566"/>
      <c r="AE7" s="1571"/>
      <c r="AF7" s="2059" t="s">
        <v>200</v>
      </c>
      <c r="AG7" s="2023"/>
      <c r="AH7" s="2023"/>
      <c r="AI7" s="2023"/>
      <c r="AJ7" s="1936"/>
      <c r="AK7" s="2031"/>
      <c r="AL7" s="2032"/>
      <c r="AM7" s="2032"/>
      <c r="AN7" s="2032"/>
      <c r="AO7" s="2033"/>
      <c r="AP7" s="1859"/>
      <c r="AQ7" s="1859"/>
      <c r="AR7" s="1859"/>
      <c r="AS7" s="1859"/>
      <c r="AT7" s="1859"/>
      <c r="AU7" s="2085" t="s">
        <v>199</v>
      </c>
      <c r="AV7" s="2086"/>
      <c r="AW7" s="2086"/>
      <c r="AX7" s="2086"/>
      <c r="AY7" s="1763"/>
      <c r="AZ7" s="2031"/>
      <c r="BA7" s="2032"/>
      <c r="BB7" s="2032"/>
      <c r="BC7" s="2032"/>
      <c r="BD7" s="2033"/>
      <c r="BE7" s="1859"/>
      <c r="BF7" s="1859"/>
      <c r="BG7" s="1859"/>
      <c r="BH7" s="1859"/>
      <c r="BI7" s="1859"/>
      <c r="BJ7" s="2087" t="s">
        <v>506</v>
      </c>
      <c r="BK7" s="2088"/>
      <c r="BL7" s="2088"/>
      <c r="BM7" s="2088"/>
      <c r="BN7" s="2089"/>
      <c r="BO7" s="2090"/>
      <c r="BP7" s="2090"/>
      <c r="BQ7" s="2090"/>
      <c r="BR7" s="2090"/>
      <c r="BS7" s="2090"/>
      <c r="BT7" s="2090"/>
      <c r="BU7" s="2090"/>
      <c r="BV7" s="2090"/>
      <c r="BW7" s="2090"/>
      <c r="BX7" s="2091"/>
    </row>
    <row r="8" spans="1:76" ht="10.5" customHeight="1" x14ac:dyDescent="0.15">
      <c r="A8" s="31">
        <v>3</v>
      </c>
      <c r="B8" s="1941"/>
      <c r="C8" s="1832"/>
      <c r="D8" s="2070"/>
      <c r="E8" s="2071"/>
      <c r="F8" s="1631" t="s">
        <v>332</v>
      </c>
      <c r="G8" s="1569"/>
      <c r="H8" s="1569"/>
      <c r="I8" s="1569"/>
      <c r="J8" s="1570"/>
      <c r="K8" s="318" t="s">
        <v>163</v>
      </c>
      <c r="L8" s="1565"/>
      <c r="M8" s="1566"/>
      <c r="N8" s="1566"/>
      <c r="O8" s="1566"/>
      <c r="P8" s="1607"/>
      <c r="Q8" s="1831"/>
      <c r="R8" s="1832"/>
      <c r="S8" s="2081"/>
      <c r="T8" s="2082"/>
      <c r="U8" s="1631" t="s">
        <v>307</v>
      </c>
      <c r="V8" s="1569"/>
      <c r="W8" s="1569"/>
      <c r="X8" s="1569"/>
      <c r="Y8" s="1570"/>
      <c r="Z8" s="318" t="s">
        <v>292</v>
      </c>
      <c r="AA8" s="1565"/>
      <c r="AB8" s="1566"/>
      <c r="AC8" s="1566"/>
      <c r="AD8" s="1566"/>
      <c r="AE8" s="1571"/>
      <c r="AF8" s="1832" t="s">
        <v>4</v>
      </c>
      <c r="AG8" s="2053" t="s">
        <v>270</v>
      </c>
      <c r="AH8" s="2039"/>
      <c r="AI8" s="2095" t="s">
        <v>2</v>
      </c>
      <c r="AJ8" s="2096"/>
      <c r="AK8" s="1565"/>
      <c r="AL8" s="1566"/>
      <c r="AM8" s="1566"/>
      <c r="AN8" s="1566"/>
      <c r="AO8" s="1607"/>
      <c r="AP8" s="1872"/>
      <c r="AQ8" s="1872"/>
      <c r="AR8" s="1872"/>
      <c r="AS8" s="1872"/>
      <c r="AT8" s="1872"/>
      <c r="AU8" s="1372" t="s">
        <v>18</v>
      </c>
      <c r="AV8" s="2039"/>
      <c r="AW8" s="2058" t="s">
        <v>191</v>
      </c>
      <c r="AX8" s="2058"/>
      <c r="AY8" s="1324"/>
      <c r="AZ8" s="1868"/>
      <c r="BA8" s="1869"/>
      <c r="BB8" s="1869"/>
      <c r="BC8" s="1869"/>
      <c r="BD8" s="1870"/>
      <c r="BE8" s="1872"/>
      <c r="BF8" s="1872"/>
      <c r="BG8" s="1872"/>
      <c r="BH8" s="1872"/>
      <c r="BI8" s="1932"/>
      <c r="BJ8" s="1882"/>
      <c r="BK8" s="1883"/>
      <c r="BL8" s="1883"/>
      <c r="BM8" s="1883"/>
      <c r="BN8" s="1884"/>
      <c r="BO8" s="1875"/>
      <c r="BP8" s="1875"/>
      <c r="BQ8" s="1875"/>
      <c r="BR8" s="1875"/>
      <c r="BS8" s="1875"/>
      <c r="BT8" s="1875"/>
      <c r="BU8" s="1875"/>
      <c r="BV8" s="1875"/>
      <c r="BW8" s="1875"/>
      <c r="BX8" s="1876"/>
    </row>
    <row r="9" spans="1:76" ht="10.5" customHeight="1" x14ac:dyDescent="0.15">
      <c r="A9" s="31">
        <v>4</v>
      </c>
      <c r="B9" s="1941"/>
      <c r="C9" s="1832"/>
      <c r="D9" s="2070"/>
      <c r="E9" s="2071"/>
      <c r="F9" s="1631" t="s">
        <v>298</v>
      </c>
      <c r="G9" s="1569"/>
      <c r="H9" s="1569"/>
      <c r="I9" s="1569"/>
      <c r="J9" s="1570"/>
      <c r="K9" s="363" t="s">
        <v>163</v>
      </c>
      <c r="L9" s="1565"/>
      <c r="M9" s="1566"/>
      <c r="N9" s="1566"/>
      <c r="O9" s="1566"/>
      <c r="P9" s="1607"/>
      <c r="Q9" s="1831"/>
      <c r="R9" s="1832"/>
      <c r="S9" s="2081"/>
      <c r="T9" s="2082"/>
      <c r="U9" s="1631" t="s">
        <v>298</v>
      </c>
      <c r="V9" s="1569"/>
      <c r="W9" s="1569"/>
      <c r="X9" s="1569"/>
      <c r="Y9" s="1570"/>
      <c r="Z9" s="318" t="s">
        <v>292</v>
      </c>
      <c r="AA9" s="1565"/>
      <c r="AB9" s="1566"/>
      <c r="AC9" s="1566"/>
      <c r="AD9" s="1566"/>
      <c r="AE9" s="1571"/>
      <c r="AF9" s="1832"/>
      <c r="AG9" s="2054"/>
      <c r="AH9" s="2055"/>
      <c r="AI9" s="2060" t="s">
        <v>3</v>
      </c>
      <c r="AJ9" s="1377"/>
      <c r="AK9" s="1565"/>
      <c r="AL9" s="1566"/>
      <c r="AM9" s="1566"/>
      <c r="AN9" s="1566"/>
      <c r="AO9" s="1607"/>
      <c r="AP9" s="1851"/>
      <c r="AQ9" s="1851"/>
      <c r="AR9" s="1851"/>
      <c r="AS9" s="1851"/>
      <c r="AT9" s="1851"/>
      <c r="AU9" s="1372"/>
      <c r="AV9" s="2039"/>
      <c r="AW9" s="2056" t="s">
        <v>192</v>
      </c>
      <c r="AX9" s="2057"/>
      <c r="AY9" s="2057"/>
      <c r="AZ9" s="1879"/>
      <c r="BA9" s="1880"/>
      <c r="BB9" s="1880"/>
      <c r="BC9" s="1880"/>
      <c r="BD9" s="2034"/>
      <c r="BE9" s="1880"/>
      <c r="BF9" s="1880"/>
      <c r="BG9" s="1880"/>
      <c r="BH9" s="1880"/>
      <c r="BI9" s="1881"/>
      <c r="BJ9" s="1882"/>
      <c r="BK9" s="1883"/>
      <c r="BL9" s="1883"/>
      <c r="BM9" s="1883"/>
      <c r="BN9" s="1884"/>
      <c r="BO9" s="1875"/>
      <c r="BP9" s="1875"/>
      <c r="BQ9" s="1875"/>
      <c r="BR9" s="1875"/>
      <c r="BS9" s="1875"/>
      <c r="BT9" s="1875"/>
      <c r="BU9" s="1875"/>
      <c r="BV9" s="1875"/>
      <c r="BW9" s="1875"/>
      <c r="BX9" s="1876"/>
    </row>
    <row r="10" spans="1:76" ht="10.5" customHeight="1" x14ac:dyDescent="0.15">
      <c r="A10" s="31">
        <v>5</v>
      </c>
      <c r="B10" s="1941"/>
      <c r="C10" s="1832"/>
      <c r="D10" s="2072"/>
      <c r="E10" s="2073"/>
      <c r="F10" s="1631" t="s">
        <v>296</v>
      </c>
      <c r="G10" s="1569"/>
      <c r="H10" s="1569"/>
      <c r="I10" s="1569"/>
      <c r="J10" s="1570"/>
      <c r="K10" s="363" t="s">
        <v>163</v>
      </c>
      <c r="L10" s="1565"/>
      <c r="M10" s="1566"/>
      <c r="N10" s="1566"/>
      <c r="O10" s="1566"/>
      <c r="P10" s="1607"/>
      <c r="Q10" s="1831"/>
      <c r="R10" s="1832"/>
      <c r="S10" s="2081"/>
      <c r="T10" s="2082"/>
      <c r="U10" s="1631" t="s">
        <v>502</v>
      </c>
      <c r="V10" s="1569"/>
      <c r="W10" s="1569"/>
      <c r="X10" s="1569"/>
      <c r="Y10" s="1570"/>
      <c r="Z10" s="318" t="s">
        <v>292</v>
      </c>
      <c r="AA10" s="1565"/>
      <c r="AB10" s="1566"/>
      <c r="AC10" s="1566"/>
      <c r="AD10" s="1566"/>
      <c r="AE10" s="1571"/>
      <c r="AF10" s="1832"/>
      <c r="AG10" s="1971" t="s">
        <v>134</v>
      </c>
      <c r="AH10" s="1971"/>
      <c r="AI10" s="1971"/>
      <c r="AJ10" s="1337"/>
      <c r="AK10" s="1847"/>
      <c r="AL10" s="1848"/>
      <c r="AM10" s="1848"/>
      <c r="AN10" s="1848"/>
      <c r="AO10" s="1849"/>
      <c r="AP10" s="1851"/>
      <c r="AQ10" s="1851"/>
      <c r="AR10" s="1851"/>
      <c r="AS10" s="1851"/>
      <c r="AT10" s="1851"/>
      <c r="AU10" s="1293"/>
      <c r="AV10" s="1954"/>
      <c r="AW10" s="1521" t="s">
        <v>348</v>
      </c>
      <c r="AX10" s="1522"/>
      <c r="AY10" s="1522"/>
      <c r="AZ10" s="1855"/>
      <c r="BA10" s="1856"/>
      <c r="BB10" s="1856"/>
      <c r="BC10" s="1856"/>
      <c r="BD10" s="1857"/>
      <c r="BE10" s="1995"/>
      <c r="BF10" s="1995"/>
      <c r="BG10" s="1995"/>
      <c r="BH10" s="1995"/>
      <c r="BI10" s="1996"/>
      <c r="BJ10" s="1882"/>
      <c r="BK10" s="1883"/>
      <c r="BL10" s="1883"/>
      <c r="BM10" s="1883"/>
      <c r="BN10" s="1884"/>
      <c r="BO10" s="1875"/>
      <c r="BP10" s="1875"/>
      <c r="BQ10" s="1875"/>
      <c r="BR10" s="1875"/>
      <c r="BS10" s="1875"/>
      <c r="BT10" s="1875"/>
      <c r="BU10" s="1875"/>
      <c r="BV10" s="1875"/>
      <c r="BW10" s="1875"/>
      <c r="BX10" s="1876"/>
    </row>
    <row r="11" spans="1:76" ht="10.5" customHeight="1" x14ac:dyDescent="0.15">
      <c r="A11" s="31">
        <v>6</v>
      </c>
      <c r="B11" s="1941"/>
      <c r="C11" s="1832"/>
      <c r="D11" s="1951" t="s">
        <v>293</v>
      </c>
      <c r="E11" s="1952"/>
      <c r="F11" s="1631" t="s">
        <v>522</v>
      </c>
      <c r="G11" s="1569"/>
      <c r="H11" s="1569"/>
      <c r="I11" s="1569"/>
      <c r="J11" s="1570"/>
      <c r="K11" s="318" t="s">
        <v>581</v>
      </c>
      <c r="L11" s="1565"/>
      <c r="M11" s="1566"/>
      <c r="N11" s="1566"/>
      <c r="O11" s="1566"/>
      <c r="P11" s="1607"/>
      <c r="Q11" s="1831"/>
      <c r="R11" s="1832"/>
      <c r="S11" s="2081"/>
      <c r="T11" s="2082"/>
      <c r="U11" s="1631" t="s">
        <v>298</v>
      </c>
      <c r="V11" s="1569"/>
      <c r="W11" s="1569"/>
      <c r="X11" s="1569"/>
      <c r="Y11" s="1570"/>
      <c r="Z11" s="318" t="s">
        <v>292</v>
      </c>
      <c r="AA11" s="1565"/>
      <c r="AB11" s="1566"/>
      <c r="AC11" s="1566"/>
      <c r="AD11" s="1566"/>
      <c r="AE11" s="1571"/>
      <c r="AF11" s="1877"/>
      <c r="AG11" s="1854" t="s">
        <v>296</v>
      </c>
      <c r="AH11" s="1854"/>
      <c r="AI11" s="1854"/>
      <c r="AJ11" s="1340"/>
      <c r="AK11" s="1855"/>
      <c r="AL11" s="1856"/>
      <c r="AM11" s="1856"/>
      <c r="AN11" s="1856"/>
      <c r="AO11" s="1857"/>
      <c r="AP11" s="1859"/>
      <c r="AQ11" s="1859"/>
      <c r="AR11" s="1859"/>
      <c r="AS11" s="1859"/>
      <c r="AT11" s="1859"/>
      <c r="AU11" s="2048" t="s">
        <v>360</v>
      </c>
      <c r="AV11" s="2049"/>
      <c r="AW11" s="2049"/>
      <c r="AX11" s="2049"/>
      <c r="AY11" s="2049"/>
      <c r="AZ11" s="2024"/>
      <c r="BA11" s="1923"/>
      <c r="BB11" s="1923"/>
      <c r="BC11" s="1923"/>
      <c r="BD11" s="2025"/>
      <c r="BE11" s="1859"/>
      <c r="BF11" s="1859"/>
      <c r="BG11" s="1859"/>
      <c r="BH11" s="1859"/>
      <c r="BI11" s="1859"/>
      <c r="BJ11" s="1882"/>
      <c r="BK11" s="1883"/>
      <c r="BL11" s="1883"/>
      <c r="BM11" s="1883"/>
      <c r="BN11" s="1884"/>
      <c r="BO11" s="1875"/>
      <c r="BP11" s="1875"/>
      <c r="BQ11" s="1875"/>
      <c r="BR11" s="1875"/>
      <c r="BS11" s="1875"/>
      <c r="BT11" s="1875"/>
      <c r="BU11" s="1875"/>
      <c r="BV11" s="1875"/>
      <c r="BW11" s="1875"/>
      <c r="BX11" s="1876"/>
    </row>
    <row r="12" spans="1:76" ht="10.5" customHeight="1" x14ac:dyDescent="0.15">
      <c r="A12" s="31">
        <v>7</v>
      </c>
      <c r="B12" s="1942"/>
      <c r="C12" s="1877"/>
      <c r="D12" s="1953"/>
      <c r="E12" s="1954"/>
      <c r="F12" s="1853" t="s">
        <v>3</v>
      </c>
      <c r="G12" s="1653"/>
      <c r="H12" s="1653"/>
      <c r="I12" s="1653"/>
      <c r="J12" s="1654"/>
      <c r="K12" s="364" t="s">
        <v>582</v>
      </c>
      <c r="L12" s="1620"/>
      <c r="M12" s="1621"/>
      <c r="N12" s="1621"/>
      <c r="O12" s="1621"/>
      <c r="P12" s="1629"/>
      <c r="Q12" s="1831"/>
      <c r="R12" s="1832"/>
      <c r="S12" s="2081"/>
      <c r="T12" s="2082"/>
      <c r="U12" s="1908" t="s">
        <v>361</v>
      </c>
      <c r="V12" s="1569"/>
      <c r="W12" s="1569"/>
      <c r="X12" s="1569"/>
      <c r="Y12" s="1570"/>
      <c r="Z12" s="363" t="s">
        <v>292</v>
      </c>
      <c r="AA12" s="1565"/>
      <c r="AB12" s="1566"/>
      <c r="AC12" s="1566"/>
      <c r="AD12" s="1566"/>
      <c r="AE12" s="1571"/>
      <c r="AF12" s="2035" t="s">
        <v>5</v>
      </c>
      <c r="AG12" s="1819" t="s">
        <v>6</v>
      </c>
      <c r="AH12" s="1317"/>
      <c r="AI12" s="1317"/>
      <c r="AJ12" s="1317"/>
      <c r="AK12" s="1565"/>
      <c r="AL12" s="1566"/>
      <c r="AM12" s="1566"/>
      <c r="AN12" s="1566"/>
      <c r="AO12" s="1607"/>
      <c r="AP12" s="1872"/>
      <c r="AQ12" s="1872"/>
      <c r="AR12" s="1872"/>
      <c r="AS12" s="1872"/>
      <c r="AT12" s="1872"/>
      <c r="AU12" s="2042" t="s">
        <v>505</v>
      </c>
      <c r="AV12" s="2043"/>
      <c r="AW12" s="2050" t="s">
        <v>530</v>
      </c>
      <c r="AX12" s="2051"/>
      <c r="AY12" s="2051"/>
      <c r="AZ12" s="1931"/>
      <c r="BA12" s="1872"/>
      <c r="BB12" s="1872"/>
      <c r="BC12" s="1872"/>
      <c r="BD12" s="2052"/>
      <c r="BE12" s="1872"/>
      <c r="BF12" s="1872"/>
      <c r="BG12" s="1872"/>
      <c r="BH12" s="1872"/>
      <c r="BI12" s="1932"/>
      <c r="BJ12" s="1882"/>
      <c r="BK12" s="1883"/>
      <c r="BL12" s="1883"/>
      <c r="BM12" s="1883"/>
      <c r="BN12" s="1884"/>
      <c r="BO12" s="1875"/>
      <c r="BP12" s="1875"/>
      <c r="BQ12" s="1875"/>
      <c r="BR12" s="1875"/>
      <c r="BS12" s="1875"/>
      <c r="BT12" s="1875"/>
      <c r="BU12" s="1875"/>
      <c r="BV12" s="1875"/>
      <c r="BW12" s="1875"/>
      <c r="BX12" s="1876"/>
    </row>
    <row r="13" spans="1:76" ht="10.5" customHeight="1" x14ac:dyDescent="0.15">
      <c r="A13" s="31">
        <v>8</v>
      </c>
      <c r="B13" s="1940" t="s">
        <v>583</v>
      </c>
      <c r="C13" s="1830"/>
      <c r="D13" s="1943" t="s">
        <v>340</v>
      </c>
      <c r="E13" s="1830"/>
      <c r="F13" s="1976" t="s">
        <v>297</v>
      </c>
      <c r="G13" s="1634"/>
      <c r="H13" s="1634"/>
      <c r="I13" s="1634"/>
      <c r="J13" s="1635"/>
      <c r="K13" s="362" t="s">
        <v>291</v>
      </c>
      <c r="L13" s="1584"/>
      <c r="M13" s="1585"/>
      <c r="N13" s="1585"/>
      <c r="O13" s="1585"/>
      <c r="P13" s="1625"/>
      <c r="Q13" s="1831"/>
      <c r="R13" s="1832"/>
      <c r="S13" s="2083"/>
      <c r="T13" s="2084"/>
      <c r="U13" s="1631" t="s">
        <v>298</v>
      </c>
      <c r="V13" s="1569"/>
      <c r="W13" s="1569"/>
      <c r="X13" s="1569"/>
      <c r="Y13" s="1570"/>
      <c r="Z13" s="363" t="s">
        <v>292</v>
      </c>
      <c r="AA13" s="1565"/>
      <c r="AB13" s="1566"/>
      <c r="AC13" s="1566"/>
      <c r="AD13" s="1566"/>
      <c r="AE13" s="1571"/>
      <c r="AF13" s="2036"/>
      <c r="AG13" s="1337" t="s">
        <v>7</v>
      </c>
      <c r="AH13" s="1338"/>
      <c r="AI13" s="1338"/>
      <c r="AJ13" s="1338"/>
      <c r="AK13" s="1565"/>
      <c r="AL13" s="1566"/>
      <c r="AM13" s="1566"/>
      <c r="AN13" s="1566"/>
      <c r="AO13" s="1607"/>
      <c r="AP13" s="1851"/>
      <c r="AQ13" s="1851"/>
      <c r="AR13" s="1851"/>
      <c r="AS13" s="1851"/>
      <c r="AT13" s="1851"/>
      <c r="AU13" s="2044"/>
      <c r="AV13" s="2045"/>
      <c r="AW13" s="365"/>
      <c r="AX13" s="2040" t="s">
        <v>193</v>
      </c>
      <c r="AY13" s="2041"/>
      <c r="AZ13" s="1879"/>
      <c r="BA13" s="1880"/>
      <c r="BB13" s="1880"/>
      <c r="BC13" s="1880"/>
      <c r="BD13" s="2034"/>
      <c r="BE13" s="1880"/>
      <c r="BF13" s="1880"/>
      <c r="BG13" s="1880"/>
      <c r="BH13" s="1880"/>
      <c r="BI13" s="1881"/>
      <c r="BJ13" s="1882"/>
      <c r="BK13" s="1883"/>
      <c r="BL13" s="1883"/>
      <c r="BM13" s="1883"/>
      <c r="BN13" s="1884"/>
      <c r="BO13" s="1875"/>
      <c r="BP13" s="1875"/>
      <c r="BQ13" s="1875"/>
      <c r="BR13" s="1875"/>
      <c r="BS13" s="1875"/>
      <c r="BT13" s="1875"/>
      <c r="BU13" s="1875"/>
      <c r="BV13" s="1875"/>
      <c r="BW13" s="1875"/>
      <c r="BX13" s="1876"/>
    </row>
    <row r="14" spans="1:76" ht="10.5" customHeight="1" x14ac:dyDescent="0.15">
      <c r="A14" s="31">
        <v>9</v>
      </c>
      <c r="B14" s="1941"/>
      <c r="C14" s="1832"/>
      <c r="D14" s="1944"/>
      <c r="E14" s="1832"/>
      <c r="F14" s="1631" t="s">
        <v>298</v>
      </c>
      <c r="G14" s="1569"/>
      <c r="H14" s="1569"/>
      <c r="I14" s="1569"/>
      <c r="J14" s="1570"/>
      <c r="K14" s="318" t="s">
        <v>292</v>
      </c>
      <c r="L14" s="1565"/>
      <c r="M14" s="1566"/>
      <c r="N14" s="1566"/>
      <c r="O14" s="1566"/>
      <c r="P14" s="1607"/>
      <c r="Q14" s="1831"/>
      <c r="R14" s="1832"/>
      <c r="S14" s="1337" t="s">
        <v>362</v>
      </c>
      <c r="T14" s="1338"/>
      <c r="U14" s="1338"/>
      <c r="V14" s="1338"/>
      <c r="W14" s="1338"/>
      <c r="X14" s="1338"/>
      <c r="Y14" s="2026"/>
      <c r="Z14" s="363" t="s">
        <v>292</v>
      </c>
      <c r="AA14" s="1565"/>
      <c r="AB14" s="1566"/>
      <c r="AC14" s="1566"/>
      <c r="AD14" s="1566"/>
      <c r="AE14" s="1571"/>
      <c r="AF14" s="2036"/>
      <c r="AG14" s="1324" t="s">
        <v>8</v>
      </c>
      <c r="AH14" s="1325"/>
      <c r="AI14" s="1325"/>
      <c r="AJ14" s="1325"/>
      <c r="AK14" s="1565"/>
      <c r="AL14" s="1566"/>
      <c r="AM14" s="1566"/>
      <c r="AN14" s="1566"/>
      <c r="AO14" s="1607"/>
      <c r="AP14" s="1851"/>
      <c r="AQ14" s="1851"/>
      <c r="AR14" s="1851"/>
      <c r="AS14" s="1851"/>
      <c r="AT14" s="1851"/>
      <c r="AU14" s="2044"/>
      <c r="AV14" s="2045"/>
      <c r="AW14" s="366"/>
      <c r="AX14" s="1337" t="s">
        <v>504</v>
      </c>
      <c r="AY14" s="1338"/>
      <c r="AZ14" s="1879"/>
      <c r="BA14" s="1880"/>
      <c r="BB14" s="1880"/>
      <c r="BC14" s="1880"/>
      <c r="BD14" s="2034"/>
      <c r="BE14" s="1880"/>
      <c r="BF14" s="1880"/>
      <c r="BG14" s="1880"/>
      <c r="BH14" s="1880"/>
      <c r="BI14" s="1881"/>
      <c r="BJ14" s="1882"/>
      <c r="BK14" s="1883"/>
      <c r="BL14" s="1883"/>
      <c r="BM14" s="1883"/>
      <c r="BN14" s="1884"/>
      <c r="BO14" s="1875"/>
      <c r="BP14" s="1875"/>
      <c r="BQ14" s="1875"/>
      <c r="BR14" s="1875"/>
      <c r="BS14" s="1875"/>
      <c r="BT14" s="1875"/>
      <c r="BU14" s="1875"/>
      <c r="BV14" s="1875"/>
      <c r="BW14" s="1875"/>
      <c r="BX14" s="1876"/>
    </row>
    <row r="15" spans="1:76" ht="10.5" customHeight="1" x14ac:dyDescent="0.15">
      <c r="A15" s="31">
        <v>10</v>
      </c>
      <c r="B15" s="1941"/>
      <c r="C15" s="1832"/>
      <c r="D15" s="1944"/>
      <c r="E15" s="1832"/>
      <c r="F15" s="1631" t="s">
        <v>299</v>
      </c>
      <c r="G15" s="1569"/>
      <c r="H15" s="1569"/>
      <c r="I15" s="1569"/>
      <c r="J15" s="1570"/>
      <c r="K15" s="318" t="s">
        <v>292</v>
      </c>
      <c r="L15" s="1565"/>
      <c r="M15" s="1566"/>
      <c r="N15" s="1566"/>
      <c r="O15" s="1566"/>
      <c r="P15" s="1607"/>
      <c r="Q15" s="1831"/>
      <c r="R15" s="1832"/>
      <c r="S15" s="1337" t="s">
        <v>493</v>
      </c>
      <c r="T15" s="1338"/>
      <c r="U15" s="1338"/>
      <c r="V15" s="1338"/>
      <c r="W15" s="1338"/>
      <c r="X15" s="1338"/>
      <c r="Y15" s="2026"/>
      <c r="Z15" s="318" t="s">
        <v>292</v>
      </c>
      <c r="AA15" s="1565"/>
      <c r="AB15" s="1566"/>
      <c r="AC15" s="1566"/>
      <c r="AD15" s="1566"/>
      <c r="AE15" s="1571"/>
      <c r="AF15" s="2036"/>
      <c r="AG15" s="1337" t="s">
        <v>9</v>
      </c>
      <c r="AH15" s="1338"/>
      <c r="AI15" s="1338"/>
      <c r="AJ15" s="1338"/>
      <c r="AK15" s="1565"/>
      <c r="AL15" s="1566"/>
      <c r="AM15" s="1566"/>
      <c r="AN15" s="1566"/>
      <c r="AO15" s="1607"/>
      <c r="AP15" s="1851"/>
      <c r="AQ15" s="1851"/>
      <c r="AR15" s="1851"/>
      <c r="AS15" s="1851"/>
      <c r="AT15" s="1851"/>
      <c r="AU15" s="2044"/>
      <c r="AV15" s="2045"/>
      <c r="AW15" s="1337" t="s">
        <v>194</v>
      </c>
      <c r="AX15" s="1338"/>
      <c r="AY15" s="1338"/>
      <c r="AZ15" s="1879"/>
      <c r="BA15" s="1880"/>
      <c r="BB15" s="1880"/>
      <c r="BC15" s="1880"/>
      <c r="BD15" s="2034"/>
      <c r="BE15" s="1880"/>
      <c r="BF15" s="1880"/>
      <c r="BG15" s="1880"/>
      <c r="BH15" s="1880"/>
      <c r="BI15" s="1881"/>
      <c r="BJ15" s="1882"/>
      <c r="BK15" s="1883"/>
      <c r="BL15" s="1883"/>
      <c r="BM15" s="1883"/>
      <c r="BN15" s="1884"/>
      <c r="BO15" s="1875"/>
      <c r="BP15" s="1875"/>
      <c r="BQ15" s="1875"/>
      <c r="BR15" s="1875"/>
      <c r="BS15" s="1875"/>
      <c r="BT15" s="1875"/>
      <c r="BU15" s="1875"/>
      <c r="BV15" s="1875"/>
      <c r="BW15" s="1875"/>
      <c r="BX15" s="1876"/>
    </row>
    <row r="16" spans="1:76" ht="10.5" customHeight="1" x14ac:dyDescent="0.15">
      <c r="A16" s="31">
        <v>11</v>
      </c>
      <c r="B16" s="1941"/>
      <c r="C16" s="1832"/>
      <c r="D16" s="1944"/>
      <c r="E16" s="1832"/>
      <c r="F16" s="1631" t="s">
        <v>298</v>
      </c>
      <c r="G16" s="1569"/>
      <c r="H16" s="1569"/>
      <c r="I16" s="1569"/>
      <c r="J16" s="1570"/>
      <c r="K16" s="318" t="s">
        <v>292</v>
      </c>
      <c r="L16" s="1565"/>
      <c r="M16" s="1566"/>
      <c r="N16" s="1566"/>
      <c r="O16" s="1566"/>
      <c r="P16" s="1607"/>
      <c r="Q16" s="1831"/>
      <c r="R16" s="1832"/>
      <c r="S16" s="1979" t="s">
        <v>293</v>
      </c>
      <c r="T16" s="1980"/>
      <c r="U16" s="1337" t="s">
        <v>584</v>
      </c>
      <c r="V16" s="1338"/>
      <c r="W16" s="1338"/>
      <c r="X16" s="1338"/>
      <c r="Y16" s="2026"/>
      <c r="Z16" s="367" t="s">
        <v>363</v>
      </c>
      <c r="AA16" s="1565"/>
      <c r="AB16" s="1566"/>
      <c r="AC16" s="1566"/>
      <c r="AD16" s="1566"/>
      <c r="AE16" s="1571"/>
      <c r="AF16" s="2036"/>
      <c r="AG16" s="1337" t="s">
        <v>135</v>
      </c>
      <c r="AH16" s="1338"/>
      <c r="AI16" s="1338"/>
      <c r="AJ16" s="1338"/>
      <c r="AK16" s="1565"/>
      <c r="AL16" s="1566"/>
      <c r="AM16" s="1566"/>
      <c r="AN16" s="1566"/>
      <c r="AO16" s="1607"/>
      <c r="AP16" s="1851"/>
      <c r="AQ16" s="1851"/>
      <c r="AR16" s="1851"/>
      <c r="AS16" s="1851"/>
      <c r="AT16" s="1851"/>
      <c r="AU16" s="2046"/>
      <c r="AV16" s="2047"/>
      <c r="AW16" s="1521" t="s">
        <v>349</v>
      </c>
      <c r="AX16" s="1522"/>
      <c r="AY16" s="1522"/>
      <c r="AZ16" s="1855"/>
      <c r="BA16" s="1856"/>
      <c r="BB16" s="1856"/>
      <c r="BC16" s="1856"/>
      <c r="BD16" s="1857"/>
      <c r="BE16" s="1995"/>
      <c r="BF16" s="1995"/>
      <c r="BG16" s="1995"/>
      <c r="BH16" s="1995"/>
      <c r="BI16" s="1996"/>
      <c r="BJ16" s="1882"/>
      <c r="BK16" s="1883"/>
      <c r="BL16" s="1883"/>
      <c r="BM16" s="1883"/>
      <c r="BN16" s="1884"/>
      <c r="BO16" s="1875"/>
      <c r="BP16" s="1875"/>
      <c r="BQ16" s="1875"/>
      <c r="BR16" s="1875"/>
      <c r="BS16" s="1875"/>
      <c r="BT16" s="1875"/>
      <c r="BU16" s="1875"/>
      <c r="BV16" s="1875"/>
      <c r="BW16" s="1875"/>
      <c r="BX16" s="1876"/>
    </row>
    <row r="17" spans="1:76" ht="10.5" customHeight="1" x14ac:dyDescent="0.15">
      <c r="A17" s="31">
        <v>12</v>
      </c>
      <c r="B17" s="1941"/>
      <c r="C17" s="1832"/>
      <c r="D17" s="1944"/>
      <c r="E17" s="1832"/>
      <c r="F17" s="1631" t="s">
        <v>300</v>
      </c>
      <c r="G17" s="1569"/>
      <c r="H17" s="1569"/>
      <c r="I17" s="1569"/>
      <c r="J17" s="1570"/>
      <c r="K17" s="318" t="s">
        <v>292</v>
      </c>
      <c r="L17" s="1565"/>
      <c r="M17" s="1566"/>
      <c r="N17" s="1566"/>
      <c r="O17" s="1566"/>
      <c r="P17" s="1607"/>
      <c r="Q17" s="1831"/>
      <c r="R17" s="1832"/>
      <c r="S17" s="1979"/>
      <c r="T17" s="1980"/>
      <c r="U17" s="1337" t="s">
        <v>585</v>
      </c>
      <c r="V17" s="1338"/>
      <c r="W17" s="1338"/>
      <c r="X17" s="1338"/>
      <c r="Y17" s="2026"/>
      <c r="Z17" s="318" t="s">
        <v>292</v>
      </c>
      <c r="AA17" s="1565"/>
      <c r="AB17" s="1566"/>
      <c r="AC17" s="1566"/>
      <c r="AD17" s="1566"/>
      <c r="AE17" s="1571"/>
      <c r="AF17" s="2037"/>
      <c r="AG17" s="1340" t="s">
        <v>344</v>
      </c>
      <c r="AH17" s="1341"/>
      <c r="AI17" s="1341"/>
      <c r="AJ17" s="1341"/>
      <c r="AK17" s="1620"/>
      <c r="AL17" s="1621"/>
      <c r="AM17" s="1621"/>
      <c r="AN17" s="1621"/>
      <c r="AO17" s="1629"/>
      <c r="AP17" s="1859"/>
      <c r="AQ17" s="1859"/>
      <c r="AR17" s="1859"/>
      <c r="AS17" s="1859"/>
      <c r="AT17" s="1859"/>
      <c r="AU17" s="1290" t="s">
        <v>15</v>
      </c>
      <c r="AV17" s="2038"/>
      <c r="AW17" s="1324" t="s">
        <v>197</v>
      </c>
      <c r="AX17" s="1325"/>
      <c r="AY17" s="1325"/>
      <c r="AZ17" s="1879"/>
      <c r="BA17" s="1880"/>
      <c r="BB17" s="1880"/>
      <c r="BC17" s="1880"/>
      <c r="BD17" s="2034"/>
      <c r="BE17" s="1872"/>
      <c r="BF17" s="1872"/>
      <c r="BG17" s="1872"/>
      <c r="BH17" s="1872"/>
      <c r="BI17" s="1932"/>
      <c r="BJ17" s="1882"/>
      <c r="BK17" s="1883"/>
      <c r="BL17" s="1883"/>
      <c r="BM17" s="1883"/>
      <c r="BN17" s="1884"/>
      <c r="BO17" s="1875"/>
      <c r="BP17" s="1875"/>
      <c r="BQ17" s="1875"/>
      <c r="BR17" s="1875"/>
      <c r="BS17" s="1875"/>
      <c r="BT17" s="1875"/>
      <c r="BU17" s="1875"/>
      <c r="BV17" s="1875"/>
      <c r="BW17" s="1875"/>
      <c r="BX17" s="1876"/>
    </row>
    <row r="18" spans="1:76" ht="10.5" customHeight="1" x14ac:dyDescent="0.15">
      <c r="A18" s="31">
        <v>13</v>
      </c>
      <c r="B18" s="1941"/>
      <c r="C18" s="1832"/>
      <c r="D18" s="1944"/>
      <c r="E18" s="1832"/>
      <c r="F18" s="1631" t="s">
        <v>298</v>
      </c>
      <c r="G18" s="1569"/>
      <c r="H18" s="1569"/>
      <c r="I18" s="1569"/>
      <c r="J18" s="1570"/>
      <c r="K18" s="318" t="s">
        <v>292</v>
      </c>
      <c r="L18" s="1565"/>
      <c r="M18" s="1566"/>
      <c r="N18" s="1566"/>
      <c r="O18" s="1566"/>
      <c r="P18" s="1607"/>
      <c r="Q18" s="1861"/>
      <c r="R18" s="1877"/>
      <c r="S18" s="2005"/>
      <c r="T18" s="2006"/>
      <c r="U18" s="1340" t="s">
        <v>308</v>
      </c>
      <c r="V18" s="1341"/>
      <c r="W18" s="1341"/>
      <c r="X18" s="1341"/>
      <c r="Y18" s="1897"/>
      <c r="Z18" s="319" t="s">
        <v>292</v>
      </c>
      <c r="AA18" s="1620"/>
      <c r="AB18" s="1621"/>
      <c r="AC18" s="1621"/>
      <c r="AD18" s="1621"/>
      <c r="AE18" s="1630"/>
      <c r="AF18" s="2035" t="s">
        <v>10</v>
      </c>
      <c r="AG18" s="1835" t="s">
        <v>586</v>
      </c>
      <c r="AH18" s="1664"/>
      <c r="AI18" s="1664"/>
      <c r="AJ18" s="1664"/>
      <c r="AK18" s="1584"/>
      <c r="AL18" s="1585"/>
      <c r="AM18" s="1585"/>
      <c r="AN18" s="1585"/>
      <c r="AO18" s="1625"/>
      <c r="AP18" s="1872"/>
      <c r="AQ18" s="1872"/>
      <c r="AR18" s="1872"/>
      <c r="AS18" s="1872"/>
      <c r="AT18" s="1872"/>
      <c r="AU18" s="1372"/>
      <c r="AV18" s="2039"/>
      <c r="AW18" s="1337" t="s">
        <v>196</v>
      </c>
      <c r="AX18" s="1338"/>
      <c r="AY18" s="1338"/>
      <c r="AZ18" s="1879"/>
      <c r="BA18" s="1880"/>
      <c r="BB18" s="1880"/>
      <c r="BC18" s="1880"/>
      <c r="BD18" s="2034"/>
      <c r="BE18" s="1880"/>
      <c r="BF18" s="1880"/>
      <c r="BG18" s="1880"/>
      <c r="BH18" s="1880"/>
      <c r="BI18" s="1881"/>
      <c r="BJ18" s="1882"/>
      <c r="BK18" s="1883"/>
      <c r="BL18" s="1883"/>
      <c r="BM18" s="1883"/>
      <c r="BN18" s="1884"/>
      <c r="BO18" s="1875"/>
      <c r="BP18" s="1875"/>
      <c r="BQ18" s="1875"/>
      <c r="BR18" s="1875"/>
      <c r="BS18" s="1875"/>
      <c r="BT18" s="1875"/>
      <c r="BU18" s="1875"/>
      <c r="BV18" s="1875"/>
      <c r="BW18" s="1875"/>
      <c r="BX18" s="1876"/>
    </row>
    <row r="19" spans="1:76" ht="10.5" customHeight="1" x14ac:dyDescent="0.15">
      <c r="A19" s="31">
        <v>14</v>
      </c>
      <c r="B19" s="1941"/>
      <c r="C19" s="1832"/>
      <c r="D19" s="1944"/>
      <c r="E19" s="1832"/>
      <c r="F19" s="1631" t="s">
        <v>301</v>
      </c>
      <c r="G19" s="1569"/>
      <c r="H19" s="1569"/>
      <c r="I19" s="1569"/>
      <c r="J19" s="1570"/>
      <c r="K19" s="318" t="s">
        <v>292</v>
      </c>
      <c r="L19" s="1565"/>
      <c r="M19" s="1566"/>
      <c r="N19" s="1566"/>
      <c r="O19" s="1566"/>
      <c r="P19" s="1607"/>
      <c r="Q19" s="1831" t="s">
        <v>225</v>
      </c>
      <c r="R19" s="1832"/>
      <c r="S19" s="1862" t="s">
        <v>352</v>
      </c>
      <c r="T19" s="1836"/>
      <c r="U19" s="1324" t="s">
        <v>17</v>
      </c>
      <c r="V19" s="1325"/>
      <c r="W19" s="1325"/>
      <c r="X19" s="1325"/>
      <c r="Y19" s="1836"/>
      <c r="Z19" s="368" t="s">
        <v>587</v>
      </c>
      <c r="AA19" s="1584"/>
      <c r="AB19" s="1585"/>
      <c r="AC19" s="1585"/>
      <c r="AD19" s="1585"/>
      <c r="AE19" s="1632"/>
      <c r="AF19" s="2036"/>
      <c r="AG19" s="1377" t="s">
        <v>345</v>
      </c>
      <c r="AH19" s="1790"/>
      <c r="AI19" s="1790"/>
      <c r="AJ19" s="1790"/>
      <c r="AK19" s="1847"/>
      <c r="AL19" s="1848"/>
      <c r="AM19" s="1848"/>
      <c r="AN19" s="1848"/>
      <c r="AO19" s="1849"/>
      <c r="AP19" s="1851"/>
      <c r="AQ19" s="1851"/>
      <c r="AR19" s="1851"/>
      <c r="AS19" s="1851"/>
      <c r="AT19" s="1851"/>
      <c r="AU19" s="1293"/>
      <c r="AV19" s="1954"/>
      <c r="AW19" s="2029" t="s">
        <v>350</v>
      </c>
      <c r="AX19" s="2030"/>
      <c r="AY19" s="2030"/>
      <c r="AZ19" s="1855"/>
      <c r="BA19" s="1856"/>
      <c r="BB19" s="1856"/>
      <c r="BC19" s="1856"/>
      <c r="BD19" s="1857"/>
      <c r="BE19" s="1995"/>
      <c r="BF19" s="1995"/>
      <c r="BG19" s="1995"/>
      <c r="BH19" s="1995"/>
      <c r="BI19" s="1996"/>
      <c r="BJ19" s="1894"/>
      <c r="BK19" s="1895"/>
      <c r="BL19" s="1895"/>
      <c r="BM19" s="1895"/>
      <c r="BN19" s="1896"/>
      <c r="BO19" s="1875"/>
      <c r="BP19" s="1875"/>
      <c r="BQ19" s="1875"/>
      <c r="BR19" s="1875"/>
      <c r="BS19" s="1875"/>
      <c r="BT19" s="1875"/>
      <c r="BU19" s="1875"/>
      <c r="BV19" s="1875"/>
      <c r="BW19" s="1875"/>
      <c r="BX19" s="1876"/>
    </row>
    <row r="20" spans="1:76" ht="10.5" customHeight="1" x14ac:dyDescent="0.15">
      <c r="A20" s="31">
        <v>15</v>
      </c>
      <c r="B20" s="1941"/>
      <c r="C20" s="1832"/>
      <c r="D20" s="1944"/>
      <c r="E20" s="1832"/>
      <c r="F20" s="1631" t="s">
        <v>298</v>
      </c>
      <c r="G20" s="1569"/>
      <c r="H20" s="1569"/>
      <c r="I20" s="1569"/>
      <c r="J20" s="1570"/>
      <c r="K20" s="318" t="s">
        <v>292</v>
      </c>
      <c r="L20" s="1565"/>
      <c r="M20" s="1566"/>
      <c r="N20" s="1566"/>
      <c r="O20" s="1566"/>
      <c r="P20" s="1607"/>
      <c r="Q20" s="1831"/>
      <c r="R20" s="1832"/>
      <c r="S20" s="1337"/>
      <c r="T20" s="2026"/>
      <c r="U20" s="1337" t="s">
        <v>13</v>
      </c>
      <c r="V20" s="1338"/>
      <c r="W20" s="1338"/>
      <c r="X20" s="1338"/>
      <c r="Y20" s="2026"/>
      <c r="Z20" s="363" t="s">
        <v>588</v>
      </c>
      <c r="AA20" s="1565"/>
      <c r="AB20" s="1566"/>
      <c r="AC20" s="1566"/>
      <c r="AD20" s="1566"/>
      <c r="AE20" s="1571"/>
      <c r="AF20" s="2037"/>
      <c r="AG20" s="1340" t="s">
        <v>331</v>
      </c>
      <c r="AH20" s="1341"/>
      <c r="AI20" s="1341"/>
      <c r="AJ20" s="1341"/>
      <c r="AK20" s="1855"/>
      <c r="AL20" s="1856"/>
      <c r="AM20" s="1856"/>
      <c r="AN20" s="1856"/>
      <c r="AO20" s="1857"/>
      <c r="AP20" s="1859"/>
      <c r="AQ20" s="1859"/>
      <c r="AR20" s="1859"/>
      <c r="AS20" s="1859"/>
      <c r="AT20" s="1859"/>
      <c r="AU20" s="2027" t="s">
        <v>198</v>
      </c>
      <c r="AV20" s="2028"/>
      <c r="AW20" s="2028"/>
      <c r="AX20" s="2028"/>
      <c r="AY20" s="2028"/>
      <c r="AZ20" s="2031"/>
      <c r="BA20" s="2032"/>
      <c r="BB20" s="2032"/>
      <c r="BC20" s="2032"/>
      <c r="BD20" s="2033"/>
      <c r="BE20" s="1859"/>
      <c r="BF20" s="1859"/>
      <c r="BG20" s="1859"/>
      <c r="BH20" s="1859"/>
      <c r="BI20" s="1859"/>
      <c r="BJ20" s="1882"/>
      <c r="BK20" s="1883"/>
      <c r="BL20" s="1883"/>
      <c r="BM20" s="1883"/>
      <c r="BN20" s="1884"/>
      <c r="BO20" s="1875"/>
      <c r="BP20" s="1875"/>
      <c r="BQ20" s="1875"/>
      <c r="BR20" s="1875"/>
      <c r="BS20" s="1875"/>
      <c r="BT20" s="1875"/>
      <c r="BU20" s="1875"/>
      <c r="BV20" s="1875"/>
      <c r="BW20" s="1875"/>
      <c r="BX20" s="1876"/>
    </row>
    <row r="21" spans="1:76" ht="10.5" customHeight="1" x14ac:dyDescent="0.15">
      <c r="A21" s="31">
        <v>16</v>
      </c>
      <c r="B21" s="1941"/>
      <c r="C21" s="1832"/>
      <c r="D21" s="1944"/>
      <c r="E21" s="1832"/>
      <c r="F21" s="1631" t="s">
        <v>302</v>
      </c>
      <c r="G21" s="1569"/>
      <c r="H21" s="1569"/>
      <c r="I21" s="1569"/>
      <c r="J21" s="1570"/>
      <c r="K21" s="318" t="s">
        <v>292</v>
      </c>
      <c r="L21" s="1565"/>
      <c r="M21" s="1566"/>
      <c r="N21" s="1566"/>
      <c r="O21" s="1566"/>
      <c r="P21" s="1607"/>
      <c r="Q21" s="1861"/>
      <c r="R21" s="1877"/>
      <c r="S21" s="1340"/>
      <c r="T21" s="1897"/>
      <c r="U21" s="1340" t="s">
        <v>329</v>
      </c>
      <c r="V21" s="1341"/>
      <c r="W21" s="1341"/>
      <c r="X21" s="1341"/>
      <c r="Y21" s="1897"/>
      <c r="Z21" s="319" t="s">
        <v>587</v>
      </c>
      <c r="AA21" s="1620"/>
      <c r="AB21" s="1621"/>
      <c r="AC21" s="1621"/>
      <c r="AD21" s="1621"/>
      <c r="AE21" s="1630"/>
      <c r="AF21" s="1830" t="s">
        <v>132</v>
      </c>
      <c r="AG21" s="1324" t="s">
        <v>11</v>
      </c>
      <c r="AH21" s="1325"/>
      <c r="AI21" s="1325"/>
      <c r="AJ21" s="1325"/>
      <c r="AK21" s="1565"/>
      <c r="AL21" s="1566"/>
      <c r="AM21" s="1566"/>
      <c r="AN21" s="1566"/>
      <c r="AO21" s="1607"/>
      <c r="AP21" s="1872"/>
      <c r="AQ21" s="1872"/>
      <c r="AR21" s="1872"/>
      <c r="AS21" s="1872"/>
      <c r="AT21" s="1872"/>
      <c r="AU21" s="2022" t="s">
        <v>19</v>
      </c>
      <c r="AV21" s="2023"/>
      <c r="AW21" s="2023"/>
      <c r="AX21" s="2023"/>
      <c r="AY21" s="1936"/>
      <c r="AZ21" s="2024"/>
      <c r="BA21" s="1923"/>
      <c r="BB21" s="1923"/>
      <c r="BC21" s="1923"/>
      <c r="BD21" s="2025"/>
      <c r="BE21" s="1859"/>
      <c r="BF21" s="1859"/>
      <c r="BG21" s="1859"/>
      <c r="BH21" s="1859"/>
      <c r="BI21" s="1859"/>
      <c r="BJ21" s="1894"/>
      <c r="BK21" s="1895"/>
      <c r="BL21" s="1895"/>
      <c r="BM21" s="1895"/>
      <c r="BN21" s="1896"/>
      <c r="BO21" s="1875"/>
      <c r="BP21" s="1875"/>
      <c r="BQ21" s="1875"/>
      <c r="BR21" s="1875"/>
      <c r="BS21" s="1875"/>
      <c r="BT21" s="1875"/>
      <c r="BU21" s="1875"/>
      <c r="BV21" s="1875"/>
      <c r="BW21" s="1875"/>
      <c r="BX21" s="1876"/>
    </row>
    <row r="22" spans="1:76" ht="10.5" customHeight="1" x14ac:dyDescent="0.15">
      <c r="A22" s="31">
        <v>17</v>
      </c>
      <c r="B22" s="1941"/>
      <c r="C22" s="1832"/>
      <c r="D22" s="1944"/>
      <c r="E22" s="1832"/>
      <c r="F22" s="1631" t="s">
        <v>298</v>
      </c>
      <c r="G22" s="1569"/>
      <c r="H22" s="1569"/>
      <c r="I22" s="1569"/>
      <c r="J22" s="1570"/>
      <c r="K22" s="318" t="s">
        <v>292</v>
      </c>
      <c r="L22" s="1565"/>
      <c r="M22" s="1566"/>
      <c r="N22" s="1566"/>
      <c r="O22" s="1566"/>
      <c r="P22" s="1607"/>
      <c r="Q22" s="1831" t="s">
        <v>14</v>
      </c>
      <c r="R22" s="1357"/>
      <c r="S22" s="1835" t="s">
        <v>20</v>
      </c>
      <c r="T22" s="1664"/>
      <c r="U22" s="1664"/>
      <c r="V22" s="1664"/>
      <c r="W22" s="1664"/>
      <c r="X22" s="1664"/>
      <c r="Y22" s="1665"/>
      <c r="Z22" s="369" t="s">
        <v>589</v>
      </c>
      <c r="AA22" s="1584"/>
      <c r="AB22" s="1585"/>
      <c r="AC22" s="1585"/>
      <c r="AD22" s="1585"/>
      <c r="AE22" s="1632"/>
      <c r="AF22" s="1832"/>
      <c r="AG22" s="2020" t="s">
        <v>346</v>
      </c>
      <c r="AH22" s="2021"/>
      <c r="AI22" s="2021"/>
      <c r="AJ22" s="2021"/>
      <c r="AK22" s="1565"/>
      <c r="AL22" s="1566"/>
      <c r="AM22" s="1566"/>
      <c r="AN22" s="1566"/>
      <c r="AO22" s="1607"/>
      <c r="AP22" s="1851"/>
      <c r="AQ22" s="1851"/>
      <c r="AR22" s="1851"/>
      <c r="AS22" s="1851"/>
      <c r="AT22" s="1851"/>
      <c r="AU22" s="2012" t="s">
        <v>229</v>
      </c>
      <c r="AV22" s="2013"/>
      <c r="AW22" s="2018" t="s">
        <v>133</v>
      </c>
      <c r="AX22" s="2019"/>
      <c r="AY22" s="2019"/>
      <c r="AZ22" s="1913"/>
      <c r="BA22" s="1914"/>
      <c r="BB22" s="1914"/>
      <c r="BC22" s="1914"/>
      <c r="BD22" s="1915"/>
      <c r="BE22" s="1872"/>
      <c r="BF22" s="1872"/>
      <c r="BG22" s="1872"/>
      <c r="BH22" s="1872"/>
      <c r="BI22" s="1932"/>
      <c r="BJ22" s="1882"/>
      <c r="BK22" s="1883"/>
      <c r="BL22" s="1883"/>
      <c r="BM22" s="1883"/>
      <c r="BN22" s="1884"/>
      <c r="BO22" s="1875"/>
      <c r="BP22" s="1875"/>
      <c r="BQ22" s="1875"/>
      <c r="BR22" s="1875"/>
      <c r="BS22" s="1875"/>
      <c r="BT22" s="1875"/>
      <c r="BU22" s="1875"/>
      <c r="BV22" s="1875"/>
      <c r="BW22" s="1875"/>
      <c r="BX22" s="1876"/>
    </row>
    <row r="23" spans="1:76" ht="10.5" customHeight="1" x14ac:dyDescent="0.15">
      <c r="A23" s="31">
        <v>18</v>
      </c>
      <c r="B23" s="1941"/>
      <c r="C23" s="1832"/>
      <c r="D23" s="1944"/>
      <c r="E23" s="1832"/>
      <c r="F23" s="1631" t="s">
        <v>303</v>
      </c>
      <c r="G23" s="1569"/>
      <c r="H23" s="1569"/>
      <c r="I23" s="1569"/>
      <c r="J23" s="1570"/>
      <c r="K23" s="318" t="s">
        <v>292</v>
      </c>
      <c r="L23" s="1565"/>
      <c r="M23" s="1566"/>
      <c r="N23" s="1566"/>
      <c r="O23" s="1566"/>
      <c r="P23" s="1607"/>
      <c r="Q23" s="1861"/>
      <c r="R23" s="1359"/>
      <c r="S23" s="1340" t="s">
        <v>590</v>
      </c>
      <c r="T23" s="1341"/>
      <c r="U23" s="1341"/>
      <c r="V23" s="1341"/>
      <c r="W23" s="1341"/>
      <c r="X23" s="1341"/>
      <c r="Y23" s="1897"/>
      <c r="Z23" s="370" t="s">
        <v>591</v>
      </c>
      <c r="AA23" s="1620"/>
      <c r="AB23" s="1621"/>
      <c r="AC23" s="1621"/>
      <c r="AD23" s="1621"/>
      <c r="AE23" s="1630"/>
      <c r="AF23" s="1832"/>
      <c r="AG23" s="1337" t="s">
        <v>492</v>
      </c>
      <c r="AH23" s="1338"/>
      <c r="AI23" s="1338"/>
      <c r="AJ23" s="1338"/>
      <c r="AK23" s="1847"/>
      <c r="AL23" s="1848"/>
      <c r="AM23" s="1848"/>
      <c r="AN23" s="1848"/>
      <c r="AO23" s="1849"/>
      <c r="AP23" s="1851"/>
      <c r="AQ23" s="1851"/>
      <c r="AR23" s="1851"/>
      <c r="AS23" s="1851"/>
      <c r="AT23" s="1851"/>
      <c r="AU23" s="2014"/>
      <c r="AV23" s="2015"/>
      <c r="AW23" s="1337" t="s">
        <v>1</v>
      </c>
      <c r="AX23" s="1338"/>
      <c r="AY23" s="1338"/>
      <c r="AZ23" s="1847"/>
      <c r="BA23" s="1848"/>
      <c r="BB23" s="1848"/>
      <c r="BC23" s="1848"/>
      <c r="BD23" s="1849"/>
      <c r="BE23" s="1880"/>
      <c r="BF23" s="1880"/>
      <c r="BG23" s="1880"/>
      <c r="BH23" s="1880"/>
      <c r="BI23" s="1881"/>
      <c r="BJ23" s="1882"/>
      <c r="BK23" s="1883"/>
      <c r="BL23" s="1883"/>
      <c r="BM23" s="1883"/>
      <c r="BN23" s="1884"/>
      <c r="BO23" s="1875"/>
      <c r="BP23" s="1875"/>
      <c r="BQ23" s="1875"/>
      <c r="BR23" s="1875"/>
      <c r="BS23" s="1875"/>
      <c r="BT23" s="1875"/>
      <c r="BU23" s="1875"/>
      <c r="BV23" s="1875"/>
      <c r="BW23" s="1875"/>
      <c r="BX23" s="1876"/>
    </row>
    <row r="24" spans="1:76" ht="10.5" customHeight="1" x14ac:dyDescent="0.15">
      <c r="A24" s="31">
        <v>19</v>
      </c>
      <c r="B24" s="1941"/>
      <c r="C24" s="1832"/>
      <c r="D24" s="1945"/>
      <c r="E24" s="1946"/>
      <c r="F24" s="1631" t="s">
        <v>298</v>
      </c>
      <c r="G24" s="1569"/>
      <c r="H24" s="1569"/>
      <c r="I24" s="1569"/>
      <c r="J24" s="1570"/>
      <c r="K24" s="363" t="s">
        <v>292</v>
      </c>
      <c r="L24" s="1565"/>
      <c r="M24" s="1566"/>
      <c r="N24" s="1566"/>
      <c r="O24" s="1566"/>
      <c r="P24" s="1607"/>
      <c r="Q24" s="1831" t="s">
        <v>342</v>
      </c>
      <c r="R24" s="1832"/>
      <c r="S24" s="2003" t="s">
        <v>29</v>
      </c>
      <c r="T24" s="2004"/>
      <c r="U24" s="1878" t="s">
        <v>309</v>
      </c>
      <c r="V24" s="1466"/>
      <c r="W24" s="1466"/>
      <c r="X24" s="1466"/>
      <c r="Y24" s="1467"/>
      <c r="Z24" s="368" t="s">
        <v>291</v>
      </c>
      <c r="AA24" s="1584"/>
      <c r="AB24" s="1585"/>
      <c r="AC24" s="1585"/>
      <c r="AD24" s="1585"/>
      <c r="AE24" s="1632"/>
      <c r="AF24" s="1877"/>
      <c r="AG24" s="1340" t="s">
        <v>305</v>
      </c>
      <c r="AH24" s="1341"/>
      <c r="AI24" s="1341"/>
      <c r="AJ24" s="1341"/>
      <c r="AK24" s="1620"/>
      <c r="AL24" s="1621"/>
      <c r="AM24" s="1621"/>
      <c r="AN24" s="1621"/>
      <c r="AO24" s="1629"/>
      <c r="AP24" s="1859"/>
      <c r="AQ24" s="1859"/>
      <c r="AR24" s="1859"/>
      <c r="AS24" s="1859"/>
      <c r="AT24" s="1859"/>
      <c r="AU24" s="2016"/>
      <c r="AV24" s="2017"/>
      <c r="AW24" s="2007" t="s">
        <v>60</v>
      </c>
      <c r="AX24" s="2008"/>
      <c r="AY24" s="2008"/>
      <c r="AZ24" s="1855"/>
      <c r="BA24" s="1856"/>
      <c r="BB24" s="1856"/>
      <c r="BC24" s="1856"/>
      <c r="BD24" s="1857"/>
      <c r="BE24" s="1995"/>
      <c r="BF24" s="1995"/>
      <c r="BG24" s="1995"/>
      <c r="BH24" s="1995"/>
      <c r="BI24" s="1996"/>
      <c r="BJ24" s="2009"/>
      <c r="BK24" s="2010"/>
      <c r="BL24" s="2010"/>
      <c r="BM24" s="2010"/>
      <c r="BN24" s="2011"/>
      <c r="BO24" s="1875"/>
      <c r="BP24" s="1875"/>
      <c r="BQ24" s="1875"/>
      <c r="BR24" s="1875"/>
      <c r="BS24" s="1875"/>
      <c r="BT24" s="1875"/>
      <c r="BU24" s="1875"/>
      <c r="BV24" s="1875"/>
      <c r="BW24" s="1875"/>
      <c r="BX24" s="1876"/>
    </row>
    <row r="25" spans="1:76" ht="10.5" customHeight="1" x14ac:dyDescent="0.15">
      <c r="A25" s="31">
        <v>20</v>
      </c>
      <c r="B25" s="1941"/>
      <c r="C25" s="1832"/>
      <c r="D25" s="1957" t="s">
        <v>293</v>
      </c>
      <c r="E25" s="1958"/>
      <c r="F25" s="1631" t="s">
        <v>6</v>
      </c>
      <c r="G25" s="1569"/>
      <c r="H25" s="1569"/>
      <c r="I25" s="1569"/>
      <c r="J25" s="1570"/>
      <c r="K25" s="371" t="s">
        <v>592</v>
      </c>
      <c r="L25" s="1565"/>
      <c r="M25" s="1566"/>
      <c r="N25" s="1566"/>
      <c r="O25" s="1566"/>
      <c r="P25" s="1607"/>
      <c r="Q25" s="1831"/>
      <c r="R25" s="1832"/>
      <c r="S25" s="1979"/>
      <c r="T25" s="1980"/>
      <c r="U25" s="1631" t="s">
        <v>310</v>
      </c>
      <c r="V25" s="1569"/>
      <c r="W25" s="1569"/>
      <c r="X25" s="1569"/>
      <c r="Y25" s="1570"/>
      <c r="Z25" s="318" t="s">
        <v>292</v>
      </c>
      <c r="AA25" s="1565"/>
      <c r="AB25" s="1566"/>
      <c r="AC25" s="1566"/>
      <c r="AD25" s="1566"/>
      <c r="AE25" s="1571"/>
      <c r="AF25" s="1355" t="s">
        <v>131</v>
      </c>
      <c r="AG25" s="1324" t="s">
        <v>593</v>
      </c>
      <c r="AH25" s="1325"/>
      <c r="AI25" s="1325"/>
      <c r="AJ25" s="1325"/>
      <c r="AK25" s="1584"/>
      <c r="AL25" s="1585"/>
      <c r="AM25" s="1585"/>
      <c r="AN25" s="1585"/>
      <c r="AO25" s="1625"/>
      <c r="AP25" s="1872"/>
      <c r="AQ25" s="1872"/>
      <c r="AR25" s="1872"/>
      <c r="AS25" s="1872"/>
      <c r="AT25" s="1872"/>
      <c r="AU25" s="1929" t="s">
        <v>594</v>
      </c>
      <c r="AV25" s="1409"/>
      <c r="AW25" s="1409"/>
      <c r="AX25" s="1409"/>
      <c r="AY25" s="1409"/>
      <c r="AZ25" s="1981"/>
      <c r="BA25" s="1982"/>
      <c r="BB25" s="1982"/>
      <c r="BC25" s="1982"/>
      <c r="BD25" s="1983"/>
      <c r="BE25" s="1859"/>
      <c r="BF25" s="1859"/>
      <c r="BG25" s="1859"/>
      <c r="BH25" s="1859"/>
      <c r="BI25" s="1859"/>
      <c r="BJ25" s="1882"/>
      <c r="BK25" s="1883"/>
      <c r="BL25" s="1883"/>
      <c r="BM25" s="1883"/>
      <c r="BN25" s="1884"/>
      <c r="BO25" s="1875"/>
      <c r="BP25" s="1875"/>
      <c r="BQ25" s="1875"/>
      <c r="BR25" s="1875"/>
      <c r="BS25" s="1875"/>
      <c r="BT25" s="1875"/>
      <c r="BU25" s="1875"/>
      <c r="BV25" s="1875"/>
      <c r="BW25" s="1875"/>
      <c r="BX25" s="1876"/>
    </row>
    <row r="26" spans="1:76" ht="10.5" customHeight="1" x14ac:dyDescent="0.15">
      <c r="A26" s="31">
        <v>21</v>
      </c>
      <c r="B26" s="1941"/>
      <c r="C26" s="1832"/>
      <c r="D26" s="1944"/>
      <c r="E26" s="1832"/>
      <c r="F26" s="1631" t="s">
        <v>7</v>
      </c>
      <c r="G26" s="1569"/>
      <c r="H26" s="1569"/>
      <c r="I26" s="1569"/>
      <c r="J26" s="1570"/>
      <c r="K26" s="363" t="s">
        <v>292</v>
      </c>
      <c r="L26" s="1565"/>
      <c r="M26" s="1566"/>
      <c r="N26" s="1566"/>
      <c r="O26" s="1566"/>
      <c r="P26" s="1607"/>
      <c r="Q26" s="1831"/>
      <c r="R26" s="1832"/>
      <c r="S26" s="1979"/>
      <c r="T26" s="1980"/>
      <c r="U26" s="1631" t="s">
        <v>311</v>
      </c>
      <c r="V26" s="1569"/>
      <c r="W26" s="1569"/>
      <c r="X26" s="1569"/>
      <c r="Y26" s="1570"/>
      <c r="Z26" s="318" t="s">
        <v>292</v>
      </c>
      <c r="AA26" s="1565"/>
      <c r="AB26" s="1566"/>
      <c r="AC26" s="1566"/>
      <c r="AD26" s="1566"/>
      <c r="AE26" s="1571"/>
      <c r="AF26" s="1357"/>
      <c r="AG26" s="1337" t="s">
        <v>595</v>
      </c>
      <c r="AH26" s="1338"/>
      <c r="AI26" s="1338"/>
      <c r="AJ26" s="1338"/>
      <c r="AK26" s="1565"/>
      <c r="AL26" s="1566"/>
      <c r="AM26" s="1566"/>
      <c r="AN26" s="1566"/>
      <c r="AO26" s="1607"/>
      <c r="AP26" s="1851"/>
      <c r="AQ26" s="1851"/>
      <c r="AR26" s="1851"/>
      <c r="AS26" s="1851"/>
      <c r="AT26" s="1851"/>
      <c r="AU26" s="1984" t="s">
        <v>126</v>
      </c>
      <c r="AV26" s="1985"/>
      <c r="AW26" s="1985"/>
      <c r="AX26" s="1985"/>
      <c r="AY26" s="1986"/>
      <c r="AZ26" s="1987"/>
      <c r="BA26" s="1988"/>
      <c r="BB26" s="1988"/>
      <c r="BC26" s="1988"/>
      <c r="BD26" s="1989"/>
      <c r="BE26" s="1872"/>
      <c r="BF26" s="1872"/>
      <c r="BG26" s="1872"/>
      <c r="BH26" s="1872"/>
      <c r="BI26" s="1932"/>
      <c r="BJ26" s="1882"/>
      <c r="BK26" s="1883"/>
      <c r="BL26" s="1883"/>
      <c r="BM26" s="1883"/>
      <c r="BN26" s="1884"/>
      <c r="BO26" s="1875"/>
      <c r="BP26" s="1875"/>
      <c r="BQ26" s="1875"/>
      <c r="BR26" s="1875"/>
      <c r="BS26" s="1875"/>
      <c r="BT26" s="1875"/>
      <c r="BU26" s="1875"/>
      <c r="BV26" s="1875"/>
      <c r="BW26" s="1875"/>
      <c r="BX26" s="1876"/>
    </row>
    <row r="27" spans="1:76" ht="10.5" customHeight="1" x14ac:dyDescent="0.15">
      <c r="A27" s="31">
        <v>22</v>
      </c>
      <c r="B27" s="1941"/>
      <c r="C27" s="1832"/>
      <c r="D27" s="1944"/>
      <c r="E27" s="1832"/>
      <c r="F27" s="1631" t="s">
        <v>8</v>
      </c>
      <c r="G27" s="1569"/>
      <c r="H27" s="1569"/>
      <c r="I27" s="1569"/>
      <c r="J27" s="1570"/>
      <c r="K27" s="363" t="s">
        <v>292</v>
      </c>
      <c r="L27" s="1565"/>
      <c r="M27" s="1566"/>
      <c r="N27" s="1566"/>
      <c r="O27" s="1566"/>
      <c r="P27" s="1607"/>
      <c r="Q27" s="1831"/>
      <c r="R27" s="1832"/>
      <c r="S27" s="1979"/>
      <c r="T27" s="1980"/>
      <c r="U27" s="1631" t="s">
        <v>312</v>
      </c>
      <c r="V27" s="1569"/>
      <c r="W27" s="1569"/>
      <c r="X27" s="1569"/>
      <c r="Y27" s="1570"/>
      <c r="Z27" s="318" t="s">
        <v>596</v>
      </c>
      <c r="AA27" s="1565"/>
      <c r="AB27" s="1566"/>
      <c r="AC27" s="1566"/>
      <c r="AD27" s="1566"/>
      <c r="AE27" s="1571"/>
      <c r="AF27" s="1359"/>
      <c r="AG27" s="1319" t="s">
        <v>328</v>
      </c>
      <c r="AH27" s="1320"/>
      <c r="AI27" s="1320"/>
      <c r="AJ27" s="1320"/>
      <c r="AK27" s="1620"/>
      <c r="AL27" s="1621"/>
      <c r="AM27" s="1621"/>
      <c r="AN27" s="1621"/>
      <c r="AO27" s="1629"/>
      <c r="AP27" s="1859"/>
      <c r="AQ27" s="1859"/>
      <c r="AR27" s="1859"/>
      <c r="AS27" s="1859"/>
      <c r="AT27" s="1859"/>
      <c r="AU27" s="372"/>
      <c r="AV27" s="1990" t="s">
        <v>127</v>
      </c>
      <c r="AW27" s="1990"/>
      <c r="AX27" s="1990"/>
      <c r="AY27" s="1991"/>
      <c r="AZ27" s="1992"/>
      <c r="BA27" s="1993"/>
      <c r="BB27" s="1993"/>
      <c r="BC27" s="1993"/>
      <c r="BD27" s="1994"/>
      <c r="BE27" s="1995"/>
      <c r="BF27" s="1995"/>
      <c r="BG27" s="1995"/>
      <c r="BH27" s="1995"/>
      <c r="BI27" s="1996"/>
      <c r="BJ27" s="1882"/>
      <c r="BK27" s="1883"/>
      <c r="BL27" s="1883"/>
      <c r="BM27" s="1883"/>
      <c r="BN27" s="1884"/>
      <c r="BO27" s="1875"/>
      <c r="BP27" s="1875"/>
      <c r="BQ27" s="1875"/>
      <c r="BR27" s="1875"/>
      <c r="BS27" s="1875"/>
      <c r="BT27" s="1875"/>
      <c r="BU27" s="1875"/>
      <c r="BV27" s="1875"/>
      <c r="BW27" s="1875"/>
      <c r="BX27" s="1876"/>
    </row>
    <row r="28" spans="1:76" ht="10.5" customHeight="1" x14ac:dyDescent="0.15">
      <c r="A28" s="31">
        <v>23</v>
      </c>
      <c r="B28" s="1941"/>
      <c r="C28" s="1832"/>
      <c r="D28" s="1944"/>
      <c r="E28" s="1832"/>
      <c r="F28" s="1631" t="s">
        <v>9</v>
      </c>
      <c r="G28" s="1569"/>
      <c r="H28" s="1569"/>
      <c r="I28" s="1569"/>
      <c r="J28" s="1570"/>
      <c r="K28" s="363" t="s">
        <v>292</v>
      </c>
      <c r="L28" s="1565"/>
      <c r="M28" s="1566"/>
      <c r="N28" s="1566"/>
      <c r="O28" s="1566"/>
      <c r="P28" s="1607"/>
      <c r="Q28" s="1831"/>
      <c r="R28" s="1832"/>
      <c r="S28" s="1979"/>
      <c r="T28" s="1980"/>
      <c r="U28" s="1631" t="s">
        <v>313</v>
      </c>
      <c r="V28" s="1569"/>
      <c r="W28" s="1569"/>
      <c r="X28" s="1569"/>
      <c r="Y28" s="1570"/>
      <c r="Z28" s="368" t="s">
        <v>597</v>
      </c>
      <c r="AA28" s="1565"/>
      <c r="AB28" s="1566"/>
      <c r="AC28" s="1566"/>
      <c r="AD28" s="1566"/>
      <c r="AE28" s="1571"/>
      <c r="AF28" s="1972" t="s">
        <v>12</v>
      </c>
      <c r="AG28" s="1975" t="s">
        <v>584</v>
      </c>
      <c r="AH28" s="1975"/>
      <c r="AI28" s="1975"/>
      <c r="AJ28" s="1835"/>
      <c r="AK28" s="1584"/>
      <c r="AL28" s="1585"/>
      <c r="AM28" s="1585"/>
      <c r="AN28" s="1585"/>
      <c r="AO28" s="1625"/>
      <c r="AP28" s="1872"/>
      <c r="AQ28" s="1872"/>
      <c r="AR28" s="1872"/>
      <c r="AS28" s="1872"/>
      <c r="AT28" s="1872"/>
      <c r="AU28" s="1963" t="s">
        <v>598</v>
      </c>
      <c r="AV28" s="1075"/>
      <c r="AW28" s="1075"/>
      <c r="AX28" s="1075"/>
      <c r="AY28" s="1075"/>
      <c r="AZ28" s="1964"/>
      <c r="BA28" s="1965"/>
      <c r="BB28" s="1965"/>
      <c r="BC28" s="1965"/>
      <c r="BD28" s="1966"/>
      <c r="BE28" s="1859"/>
      <c r="BF28" s="1859"/>
      <c r="BG28" s="1859"/>
      <c r="BH28" s="1859"/>
      <c r="BI28" s="1859"/>
      <c r="BJ28" s="1882"/>
      <c r="BK28" s="1883"/>
      <c r="BL28" s="1883"/>
      <c r="BM28" s="1883"/>
      <c r="BN28" s="1884"/>
      <c r="BO28" s="1875"/>
      <c r="BP28" s="1875"/>
      <c r="BQ28" s="1875"/>
      <c r="BR28" s="1875"/>
      <c r="BS28" s="1875"/>
      <c r="BT28" s="1875"/>
      <c r="BU28" s="1875"/>
      <c r="BV28" s="1875"/>
      <c r="BW28" s="1875"/>
      <c r="BX28" s="1876"/>
    </row>
    <row r="29" spans="1:76" ht="10.5" customHeight="1" x14ac:dyDescent="0.15">
      <c r="A29" s="31">
        <v>24</v>
      </c>
      <c r="B29" s="1941"/>
      <c r="C29" s="1832"/>
      <c r="D29" s="1944"/>
      <c r="E29" s="1832"/>
      <c r="F29" s="1631" t="s">
        <v>304</v>
      </c>
      <c r="G29" s="1569"/>
      <c r="H29" s="1569"/>
      <c r="I29" s="1569"/>
      <c r="J29" s="1570"/>
      <c r="K29" s="318" t="s">
        <v>292</v>
      </c>
      <c r="L29" s="1565"/>
      <c r="M29" s="1566"/>
      <c r="N29" s="1566"/>
      <c r="O29" s="1566"/>
      <c r="P29" s="1607"/>
      <c r="Q29" s="1831"/>
      <c r="R29" s="1832"/>
      <c r="S29" s="1979"/>
      <c r="T29" s="1980"/>
      <c r="U29" s="1631" t="s">
        <v>314</v>
      </c>
      <c r="V29" s="1569"/>
      <c r="W29" s="1569"/>
      <c r="X29" s="1569"/>
      <c r="Y29" s="1570"/>
      <c r="Z29" s="368" t="s">
        <v>597</v>
      </c>
      <c r="AA29" s="1565"/>
      <c r="AB29" s="1566"/>
      <c r="AC29" s="1566"/>
      <c r="AD29" s="1566"/>
      <c r="AE29" s="1571"/>
      <c r="AF29" s="1973"/>
      <c r="AG29" s="1971" t="s">
        <v>599</v>
      </c>
      <c r="AH29" s="1971"/>
      <c r="AI29" s="1971"/>
      <c r="AJ29" s="1337"/>
      <c r="AK29" s="1565"/>
      <c r="AL29" s="1566"/>
      <c r="AM29" s="1566"/>
      <c r="AN29" s="1566"/>
      <c r="AO29" s="1607"/>
      <c r="AP29" s="1851"/>
      <c r="AQ29" s="1851"/>
      <c r="AR29" s="1851"/>
      <c r="AS29" s="1851"/>
      <c r="AT29" s="1851"/>
      <c r="AU29" s="1003" t="s">
        <v>130</v>
      </c>
      <c r="AV29" s="1004"/>
      <c r="AW29" s="1004"/>
      <c r="AX29" s="1004"/>
      <c r="AY29" s="1004"/>
      <c r="AZ29" s="1960"/>
      <c r="BA29" s="1961"/>
      <c r="BB29" s="1961"/>
      <c r="BC29" s="1961"/>
      <c r="BD29" s="1962"/>
      <c r="BE29" s="1872"/>
      <c r="BF29" s="1872"/>
      <c r="BG29" s="1872"/>
      <c r="BH29" s="1872"/>
      <c r="BI29" s="1932"/>
      <c r="BJ29" s="1882"/>
      <c r="BK29" s="1883"/>
      <c r="BL29" s="1883"/>
      <c r="BM29" s="1883"/>
      <c r="BN29" s="1884"/>
      <c r="BO29" s="1875"/>
      <c r="BP29" s="1875"/>
      <c r="BQ29" s="1875"/>
      <c r="BR29" s="1875"/>
      <c r="BS29" s="1875"/>
      <c r="BT29" s="1875"/>
      <c r="BU29" s="1875"/>
      <c r="BV29" s="1875"/>
      <c r="BW29" s="1875"/>
      <c r="BX29" s="1876"/>
    </row>
    <row r="30" spans="1:76" ht="10.5" customHeight="1" thickBot="1" x14ac:dyDescent="0.2">
      <c r="A30" s="31">
        <v>25</v>
      </c>
      <c r="B30" s="1942"/>
      <c r="C30" s="1877"/>
      <c r="D30" s="1959"/>
      <c r="E30" s="1877"/>
      <c r="F30" s="1853" t="s">
        <v>303</v>
      </c>
      <c r="G30" s="1653"/>
      <c r="H30" s="1653"/>
      <c r="I30" s="1653"/>
      <c r="J30" s="1654"/>
      <c r="K30" s="319" t="s">
        <v>292</v>
      </c>
      <c r="L30" s="1620"/>
      <c r="M30" s="1621"/>
      <c r="N30" s="1621"/>
      <c r="O30" s="1621"/>
      <c r="P30" s="1629"/>
      <c r="Q30" s="1861"/>
      <c r="R30" s="1877"/>
      <c r="S30" s="2005"/>
      <c r="T30" s="2006"/>
      <c r="U30" s="1853" t="s">
        <v>315</v>
      </c>
      <c r="V30" s="1653"/>
      <c r="W30" s="1653"/>
      <c r="X30" s="1653"/>
      <c r="Y30" s="1654"/>
      <c r="Z30" s="319" t="s">
        <v>292</v>
      </c>
      <c r="AA30" s="1620"/>
      <c r="AB30" s="1621"/>
      <c r="AC30" s="1621"/>
      <c r="AD30" s="1621"/>
      <c r="AE30" s="1630"/>
      <c r="AF30" s="1973"/>
      <c r="AG30" s="1968" t="s">
        <v>180</v>
      </c>
      <c r="AH30" s="1969"/>
      <c r="AI30" s="1969"/>
      <c r="AJ30" s="1969"/>
      <c r="AK30" s="1565"/>
      <c r="AL30" s="1566"/>
      <c r="AM30" s="1566"/>
      <c r="AN30" s="1566"/>
      <c r="AO30" s="1607"/>
      <c r="AP30" s="1851"/>
      <c r="AQ30" s="1851"/>
      <c r="AR30" s="1851"/>
      <c r="AS30" s="1851"/>
      <c r="AT30" s="1851"/>
      <c r="AU30" s="373"/>
      <c r="AV30" s="1967" t="s">
        <v>600</v>
      </c>
      <c r="AW30" s="1967"/>
      <c r="AX30" s="1967"/>
      <c r="AY30" s="1967"/>
      <c r="AZ30" s="1997"/>
      <c r="BA30" s="1998"/>
      <c r="BB30" s="1998"/>
      <c r="BC30" s="1998"/>
      <c r="BD30" s="1999"/>
      <c r="BE30" s="2000"/>
      <c r="BF30" s="2001"/>
      <c r="BG30" s="2001"/>
      <c r="BH30" s="2001"/>
      <c r="BI30" s="2002"/>
      <c r="BJ30" s="1882"/>
      <c r="BK30" s="1883"/>
      <c r="BL30" s="1883"/>
      <c r="BM30" s="1883"/>
      <c r="BN30" s="1884"/>
      <c r="BO30" s="1875"/>
      <c r="BP30" s="1875"/>
      <c r="BQ30" s="1875"/>
      <c r="BR30" s="1875"/>
      <c r="BS30" s="1875"/>
      <c r="BT30" s="1875"/>
      <c r="BU30" s="1875"/>
      <c r="BV30" s="1875"/>
      <c r="BW30" s="1875"/>
      <c r="BX30" s="1876"/>
    </row>
    <row r="31" spans="1:76" ht="10.5" customHeight="1" thickBot="1" x14ac:dyDescent="0.2">
      <c r="A31" s="31">
        <v>26</v>
      </c>
      <c r="B31" s="1940" t="s">
        <v>341</v>
      </c>
      <c r="C31" s="1830"/>
      <c r="D31" s="1943" t="s">
        <v>29</v>
      </c>
      <c r="E31" s="1830"/>
      <c r="F31" s="1976" t="s">
        <v>330</v>
      </c>
      <c r="G31" s="1634"/>
      <c r="H31" s="1634"/>
      <c r="I31" s="1634"/>
      <c r="J31" s="1635"/>
      <c r="K31" s="362" t="s">
        <v>291</v>
      </c>
      <c r="L31" s="1584"/>
      <c r="M31" s="1585"/>
      <c r="N31" s="1585"/>
      <c r="O31" s="1585"/>
      <c r="P31" s="1625"/>
      <c r="Q31" s="1829" t="s">
        <v>338</v>
      </c>
      <c r="R31" s="1355"/>
      <c r="S31" s="1977" t="s">
        <v>29</v>
      </c>
      <c r="T31" s="1978"/>
      <c r="U31" s="1976" t="s">
        <v>16</v>
      </c>
      <c r="V31" s="1634"/>
      <c r="W31" s="1634"/>
      <c r="X31" s="1634"/>
      <c r="Y31" s="1635"/>
      <c r="Z31" s="362" t="s">
        <v>601</v>
      </c>
      <c r="AA31" s="1584"/>
      <c r="AB31" s="1585"/>
      <c r="AC31" s="1585"/>
      <c r="AD31" s="1585"/>
      <c r="AE31" s="1632"/>
      <c r="AF31" s="1973"/>
      <c r="AG31" s="1955" t="s">
        <v>237</v>
      </c>
      <c r="AH31" s="1956"/>
      <c r="AI31" s="1956"/>
      <c r="AJ31" s="1956"/>
      <c r="AK31" s="1847"/>
      <c r="AL31" s="1848"/>
      <c r="AM31" s="1848"/>
      <c r="AN31" s="1848"/>
      <c r="AO31" s="1849"/>
      <c r="AP31" s="1947"/>
      <c r="AQ31" s="1880"/>
      <c r="AR31" s="1880"/>
      <c r="AS31" s="1880"/>
      <c r="AT31" s="1948"/>
      <c r="BJ31" s="1882"/>
      <c r="BK31" s="1883"/>
      <c r="BL31" s="1883"/>
      <c r="BM31" s="1883"/>
      <c r="BN31" s="1884"/>
      <c r="BO31" s="1875"/>
      <c r="BP31" s="1875"/>
      <c r="BQ31" s="1875"/>
      <c r="BR31" s="1875"/>
      <c r="BS31" s="1875"/>
      <c r="BT31" s="1875"/>
      <c r="BU31" s="1875"/>
      <c r="BV31" s="1875"/>
      <c r="BW31" s="1875"/>
      <c r="BX31" s="1876"/>
    </row>
    <row r="32" spans="1:76" ht="10.5" customHeight="1" x14ac:dyDescent="0.15">
      <c r="A32" s="31">
        <v>27</v>
      </c>
      <c r="B32" s="1941"/>
      <c r="C32" s="1832"/>
      <c r="D32" s="1944"/>
      <c r="E32" s="1832"/>
      <c r="F32" s="1631" t="s">
        <v>298</v>
      </c>
      <c r="G32" s="1569"/>
      <c r="H32" s="1569"/>
      <c r="I32" s="1569"/>
      <c r="J32" s="1570"/>
      <c r="K32" s="318" t="s">
        <v>582</v>
      </c>
      <c r="L32" s="1565"/>
      <c r="M32" s="1566"/>
      <c r="N32" s="1566"/>
      <c r="O32" s="1566"/>
      <c r="P32" s="1607"/>
      <c r="Q32" s="1831"/>
      <c r="R32" s="1357"/>
      <c r="S32" s="1979"/>
      <c r="T32" s="1980"/>
      <c r="U32" s="1631" t="s">
        <v>295</v>
      </c>
      <c r="V32" s="1569"/>
      <c r="W32" s="1569"/>
      <c r="X32" s="1569"/>
      <c r="Y32" s="1570"/>
      <c r="Z32" s="318" t="s">
        <v>582</v>
      </c>
      <c r="AA32" s="1565"/>
      <c r="AB32" s="1566"/>
      <c r="AC32" s="1566"/>
      <c r="AD32" s="1566"/>
      <c r="AE32" s="1571"/>
      <c r="AF32" s="1974"/>
      <c r="AG32" s="1949" t="s">
        <v>361</v>
      </c>
      <c r="AH32" s="1950"/>
      <c r="AI32" s="1950"/>
      <c r="AJ32" s="1950"/>
      <c r="AK32" s="1855"/>
      <c r="AL32" s="1856"/>
      <c r="AM32" s="1856"/>
      <c r="AN32" s="1856"/>
      <c r="AO32" s="1857"/>
      <c r="AP32" s="1858"/>
      <c r="AQ32" s="1859"/>
      <c r="AR32" s="1859"/>
      <c r="AS32" s="1859"/>
      <c r="AT32" s="1860"/>
      <c r="AZ32" s="1655" t="s">
        <v>602</v>
      </c>
      <c r="BA32" s="1656"/>
      <c r="BB32" s="1656"/>
      <c r="BC32" s="1656"/>
      <c r="BD32" s="1656"/>
      <c r="BE32" s="1656"/>
      <c r="BF32" s="1656"/>
      <c r="BG32" s="1656"/>
      <c r="BH32" s="1656"/>
      <c r="BI32" s="1656"/>
      <c r="BJ32" s="1882"/>
      <c r="BK32" s="1883"/>
      <c r="BL32" s="1883"/>
      <c r="BM32" s="1883"/>
      <c r="BN32" s="1884"/>
      <c r="BO32" s="1875"/>
      <c r="BP32" s="1875"/>
      <c r="BQ32" s="1875"/>
      <c r="BR32" s="1875"/>
      <c r="BS32" s="1875"/>
      <c r="BT32" s="1875"/>
      <c r="BU32" s="1875"/>
      <c r="BV32" s="1875"/>
      <c r="BW32" s="1875"/>
      <c r="BX32" s="1876"/>
    </row>
    <row r="33" spans="1:76" ht="10.5" customHeight="1" x14ac:dyDescent="0.15">
      <c r="A33" s="31">
        <v>28</v>
      </c>
      <c r="B33" s="1941"/>
      <c r="C33" s="1832"/>
      <c r="D33" s="1944"/>
      <c r="E33" s="1832"/>
      <c r="F33" s="1524" t="s">
        <v>331</v>
      </c>
      <c r="G33" s="1525"/>
      <c r="H33" s="1525"/>
      <c r="I33" s="1525"/>
      <c r="J33" s="1933"/>
      <c r="K33" s="318" t="s">
        <v>582</v>
      </c>
      <c r="L33" s="1565"/>
      <c r="M33" s="1566"/>
      <c r="N33" s="1566"/>
      <c r="O33" s="1566"/>
      <c r="P33" s="1607"/>
      <c r="Q33" s="1831"/>
      <c r="R33" s="1357"/>
      <c r="S33" s="1979"/>
      <c r="T33" s="1980"/>
      <c r="U33" s="1631" t="s">
        <v>1</v>
      </c>
      <c r="V33" s="1569"/>
      <c r="W33" s="1569"/>
      <c r="X33" s="1569"/>
      <c r="Y33" s="1570"/>
      <c r="Z33" s="318" t="s">
        <v>582</v>
      </c>
      <c r="AA33" s="1565"/>
      <c r="AB33" s="1566"/>
      <c r="AC33" s="1566"/>
      <c r="AD33" s="1566"/>
      <c r="AE33" s="1571"/>
      <c r="AF33" s="1355" t="s">
        <v>225</v>
      </c>
      <c r="AG33" s="1835" t="s">
        <v>17</v>
      </c>
      <c r="AH33" s="1664"/>
      <c r="AI33" s="1664"/>
      <c r="AJ33" s="1664"/>
      <c r="AK33" s="1913"/>
      <c r="AL33" s="1914"/>
      <c r="AM33" s="1914"/>
      <c r="AN33" s="1914"/>
      <c r="AO33" s="1915"/>
      <c r="AP33" s="1871"/>
      <c r="AQ33" s="1872"/>
      <c r="AR33" s="1872"/>
      <c r="AS33" s="1872"/>
      <c r="AT33" s="1873"/>
      <c r="AZ33" s="1970" t="s">
        <v>236</v>
      </c>
      <c r="BA33" s="1623"/>
      <c r="BB33" s="1623"/>
      <c r="BC33" s="1623"/>
      <c r="BD33" s="1624"/>
      <c r="BE33" s="1931"/>
      <c r="BF33" s="1872"/>
      <c r="BG33" s="1872"/>
      <c r="BH33" s="1872"/>
      <c r="BI33" s="1932"/>
      <c r="BJ33" s="1882"/>
      <c r="BK33" s="1883"/>
      <c r="BL33" s="1883"/>
      <c r="BM33" s="1883"/>
      <c r="BN33" s="1884"/>
      <c r="BO33" s="1875"/>
      <c r="BP33" s="1875"/>
      <c r="BQ33" s="1875"/>
      <c r="BR33" s="1875"/>
      <c r="BS33" s="1875"/>
      <c r="BT33" s="1875"/>
      <c r="BU33" s="1875"/>
      <c r="BV33" s="1875"/>
      <c r="BW33" s="1875"/>
      <c r="BX33" s="1876"/>
    </row>
    <row r="34" spans="1:76" ht="10.5" customHeight="1" x14ac:dyDescent="0.15">
      <c r="A34" s="31">
        <v>29</v>
      </c>
      <c r="B34" s="1941"/>
      <c r="C34" s="1832"/>
      <c r="D34" s="1945"/>
      <c r="E34" s="1946"/>
      <c r="F34" s="1524" t="s">
        <v>298</v>
      </c>
      <c r="G34" s="1525"/>
      <c r="H34" s="1525"/>
      <c r="I34" s="1525"/>
      <c r="J34" s="1933"/>
      <c r="K34" s="363" t="s">
        <v>163</v>
      </c>
      <c r="L34" s="1565"/>
      <c r="M34" s="1566"/>
      <c r="N34" s="1566"/>
      <c r="O34" s="1566"/>
      <c r="P34" s="1607"/>
      <c r="Q34" s="1831"/>
      <c r="R34" s="1357"/>
      <c r="S34" s="1979"/>
      <c r="T34" s="1980"/>
      <c r="U34" s="1631" t="s">
        <v>298</v>
      </c>
      <c r="V34" s="1569"/>
      <c r="W34" s="1569"/>
      <c r="X34" s="1569"/>
      <c r="Y34" s="1570"/>
      <c r="Z34" s="318" t="s">
        <v>163</v>
      </c>
      <c r="AA34" s="1565"/>
      <c r="AB34" s="1566"/>
      <c r="AC34" s="1566"/>
      <c r="AD34" s="1566"/>
      <c r="AE34" s="1571"/>
      <c r="AF34" s="1357"/>
      <c r="AG34" s="1337" t="s">
        <v>13</v>
      </c>
      <c r="AH34" s="1338"/>
      <c r="AI34" s="1338"/>
      <c r="AJ34" s="1338"/>
      <c r="AK34" s="1919"/>
      <c r="AL34" s="1920"/>
      <c r="AM34" s="1920"/>
      <c r="AN34" s="1920"/>
      <c r="AO34" s="1921"/>
      <c r="AP34" s="1850"/>
      <c r="AQ34" s="1851"/>
      <c r="AR34" s="1851"/>
      <c r="AS34" s="1851"/>
      <c r="AT34" s="1852"/>
      <c r="AZ34" s="374"/>
      <c r="BA34" s="1524" t="s">
        <v>231</v>
      </c>
      <c r="BB34" s="1525"/>
      <c r="BC34" s="1525"/>
      <c r="BD34" s="1526"/>
      <c r="BE34" s="1879"/>
      <c r="BF34" s="1880"/>
      <c r="BG34" s="1880"/>
      <c r="BH34" s="1880"/>
      <c r="BI34" s="1881"/>
      <c r="BJ34" s="1882"/>
      <c r="BK34" s="1883"/>
      <c r="BL34" s="1883"/>
      <c r="BM34" s="1883"/>
      <c r="BN34" s="1884"/>
      <c r="BO34" s="1875"/>
      <c r="BP34" s="1875"/>
      <c r="BQ34" s="1875"/>
      <c r="BR34" s="1875"/>
      <c r="BS34" s="1875"/>
      <c r="BT34" s="1875"/>
      <c r="BU34" s="1875"/>
      <c r="BV34" s="1875"/>
      <c r="BW34" s="1875"/>
      <c r="BX34" s="1876"/>
    </row>
    <row r="35" spans="1:76" ht="10.5" customHeight="1" x14ac:dyDescent="0.15">
      <c r="A35" s="31">
        <v>30</v>
      </c>
      <c r="B35" s="1941"/>
      <c r="C35" s="1832"/>
      <c r="D35" s="1951" t="s">
        <v>293</v>
      </c>
      <c r="E35" s="1952"/>
      <c r="F35" s="1524" t="s">
        <v>603</v>
      </c>
      <c r="G35" s="1525"/>
      <c r="H35" s="1525"/>
      <c r="I35" s="1525"/>
      <c r="J35" s="1933"/>
      <c r="K35" s="318" t="s">
        <v>581</v>
      </c>
      <c r="L35" s="1565"/>
      <c r="M35" s="1566"/>
      <c r="N35" s="1566"/>
      <c r="O35" s="1566"/>
      <c r="P35" s="1607"/>
      <c r="Q35" s="1831"/>
      <c r="R35" s="1357"/>
      <c r="S35" s="1979"/>
      <c r="T35" s="1980"/>
      <c r="U35" s="1524" t="s">
        <v>336</v>
      </c>
      <c r="V35" s="1525"/>
      <c r="W35" s="1525"/>
      <c r="X35" s="1525"/>
      <c r="Y35" s="1933"/>
      <c r="Z35" s="363" t="s">
        <v>582</v>
      </c>
      <c r="AA35" s="1565"/>
      <c r="AB35" s="1566"/>
      <c r="AC35" s="1566"/>
      <c r="AD35" s="1566"/>
      <c r="AE35" s="1571"/>
      <c r="AF35" s="1359"/>
      <c r="AG35" s="1936" t="s">
        <v>329</v>
      </c>
      <c r="AH35" s="1937"/>
      <c r="AI35" s="1937"/>
      <c r="AJ35" s="1937"/>
      <c r="AK35" s="1855"/>
      <c r="AL35" s="1856"/>
      <c r="AM35" s="1856"/>
      <c r="AN35" s="1856"/>
      <c r="AO35" s="1857"/>
      <c r="AP35" s="1858"/>
      <c r="AQ35" s="1859"/>
      <c r="AR35" s="1859"/>
      <c r="AS35" s="1859"/>
      <c r="AT35" s="1860"/>
      <c r="AZ35" s="374"/>
      <c r="BA35" s="1934" t="s">
        <v>232</v>
      </c>
      <c r="BB35" s="1935"/>
      <c r="BC35" s="1935"/>
      <c r="BD35" s="1429"/>
      <c r="BE35" s="1879"/>
      <c r="BF35" s="1880"/>
      <c r="BG35" s="1880"/>
      <c r="BH35" s="1880"/>
      <c r="BI35" s="1881"/>
      <c r="BJ35" s="1882"/>
      <c r="BK35" s="1883"/>
      <c r="BL35" s="1883"/>
      <c r="BM35" s="1883"/>
      <c r="BN35" s="1884"/>
      <c r="BO35" s="1875"/>
      <c r="BP35" s="1875"/>
      <c r="BQ35" s="1875"/>
      <c r="BR35" s="1875"/>
      <c r="BS35" s="1875"/>
      <c r="BT35" s="1875"/>
      <c r="BU35" s="1875"/>
      <c r="BV35" s="1875"/>
      <c r="BW35" s="1875"/>
      <c r="BX35" s="1876"/>
    </row>
    <row r="36" spans="1:76" ht="10.5" customHeight="1" x14ac:dyDescent="0.15">
      <c r="A36" s="31">
        <v>31</v>
      </c>
      <c r="B36" s="1942"/>
      <c r="C36" s="1877"/>
      <c r="D36" s="1953"/>
      <c r="E36" s="1954"/>
      <c r="F36" s="1521" t="s">
        <v>331</v>
      </c>
      <c r="G36" s="1522"/>
      <c r="H36" s="1522"/>
      <c r="I36" s="1522"/>
      <c r="J36" s="1938"/>
      <c r="K36" s="319" t="s">
        <v>582</v>
      </c>
      <c r="L36" s="1620"/>
      <c r="M36" s="1621"/>
      <c r="N36" s="1621"/>
      <c r="O36" s="1621"/>
      <c r="P36" s="1629"/>
      <c r="Q36" s="1861"/>
      <c r="R36" s="1359"/>
      <c r="S36" s="1340" t="s">
        <v>337</v>
      </c>
      <c r="T36" s="1341"/>
      <c r="U36" s="1341"/>
      <c r="V36" s="1341"/>
      <c r="W36" s="1341"/>
      <c r="X36" s="1341"/>
      <c r="Y36" s="1897"/>
      <c r="Z36" s="319" t="s">
        <v>581</v>
      </c>
      <c r="AA36" s="1620"/>
      <c r="AB36" s="1621"/>
      <c r="AC36" s="1621"/>
      <c r="AD36" s="1621"/>
      <c r="AE36" s="1630"/>
      <c r="AF36" s="1939" t="s">
        <v>14</v>
      </c>
      <c r="AG36" s="1939"/>
      <c r="AH36" s="1939"/>
      <c r="AI36" s="1939"/>
      <c r="AJ36" s="1939"/>
      <c r="AK36" s="1868"/>
      <c r="AL36" s="1869"/>
      <c r="AM36" s="1869"/>
      <c r="AN36" s="1869"/>
      <c r="AO36" s="1870"/>
      <c r="AP36" s="1922"/>
      <c r="AQ36" s="1923"/>
      <c r="AR36" s="1923"/>
      <c r="AS36" s="1923"/>
      <c r="AT36" s="1924"/>
      <c r="AZ36" s="374"/>
      <c r="BA36" s="1925" t="s">
        <v>503</v>
      </c>
      <c r="BB36" s="1926"/>
      <c r="BC36" s="1926"/>
      <c r="BD36" s="1927"/>
      <c r="BE36" s="1879"/>
      <c r="BF36" s="1880"/>
      <c r="BG36" s="1880"/>
      <c r="BH36" s="1880"/>
      <c r="BI36" s="1881"/>
      <c r="BJ36" s="1882"/>
      <c r="BK36" s="1883"/>
      <c r="BL36" s="1883"/>
      <c r="BM36" s="1883"/>
      <c r="BN36" s="1884"/>
      <c r="BO36" s="1875"/>
      <c r="BP36" s="1875"/>
      <c r="BQ36" s="1875"/>
      <c r="BR36" s="1875"/>
      <c r="BS36" s="1875"/>
      <c r="BT36" s="1875"/>
      <c r="BU36" s="1875"/>
      <c r="BV36" s="1875"/>
      <c r="BW36" s="1875"/>
      <c r="BX36" s="1876"/>
    </row>
    <row r="37" spans="1:76" ht="10.5" customHeight="1" x14ac:dyDescent="0.15">
      <c r="A37" s="31">
        <v>32</v>
      </c>
      <c r="B37" s="1823" t="s">
        <v>326</v>
      </c>
      <c r="C37" s="1085"/>
      <c r="D37" s="918" t="s">
        <v>29</v>
      </c>
      <c r="E37" s="909"/>
      <c r="F37" s="1022" t="s">
        <v>333</v>
      </c>
      <c r="G37" s="1023"/>
      <c r="H37" s="1023"/>
      <c r="I37" s="1023"/>
      <c r="J37" s="1024"/>
      <c r="K37" s="101" t="s">
        <v>291</v>
      </c>
      <c r="L37" s="1584"/>
      <c r="M37" s="1585"/>
      <c r="N37" s="1585"/>
      <c r="O37" s="1585"/>
      <c r="P37" s="1625"/>
      <c r="Q37" s="1929" t="s">
        <v>489</v>
      </c>
      <c r="R37" s="1409"/>
      <c r="S37" s="1409"/>
      <c r="T37" s="1409"/>
      <c r="U37" s="1409"/>
      <c r="V37" s="1409"/>
      <c r="W37" s="1409"/>
      <c r="X37" s="1409"/>
      <c r="Y37" s="1930"/>
      <c r="Z37" s="369" t="s">
        <v>601</v>
      </c>
      <c r="AA37" s="1584"/>
      <c r="AB37" s="1585"/>
      <c r="AC37" s="1585"/>
      <c r="AD37" s="1585"/>
      <c r="AE37" s="1632"/>
      <c r="AF37" s="1344" t="s">
        <v>226</v>
      </c>
      <c r="AG37" s="1909" t="s">
        <v>165</v>
      </c>
      <c r="AH37" s="1910"/>
      <c r="AI37" s="1911" t="s">
        <v>150</v>
      </c>
      <c r="AJ37" s="1912"/>
      <c r="AK37" s="1913"/>
      <c r="AL37" s="1914"/>
      <c r="AM37" s="1914"/>
      <c r="AN37" s="1914"/>
      <c r="AO37" s="1915"/>
      <c r="AP37" s="1871"/>
      <c r="AQ37" s="1872"/>
      <c r="AR37" s="1872"/>
      <c r="AS37" s="1872"/>
      <c r="AT37" s="1873"/>
      <c r="AZ37" s="374"/>
      <c r="BA37" s="331"/>
      <c r="BB37" s="1524" t="s">
        <v>233</v>
      </c>
      <c r="BC37" s="1525"/>
      <c r="BD37" s="1526"/>
      <c r="BE37" s="1879"/>
      <c r="BF37" s="1880"/>
      <c r="BG37" s="1880"/>
      <c r="BH37" s="1880"/>
      <c r="BI37" s="1881"/>
      <c r="BJ37" s="1882"/>
      <c r="BK37" s="1883"/>
      <c r="BL37" s="1883"/>
      <c r="BM37" s="1883"/>
      <c r="BN37" s="1884"/>
      <c r="BO37" s="1875"/>
      <c r="BP37" s="1875"/>
      <c r="BQ37" s="1875"/>
      <c r="BR37" s="1875"/>
      <c r="BS37" s="1875"/>
      <c r="BT37" s="1875"/>
      <c r="BU37" s="1875"/>
      <c r="BV37" s="1875"/>
      <c r="BW37" s="1875"/>
      <c r="BX37" s="1876"/>
    </row>
    <row r="38" spans="1:76" ht="10.5" customHeight="1" x14ac:dyDescent="0.15">
      <c r="A38" s="31">
        <v>33</v>
      </c>
      <c r="B38" s="1824"/>
      <c r="C38" s="924"/>
      <c r="D38" s="919"/>
      <c r="E38" s="911"/>
      <c r="F38" s="960" t="s">
        <v>298</v>
      </c>
      <c r="G38" s="961"/>
      <c r="H38" s="961"/>
      <c r="I38" s="961"/>
      <c r="J38" s="962"/>
      <c r="K38" s="100" t="s">
        <v>292</v>
      </c>
      <c r="L38" s="1565"/>
      <c r="M38" s="1566"/>
      <c r="N38" s="1566"/>
      <c r="O38" s="1566"/>
      <c r="P38" s="1607"/>
      <c r="Q38" s="375"/>
      <c r="R38" s="376"/>
      <c r="S38" s="1340" t="s">
        <v>490</v>
      </c>
      <c r="T38" s="1341"/>
      <c r="U38" s="1341"/>
      <c r="V38" s="1341"/>
      <c r="W38" s="1341"/>
      <c r="X38" s="1341"/>
      <c r="Y38" s="1897"/>
      <c r="Z38" s="370" t="s">
        <v>582</v>
      </c>
      <c r="AA38" s="1620"/>
      <c r="AB38" s="1621"/>
      <c r="AC38" s="1621"/>
      <c r="AD38" s="1621"/>
      <c r="AE38" s="1630"/>
      <c r="AF38" s="1866"/>
      <c r="AG38" s="1900"/>
      <c r="AH38" s="1901"/>
      <c r="AI38" s="1337" t="s">
        <v>151</v>
      </c>
      <c r="AJ38" s="1338"/>
      <c r="AK38" s="1847"/>
      <c r="AL38" s="1848"/>
      <c r="AM38" s="1848"/>
      <c r="AN38" s="1848"/>
      <c r="AO38" s="1849"/>
      <c r="AP38" s="1850"/>
      <c r="AQ38" s="1851"/>
      <c r="AR38" s="1851"/>
      <c r="AS38" s="1851"/>
      <c r="AT38" s="1852"/>
      <c r="AZ38" s="374"/>
      <c r="BA38" s="331"/>
      <c r="BB38" s="1916" t="s">
        <v>235</v>
      </c>
      <c r="BC38" s="1917"/>
      <c r="BD38" s="1918"/>
      <c r="BE38" s="1879"/>
      <c r="BF38" s="1880"/>
      <c r="BG38" s="1880"/>
      <c r="BH38" s="1880"/>
      <c r="BI38" s="1881"/>
      <c r="BJ38" s="1882"/>
      <c r="BK38" s="1883"/>
      <c r="BL38" s="1883"/>
      <c r="BM38" s="1883"/>
      <c r="BN38" s="1884"/>
      <c r="BO38" s="1875"/>
      <c r="BP38" s="1875"/>
      <c r="BQ38" s="1875"/>
      <c r="BR38" s="1875"/>
      <c r="BS38" s="1875"/>
      <c r="BT38" s="1875"/>
      <c r="BU38" s="1875"/>
      <c r="BV38" s="1875"/>
      <c r="BW38" s="1875"/>
      <c r="BX38" s="1876"/>
    </row>
    <row r="39" spans="1:76" ht="10.5" customHeight="1" x14ac:dyDescent="0.15">
      <c r="A39" s="31">
        <v>34</v>
      </c>
      <c r="B39" s="1824"/>
      <c r="C39" s="924"/>
      <c r="D39" s="919"/>
      <c r="E39" s="911"/>
      <c r="F39" s="897" t="s">
        <v>491</v>
      </c>
      <c r="G39" s="898"/>
      <c r="H39" s="898"/>
      <c r="I39" s="898"/>
      <c r="J39" s="899"/>
      <c r="K39" s="100" t="s">
        <v>292</v>
      </c>
      <c r="L39" s="1565"/>
      <c r="M39" s="1566"/>
      <c r="N39" s="1566"/>
      <c r="O39" s="1566"/>
      <c r="P39" s="1607"/>
      <c r="Q39" s="1831" t="s">
        <v>18</v>
      </c>
      <c r="R39" s="1357"/>
      <c r="S39" s="1878" t="s">
        <v>639</v>
      </c>
      <c r="T39" s="1466"/>
      <c r="U39" s="1466"/>
      <c r="V39" s="1466"/>
      <c r="W39" s="1466"/>
      <c r="X39" s="1466"/>
      <c r="Y39" s="1467"/>
      <c r="Z39" s="368" t="s">
        <v>294</v>
      </c>
      <c r="AA39" s="1584"/>
      <c r="AB39" s="1585"/>
      <c r="AC39" s="1585"/>
      <c r="AD39" s="1585"/>
      <c r="AE39" s="1632"/>
      <c r="AF39" s="1866"/>
      <c r="AG39" s="1900"/>
      <c r="AH39" s="1901"/>
      <c r="AI39" s="1846" t="s">
        <v>364</v>
      </c>
      <c r="AJ39" s="1885"/>
      <c r="AK39" s="1919"/>
      <c r="AL39" s="1920"/>
      <c r="AM39" s="1920"/>
      <c r="AN39" s="1920"/>
      <c r="AO39" s="1921"/>
      <c r="AP39" s="1850"/>
      <c r="AQ39" s="1851"/>
      <c r="AR39" s="1851"/>
      <c r="AS39" s="1851"/>
      <c r="AT39" s="1852"/>
      <c r="AZ39" s="374"/>
      <c r="BA39" s="331"/>
      <c r="BB39" s="1781" t="s">
        <v>604</v>
      </c>
      <c r="BC39" s="1782"/>
      <c r="BD39" s="1783"/>
      <c r="BE39" s="1879"/>
      <c r="BF39" s="1880"/>
      <c r="BG39" s="1880"/>
      <c r="BH39" s="1880"/>
      <c r="BI39" s="1881"/>
      <c r="BJ39" s="1882"/>
      <c r="BK39" s="1883"/>
      <c r="BL39" s="1883"/>
      <c r="BM39" s="1883"/>
      <c r="BN39" s="1884"/>
      <c r="BO39" s="1875"/>
      <c r="BP39" s="1875"/>
      <c r="BQ39" s="1875"/>
      <c r="BR39" s="1875"/>
      <c r="BS39" s="1875"/>
      <c r="BT39" s="1875"/>
      <c r="BU39" s="1875"/>
      <c r="BV39" s="1875"/>
      <c r="BW39" s="1875"/>
      <c r="BX39" s="1876"/>
    </row>
    <row r="40" spans="1:76" ht="10.5" customHeight="1" x14ac:dyDescent="0.15">
      <c r="A40" s="31">
        <v>35</v>
      </c>
      <c r="B40" s="1824"/>
      <c r="C40" s="924"/>
      <c r="D40" s="919"/>
      <c r="E40" s="911"/>
      <c r="F40" s="897" t="s">
        <v>298</v>
      </c>
      <c r="G40" s="898"/>
      <c r="H40" s="898"/>
      <c r="I40" s="898"/>
      <c r="J40" s="899"/>
      <c r="K40" s="100" t="s">
        <v>292</v>
      </c>
      <c r="L40" s="1565"/>
      <c r="M40" s="1566"/>
      <c r="N40" s="1566"/>
      <c r="O40" s="1566"/>
      <c r="P40" s="1607"/>
      <c r="Q40" s="1861"/>
      <c r="R40" s="1359"/>
      <c r="S40" s="1340" t="s">
        <v>317</v>
      </c>
      <c r="T40" s="1341"/>
      <c r="U40" s="1341"/>
      <c r="V40" s="1341"/>
      <c r="W40" s="1341"/>
      <c r="X40" s="1341"/>
      <c r="Y40" s="1897"/>
      <c r="Z40" s="319" t="s">
        <v>605</v>
      </c>
      <c r="AA40" s="1620"/>
      <c r="AB40" s="1621"/>
      <c r="AC40" s="1621"/>
      <c r="AD40" s="1621"/>
      <c r="AE40" s="1630"/>
      <c r="AF40" s="1866"/>
      <c r="AG40" s="1898" t="s">
        <v>166</v>
      </c>
      <c r="AH40" s="1899"/>
      <c r="AI40" s="1377" t="s">
        <v>150</v>
      </c>
      <c r="AJ40" s="1790"/>
      <c r="AK40" s="1847"/>
      <c r="AL40" s="1848"/>
      <c r="AM40" s="1848"/>
      <c r="AN40" s="1848"/>
      <c r="AO40" s="1849"/>
      <c r="AP40" s="1850"/>
      <c r="AQ40" s="1851"/>
      <c r="AR40" s="1851"/>
      <c r="AS40" s="1851"/>
      <c r="AT40" s="1852"/>
      <c r="AZ40" s="374"/>
      <c r="BA40" s="377"/>
      <c r="BB40" s="1524" t="s">
        <v>234</v>
      </c>
      <c r="BC40" s="1525"/>
      <c r="BD40" s="1526"/>
      <c r="BE40" s="1879"/>
      <c r="BF40" s="1880"/>
      <c r="BG40" s="1880"/>
      <c r="BH40" s="1880"/>
      <c r="BI40" s="1881"/>
      <c r="BJ40" s="1882"/>
      <c r="BK40" s="1883"/>
      <c r="BL40" s="1883"/>
      <c r="BM40" s="1883"/>
      <c r="BN40" s="1884"/>
      <c r="BO40" s="1875"/>
      <c r="BP40" s="1875"/>
      <c r="BQ40" s="1875"/>
      <c r="BR40" s="1875"/>
      <c r="BS40" s="1875"/>
      <c r="BT40" s="1875"/>
      <c r="BU40" s="1875"/>
      <c r="BV40" s="1875"/>
      <c r="BW40" s="1875"/>
      <c r="BX40" s="1876"/>
    </row>
    <row r="41" spans="1:76" ht="10.5" customHeight="1" thickBot="1" x14ac:dyDescent="0.2">
      <c r="A41" s="31">
        <v>36</v>
      </c>
      <c r="B41" s="1824"/>
      <c r="C41" s="924"/>
      <c r="D41" s="919"/>
      <c r="E41" s="911"/>
      <c r="F41" s="897" t="s">
        <v>305</v>
      </c>
      <c r="G41" s="898"/>
      <c r="H41" s="898"/>
      <c r="I41" s="898"/>
      <c r="J41" s="899"/>
      <c r="K41" s="100" t="s">
        <v>292</v>
      </c>
      <c r="L41" s="1565"/>
      <c r="M41" s="1566"/>
      <c r="N41" s="1566"/>
      <c r="O41" s="1566"/>
      <c r="P41" s="1607"/>
      <c r="Q41" s="1829" t="s">
        <v>316</v>
      </c>
      <c r="R41" s="1830"/>
      <c r="S41" s="1878" t="s">
        <v>318</v>
      </c>
      <c r="T41" s="1466"/>
      <c r="U41" s="1466"/>
      <c r="V41" s="1466"/>
      <c r="W41" s="1466"/>
      <c r="X41" s="1466"/>
      <c r="Y41" s="1467"/>
      <c r="Z41" s="368" t="s">
        <v>353</v>
      </c>
      <c r="AA41" s="1584"/>
      <c r="AB41" s="1585"/>
      <c r="AC41" s="1585"/>
      <c r="AD41" s="1585"/>
      <c r="AE41" s="1632"/>
      <c r="AF41" s="1866"/>
      <c r="AG41" s="1900"/>
      <c r="AH41" s="1901"/>
      <c r="AI41" s="1337" t="s">
        <v>151</v>
      </c>
      <c r="AJ41" s="1338"/>
      <c r="AK41" s="1847"/>
      <c r="AL41" s="1848"/>
      <c r="AM41" s="1848"/>
      <c r="AN41" s="1848"/>
      <c r="AO41" s="1849"/>
      <c r="AP41" s="1850"/>
      <c r="AQ41" s="1851"/>
      <c r="AR41" s="1851"/>
      <c r="AS41" s="1851"/>
      <c r="AT41" s="1852"/>
      <c r="AZ41" s="378"/>
      <c r="BA41" s="1597" t="s">
        <v>1</v>
      </c>
      <c r="BB41" s="1598"/>
      <c r="BC41" s="1598"/>
      <c r="BD41" s="1599"/>
      <c r="BE41" s="1891"/>
      <c r="BF41" s="1892"/>
      <c r="BG41" s="1892"/>
      <c r="BH41" s="1892"/>
      <c r="BI41" s="1893"/>
      <c r="BJ41" s="1894"/>
      <c r="BK41" s="1895"/>
      <c r="BL41" s="1895"/>
      <c r="BM41" s="1895"/>
      <c r="BN41" s="1896"/>
      <c r="BO41" s="1875"/>
      <c r="BP41" s="1875"/>
      <c r="BQ41" s="1875"/>
      <c r="BR41" s="1875"/>
      <c r="BS41" s="1875"/>
      <c r="BT41" s="1875"/>
      <c r="BU41" s="1875"/>
      <c r="BV41" s="1875"/>
      <c r="BW41" s="1875"/>
      <c r="BX41" s="1876"/>
    </row>
    <row r="42" spans="1:76" ht="10.5" customHeight="1" thickBot="1" x14ac:dyDescent="0.2">
      <c r="A42" s="31">
        <v>37</v>
      </c>
      <c r="B42" s="1824"/>
      <c r="C42" s="924"/>
      <c r="D42" s="1020"/>
      <c r="E42" s="1021"/>
      <c r="F42" s="897" t="s">
        <v>298</v>
      </c>
      <c r="G42" s="898"/>
      <c r="H42" s="898"/>
      <c r="I42" s="898"/>
      <c r="J42" s="899"/>
      <c r="K42" s="302" t="s">
        <v>292</v>
      </c>
      <c r="L42" s="1565"/>
      <c r="M42" s="1566"/>
      <c r="N42" s="1566"/>
      <c r="O42" s="1566"/>
      <c r="P42" s="1607"/>
      <c r="Q42" s="1831"/>
      <c r="R42" s="1832"/>
      <c r="S42" s="1902" t="s">
        <v>494</v>
      </c>
      <c r="T42" s="1903"/>
      <c r="U42" s="1908" t="s">
        <v>529</v>
      </c>
      <c r="V42" s="1569"/>
      <c r="W42" s="1569"/>
      <c r="X42" s="1569"/>
      <c r="Y42" s="1570"/>
      <c r="Z42" s="318" t="s">
        <v>292</v>
      </c>
      <c r="AA42" s="1565"/>
      <c r="AB42" s="1566"/>
      <c r="AC42" s="1566"/>
      <c r="AD42" s="1566"/>
      <c r="AE42" s="1571"/>
      <c r="AF42" s="1866"/>
      <c r="AG42" s="1862"/>
      <c r="AH42" s="1863"/>
      <c r="AI42" s="1846" t="s">
        <v>365</v>
      </c>
      <c r="AJ42" s="1885"/>
      <c r="AK42" s="1847"/>
      <c r="AL42" s="1848"/>
      <c r="AM42" s="1848"/>
      <c r="AN42" s="1848"/>
      <c r="AO42" s="1849"/>
      <c r="AP42" s="1850"/>
      <c r="AQ42" s="1851"/>
      <c r="AR42" s="1851"/>
      <c r="AS42" s="1851"/>
      <c r="AT42" s="1852"/>
      <c r="BJ42" s="1886"/>
      <c r="BK42" s="1887"/>
      <c r="BL42" s="1887"/>
      <c r="BM42" s="1887"/>
      <c r="BN42" s="1888"/>
      <c r="BO42" s="1889"/>
      <c r="BP42" s="1889"/>
      <c r="BQ42" s="1889"/>
      <c r="BR42" s="1889"/>
      <c r="BS42" s="1889"/>
      <c r="BT42" s="1889"/>
      <c r="BU42" s="1889"/>
      <c r="BV42" s="1889"/>
      <c r="BW42" s="1889"/>
      <c r="BX42" s="1890"/>
    </row>
    <row r="43" spans="1:76" ht="10.5" customHeight="1" x14ac:dyDescent="0.15">
      <c r="A43" s="31">
        <v>38</v>
      </c>
      <c r="B43" s="1824"/>
      <c r="C43" s="924"/>
      <c r="D43" s="912" t="s">
        <v>293</v>
      </c>
      <c r="E43" s="913"/>
      <c r="F43" s="897" t="s">
        <v>11</v>
      </c>
      <c r="G43" s="898"/>
      <c r="H43" s="898"/>
      <c r="I43" s="898"/>
      <c r="J43" s="899"/>
      <c r="K43" s="100" t="s">
        <v>606</v>
      </c>
      <c r="L43" s="1565"/>
      <c r="M43" s="1566"/>
      <c r="N43" s="1566"/>
      <c r="O43" s="1566"/>
      <c r="P43" s="1607"/>
      <c r="Q43" s="1831"/>
      <c r="R43" s="1832"/>
      <c r="S43" s="1904"/>
      <c r="T43" s="1905"/>
      <c r="U43" s="379"/>
      <c r="V43" s="1631" t="s">
        <v>319</v>
      </c>
      <c r="W43" s="1569"/>
      <c r="X43" s="1569"/>
      <c r="Y43" s="1570"/>
      <c r="Z43" s="318" t="s">
        <v>292</v>
      </c>
      <c r="AA43" s="1565"/>
      <c r="AB43" s="1566"/>
      <c r="AC43" s="1566"/>
      <c r="AD43" s="1566"/>
      <c r="AE43" s="1571"/>
      <c r="AF43" s="1347"/>
      <c r="AG43" s="1340" t="s">
        <v>315</v>
      </c>
      <c r="AH43" s="1341"/>
      <c r="AI43" s="1341"/>
      <c r="AJ43" s="1341"/>
      <c r="AK43" s="1855"/>
      <c r="AL43" s="1856"/>
      <c r="AM43" s="1856"/>
      <c r="AN43" s="1856"/>
      <c r="AO43" s="1857"/>
      <c r="AP43" s="1858"/>
      <c r="AQ43" s="1859"/>
      <c r="AR43" s="1859"/>
      <c r="AS43" s="1859"/>
      <c r="AT43" s="1860"/>
      <c r="BX43" s="28"/>
    </row>
    <row r="44" spans="1:76" ht="10.5" customHeight="1" x14ac:dyDescent="0.15">
      <c r="A44" s="31">
        <v>39</v>
      </c>
      <c r="B44" s="1824"/>
      <c r="C44" s="924"/>
      <c r="D44" s="914"/>
      <c r="E44" s="915"/>
      <c r="F44" s="960" t="s">
        <v>21</v>
      </c>
      <c r="G44" s="961"/>
      <c r="H44" s="961"/>
      <c r="I44" s="961"/>
      <c r="J44" s="962"/>
      <c r="K44" s="303" t="s">
        <v>607</v>
      </c>
      <c r="L44" s="1565"/>
      <c r="M44" s="1566"/>
      <c r="N44" s="1566"/>
      <c r="O44" s="1566"/>
      <c r="P44" s="1607"/>
      <c r="Q44" s="1831"/>
      <c r="R44" s="1832"/>
      <c r="S44" s="1904"/>
      <c r="T44" s="1905"/>
      <c r="U44" s="380"/>
      <c r="V44" s="1631" t="s">
        <v>495</v>
      </c>
      <c r="W44" s="1569"/>
      <c r="X44" s="1569"/>
      <c r="Y44" s="1570"/>
      <c r="Z44" s="318" t="s">
        <v>292</v>
      </c>
      <c r="AA44" s="1565"/>
      <c r="AB44" s="1566"/>
      <c r="AC44" s="1566"/>
      <c r="AD44" s="1566"/>
      <c r="AE44" s="1571"/>
      <c r="AF44" s="1866" t="s">
        <v>203</v>
      </c>
      <c r="AG44" s="1867" t="s">
        <v>16</v>
      </c>
      <c r="AH44" s="1867"/>
      <c r="AI44" s="1867"/>
      <c r="AJ44" s="1819"/>
      <c r="AK44" s="1868"/>
      <c r="AL44" s="1869"/>
      <c r="AM44" s="1869"/>
      <c r="AN44" s="1869"/>
      <c r="AO44" s="1870"/>
      <c r="AP44" s="1871"/>
      <c r="AQ44" s="1872"/>
      <c r="AR44" s="1872"/>
      <c r="AS44" s="1872"/>
      <c r="AT44" s="1873"/>
      <c r="BX44" s="28"/>
    </row>
    <row r="45" spans="1:76" ht="10.5" customHeight="1" x14ac:dyDescent="0.15">
      <c r="A45" s="31">
        <v>40</v>
      </c>
      <c r="B45" s="1928"/>
      <c r="C45" s="926"/>
      <c r="D45" s="1045"/>
      <c r="E45" s="1046"/>
      <c r="F45" s="960" t="s">
        <v>305</v>
      </c>
      <c r="G45" s="961"/>
      <c r="H45" s="961"/>
      <c r="I45" s="961"/>
      <c r="J45" s="962"/>
      <c r="K45" s="381" t="s">
        <v>607</v>
      </c>
      <c r="L45" s="1620"/>
      <c r="M45" s="1621"/>
      <c r="N45" s="1621"/>
      <c r="O45" s="1621"/>
      <c r="P45" s="1629"/>
      <c r="Q45" s="1861"/>
      <c r="R45" s="1877"/>
      <c r="S45" s="1906"/>
      <c r="T45" s="1907"/>
      <c r="U45" s="1340" t="s">
        <v>194</v>
      </c>
      <c r="V45" s="1341"/>
      <c r="W45" s="1341"/>
      <c r="X45" s="1341"/>
      <c r="Y45" s="1897"/>
      <c r="Z45" s="370" t="s">
        <v>607</v>
      </c>
      <c r="AA45" s="1620"/>
      <c r="AB45" s="1621"/>
      <c r="AC45" s="1621"/>
      <c r="AD45" s="1621"/>
      <c r="AE45" s="1630"/>
      <c r="AF45" s="1866"/>
      <c r="AG45" s="1874" t="s">
        <v>204</v>
      </c>
      <c r="AH45" s="1874"/>
      <c r="AI45" s="1874"/>
      <c r="AJ45" s="1319"/>
      <c r="AK45" s="1847"/>
      <c r="AL45" s="1848"/>
      <c r="AM45" s="1848"/>
      <c r="AN45" s="1848"/>
      <c r="AO45" s="1849"/>
      <c r="AP45" s="1850"/>
      <c r="AQ45" s="1851"/>
      <c r="AR45" s="1851"/>
      <c r="AS45" s="1851"/>
      <c r="AT45" s="1852"/>
      <c r="BX45" s="28"/>
    </row>
    <row r="46" spans="1:76" ht="10.5" customHeight="1" x14ac:dyDescent="0.15">
      <c r="A46" s="31">
        <v>41</v>
      </c>
      <c r="B46" s="1823" t="s">
        <v>533</v>
      </c>
      <c r="C46" s="1085"/>
      <c r="D46" s="918" t="s">
        <v>29</v>
      </c>
      <c r="E46" s="909"/>
      <c r="F46" s="988" t="s">
        <v>334</v>
      </c>
      <c r="G46" s="988"/>
      <c r="H46" s="988"/>
      <c r="I46" s="988"/>
      <c r="J46" s="989"/>
      <c r="K46" s="101" t="s">
        <v>291</v>
      </c>
      <c r="L46" s="1584"/>
      <c r="M46" s="1585"/>
      <c r="N46" s="1585"/>
      <c r="O46" s="1585"/>
      <c r="P46" s="1625"/>
      <c r="Q46" s="1831" t="s">
        <v>15</v>
      </c>
      <c r="R46" s="1357"/>
      <c r="S46" s="1862" t="s">
        <v>320</v>
      </c>
      <c r="T46" s="1863"/>
      <c r="U46" s="1324" t="s">
        <v>195</v>
      </c>
      <c r="V46" s="1325"/>
      <c r="W46" s="1325"/>
      <c r="X46" s="1325"/>
      <c r="Y46" s="1836"/>
      <c r="Z46" s="369" t="s">
        <v>294</v>
      </c>
      <c r="AA46" s="1584"/>
      <c r="AB46" s="1585"/>
      <c r="AC46" s="1585"/>
      <c r="AD46" s="1585"/>
      <c r="AE46" s="1632"/>
      <c r="AF46" s="1866"/>
      <c r="AG46" s="1845" t="s">
        <v>205</v>
      </c>
      <c r="AH46" s="1845"/>
      <c r="AI46" s="1845"/>
      <c r="AJ46" s="1846"/>
      <c r="AK46" s="1847"/>
      <c r="AL46" s="1848"/>
      <c r="AM46" s="1848"/>
      <c r="AN46" s="1848"/>
      <c r="AO46" s="1849"/>
      <c r="AP46" s="1850"/>
      <c r="AQ46" s="1851"/>
      <c r="AR46" s="1851"/>
      <c r="AS46" s="1851"/>
      <c r="AT46" s="1852"/>
      <c r="BX46" s="28"/>
    </row>
    <row r="47" spans="1:76" ht="10.5" customHeight="1" x14ac:dyDescent="0.15">
      <c r="A47" s="31">
        <v>42</v>
      </c>
      <c r="B47" s="1824"/>
      <c r="C47" s="924"/>
      <c r="D47" s="919"/>
      <c r="E47" s="911"/>
      <c r="F47" s="897" t="s">
        <v>298</v>
      </c>
      <c r="G47" s="898"/>
      <c r="H47" s="898"/>
      <c r="I47" s="898"/>
      <c r="J47" s="899"/>
      <c r="K47" s="100" t="s">
        <v>292</v>
      </c>
      <c r="L47" s="1565"/>
      <c r="M47" s="1566"/>
      <c r="N47" s="1566"/>
      <c r="O47" s="1566"/>
      <c r="P47" s="1607"/>
      <c r="Q47" s="1861"/>
      <c r="R47" s="1359"/>
      <c r="S47" s="1864"/>
      <c r="T47" s="1865"/>
      <c r="U47" s="1853" t="s">
        <v>321</v>
      </c>
      <c r="V47" s="1653"/>
      <c r="W47" s="1653"/>
      <c r="X47" s="1653"/>
      <c r="Y47" s="1654"/>
      <c r="Z47" s="364" t="s">
        <v>569</v>
      </c>
      <c r="AA47" s="1620"/>
      <c r="AB47" s="1621"/>
      <c r="AC47" s="1621"/>
      <c r="AD47" s="1621"/>
      <c r="AE47" s="1630"/>
      <c r="AF47" s="1347"/>
      <c r="AG47" s="1854" t="s">
        <v>336</v>
      </c>
      <c r="AH47" s="1854"/>
      <c r="AI47" s="1854"/>
      <c r="AJ47" s="1340"/>
      <c r="AK47" s="1855"/>
      <c r="AL47" s="1856"/>
      <c r="AM47" s="1856"/>
      <c r="AN47" s="1856"/>
      <c r="AO47" s="1857"/>
      <c r="AP47" s="1858"/>
      <c r="AQ47" s="1859"/>
      <c r="AR47" s="1859"/>
      <c r="AS47" s="1859"/>
      <c r="AT47" s="1860"/>
      <c r="BX47" s="28"/>
    </row>
    <row r="48" spans="1:76" ht="10.5" customHeight="1" thickBot="1" x14ac:dyDescent="0.2">
      <c r="A48" s="31">
        <v>43</v>
      </c>
      <c r="B48" s="1824"/>
      <c r="C48" s="924"/>
      <c r="D48" s="919"/>
      <c r="E48" s="911"/>
      <c r="F48" s="897" t="s">
        <v>335</v>
      </c>
      <c r="G48" s="898"/>
      <c r="H48" s="898"/>
      <c r="I48" s="898"/>
      <c r="J48" s="899"/>
      <c r="K48" s="100" t="s">
        <v>292</v>
      </c>
      <c r="L48" s="1565"/>
      <c r="M48" s="1566"/>
      <c r="N48" s="1566"/>
      <c r="O48" s="1566"/>
      <c r="P48" s="1607"/>
      <c r="Q48" s="1829" t="s">
        <v>339</v>
      </c>
      <c r="R48" s="1830"/>
      <c r="S48" s="1835" t="s">
        <v>322</v>
      </c>
      <c r="T48" s="1664"/>
      <c r="U48" s="1664"/>
      <c r="V48" s="1664"/>
      <c r="W48" s="1664"/>
      <c r="X48" s="1664"/>
      <c r="Y48" s="1665"/>
      <c r="Z48" s="362" t="s">
        <v>324</v>
      </c>
      <c r="AA48" s="1584"/>
      <c r="AB48" s="1585"/>
      <c r="AC48" s="1585"/>
      <c r="AD48" s="1585"/>
      <c r="AE48" s="1632"/>
      <c r="AF48" s="1613" t="s">
        <v>366</v>
      </c>
      <c r="AG48" s="1613"/>
      <c r="AH48" s="1613"/>
      <c r="AI48" s="1613"/>
      <c r="AJ48" s="1613"/>
      <c r="AK48" s="1837"/>
      <c r="AL48" s="1838"/>
      <c r="AM48" s="1838"/>
      <c r="AN48" s="1838"/>
      <c r="AO48" s="1839"/>
      <c r="AP48" s="1840"/>
      <c r="AQ48" s="1841"/>
      <c r="AR48" s="1841"/>
      <c r="AS48" s="1841"/>
      <c r="AT48" s="1842"/>
      <c r="BX48" s="28"/>
    </row>
    <row r="49" spans="1:76" ht="10.5" customHeight="1" x14ac:dyDescent="0.15">
      <c r="A49" s="31">
        <v>44</v>
      </c>
      <c r="B49" s="1824"/>
      <c r="C49" s="924"/>
      <c r="D49" s="919"/>
      <c r="E49" s="911"/>
      <c r="F49" s="897" t="s">
        <v>359</v>
      </c>
      <c r="G49" s="898"/>
      <c r="H49" s="898"/>
      <c r="I49" s="898"/>
      <c r="J49" s="899"/>
      <c r="K49" s="302" t="s">
        <v>292</v>
      </c>
      <c r="L49" s="1565"/>
      <c r="M49" s="1566"/>
      <c r="N49" s="1566"/>
      <c r="O49" s="1566"/>
      <c r="P49" s="1607"/>
      <c r="Q49" s="1831"/>
      <c r="R49" s="1832"/>
      <c r="S49" s="1319" t="s">
        <v>323</v>
      </c>
      <c r="T49" s="1320"/>
      <c r="U49" s="1320"/>
      <c r="V49" s="1320"/>
      <c r="W49" s="1320"/>
      <c r="X49" s="1320"/>
      <c r="Y49" s="1843"/>
      <c r="Z49" s="363" t="s">
        <v>581</v>
      </c>
      <c r="AA49" s="1565"/>
      <c r="AB49" s="1566"/>
      <c r="AC49" s="1566"/>
      <c r="AD49" s="1566"/>
      <c r="AE49" s="1571"/>
      <c r="AF49" s="145"/>
      <c r="AG49" s="145"/>
      <c r="AH49" s="145"/>
      <c r="AI49" s="145"/>
      <c r="AJ49" s="145"/>
      <c r="BX49" s="28"/>
    </row>
    <row r="50" spans="1:76" ht="9.75" customHeight="1" thickBot="1" x14ac:dyDescent="0.2">
      <c r="A50" s="31">
        <v>45</v>
      </c>
      <c r="B50" s="1824"/>
      <c r="C50" s="924"/>
      <c r="D50" s="919"/>
      <c r="E50" s="911"/>
      <c r="F50" s="897" t="s">
        <v>328</v>
      </c>
      <c r="G50" s="898"/>
      <c r="H50" s="898"/>
      <c r="I50" s="898"/>
      <c r="J50" s="899"/>
      <c r="K50" s="100" t="s">
        <v>292</v>
      </c>
      <c r="L50" s="1565"/>
      <c r="M50" s="1566"/>
      <c r="N50" s="1566"/>
      <c r="O50" s="1566"/>
      <c r="P50" s="1607"/>
      <c r="Q50" s="1833"/>
      <c r="R50" s="1834"/>
      <c r="S50" s="1366" t="s">
        <v>608</v>
      </c>
      <c r="T50" s="1367"/>
      <c r="U50" s="1367"/>
      <c r="V50" s="1367"/>
      <c r="W50" s="1367"/>
      <c r="X50" s="1367"/>
      <c r="Y50" s="1844"/>
      <c r="Z50" s="382" t="s">
        <v>324</v>
      </c>
      <c r="AA50" s="1561"/>
      <c r="AB50" s="1562"/>
      <c r="AC50" s="1562"/>
      <c r="AD50" s="1562"/>
      <c r="AE50" s="1563"/>
      <c r="BX50" s="28"/>
    </row>
    <row r="51" spans="1:76" ht="10.5" customHeight="1" x14ac:dyDescent="0.15">
      <c r="A51" s="31">
        <v>46</v>
      </c>
      <c r="B51" s="1824"/>
      <c r="C51" s="924"/>
      <c r="D51" s="919"/>
      <c r="E51" s="911"/>
      <c r="F51" s="893" t="s">
        <v>359</v>
      </c>
      <c r="G51" s="893"/>
      <c r="H51" s="893"/>
      <c r="I51" s="893"/>
      <c r="J51" s="894"/>
      <c r="K51" s="302" t="s">
        <v>292</v>
      </c>
      <c r="L51" s="1565"/>
      <c r="M51" s="1566"/>
      <c r="N51" s="1566"/>
      <c r="O51" s="1566"/>
      <c r="P51" s="1607"/>
      <c r="Q51" s="146"/>
      <c r="BX51" s="28"/>
    </row>
    <row r="52" spans="1:76" ht="9.75" customHeight="1" x14ac:dyDescent="0.15">
      <c r="A52" s="31">
        <v>47</v>
      </c>
      <c r="B52" s="1824"/>
      <c r="C52" s="924"/>
      <c r="D52" s="912" t="s">
        <v>293</v>
      </c>
      <c r="E52" s="913"/>
      <c r="F52" s="897" t="s">
        <v>609</v>
      </c>
      <c r="G52" s="898"/>
      <c r="H52" s="898"/>
      <c r="I52" s="898"/>
      <c r="J52" s="899"/>
      <c r="K52" s="100" t="s">
        <v>581</v>
      </c>
      <c r="L52" s="1565"/>
      <c r="M52" s="1566"/>
      <c r="N52" s="1566"/>
      <c r="O52" s="1566"/>
      <c r="P52" s="1607"/>
      <c r="Q52" s="147"/>
      <c r="BX52" s="28"/>
    </row>
    <row r="53" spans="1:76" ht="9.75" customHeight="1" x14ac:dyDescent="0.15">
      <c r="A53" s="31">
        <v>48</v>
      </c>
      <c r="B53" s="1824"/>
      <c r="C53" s="924"/>
      <c r="D53" s="914"/>
      <c r="E53" s="915"/>
      <c r="F53" s="960" t="s">
        <v>610</v>
      </c>
      <c r="G53" s="961"/>
      <c r="H53" s="961"/>
      <c r="I53" s="961"/>
      <c r="J53" s="962"/>
      <c r="K53" s="303" t="s">
        <v>582</v>
      </c>
      <c r="L53" s="1565"/>
      <c r="M53" s="1566"/>
      <c r="N53" s="1566"/>
      <c r="O53" s="1566"/>
      <c r="P53" s="1607"/>
      <c r="Q53" s="147"/>
      <c r="BX53" s="28"/>
    </row>
    <row r="54" spans="1:76" ht="9.75" customHeight="1" thickBot="1" x14ac:dyDescent="0.2">
      <c r="A54" s="31">
        <v>49</v>
      </c>
      <c r="B54" s="1825"/>
      <c r="C54" s="1826"/>
      <c r="D54" s="1827"/>
      <c r="E54" s="1828"/>
      <c r="F54" s="1820" t="s">
        <v>611</v>
      </c>
      <c r="G54" s="1821"/>
      <c r="H54" s="1821"/>
      <c r="I54" s="1821"/>
      <c r="J54" s="1822"/>
      <c r="K54" s="383" t="s">
        <v>582</v>
      </c>
      <c r="L54" s="1561"/>
      <c r="M54" s="1562"/>
      <c r="N54" s="1562"/>
      <c r="O54" s="1562"/>
      <c r="P54" s="1593"/>
      <c r="Q54" s="148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149"/>
    </row>
    <row r="55" spans="1:76" ht="10.5" customHeight="1" x14ac:dyDescent="0.15">
      <c r="A55" s="31"/>
      <c r="B55" s="1289">
        <v>1</v>
      </c>
      <c r="C55" s="1289"/>
      <c r="D55" s="1289"/>
      <c r="E55" s="1289"/>
      <c r="F55" s="1289"/>
      <c r="G55" s="1289">
        <v>2</v>
      </c>
      <c r="H55" s="1289"/>
      <c r="I55" s="1289"/>
      <c r="J55" s="1289"/>
      <c r="K55" s="1289"/>
      <c r="L55" s="1289">
        <v>3</v>
      </c>
      <c r="M55" s="1289"/>
      <c r="N55" s="1289"/>
      <c r="O55" s="1289"/>
      <c r="P55" s="1289"/>
      <c r="Q55" s="1289">
        <v>4</v>
      </c>
      <c r="R55" s="1289"/>
      <c r="S55" s="1289"/>
      <c r="T55" s="1289"/>
      <c r="U55" s="1289"/>
      <c r="V55" s="1289">
        <v>5</v>
      </c>
      <c r="W55" s="1289"/>
      <c r="X55" s="1289"/>
      <c r="Y55" s="1289"/>
      <c r="Z55" s="1289"/>
      <c r="AA55" s="1289">
        <v>6</v>
      </c>
      <c r="AB55" s="1289"/>
      <c r="AC55" s="1289"/>
      <c r="AD55" s="1289"/>
      <c r="AE55" s="1289"/>
      <c r="AF55" s="1289">
        <v>7</v>
      </c>
      <c r="AG55" s="1289"/>
      <c r="AH55" s="1289"/>
      <c r="AI55" s="1289"/>
      <c r="AJ55" s="1289"/>
      <c r="AK55" s="1289">
        <v>8</v>
      </c>
      <c r="AL55" s="1289"/>
      <c r="AM55" s="1289"/>
      <c r="AN55" s="1289"/>
      <c r="AO55" s="1289"/>
      <c r="AP55" s="1289">
        <v>9</v>
      </c>
      <c r="AQ55" s="1289"/>
      <c r="AR55" s="1289"/>
      <c r="AS55" s="1289"/>
      <c r="AT55" s="1289"/>
      <c r="AU55" s="1289">
        <v>10</v>
      </c>
      <c r="AV55" s="1289"/>
      <c r="AW55" s="1289"/>
      <c r="AX55" s="1289"/>
      <c r="AY55" s="1289"/>
      <c r="AZ55" s="1289">
        <v>11</v>
      </c>
      <c r="BA55" s="1289"/>
      <c r="BB55" s="1289"/>
      <c r="BC55" s="1289"/>
      <c r="BD55" s="1289"/>
      <c r="BE55" s="1289">
        <v>12</v>
      </c>
      <c r="BF55" s="1289"/>
      <c r="BG55" s="1289"/>
      <c r="BH55" s="1289"/>
      <c r="BI55" s="1289"/>
      <c r="BJ55" s="1289">
        <v>13</v>
      </c>
      <c r="BK55" s="1289"/>
      <c r="BL55" s="1289"/>
      <c r="BM55" s="1289"/>
      <c r="BN55" s="1289"/>
      <c r="BO55" s="1289">
        <v>14</v>
      </c>
      <c r="BP55" s="1289"/>
      <c r="BQ55" s="1289"/>
      <c r="BR55" s="1289"/>
      <c r="BS55" s="1289"/>
      <c r="BT55" s="1289">
        <v>15</v>
      </c>
      <c r="BU55" s="1289"/>
      <c r="BV55" s="1289"/>
      <c r="BW55" s="1289"/>
      <c r="BX55" s="1289"/>
    </row>
  </sheetData>
  <mergeCells count="595">
    <mergeCell ref="AK6:AO6"/>
    <mergeCell ref="AP6:AT6"/>
    <mergeCell ref="AP7:AT7"/>
    <mergeCell ref="AI8:AJ8"/>
    <mergeCell ref="AZ3:BD3"/>
    <mergeCell ref="BE3:BN3"/>
    <mergeCell ref="BO3:BS3"/>
    <mergeCell ref="BT3:BX3"/>
    <mergeCell ref="AZ4:BD4"/>
    <mergeCell ref="BE4:BN4"/>
    <mergeCell ref="BO4:BS4"/>
    <mergeCell ref="BT4:BX4"/>
    <mergeCell ref="BT8:BX8"/>
    <mergeCell ref="BE8:BI8"/>
    <mergeCell ref="BJ8:BN8"/>
    <mergeCell ref="BO8:BS8"/>
    <mergeCell ref="B5:AE5"/>
    <mergeCell ref="AF5:BI5"/>
    <mergeCell ref="BJ5:BX5"/>
    <mergeCell ref="B6:C12"/>
    <mergeCell ref="D6:E10"/>
    <mergeCell ref="F6:J6"/>
    <mergeCell ref="L6:P6"/>
    <mergeCell ref="Q6:R18"/>
    <mergeCell ref="AU6:AY6"/>
    <mergeCell ref="AZ6:BD6"/>
    <mergeCell ref="BE6:BI6"/>
    <mergeCell ref="BJ6:BN6"/>
    <mergeCell ref="BO6:BS6"/>
    <mergeCell ref="BT6:BX6"/>
    <mergeCell ref="S6:T13"/>
    <mergeCell ref="U6:Y6"/>
    <mergeCell ref="AA6:AE6"/>
    <mergeCell ref="AF6:AJ6"/>
    <mergeCell ref="AU7:AY7"/>
    <mergeCell ref="AZ7:BD7"/>
    <mergeCell ref="BE7:BI7"/>
    <mergeCell ref="BJ7:BN7"/>
    <mergeCell ref="BO7:BS7"/>
    <mergeCell ref="BT7:BX7"/>
    <mergeCell ref="AW9:AY9"/>
    <mergeCell ref="AZ9:BD9"/>
    <mergeCell ref="AU8:AV10"/>
    <mergeCell ref="AW8:AY8"/>
    <mergeCell ref="AZ8:BD8"/>
    <mergeCell ref="AK8:AO8"/>
    <mergeCell ref="AP8:AT8"/>
    <mergeCell ref="BE9:BI9"/>
    <mergeCell ref="F7:J7"/>
    <mergeCell ref="L7:P7"/>
    <mergeCell ref="U7:Y7"/>
    <mergeCell ref="AA7:AE7"/>
    <mergeCell ref="AF7:AJ7"/>
    <mergeCell ref="AK7:AO7"/>
    <mergeCell ref="L9:P9"/>
    <mergeCell ref="U9:Y9"/>
    <mergeCell ref="AA9:AE9"/>
    <mergeCell ref="AI9:AJ9"/>
    <mergeCell ref="AK9:AO9"/>
    <mergeCell ref="BJ9:BN9"/>
    <mergeCell ref="BO9:BS9"/>
    <mergeCell ref="BE10:BI10"/>
    <mergeCell ref="F8:J8"/>
    <mergeCell ref="L8:P8"/>
    <mergeCell ref="U8:Y8"/>
    <mergeCell ref="AA8:AE8"/>
    <mergeCell ref="BT9:BX9"/>
    <mergeCell ref="F10:J10"/>
    <mergeCell ref="L10:P10"/>
    <mergeCell ref="U10:Y10"/>
    <mergeCell ref="AA10:AE10"/>
    <mergeCell ref="AG10:AJ10"/>
    <mergeCell ref="AK10:AO10"/>
    <mergeCell ref="AP10:AT10"/>
    <mergeCell ref="AW10:AY10"/>
    <mergeCell ref="AZ10:BD10"/>
    <mergeCell ref="AF8:AF11"/>
    <mergeCell ref="AG8:AH9"/>
    <mergeCell ref="BJ10:BN10"/>
    <mergeCell ref="BO10:BS10"/>
    <mergeCell ref="BT10:BX10"/>
    <mergeCell ref="F9:J9"/>
    <mergeCell ref="AP9:AT9"/>
    <mergeCell ref="D11:E12"/>
    <mergeCell ref="F11:J11"/>
    <mergeCell ref="L11:P11"/>
    <mergeCell ref="U11:Y11"/>
    <mergeCell ref="AA11:AE11"/>
    <mergeCell ref="AG11:AJ11"/>
    <mergeCell ref="AK11:AO11"/>
    <mergeCell ref="AW12:AY12"/>
    <mergeCell ref="AZ12:BD12"/>
    <mergeCell ref="BE12:BI12"/>
    <mergeCell ref="BJ12:BN12"/>
    <mergeCell ref="BO12:BS12"/>
    <mergeCell ref="BT12:BX12"/>
    <mergeCell ref="BT11:BX11"/>
    <mergeCell ref="F12:J12"/>
    <mergeCell ref="L12:P12"/>
    <mergeCell ref="U12:Y12"/>
    <mergeCell ref="AA12:AE12"/>
    <mergeCell ref="AF12:AF17"/>
    <mergeCell ref="AG12:AJ12"/>
    <mergeCell ref="AK12:AO12"/>
    <mergeCell ref="AP12:AT12"/>
    <mergeCell ref="AU12:AV16"/>
    <mergeCell ref="AP11:AT11"/>
    <mergeCell ref="AU11:AY11"/>
    <mergeCell ref="AZ11:BD11"/>
    <mergeCell ref="BE11:BI11"/>
    <mergeCell ref="BJ11:BN11"/>
    <mergeCell ref="BO11:BS11"/>
    <mergeCell ref="F14:J14"/>
    <mergeCell ref="L14:P14"/>
    <mergeCell ref="S14:Y14"/>
    <mergeCell ref="AA14:AE14"/>
    <mergeCell ref="AG14:AJ14"/>
    <mergeCell ref="AK14:AO14"/>
    <mergeCell ref="AP14:AT14"/>
    <mergeCell ref="AG13:AJ13"/>
    <mergeCell ref="AK13:AO13"/>
    <mergeCell ref="AP13:AT13"/>
    <mergeCell ref="F13:J13"/>
    <mergeCell ref="L13:P13"/>
    <mergeCell ref="U13:Y13"/>
    <mergeCell ref="AA13:AE13"/>
    <mergeCell ref="AX14:AY14"/>
    <mergeCell ref="AZ14:BD14"/>
    <mergeCell ref="BE14:BI14"/>
    <mergeCell ref="BJ14:BN14"/>
    <mergeCell ref="BO14:BS14"/>
    <mergeCell ref="BT14:BX14"/>
    <mergeCell ref="BJ13:BN13"/>
    <mergeCell ref="BO13:BS13"/>
    <mergeCell ref="BT13:BX13"/>
    <mergeCell ref="AX13:AY13"/>
    <mergeCell ref="AZ13:BD13"/>
    <mergeCell ref="BE13:BI13"/>
    <mergeCell ref="BJ15:BN15"/>
    <mergeCell ref="BO15:BS15"/>
    <mergeCell ref="BT15:BX15"/>
    <mergeCell ref="F16:J16"/>
    <mergeCell ref="L16:P16"/>
    <mergeCell ref="S16:T18"/>
    <mergeCell ref="U16:Y16"/>
    <mergeCell ref="AA16:AE16"/>
    <mergeCell ref="AG16:AJ16"/>
    <mergeCell ref="AK16:AO16"/>
    <mergeCell ref="AG15:AJ15"/>
    <mergeCell ref="AK15:AO15"/>
    <mergeCell ref="AP15:AT15"/>
    <mergeCell ref="AW15:AY15"/>
    <mergeCell ref="AZ15:BD15"/>
    <mergeCell ref="BE15:BI15"/>
    <mergeCell ref="F15:J15"/>
    <mergeCell ref="L15:P15"/>
    <mergeCell ref="S15:Y15"/>
    <mergeCell ref="AA15:AE15"/>
    <mergeCell ref="BT16:BX16"/>
    <mergeCell ref="F17:J17"/>
    <mergeCell ref="L17:P17"/>
    <mergeCell ref="U17:Y17"/>
    <mergeCell ref="AA17:AE17"/>
    <mergeCell ref="AG17:AJ17"/>
    <mergeCell ref="AK17:AO17"/>
    <mergeCell ref="AP17:AT17"/>
    <mergeCell ref="AU17:AV19"/>
    <mergeCell ref="AW17:AY17"/>
    <mergeCell ref="AP16:AT16"/>
    <mergeCell ref="AW16:AY16"/>
    <mergeCell ref="AZ16:BD16"/>
    <mergeCell ref="AK18:AO18"/>
    <mergeCell ref="AP18:AT18"/>
    <mergeCell ref="AW18:AY18"/>
    <mergeCell ref="AZ18:BD18"/>
    <mergeCell ref="BE16:BI16"/>
    <mergeCell ref="BJ16:BN16"/>
    <mergeCell ref="BO16:BS16"/>
    <mergeCell ref="AZ17:BD17"/>
    <mergeCell ref="BE17:BI17"/>
    <mergeCell ref="BJ17:BN17"/>
    <mergeCell ref="BO17:BS17"/>
    <mergeCell ref="BT17:BX17"/>
    <mergeCell ref="F18:J18"/>
    <mergeCell ref="L18:P18"/>
    <mergeCell ref="U18:Y18"/>
    <mergeCell ref="AA18:AE18"/>
    <mergeCell ref="AF18:AF20"/>
    <mergeCell ref="BJ18:BN18"/>
    <mergeCell ref="BO18:BS18"/>
    <mergeCell ref="BT18:BX18"/>
    <mergeCell ref="F19:J19"/>
    <mergeCell ref="L19:P19"/>
    <mergeCell ref="Q19:R21"/>
    <mergeCell ref="S19:T21"/>
    <mergeCell ref="U19:Y19"/>
    <mergeCell ref="AA19:AE19"/>
    <mergeCell ref="AG19:AJ19"/>
    <mergeCell ref="AG18:AJ18"/>
    <mergeCell ref="BE18:BI18"/>
    <mergeCell ref="BO19:BS19"/>
    <mergeCell ref="BT19:BX19"/>
    <mergeCell ref="F20:J20"/>
    <mergeCell ref="L20:P20"/>
    <mergeCell ref="U20:Y20"/>
    <mergeCell ref="AA20:AE20"/>
    <mergeCell ref="AG20:AJ20"/>
    <mergeCell ref="AK20:AO20"/>
    <mergeCell ref="AP20:AT20"/>
    <mergeCell ref="AU20:AY20"/>
    <mergeCell ref="AK19:AO19"/>
    <mergeCell ref="AP19:AT19"/>
    <mergeCell ref="AW19:AY19"/>
    <mergeCell ref="AZ19:BD19"/>
    <mergeCell ref="BE19:BI19"/>
    <mergeCell ref="BJ19:BN19"/>
    <mergeCell ref="AZ20:BD20"/>
    <mergeCell ref="BE20:BI20"/>
    <mergeCell ref="BJ20:BN20"/>
    <mergeCell ref="BO20:BS20"/>
    <mergeCell ref="BT20:BX20"/>
    <mergeCell ref="F21:J21"/>
    <mergeCell ref="L21:P21"/>
    <mergeCell ref="U21:Y21"/>
    <mergeCell ref="AA21:AE21"/>
    <mergeCell ref="AF21:AF24"/>
    <mergeCell ref="BJ21:BN21"/>
    <mergeCell ref="BO21:BS21"/>
    <mergeCell ref="BT21:BX21"/>
    <mergeCell ref="F22:J22"/>
    <mergeCell ref="L22:P22"/>
    <mergeCell ref="Q22:R23"/>
    <mergeCell ref="S22:Y22"/>
    <mergeCell ref="AA22:AE22"/>
    <mergeCell ref="AG22:AJ22"/>
    <mergeCell ref="AK22:AO22"/>
    <mergeCell ref="AG21:AJ21"/>
    <mergeCell ref="AK21:AO21"/>
    <mergeCell ref="AP21:AT21"/>
    <mergeCell ref="AU21:AY21"/>
    <mergeCell ref="AZ21:BD21"/>
    <mergeCell ref="BE21:BI21"/>
    <mergeCell ref="BO22:BS22"/>
    <mergeCell ref="BT22:BX22"/>
    <mergeCell ref="F23:J23"/>
    <mergeCell ref="L23:P23"/>
    <mergeCell ref="S23:Y23"/>
    <mergeCell ref="AA23:AE23"/>
    <mergeCell ref="AG23:AJ23"/>
    <mergeCell ref="AK23:AO23"/>
    <mergeCell ref="AP23:AT23"/>
    <mergeCell ref="AW23:AY23"/>
    <mergeCell ref="AP22:AT22"/>
    <mergeCell ref="AU22:AV24"/>
    <mergeCell ref="AW22:AY22"/>
    <mergeCell ref="AZ22:BD22"/>
    <mergeCell ref="BE22:BI22"/>
    <mergeCell ref="BJ22:BN22"/>
    <mergeCell ref="AZ23:BD23"/>
    <mergeCell ref="BE23:BI23"/>
    <mergeCell ref="BJ23:BN23"/>
    <mergeCell ref="AP24:AT24"/>
    <mergeCell ref="AW24:AY24"/>
    <mergeCell ref="AZ24:BD24"/>
    <mergeCell ref="BE24:BI24"/>
    <mergeCell ref="BJ24:BN24"/>
    <mergeCell ref="BT28:BX28"/>
    <mergeCell ref="AZ30:BD30"/>
    <mergeCell ref="BE30:BI30"/>
    <mergeCell ref="BO24:BS24"/>
    <mergeCell ref="BT24:BX24"/>
    <mergeCell ref="BO23:BS23"/>
    <mergeCell ref="BT23:BX23"/>
    <mergeCell ref="F24:J24"/>
    <mergeCell ref="L24:P24"/>
    <mergeCell ref="Q24:R30"/>
    <mergeCell ref="S24:T30"/>
    <mergeCell ref="U24:Y24"/>
    <mergeCell ref="AA24:AE24"/>
    <mergeCell ref="AG24:AJ24"/>
    <mergeCell ref="AK24:AO24"/>
    <mergeCell ref="F26:J26"/>
    <mergeCell ref="L26:P26"/>
    <mergeCell ref="U26:Y26"/>
    <mergeCell ref="AA26:AE26"/>
    <mergeCell ref="AG26:AJ26"/>
    <mergeCell ref="AK26:AO26"/>
    <mergeCell ref="AP26:AT26"/>
    <mergeCell ref="AG25:AJ25"/>
    <mergeCell ref="AK25:AO25"/>
    <mergeCell ref="BO25:BS25"/>
    <mergeCell ref="BT25:BX25"/>
    <mergeCell ref="AU25:AY25"/>
    <mergeCell ref="AZ25:BD25"/>
    <mergeCell ref="BE25:BI25"/>
    <mergeCell ref="U25:Y25"/>
    <mergeCell ref="AA25:AE25"/>
    <mergeCell ref="AF25:AF27"/>
    <mergeCell ref="U27:Y27"/>
    <mergeCell ref="AA27:AE27"/>
    <mergeCell ref="AU26:AY26"/>
    <mergeCell ref="AZ26:BD26"/>
    <mergeCell ref="BT27:BX27"/>
    <mergeCell ref="AP27:AT27"/>
    <mergeCell ref="AV27:AY27"/>
    <mergeCell ref="AZ27:BD27"/>
    <mergeCell ref="BE27:BI27"/>
    <mergeCell ref="BT26:BX26"/>
    <mergeCell ref="AP25:AT25"/>
    <mergeCell ref="BJ25:BN25"/>
    <mergeCell ref="BJ30:BN30"/>
    <mergeCell ref="BO30:BS30"/>
    <mergeCell ref="AZ32:BI32"/>
    <mergeCell ref="BJ32:BN32"/>
    <mergeCell ref="AG29:AJ29"/>
    <mergeCell ref="AK29:AO29"/>
    <mergeCell ref="AP29:AT29"/>
    <mergeCell ref="F27:J27"/>
    <mergeCell ref="L27:P27"/>
    <mergeCell ref="F28:J28"/>
    <mergeCell ref="L28:P28"/>
    <mergeCell ref="U28:Y28"/>
    <mergeCell ref="AA28:AE28"/>
    <mergeCell ref="AF28:AF32"/>
    <mergeCell ref="AG28:AJ28"/>
    <mergeCell ref="AK28:AO28"/>
    <mergeCell ref="AG27:AJ27"/>
    <mergeCell ref="AK27:AO27"/>
    <mergeCell ref="F31:J31"/>
    <mergeCell ref="L31:P31"/>
    <mergeCell ref="Q31:R36"/>
    <mergeCell ref="S31:T35"/>
    <mergeCell ref="U31:Y31"/>
    <mergeCell ref="AP32:AT32"/>
    <mergeCell ref="AA31:AE31"/>
    <mergeCell ref="AG31:AJ31"/>
    <mergeCell ref="L33:P33"/>
    <mergeCell ref="U33:Y33"/>
    <mergeCell ref="D25:E30"/>
    <mergeCell ref="AU29:AY29"/>
    <mergeCell ref="AZ29:BD29"/>
    <mergeCell ref="AP28:AT28"/>
    <mergeCell ref="AU28:AY28"/>
    <mergeCell ref="AZ28:BD28"/>
    <mergeCell ref="AP30:AT30"/>
    <mergeCell ref="AV30:AY30"/>
    <mergeCell ref="AG30:AJ30"/>
    <mergeCell ref="AK30:AO30"/>
    <mergeCell ref="AA33:AE33"/>
    <mergeCell ref="AP33:AT33"/>
    <mergeCell ref="AZ33:BD33"/>
    <mergeCell ref="AK32:AO32"/>
    <mergeCell ref="F25:J25"/>
    <mergeCell ref="L25:P25"/>
    <mergeCell ref="F29:J29"/>
    <mergeCell ref="L29:P29"/>
    <mergeCell ref="U29:Y29"/>
    <mergeCell ref="AA29:AE29"/>
    <mergeCell ref="BE28:BI28"/>
    <mergeCell ref="BJ28:BN28"/>
    <mergeCell ref="BO28:BS28"/>
    <mergeCell ref="BE29:BI29"/>
    <mergeCell ref="BJ29:BN29"/>
    <mergeCell ref="BO29:BS29"/>
    <mergeCell ref="BJ27:BN27"/>
    <mergeCell ref="BO27:BS27"/>
    <mergeCell ref="BE26:BI26"/>
    <mergeCell ref="BJ26:BN26"/>
    <mergeCell ref="BO26:BS26"/>
    <mergeCell ref="B13:C30"/>
    <mergeCell ref="D13:E24"/>
    <mergeCell ref="BO32:BS32"/>
    <mergeCell ref="BT32:BX32"/>
    <mergeCell ref="AK31:AO31"/>
    <mergeCell ref="AP31:AT31"/>
    <mergeCell ref="BJ31:BN31"/>
    <mergeCell ref="BO31:BS31"/>
    <mergeCell ref="BT31:BX31"/>
    <mergeCell ref="F32:J32"/>
    <mergeCell ref="L32:P32"/>
    <mergeCell ref="U32:Y32"/>
    <mergeCell ref="AA32:AE32"/>
    <mergeCell ref="AG32:AJ32"/>
    <mergeCell ref="BT29:BX29"/>
    <mergeCell ref="F30:J30"/>
    <mergeCell ref="L30:P30"/>
    <mergeCell ref="U30:Y30"/>
    <mergeCell ref="AA30:AE30"/>
    <mergeCell ref="BT30:BX30"/>
    <mergeCell ref="B31:C36"/>
    <mergeCell ref="D31:E34"/>
    <mergeCell ref="D35:E36"/>
    <mergeCell ref="F35:J35"/>
    <mergeCell ref="U35:Y35"/>
    <mergeCell ref="AA35:AE35"/>
    <mergeCell ref="AG35:AJ35"/>
    <mergeCell ref="AK35:AO35"/>
    <mergeCell ref="F36:J36"/>
    <mergeCell ref="L36:P36"/>
    <mergeCell ref="S36:Y36"/>
    <mergeCell ref="AA36:AE36"/>
    <mergeCell ref="AF36:AJ36"/>
    <mergeCell ref="AK36:AO36"/>
    <mergeCell ref="AF33:AF35"/>
    <mergeCell ref="AG33:AJ33"/>
    <mergeCell ref="AK33:AO33"/>
    <mergeCell ref="BE33:BI33"/>
    <mergeCell ref="BJ33:BN33"/>
    <mergeCell ref="BO33:BS33"/>
    <mergeCell ref="F33:J33"/>
    <mergeCell ref="BO35:BS35"/>
    <mergeCell ref="BT35:BX35"/>
    <mergeCell ref="BJ34:BN34"/>
    <mergeCell ref="BO34:BS34"/>
    <mergeCell ref="BT34:BX34"/>
    <mergeCell ref="F34:J34"/>
    <mergeCell ref="L34:P34"/>
    <mergeCell ref="U34:Y34"/>
    <mergeCell ref="AA34:AE34"/>
    <mergeCell ref="AG34:AJ34"/>
    <mergeCell ref="AK34:AO34"/>
    <mergeCell ref="AP34:AT34"/>
    <mergeCell ref="BA34:BD34"/>
    <mergeCell ref="BE34:BI34"/>
    <mergeCell ref="AP35:AT35"/>
    <mergeCell ref="BA35:BD35"/>
    <mergeCell ref="BE35:BI35"/>
    <mergeCell ref="BJ35:BN35"/>
    <mergeCell ref="BT33:BX33"/>
    <mergeCell ref="L35:P35"/>
    <mergeCell ref="AP36:AT36"/>
    <mergeCell ref="BA36:BD36"/>
    <mergeCell ref="BE36:BI36"/>
    <mergeCell ref="BJ36:BN36"/>
    <mergeCell ref="BO36:BS36"/>
    <mergeCell ref="BT36:BX36"/>
    <mergeCell ref="B37:C45"/>
    <mergeCell ref="D37:E42"/>
    <mergeCell ref="F37:J37"/>
    <mergeCell ref="L37:P37"/>
    <mergeCell ref="Q37:Y37"/>
    <mergeCell ref="AA37:AE37"/>
    <mergeCell ref="D43:E45"/>
    <mergeCell ref="F43:J43"/>
    <mergeCell ref="L43:P43"/>
    <mergeCell ref="V43:Y43"/>
    <mergeCell ref="F39:J39"/>
    <mergeCell ref="L39:P39"/>
    <mergeCell ref="Q39:R40"/>
    <mergeCell ref="S39:Y39"/>
    <mergeCell ref="AA39:AE39"/>
    <mergeCell ref="AA41:AE41"/>
    <mergeCell ref="V44:Y44"/>
    <mergeCell ref="AI39:AJ39"/>
    <mergeCell ref="F44:J44"/>
    <mergeCell ref="L44:P44"/>
    <mergeCell ref="BE37:BI37"/>
    <mergeCell ref="BJ37:BN37"/>
    <mergeCell ref="BO37:BS37"/>
    <mergeCell ref="BT37:BX37"/>
    <mergeCell ref="F38:J38"/>
    <mergeCell ref="L38:P38"/>
    <mergeCell ref="S38:Y38"/>
    <mergeCell ref="AA38:AE38"/>
    <mergeCell ref="AI38:AJ38"/>
    <mergeCell ref="AK38:AO38"/>
    <mergeCell ref="AF37:AF43"/>
    <mergeCell ref="AG37:AH39"/>
    <mergeCell ref="AI37:AJ37"/>
    <mergeCell ref="AK37:AO37"/>
    <mergeCell ref="AP37:AT37"/>
    <mergeCell ref="BB37:BD37"/>
    <mergeCell ref="AP38:AT38"/>
    <mergeCell ref="BB38:BD38"/>
    <mergeCell ref="AK39:AO39"/>
    <mergeCell ref="AP39:AT39"/>
    <mergeCell ref="BE38:BI38"/>
    <mergeCell ref="BJ38:BN38"/>
    <mergeCell ref="BO38:BS38"/>
    <mergeCell ref="BT38:BX38"/>
    <mergeCell ref="BB39:BD39"/>
    <mergeCell ref="BE39:BI39"/>
    <mergeCell ref="BJ39:BN39"/>
    <mergeCell ref="BO39:BS39"/>
    <mergeCell ref="BT39:BX39"/>
    <mergeCell ref="F40:J40"/>
    <mergeCell ref="L40:P40"/>
    <mergeCell ref="S40:Y40"/>
    <mergeCell ref="AA40:AE40"/>
    <mergeCell ref="AG40:AH42"/>
    <mergeCell ref="F42:J42"/>
    <mergeCell ref="L42:P42"/>
    <mergeCell ref="S42:T45"/>
    <mergeCell ref="U42:Y42"/>
    <mergeCell ref="AA42:AE42"/>
    <mergeCell ref="AG43:AJ43"/>
    <mergeCell ref="F45:J45"/>
    <mergeCell ref="L45:P45"/>
    <mergeCell ref="U45:Y45"/>
    <mergeCell ref="AA45:AE45"/>
    <mergeCell ref="AA44:AE44"/>
    <mergeCell ref="BO40:BS40"/>
    <mergeCell ref="BT40:BX40"/>
    <mergeCell ref="F41:J41"/>
    <mergeCell ref="L41:P41"/>
    <mergeCell ref="Q41:R45"/>
    <mergeCell ref="S41:Y41"/>
    <mergeCell ref="AI40:AJ40"/>
    <mergeCell ref="AK40:AO40"/>
    <mergeCell ref="AP40:AT40"/>
    <mergeCell ref="BB40:BD40"/>
    <mergeCell ref="BE40:BI40"/>
    <mergeCell ref="BJ40:BN40"/>
    <mergeCell ref="AI42:AJ42"/>
    <mergeCell ref="AK42:AO42"/>
    <mergeCell ref="AP42:AT42"/>
    <mergeCell ref="BJ42:BN42"/>
    <mergeCell ref="BO42:BS42"/>
    <mergeCell ref="BT42:BX42"/>
    <mergeCell ref="BA41:BD41"/>
    <mergeCell ref="BE41:BI41"/>
    <mergeCell ref="BJ41:BN41"/>
    <mergeCell ref="BO41:BS41"/>
    <mergeCell ref="BT41:BX41"/>
    <mergeCell ref="AA43:AE43"/>
    <mergeCell ref="AK43:AO43"/>
    <mergeCell ref="AP43:AT43"/>
    <mergeCell ref="AP41:AT41"/>
    <mergeCell ref="AI41:AJ41"/>
    <mergeCell ref="AK41:AO41"/>
    <mergeCell ref="AF44:AF47"/>
    <mergeCell ref="AG44:AJ44"/>
    <mergeCell ref="AK44:AO44"/>
    <mergeCell ref="AP44:AT44"/>
    <mergeCell ref="AG45:AJ45"/>
    <mergeCell ref="AK45:AO45"/>
    <mergeCell ref="AP45:AT45"/>
    <mergeCell ref="AA46:AE46"/>
    <mergeCell ref="AG46:AJ46"/>
    <mergeCell ref="AK46:AO46"/>
    <mergeCell ref="AP46:AT46"/>
    <mergeCell ref="F47:J47"/>
    <mergeCell ref="L47:P47"/>
    <mergeCell ref="U47:Y47"/>
    <mergeCell ref="AA47:AE47"/>
    <mergeCell ref="AG47:AJ47"/>
    <mergeCell ref="F46:J46"/>
    <mergeCell ref="AK47:AO47"/>
    <mergeCell ref="AP47:AT47"/>
    <mergeCell ref="Q46:R47"/>
    <mergeCell ref="S46:T47"/>
    <mergeCell ref="AF48:AJ48"/>
    <mergeCell ref="AK48:AO48"/>
    <mergeCell ref="AP48:AT48"/>
    <mergeCell ref="F49:J49"/>
    <mergeCell ref="L49:P49"/>
    <mergeCell ref="S49:Y49"/>
    <mergeCell ref="AA49:AE49"/>
    <mergeCell ref="F50:J50"/>
    <mergeCell ref="L50:P50"/>
    <mergeCell ref="S50:Y50"/>
    <mergeCell ref="AA50:AE50"/>
    <mergeCell ref="B55:F55"/>
    <mergeCell ref="G55:K55"/>
    <mergeCell ref="L55:P55"/>
    <mergeCell ref="Q55:U55"/>
    <mergeCell ref="V55:Z55"/>
    <mergeCell ref="AA55:AE55"/>
    <mergeCell ref="F52:J52"/>
    <mergeCell ref="L52:P52"/>
    <mergeCell ref="F53:J53"/>
    <mergeCell ref="L53:P53"/>
    <mergeCell ref="F54:J54"/>
    <mergeCell ref="L54:P54"/>
    <mergeCell ref="B46:C54"/>
    <mergeCell ref="D46:E51"/>
    <mergeCell ref="D52:E54"/>
    <mergeCell ref="L46:P46"/>
    <mergeCell ref="F51:J51"/>
    <mergeCell ref="L51:P51"/>
    <mergeCell ref="F48:J48"/>
    <mergeCell ref="L48:P48"/>
    <mergeCell ref="Q48:R50"/>
    <mergeCell ref="S48:Y48"/>
    <mergeCell ref="AA48:AE48"/>
    <mergeCell ref="U46:Y46"/>
    <mergeCell ref="BJ55:BN55"/>
    <mergeCell ref="BO55:BS55"/>
    <mergeCell ref="BT55:BX55"/>
    <mergeCell ref="AF55:AJ55"/>
    <mergeCell ref="AK55:AO55"/>
    <mergeCell ref="AP55:AT55"/>
    <mergeCell ref="AU55:AY55"/>
    <mergeCell ref="AZ55:BD55"/>
    <mergeCell ref="BE55:BI55"/>
  </mergeCells>
  <phoneticPr fontId="1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C63"/>
  <sheetViews>
    <sheetView view="pageBreakPreview" zoomScale="130" zoomScaleNormal="120" zoomScaleSheetLayoutView="130" workbookViewId="0"/>
  </sheetViews>
  <sheetFormatPr defaultColWidth="9" defaultRowHeight="12" x14ac:dyDescent="0.15"/>
  <cols>
    <col min="1" max="1" width="1.875" style="27" customWidth="1"/>
    <col min="2" max="2" width="0.5" style="1" customWidth="1"/>
    <col min="3" max="4" width="0.5" style="4" customWidth="1"/>
    <col min="5" max="6" width="3.375" style="4" customWidth="1"/>
    <col min="7" max="21" width="1.625" style="1" customWidth="1"/>
    <col min="22" max="24" width="0.5" style="1" customWidth="1"/>
    <col min="25" max="26" width="3.5" style="1" customWidth="1"/>
    <col min="27" max="40" width="1.625" style="1" customWidth="1"/>
    <col min="41" max="41" width="2.375" style="1" customWidth="1"/>
    <col min="42" max="43" width="1" style="1" customWidth="1"/>
    <col min="44" max="44" width="3.375" style="1" customWidth="1"/>
    <col min="45" max="45" width="2" style="1" customWidth="1"/>
    <col min="46" max="46" width="1.375" style="1" customWidth="1"/>
    <col min="47" max="51" width="1.625" style="1" customWidth="1"/>
    <col min="52" max="53" width="1" style="1" customWidth="1"/>
    <col min="54" max="56" width="2" style="1" customWidth="1"/>
    <col min="57" max="70" width="1.625" style="1" customWidth="1"/>
    <col min="71" max="71" width="2.125" style="1" customWidth="1"/>
    <col min="72" max="81" width="1.625" style="1" customWidth="1"/>
    <col min="82" max="82" width="2.375" style="1" customWidth="1"/>
    <col min="83" max="16384" width="9" style="1"/>
  </cols>
  <sheetData>
    <row r="1" spans="1:81" ht="14.25" customHeight="1" x14ac:dyDescent="0.15">
      <c r="A1" s="52"/>
      <c r="B1" s="58" t="str">
        <f>BE4&amp;"年　農業経営統計調査（営農類型別経営統計（農業経営体））　個別結果表No.６"</f>
        <v>0年　農業経営統計調査（営農類型別経営統計（農業経営体））　個別結果表No.６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</row>
    <row r="2" spans="1:81" ht="14.25" customHeight="1" thickBot="1" x14ac:dyDescent="0.2">
      <c r="A2" s="5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</row>
    <row r="3" spans="1:81" ht="10.5" customHeight="1" x14ac:dyDescent="0.15">
      <c r="A3" s="31"/>
      <c r="B3" s="55"/>
      <c r="C3" s="55"/>
      <c r="D3" s="55"/>
      <c r="E3" s="55"/>
      <c r="F3" s="55"/>
      <c r="G3" s="33"/>
      <c r="H3" s="33"/>
      <c r="I3" s="33"/>
      <c r="J3" s="33"/>
      <c r="K3" s="33"/>
      <c r="L3" s="33"/>
      <c r="M3" s="33"/>
      <c r="N3" s="33"/>
      <c r="O3" s="33"/>
      <c r="P3" s="33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BE3" s="1272" t="s">
        <v>153</v>
      </c>
      <c r="BF3" s="1273"/>
      <c r="BG3" s="1273"/>
      <c r="BH3" s="1273"/>
      <c r="BI3" s="1274"/>
      <c r="BJ3" s="1232" t="s">
        <v>240</v>
      </c>
      <c r="BK3" s="1233"/>
      <c r="BL3" s="1233"/>
      <c r="BM3" s="1233"/>
      <c r="BN3" s="1233"/>
      <c r="BO3" s="1233"/>
      <c r="BP3" s="1233"/>
      <c r="BQ3" s="1233"/>
      <c r="BR3" s="1233"/>
      <c r="BS3" s="1792"/>
      <c r="BT3" s="1276" t="s">
        <v>215</v>
      </c>
      <c r="BU3" s="1277"/>
      <c r="BV3" s="1277"/>
      <c r="BW3" s="1277"/>
      <c r="BX3" s="1278"/>
      <c r="BY3" s="1279" t="s">
        <v>154</v>
      </c>
      <c r="BZ3" s="1279"/>
      <c r="CA3" s="1279"/>
      <c r="CB3" s="1279"/>
      <c r="CC3" s="1280"/>
    </row>
    <row r="4" spans="1:81" ht="10.5" customHeight="1" thickBot="1" x14ac:dyDescent="0.2">
      <c r="A4" s="3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BE4" s="1275">
        <f>'No1'!B5</f>
        <v>0</v>
      </c>
      <c r="BF4" s="1236"/>
      <c r="BG4" s="1236"/>
      <c r="BH4" s="1236"/>
      <c r="BI4" s="1236"/>
      <c r="BJ4" s="1235" t="str">
        <f>IF('No1'!L5&lt;&gt;"",'No1'!L5,"")</f>
        <v/>
      </c>
      <c r="BK4" s="1236"/>
      <c r="BL4" s="1236"/>
      <c r="BM4" s="1236"/>
      <c r="BN4" s="1236"/>
      <c r="BO4" s="1236"/>
      <c r="BP4" s="1236"/>
      <c r="BQ4" s="1236"/>
      <c r="BR4" s="1236"/>
      <c r="BS4" s="1793"/>
      <c r="BT4" s="1281">
        <f>'No1'!AG5</f>
        <v>0</v>
      </c>
      <c r="BU4" s="1282"/>
      <c r="BV4" s="1282"/>
      <c r="BW4" s="1282"/>
      <c r="BX4" s="1283"/>
      <c r="BY4" s="1284">
        <f>'No1'!AL5</f>
        <v>0</v>
      </c>
      <c r="BZ4" s="1284"/>
      <c r="CA4" s="1284"/>
      <c r="CB4" s="1284"/>
      <c r="CC4" s="1285"/>
    </row>
    <row r="5" spans="1:81" ht="10.5" customHeight="1" x14ac:dyDescent="0.15">
      <c r="A5" s="31"/>
      <c r="B5" s="21" t="s">
        <v>271</v>
      </c>
      <c r="C5" s="39"/>
      <c r="D5" s="39"/>
      <c r="E5" s="39"/>
      <c r="F5" s="39"/>
      <c r="G5" s="40"/>
      <c r="H5" s="32"/>
      <c r="I5" s="20"/>
      <c r="J5" s="40"/>
      <c r="K5" s="316"/>
      <c r="L5" s="40"/>
      <c r="M5" s="40"/>
      <c r="N5" s="316"/>
      <c r="O5" s="316"/>
      <c r="P5" s="316"/>
      <c r="Q5" s="40"/>
      <c r="R5" s="40"/>
      <c r="S5" s="316"/>
      <c r="T5" s="316"/>
      <c r="U5" s="136"/>
      <c r="V5" s="21" t="s">
        <v>480</v>
      </c>
      <c r="W5" s="39"/>
      <c r="X5" s="39"/>
      <c r="Y5" s="39"/>
      <c r="Z5" s="39"/>
      <c r="AA5" s="40"/>
      <c r="AB5" s="40"/>
      <c r="AC5" s="40"/>
      <c r="AD5" s="40"/>
      <c r="AE5" s="316"/>
      <c r="AF5" s="40"/>
      <c r="AG5" s="40"/>
      <c r="AH5" s="316"/>
      <c r="AI5" s="316"/>
      <c r="AJ5" s="316"/>
      <c r="AK5" s="40"/>
      <c r="AL5" s="40"/>
      <c r="AM5" s="316"/>
      <c r="AN5" s="316"/>
      <c r="AO5" s="136"/>
      <c r="AP5" s="22" t="s">
        <v>481</v>
      </c>
      <c r="AQ5" s="20"/>
      <c r="AR5" s="20"/>
      <c r="AS5" s="20"/>
      <c r="AT5" s="20"/>
      <c r="AU5" s="20"/>
      <c r="AV5" s="20"/>
      <c r="AW5" s="20"/>
      <c r="AX5" s="20"/>
      <c r="AY5" s="20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2"/>
      <c r="BK5" s="42"/>
      <c r="BL5" s="42"/>
      <c r="BM5" s="42"/>
      <c r="BN5" s="42"/>
      <c r="BO5" s="32"/>
      <c r="BP5" s="316"/>
      <c r="BQ5" s="316"/>
      <c r="BR5" s="316"/>
      <c r="BS5" s="316"/>
      <c r="BT5" s="63"/>
      <c r="BU5" s="63"/>
      <c r="BV5" s="63"/>
      <c r="BW5" s="63"/>
      <c r="BX5" s="63"/>
      <c r="BY5" s="20"/>
      <c r="BZ5" s="20"/>
      <c r="CA5" s="20"/>
      <c r="CB5" s="20"/>
      <c r="CC5" s="23"/>
    </row>
    <row r="6" spans="1:81" ht="10.5" customHeight="1" x14ac:dyDescent="0.15">
      <c r="A6" s="31">
        <v>1</v>
      </c>
      <c r="B6" s="1369" t="s">
        <v>59</v>
      </c>
      <c r="C6" s="1370"/>
      <c r="D6" s="1370"/>
      <c r="E6" s="1370"/>
      <c r="F6" s="1371"/>
      <c r="G6" s="1372" t="s">
        <v>60</v>
      </c>
      <c r="H6" s="1370"/>
      <c r="I6" s="1370"/>
      <c r="J6" s="1370"/>
      <c r="K6" s="1370"/>
      <c r="L6" s="135"/>
      <c r="M6" s="135"/>
      <c r="N6" s="307"/>
      <c r="O6" s="307"/>
      <c r="P6" s="307"/>
      <c r="Q6" s="25"/>
      <c r="R6" s="25"/>
      <c r="S6" s="25"/>
      <c r="T6" s="25"/>
      <c r="U6" s="68"/>
      <c r="V6" s="1373" t="s">
        <v>59</v>
      </c>
      <c r="W6" s="1291"/>
      <c r="X6" s="1291"/>
      <c r="Y6" s="1291"/>
      <c r="Z6" s="1292"/>
      <c r="AA6" s="1290" t="s">
        <v>60</v>
      </c>
      <c r="AB6" s="1291"/>
      <c r="AC6" s="1291"/>
      <c r="AD6" s="1291"/>
      <c r="AE6" s="1291"/>
      <c r="AF6" s="72"/>
      <c r="AG6" s="72"/>
      <c r="AH6" s="308"/>
      <c r="AI6" s="308"/>
      <c r="AJ6" s="308"/>
      <c r="AK6" s="38"/>
      <c r="AL6" s="38"/>
      <c r="AM6" s="38"/>
      <c r="AN6" s="38"/>
      <c r="AO6" s="65"/>
      <c r="AP6" s="1373" t="s">
        <v>59</v>
      </c>
      <c r="AQ6" s="1291"/>
      <c r="AR6" s="1291"/>
      <c r="AS6" s="1291"/>
      <c r="AT6" s="1292"/>
      <c r="AU6" s="1343" t="s">
        <v>60</v>
      </c>
      <c r="AV6" s="1344"/>
      <c r="AW6" s="1344"/>
      <c r="AX6" s="1344"/>
      <c r="AY6" s="1345"/>
      <c r="AZ6" s="1343" t="s">
        <v>612</v>
      </c>
      <c r="BA6" s="1344"/>
      <c r="BB6" s="1344"/>
      <c r="BC6" s="1344"/>
      <c r="BD6" s="1344"/>
      <c r="BE6" s="308"/>
      <c r="BF6" s="308"/>
      <c r="BG6" s="308"/>
      <c r="BH6" s="308"/>
      <c r="BI6" s="308"/>
      <c r="BJ6" s="71"/>
      <c r="BK6" s="71"/>
      <c r="BL6" s="71"/>
      <c r="BM6" s="71"/>
      <c r="BN6" s="71"/>
      <c r="BO6" s="1391" t="s">
        <v>137</v>
      </c>
      <c r="BP6" s="1392"/>
      <c r="BQ6" s="1392"/>
      <c r="BR6" s="1392"/>
      <c r="BS6" s="1392"/>
      <c r="BT6" s="38"/>
      <c r="BU6" s="38"/>
      <c r="BV6" s="38"/>
      <c r="BW6" s="38"/>
      <c r="BX6" s="38"/>
      <c r="BY6" s="1391" t="s">
        <v>138</v>
      </c>
      <c r="BZ6" s="1392"/>
      <c r="CA6" s="1392"/>
      <c r="CB6" s="1392"/>
      <c r="CC6" s="1397"/>
    </row>
    <row r="7" spans="1:81" ht="10.5" customHeight="1" x14ac:dyDescent="0.15">
      <c r="A7" s="31">
        <v>2</v>
      </c>
      <c r="B7" s="1369"/>
      <c r="C7" s="1370"/>
      <c r="D7" s="1370"/>
      <c r="E7" s="1370"/>
      <c r="F7" s="1371"/>
      <c r="G7" s="1372"/>
      <c r="H7" s="1370"/>
      <c r="I7" s="1370"/>
      <c r="J7" s="1370"/>
      <c r="K7" s="1370"/>
      <c r="L7" s="1290" t="s">
        <v>136</v>
      </c>
      <c r="M7" s="1291"/>
      <c r="N7" s="1291"/>
      <c r="O7" s="1291"/>
      <c r="P7" s="1292"/>
      <c r="Q7" s="1391" t="s">
        <v>63</v>
      </c>
      <c r="R7" s="1392"/>
      <c r="S7" s="1392"/>
      <c r="T7" s="1392"/>
      <c r="U7" s="1397"/>
      <c r="V7" s="1315"/>
      <c r="W7" s="1294"/>
      <c r="X7" s="1294"/>
      <c r="Y7" s="1294"/>
      <c r="Z7" s="1295"/>
      <c r="AA7" s="1293"/>
      <c r="AB7" s="1294"/>
      <c r="AC7" s="1294"/>
      <c r="AD7" s="1294"/>
      <c r="AE7" s="1294"/>
      <c r="AF7" s="1296" t="s">
        <v>136</v>
      </c>
      <c r="AG7" s="1297"/>
      <c r="AH7" s="1297"/>
      <c r="AI7" s="1297"/>
      <c r="AJ7" s="1298"/>
      <c r="AK7" s="1299" t="s">
        <v>63</v>
      </c>
      <c r="AL7" s="1300"/>
      <c r="AM7" s="1300"/>
      <c r="AN7" s="1300"/>
      <c r="AO7" s="1301"/>
      <c r="AP7" s="1315"/>
      <c r="AQ7" s="1294"/>
      <c r="AR7" s="1294"/>
      <c r="AS7" s="1294"/>
      <c r="AT7" s="1295"/>
      <c r="AU7" s="2113"/>
      <c r="AV7" s="1866"/>
      <c r="AW7" s="1866"/>
      <c r="AX7" s="1866"/>
      <c r="AY7" s="2114"/>
      <c r="AZ7" s="2113"/>
      <c r="BA7" s="1866"/>
      <c r="BB7" s="1866"/>
      <c r="BC7" s="1866"/>
      <c r="BD7" s="1866"/>
      <c r="BE7" s="1391" t="s">
        <v>62</v>
      </c>
      <c r="BF7" s="1392"/>
      <c r="BG7" s="1392"/>
      <c r="BH7" s="1392"/>
      <c r="BI7" s="1392"/>
      <c r="BJ7" s="1391" t="s">
        <v>471</v>
      </c>
      <c r="BK7" s="1392"/>
      <c r="BL7" s="1392"/>
      <c r="BM7" s="1392"/>
      <c r="BN7" s="2117"/>
      <c r="BO7" s="1648"/>
      <c r="BP7" s="1649"/>
      <c r="BQ7" s="1649"/>
      <c r="BR7" s="1649"/>
      <c r="BS7" s="2115"/>
      <c r="BT7" s="150" t="s">
        <v>258</v>
      </c>
      <c r="BU7" s="150"/>
      <c r="BV7" s="150"/>
      <c r="BW7" s="150"/>
      <c r="BX7" s="150"/>
      <c r="BY7" s="1648"/>
      <c r="BZ7" s="1649"/>
      <c r="CA7" s="1649"/>
      <c r="CB7" s="1649"/>
      <c r="CC7" s="2116"/>
    </row>
    <row r="8" spans="1:81" ht="10.5" customHeight="1" x14ac:dyDescent="0.15">
      <c r="A8" s="31">
        <v>3</v>
      </c>
      <c r="B8" s="1408" t="s">
        <v>223</v>
      </c>
      <c r="C8" s="1409"/>
      <c r="D8" s="1409"/>
      <c r="E8" s="1409"/>
      <c r="F8" s="1409"/>
      <c r="G8" s="1584"/>
      <c r="H8" s="1585"/>
      <c r="I8" s="1585"/>
      <c r="J8" s="1585"/>
      <c r="K8" s="1625"/>
      <c r="L8" s="1584"/>
      <c r="M8" s="1585"/>
      <c r="N8" s="1585"/>
      <c r="O8" s="1585"/>
      <c r="P8" s="1625"/>
      <c r="Q8" s="1584"/>
      <c r="R8" s="1585"/>
      <c r="S8" s="1585"/>
      <c r="T8" s="1585"/>
      <c r="U8" s="1632"/>
      <c r="V8" s="1316" t="s">
        <v>372</v>
      </c>
      <c r="W8" s="1317"/>
      <c r="X8" s="1317"/>
      <c r="Y8" s="1317"/>
      <c r="Z8" s="1317"/>
      <c r="AA8" s="1584"/>
      <c r="AB8" s="1585"/>
      <c r="AC8" s="1585"/>
      <c r="AD8" s="1585"/>
      <c r="AE8" s="1625"/>
      <c r="AF8" s="1931"/>
      <c r="AG8" s="1872"/>
      <c r="AH8" s="1872"/>
      <c r="AI8" s="1872"/>
      <c r="AJ8" s="2052"/>
      <c r="AK8" s="1584"/>
      <c r="AL8" s="1585"/>
      <c r="AM8" s="1585"/>
      <c r="AN8" s="1585"/>
      <c r="AO8" s="1632"/>
      <c r="AP8" s="1354" t="s">
        <v>152</v>
      </c>
      <c r="AQ8" s="1355"/>
      <c r="AR8" s="43"/>
      <c r="AS8" s="43"/>
      <c r="AT8" s="44"/>
      <c r="AU8" s="1584"/>
      <c r="AV8" s="1585"/>
      <c r="AW8" s="1585"/>
      <c r="AX8" s="1585"/>
      <c r="AY8" s="1625"/>
      <c r="AZ8" s="1584"/>
      <c r="BA8" s="1585"/>
      <c r="BB8" s="1585"/>
      <c r="BC8" s="1585"/>
      <c r="BD8" s="1625"/>
      <c r="BE8" s="1584"/>
      <c r="BF8" s="1585"/>
      <c r="BG8" s="1585"/>
      <c r="BH8" s="1585"/>
      <c r="BI8" s="1625"/>
      <c r="BJ8" s="1584"/>
      <c r="BK8" s="1585"/>
      <c r="BL8" s="1585"/>
      <c r="BM8" s="1585"/>
      <c r="BN8" s="1625"/>
      <c r="BO8" s="1584"/>
      <c r="BP8" s="1585"/>
      <c r="BQ8" s="1585"/>
      <c r="BR8" s="1585"/>
      <c r="BS8" s="1625"/>
      <c r="BT8" s="1584"/>
      <c r="BU8" s="1585"/>
      <c r="BV8" s="1585"/>
      <c r="BW8" s="1585"/>
      <c r="BX8" s="1625"/>
      <c r="BY8" s="1584"/>
      <c r="BZ8" s="1585"/>
      <c r="CA8" s="1585"/>
      <c r="CB8" s="1585"/>
      <c r="CC8" s="1632"/>
    </row>
    <row r="9" spans="1:81" ht="10.5" customHeight="1" x14ac:dyDescent="0.15">
      <c r="A9" s="31">
        <v>4</v>
      </c>
      <c r="B9" s="310"/>
      <c r="C9" s="1337" t="s">
        <v>612</v>
      </c>
      <c r="D9" s="1338"/>
      <c r="E9" s="1338"/>
      <c r="F9" s="1339"/>
      <c r="G9" s="1565"/>
      <c r="H9" s="1566"/>
      <c r="I9" s="1566"/>
      <c r="J9" s="1566"/>
      <c r="K9" s="1607"/>
      <c r="L9" s="1565"/>
      <c r="M9" s="1566"/>
      <c r="N9" s="1566"/>
      <c r="O9" s="1566"/>
      <c r="P9" s="1607"/>
      <c r="Q9" s="1565"/>
      <c r="R9" s="1566"/>
      <c r="S9" s="1566"/>
      <c r="T9" s="1566"/>
      <c r="U9" s="1571"/>
      <c r="V9" s="312"/>
      <c r="W9" s="1337" t="s">
        <v>612</v>
      </c>
      <c r="X9" s="1338"/>
      <c r="Y9" s="1338"/>
      <c r="Z9" s="1339"/>
      <c r="AA9" s="1565"/>
      <c r="AB9" s="1566"/>
      <c r="AC9" s="1566"/>
      <c r="AD9" s="1566"/>
      <c r="AE9" s="1607"/>
      <c r="AF9" s="1879"/>
      <c r="AG9" s="1880"/>
      <c r="AH9" s="1880"/>
      <c r="AI9" s="1880"/>
      <c r="AJ9" s="2034"/>
      <c r="AK9" s="1565"/>
      <c r="AL9" s="1566"/>
      <c r="AM9" s="1566"/>
      <c r="AN9" s="1566"/>
      <c r="AO9" s="1571"/>
      <c r="AP9" s="1356"/>
      <c r="AQ9" s="1357"/>
      <c r="AR9" s="1337" t="s">
        <v>146</v>
      </c>
      <c r="AS9" s="1338"/>
      <c r="AT9" s="1339"/>
      <c r="AU9" s="1565"/>
      <c r="AV9" s="1566"/>
      <c r="AW9" s="1566"/>
      <c r="AX9" s="1566"/>
      <c r="AY9" s="1607"/>
      <c r="AZ9" s="1565"/>
      <c r="BA9" s="1566"/>
      <c r="BB9" s="1566"/>
      <c r="BC9" s="1566"/>
      <c r="BD9" s="1607"/>
      <c r="BE9" s="1565"/>
      <c r="BF9" s="1566"/>
      <c r="BG9" s="1566"/>
      <c r="BH9" s="1566"/>
      <c r="BI9" s="1607"/>
      <c r="BJ9" s="1565"/>
      <c r="BK9" s="1566"/>
      <c r="BL9" s="1566"/>
      <c r="BM9" s="1566"/>
      <c r="BN9" s="1607"/>
      <c r="BO9" s="1565"/>
      <c r="BP9" s="1566"/>
      <c r="BQ9" s="1566"/>
      <c r="BR9" s="1566"/>
      <c r="BS9" s="1607"/>
      <c r="BT9" s="1565"/>
      <c r="BU9" s="1566"/>
      <c r="BV9" s="1566"/>
      <c r="BW9" s="1566"/>
      <c r="BX9" s="1607"/>
      <c r="BY9" s="1565"/>
      <c r="BZ9" s="1566"/>
      <c r="CA9" s="1566"/>
      <c r="CB9" s="1566"/>
      <c r="CC9" s="1571"/>
    </row>
    <row r="10" spans="1:81" ht="10.5" customHeight="1" x14ac:dyDescent="0.15">
      <c r="A10" s="31">
        <v>5</v>
      </c>
      <c r="B10" s="310"/>
      <c r="C10" s="1319" t="s">
        <v>22</v>
      </c>
      <c r="D10" s="1320"/>
      <c r="E10" s="1320"/>
      <c r="F10" s="1321"/>
      <c r="G10" s="1565"/>
      <c r="H10" s="1566"/>
      <c r="I10" s="1566"/>
      <c r="J10" s="1566"/>
      <c r="K10" s="1607"/>
      <c r="L10" s="1565"/>
      <c r="M10" s="1566"/>
      <c r="N10" s="1566"/>
      <c r="O10" s="1566"/>
      <c r="P10" s="1607"/>
      <c r="Q10" s="1565"/>
      <c r="R10" s="1566"/>
      <c r="S10" s="1566"/>
      <c r="T10" s="1566"/>
      <c r="U10" s="1571"/>
      <c r="V10" s="312"/>
      <c r="W10" s="1319" t="s">
        <v>22</v>
      </c>
      <c r="X10" s="1320"/>
      <c r="Y10" s="1320"/>
      <c r="Z10" s="1321"/>
      <c r="AA10" s="1565"/>
      <c r="AB10" s="1566"/>
      <c r="AC10" s="1566"/>
      <c r="AD10" s="1566"/>
      <c r="AE10" s="1607"/>
      <c r="AF10" s="1879"/>
      <c r="AG10" s="1880"/>
      <c r="AH10" s="1880"/>
      <c r="AI10" s="1880"/>
      <c r="AJ10" s="2034"/>
      <c r="AK10" s="1565"/>
      <c r="AL10" s="1566"/>
      <c r="AM10" s="1566"/>
      <c r="AN10" s="1566"/>
      <c r="AO10" s="1571"/>
      <c r="AP10" s="1356"/>
      <c r="AQ10" s="1357"/>
      <c r="AR10" s="1337" t="s">
        <v>613</v>
      </c>
      <c r="AS10" s="1338"/>
      <c r="AT10" s="1339"/>
      <c r="AU10" s="1565"/>
      <c r="AV10" s="1566"/>
      <c r="AW10" s="1566"/>
      <c r="AX10" s="1566"/>
      <c r="AY10" s="1607"/>
      <c r="AZ10" s="1565"/>
      <c r="BA10" s="1566"/>
      <c r="BB10" s="1566"/>
      <c r="BC10" s="1566"/>
      <c r="BD10" s="1607"/>
      <c r="BE10" s="1565"/>
      <c r="BF10" s="1566"/>
      <c r="BG10" s="1566"/>
      <c r="BH10" s="1566"/>
      <c r="BI10" s="1607"/>
      <c r="BJ10" s="1565"/>
      <c r="BK10" s="1566"/>
      <c r="BL10" s="1566"/>
      <c r="BM10" s="1566"/>
      <c r="BN10" s="1607"/>
      <c r="BO10" s="1565"/>
      <c r="BP10" s="1566"/>
      <c r="BQ10" s="1566"/>
      <c r="BR10" s="1566"/>
      <c r="BS10" s="1607"/>
      <c r="BT10" s="1565"/>
      <c r="BU10" s="1566"/>
      <c r="BV10" s="1566"/>
      <c r="BW10" s="1566"/>
      <c r="BX10" s="1607"/>
      <c r="BY10" s="1565"/>
      <c r="BZ10" s="1566"/>
      <c r="CA10" s="1566"/>
      <c r="CB10" s="1566"/>
      <c r="CC10" s="1571"/>
    </row>
    <row r="11" spans="1:81" ht="10.5" customHeight="1" x14ac:dyDescent="0.15">
      <c r="A11" s="31">
        <v>6</v>
      </c>
      <c r="B11" s="312"/>
      <c r="C11" s="34"/>
      <c r="D11" s="1319" t="s">
        <v>137</v>
      </c>
      <c r="E11" s="1320"/>
      <c r="F11" s="1321"/>
      <c r="G11" s="1565"/>
      <c r="H11" s="1566"/>
      <c r="I11" s="1566"/>
      <c r="J11" s="1566"/>
      <c r="K11" s="1607"/>
      <c r="L11" s="1565"/>
      <c r="M11" s="1566"/>
      <c r="N11" s="1566"/>
      <c r="O11" s="1566"/>
      <c r="P11" s="1607"/>
      <c r="Q11" s="1565"/>
      <c r="R11" s="1566"/>
      <c r="S11" s="1566"/>
      <c r="T11" s="1566"/>
      <c r="U11" s="1571"/>
      <c r="V11" s="312"/>
      <c r="W11" s="34"/>
      <c r="X11" s="1319" t="s">
        <v>137</v>
      </c>
      <c r="Y11" s="1320"/>
      <c r="Z11" s="1321"/>
      <c r="AA11" s="1565"/>
      <c r="AB11" s="1566"/>
      <c r="AC11" s="1566"/>
      <c r="AD11" s="1566"/>
      <c r="AE11" s="1607"/>
      <c r="AF11" s="1879"/>
      <c r="AG11" s="1880"/>
      <c r="AH11" s="1880"/>
      <c r="AI11" s="1880"/>
      <c r="AJ11" s="2034"/>
      <c r="AK11" s="1565"/>
      <c r="AL11" s="1566"/>
      <c r="AM11" s="1566"/>
      <c r="AN11" s="1566"/>
      <c r="AO11" s="1571"/>
      <c r="AP11" s="1356"/>
      <c r="AQ11" s="1357"/>
      <c r="AR11" s="1337" t="s">
        <v>614</v>
      </c>
      <c r="AS11" s="1338"/>
      <c r="AT11" s="1339"/>
      <c r="AU11" s="1565"/>
      <c r="AV11" s="1566"/>
      <c r="AW11" s="1566"/>
      <c r="AX11" s="1566"/>
      <c r="AY11" s="1607"/>
      <c r="AZ11" s="1565"/>
      <c r="BA11" s="1566"/>
      <c r="BB11" s="1566"/>
      <c r="BC11" s="1566"/>
      <c r="BD11" s="1607"/>
      <c r="BE11" s="1565"/>
      <c r="BF11" s="1566"/>
      <c r="BG11" s="1566"/>
      <c r="BH11" s="1566"/>
      <c r="BI11" s="1607"/>
      <c r="BJ11" s="1565"/>
      <c r="BK11" s="1566"/>
      <c r="BL11" s="1566"/>
      <c r="BM11" s="1566"/>
      <c r="BN11" s="1607"/>
      <c r="BO11" s="1565"/>
      <c r="BP11" s="1566"/>
      <c r="BQ11" s="1566"/>
      <c r="BR11" s="1566"/>
      <c r="BS11" s="1607"/>
      <c r="BT11" s="1565"/>
      <c r="BU11" s="1566"/>
      <c r="BV11" s="1566"/>
      <c r="BW11" s="1566"/>
      <c r="BX11" s="1607"/>
      <c r="BY11" s="1565"/>
      <c r="BZ11" s="1566"/>
      <c r="CA11" s="1566"/>
      <c r="CB11" s="1566"/>
      <c r="CC11" s="1571"/>
    </row>
    <row r="12" spans="1:81" ht="10.5" customHeight="1" x14ac:dyDescent="0.15">
      <c r="A12" s="31">
        <v>7</v>
      </c>
      <c r="B12" s="312"/>
      <c r="C12" s="34"/>
      <c r="D12" s="45"/>
      <c r="E12" s="1377" t="s">
        <v>266</v>
      </c>
      <c r="F12" s="1378"/>
      <c r="G12" s="1565"/>
      <c r="H12" s="1566"/>
      <c r="I12" s="1566"/>
      <c r="J12" s="1566"/>
      <c r="K12" s="1607"/>
      <c r="L12" s="1565"/>
      <c r="M12" s="1566"/>
      <c r="N12" s="1566"/>
      <c r="O12" s="1566"/>
      <c r="P12" s="1607"/>
      <c r="Q12" s="1565"/>
      <c r="R12" s="1566"/>
      <c r="S12" s="1566"/>
      <c r="T12" s="1566"/>
      <c r="U12" s="1571"/>
      <c r="V12" s="312"/>
      <c r="W12" s="34"/>
      <c r="X12" s="45"/>
      <c r="Y12" s="1377" t="s">
        <v>266</v>
      </c>
      <c r="Z12" s="1378"/>
      <c r="AA12" s="1565"/>
      <c r="AB12" s="1566"/>
      <c r="AC12" s="1566"/>
      <c r="AD12" s="1566"/>
      <c r="AE12" s="1607"/>
      <c r="AF12" s="1879"/>
      <c r="AG12" s="1880"/>
      <c r="AH12" s="1880"/>
      <c r="AI12" s="1880"/>
      <c r="AJ12" s="2034"/>
      <c r="AK12" s="1565"/>
      <c r="AL12" s="1566"/>
      <c r="AM12" s="1566"/>
      <c r="AN12" s="1566"/>
      <c r="AO12" s="1571"/>
      <c r="AP12" s="1356"/>
      <c r="AQ12" s="1357"/>
      <c r="AR12" s="1337" t="s">
        <v>615</v>
      </c>
      <c r="AS12" s="1338"/>
      <c r="AT12" s="1339"/>
      <c r="AU12" s="1565"/>
      <c r="AV12" s="1566"/>
      <c r="AW12" s="1566"/>
      <c r="AX12" s="1566"/>
      <c r="AY12" s="1607"/>
      <c r="AZ12" s="1565"/>
      <c r="BA12" s="1566"/>
      <c r="BB12" s="1566"/>
      <c r="BC12" s="1566"/>
      <c r="BD12" s="1607"/>
      <c r="BE12" s="1565"/>
      <c r="BF12" s="1566"/>
      <c r="BG12" s="1566"/>
      <c r="BH12" s="1566"/>
      <c r="BI12" s="1607"/>
      <c r="BJ12" s="1565"/>
      <c r="BK12" s="1566"/>
      <c r="BL12" s="1566"/>
      <c r="BM12" s="1566"/>
      <c r="BN12" s="1607"/>
      <c r="BO12" s="1565"/>
      <c r="BP12" s="1566"/>
      <c r="BQ12" s="1566"/>
      <c r="BR12" s="1566"/>
      <c r="BS12" s="1607"/>
      <c r="BT12" s="1565"/>
      <c r="BU12" s="1566"/>
      <c r="BV12" s="1566"/>
      <c r="BW12" s="1566"/>
      <c r="BX12" s="1607"/>
      <c r="BY12" s="1565"/>
      <c r="BZ12" s="1566"/>
      <c r="CA12" s="1566"/>
      <c r="CB12" s="1566"/>
      <c r="CC12" s="1571"/>
    </row>
    <row r="13" spans="1:81" ht="10.5" customHeight="1" x14ac:dyDescent="0.15">
      <c r="A13" s="31">
        <v>8</v>
      </c>
      <c r="B13" s="309"/>
      <c r="C13" s="35"/>
      <c r="D13" s="1340" t="s">
        <v>138</v>
      </c>
      <c r="E13" s="1341"/>
      <c r="F13" s="1342"/>
      <c r="G13" s="1620"/>
      <c r="H13" s="1621"/>
      <c r="I13" s="1621"/>
      <c r="J13" s="1621"/>
      <c r="K13" s="1629"/>
      <c r="L13" s="1620"/>
      <c r="M13" s="1621"/>
      <c r="N13" s="1621"/>
      <c r="O13" s="1621"/>
      <c r="P13" s="1629"/>
      <c r="Q13" s="1620"/>
      <c r="R13" s="1621"/>
      <c r="S13" s="1621"/>
      <c r="T13" s="1621"/>
      <c r="U13" s="1630"/>
      <c r="V13" s="309"/>
      <c r="W13" s="35"/>
      <c r="X13" s="1340" t="s">
        <v>138</v>
      </c>
      <c r="Y13" s="1341"/>
      <c r="Z13" s="1342"/>
      <c r="AA13" s="1620"/>
      <c r="AB13" s="1621"/>
      <c r="AC13" s="1621"/>
      <c r="AD13" s="1621"/>
      <c r="AE13" s="1629"/>
      <c r="AF13" s="2111"/>
      <c r="AG13" s="1995"/>
      <c r="AH13" s="1995"/>
      <c r="AI13" s="1995"/>
      <c r="AJ13" s="2112"/>
      <c r="AK13" s="1620"/>
      <c r="AL13" s="1621"/>
      <c r="AM13" s="1621"/>
      <c r="AN13" s="1621"/>
      <c r="AO13" s="1630"/>
      <c r="AP13" s="1356"/>
      <c r="AQ13" s="1357"/>
      <c r="AR13" s="1337" t="s">
        <v>616</v>
      </c>
      <c r="AS13" s="1338"/>
      <c r="AT13" s="1339"/>
      <c r="AU13" s="1565"/>
      <c r="AV13" s="1566"/>
      <c r="AW13" s="1566"/>
      <c r="AX13" s="1566"/>
      <c r="AY13" s="1607"/>
      <c r="AZ13" s="1565"/>
      <c r="BA13" s="1566"/>
      <c r="BB13" s="1566"/>
      <c r="BC13" s="1566"/>
      <c r="BD13" s="1607"/>
      <c r="BE13" s="1565"/>
      <c r="BF13" s="1566"/>
      <c r="BG13" s="1566"/>
      <c r="BH13" s="1566"/>
      <c r="BI13" s="1607"/>
      <c r="BJ13" s="1565"/>
      <c r="BK13" s="1566"/>
      <c r="BL13" s="1566"/>
      <c r="BM13" s="1566"/>
      <c r="BN13" s="1607"/>
      <c r="BO13" s="1565"/>
      <c r="BP13" s="1566"/>
      <c r="BQ13" s="1566"/>
      <c r="BR13" s="1566"/>
      <c r="BS13" s="1607"/>
      <c r="BT13" s="1565"/>
      <c r="BU13" s="1566"/>
      <c r="BV13" s="1566"/>
      <c r="BW13" s="1566"/>
      <c r="BX13" s="1607"/>
      <c r="BY13" s="1565"/>
      <c r="BZ13" s="1566"/>
      <c r="CA13" s="1566"/>
      <c r="CB13" s="1566"/>
      <c r="CC13" s="1571"/>
    </row>
    <row r="14" spans="1:81" ht="10.5" customHeight="1" x14ac:dyDescent="0.15">
      <c r="A14" s="31">
        <v>9</v>
      </c>
      <c r="B14" s="1406" t="s">
        <v>224</v>
      </c>
      <c r="C14" s="1407"/>
      <c r="D14" s="1407"/>
      <c r="E14" s="1407"/>
      <c r="F14" s="1407"/>
      <c r="G14" s="1584"/>
      <c r="H14" s="1585"/>
      <c r="I14" s="1585"/>
      <c r="J14" s="1585"/>
      <c r="K14" s="1625"/>
      <c r="L14" s="1584"/>
      <c r="M14" s="1585"/>
      <c r="N14" s="1585"/>
      <c r="O14" s="1585"/>
      <c r="P14" s="1625"/>
      <c r="Q14" s="1584"/>
      <c r="R14" s="1585"/>
      <c r="S14" s="1585"/>
      <c r="T14" s="1585"/>
      <c r="U14" s="1632"/>
      <c r="V14" s="1379" t="s">
        <v>259</v>
      </c>
      <c r="W14" s="1380"/>
      <c r="X14" s="1380"/>
      <c r="Y14" s="1380"/>
      <c r="Z14" s="1381"/>
      <c r="AA14" s="1584"/>
      <c r="AB14" s="1585"/>
      <c r="AC14" s="1585"/>
      <c r="AD14" s="1585"/>
      <c r="AE14" s="1625"/>
      <c r="AF14" s="1931"/>
      <c r="AG14" s="1872"/>
      <c r="AH14" s="1872"/>
      <c r="AI14" s="1872"/>
      <c r="AJ14" s="2052"/>
      <c r="AK14" s="1584"/>
      <c r="AL14" s="1585"/>
      <c r="AM14" s="1585"/>
      <c r="AN14" s="1585"/>
      <c r="AO14" s="1632"/>
      <c r="AP14" s="1356"/>
      <c r="AQ14" s="1357"/>
      <c r="AR14" s="1337" t="s">
        <v>617</v>
      </c>
      <c r="AS14" s="1338"/>
      <c r="AT14" s="1339"/>
      <c r="AU14" s="1565"/>
      <c r="AV14" s="1566"/>
      <c r="AW14" s="1566"/>
      <c r="AX14" s="1566"/>
      <c r="AY14" s="1607"/>
      <c r="AZ14" s="1565"/>
      <c r="BA14" s="1566"/>
      <c r="BB14" s="1566"/>
      <c r="BC14" s="1566"/>
      <c r="BD14" s="1607"/>
      <c r="BE14" s="1565"/>
      <c r="BF14" s="1566"/>
      <c r="BG14" s="1566"/>
      <c r="BH14" s="1566"/>
      <c r="BI14" s="1607"/>
      <c r="BJ14" s="1565"/>
      <c r="BK14" s="1566"/>
      <c r="BL14" s="1566"/>
      <c r="BM14" s="1566"/>
      <c r="BN14" s="1607"/>
      <c r="BO14" s="1565"/>
      <c r="BP14" s="1566"/>
      <c r="BQ14" s="1566"/>
      <c r="BR14" s="1566"/>
      <c r="BS14" s="1607"/>
      <c r="BT14" s="1565"/>
      <c r="BU14" s="1566"/>
      <c r="BV14" s="1566"/>
      <c r="BW14" s="1566"/>
      <c r="BX14" s="1607"/>
      <c r="BY14" s="1565"/>
      <c r="BZ14" s="1566"/>
      <c r="CA14" s="1566"/>
      <c r="CB14" s="1566"/>
      <c r="CC14" s="1571"/>
    </row>
    <row r="15" spans="1:81" ht="10.5" customHeight="1" x14ac:dyDescent="0.15">
      <c r="A15" s="31">
        <v>10</v>
      </c>
      <c r="B15" s="312"/>
      <c r="C15" s="1337" t="s">
        <v>612</v>
      </c>
      <c r="D15" s="1338"/>
      <c r="E15" s="1338"/>
      <c r="F15" s="1339"/>
      <c r="G15" s="1565"/>
      <c r="H15" s="1566"/>
      <c r="I15" s="1566"/>
      <c r="J15" s="1566"/>
      <c r="K15" s="1607"/>
      <c r="L15" s="1565"/>
      <c r="M15" s="1566"/>
      <c r="N15" s="1566"/>
      <c r="O15" s="1566"/>
      <c r="P15" s="1607"/>
      <c r="Q15" s="1565"/>
      <c r="R15" s="1566"/>
      <c r="S15" s="1566"/>
      <c r="T15" s="1566"/>
      <c r="U15" s="1571"/>
      <c r="V15" s="312"/>
      <c r="W15" s="1337" t="s">
        <v>612</v>
      </c>
      <c r="X15" s="1338"/>
      <c r="Y15" s="1338"/>
      <c r="Z15" s="1339"/>
      <c r="AA15" s="1565"/>
      <c r="AB15" s="1566"/>
      <c r="AC15" s="1566"/>
      <c r="AD15" s="1566"/>
      <c r="AE15" s="1607"/>
      <c r="AF15" s="1879"/>
      <c r="AG15" s="1880"/>
      <c r="AH15" s="1880"/>
      <c r="AI15" s="1880"/>
      <c r="AJ15" s="2034"/>
      <c r="AK15" s="1565"/>
      <c r="AL15" s="1566"/>
      <c r="AM15" s="1566"/>
      <c r="AN15" s="1566"/>
      <c r="AO15" s="1571"/>
      <c r="AP15" s="1358"/>
      <c r="AQ15" s="1359"/>
      <c r="AR15" s="1340" t="s">
        <v>147</v>
      </c>
      <c r="AS15" s="1341"/>
      <c r="AT15" s="1342"/>
      <c r="AU15" s="1620"/>
      <c r="AV15" s="1621"/>
      <c r="AW15" s="1621"/>
      <c r="AX15" s="1621"/>
      <c r="AY15" s="1629"/>
      <c r="AZ15" s="1620"/>
      <c r="BA15" s="1621"/>
      <c r="BB15" s="1621"/>
      <c r="BC15" s="1621"/>
      <c r="BD15" s="1629"/>
      <c r="BE15" s="1620"/>
      <c r="BF15" s="1621"/>
      <c r="BG15" s="1621"/>
      <c r="BH15" s="1621"/>
      <c r="BI15" s="1629"/>
      <c r="BJ15" s="1620"/>
      <c r="BK15" s="1621"/>
      <c r="BL15" s="1621"/>
      <c r="BM15" s="1621"/>
      <c r="BN15" s="1629"/>
      <c r="BO15" s="1620"/>
      <c r="BP15" s="1621"/>
      <c r="BQ15" s="1621"/>
      <c r="BR15" s="1621"/>
      <c r="BS15" s="1629"/>
      <c r="BT15" s="1620"/>
      <c r="BU15" s="1621"/>
      <c r="BV15" s="1621"/>
      <c r="BW15" s="1621"/>
      <c r="BX15" s="1629"/>
      <c r="BY15" s="1620"/>
      <c r="BZ15" s="1621"/>
      <c r="CA15" s="1621"/>
      <c r="CB15" s="1621"/>
      <c r="CC15" s="1630"/>
    </row>
    <row r="16" spans="1:81" ht="10.5" customHeight="1" x14ac:dyDescent="0.15">
      <c r="A16" s="31">
        <v>11</v>
      </c>
      <c r="B16" s="312"/>
      <c r="C16" s="1319" t="s">
        <v>22</v>
      </c>
      <c r="D16" s="1320"/>
      <c r="E16" s="1320"/>
      <c r="F16" s="1321"/>
      <c r="G16" s="1565"/>
      <c r="H16" s="1566"/>
      <c r="I16" s="1566"/>
      <c r="J16" s="1566"/>
      <c r="K16" s="1607"/>
      <c r="L16" s="1565"/>
      <c r="M16" s="1566"/>
      <c r="N16" s="1566"/>
      <c r="O16" s="1566"/>
      <c r="P16" s="1607"/>
      <c r="Q16" s="1565"/>
      <c r="R16" s="1566"/>
      <c r="S16" s="1566"/>
      <c r="T16" s="1566"/>
      <c r="U16" s="1571"/>
      <c r="V16" s="309"/>
      <c r="W16" s="1340" t="s">
        <v>22</v>
      </c>
      <c r="X16" s="1341"/>
      <c r="Y16" s="1341"/>
      <c r="Z16" s="1342"/>
      <c r="AA16" s="1620"/>
      <c r="AB16" s="1621"/>
      <c r="AC16" s="1621"/>
      <c r="AD16" s="1621"/>
      <c r="AE16" s="1629"/>
      <c r="AF16" s="2111"/>
      <c r="AG16" s="1995"/>
      <c r="AH16" s="1995"/>
      <c r="AI16" s="1995"/>
      <c r="AJ16" s="2112"/>
      <c r="AK16" s="1620"/>
      <c r="AL16" s="1621"/>
      <c r="AM16" s="1621"/>
      <c r="AN16" s="1621"/>
      <c r="AO16" s="1630"/>
      <c r="AP16" s="1354" t="s">
        <v>63</v>
      </c>
      <c r="AQ16" s="1355"/>
      <c r="AR16" s="43"/>
      <c r="AS16" s="43"/>
      <c r="AT16" s="44"/>
      <c r="AU16" s="1584"/>
      <c r="AV16" s="1585"/>
      <c r="AW16" s="1585"/>
      <c r="AX16" s="1585"/>
      <c r="AY16" s="1625"/>
      <c r="AZ16" s="1584"/>
      <c r="BA16" s="1585"/>
      <c r="BB16" s="1585"/>
      <c r="BC16" s="1585"/>
      <c r="BD16" s="1625"/>
      <c r="BE16" s="1584"/>
      <c r="BF16" s="1585"/>
      <c r="BG16" s="1585"/>
      <c r="BH16" s="1585"/>
      <c r="BI16" s="1625"/>
      <c r="BJ16" s="1584"/>
      <c r="BK16" s="1585"/>
      <c r="BL16" s="1585"/>
      <c r="BM16" s="1585"/>
      <c r="BN16" s="1625"/>
      <c r="BO16" s="1584"/>
      <c r="BP16" s="1585"/>
      <c r="BQ16" s="1585"/>
      <c r="BR16" s="1585"/>
      <c r="BS16" s="1625"/>
      <c r="BT16" s="1584"/>
      <c r="BU16" s="1585"/>
      <c r="BV16" s="1585"/>
      <c r="BW16" s="1585"/>
      <c r="BX16" s="1625"/>
      <c r="BY16" s="1584"/>
      <c r="BZ16" s="1585"/>
      <c r="CA16" s="1585"/>
      <c r="CB16" s="1585"/>
      <c r="CC16" s="1632"/>
    </row>
    <row r="17" spans="1:81" ht="10.5" customHeight="1" x14ac:dyDescent="0.15">
      <c r="A17" s="31">
        <v>12</v>
      </c>
      <c r="B17" s="312"/>
      <c r="C17" s="34"/>
      <c r="D17" s="1319" t="s">
        <v>137</v>
      </c>
      <c r="E17" s="1320"/>
      <c r="F17" s="1321"/>
      <c r="G17" s="1565"/>
      <c r="H17" s="1566"/>
      <c r="I17" s="1566"/>
      <c r="J17" s="1566"/>
      <c r="K17" s="1607"/>
      <c r="L17" s="1565"/>
      <c r="M17" s="1566"/>
      <c r="N17" s="1566"/>
      <c r="O17" s="1566"/>
      <c r="P17" s="1607"/>
      <c r="Q17" s="1565"/>
      <c r="R17" s="1566"/>
      <c r="S17" s="1566"/>
      <c r="T17" s="1566"/>
      <c r="U17" s="1571"/>
      <c r="V17" s="1316" t="s">
        <v>267</v>
      </c>
      <c r="W17" s="1317"/>
      <c r="X17" s="1317"/>
      <c r="Y17" s="1317"/>
      <c r="Z17" s="1317"/>
      <c r="AA17" s="1584"/>
      <c r="AB17" s="1585"/>
      <c r="AC17" s="1585"/>
      <c r="AD17" s="1585"/>
      <c r="AE17" s="1625"/>
      <c r="AF17" s="1931"/>
      <c r="AG17" s="1872"/>
      <c r="AH17" s="1872"/>
      <c r="AI17" s="1872"/>
      <c r="AJ17" s="2052"/>
      <c r="AK17" s="1584"/>
      <c r="AL17" s="1585"/>
      <c r="AM17" s="1585"/>
      <c r="AN17" s="1585"/>
      <c r="AO17" s="1632"/>
      <c r="AP17" s="1356"/>
      <c r="AQ17" s="1357"/>
      <c r="AR17" s="1337" t="s">
        <v>146</v>
      </c>
      <c r="AS17" s="1338"/>
      <c r="AT17" s="1339"/>
      <c r="AU17" s="1565"/>
      <c r="AV17" s="1566"/>
      <c r="AW17" s="1566"/>
      <c r="AX17" s="1566"/>
      <c r="AY17" s="1607"/>
      <c r="AZ17" s="1565"/>
      <c r="BA17" s="1566"/>
      <c r="BB17" s="1566"/>
      <c r="BC17" s="1566"/>
      <c r="BD17" s="1607"/>
      <c r="BE17" s="1565"/>
      <c r="BF17" s="1566"/>
      <c r="BG17" s="1566"/>
      <c r="BH17" s="1566"/>
      <c r="BI17" s="1607"/>
      <c r="BJ17" s="1565"/>
      <c r="BK17" s="1566"/>
      <c r="BL17" s="1566"/>
      <c r="BM17" s="1566"/>
      <c r="BN17" s="1607"/>
      <c r="BO17" s="1565"/>
      <c r="BP17" s="1566"/>
      <c r="BQ17" s="1566"/>
      <c r="BR17" s="1566"/>
      <c r="BS17" s="1607"/>
      <c r="BT17" s="1565"/>
      <c r="BU17" s="1566"/>
      <c r="BV17" s="1566"/>
      <c r="BW17" s="1566"/>
      <c r="BX17" s="1607"/>
      <c r="BY17" s="1565"/>
      <c r="BZ17" s="1566"/>
      <c r="CA17" s="1566"/>
      <c r="CB17" s="1566"/>
      <c r="CC17" s="1571"/>
    </row>
    <row r="18" spans="1:81" ht="10.5" customHeight="1" x14ac:dyDescent="0.15">
      <c r="A18" s="31">
        <v>13</v>
      </c>
      <c r="B18" s="312"/>
      <c r="C18" s="34"/>
      <c r="D18" s="45"/>
      <c r="E18" s="1377" t="s">
        <v>266</v>
      </c>
      <c r="F18" s="1378"/>
      <c r="G18" s="1565"/>
      <c r="H18" s="1566"/>
      <c r="I18" s="1566"/>
      <c r="J18" s="1566"/>
      <c r="K18" s="1607"/>
      <c r="L18" s="1565"/>
      <c r="M18" s="1566"/>
      <c r="N18" s="1566"/>
      <c r="O18" s="1566"/>
      <c r="P18" s="1607"/>
      <c r="Q18" s="1565"/>
      <c r="R18" s="1566"/>
      <c r="S18" s="1566"/>
      <c r="T18" s="1566"/>
      <c r="U18" s="1571"/>
      <c r="V18" s="312"/>
      <c r="W18" s="1337" t="s">
        <v>612</v>
      </c>
      <c r="X18" s="1338"/>
      <c r="Y18" s="1338"/>
      <c r="Z18" s="1339"/>
      <c r="AA18" s="1565"/>
      <c r="AB18" s="1566"/>
      <c r="AC18" s="1566"/>
      <c r="AD18" s="1566"/>
      <c r="AE18" s="1607"/>
      <c r="AF18" s="1879"/>
      <c r="AG18" s="1880"/>
      <c r="AH18" s="1880"/>
      <c r="AI18" s="1880"/>
      <c r="AJ18" s="2034"/>
      <c r="AK18" s="1565"/>
      <c r="AL18" s="1566"/>
      <c r="AM18" s="1566"/>
      <c r="AN18" s="1566"/>
      <c r="AO18" s="1571"/>
      <c r="AP18" s="1356"/>
      <c r="AQ18" s="1357"/>
      <c r="AR18" s="1337" t="s">
        <v>613</v>
      </c>
      <c r="AS18" s="1338"/>
      <c r="AT18" s="1339"/>
      <c r="AU18" s="1565"/>
      <c r="AV18" s="1566"/>
      <c r="AW18" s="1566"/>
      <c r="AX18" s="1566"/>
      <c r="AY18" s="1607"/>
      <c r="AZ18" s="1565"/>
      <c r="BA18" s="1566"/>
      <c r="BB18" s="1566"/>
      <c r="BC18" s="1566"/>
      <c r="BD18" s="1607"/>
      <c r="BE18" s="1565"/>
      <c r="BF18" s="1566"/>
      <c r="BG18" s="1566"/>
      <c r="BH18" s="1566"/>
      <c r="BI18" s="1607"/>
      <c r="BJ18" s="1565"/>
      <c r="BK18" s="1566"/>
      <c r="BL18" s="1566"/>
      <c r="BM18" s="1566"/>
      <c r="BN18" s="1607"/>
      <c r="BO18" s="1565"/>
      <c r="BP18" s="1566"/>
      <c r="BQ18" s="1566"/>
      <c r="BR18" s="1566"/>
      <c r="BS18" s="1607"/>
      <c r="BT18" s="1565"/>
      <c r="BU18" s="1566"/>
      <c r="BV18" s="1566"/>
      <c r="BW18" s="1566"/>
      <c r="BX18" s="1607"/>
      <c r="BY18" s="1565"/>
      <c r="BZ18" s="1566"/>
      <c r="CA18" s="1566"/>
      <c r="CB18" s="1566"/>
      <c r="CC18" s="1571"/>
    </row>
    <row r="19" spans="1:81" ht="10.5" customHeight="1" x14ac:dyDescent="0.15">
      <c r="A19" s="31">
        <v>14</v>
      </c>
      <c r="B19" s="312"/>
      <c r="C19" s="34"/>
      <c r="D19" s="1319" t="s">
        <v>138</v>
      </c>
      <c r="E19" s="1320"/>
      <c r="F19" s="1321"/>
      <c r="G19" s="1620"/>
      <c r="H19" s="1621"/>
      <c r="I19" s="1621"/>
      <c r="J19" s="1621"/>
      <c r="K19" s="1629"/>
      <c r="L19" s="1620"/>
      <c r="M19" s="1621"/>
      <c r="N19" s="1621"/>
      <c r="O19" s="1621"/>
      <c r="P19" s="1629"/>
      <c r="Q19" s="1620"/>
      <c r="R19" s="1621"/>
      <c r="S19" s="1621"/>
      <c r="T19" s="1621"/>
      <c r="U19" s="1630"/>
      <c r="V19" s="312"/>
      <c r="W19" s="1319" t="s">
        <v>22</v>
      </c>
      <c r="X19" s="1320"/>
      <c r="Y19" s="1320"/>
      <c r="Z19" s="1321"/>
      <c r="AA19" s="1565"/>
      <c r="AB19" s="1566"/>
      <c r="AC19" s="1566"/>
      <c r="AD19" s="1566"/>
      <c r="AE19" s="1607"/>
      <c r="AF19" s="1879"/>
      <c r="AG19" s="1880"/>
      <c r="AH19" s="1880"/>
      <c r="AI19" s="1880"/>
      <c r="AJ19" s="2034"/>
      <c r="AK19" s="1565"/>
      <c r="AL19" s="1566"/>
      <c r="AM19" s="1566"/>
      <c r="AN19" s="1566"/>
      <c r="AO19" s="1571"/>
      <c r="AP19" s="1356"/>
      <c r="AQ19" s="1357"/>
      <c r="AR19" s="1337" t="s">
        <v>614</v>
      </c>
      <c r="AS19" s="1338"/>
      <c r="AT19" s="1339"/>
      <c r="AU19" s="1565"/>
      <c r="AV19" s="1566"/>
      <c r="AW19" s="1566"/>
      <c r="AX19" s="1566"/>
      <c r="AY19" s="1607"/>
      <c r="AZ19" s="1565"/>
      <c r="BA19" s="1566"/>
      <c r="BB19" s="1566"/>
      <c r="BC19" s="1566"/>
      <c r="BD19" s="1607"/>
      <c r="BE19" s="1565"/>
      <c r="BF19" s="1566"/>
      <c r="BG19" s="1566"/>
      <c r="BH19" s="1566"/>
      <c r="BI19" s="1607"/>
      <c r="BJ19" s="1565"/>
      <c r="BK19" s="1566"/>
      <c r="BL19" s="1566"/>
      <c r="BM19" s="1566"/>
      <c r="BN19" s="1607"/>
      <c r="BO19" s="1565"/>
      <c r="BP19" s="1566"/>
      <c r="BQ19" s="1566"/>
      <c r="BR19" s="1566"/>
      <c r="BS19" s="1607"/>
      <c r="BT19" s="1565"/>
      <c r="BU19" s="1566"/>
      <c r="BV19" s="1566"/>
      <c r="BW19" s="1566"/>
      <c r="BX19" s="1607"/>
      <c r="BY19" s="1565"/>
      <c r="BZ19" s="1566"/>
      <c r="CA19" s="1566"/>
      <c r="CB19" s="1566"/>
      <c r="CC19" s="1571"/>
    </row>
    <row r="20" spans="1:81" ht="10.5" customHeight="1" x14ac:dyDescent="0.15">
      <c r="A20" s="31">
        <v>15</v>
      </c>
      <c r="B20" s="2108" t="s">
        <v>375</v>
      </c>
      <c r="C20" s="2109"/>
      <c r="D20" s="2109"/>
      <c r="E20" s="2109"/>
      <c r="F20" s="2110"/>
      <c r="G20" s="1584"/>
      <c r="H20" s="1585"/>
      <c r="I20" s="1585"/>
      <c r="J20" s="1585"/>
      <c r="K20" s="1625"/>
      <c r="L20" s="1584"/>
      <c r="M20" s="1585"/>
      <c r="N20" s="1585"/>
      <c r="O20" s="1585"/>
      <c r="P20" s="1625"/>
      <c r="Q20" s="1584"/>
      <c r="R20" s="1585"/>
      <c r="S20" s="1585"/>
      <c r="T20" s="1585"/>
      <c r="U20" s="1632"/>
      <c r="V20" s="384"/>
      <c r="W20" s="34"/>
      <c r="X20" s="1319" t="s">
        <v>137</v>
      </c>
      <c r="Y20" s="1320"/>
      <c r="Z20" s="1321"/>
      <c r="AA20" s="1565"/>
      <c r="AB20" s="1566"/>
      <c r="AC20" s="1566"/>
      <c r="AD20" s="1566"/>
      <c r="AE20" s="1607"/>
      <c r="AF20" s="1879"/>
      <c r="AG20" s="1880"/>
      <c r="AH20" s="1880"/>
      <c r="AI20" s="1880"/>
      <c r="AJ20" s="2034"/>
      <c r="AK20" s="1565"/>
      <c r="AL20" s="1566"/>
      <c r="AM20" s="1566"/>
      <c r="AN20" s="1566"/>
      <c r="AO20" s="1571"/>
      <c r="AP20" s="1356"/>
      <c r="AQ20" s="1357"/>
      <c r="AR20" s="1337" t="s">
        <v>618</v>
      </c>
      <c r="AS20" s="1338"/>
      <c r="AT20" s="1339"/>
      <c r="AU20" s="1565"/>
      <c r="AV20" s="1566"/>
      <c r="AW20" s="1566"/>
      <c r="AX20" s="1566"/>
      <c r="AY20" s="1607"/>
      <c r="AZ20" s="1565"/>
      <c r="BA20" s="1566"/>
      <c r="BB20" s="1566"/>
      <c r="BC20" s="1566"/>
      <c r="BD20" s="1607"/>
      <c r="BE20" s="1565"/>
      <c r="BF20" s="1566"/>
      <c r="BG20" s="1566"/>
      <c r="BH20" s="1566"/>
      <c r="BI20" s="1607"/>
      <c r="BJ20" s="1565"/>
      <c r="BK20" s="1566"/>
      <c r="BL20" s="1566"/>
      <c r="BM20" s="1566"/>
      <c r="BN20" s="1607"/>
      <c r="BO20" s="1565"/>
      <c r="BP20" s="1566"/>
      <c r="BQ20" s="1566"/>
      <c r="BR20" s="1566"/>
      <c r="BS20" s="1607"/>
      <c r="BT20" s="1565"/>
      <c r="BU20" s="1566"/>
      <c r="BV20" s="1566"/>
      <c r="BW20" s="1566"/>
      <c r="BX20" s="1607"/>
      <c r="BY20" s="1565"/>
      <c r="BZ20" s="1566"/>
      <c r="CA20" s="1566"/>
      <c r="CB20" s="1566"/>
      <c r="CC20" s="1571"/>
    </row>
    <row r="21" spans="1:81" ht="10.5" customHeight="1" x14ac:dyDescent="0.15">
      <c r="A21" s="31">
        <v>16</v>
      </c>
      <c r="B21" s="312"/>
      <c r="C21" s="1337" t="s">
        <v>612</v>
      </c>
      <c r="D21" s="1338"/>
      <c r="E21" s="1338"/>
      <c r="F21" s="1339"/>
      <c r="G21" s="1565"/>
      <c r="H21" s="1566"/>
      <c r="I21" s="1566"/>
      <c r="J21" s="1566"/>
      <c r="K21" s="1607"/>
      <c r="L21" s="1565"/>
      <c r="M21" s="1566"/>
      <c r="N21" s="1566"/>
      <c r="O21" s="1566"/>
      <c r="P21" s="1607"/>
      <c r="Q21" s="1565"/>
      <c r="R21" s="1566"/>
      <c r="S21" s="1566"/>
      <c r="T21" s="1566"/>
      <c r="U21" s="1571"/>
      <c r="V21" s="384"/>
      <c r="W21" s="34"/>
      <c r="X21" s="45"/>
      <c r="Y21" s="1377" t="s">
        <v>266</v>
      </c>
      <c r="Z21" s="1378"/>
      <c r="AA21" s="1565"/>
      <c r="AB21" s="1566"/>
      <c r="AC21" s="1566"/>
      <c r="AD21" s="1566"/>
      <c r="AE21" s="1607"/>
      <c r="AF21" s="1879"/>
      <c r="AG21" s="1880"/>
      <c r="AH21" s="1880"/>
      <c r="AI21" s="1880"/>
      <c r="AJ21" s="2034"/>
      <c r="AK21" s="1565"/>
      <c r="AL21" s="1566"/>
      <c r="AM21" s="1566"/>
      <c r="AN21" s="1566"/>
      <c r="AO21" s="1571"/>
      <c r="AP21" s="1356"/>
      <c r="AQ21" s="1357"/>
      <c r="AR21" s="1337" t="s">
        <v>619</v>
      </c>
      <c r="AS21" s="1338"/>
      <c r="AT21" s="1339"/>
      <c r="AU21" s="1565"/>
      <c r="AV21" s="1566"/>
      <c r="AW21" s="1566"/>
      <c r="AX21" s="1566"/>
      <c r="AY21" s="1607"/>
      <c r="AZ21" s="1565"/>
      <c r="BA21" s="1566"/>
      <c r="BB21" s="1566"/>
      <c r="BC21" s="1566"/>
      <c r="BD21" s="1607"/>
      <c r="BE21" s="1565"/>
      <c r="BF21" s="1566"/>
      <c r="BG21" s="1566"/>
      <c r="BH21" s="1566"/>
      <c r="BI21" s="1607"/>
      <c r="BJ21" s="1565"/>
      <c r="BK21" s="1566"/>
      <c r="BL21" s="1566"/>
      <c r="BM21" s="1566"/>
      <c r="BN21" s="1607"/>
      <c r="BO21" s="1565"/>
      <c r="BP21" s="1566"/>
      <c r="BQ21" s="1566"/>
      <c r="BR21" s="1566"/>
      <c r="BS21" s="1607"/>
      <c r="BT21" s="1565"/>
      <c r="BU21" s="1566"/>
      <c r="BV21" s="1566"/>
      <c r="BW21" s="1566"/>
      <c r="BX21" s="1607"/>
      <c r="BY21" s="1565"/>
      <c r="BZ21" s="1566"/>
      <c r="CA21" s="1566"/>
      <c r="CB21" s="1566"/>
      <c r="CC21" s="1571"/>
    </row>
    <row r="22" spans="1:81" ht="10.5" customHeight="1" thickBot="1" x14ac:dyDescent="0.2">
      <c r="A22" s="31">
        <v>17</v>
      </c>
      <c r="B22" s="312"/>
      <c r="C22" s="1319" t="s">
        <v>22</v>
      </c>
      <c r="D22" s="1320"/>
      <c r="E22" s="1320"/>
      <c r="F22" s="1321"/>
      <c r="G22" s="1565"/>
      <c r="H22" s="1566"/>
      <c r="I22" s="1566"/>
      <c r="J22" s="1566"/>
      <c r="K22" s="1607"/>
      <c r="L22" s="1565"/>
      <c r="M22" s="1566"/>
      <c r="N22" s="1566"/>
      <c r="O22" s="1566"/>
      <c r="P22" s="1607"/>
      <c r="Q22" s="1565"/>
      <c r="R22" s="1566"/>
      <c r="S22" s="1566"/>
      <c r="T22" s="1566"/>
      <c r="U22" s="1571"/>
      <c r="V22" s="385"/>
      <c r="W22" s="62"/>
      <c r="X22" s="1366" t="s">
        <v>138</v>
      </c>
      <c r="Y22" s="1367"/>
      <c r="Z22" s="1368"/>
      <c r="AA22" s="1561"/>
      <c r="AB22" s="1562"/>
      <c r="AC22" s="1562"/>
      <c r="AD22" s="1562"/>
      <c r="AE22" s="1600"/>
      <c r="AF22" s="1891"/>
      <c r="AG22" s="1892"/>
      <c r="AH22" s="1892"/>
      <c r="AI22" s="1892"/>
      <c r="AJ22" s="2097"/>
      <c r="AK22" s="1561"/>
      <c r="AL22" s="1562"/>
      <c r="AM22" s="1562"/>
      <c r="AN22" s="1562"/>
      <c r="AO22" s="1563"/>
      <c r="AP22" s="1356"/>
      <c r="AQ22" s="1357"/>
      <c r="AR22" s="1337" t="s">
        <v>620</v>
      </c>
      <c r="AS22" s="1338"/>
      <c r="AT22" s="1339"/>
      <c r="AU22" s="1565"/>
      <c r="AV22" s="1566"/>
      <c r="AW22" s="1566"/>
      <c r="AX22" s="1566"/>
      <c r="AY22" s="1607"/>
      <c r="AZ22" s="1565"/>
      <c r="BA22" s="1566"/>
      <c r="BB22" s="1566"/>
      <c r="BC22" s="1566"/>
      <c r="BD22" s="1607"/>
      <c r="BE22" s="1565"/>
      <c r="BF22" s="1566"/>
      <c r="BG22" s="1566"/>
      <c r="BH22" s="1566"/>
      <c r="BI22" s="1607"/>
      <c r="BJ22" s="1565"/>
      <c r="BK22" s="1566"/>
      <c r="BL22" s="1566"/>
      <c r="BM22" s="1566"/>
      <c r="BN22" s="1607"/>
      <c r="BO22" s="1565"/>
      <c r="BP22" s="1566"/>
      <c r="BQ22" s="1566"/>
      <c r="BR22" s="1566"/>
      <c r="BS22" s="1607"/>
      <c r="BT22" s="1565"/>
      <c r="BU22" s="1566"/>
      <c r="BV22" s="1566"/>
      <c r="BW22" s="1566"/>
      <c r="BX22" s="1607"/>
      <c r="BY22" s="1565"/>
      <c r="BZ22" s="1566"/>
      <c r="CA22" s="1566"/>
      <c r="CB22" s="1566"/>
      <c r="CC22" s="1571"/>
    </row>
    <row r="23" spans="1:81" ht="10.5" customHeight="1" x14ac:dyDescent="0.15">
      <c r="A23" s="31">
        <v>18</v>
      </c>
      <c r="B23" s="312"/>
      <c r="C23" s="34"/>
      <c r="D23" s="1319" t="s">
        <v>137</v>
      </c>
      <c r="E23" s="1320"/>
      <c r="F23" s="1321"/>
      <c r="G23" s="1565"/>
      <c r="H23" s="1566"/>
      <c r="I23" s="1566"/>
      <c r="J23" s="1566"/>
      <c r="K23" s="1607"/>
      <c r="L23" s="1565"/>
      <c r="M23" s="1566"/>
      <c r="N23" s="1566"/>
      <c r="O23" s="1566"/>
      <c r="P23" s="1607"/>
      <c r="Q23" s="1565"/>
      <c r="R23" s="1566"/>
      <c r="S23" s="1566"/>
      <c r="T23" s="1566"/>
      <c r="U23" s="1571"/>
      <c r="AP23" s="1356"/>
      <c r="AQ23" s="1357"/>
      <c r="AR23" s="1319" t="s">
        <v>147</v>
      </c>
      <c r="AS23" s="1320"/>
      <c r="AT23" s="1321"/>
      <c r="AU23" s="1620"/>
      <c r="AV23" s="1621"/>
      <c r="AW23" s="1621"/>
      <c r="AX23" s="1621"/>
      <c r="AY23" s="1629"/>
      <c r="AZ23" s="1620"/>
      <c r="BA23" s="1621"/>
      <c r="BB23" s="1621"/>
      <c r="BC23" s="1621"/>
      <c r="BD23" s="1629"/>
      <c r="BE23" s="1620"/>
      <c r="BF23" s="1621"/>
      <c r="BG23" s="1621"/>
      <c r="BH23" s="1621"/>
      <c r="BI23" s="1629"/>
      <c r="BJ23" s="1620"/>
      <c r="BK23" s="1621"/>
      <c r="BL23" s="1621"/>
      <c r="BM23" s="1621"/>
      <c r="BN23" s="1629"/>
      <c r="BO23" s="1620"/>
      <c r="BP23" s="1621"/>
      <c r="BQ23" s="1621"/>
      <c r="BR23" s="1621"/>
      <c r="BS23" s="1629"/>
      <c r="BT23" s="1620"/>
      <c r="BU23" s="1621"/>
      <c r="BV23" s="1621"/>
      <c r="BW23" s="1621"/>
      <c r="BX23" s="1629"/>
      <c r="BY23" s="1620"/>
      <c r="BZ23" s="1621"/>
      <c r="CA23" s="1621"/>
      <c r="CB23" s="1621"/>
      <c r="CC23" s="1630"/>
    </row>
    <row r="24" spans="1:81" ht="10.5" customHeight="1" x14ac:dyDescent="0.15">
      <c r="A24" s="31">
        <v>19</v>
      </c>
      <c r="B24" s="312"/>
      <c r="C24" s="34"/>
      <c r="D24" s="45"/>
      <c r="E24" s="1377" t="s">
        <v>266</v>
      </c>
      <c r="F24" s="1378"/>
      <c r="G24" s="1565"/>
      <c r="H24" s="1566"/>
      <c r="I24" s="1566"/>
      <c r="J24" s="1566"/>
      <c r="K24" s="1607"/>
      <c r="L24" s="1565"/>
      <c r="M24" s="1566"/>
      <c r="N24" s="1566"/>
      <c r="O24" s="1566"/>
      <c r="P24" s="1607"/>
      <c r="Q24" s="1565"/>
      <c r="R24" s="1566"/>
      <c r="S24" s="1566"/>
      <c r="T24" s="1566"/>
      <c r="U24" s="1571"/>
      <c r="AP24" s="1354" t="s">
        <v>60</v>
      </c>
      <c r="AQ24" s="1355"/>
      <c r="AR24" s="43"/>
      <c r="AS24" s="43"/>
      <c r="AT24" s="44"/>
      <c r="AU24" s="1584"/>
      <c r="AV24" s="1585"/>
      <c r="AW24" s="1585"/>
      <c r="AX24" s="1585"/>
      <c r="AY24" s="1625"/>
      <c r="AZ24" s="1584"/>
      <c r="BA24" s="1585"/>
      <c r="BB24" s="1585"/>
      <c r="BC24" s="1585"/>
      <c r="BD24" s="1625"/>
      <c r="BE24" s="1584"/>
      <c r="BF24" s="1585"/>
      <c r="BG24" s="1585"/>
      <c r="BH24" s="1585"/>
      <c r="BI24" s="1625"/>
      <c r="BJ24" s="1584"/>
      <c r="BK24" s="1585"/>
      <c r="BL24" s="1585"/>
      <c r="BM24" s="1585"/>
      <c r="BN24" s="1625"/>
      <c r="BO24" s="1584"/>
      <c r="BP24" s="1585"/>
      <c r="BQ24" s="1585"/>
      <c r="BR24" s="1585"/>
      <c r="BS24" s="1625"/>
      <c r="BT24" s="1584"/>
      <c r="BU24" s="1585"/>
      <c r="BV24" s="1585"/>
      <c r="BW24" s="1585"/>
      <c r="BX24" s="1625"/>
      <c r="BY24" s="1584"/>
      <c r="BZ24" s="1585"/>
      <c r="CA24" s="1585"/>
      <c r="CB24" s="1585"/>
      <c r="CC24" s="1632"/>
    </row>
    <row r="25" spans="1:81" ht="10.5" customHeight="1" thickBot="1" x14ac:dyDescent="0.2">
      <c r="A25" s="31">
        <v>20</v>
      </c>
      <c r="B25" s="46"/>
      <c r="C25" s="62"/>
      <c r="D25" s="1366" t="s">
        <v>138</v>
      </c>
      <c r="E25" s="1367"/>
      <c r="F25" s="1368"/>
      <c r="G25" s="1561"/>
      <c r="H25" s="1562"/>
      <c r="I25" s="1562"/>
      <c r="J25" s="1562"/>
      <c r="K25" s="1600"/>
      <c r="L25" s="1561"/>
      <c r="M25" s="1562"/>
      <c r="N25" s="1562"/>
      <c r="O25" s="1562"/>
      <c r="P25" s="1600"/>
      <c r="Q25" s="1561"/>
      <c r="R25" s="1562"/>
      <c r="S25" s="1562"/>
      <c r="T25" s="1562"/>
      <c r="U25" s="1563"/>
      <c r="AP25" s="1356"/>
      <c r="AQ25" s="1357"/>
      <c r="AR25" s="1337" t="s">
        <v>146</v>
      </c>
      <c r="AS25" s="1338"/>
      <c r="AT25" s="1339"/>
      <c r="AU25" s="1565"/>
      <c r="AV25" s="1566"/>
      <c r="AW25" s="1566"/>
      <c r="AX25" s="1566"/>
      <c r="AY25" s="1607"/>
      <c r="AZ25" s="1565"/>
      <c r="BA25" s="1566"/>
      <c r="BB25" s="1566"/>
      <c r="BC25" s="1566"/>
      <c r="BD25" s="1607"/>
      <c r="BE25" s="1565"/>
      <c r="BF25" s="1566"/>
      <c r="BG25" s="1566"/>
      <c r="BH25" s="1566"/>
      <c r="BI25" s="1607"/>
      <c r="BJ25" s="1565"/>
      <c r="BK25" s="1566"/>
      <c r="BL25" s="1566"/>
      <c r="BM25" s="1566"/>
      <c r="BN25" s="1607"/>
      <c r="BO25" s="1565"/>
      <c r="BP25" s="1566"/>
      <c r="BQ25" s="1566"/>
      <c r="BR25" s="1566"/>
      <c r="BS25" s="1607"/>
      <c r="BT25" s="1565"/>
      <c r="BU25" s="1566"/>
      <c r="BV25" s="1566"/>
      <c r="BW25" s="1566"/>
      <c r="BX25" s="1607"/>
      <c r="BY25" s="1565"/>
      <c r="BZ25" s="1566"/>
      <c r="CA25" s="1566"/>
      <c r="CB25" s="1566"/>
      <c r="CC25" s="1571"/>
    </row>
    <row r="26" spans="1:81" ht="10.5" customHeight="1" x14ac:dyDescent="0.15">
      <c r="A26" s="31">
        <v>21</v>
      </c>
      <c r="B26" s="22" t="s">
        <v>272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20"/>
      <c r="R26" s="20"/>
      <c r="S26" s="20"/>
      <c r="T26" s="20"/>
      <c r="U26" s="20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9"/>
      <c r="AP26" s="1356"/>
      <c r="AQ26" s="1357"/>
      <c r="AR26" s="1337" t="s">
        <v>373</v>
      </c>
      <c r="AS26" s="1338"/>
      <c r="AT26" s="1339"/>
      <c r="AU26" s="1565"/>
      <c r="AV26" s="1566"/>
      <c r="AW26" s="1566"/>
      <c r="AX26" s="1566"/>
      <c r="AY26" s="1607"/>
      <c r="AZ26" s="1565"/>
      <c r="BA26" s="1566"/>
      <c r="BB26" s="1566"/>
      <c r="BC26" s="1566"/>
      <c r="BD26" s="1607"/>
      <c r="BE26" s="1565"/>
      <c r="BF26" s="1566"/>
      <c r="BG26" s="1566"/>
      <c r="BH26" s="1566"/>
      <c r="BI26" s="1607"/>
      <c r="BJ26" s="1565"/>
      <c r="BK26" s="1566"/>
      <c r="BL26" s="1566"/>
      <c r="BM26" s="1566"/>
      <c r="BN26" s="1607"/>
      <c r="BO26" s="1565"/>
      <c r="BP26" s="1566"/>
      <c r="BQ26" s="1566"/>
      <c r="BR26" s="1566"/>
      <c r="BS26" s="1607"/>
      <c r="BT26" s="1565"/>
      <c r="BU26" s="1566"/>
      <c r="BV26" s="1566"/>
      <c r="BW26" s="1566"/>
      <c r="BX26" s="1607"/>
      <c r="BY26" s="1565"/>
      <c r="BZ26" s="1566"/>
      <c r="CA26" s="1566"/>
      <c r="CB26" s="1566"/>
      <c r="CC26" s="1571"/>
    </row>
    <row r="27" spans="1:81" ht="10.5" customHeight="1" x14ac:dyDescent="0.15">
      <c r="A27" s="31">
        <v>22</v>
      </c>
      <c r="B27" s="1369" t="s">
        <v>59</v>
      </c>
      <c r="C27" s="1370"/>
      <c r="D27" s="1370"/>
      <c r="E27" s="1370"/>
      <c r="F27" s="1371"/>
      <c r="G27" s="1372" t="s">
        <v>60</v>
      </c>
      <c r="H27" s="1370"/>
      <c r="I27" s="1370"/>
      <c r="J27" s="1370"/>
      <c r="K27" s="1370"/>
      <c r="L27" s="135"/>
      <c r="M27" s="135"/>
      <c r="N27" s="307"/>
      <c r="O27" s="307"/>
      <c r="P27" s="307"/>
      <c r="Q27" s="25"/>
      <c r="R27" s="25"/>
      <c r="S27" s="25"/>
      <c r="T27" s="25"/>
      <c r="U27" s="25"/>
      <c r="V27" s="1290" t="s">
        <v>59</v>
      </c>
      <c r="W27" s="1291"/>
      <c r="X27" s="1291"/>
      <c r="Y27" s="1291"/>
      <c r="Z27" s="1292"/>
      <c r="AA27" s="1290" t="s">
        <v>60</v>
      </c>
      <c r="AB27" s="1291"/>
      <c r="AC27" s="1291"/>
      <c r="AD27" s="1291"/>
      <c r="AE27" s="1291"/>
      <c r="AF27" s="135"/>
      <c r="AG27" s="135"/>
      <c r="AH27" s="307"/>
      <c r="AI27" s="307"/>
      <c r="AJ27" s="307"/>
      <c r="AK27" s="25"/>
      <c r="AL27" s="25"/>
      <c r="AM27" s="25"/>
      <c r="AN27" s="25"/>
      <c r="AO27" s="68"/>
      <c r="AP27" s="1356"/>
      <c r="AQ27" s="1357"/>
      <c r="AR27" s="1337" t="s">
        <v>374</v>
      </c>
      <c r="AS27" s="1338"/>
      <c r="AT27" s="1339"/>
      <c r="AU27" s="1565"/>
      <c r="AV27" s="1566"/>
      <c r="AW27" s="1566"/>
      <c r="AX27" s="1566"/>
      <c r="AY27" s="1607"/>
      <c r="AZ27" s="1565"/>
      <c r="BA27" s="1566"/>
      <c r="BB27" s="1566"/>
      <c r="BC27" s="1566"/>
      <c r="BD27" s="1607"/>
      <c r="BE27" s="1565"/>
      <c r="BF27" s="1566"/>
      <c r="BG27" s="1566"/>
      <c r="BH27" s="1566"/>
      <c r="BI27" s="1607"/>
      <c r="BJ27" s="1565"/>
      <c r="BK27" s="1566"/>
      <c r="BL27" s="1566"/>
      <c r="BM27" s="1566"/>
      <c r="BN27" s="1607"/>
      <c r="BO27" s="1565"/>
      <c r="BP27" s="1566"/>
      <c r="BQ27" s="1566"/>
      <c r="BR27" s="1566"/>
      <c r="BS27" s="1607"/>
      <c r="BT27" s="1565"/>
      <c r="BU27" s="1566"/>
      <c r="BV27" s="1566"/>
      <c r="BW27" s="1566"/>
      <c r="BX27" s="1607"/>
      <c r="BY27" s="1565"/>
      <c r="BZ27" s="1566"/>
      <c r="CA27" s="1566"/>
      <c r="CB27" s="1566"/>
      <c r="CC27" s="1571"/>
    </row>
    <row r="28" spans="1:81" ht="10.5" customHeight="1" x14ac:dyDescent="0.15">
      <c r="A28" s="31">
        <v>23</v>
      </c>
      <c r="B28" s="1369"/>
      <c r="C28" s="1370"/>
      <c r="D28" s="1370"/>
      <c r="E28" s="1370"/>
      <c r="F28" s="1371"/>
      <c r="G28" s="1372"/>
      <c r="H28" s="1370"/>
      <c r="I28" s="1370"/>
      <c r="J28" s="1370"/>
      <c r="K28" s="1370"/>
      <c r="L28" s="1296" t="s">
        <v>136</v>
      </c>
      <c r="M28" s="1297"/>
      <c r="N28" s="1297"/>
      <c r="O28" s="1297"/>
      <c r="P28" s="1298"/>
      <c r="Q28" s="1299" t="s">
        <v>63</v>
      </c>
      <c r="R28" s="1300"/>
      <c r="S28" s="1300"/>
      <c r="T28" s="1300"/>
      <c r="U28" s="1300"/>
      <c r="V28" s="1293"/>
      <c r="W28" s="1294"/>
      <c r="X28" s="1294"/>
      <c r="Y28" s="1294"/>
      <c r="Z28" s="1295"/>
      <c r="AA28" s="1293"/>
      <c r="AB28" s="1294"/>
      <c r="AC28" s="1294"/>
      <c r="AD28" s="1294"/>
      <c r="AE28" s="1294"/>
      <c r="AF28" s="1296" t="s">
        <v>136</v>
      </c>
      <c r="AG28" s="1297"/>
      <c r="AH28" s="1297"/>
      <c r="AI28" s="1297"/>
      <c r="AJ28" s="1298"/>
      <c r="AK28" s="1299" t="s">
        <v>63</v>
      </c>
      <c r="AL28" s="1300"/>
      <c r="AM28" s="1300"/>
      <c r="AN28" s="1300"/>
      <c r="AO28" s="1301"/>
      <c r="AP28" s="1356"/>
      <c r="AQ28" s="1357"/>
      <c r="AR28" s="1337" t="s">
        <v>376</v>
      </c>
      <c r="AS28" s="1338"/>
      <c r="AT28" s="1339"/>
      <c r="AU28" s="1565"/>
      <c r="AV28" s="1566"/>
      <c r="AW28" s="1566"/>
      <c r="AX28" s="1566"/>
      <c r="AY28" s="1607"/>
      <c r="AZ28" s="1565"/>
      <c r="BA28" s="1566"/>
      <c r="BB28" s="1566"/>
      <c r="BC28" s="1566"/>
      <c r="BD28" s="1607"/>
      <c r="BE28" s="1565"/>
      <c r="BF28" s="1566"/>
      <c r="BG28" s="1566"/>
      <c r="BH28" s="1566"/>
      <c r="BI28" s="1607"/>
      <c r="BJ28" s="1565"/>
      <c r="BK28" s="1566"/>
      <c r="BL28" s="1566"/>
      <c r="BM28" s="1566"/>
      <c r="BN28" s="1607"/>
      <c r="BO28" s="1565"/>
      <c r="BP28" s="1566"/>
      <c r="BQ28" s="1566"/>
      <c r="BR28" s="1566"/>
      <c r="BS28" s="1607"/>
      <c r="BT28" s="1565"/>
      <c r="BU28" s="1566"/>
      <c r="BV28" s="1566"/>
      <c r="BW28" s="1566"/>
      <c r="BX28" s="1607"/>
      <c r="BY28" s="1565"/>
      <c r="BZ28" s="1566"/>
      <c r="CA28" s="1566"/>
      <c r="CB28" s="1566"/>
      <c r="CC28" s="1571"/>
    </row>
    <row r="29" spans="1:81" ht="10.5" customHeight="1" x14ac:dyDescent="0.15">
      <c r="A29" s="31">
        <v>24</v>
      </c>
      <c r="B29" s="1408" t="s">
        <v>179</v>
      </c>
      <c r="C29" s="1409"/>
      <c r="D29" s="1409"/>
      <c r="E29" s="1409"/>
      <c r="F29" s="1409"/>
      <c r="G29" s="1584"/>
      <c r="H29" s="1585"/>
      <c r="I29" s="1585"/>
      <c r="J29" s="1585"/>
      <c r="K29" s="1625"/>
      <c r="L29" s="1584"/>
      <c r="M29" s="1585"/>
      <c r="N29" s="1585"/>
      <c r="O29" s="1585"/>
      <c r="P29" s="1625"/>
      <c r="Q29" s="1584"/>
      <c r="R29" s="1585"/>
      <c r="S29" s="1585"/>
      <c r="T29" s="1585"/>
      <c r="U29" s="1625"/>
      <c r="V29" s="1317" t="s">
        <v>242</v>
      </c>
      <c r="W29" s="1317"/>
      <c r="X29" s="1317"/>
      <c r="Y29" s="1317"/>
      <c r="Z29" s="1318"/>
      <c r="AA29" s="1584"/>
      <c r="AB29" s="1585"/>
      <c r="AC29" s="1585"/>
      <c r="AD29" s="1585"/>
      <c r="AE29" s="1625"/>
      <c r="AF29" s="1931"/>
      <c r="AG29" s="1872"/>
      <c r="AH29" s="1872"/>
      <c r="AI29" s="1872"/>
      <c r="AJ29" s="2052"/>
      <c r="AK29" s="1584"/>
      <c r="AL29" s="1585"/>
      <c r="AM29" s="1585"/>
      <c r="AN29" s="1585"/>
      <c r="AO29" s="1632"/>
      <c r="AP29" s="1356"/>
      <c r="AQ29" s="1357"/>
      <c r="AR29" s="1337" t="s">
        <v>377</v>
      </c>
      <c r="AS29" s="1338"/>
      <c r="AT29" s="1339"/>
      <c r="AU29" s="1565"/>
      <c r="AV29" s="1566"/>
      <c r="AW29" s="1566"/>
      <c r="AX29" s="1566"/>
      <c r="AY29" s="1607"/>
      <c r="AZ29" s="1565"/>
      <c r="BA29" s="1566"/>
      <c r="BB29" s="1566"/>
      <c r="BC29" s="1566"/>
      <c r="BD29" s="1607"/>
      <c r="BE29" s="1565"/>
      <c r="BF29" s="1566"/>
      <c r="BG29" s="1566"/>
      <c r="BH29" s="1566"/>
      <c r="BI29" s="1607"/>
      <c r="BJ29" s="1565"/>
      <c r="BK29" s="1566"/>
      <c r="BL29" s="1566"/>
      <c r="BM29" s="1566"/>
      <c r="BN29" s="1607"/>
      <c r="BO29" s="1565"/>
      <c r="BP29" s="1566"/>
      <c r="BQ29" s="1566"/>
      <c r="BR29" s="1566"/>
      <c r="BS29" s="1607"/>
      <c r="BT29" s="1565"/>
      <c r="BU29" s="1566"/>
      <c r="BV29" s="1566"/>
      <c r="BW29" s="1566"/>
      <c r="BX29" s="1607"/>
      <c r="BY29" s="1565"/>
      <c r="BZ29" s="1566"/>
      <c r="CA29" s="1566"/>
      <c r="CB29" s="1566"/>
      <c r="CC29" s="1571"/>
    </row>
    <row r="30" spans="1:81" ht="10.5" customHeight="1" x14ac:dyDescent="0.15">
      <c r="A30" s="31">
        <v>25</v>
      </c>
      <c r="B30" s="19"/>
      <c r="C30" s="51"/>
      <c r="D30" s="1337" t="s">
        <v>146</v>
      </c>
      <c r="E30" s="1338"/>
      <c r="F30" s="1339"/>
      <c r="G30" s="1565"/>
      <c r="H30" s="1566"/>
      <c r="I30" s="1566"/>
      <c r="J30" s="1566"/>
      <c r="K30" s="1607"/>
      <c r="L30" s="1565"/>
      <c r="M30" s="1566"/>
      <c r="N30" s="1566"/>
      <c r="O30" s="1566"/>
      <c r="P30" s="1607"/>
      <c r="Q30" s="1565"/>
      <c r="R30" s="1566"/>
      <c r="S30" s="1566"/>
      <c r="T30" s="1566"/>
      <c r="U30" s="1607"/>
      <c r="V30" s="75"/>
      <c r="W30" s="51"/>
      <c r="X30" s="1337" t="s">
        <v>146</v>
      </c>
      <c r="Y30" s="1338"/>
      <c r="Z30" s="1339"/>
      <c r="AA30" s="1565"/>
      <c r="AB30" s="1566"/>
      <c r="AC30" s="1566"/>
      <c r="AD30" s="1566"/>
      <c r="AE30" s="1607"/>
      <c r="AF30" s="1879"/>
      <c r="AG30" s="1880"/>
      <c r="AH30" s="1880"/>
      <c r="AI30" s="1880"/>
      <c r="AJ30" s="2034"/>
      <c r="AK30" s="1565"/>
      <c r="AL30" s="1566"/>
      <c r="AM30" s="1566"/>
      <c r="AN30" s="1566"/>
      <c r="AO30" s="1571"/>
      <c r="AP30" s="1356"/>
      <c r="AQ30" s="1357"/>
      <c r="AR30" s="1337" t="s">
        <v>378</v>
      </c>
      <c r="AS30" s="1338"/>
      <c r="AT30" s="1339"/>
      <c r="AU30" s="1565"/>
      <c r="AV30" s="1566"/>
      <c r="AW30" s="1566"/>
      <c r="AX30" s="1566"/>
      <c r="AY30" s="1607"/>
      <c r="AZ30" s="1565"/>
      <c r="BA30" s="1566"/>
      <c r="BB30" s="1566"/>
      <c r="BC30" s="1566"/>
      <c r="BD30" s="1607"/>
      <c r="BE30" s="1565"/>
      <c r="BF30" s="1566"/>
      <c r="BG30" s="1566"/>
      <c r="BH30" s="1566"/>
      <c r="BI30" s="1607"/>
      <c r="BJ30" s="1565"/>
      <c r="BK30" s="1566"/>
      <c r="BL30" s="1566"/>
      <c r="BM30" s="1566"/>
      <c r="BN30" s="1607"/>
      <c r="BO30" s="1565"/>
      <c r="BP30" s="1566"/>
      <c r="BQ30" s="1566"/>
      <c r="BR30" s="1566"/>
      <c r="BS30" s="1607"/>
      <c r="BT30" s="1565"/>
      <c r="BU30" s="1566"/>
      <c r="BV30" s="1566"/>
      <c r="BW30" s="1566"/>
      <c r="BX30" s="1607"/>
      <c r="BY30" s="1565"/>
      <c r="BZ30" s="1566"/>
      <c r="CA30" s="1566"/>
      <c r="CB30" s="1566"/>
      <c r="CC30" s="1571"/>
    </row>
    <row r="31" spans="1:81" ht="10.5" customHeight="1" thickBot="1" x14ac:dyDescent="0.2">
      <c r="A31" s="31">
        <v>26</v>
      </c>
      <c r="B31" s="19"/>
      <c r="C31" s="51"/>
      <c r="D31" s="1337" t="s">
        <v>613</v>
      </c>
      <c r="E31" s="1338"/>
      <c r="F31" s="1339"/>
      <c r="G31" s="1565"/>
      <c r="H31" s="1566"/>
      <c r="I31" s="1566"/>
      <c r="J31" s="1566"/>
      <c r="K31" s="1607"/>
      <c r="L31" s="1565"/>
      <c r="M31" s="1566"/>
      <c r="N31" s="1566"/>
      <c r="O31" s="1566"/>
      <c r="P31" s="1607"/>
      <c r="Q31" s="1565"/>
      <c r="R31" s="1566"/>
      <c r="S31" s="1566"/>
      <c r="T31" s="1566"/>
      <c r="U31" s="1607"/>
      <c r="V31" s="75"/>
      <c r="W31" s="51"/>
      <c r="X31" s="1337" t="s">
        <v>613</v>
      </c>
      <c r="Y31" s="1338"/>
      <c r="Z31" s="1339"/>
      <c r="AA31" s="1565"/>
      <c r="AB31" s="1566"/>
      <c r="AC31" s="1566"/>
      <c r="AD31" s="1566"/>
      <c r="AE31" s="1607"/>
      <c r="AF31" s="1879"/>
      <c r="AG31" s="1880"/>
      <c r="AH31" s="1880"/>
      <c r="AI31" s="1880"/>
      <c r="AJ31" s="2034"/>
      <c r="AK31" s="1565"/>
      <c r="AL31" s="1566"/>
      <c r="AM31" s="1566"/>
      <c r="AN31" s="1566"/>
      <c r="AO31" s="1571"/>
      <c r="AP31" s="2107"/>
      <c r="AQ31" s="1533"/>
      <c r="AR31" s="1366" t="s">
        <v>147</v>
      </c>
      <c r="AS31" s="1367"/>
      <c r="AT31" s="1368"/>
      <c r="AU31" s="1561"/>
      <c r="AV31" s="1562"/>
      <c r="AW31" s="1562"/>
      <c r="AX31" s="1562"/>
      <c r="AY31" s="1600"/>
      <c r="AZ31" s="1561"/>
      <c r="BA31" s="1562"/>
      <c r="BB31" s="1562"/>
      <c r="BC31" s="1562"/>
      <c r="BD31" s="1600"/>
      <c r="BE31" s="1561"/>
      <c r="BF31" s="1562"/>
      <c r="BG31" s="1562"/>
      <c r="BH31" s="1562"/>
      <c r="BI31" s="1600"/>
      <c r="BJ31" s="1561"/>
      <c r="BK31" s="1562"/>
      <c r="BL31" s="1562"/>
      <c r="BM31" s="1562"/>
      <c r="BN31" s="1600"/>
      <c r="BO31" s="1561"/>
      <c r="BP31" s="1562"/>
      <c r="BQ31" s="1562"/>
      <c r="BR31" s="1562"/>
      <c r="BS31" s="1600"/>
      <c r="BT31" s="1561"/>
      <c r="BU31" s="1562"/>
      <c r="BV31" s="1562"/>
      <c r="BW31" s="1562"/>
      <c r="BX31" s="1600"/>
      <c r="BY31" s="1561"/>
      <c r="BZ31" s="1562"/>
      <c r="CA31" s="1562"/>
      <c r="CB31" s="1562"/>
      <c r="CC31" s="1563"/>
    </row>
    <row r="32" spans="1:81" ht="10.5" customHeight="1" x14ac:dyDescent="0.15">
      <c r="A32" s="31">
        <v>27</v>
      </c>
      <c r="B32" s="19"/>
      <c r="C32" s="51"/>
      <c r="D32" s="1337" t="s">
        <v>614</v>
      </c>
      <c r="E32" s="1338"/>
      <c r="F32" s="1339"/>
      <c r="G32" s="1565"/>
      <c r="H32" s="1566"/>
      <c r="I32" s="1566"/>
      <c r="J32" s="1566"/>
      <c r="K32" s="1607"/>
      <c r="L32" s="1565"/>
      <c r="M32" s="1566"/>
      <c r="N32" s="1566"/>
      <c r="O32" s="1566"/>
      <c r="P32" s="1607"/>
      <c r="Q32" s="1565"/>
      <c r="R32" s="1566"/>
      <c r="S32" s="1566"/>
      <c r="T32" s="1566"/>
      <c r="U32" s="1607"/>
      <c r="V32" s="75"/>
      <c r="W32" s="51"/>
      <c r="X32" s="1337" t="s">
        <v>614</v>
      </c>
      <c r="Y32" s="1338"/>
      <c r="Z32" s="1339"/>
      <c r="AA32" s="1565"/>
      <c r="AB32" s="1566"/>
      <c r="AC32" s="1566"/>
      <c r="AD32" s="1566"/>
      <c r="AE32" s="1607"/>
      <c r="AF32" s="1879"/>
      <c r="AG32" s="1880"/>
      <c r="AH32" s="1880"/>
      <c r="AI32" s="1880"/>
      <c r="AJ32" s="2034"/>
      <c r="AK32" s="1565"/>
      <c r="AL32" s="1566"/>
      <c r="AM32" s="1566"/>
      <c r="AN32" s="1566"/>
      <c r="AO32" s="1571"/>
      <c r="AP32" s="151" t="s">
        <v>621</v>
      </c>
      <c r="AQ32" s="152"/>
      <c r="AR32" s="153"/>
      <c r="AS32" s="153"/>
      <c r="AT32" s="153"/>
      <c r="AU32" s="154"/>
      <c r="AV32" s="154"/>
      <c r="AW32" s="154"/>
      <c r="AX32" s="154"/>
      <c r="AY32" s="155"/>
      <c r="AZ32" s="156"/>
      <c r="BA32" s="156"/>
      <c r="BB32" s="156"/>
      <c r="BC32" s="156"/>
      <c r="BD32" s="156"/>
      <c r="BE32" s="156"/>
      <c r="BF32" s="156"/>
      <c r="BG32" s="156"/>
      <c r="BH32" s="156"/>
      <c r="BI32" s="157"/>
      <c r="BJ32" s="158"/>
      <c r="BK32" s="158"/>
      <c r="BL32" s="158"/>
      <c r="BM32" s="158"/>
      <c r="BN32" s="158"/>
      <c r="BO32" s="159"/>
      <c r="BP32" s="159"/>
      <c r="BQ32" s="159"/>
      <c r="BR32" s="159"/>
      <c r="BS32" s="159"/>
      <c r="BT32" s="159"/>
      <c r="BU32" s="159"/>
      <c r="BV32" s="159"/>
      <c r="BW32" s="159"/>
      <c r="BX32" s="159"/>
      <c r="BY32" s="159"/>
      <c r="BZ32" s="159"/>
      <c r="CA32" s="159"/>
      <c r="CB32" s="159"/>
      <c r="CC32" s="160"/>
    </row>
    <row r="33" spans="1:81" ht="10.5" customHeight="1" x14ac:dyDescent="0.15">
      <c r="A33" s="31">
        <v>28</v>
      </c>
      <c r="B33" s="19"/>
      <c r="C33" s="51"/>
      <c r="D33" s="1337" t="s">
        <v>618</v>
      </c>
      <c r="E33" s="1338"/>
      <c r="F33" s="1339"/>
      <c r="G33" s="1565"/>
      <c r="H33" s="1566"/>
      <c r="I33" s="1566"/>
      <c r="J33" s="1566"/>
      <c r="K33" s="1607"/>
      <c r="L33" s="1565"/>
      <c r="M33" s="1566"/>
      <c r="N33" s="1566"/>
      <c r="O33" s="1566"/>
      <c r="P33" s="1607"/>
      <c r="Q33" s="1565"/>
      <c r="R33" s="1566"/>
      <c r="S33" s="1566"/>
      <c r="T33" s="1566"/>
      <c r="U33" s="1607"/>
      <c r="V33" s="75"/>
      <c r="W33" s="51"/>
      <c r="X33" s="1337" t="s">
        <v>618</v>
      </c>
      <c r="Y33" s="1338"/>
      <c r="Z33" s="1339"/>
      <c r="AA33" s="1565"/>
      <c r="AB33" s="1566"/>
      <c r="AC33" s="1566"/>
      <c r="AD33" s="1566"/>
      <c r="AE33" s="1607"/>
      <c r="AF33" s="1879"/>
      <c r="AG33" s="1880"/>
      <c r="AH33" s="1880"/>
      <c r="AI33" s="1880"/>
      <c r="AJ33" s="2034"/>
      <c r="AK33" s="1565"/>
      <c r="AL33" s="1566"/>
      <c r="AM33" s="1566"/>
      <c r="AN33" s="1566"/>
      <c r="AO33" s="1571"/>
      <c r="AP33" s="1315" t="s">
        <v>41</v>
      </c>
      <c r="AQ33" s="1294"/>
      <c r="AR33" s="1294"/>
      <c r="AS33" s="1294"/>
      <c r="AT33" s="1295"/>
      <c r="AU33" s="1293" t="s">
        <v>514</v>
      </c>
      <c r="AV33" s="1294"/>
      <c r="AW33" s="1294"/>
      <c r="AX33" s="1294"/>
      <c r="AY33" s="1294"/>
      <c r="AZ33" s="2101" t="s">
        <v>622</v>
      </c>
      <c r="BA33" s="2102"/>
      <c r="BB33" s="2102"/>
      <c r="BC33" s="2102"/>
      <c r="BD33" s="2103"/>
      <c r="BE33" s="2104" t="s">
        <v>623</v>
      </c>
      <c r="BF33" s="2105"/>
      <c r="BG33" s="2105"/>
      <c r="BH33" s="2105"/>
      <c r="BI33" s="2106"/>
      <c r="BJ33" s="161"/>
      <c r="BK33" s="161"/>
      <c r="BL33" s="161"/>
      <c r="BM33" s="161"/>
      <c r="BN33" s="161"/>
      <c r="BO33" s="33"/>
      <c r="BP33" s="33"/>
      <c r="BQ33" s="33"/>
      <c r="BR33" s="33"/>
      <c r="BS33" s="33"/>
      <c r="BT33" s="162"/>
      <c r="BU33" s="162"/>
      <c r="BV33" s="162"/>
      <c r="BW33" s="162"/>
      <c r="BX33" s="162"/>
      <c r="BY33" s="162"/>
      <c r="BZ33" s="162"/>
      <c r="CA33" s="162"/>
      <c r="CB33" s="162"/>
      <c r="CC33" s="163"/>
    </row>
    <row r="34" spans="1:81" ht="10.5" customHeight="1" thickBot="1" x14ac:dyDescent="0.2">
      <c r="A34" s="31">
        <v>29</v>
      </c>
      <c r="B34" s="19"/>
      <c r="C34" s="51"/>
      <c r="D34" s="1337" t="s">
        <v>619</v>
      </c>
      <c r="E34" s="1338"/>
      <c r="F34" s="1339"/>
      <c r="G34" s="1565"/>
      <c r="H34" s="1566"/>
      <c r="I34" s="1566"/>
      <c r="J34" s="1566"/>
      <c r="K34" s="1607"/>
      <c r="L34" s="1565"/>
      <c r="M34" s="1566"/>
      <c r="N34" s="1566"/>
      <c r="O34" s="1566"/>
      <c r="P34" s="1607"/>
      <c r="Q34" s="1565"/>
      <c r="R34" s="1566"/>
      <c r="S34" s="1566"/>
      <c r="T34" s="1566"/>
      <c r="U34" s="1607"/>
      <c r="V34" s="75"/>
      <c r="W34" s="51"/>
      <c r="X34" s="1337" t="s">
        <v>619</v>
      </c>
      <c r="Y34" s="1338"/>
      <c r="Z34" s="1339"/>
      <c r="AA34" s="1565"/>
      <c r="AB34" s="1566"/>
      <c r="AC34" s="1566"/>
      <c r="AD34" s="1566"/>
      <c r="AE34" s="1607"/>
      <c r="AF34" s="1879"/>
      <c r="AG34" s="1880"/>
      <c r="AH34" s="1880"/>
      <c r="AI34" s="1880"/>
      <c r="AJ34" s="2034"/>
      <c r="AK34" s="1565"/>
      <c r="AL34" s="1566"/>
      <c r="AM34" s="1566"/>
      <c r="AN34" s="1566"/>
      <c r="AO34" s="1571"/>
      <c r="AP34" s="1316" t="s">
        <v>401</v>
      </c>
      <c r="AQ34" s="1317"/>
      <c r="AR34" s="1317"/>
      <c r="AS34" s="1317"/>
      <c r="AT34" s="1318"/>
      <c r="AU34" s="1584"/>
      <c r="AV34" s="1585"/>
      <c r="AW34" s="1585"/>
      <c r="AX34" s="1585"/>
      <c r="AY34" s="1625"/>
      <c r="AZ34" s="2098" t="s">
        <v>62</v>
      </c>
      <c r="BA34" s="2099"/>
      <c r="BB34" s="2099"/>
      <c r="BC34" s="2099"/>
      <c r="BD34" s="2100"/>
      <c r="BE34" s="1614"/>
      <c r="BF34" s="1615"/>
      <c r="BG34" s="1615"/>
      <c r="BH34" s="1615"/>
      <c r="BI34" s="1772"/>
      <c r="BJ34" s="164"/>
      <c r="BK34" s="164"/>
      <c r="BL34" s="164"/>
      <c r="BM34" s="164"/>
      <c r="BN34" s="164"/>
      <c r="BO34" s="33"/>
      <c r="BP34" s="33"/>
      <c r="BQ34" s="33"/>
      <c r="BR34" s="33"/>
      <c r="BS34" s="33"/>
      <c r="BT34" s="27"/>
      <c r="BU34" s="27"/>
      <c r="BV34" s="27"/>
      <c r="BW34" s="27"/>
      <c r="BX34" s="27"/>
      <c r="BY34" s="27"/>
      <c r="BZ34" s="27"/>
      <c r="CA34" s="27"/>
      <c r="CB34" s="27"/>
      <c r="CC34" s="28"/>
    </row>
    <row r="35" spans="1:81" ht="10.5" customHeight="1" x14ac:dyDescent="0.15">
      <c r="A35" s="31">
        <v>30</v>
      </c>
      <c r="B35" s="19"/>
      <c r="C35" s="51"/>
      <c r="D35" s="1337" t="s">
        <v>620</v>
      </c>
      <c r="E35" s="1338"/>
      <c r="F35" s="1339"/>
      <c r="G35" s="1565"/>
      <c r="H35" s="1566"/>
      <c r="I35" s="1566"/>
      <c r="J35" s="1566"/>
      <c r="K35" s="1607"/>
      <c r="L35" s="1565"/>
      <c r="M35" s="1566"/>
      <c r="N35" s="1566"/>
      <c r="O35" s="1566"/>
      <c r="P35" s="1607"/>
      <c r="Q35" s="1565"/>
      <c r="R35" s="1566"/>
      <c r="S35" s="1566"/>
      <c r="T35" s="1566"/>
      <c r="U35" s="1607"/>
      <c r="V35" s="75"/>
      <c r="W35" s="51"/>
      <c r="X35" s="1337" t="s">
        <v>620</v>
      </c>
      <c r="Y35" s="1338"/>
      <c r="Z35" s="1339"/>
      <c r="AA35" s="1565"/>
      <c r="AB35" s="1566"/>
      <c r="AC35" s="1566"/>
      <c r="AD35" s="1566"/>
      <c r="AE35" s="1607"/>
      <c r="AF35" s="1879"/>
      <c r="AG35" s="1880"/>
      <c r="AH35" s="1880"/>
      <c r="AI35" s="1880"/>
      <c r="AJ35" s="2034"/>
      <c r="AK35" s="1565"/>
      <c r="AL35" s="1566"/>
      <c r="AM35" s="1566"/>
      <c r="AN35" s="1566"/>
      <c r="AO35" s="1571"/>
      <c r="AP35" s="48"/>
      <c r="AQ35" s="1311" t="s">
        <v>403</v>
      </c>
      <c r="AR35" s="1312"/>
      <c r="AS35" s="1312"/>
      <c r="AT35" s="1313"/>
      <c r="AU35" s="1565"/>
      <c r="AV35" s="1566"/>
      <c r="AW35" s="1566"/>
      <c r="AX35" s="1566"/>
      <c r="AY35" s="1571"/>
      <c r="AZ35" s="122"/>
      <c r="BA35" s="161"/>
      <c r="BB35" s="161"/>
      <c r="BC35" s="161"/>
      <c r="BD35" s="161"/>
      <c r="BE35" s="164"/>
      <c r="BF35" s="164"/>
      <c r="BG35" s="164"/>
      <c r="BH35" s="164"/>
      <c r="BI35" s="164"/>
      <c r="BJ35" s="164"/>
      <c r="BK35" s="164"/>
      <c r="BL35" s="164"/>
      <c r="BM35" s="164"/>
      <c r="BN35" s="164"/>
      <c r="BO35" s="165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8"/>
    </row>
    <row r="36" spans="1:81" ht="10.5" customHeight="1" thickBot="1" x14ac:dyDescent="0.2">
      <c r="A36" s="31">
        <v>31</v>
      </c>
      <c r="B36" s="69"/>
      <c r="C36" s="70"/>
      <c r="D36" s="1366" t="s">
        <v>147</v>
      </c>
      <c r="E36" s="1367"/>
      <c r="F36" s="1368"/>
      <c r="G36" s="1561"/>
      <c r="H36" s="1562"/>
      <c r="I36" s="1562"/>
      <c r="J36" s="1562"/>
      <c r="K36" s="1600"/>
      <c r="L36" s="1561"/>
      <c r="M36" s="1562"/>
      <c r="N36" s="1562"/>
      <c r="O36" s="1562"/>
      <c r="P36" s="1600"/>
      <c r="Q36" s="1561"/>
      <c r="R36" s="1562"/>
      <c r="S36" s="1562"/>
      <c r="T36" s="1562"/>
      <c r="U36" s="1600"/>
      <c r="V36" s="76"/>
      <c r="W36" s="70"/>
      <c r="X36" s="1366" t="s">
        <v>147</v>
      </c>
      <c r="Y36" s="1367"/>
      <c r="Z36" s="1368"/>
      <c r="AA36" s="1561"/>
      <c r="AB36" s="1562"/>
      <c r="AC36" s="1562"/>
      <c r="AD36" s="1562"/>
      <c r="AE36" s="1600"/>
      <c r="AF36" s="1891"/>
      <c r="AG36" s="1892"/>
      <c r="AH36" s="1892"/>
      <c r="AI36" s="1892"/>
      <c r="AJ36" s="2097"/>
      <c r="AK36" s="1561"/>
      <c r="AL36" s="1562"/>
      <c r="AM36" s="1562"/>
      <c r="AN36" s="1562"/>
      <c r="AO36" s="1563"/>
      <c r="AP36" s="386"/>
      <c r="AQ36" s="1366" t="s">
        <v>61</v>
      </c>
      <c r="AR36" s="1367"/>
      <c r="AS36" s="1367"/>
      <c r="AT36" s="1368"/>
      <c r="AU36" s="1561"/>
      <c r="AV36" s="1562"/>
      <c r="AW36" s="1562"/>
      <c r="AX36" s="1562"/>
      <c r="AY36" s="1563"/>
      <c r="AZ36" s="122"/>
      <c r="BA36" s="166"/>
      <c r="BB36" s="161"/>
      <c r="BC36" s="161"/>
      <c r="BD36" s="161"/>
      <c r="BO36" s="165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8"/>
    </row>
    <row r="37" spans="1:81" ht="10.5" customHeight="1" x14ac:dyDescent="0.15">
      <c r="A37" s="31">
        <v>32</v>
      </c>
      <c r="B37" s="167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168"/>
    </row>
    <row r="38" spans="1:81" ht="10.5" customHeight="1" x14ac:dyDescent="0.15">
      <c r="A38" s="31">
        <v>33</v>
      </c>
      <c r="B38" s="48"/>
      <c r="C38" s="33"/>
      <c r="D38" s="33"/>
      <c r="E38" s="33"/>
      <c r="F38" s="3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70"/>
      <c r="W38" s="170"/>
      <c r="X38" s="170"/>
      <c r="Y38" s="170"/>
      <c r="Z38" s="170"/>
      <c r="AA38" s="27"/>
      <c r="AB38" s="27"/>
      <c r="AC38" s="27"/>
      <c r="AD38" s="27"/>
      <c r="AE38" s="27"/>
      <c r="AF38" s="171"/>
      <c r="AG38" s="171"/>
      <c r="AH38" s="171"/>
      <c r="AI38" s="171"/>
      <c r="AJ38" s="171"/>
      <c r="AK38" s="27"/>
      <c r="AL38" s="27"/>
      <c r="AM38" s="27"/>
      <c r="AN38" s="27"/>
      <c r="AO38" s="27"/>
      <c r="AP38" s="172"/>
      <c r="AQ38" s="173"/>
      <c r="AR38" s="174"/>
      <c r="AS38" s="174"/>
      <c r="AT38" s="174"/>
      <c r="AU38" s="174"/>
      <c r="AV38" s="174"/>
      <c r="AW38" s="174"/>
      <c r="AX38" s="174"/>
      <c r="AY38" s="175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64"/>
      <c r="BK38" s="164"/>
      <c r="BL38" s="164"/>
      <c r="BM38" s="164"/>
      <c r="BN38" s="164"/>
      <c r="BO38" s="165"/>
      <c r="BP38" s="162"/>
      <c r="BQ38" s="162"/>
      <c r="BR38" s="162"/>
      <c r="BS38" s="162"/>
      <c r="BT38" s="27"/>
      <c r="BU38" s="27"/>
      <c r="BV38" s="27"/>
      <c r="BW38" s="27"/>
      <c r="BX38" s="27"/>
      <c r="BY38" s="27"/>
      <c r="BZ38" s="27"/>
      <c r="CA38" s="27"/>
      <c r="CB38" s="27"/>
      <c r="CC38" s="28"/>
    </row>
    <row r="39" spans="1:81" ht="10.5" customHeight="1" x14ac:dyDescent="0.15">
      <c r="A39" s="31">
        <v>34</v>
      </c>
      <c r="B39" s="48"/>
      <c r="C39" s="33"/>
      <c r="D39" s="33"/>
      <c r="E39" s="33"/>
      <c r="F39" s="3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70"/>
      <c r="W39" s="170"/>
      <c r="X39" s="170"/>
      <c r="Y39" s="170"/>
      <c r="Z39" s="170"/>
      <c r="AA39" s="27"/>
      <c r="AB39" s="27"/>
      <c r="AC39" s="27"/>
      <c r="AD39" s="27"/>
      <c r="AE39" s="27"/>
      <c r="AF39" s="171"/>
      <c r="AG39" s="171"/>
      <c r="AH39" s="171"/>
      <c r="AI39" s="171"/>
      <c r="AJ39" s="171"/>
      <c r="AK39" s="52"/>
      <c r="AL39" s="176"/>
      <c r="AM39" s="176"/>
      <c r="AN39" s="176"/>
      <c r="AO39" s="176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BJ39" s="164"/>
      <c r="BK39" s="164"/>
      <c r="BL39" s="164"/>
      <c r="BM39" s="164"/>
      <c r="BN39" s="164"/>
      <c r="BO39" s="165"/>
      <c r="BP39" s="162"/>
      <c r="BQ39" s="162"/>
      <c r="BR39" s="162"/>
      <c r="BS39" s="162"/>
      <c r="BT39" s="27"/>
      <c r="BU39" s="27"/>
      <c r="BV39" s="27"/>
      <c r="BW39" s="27"/>
      <c r="BX39" s="27"/>
      <c r="BY39" s="27"/>
      <c r="BZ39" s="27"/>
      <c r="CA39" s="27"/>
      <c r="CB39" s="27"/>
      <c r="CC39" s="28"/>
    </row>
    <row r="40" spans="1:81" ht="10.5" customHeight="1" x14ac:dyDescent="0.15">
      <c r="A40" s="31">
        <v>35</v>
      </c>
      <c r="B40" s="48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173"/>
      <c r="AQ40" s="173"/>
      <c r="AR40" s="173"/>
      <c r="AS40" s="173"/>
      <c r="AT40" s="173"/>
      <c r="AU40" s="177"/>
      <c r="AV40" s="177"/>
      <c r="AW40" s="177"/>
      <c r="AX40" s="177"/>
      <c r="AY40" s="177"/>
      <c r="BJ40" s="164"/>
      <c r="BK40" s="164"/>
      <c r="BL40" s="164"/>
      <c r="BM40" s="164"/>
      <c r="BN40" s="164"/>
      <c r="BO40" s="162"/>
      <c r="BP40" s="162"/>
      <c r="BQ40" s="162"/>
      <c r="BR40" s="162"/>
      <c r="BS40" s="162"/>
      <c r="BT40" s="27"/>
      <c r="BV40" s="27"/>
      <c r="BW40" s="27"/>
      <c r="BX40" s="27"/>
      <c r="BY40" s="27"/>
      <c r="BZ40" s="27"/>
      <c r="CA40" s="27"/>
      <c r="CB40" s="27"/>
      <c r="CC40" s="28"/>
    </row>
    <row r="41" spans="1:81" ht="10.5" customHeight="1" x14ac:dyDescent="0.15">
      <c r="A41" s="31">
        <v>36</v>
      </c>
      <c r="B41" s="48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55"/>
      <c r="AL41" s="55"/>
      <c r="AM41" s="55"/>
      <c r="AN41" s="55"/>
      <c r="AO41" s="33"/>
      <c r="AP41" s="173"/>
      <c r="AQ41" s="173"/>
      <c r="AR41" s="173"/>
      <c r="AS41" s="173"/>
      <c r="AT41" s="173"/>
      <c r="AU41" s="177"/>
      <c r="AV41" s="177"/>
      <c r="AW41" s="177"/>
      <c r="AX41" s="177"/>
      <c r="AY41" s="177"/>
      <c r="AZ41" s="178"/>
      <c r="BA41" s="178"/>
      <c r="BB41" s="178"/>
      <c r="BC41" s="178"/>
      <c r="BD41" s="178"/>
      <c r="BE41" s="177"/>
      <c r="BF41" s="177"/>
      <c r="BG41" s="177"/>
      <c r="BH41" s="177"/>
      <c r="BI41" s="177"/>
      <c r="BJ41" s="164"/>
      <c r="BK41" s="164"/>
      <c r="BL41" s="164"/>
      <c r="BM41" s="164"/>
      <c r="BN41" s="164"/>
      <c r="BO41" s="165"/>
      <c r="BP41" s="162"/>
      <c r="BQ41" s="162"/>
      <c r="BR41" s="162"/>
      <c r="BS41" s="162"/>
      <c r="BT41" s="27"/>
      <c r="BU41" s="27"/>
      <c r="BV41" s="27"/>
      <c r="BW41" s="27"/>
      <c r="BX41" s="27"/>
      <c r="BY41" s="27"/>
      <c r="BZ41" s="27"/>
      <c r="CA41" s="27"/>
      <c r="CB41" s="27"/>
      <c r="CC41" s="28"/>
    </row>
    <row r="42" spans="1:81" ht="10.5" customHeight="1" x14ac:dyDescent="0.15">
      <c r="A42" s="31">
        <v>37</v>
      </c>
      <c r="B42" s="48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173"/>
      <c r="AQ42" s="173"/>
      <c r="AR42" s="173"/>
      <c r="AS42" s="173"/>
      <c r="AT42" s="173"/>
      <c r="AU42" s="177"/>
      <c r="AV42" s="177"/>
      <c r="AW42" s="177"/>
      <c r="AX42" s="177"/>
      <c r="AY42" s="177"/>
      <c r="AZ42" s="178"/>
      <c r="BA42" s="178"/>
      <c r="BB42" s="178"/>
      <c r="BC42" s="178"/>
      <c r="BD42" s="178"/>
      <c r="BE42" s="177"/>
      <c r="BF42" s="177"/>
      <c r="BG42" s="177"/>
      <c r="BH42" s="177"/>
      <c r="BI42" s="177"/>
      <c r="BJ42" s="164"/>
      <c r="BK42" s="164"/>
      <c r="BL42" s="164"/>
      <c r="BM42" s="164"/>
      <c r="BN42" s="164"/>
      <c r="BO42" s="165"/>
      <c r="BP42" s="162"/>
      <c r="BQ42" s="162"/>
      <c r="BR42" s="162"/>
      <c r="BS42" s="162"/>
      <c r="BT42" s="27"/>
      <c r="BU42" s="27"/>
      <c r="BV42" s="27"/>
      <c r="BW42" s="27"/>
      <c r="BX42" s="27"/>
      <c r="BY42" s="27"/>
      <c r="BZ42" s="27"/>
      <c r="CA42" s="27"/>
      <c r="CB42" s="27"/>
      <c r="CC42" s="28"/>
    </row>
    <row r="43" spans="1:81" ht="10.5" customHeight="1" x14ac:dyDescent="0.15">
      <c r="A43" s="31">
        <v>38</v>
      </c>
      <c r="B43" s="48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173"/>
      <c r="AQ43" s="179"/>
      <c r="AR43" s="179"/>
      <c r="AS43" s="179"/>
      <c r="AT43" s="179"/>
      <c r="AU43" s="173"/>
      <c r="AV43" s="173"/>
      <c r="AW43" s="173"/>
      <c r="AX43" s="173"/>
      <c r="AY43" s="173"/>
      <c r="AZ43" s="178"/>
      <c r="BA43" s="178"/>
      <c r="BB43" s="178"/>
      <c r="BC43" s="178"/>
      <c r="BD43" s="178"/>
      <c r="BE43" s="177"/>
      <c r="BF43" s="177"/>
      <c r="BG43" s="177"/>
      <c r="BH43" s="177"/>
      <c r="BI43" s="177"/>
      <c r="BJ43" s="164"/>
      <c r="BK43" s="164"/>
      <c r="BL43" s="164"/>
      <c r="BM43" s="164"/>
      <c r="BN43" s="164"/>
      <c r="BO43" s="33"/>
      <c r="BP43" s="33"/>
      <c r="BQ43" s="33"/>
      <c r="BR43" s="33"/>
      <c r="BS43" s="33"/>
      <c r="BT43" s="162"/>
      <c r="BU43" s="162"/>
      <c r="BV43" s="162"/>
      <c r="BW43" s="162"/>
      <c r="BX43" s="162"/>
      <c r="BY43" s="162"/>
      <c r="BZ43" s="162"/>
      <c r="CA43" s="162"/>
      <c r="CB43" s="162"/>
      <c r="CC43" s="163"/>
    </row>
    <row r="44" spans="1:81" ht="10.5" customHeight="1" x14ac:dyDescent="0.15">
      <c r="A44" s="31">
        <v>39</v>
      </c>
      <c r="B44" s="48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27"/>
      <c r="AT44" s="27"/>
      <c r="AU44" s="27"/>
      <c r="AV44" s="27"/>
      <c r="AW44" s="27"/>
      <c r="AX44" s="27"/>
      <c r="AY44" s="27"/>
      <c r="AZ44" s="122"/>
      <c r="BA44" s="95"/>
      <c r="BB44" s="95"/>
      <c r="BC44" s="95"/>
      <c r="BD44" s="95"/>
      <c r="BE44" s="164"/>
      <c r="BF44" s="164"/>
      <c r="BG44" s="164"/>
      <c r="BH44" s="164"/>
      <c r="BI44" s="164"/>
      <c r="BJ44" s="164"/>
      <c r="BK44" s="164"/>
      <c r="BL44" s="164"/>
      <c r="BM44" s="164"/>
      <c r="BN44" s="164"/>
      <c r="BO44" s="180"/>
      <c r="BP44" s="180"/>
      <c r="BQ44" s="180"/>
      <c r="BR44" s="180"/>
      <c r="BS44" s="180"/>
      <c r="BT44" s="27"/>
      <c r="BU44" s="27"/>
      <c r="BV44" s="27"/>
      <c r="BW44" s="27"/>
      <c r="BX44" s="27"/>
      <c r="BY44" s="27"/>
      <c r="BZ44" s="27"/>
      <c r="CA44" s="27"/>
      <c r="CB44" s="27"/>
      <c r="CC44" s="28"/>
    </row>
    <row r="45" spans="1:81" ht="10.5" customHeight="1" x14ac:dyDescent="0.15">
      <c r="A45" s="31">
        <v>40</v>
      </c>
      <c r="B45" s="48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22"/>
      <c r="BA45" s="95"/>
      <c r="BB45" s="95"/>
      <c r="BC45" s="95"/>
      <c r="BD45" s="95"/>
      <c r="BE45" s="164"/>
      <c r="BF45" s="164"/>
      <c r="BG45" s="164"/>
      <c r="BH45" s="164"/>
      <c r="BI45" s="164"/>
      <c r="BJ45" s="164"/>
      <c r="BK45" s="164"/>
      <c r="BL45" s="164"/>
      <c r="BM45" s="164"/>
      <c r="BN45" s="164"/>
      <c r="BO45" s="180"/>
      <c r="BP45" s="180"/>
      <c r="BQ45" s="180"/>
      <c r="BR45" s="180"/>
      <c r="BS45" s="180"/>
      <c r="BT45" s="27"/>
      <c r="BU45" s="27"/>
      <c r="BV45" s="27"/>
      <c r="BW45" s="27"/>
      <c r="BX45" s="27"/>
      <c r="BY45" s="27"/>
      <c r="BZ45" s="27"/>
      <c r="CA45" s="27"/>
      <c r="CB45" s="27"/>
      <c r="CC45" s="28"/>
    </row>
    <row r="46" spans="1:81" ht="10.5" customHeight="1" x14ac:dyDescent="0.15">
      <c r="A46" s="31">
        <v>41</v>
      </c>
      <c r="B46" s="48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181"/>
      <c r="AL46" s="162"/>
      <c r="AM46" s="162"/>
      <c r="AN46" s="162"/>
      <c r="AO46" s="162"/>
      <c r="AP46" s="162"/>
      <c r="AQ46" s="162"/>
      <c r="AR46" s="162"/>
      <c r="AS46" s="162"/>
      <c r="AT46" s="162"/>
      <c r="AU46" s="27"/>
      <c r="AV46" s="27"/>
      <c r="AW46" s="27"/>
      <c r="AX46" s="27"/>
      <c r="AY46" s="27"/>
      <c r="AZ46" s="122"/>
      <c r="BA46" s="95"/>
      <c r="BB46" s="95"/>
      <c r="BC46" s="95"/>
      <c r="BD46" s="95"/>
      <c r="BE46" s="164"/>
      <c r="BF46" s="164"/>
      <c r="BG46" s="164"/>
      <c r="BH46" s="164"/>
      <c r="BI46" s="164"/>
      <c r="BJ46" s="164"/>
      <c r="BK46" s="164"/>
      <c r="BL46" s="164"/>
      <c r="BM46" s="164"/>
      <c r="BN46" s="164"/>
      <c r="BO46" s="182"/>
      <c r="BP46" s="182"/>
      <c r="BQ46" s="182"/>
      <c r="BR46" s="182"/>
      <c r="BS46" s="182"/>
      <c r="BT46" s="27"/>
      <c r="BU46" s="27"/>
      <c r="BV46" s="27"/>
      <c r="BW46" s="27"/>
      <c r="BX46" s="27"/>
      <c r="BY46" s="27"/>
      <c r="BZ46" s="27"/>
      <c r="CA46" s="27"/>
      <c r="CB46" s="27"/>
      <c r="CC46" s="28"/>
    </row>
    <row r="47" spans="1:81" ht="10.5" customHeight="1" x14ac:dyDescent="0.15">
      <c r="A47" s="31">
        <v>42</v>
      </c>
      <c r="B47" s="48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181"/>
      <c r="AL47" s="162"/>
      <c r="AM47" s="162"/>
      <c r="AN47" s="162"/>
      <c r="AO47" s="162"/>
      <c r="AP47" s="162"/>
      <c r="AQ47" s="162"/>
      <c r="AR47" s="162"/>
      <c r="AS47" s="162"/>
      <c r="AT47" s="162"/>
      <c r="AU47" s="27"/>
      <c r="AV47" s="27"/>
      <c r="AW47" s="27"/>
      <c r="AX47" s="27"/>
      <c r="AY47" s="27"/>
      <c r="AZ47" s="122"/>
      <c r="BA47" s="95"/>
      <c r="BB47" s="95"/>
      <c r="BC47" s="95"/>
      <c r="BD47" s="95"/>
      <c r="BE47" s="164"/>
      <c r="BF47" s="164"/>
      <c r="BG47" s="164"/>
      <c r="BH47" s="164"/>
      <c r="BI47" s="164"/>
      <c r="BJ47" s="164"/>
      <c r="BK47" s="164"/>
      <c r="BL47" s="164"/>
      <c r="BM47" s="164"/>
      <c r="BN47" s="164"/>
      <c r="BO47" s="183"/>
      <c r="BP47" s="183"/>
      <c r="BQ47" s="183"/>
      <c r="BR47" s="183"/>
      <c r="BS47" s="183"/>
      <c r="BT47" s="27"/>
      <c r="BU47" s="27"/>
      <c r="BV47" s="27"/>
      <c r="BW47" s="27"/>
      <c r="BX47" s="27"/>
      <c r="BY47" s="27"/>
      <c r="BZ47" s="27"/>
      <c r="CA47" s="27"/>
      <c r="CB47" s="27"/>
      <c r="CC47" s="28"/>
    </row>
    <row r="48" spans="1:81" ht="10.5" customHeight="1" x14ac:dyDescent="0.15">
      <c r="A48" s="31">
        <v>43</v>
      </c>
      <c r="B48" s="48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184"/>
      <c r="AL48" s="162"/>
      <c r="AM48" s="162"/>
      <c r="AN48" s="162"/>
      <c r="AO48" s="162"/>
      <c r="AP48" s="162"/>
      <c r="AQ48" s="162"/>
      <c r="AR48" s="162"/>
      <c r="AS48" s="162"/>
      <c r="AT48" s="162"/>
      <c r="AU48" s="27"/>
      <c r="AV48" s="27"/>
      <c r="AW48" s="27"/>
      <c r="AX48" s="27"/>
      <c r="AY48" s="27"/>
      <c r="AZ48" s="122"/>
      <c r="BA48" s="161"/>
      <c r="BB48" s="161"/>
      <c r="BC48" s="161"/>
      <c r="BD48" s="161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83"/>
      <c r="BP48" s="183"/>
      <c r="BQ48" s="183"/>
      <c r="BR48" s="183"/>
      <c r="BS48" s="183"/>
      <c r="BT48" s="27"/>
      <c r="BU48" s="27"/>
      <c r="BV48" s="27"/>
      <c r="BW48" s="27"/>
      <c r="BX48" s="27"/>
      <c r="BY48" s="27"/>
      <c r="BZ48" s="27"/>
      <c r="CA48" s="27"/>
      <c r="CB48" s="27"/>
      <c r="CC48" s="28"/>
    </row>
    <row r="49" spans="1:81" ht="10.5" customHeight="1" x14ac:dyDescent="0.15">
      <c r="A49" s="31">
        <v>44</v>
      </c>
      <c r="B49" s="48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184"/>
      <c r="AL49" s="162"/>
      <c r="AM49" s="162"/>
      <c r="AN49" s="162"/>
      <c r="AO49" s="162"/>
      <c r="AP49" s="162"/>
      <c r="AQ49" s="162"/>
      <c r="AR49" s="162"/>
      <c r="AS49" s="162"/>
      <c r="AT49" s="162"/>
      <c r="AU49" s="27"/>
      <c r="AV49" s="27"/>
      <c r="AW49" s="27"/>
      <c r="AX49" s="27"/>
      <c r="AY49" s="27"/>
      <c r="AZ49" s="122"/>
      <c r="BA49" s="161"/>
      <c r="BB49" s="161"/>
      <c r="BC49" s="161"/>
      <c r="BD49" s="161"/>
      <c r="BE49" s="164"/>
      <c r="BF49" s="164"/>
      <c r="BG49" s="164"/>
      <c r="BH49" s="164"/>
      <c r="BI49" s="164"/>
      <c r="BJ49" s="164"/>
      <c r="BK49" s="164"/>
      <c r="BL49" s="164"/>
      <c r="BM49" s="164"/>
      <c r="BN49" s="164"/>
      <c r="BO49" s="183"/>
      <c r="BP49" s="183"/>
      <c r="BQ49" s="183"/>
      <c r="BR49" s="183"/>
      <c r="BS49" s="183"/>
      <c r="BT49" s="27"/>
      <c r="BU49" s="27"/>
      <c r="BV49" s="27"/>
      <c r="BW49" s="27"/>
      <c r="BX49" s="27"/>
      <c r="BY49" s="27"/>
      <c r="BZ49" s="27"/>
      <c r="CA49" s="27"/>
      <c r="CB49" s="27"/>
      <c r="CC49" s="28"/>
    </row>
    <row r="50" spans="1:81" ht="10.5" customHeight="1" x14ac:dyDescent="0.15">
      <c r="A50" s="31">
        <v>45</v>
      </c>
      <c r="B50" s="48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184"/>
      <c r="AL50" s="162"/>
      <c r="AM50" s="162"/>
      <c r="AN50" s="162"/>
      <c r="AO50" s="162"/>
      <c r="AP50" s="162"/>
      <c r="AQ50" s="162"/>
      <c r="AR50" s="162"/>
      <c r="AS50" s="162"/>
      <c r="AT50" s="162"/>
      <c r="AU50" s="27"/>
      <c r="AV50" s="27"/>
      <c r="AW50" s="27"/>
      <c r="AX50" s="27"/>
      <c r="AY50" s="27"/>
      <c r="AZ50" s="122"/>
      <c r="BA50" s="161"/>
      <c r="BB50" s="161"/>
      <c r="BC50" s="161"/>
      <c r="BD50" s="161"/>
      <c r="BE50" s="164"/>
      <c r="BF50" s="164"/>
      <c r="BG50" s="164"/>
      <c r="BH50" s="164"/>
      <c r="BI50" s="164"/>
      <c r="BJ50" s="164"/>
      <c r="BK50" s="164"/>
      <c r="BL50" s="164"/>
      <c r="BM50" s="164"/>
      <c r="BN50" s="164"/>
      <c r="BO50" s="183"/>
      <c r="BP50" s="183"/>
      <c r="BQ50" s="183"/>
      <c r="BR50" s="183"/>
      <c r="BS50" s="183"/>
      <c r="BT50" s="27"/>
      <c r="BU50" s="27"/>
      <c r="BV50" s="27"/>
      <c r="BW50" s="27"/>
      <c r="BX50" s="27"/>
      <c r="BY50" s="27"/>
      <c r="BZ50" s="27"/>
      <c r="CA50" s="27"/>
      <c r="CB50" s="27"/>
      <c r="CC50" s="28"/>
    </row>
    <row r="51" spans="1:81" ht="10.5" customHeight="1" x14ac:dyDescent="0.15">
      <c r="A51" s="31">
        <v>46</v>
      </c>
      <c r="B51" s="48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184"/>
      <c r="AL51" s="185"/>
      <c r="AM51" s="185"/>
      <c r="AN51" s="185"/>
      <c r="AO51" s="162"/>
      <c r="AP51" s="162"/>
      <c r="AQ51" s="162"/>
      <c r="AR51" s="162"/>
      <c r="AS51" s="162"/>
      <c r="AT51" s="162"/>
      <c r="AU51" s="27"/>
      <c r="AV51" s="27"/>
      <c r="AW51" s="27"/>
      <c r="AX51" s="27"/>
      <c r="AY51" s="27"/>
      <c r="AZ51" s="122"/>
      <c r="BA51" s="161"/>
      <c r="BB51" s="161"/>
      <c r="BC51" s="161"/>
      <c r="BD51" s="161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83"/>
      <c r="BP51" s="183"/>
      <c r="BQ51" s="183"/>
      <c r="BR51" s="183"/>
      <c r="BS51" s="183"/>
      <c r="BT51" s="27"/>
      <c r="BU51" s="27"/>
      <c r="BV51" s="27"/>
      <c r="BW51" s="27"/>
      <c r="BX51" s="27"/>
      <c r="BY51" s="27"/>
      <c r="BZ51" s="27"/>
      <c r="CA51" s="27"/>
      <c r="CB51" s="27"/>
      <c r="CC51" s="28"/>
    </row>
    <row r="52" spans="1:81" ht="10.5" customHeight="1" x14ac:dyDescent="0.15">
      <c r="A52" s="31">
        <v>47</v>
      </c>
      <c r="B52" s="48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184"/>
      <c r="AL52" s="185"/>
      <c r="AM52" s="185"/>
      <c r="AN52" s="185"/>
      <c r="AO52" s="162"/>
      <c r="AP52" s="162"/>
      <c r="AQ52" s="162"/>
      <c r="AR52" s="162"/>
      <c r="AS52" s="162"/>
      <c r="AT52" s="162"/>
      <c r="AU52" s="27"/>
      <c r="AV52" s="27"/>
      <c r="AW52" s="27"/>
      <c r="AX52" s="27"/>
      <c r="AY52" s="27"/>
      <c r="AZ52" s="122"/>
      <c r="BA52" s="186"/>
      <c r="BB52" s="161"/>
      <c r="BC52" s="161"/>
      <c r="BD52" s="161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87"/>
      <c r="BP52" s="187"/>
      <c r="BQ52" s="187"/>
      <c r="BR52" s="187"/>
      <c r="BS52" s="187"/>
      <c r="BT52" s="27"/>
      <c r="BU52" s="27"/>
      <c r="BV52" s="27"/>
      <c r="BW52" s="27"/>
      <c r="BX52" s="27"/>
      <c r="BY52" s="27"/>
      <c r="BZ52" s="27"/>
      <c r="CA52" s="27"/>
      <c r="CB52" s="27"/>
      <c r="CC52" s="28"/>
    </row>
    <row r="53" spans="1:81" ht="10.5" customHeight="1" x14ac:dyDescent="0.15">
      <c r="A53" s="31">
        <v>48</v>
      </c>
      <c r="B53" s="48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184"/>
      <c r="AL53" s="185"/>
      <c r="AM53" s="185"/>
      <c r="AN53" s="185"/>
      <c r="AO53" s="162"/>
      <c r="AP53" s="162"/>
      <c r="AQ53" s="162"/>
      <c r="AR53" s="162"/>
      <c r="AS53" s="162"/>
      <c r="AT53" s="162"/>
      <c r="AU53" s="27"/>
      <c r="AV53" s="27"/>
      <c r="AW53" s="27"/>
      <c r="AX53" s="27"/>
      <c r="AY53" s="27"/>
      <c r="AZ53" s="122"/>
      <c r="BA53" s="186"/>
      <c r="BB53" s="161"/>
      <c r="BC53" s="161"/>
      <c r="BD53" s="161"/>
      <c r="BE53" s="164"/>
      <c r="BF53" s="164"/>
      <c r="BG53" s="164"/>
      <c r="BH53" s="164"/>
      <c r="BI53" s="164"/>
      <c r="BJ53" s="164"/>
      <c r="BK53" s="164"/>
      <c r="BL53" s="164"/>
      <c r="BM53" s="164"/>
      <c r="BN53" s="164"/>
      <c r="BO53" s="187"/>
      <c r="BP53" s="187"/>
      <c r="BQ53" s="187"/>
      <c r="BR53" s="187"/>
      <c r="BS53" s="187"/>
      <c r="BT53" s="27"/>
      <c r="BU53" s="27"/>
      <c r="BV53" s="27"/>
      <c r="BW53" s="27"/>
      <c r="BX53" s="27"/>
      <c r="BY53" s="27"/>
      <c r="BZ53" s="27"/>
      <c r="CA53" s="27"/>
      <c r="CB53" s="27"/>
      <c r="CC53" s="28"/>
    </row>
    <row r="54" spans="1:81" ht="10.5" customHeight="1" x14ac:dyDescent="0.15">
      <c r="A54" s="31">
        <v>49</v>
      </c>
      <c r="B54" s="48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184"/>
      <c r="AL54" s="185"/>
      <c r="AM54" s="185"/>
      <c r="AN54" s="185"/>
      <c r="AO54" s="162"/>
      <c r="AP54" s="162"/>
      <c r="AQ54" s="162"/>
      <c r="AR54" s="162"/>
      <c r="AS54" s="162"/>
      <c r="AT54" s="162"/>
      <c r="AU54" s="27"/>
      <c r="AV54" s="27"/>
      <c r="AW54" s="27"/>
      <c r="AX54" s="27"/>
      <c r="AY54" s="27"/>
      <c r="AZ54" s="122"/>
      <c r="BA54" s="186"/>
      <c r="BB54" s="161"/>
      <c r="BC54" s="161"/>
      <c r="BD54" s="161"/>
      <c r="BE54" s="164"/>
      <c r="BF54" s="164"/>
      <c r="BG54" s="164"/>
      <c r="BH54" s="164"/>
      <c r="BI54" s="164"/>
      <c r="BJ54" s="164"/>
      <c r="BK54" s="164"/>
      <c r="BL54" s="164"/>
      <c r="BM54" s="164"/>
      <c r="BN54" s="164"/>
      <c r="BO54" s="74"/>
      <c r="BP54" s="74"/>
      <c r="BQ54" s="74"/>
      <c r="BR54" s="74"/>
      <c r="BS54" s="74"/>
      <c r="BT54" s="27"/>
      <c r="BU54" s="27"/>
      <c r="BV54" s="27"/>
      <c r="BW54" s="27"/>
      <c r="BX54" s="27"/>
      <c r="BY54" s="27"/>
      <c r="BZ54" s="27"/>
      <c r="CA54" s="27"/>
      <c r="CB54" s="27"/>
      <c r="CC54" s="28"/>
    </row>
    <row r="55" spans="1:81" ht="10.5" customHeight="1" x14ac:dyDescent="0.15">
      <c r="A55" s="31">
        <v>50</v>
      </c>
      <c r="B55" s="48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184"/>
      <c r="AL55" s="162"/>
      <c r="AM55" s="162"/>
      <c r="AN55" s="162"/>
      <c r="AO55" s="162"/>
      <c r="AP55" s="162"/>
      <c r="AQ55" s="162"/>
      <c r="AR55" s="162"/>
      <c r="AS55" s="162"/>
      <c r="AT55" s="162"/>
      <c r="AU55" s="27"/>
      <c r="AV55" s="27"/>
      <c r="AW55" s="27"/>
      <c r="AX55" s="27"/>
      <c r="AY55" s="27"/>
      <c r="AZ55" s="122"/>
      <c r="BA55" s="186"/>
      <c r="BB55" s="161"/>
      <c r="BC55" s="161"/>
      <c r="BD55" s="161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8"/>
    </row>
    <row r="56" spans="1:81" ht="10.5" customHeight="1" x14ac:dyDescent="0.15">
      <c r="A56" s="31">
        <v>51</v>
      </c>
      <c r="B56" s="2"/>
      <c r="AZ56" s="122"/>
      <c r="BA56" s="186"/>
      <c r="BB56" s="161"/>
      <c r="BC56" s="161"/>
      <c r="BD56" s="161"/>
      <c r="BE56" s="164"/>
      <c r="BF56" s="164"/>
      <c r="BG56" s="164"/>
      <c r="BH56" s="164"/>
      <c r="BI56" s="164"/>
      <c r="BJ56" s="164"/>
      <c r="BK56" s="164"/>
      <c r="BL56" s="164"/>
      <c r="BM56" s="164"/>
      <c r="BN56" s="164"/>
      <c r="CC56" s="7"/>
    </row>
    <row r="57" spans="1:81" ht="9.75" customHeight="1" thickBot="1" x14ac:dyDescent="0.2">
      <c r="A57" s="31">
        <v>52</v>
      </c>
      <c r="B57" s="13"/>
      <c r="C57" s="18"/>
      <c r="D57" s="18"/>
      <c r="E57" s="18"/>
      <c r="F57" s="18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188"/>
      <c r="BA57" s="188"/>
      <c r="BB57" s="188"/>
      <c r="BC57" s="188"/>
      <c r="BD57" s="188"/>
      <c r="BE57" s="189"/>
      <c r="BF57" s="189"/>
      <c r="BG57" s="189"/>
      <c r="BH57" s="189"/>
      <c r="BI57" s="189"/>
      <c r="BJ57" s="189"/>
      <c r="BK57" s="189"/>
      <c r="BL57" s="189"/>
      <c r="BM57" s="189"/>
      <c r="BN57" s="189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14"/>
    </row>
    <row r="58" spans="1:81" x14ac:dyDescent="0.15">
      <c r="B58" s="1289">
        <v>1</v>
      </c>
      <c r="C58" s="1289"/>
      <c r="D58" s="1289"/>
      <c r="E58" s="1289"/>
      <c r="F58" s="1289"/>
      <c r="G58" s="1289">
        <v>2</v>
      </c>
      <c r="H58" s="1289"/>
      <c r="I58" s="1289"/>
      <c r="J58" s="1289"/>
      <c r="K58" s="1289"/>
      <c r="L58" s="1289">
        <v>3</v>
      </c>
      <c r="M58" s="1289"/>
      <c r="N58" s="1289"/>
      <c r="O58" s="1289"/>
      <c r="P58" s="1289"/>
      <c r="Q58" s="1289">
        <v>4</v>
      </c>
      <c r="R58" s="1289"/>
      <c r="S58" s="1289"/>
      <c r="T58" s="1289"/>
      <c r="U58" s="1289"/>
      <c r="V58" s="1289">
        <v>5</v>
      </c>
      <c r="W58" s="1289"/>
      <c r="X58" s="1289"/>
      <c r="Y58" s="1289"/>
      <c r="Z58" s="1289"/>
      <c r="AA58" s="1289">
        <v>6</v>
      </c>
      <c r="AB58" s="1289"/>
      <c r="AC58" s="1289"/>
      <c r="AD58" s="1289"/>
      <c r="AE58" s="1289"/>
      <c r="AF58" s="1289">
        <v>7</v>
      </c>
      <c r="AG58" s="1289"/>
      <c r="AH58" s="1289"/>
      <c r="AI58" s="1289"/>
      <c r="AJ58" s="1289"/>
      <c r="AK58" s="1289">
        <v>8</v>
      </c>
      <c r="AL58" s="1289"/>
      <c r="AM58" s="1289"/>
      <c r="AN58" s="1289"/>
      <c r="AO58" s="1289"/>
      <c r="AP58" s="1289">
        <v>9</v>
      </c>
      <c r="AQ58" s="1289"/>
      <c r="AR58" s="1289"/>
      <c r="AS58" s="1289"/>
      <c r="AT58" s="1289"/>
      <c r="AU58" s="1289">
        <v>10</v>
      </c>
      <c r="AV58" s="1289"/>
      <c r="AW58" s="1289"/>
      <c r="AX58" s="1289"/>
      <c r="AY58" s="1289"/>
      <c r="AZ58" s="1289">
        <v>11</v>
      </c>
      <c r="BA58" s="1289"/>
      <c r="BB58" s="1289"/>
      <c r="BC58" s="1289"/>
      <c r="BD58" s="1289"/>
      <c r="BE58" s="1289">
        <v>12</v>
      </c>
      <c r="BF58" s="1289"/>
      <c r="BG58" s="1289"/>
      <c r="BH58" s="1289"/>
      <c r="BI58" s="1289"/>
      <c r="BJ58" s="1289">
        <v>13</v>
      </c>
      <c r="BK58" s="1289"/>
      <c r="BL58" s="1289"/>
      <c r="BM58" s="1289"/>
      <c r="BN58" s="1289"/>
      <c r="BO58" s="1289">
        <v>14</v>
      </c>
      <c r="BP58" s="1289"/>
      <c r="BQ58" s="1289"/>
      <c r="BR58" s="1289"/>
      <c r="BS58" s="1289"/>
      <c r="BT58" s="1289">
        <v>15</v>
      </c>
      <c r="BU58" s="1289"/>
      <c r="BV58" s="1289"/>
      <c r="BW58" s="1289"/>
      <c r="BX58" s="1289"/>
      <c r="BY58" s="1289">
        <v>16</v>
      </c>
      <c r="BZ58" s="1289"/>
      <c r="CA58" s="1289"/>
      <c r="CB58" s="1289"/>
      <c r="CC58" s="1289"/>
    </row>
    <row r="59" spans="1:81" ht="12" customHeight="1" x14ac:dyDescent="0.15"/>
    <row r="60" spans="1:81" ht="12" customHeight="1" x14ac:dyDescent="0.15"/>
    <row r="61" spans="1:81" ht="12" customHeight="1" x14ac:dyDescent="0.15"/>
    <row r="63" spans="1:81" x14ac:dyDescent="0.15">
      <c r="BD63" s="3"/>
    </row>
  </sheetData>
  <mergeCells count="447">
    <mergeCell ref="BE3:BI3"/>
    <mergeCell ref="BJ3:BS3"/>
    <mergeCell ref="BT3:BX3"/>
    <mergeCell ref="BY3:CC3"/>
    <mergeCell ref="BE4:BI4"/>
    <mergeCell ref="BJ4:BS4"/>
    <mergeCell ref="BT4:BX4"/>
    <mergeCell ref="BY4:CC4"/>
    <mergeCell ref="B6:F7"/>
    <mergeCell ref="G6:K7"/>
    <mergeCell ref="V6:Z7"/>
    <mergeCell ref="AA6:AE7"/>
    <mergeCell ref="AP6:AT7"/>
    <mergeCell ref="AU6:AY7"/>
    <mergeCell ref="AZ6:BD7"/>
    <mergeCell ref="BO6:BS7"/>
    <mergeCell ref="BY6:CC7"/>
    <mergeCell ref="L7:P7"/>
    <mergeCell ref="Q7:U7"/>
    <mergeCell ref="AF7:AJ7"/>
    <mergeCell ref="AK7:AO7"/>
    <mergeCell ref="BE7:BI7"/>
    <mergeCell ref="BJ7:BN7"/>
    <mergeCell ref="AU8:AY8"/>
    <mergeCell ref="AZ8:BD8"/>
    <mergeCell ref="BE8:BI8"/>
    <mergeCell ref="AF9:AJ9"/>
    <mergeCell ref="AK9:AO9"/>
    <mergeCell ref="AR9:AT9"/>
    <mergeCell ref="AU9:AY9"/>
    <mergeCell ref="AF8:AJ8"/>
    <mergeCell ref="AK8:AO8"/>
    <mergeCell ref="AP8:AQ15"/>
    <mergeCell ref="AZ9:BD9"/>
    <mergeCell ref="BE9:BI9"/>
    <mergeCell ref="AU10:AY10"/>
    <mergeCell ref="AZ10:BD10"/>
    <mergeCell ref="BE10:BI10"/>
    <mergeCell ref="AU12:AY12"/>
    <mergeCell ref="AU11:AY11"/>
    <mergeCell ref="BJ9:BN9"/>
    <mergeCell ref="BO9:BS9"/>
    <mergeCell ref="BT9:BX9"/>
    <mergeCell ref="BY9:CC9"/>
    <mergeCell ref="BJ8:BN8"/>
    <mergeCell ref="BO8:BS8"/>
    <mergeCell ref="BT8:BX8"/>
    <mergeCell ref="BY8:CC8"/>
    <mergeCell ref="BJ10:BN10"/>
    <mergeCell ref="BO10:BS10"/>
    <mergeCell ref="BT10:BX10"/>
    <mergeCell ref="BY10:CC10"/>
    <mergeCell ref="B8:F8"/>
    <mergeCell ref="G8:K8"/>
    <mergeCell ref="L8:P8"/>
    <mergeCell ref="Q8:U8"/>
    <mergeCell ref="V8:Z8"/>
    <mergeCell ref="AA8:AE8"/>
    <mergeCell ref="C9:F9"/>
    <mergeCell ref="G9:K9"/>
    <mergeCell ref="L9:P9"/>
    <mergeCell ref="Q9:U9"/>
    <mergeCell ref="W9:Z9"/>
    <mergeCell ref="AA9:AE9"/>
    <mergeCell ref="D11:F11"/>
    <mergeCell ref="G11:K11"/>
    <mergeCell ref="L11:P11"/>
    <mergeCell ref="Q11:U11"/>
    <mergeCell ref="X11:Z11"/>
    <mergeCell ref="AA11:AE11"/>
    <mergeCell ref="AF10:AJ10"/>
    <mergeCell ref="AK10:AO10"/>
    <mergeCell ref="AR10:AT10"/>
    <mergeCell ref="C10:F10"/>
    <mergeCell ref="G10:K10"/>
    <mergeCell ref="L10:P10"/>
    <mergeCell ref="Q10:U10"/>
    <mergeCell ref="W10:Z10"/>
    <mergeCell ref="AA10:AE10"/>
    <mergeCell ref="AF11:AJ11"/>
    <mergeCell ref="AK11:AO11"/>
    <mergeCell ref="AR11:AT11"/>
    <mergeCell ref="BJ11:BN11"/>
    <mergeCell ref="BO11:BS11"/>
    <mergeCell ref="BT11:BX11"/>
    <mergeCell ref="BY11:CC11"/>
    <mergeCell ref="AZ11:BD11"/>
    <mergeCell ref="BE11:BI11"/>
    <mergeCell ref="BJ12:BN12"/>
    <mergeCell ref="BO12:BS12"/>
    <mergeCell ref="BT12:BX12"/>
    <mergeCell ref="BY12:CC12"/>
    <mergeCell ref="AZ12:BD12"/>
    <mergeCell ref="BE12:BI12"/>
    <mergeCell ref="D13:F13"/>
    <mergeCell ref="G13:K13"/>
    <mergeCell ref="L13:P13"/>
    <mergeCell ref="Q13:U13"/>
    <mergeCell ref="X13:Z13"/>
    <mergeCell ref="AA13:AE13"/>
    <mergeCell ref="AF12:AJ12"/>
    <mergeCell ref="AK12:AO12"/>
    <mergeCell ref="AR12:AT12"/>
    <mergeCell ref="BJ13:BN13"/>
    <mergeCell ref="BO13:BS13"/>
    <mergeCell ref="BT13:BX13"/>
    <mergeCell ref="BY13:CC13"/>
    <mergeCell ref="AU13:AY13"/>
    <mergeCell ref="E12:F12"/>
    <mergeCell ref="G14:K14"/>
    <mergeCell ref="L14:P14"/>
    <mergeCell ref="Q14:U14"/>
    <mergeCell ref="V14:Z14"/>
    <mergeCell ref="AA14:AE14"/>
    <mergeCell ref="AF13:AJ13"/>
    <mergeCell ref="AK13:AO13"/>
    <mergeCell ref="AR13:AT13"/>
    <mergeCell ref="G12:K12"/>
    <mergeCell ref="L12:P12"/>
    <mergeCell ref="Q12:U12"/>
    <mergeCell ref="Y12:Z12"/>
    <mergeCell ref="AA12:AE12"/>
    <mergeCell ref="AZ13:BD13"/>
    <mergeCell ref="BE13:BI13"/>
    <mergeCell ref="BJ14:BN14"/>
    <mergeCell ref="BO14:BS14"/>
    <mergeCell ref="BT14:BX14"/>
    <mergeCell ref="BY14:CC14"/>
    <mergeCell ref="C15:F15"/>
    <mergeCell ref="G15:K15"/>
    <mergeCell ref="L15:P15"/>
    <mergeCell ref="Q15:U15"/>
    <mergeCell ref="W15:Z15"/>
    <mergeCell ref="AA15:AE15"/>
    <mergeCell ref="AF14:AJ14"/>
    <mergeCell ref="AK14:AO14"/>
    <mergeCell ref="AR14:AT14"/>
    <mergeCell ref="AU14:AY14"/>
    <mergeCell ref="AZ14:BD14"/>
    <mergeCell ref="BE14:BI14"/>
    <mergeCell ref="BT15:BX15"/>
    <mergeCell ref="BY15:CC15"/>
    <mergeCell ref="AU15:AY15"/>
    <mergeCell ref="AZ15:BD15"/>
    <mergeCell ref="BE15:BI15"/>
    <mergeCell ref="B14:F14"/>
    <mergeCell ref="C16:F16"/>
    <mergeCell ref="G16:K16"/>
    <mergeCell ref="L16:P16"/>
    <mergeCell ref="Q16:U16"/>
    <mergeCell ref="W16:Z16"/>
    <mergeCell ref="AA16:AE16"/>
    <mergeCell ref="AF15:AJ15"/>
    <mergeCell ref="AK15:AO15"/>
    <mergeCell ref="AR15:AT15"/>
    <mergeCell ref="AU16:AY16"/>
    <mergeCell ref="AZ16:BD16"/>
    <mergeCell ref="BE16:BI16"/>
    <mergeCell ref="AF17:AJ17"/>
    <mergeCell ref="AK17:AO17"/>
    <mergeCell ref="AR17:AT17"/>
    <mergeCell ref="AU17:AY17"/>
    <mergeCell ref="BJ15:BN15"/>
    <mergeCell ref="BO15:BS15"/>
    <mergeCell ref="AZ17:BD17"/>
    <mergeCell ref="BE17:BI17"/>
    <mergeCell ref="BJ17:BN17"/>
    <mergeCell ref="BO17:BS17"/>
    <mergeCell ref="D17:F17"/>
    <mergeCell ref="G17:K17"/>
    <mergeCell ref="L17:P17"/>
    <mergeCell ref="Q17:U17"/>
    <mergeCell ref="V17:Z17"/>
    <mergeCell ref="AA17:AE17"/>
    <mergeCell ref="AF16:AJ16"/>
    <mergeCell ref="AK16:AO16"/>
    <mergeCell ref="AP16:AQ23"/>
    <mergeCell ref="D19:F19"/>
    <mergeCell ref="G19:K19"/>
    <mergeCell ref="L19:P19"/>
    <mergeCell ref="Q19:U19"/>
    <mergeCell ref="W19:Z19"/>
    <mergeCell ref="AA19:AE19"/>
    <mergeCell ref="AF18:AJ18"/>
    <mergeCell ref="AK18:AO18"/>
    <mergeCell ref="C21:F21"/>
    <mergeCell ref="G21:K21"/>
    <mergeCell ref="L21:P21"/>
    <mergeCell ref="Q21:U21"/>
    <mergeCell ref="Y21:Z21"/>
    <mergeCell ref="AA21:AE21"/>
    <mergeCell ref="D23:F23"/>
    <mergeCell ref="BT17:BX17"/>
    <mergeCell ref="BY17:CC17"/>
    <mergeCell ref="BJ16:BN16"/>
    <mergeCell ref="BO16:BS16"/>
    <mergeCell ref="BT16:BX16"/>
    <mergeCell ref="BY16:CC16"/>
    <mergeCell ref="BJ18:BN18"/>
    <mergeCell ref="BO18:BS18"/>
    <mergeCell ref="BT18:BX18"/>
    <mergeCell ref="BY18:CC18"/>
    <mergeCell ref="AR18:AT18"/>
    <mergeCell ref="AU18:AY18"/>
    <mergeCell ref="AZ18:BD18"/>
    <mergeCell ref="BE18:BI18"/>
    <mergeCell ref="E18:F18"/>
    <mergeCell ref="G18:K18"/>
    <mergeCell ref="L18:P18"/>
    <mergeCell ref="Q18:U18"/>
    <mergeCell ref="W18:Z18"/>
    <mergeCell ref="AA18:AE18"/>
    <mergeCell ref="BJ19:BN19"/>
    <mergeCell ref="BO19:BS19"/>
    <mergeCell ref="BT19:BX19"/>
    <mergeCell ref="BY19:CC19"/>
    <mergeCell ref="B20:F20"/>
    <mergeCell ref="G20:K20"/>
    <mergeCell ref="L20:P20"/>
    <mergeCell ref="Q20:U20"/>
    <mergeCell ref="X20:Z20"/>
    <mergeCell ref="AA20:AE20"/>
    <mergeCell ref="AF19:AJ19"/>
    <mergeCell ref="AK19:AO19"/>
    <mergeCell ref="AR19:AT19"/>
    <mergeCell ref="AU19:AY19"/>
    <mergeCell ref="AZ19:BD19"/>
    <mergeCell ref="BE19:BI19"/>
    <mergeCell ref="BJ20:BN20"/>
    <mergeCell ref="BO20:BS20"/>
    <mergeCell ref="BT20:BX20"/>
    <mergeCell ref="BY20:CC20"/>
    <mergeCell ref="AF20:AJ20"/>
    <mergeCell ref="AK20:AO20"/>
    <mergeCell ref="AR20:AT20"/>
    <mergeCell ref="AU20:AY20"/>
    <mergeCell ref="AZ20:BD20"/>
    <mergeCell ref="BE20:BI20"/>
    <mergeCell ref="BJ21:BN21"/>
    <mergeCell ref="BO21:BS21"/>
    <mergeCell ref="BT21:BX21"/>
    <mergeCell ref="BY21:CC21"/>
    <mergeCell ref="C22:F22"/>
    <mergeCell ref="G22:K22"/>
    <mergeCell ref="L22:P22"/>
    <mergeCell ref="Q22:U22"/>
    <mergeCell ref="X22:Z22"/>
    <mergeCell ref="AA22:AE22"/>
    <mergeCell ref="AF21:AJ21"/>
    <mergeCell ref="AK21:AO21"/>
    <mergeCell ref="AR21:AT21"/>
    <mergeCell ref="AU21:AY21"/>
    <mergeCell ref="AZ21:BD21"/>
    <mergeCell ref="BE21:BI21"/>
    <mergeCell ref="G23:K23"/>
    <mergeCell ref="L23:P23"/>
    <mergeCell ref="Q23:U23"/>
    <mergeCell ref="AR23:AT23"/>
    <mergeCell ref="AU23:AY23"/>
    <mergeCell ref="AF22:AJ22"/>
    <mergeCell ref="AK22:AO22"/>
    <mergeCell ref="AR22:AT22"/>
    <mergeCell ref="AU22:AY22"/>
    <mergeCell ref="AZ23:BD23"/>
    <mergeCell ref="BE23:BI23"/>
    <mergeCell ref="BJ23:BN23"/>
    <mergeCell ref="BO23:BS23"/>
    <mergeCell ref="BT23:BX23"/>
    <mergeCell ref="BY23:CC23"/>
    <mergeCell ref="BJ22:BN22"/>
    <mergeCell ref="BO22:BS22"/>
    <mergeCell ref="BT22:BX22"/>
    <mergeCell ref="BY22:CC22"/>
    <mergeCell ref="AZ22:BD22"/>
    <mergeCell ref="BE22:BI22"/>
    <mergeCell ref="AZ24:BD24"/>
    <mergeCell ref="BE24:BI24"/>
    <mergeCell ref="BJ24:BN24"/>
    <mergeCell ref="BO24:BS24"/>
    <mergeCell ref="BT24:BX24"/>
    <mergeCell ref="BY24:CC24"/>
    <mergeCell ref="E24:F24"/>
    <mergeCell ref="G24:K24"/>
    <mergeCell ref="L24:P24"/>
    <mergeCell ref="Q24:U24"/>
    <mergeCell ref="AP24:AQ31"/>
    <mergeCell ref="AU24:AY24"/>
    <mergeCell ref="D25:F25"/>
    <mergeCell ref="G25:K25"/>
    <mergeCell ref="L25:P25"/>
    <mergeCell ref="Q25:U25"/>
    <mergeCell ref="BT25:BX25"/>
    <mergeCell ref="BY25:CC25"/>
    <mergeCell ref="AR26:AT26"/>
    <mergeCell ref="AU26:AY26"/>
    <mergeCell ref="AZ26:BD26"/>
    <mergeCell ref="BE26:BI26"/>
    <mergeCell ref="BJ26:BN26"/>
    <mergeCell ref="BO26:BS26"/>
    <mergeCell ref="BT26:BX26"/>
    <mergeCell ref="BY26:CC26"/>
    <mergeCell ref="AR25:AT25"/>
    <mergeCell ref="AU25:AY25"/>
    <mergeCell ref="AZ25:BD25"/>
    <mergeCell ref="BE25:BI25"/>
    <mergeCell ref="BJ25:BN25"/>
    <mergeCell ref="BO25:BS25"/>
    <mergeCell ref="AZ27:BD27"/>
    <mergeCell ref="BE27:BI27"/>
    <mergeCell ref="BJ27:BN27"/>
    <mergeCell ref="BO27:BS27"/>
    <mergeCell ref="BT27:BX27"/>
    <mergeCell ref="BY27:CC27"/>
    <mergeCell ref="BY28:CC28"/>
    <mergeCell ref="B29:F29"/>
    <mergeCell ref="G29:K29"/>
    <mergeCell ref="L29:P29"/>
    <mergeCell ref="Q29:U29"/>
    <mergeCell ref="V29:Z29"/>
    <mergeCell ref="AA29:AE29"/>
    <mergeCell ref="AF29:AJ29"/>
    <mergeCell ref="AK29:AO29"/>
    <mergeCell ref="AR28:AT28"/>
    <mergeCell ref="AU28:AY28"/>
    <mergeCell ref="AZ28:BD28"/>
    <mergeCell ref="BE28:BI28"/>
    <mergeCell ref="BJ28:BN28"/>
    <mergeCell ref="BO28:BS28"/>
    <mergeCell ref="BT29:BX29"/>
    <mergeCell ref="BY29:CC29"/>
    <mergeCell ref="AU29:AY29"/>
    <mergeCell ref="AZ29:BD29"/>
    <mergeCell ref="BE29:BI29"/>
    <mergeCell ref="BJ29:BN29"/>
    <mergeCell ref="BO29:BS29"/>
    <mergeCell ref="B27:F28"/>
    <mergeCell ref="G27:K28"/>
    <mergeCell ref="L30:P30"/>
    <mergeCell ref="Q30:U30"/>
    <mergeCell ref="X30:Z30"/>
    <mergeCell ref="AA30:AE30"/>
    <mergeCell ref="AF30:AJ30"/>
    <mergeCell ref="AK30:AO30"/>
    <mergeCell ref="AR29:AT29"/>
    <mergeCell ref="BT28:BX28"/>
    <mergeCell ref="V27:Z28"/>
    <mergeCell ref="AA27:AE28"/>
    <mergeCell ref="AR27:AT27"/>
    <mergeCell ref="AU27:AY27"/>
    <mergeCell ref="L28:P28"/>
    <mergeCell ref="Q28:U28"/>
    <mergeCell ref="AF28:AJ28"/>
    <mergeCell ref="AK28:AO28"/>
    <mergeCell ref="BT30:BX30"/>
    <mergeCell ref="BY30:CC30"/>
    <mergeCell ref="D31:F31"/>
    <mergeCell ref="G31:K31"/>
    <mergeCell ref="L31:P31"/>
    <mergeCell ref="Q31:U31"/>
    <mergeCell ref="X31:Z31"/>
    <mergeCell ref="AA31:AE31"/>
    <mergeCell ref="AF31:AJ31"/>
    <mergeCell ref="AK31:AO31"/>
    <mergeCell ref="AR30:AT30"/>
    <mergeCell ref="AU30:AY30"/>
    <mergeCell ref="AZ30:BD30"/>
    <mergeCell ref="BE30:BI30"/>
    <mergeCell ref="BJ30:BN30"/>
    <mergeCell ref="BO30:BS30"/>
    <mergeCell ref="BT31:BX31"/>
    <mergeCell ref="BY31:CC31"/>
    <mergeCell ref="AU31:AY31"/>
    <mergeCell ref="AZ31:BD31"/>
    <mergeCell ref="BE31:BI31"/>
    <mergeCell ref="BJ31:BN31"/>
    <mergeCell ref="BO31:BS31"/>
    <mergeCell ref="D30:F30"/>
    <mergeCell ref="G30:K30"/>
    <mergeCell ref="D32:F32"/>
    <mergeCell ref="G32:K32"/>
    <mergeCell ref="L32:P32"/>
    <mergeCell ref="Q32:U32"/>
    <mergeCell ref="X32:Z32"/>
    <mergeCell ref="AA32:AE32"/>
    <mergeCell ref="AF32:AJ32"/>
    <mergeCell ref="AK32:AO32"/>
    <mergeCell ref="AR31:AT31"/>
    <mergeCell ref="AF33:AJ33"/>
    <mergeCell ref="AK33:AO33"/>
    <mergeCell ref="AP33:AT33"/>
    <mergeCell ref="AU33:AY33"/>
    <mergeCell ref="AZ33:BD33"/>
    <mergeCell ref="BE33:BI33"/>
    <mergeCell ref="D33:F33"/>
    <mergeCell ref="G33:K33"/>
    <mergeCell ref="L33:P33"/>
    <mergeCell ref="Q33:U33"/>
    <mergeCell ref="X33:Z33"/>
    <mergeCell ref="AA33:AE33"/>
    <mergeCell ref="AF34:AJ34"/>
    <mergeCell ref="AK34:AO34"/>
    <mergeCell ref="AP34:AT34"/>
    <mergeCell ref="AU34:AY34"/>
    <mergeCell ref="AZ34:BD34"/>
    <mergeCell ref="BE34:BI34"/>
    <mergeCell ref="D34:F34"/>
    <mergeCell ref="G34:K34"/>
    <mergeCell ref="L34:P34"/>
    <mergeCell ref="Q34:U34"/>
    <mergeCell ref="X34:Z34"/>
    <mergeCell ref="AA34:AE34"/>
    <mergeCell ref="AF35:AJ35"/>
    <mergeCell ref="AK35:AO35"/>
    <mergeCell ref="AQ35:AT35"/>
    <mergeCell ref="AU35:AY35"/>
    <mergeCell ref="D36:F36"/>
    <mergeCell ref="G36:K36"/>
    <mergeCell ref="L36:P36"/>
    <mergeCell ref="Q36:U36"/>
    <mergeCell ref="X36:Z36"/>
    <mergeCell ref="AA36:AE36"/>
    <mergeCell ref="D35:F35"/>
    <mergeCell ref="G35:K35"/>
    <mergeCell ref="L35:P35"/>
    <mergeCell ref="Q35:U35"/>
    <mergeCell ref="X35:Z35"/>
    <mergeCell ref="AA35:AE35"/>
    <mergeCell ref="AF36:AJ36"/>
    <mergeCell ref="AK36:AO36"/>
    <mergeCell ref="AQ36:AT36"/>
    <mergeCell ref="AU36:AY36"/>
    <mergeCell ref="BY58:CC58"/>
    <mergeCell ref="AF58:AJ58"/>
    <mergeCell ref="AK58:AO58"/>
    <mergeCell ref="AP58:AT58"/>
    <mergeCell ref="AU58:AY58"/>
    <mergeCell ref="AZ58:BD58"/>
    <mergeCell ref="BE58:BI58"/>
    <mergeCell ref="B58:F58"/>
    <mergeCell ref="G58:K58"/>
    <mergeCell ref="L58:P58"/>
    <mergeCell ref="Q58:U58"/>
    <mergeCell ref="V58:Z58"/>
    <mergeCell ref="AA58:AE58"/>
    <mergeCell ref="BJ58:BN58"/>
    <mergeCell ref="BO58:BS58"/>
    <mergeCell ref="BT58:BX58"/>
  </mergeCells>
  <phoneticPr fontId="1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No1</vt:lpstr>
      <vt:lpstr>No2</vt:lpstr>
      <vt:lpstr>No3</vt:lpstr>
      <vt:lpstr>No4</vt:lpstr>
      <vt:lpstr>No5</vt:lpstr>
      <vt:lpstr>No6</vt:lpstr>
      <vt:lpstr>'No1'!Print_Area</vt:lpstr>
      <vt:lpstr>'No2'!Print_Area</vt:lpstr>
      <vt:lpstr>'No3'!Print_Area</vt:lpstr>
      <vt:lpstr>'No4'!Print_Area</vt:lpstr>
      <vt:lpstr>'No5'!Print_Area</vt:lpstr>
      <vt:lpstr>'No6'!Print_Area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2022-12-07T02:20:55Z</dcterms:modified>
</cp:coreProperties>
</file>