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-120" yWindow="-120" windowWidth="29040" windowHeight="15840"/>
  </bookViews>
  <sheets>
    <sheet name="No.1" sheetId="26" r:id="rId1"/>
    <sheet name="No.2" sheetId="27" r:id="rId2"/>
    <sheet name="No.3" sheetId="28" r:id="rId3"/>
    <sheet name="No.4" sheetId="29" r:id="rId4"/>
    <sheet name="No.5" sheetId="30" r:id="rId5"/>
    <sheet name="No.5 (2)" sheetId="31" r:id="rId6"/>
  </sheets>
  <definedNames>
    <definedName name="_xlnm.Print_Area" localSheetId="0">No.1!$A$1:$Q$45</definedName>
    <definedName name="_xlnm.Print_Area" localSheetId="1">No.2!$A$1:$W$43</definedName>
    <definedName name="_xlnm.Print_Area" localSheetId="2">No.3!$A$1:$T$43</definedName>
    <definedName name="_xlnm.Print_Area" localSheetId="3">No.4!$A$1:$Q$44</definedName>
    <definedName name="_xlnm.Print_Area" localSheetId="4">No.5!$A$1:$T$46</definedName>
    <definedName name="_xlnm.Print_Area" localSheetId="5">'No.5 (2)'!$A$1:$T$43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29" l="1"/>
  <c r="Q2" i="30"/>
  <c r="Q2" i="31"/>
  <c r="R2" i="28"/>
  <c r="U2" i="27"/>
  <c r="O21" i="31" l="1"/>
  <c r="N21" i="31"/>
  <c r="M21" i="31"/>
  <c r="O20" i="31"/>
  <c r="N20" i="31"/>
  <c r="M20" i="31"/>
  <c r="O19" i="31"/>
  <c r="N19" i="31"/>
  <c r="M19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N29" i="30"/>
  <c r="N28" i="30"/>
  <c r="M27" i="30"/>
  <c r="O26" i="30"/>
  <c r="N26" i="30"/>
  <c r="M26" i="30"/>
  <c r="O25" i="30"/>
  <c r="N25" i="30"/>
  <c r="M25" i="30"/>
  <c r="O24" i="30"/>
  <c r="N24" i="30"/>
  <c r="M24" i="30"/>
  <c r="O23" i="30"/>
  <c r="N23" i="30"/>
  <c r="M23" i="30"/>
  <c r="N22" i="30"/>
  <c r="O21" i="30"/>
  <c r="N21" i="30"/>
  <c r="M21" i="30"/>
  <c r="O20" i="30"/>
  <c r="N20" i="30"/>
  <c r="M20" i="30"/>
  <c r="O19" i="30"/>
  <c r="N19" i="30"/>
  <c r="M19" i="30"/>
  <c r="O18" i="30"/>
  <c r="N18" i="30"/>
  <c r="M18" i="30"/>
  <c r="O17" i="30"/>
  <c r="N17" i="30"/>
  <c r="M17" i="30"/>
  <c r="O16" i="30"/>
  <c r="N16" i="30"/>
  <c r="M16" i="30"/>
  <c r="O15" i="30"/>
  <c r="N15" i="30"/>
  <c r="M15" i="30"/>
  <c r="O14" i="30"/>
  <c r="N14" i="30"/>
  <c r="M14" i="30"/>
  <c r="O13" i="30"/>
  <c r="N13" i="30"/>
  <c r="M13" i="30"/>
  <c r="O12" i="30"/>
  <c r="N12" i="30"/>
  <c r="M12" i="30"/>
  <c r="O11" i="30"/>
  <c r="N11" i="30"/>
  <c r="M11" i="30"/>
  <c r="O10" i="30"/>
  <c r="N10" i="30"/>
  <c r="M10" i="30"/>
  <c r="O9" i="30"/>
  <c r="N9" i="30"/>
  <c r="M9" i="30"/>
  <c r="O8" i="30"/>
  <c r="N8" i="30"/>
  <c r="M8" i="30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1" i="29"/>
  <c r="K36" i="28"/>
  <c r="K35" i="28"/>
  <c r="K34" i="28"/>
  <c r="K33" i="28"/>
  <c r="K32" i="28"/>
  <c r="K26" i="28"/>
  <c r="K25" i="28"/>
  <c r="K24" i="28"/>
  <c r="K23" i="28"/>
  <c r="K22" i="28"/>
  <c r="K21" i="28"/>
  <c r="Q15" i="28"/>
  <c r="Q14" i="28"/>
  <c r="Q13" i="28"/>
  <c r="Q12" i="28"/>
  <c r="Q11" i="28"/>
  <c r="Q10" i="28"/>
  <c r="Q9" i="28"/>
  <c r="Q8" i="28"/>
  <c r="N15" i="28"/>
  <c r="N14" i="28"/>
  <c r="N13" i="28"/>
  <c r="N12" i="28"/>
  <c r="N11" i="28"/>
  <c r="N10" i="28"/>
  <c r="N9" i="28"/>
  <c r="N8" i="28"/>
  <c r="K15" i="28"/>
  <c r="K14" i="28"/>
  <c r="K13" i="28"/>
  <c r="K12" i="28"/>
  <c r="K11" i="28"/>
  <c r="K10" i="28"/>
  <c r="K9" i="28"/>
  <c r="K8" i="28"/>
  <c r="U30" i="27"/>
  <c r="U29" i="27"/>
  <c r="U21" i="27"/>
  <c r="U20" i="27"/>
  <c r="U19" i="27"/>
  <c r="U18" i="27"/>
  <c r="U17" i="27"/>
  <c r="U15" i="27"/>
  <c r="U14" i="27"/>
  <c r="U13" i="27"/>
  <c r="U12" i="27"/>
  <c r="U11" i="27"/>
  <c r="U10" i="27"/>
  <c r="U9" i="27"/>
  <c r="U8" i="27"/>
  <c r="U7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K29" i="26"/>
  <c r="M28" i="26"/>
  <c r="L28" i="26"/>
  <c r="K28" i="26"/>
  <c r="M27" i="26"/>
  <c r="L27" i="26"/>
  <c r="K27" i="26"/>
  <c r="M26" i="26"/>
  <c r="L26" i="26"/>
  <c r="K26" i="26"/>
  <c r="M25" i="26"/>
  <c r="L25" i="26"/>
  <c r="K25" i="26"/>
  <c r="M24" i="26"/>
  <c r="L24" i="26"/>
  <c r="K24" i="26"/>
  <c r="M23" i="26"/>
  <c r="L23" i="26"/>
  <c r="K23" i="26"/>
  <c r="M22" i="26"/>
  <c r="L22" i="26"/>
  <c r="K22" i="26"/>
  <c r="M21" i="26"/>
  <c r="L21" i="26"/>
  <c r="K21" i="26"/>
  <c r="M20" i="26"/>
  <c r="L20" i="26"/>
  <c r="K20" i="26"/>
  <c r="M19" i="26"/>
  <c r="L19" i="26"/>
  <c r="K19" i="26"/>
  <c r="M18" i="26"/>
  <c r="L18" i="26"/>
  <c r="K18" i="26"/>
  <c r="M17" i="26"/>
  <c r="L17" i="26"/>
  <c r="K17" i="26"/>
  <c r="M16" i="26"/>
  <c r="L16" i="26"/>
  <c r="K16" i="26"/>
  <c r="M15" i="26"/>
  <c r="L15" i="26"/>
  <c r="K15" i="26"/>
  <c r="M14" i="26"/>
  <c r="L14" i="26"/>
  <c r="K14" i="26"/>
  <c r="M13" i="26"/>
  <c r="L13" i="26"/>
  <c r="K13" i="26"/>
  <c r="M12" i="26"/>
  <c r="L12" i="26"/>
  <c r="K12" i="26"/>
  <c r="M11" i="26"/>
  <c r="L11" i="26"/>
  <c r="K11" i="26"/>
  <c r="M10" i="26"/>
  <c r="L10" i="26"/>
  <c r="K10" i="26"/>
  <c r="M9" i="26"/>
  <c r="L9" i="26"/>
  <c r="K9" i="26"/>
  <c r="M8" i="26"/>
  <c r="L8" i="26"/>
  <c r="K8" i="26"/>
  <c r="M7" i="26"/>
  <c r="L7" i="26"/>
  <c r="K7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A1" i="31" l="1"/>
  <c r="A1" i="30"/>
  <c r="A1" i="29"/>
  <c r="A1" i="28"/>
  <c r="A1" i="27"/>
  <c r="H5" i="26"/>
  <c r="J5" i="26"/>
  <c r="E5" i="27"/>
  <c r="G5" i="30"/>
  <c r="J5" i="30"/>
  <c r="I6" i="28"/>
  <c r="G6" i="29"/>
  <c r="G5" i="31"/>
  <c r="J5" i="31"/>
  <c r="S5" i="27"/>
  <c r="H6" i="29"/>
  <c r="K6" i="29"/>
  <c r="J6" i="29"/>
  <c r="J6" i="28"/>
  <c r="I30" i="28"/>
  <c r="O6" i="28"/>
  <c r="I19" i="28"/>
  <c r="L6" i="28"/>
  <c r="S27" i="27"/>
  <c r="F5" i="27"/>
  <c r="T5" i="27"/>
  <c r="T27" i="27"/>
  <c r="J30" i="28"/>
  <c r="J19" i="28"/>
  <c r="M6" i="28"/>
  <c r="P6" i="28"/>
</calcChain>
</file>

<file path=xl/sharedStrings.xml><?xml version="1.0" encoding="utf-8"?>
<sst xmlns="http://schemas.openxmlformats.org/spreadsheetml/2006/main" count="346" uniqueCount="189">
  <si>
    <t>【生産費】</t>
    <rPh sb="1" eb="4">
      <t>セイサンヒ</t>
    </rPh>
    <phoneticPr fontId="4"/>
  </si>
  <si>
    <t>増減率</t>
    <rPh sb="0" eb="3">
      <t>ゾウゲンリツ</t>
    </rPh>
    <phoneticPr fontId="4"/>
  </si>
  <si>
    <t>（円）</t>
    <rPh sb="1" eb="2">
      <t>エン</t>
    </rPh>
    <phoneticPr fontId="4"/>
  </si>
  <si>
    <t>（％）</t>
    <phoneticPr fontId="4"/>
  </si>
  <si>
    <t>副産物価額</t>
    <rPh sb="0" eb="3">
      <t>フクサンブツ</t>
    </rPh>
    <rPh sb="3" eb="5">
      <t>カガク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</si>
  <si>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</si>
  <si>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</si>
  <si>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</si>
  <si>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</si>
  <si>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</si>
  <si>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</si>
  <si>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</si>
  <si>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</si>
  <si>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育苗</t>
    <rPh sb="0" eb="2">
      <t>イクビョウ</t>
    </rPh>
    <phoneticPr fontId="4"/>
  </si>
  <si>
    <t>粗収益</t>
    <rPh sb="0" eb="3">
      <t>ソシュウエキ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</si>
  <si>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</si>
  <si>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</si>
  <si>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所得</t>
    <rPh sb="0" eb="2">
      <t>ショトク</t>
    </rPh>
    <phoneticPr fontId="4"/>
  </si>
  <si>
    <t>は種</t>
    <rPh sb="1" eb="2">
      <t>シュ</t>
    </rPh>
    <phoneticPr fontId="4"/>
  </si>
  <si>
    <t>１日当たり</t>
    <rPh sb="1" eb="2">
      <t>ニチ</t>
    </rPh>
    <rPh sb="2" eb="3">
      <t>ア</t>
    </rPh>
    <phoneticPr fontId="4"/>
  </si>
  <si>
    <t>定植</t>
    <rPh sb="0" eb="2">
      <t>テイショク</t>
    </rPh>
    <phoneticPr fontId="4"/>
  </si>
  <si>
    <t>追肥</t>
    <rPh sb="0" eb="2">
      <t>ツイヒ</t>
    </rPh>
    <phoneticPr fontId="4"/>
  </si>
  <si>
    <t>中耕除草</t>
    <rPh sb="0" eb="4">
      <t>チュウコウジョソウ</t>
    </rPh>
    <phoneticPr fontId="4"/>
  </si>
  <si>
    <t>麦踏み</t>
    <rPh sb="0" eb="2">
      <t>ムギフ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</si>
  <si>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</si>
  <si>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</si>
  <si>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自作地</t>
    <rPh sb="0" eb="3">
      <t>ジサクチ</t>
    </rPh>
    <phoneticPr fontId="4"/>
  </si>
  <si>
    <t>借入地</t>
    <rPh sb="0" eb="3">
      <t>カリイレチ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</si>
  <si>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</si>
  <si>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</si>
  <si>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</si>
  <si>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</si>
  <si>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</si>
  <si>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</si>
  <si>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</si>
  <si>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その他</t>
    <rPh sb="2" eb="3">
      <t>タ</t>
    </rPh>
    <phoneticPr fontId="4"/>
  </si>
  <si>
    <t>増　　　減　　　率</t>
    <rPh sb="0" eb="9">
      <t>ゾウゲンリツ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</si>
  <si>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</si>
  <si>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（台）</t>
    <rPh sb="1" eb="2">
      <t>ダイ</t>
    </rPh>
    <phoneticPr fontId="4"/>
  </si>
  <si>
    <t>(円)</t>
    <rPh sb="1" eb="2">
      <t>エン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</si>
  <si>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</si>
  <si>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</si>
  <si>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</si>
  <si>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</si>
  <si>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</si>
  <si>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たい肥盤</t>
    <rPh sb="2" eb="3">
      <t>ヒ</t>
    </rPh>
    <rPh sb="3" eb="4">
      <t>バン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</si>
  <si>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</si>
  <si>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</si>
  <si>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</si>
  <si>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</si>
  <si>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50馬力以上</t>
    <rPh sb="4" eb="6">
      <t>イジョウ</t>
    </rPh>
    <phoneticPr fontId="4"/>
  </si>
  <si>
    <t>総合は種機</t>
    <rPh sb="0" eb="2">
      <t>ソウゴウ</t>
    </rPh>
    <rPh sb="3" eb="4">
      <t>シュ</t>
    </rPh>
    <rPh sb="4" eb="5">
      <t>キ</t>
    </rPh>
    <phoneticPr fontId="4"/>
  </si>
  <si>
    <t>中耕除草機</t>
    <rPh sb="0" eb="4">
      <t>チュウコウジョソウ</t>
    </rPh>
    <rPh sb="4" eb="5">
      <t>キ</t>
    </rPh>
    <phoneticPr fontId="4"/>
  </si>
  <si>
    <t>肥料散布機</t>
    <rPh sb="0" eb="2">
      <t>ヒリョウ</t>
    </rPh>
    <rPh sb="2" eb="4">
      <t>サンプ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</si>
  <si>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</si>
  <si>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</si>
  <si>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４条以上</t>
    <rPh sb="1" eb="2">
      <t>ジョウ</t>
    </rPh>
    <rPh sb="2" eb="4">
      <t>イジョウ</t>
    </rPh>
    <phoneticPr fontId="4"/>
  </si>
  <si>
    <t>普通型コンバイン</t>
    <rPh sb="0" eb="2">
      <t>フツウ</t>
    </rPh>
    <rPh sb="2" eb="3">
      <t>ガタ</t>
    </rPh>
    <phoneticPr fontId="4"/>
  </si>
  <si>
    <t>調査作物収穫機</t>
    <rPh sb="0" eb="2">
      <t>チョウサ</t>
    </rPh>
    <rPh sb="2" eb="4">
      <t>サクモツ</t>
    </rPh>
    <rPh sb="4" eb="7">
      <t>シュウカクキ</t>
    </rPh>
    <phoneticPr fontId="4"/>
  </si>
  <si>
    <t>脱穀機</t>
    <rPh sb="0" eb="3">
      <t>ダッコクキ</t>
    </rPh>
    <phoneticPr fontId="4"/>
  </si>
  <si>
    <t>乾燥機</t>
    <rPh sb="0" eb="3">
      <t>カンソウキ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</si>
  <si>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</si>
  <si>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</si>
  <si>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粗収益</t>
    <rPh sb="0" eb="1">
      <t>ソ</t>
    </rPh>
    <rPh sb="1" eb="3">
      <t>シュウエキ</t>
    </rPh>
    <phoneticPr fontId="4"/>
  </si>
  <si>
    <t>（参考）奨励金</t>
  </si>
  <si>
    <t>歩行用トラクター</t>
    <rPh sb="0" eb="3">
      <t>ホコウヨウ</t>
    </rPh>
    <phoneticPr fontId="4"/>
  </si>
  <si>
    <t>たい肥等散布機</t>
    <rPh sb="2" eb="3">
      <t>ヒ</t>
    </rPh>
    <rPh sb="3" eb="4">
      <t>トウ</t>
    </rPh>
    <rPh sb="4" eb="7">
      <t>サンプキ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</si>
  <si>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</si>
  <si>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</si>
  <si>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</si>
  <si>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１等</t>
    <rPh sb="1" eb="2">
      <t>トウ</t>
    </rPh>
    <phoneticPr fontId="1"/>
  </si>
  <si>
    <t>２等</t>
    <rPh sb="1" eb="2">
      <t>トウ</t>
    </rPh>
    <phoneticPr fontId="1"/>
  </si>
  <si>
    <t>規格外Ａ</t>
    <rPh sb="0" eb="3">
      <t>キカクガイ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</si>
  <si>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</si>
  <si>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</si>
  <si>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</si>
  <si>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2">
      <t>シュシ</t>
    </rPh>
    <rPh sb="2" eb="3">
      <t>ヨウ</t>
    </rPh>
    <phoneticPr fontId="1"/>
  </si>
  <si>
    <t>合計</t>
    <rPh sb="0" eb="2">
      <t>ゴウケイ</t>
    </rPh>
    <phoneticPr fontId="1"/>
  </si>
  <si>
    <t>副産物</t>
    <rPh sb="0" eb="3">
      <t>フクサンブツ</t>
    </rPh>
    <phoneticPr fontId="1"/>
  </si>
  <si>
    <t>規格外Ｂ</t>
    <rPh sb="0" eb="3">
      <t>キカクガイ</t>
    </rPh>
    <phoneticPr fontId="1"/>
  </si>
  <si>
    <t>規格外Ｃ</t>
    <rPh sb="0" eb="3">
      <t>キカクガイ</t>
    </rPh>
    <phoneticPr fontId="1"/>
  </si>
  <si>
    <t>くず麦</t>
    <rPh sb="2" eb="3">
      <t>ムギ</t>
    </rPh>
    <phoneticPr fontId="1"/>
  </si>
  <si>
    <t>麦わら</t>
    <rPh sb="0" eb="1">
      <t>ムギ</t>
    </rPh>
    <phoneticPr fontId="1"/>
  </si>
  <si>
    <t>無評価</t>
    <rPh sb="0" eb="1">
      <t>ム</t>
    </rPh>
    <rPh sb="1" eb="3">
      <t>ヒョウカ</t>
    </rPh>
    <phoneticPr fontId="1"/>
  </si>
  <si>
    <t>種子用</t>
    <rPh sb="0" eb="3">
      <t>シュシヨウ</t>
    </rPh>
    <phoneticPr fontId="1"/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</si>
  <si>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</si>
  <si>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</si>
  <si>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</si>
  <si>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</si>
  <si>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作付地以外</t>
    <rPh sb="0" eb="3">
      <t>サクツケチ</t>
    </rPh>
    <rPh sb="3" eb="5">
      <t>イガイ</t>
    </rPh>
    <phoneticPr fontId="1"/>
  </si>
  <si>
    <t>使用面積</t>
    <rPh sb="0" eb="2">
      <t>シヨウ</t>
    </rPh>
    <rPh sb="2" eb="4">
      <t>メンセキ</t>
    </rPh>
    <phoneticPr fontId="10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</si>
  <si>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</si>
  <si>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</si>
  <si>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</si>
  <si>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</si>
  <si>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</si>
  <si>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</si>
  <si>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</si>
  <si>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</si>
  <si>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</si>
  <si>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</si>
  <si>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</si>
  <si>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</si>
  <si>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</si>
  <si>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</si>
  <si>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</si>
  <si>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</si>
  <si>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</si>
  <si>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</si>
  <si>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</si>
  <si>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</si>
  <si>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</si>
  <si>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</si>
  <si>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</si>
  <si>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</si>
  <si>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</si>
  <si>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</si>
  <si>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</si>
  <si>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</si>
  <si>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</si>
  <si>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</si>
  <si>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</si>
  <si>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</si>
  <si>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</si>
  <si>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</si>
  <si>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</si>
  <si>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</si>
  <si>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</si>
  <si>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</si>
  <si>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</si>
  <si>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</si>
  <si>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耕うん・整地</t>
    <rPh sb="0" eb="1">
      <t>タガヤシ</t>
    </rPh>
    <rPh sb="4" eb="6">
      <t>セイチ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</si>
  <si>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</si>
  <si>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</si>
  <si>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ａ</t>
    <phoneticPr fontId="1"/>
  </si>
  <si>
    <t>　個別結果検討表　№１</t>
    <phoneticPr fontId="1"/>
  </si>
  <si>
    <t>　個別結果検討表　№２</t>
    <phoneticPr fontId="4"/>
  </si>
  <si>
    <t>（％）</t>
    <phoneticPr fontId="4"/>
  </si>
  <si>
    <t>　個別結果検討表　№３</t>
    <phoneticPr fontId="1"/>
  </si>
  <si>
    <t>　個別結果検討表　№４</t>
    <phoneticPr fontId="4"/>
  </si>
  <si>
    <t>自脱型コ
ンバイン</t>
    <phoneticPr fontId="4"/>
  </si>
  <si>
    <t>トレーラー</t>
    <phoneticPr fontId="4"/>
  </si>
  <si>
    <t>　個別結果検討表　№５</t>
    <phoneticPr fontId="1"/>
  </si>
  <si>
    <t>（kg）</t>
    <phoneticPr fontId="4"/>
  </si>
  <si>
    <t>（％）</t>
    <phoneticPr fontId="4"/>
  </si>
  <si>
    <t>（％）</t>
    <phoneticPr fontId="1"/>
  </si>
  <si>
    <t>貨物自動車</t>
    <rPh sb="0" eb="2">
      <t>カモツ</t>
    </rPh>
    <rPh sb="2" eb="5">
      <t>ジドウシャ</t>
    </rPh>
    <phoneticPr fontId="4"/>
  </si>
  <si>
    <t>大豆</t>
    <rPh sb="0" eb="2">
      <t>ダイズ</t>
    </rPh>
    <phoneticPr fontId="1"/>
  </si>
  <si>
    <t>３等・規格外</t>
    <rPh sb="1" eb="2">
      <t>トウ</t>
    </rPh>
    <rPh sb="3" eb="6">
      <t>キカクガイ</t>
    </rPh>
    <phoneticPr fontId="1"/>
  </si>
  <si>
    <t>特定加工用</t>
    <rPh sb="0" eb="2">
      <t>トクテイ</t>
    </rPh>
    <rPh sb="2" eb="4">
      <t>カコウ</t>
    </rPh>
    <rPh sb="4" eb="5">
      <t>ヨウ</t>
    </rPh>
    <phoneticPr fontId="1"/>
  </si>
  <si>
    <t>構成員労働時間</t>
    <rPh sb="0" eb="3">
      <t>コウセイイン</t>
    </rPh>
    <rPh sb="3" eb="5">
      <t>ロウドウ</t>
    </rPh>
    <rPh sb="5" eb="7">
      <t>ジカン</t>
    </rPh>
    <phoneticPr fontId="4"/>
  </si>
  <si>
    <t>全作業</t>
    <rPh sb="0" eb="1">
      <t>ゼン</t>
    </rPh>
    <rPh sb="1" eb="3">
      <t>サギョウ</t>
    </rPh>
    <phoneticPr fontId="4"/>
  </si>
  <si>
    <t>【物件税及び公課諸負担（10ａ当たり）】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5" eb="16">
      <t>ア</t>
    </rPh>
    <phoneticPr fontId="4"/>
  </si>
  <si>
    <t>物件税</t>
    <rPh sb="0" eb="2">
      <t>ブッケン</t>
    </rPh>
    <rPh sb="2" eb="3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</si>
  <si>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1"/>
  </si>
  <si>
    <t>【費用の内訳（１経営体当たり・10ａ当たり）】</t>
    <rPh sb="1" eb="3">
      <t>ヒヨウ</t>
    </rPh>
    <rPh sb="4" eb="6">
      <t>ウチワケ</t>
    </rPh>
    <rPh sb="8" eb="11">
      <t>ケイエイタイ</t>
    </rPh>
    <rPh sb="11" eb="12">
      <t>ア</t>
    </rPh>
    <rPh sb="18" eb="19">
      <t>ア</t>
    </rPh>
    <phoneticPr fontId="4"/>
  </si>
  <si>
    <t>組織用</t>
    <rPh sb="0" eb="2">
      <t>ソシキ</t>
    </rPh>
    <rPh sb="2" eb="3">
      <t>ヨウ</t>
    </rPh>
    <phoneticPr fontId="1"/>
  </si>
  <si>
    <t>小麦</t>
    <rPh sb="0" eb="2">
      <t>コムギ</t>
    </rPh>
    <phoneticPr fontId="1"/>
  </si>
  <si>
    <t>構成員</t>
    <rPh sb="0" eb="3">
      <t>コウセイイン</t>
    </rPh>
    <phoneticPr fontId="1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</si>
  <si>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1"/>
  </si>
  <si>
    <t>乗用トラ
クター</t>
    <phoneticPr fontId="4"/>
  </si>
  <si>
    <t>【調査作物の受託状況（１経営体当たり）】</t>
    <rPh sb="1" eb="3">
      <t>チョウサ</t>
    </rPh>
    <rPh sb="3" eb="5">
      <t>サクモツ</t>
    </rPh>
    <rPh sb="6" eb="8">
      <t>ジュタク</t>
    </rPh>
    <rPh sb="12" eb="15">
      <t>ケイエイタイ</t>
    </rPh>
    <phoneticPr fontId="1"/>
  </si>
  <si>
    <t>【調査作物の委託状況（１経営体当たり）】</t>
    <rPh sb="1" eb="3">
      <t>チョウサ</t>
    </rPh>
    <rPh sb="3" eb="5">
      <t>サクモツ</t>
    </rPh>
    <rPh sb="12" eb="15">
      <t>ケイエイタイ</t>
    </rPh>
    <phoneticPr fontId="1"/>
  </si>
  <si>
    <t>kg</t>
    <phoneticPr fontId="1"/>
  </si>
  <si>
    <t>kg</t>
    <phoneticPr fontId="1"/>
  </si>
  <si>
    <t>ａ</t>
    <phoneticPr fontId="1"/>
  </si>
  <si>
    <t>ａ</t>
    <phoneticPr fontId="1"/>
  </si>
  <si>
    <t>構成員労働報酬</t>
    <rPh sb="0" eb="3">
      <t>コウセイイン</t>
    </rPh>
    <rPh sb="3" eb="5">
      <t>ロウドウ</t>
    </rPh>
    <rPh sb="5" eb="7">
      <t>ホウシュウ</t>
    </rPh>
    <phoneticPr fontId="4"/>
  </si>
  <si>
    <t>（ａ）</t>
    <phoneticPr fontId="1"/>
  </si>
  <si>
    <t>（円）</t>
    <rPh sb="1" eb="2">
      <t>エン</t>
    </rPh>
    <phoneticPr fontId="1"/>
  </si>
  <si>
    <t>（円）</t>
    <phoneticPr fontId="1"/>
  </si>
  <si>
    <t>所 有 台 数 （ １ 経 営 体 当 た り ）</t>
    <rPh sb="0" eb="3">
      <t>ショユウ</t>
    </rPh>
    <rPh sb="4" eb="5">
      <t>ダイ</t>
    </rPh>
    <rPh sb="6" eb="7">
      <t>カズ</t>
    </rPh>
    <rPh sb="12" eb="13">
      <t>キョウ</t>
    </rPh>
    <rPh sb="14" eb="15">
      <t>エイ</t>
    </rPh>
    <rPh sb="16" eb="17">
      <t>カラダ</t>
    </rPh>
    <rPh sb="18" eb="19">
      <t>ア</t>
    </rPh>
    <phoneticPr fontId="4"/>
  </si>
  <si>
    <t>（ａ）</t>
    <phoneticPr fontId="1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</si>
  <si>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</si>
  <si>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</si>
  <si>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</si>
  <si>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増減差</t>
    <rPh sb="0" eb="2">
      <t>ゾウゲン</t>
    </rPh>
    <rPh sb="2" eb="3">
      <t>サ</t>
    </rPh>
    <phoneticPr fontId="4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</si>
  <si>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</si>
  <si>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</si>
  <si>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</si>
  <si>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</si>
  <si>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動力噴霧機</t>
    <rPh sb="0" eb="2">
      <t>ドウリョク</t>
    </rPh>
    <rPh sb="2" eb="4">
      <t>フンム</t>
    </rPh>
    <rPh sb="4" eb="5">
      <t>キ</t>
    </rPh>
    <phoneticPr fontId="4"/>
  </si>
  <si>
    <t>住宅</t>
    <rPh sb="0" eb="2">
      <t>ジュウタク</t>
    </rPh>
    <phoneticPr fontId="4"/>
  </si>
  <si>
    <t>計</t>
    <rPh sb="0" eb="1">
      <t>ケイ</t>
    </rPh>
    <phoneticPr fontId="1"/>
  </si>
  <si>
    <t>構成割合</t>
    <rPh sb="0" eb="2">
      <t>コウセイ</t>
    </rPh>
    <rPh sb="2" eb="4">
      <t>ワリアイ</t>
    </rPh>
    <phoneticPr fontId="1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</si>
  <si>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</si>
  <si>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</si>
  <si>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</si>
  <si>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年産　小麦・大豆生産費統計（組織法人経営体）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</si>
</sst>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00"/>
    <numFmt numFmtId="177" formatCode="&quot;=[&quot;@&quot;]&quot;"/>
    <numFmt numFmtId="178" formatCode="###\ ###\ ##0"/>
    <numFmt numFmtId="179" formatCode="###\ ###\ ##0.0"/>
    <numFmt numFmtId="180" formatCode="###\ ###\ ##0;\-###\ ###\ ##0;"/>
    <numFmt numFmtId="181" formatCode="###\ ###\ ##0.0;\-###\ ###\ ##0.0;"/>
    <numFmt numFmtId="182" formatCode="#0&quot;年&quot;"/>
    <numFmt numFmtId="183" formatCode="###\ ###\ ##0.000;\-###\ ###\ ##0.000;"/>
    <numFmt numFmtId="184" formatCode="#0&quot;年産&quot;"/>
    <numFmt numFmtId="185" formatCode="#,##0_ "/>
    <numFmt numFmtId="186" formatCode="#,##0.0_ "/>
    <numFmt numFmtId="187" formatCode="#,##0.000_ "/>
    <numFmt numFmtId="188" formatCode="#,##0.00_ "/>
  </numFmts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0.5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3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medium">
        <color indexed="64"/>
      </bottom>
      <diagonal style="hair">
        <color indexed="64"/>
      </diagonal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>
      <alignment vertical="center"/>
    </xf>
  </cellStyleXfs>
  <cellXfs count="474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right" vertical="center"/>
    </xf>
    <xf numFmtId="0" fontId="6" fillId="0" borderId="0" xfId="1" applyFont="1" applyFill="1" applyAlignment="1">
      <alignment vertical="center"/>
    </xf>
    <xf numFmtId="0" fontId="5" fillId="0" borderId="17" xfId="1" applyFont="1" applyFill="1" applyBorder="1" applyAlignment="1">
      <alignment horizontal="distributed" vertical="center" justifyLastLine="1"/>
    </xf>
    <xf numFmtId="0" fontId="7" fillId="0" borderId="3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distributed" vertical="center"/>
    </xf>
    <xf numFmtId="0" fontId="5" fillId="0" borderId="26" xfId="1" applyFont="1" applyFill="1" applyBorder="1" applyAlignment="1">
      <alignment horizontal="distributed" vertical="center"/>
    </xf>
    <xf numFmtId="0" fontId="9" fillId="0" borderId="0" xfId="1" applyFont="1" applyFill="1" applyAlignment="1">
      <alignment horizontal="center" vertical="center"/>
    </xf>
    <xf numFmtId="0" fontId="2" fillId="0" borderId="0" xfId="1" applyFont="1" applyFill="1"/>
    <xf numFmtId="0" fontId="5" fillId="0" borderId="19" xfId="2" applyFont="1" applyFill="1" applyBorder="1" applyAlignment="1">
      <alignment horizontal="distributed" vertical="center" justifyLastLine="1"/>
    </xf>
    <xf numFmtId="0" fontId="5" fillId="0" borderId="38" xfId="2" applyFont="1" applyFill="1" applyBorder="1" applyAlignment="1">
      <alignment horizontal="distributed" vertical="center" justifyLastLine="1"/>
    </xf>
    <xf numFmtId="0" fontId="5" fillId="0" borderId="17" xfId="2" applyFont="1" applyFill="1" applyBorder="1" applyAlignment="1">
      <alignment horizontal="distributed" vertical="center" justifyLastLine="1"/>
    </xf>
    <xf numFmtId="0" fontId="5" fillId="0" borderId="1" xfId="2" applyFont="1" applyFill="1" applyBorder="1" applyAlignment="1">
      <alignment horizontal="distributed" vertical="center" justifyLastLine="1"/>
    </xf>
    <xf numFmtId="0" fontId="5" fillId="0" borderId="2" xfId="2" applyFont="1" applyFill="1" applyBorder="1" applyAlignment="1">
      <alignment horizontal="distributed" vertical="center" justifyLastLine="1"/>
    </xf>
    <xf numFmtId="0" fontId="7" fillId="0" borderId="3" xfId="2" applyFont="1" applyFill="1" applyBorder="1" applyAlignment="1">
      <alignment horizontal="center" vertical="center"/>
    </xf>
    <xf numFmtId="0" fontId="7" fillId="0" borderId="39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180" fontId="5" fillId="0" borderId="0" xfId="1" applyNumberFormat="1" applyFont="1" applyFill="1" applyBorder="1" applyAlignment="1">
      <alignment horizontal="right" shrinkToFit="1"/>
    </xf>
    <xf numFmtId="179" fontId="5" fillId="0" borderId="0" xfId="1" applyNumberFormat="1" applyFont="1" applyFill="1" applyBorder="1" applyAlignment="1">
      <alignment horizontal="right" shrinkToFit="1"/>
    </xf>
    <xf numFmtId="0" fontId="5" fillId="0" borderId="0" xfId="1" applyFont="1" applyFill="1" applyBorder="1" applyAlignment="1">
      <alignment vertical="distributed" textRotation="255" justifyLastLine="1"/>
    </xf>
    <xf numFmtId="0" fontId="5" fillId="0" borderId="0" xfId="1" applyFont="1" applyFill="1" applyBorder="1" applyAlignment="1">
      <alignment vertical="distributed" textRotation="255"/>
    </xf>
    <xf numFmtId="0" fontId="6" fillId="0" borderId="0" xfId="2" applyFont="1" applyFill="1" applyAlignment="1">
      <alignment vertical="center"/>
    </xf>
    <xf numFmtId="0" fontId="5" fillId="0" borderId="0" xfId="2" applyFont="1" applyFill="1" applyBorder="1" applyAlignment="1">
      <alignment horizontal="distributed" vertical="center" justifyLastLine="1"/>
    </xf>
    <xf numFmtId="0" fontId="5" fillId="0" borderId="9" xfId="2" applyFont="1" applyFill="1" applyBorder="1" applyAlignment="1">
      <alignment horizontal="distributed" vertical="center"/>
    </xf>
    <xf numFmtId="0" fontId="5" fillId="0" borderId="45" xfId="1" applyFont="1" applyFill="1" applyBorder="1" applyAlignment="1">
      <alignment horizontal="distributed" vertical="center"/>
    </xf>
    <xf numFmtId="0" fontId="5" fillId="0" borderId="29" xfId="1" applyFont="1" applyFill="1" applyBorder="1" applyAlignment="1">
      <alignment horizontal="distributed" vertical="center" justifyLastLine="1"/>
    </xf>
    <xf numFmtId="0" fontId="7" fillId="0" borderId="27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distributed" vertical="center"/>
    </xf>
    <xf numFmtId="0" fontId="5" fillId="0" borderId="0" xfId="1" applyFont="1" applyFill="1" applyAlignment="1">
      <alignment horizontal="center" vertical="center"/>
    </xf>
    <xf numFmtId="0" fontId="7" fillId="0" borderId="34" xfId="1" applyFont="1" applyFill="1" applyBorder="1" applyAlignment="1">
      <alignment horizontal="center" vertical="center"/>
    </xf>
    <xf numFmtId="0" fontId="7" fillId="0" borderId="51" xfId="1" applyFont="1" applyFill="1" applyBorder="1" applyAlignment="1">
      <alignment horizontal="center" vertical="center"/>
    </xf>
    <xf numFmtId="0" fontId="5" fillId="0" borderId="59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0" borderId="24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/>
    </xf>
    <xf numFmtId="0" fontId="5" fillId="0" borderId="68" xfId="1" applyFont="1" applyFill="1" applyBorder="1" applyAlignment="1">
      <alignment vertical="center"/>
    </xf>
    <xf numFmtId="0" fontId="7" fillId="0" borderId="68" xfId="1" applyFont="1" applyFill="1" applyBorder="1" applyAlignment="1">
      <alignment horizontal="center" vertical="center" wrapText="1"/>
    </xf>
    <xf numFmtId="0" fontId="7" fillId="0" borderId="68" xfId="1" applyFon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8" fillId="0" borderId="0" xfId="1" applyFont="1" applyFill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right" vertical="center"/>
    </xf>
    <xf numFmtId="0" fontId="5" fillId="0" borderId="18" xfId="1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vertical="center" shrinkToFit="1"/>
    </xf>
    <xf numFmtId="0" fontId="5" fillId="0" borderId="24" xfId="2" applyFont="1" applyFill="1" applyBorder="1" applyAlignment="1">
      <alignment horizontal="distributed" vertical="center"/>
    </xf>
    <xf numFmtId="0" fontId="5" fillId="0" borderId="26" xfId="2" applyFont="1" applyFill="1" applyBorder="1" applyAlignment="1">
      <alignment horizontal="distributed" vertical="center"/>
    </xf>
    <xf numFmtId="0" fontId="5" fillId="0" borderId="27" xfId="2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78" fontId="5" fillId="2" borderId="112" xfId="4" applyNumberFormat="1" applyFont="1" applyFill="1" applyBorder="1" applyAlignment="1">
      <alignment horizontal="center" vertical="center" shrinkToFit="1"/>
    </xf>
    <xf numFmtId="178" fontId="5" fillId="2" borderId="113" xfId="4" applyNumberFormat="1" applyFont="1" applyFill="1" applyBorder="1" applyAlignment="1">
      <alignment horizontal="center" vertical="center" shrinkToFit="1"/>
    </xf>
    <xf numFmtId="0" fontId="5" fillId="0" borderId="46" xfId="5" applyFont="1" applyBorder="1" applyAlignment="1">
      <alignment horizontal="distributed" vertical="center"/>
    </xf>
    <xf numFmtId="0" fontId="5" fillId="1" borderId="47" xfId="5" applyFont="1" applyFill="1" applyBorder="1" applyAlignment="1">
      <alignment horizontal="distributed" vertical="center"/>
    </xf>
    <xf numFmtId="0" fontId="5" fillId="1" borderId="46" xfId="5" applyFont="1" applyFill="1" applyBorder="1" applyAlignment="1">
      <alignment horizontal="distributed" vertical="center"/>
    </xf>
    <xf numFmtId="0" fontId="8" fillId="0" borderId="0" xfId="1" applyFont="1" applyFill="1" applyBorder="1" applyAlignment="1">
      <alignment vertical="center"/>
    </xf>
    <xf numFmtId="0" fontId="7" fillId="0" borderId="0" xfId="2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horizontal="right"/>
    </xf>
    <xf numFmtId="0" fontId="6" fillId="0" borderId="0" xfId="2" applyFont="1" applyFill="1" applyBorder="1" applyAlignment="1">
      <alignment vertical="center"/>
    </xf>
    <xf numFmtId="182" fontId="5" fillId="0" borderId="0" xfId="2" applyNumberFormat="1" applyFont="1" applyFill="1" applyBorder="1" applyAlignment="1">
      <alignment horizontal="distributed" vertical="center" justifyLastLine="1"/>
    </xf>
    <xf numFmtId="179" fontId="5" fillId="0" borderId="0" xfId="2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vertical="center" shrinkToFit="1"/>
    </xf>
    <xf numFmtId="0" fontId="5" fillId="0" borderId="47" xfId="5" applyFont="1" applyBorder="1" applyAlignment="1">
      <alignment horizontal="distributed" vertical="center"/>
    </xf>
    <xf numFmtId="0" fontId="5" fillId="0" borderId="41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24" xfId="1" applyFont="1" applyFill="1" applyBorder="1" applyAlignment="1">
      <alignment horizontal="distributed" vertical="center"/>
    </xf>
    <xf numFmtId="183" fontId="5" fillId="0" borderId="16" xfId="1" applyNumberFormat="1" applyFont="1" applyFill="1" applyBorder="1" applyAlignment="1">
      <alignment horizontal="right" shrinkToFit="1"/>
    </xf>
    <xf numFmtId="179" fontId="5" fillId="0" borderId="16" xfId="1" applyNumberFormat="1" applyFont="1" applyFill="1" applyBorder="1" applyAlignment="1">
      <alignment horizontal="right" shrinkToFit="1"/>
    </xf>
    <xf numFmtId="0" fontId="0" fillId="0" borderId="0" xfId="0" applyFill="1" applyBorder="1">
      <alignment vertical="center"/>
    </xf>
    <xf numFmtId="182" fontId="5" fillId="0" borderId="0" xfId="2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vertical="center"/>
    </xf>
    <xf numFmtId="177" fontId="5" fillId="0" borderId="0" xfId="2" applyNumberFormat="1" applyFont="1" applyFill="1" applyBorder="1" applyAlignment="1">
      <alignment horizontal="right"/>
    </xf>
    <xf numFmtId="177" fontId="5" fillId="0" borderId="0" xfId="2" applyNumberFormat="1" applyFont="1" applyFill="1" applyBorder="1" applyAlignment="1">
      <alignment horizontal="right" shrinkToFit="1"/>
    </xf>
    <xf numFmtId="0" fontId="5" fillId="0" borderId="0" xfId="2" applyFont="1" applyFill="1" applyBorder="1" applyAlignment="1">
      <alignment vertical="center"/>
    </xf>
    <xf numFmtId="0" fontId="5" fillId="0" borderId="41" xfId="1" applyFont="1" applyFill="1" applyBorder="1" applyAlignment="1">
      <alignment horizontal="distributed" vertical="center" shrinkToFit="1"/>
    </xf>
    <xf numFmtId="0" fontId="5" fillId="0" borderId="0" xfId="2" applyFont="1" applyFill="1" applyBorder="1" applyAlignment="1">
      <alignment horizontal="distributed" vertical="center" justifyLastLine="1"/>
    </xf>
    <xf numFmtId="180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5" fillId="0" borderId="24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horizontal="distributed" vertical="center"/>
    </xf>
    <xf numFmtId="180" fontId="5" fillId="0" borderId="0" xfId="2" applyNumberFormat="1" applyFont="1" applyFill="1" applyBorder="1" applyAlignment="1">
      <alignment vertical="center"/>
    </xf>
    <xf numFmtId="181" fontId="5" fillId="0" borderId="0" xfId="2" applyNumberFormat="1" applyFont="1" applyFill="1" applyBorder="1" applyAlignment="1">
      <alignment horizontal="right"/>
    </xf>
    <xf numFmtId="0" fontId="5" fillId="0" borderId="0" xfId="2" applyFont="1" applyFill="1" applyBorder="1" applyAlignment="1">
      <alignment vertical="center" justifyLastLine="1"/>
    </xf>
    <xf numFmtId="0" fontId="5" fillId="0" borderId="51" xfId="1" applyFont="1" applyFill="1" applyBorder="1" applyAlignment="1">
      <alignment vertical="center"/>
    </xf>
    <xf numFmtId="0" fontId="5" fillId="2" borderId="117" xfId="4" applyFont="1" applyFill="1" applyBorder="1" applyAlignment="1">
      <alignment horizontal="center" vertical="center" wrapText="1"/>
    </xf>
    <xf numFmtId="0" fontId="5" fillId="2" borderId="125" xfId="4" applyFont="1" applyFill="1" applyBorder="1" applyAlignment="1">
      <alignment horizontal="center" vertical="center" wrapText="1"/>
    </xf>
    <xf numFmtId="0" fontId="5" fillId="2" borderId="125" xfId="4" applyFont="1" applyFill="1" applyBorder="1" applyAlignment="1">
      <alignment horizontal="center" vertical="center"/>
    </xf>
    <xf numFmtId="0" fontId="5" fillId="2" borderId="129" xfId="4" applyFont="1" applyFill="1" applyBorder="1" applyAlignment="1">
      <alignment horizontal="center" vertical="center" wrapText="1"/>
    </xf>
    <xf numFmtId="0" fontId="5" fillId="2" borderId="132" xfId="4" applyFont="1" applyFill="1" applyBorder="1" applyAlignment="1">
      <alignment horizontal="center" vertical="center" wrapText="1"/>
    </xf>
    <xf numFmtId="0" fontId="5" fillId="2" borderId="137" xfId="4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1" xfId="2" applyFont="1" applyFill="1" applyBorder="1" applyAlignment="1">
      <alignment horizontal="right" vertical="center"/>
    </xf>
    <xf numFmtId="0" fontId="5" fillId="0" borderId="8" xfId="2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2" borderId="144" xfId="4" applyFont="1" applyFill="1" applyBorder="1" applyAlignment="1">
      <alignment horizontal="distributed" vertical="center" justifyLastLine="1" shrinkToFit="1"/>
    </xf>
    <xf numFmtId="0" fontId="5" fillId="2" borderId="104" xfId="4" applyFont="1" applyFill="1" applyBorder="1" applyAlignment="1">
      <alignment horizontal="distributed" vertical="center" justifyLastLine="1" shrinkToFit="1"/>
    </xf>
    <xf numFmtId="0" fontId="5" fillId="2" borderId="106" xfId="4" applyFont="1" applyFill="1" applyBorder="1" applyAlignment="1">
      <alignment horizontal="distributed" vertical="center" justifyLastLine="1" shrinkToFit="1"/>
    </xf>
    <xf numFmtId="184" fontId="5" fillId="0" borderId="1" xfId="1" applyNumberFormat="1" applyFont="1" applyFill="1" applyBorder="1" applyAlignment="1">
      <alignment horizontal="distributed" vertical="center" justifyLastLine="1"/>
    </xf>
    <xf numFmtId="184" fontId="5" fillId="0" borderId="24" xfId="1" applyNumberFormat="1" applyFont="1" applyFill="1" applyBorder="1" applyAlignment="1">
      <alignment horizontal="distributed" vertical="center" justifyLastLine="1"/>
    </xf>
    <xf numFmtId="184" fontId="5" fillId="0" borderId="50" xfId="1" applyNumberFormat="1" applyFont="1" applyFill="1" applyBorder="1" applyAlignment="1">
      <alignment horizontal="distributed" vertical="center" justifyLastLine="1"/>
    </xf>
    <xf numFmtId="185" fontId="5" fillId="0" borderId="56" xfId="1" applyNumberFormat="1" applyFont="1" applyFill="1" applyBorder="1" applyAlignment="1">
      <alignment horizontal="center" vertical="center" shrinkToFit="1"/>
    </xf>
    <xf numFmtId="185" fontId="5" fillId="0" borderId="57" xfId="1" applyNumberFormat="1" applyFont="1" applyFill="1" applyBorder="1" applyAlignment="1">
      <alignment horizontal="center" vertical="center" shrinkToFit="1"/>
    </xf>
    <xf numFmtId="185" fontId="5" fillId="0" borderId="62" xfId="1" applyNumberFormat="1" applyFont="1" applyFill="1" applyBorder="1" applyAlignment="1">
      <alignment horizontal="center" vertical="center" shrinkToFit="1"/>
    </xf>
    <xf numFmtId="185" fontId="5" fillId="0" borderId="63" xfId="1" applyNumberFormat="1" applyFont="1" applyFill="1" applyBorder="1" applyAlignment="1">
      <alignment horizontal="center" vertical="center" shrinkToFit="1"/>
    </xf>
    <xf numFmtId="185" fontId="5" fillId="0" borderId="52" xfId="1" applyNumberFormat="1" applyFont="1" applyFill="1" applyBorder="1" applyAlignment="1">
      <alignment horizontal="center" vertical="center" shrinkToFit="1"/>
    </xf>
    <xf numFmtId="185" fontId="5" fillId="0" borderId="53" xfId="1" applyNumberFormat="1" applyFont="1" applyFill="1" applyBorder="1" applyAlignment="1">
      <alignment horizontal="center" vertical="center" shrinkToFit="1"/>
    </xf>
    <xf numFmtId="185" fontId="5" fillId="0" borderId="69" xfId="1" applyNumberFormat="1" applyFont="1" applyFill="1" applyBorder="1" applyAlignment="1">
      <alignment horizontal="center" vertical="center" shrinkToFit="1"/>
    </xf>
    <xf numFmtId="185" fontId="5" fillId="0" borderId="70" xfId="1" applyNumberFormat="1" applyFont="1" applyFill="1" applyBorder="1" applyAlignment="1">
      <alignment horizontal="center" vertical="center" shrinkToFit="1"/>
    </xf>
    <xf numFmtId="186" fontId="5" fillId="0" borderId="54" xfId="1" applyNumberFormat="1" applyFont="1" applyFill="1" applyBorder="1" applyAlignment="1">
      <alignment horizontal="center" vertical="center" shrinkToFit="1"/>
    </xf>
    <xf numFmtId="186" fontId="5" fillId="0" borderId="58" xfId="1" applyNumberFormat="1" applyFont="1" applyFill="1" applyBorder="1" applyAlignment="1">
      <alignment horizontal="center" vertical="center" shrinkToFit="1"/>
    </xf>
    <xf numFmtId="186" fontId="5" fillId="0" borderId="64" xfId="1" applyNumberFormat="1" applyFont="1" applyFill="1" applyBorder="1" applyAlignment="1">
      <alignment horizontal="center" vertical="center" shrinkToFit="1"/>
    </xf>
    <xf numFmtId="186" fontId="5" fillId="0" borderId="71" xfId="1" applyNumberFormat="1" applyFont="1" applyFill="1" applyBorder="1" applyAlignment="1">
      <alignment horizontal="center" vertical="center" shrinkToFit="1"/>
    </xf>
    <xf numFmtId="184" fontId="5" fillId="0" borderId="19" xfId="1" applyNumberFormat="1" applyFont="1" applyFill="1" applyBorder="1" applyAlignment="1">
      <alignment horizontal="distributed" vertical="center" justifyLastLine="1"/>
    </xf>
    <xf numFmtId="0" fontId="5" fillId="0" borderId="9" xfId="1" applyFont="1" applyFill="1" applyBorder="1" applyAlignment="1">
      <alignment horizontal="distributed" vertical="center"/>
    </xf>
    <xf numFmtId="184" fontId="5" fillId="0" borderId="28" xfId="1" applyNumberFormat="1" applyFont="1" applyFill="1" applyBorder="1" applyAlignment="1">
      <alignment horizontal="distributed" vertical="center" justifyLastLine="1"/>
    </xf>
    <xf numFmtId="187" fontId="14" fillId="0" borderId="126" xfId="4" applyNumberFormat="1" applyFont="1" applyFill="1" applyBorder="1" applyAlignment="1">
      <alignment horizontal="right" vertical="center" shrinkToFit="1"/>
    </xf>
    <xf numFmtId="187" fontId="14" fillId="0" borderId="6" xfId="4" applyNumberFormat="1" applyFont="1" applyFill="1" applyBorder="1" applyAlignment="1">
      <alignment horizontal="right" vertical="center" shrinkToFit="1"/>
    </xf>
    <xf numFmtId="186" fontId="14" fillId="0" borderId="138" xfId="4" applyNumberFormat="1" applyFont="1" applyFill="1" applyBorder="1" applyAlignment="1">
      <alignment horizontal="right" vertical="center" shrinkToFit="1"/>
    </xf>
    <xf numFmtId="186" fontId="14" fillId="0" borderId="140" xfId="4" applyNumberFormat="1" applyFont="1" applyFill="1" applyBorder="1" applyAlignment="1">
      <alignment horizontal="right" vertical="center" shrinkToFit="1"/>
    </xf>
    <xf numFmtId="187" fontId="14" fillId="0" borderId="15" xfId="1" applyNumberFormat="1" applyFont="1" applyFill="1" applyBorder="1" applyAlignment="1">
      <alignment horizontal="right" vertical="center" shrinkToFit="1"/>
    </xf>
    <xf numFmtId="187" fontId="14" fillId="0" borderId="20" xfId="1" applyNumberFormat="1" applyFont="1" applyFill="1" applyBorder="1" applyAlignment="1">
      <alignment horizontal="right" vertical="center" shrinkToFit="1"/>
    </xf>
    <xf numFmtId="187" fontId="14" fillId="0" borderId="21" xfId="1" applyNumberFormat="1" applyFont="1" applyFill="1" applyBorder="1" applyAlignment="1">
      <alignment horizontal="right" vertical="center" shrinkToFit="1"/>
    </xf>
    <xf numFmtId="187" fontId="14" fillId="0" borderId="7" xfId="1" applyNumberFormat="1" applyFont="1" applyFill="1" applyBorder="1" applyAlignment="1">
      <alignment horizontal="right" vertical="center" shrinkToFit="1"/>
    </xf>
    <xf numFmtId="187" fontId="14" fillId="0" borderId="22" xfId="1" applyNumberFormat="1" applyFont="1" applyFill="1" applyBorder="1" applyAlignment="1">
      <alignment horizontal="right" vertical="center" shrinkToFit="1"/>
    </xf>
    <xf numFmtId="187" fontId="14" fillId="0" borderId="11" xfId="1" applyNumberFormat="1" applyFont="1" applyFill="1" applyBorder="1" applyAlignment="1">
      <alignment horizontal="right" vertical="center" shrinkToFit="1"/>
    </xf>
    <xf numFmtId="187" fontId="14" fillId="0" borderId="18" xfId="1" applyNumberFormat="1" applyFont="1" applyFill="1" applyBorder="1" applyAlignment="1">
      <alignment horizontal="right" vertical="center" shrinkToFit="1"/>
    </xf>
    <xf numFmtId="187" fontId="14" fillId="0" borderId="23" xfId="1" applyNumberFormat="1" applyFont="1" applyFill="1" applyBorder="1" applyAlignment="1">
      <alignment horizontal="right" vertical="center" shrinkToFit="1"/>
    </xf>
    <xf numFmtId="186" fontId="14" fillId="0" borderId="31" xfId="1" applyNumberFormat="1" applyFont="1" applyFill="1" applyBorder="1" applyAlignment="1">
      <alignment horizontal="right" vertical="center" shrinkToFit="1"/>
    </xf>
    <xf numFmtId="185" fontId="14" fillId="0" borderId="78" xfId="1" applyNumberFormat="1" applyFont="1" applyFill="1" applyBorder="1" applyAlignment="1">
      <alignment horizontal="right" vertical="center" shrinkToFit="1"/>
    </xf>
    <xf numFmtId="185" fontId="14" fillId="0" borderId="20" xfId="1" applyNumberFormat="1" applyFont="1" applyFill="1" applyBorder="1" applyAlignment="1">
      <alignment horizontal="right" vertical="center" shrinkToFit="1"/>
    </xf>
    <xf numFmtId="186" fontId="14" fillId="0" borderId="8" xfId="1" applyNumberFormat="1" applyFont="1" applyFill="1" applyBorder="1" applyAlignment="1">
      <alignment horizontal="right" vertical="center" shrinkToFit="1"/>
    </xf>
    <xf numFmtId="185" fontId="14" fillId="0" borderId="18" xfId="1" applyNumberFormat="1" applyFont="1" applyFill="1" applyBorder="1" applyAlignment="1">
      <alignment horizontal="right" vertical="center" shrinkToFit="1"/>
    </xf>
    <xf numFmtId="185" fontId="14" fillId="0" borderId="23" xfId="1" applyNumberFormat="1" applyFont="1" applyFill="1" applyBorder="1" applyAlignment="1">
      <alignment horizontal="right" vertical="center" shrinkToFit="1"/>
    </xf>
    <xf numFmtId="186" fontId="14" fillId="0" borderId="17" xfId="1" applyNumberFormat="1" applyFont="1" applyFill="1" applyBorder="1" applyAlignment="1">
      <alignment horizontal="right" vertical="center" shrinkToFit="1"/>
    </xf>
    <xf numFmtId="185" fontId="14" fillId="0" borderId="21" xfId="1" applyNumberFormat="1" applyFont="1" applyFill="1" applyBorder="1" applyAlignment="1">
      <alignment horizontal="right" vertical="center" shrinkToFit="1"/>
    </xf>
    <xf numFmtId="185" fontId="14" fillId="0" borderId="7" xfId="1" applyNumberFormat="1" applyFont="1" applyFill="1" applyBorder="1" applyAlignment="1">
      <alignment horizontal="right" vertical="center" shrinkToFit="1"/>
    </xf>
    <xf numFmtId="185" fontId="14" fillId="0" borderId="60" xfId="1" applyNumberFormat="1" applyFont="1" applyFill="1" applyBorder="1" applyAlignment="1">
      <alignment horizontal="right" vertical="center" shrinkToFit="1"/>
    </xf>
    <xf numFmtId="185" fontId="14" fillId="0" borderId="67" xfId="1" applyNumberFormat="1" applyFont="1" applyFill="1" applyBorder="1" applyAlignment="1">
      <alignment horizontal="right" vertical="center" shrinkToFit="1"/>
    </xf>
    <xf numFmtId="186" fontId="14" fillId="0" borderId="2" xfId="1" applyNumberFormat="1" applyFont="1" applyFill="1" applyBorder="1" applyAlignment="1">
      <alignment horizontal="right" vertical="center" shrinkToFit="1"/>
    </xf>
    <xf numFmtId="185" fontId="14" fillId="0" borderId="79" xfId="2" applyNumberFormat="1" applyFont="1" applyFill="1" applyBorder="1" applyAlignment="1">
      <alignment horizontal="right" vertical="center"/>
    </xf>
    <xf numFmtId="185" fontId="14" fillId="0" borderId="80" xfId="2" applyNumberFormat="1" applyFont="1" applyFill="1" applyBorder="1" applyAlignment="1">
      <alignment horizontal="right" vertical="center"/>
    </xf>
    <xf numFmtId="186" fontId="14" fillId="0" borderId="54" xfId="2" applyNumberFormat="1" applyFont="1" applyFill="1" applyBorder="1" applyAlignment="1">
      <alignment horizontal="right" vertical="center"/>
    </xf>
    <xf numFmtId="185" fontId="14" fillId="0" borderId="21" xfId="2" applyNumberFormat="1" applyFont="1" applyFill="1" applyBorder="1" applyAlignment="1">
      <alignment horizontal="right" vertical="center"/>
    </xf>
    <xf numFmtId="185" fontId="14" fillId="0" borderId="7" xfId="2" applyNumberFormat="1" applyFont="1" applyFill="1" applyBorder="1" applyAlignment="1">
      <alignment horizontal="right" vertical="center"/>
    </xf>
    <xf numFmtId="186" fontId="14" fillId="0" borderId="13" xfId="2" applyNumberFormat="1" applyFont="1" applyFill="1" applyBorder="1" applyAlignment="1">
      <alignment horizontal="right" vertical="center"/>
    </xf>
    <xf numFmtId="185" fontId="14" fillId="0" borderId="25" xfId="2" applyNumberFormat="1" applyFont="1" applyFill="1" applyBorder="1" applyAlignment="1">
      <alignment horizontal="right" vertical="center"/>
    </xf>
    <xf numFmtId="185" fontId="14" fillId="0" borderId="22" xfId="2" applyNumberFormat="1" applyFont="1" applyFill="1" applyBorder="1" applyAlignment="1">
      <alignment horizontal="right" vertical="center"/>
    </xf>
    <xf numFmtId="185" fontId="14" fillId="0" borderId="11" xfId="2" applyNumberFormat="1" applyFont="1" applyFill="1" applyBorder="1" applyAlignment="1">
      <alignment horizontal="right" vertical="center"/>
    </xf>
    <xf numFmtId="186" fontId="14" fillId="0" borderId="14" xfId="2" applyNumberFormat="1" applyFont="1" applyFill="1" applyBorder="1" applyAlignment="1">
      <alignment horizontal="right" vertical="center"/>
    </xf>
    <xf numFmtId="186" fontId="14" fillId="0" borderId="12" xfId="1" applyNumberFormat="1" applyFont="1" applyFill="1" applyBorder="1" applyAlignment="1">
      <alignment horizontal="right" vertical="center" shrinkToFit="1"/>
    </xf>
    <xf numFmtId="186" fontId="14" fillId="0" borderId="49" xfId="1" applyNumberFormat="1" applyFont="1" applyFill="1" applyBorder="1" applyAlignment="1">
      <alignment horizontal="right" vertical="center" shrinkToFit="1"/>
    </xf>
    <xf numFmtId="185" fontId="14" fillId="0" borderId="22" xfId="1" applyNumberFormat="1" applyFont="1" applyFill="1" applyBorder="1" applyAlignment="1">
      <alignment horizontal="right" vertical="center" shrinkToFit="1"/>
    </xf>
    <xf numFmtId="185" fontId="14" fillId="0" borderId="11" xfId="1" applyNumberFormat="1" applyFont="1" applyFill="1" applyBorder="1" applyAlignment="1">
      <alignment horizontal="right" vertical="center" shrinkToFit="1"/>
    </xf>
    <xf numFmtId="186" fontId="14" fillId="0" borderId="31" xfId="2" applyNumberFormat="1" applyFont="1" applyFill="1" applyBorder="1" applyAlignment="1">
      <alignment horizontal="right" vertical="center" shrinkToFit="1"/>
    </xf>
    <xf numFmtId="186" fontId="14" fillId="0" borderId="8" xfId="2" applyNumberFormat="1" applyFont="1" applyFill="1" applyBorder="1" applyAlignment="1">
      <alignment horizontal="right" vertical="center" shrinkToFit="1"/>
    </xf>
    <xf numFmtId="186" fontId="14" fillId="0" borderId="12" xfId="2" applyNumberFormat="1" applyFont="1" applyFill="1" applyBorder="1" applyAlignment="1">
      <alignment horizontal="right" vertical="center" shrinkToFit="1"/>
    </xf>
    <xf numFmtId="186" fontId="14" fillId="0" borderId="30" xfId="2" applyNumberFormat="1" applyFont="1" applyFill="1" applyBorder="1" applyAlignment="1">
      <alignment horizontal="right" vertical="center"/>
    </xf>
    <xf numFmtId="186" fontId="14" fillId="0" borderId="20" xfId="2" applyNumberFormat="1" applyFont="1" applyFill="1" applyBorder="1" applyAlignment="1">
      <alignment horizontal="right" vertical="center"/>
    </xf>
    <xf numFmtId="186" fontId="14" fillId="0" borderId="55" xfId="2" applyNumberFormat="1" applyFont="1" applyFill="1" applyBorder="1" applyAlignment="1">
      <alignment horizontal="right" vertical="center" shrinkToFit="1"/>
    </xf>
    <xf numFmtId="186" fontId="14" fillId="0" borderId="6" xfId="2" applyNumberFormat="1" applyFont="1" applyFill="1" applyBorder="1" applyAlignment="1">
      <alignment horizontal="right" vertical="center"/>
    </xf>
    <xf numFmtId="186" fontId="14" fillId="0" borderId="7" xfId="2" applyNumberFormat="1" applyFont="1" applyFill="1" applyBorder="1" applyAlignment="1">
      <alignment horizontal="right" vertical="center"/>
    </xf>
    <xf numFmtId="186" fontId="14" fillId="0" borderId="13" xfId="2" applyNumberFormat="1" applyFont="1" applyFill="1" applyBorder="1" applyAlignment="1">
      <alignment horizontal="right" vertical="center" shrinkToFit="1"/>
    </xf>
    <xf numFmtId="185" fontId="14" fillId="0" borderId="6" xfId="2" applyNumberFormat="1" applyFont="1" applyFill="1" applyBorder="1" applyAlignment="1">
      <alignment horizontal="right" vertical="center"/>
    </xf>
    <xf numFmtId="185" fontId="14" fillId="0" borderId="10" xfId="2" applyNumberFormat="1" applyFont="1" applyFill="1" applyBorder="1" applyAlignment="1">
      <alignment horizontal="right" vertical="center"/>
    </xf>
    <xf numFmtId="186" fontId="14" fillId="0" borderId="14" xfId="2" applyNumberFormat="1" applyFont="1" applyFill="1" applyBorder="1" applyAlignment="1">
      <alignment horizontal="right" vertical="center" shrinkToFit="1"/>
    </xf>
    <xf numFmtId="185" fontId="14" fillId="0" borderId="6" xfId="1" applyNumberFormat="1" applyFont="1" applyFill="1" applyBorder="1" applyAlignment="1">
      <alignment horizontal="right" vertical="center" shrinkToFit="1"/>
    </xf>
    <xf numFmtId="186" fontId="14" fillId="0" borderId="55" xfId="1" applyNumberFormat="1" applyFont="1" applyFill="1" applyBorder="1" applyAlignment="1">
      <alignment horizontal="right" vertical="center" shrinkToFit="1"/>
    </xf>
    <xf numFmtId="186" fontId="14" fillId="0" borderId="13" xfId="1" applyNumberFormat="1" applyFont="1" applyFill="1" applyBorder="1" applyAlignment="1">
      <alignment horizontal="right" vertical="center" shrinkToFit="1"/>
    </xf>
    <xf numFmtId="186" fontId="14" fillId="0" borderId="6" xfId="1" applyNumberFormat="1" applyFont="1" applyFill="1" applyBorder="1" applyAlignment="1">
      <alignment horizontal="right" vertical="center" shrinkToFit="1"/>
    </xf>
    <xf numFmtId="186" fontId="14" fillId="0" borderId="41" xfId="1" applyNumberFormat="1" applyFont="1" applyFill="1" applyBorder="1" applyAlignment="1">
      <alignment horizontal="right" vertical="center" shrinkToFit="1"/>
    </xf>
    <xf numFmtId="186" fontId="14" fillId="0" borderId="66" xfId="1" applyNumberFormat="1" applyFont="1" applyFill="1" applyBorder="1" applyAlignment="1">
      <alignment horizontal="right" vertical="center" shrinkToFit="1"/>
    </xf>
    <xf numFmtId="186" fontId="14" fillId="0" borderId="65" xfId="1" applyNumberFormat="1" applyFont="1" applyFill="1" applyBorder="1" applyAlignment="1">
      <alignment horizontal="right" vertical="center" shrinkToFit="1"/>
    </xf>
    <xf numFmtId="185" fontId="14" fillId="0" borderId="10" xfId="1" applyNumberFormat="1" applyFont="1" applyFill="1" applyBorder="1" applyAlignment="1">
      <alignment horizontal="right" vertical="center" shrinkToFit="1"/>
    </xf>
    <xf numFmtId="185" fontId="14" fillId="0" borderId="4" xfId="1" applyNumberFormat="1" applyFont="1" applyFill="1" applyBorder="1" applyAlignment="1">
      <alignment horizontal="right" vertical="center" shrinkToFit="1"/>
    </xf>
    <xf numFmtId="186" fontId="14" fillId="0" borderId="34" xfId="1" applyNumberFormat="1" applyFont="1" applyFill="1" applyBorder="1" applyAlignment="1">
      <alignment horizontal="right" vertical="center" shrinkToFit="1"/>
    </xf>
    <xf numFmtId="185" fontId="14" fillId="0" borderId="40" xfId="2" applyNumberFormat="1" applyFont="1" applyFill="1" applyBorder="1" applyAlignment="1">
      <alignment horizontal="right" vertical="center"/>
    </xf>
    <xf numFmtId="188" fontId="14" fillId="0" borderId="25" xfId="2" applyNumberFormat="1" applyFont="1" applyFill="1" applyBorder="1" applyAlignment="1">
      <alignment horizontal="right" vertical="center"/>
    </xf>
    <xf numFmtId="186" fontId="14" fillId="0" borderId="21" xfId="2" applyNumberFormat="1" applyFont="1" applyFill="1" applyBorder="1" applyAlignment="1">
      <alignment horizontal="right" vertical="center"/>
    </xf>
    <xf numFmtId="186" fontId="14" fillId="0" borderId="41" xfId="2" applyNumberFormat="1" applyFont="1" applyFill="1" applyBorder="1" applyAlignment="1">
      <alignment horizontal="right" vertical="center"/>
    </xf>
    <xf numFmtId="188" fontId="14" fillId="0" borderId="8" xfId="2" applyNumberFormat="1" applyFont="1" applyFill="1" applyBorder="1" applyAlignment="1">
      <alignment horizontal="right" vertical="center"/>
    </xf>
    <xf numFmtId="185" fontId="14" fillId="0" borderId="56" xfId="2" applyNumberFormat="1" applyFont="1" applyFill="1" applyBorder="1" applyAlignment="1">
      <alignment horizontal="right" vertical="center"/>
    </xf>
    <xf numFmtId="188" fontId="14" fillId="0" borderId="82" xfId="2" applyNumberFormat="1" applyFont="1" applyFill="1" applyBorder="1" applyAlignment="1">
      <alignment horizontal="right" vertical="center"/>
    </xf>
    <xf numFmtId="188" fontId="14" fillId="0" borderId="73" xfId="2" applyNumberFormat="1" applyFont="1" applyFill="1" applyBorder="1" applyAlignment="1">
      <alignment horizontal="right" vertical="center"/>
    </xf>
    <xf numFmtId="186" fontId="14" fillId="0" borderId="99" xfId="2" applyNumberFormat="1" applyFont="1" applyFill="1" applyBorder="1" applyAlignment="1">
      <alignment horizontal="right" vertical="center"/>
    </xf>
    <xf numFmtId="186" fontId="14" fillId="0" borderId="82" xfId="2" applyNumberFormat="1" applyFont="1" applyFill="1" applyBorder="1" applyAlignment="1">
      <alignment horizontal="right" vertical="center"/>
    </xf>
    <xf numFmtId="185" fontId="14" fillId="0" borderId="98" xfId="2" applyNumberFormat="1" applyFont="1" applyFill="1" applyBorder="1" applyAlignment="1">
      <alignment horizontal="right" vertical="center"/>
    </xf>
    <xf numFmtId="186" fontId="14" fillId="0" borderId="57" xfId="2" applyNumberFormat="1" applyFont="1" applyFill="1" applyBorder="1" applyAlignment="1">
      <alignment horizontal="right" vertical="center"/>
    </xf>
    <xf numFmtId="185" fontId="14" fillId="0" borderId="76" xfId="2" applyNumberFormat="1" applyFont="1" applyFill="1" applyBorder="1" applyAlignment="1">
      <alignment horizontal="right" vertical="center"/>
    </xf>
    <xf numFmtId="185" fontId="14" fillId="0" borderId="42" xfId="2" applyNumberFormat="1" applyFont="1" applyFill="1" applyBorder="1" applyAlignment="1">
      <alignment horizontal="right" vertical="center"/>
    </xf>
    <xf numFmtId="188" fontId="14" fillId="0" borderId="83" xfId="2" applyNumberFormat="1" applyFont="1" applyFill="1" applyBorder="1" applyAlignment="1">
      <alignment horizontal="right" vertical="center"/>
    </xf>
    <xf numFmtId="188" fontId="14" fillId="0" borderId="77" xfId="2" applyNumberFormat="1" applyFont="1" applyFill="1" applyBorder="1" applyAlignment="1">
      <alignment horizontal="right" vertical="center"/>
    </xf>
    <xf numFmtId="186" fontId="14" fillId="0" borderId="100" xfId="2" applyNumberFormat="1" applyFont="1" applyFill="1" applyBorder="1" applyAlignment="1">
      <alignment horizontal="right" vertical="center"/>
    </xf>
    <xf numFmtId="186" fontId="14" fillId="0" borderId="44" xfId="2" applyNumberFormat="1" applyFont="1" applyFill="1" applyBorder="1" applyAlignment="1">
      <alignment horizontal="right" vertical="center"/>
    </xf>
    <xf numFmtId="186" fontId="14" fillId="0" borderId="83" xfId="2" applyNumberFormat="1" applyFont="1" applyFill="1" applyBorder="1" applyAlignment="1">
      <alignment horizontal="right" vertical="center"/>
    </xf>
    <xf numFmtId="185" fontId="14" fillId="0" borderId="32" xfId="2" applyNumberFormat="1" applyFont="1" applyFill="1" applyBorder="1" applyAlignment="1">
      <alignment horizontal="right" vertical="center"/>
    </xf>
    <xf numFmtId="185" fontId="14" fillId="0" borderId="45" xfId="2" applyNumberFormat="1" applyFont="1" applyFill="1" applyBorder="1" applyAlignment="1">
      <alignment horizontal="right" vertical="center"/>
    </xf>
    <xf numFmtId="188" fontId="14" fillId="0" borderId="46" xfId="2" applyNumberFormat="1" applyFont="1" applyFill="1" applyBorder="1" applyAlignment="1">
      <alignment horizontal="right" vertical="center"/>
    </xf>
    <xf numFmtId="186" fontId="14" fillId="0" borderId="18" xfId="2" applyNumberFormat="1" applyFont="1" applyFill="1" applyBorder="1" applyAlignment="1">
      <alignment horizontal="right" vertical="center"/>
    </xf>
    <xf numFmtId="186" fontId="14" fillId="0" borderId="47" xfId="2" applyNumberFormat="1" applyFont="1" applyFill="1" applyBorder="1" applyAlignment="1">
      <alignment horizontal="right" vertical="center"/>
    </xf>
    <xf numFmtId="186" fontId="14" fillId="0" borderId="23" xfId="2" applyNumberFormat="1" applyFont="1" applyFill="1" applyBorder="1" applyAlignment="1">
      <alignment horizontal="right" vertical="center"/>
    </xf>
    <xf numFmtId="188" fontId="14" fillId="0" borderId="43" xfId="2" applyNumberFormat="1" applyFont="1" applyFill="1" applyBorder="1" applyAlignment="1">
      <alignment horizontal="right" vertical="center"/>
    </xf>
    <xf numFmtId="188" fontId="14" fillId="0" borderId="12" xfId="2" applyNumberFormat="1" applyFont="1" applyFill="1" applyBorder="1" applyAlignment="1">
      <alignment horizontal="right" vertical="center"/>
    </xf>
    <xf numFmtId="186" fontId="14" fillId="0" borderId="22" xfId="2" applyNumberFormat="1" applyFont="1" applyFill="1" applyBorder="1" applyAlignment="1">
      <alignment horizontal="right" vertical="center"/>
    </xf>
    <xf numFmtId="186" fontId="14" fillId="0" borderId="11" xfId="2" applyNumberFormat="1" applyFont="1" applyFill="1" applyBorder="1" applyAlignment="1">
      <alignment horizontal="right" vertical="center"/>
    </xf>
    <xf numFmtId="184" fontId="5" fillId="0" borderId="143" xfId="2" applyNumberFormat="1" applyFont="1" applyFill="1" applyBorder="1" applyAlignment="1">
      <alignment horizontal="distributed" vertical="center" justifyLastLine="1"/>
    </xf>
    <xf numFmtId="184" fontId="5" fillId="0" borderId="134" xfId="2" applyNumberFormat="1" applyFont="1" applyFill="1" applyBorder="1" applyAlignment="1">
      <alignment horizontal="distributed" vertical="center" justifyLastLine="1"/>
    </xf>
    <xf numFmtId="49" fontId="14" fillId="0" borderId="35" xfId="2" applyNumberFormat="1" applyFont="1" applyFill="1" applyBorder="1" applyAlignment="1">
      <alignment horizontal="center" vertical="center"/>
    </xf>
    <xf numFmtId="49" fontId="14" fillId="0" borderId="36" xfId="2" applyNumberFormat="1" applyFont="1" applyFill="1" applyBorder="1" applyAlignment="1">
      <alignment horizontal="center" vertical="center"/>
    </xf>
    <xf numFmtId="49" fontId="14" fillId="0" borderId="37" xfId="2" applyNumberFormat="1" applyFont="1" applyFill="1" applyBorder="1" applyAlignment="1">
      <alignment horizontal="center" vertical="center"/>
    </xf>
    <xf numFmtId="178" fontId="5" fillId="0" borderId="114" xfId="2" applyNumberFormat="1" applyFont="1" applyFill="1" applyBorder="1" applyAlignment="1">
      <alignment horizontal="left" shrinkToFit="1"/>
    </xf>
    <xf numFmtId="178" fontId="5" fillId="0" borderId="110" xfId="2" applyNumberFormat="1" applyFont="1" applyFill="1" applyBorder="1" applyAlignment="1">
      <alignment horizontal="left" shrinkToFit="1"/>
    </xf>
    <xf numFmtId="178" fontId="5" fillId="0" borderId="115" xfId="2" applyNumberFormat="1" applyFont="1" applyFill="1" applyBorder="1" applyAlignment="1">
      <alignment horizontal="left" shrinkToFit="1"/>
    </xf>
    <xf numFmtId="0" fontId="5" fillId="0" borderId="35" xfId="2" applyFont="1" applyFill="1" applyBorder="1" applyAlignment="1">
      <alignment horizontal="distributed" vertical="center"/>
    </xf>
    <xf numFmtId="0" fontId="5" fillId="0" borderId="36" xfId="2" applyFont="1" applyFill="1" applyBorder="1" applyAlignment="1">
      <alignment horizontal="distributed" vertical="center"/>
    </xf>
    <xf numFmtId="0" fontId="5" fillId="0" borderId="37" xfId="2" applyFont="1" applyFill="1" applyBorder="1" applyAlignment="1">
      <alignment horizontal="distributed" vertical="center"/>
    </xf>
    <xf numFmtId="179" fontId="5" fillId="0" borderId="21" xfId="4" applyNumberFormat="1" applyFont="1" applyFill="1" applyBorder="1" applyAlignment="1">
      <alignment horizontal="left" vertical="center" shrinkToFit="1"/>
    </xf>
    <xf numFmtId="179" fontId="5" fillId="0" borderId="25" xfId="4" applyNumberFormat="1" applyFont="1" applyFill="1" applyBorder="1" applyAlignment="1">
      <alignment horizontal="left" vertical="center" shrinkToFit="1"/>
    </xf>
    <xf numFmtId="179" fontId="5" fillId="0" borderId="127" xfId="4" applyNumberFormat="1" applyFont="1" applyFill="1" applyBorder="1" applyAlignment="1">
      <alignment horizontal="left" vertical="center" shrinkToFit="1"/>
    </xf>
    <xf numFmtId="0" fontId="5" fillId="0" borderId="106" xfId="2" applyFont="1" applyFill="1" applyBorder="1" applyAlignment="1">
      <alignment horizontal="distributed" vertical="center" justifyLastLine="1"/>
    </xf>
    <xf numFmtId="0" fontId="5" fillId="0" borderId="113" xfId="2" applyFont="1" applyFill="1" applyBorder="1" applyAlignment="1">
      <alignment horizontal="distributed" vertical="center" justifyLastLine="1"/>
    </xf>
    <xf numFmtId="0" fontId="5" fillId="0" borderId="133" xfId="5" applyFont="1" applyBorder="1" applyAlignment="1">
      <alignment horizontal="center" vertical="distributed" textRotation="255" justifyLastLine="1"/>
    </xf>
    <xf numFmtId="0" fontId="5" fillId="0" borderId="116" xfId="5" applyFont="1" applyBorder="1" applyAlignment="1">
      <alignment horizontal="center" vertical="distributed" textRotation="255" justifyLastLine="1"/>
    </xf>
    <xf numFmtId="0" fontId="5" fillId="0" borderId="134" xfId="5" applyFont="1" applyBorder="1" applyAlignment="1">
      <alignment horizontal="center" vertical="distributed" textRotation="255" justifyLastLine="1"/>
    </xf>
    <xf numFmtId="0" fontId="5" fillId="0" borderId="96" xfId="5" applyFont="1" applyBorder="1" applyAlignment="1">
      <alignment horizontal="distributed" vertical="center"/>
    </xf>
    <xf numFmtId="0" fontId="5" fillId="0" borderId="84" xfId="5" applyFont="1" applyBorder="1" applyAlignment="1">
      <alignment horizontal="distributed" vertical="center"/>
    </xf>
    <xf numFmtId="179" fontId="5" fillId="0" borderId="18" xfId="4" applyNumberFormat="1" applyFont="1" applyFill="1" applyBorder="1" applyAlignment="1">
      <alignment horizontal="left" vertical="center" shrinkToFit="1"/>
    </xf>
    <xf numFmtId="179" fontId="5" fillId="0" borderId="46" xfId="4" applyNumberFormat="1" applyFont="1" applyFill="1" applyBorder="1" applyAlignment="1">
      <alignment horizontal="left" vertical="center" shrinkToFit="1"/>
    </xf>
    <xf numFmtId="179" fontId="5" fillId="0" borderId="151" xfId="4" applyNumberFormat="1" applyFont="1" applyFill="1" applyBorder="1" applyAlignment="1">
      <alignment horizontal="left" vertical="center" shrinkToFit="1"/>
    </xf>
    <xf numFmtId="0" fontId="5" fillId="0" borderId="41" xfId="5" applyFont="1" applyBorder="1" applyAlignment="1">
      <alignment horizontal="distributed" vertical="center"/>
    </xf>
    <xf numFmtId="0" fontId="5" fillId="0" borderId="25" xfId="5" applyFont="1" applyBorder="1" applyAlignment="1">
      <alignment horizontal="distributed" vertical="center"/>
    </xf>
    <xf numFmtId="0" fontId="5" fillId="1" borderId="65" xfId="5" applyFont="1" applyFill="1" applyBorder="1" applyAlignment="1">
      <alignment horizontal="distributed" vertical="center"/>
    </xf>
    <xf numFmtId="0" fontId="5" fillId="1" borderId="61" xfId="5" applyFont="1" applyFill="1" applyBorder="1" applyAlignment="1">
      <alignment horizontal="distributed" vertical="center"/>
    </xf>
    <xf numFmtId="0" fontId="5" fillId="0" borderId="135" xfId="5" applyFont="1" applyBorder="1" applyAlignment="1">
      <alignment horizontal="distributed" vertical="center"/>
    </xf>
    <xf numFmtId="0" fontId="5" fillId="0" borderId="136" xfId="5" applyFont="1" applyBorder="1" applyAlignment="1">
      <alignment horizontal="distributed" vertical="center"/>
    </xf>
    <xf numFmtId="0" fontId="5" fillId="1" borderId="44" xfId="5" applyFont="1" applyFill="1" applyBorder="1" applyAlignment="1">
      <alignment horizontal="distributed" vertical="center" shrinkToFit="1"/>
    </xf>
    <xf numFmtId="0" fontId="5" fillId="1" borderId="43" xfId="5" applyFont="1" applyFill="1" applyBorder="1" applyAlignment="1">
      <alignment horizontal="distributed" vertical="center" shrinkToFit="1"/>
    </xf>
    <xf numFmtId="0" fontId="5" fillId="1" borderId="145" xfId="5" applyFont="1" applyFill="1" applyBorder="1" applyAlignment="1">
      <alignment horizontal="distributed" vertical="center" shrinkToFit="1"/>
    </xf>
    <xf numFmtId="0" fontId="5" fillId="0" borderId="131" xfId="5" applyFont="1" applyBorder="1" applyAlignment="1">
      <alignment horizontal="distributed" vertical="center"/>
    </xf>
    <xf numFmtId="0" fontId="5" fillId="0" borderId="72" xfId="5" applyFont="1" applyBorder="1" applyAlignment="1">
      <alignment horizontal="distributed" vertical="center"/>
    </xf>
    <xf numFmtId="179" fontId="5" fillId="0" borderId="78" xfId="4" applyNumberFormat="1" applyFont="1" applyFill="1" applyBorder="1" applyAlignment="1">
      <alignment horizontal="left" vertical="center" shrinkToFit="1"/>
    </xf>
    <xf numFmtId="179" fontId="5" fillId="0" borderId="84" xfId="4" applyNumberFormat="1" applyFont="1" applyFill="1" applyBorder="1" applyAlignment="1">
      <alignment horizontal="left" vertical="center" shrinkToFit="1"/>
    </xf>
    <xf numFmtId="179" fontId="5" fillId="0" borderId="150" xfId="4" applyNumberFormat="1" applyFont="1" applyFill="1" applyBorder="1" applyAlignment="1">
      <alignment horizontal="left" vertical="center" shrinkToFit="1"/>
    </xf>
    <xf numFmtId="0" fontId="5" fillId="0" borderId="126" xfId="5" applyFont="1" applyBorder="1" applyAlignment="1">
      <alignment horizontal="distributed" vertical="center" shrinkToFit="1"/>
    </xf>
    <xf numFmtId="0" fontId="5" fillId="0" borderId="40" xfId="5" applyFont="1" applyBorder="1" applyAlignment="1">
      <alignment horizontal="distributed" vertical="center" shrinkToFit="1"/>
    </xf>
    <xf numFmtId="0" fontId="5" fillId="0" borderId="41" xfId="5" applyFont="1" applyBorder="1" applyAlignment="1">
      <alignment horizontal="distributed" vertical="center" shrinkToFit="1"/>
    </xf>
    <xf numFmtId="0" fontId="5" fillId="0" borderId="40" xfId="5" applyFont="1" applyBorder="1" applyAlignment="1">
      <alignment horizontal="distributed" vertical="center"/>
    </xf>
    <xf numFmtId="0" fontId="5" fillId="0" borderId="47" xfId="5" applyFont="1" applyBorder="1" applyAlignment="1">
      <alignment horizontal="distributed" vertical="center"/>
    </xf>
    <xf numFmtId="0" fontId="5" fillId="0" borderId="75" xfId="5" applyFont="1" applyBorder="1" applyAlignment="1">
      <alignment horizontal="distributed" vertical="center"/>
    </xf>
    <xf numFmtId="0" fontId="5" fillId="0" borderId="65" xfId="5" applyFont="1" applyBorder="1" applyAlignment="1">
      <alignment horizontal="distributed" vertical="center"/>
    </xf>
    <xf numFmtId="179" fontId="5" fillId="0" borderId="22" xfId="4" applyNumberFormat="1" applyFont="1" applyFill="1" applyBorder="1" applyAlignment="1">
      <alignment vertical="center" shrinkToFit="1"/>
    </xf>
    <xf numFmtId="179" fontId="5" fillId="0" borderId="43" xfId="4" applyNumberFormat="1" applyFont="1" applyFill="1" applyBorder="1" applyAlignment="1">
      <alignment vertical="center" shrinkToFit="1"/>
    </xf>
    <xf numFmtId="179" fontId="5" fillId="0" borderId="149" xfId="4" applyNumberFormat="1" applyFont="1" applyFill="1" applyBorder="1" applyAlignment="1">
      <alignment vertical="center" shrinkToFit="1"/>
    </xf>
    <xf numFmtId="0" fontId="5" fillId="1" borderId="130" xfId="5" applyFont="1" applyFill="1" applyBorder="1" applyAlignment="1">
      <alignment horizontal="distributed" vertical="center"/>
    </xf>
    <xf numFmtId="0" fontId="5" fillId="1" borderId="42" xfId="5" applyFont="1" applyFill="1" applyBorder="1" applyAlignment="1">
      <alignment horizontal="distributed" vertical="center"/>
    </xf>
    <xf numFmtId="0" fontId="5" fillId="1" borderId="44" xfId="5" applyFont="1" applyFill="1" applyBorder="1" applyAlignment="1">
      <alignment horizontal="distributed" vertical="center"/>
    </xf>
    <xf numFmtId="179" fontId="5" fillId="0" borderId="22" xfId="4" applyNumberFormat="1" applyFont="1" applyFill="1" applyBorder="1" applyAlignment="1">
      <alignment horizontal="left" vertical="center" shrinkToFit="1"/>
    </xf>
    <xf numFmtId="179" fontId="5" fillId="0" borderId="43" xfId="4" applyNumberFormat="1" applyFont="1" applyFill="1" applyBorder="1" applyAlignment="1">
      <alignment horizontal="left" vertical="center" shrinkToFit="1"/>
    </xf>
    <xf numFmtId="179" fontId="5" fillId="0" borderId="149" xfId="4" applyNumberFormat="1" applyFont="1" applyFill="1" applyBorder="1" applyAlignment="1">
      <alignment horizontal="left" vertical="center" shrinkToFit="1"/>
    </xf>
    <xf numFmtId="0" fontId="5" fillId="1" borderId="40" xfId="5" applyFont="1" applyFill="1" applyBorder="1" applyAlignment="1">
      <alignment horizontal="distributed" vertical="center"/>
    </xf>
    <xf numFmtId="0" fontId="5" fillId="1" borderId="41" xfId="5" applyFont="1" applyFill="1" applyBorder="1" applyAlignment="1">
      <alignment horizontal="distributed" vertical="center"/>
    </xf>
    <xf numFmtId="0" fontId="2" fillId="0" borderId="0" xfId="1" applyFont="1" applyFill="1" applyAlignment="1">
      <alignment horizontal="center" vertical="center"/>
    </xf>
    <xf numFmtId="0" fontId="5" fillId="0" borderId="101" xfId="5" applyFont="1" applyBorder="1" applyAlignment="1">
      <alignment horizontal="center" vertical="center"/>
    </xf>
    <xf numFmtId="0" fontId="5" fillId="0" borderId="102" xfId="5" applyFont="1" applyBorder="1" applyAlignment="1">
      <alignment horizontal="center" vertical="center"/>
    </xf>
    <xf numFmtId="0" fontId="5" fillId="0" borderId="109" xfId="5" applyFont="1" applyBorder="1" applyAlignment="1">
      <alignment horizontal="center" vertical="center"/>
    </xf>
    <xf numFmtId="0" fontId="5" fillId="0" borderId="110" xfId="5" applyFont="1" applyBorder="1" applyAlignment="1">
      <alignment horizontal="center" vertical="center"/>
    </xf>
    <xf numFmtId="0" fontId="5" fillId="2" borderId="103" xfId="4" applyFont="1" applyFill="1" applyBorder="1" applyAlignment="1">
      <alignment horizontal="center" vertical="center" wrapText="1"/>
    </xf>
    <xf numFmtId="0" fontId="5" fillId="2" borderId="111" xfId="4" applyFont="1" applyFill="1" applyBorder="1" applyAlignment="1">
      <alignment horizontal="center" vertical="center" wrapText="1"/>
    </xf>
    <xf numFmtId="0" fontId="5" fillId="0" borderId="116" xfId="5" applyFont="1" applyBorder="1" applyAlignment="1">
      <alignment horizontal="center" vertical="center" wrapText="1"/>
    </xf>
    <xf numFmtId="0" fontId="5" fillId="0" borderId="128" xfId="5" applyFont="1" applyBorder="1" applyAlignment="1">
      <alignment horizontal="center" vertical="center" wrapText="1"/>
    </xf>
    <xf numFmtId="0" fontId="5" fillId="2" borderId="107" xfId="4" applyFont="1" applyFill="1" applyBorder="1" applyAlignment="1">
      <alignment horizontal="center" vertical="center"/>
    </xf>
    <xf numFmtId="0" fontId="5" fillId="2" borderId="102" xfId="4" applyFont="1" applyFill="1" applyBorder="1" applyAlignment="1">
      <alignment horizontal="center" vertical="center"/>
    </xf>
    <xf numFmtId="0" fontId="5" fillId="2" borderId="108" xfId="4" applyFont="1" applyFill="1" applyBorder="1" applyAlignment="1">
      <alignment horizontal="center" vertical="center"/>
    </xf>
    <xf numFmtId="0" fontId="5" fillId="2" borderId="114" xfId="4" applyFont="1" applyFill="1" applyBorder="1" applyAlignment="1">
      <alignment horizontal="center" vertical="center"/>
    </xf>
    <xf numFmtId="0" fontId="5" fillId="2" borderId="110" xfId="4" applyFont="1" applyFill="1" applyBorder="1" applyAlignment="1">
      <alignment horizontal="center" vertical="center"/>
    </xf>
    <xf numFmtId="0" fontId="5" fillId="2" borderId="115" xfId="4" applyFont="1" applyFill="1" applyBorder="1" applyAlignment="1">
      <alignment horizontal="center" vertical="center"/>
    </xf>
    <xf numFmtId="0" fontId="5" fillId="0" borderId="68" xfId="5" applyFont="1" applyBorder="1" applyAlignment="1">
      <alignment horizontal="distributed" vertical="center"/>
    </xf>
    <xf numFmtId="0" fontId="5" fillId="0" borderId="45" xfId="5" applyFont="1" applyBorder="1" applyAlignment="1">
      <alignment horizontal="distributed" vertical="center"/>
    </xf>
    <xf numFmtId="179" fontId="5" fillId="0" borderId="123" xfId="4" applyNumberFormat="1" applyFont="1" applyFill="1" applyBorder="1" applyAlignment="1">
      <alignment horizontal="left" vertical="center" shrinkToFit="1"/>
    </xf>
    <xf numFmtId="179" fontId="5" fillId="0" borderId="121" xfId="4" applyNumberFormat="1" applyFont="1" applyFill="1" applyBorder="1" applyAlignment="1">
      <alignment horizontal="left" vertical="center" shrinkToFit="1"/>
    </xf>
    <xf numFmtId="179" fontId="5" fillId="0" borderId="124" xfId="4" applyNumberFormat="1" applyFont="1" applyFill="1" applyBorder="1" applyAlignment="1">
      <alignment horizontal="left" vertical="center" shrinkToFit="1"/>
    </xf>
    <xf numFmtId="184" fontId="5" fillId="0" borderId="105" xfId="2" applyNumberFormat="1" applyFont="1" applyFill="1" applyBorder="1" applyAlignment="1">
      <alignment horizontal="distributed" vertical="center" justifyLastLine="1"/>
    </xf>
    <xf numFmtId="184" fontId="5" fillId="0" borderId="148" xfId="2" applyNumberFormat="1" applyFont="1" applyFill="1" applyBorder="1" applyAlignment="1">
      <alignment horizontal="distributed" vertical="center" justifyLastLine="1"/>
    </xf>
    <xf numFmtId="0" fontId="5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5" fillId="0" borderId="89" xfId="1" applyFont="1" applyFill="1" applyBorder="1" applyAlignment="1">
      <alignment horizontal="center" vertical="center"/>
    </xf>
    <xf numFmtId="0" fontId="5" fillId="0" borderId="93" xfId="1" applyFont="1" applyFill="1" applyBorder="1" applyAlignment="1">
      <alignment horizontal="center" vertical="center"/>
    </xf>
    <xf numFmtId="0" fontId="5" fillId="0" borderId="94" xfId="1" applyFont="1" applyFill="1" applyBorder="1" applyAlignment="1">
      <alignment horizontal="center" vertical="center"/>
    </xf>
    <xf numFmtId="0" fontId="5" fillId="0" borderId="74" xfId="1" applyFont="1" applyFill="1" applyBorder="1" applyAlignment="1">
      <alignment horizontal="center" vertical="center"/>
    </xf>
    <xf numFmtId="0" fontId="5" fillId="0" borderId="78" xfId="1" applyFont="1" applyFill="1" applyBorder="1" applyAlignment="1">
      <alignment horizontal="distributed" vertical="center"/>
    </xf>
    <xf numFmtId="0" fontId="5" fillId="0" borderId="84" xfId="1" applyFont="1" applyFill="1" applyBorder="1" applyAlignment="1">
      <alignment horizontal="distributed" vertical="center"/>
    </xf>
    <xf numFmtId="0" fontId="5" fillId="0" borderId="31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distributed" vertical="center"/>
    </xf>
    <xf numFmtId="0" fontId="5" fillId="0" borderId="43" xfId="1" applyFont="1" applyFill="1" applyBorder="1" applyAlignment="1">
      <alignment horizontal="distributed" vertical="center"/>
    </xf>
    <xf numFmtId="0" fontId="5" fillId="0" borderId="12" xfId="1" applyFont="1" applyFill="1" applyBorder="1" applyAlignment="1">
      <alignment horizontal="distributed" vertical="center"/>
    </xf>
    <xf numFmtId="0" fontId="5" fillId="0" borderId="15" xfId="1" applyFont="1" applyFill="1" applyBorder="1" applyAlignment="1">
      <alignment horizontal="distributed" vertical="center"/>
    </xf>
    <xf numFmtId="0" fontId="5" fillId="0" borderId="16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1" xfId="1" applyFont="1" applyFill="1" applyBorder="1" applyAlignment="1">
      <alignment horizontal="center" vertical="center" textRotation="255" shrinkToFit="1"/>
    </xf>
    <xf numFmtId="0" fontId="5" fillId="0" borderId="3" xfId="1" applyFont="1" applyFill="1" applyBorder="1" applyAlignment="1">
      <alignment horizontal="center" vertical="center" textRotation="255" shrinkToFit="1"/>
    </xf>
    <xf numFmtId="0" fontId="5" fillId="0" borderId="41" xfId="1" applyFont="1" applyFill="1" applyBorder="1" applyAlignment="1">
      <alignment horizontal="distributed" vertical="center"/>
    </xf>
    <xf numFmtId="0" fontId="5" fillId="0" borderId="25" xfId="1" applyFont="1" applyFill="1" applyBorder="1" applyAlignment="1">
      <alignment horizontal="distributed" vertical="center"/>
    </xf>
    <xf numFmtId="0" fontId="5" fillId="0" borderId="8" xfId="1" applyFont="1" applyFill="1" applyBorder="1" applyAlignment="1">
      <alignment horizontal="distributed" vertical="center"/>
    </xf>
    <xf numFmtId="0" fontId="5" fillId="0" borderId="21" xfId="1" applyFont="1" applyFill="1" applyBorder="1" applyAlignment="1">
      <alignment horizontal="distributed" vertical="center"/>
    </xf>
    <xf numFmtId="0" fontId="5" fillId="0" borderId="41" xfId="2" applyFont="1" applyFill="1" applyBorder="1" applyAlignment="1">
      <alignment horizontal="distributed" vertical="center" shrinkToFit="1"/>
    </xf>
    <xf numFmtId="0" fontId="5" fillId="0" borderId="25" xfId="2" applyFont="1" applyFill="1" applyBorder="1" applyAlignment="1">
      <alignment horizontal="distributed" vertical="center" shrinkToFit="1"/>
    </xf>
    <xf numFmtId="0" fontId="5" fillId="0" borderId="8" xfId="2" applyFont="1" applyFill="1" applyBorder="1" applyAlignment="1">
      <alignment horizontal="distributed" vertical="center" shrinkToFit="1"/>
    </xf>
    <xf numFmtId="0" fontId="5" fillId="0" borderId="65" xfId="2" applyFont="1" applyFill="1" applyBorder="1" applyAlignment="1">
      <alignment horizontal="distributed" vertical="center"/>
    </xf>
    <xf numFmtId="0" fontId="5" fillId="0" borderId="61" xfId="2" applyFont="1" applyFill="1" applyBorder="1" applyAlignment="1">
      <alignment horizontal="distributed" vertical="center"/>
    </xf>
    <xf numFmtId="0" fontId="5" fillId="0" borderId="48" xfId="2" applyFont="1" applyFill="1" applyBorder="1" applyAlignment="1">
      <alignment horizontal="distributed" vertical="center"/>
    </xf>
    <xf numFmtId="0" fontId="5" fillId="0" borderId="44" xfId="2" applyFont="1" applyFill="1" applyBorder="1" applyAlignment="1">
      <alignment horizontal="distributed" vertical="center"/>
    </xf>
    <xf numFmtId="0" fontId="5" fillId="0" borderId="12" xfId="2" applyFont="1" applyFill="1" applyBorder="1" applyAlignment="1">
      <alignment horizontal="distributed" vertical="center"/>
    </xf>
    <xf numFmtId="0" fontId="5" fillId="0" borderId="41" xfId="2" applyFont="1" applyFill="1" applyBorder="1" applyAlignment="1">
      <alignment horizontal="distributed" vertical="center"/>
    </xf>
    <xf numFmtId="0" fontId="5" fillId="0" borderId="8" xfId="2" applyFont="1" applyFill="1" applyBorder="1" applyAlignment="1">
      <alignment horizontal="distributed" vertical="center"/>
    </xf>
    <xf numFmtId="0" fontId="5" fillId="0" borderId="44" xfId="1" applyFont="1" applyFill="1" applyBorder="1" applyAlignment="1">
      <alignment horizontal="distributed" vertical="center"/>
    </xf>
    <xf numFmtId="0" fontId="14" fillId="0" borderId="15" xfId="2" applyFont="1" applyFill="1" applyBorder="1" applyAlignment="1">
      <alignment vertical="center" shrinkToFit="1"/>
    </xf>
    <xf numFmtId="0" fontId="15" fillId="0" borderId="16" xfId="0" applyFont="1" applyFill="1" applyBorder="1">
      <alignment vertical="center"/>
    </xf>
    <xf numFmtId="0" fontId="15" fillId="0" borderId="17" xfId="0" applyFont="1" applyFill="1" applyBorder="1">
      <alignment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" xfId="1" applyFont="1" applyFill="1" applyBorder="1" applyAlignment="1">
      <alignment horizontal="distributed" vertical="center"/>
    </xf>
    <xf numFmtId="0" fontId="5" fillId="0" borderId="65" xfId="1" applyFont="1" applyFill="1" applyBorder="1" applyAlignment="1">
      <alignment horizontal="distributed" vertical="center"/>
    </xf>
    <xf numFmtId="0" fontId="5" fillId="0" borderId="61" xfId="1" applyFont="1" applyFill="1" applyBorder="1" applyAlignment="1">
      <alignment horizontal="distributed" vertical="center"/>
    </xf>
    <xf numFmtId="0" fontId="5" fillId="0" borderId="48" xfId="1" applyFont="1" applyFill="1" applyBorder="1" applyAlignment="1">
      <alignment horizontal="distributed" vertical="center"/>
    </xf>
    <xf numFmtId="0" fontId="14" fillId="0" borderId="35" xfId="2" applyNumberFormat="1" applyFont="1" applyFill="1" applyBorder="1" applyAlignment="1">
      <alignment horizontal="center" vertical="center"/>
    </xf>
    <xf numFmtId="0" fontId="14" fillId="0" borderId="36" xfId="2" applyNumberFormat="1" applyFont="1" applyFill="1" applyBorder="1" applyAlignment="1">
      <alignment horizontal="center" vertical="center"/>
    </xf>
    <xf numFmtId="0" fontId="14" fillId="0" borderId="37" xfId="2" applyNumberFormat="1" applyFont="1" applyFill="1" applyBorder="1" applyAlignment="1">
      <alignment horizontal="center" vertical="center"/>
    </xf>
    <xf numFmtId="184" fontId="5" fillId="0" borderId="28" xfId="1" applyNumberFormat="1" applyFont="1" applyFill="1" applyBorder="1" applyAlignment="1">
      <alignment horizontal="distributed" vertical="center" justifyLastLine="1"/>
    </xf>
    <xf numFmtId="184" fontId="5" fillId="0" borderId="4" xfId="1" applyNumberFormat="1" applyFont="1" applyFill="1" applyBorder="1" applyAlignment="1">
      <alignment horizontal="distributed" vertical="center" justifyLastLine="1"/>
    </xf>
    <xf numFmtId="184" fontId="5" fillId="0" borderId="19" xfId="1" applyNumberFormat="1" applyFont="1" applyFill="1" applyBorder="1" applyAlignment="1">
      <alignment horizontal="distributed" vertical="center" justifyLastLine="1"/>
    </xf>
    <xf numFmtId="184" fontId="5" fillId="0" borderId="3" xfId="1" applyNumberFormat="1" applyFont="1" applyFill="1" applyBorder="1" applyAlignment="1">
      <alignment horizontal="distributed" vertical="center" justifyLastLine="1"/>
    </xf>
    <xf numFmtId="0" fontId="5" fillId="0" borderId="22" xfId="2" applyFont="1" applyFill="1" applyBorder="1" applyAlignment="1">
      <alignment horizontal="distributed" vertical="center"/>
    </xf>
    <xf numFmtId="0" fontId="5" fillId="0" borderId="43" xfId="2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60" xfId="2" applyFont="1" applyFill="1" applyBorder="1" applyAlignment="1">
      <alignment horizontal="center" vertical="center" wrapText="1"/>
    </xf>
    <xf numFmtId="0" fontId="5" fillId="0" borderId="97" xfId="2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 wrapText="1"/>
    </xf>
    <xf numFmtId="0" fontId="5" fillId="0" borderId="50" xfId="2" applyFont="1" applyFill="1" applyBorder="1" applyAlignment="1">
      <alignment horizontal="center" vertical="center" wrapText="1"/>
    </xf>
    <xf numFmtId="0" fontId="5" fillId="0" borderId="18" xfId="2" applyFont="1" applyFill="1" applyBorder="1" applyAlignment="1">
      <alignment horizontal="center" vertical="center" wrapText="1"/>
    </xf>
    <xf numFmtId="0" fontId="5" fillId="0" borderId="59" xfId="2" applyFont="1" applyFill="1" applyBorder="1" applyAlignment="1">
      <alignment horizontal="center" vertical="center" wrapText="1"/>
    </xf>
    <xf numFmtId="0" fontId="12" fillId="0" borderId="41" xfId="3" applyFont="1" applyFill="1" applyBorder="1" applyAlignment="1">
      <alignment horizontal="distributed" vertical="center"/>
    </xf>
    <xf numFmtId="0" fontId="12" fillId="0" borderId="25" xfId="3" applyFont="1" applyFill="1" applyBorder="1" applyAlignment="1">
      <alignment horizontal="distributed" vertical="center"/>
    </xf>
    <xf numFmtId="0" fontId="12" fillId="0" borderId="41" xfId="3" applyFont="1" applyFill="1" applyBorder="1" applyAlignment="1">
      <alignment horizontal="left" vertical="center" shrinkToFit="1"/>
    </xf>
    <xf numFmtId="0" fontId="12" fillId="0" borderId="25" xfId="3" applyFont="1" applyFill="1" applyBorder="1" applyAlignment="1">
      <alignment horizontal="left" vertical="center" shrinkToFit="1"/>
    </xf>
    <xf numFmtId="0" fontId="5" fillId="0" borderId="87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distributed" vertical="center"/>
    </xf>
    <xf numFmtId="0" fontId="5" fillId="0" borderId="43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0" fontId="5" fillId="0" borderId="25" xfId="0" applyFont="1" applyFill="1" applyBorder="1" applyAlignment="1">
      <alignment horizontal="distributed" vertical="center"/>
    </xf>
    <xf numFmtId="0" fontId="5" fillId="0" borderId="78" xfId="0" applyFont="1" applyFill="1" applyBorder="1" applyAlignment="1">
      <alignment horizontal="distributed" vertical="center"/>
    </xf>
    <xf numFmtId="0" fontId="5" fillId="0" borderId="84" xfId="0" applyFont="1" applyFill="1" applyBorder="1" applyAlignment="1">
      <alignment horizontal="distributed" vertical="center"/>
    </xf>
    <xf numFmtId="184" fontId="5" fillId="0" borderId="19" xfId="2" applyNumberFormat="1" applyFont="1" applyFill="1" applyBorder="1" applyAlignment="1">
      <alignment horizontal="distributed" vertical="center" wrapText="1" justifyLastLine="1"/>
    </xf>
    <xf numFmtId="184" fontId="5" fillId="0" borderId="3" xfId="2" applyNumberFormat="1" applyFont="1" applyFill="1" applyBorder="1" applyAlignment="1">
      <alignment horizontal="distributed" vertical="center" wrapText="1" justifyLastLine="1"/>
    </xf>
    <xf numFmtId="184" fontId="5" fillId="0" borderId="28" xfId="2" applyNumberFormat="1" applyFont="1" applyFill="1" applyBorder="1" applyAlignment="1">
      <alignment horizontal="distributed" vertical="center" wrapText="1" justifyLastLine="1"/>
    </xf>
    <xf numFmtId="184" fontId="5" fillId="0" borderId="4" xfId="2" applyNumberFormat="1" applyFont="1" applyFill="1" applyBorder="1" applyAlignment="1">
      <alignment horizontal="distributed" vertical="center" wrapText="1" justifyLastLine="1"/>
    </xf>
    <xf numFmtId="0" fontId="5" fillId="0" borderId="146" xfId="0" applyFont="1" applyFill="1" applyBorder="1" applyAlignment="1">
      <alignment horizontal="distributed" vertical="center"/>
    </xf>
    <xf numFmtId="0" fontId="5" fillId="0" borderId="142" xfId="2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 wrapText="1" justifyLastLine="1"/>
    </xf>
    <xf numFmtId="0" fontId="5" fillId="0" borderId="90" xfId="0" applyFont="1" applyFill="1" applyBorder="1" applyAlignment="1">
      <alignment horizontal="center" vertical="center"/>
    </xf>
    <xf numFmtId="0" fontId="5" fillId="0" borderId="91" xfId="0" applyFont="1" applyFill="1" applyBorder="1" applyAlignment="1">
      <alignment horizontal="center" vertical="center"/>
    </xf>
    <xf numFmtId="0" fontId="5" fillId="0" borderId="9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86" xfId="0" applyFont="1" applyFill="1" applyBorder="1" applyAlignment="1">
      <alignment horizontal="distributed" vertical="center" justifyLastLine="1"/>
    </xf>
    <xf numFmtId="0" fontId="5" fillId="0" borderId="81" xfId="0" applyFont="1" applyFill="1" applyBorder="1" applyAlignment="1">
      <alignment horizontal="distributed" vertical="center" justifyLastLine="1"/>
    </xf>
    <xf numFmtId="0" fontId="5" fillId="0" borderId="85" xfId="0" applyFont="1" applyFill="1" applyBorder="1" applyAlignment="1">
      <alignment horizontal="distributed" vertical="center" justifyLastLine="1"/>
    </xf>
    <xf numFmtId="0" fontId="5" fillId="0" borderId="15" xfId="2" applyFont="1" applyFill="1" applyBorder="1" applyAlignment="1">
      <alignment horizontal="center" vertical="center" wrapText="1"/>
    </xf>
    <xf numFmtId="0" fontId="5" fillId="0" borderId="95" xfId="2" applyFont="1" applyFill="1" applyBorder="1" applyAlignment="1">
      <alignment horizontal="center" vertical="center" wrapText="1"/>
    </xf>
    <xf numFmtId="0" fontId="12" fillId="0" borderId="96" xfId="3" applyFont="1" applyFill="1" applyBorder="1" applyAlignment="1">
      <alignment horizontal="distributed" vertical="center"/>
    </xf>
    <xf numFmtId="0" fontId="12" fillId="0" borderId="84" xfId="3" applyFont="1" applyFill="1" applyBorder="1" applyAlignment="1">
      <alignment horizontal="distributed" vertical="center"/>
    </xf>
    <xf numFmtId="0" fontId="5" fillId="0" borderId="147" xfId="0" applyFont="1" applyFill="1" applyBorder="1" applyAlignment="1">
      <alignment horizontal="distributed" vertical="center"/>
    </xf>
    <xf numFmtId="0" fontId="5" fillId="0" borderId="47" xfId="1" applyFont="1" applyFill="1" applyBorder="1" applyAlignment="1">
      <alignment horizontal="distributed" vertical="center"/>
    </xf>
    <xf numFmtId="0" fontId="5" fillId="0" borderId="46" xfId="1" applyFont="1" applyFill="1" applyBorder="1" applyAlignment="1">
      <alignment horizontal="distributed" vertical="center"/>
    </xf>
    <xf numFmtId="0" fontId="5" fillId="0" borderId="61" xfId="1" applyFont="1" applyFill="1" applyBorder="1" applyAlignment="1">
      <alignment horizontal="center" vertical="center" wrapText="1" shrinkToFit="1"/>
    </xf>
    <xf numFmtId="0" fontId="5" fillId="0" borderId="97" xfId="1" applyFont="1" applyFill="1" applyBorder="1" applyAlignment="1">
      <alignment horizontal="center" vertical="center" shrinkToFit="1"/>
    </xf>
    <xf numFmtId="0" fontId="5" fillId="0" borderId="46" xfId="1" applyFont="1" applyFill="1" applyBorder="1" applyAlignment="1">
      <alignment horizontal="center" vertical="center" shrinkToFit="1"/>
    </xf>
    <xf numFmtId="0" fontId="5" fillId="0" borderId="59" xfId="1" applyFont="1" applyFill="1" applyBorder="1" applyAlignment="1">
      <alignment horizontal="center" vertical="center" shrinkToFit="1"/>
    </xf>
    <xf numFmtId="0" fontId="5" fillId="0" borderId="65" xfId="1" applyFont="1" applyFill="1" applyBorder="1" applyAlignment="1">
      <alignment horizontal="center" vertical="center" wrapText="1"/>
    </xf>
    <xf numFmtId="0" fontId="5" fillId="0" borderId="61" xfId="1" applyFont="1" applyFill="1" applyBorder="1" applyAlignment="1">
      <alignment horizontal="center" vertical="center" wrapText="1"/>
    </xf>
    <xf numFmtId="0" fontId="5" fillId="0" borderId="97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50" xfId="1" applyFont="1" applyFill="1" applyBorder="1" applyAlignment="1">
      <alignment horizontal="center" vertical="center"/>
    </xf>
    <xf numFmtId="0" fontId="5" fillId="0" borderId="47" xfId="1" applyFont="1" applyFill="1" applyBorder="1" applyAlignment="1">
      <alignment horizontal="center" vertical="center"/>
    </xf>
    <xf numFmtId="0" fontId="5" fillId="0" borderId="46" xfId="1" applyFont="1" applyFill="1" applyBorder="1" applyAlignment="1">
      <alignment horizontal="center" vertical="center"/>
    </xf>
    <xf numFmtId="0" fontId="5" fillId="0" borderId="59" xfId="1" applyFont="1" applyFill="1" applyBorder="1" applyAlignment="1">
      <alignment horizontal="center" vertical="center"/>
    </xf>
    <xf numFmtId="0" fontId="5" fillId="0" borderId="41" xfId="1" applyFont="1" applyFill="1" applyBorder="1" applyAlignment="1">
      <alignment horizontal="distributed" vertical="center" shrinkToFit="1"/>
    </xf>
    <xf numFmtId="0" fontId="5" fillId="0" borderId="25" xfId="1" applyFont="1" applyFill="1" applyBorder="1" applyAlignment="1">
      <alignment horizontal="distributed" vertical="center" shrinkToFit="1"/>
    </xf>
    <xf numFmtId="0" fontId="5" fillId="0" borderId="8" xfId="1" applyFont="1" applyFill="1" applyBorder="1" applyAlignment="1">
      <alignment horizontal="distributed" vertical="center" shrinkToFit="1"/>
    </xf>
    <xf numFmtId="0" fontId="5" fillId="0" borderId="90" xfId="1" applyFont="1" applyFill="1" applyBorder="1" applyAlignment="1">
      <alignment horizontal="center" vertical="center"/>
    </xf>
    <xf numFmtId="0" fontId="5" fillId="0" borderId="91" xfId="1" applyFont="1" applyFill="1" applyBorder="1" applyAlignment="1">
      <alignment horizontal="center" vertical="center"/>
    </xf>
    <xf numFmtId="0" fontId="5" fillId="0" borderId="92" xfId="1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center" vertical="center"/>
    </xf>
    <xf numFmtId="0" fontId="5" fillId="0" borderId="36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40" xfId="1" applyFont="1" applyFill="1" applyBorder="1" applyAlignment="1">
      <alignment horizontal="distributed" vertical="center"/>
    </xf>
    <xf numFmtId="0" fontId="5" fillId="0" borderId="7" xfId="1" applyFont="1" applyFill="1" applyBorder="1" applyAlignment="1">
      <alignment horizontal="distributed" vertical="center"/>
    </xf>
    <xf numFmtId="0" fontId="5" fillId="0" borderId="75" xfId="1" applyFont="1" applyFill="1" applyBorder="1" applyAlignment="1">
      <alignment horizontal="distributed" vertical="center"/>
    </xf>
    <xf numFmtId="0" fontId="5" fillId="0" borderId="67" xfId="1" applyFont="1" applyFill="1" applyBorder="1" applyAlignment="1">
      <alignment horizontal="distributed" vertical="center"/>
    </xf>
    <xf numFmtId="184" fontId="5" fillId="0" borderId="15" xfId="2" applyNumberFormat="1" applyFont="1" applyFill="1" applyBorder="1" applyAlignment="1">
      <alignment horizontal="distributed" vertical="center" justifyLastLine="1"/>
    </xf>
    <xf numFmtId="184" fontId="5" fillId="0" borderId="84" xfId="2" applyNumberFormat="1" applyFont="1" applyFill="1" applyBorder="1" applyAlignment="1">
      <alignment horizontal="distributed" vertical="center" justifyLastLine="1"/>
    </xf>
    <xf numFmtId="184" fontId="5" fillId="0" borderId="17" xfId="2" applyNumberFormat="1" applyFont="1" applyFill="1" applyBorder="1" applyAlignment="1">
      <alignment horizontal="distributed" vertical="center" justifyLastLine="1"/>
    </xf>
    <xf numFmtId="0" fontId="5" fillId="0" borderId="36" xfId="2" applyFont="1" applyFill="1" applyBorder="1" applyAlignment="1">
      <alignment horizontal="center" vertical="center"/>
    </xf>
    <xf numFmtId="0" fontId="5" fillId="0" borderId="37" xfId="2" applyFont="1" applyFill="1" applyBorder="1" applyAlignment="1">
      <alignment horizontal="center" vertical="center"/>
    </xf>
    <xf numFmtId="184" fontId="5" fillId="0" borderId="16" xfId="2" applyNumberFormat="1" applyFont="1" applyFill="1" applyBorder="1" applyAlignment="1">
      <alignment horizontal="distributed" vertical="center" justifyLastLine="1"/>
    </xf>
    <xf numFmtId="0" fontId="5" fillId="0" borderId="15" xfId="1" applyFont="1" applyFill="1" applyBorder="1" applyAlignment="1">
      <alignment horizontal="center" vertical="distributed" textRotation="255" justifyLastLine="1"/>
    </xf>
    <xf numFmtId="0" fontId="5" fillId="0" borderId="9" xfId="1" applyFont="1" applyFill="1" applyBorder="1" applyAlignment="1">
      <alignment horizontal="center" vertical="distributed" textRotation="255" justifyLastLine="1"/>
    </xf>
    <xf numFmtId="0" fontId="5" fillId="0" borderId="26" xfId="1" applyFont="1" applyFill="1" applyBorder="1" applyAlignment="1">
      <alignment horizontal="center" vertical="distributed" textRotation="255" justifyLastLine="1"/>
    </xf>
    <xf numFmtId="0" fontId="5" fillId="0" borderId="72" xfId="1" applyFont="1" applyFill="1" applyBorder="1" applyAlignment="1">
      <alignment horizontal="center" vertical="distributed" textRotation="255" justifyLastLine="1"/>
    </xf>
    <xf numFmtId="0" fontId="5" fillId="0" borderId="40" xfId="1" applyFont="1" applyFill="1" applyBorder="1" applyAlignment="1">
      <alignment horizontal="center" vertical="distributed" textRotation="255" justifyLastLine="1"/>
    </xf>
    <xf numFmtId="0" fontId="5" fillId="0" borderId="72" xfId="1" applyFont="1" applyFill="1" applyBorder="1" applyAlignment="1">
      <alignment horizontal="distributed" vertical="distributed" textRotation="255" justifyLastLine="1"/>
    </xf>
    <xf numFmtId="0" fontId="5" fillId="0" borderId="40" xfId="1" applyFont="1" applyFill="1" applyBorder="1" applyAlignment="1">
      <alignment horizontal="distributed" vertical="distributed" textRotation="255" justifyLastLine="1"/>
    </xf>
    <xf numFmtId="0" fontId="5" fillId="0" borderId="72" xfId="1" applyFont="1" applyFill="1" applyBorder="1" applyAlignment="1">
      <alignment horizontal="distributed" vertical="center"/>
    </xf>
    <xf numFmtId="0" fontId="5" fillId="0" borderId="96" xfId="1" applyFont="1" applyFill="1" applyBorder="1" applyAlignment="1">
      <alignment horizontal="distributed" vertical="center"/>
    </xf>
    <xf numFmtId="0" fontId="5" fillId="0" borderId="20" xfId="1" applyFont="1" applyFill="1" applyBorder="1" applyAlignment="1">
      <alignment horizontal="distributed" vertical="center"/>
    </xf>
    <xf numFmtId="0" fontId="5" fillId="0" borderId="42" xfId="1" applyFont="1" applyFill="1" applyBorder="1" applyAlignment="1">
      <alignment horizontal="center" vertical="distributed" textRotation="255" justifyLastLine="1"/>
    </xf>
    <xf numFmtId="0" fontId="5" fillId="0" borderId="42" xfId="1" applyFont="1" applyFill="1" applyBorder="1" applyAlignment="1">
      <alignment horizontal="distributed" vertical="center"/>
    </xf>
    <xf numFmtId="0" fontId="5" fillId="0" borderId="11" xfId="1" applyFont="1" applyFill="1" applyBorder="1" applyAlignment="1">
      <alignment horizontal="distributed" vertical="center"/>
    </xf>
    <xf numFmtId="180" fontId="5" fillId="0" borderId="0" xfId="2" applyNumberFormat="1" applyFont="1" applyFill="1" applyBorder="1" applyAlignment="1">
      <alignment vertical="center"/>
    </xf>
    <xf numFmtId="0" fontId="5" fillId="0" borderId="30" xfId="1" applyFont="1" applyFill="1" applyBorder="1" applyAlignment="1">
      <alignment horizontal="center" vertical="distributed" textRotation="255" justifyLastLine="1"/>
    </xf>
    <xf numFmtId="0" fontId="5" fillId="0" borderId="6" xfId="1" applyFont="1" applyFill="1" applyBorder="1" applyAlignment="1">
      <alignment horizontal="center" vertical="distributed" textRotation="255" justifyLastLine="1"/>
    </xf>
    <xf numFmtId="0" fontId="5" fillId="0" borderId="10" xfId="1" applyFont="1" applyFill="1" applyBorder="1" applyAlignment="1">
      <alignment horizontal="center" vertical="distributed" textRotation="255" justifyLastLine="1"/>
    </xf>
    <xf numFmtId="0" fontId="0" fillId="0" borderId="25" xfId="0" applyFill="1" applyBorder="1" applyAlignment="1">
      <alignment horizontal="distributed" vertical="center"/>
    </xf>
    <xf numFmtId="0" fontId="0" fillId="0" borderId="8" xfId="0" applyFill="1" applyBorder="1" applyAlignment="1">
      <alignment horizontal="distributed" vertical="center"/>
    </xf>
    <xf numFmtId="0" fontId="5" fillId="0" borderId="40" xfId="1" applyFont="1" applyFill="1" applyBorder="1" applyAlignment="1">
      <alignment horizontal="distributed" vertical="center" shrinkToFit="1"/>
    </xf>
    <xf numFmtId="0" fontId="5" fillId="0" borderId="7" xfId="1" applyFont="1" applyFill="1" applyBorder="1" applyAlignment="1">
      <alignment horizontal="distributed" vertical="center" shrinkToFit="1"/>
    </xf>
    <xf numFmtId="185" fontId="14" fillId="0" borderId="118" xfId="4" applyNumberFormat="1" applyFont="1" applyFill="1" applyBorder="1" applyAlignment="1">
      <alignment horizontal="right" vertical="center" shrinkToFit="1"/>
    </xf>
    <xf numFmtId="186" fontId="14" fillId="0" borderId="119" xfId="4" applyNumberFormat="1" applyFont="1" applyFill="1" applyBorder="1" applyAlignment="1">
      <alignment horizontal="right" vertical="center" shrinkToFit="1"/>
    </xf>
    <xf numFmtId="185" fontId="14" fillId="0" borderId="120" xfId="4" applyNumberFormat="1" applyFont="1" applyFill="1" applyBorder="1" applyAlignment="1">
      <alignment horizontal="right" vertical="center" shrinkToFit="1"/>
    </xf>
    <xf numFmtId="186" fontId="14" fillId="0" borderId="121" xfId="4" applyNumberFormat="1" applyFont="1" applyFill="1" applyBorder="1" applyAlignment="1">
      <alignment horizontal="right" vertical="center" shrinkToFit="1"/>
    </xf>
    <xf numFmtId="185" fontId="14" fillId="0" borderId="122" xfId="4" applyNumberFormat="1" applyFont="1" applyFill="1" applyBorder="1" applyAlignment="1">
      <alignment horizontal="right" vertical="center" shrinkToFit="1"/>
    </xf>
    <xf numFmtId="185" fontId="14" fillId="0" borderId="126" xfId="4" applyNumberFormat="1" applyFont="1" applyFill="1" applyBorder="1" applyAlignment="1">
      <alignment horizontal="right" vertical="center" shrinkToFit="1"/>
    </xf>
    <xf numFmtId="186" fontId="14" fillId="0" borderId="7" xfId="4" applyNumberFormat="1" applyFont="1" applyFill="1" applyBorder="1" applyAlignment="1">
      <alignment horizontal="right" vertical="center" shrinkToFit="1"/>
    </xf>
    <xf numFmtId="185" fontId="14" fillId="0" borderId="6" xfId="4" applyNumberFormat="1" applyFont="1" applyFill="1" applyBorder="1" applyAlignment="1">
      <alignment horizontal="right" vertical="center" shrinkToFit="1"/>
    </xf>
    <xf numFmtId="186" fontId="14" fillId="0" borderId="25" xfId="4" applyNumberFormat="1" applyFont="1" applyFill="1" applyBorder="1" applyAlignment="1">
      <alignment horizontal="right" vertical="center" shrinkToFit="1"/>
    </xf>
    <xf numFmtId="185" fontId="14" fillId="0" borderId="13" xfId="4" applyNumberFormat="1" applyFont="1" applyFill="1" applyBorder="1" applyAlignment="1">
      <alignment horizontal="right" vertical="center" shrinkToFit="1"/>
    </xf>
    <xf numFmtId="185" fontId="14" fillId="0" borderId="82" xfId="4" applyNumberFormat="1" applyFont="1" applyFill="1" applyBorder="1" applyAlignment="1">
      <alignment horizontal="right" vertical="center" shrinkToFit="1"/>
    </xf>
    <xf numFmtId="185" fontId="14" fillId="0" borderId="82" xfId="4" applyNumberFormat="1" applyFont="1" applyFill="1" applyBorder="1" applyAlignment="1">
      <alignment horizontal="right" vertical="center"/>
    </xf>
    <xf numFmtId="185" fontId="14" fillId="0" borderId="83" xfId="4" applyNumberFormat="1" applyFont="1" applyFill="1" applyBorder="1" applyAlignment="1">
      <alignment horizontal="right" vertical="center" shrinkToFit="1"/>
    </xf>
    <xf numFmtId="185" fontId="14" fillId="0" borderId="10" xfId="4" applyNumberFormat="1" applyFont="1" applyFill="1" applyBorder="1" applyAlignment="1">
      <alignment horizontal="right" vertical="center" shrinkToFit="1"/>
    </xf>
    <xf numFmtId="186" fontId="14" fillId="0" borderId="43" xfId="4" applyNumberFormat="1" applyFont="1" applyFill="1" applyBorder="1" applyAlignment="1">
      <alignment horizontal="right" vertical="center" shrinkToFit="1"/>
    </xf>
    <xf numFmtId="185" fontId="14" fillId="0" borderId="14" xfId="4" applyNumberFormat="1" applyFont="1" applyFill="1" applyBorder="1" applyAlignment="1">
      <alignment horizontal="right" vertical="center" shrinkToFit="1"/>
    </xf>
    <xf numFmtId="185" fontId="14" fillId="0" borderId="131" xfId="4" applyNumberFormat="1" applyFont="1" applyFill="1" applyBorder="1" applyAlignment="1">
      <alignment horizontal="right" vertical="center" shrinkToFit="1"/>
    </xf>
    <xf numFmtId="185" fontId="14" fillId="0" borderId="80" xfId="4" applyNumberFormat="1" applyFont="1" applyFill="1" applyBorder="1" applyAlignment="1">
      <alignment horizontal="right" vertical="center" shrinkToFit="1"/>
    </xf>
    <xf numFmtId="185" fontId="14" fillId="0" borderId="30" xfId="4" applyNumberFormat="1" applyFont="1" applyFill="1" applyBorder="1" applyAlignment="1">
      <alignment horizontal="right" vertical="center" shrinkToFit="1"/>
    </xf>
    <xf numFmtId="186" fontId="14" fillId="0" borderId="84" xfId="4" applyNumberFormat="1" applyFont="1" applyFill="1" applyBorder="1" applyAlignment="1">
      <alignment horizontal="right" vertical="center" shrinkToFit="1"/>
    </xf>
    <xf numFmtId="185" fontId="14" fillId="0" borderId="55" xfId="4" applyNumberFormat="1" applyFont="1" applyFill="1" applyBorder="1" applyAlignment="1">
      <alignment horizontal="right" vertical="center" shrinkToFit="1"/>
    </xf>
    <xf numFmtId="185" fontId="14" fillId="0" borderId="130" xfId="4" applyNumberFormat="1" applyFont="1" applyFill="1" applyBorder="1" applyAlignment="1">
      <alignment horizontal="right" vertical="center" shrinkToFit="1"/>
    </xf>
    <xf numFmtId="185" fontId="14" fillId="0" borderId="57" xfId="4" applyNumberFormat="1" applyFont="1" applyFill="1" applyBorder="1" applyAlignment="1">
      <alignment horizontal="right" vertical="center"/>
    </xf>
    <xf numFmtId="187" fontId="14" fillId="0" borderId="13" xfId="4" applyNumberFormat="1" applyFont="1" applyFill="1" applyBorder="1" applyAlignment="1">
      <alignment horizontal="right" vertical="center" shrinkToFit="1"/>
    </xf>
    <xf numFmtId="185" fontId="14" fillId="0" borderId="57" xfId="4" applyNumberFormat="1" applyFont="1" applyFill="1" applyBorder="1" applyAlignment="1">
      <alignment horizontal="right" vertical="center" shrinkToFit="1"/>
    </xf>
    <xf numFmtId="185" fontId="14" fillId="0" borderId="152" xfId="4" applyNumberFormat="1" applyFont="1" applyFill="1" applyBorder="1" applyAlignment="1">
      <alignment horizontal="right" vertical="center" shrinkToFit="1"/>
    </xf>
    <xf numFmtId="185" fontId="14" fillId="0" borderId="139" xfId="4" applyNumberFormat="1" applyFont="1" applyFill="1" applyBorder="1" applyAlignment="1">
      <alignment horizontal="right" vertical="center" shrinkToFit="1"/>
    </xf>
    <xf numFmtId="186" fontId="14" fillId="0" borderId="136" xfId="4" applyNumberFormat="1" applyFont="1" applyFill="1" applyBorder="1" applyAlignment="1">
      <alignment horizontal="right" vertical="center" shrinkToFit="1"/>
    </xf>
    <xf numFmtId="186" fontId="14" fillId="0" borderId="141" xfId="4" applyNumberFormat="1" applyFont="1" applyFill="1" applyBorder="1" applyAlignment="1">
      <alignment horizontal="right" vertical="center" shrinkToFit="1"/>
    </xf>
  </cellXfs>
  <cellStyles count="7">
    <cellStyle name="Normal 4" xfId="6"/>
    <cellStyle name="標準" xfId="0" builtinId="0"/>
    <cellStyle name="標準 2" xfId="4"/>
    <cellStyle name="標準 2 2" xfId="5"/>
    <cellStyle name="標準_GQII0027" xfId="1"/>
    <cellStyle name="標準_GQII0033" xfId="2"/>
    <cellStyle name="標準_GQII003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tabSelected="1" view="pageBreakPreview" zoomScaleNormal="100" zoomScaleSheetLayoutView="100" workbookViewId="0">
      <selection sqref="A1:B1"/>
    </sheetView>
  </sheetViews>
  <sheetFormatPr defaultRowHeight="12.75" customHeight="1"/>
  <cols>
    <col min="1" max="1" width="3.5" style="2" customWidth="1"/>
    <col min="2" max="4" width="2.625" style="2" customWidth="1"/>
    <col min="5" max="5" width="8.875" style="2" customWidth="1"/>
    <col min="6" max="6" width="9" style="2"/>
    <col min="7" max="7" width="4.5" style="2" customWidth="1"/>
    <col min="8" max="8" width="9.5" style="2" customWidth="1"/>
    <col min="9" max="9" width="8.75" style="2" customWidth="1"/>
    <col min="10" max="10" width="9.5" style="2" customWidth="1"/>
    <col min="11" max="12" width="8.75" style="2" customWidth="1"/>
    <col min="13" max="13" width="9.5" style="2" customWidth="1"/>
    <col min="14" max="14" width="30.625" style="2" customWidth="1"/>
    <col min="15" max="17" width="9.625" style="2" customWidth="1"/>
    <col min="18" max="16384" width="9" style="2"/>
  </cols>
  <sheetData>
    <row r="1" spans="1:17" ht="15" customHeight="1">
      <c r="A1" s="276">
        <v>2019</v>
      </c>
      <c r="B1" s="276"/>
      <c r="C1" s="1" t="s">
        <v>188</v>
      </c>
      <c r="D1" s="1"/>
      <c r="E1" s="1"/>
      <c r="F1" s="1"/>
      <c r="G1" s="1"/>
      <c r="H1" s="1"/>
      <c r="I1" s="1"/>
      <c r="J1" s="1"/>
      <c r="K1" s="3"/>
      <c r="O1" s="228" t="s">
        <v>92</v>
      </c>
      <c r="P1" s="229"/>
      <c r="Q1" s="230"/>
    </row>
    <row r="2" spans="1:17" ht="15" customHeight="1">
      <c r="A2" s="1" t="s">
        <v>135</v>
      </c>
      <c r="B2" s="1"/>
      <c r="C2" s="1"/>
      <c r="D2" s="1"/>
      <c r="E2" s="1"/>
      <c r="F2" s="1"/>
      <c r="G2" s="1"/>
      <c r="H2" s="1"/>
      <c r="I2" s="1"/>
      <c r="J2" s="1"/>
      <c r="K2" s="4"/>
      <c r="O2" s="222"/>
      <c r="P2" s="223"/>
      <c r="Q2" s="224"/>
    </row>
    <row r="3" spans="1:17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ht="14.25" customHeight="1" thickBot="1">
      <c r="A4" s="67" t="s">
        <v>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67"/>
      <c r="N4" s="58"/>
      <c r="O4" s="58"/>
      <c r="P4" s="58"/>
      <c r="Q4" s="58"/>
    </row>
    <row r="5" spans="1:17" ht="15" customHeight="1">
      <c r="A5" s="277" t="s">
        <v>93</v>
      </c>
      <c r="B5" s="278"/>
      <c r="C5" s="278"/>
      <c r="D5" s="278"/>
      <c r="E5" s="278"/>
      <c r="F5" s="278"/>
      <c r="G5" s="281" t="s">
        <v>94</v>
      </c>
      <c r="H5" s="220">
        <f>A1-2000</f>
        <v>19</v>
      </c>
      <c r="I5" s="110" t="s">
        <v>184</v>
      </c>
      <c r="J5" s="296">
        <f>H5-1</f>
        <v>18</v>
      </c>
      <c r="K5" s="111" t="s">
        <v>184</v>
      </c>
      <c r="L5" s="112" t="s">
        <v>95</v>
      </c>
      <c r="M5" s="234" t="s">
        <v>176</v>
      </c>
      <c r="N5" s="285" t="s">
        <v>96</v>
      </c>
      <c r="O5" s="286"/>
      <c r="P5" s="286"/>
      <c r="Q5" s="287"/>
    </row>
    <row r="6" spans="1:17" ht="15" customHeight="1" thickBot="1">
      <c r="A6" s="279"/>
      <c r="B6" s="280"/>
      <c r="C6" s="280"/>
      <c r="D6" s="280"/>
      <c r="E6" s="280"/>
      <c r="F6" s="280"/>
      <c r="G6" s="282"/>
      <c r="H6" s="221"/>
      <c r="I6" s="59" t="s">
        <v>145</v>
      </c>
      <c r="J6" s="297"/>
      <c r="K6" s="59" t="s">
        <v>145</v>
      </c>
      <c r="L6" s="60" t="s">
        <v>145</v>
      </c>
      <c r="M6" s="235"/>
      <c r="N6" s="288"/>
      <c r="O6" s="289"/>
      <c r="P6" s="289"/>
      <c r="Q6" s="290"/>
    </row>
    <row r="7" spans="1:17" ht="14.25" customHeight="1">
      <c r="A7" s="283" t="s">
        <v>97</v>
      </c>
      <c r="B7" s="291" t="s">
        <v>98</v>
      </c>
      <c r="C7" s="292"/>
      <c r="D7" s="292"/>
      <c r="E7" s="292"/>
      <c r="F7" s="262"/>
      <c r="G7" s="96" t="s">
        <v>99</v>
      </c>
      <c r="H7" s="445"/>
      <c r="I7" s="446" t="str">
        <f>IFERROR(H7/$H$29*100,"-")</f>
        <v>-</v>
      </c>
      <c r="J7" s="447"/>
      <c r="K7" s="446" t="str">
        <f>IFERROR(J7/$J$29*100,"-")</f>
        <v>-</v>
      </c>
      <c r="L7" s="448" t="str">
        <f>IFERROR(100*(H7-J7)/J7,"-")</f>
        <v>-</v>
      </c>
      <c r="M7" s="449">
        <f>H7-J7</f>
        <v>0</v>
      </c>
      <c r="N7" s="293"/>
      <c r="O7" s="294"/>
      <c r="P7" s="294"/>
      <c r="Q7" s="295"/>
    </row>
    <row r="8" spans="1:17" ht="14.25" customHeight="1">
      <c r="A8" s="283"/>
      <c r="B8" s="292"/>
      <c r="C8" s="261" t="s">
        <v>100</v>
      </c>
      <c r="D8" s="261"/>
      <c r="E8" s="261"/>
      <c r="F8" s="244"/>
      <c r="G8" s="97" t="s">
        <v>101</v>
      </c>
      <c r="H8" s="450"/>
      <c r="I8" s="451" t="str">
        <f t="shared" ref="I8:I29" si="0">IFERROR(H8/$H$29*100,"-")</f>
        <v>-</v>
      </c>
      <c r="J8" s="452"/>
      <c r="K8" s="451" t="str">
        <f t="shared" ref="K8:K29" si="1">IFERROR(J8/$J$29*100,"-")</f>
        <v>-</v>
      </c>
      <c r="L8" s="453" t="str">
        <f t="shared" ref="L8:L45" si="2">IFERROR(100*(H8-J8)/J8,"-")</f>
        <v>-</v>
      </c>
      <c r="M8" s="454">
        <f t="shared" ref="M8:M45" si="3">H8-J8</f>
        <v>0</v>
      </c>
      <c r="N8" s="231"/>
      <c r="O8" s="232"/>
      <c r="P8" s="232"/>
      <c r="Q8" s="233"/>
    </row>
    <row r="9" spans="1:17" ht="14.25" customHeight="1">
      <c r="A9" s="283"/>
      <c r="B9" s="261"/>
      <c r="C9" s="261" t="s">
        <v>102</v>
      </c>
      <c r="D9" s="261"/>
      <c r="E9" s="261"/>
      <c r="F9" s="244"/>
      <c r="G9" s="97" t="s">
        <v>101</v>
      </c>
      <c r="H9" s="450"/>
      <c r="I9" s="451" t="str">
        <f t="shared" si="0"/>
        <v>-</v>
      </c>
      <c r="J9" s="452"/>
      <c r="K9" s="451" t="str">
        <f t="shared" si="1"/>
        <v>-</v>
      </c>
      <c r="L9" s="453" t="str">
        <f t="shared" si="2"/>
        <v>-</v>
      </c>
      <c r="M9" s="454">
        <f t="shared" si="3"/>
        <v>0</v>
      </c>
      <c r="N9" s="231"/>
      <c r="O9" s="232"/>
      <c r="P9" s="232"/>
      <c r="Q9" s="233"/>
    </row>
    <row r="10" spans="1:17" ht="14.25" customHeight="1">
      <c r="A10" s="283"/>
      <c r="B10" s="261"/>
      <c r="C10" s="261" t="s">
        <v>103</v>
      </c>
      <c r="D10" s="261"/>
      <c r="E10" s="261"/>
      <c r="F10" s="244"/>
      <c r="G10" s="97" t="s">
        <v>101</v>
      </c>
      <c r="H10" s="450"/>
      <c r="I10" s="451" t="str">
        <f t="shared" si="0"/>
        <v>-</v>
      </c>
      <c r="J10" s="452"/>
      <c r="K10" s="451" t="str">
        <f t="shared" si="1"/>
        <v>-</v>
      </c>
      <c r="L10" s="453" t="str">
        <f t="shared" si="2"/>
        <v>-</v>
      </c>
      <c r="M10" s="454">
        <f t="shared" si="3"/>
        <v>0</v>
      </c>
      <c r="N10" s="231"/>
      <c r="O10" s="232"/>
      <c r="P10" s="232"/>
      <c r="Q10" s="233"/>
    </row>
    <row r="11" spans="1:17" ht="14.25" customHeight="1">
      <c r="A11" s="283"/>
      <c r="B11" s="261"/>
      <c r="C11" s="261" t="s">
        <v>104</v>
      </c>
      <c r="D11" s="261"/>
      <c r="E11" s="261"/>
      <c r="F11" s="244"/>
      <c r="G11" s="97" t="s">
        <v>101</v>
      </c>
      <c r="H11" s="450"/>
      <c r="I11" s="451" t="str">
        <f t="shared" si="0"/>
        <v>-</v>
      </c>
      <c r="J11" s="452"/>
      <c r="K11" s="451" t="str">
        <f t="shared" si="1"/>
        <v>-</v>
      </c>
      <c r="L11" s="453" t="str">
        <f t="shared" si="2"/>
        <v>-</v>
      </c>
      <c r="M11" s="454">
        <f t="shared" si="3"/>
        <v>0</v>
      </c>
      <c r="N11" s="231"/>
      <c r="O11" s="232"/>
      <c r="P11" s="232"/>
      <c r="Q11" s="233"/>
    </row>
    <row r="12" spans="1:17" ht="14.25" customHeight="1">
      <c r="A12" s="283"/>
      <c r="B12" s="261"/>
      <c r="C12" s="261" t="s">
        <v>105</v>
      </c>
      <c r="D12" s="261"/>
      <c r="E12" s="261"/>
      <c r="F12" s="244"/>
      <c r="G12" s="97" t="s">
        <v>101</v>
      </c>
      <c r="H12" s="450"/>
      <c r="I12" s="451" t="str">
        <f t="shared" si="0"/>
        <v>-</v>
      </c>
      <c r="J12" s="452"/>
      <c r="K12" s="451" t="str">
        <f t="shared" si="1"/>
        <v>-</v>
      </c>
      <c r="L12" s="453" t="str">
        <f t="shared" si="2"/>
        <v>-</v>
      </c>
      <c r="M12" s="454">
        <f t="shared" si="3"/>
        <v>0</v>
      </c>
      <c r="N12" s="231"/>
      <c r="O12" s="232"/>
      <c r="P12" s="232"/>
      <c r="Q12" s="233"/>
    </row>
    <row r="13" spans="1:17" ht="14.25" customHeight="1">
      <c r="A13" s="283"/>
      <c r="B13" s="261"/>
      <c r="C13" s="261" t="s">
        <v>106</v>
      </c>
      <c r="D13" s="261"/>
      <c r="E13" s="261"/>
      <c r="F13" s="244"/>
      <c r="G13" s="97" t="s">
        <v>101</v>
      </c>
      <c r="H13" s="450"/>
      <c r="I13" s="451" t="str">
        <f t="shared" si="0"/>
        <v>-</v>
      </c>
      <c r="J13" s="452"/>
      <c r="K13" s="451" t="str">
        <f t="shared" si="1"/>
        <v>-</v>
      </c>
      <c r="L13" s="453" t="str">
        <f t="shared" si="2"/>
        <v>-</v>
      </c>
      <c r="M13" s="454">
        <f t="shared" si="3"/>
        <v>0</v>
      </c>
      <c r="N13" s="231"/>
      <c r="O13" s="232"/>
      <c r="P13" s="232"/>
      <c r="Q13" s="233"/>
    </row>
    <row r="14" spans="1:17" ht="14.25" customHeight="1">
      <c r="A14" s="283"/>
      <c r="B14" s="261"/>
      <c r="C14" s="261" t="s">
        <v>107</v>
      </c>
      <c r="D14" s="261"/>
      <c r="E14" s="261"/>
      <c r="F14" s="244"/>
      <c r="G14" s="97" t="s">
        <v>101</v>
      </c>
      <c r="H14" s="450"/>
      <c r="I14" s="451" t="str">
        <f t="shared" si="0"/>
        <v>-</v>
      </c>
      <c r="J14" s="452"/>
      <c r="K14" s="451" t="str">
        <f t="shared" si="1"/>
        <v>-</v>
      </c>
      <c r="L14" s="453" t="str">
        <f t="shared" si="2"/>
        <v>-</v>
      </c>
      <c r="M14" s="454">
        <f t="shared" si="3"/>
        <v>0</v>
      </c>
      <c r="N14" s="231"/>
      <c r="O14" s="232"/>
      <c r="P14" s="232"/>
      <c r="Q14" s="233"/>
    </row>
    <row r="15" spans="1:17" ht="14.25" customHeight="1">
      <c r="A15" s="283"/>
      <c r="B15" s="261"/>
      <c r="C15" s="259" t="s">
        <v>108</v>
      </c>
      <c r="D15" s="259"/>
      <c r="E15" s="259"/>
      <c r="F15" s="260"/>
      <c r="G15" s="97" t="s">
        <v>101</v>
      </c>
      <c r="H15" s="450"/>
      <c r="I15" s="451" t="str">
        <f t="shared" si="0"/>
        <v>-</v>
      </c>
      <c r="J15" s="452"/>
      <c r="K15" s="451" t="str">
        <f t="shared" si="1"/>
        <v>-</v>
      </c>
      <c r="L15" s="453" t="str">
        <f t="shared" si="2"/>
        <v>-</v>
      </c>
      <c r="M15" s="454">
        <f t="shared" si="3"/>
        <v>0</v>
      </c>
      <c r="N15" s="231"/>
      <c r="O15" s="232"/>
      <c r="P15" s="232"/>
      <c r="Q15" s="233"/>
    </row>
    <row r="16" spans="1:17" ht="14.25" customHeight="1">
      <c r="A16" s="283"/>
      <c r="B16" s="261"/>
      <c r="C16" s="263" t="s">
        <v>109</v>
      </c>
      <c r="D16" s="263"/>
      <c r="E16" s="263"/>
      <c r="F16" s="264"/>
      <c r="G16" s="97" t="s">
        <v>101</v>
      </c>
      <c r="H16" s="450"/>
      <c r="I16" s="451" t="str">
        <f t="shared" si="0"/>
        <v>-</v>
      </c>
      <c r="J16" s="452"/>
      <c r="K16" s="451" t="str">
        <f t="shared" si="1"/>
        <v>-</v>
      </c>
      <c r="L16" s="453" t="str">
        <f t="shared" si="2"/>
        <v>-</v>
      </c>
      <c r="M16" s="454">
        <f t="shared" si="3"/>
        <v>0</v>
      </c>
      <c r="N16" s="231"/>
      <c r="O16" s="232"/>
      <c r="P16" s="232"/>
      <c r="Q16" s="233"/>
    </row>
    <row r="17" spans="1:17" ht="14.25" customHeight="1">
      <c r="A17" s="283"/>
      <c r="B17" s="261"/>
      <c r="C17" s="73"/>
      <c r="D17" s="244" t="s">
        <v>110</v>
      </c>
      <c r="E17" s="245"/>
      <c r="F17" s="245"/>
      <c r="G17" s="97" t="s">
        <v>101</v>
      </c>
      <c r="H17" s="450"/>
      <c r="I17" s="451" t="str">
        <f t="shared" si="0"/>
        <v>-</v>
      </c>
      <c r="J17" s="452"/>
      <c r="K17" s="451" t="str">
        <f t="shared" si="1"/>
        <v>-</v>
      </c>
      <c r="L17" s="453" t="str">
        <f t="shared" si="2"/>
        <v>-</v>
      </c>
      <c r="M17" s="454">
        <f t="shared" si="3"/>
        <v>0</v>
      </c>
      <c r="N17" s="231"/>
      <c r="O17" s="232"/>
      <c r="P17" s="232"/>
      <c r="Q17" s="233"/>
    </row>
    <row r="18" spans="1:17" ht="14.25" customHeight="1">
      <c r="A18" s="283"/>
      <c r="B18" s="261"/>
      <c r="C18" s="263" t="s">
        <v>111</v>
      </c>
      <c r="D18" s="263"/>
      <c r="E18" s="263"/>
      <c r="F18" s="264"/>
      <c r="G18" s="97" t="s">
        <v>101</v>
      </c>
      <c r="H18" s="450"/>
      <c r="I18" s="451" t="str">
        <f t="shared" si="0"/>
        <v>-</v>
      </c>
      <c r="J18" s="452"/>
      <c r="K18" s="451" t="str">
        <f t="shared" si="1"/>
        <v>-</v>
      </c>
      <c r="L18" s="453" t="str">
        <f t="shared" si="2"/>
        <v>-</v>
      </c>
      <c r="M18" s="454">
        <f t="shared" si="3"/>
        <v>0</v>
      </c>
      <c r="N18" s="231"/>
      <c r="O18" s="232"/>
      <c r="P18" s="232"/>
      <c r="Q18" s="233"/>
    </row>
    <row r="19" spans="1:17" ht="14.25" customHeight="1">
      <c r="A19" s="283"/>
      <c r="B19" s="261"/>
      <c r="C19" s="73"/>
      <c r="D19" s="244" t="s">
        <v>110</v>
      </c>
      <c r="E19" s="245"/>
      <c r="F19" s="245"/>
      <c r="G19" s="97" t="s">
        <v>101</v>
      </c>
      <c r="H19" s="450"/>
      <c r="I19" s="451" t="str">
        <f t="shared" si="0"/>
        <v>-</v>
      </c>
      <c r="J19" s="452"/>
      <c r="K19" s="451" t="str">
        <f t="shared" si="1"/>
        <v>-</v>
      </c>
      <c r="L19" s="453" t="str">
        <f t="shared" si="2"/>
        <v>-</v>
      </c>
      <c r="M19" s="454">
        <f t="shared" si="3"/>
        <v>0</v>
      </c>
      <c r="N19" s="231"/>
      <c r="O19" s="232"/>
      <c r="P19" s="232"/>
      <c r="Q19" s="233"/>
    </row>
    <row r="20" spans="1:17" ht="14.25" customHeight="1">
      <c r="A20" s="283"/>
      <c r="B20" s="261"/>
      <c r="C20" s="263" t="s">
        <v>112</v>
      </c>
      <c r="D20" s="263"/>
      <c r="E20" s="263"/>
      <c r="F20" s="264"/>
      <c r="G20" s="97" t="s">
        <v>101</v>
      </c>
      <c r="H20" s="450"/>
      <c r="I20" s="451" t="str">
        <f t="shared" si="0"/>
        <v>-</v>
      </c>
      <c r="J20" s="452"/>
      <c r="K20" s="451" t="str">
        <f t="shared" si="1"/>
        <v>-</v>
      </c>
      <c r="L20" s="453" t="str">
        <f t="shared" si="2"/>
        <v>-</v>
      </c>
      <c r="M20" s="454">
        <f t="shared" si="3"/>
        <v>0</v>
      </c>
      <c r="N20" s="231"/>
      <c r="O20" s="232"/>
      <c r="P20" s="232"/>
      <c r="Q20" s="233"/>
    </row>
    <row r="21" spans="1:17" ht="14.25" customHeight="1">
      <c r="A21" s="283"/>
      <c r="B21" s="261"/>
      <c r="C21" s="73"/>
      <c r="D21" s="244" t="s">
        <v>110</v>
      </c>
      <c r="E21" s="245"/>
      <c r="F21" s="245"/>
      <c r="G21" s="97" t="s">
        <v>101</v>
      </c>
      <c r="H21" s="450"/>
      <c r="I21" s="451" t="str">
        <f t="shared" si="0"/>
        <v>-</v>
      </c>
      <c r="J21" s="452"/>
      <c r="K21" s="451" t="str">
        <f t="shared" si="1"/>
        <v>-</v>
      </c>
      <c r="L21" s="453" t="str">
        <f t="shared" si="2"/>
        <v>-</v>
      </c>
      <c r="M21" s="454">
        <f t="shared" si="3"/>
        <v>0</v>
      </c>
      <c r="N21" s="231"/>
      <c r="O21" s="232"/>
      <c r="P21" s="232"/>
      <c r="Q21" s="233"/>
    </row>
    <row r="22" spans="1:17" ht="14.25" customHeight="1">
      <c r="A22" s="283"/>
      <c r="B22" s="261"/>
      <c r="C22" s="263" t="s">
        <v>113</v>
      </c>
      <c r="D22" s="263"/>
      <c r="E22" s="263"/>
      <c r="F22" s="264"/>
      <c r="G22" s="98" t="s">
        <v>101</v>
      </c>
      <c r="H22" s="450"/>
      <c r="I22" s="451" t="str">
        <f t="shared" si="0"/>
        <v>-</v>
      </c>
      <c r="J22" s="452"/>
      <c r="K22" s="451" t="str">
        <f t="shared" si="1"/>
        <v>-</v>
      </c>
      <c r="L22" s="453" t="str">
        <f t="shared" si="2"/>
        <v>-</v>
      </c>
      <c r="M22" s="454">
        <f t="shared" si="3"/>
        <v>0</v>
      </c>
      <c r="N22" s="231"/>
      <c r="O22" s="232"/>
      <c r="P22" s="232"/>
      <c r="Q22" s="233"/>
    </row>
    <row r="23" spans="1:17" ht="14.25" customHeight="1">
      <c r="A23" s="283"/>
      <c r="B23" s="261"/>
      <c r="C23" s="73"/>
      <c r="D23" s="244" t="s">
        <v>110</v>
      </c>
      <c r="E23" s="245"/>
      <c r="F23" s="245"/>
      <c r="G23" s="97" t="s">
        <v>101</v>
      </c>
      <c r="H23" s="450"/>
      <c r="I23" s="451" t="str">
        <f t="shared" si="0"/>
        <v>-</v>
      </c>
      <c r="J23" s="452"/>
      <c r="K23" s="451" t="str">
        <f t="shared" si="1"/>
        <v>-</v>
      </c>
      <c r="L23" s="453" t="str">
        <f t="shared" si="2"/>
        <v>-</v>
      </c>
      <c r="M23" s="454">
        <f t="shared" si="3"/>
        <v>0</v>
      </c>
      <c r="N23" s="231"/>
      <c r="O23" s="232"/>
      <c r="P23" s="232"/>
      <c r="Q23" s="233"/>
    </row>
    <row r="24" spans="1:17" ht="14.25" customHeight="1">
      <c r="A24" s="283"/>
      <c r="B24" s="263" t="s">
        <v>114</v>
      </c>
      <c r="C24" s="263"/>
      <c r="D24" s="263"/>
      <c r="E24" s="263"/>
      <c r="F24" s="264"/>
      <c r="G24" s="97" t="s">
        <v>101</v>
      </c>
      <c r="H24" s="450"/>
      <c r="I24" s="451" t="str">
        <f t="shared" si="0"/>
        <v>-</v>
      </c>
      <c r="J24" s="452"/>
      <c r="K24" s="451" t="str">
        <f t="shared" si="1"/>
        <v>-</v>
      </c>
      <c r="L24" s="453" t="str">
        <f t="shared" si="2"/>
        <v>-</v>
      </c>
      <c r="M24" s="454">
        <f t="shared" si="3"/>
        <v>0</v>
      </c>
      <c r="N24" s="231"/>
      <c r="O24" s="232"/>
      <c r="P24" s="232"/>
      <c r="Q24" s="233"/>
    </row>
    <row r="25" spans="1:17" ht="14.25" customHeight="1">
      <c r="A25" s="283"/>
      <c r="B25" s="262"/>
      <c r="C25" s="61"/>
      <c r="D25" s="244" t="s">
        <v>158</v>
      </c>
      <c r="E25" s="245"/>
      <c r="F25" s="245"/>
      <c r="G25" s="97" t="s">
        <v>101</v>
      </c>
      <c r="H25" s="450"/>
      <c r="I25" s="451" t="str">
        <f t="shared" si="0"/>
        <v>-</v>
      </c>
      <c r="J25" s="452"/>
      <c r="K25" s="451" t="str">
        <f t="shared" si="1"/>
        <v>-</v>
      </c>
      <c r="L25" s="453" t="str">
        <f t="shared" si="2"/>
        <v>-</v>
      </c>
      <c r="M25" s="454">
        <f t="shared" si="3"/>
        <v>0</v>
      </c>
      <c r="N25" s="231"/>
      <c r="O25" s="232"/>
      <c r="P25" s="232"/>
      <c r="Q25" s="233"/>
    </row>
    <row r="26" spans="1:17" ht="14.25" customHeight="1">
      <c r="A26" s="283"/>
      <c r="B26" s="261"/>
      <c r="C26" s="263" t="s">
        <v>115</v>
      </c>
      <c r="D26" s="263"/>
      <c r="E26" s="263"/>
      <c r="F26" s="264"/>
      <c r="G26" s="97" t="s">
        <v>101</v>
      </c>
      <c r="H26" s="450"/>
      <c r="I26" s="451" t="str">
        <f t="shared" si="0"/>
        <v>-</v>
      </c>
      <c r="J26" s="452"/>
      <c r="K26" s="451" t="str">
        <f t="shared" si="1"/>
        <v>-</v>
      </c>
      <c r="L26" s="453" t="str">
        <f t="shared" si="2"/>
        <v>-</v>
      </c>
      <c r="M26" s="454">
        <f t="shared" si="3"/>
        <v>0</v>
      </c>
      <c r="N26" s="231"/>
      <c r="O26" s="232"/>
      <c r="P26" s="232"/>
      <c r="Q26" s="233"/>
    </row>
    <row r="27" spans="1:17" ht="14.25" customHeight="1">
      <c r="A27" s="283"/>
      <c r="B27" s="261"/>
      <c r="C27" s="73"/>
      <c r="D27" s="244" t="s">
        <v>158</v>
      </c>
      <c r="E27" s="245"/>
      <c r="F27" s="245"/>
      <c r="G27" s="97" t="s">
        <v>101</v>
      </c>
      <c r="H27" s="450"/>
      <c r="I27" s="451" t="str">
        <f t="shared" si="0"/>
        <v>-</v>
      </c>
      <c r="J27" s="452"/>
      <c r="K27" s="451" t="str">
        <f t="shared" si="1"/>
        <v>-</v>
      </c>
      <c r="L27" s="453" t="str">
        <f t="shared" si="2"/>
        <v>-</v>
      </c>
      <c r="M27" s="454">
        <f t="shared" si="3"/>
        <v>0</v>
      </c>
      <c r="N27" s="231"/>
      <c r="O27" s="232"/>
      <c r="P27" s="232"/>
      <c r="Q27" s="233"/>
    </row>
    <row r="28" spans="1:17" ht="14.25" customHeight="1">
      <c r="A28" s="283"/>
      <c r="B28" s="261"/>
      <c r="C28" s="261" t="s">
        <v>116</v>
      </c>
      <c r="D28" s="261"/>
      <c r="E28" s="261"/>
      <c r="F28" s="244"/>
      <c r="G28" s="97" t="s">
        <v>101</v>
      </c>
      <c r="H28" s="450"/>
      <c r="I28" s="451" t="str">
        <f t="shared" si="0"/>
        <v>-</v>
      </c>
      <c r="J28" s="452"/>
      <c r="K28" s="451" t="str">
        <f t="shared" si="1"/>
        <v>-</v>
      </c>
      <c r="L28" s="453" t="str">
        <f t="shared" si="2"/>
        <v>-</v>
      </c>
      <c r="M28" s="454">
        <f t="shared" si="3"/>
        <v>0</v>
      </c>
      <c r="N28" s="231"/>
      <c r="O28" s="232"/>
      <c r="P28" s="232"/>
      <c r="Q28" s="233"/>
    </row>
    <row r="29" spans="1:17" ht="14.25" customHeight="1">
      <c r="A29" s="283"/>
      <c r="B29" s="261" t="s">
        <v>117</v>
      </c>
      <c r="C29" s="261"/>
      <c r="D29" s="261"/>
      <c r="E29" s="261"/>
      <c r="F29" s="244"/>
      <c r="G29" s="97" t="s">
        <v>101</v>
      </c>
      <c r="H29" s="450"/>
      <c r="I29" s="451" t="str">
        <f t="shared" si="0"/>
        <v>-</v>
      </c>
      <c r="J29" s="452"/>
      <c r="K29" s="451" t="str">
        <f t="shared" si="1"/>
        <v>-</v>
      </c>
      <c r="L29" s="453" t="str">
        <f t="shared" si="2"/>
        <v>-</v>
      </c>
      <c r="M29" s="454">
        <f t="shared" si="3"/>
        <v>0</v>
      </c>
      <c r="N29" s="231"/>
      <c r="O29" s="232"/>
      <c r="P29" s="232"/>
      <c r="Q29" s="233"/>
    </row>
    <row r="30" spans="1:17" ht="14.25" customHeight="1">
      <c r="A30" s="283"/>
      <c r="B30" s="261" t="s">
        <v>118</v>
      </c>
      <c r="C30" s="261"/>
      <c r="D30" s="261"/>
      <c r="E30" s="261"/>
      <c r="F30" s="244"/>
      <c r="G30" s="97" t="s">
        <v>101</v>
      </c>
      <c r="H30" s="450"/>
      <c r="I30" s="455"/>
      <c r="J30" s="452"/>
      <c r="K30" s="455"/>
      <c r="L30" s="453" t="str">
        <f t="shared" si="2"/>
        <v>-</v>
      </c>
      <c r="M30" s="454">
        <f t="shared" si="3"/>
        <v>0</v>
      </c>
      <c r="N30" s="231"/>
      <c r="O30" s="232"/>
      <c r="P30" s="232"/>
      <c r="Q30" s="233"/>
    </row>
    <row r="31" spans="1:17" ht="14.25" customHeight="1">
      <c r="A31" s="283"/>
      <c r="B31" s="274" t="s">
        <v>119</v>
      </c>
      <c r="C31" s="274"/>
      <c r="D31" s="274"/>
      <c r="E31" s="274"/>
      <c r="F31" s="275"/>
      <c r="G31" s="97" t="s">
        <v>101</v>
      </c>
      <c r="H31" s="450"/>
      <c r="I31" s="455"/>
      <c r="J31" s="452"/>
      <c r="K31" s="455"/>
      <c r="L31" s="453" t="str">
        <f t="shared" si="2"/>
        <v>-</v>
      </c>
      <c r="M31" s="454">
        <f t="shared" si="3"/>
        <v>0</v>
      </c>
      <c r="N31" s="231"/>
      <c r="O31" s="232"/>
      <c r="P31" s="232"/>
      <c r="Q31" s="233"/>
    </row>
    <row r="32" spans="1:17" ht="14.25" customHeight="1">
      <c r="A32" s="283"/>
      <c r="B32" s="261" t="s">
        <v>120</v>
      </c>
      <c r="C32" s="261"/>
      <c r="D32" s="261"/>
      <c r="E32" s="261"/>
      <c r="F32" s="244"/>
      <c r="G32" s="97" t="s">
        <v>101</v>
      </c>
      <c r="H32" s="450"/>
      <c r="I32" s="455"/>
      <c r="J32" s="452"/>
      <c r="K32" s="455"/>
      <c r="L32" s="453" t="str">
        <f t="shared" si="2"/>
        <v>-</v>
      </c>
      <c r="M32" s="454">
        <f t="shared" si="3"/>
        <v>0</v>
      </c>
      <c r="N32" s="231"/>
      <c r="O32" s="232"/>
      <c r="P32" s="232"/>
      <c r="Q32" s="233"/>
    </row>
    <row r="33" spans="1:17" ht="14.25" customHeight="1">
      <c r="A33" s="283"/>
      <c r="B33" s="261" t="s">
        <v>121</v>
      </c>
      <c r="C33" s="261"/>
      <c r="D33" s="261"/>
      <c r="E33" s="261"/>
      <c r="F33" s="244"/>
      <c r="G33" s="97" t="s">
        <v>101</v>
      </c>
      <c r="H33" s="450"/>
      <c r="I33" s="456"/>
      <c r="J33" s="452"/>
      <c r="K33" s="456"/>
      <c r="L33" s="453" t="str">
        <f t="shared" si="2"/>
        <v>-</v>
      </c>
      <c r="M33" s="454">
        <f t="shared" si="3"/>
        <v>0</v>
      </c>
      <c r="N33" s="231"/>
      <c r="O33" s="232"/>
      <c r="P33" s="232"/>
      <c r="Q33" s="233"/>
    </row>
    <row r="34" spans="1:17" ht="14.25" customHeight="1">
      <c r="A34" s="283"/>
      <c r="B34" s="259" t="s">
        <v>122</v>
      </c>
      <c r="C34" s="259"/>
      <c r="D34" s="259"/>
      <c r="E34" s="259"/>
      <c r="F34" s="260"/>
      <c r="G34" s="98" t="s">
        <v>101</v>
      </c>
      <c r="H34" s="450"/>
      <c r="I34" s="455"/>
      <c r="J34" s="452"/>
      <c r="K34" s="455"/>
      <c r="L34" s="453" t="str">
        <f t="shared" si="2"/>
        <v>-</v>
      </c>
      <c r="M34" s="454">
        <f t="shared" si="3"/>
        <v>0</v>
      </c>
      <c r="N34" s="231"/>
      <c r="O34" s="232"/>
      <c r="P34" s="232"/>
      <c r="Q34" s="233"/>
    </row>
    <row r="35" spans="1:17" ht="14.25" customHeight="1">
      <c r="A35" s="283"/>
      <c r="B35" s="261" t="s">
        <v>123</v>
      </c>
      <c r="C35" s="261"/>
      <c r="D35" s="261"/>
      <c r="E35" s="261"/>
      <c r="F35" s="244"/>
      <c r="G35" s="97" t="s">
        <v>101</v>
      </c>
      <c r="H35" s="450"/>
      <c r="I35" s="455"/>
      <c r="J35" s="452"/>
      <c r="K35" s="455"/>
      <c r="L35" s="453" t="str">
        <f t="shared" si="2"/>
        <v>-</v>
      </c>
      <c r="M35" s="454">
        <f t="shared" si="3"/>
        <v>0</v>
      </c>
      <c r="N35" s="231"/>
      <c r="O35" s="232"/>
      <c r="P35" s="232"/>
      <c r="Q35" s="233"/>
    </row>
    <row r="36" spans="1:17" ht="14.25" customHeight="1">
      <c r="A36" s="283"/>
      <c r="B36" s="261" t="s">
        <v>124</v>
      </c>
      <c r="C36" s="261"/>
      <c r="D36" s="261"/>
      <c r="E36" s="261"/>
      <c r="F36" s="244"/>
      <c r="G36" s="97" t="s">
        <v>101</v>
      </c>
      <c r="H36" s="450"/>
      <c r="I36" s="455"/>
      <c r="J36" s="452"/>
      <c r="K36" s="455"/>
      <c r="L36" s="453" t="str">
        <f t="shared" si="2"/>
        <v>-</v>
      </c>
      <c r="M36" s="454">
        <f t="shared" si="3"/>
        <v>0</v>
      </c>
      <c r="N36" s="231"/>
      <c r="O36" s="232"/>
      <c r="P36" s="232"/>
      <c r="Q36" s="233"/>
    </row>
    <row r="37" spans="1:17" ht="14.25" customHeight="1">
      <c r="A37" s="284"/>
      <c r="B37" s="250" t="s">
        <v>125</v>
      </c>
      <c r="C37" s="251"/>
      <c r="D37" s="251"/>
      <c r="E37" s="251"/>
      <c r="F37" s="252"/>
      <c r="G37" s="99" t="s">
        <v>101</v>
      </c>
      <c r="H37" s="450"/>
      <c r="I37" s="457"/>
      <c r="J37" s="458"/>
      <c r="K37" s="457"/>
      <c r="L37" s="459" t="str">
        <f t="shared" si="2"/>
        <v>-</v>
      </c>
      <c r="M37" s="460">
        <f t="shared" si="3"/>
        <v>0</v>
      </c>
      <c r="N37" s="265"/>
      <c r="O37" s="266"/>
      <c r="P37" s="266"/>
      <c r="Q37" s="267"/>
    </row>
    <row r="38" spans="1:17" ht="14.25" customHeight="1">
      <c r="A38" s="253" t="s">
        <v>185</v>
      </c>
      <c r="B38" s="254"/>
      <c r="C38" s="254"/>
      <c r="D38" s="254"/>
      <c r="E38" s="254"/>
      <c r="F38" s="239"/>
      <c r="G38" s="100" t="s">
        <v>101</v>
      </c>
      <c r="H38" s="461"/>
      <c r="I38" s="462"/>
      <c r="J38" s="463"/>
      <c r="K38" s="462"/>
      <c r="L38" s="464" t="str">
        <f t="shared" si="2"/>
        <v>-</v>
      </c>
      <c r="M38" s="465">
        <f t="shared" si="3"/>
        <v>0</v>
      </c>
      <c r="N38" s="255"/>
      <c r="O38" s="256"/>
      <c r="P38" s="256"/>
      <c r="Q38" s="257"/>
    </row>
    <row r="39" spans="1:17" ht="14.25" customHeight="1">
      <c r="A39" s="258" t="s">
        <v>186</v>
      </c>
      <c r="B39" s="259"/>
      <c r="C39" s="259"/>
      <c r="D39" s="259"/>
      <c r="E39" s="259"/>
      <c r="F39" s="260"/>
      <c r="G39" s="97" t="s">
        <v>101</v>
      </c>
      <c r="H39" s="450"/>
      <c r="I39" s="455"/>
      <c r="J39" s="452"/>
      <c r="K39" s="455"/>
      <c r="L39" s="453" t="str">
        <f t="shared" si="2"/>
        <v>-</v>
      </c>
      <c r="M39" s="454">
        <f t="shared" si="3"/>
        <v>0</v>
      </c>
      <c r="N39" s="231"/>
      <c r="O39" s="232"/>
      <c r="P39" s="232"/>
      <c r="Q39" s="233"/>
    </row>
    <row r="40" spans="1:17" ht="14.25" customHeight="1">
      <c r="A40" s="268" t="s">
        <v>187</v>
      </c>
      <c r="B40" s="269"/>
      <c r="C40" s="269"/>
      <c r="D40" s="269"/>
      <c r="E40" s="269"/>
      <c r="F40" s="270"/>
      <c r="G40" s="99" t="s">
        <v>101</v>
      </c>
      <c r="H40" s="466"/>
      <c r="I40" s="457"/>
      <c r="J40" s="458"/>
      <c r="K40" s="457"/>
      <c r="L40" s="459" t="str">
        <f t="shared" si="2"/>
        <v>-</v>
      </c>
      <c r="M40" s="460">
        <f t="shared" si="3"/>
        <v>0</v>
      </c>
      <c r="N40" s="271"/>
      <c r="O40" s="272"/>
      <c r="P40" s="272"/>
      <c r="Q40" s="273"/>
    </row>
    <row r="41" spans="1:17" ht="12.75" customHeight="1">
      <c r="A41" s="236" t="s">
        <v>126</v>
      </c>
      <c r="B41" s="239" t="s">
        <v>127</v>
      </c>
      <c r="C41" s="240"/>
      <c r="D41" s="240"/>
      <c r="E41" s="240"/>
      <c r="F41" s="240"/>
      <c r="G41" s="100" t="s">
        <v>163</v>
      </c>
      <c r="H41" s="461"/>
      <c r="I41" s="462"/>
      <c r="J41" s="463"/>
      <c r="K41" s="462"/>
      <c r="L41" s="464" t="str">
        <f t="shared" si="2"/>
        <v>-</v>
      </c>
      <c r="M41" s="465">
        <f t="shared" si="3"/>
        <v>0</v>
      </c>
      <c r="N41" s="241"/>
      <c r="O41" s="242"/>
      <c r="P41" s="242"/>
      <c r="Q41" s="243"/>
    </row>
    <row r="42" spans="1:17" ht="12.75" customHeight="1">
      <c r="A42" s="237"/>
      <c r="B42" s="244" t="s">
        <v>128</v>
      </c>
      <c r="C42" s="245"/>
      <c r="D42" s="245"/>
      <c r="E42" s="245"/>
      <c r="F42" s="245"/>
      <c r="G42" s="97" t="s">
        <v>99</v>
      </c>
      <c r="H42" s="450"/>
      <c r="I42" s="455"/>
      <c r="J42" s="452"/>
      <c r="K42" s="455"/>
      <c r="L42" s="453" t="str">
        <f t="shared" si="2"/>
        <v>-</v>
      </c>
      <c r="M42" s="454">
        <f t="shared" si="3"/>
        <v>0</v>
      </c>
      <c r="N42" s="231"/>
      <c r="O42" s="232"/>
      <c r="P42" s="232"/>
      <c r="Q42" s="233"/>
    </row>
    <row r="43" spans="1:17" ht="12.75" customHeight="1">
      <c r="A43" s="237"/>
      <c r="B43" s="246" t="s">
        <v>129</v>
      </c>
      <c r="C43" s="247"/>
      <c r="D43" s="247"/>
      <c r="E43" s="247"/>
      <c r="F43" s="247"/>
      <c r="G43" s="97" t="s">
        <v>130</v>
      </c>
      <c r="H43" s="131"/>
      <c r="I43" s="467"/>
      <c r="J43" s="132"/>
      <c r="K43" s="456"/>
      <c r="L43" s="453" t="str">
        <f t="shared" si="2"/>
        <v>-</v>
      </c>
      <c r="M43" s="468">
        <f t="shared" si="3"/>
        <v>0</v>
      </c>
      <c r="N43" s="231"/>
      <c r="O43" s="232"/>
      <c r="P43" s="232"/>
      <c r="Q43" s="233"/>
    </row>
    <row r="44" spans="1:17" ht="12.75" customHeight="1">
      <c r="A44" s="237"/>
      <c r="B44" s="62"/>
      <c r="C44" s="63"/>
      <c r="D44" s="244" t="s">
        <v>158</v>
      </c>
      <c r="E44" s="245"/>
      <c r="F44" s="245"/>
      <c r="G44" s="97" t="s">
        <v>101</v>
      </c>
      <c r="H44" s="131"/>
      <c r="I44" s="469"/>
      <c r="J44" s="132"/>
      <c r="K44" s="455"/>
      <c r="L44" s="453" t="str">
        <f t="shared" si="2"/>
        <v>-</v>
      </c>
      <c r="M44" s="468">
        <f t="shared" si="3"/>
        <v>0</v>
      </c>
      <c r="N44" s="231"/>
      <c r="O44" s="232"/>
      <c r="P44" s="232"/>
      <c r="Q44" s="233"/>
    </row>
    <row r="45" spans="1:17" ht="12.75" customHeight="1" thickBot="1">
      <c r="A45" s="238"/>
      <c r="B45" s="248" t="s">
        <v>159</v>
      </c>
      <c r="C45" s="249"/>
      <c r="D45" s="249"/>
      <c r="E45" s="249"/>
      <c r="F45" s="249"/>
      <c r="G45" s="101" t="s">
        <v>134</v>
      </c>
      <c r="H45" s="133"/>
      <c r="I45" s="470"/>
      <c r="J45" s="134"/>
      <c r="K45" s="471"/>
      <c r="L45" s="472" t="str">
        <f t="shared" si="2"/>
        <v>-</v>
      </c>
      <c r="M45" s="473">
        <f t="shared" si="3"/>
        <v>0</v>
      </c>
      <c r="N45" s="225"/>
      <c r="O45" s="226"/>
      <c r="P45" s="226"/>
      <c r="Q45" s="227"/>
    </row>
  </sheetData>
  <mergeCells count="91">
    <mergeCell ref="C14:F14"/>
    <mergeCell ref="N14:Q14"/>
    <mergeCell ref="N5:Q6"/>
    <mergeCell ref="B7:F7"/>
    <mergeCell ref="N7:Q7"/>
    <mergeCell ref="B8:B23"/>
    <mergeCell ref="C8:F8"/>
    <mergeCell ref="C22:F22"/>
    <mergeCell ref="N22:Q22"/>
    <mergeCell ref="N21:Q21"/>
    <mergeCell ref="C16:F16"/>
    <mergeCell ref="N16:Q16"/>
    <mergeCell ref="D17:F17"/>
    <mergeCell ref="N17:Q17"/>
    <mergeCell ref="C18:F18"/>
    <mergeCell ref="J5:J6"/>
    <mergeCell ref="A1:B1"/>
    <mergeCell ref="A5:F6"/>
    <mergeCell ref="G5:G6"/>
    <mergeCell ref="C15:F15"/>
    <mergeCell ref="N15:Q15"/>
    <mergeCell ref="C10:F10"/>
    <mergeCell ref="N10:Q10"/>
    <mergeCell ref="C11:F11"/>
    <mergeCell ref="N11:Q11"/>
    <mergeCell ref="C12:F12"/>
    <mergeCell ref="N12:Q12"/>
    <mergeCell ref="C13:F13"/>
    <mergeCell ref="C9:F9"/>
    <mergeCell ref="N9:Q9"/>
    <mergeCell ref="A7:A37"/>
    <mergeCell ref="D21:F21"/>
    <mergeCell ref="D19:F19"/>
    <mergeCell ref="N19:Q19"/>
    <mergeCell ref="C20:F20"/>
    <mergeCell ref="N20:Q20"/>
    <mergeCell ref="D25:F25"/>
    <mergeCell ref="N25:Q25"/>
    <mergeCell ref="B24:F24"/>
    <mergeCell ref="N24:Q24"/>
    <mergeCell ref="D23:F23"/>
    <mergeCell ref="N23:Q23"/>
    <mergeCell ref="A40:F40"/>
    <mergeCell ref="N40:Q40"/>
    <mergeCell ref="B30:F30"/>
    <mergeCell ref="N30:Q30"/>
    <mergeCell ref="B31:F31"/>
    <mergeCell ref="N31:Q31"/>
    <mergeCell ref="B32:F32"/>
    <mergeCell ref="N32:Q32"/>
    <mergeCell ref="B34:F34"/>
    <mergeCell ref="N34:Q34"/>
    <mergeCell ref="B35:F35"/>
    <mergeCell ref="N35:Q35"/>
    <mergeCell ref="B36:F36"/>
    <mergeCell ref="N36:Q36"/>
    <mergeCell ref="B33:F33"/>
    <mergeCell ref="N33:Q33"/>
    <mergeCell ref="B37:F37"/>
    <mergeCell ref="A38:F38"/>
    <mergeCell ref="N38:Q38"/>
    <mergeCell ref="A39:F39"/>
    <mergeCell ref="N28:Q28"/>
    <mergeCell ref="N39:Q39"/>
    <mergeCell ref="B29:F29"/>
    <mergeCell ref="N29:Q29"/>
    <mergeCell ref="B25:B28"/>
    <mergeCell ref="D27:F27"/>
    <mergeCell ref="N27:Q27"/>
    <mergeCell ref="N26:Q26"/>
    <mergeCell ref="C28:F28"/>
    <mergeCell ref="C26:F26"/>
    <mergeCell ref="N37:Q37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H5:H6"/>
    <mergeCell ref="O2:Q2"/>
    <mergeCell ref="N45:Q45"/>
    <mergeCell ref="O1:Q1"/>
    <mergeCell ref="N18:Q18"/>
    <mergeCell ref="M5:M6"/>
    <mergeCell ref="N8:Q8"/>
    <mergeCell ref="N13:Q13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view="pageBreakPreview" zoomScaleNormal="100" zoomScaleSheetLayoutView="100" workbookViewId="0"/>
  </sheetViews>
  <sheetFormatPr defaultRowHeight="12.75" customHeight="1"/>
  <cols>
    <col min="1" max="3" width="2.625" style="48" customWidth="1"/>
    <col min="4" max="7" width="9.625" style="48" customWidth="1"/>
    <col min="8" max="8" width="6.125" style="48" customWidth="1"/>
    <col min="9" max="9" width="5.875" style="48" customWidth="1"/>
    <col min="10" max="10" width="4.5" style="48" customWidth="1"/>
    <col min="11" max="11" width="3.625" style="48" customWidth="1"/>
    <col min="12" max="12" width="2.625" style="48" customWidth="1"/>
    <col min="13" max="13" width="3.5" style="48" customWidth="1"/>
    <col min="14" max="14" width="2.75" style="48" customWidth="1"/>
    <col min="15" max="15" width="2.625" style="48" customWidth="1"/>
    <col min="16" max="16" width="3.125" style="48" customWidth="1"/>
    <col min="17" max="17" width="2.875" style="48" customWidth="1"/>
    <col min="18" max="21" width="9.625" style="48" customWidth="1"/>
    <col min="22" max="23" width="9.625" style="64" customWidth="1"/>
    <col min="24" max="24" width="8.625" style="48" customWidth="1"/>
    <col min="25" max="26" width="11.75" style="48" customWidth="1"/>
    <col min="27" max="27" width="6" style="48" bestFit="1" customWidth="1"/>
    <col min="28" max="16384" width="9" style="48"/>
  </cols>
  <sheetData>
    <row r="1" spans="1:27" s="2" customFormat="1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P1" s="75"/>
      <c r="Q1" s="75"/>
      <c r="R1" s="75"/>
      <c r="U1" s="228" t="s">
        <v>92</v>
      </c>
      <c r="V1" s="229"/>
      <c r="W1" s="230"/>
    </row>
    <row r="2" spans="1:27" ht="15" customHeight="1">
      <c r="A2" s="1" t="s">
        <v>136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U2" s="339" t="str">
        <f>IF(No.1!O2="","",No.1!O2)</f>
        <v/>
      </c>
      <c r="V2" s="340"/>
      <c r="W2" s="341"/>
    </row>
    <row r="3" spans="1:27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X3" s="51"/>
      <c r="Y3" s="50"/>
      <c r="Z3" s="49"/>
      <c r="AA3" s="49"/>
    </row>
    <row r="4" spans="1:27" ht="14.25" customHeight="1">
      <c r="A4" s="5" t="s">
        <v>5</v>
      </c>
      <c r="O4" s="5" t="s">
        <v>6</v>
      </c>
      <c r="V4" s="80"/>
      <c r="W4" s="80"/>
    </row>
    <row r="5" spans="1:27" ht="14.25" customHeight="1">
      <c r="A5" s="298"/>
      <c r="B5" s="299"/>
      <c r="C5" s="299"/>
      <c r="D5" s="300"/>
      <c r="E5" s="344">
        <f>No.1!H5</f>
        <v>19</v>
      </c>
      <c r="F5" s="342">
        <f>E5-1</f>
        <v>18</v>
      </c>
      <c r="G5" s="6" t="s">
        <v>1</v>
      </c>
      <c r="H5" s="58"/>
      <c r="I5" s="58"/>
      <c r="J5" s="58"/>
      <c r="K5" s="58"/>
      <c r="L5" s="58"/>
      <c r="M5" s="58"/>
      <c r="O5" s="298"/>
      <c r="P5" s="299"/>
      <c r="Q5" s="299"/>
      <c r="R5" s="300"/>
      <c r="S5" s="344">
        <f>E5</f>
        <v>19</v>
      </c>
      <c r="T5" s="342">
        <f>F5</f>
        <v>18</v>
      </c>
      <c r="U5" s="6" t="s">
        <v>1</v>
      </c>
      <c r="V5" s="58"/>
      <c r="W5" s="58"/>
    </row>
    <row r="6" spans="1:27" ht="14.25" customHeight="1">
      <c r="A6" s="301"/>
      <c r="B6" s="302"/>
      <c r="C6" s="302"/>
      <c r="D6" s="303"/>
      <c r="E6" s="345"/>
      <c r="F6" s="343"/>
      <c r="G6" s="9" t="s">
        <v>137</v>
      </c>
      <c r="H6" s="58"/>
      <c r="I6" s="58"/>
      <c r="J6" s="58"/>
      <c r="K6" s="58"/>
      <c r="L6" s="58"/>
      <c r="M6" s="58"/>
      <c r="O6" s="301"/>
      <c r="P6" s="302"/>
      <c r="Q6" s="302"/>
      <c r="R6" s="303"/>
      <c r="S6" s="345"/>
      <c r="T6" s="343"/>
      <c r="U6" s="9" t="s">
        <v>137</v>
      </c>
      <c r="V6" s="58"/>
      <c r="W6" s="58"/>
    </row>
    <row r="7" spans="1:27" ht="14.25" customHeight="1">
      <c r="A7" s="310" t="s">
        <v>7</v>
      </c>
      <c r="B7" s="311"/>
      <c r="C7" s="311"/>
      <c r="D7" s="312"/>
      <c r="E7" s="135"/>
      <c r="F7" s="136"/>
      <c r="G7" s="143" t="str">
        <f>IFERROR(100*(E7-F7)/F7,"-")</f>
        <v>-</v>
      </c>
      <c r="H7" s="89"/>
      <c r="I7" s="89"/>
      <c r="J7" s="89"/>
      <c r="K7" s="89"/>
      <c r="L7" s="89"/>
      <c r="M7" s="89"/>
      <c r="O7" s="313" t="s">
        <v>8</v>
      </c>
      <c r="P7" s="315" t="s">
        <v>9</v>
      </c>
      <c r="Q7" s="316"/>
      <c r="R7" s="317"/>
      <c r="S7" s="144"/>
      <c r="T7" s="145"/>
      <c r="U7" s="146" t="str">
        <f>IFERROR(100*(S7-T7)/T7,"-")</f>
        <v>-</v>
      </c>
      <c r="V7" s="89"/>
      <c r="W7" s="58"/>
    </row>
    <row r="8" spans="1:27" ht="14.25" customHeight="1">
      <c r="A8" s="76"/>
      <c r="B8" s="336" t="s">
        <v>10</v>
      </c>
      <c r="C8" s="337"/>
      <c r="D8" s="338"/>
      <c r="E8" s="137"/>
      <c r="F8" s="138"/>
      <c r="G8" s="146" t="str">
        <f t="shared" ref="G8:G25" si="0">IFERROR(100*(E8-F8)/F8,"-")</f>
        <v>-</v>
      </c>
      <c r="H8" s="89"/>
      <c r="I8" s="89"/>
      <c r="J8" s="89"/>
      <c r="K8" s="89"/>
      <c r="L8" s="89"/>
      <c r="M8" s="89"/>
      <c r="O8" s="314"/>
      <c r="P8" s="315" t="s">
        <v>11</v>
      </c>
      <c r="Q8" s="316"/>
      <c r="R8" s="317"/>
      <c r="S8" s="147"/>
      <c r="T8" s="148"/>
      <c r="U8" s="146" t="str">
        <f t="shared" ref="U8:U15" si="1">IFERROR(100*(S8-T8)/T8,"-")</f>
        <v>-</v>
      </c>
      <c r="V8" s="89"/>
      <c r="W8" s="58"/>
    </row>
    <row r="9" spans="1:27" ht="14.25" customHeight="1">
      <c r="A9" s="76"/>
      <c r="B9" s="77"/>
      <c r="C9" s="315" t="s">
        <v>12</v>
      </c>
      <c r="D9" s="317"/>
      <c r="E9" s="137"/>
      <c r="F9" s="138"/>
      <c r="G9" s="146" t="str">
        <f t="shared" si="0"/>
        <v>-</v>
      </c>
      <c r="H9" s="89"/>
      <c r="I9" s="89"/>
      <c r="J9" s="89"/>
      <c r="K9" s="89"/>
      <c r="L9" s="89"/>
      <c r="M9" s="89"/>
      <c r="O9" s="310" t="s">
        <v>4</v>
      </c>
      <c r="P9" s="311"/>
      <c r="Q9" s="311"/>
      <c r="R9" s="312"/>
      <c r="S9" s="144"/>
      <c r="T9" s="145"/>
      <c r="U9" s="149" t="str">
        <f t="shared" si="1"/>
        <v>-</v>
      </c>
      <c r="V9" s="89"/>
    </row>
    <row r="10" spans="1:27" ht="14.25" customHeight="1">
      <c r="A10" s="76"/>
      <c r="B10" s="77"/>
      <c r="C10" s="315" t="s">
        <v>13</v>
      </c>
      <c r="D10" s="317"/>
      <c r="E10" s="137"/>
      <c r="F10" s="138"/>
      <c r="G10" s="146" t="str">
        <f t="shared" si="0"/>
        <v>-</v>
      </c>
      <c r="H10" s="89"/>
      <c r="I10" s="89"/>
      <c r="J10" s="89"/>
      <c r="K10" s="89"/>
      <c r="L10" s="89"/>
      <c r="M10" s="89"/>
      <c r="O10" s="304" t="s">
        <v>14</v>
      </c>
      <c r="P10" s="305"/>
      <c r="Q10" s="305"/>
      <c r="R10" s="306"/>
      <c r="S10" s="144"/>
      <c r="T10" s="145"/>
      <c r="U10" s="143" t="str">
        <f t="shared" si="1"/>
        <v>-</v>
      </c>
      <c r="V10" s="89"/>
    </row>
    <row r="11" spans="1:27" ht="14.25" customHeight="1">
      <c r="A11" s="76"/>
      <c r="B11" s="77"/>
      <c r="C11" s="315" t="s">
        <v>15</v>
      </c>
      <c r="D11" s="317"/>
      <c r="E11" s="137"/>
      <c r="F11" s="138"/>
      <c r="G11" s="146" t="str">
        <f t="shared" si="0"/>
        <v>-</v>
      </c>
      <c r="H11" s="89"/>
      <c r="I11" s="89"/>
      <c r="J11" s="89"/>
      <c r="K11" s="89"/>
      <c r="L11" s="89"/>
      <c r="M11" s="89"/>
      <c r="O11" s="318" t="s">
        <v>64</v>
      </c>
      <c r="P11" s="316"/>
      <c r="Q11" s="316"/>
      <c r="R11" s="317"/>
      <c r="S11" s="150"/>
      <c r="T11" s="151"/>
      <c r="U11" s="146" t="str">
        <f t="shared" si="1"/>
        <v>-</v>
      </c>
      <c r="V11" s="89"/>
    </row>
    <row r="12" spans="1:27" ht="14.25" customHeight="1">
      <c r="A12" s="76"/>
      <c r="B12" s="77"/>
      <c r="C12" s="315" t="s">
        <v>16</v>
      </c>
      <c r="D12" s="317"/>
      <c r="E12" s="137"/>
      <c r="F12" s="138"/>
      <c r="G12" s="146" t="str">
        <f t="shared" si="0"/>
        <v>-</v>
      </c>
      <c r="H12" s="89"/>
      <c r="I12" s="89"/>
      <c r="J12" s="89"/>
      <c r="K12" s="89"/>
      <c r="L12" s="89"/>
      <c r="M12" s="89"/>
      <c r="O12" s="333" t="s">
        <v>17</v>
      </c>
      <c r="P12" s="334"/>
      <c r="Q12" s="334"/>
      <c r="R12" s="335"/>
      <c r="S12" s="150"/>
      <c r="T12" s="151"/>
      <c r="U12" s="146" t="str">
        <f t="shared" si="1"/>
        <v>-</v>
      </c>
      <c r="V12" s="80"/>
    </row>
    <row r="13" spans="1:27" ht="14.25" customHeight="1">
      <c r="A13" s="76"/>
      <c r="B13" s="77"/>
      <c r="C13" s="315" t="s">
        <v>18</v>
      </c>
      <c r="D13" s="317"/>
      <c r="E13" s="137"/>
      <c r="F13" s="138"/>
      <c r="G13" s="146" t="str">
        <f t="shared" si="0"/>
        <v>-</v>
      </c>
      <c r="H13" s="89"/>
      <c r="I13" s="89"/>
      <c r="J13" s="89"/>
      <c r="K13" s="89"/>
      <c r="L13" s="89"/>
      <c r="M13" s="89"/>
      <c r="O13" s="52"/>
      <c r="P13" s="315" t="s">
        <v>19</v>
      </c>
      <c r="Q13" s="316"/>
      <c r="R13" s="317"/>
      <c r="S13" s="150"/>
      <c r="T13" s="151"/>
      <c r="U13" s="146" t="str">
        <f t="shared" si="1"/>
        <v>-</v>
      </c>
    </row>
    <row r="14" spans="1:27" ht="14.25" customHeight="1">
      <c r="A14" s="76"/>
      <c r="B14" s="77"/>
      <c r="C14" s="315" t="s">
        <v>20</v>
      </c>
      <c r="D14" s="317"/>
      <c r="E14" s="137"/>
      <c r="F14" s="138"/>
      <c r="G14" s="146" t="str">
        <f t="shared" si="0"/>
        <v>-</v>
      </c>
      <c r="H14" s="89"/>
      <c r="I14" s="89"/>
      <c r="J14" s="89"/>
      <c r="K14" s="89"/>
      <c r="L14" s="89"/>
      <c r="M14" s="89"/>
      <c r="O14" s="333" t="s">
        <v>167</v>
      </c>
      <c r="P14" s="334"/>
      <c r="Q14" s="334"/>
      <c r="R14" s="335"/>
      <c r="S14" s="150"/>
      <c r="T14" s="151"/>
      <c r="U14" s="146" t="str">
        <f t="shared" si="1"/>
        <v>-</v>
      </c>
      <c r="V14" s="89"/>
    </row>
    <row r="15" spans="1:27" ht="14.25" customHeight="1">
      <c r="A15" s="76"/>
      <c r="B15" s="77"/>
      <c r="C15" s="315" t="s">
        <v>21</v>
      </c>
      <c r="D15" s="317"/>
      <c r="E15" s="137"/>
      <c r="F15" s="138"/>
      <c r="G15" s="146" t="str">
        <f t="shared" si="0"/>
        <v>-</v>
      </c>
      <c r="H15" s="89"/>
      <c r="I15" s="89"/>
      <c r="J15" s="89"/>
      <c r="K15" s="89"/>
      <c r="L15" s="89"/>
      <c r="M15" s="89"/>
      <c r="O15" s="129"/>
      <c r="P15" s="336" t="s">
        <v>19</v>
      </c>
      <c r="Q15" s="337"/>
      <c r="R15" s="338"/>
      <c r="S15" s="152"/>
      <c r="T15" s="153"/>
      <c r="U15" s="154" t="str">
        <f t="shared" si="1"/>
        <v>-</v>
      </c>
      <c r="V15" s="89"/>
    </row>
    <row r="16" spans="1:27" ht="14.25" customHeight="1">
      <c r="A16" s="76"/>
      <c r="B16" s="77"/>
      <c r="C16" s="315" t="s">
        <v>22</v>
      </c>
      <c r="D16" s="317"/>
      <c r="E16" s="137"/>
      <c r="F16" s="138"/>
      <c r="G16" s="146" t="str">
        <f t="shared" si="0"/>
        <v>-</v>
      </c>
      <c r="H16" s="89"/>
      <c r="I16" s="89"/>
      <c r="J16" s="89"/>
      <c r="K16" s="89"/>
      <c r="L16" s="89"/>
      <c r="M16" s="89"/>
      <c r="O16" s="330" t="s">
        <v>62</v>
      </c>
      <c r="P16" s="331"/>
      <c r="Q16" s="331"/>
      <c r="R16" s="332"/>
      <c r="S16" s="155"/>
      <c r="T16" s="156"/>
      <c r="U16" s="157"/>
      <c r="V16" s="89"/>
    </row>
    <row r="17" spans="1:23" ht="14.25" customHeight="1">
      <c r="A17" s="76"/>
      <c r="B17" s="77"/>
      <c r="C17" s="315" t="s">
        <v>23</v>
      </c>
      <c r="D17" s="317"/>
      <c r="E17" s="137"/>
      <c r="F17" s="138"/>
      <c r="G17" s="146" t="str">
        <f t="shared" si="0"/>
        <v>-</v>
      </c>
      <c r="H17" s="89"/>
      <c r="I17" s="89"/>
      <c r="J17" s="89"/>
      <c r="K17" s="89"/>
      <c r="L17" s="89"/>
      <c r="M17" s="89"/>
      <c r="O17" s="53"/>
      <c r="P17" s="319" t="s">
        <v>63</v>
      </c>
      <c r="Q17" s="320"/>
      <c r="R17" s="321"/>
      <c r="S17" s="158"/>
      <c r="T17" s="159"/>
      <c r="U17" s="160" t="str">
        <f t="shared" ref="U17:U21" si="2">IFERROR(100*(S17-T17)/T17,"-")</f>
        <v>-</v>
      </c>
      <c r="V17" s="89"/>
    </row>
    <row r="18" spans="1:23" ht="14.25" customHeight="1">
      <c r="A18" s="76"/>
      <c r="B18" s="77"/>
      <c r="C18" s="315" t="s">
        <v>24</v>
      </c>
      <c r="D18" s="317"/>
      <c r="E18" s="137"/>
      <c r="F18" s="138"/>
      <c r="G18" s="146" t="str">
        <f t="shared" si="0"/>
        <v>-</v>
      </c>
      <c r="H18" s="89"/>
      <c r="I18" s="89"/>
      <c r="J18" s="89"/>
      <c r="K18" s="89"/>
      <c r="L18" s="89"/>
      <c r="M18" s="89"/>
      <c r="O18" s="57"/>
      <c r="P18" s="322" t="s">
        <v>17</v>
      </c>
      <c r="Q18" s="323"/>
      <c r="R18" s="324"/>
      <c r="S18" s="158"/>
      <c r="T18" s="159"/>
      <c r="U18" s="160" t="str">
        <f t="shared" si="2"/>
        <v>-</v>
      </c>
      <c r="V18" s="89"/>
    </row>
    <row r="19" spans="1:23" ht="14.25" customHeight="1">
      <c r="A19" s="76"/>
      <c r="B19" s="77"/>
      <c r="C19" s="315" t="s">
        <v>25</v>
      </c>
      <c r="D19" s="317"/>
      <c r="E19" s="137"/>
      <c r="F19" s="138"/>
      <c r="G19" s="146" t="str">
        <f t="shared" si="0"/>
        <v>-</v>
      </c>
      <c r="H19" s="89"/>
      <c r="I19" s="89"/>
      <c r="J19" s="89"/>
      <c r="K19" s="89"/>
      <c r="L19" s="89"/>
      <c r="M19" s="89"/>
      <c r="O19" s="30"/>
      <c r="P19" s="54"/>
      <c r="Q19" s="327" t="s">
        <v>19</v>
      </c>
      <c r="R19" s="328"/>
      <c r="S19" s="161"/>
      <c r="T19" s="159"/>
      <c r="U19" s="160" t="str">
        <f t="shared" si="2"/>
        <v>-</v>
      </c>
      <c r="V19" s="89"/>
    </row>
    <row r="20" spans="1:23" ht="14.25" customHeight="1">
      <c r="A20" s="76"/>
      <c r="B20" s="77"/>
      <c r="C20" s="315" t="s">
        <v>28</v>
      </c>
      <c r="D20" s="317"/>
      <c r="E20" s="137"/>
      <c r="F20" s="138"/>
      <c r="G20" s="146" t="str">
        <f t="shared" si="0"/>
        <v>-</v>
      </c>
      <c r="H20" s="89"/>
      <c r="I20" s="89"/>
      <c r="J20" s="89"/>
      <c r="K20" s="89"/>
      <c r="L20" s="89"/>
      <c r="M20" s="89"/>
      <c r="O20" s="57"/>
      <c r="P20" s="322" t="s">
        <v>167</v>
      </c>
      <c r="Q20" s="323"/>
      <c r="R20" s="324"/>
      <c r="S20" s="158"/>
      <c r="T20" s="159"/>
      <c r="U20" s="160" t="str">
        <f t="shared" si="2"/>
        <v>-</v>
      </c>
      <c r="V20" s="89"/>
    </row>
    <row r="21" spans="1:23" ht="14.25" customHeight="1">
      <c r="A21" s="76"/>
      <c r="B21" s="77"/>
      <c r="C21" s="315" t="s">
        <v>29</v>
      </c>
      <c r="D21" s="317"/>
      <c r="E21" s="137"/>
      <c r="F21" s="138"/>
      <c r="G21" s="146" t="str">
        <f t="shared" si="0"/>
        <v>-</v>
      </c>
      <c r="H21" s="89"/>
      <c r="I21" s="89"/>
      <c r="J21" s="89"/>
      <c r="K21" s="89"/>
      <c r="L21" s="89"/>
      <c r="M21" s="89"/>
      <c r="O21" s="55"/>
      <c r="P21" s="56"/>
      <c r="Q21" s="325" t="s">
        <v>19</v>
      </c>
      <c r="R21" s="326"/>
      <c r="S21" s="162"/>
      <c r="T21" s="163"/>
      <c r="U21" s="164" t="str">
        <f t="shared" si="2"/>
        <v>-</v>
      </c>
      <c r="V21" s="89"/>
    </row>
    <row r="22" spans="1:23" ht="14.25" customHeight="1">
      <c r="A22" s="76"/>
      <c r="B22" s="77"/>
      <c r="C22" s="315" t="s">
        <v>30</v>
      </c>
      <c r="D22" s="317"/>
      <c r="E22" s="137"/>
      <c r="F22" s="138"/>
      <c r="G22" s="146" t="str">
        <f t="shared" si="0"/>
        <v>-</v>
      </c>
      <c r="H22" s="89"/>
      <c r="I22" s="89"/>
      <c r="J22" s="89"/>
      <c r="K22" s="89"/>
      <c r="L22" s="89"/>
      <c r="M22" s="89"/>
      <c r="V22" s="89"/>
    </row>
    <row r="23" spans="1:23" ht="14.25" customHeight="1">
      <c r="A23" s="12"/>
      <c r="B23" s="329" t="s">
        <v>31</v>
      </c>
      <c r="C23" s="308"/>
      <c r="D23" s="309"/>
      <c r="E23" s="139"/>
      <c r="F23" s="140"/>
      <c r="G23" s="165" t="str">
        <f t="shared" si="0"/>
        <v>-</v>
      </c>
      <c r="H23" s="89"/>
      <c r="I23" s="89"/>
      <c r="J23" s="89"/>
      <c r="K23" s="89"/>
      <c r="L23" s="89"/>
      <c r="M23" s="89"/>
      <c r="V23" s="89"/>
    </row>
    <row r="24" spans="1:23" ht="14.25" customHeight="1">
      <c r="A24" s="310" t="s">
        <v>150</v>
      </c>
      <c r="B24" s="311"/>
      <c r="C24" s="311"/>
      <c r="D24" s="312"/>
      <c r="E24" s="141"/>
      <c r="F24" s="142"/>
      <c r="G24" s="166" t="str">
        <f t="shared" si="0"/>
        <v>-</v>
      </c>
      <c r="H24" s="89"/>
      <c r="I24" s="89"/>
      <c r="J24" s="89"/>
      <c r="K24" s="89"/>
      <c r="L24" s="89"/>
      <c r="M24" s="89"/>
      <c r="V24" s="89"/>
    </row>
    <row r="25" spans="1:23" ht="14.25" customHeight="1">
      <c r="A25" s="307" t="s">
        <v>32</v>
      </c>
      <c r="B25" s="308"/>
      <c r="C25" s="308"/>
      <c r="D25" s="309"/>
      <c r="E25" s="139"/>
      <c r="F25" s="140"/>
      <c r="G25" s="165" t="str">
        <f t="shared" si="0"/>
        <v>-</v>
      </c>
      <c r="H25" s="89"/>
      <c r="I25" s="89"/>
      <c r="J25" s="89"/>
      <c r="K25" s="89"/>
      <c r="L25" s="89"/>
      <c r="M25" s="89"/>
      <c r="V25" s="89"/>
      <c r="W25" s="58"/>
    </row>
    <row r="26" spans="1:23" ht="14.25" customHeight="1">
      <c r="A26" s="311"/>
      <c r="B26" s="311"/>
      <c r="C26" s="311"/>
      <c r="D26" s="311"/>
      <c r="E26" s="78"/>
      <c r="F26" s="78"/>
      <c r="G26" s="79"/>
      <c r="H26" s="89"/>
      <c r="I26" s="89"/>
      <c r="J26" s="89"/>
      <c r="K26" s="89"/>
      <c r="L26" s="89"/>
      <c r="M26" s="89"/>
      <c r="O26" s="5" t="s">
        <v>152</v>
      </c>
      <c r="V26" s="89"/>
      <c r="W26" s="58"/>
    </row>
    <row r="27" spans="1:23" ht="14.25" customHeight="1">
      <c r="H27" s="89"/>
      <c r="I27" s="89"/>
      <c r="J27" s="89"/>
      <c r="K27" s="89"/>
      <c r="L27" s="89"/>
      <c r="M27" s="89"/>
      <c r="O27" s="298"/>
      <c r="P27" s="299"/>
      <c r="Q27" s="299"/>
      <c r="R27" s="300"/>
      <c r="S27" s="128">
        <f>E5</f>
        <v>19</v>
      </c>
      <c r="T27" s="130">
        <f>F5</f>
        <v>18</v>
      </c>
      <c r="U27" s="6" t="s">
        <v>1</v>
      </c>
      <c r="V27" s="80"/>
      <c r="W27" s="80"/>
    </row>
    <row r="28" spans="1:23" ht="14.25" customHeight="1">
      <c r="H28" s="89"/>
      <c r="I28" s="89"/>
      <c r="J28" s="89"/>
      <c r="K28" s="89"/>
      <c r="L28" s="89"/>
      <c r="M28" s="89"/>
      <c r="O28" s="301"/>
      <c r="P28" s="302"/>
      <c r="Q28" s="302"/>
      <c r="R28" s="303"/>
      <c r="S28" s="7" t="s">
        <v>2</v>
      </c>
      <c r="T28" s="8" t="s">
        <v>2</v>
      </c>
      <c r="U28" s="9" t="s">
        <v>3</v>
      </c>
      <c r="V28" s="80"/>
      <c r="W28" s="80"/>
    </row>
    <row r="29" spans="1:23" ht="14.25" customHeight="1">
      <c r="O29" s="304" t="s">
        <v>153</v>
      </c>
      <c r="P29" s="305"/>
      <c r="Q29" s="305"/>
      <c r="R29" s="306"/>
      <c r="S29" s="144"/>
      <c r="T29" s="145"/>
      <c r="U29" s="143" t="str">
        <f t="shared" ref="U29:U30" si="3">IFERROR(100*(S29-T29)/T29,"-")</f>
        <v>-</v>
      </c>
    </row>
    <row r="30" spans="1:23" ht="14.25" customHeight="1">
      <c r="O30" s="307" t="s">
        <v>154</v>
      </c>
      <c r="P30" s="308"/>
      <c r="Q30" s="308"/>
      <c r="R30" s="309"/>
      <c r="S30" s="167"/>
      <c r="T30" s="168"/>
      <c r="U30" s="165" t="str">
        <f t="shared" si="3"/>
        <v>-</v>
      </c>
    </row>
    <row r="31" spans="1:23" ht="14.25" customHeight="1"/>
    <row r="32" spans="1:23" ht="14.25" customHeight="1"/>
    <row r="33" ht="14.25" customHeight="1"/>
    <row r="34" ht="14.25" customHeight="1"/>
    <row r="35" ht="14.25" customHeight="1"/>
    <row r="36" ht="14.25" customHeight="1"/>
  </sheetData>
  <mergeCells count="47">
    <mergeCell ref="E5:E6"/>
    <mergeCell ref="C10:D10"/>
    <mergeCell ref="C11:D11"/>
    <mergeCell ref="C12:D12"/>
    <mergeCell ref="B8:D8"/>
    <mergeCell ref="C9:D9"/>
    <mergeCell ref="C17:D17"/>
    <mergeCell ref="C15:D15"/>
    <mergeCell ref="C16:D16"/>
    <mergeCell ref="U1:W1"/>
    <mergeCell ref="O16:R16"/>
    <mergeCell ref="O14:R14"/>
    <mergeCell ref="P15:R15"/>
    <mergeCell ref="U2:W2"/>
    <mergeCell ref="O12:R12"/>
    <mergeCell ref="T5:T6"/>
    <mergeCell ref="S5:S6"/>
    <mergeCell ref="C13:D13"/>
    <mergeCell ref="C14:D14"/>
    <mergeCell ref="A5:D6"/>
    <mergeCell ref="A7:D7"/>
    <mergeCell ref="F5:F6"/>
    <mergeCell ref="A26:D26"/>
    <mergeCell ref="P20:R20"/>
    <mergeCell ref="Q21:R21"/>
    <mergeCell ref="P18:R18"/>
    <mergeCell ref="Q19:R19"/>
    <mergeCell ref="B23:D23"/>
    <mergeCell ref="C21:D21"/>
    <mergeCell ref="C22:D22"/>
    <mergeCell ref="A25:D25"/>
    <mergeCell ref="A24:D24"/>
    <mergeCell ref="C20:D20"/>
    <mergeCell ref="C18:D18"/>
    <mergeCell ref="C19:D19"/>
    <mergeCell ref="O27:R28"/>
    <mergeCell ref="O29:R29"/>
    <mergeCell ref="O30:R30"/>
    <mergeCell ref="O9:R9"/>
    <mergeCell ref="O5:R6"/>
    <mergeCell ref="O7:O8"/>
    <mergeCell ref="P7:R7"/>
    <mergeCell ref="O10:R10"/>
    <mergeCell ref="O11:R11"/>
    <mergeCell ref="P8:R8"/>
    <mergeCell ref="P13:R13"/>
    <mergeCell ref="P17:R17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showGridLines="0" view="pageBreakPreview" zoomScaleNormal="100" zoomScaleSheetLayoutView="100" workbookViewId="0"/>
  </sheetViews>
  <sheetFormatPr defaultRowHeight="15" customHeight="1"/>
  <cols>
    <col min="1" max="7" width="2.625" style="2" customWidth="1"/>
    <col min="8" max="8" width="4.25" style="35" customWidth="1"/>
    <col min="9" max="17" width="9.625" style="2" customWidth="1"/>
    <col min="18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23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R1" s="376" t="s">
        <v>92</v>
      </c>
      <c r="S1" s="376"/>
      <c r="T1" s="376"/>
    </row>
    <row r="2" spans="1:23" ht="15" customHeight="1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4"/>
      <c r="R2" s="339" t="str">
        <f>IF(No.1!O2="","",No.1!O2)</f>
        <v/>
      </c>
      <c r="S2" s="340"/>
      <c r="T2" s="341"/>
    </row>
    <row r="3" spans="1:23" ht="15" customHeight="1">
      <c r="A3" s="13"/>
      <c r="B3" s="13"/>
      <c r="C3" s="13"/>
      <c r="D3" s="13"/>
      <c r="E3" s="13"/>
      <c r="F3" s="13"/>
      <c r="G3" s="13"/>
      <c r="H3" s="13"/>
      <c r="U3" s="4"/>
      <c r="V3" s="4"/>
      <c r="W3" s="4"/>
    </row>
    <row r="4" spans="1:23" ht="14.25" customHeight="1">
      <c r="A4" s="28" t="s">
        <v>91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58"/>
      <c r="S4" s="58"/>
      <c r="T4" s="58"/>
    </row>
    <row r="5" spans="1:23" ht="14.25" customHeight="1">
      <c r="A5" s="359"/>
      <c r="B5" s="360"/>
      <c r="C5" s="360"/>
      <c r="D5" s="360"/>
      <c r="E5" s="360"/>
      <c r="F5" s="360"/>
      <c r="G5" s="360"/>
      <c r="H5" s="361"/>
      <c r="I5" s="381" t="s">
        <v>26</v>
      </c>
      <c r="J5" s="382"/>
      <c r="K5" s="383"/>
      <c r="L5" s="381" t="s">
        <v>27</v>
      </c>
      <c r="M5" s="382"/>
      <c r="N5" s="383"/>
      <c r="O5" s="384" t="s">
        <v>85</v>
      </c>
      <c r="P5" s="382"/>
      <c r="Q5" s="383"/>
      <c r="R5" s="58"/>
      <c r="S5" s="58"/>
      <c r="T5" s="58"/>
    </row>
    <row r="6" spans="1:23" ht="14.25" customHeight="1">
      <c r="A6" s="378"/>
      <c r="B6" s="379"/>
      <c r="C6" s="379"/>
      <c r="D6" s="379"/>
      <c r="E6" s="379"/>
      <c r="F6" s="379"/>
      <c r="G6" s="379"/>
      <c r="H6" s="380"/>
      <c r="I6" s="371">
        <f>No.1!H5</f>
        <v>19</v>
      </c>
      <c r="J6" s="373">
        <f>I6-1</f>
        <v>18</v>
      </c>
      <c r="K6" s="19" t="s">
        <v>1</v>
      </c>
      <c r="L6" s="371">
        <f>$I$6</f>
        <v>19</v>
      </c>
      <c r="M6" s="373">
        <f>$J$6</f>
        <v>18</v>
      </c>
      <c r="N6" s="19" t="s">
        <v>1</v>
      </c>
      <c r="O6" s="371">
        <f>$I$6</f>
        <v>19</v>
      </c>
      <c r="P6" s="373">
        <f>$J$6</f>
        <v>18</v>
      </c>
      <c r="Q6" s="19" t="s">
        <v>1</v>
      </c>
      <c r="R6" s="58"/>
      <c r="S6" s="58"/>
      <c r="T6" s="58"/>
    </row>
    <row r="7" spans="1:23" ht="14.25" customHeight="1">
      <c r="A7" s="362"/>
      <c r="B7" s="363"/>
      <c r="C7" s="363"/>
      <c r="D7" s="363"/>
      <c r="E7" s="363"/>
      <c r="F7" s="363"/>
      <c r="G7" s="363"/>
      <c r="H7" s="364"/>
      <c r="I7" s="372"/>
      <c r="J7" s="374"/>
      <c r="K7" s="22" t="s">
        <v>137</v>
      </c>
      <c r="L7" s="372"/>
      <c r="M7" s="374"/>
      <c r="N7" s="22" t="s">
        <v>137</v>
      </c>
      <c r="O7" s="372"/>
      <c r="P7" s="374"/>
      <c r="Q7" s="22" t="s">
        <v>137</v>
      </c>
      <c r="R7" s="58"/>
      <c r="S7" s="58"/>
      <c r="T7" s="58"/>
    </row>
    <row r="8" spans="1:23" ht="14.25" customHeight="1">
      <c r="A8" s="385" t="s">
        <v>86</v>
      </c>
      <c r="B8" s="386"/>
      <c r="C8" s="387" t="s">
        <v>87</v>
      </c>
      <c r="D8" s="388"/>
      <c r="E8" s="388"/>
      <c r="F8" s="388"/>
      <c r="G8" s="388"/>
      <c r="H8" s="107" t="s">
        <v>168</v>
      </c>
      <c r="I8" s="172"/>
      <c r="J8" s="173"/>
      <c r="K8" s="169" t="str">
        <f>IFERROR(100*(I8-J8)/J8,"-")</f>
        <v>-</v>
      </c>
      <c r="L8" s="172"/>
      <c r="M8" s="173"/>
      <c r="N8" s="174" t="str">
        <f>IFERROR(100*(L8-M8)/M8,"-")</f>
        <v>-</v>
      </c>
      <c r="O8" s="172"/>
      <c r="P8" s="173"/>
      <c r="Q8" s="174" t="str">
        <f>IFERROR(100*(O8-P8)/P8,"-")</f>
        <v>-</v>
      </c>
      <c r="R8" s="58"/>
      <c r="S8" s="58"/>
      <c r="T8" s="58"/>
    </row>
    <row r="9" spans="1:23" ht="14.25" customHeight="1">
      <c r="A9" s="351"/>
      <c r="B9" s="352"/>
      <c r="C9" s="355" t="s">
        <v>88</v>
      </c>
      <c r="D9" s="356"/>
      <c r="E9" s="356"/>
      <c r="F9" s="356"/>
      <c r="G9" s="356"/>
      <c r="H9" s="108" t="s">
        <v>172</v>
      </c>
      <c r="I9" s="175"/>
      <c r="J9" s="176"/>
      <c r="K9" s="170" t="str">
        <f t="shared" ref="K9:K15" si="0">IFERROR(100*(I9-J9)/J9,"-")</f>
        <v>-</v>
      </c>
      <c r="L9" s="175"/>
      <c r="M9" s="176"/>
      <c r="N9" s="177" t="str">
        <f t="shared" ref="N9:N15" si="1">IFERROR(100*(L9-M9)/M9,"-")</f>
        <v>-</v>
      </c>
      <c r="O9" s="175"/>
      <c r="P9" s="176"/>
      <c r="Q9" s="177" t="str">
        <f t="shared" ref="Q9:Q15" si="2">IFERROR(100*(O9-P9)/P9,"-")</f>
        <v>-</v>
      </c>
      <c r="R9" s="58"/>
      <c r="S9" s="58"/>
      <c r="T9" s="58"/>
    </row>
    <row r="10" spans="1:23" ht="14.25" customHeight="1">
      <c r="A10" s="351"/>
      <c r="B10" s="352"/>
      <c r="C10" s="357" t="s">
        <v>177</v>
      </c>
      <c r="D10" s="358"/>
      <c r="E10" s="358"/>
      <c r="F10" s="358"/>
      <c r="G10" s="358"/>
      <c r="H10" s="108" t="s">
        <v>169</v>
      </c>
      <c r="I10" s="178"/>
      <c r="J10" s="159"/>
      <c r="K10" s="170" t="str">
        <f t="shared" si="0"/>
        <v>-</v>
      </c>
      <c r="L10" s="178"/>
      <c r="M10" s="159"/>
      <c r="N10" s="177" t="str">
        <f t="shared" si="1"/>
        <v>-</v>
      </c>
      <c r="O10" s="178"/>
      <c r="P10" s="159"/>
      <c r="Q10" s="177" t="str">
        <f t="shared" si="2"/>
        <v>-</v>
      </c>
      <c r="R10" s="58"/>
      <c r="S10" s="58"/>
      <c r="T10" s="58"/>
    </row>
    <row r="11" spans="1:23" ht="14.25" customHeight="1">
      <c r="A11" s="353"/>
      <c r="B11" s="354"/>
      <c r="C11" s="357" t="s">
        <v>178</v>
      </c>
      <c r="D11" s="358"/>
      <c r="E11" s="358"/>
      <c r="F11" s="358"/>
      <c r="G11" s="358"/>
      <c r="H11" s="108" t="s">
        <v>169</v>
      </c>
      <c r="I11" s="178"/>
      <c r="J11" s="159"/>
      <c r="K11" s="170" t="str">
        <f t="shared" si="0"/>
        <v>-</v>
      </c>
      <c r="L11" s="178"/>
      <c r="M11" s="159"/>
      <c r="N11" s="177" t="str">
        <f t="shared" si="1"/>
        <v>-</v>
      </c>
      <c r="O11" s="178"/>
      <c r="P11" s="159"/>
      <c r="Q11" s="177" t="str">
        <f t="shared" si="2"/>
        <v>-</v>
      </c>
      <c r="R11" s="58"/>
      <c r="S11" s="58"/>
      <c r="T11" s="58"/>
    </row>
    <row r="12" spans="1:23" ht="14.25" customHeight="1">
      <c r="A12" s="349" t="s">
        <v>89</v>
      </c>
      <c r="B12" s="350"/>
      <c r="C12" s="355" t="s">
        <v>90</v>
      </c>
      <c r="D12" s="356"/>
      <c r="E12" s="356"/>
      <c r="F12" s="356"/>
      <c r="G12" s="356"/>
      <c r="H12" s="108" t="s">
        <v>168</v>
      </c>
      <c r="I12" s="175"/>
      <c r="J12" s="176"/>
      <c r="K12" s="170" t="str">
        <f t="shared" si="0"/>
        <v>-</v>
      </c>
      <c r="L12" s="175"/>
      <c r="M12" s="176"/>
      <c r="N12" s="177" t="str">
        <f t="shared" si="1"/>
        <v>-</v>
      </c>
      <c r="O12" s="175"/>
      <c r="P12" s="176"/>
      <c r="Q12" s="177" t="str">
        <f t="shared" si="2"/>
        <v>-</v>
      </c>
      <c r="R12" s="58"/>
      <c r="S12" s="58"/>
      <c r="T12" s="58"/>
    </row>
    <row r="13" spans="1:23" ht="14.25" customHeight="1">
      <c r="A13" s="351"/>
      <c r="B13" s="352"/>
      <c r="C13" s="357" t="s">
        <v>179</v>
      </c>
      <c r="D13" s="358"/>
      <c r="E13" s="358"/>
      <c r="F13" s="358"/>
      <c r="G13" s="358"/>
      <c r="H13" s="108" t="s">
        <v>169</v>
      </c>
      <c r="I13" s="178"/>
      <c r="J13" s="159"/>
      <c r="K13" s="170" t="str">
        <f t="shared" si="0"/>
        <v>-</v>
      </c>
      <c r="L13" s="178"/>
      <c r="M13" s="159"/>
      <c r="N13" s="177" t="str">
        <f t="shared" si="1"/>
        <v>-</v>
      </c>
      <c r="O13" s="178"/>
      <c r="P13" s="159"/>
      <c r="Q13" s="177" t="str">
        <f t="shared" si="2"/>
        <v>-</v>
      </c>
      <c r="R13" s="58"/>
      <c r="S13" s="58"/>
      <c r="T13" s="58"/>
    </row>
    <row r="14" spans="1:23" ht="14.25" customHeight="1">
      <c r="A14" s="353"/>
      <c r="B14" s="354"/>
      <c r="C14" s="357" t="s">
        <v>178</v>
      </c>
      <c r="D14" s="358"/>
      <c r="E14" s="358"/>
      <c r="F14" s="358"/>
      <c r="G14" s="358"/>
      <c r="H14" s="108" t="s">
        <v>169</v>
      </c>
      <c r="I14" s="178"/>
      <c r="J14" s="159"/>
      <c r="K14" s="170" t="str">
        <f t="shared" si="0"/>
        <v>-</v>
      </c>
      <c r="L14" s="178"/>
      <c r="M14" s="159"/>
      <c r="N14" s="177" t="str">
        <f t="shared" si="1"/>
        <v>-</v>
      </c>
      <c r="O14" s="178"/>
      <c r="P14" s="159"/>
      <c r="Q14" s="177" t="str">
        <f t="shared" si="2"/>
        <v>-</v>
      </c>
      <c r="R14" s="58"/>
      <c r="S14" s="58"/>
      <c r="T14" s="58"/>
    </row>
    <row r="15" spans="1:23" ht="14.25" customHeight="1">
      <c r="A15" s="346" t="s">
        <v>173</v>
      </c>
      <c r="B15" s="347"/>
      <c r="C15" s="347"/>
      <c r="D15" s="347"/>
      <c r="E15" s="347"/>
      <c r="F15" s="347"/>
      <c r="G15" s="347"/>
      <c r="H15" s="109" t="s">
        <v>170</v>
      </c>
      <c r="I15" s="179"/>
      <c r="J15" s="163"/>
      <c r="K15" s="171" t="str">
        <f t="shared" si="0"/>
        <v>-</v>
      </c>
      <c r="L15" s="179"/>
      <c r="M15" s="163"/>
      <c r="N15" s="180" t="str">
        <f t="shared" si="1"/>
        <v>-</v>
      </c>
      <c r="O15" s="179"/>
      <c r="P15" s="163"/>
      <c r="Q15" s="180" t="str">
        <f t="shared" si="2"/>
        <v>-</v>
      </c>
      <c r="R15" s="58"/>
      <c r="S15" s="58"/>
      <c r="T15" s="58"/>
    </row>
    <row r="16" spans="1:23" ht="14.25" customHeight="1"/>
    <row r="17" spans="1:21" ht="14.25" customHeight="1"/>
    <row r="18" spans="1:21" ht="14.25" customHeight="1">
      <c r="A18" s="28" t="s">
        <v>161</v>
      </c>
      <c r="B18" s="45"/>
      <c r="C18" s="45"/>
      <c r="D18" s="45"/>
      <c r="E18" s="45"/>
      <c r="F18" s="48"/>
      <c r="G18" s="48"/>
      <c r="H18" s="28"/>
      <c r="I18" s="45"/>
      <c r="L18" s="46"/>
      <c r="M18" s="46"/>
      <c r="N18" s="46"/>
      <c r="O18" s="46"/>
      <c r="P18" s="46"/>
      <c r="Q18" s="46"/>
      <c r="R18" s="47"/>
      <c r="S18" s="47"/>
      <c r="T18" s="47"/>
    </row>
    <row r="19" spans="1:21" ht="14.25" customHeight="1">
      <c r="A19" s="359"/>
      <c r="B19" s="360"/>
      <c r="C19" s="360"/>
      <c r="D19" s="360"/>
      <c r="E19" s="360"/>
      <c r="F19" s="360"/>
      <c r="G19" s="360"/>
      <c r="H19" s="361"/>
      <c r="I19" s="371">
        <f>$I$6</f>
        <v>19</v>
      </c>
      <c r="J19" s="373">
        <f>$J$6</f>
        <v>18</v>
      </c>
      <c r="K19" s="17" t="s">
        <v>1</v>
      </c>
    </row>
    <row r="20" spans="1:21" ht="14.25" customHeight="1">
      <c r="A20" s="362"/>
      <c r="B20" s="363"/>
      <c r="C20" s="363"/>
      <c r="D20" s="363"/>
      <c r="E20" s="363"/>
      <c r="F20" s="363"/>
      <c r="G20" s="363"/>
      <c r="H20" s="364"/>
      <c r="I20" s="372"/>
      <c r="J20" s="374"/>
      <c r="K20" s="22" t="s">
        <v>3</v>
      </c>
    </row>
    <row r="21" spans="1:21" ht="14.25" customHeight="1">
      <c r="A21" s="369" t="s">
        <v>151</v>
      </c>
      <c r="B21" s="370"/>
      <c r="C21" s="370"/>
      <c r="D21" s="370"/>
      <c r="E21" s="370"/>
      <c r="F21" s="370"/>
      <c r="G21" s="375"/>
      <c r="H21" s="102" t="s">
        <v>165</v>
      </c>
      <c r="I21" s="172"/>
      <c r="J21" s="173"/>
      <c r="K21" s="170" t="str">
        <f t="shared" ref="K21:K26" si="3">IFERROR(100*(I21-J21)/J21,"-")</f>
        <v>-</v>
      </c>
    </row>
    <row r="22" spans="1:21" ht="14.25" customHeight="1">
      <c r="A22" s="367" t="s">
        <v>131</v>
      </c>
      <c r="B22" s="368"/>
      <c r="C22" s="368"/>
      <c r="D22" s="368"/>
      <c r="E22" s="368"/>
      <c r="F22" s="368"/>
      <c r="G22" s="389"/>
      <c r="H22" s="103" t="s">
        <v>166</v>
      </c>
      <c r="I22" s="175"/>
      <c r="J22" s="176"/>
      <c r="K22" s="170" t="str">
        <f t="shared" si="3"/>
        <v>-</v>
      </c>
    </row>
    <row r="23" spans="1:21" ht="14.25" customHeight="1">
      <c r="A23" s="367" t="s">
        <v>18</v>
      </c>
      <c r="B23" s="368"/>
      <c r="C23" s="368"/>
      <c r="D23" s="368"/>
      <c r="E23" s="368"/>
      <c r="F23" s="368"/>
      <c r="G23" s="389"/>
      <c r="H23" s="103" t="s">
        <v>166</v>
      </c>
      <c r="I23" s="175"/>
      <c r="J23" s="176"/>
      <c r="K23" s="170" t="str">
        <f t="shared" si="3"/>
        <v>-</v>
      </c>
    </row>
    <row r="24" spans="1:21" ht="14.25" customHeight="1">
      <c r="A24" s="367" t="s">
        <v>25</v>
      </c>
      <c r="B24" s="368"/>
      <c r="C24" s="368"/>
      <c r="D24" s="368"/>
      <c r="E24" s="368"/>
      <c r="F24" s="368"/>
      <c r="G24" s="368"/>
      <c r="H24" s="104" t="s">
        <v>166</v>
      </c>
      <c r="I24" s="175"/>
      <c r="J24" s="176"/>
      <c r="K24" s="170" t="str">
        <f t="shared" si="3"/>
        <v>-</v>
      </c>
    </row>
    <row r="25" spans="1:21" ht="14.25" customHeight="1">
      <c r="A25" s="367" t="s">
        <v>132</v>
      </c>
      <c r="B25" s="368"/>
      <c r="C25" s="368"/>
      <c r="D25" s="368"/>
      <c r="E25" s="368"/>
      <c r="F25" s="368"/>
      <c r="G25" s="368"/>
      <c r="H25" s="104" t="s">
        <v>166</v>
      </c>
      <c r="I25" s="175"/>
      <c r="J25" s="176"/>
      <c r="K25" s="170" t="str">
        <f t="shared" si="3"/>
        <v>-</v>
      </c>
      <c r="L25" s="66"/>
      <c r="M25" s="66"/>
      <c r="N25" s="69"/>
      <c r="O25" s="66"/>
      <c r="P25" s="66"/>
      <c r="Q25" s="69"/>
      <c r="R25" s="66"/>
      <c r="S25" s="66"/>
      <c r="T25" s="69"/>
      <c r="U25" s="23"/>
    </row>
    <row r="26" spans="1:21" ht="14.25" customHeight="1">
      <c r="A26" s="365" t="s">
        <v>133</v>
      </c>
      <c r="B26" s="366"/>
      <c r="C26" s="366"/>
      <c r="D26" s="366"/>
      <c r="E26" s="366"/>
      <c r="F26" s="366"/>
      <c r="G26" s="366"/>
      <c r="H26" s="105" t="s">
        <v>164</v>
      </c>
      <c r="I26" s="179"/>
      <c r="J26" s="163"/>
      <c r="K26" s="171" t="str">
        <f t="shared" si="3"/>
        <v>-</v>
      </c>
      <c r="L26" s="23"/>
      <c r="M26" s="23"/>
      <c r="N26" s="23"/>
      <c r="O26" s="23"/>
      <c r="P26" s="23"/>
      <c r="Q26" s="23"/>
      <c r="R26" s="66"/>
      <c r="S26" s="66"/>
      <c r="T26" s="69"/>
      <c r="U26" s="23"/>
    </row>
    <row r="27" spans="1:21" ht="14.25" customHeight="1">
      <c r="A27" s="23"/>
      <c r="B27" s="23"/>
      <c r="C27" s="23"/>
      <c r="D27" s="23"/>
      <c r="E27" s="23"/>
      <c r="F27" s="23"/>
      <c r="G27" s="23"/>
      <c r="H27" s="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1" ht="14.25" customHeight="1">
      <c r="A28" s="23"/>
      <c r="B28" s="23"/>
      <c r="C28" s="23"/>
      <c r="D28" s="23"/>
      <c r="E28" s="23"/>
      <c r="F28" s="23"/>
      <c r="G28" s="23"/>
      <c r="H28" s="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 ht="14.25" customHeight="1">
      <c r="A29" s="28" t="s">
        <v>162</v>
      </c>
      <c r="B29" s="45"/>
      <c r="C29" s="45"/>
      <c r="D29" s="45"/>
      <c r="E29" s="45"/>
      <c r="F29" s="48"/>
      <c r="G29" s="48"/>
      <c r="H29" s="28"/>
      <c r="I29" s="45"/>
      <c r="L29" s="46"/>
      <c r="M29" s="46"/>
      <c r="N29" s="46"/>
      <c r="O29" s="46"/>
      <c r="P29" s="46"/>
      <c r="Q29" s="46"/>
      <c r="R29" s="47"/>
      <c r="S29" s="47"/>
      <c r="T29" s="47"/>
    </row>
    <row r="30" spans="1:21" ht="14.25" customHeight="1">
      <c r="A30" s="359"/>
      <c r="B30" s="360"/>
      <c r="C30" s="360"/>
      <c r="D30" s="360"/>
      <c r="E30" s="360"/>
      <c r="F30" s="360"/>
      <c r="G30" s="360"/>
      <c r="H30" s="361"/>
      <c r="I30" s="371">
        <f>$I$6</f>
        <v>19</v>
      </c>
      <c r="J30" s="373">
        <f>$J$6</f>
        <v>18</v>
      </c>
      <c r="K30" s="17" t="s">
        <v>1</v>
      </c>
    </row>
    <row r="31" spans="1:21" ht="14.25" customHeight="1">
      <c r="A31" s="362"/>
      <c r="B31" s="363"/>
      <c r="C31" s="363"/>
      <c r="D31" s="363"/>
      <c r="E31" s="363"/>
      <c r="F31" s="363"/>
      <c r="G31" s="363"/>
      <c r="H31" s="364"/>
      <c r="I31" s="372"/>
      <c r="J31" s="374"/>
      <c r="K31" s="22" t="s">
        <v>3</v>
      </c>
    </row>
    <row r="32" spans="1:21" ht="14.25" customHeight="1">
      <c r="A32" s="369" t="s">
        <v>131</v>
      </c>
      <c r="B32" s="370"/>
      <c r="C32" s="370"/>
      <c r="D32" s="370"/>
      <c r="E32" s="370"/>
      <c r="F32" s="370"/>
      <c r="G32" s="370"/>
      <c r="H32" s="106" t="s">
        <v>165</v>
      </c>
      <c r="I32" s="172"/>
      <c r="J32" s="173"/>
      <c r="K32" s="170" t="str">
        <f t="shared" ref="K32:K36" si="4">IFERROR(100*(I32-J32)/J32,"-")</f>
        <v>-</v>
      </c>
    </row>
    <row r="33" spans="1:21" ht="14.25" customHeight="1">
      <c r="A33" s="367" t="s">
        <v>18</v>
      </c>
      <c r="B33" s="368"/>
      <c r="C33" s="368"/>
      <c r="D33" s="368"/>
      <c r="E33" s="368"/>
      <c r="F33" s="368"/>
      <c r="G33" s="368"/>
      <c r="H33" s="104" t="s">
        <v>166</v>
      </c>
      <c r="I33" s="175"/>
      <c r="J33" s="176"/>
      <c r="K33" s="170" t="str">
        <f t="shared" si="4"/>
        <v>-</v>
      </c>
    </row>
    <row r="34" spans="1:21" ht="14.25" customHeight="1">
      <c r="A34" s="367" t="s">
        <v>25</v>
      </c>
      <c r="B34" s="368"/>
      <c r="C34" s="368"/>
      <c r="D34" s="368"/>
      <c r="E34" s="368"/>
      <c r="F34" s="368"/>
      <c r="G34" s="368"/>
      <c r="H34" s="104" t="s">
        <v>166</v>
      </c>
      <c r="I34" s="175"/>
      <c r="J34" s="176"/>
      <c r="K34" s="170" t="str">
        <f t="shared" si="4"/>
        <v>-</v>
      </c>
    </row>
    <row r="35" spans="1:21" ht="14.25" customHeight="1">
      <c r="A35" s="367" t="s">
        <v>132</v>
      </c>
      <c r="B35" s="368"/>
      <c r="C35" s="368"/>
      <c r="D35" s="368"/>
      <c r="E35" s="368"/>
      <c r="F35" s="368"/>
      <c r="G35" s="368"/>
      <c r="H35" s="104" t="s">
        <v>166</v>
      </c>
      <c r="I35" s="175"/>
      <c r="J35" s="176"/>
      <c r="K35" s="170" t="str">
        <f t="shared" si="4"/>
        <v>-</v>
      </c>
      <c r="L35" s="66"/>
      <c r="M35" s="66"/>
      <c r="N35" s="69"/>
      <c r="O35" s="66"/>
      <c r="P35" s="66"/>
      <c r="Q35" s="69"/>
      <c r="R35" s="66"/>
      <c r="S35" s="66"/>
      <c r="T35" s="69"/>
      <c r="U35" s="23"/>
    </row>
    <row r="36" spans="1:21" ht="14.25" customHeight="1">
      <c r="A36" s="365" t="s">
        <v>133</v>
      </c>
      <c r="B36" s="366"/>
      <c r="C36" s="366"/>
      <c r="D36" s="366"/>
      <c r="E36" s="366"/>
      <c r="F36" s="366"/>
      <c r="G36" s="366"/>
      <c r="H36" s="105" t="s">
        <v>164</v>
      </c>
      <c r="I36" s="179"/>
      <c r="J36" s="163"/>
      <c r="K36" s="171" t="str">
        <f t="shared" si="4"/>
        <v>-</v>
      </c>
      <c r="L36" s="23"/>
      <c r="M36" s="23"/>
      <c r="N36" s="23"/>
      <c r="O36" s="23"/>
      <c r="P36" s="23"/>
      <c r="Q36" s="23"/>
      <c r="R36" s="66"/>
      <c r="S36" s="66"/>
      <c r="T36" s="69"/>
      <c r="U36" s="23"/>
    </row>
    <row r="37" spans="1:21" ht="14.25" customHeight="1">
      <c r="A37" s="23"/>
      <c r="B37" s="23"/>
      <c r="C37" s="23"/>
      <c r="D37" s="23"/>
      <c r="E37" s="23"/>
      <c r="F37" s="23"/>
      <c r="G37" s="23"/>
      <c r="H37" s="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 spans="1:21" ht="14.25" customHeight="1">
      <c r="A38" s="23"/>
      <c r="B38" s="23"/>
      <c r="C38" s="23"/>
      <c r="D38" s="23"/>
      <c r="E38" s="23"/>
      <c r="F38" s="23"/>
      <c r="G38" s="23"/>
      <c r="H38" s="3"/>
      <c r="I38" s="23"/>
      <c r="J38" s="23"/>
      <c r="K38" s="23"/>
      <c r="L38" s="23"/>
      <c r="M38" s="23"/>
      <c r="N38" s="23"/>
      <c r="O38" s="23"/>
      <c r="P38" s="23"/>
      <c r="Q38" s="23"/>
      <c r="R38" s="81"/>
      <c r="S38" s="81"/>
      <c r="T38" s="87"/>
      <c r="U38" s="23"/>
    </row>
    <row r="39" spans="1:21" ht="14.25" customHeight="1">
      <c r="A39" s="23"/>
      <c r="B39" s="23"/>
      <c r="C39" s="23"/>
      <c r="D39" s="23"/>
      <c r="E39" s="23"/>
      <c r="F39" s="23"/>
      <c r="G39" s="23"/>
      <c r="H39" s="3"/>
      <c r="I39" s="23"/>
      <c r="J39" s="23"/>
      <c r="K39" s="23"/>
      <c r="L39" s="23"/>
      <c r="M39" s="23"/>
      <c r="N39" s="23"/>
      <c r="O39" s="23"/>
      <c r="P39" s="23"/>
      <c r="Q39" s="23"/>
      <c r="R39" s="65"/>
      <c r="S39" s="65"/>
      <c r="T39" s="65"/>
      <c r="U39" s="23"/>
    </row>
    <row r="40" spans="1:21" ht="14.25" customHeight="1">
      <c r="A40" s="23"/>
      <c r="B40" s="23"/>
      <c r="C40" s="23"/>
      <c r="D40" s="23"/>
      <c r="E40" s="23"/>
      <c r="F40" s="23"/>
      <c r="G40" s="23"/>
      <c r="H40" s="3"/>
      <c r="I40" s="23"/>
      <c r="J40" s="23"/>
      <c r="K40" s="23"/>
      <c r="L40" s="23"/>
      <c r="M40" s="23"/>
      <c r="N40" s="23"/>
      <c r="O40" s="23"/>
      <c r="P40" s="23"/>
      <c r="Q40" s="23"/>
      <c r="R40" s="93"/>
      <c r="S40" s="93"/>
      <c r="T40" s="69"/>
      <c r="U40" s="23"/>
    </row>
    <row r="41" spans="1:21" ht="14.25" customHeight="1">
      <c r="A41" s="23"/>
      <c r="B41" s="23"/>
      <c r="C41" s="23"/>
      <c r="D41" s="23"/>
      <c r="E41" s="23"/>
      <c r="F41" s="23"/>
      <c r="G41" s="23"/>
      <c r="H41" s="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spans="1:21" ht="14.25" customHeight="1"/>
    <row r="43" spans="1:21" ht="14.25" customHeight="1">
      <c r="A43" s="70"/>
      <c r="B43" s="70"/>
      <c r="C43" s="70"/>
      <c r="D43" s="70"/>
      <c r="E43" s="70"/>
      <c r="F43" s="70"/>
      <c r="G43" s="70"/>
      <c r="H43" s="70"/>
      <c r="I43" s="66"/>
      <c r="J43" s="66"/>
      <c r="K43" s="69"/>
      <c r="L43" s="66"/>
      <c r="M43" s="66"/>
      <c r="N43" s="69"/>
      <c r="O43" s="66"/>
      <c r="P43" s="66"/>
      <c r="Q43" s="69"/>
      <c r="R43" s="66"/>
      <c r="S43" s="66"/>
      <c r="T43" s="69"/>
    </row>
    <row r="44" spans="1:21" ht="14.25" customHeight="1">
      <c r="A44" s="70"/>
      <c r="B44" s="70"/>
      <c r="C44" s="70"/>
      <c r="D44" s="70"/>
      <c r="E44" s="70"/>
      <c r="F44" s="70"/>
      <c r="G44" s="70"/>
      <c r="H44" s="72"/>
      <c r="I44" s="66"/>
      <c r="J44" s="66"/>
      <c r="K44" s="69"/>
      <c r="L44" s="66"/>
      <c r="M44" s="66"/>
      <c r="N44" s="69"/>
      <c r="O44" s="66"/>
      <c r="P44" s="66"/>
      <c r="Q44" s="69"/>
      <c r="R44" s="66"/>
      <c r="S44" s="66"/>
      <c r="T44" s="69"/>
    </row>
    <row r="48" spans="1:21" ht="15" customHeight="1">
      <c r="I48" s="348"/>
      <c r="J48" s="348"/>
      <c r="K48" s="348"/>
      <c r="L48" s="348"/>
      <c r="M48" s="348"/>
      <c r="N48" s="348"/>
      <c r="O48" s="348"/>
      <c r="P48" s="348"/>
      <c r="Q48" s="348"/>
      <c r="R48" s="377"/>
      <c r="S48" s="377"/>
      <c r="T48" s="377"/>
    </row>
    <row r="49" spans="9:20" ht="15" customHeight="1">
      <c r="I49" s="348"/>
      <c r="J49" s="348"/>
      <c r="K49" s="348"/>
      <c r="L49" s="348"/>
      <c r="M49" s="348"/>
      <c r="N49" s="348"/>
      <c r="O49" s="348"/>
      <c r="P49" s="348"/>
      <c r="Q49" s="348"/>
      <c r="R49" s="377"/>
      <c r="S49" s="377"/>
      <c r="T49" s="377"/>
    </row>
  </sheetData>
  <mergeCells count="46">
    <mergeCell ref="A25:G25"/>
    <mergeCell ref="A24:G24"/>
    <mergeCell ref="A23:G23"/>
    <mergeCell ref="A22:G22"/>
    <mergeCell ref="A30:H31"/>
    <mergeCell ref="A5:H7"/>
    <mergeCell ref="I5:K5"/>
    <mergeCell ref="L5:N5"/>
    <mergeCell ref="O5:Q5"/>
    <mergeCell ref="A8:B11"/>
    <mergeCell ref="C8:G8"/>
    <mergeCell ref="C9:G9"/>
    <mergeCell ref="C10:G10"/>
    <mergeCell ref="C11:G11"/>
    <mergeCell ref="R1:T1"/>
    <mergeCell ref="R2:T2"/>
    <mergeCell ref="O48:Q48"/>
    <mergeCell ref="R48:T49"/>
    <mergeCell ref="I49:K49"/>
    <mergeCell ref="L49:N49"/>
    <mergeCell ref="O49:Q49"/>
    <mergeCell ref="I48:K48"/>
    <mergeCell ref="P6:P7"/>
    <mergeCell ref="O6:O7"/>
    <mergeCell ref="M6:M7"/>
    <mergeCell ref="L6:L7"/>
    <mergeCell ref="J6:J7"/>
    <mergeCell ref="I6:I7"/>
    <mergeCell ref="I19:I20"/>
    <mergeCell ref="J19:J20"/>
    <mergeCell ref="A15:G15"/>
    <mergeCell ref="L48:N48"/>
    <mergeCell ref="A12:B14"/>
    <mergeCell ref="C12:G12"/>
    <mergeCell ref="C13:G13"/>
    <mergeCell ref="C14:G14"/>
    <mergeCell ref="A19:H20"/>
    <mergeCell ref="A36:G36"/>
    <mergeCell ref="A35:G35"/>
    <mergeCell ref="A34:G34"/>
    <mergeCell ref="A33:G33"/>
    <mergeCell ref="A32:G32"/>
    <mergeCell ref="I30:I31"/>
    <mergeCell ref="J30:J31"/>
    <mergeCell ref="A21:G21"/>
    <mergeCell ref="A26:G26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17.625" style="2" customWidth="1"/>
    <col min="7" max="8" width="11.75" style="2" customWidth="1"/>
    <col min="9" max="9" width="10.625" style="2" customWidth="1"/>
    <col min="10" max="11" width="11.75" style="2" customWidth="1"/>
    <col min="12" max="12" width="10.625" style="2" customWidth="1"/>
    <col min="13" max="13" width="4.125" style="23" customWidth="1"/>
    <col min="14" max="14" width="3.375" style="23" customWidth="1"/>
    <col min="15" max="16" width="9.625" style="23" customWidth="1"/>
    <col min="17" max="17" width="9.625" style="2" customWidth="1"/>
    <col min="18" max="19" width="6.875" style="2" customWidth="1"/>
    <col min="20" max="24" width="5.625" style="2" customWidth="1"/>
    <col min="25" max="16384" width="9" style="2"/>
  </cols>
  <sheetData>
    <row r="1" spans="1:24" ht="14.2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1"/>
      <c r="O1" s="376" t="s">
        <v>92</v>
      </c>
      <c r="P1" s="376"/>
      <c r="Q1" s="376"/>
    </row>
    <row r="2" spans="1:24" ht="15" customHeight="1">
      <c r="A2" s="1" t="s">
        <v>139</v>
      </c>
      <c r="B2" s="1"/>
      <c r="C2" s="1"/>
      <c r="D2" s="1"/>
      <c r="E2" s="1"/>
      <c r="F2" s="1"/>
      <c r="G2" s="1"/>
      <c r="H2" s="1"/>
      <c r="I2" s="1"/>
      <c r="J2" s="82"/>
      <c r="K2" s="82"/>
      <c r="O2" s="339" t="str">
        <f>IF(No.1!O2="","",No.1!O2)</f>
        <v/>
      </c>
      <c r="P2" s="340"/>
      <c r="Q2" s="341"/>
    </row>
    <row r="3" spans="1:24" ht="13.7" customHeight="1">
      <c r="A3" s="13"/>
      <c r="B3" s="13"/>
      <c r="C3" s="13"/>
      <c r="D3" s="13"/>
      <c r="E3" s="13"/>
      <c r="F3" s="13"/>
      <c r="G3" s="13"/>
      <c r="H3" s="13"/>
      <c r="I3" s="13"/>
      <c r="M3" s="2"/>
      <c r="N3" s="2"/>
      <c r="O3" s="2"/>
      <c r="P3" s="2"/>
      <c r="Q3" s="4"/>
    </row>
    <row r="4" spans="1:24" ht="14.1" customHeight="1">
      <c r="A4" s="5" t="s">
        <v>155</v>
      </c>
      <c r="K4" s="14"/>
      <c r="L4" s="14"/>
      <c r="M4" s="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1" customHeight="1">
      <c r="A5" s="298"/>
      <c r="B5" s="299"/>
      <c r="C5" s="299"/>
      <c r="D5" s="299"/>
      <c r="E5" s="299"/>
      <c r="F5" s="300"/>
      <c r="G5" s="411" t="s">
        <v>171</v>
      </c>
      <c r="H5" s="412"/>
      <c r="I5" s="413"/>
      <c r="J5" s="412" t="s">
        <v>37</v>
      </c>
      <c r="K5" s="412"/>
      <c r="L5" s="413"/>
      <c r="M5" s="89"/>
      <c r="N5" s="71"/>
      <c r="O5" s="71"/>
      <c r="P5" s="71"/>
      <c r="Q5" s="14"/>
      <c r="R5" s="14"/>
      <c r="S5" s="14"/>
      <c r="T5" s="14"/>
      <c r="U5" s="14"/>
    </row>
    <row r="6" spans="1:24" ht="14.1" customHeight="1">
      <c r="A6" s="408"/>
      <c r="B6" s="409"/>
      <c r="C6" s="409"/>
      <c r="D6" s="409"/>
      <c r="E6" s="409"/>
      <c r="F6" s="410"/>
      <c r="G6" s="113">
        <f>No.1!H5</f>
        <v>19</v>
      </c>
      <c r="H6" s="114">
        <f>G6-1</f>
        <v>18</v>
      </c>
      <c r="I6" s="32" t="s">
        <v>1</v>
      </c>
      <c r="J6" s="115">
        <f>G6</f>
        <v>19</v>
      </c>
      <c r="K6" s="114">
        <f>H6</f>
        <v>18</v>
      </c>
      <c r="L6" s="32" t="s">
        <v>1</v>
      </c>
      <c r="M6" s="71"/>
      <c r="N6" s="71"/>
      <c r="O6" s="71"/>
      <c r="P6" s="71"/>
      <c r="Q6" s="14"/>
      <c r="R6" s="14"/>
      <c r="S6" s="14"/>
      <c r="T6" s="14"/>
      <c r="U6" s="14"/>
    </row>
    <row r="7" spans="1:24" ht="14.1" customHeight="1">
      <c r="A7" s="301"/>
      <c r="B7" s="302"/>
      <c r="C7" s="302"/>
      <c r="D7" s="302"/>
      <c r="E7" s="302"/>
      <c r="F7" s="303"/>
      <c r="G7" s="7" t="s">
        <v>38</v>
      </c>
      <c r="H7" s="33" t="s">
        <v>38</v>
      </c>
      <c r="I7" s="36" t="s">
        <v>137</v>
      </c>
      <c r="J7" s="37" t="s">
        <v>39</v>
      </c>
      <c r="K7" s="8" t="s">
        <v>2</v>
      </c>
      <c r="L7" s="9" t="s">
        <v>137</v>
      </c>
      <c r="M7" s="71"/>
      <c r="N7" s="71"/>
      <c r="O7" s="71"/>
      <c r="P7" s="71"/>
      <c r="Q7" s="14"/>
      <c r="R7" s="14"/>
      <c r="S7" s="14"/>
      <c r="T7" s="14"/>
      <c r="U7" s="14"/>
    </row>
    <row r="8" spans="1:24" ht="14.1" customHeight="1">
      <c r="A8" s="333" t="s">
        <v>174</v>
      </c>
      <c r="B8" s="334"/>
      <c r="C8" s="334"/>
      <c r="D8" s="334"/>
      <c r="E8" s="334"/>
      <c r="F8" s="334"/>
      <c r="G8" s="120"/>
      <c r="H8" s="121"/>
      <c r="I8" s="124"/>
      <c r="J8" s="181"/>
      <c r="K8" s="151"/>
      <c r="L8" s="182" t="str">
        <f>IFERROR(100*(J8-K8)/K8,"-")</f>
        <v>-</v>
      </c>
      <c r="M8" s="89"/>
      <c r="N8" s="89"/>
      <c r="O8" s="89"/>
      <c r="P8" s="89"/>
    </row>
    <row r="9" spans="1:24" ht="14.1" customHeight="1">
      <c r="A9" s="76"/>
      <c r="B9" s="336" t="s">
        <v>175</v>
      </c>
      <c r="C9" s="337"/>
      <c r="D9" s="337"/>
      <c r="E9" s="337"/>
      <c r="F9" s="337"/>
      <c r="G9" s="116"/>
      <c r="H9" s="117"/>
      <c r="I9" s="125"/>
      <c r="J9" s="181"/>
      <c r="K9" s="151"/>
      <c r="L9" s="183" t="str">
        <f t="shared" ref="L9:L44" si="0">IFERROR(100*(J9-K9)/K9,"-")</f>
        <v>-</v>
      </c>
      <c r="M9" s="89"/>
      <c r="N9" s="89"/>
    </row>
    <row r="10" spans="1:24" ht="14.1" customHeight="1">
      <c r="A10" s="34"/>
      <c r="B10" s="77"/>
      <c r="C10" s="38"/>
      <c r="D10" s="315" t="s">
        <v>67</v>
      </c>
      <c r="E10" s="316"/>
      <c r="F10" s="317"/>
      <c r="G10" s="116"/>
      <c r="H10" s="117"/>
      <c r="I10" s="125"/>
      <c r="J10" s="181"/>
      <c r="K10" s="151"/>
      <c r="L10" s="183" t="str">
        <f t="shared" si="0"/>
        <v>-</v>
      </c>
      <c r="M10" s="89"/>
      <c r="N10" s="89"/>
    </row>
    <row r="11" spans="1:24" ht="14.1" customHeight="1">
      <c r="A11" s="76"/>
      <c r="B11" s="77"/>
      <c r="C11" s="315" t="s">
        <v>182</v>
      </c>
      <c r="D11" s="316"/>
      <c r="E11" s="316"/>
      <c r="F11" s="316"/>
      <c r="G11" s="116"/>
      <c r="H11" s="117"/>
      <c r="I11" s="125"/>
      <c r="J11" s="181"/>
      <c r="K11" s="151"/>
      <c r="L11" s="183" t="str">
        <f t="shared" si="0"/>
        <v>-</v>
      </c>
      <c r="M11" s="89"/>
      <c r="N11" s="89"/>
      <c r="O11" s="89"/>
      <c r="P11" s="89"/>
    </row>
    <row r="12" spans="1:24" ht="14.1" customHeight="1">
      <c r="A12" s="76"/>
      <c r="B12" s="77"/>
      <c r="C12" s="315" t="s">
        <v>40</v>
      </c>
      <c r="D12" s="316"/>
      <c r="E12" s="316"/>
      <c r="F12" s="316"/>
      <c r="G12" s="116"/>
      <c r="H12" s="117"/>
      <c r="I12" s="125"/>
      <c r="J12" s="181"/>
      <c r="K12" s="151"/>
      <c r="L12" s="183" t="str">
        <f t="shared" si="0"/>
        <v>-</v>
      </c>
      <c r="M12" s="89"/>
      <c r="N12" s="89"/>
      <c r="O12" s="89"/>
      <c r="P12" s="89"/>
    </row>
    <row r="13" spans="1:24" ht="14.1" customHeight="1">
      <c r="A13" s="76"/>
      <c r="B13" s="77"/>
      <c r="C13" s="315" t="s">
        <v>41</v>
      </c>
      <c r="D13" s="316"/>
      <c r="E13" s="316"/>
      <c r="F13" s="316"/>
      <c r="G13" s="116"/>
      <c r="H13" s="117"/>
      <c r="I13" s="125"/>
      <c r="J13" s="181"/>
      <c r="K13" s="151"/>
      <c r="L13" s="183" t="str">
        <f t="shared" si="0"/>
        <v>-</v>
      </c>
      <c r="M13" s="89"/>
      <c r="N13" s="89"/>
      <c r="O13" s="89"/>
      <c r="P13" s="89"/>
    </row>
    <row r="14" spans="1:24" ht="14.1" customHeight="1">
      <c r="A14" s="76"/>
      <c r="B14" s="77"/>
      <c r="C14" s="315" t="s">
        <v>42</v>
      </c>
      <c r="D14" s="316"/>
      <c r="E14" s="316"/>
      <c r="F14" s="316"/>
      <c r="G14" s="116"/>
      <c r="H14" s="117"/>
      <c r="I14" s="125"/>
      <c r="J14" s="181"/>
      <c r="K14" s="151"/>
      <c r="L14" s="183" t="str">
        <f t="shared" si="0"/>
        <v>-</v>
      </c>
      <c r="M14" s="89"/>
      <c r="N14" s="89"/>
      <c r="O14" s="89"/>
      <c r="P14" s="89"/>
    </row>
    <row r="15" spans="1:24" ht="14.1" customHeight="1">
      <c r="A15" s="34"/>
      <c r="B15" s="77"/>
      <c r="C15" s="405" t="s">
        <v>43</v>
      </c>
      <c r="D15" s="406"/>
      <c r="E15" s="406"/>
      <c r="F15" s="407"/>
      <c r="G15" s="116"/>
      <c r="H15" s="117"/>
      <c r="I15" s="125"/>
      <c r="J15" s="181"/>
      <c r="K15" s="151"/>
      <c r="L15" s="183" t="str">
        <f t="shared" si="0"/>
        <v>-</v>
      </c>
      <c r="M15" s="89"/>
      <c r="N15" s="89"/>
      <c r="O15" s="89"/>
      <c r="P15" s="89"/>
    </row>
    <row r="16" spans="1:24" ht="14.1" customHeight="1">
      <c r="A16" s="34"/>
      <c r="B16" s="77"/>
      <c r="C16" s="315" t="s">
        <v>44</v>
      </c>
      <c r="D16" s="316"/>
      <c r="E16" s="316"/>
      <c r="F16" s="316"/>
      <c r="G16" s="116"/>
      <c r="H16" s="117"/>
      <c r="I16" s="125"/>
      <c r="J16" s="181"/>
      <c r="K16" s="151"/>
      <c r="L16" s="183" t="str">
        <f t="shared" si="0"/>
        <v>-</v>
      </c>
      <c r="M16" s="89"/>
      <c r="N16" s="89"/>
      <c r="O16" s="89"/>
      <c r="P16" s="89"/>
    </row>
    <row r="17" spans="1:16" ht="14.1" customHeight="1">
      <c r="A17" s="76"/>
      <c r="B17" s="77"/>
      <c r="C17" s="315" t="s">
        <v>45</v>
      </c>
      <c r="D17" s="316"/>
      <c r="E17" s="316"/>
      <c r="F17" s="317"/>
      <c r="G17" s="116"/>
      <c r="H17" s="117"/>
      <c r="I17" s="125"/>
      <c r="J17" s="181"/>
      <c r="K17" s="151"/>
      <c r="L17" s="183" t="str">
        <f t="shared" si="0"/>
        <v>-</v>
      </c>
      <c r="M17" s="89"/>
      <c r="N17" s="89"/>
      <c r="O17" s="89"/>
      <c r="P17" s="89"/>
    </row>
    <row r="18" spans="1:16" ht="14.1" customHeight="1">
      <c r="A18" s="34"/>
      <c r="B18" s="77"/>
      <c r="C18" s="315" t="s">
        <v>35</v>
      </c>
      <c r="D18" s="316"/>
      <c r="E18" s="316"/>
      <c r="F18" s="317"/>
      <c r="G18" s="116"/>
      <c r="H18" s="117"/>
      <c r="I18" s="125"/>
      <c r="J18" s="181"/>
      <c r="K18" s="151"/>
      <c r="L18" s="183" t="str">
        <f t="shared" si="0"/>
        <v>-</v>
      </c>
      <c r="M18" s="89"/>
      <c r="N18" s="71"/>
      <c r="O18" s="71"/>
      <c r="P18" s="71"/>
    </row>
    <row r="19" spans="1:16" ht="14.1" customHeight="1">
      <c r="A19" s="34"/>
      <c r="B19" s="336" t="s">
        <v>46</v>
      </c>
      <c r="C19" s="337"/>
      <c r="D19" s="337"/>
      <c r="E19" s="337"/>
      <c r="F19" s="337"/>
      <c r="G19" s="116"/>
      <c r="H19" s="117"/>
      <c r="I19" s="125"/>
      <c r="J19" s="181"/>
      <c r="K19" s="151"/>
      <c r="L19" s="183" t="str">
        <f t="shared" si="0"/>
        <v>-</v>
      </c>
      <c r="M19" s="89"/>
      <c r="N19" s="89"/>
      <c r="O19" s="89"/>
      <c r="P19" s="89"/>
    </row>
    <row r="20" spans="1:16" ht="14.1" customHeight="1">
      <c r="A20" s="34"/>
      <c r="B20" s="90"/>
      <c r="C20" s="38"/>
      <c r="D20" s="315" t="s">
        <v>67</v>
      </c>
      <c r="E20" s="316"/>
      <c r="F20" s="317"/>
      <c r="G20" s="116"/>
      <c r="H20" s="117"/>
      <c r="I20" s="125"/>
      <c r="J20" s="181"/>
      <c r="K20" s="151"/>
      <c r="L20" s="183" t="str">
        <f t="shared" si="0"/>
        <v>-</v>
      </c>
      <c r="M20" s="75"/>
      <c r="N20" s="75"/>
      <c r="O20" s="75"/>
      <c r="P20" s="75"/>
    </row>
    <row r="21" spans="1:16" ht="14.1" customHeight="1">
      <c r="A21" s="34"/>
      <c r="B21" s="77"/>
      <c r="C21" s="315" t="s">
        <v>146</v>
      </c>
      <c r="D21" s="316"/>
      <c r="E21" s="316"/>
      <c r="F21" s="316"/>
      <c r="G21" s="184"/>
      <c r="H21" s="185"/>
      <c r="I21" s="183" t="str">
        <f>IFERROR(100*(G21-H21)/H21,"-")</f>
        <v>-</v>
      </c>
      <c r="J21" s="181"/>
      <c r="K21" s="151"/>
      <c r="L21" s="183" t="str">
        <f t="shared" si="0"/>
        <v>-</v>
      </c>
      <c r="M21" s="89"/>
      <c r="N21" s="89"/>
      <c r="O21" s="89"/>
      <c r="P21" s="89"/>
    </row>
    <row r="22" spans="1:16" ht="14.1" customHeight="1">
      <c r="A22" s="34"/>
      <c r="B22" s="77"/>
      <c r="C22" s="315" t="s">
        <v>35</v>
      </c>
      <c r="D22" s="316"/>
      <c r="E22" s="316"/>
      <c r="F22" s="316"/>
      <c r="G22" s="116"/>
      <c r="H22" s="117"/>
      <c r="I22" s="125"/>
      <c r="J22" s="181"/>
      <c r="K22" s="151"/>
      <c r="L22" s="183" t="str">
        <f t="shared" si="0"/>
        <v>-</v>
      </c>
      <c r="M22" s="89"/>
      <c r="N22" s="89"/>
      <c r="O22" s="89"/>
      <c r="P22" s="89"/>
    </row>
    <row r="23" spans="1:16" ht="14.1" customHeight="1">
      <c r="A23" s="34"/>
      <c r="B23" s="336" t="s">
        <v>47</v>
      </c>
      <c r="C23" s="337"/>
      <c r="D23" s="337"/>
      <c r="E23" s="337"/>
      <c r="F23" s="337"/>
      <c r="G23" s="116"/>
      <c r="H23" s="117"/>
      <c r="I23" s="125"/>
      <c r="J23" s="181"/>
      <c r="K23" s="151"/>
      <c r="L23" s="183" t="str">
        <f t="shared" si="0"/>
        <v>-</v>
      </c>
      <c r="M23" s="89"/>
      <c r="N23" s="89"/>
      <c r="O23" s="89"/>
      <c r="P23" s="89"/>
    </row>
    <row r="24" spans="1:16" ht="14.1" customHeight="1">
      <c r="A24" s="39"/>
      <c r="B24" s="90"/>
      <c r="C24" s="38"/>
      <c r="D24" s="315" t="s">
        <v>67</v>
      </c>
      <c r="E24" s="316"/>
      <c r="F24" s="317"/>
      <c r="G24" s="118"/>
      <c r="H24" s="119"/>
      <c r="I24" s="126"/>
      <c r="J24" s="181"/>
      <c r="K24" s="153"/>
      <c r="L24" s="186" t="str">
        <f t="shared" si="0"/>
        <v>-</v>
      </c>
      <c r="M24" s="75"/>
      <c r="N24" s="75"/>
      <c r="O24" s="75"/>
      <c r="P24" s="75"/>
    </row>
    <row r="25" spans="1:16" ht="14.1" customHeight="1">
      <c r="A25" s="76"/>
      <c r="B25" s="40"/>
      <c r="C25" s="396" t="s">
        <v>160</v>
      </c>
      <c r="D25" s="397"/>
      <c r="E25" s="398"/>
      <c r="F25" s="74" t="s">
        <v>48</v>
      </c>
      <c r="G25" s="184"/>
      <c r="H25" s="185"/>
      <c r="I25" s="183" t="str">
        <f t="shared" ref="I25:I41" si="1">IFERROR(100*(G25-H25)/H25,"-")</f>
        <v>-</v>
      </c>
      <c r="J25" s="181"/>
      <c r="K25" s="151"/>
      <c r="L25" s="183" t="str">
        <f t="shared" si="0"/>
        <v>-</v>
      </c>
      <c r="M25" s="89"/>
      <c r="N25" s="89"/>
      <c r="O25" s="89"/>
      <c r="P25" s="89"/>
    </row>
    <row r="26" spans="1:16" ht="14.1" customHeight="1">
      <c r="A26" s="76"/>
      <c r="B26" s="40"/>
      <c r="C26" s="399"/>
      <c r="D26" s="400"/>
      <c r="E26" s="401"/>
      <c r="F26" s="86" t="s">
        <v>49</v>
      </c>
      <c r="G26" s="184"/>
      <c r="H26" s="187"/>
      <c r="I26" s="183" t="str">
        <f t="shared" si="1"/>
        <v>-</v>
      </c>
      <c r="J26" s="181"/>
      <c r="K26" s="151"/>
      <c r="L26" s="183" t="str">
        <f t="shared" si="0"/>
        <v>-</v>
      </c>
      <c r="M26" s="89"/>
      <c r="N26" s="89"/>
      <c r="O26" s="89"/>
      <c r="P26" s="89"/>
    </row>
    <row r="27" spans="1:16" ht="14.1" customHeight="1">
      <c r="A27" s="76"/>
      <c r="B27" s="41"/>
      <c r="C27" s="402"/>
      <c r="D27" s="403"/>
      <c r="E27" s="404"/>
      <c r="F27" s="74" t="s">
        <v>50</v>
      </c>
      <c r="G27" s="184"/>
      <c r="H27" s="187"/>
      <c r="I27" s="183" t="str">
        <f t="shared" si="1"/>
        <v>-</v>
      </c>
      <c r="J27" s="181"/>
      <c r="K27" s="151"/>
      <c r="L27" s="183" t="str">
        <f t="shared" si="0"/>
        <v>-</v>
      </c>
      <c r="M27" s="89"/>
      <c r="N27" s="71"/>
      <c r="O27" s="71"/>
      <c r="P27" s="71"/>
    </row>
    <row r="28" spans="1:16" ht="14.1" customHeight="1">
      <c r="A28" s="39"/>
      <c r="B28" s="42"/>
      <c r="C28" s="315" t="s">
        <v>65</v>
      </c>
      <c r="D28" s="316"/>
      <c r="E28" s="316"/>
      <c r="F28" s="316"/>
      <c r="G28" s="184"/>
      <c r="H28" s="187"/>
      <c r="I28" s="183" t="str">
        <f t="shared" si="1"/>
        <v>-</v>
      </c>
      <c r="J28" s="181"/>
      <c r="K28" s="151"/>
      <c r="L28" s="183" t="str">
        <f t="shared" si="0"/>
        <v>-</v>
      </c>
      <c r="M28" s="89"/>
      <c r="N28" s="71"/>
      <c r="O28" s="71"/>
      <c r="P28" s="71"/>
    </row>
    <row r="29" spans="1:16" ht="14.1" customHeight="1">
      <c r="A29" s="39"/>
      <c r="B29" s="42"/>
      <c r="C29" s="315" t="s">
        <v>66</v>
      </c>
      <c r="D29" s="316"/>
      <c r="E29" s="316"/>
      <c r="F29" s="316"/>
      <c r="G29" s="184"/>
      <c r="H29" s="187"/>
      <c r="I29" s="183" t="str">
        <f t="shared" si="1"/>
        <v>-</v>
      </c>
      <c r="J29" s="181"/>
      <c r="K29" s="151"/>
      <c r="L29" s="183" t="str">
        <f t="shared" si="0"/>
        <v>-</v>
      </c>
      <c r="M29" s="89"/>
      <c r="N29" s="89"/>
      <c r="O29" s="89"/>
      <c r="P29" s="89"/>
    </row>
    <row r="30" spans="1:16" ht="14.1" customHeight="1">
      <c r="A30" s="39"/>
      <c r="B30" s="42"/>
      <c r="C30" s="315" t="s">
        <v>51</v>
      </c>
      <c r="D30" s="316"/>
      <c r="E30" s="316"/>
      <c r="F30" s="316"/>
      <c r="G30" s="184"/>
      <c r="H30" s="185"/>
      <c r="I30" s="183" t="str">
        <f t="shared" si="1"/>
        <v>-</v>
      </c>
      <c r="J30" s="181"/>
      <c r="K30" s="151"/>
      <c r="L30" s="183" t="str">
        <f t="shared" si="0"/>
        <v>-</v>
      </c>
      <c r="M30" s="89"/>
      <c r="N30" s="89"/>
      <c r="O30" s="89"/>
      <c r="P30" s="89"/>
    </row>
    <row r="31" spans="1:16" ht="14.1" customHeight="1">
      <c r="A31" s="39"/>
      <c r="B31" s="42"/>
      <c r="C31" s="315" t="s">
        <v>52</v>
      </c>
      <c r="D31" s="316"/>
      <c r="E31" s="316"/>
      <c r="F31" s="316"/>
      <c r="G31" s="184"/>
      <c r="H31" s="185"/>
      <c r="I31" s="183" t="str">
        <f t="shared" si="1"/>
        <v>-</v>
      </c>
      <c r="J31" s="181"/>
      <c r="K31" s="151"/>
      <c r="L31" s="183" t="str">
        <f t="shared" si="0"/>
        <v>-</v>
      </c>
      <c r="M31" s="89"/>
      <c r="N31" s="89"/>
      <c r="O31" s="89"/>
      <c r="P31" s="89"/>
    </row>
    <row r="32" spans="1:16" ht="14.1" customHeight="1">
      <c r="A32" s="39"/>
      <c r="B32" s="42"/>
      <c r="C32" s="315" t="s">
        <v>53</v>
      </c>
      <c r="D32" s="316"/>
      <c r="E32" s="316"/>
      <c r="F32" s="316"/>
      <c r="G32" s="184"/>
      <c r="H32" s="185"/>
      <c r="I32" s="183" t="str">
        <f t="shared" si="1"/>
        <v>-</v>
      </c>
      <c r="J32" s="181"/>
      <c r="K32" s="151"/>
      <c r="L32" s="183" t="str">
        <f t="shared" si="0"/>
        <v>-</v>
      </c>
      <c r="M32" s="89"/>
      <c r="N32" s="89"/>
      <c r="O32" s="89"/>
      <c r="P32" s="89"/>
    </row>
    <row r="33" spans="1:16" ht="14.1" customHeight="1">
      <c r="A33" s="39"/>
      <c r="B33" s="42"/>
      <c r="C33" s="336" t="s">
        <v>181</v>
      </c>
      <c r="D33" s="337"/>
      <c r="E33" s="337"/>
      <c r="F33" s="337"/>
      <c r="G33" s="184"/>
      <c r="H33" s="185"/>
      <c r="I33" s="183" t="str">
        <f t="shared" si="1"/>
        <v>-</v>
      </c>
      <c r="J33" s="181"/>
      <c r="K33" s="151"/>
      <c r="L33" s="183" t="str">
        <f t="shared" si="0"/>
        <v>-</v>
      </c>
      <c r="M33" s="89"/>
      <c r="N33" s="89"/>
      <c r="O33" s="89"/>
      <c r="P33" s="89"/>
    </row>
    <row r="34" spans="1:16" ht="14.1" customHeight="1">
      <c r="A34" s="39"/>
      <c r="B34" s="42"/>
      <c r="C34" s="315" t="s">
        <v>54</v>
      </c>
      <c r="D34" s="316"/>
      <c r="E34" s="316"/>
      <c r="F34" s="316"/>
      <c r="G34" s="184"/>
      <c r="H34" s="187"/>
      <c r="I34" s="183" t="str">
        <f t="shared" si="1"/>
        <v>-</v>
      </c>
      <c r="J34" s="181"/>
      <c r="K34" s="151"/>
      <c r="L34" s="183" t="str">
        <f t="shared" si="0"/>
        <v>-</v>
      </c>
      <c r="M34" s="75"/>
      <c r="N34" s="75"/>
      <c r="O34" s="75"/>
      <c r="P34" s="75"/>
    </row>
    <row r="35" spans="1:16" ht="14.1" customHeight="1">
      <c r="A35" s="76"/>
      <c r="B35" s="43"/>
      <c r="C35" s="392" t="s">
        <v>140</v>
      </c>
      <c r="D35" s="392"/>
      <c r="E35" s="393"/>
      <c r="F35" s="74" t="s">
        <v>55</v>
      </c>
      <c r="G35" s="184"/>
      <c r="H35" s="185"/>
      <c r="I35" s="183" t="str">
        <f t="shared" si="1"/>
        <v>-</v>
      </c>
      <c r="J35" s="181"/>
      <c r="K35" s="151"/>
      <c r="L35" s="183" t="str">
        <f t="shared" si="0"/>
        <v>-</v>
      </c>
      <c r="M35" s="89"/>
      <c r="N35" s="71"/>
      <c r="O35" s="71"/>
      <c r="P35" s="71"/>
    </row>
    <row r="36" spans="1:16" ht="14.1" customHeight="1">
      <c r="A36" s="76"/>
      <c r="B36" s="44"/>
      <c r="C36" s="394"/>
      <c r="D36" s="394"/>
      <c r="E36" s="395"/>
      <c r="F36" s="74" t="s">
        <v>56</v>
      </c>
      <c r="G36" s="184"/>
      <c r="H36" s="185"/>
      <c r="I36" s="183" t="str">
        <f t="shared" si="1"/>
        <v>-</v>
      </c>
      <c r="J36" s="181"/>
      <c r="K36" s="151"/>
      <c r="L36" s="183" t="str">
        <f t="shared" si="0"/>
        <v>-</v>
      </c>
      <c r="M36" s="89"/>
      <c r="N36" s="89"/>
      <c r="O36" s="89"/>
      <c r="P36" s="89"/>
    </row>
    <row r="37" spans="1:16" ht="14.1" customHeight="1">
      <c r="A37" s="39"/>
      <c r="B37" s="42"/>
      <c r="C37" s="315" t="s">
        <v>57</v>
      </c>
      <c r="D37" s="316"/>
      <c r="E37" s="316"/>
      <c r="F37" s="316"/>
      <c r="G37" s="184"/>
      <c r="H37" s="185"/>
      <c r="I37" s="183" t="str">
        <f t="shared" si="1"/>
        <v>-</v>
      </c>
      <c r="J37" s="181"/>
      <c r="K37" s="151"/>
      <c r="L37" s="186" t="str">
        <f t="shared" si="0"/>
        <v>-</v>
      </c>
      <c r="M37" s="89"/>
      <c r="N37" s="89"/>
      <c r="O37" s="89"/>
      <c r="P37" s="89"/>
    </row>
    <row r="38" spans="1:16" ht="14.1" customHeight="1">
      <c r="A38" s="39"/>
      <c r="B38" s="42"/>
      <c r="C38" s="315" t="s">
        <v>58</v>
      </c>
      <c r="D38" s="316"/>
      <c r="E38" s="316"/>
      <c r="F38" s="316"/>
      <c r="G38" s="184"/>
      <c r="H38" s="185"/>
      <c r="I38" s="183" t="str">
        <f t="shared" si="1"/>
        <v>-</v>
      </c>
      <c r="J38" s="181"/>
      <c r="K38" s="151"/>
      <c r="L38" s="183" t="str">
        <f t="shared" si="0"/>
        <v>-</v>
      </c>
      <c r="M38" s="89"/>
      <c r="N38" s="89"/>
      <c r="O38" s="89"/>
      <c r="P38" s="89"/>
    </row>
    <row r="39" spans="1:16" ht="14.1" customHeight="1">
      <c r="A39" s="39"/>
      <c r="B39" s="42"/>
      <c r="C39" s="315" t="s">
        <v>59</v>
      </c>
      <c r="D39" s="316"/>
      <c r="E39" s="316"/>
      <c r="F39" s="316"/>
      <c r="G39" s="184"/>
      <c r="H39" s="185"/>
      <c r="I39" s="183" t="str">
        <f t="shared" si="1"/>
        <v>-</v>
      </c>
      <c r="J39" s="181"/>
      <c r="K39" s="151"/>
      <c r="L39" s="183" t="str">
        <f t="shared" si="0"/>
        <v>-</v>
      </c>
      <c r="M39" s="89"/>
      <c r="N39" s="89"/>
      <c r="O39" s="89"/>
      <c r="P39" s="89"/>
    </row>
    <row r="40" spans="1:16" ht="14.1" customHeight="1">
      <c r="A40" s="39"/>
      <c r="B40" s="42"/>
      <c r="C40" s="315" t="s">
        <v>60</v>
      </c>
      <c r="D40" s="316"/>
      <c r="E40" s="316"/>
      <c r="F40" s="316"/>
      <c r="G40" s="184"/>
      <c r="H40" s="185"/>
      <c r="I40" s="183" t="str">
        <f t="shared" si="1"/>
        <v>-</v>
      </c>
      <c r="J40" s="181"/>
      <c r="K40" s="151"/>
      <c r="L40" s="183" t="str">
        <f t="shared" si="0"/>
        <v>-</v>
      </c>
      <c r="M40" s="89"/>
      <c r="N40" s="89"/>
      <c r="O40" s="89"/>
      <c r="P40" s="89"/>
    </row>
    <row r="41" spans="1:16" ht="14.1" customHeight="1">
      <c r="A41" s="39"/>
      <c r="B41" s="42"/>
      <c r="C41" s="390" t="s">
        <v>141</v>
      </c>
      <c r="D41" s="391"/>
      <c r="E41" s="391"/>
      <c r="F41" s="391"/>
      <c r="G41" s="184"/>
      <c r="H41" s="185"/>
      <c r="I41" s="183" t="str">
        <f t="shared" si="1"/>
        <v>-</v>
      </c>
      <c r="J41" s="181"/>
      <c r="K41" s="151"/>
      <c r="L41" s="183" t="str">
        <f t="shared" si="0"/>
        <v>-</v>
      </c>
      <c r="M41" s="89"/>
      <c r="N41" s="89"/>
      <c r="O41" s="89"/>
      <c r="P41" s="89"/>
    </row>
    <row r="42" spans="1:16" ht="14.1" customHeight="1">
      <c r="A42" s="39"/>
      <c r="B42" s="42"/>
      <c r="C42" s="390" t="s">
        <v>35</v>
      </c>
      <c r="D42" s="391"/>
      <c r="E42" s="391"/>
      <c r="F42" s="391"/>
      <c r="G42" s="116"/>
      <c r="H42" s="117"/>
      <c r="I42" s="125"/>
      <c r="J42" s="181"/>
      <c r="K42" s="151"/>
      <c r="L42" s="183" t="str">
        <f t="shared" si="0"/>
        <v>-</v>
      </c>
      <c r="M42" s="89"/>
      <c r="N42" s="89"/>
      <c r="O42" s="89"/>
      <c r="P42" s="89"/>
    </row>
    <row r="43" spans="1:16" ht="14.1" customHeight="1">
      <c r="A43" s="34"/>
      <c r="B43" s="336" t="s">
        <v>61</v>
      </c>
      <c r="C43" s="337"/>
      <c r="D43" s="337"/>
      <c r="E43" s="337"/>
      <c r="F43" s="337"/>
      <c r="G43" s="116"/>
      <c r="H43" s="117"/>
      <c r="I43" s="125"/>
      <c r="J43" s="181"/>
      <c r="K43" s="151"/>
      <c r="L43" s="183" t="str">
        <f t="shared" si="0"/>
        <v>-</v>
      </c>
      <c r="M43" s="89"/>
      <c r="N43" s="89"/>
      <c r="O43" s="89"/>
      <c r="P43" s="89"/>
    </row>
    <row r="44" spans="1:16" ht="13.7" customHeight="1">
      <c r="A44" s="10"/>
      <c r="B44" s="11"/>
      <c r="C44" s="95"/>
      <c r="D44" s="329" t="s">
        <v>67</v>
      </c>
      <c r="E44" s="308"/>
      <c r="F44" s="309"/>
      <c r="G44" s="122"/>
      <c r="H44" s="123"/>
      <c r="I44" s="127"/>
      <c r="J44" s="188"/>
      <c r="K44" s="189"/>
      <c r="L44" s="190" t="str">
        <f t="shared" si="0"/>
        <v>-</v>
      </c>
    </row>
    <row r="45" spans="1:16" ht="13.7" customHeight="1"/>
    <row r="46" spans="1:16" ht="13.7" customHeight="1"/>
    <row r="47" spans="1:16" ht="13.7" customHeight="1"/>
    <row r="48" spans="1:16" ht="13.7" customHeight="1"/>
    <row r="49" ht="13.7" customHeight="1"/>
    <row r="50" ht="13.7" customHeight="1"/>
    <row r="51" ht="13.7" customHeight="1"/>
    <row r="52" ht="13.7" customHeight="1"/>
  </sheetData>
  <mergeCells count="39">
    <mergeCell ref="A5:F7"/>
    <mergeCell ref="G5:I5"/>
    <mergeCell ref="J5:L5"/>
    <mergeCell ref="A8:F8"/>
    <mergeCell ref="C12:F12"/>
    <mergeCell ref="C13:F13"/>
    <mergeCell ref="C14:F14"/>
    <mergeCell ref="B9:F9"/>
    <mergeCell ref="C11:F11"/>
    <mergeCell ref="D10:F10"/>
    <mergeCell ref="C18:F18"/>
    <mergeCell ref="B19:F19"/>
    <mergeCell ref="C21:F21"/>
    <mergeCell ref="C15:F15"/>
    <mergeCell ref="C16:F16"/>
    <mergeCell ref="C17:F17"/>
    <mergeCell ref="D20:F20"/>
    <mergeCell ref="C29:F29"/>
    <mergeCell ref="C30:F30"/>
    <mergeCell ref="C22:F22"/>
    <mergeCell ref="B23:F23"/>
    <mergeCell ref="C25:E27"/>
    <mergeCell ref="D24:F24"/>
    <mergeCell ref="D44:F44"/>
    <mergeCell ref="O2:Q2"/>
    <mergeCell ref="O1:Q1"/>
    <mergeCell ref="C42:F42"/>
    <mergeCell ref="B43:F43"/>
    <mergeCell ref="C40:F40"/>
    <mergeCell ref="C41:F41"/>
    <mergeCell ref="C37:F37"/>
    <mergeCell ref="C38:F38"/>
    <mergeCell ref="C39:F39"/>
    <mergeCell ref="C33:F33"/>
    <mergeCell ref="C34:F34"/>
    <mergeCell ref="C35:E36"/>
    <mergeCell ref="C31:F31"/>
    <mergeCell ref="C32:F32"/>
    <mergeCell ref="C28:F28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8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Q1" s="228" t="s">
        <v>92</v>
      </c>
      <c r="R1" s="229"/>
      <c r="S1" s="230"/>
    </row>
    <row r="2" spans="1:30" ht="15" customHeight="1">
      <c r="A2" s="1" t="s">
        <v>142</v>
      </c>
      <c r="B2" s="1"/>
      <c r="C2" s="1"/>
      <c r="D2" s="1"/>
      <c r="E2" s="1"/>
      <c r="F2" s="1"/>
      <c r="G2" s="1"/>
      <c r="H2" s="1"/>
      <c r="I2" s="1"/>
      <c r="J2" s="1"/>
      <c r="Q2" s="339" t="str">
        <f>IF(No.1!O2="","",No.1!O2)</f>
        <v/>
      </c>
      <c r="R2" s="340"/>
      <c r="S2" s="341"/>
    </row>
    <row r="3" spans="1:30" ht="15" customHeight="1">
      <c r="A3" s="13"/>
      <c r="B3" s="13"/>
      <c r="C3" s="13"/>
      <c r="D3" s="13"/>
      <c r="E3" s="13"/>
      <c r="F3" s="13"/>
      <c r="G3" s="13"/>
      <c r="H3" s="13"/>
      <c r="I3" s="13"/>
      <c r="U3" s="4"/>
      <c r="V3" s="4"/>
      <c r="W3" s="4"/>
    </row>
    <row r="4" spans="1:30" ht="15" customHeight="1">
      <c r="A4" s="5" t="s">
        <v>180</v>
      </c>
      <c r="K4" s="14"/>
      <c r="L4" s="14"/>
      <c r="N4" s="14"/>
      <c r="O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3.7" customHeight="1">
      <c r="A5" s="298"/>
      <c r="B5" s="299"/>
      <c r="C5" s="299"/>
      <c r="D5" s="299"/>
      <c r="E5" s="299"/>
      <c r="F5" s="300"/>
      <c r="G5" s="418">
        <f>No.1!H5</f>
        <v>19</v>
      </c>
      <c r="H5" s="419"/>
      <c r="I5" s="423"/>
      <c r="J5" s="418">
        <f>G5-1</f>
        <v>18</v>
      </c>
      <c r="K5" s="419"/>
      <c r="L5" s="420"/>
      <c r="M5" s="421" t="s">
        <v>36</v>
      </c>
      <c r="N5" s="421"/>
      <c r="O5" s="422"/>
      <c r="P5" s="58"/>
      <c r="Q5" s="71"/>
      <c r="R5" s="71"/>
      <c r="S5" s="71"/>
      <c r="T5" s="71"/>
      <c r="U5" s="14"/>
      <c r="V5" s="14"/>
      <c r="W5" s="14"/>
      <c r="X5" s="14"/>
      <c r="Y5" s="14"/>
      <c r="Z5" s="14"/>
      <c r="AA5" s="14"/>
    </row>
    <row r="6" spans="1:30" ht="13.7" customHeight="1">
      <c r="A6" s="408"/>
      <c r="B6" s="409"/>
      <c r="C6" s="409"/>
      <c r="D6" s="409"/>
      <c r="E6" s="409"/>
      <c r="F6" s="410"/>
      <c r="G6" s="15" t="s">
        <v>33</v>
      </c>
      <c r="H6" s="16" t="s">
        <v>11</v>
      </c>
      <c r="I6" s="17" t="s">
        <v>34</v>
      </c>
      <c r="J6" s="15" t="s">
        <v>33</v>
      </c>
      <c r="K6" s="16" t="s">
        <v>11</v>
      </c>
      <c r="L6" s="17" t="s">
        <v>34</v>
      </c>
      <c r="M6" s="18" t="s">
        <v>33</v>
      </c>
      <c r="N6" s="16" t="s">
        <v>11</v>
      </c>
      <c r="O6" s="19" t="s">
        <v>34</v>
      </c>
      <c r="P6" s="71"/>
      <c r="Q6" s="71"/>
      <c r="R6" s="71"/>
      <c r="S6" s="71"/>
      <c r="T6" s="71"/>
      <c r="U6" s="14"/>
      <c r="V6" s="14"/>
      <c r="W6" s="14"/>
      <c r="X6" s="14"/>
      <c r="Y6" s="14"/>
      <c r="Z6" s="14"/>
      <c r="AA6" s="14"/>
    </row>
    <row r="7" spans="1:30" ht="13.7" customHeight="1">
      <c r="A7" s="301"/>
      <c r="B7" s="302"/>
      <c r="C7" s="302"/>
      <c r="D7" s="302"/>
      <c r="E7" s="302"/>
      <c r="F7" s="303"/>
      <c r="G7" s="20" t="s">
        <v>143</v>
      </c>
      <c r="H7" s="21" t="s">
        <v>2</v>
      </c>
      <c r="I7" s="22" t="s">
        <v>2</v>
      </c>
      <c r="J7" s="20" t="s">
        <v>143</v>
      </c>
      <c r="K7" s="21" t="s">
        <v>2</v>
      </c>
      <c r="L7" s="22" t="s">
        <v>2</v>
      </c>
      <c r="M7" s="20" t="s">
        <v>144</v>
      </c>
      <c r="N7" s="21" t="s">
        <v>144</v>
      </c>
      <c r="O7" s="22" t="s">
        <v>144</v>
      </c>
      <c r="P7" s="71"/>
      <c r="Q7" s="71"/>
      <c r="R7" s="71"/>
      <c r="S7" s="71"/>
      <c r="T7" s="71"/>
      <c r="U7" s="14"/>
      <c r="V7" s="14"/>
      <c r="W7" s="14"/>
      <c r="X7" s="14"/>
      <c r="Y7" s="14"/>
      <c r="Z7" s="14"/>
      <c r="AA7" s="14"/>
    </row>
    <row r="8" spans="1:30" ht="13.7" customHeight="1">
      <c r="A8" s="424" t="s">
        <v>157</v>
      </c>
      <c r="B8" s="427" t="s">
        <v>68</v>
      </c>
      <c r="C8" s="429" t="s">
        <v>69</v>
      </c>
      <c r="D8" s="431" t="s">
        <v>70</v>
      </c>
      <c r="E8" s="432"/>
      <c r="F8" s="433"/>
      <c r="G8" s="178"/>
      <c r="H8" s="191"/>
      <c r="I8" s="192"/>
      <c r="J8" s="178"/>
      <c r="K8" s="191"/>
      <c r="L8" s="192"/>
      <c r="M8" s="193" t="str">
        <f>IFERROR(100*(G8-J8)/J8,"-")</f>
        <v>-</v>
      </c>
      <c r="N8" s="194" t="str">
        <f>IFERROR(100*(H8-K8)/K8,"-")</f>
        <v>-</v>
      </c>
      <c r="O8" s="176" t="str">
        <f>IFERROR(100*(I8-L8)/L8,"-")</f>
        <v>-</v>
      </c>
      <c r="P8" s="58"/>
      <c r="Q8" s="58"/>
      <c r="R8" s="58"/>
      <c r="S8" s="58"/>
      <c r="T8" s="58"/>
      <c r="U8" s="14"/>
      <c r="V8" s="14"/>
    </row>
    <row r="9" spans="1:30" ht="13.7" customHeight="1">
      <c r="A9" s="425"/>
      <c r="B9" s="428"/>
      <c r="C9" s="430"/>
      <c r="D9" s="414" t="s">
        <v>71</v>
      </c>
      <c r="E9" s="315"/>
      <c r="F9" s="415"/>
      <c r="G9" s="178"/>
      <c r="H9" s="191"/>
      <c r="I9" s="192"/>
      <c r="J9" s="178"/>
      <c r="K9" s="191"/>
      <c r="L9" s="195"/>
      <c r="M9" s="193" t="str">
        <f t="shared" ref="M9:O24" si="0">IFERROR(100*(G9-J9)/J9,"-")</f>
        <v>-</v>
      </c>
      <c r="N9" s="194" t="str">
        <f t="shared" si="0"/>
        <v>-</v>
      </c>
      <c r="O9" s="176" t="str">
        <f t="shared" si="0"/>
        <v>-</v>
      </c>
      <c r="P9" s="58"/>
      <c r="T9" s="58"/>
      <c r="U9" s="14"/>
      <c r="V9" s="14"/>
    </row>
    <row r="10" spans="1:30" ht="13.7" customHeight="1">
      <c r="A10" s="425"/>
      <c r="B10" s="428"/>
      <c r="C10" s="430"/>
      <c r="D10" s="414" t="s">
        <v>72</v>
      </c>
      <c r="E10" s="315"/>
      <c r="F10" s="415"/>
      <c r="G10" s="178"/>
      <c r="H10" s="191"/>
      <c r="I10" s="192"/>
      <c r="J10" s="178"/>
      <c r="K10" s="191"/>
      <c r="L10" s="195"/>
      <c r="M10" s="193" t="str">
        <f t="shared" si="0"/>
        <v>-</v>
      </c>
      <c r="N10" s="194" t="str">
        <f t="shared" si="0"/>
        <v>-</v>
      </c>
      <c r="O10" s="176" t="str">
        <f t="shared" si="0"/>
        <v>-</v>
      </c>
      <c r="P10" s="58"/>
      <c r="T10" s="58"/>
      <c r="U10" s="14"/>
      <c r="V10" s="14"/>
    </row>
    <row r="11" spans="1:30" ht="13.7" customHeight="1">
      <c r="A11" s="425"/>
      <c r="B11" s="428"/>
      <c r="C11" s="430"/>
      <c r="D11" s="414" t="s">
        <v>73</v>
      </c>
      <c r="E11" s="315"/>
      <c r="F11" s="415"/>
      <c r="G11" s="178"/>
      <c r="H11" s="191"/>
      <c r="I11" s="192"/>
      <c r="J11" s="178"/>
      <c r="K11" s="191"/>
      <c r="L11" s="195"/>
      <c r="M11" s="193" t="str">
        <f t="shared" si="0"/>
        <v>-</v>
      </c>
      <c r="N11" s="194" t="str">
        <f t="shared" si="0"/>
        <v>-</v>
      </c>
      <c r="O11" s="176" t="str">
        <f t="shared" si="0"/>
        <v>-</v>
      </c>
      <c r="P11" s="58"/>
      <c r="Q11" s="58"/>
      <c r="R11" s="58"/>
      <c r="S11" s="58"/>
      <c r="T11" s="58"/>
      <c r="U11" s="14"/>
      <c r="V11" s="14"/>
    </row>
    <row r="12" spans="1:30" ht="13.7" customHeight="1">
      <c r="A12" s="425"/>
      <c r="B12" s="428"/>
      <c r="C12" s="430"/>
      <c r="D12" s="414" t="s">
        <v>74</v>
      </c>
      <c r="E12" s="315"/>
      <c r="F12" s="415"/>
      <c r="G12" s="178"/>
      <c r="H12" s="191"/>
      <c r="I12" s="192"/>
      <c r="J12" s="178"/>
      <c r="K12" s="191"/>
      <c r="L12" s="195"/>
      <c r="M12" s="193" t="str">
        <f t="shared" si="0"/>
        <v>-</v>
      </c>
      <c r="N12" s="194" t="str">
        <f t="shared" si="0"/>
        <v>-</v>
      </c>
      <c r="O12" s="176" t="str">
        <f t="shared" si="0"/>
        <v>-</v>
      </c>
      <c r="P12" s="58"/>
      <c r="Q12" s="58"/>
      <c r="R12" s="58"/>
      <c r="S12" s="58"/>
      <c r="T12" s="58"/>
      <c r="U12" s="14"/>
      <c r="V12" s="14"/>
    </row>
    <row r="13" spans="1:30" ht="13.7" customHeight="1">
      <c r="A13" s="425"/>
      <c r="B13" s="428"/>
      <c r="C13" s="430" t="s">
        <v>156</v>
      </c>
      <c r="D13" s="414" t="s">
        <v>75</v>
      </c>
      <c r="E13" s="315"/>
      <c r="F13" s="415"/>
      <c r="G13" s="178"/>
      <c r="H13" s="191"/>
      <c r="I13" s="192"/>
      <c r="J13" s="178"/>
      <c r="K13" s="191"/>
      <c r="L13" s="195"/>
      <c r="M13" s="193" t="str">
        <f t="shared" si="0"/>
        <v>-</v>
      </c>
      <c r="N13" s="194" t="str">
        <f t="shared" si="0"/>
        <v>-</v>
      </c>
      <c r="O13" s="176" t="str">
        <f t="shared" si="0"/>
        <v>-</v>
      </c>
      <c r="P13" s="58"/>
      <c r="Q13" s="58"/>
      <c r="R13" s="58"/>
      <c r="S13" s="58"/>
      <c r="T13" s="58"/>
      <c r="U13" s="14"/>
      <c r="V13" s="14"/>
    </row>
    <row r="14" spans="1:30" ht="13.7" customHeight="1">
      <c r="A14" s="425"/>
      <c r="B14" s="428"/>
      <c r="C14" s="430"/>
      <c r="D14" s="414" t="s">
        <v>76</v>
      </c>
      <c r="E14" s="315"/>
      <c r="F14" s="415"/>
      <c r="G14" s="178"/>
      <c r="H14" s="191"/>
      <c r="I14" s="192"/>
      <c r="J14" s="178"/>
      <c r="K14" s="191"/>
      <c r="L14" s="195"/>
      <c r="M14" s="193" t="str">
        <f t="shared" si="0"/>
        <v>-</v>
      </c>
      <c r="N14" s="194" t="str">
        <f t="shared" si="0"/>
        <v>-</v>
      </c>
      <c r="O14" s="176" t="str">
        <f t="shared" si="0"/>
        <v>-</v>
      </c>
      <c r="P14" s="58"/>
      <c r="Q14" s="58"/>
      <c r="R14" s="58"/>
      <c r="S14" s="58"/>
      <c r="T14" s="58"/>
      <c r="U14" s="14"/>
      <c r="V14" s="14"/>
    </row>
    <row r="15" spans="1:30" ht="13.7" customHeight="1">
      <c r="A15" s="425"/>
      <c r="B15" s="428"/>
      <c r="C15" s="430"/>
      <c r="D15" s="414" t="s">
        <v>73</v>
      </c>
      <c r="E15" s="315"/>
      <c r="F15" s="415"/>
      <c r="G15" s="178"/>
      <c r="H15" s="191"/>
      <c r="I15" s="192"/>
      <c r="J15" s="178"/>
      <c r="K15" s="191"/>
      <c r="L15" s="195"/>
      <c r="M15" s="193" t="str">
        <f t="shared" si="0"/>
        <v>-</v>
      </c>
      <c r="N15" s="194" t="str">
        <f t="shared" si="0"/>
        <v>-</v>
      </c>
      <c r="O15" s="176" t="str">
        <f t="shared" si="0"/>
        <v>-</v>
      </c>
      <c r="P15" s="58"/>
      <c r="Q15" s="58"/>
      <c r="R15" s="58"/>
      <c r="S15" s="58"/>
      <c r="T15" s="58"/>
      <c r="U15" s="14"/>
      <c r="V15" s="14"/>
    </row>
    <row r="16" spans="1:30" ht="13.7" customHeight="1">
      <c r="A16" s="425"/>
      <c r="B16" s="428"/>
      <c r="C16" s="430"/>
      <c r="D16" s="414" t="s">
        <v>74</v>
      </c>
      <c r="E16" s="315"/>
      <c r="F16" s="415"/>
      <c r="G16" s="178"/>
      <c r="H16" s="191"/>
      <c r="I16" s="192"/>
      <c r="J16" s="178"/>
      <c r="K16" s="191"/>
      <c r="L16" s="195"/>
      <c r="M16" s="193" t="str">
        <f t="shared" si="0"/>
        <v>-</v>
      </c>
      <c r="N16" s="194" t="str">
        <f t="shared" si="0"/>
        <v>-</v>
      </c>
      <c r="O16" s="176" t="str">
        <f t="shared" si="0"/>
        <v>-</v>
      </c>
      <c r="P16" s="58"/>
      <c r="Q16" s="58"/>
      <c r="R16" s="58"/>
      <c r="S16" s="58"/>
      <c r="T16" s="58"/>
      <c r="U16" s="14"/>
      <c r="V16" s="14"/>
    </row>
    <row r="17" spans="1:22" ht="13.7" customHeight="1">
      <c r="A17" s="425"/>
      <c r="B17" s="428"/>
      <c r="C17" s="414" t="s">
        <v>77</v>
      </c>
      <c r="D17" s="414"/>
      <c r="E17" s="315"/>
      <c r="F17" s="415"/>
      <c r="G17" s="178"/>
      <c r="H17" s="191"/>
      <c r="I17" s="192"/>
      <c r="J17" s="178"/>
      <c r="K17" s="191"/>
      <c r="L17" s="195"/>
      <c r="M17" s="193" t="str">
        <f t="shared" si="0"/>
        <v>-</v>
      </c>
      <c r="N17" s="194" t="str">
        <f t="shared" si="0"/>
        <v>-</v>
      </c>
      <c r="O17" s="176" t="str">
        <f t="shared" si="0"/>
        <v>-</v>
      </c>
      <c r="P17" s="58"/>
      <c r="Q17" s="71"/>
      <c r="R17" s="71"/>
      <c r="S17" s="71"/>
      <c r="T17" s="71"/>
      <c r="U17" s="14"/>
      <c r="V17" s="14"/>
    </row>
    <row r="18" spans="1:22" ht="13.7" customHeight="1">
      <c r="A18" s="425"/>
      <c r="B18" s="428" t="s">
        <v>78</v>
      </c>
      <c r="C18" s="430" t="s">
        <v>69</v>
      </c>
      <c r="D18" s="414" t="s">
        <v>79</v>
      </c>
      <c r="E18" s="315"/>
      <c r="F18" s="415"/>
      <c r="G18" s="178"/>
      <c r="H18" s="191"/>
      <c r="I18" s="192"/>
      <c r="J18" s="178"/>
      <c r="K18" s="191"/>
      <c r="L18" s="195"/>
      <c r="M18" s="193" t="str">
        <f t="shared" si="0"/>
        <v>-</v>
      </c>
      <c r="N18" s="194" t="str">
        <f t="shared" si="0"/>
        <v>-</v>
      </c>
      <c r="O18" s="176" t="str">
        <f t="shared" si="0"/>
        <v>-</v>
      </c>
      <c r="P18" s="58"/>
      <c r="Q18" s="58"/>
      <c r="R18" s="58"/>
      <c r="S18" s="58"/>
      <c r="T18" s="58"/>
      <c r="U18" s="14"/>
      <c r="V18" s="14"/>
    </row>
    <row r="19" spans="1:22" ht="13.7" customHeight="1">
      <c r="A19" s="425"/>
      <c r="B19" s="428"/>
      <c r="C19" s="430"/>
      <c r="D19" s="414" t="s">
        <v>80</v>
      </c>
      <c r="E19" s="315"/>
      <c r="F19" s="415"/>
      <c r="G19" s="178"/>
      <c r="H19" s="191"/>
      <c r="I19" s="192"/>
      <c r="J19" s="178"/>
      <c r="K19" s="191"/>
      <c r="L19" s="195"/>
      <c r="M19" s="193" t="str">
        <f t="shared" si="0"/>
        <v>-</v>
      </c>
      <c r="N19" s="194" t="str">
        <f t="shared" si="0"/>
        <v>-</v>
      </c>
      <c r="O19" s="176" t="str">
        <f t="shared" si="0"/>
        <v>-</v>
      </c>
      <c r="P19" s="58"/>
      <c r="Q19" s="58"/>
      <c r="R19" s="58"/>
      <c r="S19" s="58"/>
      <c r="T19" s="58"/>
      <c r="U19" s="14"/>
      <c r="V19" s="14"/>
    </row>
    <row r="20" spans="1:22" ht="13.7" customHeight="1">
      <c r="A20" s="425"/>
      <c r="B20" s="428"/>
      <c r="C20" s="430"/>
      <c r="D20" s="414" t="s">
        <v>81</v>
      </c>
      <c r="E20" s="315"/>
      <c r="F20" s="415"/>
      <c r="G20" s="178"/>
      <c r="H20" s="191"/>
      <c r="I20" s="192"/>
      <c r="J20" s="178"/>
      <c r="K20" s="191"/>
      <c r="L20" s="195"/>
      <c r="M20" s="193" t="str">
        <f t="shared" si="0"/>
        <v>-</v>
      </c>
      <c r="N20" s="194" t="str">
        <f t="shared" si="0"/>
        <v>-</v>
      </c>
      <c r="O20" s="176" t="str">
        <f t="shared" si="0"/>
        <v>-</v>
      </c>
      <c r="P20" s="58"/>
      <c r="Q20" s="58"/>
      <c r="R20" s="58"/>
      <c r="S20" s="58"/>
      <c r="T20" s="58"/>
      <c r="U20" s="14"/>
      <c r="V20" s="14"/>
    </row>
    <row r="21" spans="1:22" ht="13.7" customHeight="1">
      <c r="A21" s="425"/>
      <c r="B21" s="428"/>
      <c r="C21" s="430"/>
      <c r="D21" s="414" t="s">
        <v>82</v>
      </c>
      <c r="E21" s="315"/>
      <c r="F21" s="415"/>
      <c r="G21" s="178"/>
      <c r="H21" s="191"/>
      <c r="I21" s="192"/>
      <c r="J21" s="178"/>
      <c r="K21" s="191"/>
      <c r="L21" s="195"/>
      <c r="M21" s="193" t="str">
        <f t="shared" si="0"/>
        <v>-</v>
      </c>
      <c r="N21" s="194" t="str">
        <f t="shared" si="0"/>
        <v>-</v>
      </c>
      <c r="O21" s="176" t="str">
        <f t="shared" si="0"/>
        <v>-</v>
      </c>
      <c r="P21" s="58"/>
      <c r="Q21" s="58"/>
      <c r="R21" s="58"/>
      <c r="S21" s="58"/>
      <c r="T21" s="58"/>
      <c r="U21" s="14"/>
      <c r="V21" s="14"/>
    </row>
    <row r="22" spans="1:22" ht="13.7" customHeight="1">
      <c r="A22" s="425"/>
      <c r="B22" s="428"/>
      <c r="C22" s="430"/>
      <c r="D22" s="414" t="s">
        <v>74</v>
      </c>
      <c r="E22" s="315"/>
      <c r="F22" s="415"/>
      <c r="G22" s="196"/>
      <c r="H22" s="191"/>
      <c r="I22" s="197"/>
      <c r="J22" s="196"/>
      <c r="K22" s="191"/>
      <c r="L22" s="198"/>
      <c r="M22" s="199"/>
      <c r="N22" s="194" t="str">
        <f t="shared" si="0"/>
        <v>-</v>
      </c>
      <c r="O22" s="200"/>
      <c r="P22" s="58"/>
      <c r="Q22" s="58"/>
      <c r="R22" s="58"/>
      <c r="S22" s="58"/>
      <c r="T22" s="58"/>
      <c r="U22" s="14"/>
      <c r="V22" s="14"/>
    </row>
    <row r="23" spans="1:22" ht="13.7" customHeight="1">
      <c r="A23" s="425"/>
      <c r="B23" s="428"/>
      <c r="C23" s="430" t="s">
        <v>156</v>
      </c>
      <c r="D23" s="414" t="s">
        <v>79</v>
      </c>
      <c r="E23" s="315"/>
      <c r="F23" s="415"/>
      <c r="G23" s="178"/>
      <c r="H23" s="191"/>
      <c r="I23" s="192"/>
      <c r="J23" s="178"/>
      <c r="K23" s="191"/>
      <c r="L23" s="195"/>
      <c r="M23" s="193" t="str">
        <f t="shared" ref="M23:O27" si="1">IFERROR(100*(G23-J23)/J23,"-")</f>
        <v>-</v>
      </c>
      <c r="N23" s="194" t="str">
        <f t="shared" si="0"/>
        <v>-</v>
      </c>
      <c r="O23" s="176" t="str">
        <f t="shared" si="0"/>
        <v>-</v>
      </c>
      <c r="P23" s="58"/>
      <c r="Q23" s="58"/>
      <c r="R23" s="58"/>
      <c r="S23" s="58"/>
      <c r="T23" s="58"/>
      <c r="U23" s="14"/>
      <c r="V23" s="14"/>
    </row>
    <row r="24" spans="1:22" ht="13.7" customHeight="1">
      <c r="A24" s="425"/>
      <c r="B24" s="428"/>
      <c r="C24" s="430"/>
      <c r="D24" s="414" t="s">
        <v>80</v>
      </c>
      <c r="E24" s="315"/>
      <c r="F24" s="415"/>
      <c r="G24" s="178"/>
      <c r="H24" s="191"/>
      <c r="I24" s="192"/>
      <c r="J24" s="178"/>
      <c r="K24" s="191"/>
      <c r="L24" s="195"/>
      <c r="M24" s="193" t="str">
        <f t="shared" si="1"/>
        <v>-</v>
      </c>
      <c r="N24" s="194" t="str">
        <f t="shared" si="0"/>
        <v>-</v>
      </c>
      <c r="O24" s="176" t="str">
        <f t="shared" si="0"/>
        <v>-</v>
      </c>
      <c r="P24" s="58"/>
      <c r="Q24" s="58"/>
      <c r="R24" s="58"/>
      <c r="S24" s="58"/>
      <c r="T24" s="58"/>
    </row>
    <row r="25" spans="1:22" ht="13.7" customHeight="1">
      <c r="A25" s="425"/>
      <c r="B25" s="428"/>
      <c r="C25" s="430"/>
      <c r="D25" s="414" t="s">
        <v>81</v>
      </c>
      <c r="E25" s="315"/>
      <c r="F25" s="415"/>
      <c r="G25" s="178"/>
      <c r="H25" s="191"/>
      <c r="I25" s="192"/>
      <c r="J25" s="178"/>
      <c r="K25" s="191"/>
      <c r="L25" s="195"/>
      <c r="M25" s="193" t="str">
        <f t="shared" si="1"/>
        <v>-</v>
      </c>
      <c r="N25" s="194" t="str">
        <f t="shared" si="1"/>
        <v>-</v>
      </c>
      <c r="O25" s="176" t="str">
        <f t="shared" si="1"/>
        <v>-</v>
      </c>
      <c r="P25" s="58"/>
      <c r="Q25" s="58"/>
      <c r="R25" s="58"/>
      <c r="S25" s="58"/>
      <c r="T25" s="58"/>
    </row>
    <row r="26" spans="1:22" ht="13.7" customHeight="1">
      <c r="A26" s="425"/>
      <c r="B26" s="428"/>
      <c r="C26" s="430"/>
      <c r="D26" s="416" t="s">
        <v>82</v>
      </c>
      <c r="E26" s="336"/>
      <c r="F26" s="417"/>
      <c r="G26" s="178"/>
      <c r="H26" s="191"/>
      <c r="I26" s="192"/>
      <c r="J26" s="178"/>
      <c r="K26" s="191"/>
      <c r="L26" s="195"/>
      <c r="M26" s="193" t="str">
        <f t="shared" si="1"/>
        <v>-</v>
      </c>
      <c r="N26" s="194" t="str">
        <f t="shared" si="1"/>
        <v>-</v>
      </c>
      <c r="O26" s="176" t="str">
        <f t="shared" si="1"/>
        <v>-</v>
      </c>
      <c r="P26" s="58"/>
      <c r="Q26" s="71"/>
      <c r="R26" s="71"/>
      <c r="S26" s="71"/>
      <c r="T26" s="71"/>
    </row>
    <row r="27" spans="1:22" ht="13.7" customHeight="1">
      <c r="A27" s="425"/>
      <c r="B27" s="428"/>
      <c r="C27" s="430"/>
      <c r="D27" s="31"/>
      <c r="E27" s="315" t="s">
        <v>83</v>
      </c>
      <c r="F27" s="317"/>
      <c r="G27" s="178"/>
      <c r="H27" s="201"/>
      <c r="I27" s="197"/>
      <c r="J27" s="178"/>
      <c r="K27" s="201"/>
      <c r="L27" s="198"/>
      <c r="M27" s="193" t="str">
        <f t="shared" si="1"/>
        <v>-</v>
      </c>
      <c r="N27" s="202"/>
      <c r="O27" s="200"/>
      <c r="P27" s="58"/>
      <c r="Q27" s="71"/>
      <c r="R27" s="71"/>
      <c r="S27" s="71"/>
      <c r="T27" s="71"/>
    </row>
    <row r="28" spans="1:22" ht="13.7" customHeight="1">
      <c r="A28" s="425"/>
      <c r="B28" s="428"/>
      <c r="C28" s="430"/>
      <c r="D28" s="414" t="s">
        <v>74</v>
      </c>
      <c r="E28" s="315"/>
      <c r="F28" s="415"/>
      <c r="G28" s="196"/>
      <c r="H28" s="191"/>
      <c r="I28" s="197"/>
      <c r="J28" s="196"/>
      <c r="K28" s="191"/>
      <c r="L28" s="198"/>
      <c r="M28" s="199"/>
      <c r="N28" s="194" t="str">
        <f t="shared" ref="N28:N29" si="2">IFERROR(100*(H28-K28)/K28,"-")</f>
        <v>-</v>
      </c>
      <c r="O28" s="200"/>
      <c r="P28" s="58"/>
      <c r="Q28" s="58"/>
      <c r="R28" s="58"/>
      <c r="S28" s="58"/>
      <c r="T28" s="58"/>
    </row>
    <row r="29" spans="1:22" ht="13.7" customHeight="1">
      <c r="A29" s="426"/>
      <c r="B29" s="434"/>
      <c r="C29" s="435" t="s">
        <v>77</v>
      </c>
      <c r="D29" s="435"/>
      <c r="E29" s="329"/>
      <c r="F29" s="436"/>
      <c r="G29" s="203"/>
      <c r="H29" s="204"/>
      <c r="I29" s="205"/>
      <c r="J29" s="203"/>
      <c r="K29" s="204"/>
      <c r="L29" s="206"/>
      <c r="M29" s="207"/>
      <c r="N29" s="208" t="str">
        <f t="shared" si="2"/>
        <v>-</v>
      </c>
      <c r="O29" s="209"/>
      <c r="P29" s="58"/>
      <c r="Q29" s="58"/>
      <c r="R29" s="58"/>
      <c r="S29" s="58"/>
      <c r="T29" s="58"/>
    </row>
    <row r="30" spans="1:22" ht="13.7" customHeight="1">
      <c r="A30" s="26"/>
      <c r="B30" s="26"/>
      <c r="C30" s="27"/>
      <c r="D30" s="23"/>
      <c r="E30" s="23"/>
      <c r="F30" s="23"/>
      <c r="G30" s="24"/>
      <c r="H30" s="24"/>
      <c r="I30" s="25"/>
      <c r="J30" s="24"/>
      <c r="K30" s="24"/>
      <c r="L30" s="25"/>
      <c r="M30" s="24"/>
      <c r="N30" s="24"/>
      <c r="O30" s="25"/>
      <c r="P30" s="89"/>
      <c r="Q30" s="89"/>
      <c r="R30" s="89"/>
      <c r="S30" s="89"/>
      <c r="T30" s="89"/>
    </row>
    <row r="31" spans="1:22" ht="13.7" customHeight="1">
      <c r="J31" s="24"/>
      <c r="K31" s="24"/>
      <c r="L31" s="25"/>
      <c r="M31" s="24"/>
      <c r="N31" s="24"/>
      <c r="O31" s="25"/>
      <c r="P31" s="75"/>
      <c r="Q31" s="75"/>
      <c r="R31" s="75"/>
      <c r="S31" s="75"/>
      <c r="T31" s="75"/>
    </row>
    <row r="32" spans="1:22" ht="12.2" customHeight="1">
      <c r="J32" s="92"/>
      <c r="K32" s="92"/>
      <c r="L32" s="92"/>
      <c r="M32" s="92"/>
      <c r="N32" s="94"/>
      <c r="O32" s="94"/>
      <c r="P32" s="94"/>
      <c r="Q32" s="92"/>
      <c r="R32" s="92"/>
      <c r="S32" s="92"/>
      <c r="T32" s="92"/>
    </row>
    <row r="33" spans="1:22" ht="12.2" customHeight="1">
      <c r="J33" s="92"/>
      <c r="K33" s="92"/>
      <c r="L33" s="92"/>
      <c r="M33" s="92"/>
      <c r="N33" s="68"/>
      <c r="O33" s="68"/>
      <c r="P33" s="29"/>
      <c r="Q33" s="92"/>
      <c r="R33" s="92"/>
      <c r="S33" s="92"/>
      <c r="T33" s="92"/>
    </row>
    <row r="34" spans="1:22" ht="12.2" customHeight="1">
      <c r="J34" s="92"/>
      <c r="K34" s="92"/>
      <c r="L34" s="92"/>
      <c r="M34" s="92"/>
      <c r="N34" s="65"/>
      <c r="O34" s="65"/>
      <c r="P34" s="65"/>
      <c r="Q34" s="92"/>
      <c r="R34" s="92"/>
      <c r="S34" s="92"/>
      <c r="T34" s="92"/>
    </row>
    <row r="35" spans="1:22" ht="12.2" customHeight="1">
      <c r="J35" s="92"/>
      <c r="K35" s="92"/>
      <c r="L35" s="92"/>
      <c r="M35" s="92"/>
      <c r="N35" s="66"/>
      <c r="O35" s="66"/>
      <c r="P35" s="69"/>
      <c r="Q35" s="92"/>
      <c r="R35" s="92"/>
      <c r="S35" s="92"/>
      <c r="T35" s="92"/>
    </row>
    <row r="36" spans="1:22" ht="12.2" customHeight="1">
      <c r="J36" s="92"/>
      <c r="K36" s="92"/>
      <c r="L36" s="92"/>
      <c r="M36" s="92"/>
      <c r="N36" s="66"/>
      <c r="O36" s="66"/>
      <c r="P36" s="69"/>
      <c r="Q36" s="92"/>
      <c r="R36" s="92"/>
      <c r="S36" s="92"/>
      <c r="T36" s="92"/>
    </row>
    <row r="37" spans="1:22" ht="12.2" customHeight="1">
      <c r="J37" s="92"/>
      <c r="K37" s="92"/>
      <c r="L37" s="92"/>
      <c r="M37" s="92"/>
      <c r="N37" s="66"/>
      <c r="O37" s="66"/>
      <c r="P37" s="69"/>
      <c r="Q37" s="92"/>
      <c r="R37" s="92"/>
      <c r="S37" s="92"/>
      <c r="T37" s="92"/>
    </row>
    <row r="38" spans="1:22" ht="12.2" customHeight="1">
      <c r="J38" s="92"/>
      <c r="K38" s="92"/>
      <c r="L38" s="92"/>
      <c r="M38" s="92"/>
      <c r="N38" s="66"/>
      <c r="O38" s="66"/>
      <c r="P38" s="69"/>
      <c r="Q38" s="92"/>
      <c r="R38" s="92"/>
      <c r="S38" s="92"/>
      <c r="T38" s="92"/>
    </row>
    <row r="39" spans="1:22" ht="12.2" customHeight="1">
      <c r="A39" s="91"/>
      <c r="B39" s="89"/>
      <c r="C39" s="89"/>
      <c r="D39" s="89"/>
      <c r="E39" s="89"/>
      <c r="F39" s="89"/>
      <c r="G39" s="83"/>
      <c r="H39" s="83"/>
      <c r="I39" s="84"/>
      <c r="J39" s="92"/>
      <c r="K39" s="92"/>
      <c r="L39" s="92"/>
      <c r="M39" s="92"/>
      <c r="N39" s="66"/>
      <c r="O39" s="66"/>
      <c r="P39" s="69"/>
      <c r="Q39" s="92"/>
      <c r="R39" s="92"/>
      <c r="S39" s="92"/>
      <c r="T39" s="92"/>
    </row>
    <row r="40" spans="1:22" ht="12.2" customHeight="1">
      <c r="A40" s="91"/>
      <c r="B40" s="89"/>
      <c r="C40" s="89"/>
      <c r="D40" s="89"/>
      <c r="E40" s="89"/>
      <c r="F40" s="89"/>
      <c r="G40" s="83"/>
      <c r="H40" s="83"/>
      <c r="I40" s="84"/>
      <c r="J40" s="92"/>
      <c r="K40" s="92"/>
      <c r="L40" s="92"/>
      <c r="M40" s="92"/>
      <c r="N40" s="66"/>
      <c r="O40" s="66"/>
      <c r="P40" s="69"/>
      <c r="Q40" s="92"/>
      <c r="R40" s="92"/>
      <c r="S40" s="92"/>
      <c r="T40" s="92"/>
    </row>
    <row r="41" spans="1:22" ht="12.2" customHeight="1">
      <c r="A41" s="89"/>
      <c r="B41" s="89"/>
      <c r="C41" s="89"/>
      <c r="D41" s="89"/>
      <c r="E41" s="89"/>
      <c r="F41" s="89"/>
      <c r="G41" s="66"/>
      <c r="H41" s="66"/>
      <c r="I41" s="69"/>
      <c r="J41" s="92"/>
      <c r="K41" s="92"/>
      <c r="L41" s="92"/>
      <c r="M41" s="92"/>
      <c r="N41" s="66"/>
      <c r="O41" s="66"/>
      <c r="P41" s="69"/>
      <c r="Q41" s="92"/>
      <c r="R41" s="92"/>
      <c r="S41" s="92"/>
      <c r="T41" s="92"/>
    </row>
    <row r="42" spans="1:22" ht="12.2" customHeight="1">
      <c r="A42" s="89"/>
      <c r="B42" s="89"/>
      <c r="C42" s="89"/>
      <c r="D42" s="89"/>
      <c r="E42" s="89"/>
      <c r="F42" s="89"/>
      <c r="G42" s="66"/>
      <c r="H42" s="66"/>
      <c r="I42" s="69"/>
      <c r="J42" s="92"/>
      <c r="K42" s="92"/>
      <c r="L42" s="92"/>
      <c r="M42" s="92"/>
      <c r="N42" s="66"/>
      <c r="O42" s="66"/>
      <c r="P42" s="69"/>
      <c r="Q42" s="92"/>
      <c r="R42" s="92"/>
      <c r="S42" s="92"/>
      <c r="T42" s="92"/>
      <c r="U42" s="14"/>
      <c r="V42" s="14"/>
    </row>
    <row r="43" spans="1:22" ht="12.2" customHeight="1">
      <c r="A43" s="89"/>
      <c r="B43" s="89"/>
      <c r="C43" s="89"/>
      <c r="D43" s="89"/>
      <c r="E43" s="89"/>
      <c r="F43" s="89"/>
      <c r="G43" s="66"/>
      <c r="H43" s="66"/>
      <c r="I43" s="69"/>
      <c r="J43" s="92"/>
      <c r="K43" s="92"/>
      <c r="L43" s="92"/>
      <c r="M43" s="92"/>
      <c r="N43" s="66"/>
      <c r="O43" s="66"/>
      <c r="P43" s="69"/>
      <c r="Q43" s="92"/>
      <c r="R43" s="92"/>
      <c r="S43" s="92"/>
      <c r="T43" s="92"/>
      <c r="U43" s="14"/>
      <c r="V43" s="14"/>
    </row>
    <row r="44" spans="1:22" ht="12.2" customHeight="1">
      <c r="A44" s="89"/>
      <c r="B44" s="89"/>
      <c r="C44" s="89"/>
      <c r="D44" s="89"/>
      <c r="E44" s="89"/>
      <c r="F44" s="89"/>
      <c r="G44" s="66"/>
      <c r="H44" s="66"/>
      <c r="I44" s="69"/>
      <c r="J44" s="92"/>
      <c r="K44" s="92"/>
      <c r="L44" s="92"/>
      <c r="M44" s="92"/>
      <c r="N44" s="66"/>
      <c r="O44" s="66"/>
      <c r="P44" s="69"/>
      <c r="Q44" s="92"/>
      <c r="R44" s="92"/>
      <c r="S44" s="92"/>
      <c r="T44" s="92"/>
    </row>
    <row r="45" spans="1:22" ht="12.2" customHeight="1">
      <c r="A45" s="89"/>
      <c r="B45" s="89"/>
      <c r="C45" s="89"/>
      <c r="D45" s="89"/>
      <c r="E45" s="89"/>
      <c r="F45" s="89"/>
      <c r="G45" s="66"/>
      <c r="H45" s="66"/>
      <c r="I45" s="69"/>
      <c r="J45" s="92"/>
      <c r="K45" s="92"/>
      <c r="L45" s="92"/>
      <c r="M45" s="92"/>
      <c r="N45" s="66"/>
      <c r="O45" s="66"/>
      <c r="P45" s="69"/>
      <c r="Q45" s="92"/>
      <c r="R45" s="92"/>
      <c r="S45" s="92"/>
      <c r="T45" s="92"/>
    </row>
    <row r="46" spans="1:22" ht="12.2" customHeight="1">
      <c r="A46" s="89"/>
      <c r="B46" s="89"/>
      <c r="C46" s="89"/>
      <c r="D46" s="89"/>
      <c r="E46" s="89"/>
      <c r="F46" s="89"/>
      <c r="G46" s="66"/>
      <c r="H46" s="66"/>
      <c r="I46" s="69"/>
      <c r="J46" s="92"/>
      <c r="K46" s="92"/>
      <c r="L46" s="92"/>
      <c r="M46" s="92"/>
      <c r="N46" s="66"/>
      <c r="O46" s="66"/>
      <c r="P46" s="69"/>
      <c r="Q46" s="92"/>
      <c r="R46" s="92"/>
      <c r="S46" s="92"/>
      <c r="T46" s="92"/>
    </row>
    <row r="47" spans="1:22" ht="12.2" customHeight="1">
      <c r="A47" s="89"/>
      <c r="B47" s="89"/>
      <c r="C47" s="89"/>
      <c r="D47" s="89"/>
      <c r="E47" s="89"/>
      <c r="F47" s="89"/>
      <c r="G47" s="66"/>
      <c r="H47" s="66"/>
      <c r="I47" s="69"/>
      <c r="J47" s="92"/>
      <c r="K47" s="92"/>
      <c r="L47" s="92"/>
      <c r="M47" s="92"/>
      <c r="N47" s="66"/>
      <c r="O47" s="66"/>
      <c r="P47" s="69"/>
      <c r="Q47" s="92"/>
      <c r="R47" s="92"/>
      <c r="S47" s="92"/>
      <c r="T47" s="92"/>
    </row>
    <row r="48" spans="1:22" ht="12.2" customHeight="1">
      <c r="A48" s="89"/>
      <c r="B48" s="89"/>
      <c r="C48" s="89"/>
      <c r="D48" s="89"/>
      <c r="E48" s="89"/>
      <c r="F48" s="89"/>
      <c r="G48" s="83"/>
      <c r="H48" s="83"/>
      <c r="I48" s="84"/>
      <c r="J48" s="92"/>
      <c r="K48" s="92"/>
      <c r="L48" s="92"/>
      <c r="M48" s="92"/>
      <c r="N48" s="66"/>
      <c r="O48" s="66"/>
      <c r="P48" s="69"/>
      <c r="Q48" s="92"/>
      <c r="R48" s="92"/>
      <c r="S48" s="92"/>
      <c r="T48" s="92"/>
    </row>
    <row r="49" ht="13.7" customHeight="1"/>
    <row r="50" ht="13.7" customHeight="1"/>
  </sheetData>
  <mergeCells count="35">
    <mergeCell ref="C13:C16"/>
    <mergeCell ref="D13:F13"/>
    <mergeCell ref="D14:F14"/>
    <mergeCell ref="D15:F15"/>
    <mergeCell ref="B18:B29"/>
    <mergeCell ref="C29:F29"/>
    <mergeCell ref="C18:C22"/>
    <mergeCell ref="D18:F18"/>
    <mergeCell ref="D22:F22"/>
    <mergeCell ref="C23:C28"/>
    <mergeCell ref="D28:F28"/>
    <mergeCell ref="D19:F19"/>
    <mergeCell ref="D23:F23"/>
    <mergeCell ref="D24:F24"/>
    <mergeCell ref="D8:F8"/>
    <mergeCell ref="D9:F9"/>
    <mergeCell ref="D10:F10"/>
    <mergeCell ref="D11:F11"/>
    <mergeCell ref="D12:F12"/>
    <mergeCell ref="Q1:S1"/>
    <mergeCell ref="Q2:S2"/>
    <mergeCell ref="D25:F25"/>
    <mergeCell ref="D26:F26"/>
    <mergeCell ref="E27:F27"/>
    <mergeCell ref="D16:F16"/>
    <mergeCell ref="C17:F17"/>
    <mergeCell ref="J5:L5"/>
    <mergeCell ref="M5:O5"/>
    <mergeCell ref="A5:F7"/>
    <mergeCell ref="G5:I5"/>
    <mergeCell ref="D20:F20"/>
    <mergeCell ref="D21:F21"/>
    <mergeCell ref="A8:A29"/>
    <mergeCell ref="B8:B17"/>
    <mergeCell ref="C8:C12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5" customHeight="1">
      <c r="A1" s="1" t="str">
        <f>No.1!A1&amp;"年産　小麦・大豆生産費統計（組織法人経営体）"</f>
        <v>2019年産　小麦・大豆生産費統計（組織法人経営体）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Q1" s="228" t="s">
        <v>92</v>
      </c>
      <c r="R1" s="229"/>
      <c r="S1" s="230"/>
    </row>
    <row r="2" spans="1:30" ht="15" customHeight="1">
      <c r="A2" s="1" t="s">
        <v>142</v>
      </c>
      <c r="B2" s="1"/>
      <c r="C2" s="1"/>
      <c r="D2" s="1"/>
      <c r="E2" s="1"/>
      <c r="F2" s="1"/>
      <c r="G2" s="1"/>
      <c r="H2" s="1"/>
      <c r="I2" s="1"/>
      <c r="J2" s="1"/>
      <c r="Q2" s="339" t="str">
        <f>IF(No.1!O2="","",No.1!O2)</f>
        <v/>
      </c>
      <c r="R2" s="340"/>
      <c r="S2" s="341"/>
    </row>
    <row r="3" spans="1:30" ht="15" customHeight="1">
      <c r="A3" s="13"/>
      <c r="B3" s="13"/>
      <c r="C3" s="13"/>
      <c r="D3" s="13"/>
      <c r="E3" s="13"/>
      <c r="F3" s="13"/>
      <c r="G3" s="13"/>
      <c r="H3" s="13"/>
      <c r="I3" s="13"/>
      <c r="U3" s="4"/>
      <c r="V3" s="4"/>
      <c r="W3" s="4"/>
    </row>
    <row r="4" spans="1:30" ht="14.25" customHeight="1">
      <c r="A4" s="5" t="s">
        <v>180</v>
      </c>
      <c r="K4" s="14"/>
      <c r="L4" s="14"/>
      <c r="N4" s="14"/>
      <c r="O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4.25" customHeight="1">
      <c r="A5" s="298"/>
      <c r="B5" s="299"/>
      <c r="C5" s="299"/>
      <c r="D5" s="299"/>
      <c r="E5" s="299"/>
      <c r="F5" s="300"/>
      <c r="G5" s="418">
        <f>No.1!H5</f>
        <v>19</v>
      </c>
      <c r="H5" s="419"/>
      <c r="I5" s="423"/>
      <c r="J5" s="418">
        <f>G5-1</f>
        <v>18</v>
      </c>
      <c r="K5" s="419"/>
      <c r="L5" s="420"/>
      <c r="M5" s="421" t="s">
        <v>36</v>
      </c>
      <c r="N5" s="421"/>
      <c r="O5" s="422"/>
      <c r="P5" s="58"/>
      <c r="Q5" s="71"/>
      <c r="R5" s="71"/>
      <c r="S5" s="71"/>
      <c r="T5" s="71"/>
      <c r="U5" s="14"/>
      <c r="V5" s="14"/>
      <c r="W5" s="14"/>
      <c r="X5" s="14"/>
      <c r="Y5" s="14"/>
      <c r="Z5" s="14"/>
      <c r="AA5" s="14"/>
    </row>
    <row r="6" spans="1:30" ht="14.25" customHeight="1">
      <c r="A6" s="408"/>
      <c r="B6" s="409"/>
      <c r="C6" s="409"/>
      <c r="D6" s="409"/>
      <c r="E6" s="409"/>
      <c r="F6" s="410"/>
      <c r="G6" s="15" t="s">
        <v>33</v>
      </c>
      <c r="H6" s="16" t="s">
        <v>11</v>
      </c>
      <c r="I6" s="17" t="s">
        <v>34</v>
      </c>
      <c r="J6" s="15" t="s">
        <v>33</v>
      </c>
      <c r="K6" s="16" t="s">
        <v>11</v>
      </c>
      <c r="L6" s="17" t="s">
        <v>34</v>
      </c>
      <c r="M6" s="18" t="s">
        <v>33</v>
      </c>
      <c r="N6" s="16" t="s">
        <v>11</v>
      </c>
      <c r="O6" s="19" t="s">
        <v>34</v>
      </c>
      <c r="P6" s="71"/>
      <c r="Q6" s="71"/>
      <c r="U6" s="14"/>
      <c r="V6" s="14"/>
      <c r="W6" s="14"/>
      <c r="X6" s="14"/>
      <c r="Y6" s="14"/>
      <c r="Z6" s="14"/>
      <c r="AA6" s="14"/>
    </row>
    <row r="7" spans="1:30" ht="14.25" customHeight="1">
      <c r="A7" s="301"/>
      <c r="B7" s="302"/>
      <c r="C7" s="302"/>
      <c r="D7" s="302"/>
      <c r="E7" s="302"/>
      <c r="F7" s="303"/>
      <c r="G7" s="20" t="s">
        <v>143</v>
      </c>
      <c r="H7" s="21" t="s">
        <v>2</v>
      </c>
      <c r="I7" s="22" t="s">
        <v>2</v>
      </c>
      <c r="J7" s="20" t="s">
        <v>143</v>
      </c>
      <c r="K7" s="21" t="s">
        <v>2</v>
      </c>
      <c r="L7" s="22" t="s">
        <v>2</v>
      </c>
      <c r="M7" s="20" t="s">
        <v>144</v>
      </c>
      <c r="N7" s="21" t="s">
        <v>144</v>
      </c>
      <c r="O7" s="22" t="s">
        <v>144</v>
      </c>
      <c r="P7" s="71"/>
      <c r="Q7" s="71"/>
      <c r="U7" s="14"/>
      <c r="V7" s="14"/>
      <c r="W7" s="14"/>
      <c r="X7" s="14"/>
      <c r="Y7" s="14"/>
      <c r="Z7" s="14"/>
      <c r="AA7" s="14"/>
    </row>
    <row r="8" spans="1:30" ht="14.25" customHeight="1">
      <c r="A8" s="438" t="s">
        <v>147</v>
      </c>
      <c r="B8" s="427" t="s">
        <v>68</v>
      </c>
      <c r="C8" s="427" t="s">
        <v>69</v>
      </c>
      <c r="D8" s="432" t="s">
        <v>70</v>
      </c>
      <c r="E8" s="305"/>
      <c r="F8" s="306"/>
      <c r="G8" s="210"/>
      <c r="H8" s="211"/>
      <c r="I8" s="212"/>
      <c r="J8" s="210"/>
      <c r="K8" s="211"/>
      <c r="L8" s="212"/>
      <c r="M8" s="213" t="str">
        <f>IFERROR(100*(G8-J8)/J8,"-")</f>
        <v>-</v>
      </c>
      <c r="N8" s="214" t="str">
        <f>IFERROR(100*(H8-K8)/K8,"-")</f>
        <v>-</v>
      </c>
      <c r="O8" s="215" t="str">
        <f>IFERROR(100*(I8-L8)/L8,"-")</f>
        <v>-</v>
      </c>
      <c r="P8" s="58"/>
      <c r="Q8" s="58"/>
      <c r="R8" s="58"/>
      <c r="S8" s="58"/>
      <c r="T8" s="58"/>
    </row>
    <row r="9" spans="1:30" ht="14.25" customHeight="1">
      <c r="A9" s="439"/>
      <c r="B9" s="428"/>
      <c r="C9" s="428"/>
      <c r="D9" s="315" t="s">
        <v>71</v>
      </c>
      <c r="E9" s="316"/>
      <c r="F9" s="317"/>
      <c r="G9" s="178"/>
      <c r="H9" s="191"/>
      <c r="I9" s="212"/>
      <c r="J9" s="178"/>
      <c r="K9" s="191"/>
      <c r="L9" s="192"/>
      <c r="M9" s="193" t="str">
        <f t="shared" ref="M9:O21" si="0">IFERROR(100*(G9-J9)/J9,"-")</f>
        <v>-</v>
      </c>
      <c r="N9" s="194" t="str">
        <f t="shared" si="0"/>
        <v>-</v>
      </c>
      <c r="O9" s="176" t="str">
        <f t="shared" si="0"/>
        <v>-</v>
      </c>
      <c r="P9" s="58"/>
      <c r="Q9" s="71"/>
      <c r="R9" s="71"/>
      <c r="S9" s="71"/>
      <c r="T9" s="71"/>
    </row>
    <row r="10" spans="1:30" ht="14.25" customHeight="1">
      <c r="A10" s="439"/>
      <c r="B10" s="428"/>
      <c r="C10" s="428"/>
      <c r="D10" s="315" t="s">
        <v>148</v>
      </c>
      <c r="E10" s="316"/>
      <c r="F10" s="317"/>
      <c r="G10" s="210"/>
      <c r="H10" s="211"/>
      <c r="I10" s="212"/>
      <c r="J10" s="178"/>
      <c r="K10" s="191"/>
      <c r="L10" s="192"/>
      <c r="M10" s="193" t="str">
        <f t="shared" si="0"/>
        <v>-</v>
      </c>
      <c r="N10" s="194" t="str">
        <f t="shared" si="0"/>
        <v>-</v>
      </c>
      <c r="O10" s="176" t="str">
        <f t="shared" si="0"/>
        <v>-</v>
      </c>
      <c r="P10" s="58"/>
      <c r="Q10" s="71"/>
      <c r="R10" s="71"/>
      <c r="S10" s="71"/>
      <c r="T10" s="71"/>
    </row>
    <row r="11" spans="1:30" ht="14.25" customHeight="1">
      <c r="A11" s="439"/>
      <c r="B11" s="428"/>
      <c r="C11" s="428"/>
      <c r="D11" s="315" t="s">
        <v>149</v>
      </c>
      <c r="E11" s="441"/>
      <c r="F11" s="442"/>
      <c r="G11" s="178"/>
      <c r="H11" s="191"/>
      <c r="I11" s="212"/>
      <c r="J11" s="178"/>
      <c r="K11" s="191"/>
      <c r="L11" s="192"/>
      <c r="M11" s="193" t="str">
        <f t="shared" si="0"/>
        <v>-</v>
      </c>
      <c r="N11" s="194" t="str">
        <f t="shared" si="0"/>
        <v>-</v>
      </c>
      <c r="O11" s="176" t="str">
        <f t="shared" si="0"/>
        <v>-</v>
      </c>
      <c r="P11" s="58"/>
      <c r="T11" s="58"/>
    </row>
    <row r="12" spans="1:30" ht="14.25" customHeight="1">
      <c r="A12" s="439"/>
      <c r="B12" s="428"/>
      <c r="C12" s="428"/>
      <c r="D12" s="414" t="s">
        <v>73</v>
      </c>
      <c r="E12" s="414"/>
      <c r="F12" s="415"/>
      <c r="G12" s="210"/>
      <c r="H12" s="211"/>
      <c r="I12" s="212"/>
      <c r="J12" s="178"/>
      <c r="K12" s="191"/>
      <c r="L12" s="192"/>
      <c r="M12" s="193" t="str">
        <f t="shared" si="0"/>
        <v>-</v>
      </c>
      <c r="N12" s="194" t="str">
        <f t="shared" si="0"/>
        <v>-</v>
      </c>
      <c r="O12" s="176" t="str">
        <f t="shared" si="0"/>
        <v>-</v>
      </c>
      <c r="P12" s="58"/>
      <c r="T12" s="58"/>
    </row>
    <row r="13" spans="1:30" ht="14.25" customHeight="1">
      <c r="A13" s="439"/>
      <c r="B13" s="428"/>
      <c r="C13" s="428"/>
      <c r="D13" s="414" t="s">
        <v>74</v>
      </c>
      <c r="E13" s="414"/>
      <c r="F13" s="415"/>
      <c r="G13" s="210"/>
      <c r="H13" s="211"/>
      <c r="I13" s="212"/>
      <c r="J13" s="178"/>
      <c r="K13" s="191"/>
      <c r="L13" s="192"/>
      <c r="M13" s="193" t="str">
        <f t="shared" si="0"/>
        <v>-</v>
      </c>
      <c r="N13" s="194" t="str">
        <f t="shared" si="0"/>
        <v>-</v>
      </c>
      <c r="O13" s="176" t="str">
        <f t="shared" si="0"/>
        <v>-</v>
      </c>
      <c r="P13" s="58"/>
      <c r="Q13" s="58"/>
      <c r="R13" s="58"/>
      <c r="S13" s="58"/>
      <c r="T13" s="58"/>
    </row>
    <row r="14" spans="1:30" ht="14.25" customHeight="1">
      <c r="A14" s="439"/>
      <c r="B14" s="428"/>
      <c r="C14" s="428" t="s">
        <v>156</v>
      </c>
      <c r="D14" s="443" t="s">
        <v>75</v>
      </c>
      <c r="E14" s="443"/>
      <c r="F14" s="444"/>
      <c r="G14" s="178"/>
      <c r="H14" s="191"/>
      <c r="I14" s="212"/>
      <c r="J14" s="178"/>
      <c r="K14" s="191"/>
      <c r="L14" s="192"/>
      <c r="M14" s="193" t="str">
        <f t="shared" si="0"/>
        <v>-</v>
      </c>
      <c r="N14" s="194" t="str">
        <f t="shared" si="0"/>
        <v>-</v>
      </c>
      <c r="O14" s="176" t="str">
        <f t="shared" si="0"/>
        <v>-</v>
      </c>
      <c r="P14" s="58"/>
      <c r="Q14" s="58"/>
      <c r="R14" s="58"/>
      <c r="S14" s="58"/>
      <c r="T14" s="58"/>
    </row>
    <row r="15" spans="1:30" ht="14.25" customHeight="1">
      <c r="A15" s="439"/>
      <c r="B15" s="428"/>
      <c r="C15" s="428"/>
      <c r="D15" s="443" t="s">
        <v>84</v>
      </c>
      <c r="E15" s="443"/>
      <c r="F15" s="444"/>
      <c r="G15" s="210"/>
      <c r="H15" s="211"/>
      <c r="I15" s="212"/>
      <c r="J15" s="178"/>
      <c r="K15" s="191"/>
      <c r="L15" s="192"/>
      <c r="M15" s="193" t="str">
        <f t="shared" si="0"/>
        <v>-</v>
      </c>
      <c r="N15" s="194" t="str">
        <f t="shared" si="0"/>
        <v>-</v>
      </c>
      <c r="O15" s="176" t="str">
        <f t="shared" si="0"/>
        <v>-</v>
      </c>
      <c r="P15" s="58"/>
      <c r="Q15" s="58"/>
      <c r="R15" s="58"/>
      <c r="S15" s="58"/>
      <c r="T15" s="58"/>
    </row>
    <row r="16" spans="1:30" ht="14.25" customHeight="1">
      <c r="A16" s="439"/>
      <c r="B16" s="428"/>
      <c r="C16" s="428"/>
      <c r="D16" s="414" t="s">
        <v>73</v>
      </c>
      <c r="E16" s="414"/>
      <c r="F16" s="415"/>
      <c r="G16" s="178"/>
      <c r="H16" s="191"/>
      <c r="I16" s="212"/>
      <c r="J16" s="178"/>
      <c r="K16" s="191"/>
      <c r="L16" s="192"/>
      <c r="M16" s="193" t="str">
        <f t="shared" si="0"/>
        <v>-</v>
      </c>
      <c r="N16" s="194" t="str">
        <f t="shared" si="0"/>
        <v>-</v>
      </c>
      <c r="O16" s="176" t="str">
        <f t="shared" si="0"/>
        <v>-</v>
      </c>
      <c r="P16" s="58"/>
      <c r="Q16" s="58"/>
      <c r="R16" s="58"/>
      <c r="S16" s="58"/>
      <c r="T16" s="58"/>
    </row>
    <row r="17" spans="1:22" ht="14.25" customHeight="1">
      <c r="A17" s="439"/>
      <c r="B17" s="428"/>
      <c r="C17" s="428"/>
      <c r="D17" s="414" t="s">
        <v>74</v>
      </c>
      <c r="E17" s="414"/>
      <c r="F17" s="415"/>
      <c r="G17" s="210"/>
      <c r="H17" s="211"/>
      <c r="I17" s="212"/>
      <c r="J17" s="178"/>
      <c r="K17" s="191"/>
      <c r="L17" s="192"/>
      <c r="M17" s="193" t="str">
        <f t="shared" si="0"/>
        <v>-</v>
      </c>
      <c r="N17" s="194" t="str">
        <f t="shared" si="0"/>
        <v>-</v>
      </c>
      <c r="O17" s="176" t="str">
        <f t="shared" si="0"/>
        <v>-</v>
      </c>
      <c r="P17" s="58"/>
      <c r="Q17" s="58"/>
      <c r="R17" s="58"/>
      <c r="S17" s="58"/>
      <c r="T17" s="58"/>
    </row>
    <row r="18" spans="1:22" ht="14.25" customHeight="1">
      <c r="A18" s="439"/>
      <c r="B18" s="428"/>
      <c r="C18" s="414" t="s">
        <v>77</v>
      </c>
      <c r="D18" s="414"/>
      <c r="E18" s="414"/>
      <c r="F18" s="415"/>
      <c r="G18" s="210"/>
      <c r="H18" s="211"/>
      <c r="I18" s="212"/>
      <c r="J18" s="178"/>
      <c r="K18" s="191"/>
      <c r="L18" s="192"/>
      <c r="M18" s="193" t="str">
        <f t="shared" si="0"/>
        <v>-</v>
      </c>
      <c r="N18" s="194" t="str">
        <f t="shared" si="0"/>
        <v>-</v>
      </c>
      <c r="O18" s="176" t="str">
        <f t="shared" si="0"/>
        <v>-</v>
      </c>
      <c r="P18" s="58"/>
      <c r="Q18" s="58"/>
      <c r="R18" s="58"/>
      <c r="S18" s="58"/>
      <c r="T18" s="58"/>
    </row>
    <row r="19" spans="1:22" ht="14.25" customHeight="1">
      <c r="A19" s="439"/>
      <c r="B19" s="428" t="s">
        <v>78</v>
      </c>
      <c r="C19" s="414" t="s">
        <v>69</v>
      </c>
      <c r="D19" s="414"/>
      <c r="E19" s="414"/>
      <c r="F19" s="415"/>
      <c r="G19" s="178"/>
      <c r="H19" s="191"/>
      <c r="I19" s="212"/>
      <c r="J19" s="178"/>
      <c r="K19" s="191"/>
      <c r="L19" s="192"/>
      <c r="M19" s="193" t="str">
        <f t="shared" si="0"/>
        <v>-</v>
      </c>
      <c r="N19" s="194" t="str">
        <f t="shared" si="0"/>
        <v>-</v>
      </c>
      <c r="O19" s="176" t="str">
        <f t="shared" si="0"/>
        <v>-</v>
      </c>
      <c r="P19" s="58"/>
      <c r="Q19" s="58"/>
      <c r="R19" s="58"/>
      <c r="S19" s="58"/>
      <c r="T19" s="58"/>
    </row>
    <row r="20" spans="1:22" ht="14.25" customHeight="1">
      <c r="A20" s="439"/>
      <c r="B20" s="428"/>
      <c r="C20" s="414" t="s">
        <v>156</v>
      </c>
      <c r="D20" s="414"/>
      <c r="E20" s="414"/>
      <c r="F20" s="415"/>
      <c r="G20" s="210"/>
      <c r="H20" s="211"/>
      <c r="I20" s="212"/>
      <c r="J20" s="178"/>
      <c r="K20" s="191"/>
      <c r="L20" s="192"/>
      <c r="M20" s="193" t="str">
        <f t="shared" si="0"/>
        <v>-</v>
      </c>
      <c r="N20" s="194" t="str">
        <f t="shared" si="0"/>
        <v>-</v>
      </c>
      <c r="O20" s="176" t="str">
        <f t="shared" si="0"/>
        <v>-</v>
      </c>
      <c r="P20" s="58"/>
      <c r="Q20" s="58"/>
      <c r="R20" s="58"/>
      <c r="S20" s="58"/>
      <c r="T20" s="58"/>
      <c r="U20" s="14"/>
      <c r="V20" s="14"/>
    </row>
    <row r="21" spans="1:22" ht="14.25" customHeight="1">
      <c r="A21" s="440"/>
      <c r="B21" s="434"/>
      <c r="C21" s="435" t="s">
        <v>183</v>
      </c>
      <c r="D21" s="435"/>
      <c r="E21" s="435"/>
      <c r="F21" s="436"/>
      <c r="G21" s="179"/>
      <c r="H21" s="204"/>
      <c r="I21" s="216"/>
      <c r="J21" s="179"/>
      <c r="K21" s="204"/>
      <c r="L21" s="217"/>
      <c r="M21" s="218" t="str">
        <f t="shared" si="0"/>
        <v>-</v>
      </c>
      <c r="N21" s="208" t="str">
        <f t="shared" si="0"/>
        <v>-</v>
      </c>
      <c r="O21" s="219" t="str">
        <f t="shared" si="0"/>
        <v>-</v>
      </c>
      <c r="P21" s="58"/>
      <c r="Q21" s="58"/>
      <c r="R21" s="58"/>
      <c r="S21" s="58"/>
      <c r="T21" s="58"/>
      <c r="U21" s="14"/>
      <c r="V21" s="14"/>
    </row>
    <row r="22" spans="1:22" ht="14.25" customHeight="1"/>
    <row r="23" spans="1:22" ht="14.25" customHeight="1">
      <c r="A23" s="85"/>
      <c r="B23" s="85"/>
      <c r="C23" s="85"/>
      <c r="D23" s="85"/>
      <c r="E23" s="85"/>
      <c r="F23" s="85"/>
      <c r="G23" s="83"/>
      <c r="H23" s="83"/>
      <c r="I23" s="84"/>
      <c r="J23" s="88"/>
      <c r="K23" s="88"/>
      <c r="L23" s="88"/>
      <c r="M23" s="88"/>
      <c r="N23" s="66"/>
      <c r="O23" s="66"/>
      <c r="P23" s="69"/>
      <c r="Q23" s="437"/>
      <c r="R23" s="437"/>
      <c r="S23" s="437"/>
      <c r="T23" s="437"/>
    </row>
    <row r="24" spans="1:22" ht="14.25" customHeight="1"/>
    <row r="25" spans="1:22" ht="14.25" customHeight="1"/>
    <row r="26" spans="1:22" ht="14.25" customHeight="1"/>
    <row r="27" spans="1:22" ht="14.25" customHeight="1"/>
    <row r="28" spans="1:22" ht="14.25" customHeight="1"/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</sheetData>
  <mergeCells count="26">
    <mergeCell ref="D8:F8"/>
    <mergeCell ref="D9:F9"/>
    <mergeCell ref="D10:F10"/>
    <mergeCell ref="D12:F12"/>
    <mergeCell ref="D13:F13"/>
    <mergeCell ref="C14:C17"/>
    <mergeCell ref="D14:F14"/>
    <mergeCell ref="D15:F15"/>
    <mergeCell ref="D16:F16"/>
    <mergeCell ref="D17:F17"/>
    <mergeCell ref="Q23:T23"/>
    <mergeCell ref="Q1:S1"/>
    <mergeCell ref="Q2:S2"/>
    <mergeCell ref="C18:F18"/>
    <mergeCell ref="B19:B21"/>
    <mergeCell ref="C19:F19"/>
    <mergeCell ref="C20:F20"/>
    <mergeCell ref="C21:F21"/>
    <mergeCell ref="M5:O5"/>
    <mergeCell ref="A5:F7"/>
    <mergeCell ref="G5:I5"/>
    <mergeCell ref="J5:L5"/>
    <mergeCell ref="A8:A21"/>
    <mergeCell ref="B8:B18"/>
    <mergeCell ref="C8:C13"/>
    <mergeCell ref="D11:F11"/>
  </mergeCells>
  <phoneticPr fontId="1"/>
  <printOptions horizontalCentered="1" verticalCentered="1"/>
  <pageMargins left="0.59055118110236227" right="0.59055118110236227" top="0.59055118110236227" bottom="0.39370078740157483" header="0.31496062992125984" footer="0.19685039370078741"/>
  <pageSetup paperSize="9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No.1</vt:lpstr>
      <vt:lpstr>No.2</vt:lpstr>
      <vt:lpstr>No.3</vt:lpstr>
      <vt:lpstr>No.4</vt:lpstr>
      <vt:lpstr>No.5</vt:lpstr>
      <vt:lpstr>No.5 (2)</vt:lpstr>
      <vt:lpstr>No.1!Print_Area</vt:lpstr>
      <vt:lpstr>No.2!Print_Area</vt:lpstr>
      <vt:lpstr>No.3!Print_Area</vt:lpstr>
      <vt:lpstr>No.4!Print_Area</vt:lpstr>
      <vt:lpstr>No.5!Print_Area</vt:lpstr>
      <vt:lpstr>'No.5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sunami</cp:lastModifiedBy>
  <cp:lastPrinted>2019-06-20T01:02:13Z</cp:lastPrinted>
  <dcterms:created xsi:type="dcterms:W3CDTF">2011-03-14T15:00:00Z</dcterms:created>
  <dcterms:modified xsi:type="dcterms:W3CDTF">2019-12-13T08:03:23Z</dcterms:modified>
</cp:coreProperties>
</file>