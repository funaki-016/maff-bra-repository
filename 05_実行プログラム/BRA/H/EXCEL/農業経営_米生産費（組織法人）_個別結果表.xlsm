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6E32AE14-323D-44EA-8F3E-94128727AF75}" xr6:coauthVersionLast="47" xr6:coauthVersionMax="47" xr10:uidLastSave="{00000000-0000-0000-0000-000000000000}"/>
  <bookViews>
    <workbookView xWindow="-120" yWindow="480" windowWidth="29040" windowHeight="15840" tabRatio="903" xr2:uid="{00000000-000D-0000-FFFF-FFFF00000000}"/>
  </bookViews>
  <sheets>
    <sheet name="No1" sheetId="196" r:id="rId1"/>
    <sheet name="No2" sheetId="197" r:id="rId2"/>
    <sheet name="No3" sheetId="199" r:id="rId3"/>
    <sheet name="リスト" sheetId="203" state="hidden" r:id="rId4"/>
  </sheets>
  <functionGroups builtInGroupCount="19"/>
  <definedNames>
    <definedName name="_xlnm.Print_Area" localSheetId="0">'No1'!$A$1:$CG$59</definedName>
    <definedName name="_xlnm.Print_Area" localSheetId="1">'No2'!$A$1:$CG$59</definedName>
    <definedName name="_xlnm.Print_Area" localSheetId="2">'No3'!$A$1:$CG$59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5" i="196" l="1"/>
  <c r="Q14" i="203" l="1"/>
  <c r="AS5" i="196"/>
  <c r="W9" i="203" l="1"/>
  <c r="H17" i="203"/>
  <c r="H5" i="199" l="1"/>
  <c r="H5" i="197"/>
  <c r="B1" i="196" l="1"/>
  <c r="B5" i="199"/>
  <c r="B1" i="199" s="1"/>
  <c r="B5" i="197"/>
  <c r="B1" i="197" s="1"/>
  <c r="N10" i="203" l="1"/>
  <c r="K7" i="203"/>
  <c r="BK5" i="196" s="1"/>
  <c r="B52" i="203"/>
  <c r="T127" i="203"/>
  <c r="AY5" i="196" s="1"/>
  <c r="AC7" i="203"/>
  <c r="Z7" i="203"/>
  <c r="BW5" i="196"/>
  <c r="BQ5" i="196"/>
  <c r="AG5" i="196"/>
  <c r="BE5" i="196"/>
  <c r="I5" i="196"/>
  <c r="AA5" i="196"/>
  <c r="E16" i="203"/>
</calcChain>
</file>

<file path=xl/sharedStrings.xml><?xml version="1.0" encoding="utf-8"?>
<sst xmlns="http://schemas.openxmlformats.org/spreadsheetml/2006/main" count="741" uniqueCount="561">
  <si>
    <t>その他</t>
  </si>
  <si>
    <t>月</t>
    <rPh sb="0" eb="1">
      <t>ツキ</t>
    </rPh>
    <phoneticPr fontId="14"/>
  </si>
  <si>
    <t>集計倍率</t>
    <rPh sb="0" eb="2">
      <t>シュウケイ</t>
    </rPh>
    <rPh sb="2" eb="4">
      <t>バイリツ</t>
    </rPh>
    <phoneticPr fontId="14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</si>
  <si>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4"/>
  </si>
  <si>
    <t>調査年</t>
    <rPh sb="0" eb="2">
      <t>チョウサ</t>
    </rPh>
    <rPh sb="2" eb="3">
      <t>ネン</t>
    </rPh>
    <phoneticPr fontId="14"/>
  </si>
  <si>
    <t>計</t>
    <rPh sb="0" eb="1">
      <t>ケイ</t>
    </rPh>
    <phoneticPr fontId="14"/>
  </si>
  <si>
    <t>認定農業者区分</t>
    <rPh sb="0" eb="2">
      <t>ニンテイ</t>
    </rPh>
    <rPh sb="2" eb="5">
      <t>ノウギョウシャ</t>
    </rPh>
    <rPh sb="5" eb="7">
      <t>クブン</t>
    </rPh>
    <phoneticPr fontId="14"/>
  </si>
  <si>
    <t>７５歳以上</t>
    <rPh sb="2" eb="5">
      <t>サイイジョウ</t>
    </rPh>
    <phoneticPr fontId="14"/>
  </si>
  <si>
    <t>６５歳未満</t>
    <rPh sb="2" eb="3">
      <t>サイ</t>
    </rPh>
    <rPh sb="3" eb="5">
      <t>ミマン</t>
    </rPh>
    <phoneticPr fontId="14"/>
  </si>
  <si>
    <t>粗収益</t>
    <rPh sb="0" eb="3">
      <t>ソシュウエキ</t>
    </rPh>
    <phoneticPr fontId="14"/>
  </si>
  <si>
    <t>くず米</t>
    <rPh sb="2" eb="3">
      <t>マイ</t>
    </rPh>
    <phoneticPr fontId="14"/>
  </si>
  <si>
    <t>副産物</t>
    <rPh sb="0" eb="3">
      <t>フクサンブツ</t>
    </rPh>
    <phoneticPr fontId="14"/>
  </si>
  <si>
    <t>１０ａ当たり</t>
    <rPh sb="3" eb="4">
      <t>ア</t>
    </rPh>
    <phoneticPr fontId="14"/>
  </si>
  <si>
    <t>労働時間合計</t>
    <rPh sb="0" eb="2">
      <t>ロウドウ</t>
    </rPh>
    <rPh sb="2" eb="4">
      <t>ジカン</t>
    </rPh>
    <rPh sb="4" eb="6">
      <t>ゴウケイ</t>
    </rPh>
    <phoneticPr fontId="14"/>
  </si>
  <si>
    <t>間接労働時間</t>
    <rPh sb="0" eb="2">
      <t>カンセツ</t>
    </rPh>
    <rPh sb="2" eb="4">
      <t>ロウドウ</t>
    </rPh>
    <rPh sb="4" eb="6">
      <t>ジカン</t>
    </rPh>
    <phoneticPr fontId="14"/>
  </si>
  <si>
    <t>主産物</t>
    <rPh sb="0" eb="3">
      <t>シュサンブツ</t>
    </rPh>
    <phoneticPr fontId="14"/>
  </si>
  <si>
    <t>価額</t>
    <rPh sb="0" eb="2">
      <t>カガク</t>
    </rPh>
    <phoneticPr fontId="14"/>
  </si>
  <si>
    <t>数量</t>
    <rPh sb="0" eb="2">
      <t>スウリョウ</t>
    </rPh>
    <phoneticPr fontId="14"/>
  </si>
  <si>
    <t>生産管理</t>
    <rPh sb="0" eb="2">
      <t>セイサン</t>
    </rPh>
    <rPh sb="2" eb="4">
      <t>カンリ</t>
    </rPh>
    <phoneticPr fontId="14"/>
  </si>
  <si>
    <t>１０　ａ　当　た　り</t>
    <rPh sb="5" eb="6">
      <t>ア</t>
    </rPh>
    <phoneticPr fontId="14"/>
  </si>
  <si>
    <t>総数</t>
    <rPh sb="0" eb="2">
      <t>ソウスウ</t>
    </rPh>
    <phoneticPr fontId="14"/>
  </si>
  <si>
    <t>乾燥</t>
    <rPh sb="0" eb="2">
      <t>カンソウ</t>
    </rPh>
    <phoneticPr fontId="14"/>
  </si>
  <si>
    <t>刈取脱穀</t>
    <rPh sb="0" eb="4">
      <t>カリトリダッコク</t>
    </rPh>
    <phoneticPr fontId="14"/>
  </si>
  <si>
    <t>農機具</t>
    <rPh sb="0" eb="3">
      <t>ノウキグ</t>
    </rPh>
    <phoneticPr fontId="14"/>
  </si>
  <si>
    <t>防除</t>
    <rPh sb="0" eb="2">
      <t>ボウジョ</t>
    </rPh>
    <phoneticPr fontId="14"/>
  </si>
  <si>
    <t>自動車</t>
    <rPh sb="0" eb="3">
      <t>ジドウシャ</t>
    </rPh>
    <phoneticPr fontId="14"/>
  </si>
  <si>
    <t>管理</t>
    <rPh sb="0" eb="2">
      <t>カンリ</t>
    </rPh>
    <phoneticPr fontId="14"/>
  </si>
  <si>
    <t>土地改良設備</t>
    <rPh sb="0" eb="2">
      <t>トチ</t>
    </rPh>
    <rPh sb="2" eb="4">
      <t>カイリョウ</t>
    </rPh>
    <rPh sb="4" eb="6">
      <t>セツビ</t>
    </rPh>
    <phoneticPr fontId="14"/>
  </si>
  <si>
    <t>除草</t>
    <rPh sb="0" eb="2">
      <t>ジョソウ</t>
    </rPh>
    <phoneticPr fontId="14"/>
  </si>
  <si>
    <t>建物・構築物</t>
    <rPh sb="0" eb="2">
      <t>タテモノ</t>
    </rPh>
    <rPh sb="3" eb="5">
      <t>コウチク</t>
    </rPh>
    <rPh sb="5" eb="6">
      <t>ブツ</t>
    </rPh>
    <phoneticPr fontId="14"/>
  </si>
  <si>
    <t>追肥</t>
    <rPh sb="0" eb="2">
      <t>ツイヒ</t>
    </rPh>
    <phoneticPr fontId="14"/>
  </si>
  <si>
    <t>固定資本</t>
    <rPh sb="0" eb="2">
      <t>コテイ</t>
    </rPh>
    <rPh sb="2" eb="4">
      <t>シホン</t>
    </rPh>
    <phoneticPr fontId="14"/>
  </si>
  <si>
    <t>田植</t>
    <rPh sb="0" eb="2">
      <t>タウ</t>
    </rPh>
    <phoneticPr fontId="14"/>
  </si>
  <si>
    <t>労賃資本</t>
    <rPh sb="0" eb="2">
      <t>ロウチン</t>
    </rPh>
    <rPh sb="2" eb="4">
      <t>シホン</t>
    </rPh>
    <phoneticPr fontId="14"/>
  </si>
  <si>
    <t>直まき</t>
    <rPh sb="0" eb="1">
      <t>チョク</t>
    </rPh>
    <phoneticPr fontId="14"/>
  </si>
  <si>
    <t>流動資本</t>
    <rPh sb="0" eb="2">
      <t>リュウドウ</t>
    </rPh>
    <rPh sb="2" eb="4">
      <t>シホン</t>
    </rPh>
    <phoneticPr fontId="14"/>
  </si>
  <si>
    <t>資産別内訳</t>
    <rPh sb="0" eb="3">
      <t>シサンベツ</t>
    </rPh>
    <rPh sb="3" eb="5">
      <t>ウチワケ</t>
    </rPh>
    <phoneticPr fontId="14"/>
  </si>
  <si>
    <t>基肥</t>
    <rPh sb="0" eb="1">
      <t>モト</t>
    </rPh>
    <rPh sb="1" eb="2">
      <t>ヒ</t>
    </rPh>
    <phoneticPr fontId="14"/>
  </si>
  <si>
    <t>自己資本</t>
    <rPh sb="0" eb="2">
      <t>ジコ</t>
    </rPh>
    <rPh sb="2" eb="4">
      <t>シホン</t>
    </rPh>
    <phoneticPr fontId="14"/>
  </si>
  <si>
    <t>耕起整地</t>
    <rPh sb="0" eb="2">
      <t>コウキ</t>
    </rPh>
    <rPh sb="2" eb="4">
      <t>セイチ</t>
    </rPh>
    <phoneticPr fontId="14"/>
  </si>
  <si>
    <t>借入資本</t>
    <rPh sb="0" eb="2">
      <t>カリイレ</t>
    </rPh>
    <rPh sb="2" eb="4">
      <t>シホン</t>
    </rPh>
    <phoneticPr fontId="14"/>
  </si>
  <si>
    <t>育苗</t>
    <rPh sb="0" eb="2">
      <t>イクビョウ</t>
    </rPh>
    <phoneticPr fontId="14"/>
  </si>
  <si>
    <t>資本額</t>
    <rPh sb="0" eb="3">
      <t>シホンガク</t>
    </rPh>
    <phoneticPr fontId="14"/>
  </si>
  <si>
    <t>種子予措</t>
    <rPh sb="0" eb="2">
      <t>シュシ</t>
    </rPh>
    <rPh sb="2" eb="3">
      <t>ヨ</t>
    </rPh>
    <rPh sb="3" eb="4">
      <t>ソチ</t>
    </rPh>
    <phoneticPr fontId="14"/>
  </si>
  <si>
    <t>直接労働時間</t>
    <rPh sb="0" eb="2">
      <t>チョクセツ</t>
    </rPh>
    <rPh sb="2" eb="4">
      <t>ロウドウ</t>
    </rPh>
    <rPh sb="4" eb="6">
      <t>ジカン</t>
    </rPh>
    <phoneticPr fontId="14"/>
  </si>
  <si>
    <t>稲作負担分</t>
    <rPh sb="0" eb="2">
      <t>イナサク</t>
    </rPh>
    <rPh sb="2" eb="5">
      <t>フタンブン</t>
    </rPh>
    <phoneticPr fontId="14"/>
  </si>
  <si>
    <t>利子額</t>
    <rPh sb="0" eb="2">
      <t>リシ</t>
    </rPh>
    <rPh sb="2" eb="3">
      <t>ガク</t>
    </rPh>
    <phoneticPr fontId="14"/>
  </si>
  <si>
    <t>雇用</t>
    <rPh sb="0" eb="2">
      <t>コヨウ</t>
    </rPh>
    <phoneticPr fontId="14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</si>
  <si>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4"/>
  </si>
  <si>
    <t>全算入生産費</t>
    <rPh sb="0" eb="1">
      <t>ゼン</t>
    </rPh>
    <rPh sb="1" eb="3">
      <t>サンニュウ</t>
    </rPh>
    <rPh sb="3" eb="6">
      <t>セイサンヒ</t>
    </rPh>
    <phoneticPr fontId="14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</si>
  <si>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4"/>
  </si>
  <si>
    <t>自作地地代</t>
    <rPh sb="0" eb="3">
      <t>ジサクチ</t>
    </rPh>
    <rPh sb="3" eb="5">
      <t>チダイ</t>
    </rPh>
    <phoneticPr fontId="14"/>
  </si>
  <si>
    <t>実勢地代</t>
    <rPh sb="0" eb="2">
      <t>ジッセイ</t>
    </rPh>
    <rPh sb="2" eb="4">
      <t>チダイ</t>
    </rPh>
    <phoneticPr fontId="14"/>
  </si>
  <si>
    <t>自己資本利子</t>
    <rPh sb="0" eb="2">
      <t>ジコ</t>
    </rPh>
    <rPh sb="2" eb="4">
      <t>シホン</t>
    </rPh>
    <rPh sb="4" eb="6">
      <t>リシ</t>
    </rPh>
    <phoneticPr fontId="14"/>
  </si>
  <si>
    <t>借入地</t>
    <rPh sb="0" eb="3">
      <t>カリイレチ</t>
    </rPh>
    <phoneticPr fontId="14"/>
  </si>
  <si>
    <t>自作地</t>
    <rPh sb="0" eb="3">
      <t>ジサクチ</t>
    </rPh>
    <phoneticPr fontId="14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</si>
  <si>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4"/>
  </si>
  <si>
    <t>１　　０　　ａ　　当　　た　　り</t>
    <rPh sb="9" eb="10">
      <t>ア</t>
    </rPh>
    <phoneticPr fontId="14"/>
  </si>
  <si>
    <t>支払地代</t>
    <rPh sb="0" eb="2">
      <t>シハラ</t>
    </rPh>
    <rPh sb="2" eb="4">
      <t>チダイ</t>
    </rPh>
    <phoneticPr fontId="14"/>
  </si>
  <si>
    <t>負担地代</t>
    <rPh sb="0" eb="2">
      <t>フタン</t>
    </rPh>
    <rPh sb="2" eb="4">
      <t>チダイ</t>
    </rPh>
    <phoneticPr fontId="14"/>
  </si>
  <si>
    <t>支払利子</t>
    <rPh sb="0" eb="2">
      <t>シハライ</t>
    </rPh>
    <rPh sb="2" eb="4">
      <t>リシ</t>
    </rPh>
    <phoneticPr fontId="14"/>
  </si>
  <si>
    <t>賃借料総額</t>
    <rPh sb="0" eb="3">
      <t>チンシャクリョウ</t>
    </rPh>
    <rPh sb="3" eb="5">
      <t>ソウガク</t>
    </rPh>
    <phoneticPr fontId="14"/>
  </si>
  <si>
    <t>生産費</t>
    <rPh sb="0" eb="3">
      <t>セイサンヒ</t>
    </rPh>
    <phoneticPr fontId="14"/>
  </si>
  <si>
    <t>使用面積</t>
    <rPh sb="0" eb="2">
      <t>シヨウ</t>
    </rPh>
    <rPh sb="2" eb="4">
      <t>メンセキ</t>
    </rPh>
    <phoneticPr fontId="14"/>
  </si>
  <si>
    <t>以　外
作付地</t>
    <rPh sb="4" eb="5">
      <t>サク</t>
    </rPh>
    <rPh sb="5" eb="6">
      <t>ツ</t>
    </rPh>
    <rPh sb="6" eb="7">
      <t>チ</t>
    </rPh>
    <phoneticPr fontId="14"/>
  </si>
  <si>
    <t>副産物価額</t>
    <rPh sb="0" eb="3">
      <t>フクサンブツ</t>
    </rPh>
    <rPh sb="3" eb="5">
      <t>カガク</t>
    </rPh>
    <phoneticPr fontId="14"/>
  </si>
  <si>
    <t>費用合計</t>
    <rPh sb="0" eb="2">
      <t>ヒヨウ</t>
    </rPh>
    <rPh sb="2" eb="4">
      <t>ゴウケイ</t>
    </rPh>
    <phoneticPr fontId="14"/>
  </si>
  <si>
    <t>地代総額</t>
    <rPh sb="0" eb="2">
      <t>チダイ</t>
    </rPh>
    <rPh sb="2" eb="4">
      <t>ソウガク</t>
    </rPh>
    <phoneticPr fontId="14"/>
  </si>
  <si>
    <t>間接労働費</t>
    <rPh sb="0" eb="2">
      <t>カンセツ</t>
    </rPh>
    <rPh sb="2" eb="5">
      <t>ロウドウヒ</t>
    </rPh>
    <phoneticPr fontId="14"/>
  </si>
  <si>
    <t>土地台帳面積</t>
    <rPh sb="0" eb="2">
      <t>トチ</t>
    </rPh>
    <rPh sb="2" eb="4">
      <t>ダイチョウ</t>
    </rPh>
    <rPh sb="4" eb="6">
      <t>メンセキ</t>
    </rPh>
    <phoneticPr fontId="14"/>
  </si>
  <si>
    <t>直接労働費</t>
    <rPh sb="0" eb="2">
      <t>チョクセツ</t>
    </rPh>
    <rPh sb="2" eb="5">
      <t>ロウドウヒ</t>
    </rPh>
    <phoneticPr fontId="14"/>
  </si>
  <si>
    <t>作付実面積</t>
    <rPh sb="0" eb="2">
      <t>サクツケ</t>
    </rPh>
    <rPh sb="2" eb="3">
      <t>ジツ</t>
    </rPh>
    <rPh sb="3" eb="5">
      <t>メンセキ</t>
    </rPh>
    <phoneticPr fontId="14"/>
  </si>
  <si>
    <t>作付地</t>
    <rPh sb="0" eb="1">
      <t>サク</t>
    </rPh>
    <rPh sb="1" eb="2">
      <t>ツ</t>
    </rPh>
    <rPh sb="2" eb="3">
      <t>チ</t>
    </rPh>
    <phoneticPr fontId="14"/>
  </si>
  <si>
    <t>労働費</t>
    <rPh sb="0" eb="3">
      <t>ロウドウヒ</t>
    </rPh>
    <phoneticPr fontId="14"/>
  </si>
  <si>
    <t>生産管理費</t>
    <rPh sb="0" eb="2">
      <t>セイサン</t>
    </rPh>
    <rPh sb="2" eb="5">
      <t>カンリヒ</t>
    </rPh>
    <phoneticPr fontId="14"/>
  </si>
  <si>
    <t>総額</t>
    <rPh sb="0" eb="2">
      <t>ソウガク</t>
    </rPh>
    <phoneticPr fontId="14"/>
  </si>
  <si>
    <t>農機具費</t>
    <rPh sb="0" eb="3">
      <t>ノウキグ</t>
    </rPh>
    <rPh sb="3" eb="4">
      <t>ヒ</t>
    </rPh>
    <phoneticPr fontId="14"/>
  </si>
  <si>
    <t>自動車費</t>
    <rPh sb="0" eb="3">
      <t>ジドウシャ</t>
    </rPh>
    <rPh sb="3" eb="4">
      <t>ヒ</t>
    </rPh>
    <phoneticPr fontId="14"/>
  </si>
  <si>
    <t>合計</t>
    <rPh sb="0" eb="2">
      <t>ゴウケイ</t>
    </rPh>
    <phoneticPr fontId="14"/>
  </si>
  <si>
    <t>建物費</t>
    <rPh sb="0" eb="2">
      <t>タテモノ</t>
    </rPh>
    <rPh sb="2" eb="3">
      <t>ヒ</t>
    </rPh>
    <phoneticPr fontId="14"/>
  </si>
  <si>
    <t>賃借料及び料金</t>
    <rPh sb="0" eb="3">
      <t>チンシャクリョウ</t>
    </rPh>
    <rPh sb="3" eb="4">
      <t>オヨ</t>
    </rPh>
    <rPh sb="5" eb="7">
      <t>リョウキン</t>
    </rPh>
    <phoneticPr fontId="14"/>
  </si>
  <si>
    <t>牧草地</t>
    <rPh sb="0" eb="3">
      <t>ボクソウチ</t>
    </rPh>
    <phoneticPr fontId="14"/>
  </si>
  <si>
    <t>その他諸材料費</t>
    <rPh sb="2" eb="3">
      <t>タ</t>
    </rPh>
    <rPh sb="3" eb="7">
      <t>ショザイリョウヒ</t>
    </rPh>
    <phoneticPr fontId="14"/>
  </si>
  <si>
    <t>光熱動力費</t>
    <rPh sb="0" eb="2">
      <t>コウネツ</t>
    </rPh>
    <rPh sb="2" eb="4">
      <t>ドウリョク</t>
    </rPh>
    <rPh sb="4" eb="5">
      <t>ヒ</t>
    </rPh>
    <phoneticPr fontId="14"/>
  </si>
  <si>
    <t>農業薬剤費</t>
    <rPh sb="0" eb="2">
      <t>ノウギョウ</t>
    </rPh>
    <rPh sb="2" eb="5">
      <t>ヤクザイヒ</t>
    </rPh>
    <phoneticPr fontId="14"/>
  </si>
  <si>
    <t>田</t>
    <rPh sb="0" eb="1">
      <t>タ</t>
    </rPh>
    <phoneticPr fontId="14"/>
  </si>
  <si>
    <t>肥料費</t>
    <rPh sb="0" eb="3">
      <t>ヒリョウヒ</t>
    </rPh>
    <phoneticPr fontId="14"/>
  </si>
  <si>
    <t>所有地</t>
    <rPh sb="0" eb="3">
      <t>ショユウチ</t>
    </rPh>
    <phoneticPr fontId="14"/>
  </si>
  <si>
    <t>種苗費</t>
    <rPh sb="0" eb="3">
      <t>シュビョウヒ</t>
    </rPh>
    <phoneticPr fontId="14"/>
  </si>
  <si>
    <t>物財費</t>
    <rPh sb="0" eb="1">
      <t>ブツ</t>
    </rPh>
    <rPh sb="1" eb="3">
      <t>ザイヒ</t>
    </rPh>
    <phoneticPr fontId="14"/>
  </si>
  <si>
    <t>償却</t>
    <rPh sb="0" eb="2">
      <t>ショウキャク</t>
    </rPh>
    <phoneticPr fontId="14"/>
  </si>
  <si>
    <t>購入</t>
    <rPh sb="0" eb="2">
      <t>コウニュウ</t>
    </rPh>
    <phoneticPr fontId="14"/>
  </si>
  <si>
    <t>平年作比</t>
    <rPh sb="0" eb="3">
      <t>ヘイネンサク</t>
    </rPh>
    <rPh sb="3" eb="4">
      <t>ヒ</t>
    </rPh>
    <phoneticPr fontId="14"/>
  </si>
  <si>
    <t>１０ａ当たり収量</t>
    <rPh sb="3" eb="4">
      <t>ア</t>
    </rPh>
    <rPh sb="6" eb="8">
      <t>シュウリョウ</t>
    </rPh>
    <phoneticPr fontId="14"/>
  </si>
  <si>
    <t>10a当たり平年収量</t>
    <rPh sb="3" eb="4">
      <t>ア</t>
    </rPh>
    <rPh sb="6" eb="8">
      <t>ヘイネン</t>
    </rPh>
    <rPh sb="8" eb="10">
      <t>シュウリョウ</t>
    </rPh>
    <phoneticPr fontId="14"/>
  </si>
  <si>
    <t>６０㎏当たり</t>
    <rPh sb="3" eb="4">
      <t>ア</t>
    </rPh>
    <phoneticPr fontId="14"/>
  </si>
  <si>
    <t>１　０　ａ　当　た　り</t>
    <rPh sb="6" eb="7">
      <t>ア</t>
    </rPh>
    <phoneticPr fontId="14"/>
  </si>
  <si>
    <t>販売数量階層</t>
    <rPh sb="0" eb="2">
      <t>ハンバイ</t>
    </rPh>
    <rPh sb="2" eb="4">
      <t>スウリョウ</t>
    </rPh>
    <rPh sb="4" eb="6">
      <t>カイソウ</t>
    </rPh>
    <phoneticPr fontId="14"/>
  </si>
  <si>
    <t>作付規模階層</t>
    <rPh sb="0" eb="2">
      <t>サクツケ</t>
    </rPh>
    <rPh sb="2" eb="4">
      <t>キボ</t>
    </rPh>
    <rPh sb="4" eb="6">
      <t>カイソウ</t>
    </rPh>
    <phoneticPr fontId="14"/>
  </si>
  <si>
    <t>生産費区分</t>
    <rPh sb="0" eb="3">
      <t>セイサンヒ</t>
    </rPh>
    <rPh sb="3" eb="5">
      <t>クブン</t>
    </rPh>
    <phoneticPr fontId="14"/>
  </si>
  <si>
    <t>戦略作物助成</t>
    <rPh sb="0" eb="2">
      <t>センリャク</t>
    </rPh>
    <rPh sb="2" eb="4">
      <t>サクモツ</t>
    </rPh>
    <rPh sb="4" eb="6">
      <t>ジョセイ</t>
    </rPh>
    <phoneticPr fontId="14"/>
  </si>
  <si>
    <t>買掛未払金</t>
    <rPh sb="0" eb="2">
      <t>カイカケ</t>
    </rPh>
    <rPh sb="2" eb="3">
      <t>ミ</t>
    </rPh>
    <rPh sb="3" eb="4">
      <t>ハラ</t>
    </rPh>
    <rPh sb="4" eb="5">
      <t>キン</t>
    </rPh>
    <phoneticPr fontId="14"/>
  </si>
  <si>
    <t>農業共済金</t>
    <rPh sb="0" eb="2">
      <t>ノウギョウ</t>
    </rPh>
    <rPh sb="2" eb="4">
      <t>キョウサイ</t>
    </rPh>
    <rPh sb="4" eb="5">
      <t>キン</t>
    </rPh>
    <phoneticPr fontId="14"/>
  </si>
  <si>
    <t>受取金</t>
    <rPh sb="0" eb="3">
      <t>ウケトリキン</t>
    </rPh>
    <phoneticPr fontId="14"/>
  </si>
  <si>
    <t>拠出金</t>
    <rPh sb="0" eb="3">
      <t>キョシュツキン</t>
    </rPh>
    <phoneticPr fontId="14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</si>
  <si>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4"/>
  </si>
  <si>
    <t>１０　　ａ　　当　　た　　り</t>
    <rPh sb="7" eb="8">
      <t>ア</t>
    </rPh>
    <phoneticPr fontId="14"/>
  </si>
  <si>
    <t>いなわら小計</t>
    <rPh sb="4" eb="6">
      <t>ショウケイ</t>
    </rPh>
    <phoneticPr fontId="14"/>
  </si>
  <si>
    <t>その他</t>
    <rPh sb="2" eb="3">
      <t>タ</t>
    </rPh>
    <phoneticPr fontId="14"/>
  </si>
  <si>
    <t>たい肥</t>
    <rPh sb="2" eb="3">
      <t>ヒ</t>
    </rPh>
    <phoneticPr fontId="14"/>
  </si>
  <si>
    <t>乾燥わら</t>
    <rPh sb="0" eb="2">
      <t>カンソウ</t>
    </rPh>
    <phoneticPr fontId="14"/>
  </si>
  <si>
    <t>生わら</t>
    <rPh sb="0" eb="1">
      <t>ナマ</t>
    </rPh>
    <phoneticPr fontId="14"/>
  </si>
  <si>
    <t>労働時間</t>
    <rPh sb="0" eb="2">
      <t>ロウドウ</t>
    </rPh>
    <rPh sb="2" eb="4">
      <t>ジカン</t>
    </rPh>
    <phoneticPr fontId="14"/>
  </si>
  <si>
    <t>加工用</t>
    <rPh sb="0" eb="3">
      <t>カコウヨウ</t>
    </rPh>
    <phoneticPr fontId="14"/>
  </si>
  <si>
    <t>販売</t>
    <rPh sb="0" eb="2">
      <t>ハンバイヨウ</t>
    </rPh>
    <phoneticPr fontId="14"/>
  </si>
  <si>
    <t>いなわら等</t>
    <rPh sb="4" eb="5">
      <t>トウ</t>
    </rPh>
    <phoneticPr fontId="14"/>
  </si>
  <si>
    <t>面積</t>
    <rPh sb="0" eb="2">
      <t>メンセキ</t>
    </rPh>
    <phoneticPr fontId="14"/>
  </si>
  <si>
    <t>乾燥・調製</t>
    <rPh sb="0" eb="2">
      <t>カンソウ</t>
    </rPh>
    <rPh sb="3" eb="5">
      <t>チョウセイ</t>
    </rPh>
    <phoneticPr fontId="14"/>
  </si>
  <si>
    <t>小計</t>
    <rPh sb="0" eb="2">
      <t>ショウケイ</t>
    </rPh>
    <phoneticPr fontId="14"/>
  </si>
  <si>
    <t>飯米用</t>
    <rPh sb="0" eb="2">
      <t>ハンマイ</t>
    </rPh>
    <rPh sb="2" eb="3">
      <t>ヨウ</t>
    </rPh>
    <phoneticPr fontId="14"/>
  </si>
  <si>
    <t>耕うん・整地</t>
    <rPh sb="0" eb="1">
      <t>コウウン</t>
    </rPh>
    <rPh sb="4" eb="6">
      <t>セイチ</t>
    </rPh>
    <phoneticPr fontId="14"/>
  </si>
  <si>
    <t>種子用</t>
    <rPh sb="0" eb="2">
      <t>シュシ</t>
    </rPh>
    <rPh sb="2" eb="3">
      <t>ヨウ</t>
    </rPh>
    <phoneticPr fontId="14"/>
  </si>
  <si>
    <t>区分出荷</t>
    <rPh sb="0" eb="2">
      <t>クブン</t>
    </rPh>
    <rPh sb="2" eb="4">
      <t>シュッカ</t>
    </rPh>
    <phoneticPr fontId="14"/>
  </si>
  <si>
    <t>主食用</t>
    <rPh sb="0" eb="3">
      <t>シュショクヨウ</t>
    </rPh>
    <phoneticPr fontId="14"/>
  </si>
  <si>
    <t>販売用</t>
    <rPh sb="0" eb="3">
      <t>ハンバイヨウ</t>
    </rPh>
    <phoneticPr fontId="14"/>
  </si>
  <si>
    <t>玄米（予定を含む）</t>
    <rPh sb="0" eb="2">
      <t>ゲンマイ</t>
    </rPh>
    <rPh sb="3" eb="5">
      <t>ヨテイ</t>
    </rPh>
    <rPh sb="6" eb="7">
      <t>フク</t>
    </rPh>
    <phoneticPr fontId="14"/>
  </si>
  <si>
    <t>単価</t>
    <rPh sb="0" eb="2">
      <t>タンカ</t>
    </rPh>
    <phoneticPr fontId="14"/>
  </si>
  <si>
    <t>刈取・脱穀</t>
    <rPh sb="0" eb="2">
      <t>カリトリ</t>
    </rPh>
    <rPh sb="3" eb="5">
      <t>ダッコク</t>
    </rPh>
    <phoneticPr fontId="14"/>
  </si>
  <si>
    <t>団地への平均距離</t>
    <rPh sb="0" eb="2">
      <t>ダンチ</t>
    </rPh>
    <rPh sb="4" eb="6">
      <t>ヘイキン</t>
    </rPh>
    <rPh sb="6" eb="8">
      <t>キョリ</t>
    </rPh>
    <phoneticPr fontId="14"/>
  </si>
  <si>
    <t>ほ場間の距離</t>
    <rPh sb="1" eb="2">
      <t>ジョウ</t>
    </rPh>
    <rPh sb="2" eb="3">
      <t>カン</t>
    </rPh>
    <rPh sb="4" eb="6">
      <t>キョリ</t>
    </rPh>
    <phoneticPr fontId="14"/>
  </si>
  <si>
    <t>自賠責保険</t>
    <rPh sb="0" eb="3">
      <t>ジバイセキ</t>
    </rPh>
    <rPh sb="3" eb="5">
      <t>ホケン</t>
    </rPh>
    <phoneticPr fontId="14"/>
  </si>
  <si>
    <t>１日当たり</t>
    <rPh sb="1" eb="2">
      <t>ニチ</t>
    </rPh>
    <rPh sb="2" eb="3">
      <t>ア</t>
    </rPh>
    <phoneticPr fontId="14"/>
  </si>
  <si>
    <t>農事実行組合費</t>
    <rPh sb="0" eb="2">
      <t>ノウジ</t>
    </rPh>
    <rPh sb="2" eb="4">
      <t>ジッコウ</t>
    </rPh>
    <rPh sb="4" eb="7">
      <t>クミアイヒ</t>
    </rPh>
    <phoneticPr fontId="14"/>
  </si>
  <si>
    <t>農業協同組合費</t>
    <rPh sb="0" eb="2">
      <t>ノウギョウ</t>
    </rPh>
    <rPh sb="2" eb="4">
      <t>キョウドウ</t>
    </rPh>
    <rPh sb="4" eb="7">
      <t>クミアイヒ</t>
    </rPh>
    <phoneticPr fontId="14"/>
  </si>
  <si>
    <t>飼料用米</t>
    <rPh sb="0" eb="3">
      <t>シリョウヨウ</t>
    </rPh>
    <rPh sb="3" eb="4">
      <t>マイ</t>
    </rPh>
    <phoneticPr fontId="21"/>
  </si>
  <si>
    <t>品種２</t>
    <rPh sb="0" eb="2">
      <t>ヒンシュ</t>
    </rPh>
    <phoneticPr fontId="14"/>
  </si>
  <si>
    <t>所得</t>
    <rPh sb="0" eb="2">
      <t>ショトク</t>
    </rPh>
    <phoneticPr fontId="14"/>
  </si>
  <si>
    <t>集落協議会費</t>
    <rPh sb="0" eb="2">
      <t>シュウラク</t>
    </rPh>
    <rPh sb="2" eb="4">
      <t>キョウギ</t>
    </rPh>
    <rPh sb="4" eb="6">
      <t>カイヒ</t>
    </rPh>
    <phoneticPr fontId="14"/>
  </si>
  <si>
    <t>公課諸負担</t>
    <rPh sb="0" eb="2">
      <t>コウカ</t>
    </rPh>
    <rPh sb="2" eb="3">
      <t>ショ</t>
    </rPh>
    <rPh sb="3" eb="5">
      <t>フタン</t>
    </rPh>
    <phoneticPr fontId="14"/>
  </si>
  <si>
    <t>品種１</t>
    <rPh sb="0" eb="2">
      <t>ヒンシュ</t>
    </rPh>
    <phoneticPr fontId="14"/>
  </si>
  <si>
    <t>利潤</t>
    <rPh sb="0" eb="2">
      <t>リジュン</t>
    </rPh>
    <phoneticPr fontId="14"/>
  </si>
  <si>
    <t>品種４</t>
    <rPh sb="0" eb="2">
      <t>ヒンシュ</t>
    </rPh>
    <phoneticPr fontId="14"/>
  </si>
  <si>
    <t>生産費総額</t>
    <rPh sb="0" eb="3">
      <t>セイサンヒ</t>
    </rPh>
    <rPh sb="3" eb="5">
      <t>ソウガク</t>
    </rPh>
    <phoneticPr fontId="14"/>
  </si>
  <si>
    <t>共同施設税</t>
    <rPh sb="0" eb="2">
      <t>キョウドウ</t>
    </rPh>
    <rPh sb="2" eb="4">
      <t>シセツ</t>
    </rPh>
    <rPh sb="4" eb="5">
      <t>ゼイ</t>
    </rPh>
    <phoneticPr fontId="14"/>
  </si>
  <si>
    <t>品種３</t>
    <rPh sb="0" eb="2">
      <t>ヒンシュ</t>
    </rPh>
    <phoneticPr fontId="14"/>
  </si>
  <si>
    <t>都市計画税</t>
    <rPh sb="0" eb="2">
      <t>トシ</t>
    </rPh>
    <rPh sb="2" eb="4">
      <t>ケイカク</t>
    </rPh>
    <rPh sb="4" eb="5">
      <t>ゼイ</t>
    </rPh>
    <phoneticPr fontId="14"/>
  </si>
  <si>
    <t>水利地益税</t>
    <rPh sb="0" eb="2">
      <t>スイリ</t>
    </rPh>
    <rPh sb="2" eb="3">
      <t>チ</t>
    </rPh>
    <rPh sb="3" eb="5">
      <t>エキゼイ</t>
    </rPh>
    <phoneticPr fontId="14"/>
  </si>
  <si>
    <t>軽自動車税</t>
    <rPh sb="0" eb="4">
      <t>ケイジドウシャ</t>
    </rPh>
    <rPh sb="4" eb="5">
      <t>ゼイ</t>
    </rPh>
    <phoneticPr fontId="14"/>
  </si>
  <si>
    <t>自動車取得税</t>
    <rPh sb="0" eb="3">
      <t>ジドウシャ</t>
    </rPh>
    <rPh sb="3" eb="6">
      <t>シュトクゼイ</t>
    </rPh>
    <phoneticPr fontId="14"/>
  </si>
  <si>
    <t>不動産取得税</t>
    <rPh sb="0" eb="3">
      <t>フドウサン</t>
    </rPh>
    <rPh sb="3" eb="6">
      <t>シュトクゼイ</t>
    </rPh>
    <phoneticPr fontId="14"/>
  </si>
  <si>
    <t>自動車税</t>
    <rPh sb="0" eb="4">
      <t>ジドウシャゼイ</t>
    </rPh>
    <phoneticPr fontId="14"/>
  </si>
  <si>
    <t>自動車重量税</t>
    <rPh sb="0" eb="3">
      <t>ジドウシャ</t>
    </rPh>
    <rPh sb="3" eb="6">
      <t>ジュウリョウゼイ</t>
    </rPh>
    <phoneticPr fontId="14"/>
  </si>
  <si>
    <t>30～50ａ区画</t>
    <rPh sb="6" eb="8">
      <t>クカク</t>
    </rPh>
    <phoneticPr fontId="14"/>
  </si>
  <si>
    <t>20～30ａ区画</t>
    <rPh sb="6" eb="8">
      <t>クカク</t>
    </rPh>
    <phoneticPr fontId="14"/>
  </si>
  <si>
    <t>建物</t>
    <rPh sb="0" eb="2">
      <t>タテモノ</t>
    </rPh>
    <phoneticPr fontId="14"/>
  </si>
  <si>
    <t>10～20ａ区画</t>
    <rPh sb="6" eb="8">
      <t>クカク</t>
    </rPh>
    <phoneticPr fontId="14"/>
  </si>
  <si>
    <t>50％未満</t>
    <rPh sb="3" eb="5">
      <t>ミマン</t>
    </rPh>
    <phoneticPr fontId="14"/>
  </si>
  <si>
    <t>固定資産税</t>
    <rPh sb="0" eb="2">
      <t>コテイ</t>
    </rPh>
    <rPh sb="2" eb="5">
      <t>シサンゼイ</t>
    </rPh>
    <phoneticPr fontId="14"/>
  </si>
  <si>
    <t>物件税</t>
    <rPh sb="0" eb="2">
      <t>ブッケン</t>
    </rPh>
    <rPh sb="2" eb="3">
      <t>ゼイ</t>
    </rPh>
    <phoneticPr fontId="14"/>
  </si>
  <si>
    <t>未整理又は10a未満</t>
    <rPh sb="0" eb="3">
      <t>ミセイリ</t>
    </rPh>
    <rPh sb="3" eb="4">
      <t>マタ</t>
    </rPh>
    <rPh sb="8" eb="10">
      <t>ミマン</t>
    </rPh>
    <phoneticPr fontId="14"/>
  </si>
  <si>
    <t>田の団地数</t>
    <rPh sb="0" eb="1">
      <t>タ</t>
    </rPh>
    <rPh sb="2" eb="4">
      <t>ダンチ</t>
    </rPh>
    <rPh sb="4" eb="5">
      <t>スウ</t>
    </rPh>
    <phoneticPr fontId="14"/>
  </si>
  <si>
    <t>枚数</t>
    <rPh sb="0" eb="2">
      <t>マイスウ</t>
    </rPh>
    <phoneticPr fontId="14"/>
  </si>
  <si>
    <t>該当の有無等</t>
    <rPh sb="0" eb="2">
      <t>ガイトウ</t>
    </rPh>
    <rPh sb="3" eb="5">
      <t>ウム</t>
    </rPh>
    <rPh sb="5" eb="6">
      <t>トウ</t>
    </rPh>
    <phoneticPr fontId="14"/>
  </si>
  <si>
    <t>生産管理機器</t>
    <rPh sb="0" eb="2">
      <t>セイサン</t>
    </rPh>
    <rPh sb="2" eb="4">
      <t>カンリ</t>
    </rPh>
    <rPh sb="4" eb="6">
      <t>キキ</t>
    </rPh>
    <phoneticPr fontId="14"/>
  </si>
  <si>
    <t>揚水ポンプ組合費</t>
    <rPh sb="0" eb="1">
      <t>ア</t>
    </rPh>
    <rPh sb="1" eb="2">
      <t>スイ</t>
    </rPh>
    <rPh sb="5" eb="8">
      <t>クミアイヒ</t>
    </rPh>
    <phoneticPr fontId="14"/>
  </si>
  <si>
    <t>水利組合費</t>
    <rPh sb="0" eb="2">
      <t>スイリ</t>
    </rPh>
    <rPh sb="2" eb="5">
      <t>クミアイヒ</t>
    </rPh>
    <phoneticPr fontId="14"/>
  </si>
  <si>
    <t>償還金</t>
    <rPh sb="0" eb="3">
      <t>ショウカンキン</t>
    </rPh>
    <phoneticPr fontId="14"/>
  </si>
  <si>
    <t>循環式</t>
    <rPh sb="0" eb="2">
      <t>ジュンカン</t>
    </rPh>
    <rPh sb="2" eb="3">
      <t>シキ</t>
    </rPh>
    <phoneticPr fontId="14"/>
  </si>
  <si>
    <t>維持負担金</t>
    <rPh sb="0" eb="2">
      <t>イジ</t>
    </rPh>
    <rPh sb="2" eb="5">
      <t>フタンキン</t>
    </rPh>
    <phoneticPr fontId="14"/>
  </si>
  <si>
    <t>土地改良区費</t>
    <rPh sb="0" eb="2">
      <t>トチ</t>
    </rPh>
    <rPh sb="2" eb="4">
      <t>カイリョウ</t>
    </rPh>
    <rPh sb="4" eb="5">
      <t>ク</t>
    </rPh>
    <rPh sb="5" eb="6">
      <t>ヒ</t>
    </rPh>
    <phoneticPr fontId="14"/>
  </si>
  <si>
    <t>及び水利費
土地改良</t>
    <rPh sb="6" eb="8">
      <t>トチ</t>
    </rPh>
    <rPh sb="8" eb="10">
      <t>カイリョウ</t>
    </rPh>
    <phoneticPr fontId="14"/>
  </si>
  <si>
    <t>静置式</t>
    <rPh sb="0" eb="1">
      <t>セイ</t>
    </rPh>
    <rPh sb="1" eb="2">
      <t>チ</t>
    </rPh>
    <rPh sb="2" eb="3">
      <t>シキ</t>
    </rPh>
    <phoneticPr fontId="14"/>
  </si>
  <si>
    <t>乾燥機</t>
    <rPh sb="0" eb="3">
      <t>カンソウキ</t>
    </rPh>
    <phoneticPr fontId="14"/>
  </si>
  <si>
    <t>脱穀機</t>
    <rPh sb="0" eb="3">
      <t>ダッコクキ</t>
    </rPh>
    <phoneticPr fontId="14"/>
  </si>
  <si>
    <t>普通型コンバイン</t>
    <rPh sb="0" eb="2">
      <t>フツウ</t>
    </rPh>
    <rPh sb="2" eb="3">
      <t>ガタ</t>
    </rPh>
    <phoneticPr fontId="14"/>
  </si>
  <si>
    <t>４条以上</t>
    <rPh sb="1" eb="2">
      <t>ジョウ</t>
    </rPh>
    <rPh sb="2" eb="4">
      <t>イジョウ</t>
    </rPh>
    <phoneticPr fontId="14"/>
  </si>
  <si>
    <t>３条以下</t>
    <rPh sb="1" eb="2">
      <t>ジョウ</t>
    </rPh>
    <rPh sb="2" eb="4">
      <t>イカ</t>
    </rPh>
    <phoneticPr fontId="14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</si>
  <si>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4"/>
  </si>
  <si>
    <t>動力噴霧機</t>
    <rPh sb="0" eb="2">
      <t>ドウリョク</t>
    </rPh>
    <rPh sb="2" eb="5">
      <t>フンムキ</t>
    </rPh>
    <phoneticPr fontId="14"/>
  </si>
  <si>
    <t>６条植以上</t>
    <rPh sb="1" eb="2">
      <t>ジョウ</t>
    </rPh>
    <rPh sb="2" eb="3">
      <t>ウエ</t>
    </rPh>
    <rPh sb="3" eb="5">
      <t>イジョウ</t>
    </rPh>
    <phoneticPr fontId="14"/>
  </si>
  <si>
    <t>２条植</t>
    <rPh sb="1" eb="2">
      <t>ジョウ</t>
    </rPh>
    <rPh sb="2" eb="3">
      <t>ウエ</t>
    </rPh>
    <phoneticPr fontId="14"/>
  </si>
  <si>
    <t>田植機</t>
    <rPh sb="0" eb="3">
      <t>タウエキ</t>
    </rPh>
    <phoneticPr fontId="14"/>
  </si>
  <si>
    <t>電熱育苗機</t>
    <rPh sb="0" eb="2">
      <t>デンネツ</t>
    </rPh>
    <rPh sb="2" eb="4">
      <t>イクビョウ</t>
    </rPh>
    <rPh sb="4" eb="5">
      <t>キ</t>
    </rPh>
    <phoneticPr fontId="14"/>
  </si>
  <si>
    <t>電力料</t>
    <rPh sb="0" eb="3">
      <t>デンリョクリョウ</t>
    </rPh>
    <phoneticPr fontId="14"/>
  </si>
  <si>
    <t>混合油</t>
    <rPh sb="0" eb="3">
      <t>コンゴウユ</t>
    </rPh>
    <phoneticPr fontId="14"/>
  </si>
  <si>
    <t>歩行用トラクター</t>
    <rPh sb="0" eb="2">
      <t>ホコウ</t>
    </rPh>
    <rPh sb="2" eb="3">
      <t>ヨウ</t>
    </rPh>
    <phoneticPr fontId="14"/>
  </si>
  <si>
    <t>潤滑油</t>
    <rPh sb="0" eb="3">
      <t>ジュンカツユ</t>
    </rPh>
    <phoneticPr fontId="14"/>
  </si>
  <si>
    <t>50馬力以上</t>
    <rPh sb="2" eb="4">
      <t>バリキ</t>
    </rPh>
    <rPh sb="4" eb="6">
      <t>イジョウ</t>
    </rPh>
    <phoneticPr fontId="14"/>
  </si>
  <si>
    <t>20～50馬力未満</t>
    <rPh sb="5" eb="7">
      <t>バリキ</t>
    </rPh>
    <rPh sb="7" eb="9">
      <t>ミマン</t>
    </rPh>
    <phoneticPr fontId="14"/>
  </si>
  <si>
    <t>灯油</t>
    <rPh sb="0" eb="2">
      <t>トウユ</t>
    </rPh>
    <phoneticPr fontId="14"/>
  </si>
  <si>
    <t>20馬力未満</t>
    <rPh sb="2" eb="4">
      <t>バリキ</t>
    </rPh>
    <rPh sb="4" eb="6">
      <t>ミマン</t>
    </rPh>
    <phoneticPr fontId="14"/>
  </si>
  <si>
    <t>軽油</t>
    <rPh sb="0" eb="2">
      <t>ケイユ</t>
    </rPh>
    <phoneticPr fontId="14"/>
  </si>
  <si>
    <t>揚水ポンプ</t>
    <rPh sb="0" eb="1">
      <t>ア</t>
    </rPh>
    <rPh sb="1" eb="2">
      <t>ミズ</t>
    </rPh>
    <phoneticPr fontId="14"/>
  </si>
  <si>
    <t>重油</t>
    <rPh sb="0" eb="2">
      <t>ジュウユ</t>
    </rPh>
    <phoneticPr fontId="14"/>
  </si>
  <si>
    <t>動力
燃料</t>
    <rPh sb="0" eb="2">
      <t>ドウリョク</t>
    </rPh>
    <rPh sb="3" eb="5">
      <t>ネンリョウ</t>
    </rPh>
    <phoneticPr fontId="14"/>
  </si>
  <si>
    <t>光熱動力費</t>
    <rPh sb="0" eb="2">
      <t>コウネツ</t>
    </rPh>
    <rPh sb="2" eb="5">
      <t>ドウリョクヒ</t>
    </rPh>
    <phoneticPr fontId="14"/>
  </si>
  <si>
    <t>発動機</t>
    <rPh sb="0" eb="3">
      <t>ハツドウキ</t>
    </rPh>
    <phoneticPr fontId="14"/>
  </si>
  <si>
    <t>電動機</t>
    <rPh sb="0" eb="3">
      <t>デンドウキ</t>
    </rPh>
    <phoneticPr fontId="14"/>
  </si>
  <si>
    <t>除草剤</t>
    <rPh sb="0" eb="3">
      <t>ジョソウザイ</t>
    </rPh>
    <phoneticPr fontId="14"/>
  </si>
  <si>
    <t>殺虫殺菌剤</t>
    <rPh sb="0" eb="2">
      <t>サッチュウ</t>
    </rPh>
    <rPh sb="2" eb="5">
      <t>サッキンザイ</t>
    </rPh>
    <phoneticPr fontId="14"/>
  </si>
  <si>
    <t>殺菌剤</t>
    <rPh sb="0" eb="3">
      <t>サッキンザイ</t>
    </rPh>
    <phoneticPr fontId="14"/>
  </si>
  <si>
    <t>殺虫剤</t>
    <rPh sb="0" eb="3">
      <t>サッチュウザイ</t>
    </rPh>
    <phoneticPr fontId="14"/>
  </si>
  <si>
    <t>農業薬剤費</t>
    <rPh sb="0" eb="2">
      <t>ノウギョウ</t>
    </rPh>
    <rPh sb="2" eb="4">
      <t>ヤクザイ</t>
    </rPh>
    <rPh sb="4" eb="5">
      <t>ヒ</t>
    </rPh>
    <phoneticPr fontId="14"/>
  </si>
  <si>
    <t>稲・麦わら</t>
    <rPh sb="0" eb="1">
      <t>イネ</t>
    </rPh>
    <rPh sb="2" eb="3">
      <t>ムギ</t>
    </rPh>
    <phoneticPr fontId="14"/>
  </si>
  <si>
    <t>きゅう肥</t>
    <rPh sb="3" eb="4">
      <t>ヒ</t>
    </rPh>
    <phoneticPr fontId="14"/>
  </si>
  <si>
    <t>たい肥盤</t>
    <rPh sb="2" eb="3">
      <t>ヒ</t>
    </rPh>
    <rPh sb="3" eb="4">
      <t>バン</t>
    </rPh>
    <phoneticPr fontId="14"/>
  </si>
  <si>
    <t>客土</t>
    <rPh sb="0" eb="2">
      <t>キャクド</t>
    </rPh>
    <phoneticPr fontId="14"/>
  </si>
  <si>
    <t>たい肥・きゅう肥</t>
    <rPh sb="2" eb="3">
      <t>ヒ</t>
    </rPh>
    <rPh sb="7" eb="8">
      <t>ヒ</t>
    </rPh>
    <phoneticPr fontId="14"/>
  </si>
  <si>
    <t>コンクリートけい畔</t>
    <rPh sb="8" eb="9">
      <t>ハン</t>
    </rPh>
    <phoneticPr fontId="14"/>
  </si>
  <si>
    <t>土壌改良資材</t>
    <rPh sb="0" eb="2">
      <t>ドジョウ</t>
    </rPh>
    <rPh sb="2" eb="6">
      <t>カイリョウザイ</t>
    </rPh>
    <phoneticPr fontId="14"/>
  </si>
  <si>
    <t>暗きょ排水施設</t>
    <rPh sb="0" eb="1">
      <t>アン</t>
    </rPh>
    <rPh sb="3" eb="5">
      <t>ハイスイ</t>
    </rPh>
    <rPh sb="5" eb="7">
      <t>シセツ</t>
    </rPh>
    <phoneticPr fontId="14"/>
  </si>
  <si>
    <t>用水路</t>
    <rPh sb="0" eb="3">
      <t>ヨウスイロ</t>
    </rPh>
    <phoneticPr fontId="14"/>
  </si>
  <si>
    <t>納屋・倉庫</t>
    <rPh sb="0" eb="2">
      <t>ナヤ</t>
    </rPh>
    <rPh sb="3" eb="5">
      <t>ソウコ</t>
    </rPh>
    <phoneticPr fontId="14"/>
  </si>
  <si>
    <t>建物・構築物</t>
    <rPh sb="0" eb="2">
      <t>タテモノ</t>
    </rPh>
    <rPh sb="3" eb="6">
      <t>コウチクブツ</t>
    </rPh>
    <phoneticPr fontId="14"/>
  </si>
  <si>
    <t>炭酸カルシウム（石灰含む）</t>
    <rPh sb="0" eb="2">
      <t>タンサン</t>
    </rPh>
    <rPh sb="8" eb="10">
      <t>セッカイ</t>
    </rPh>
    <rPh sb="10" eb="11">
      <t>フク</t>
    </rPh>
    <phoneticPr fontId="14"/>
  </si>
  <si>
    <t>カントリーエレベーター費</t>
    <rPh sb="11" eb="12">
      <t>ヒ</t>
    </rPh>
    <phoneticPr fontId="14"/>
  </si>
  <si>
    <t>ライスセンター費</t>
    <rPh sb="7" eb="8">
      <t>ヒ</t>
    </rPh>
    <phoneticPr fontId="14"/>
  </si>
  <si>
    <t>もみすり脱穀賃</t>
    <rPh sb="4" eb="6">
      <t>ダッコク</t>
    </rPh>
    <rPh sb="6" eb="7">
      <t>チン</t>
    </rPh>
    <phoneticPr fontId="14"/>
  </si>
  <si>
    <t>収穫請負わせ賃</t>
    <rPh sb="0" eb="2">
      <t>シュウカク</t>
    </rPh>
    <rPh sb="2" eb="3">
      <t>ウ</t>
    </rPh>
    <rPh sb="3" eb="4">
      <t>オ</t>
    </rPh>
    <rPh sb="6" eb="7">
      <t>チン</t>
    </rPh>
    <phoneticPr fontId="14"/>
  </si>
  <si>
    <t>は種・田植賃</t>
    <rPh sb="1" eb="2">
      <t>シュ</t>
    </rPh>
    <rPh sb="3" eb="5">
      <t>タウ</t>
    </rPh>
    <rPh sb="5" eb="6">
      <t>チン</t>
    </rPh>
    <phoneticPr fontId="14"/>
  </si>
  <si>
    <t>賃耕料</t>
    <rPh sb="0" eb="2">
      <t>チンコウ</t>
    </rPh>
    <rPh sb="2" eb="3">
      <t>リョウ</t>
    </rPh>
    <phoneticPr fontId="14"/>
  </si>
  <si>
    <t>航空防除賃</t>
    <rPh sb="0" eb="2">
      <t>コウクウ</t>
    </rPh>
    <rPh sb="2" eb="4">
      <t>ボウジョ</t>
    </rPh>
    <rPh sb="4" eb="5">
      <t>チン</t>
    </rPh>
    <phoneticPr fontId="14"/>
  </si>
  <si>
    <t>農機具借料</t>
    <rPh sb="0" eb="3">
      <t>ノウキグ</t>
    </rPh>
    <rPh sb="3" eb="5">
      <t>シャクリョウ</t>
    </rPh>
    <phoneticPr fontId="14"/>
  </si>
  <si>
    <t>共同苗代</t>
    <rPh sb="0" eb="2">
      <t>キョウドウ</t>
    </rPh>
    <rPh sb="2" eb="3">
      <t>ナエ</t>
    </rPh>
    <rPh sb="3" eb="4">
      <t>シロ</t>
    </rPh>
    <phoneticPr fontId="14"/>
  </si>
  <si>
    <t>苗</t>
    <rPh sb="0" eb="1">
      <t>ナエ</t>
    </rPh>
    <phoneticPr fontId="14"/>
  </si>
  <si>
    <t>共同施設</t>
    <rPh sb="0" eb="2">
      <t>キョウドウ</t>
    </rPh>
    <rPh sb="2" eb="4">
      <t>シセツ</t>
    </rPh>
    <phoneticPr fontId="14"/>
  </si>
  <si>
    <t>薬剤散布</t>
    <rPh sb="0" eb="2">
      <t>ヤクザイ</t>
    </rPh>
    <rPh sb="2" eb="4">
      <t>サンプ</t>
    </rPh>
    <phoneticPr fontId="14"/>
  </si>
  <si>
    <t>共　同
負担金</t>
    <rPh sb="0" eb="3">
      <t>キョウドウ</t>
    </rPh>
    <rPh sb="4" eb="7">
      <t>フタンキン</t>
    </rPh>
    <phoneticPr fontId="14"/>
  </si>
  <si>
    <t>種子もみ</t>
    <rPh sb="0" eb="2">
      <t>シュシ</t>
    </rPh>
    <phoneticPr fontId="14"/>
  </si>
  <si>
    <t>移植</t>
    <rPh sb="0" eb="2">
      <t>イショク</t>
    </rPh>
    <phoneticPr fontId="14"/>
  </si>
  <si>
    <t>50～80％</t>
    <phoneticPr fontId="14"/>
  </si>
  <si>
    <t>80％以上</t>
    <phoneticPr fontId="14"/>
  </si>
  <si>
    <t>直まき</t>
    <rPh sb="0" eb="1">
      <t>ジカ</t>
    </rPh>
    <phoneticPr fontId="14"/>
  </si>
  <si>
    <t>短期</t>
    <phoneticPr fontId="14"/>
  </si>
  <si>
    <t>長期</t>
    <phoneticPr fontId="14"/>
  </si>
  <si>
    <t>窒素質肥料</t>
    <rPh sb="0" eb="2">
      <t>チッソ</t>
    </rPh>
    <rPh sb="2" eb="3">
      <t>シツ</t>
    </rPh>
    <rPh sb="3" eb="5">
      <t>ヒリョウ</t>
    </rPh>
    <phoneticPr fontId="14"/>
  </si>
  <si>
    <t>りん酸質肥料</t>
    <rPh sb="2" eb="3">
      <t>サン</t>
    </rPh>
    <rPh sb="3" eb="4">
      <t>シツ</t>
    </rPh>
    <rPh sb="4" eb="6">
      <t>ヒリョウ</t>
    </rPh>
    <phoneticPr fontId="14"/>
  </si>
  <si>
    <t>カリ質肥料</t>
    <rPh sb="2" eb="3">
      <t>シツ</t>
    </rPh>
    <rPh sb="3" eb="5">
      <t>ヒリョウ</t>
    </rPh>
    <phoneticPr fontId="14"/>
  </si>
  <si>
    <t>けい酸質肥料</t>
    <rPh sb="2" eb="3">
      <t>サン</t>
    </rPh>
    <rPh sb="3" eb="4">
      <t>シツ</t>
    </rPh>
    <rPh sb="4" eb="6">
      <t>ヒリョウ</t>
    </rPh>
    <phoneticPr fontId="14"/>
  </si>
  <si>
    <t>複合肥料</t>
    <rPh sb="0" eb="2">
      <t>フクゴウ</t>
    </rPh>
    <rPh sb="2" eb="4">
      <t>ヒリョウ</t>
    </rPh>
    <phoneticPr fontId="14"/>
  </si>
  <si>
    <t>育苗用土（購入）（素土を含む）</t>
    <rPh sb="0" eb="1">
      <t>イク</t>
    </rPh>
    <rPh sb="1" eb="2">
      <t>ナエ</t>
    </rPh>
    <rPh sb="2" eb="4">
      <t>ヨウド</t>
    </rPh>
    <rPh sb="5" eb="7">
      <t>コウニュウ</t>
    </rPh>
    <rPh sb="9" eb="10">
      <t>モト</t>
    </rPh>
    <rPh sb="10" eb="11">
      <t>ツチ</t>
    </rPh>
    <rPh sb="12" eb="13">
      <t>フクム</t>
    </rPh>
    <phoneticPr fontId="14"/>
  </si>
  <si>
    <t>集計区分</t>
    <phoneticPr fontId="14"/>
  </si>
  <si>
    <t>ライスセンター</t>
    <phoneticPr fontId="14"/>
  </si>
  <si>
    <t>もみがら</t>
    <phoneticPr fontId="14"/>
  </si>
  <si>
    <t>50ａ～１ha区画</t>
    <rPh sb="7" eb="9">
      <t>クカク</t>
    </rPh>
    <phoneticPr fontId="14"/>
  </si>
  <si>
    <t>１ha以上区画</t>
    <rPh sb="3" eb="5">
      <t>イジョウ</t>
    </rPh>
    <rPh sb="5" eb="7">
      <t>クカク</t>
    </rPh>
    <phoneticPr fontId="14"/>
  </si>
  <si>
    <t>産地交付金</t>
    <rPh sb="0" eb="2">
      <t>サンチ</t>
    </rPh>
    <rPh sb="2" eb="5">
      <t>コウフキン</t>
    </rPh>
    <phoneticPr fontId="14"/>
  </si>
  <si>
    <t>開始日</t>
    <rPh sb="0" eb="3">
      <t>カイシビ</t>
    </rPh>
    <phoneticPr fontId="14"/>
  </si>
  <si>
    <t>終了日</t>
    <rPh sb="0" eb="3">
      <t>シュウリョウビ</t>
    </rPh>
    <phoneticPr fontId="14"/>
  </si>
  <si>
    <t>期間</t>
    <rPh sb="0" eb="2">
      <t>キカン</t>
    </rPh>
    <phoneticPr fontId="14"/>
  </si>
  <si>
    <t>田植</t>
    <rPh sb="0" eb="2">
      <t>タウエ</t>
    </rPh>
    <phoneticPr fontId="14"/>
  </si>
  <si>
    <t>収穫</t>
    <rPh sb="0" eb="2">
      <t>シュウカク</t>
    </rPh>
    <phoneticPr fontId="14"/>
  </si>
  <si>
    <t>日</t>
    <rPh sb="0" eb="1">
      <t>ヒ</t>
    </rPh>
    <phoneticPr fontId="14"/>
  </si>
  <si>
    <t>品種５</t>
    <rPh sb="0" eb="2">
      <t>ヒンシュ</t>
    </rPh>
    <phoneticPr fontId="14"/>
  </si>
  <si>
    <t>品種６</t>
    <rPh sb="0" eb="2">
      <t>ヒンシュ</t>
    </rPh>
    <phoneticPr fontId="14"/>
  </si>
  <si>
    <t>品種７</t>
    <rPh sb="0" eb="2">
      <t>ヒンシュ</t>
    </rPh>
    <phoneticPr fontId="14"/>
  </si>
  <si>
    <t>品種８</t>
    <rPh sb="0" eb="2">
      <t>ヒンシュ</t>
    </rPh>
    <phoneticPr fontId="14"/>
  </si>
  <si>
    <t>品種９</t>
    <rPh sb="0" eb="2">
      <t>ヒンシュ</t>
    </rPh>
    <phoneticPr fontId="14"/>
  </si>
  <si>
    <t>品種10</t>
    <rPh sb="0" eb="2">
      <t>ヒンシュ</t>
    </rPh>
    <phoneticPr fontId="14"/>
  </si>
  <si>
    <t>処分差損失</t>
    <phoneticPr fontId="14"/>
  </si>
  <si>
    <t>ガソリン</t>
    <phoneticPr fontId="14"/>
  </si>
  <si>
    <t>バインダー</t>
    <phoneticPr fontId="14"/>
  </si>
  <si>
    <t>借入金</t>
    <rPh sb="0" eb="3">
      <t>カリイレキン</t>
    </rPh>
    <phoneticPr fontId="14"/>
  </si>
  <si>
    <t xml:space="preserve">(続き)
賃借料及び料金 </t>
    <rPh sb="1" eb="2">
      <t>ツヅ</t>
    </rPh>
    <phoneticPr fontId="6"/>
  </si>
  <si>
    <t>乗用トラクター</t>
    <rPh sb="0" eb="2">
      <t>ジョウヨウ</t>
    </rPh>
    <phoneticPr fontId="14"/>
  </si>
  <si>
    <t>諸材料費
その他の</t>
    <phoneticPr fontId="14"/>
  </si>
  <si>
    <t>水田活用の直接支払交付金</t>
    <rPh sb="0" eb="2">
      <t>スイデン</t>
    </rPh>
    <rPh sb="2" eb="4">
      <t>カツヨウ</t>
    </rPh>
    <rPh sb="5" eb="7">
      <t>チョクセツ</t>
    </rPh>
    <rPh sb="7" eb="9">
      <t>シハライ</t>
    </rPh>
    <rPh sb="9" eb="12">
      <t>コウフキン</t>
    </rPh>
    <phoneticPr fontId="14"/>
  </si>
  <si>
    <t>センサス番号</t>
    <rPh sb="4" eb="6">
      <t>バンゴウ</t>
    </rPh>
    <phoneticPr fontId="6"/>
  </si>
  <si>
    <t>前回センサス番号</t>
    <rPh sb="0" eb="2">
      <t>ゼンカイ</t>
    </rPh>
    <rPh sb="6" eb="8">
      <t>バンゴウ</t>
    </rPh>
    <phoneticPr fontId="6"/>
  </si>
  <si>
    <t>所有台数（台）</t>
    <rPh sb="0" eb="2">
      <t>ショユウ</t>
    </rPh>
    <rPh sb="2" eb="4">
      <t>ダイスウ</t>
    </rPh>
    <rPh sb="5" eb="6">
      <t>ダイ</t>
    </rPh>
    <phoneticPr fontId="6"/>
  </si>
  <si>
    <t>住宅</t>
    <rPh sb="0" eb="1">
      <t>ジュウ</t>
    </rPh>
    <rPh sb="1" eb="2">
      <t>タク</t>
    </rPh>
    <phoneticPr fontId="14"/>
  </si>
  <si>
    <t>貨物自動車</t>
    <rPh sb="0" eb="2">
      <t>カモツ</t>
    </rPh>
    <rPh sb="2" eb="5">
      <t>ジドウシャ</t>
    </rPh>
    <phoneticPr fontId="14"/>
  </si>
  <si>
    <t>組織形態区分</t>
    <rPh sb="0" eb="2">
      <t>ソシキ</t>
    </rPh>
    <rPh sb="2" eb="4">
      <t>ケイタイ</t>
    </rPh>
    <rPh sb="4" eb="6">
      <t>クブン</t>
    </rPh>
    <phoneticPr fontId="6"/>
  </si>
  <si>
    <t>集落営農区分</t>
    <rPh sb="0" eb="2">
      <t>シュウラク</t>
    </rPh>
    <rPh sb="2" eb="4">
      <t>エイノウ</t>
    </rPh>
    <rPh sb="4" eb="6">
      <t>クブン</t>
    </rPh>
    <phoneticPr fontId="6"/>
  </si>
  <si>
    <t>稲作主体区分</t>
    <rPh sb="0" eb="2">
      <t>イナサク</t>
    </rPh>
    <rPh sb="2" eb="4">
      <t>シュタイ</t>
    </rPh>
    <rPh sb="4" eb="6">
      <t>クブン</t>
    </rPh>
    <phoneticPr fontId="6"/>
  </si>
  <si>
    <t>法人化年次</t>
    <rPh sb="0" eb="3">
      <t>ホウジンカ</t>
    </rPh>
    <rPh sb="3" eb="5">
      <t>ネンジ</t>
    </rPh>
    <phoneticPr fontId="6"/>
  </si>
  <si>
    <t>構成員</t>
    <rPh sb="0" eb="3">
      <t>コウセイイン</t>
    </rPh>
    <phoneticPr fontId="14"/>
  </si>
  <si>
    <t>雇用</t>
    <rPh sb="0" eb="2">
      <t>コヨウ</t>
    </rPh>
    <phoneticPr fontId="6"/>
  </si>
  <si>
    <t>組織用</t>
    <rPh sb="0" eb="3">
      <t>ソシキヨウ</t>
    </rPh>
    <phoneticPr fontId="14"/>
  </si>
  <si>
    <t>構成員（人）</t>
    <rPh sb="0" eb="3">
      <t>コウセイイン</t>
    </rPh>
    <rPh sb="4" eb="5">
      <t>ヒト</t>
    </rPh>
    <phoneticPr fontId="6"/>
  </si>
  <si>
    <t>農業年雇（人）</t>
    <rPh sb="0" eb="2">
      <t>ノウギョウ</t>
    </rPh>
    <rPh sb="2" eb="3">
      <t>ネン</t>
    </rPh>
    <rPh sb="3" eb="4">
      <t>コ</t>
    </rPh>
    <rPh sb="5" eb="6">
      <t>ヒト</t>
    </rPh>
    <phoneticPr fontId="6"/>
  </si>
  <si>
    <t>構成農家世帯（戸）</t>
    <rPh sb="0" eb="2">
      <t>コウセイ</t>
    </rPh>
    <rPh sb="2" eb="4">
      <t>ノウカ</t>
    </rPh>
    <rPh sb="4" eb="6">
      <t>セタイ</t>
    </rPh>
    <rPh sb="7" eb="8">
      <t>コ</t>
    </rPh>
    <phoneticPr fontId="6"/>
  </si>
  <si>
    <t>構成員</t>
    <rPh sb="0" eb="3">
      <t>コウセイイン</t>
    </rPh>
    <phoneticPr fontId="6"/>
  </si>
  <si>
    <t>直接労働</t>
    <rPh sb="0" eb="2">
      <t>チョクセツ</t>
    </rPh>
    <rPh sb="2" eb="4">
      <t>ロウドウ</t>
    </rPh>
    <phoneticPr fontId="14"/>
  </si>
  <si>
    <t>間接労働</t>
    <rPh sb="0" eb="2">
      <t>カンセツ</t>
    </rPh>
    <rPh sb="2" eb="4">
      <t>ロウドウ</t>
    </rPh>
    <phoneticPr fontId="14"/>
  </si>
  <si>
    <t>稲 作 負 担 構 成 員 労 働 時 間</t>
    <rPh sb="0" eb="3">
      <t>イナサク</t>
    </rPh>
    <rPh sb="4" eb="7">
      <t>フタンブン</t>
    </rPh>
    <rPh sb="8" eb="9">
      <t>カマエ</t>
    </rPh>
    <rPh sb="10" eb="11">
      <t>シゲル</t>
    </rPh>
    <rPh sb="12" eb="13">
      <t>イン</t>
    </rPh>
    <rPh sb="14" eb="17">
      <t>ロウドウ</t>
    </rPh>
    <rPh sb="18" eb="21">
      <t>ジカン</t>
    </rPh>
    <phoneticPr fontId="14"/>
  </si>
  <si>
    <t>稲作構成員
労働評価額</t>
    <rPh sb="0" eb="2">
      <t>イナサク</t>
    </rPh>
    <rPh sb="2" eb="5">
      <t>コウセイイン</t>
    </rPh>
    <rPh sb="6" eb="8">
      <t>ロウドウ</t>
    </rPh>
    <rPh sb="8" eb="11">
      <t>ヒョウカガク</t>
    </rPh>
    <phoneticPr fontId="6"/>
  </si>
  <si>
    <t>６５～７０</t>
    <phoneticPr fontId="14"/>
  </si>
  <si>
    <t>７０～７５</t>
    <phoneticPr fontId="14"/>
  </si>
  <si>
    <t>全作業</t>
    <rPh sb="0" eb="1">
      <t>ゼン</t>
    </rPh>
    <rPh sb="1" eb="3">
      <t>サギョウ</t>
    </rPh>
    <phoneticPr fontId="14"/>
  </si>
  <si>
    <t>刈取・脱穀</t>
    <rPh sb="0" eb="2">
      <t>カリト</t>
    </rPh>
    <rPh sb="3" eb="5">
      <t>ダッコク</t>
    </rPh>
    <phoneticPr fontId="14"/>
  </si>
  <si>
    <t>組織用</t>
    <rPh sb="0" eb="2">
      <t>ソシキ</t>
    </rPh>
    <rPh sb="2" eb="3">
      <t>ヨウ</t>
    </rPh>
    <phoneticPr fontId="14"/>
  </si>
  <si>
    <t>○　指標部</t>
    <rPh sb="2" eb="4">
      <t>シヒョウ</t>
    </rPh>
    <rPh sb="4" eb="5">
      <t>ブ</t>
    </rPh>
    <phoneticPr fontId="6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</si>
  <si>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4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</si>
  <si>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4"/>
  </si>
  <si>
    <t>都道府県</t>
    <rPh sb="0" eb="4">
      <t>トドウフケン</t>
    </rPh>
    <phoneticPr fontId="6"/>
  </si>
  <si>
    <t>カントリーエレベーター</t>
    <phoneticPr fontId="14"/>
  </si>
  <si>
    <t>済面積
区画整理
田のうち</t>
    <rPh sb="9" eb="10">
      <t>デン</t>
    </rPh>
    <phoneticPr fontId="14"/>
  </si>
  <si>
    <t>及び料金
賃借料</t>
    <rPh sb="0" eb="1">
      <t>オヨ</t>
    </rPh>
    <rPh sb="2" eb="4">
      <t>リョウキン</t>
    </rPh>
    <phoneticPr fontId="14"/>
  </si>
  <si>
    <t>普通畑</t>
    <rPh sb="0" eb="2">
      <t>フツウ</t>
    </rPh>
    <rPh sb="2" eb="3">
      <t>ハタ</t>
    </rPh>
    <phoneticPr fontId="14"/>
  </si>
  <si>
    <t>樹園地</t>
    <rPh sb="0" eb="1">
      <t>ジュ</t>
    </rPh>
    <rPh sb="1" eb="3">
      <t>エンチ</t>
    </rPh>
    <phoneticPr fontId="14"/>
  </si>
  <si>
    <t>資本額計</t>
    <rPh sb="3" eb="4">
      <t>ケイ</t>
    </rPh>
    <phoneticPr fontId="14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</si>
  <si>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phoneticPr fontId="14"/>
  </si>
  <si>
    <t>品種コード</t>
    <rPh sb="0" eb="2">
      <t>ヒンシュ</t>
    </rPh>
    <phoneticPr fontId="14"/>
  </si>
  <si>
    <t>数量</t>
    <phoneticPr fontId="14"/>
  </si>
  <si>
    <t>ａ</t>
    <phoneticPr fontId="14"/>
  </si>
  <si>
    <t>kg</t>
    <phoneticPr fontId="14"/>
  </si>
  <si>
    <t>構成員労働報酬</t>
    <rPh sb="0" eb="3">
      <t>コウセイイン</t>
    </rPh>
    <rPh sb="3" eb="5">
      <t>ロウドウ</t>
    </rPh>
    <rPh sb="5" eb="7">
      <t>ホウシュウ</t>
    </rPh>
    <phoneticPr fontId="14"/>
  </si>
  <si>
    <t>任意項目</t>
    <rPh sb="0" eb="2">
      <t>ニンイ</t>
    </rPh>
    <rPh sb="2" eb="4">
      <t>コウモク</t>
    </rPh>
    <phoneticPr fontId="6"/>
  </si>
  <si>
    <t>委託作業</t>
    <rPh sb="0" eb="2">
      <t>イタク</t>
    </rPh>
    <rPh sb="2" eb="4">
      <t>サギョウ</t>
    </rPh>
    <phoneticPr fontId="6"/>
  </si>
  <si>
    <t>受託作業</t>
    <rPh sb="0" eb="2">
      <t>ジュタク</t>
    </rPh>
    <rPh sb="2" eb="4">
      <t>サギョウ</t>
    </rPh>
    <phoneticPr fontId="6"/>
  </si>
  <si>
    <t>法人番号</t>
    <rPh sb="0" eb="2">
      <t>ホウジン</t>
    </rPh>
    <rPh sb="2" eb="4">
      <t>バンゴウ</t>
    </rPh>
    <phoneticPr fontId="6"/>
  </si>
  <si>
    <t>自給</t>
    <rPh sb="0" eb="2">
      <t>ジキュウ</t>
    </rPh>
    <phoneticPr fontId="6"/>
  </si>
  <si>
    <t>自給</t>
    <rPh sb="0" eb="2">
      <t>ジキュウ</t>
    </rPh>
    <phoneticPr fontId="14"/>
  </si>
  <si>
    <t>自給</t>
    <phoneticPr fontId="14"/>
  </si>
  <si>
    <t>都道府県番号</t>
  </si>
  <si>
    <t>コード</t>
    <phoneticPr fontId="6"/>
  </si>
  <si>
    <t>農業地域類型区分</t>
    <phoneticPr fontId="6"/>
  </si>
  <si>
    <t>認定農業者区分</t>
    <phoneticPr fontId="6"/>
  </si>
  <si>
    <t>組織形態区分</t>
  </si>
  <si>
    <t>コード</t>
  </si>
  <si>
    <t>青森</t>
    <rPh sb="0" eb="2">
      <t>アオモリ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</si>
  <si>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</si>
  <si>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</si>
  <si>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</si>
  <si>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作付規模階層</t>
    <phoneticPr fontId="6"/>
  </si>
  <si>
    <t>販売数量階層</t>
  </si>
  <si>
    <t>農事組合法人</t>
    <rPh sb="0" eb="2">
      <t>ノウジ</t>
    </rPh>
    <rPh sb="2" eb="4">
      <t>クミアイ</t>
    </rPh>
    <rPh sb="4" eb="6">
      <t>ホウジン</t>
    </rPh>
    <phoneticPr fontId="6"/>
  </si>
  <si>
    <t>集落営農</t>
    <rPh sb="0" eb="2">
      <t>シュウラク</t>
    </rPh>
    <rPh sb="2" eb="4">
      <t>エイノウ</t>
    </rPh>
    <phoneticPr fontId="1"/>
  </si>
  <si>
    <t>岩手</t>
    <rPh sb="0" eb="2">
      <t>イワテ</t>
    </rPh>
    <phoneticPr fontId="6"/>
  </si>
  <si>
    <t>都市的地域_田畑型</t>
    <phoneticPr fontId="6"/>
  </si>
  <si>
    <t>無</t>
    <rPh sb="0" eb="1">
      <t>ナ</t>
    </rPh>
    <phoneticPr fontId="6"/>
  </si>
  <si>
    <t>株式会社</t>
    <rPh sb="0" eb="4">
      <t>カブシキガイシャ</t>
    </rPh>
    <phoneticPr fontId="6"/>
  </si>
  <si>
    <t>集落営農以外</t>
    <rPh sb="0" eb="2">
      <t>シュウラク</t>
    </rPh>
    <rPh sb="2" eb="4">
      <t>エイノウ</t>
    </rPh>
    <rPh sb="4" eb="6">
      <t>イガイ</t>
    </rPh>
    <phoneticPr fontId="1"/>
  </si>
  <si>
    <t>宮城</t>
    <rPh sb="0" eb="2">
      <t>ミヤギ</t>
    </rPh>
    <phoneticPr fontId="6"/>
  </si>
  <si>
    <t>都市的地域_畑地型</t>
    <phoneticPr fontId="6"/>
  </si>
  <si>
    <t>災害</t>
    <rPh sb="0" eb="2">
      <t>サイガイ</t>
    </rPh>
    <phoneticPr fontId="6"/>
  </si>
  <si>
    <t>株式会社（特例有限会社）</t>
    <rPh sb="0" eb="4">
      <t>カブシキガイシャ</t>
    </rPh>
    <rPh sb="5" eb="7">
      <t>トクレイ</t>
    </rPh>
    <rPh sb="7" eb="11">
      <t>ユウゲンガイシャ</t>
    </rPh>
    <phoneticPr fontId="6"/>
  </si>
  <si>
    <t>秋田</t>
    <rPh sb="0" eb="2">
      <t>アキタ</t>
    </rPh>
    <phoneticPr fontId="6"/>
  </si>
  <si>
    <t>平地農業地域_水田型</t>
    <phoneticPr fontId="6"/>
  </si>
  <si>
    <t>持分会社（合同・合名・合資会社）</t>
    <rPh sb="0" eb="2">
      <t>モチブン</t>
    </rPh>
    <rPh sb="2" eb="4">
      <t>ガイシャ</t>
    </rPh>
    <rPh sb="5" eb="7">
      <t>ゴウドウ</t>
    </rPh>
    <rPh sb="8" eb="10">
      <t>ゴウメイ</t>
    </rPh>
    <rPh sb="11" eb="13">
      <t>ゴウシ</t>
    </rPh>
    <rPh sb="13" eb="15">
      <t>ガイシャ</t>
    </rPh>
    <phoneticPr fontId="6"/>
  </si>
  <si>
    <t>山形</t>
    <rPh sb="0" eb="2">
      <t>ヤマガタ</t>
    </rPh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</si>
  <si>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</si>
  <si>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</si>
  <si>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福島</t>
    <rPh sb="0" eb="2">
      <t>フクシマ</t>
    </rPh>
    <phoneticPr fontId="6"/>
  </si>
  <si>
    <t>平地農業地域_畑地型</t>
    <phoneticPr fontId="6"/>
  </si>
  <si>
    <t>茨城</t>
    <rPh sb="0" eb="2">
      <t>イバラキ</t>
    </rPh>
    <phoneticPr fontId="6"/>
  </si>
  <si>
    <t>中間農業地域_水田型</t>
    <phoneticPr fontId="6"/>
  </si>
  <si>
    <t>栃木</t>
    <rPh sb="0" eb="2">
      <t>トチギ</t>
    </rPh>
    <phoneticPr fontId="6"/>
  </si>
  <si>
    <t>中間農業地域_田畑型</t>
    <phoneticPr fontId="6"/>
  </si>
  <si>
    <t>群馬</t>
    <rPh sb="0" eb="2">
      <t>グンマ</t>
    </rPh>
    <phoneticPr fontId="6"/>
  </si>
  <si>
    <t>中間農業地域_畑地型</t>
    <phoneticPr fontId="6"/>
  </si>
  <si>
    <t>埼玉</t>
    <rPh sb="0" eb="2">
      <t>サイタマ</t>
    </rPh>
    <phoneticPr fontId="6"/>
  </si>
  <si>
    <t>山間農業地域_水田型</t>
    <phoneticPr fontId="6"/>
  </si>
  <si>
    <t>千葉</t>
    <rPh sb="0" eb="2">
      <t>チバ</t>
    </rPh>
    <phoneticPr fontId="6"/>
  </si>
  <si>
    <t>山間農業地域_田畑型</t>
    <phoneticPr fontId="6"/>
  </si>
  <si>
    <t>東京</t>
    <rPh sb="0" eb="2">
      <t>トウキョウ</t>
    </rPh>
    <phoneticPr fontId="6"/>
  </si>
  <si>
    <t>山間農業地域_畑地型</t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</si>
  <si>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</si>
  <si>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</si>
  <si>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</si>
  <si>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</si>
  <si>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</si>
  <si>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</si>
  <si>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</si>
  <si>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</si>
  <si>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</si>
  <si>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</si>
  <si>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</si>
  <si>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</si>
  <si>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</si>
  <si>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</si>
  <si>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</si>
  <si>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</si>
  <si>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</si>
  <si>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</si>
  <si>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</si>
  <si>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</si>
  <si>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</si>
  <si>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</si>
  <si>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</si>
  <si>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</si>
  <si>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</si>
  <si>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</si>
  <si>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</si>
  <si>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</si>
  <si>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</si>
  <si>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</si>
  <si>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</si>
  <si>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</si>
  <si>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</si>
  <si>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</si>
  <si>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</si>
  <si>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米</t>
    <rPh sb="0" eb="1">
      <t>コメ</t>
    </rPh>
    <phoneticPr fontId="6"/>
  </si>
  <si>
    <t>稲作主体</t>
    <rPh sb="0" eb="2">
      <t>イナサク</t>
    </rPh>
    <rPh sb="2" eb="4">
      <t>シュタイ</t>
    </rPh>
    <phoneticPr fontId="1"/>
  </si>
  <si>
    <t>稲作主体以外</t>
    <rPh sb="0" eb="2">
      <t>イナサク</t>
    </rPh>
    <rPh sb="2" eb="4">
      <t>シュタイ</t>
    </rPh>
    <rPh sb="4" eb="6">
      <t>イガイ</t>
    </rPh>
    <phoneticPr fontId="1"/>
  </si>
  <si>
    <t>1,800～2,400</t>
  </si>
  <si>
    <t>2,400～3,000</t>
  </si>
  <si>
    <t>3,000～3,600</t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</si>
  <si>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4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</si>
  <si>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4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</si>
  <si>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4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</si>
  <si>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4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</si>
  <si>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4"/>
  </si>
  <si>
    <r>
      <t>22　食用米の田植、収穫期間</t>
    </r>
    <r>
      <rPr>
        <sz val="6"/>
        <rFont val="ＭＳ 明朝"/>
        <family val="1"/>
        <charset val="128"/>
      </rPr>
      <t>（日）</t>
    </r>
    <rPh sb="3" eb="6">
      <t>ショクヨウマイ</t>
    </rPh>
    <rPh sb="7" eb="9">
      <t>タウエ</t>
    </rPh>
    <rPh sb="10" eb="12">
      <t>シュウカク</t>
    </rPh>
    <rPh sb="12" eb="14">
      <t>キカン</t>
    </rPh>
    <rPh sb="15" eb="16">
      <t>ニチ</t>
    </rPh>
    <phoneticPr fontId="14"/>
  </si>
  <si>
    <t>30　原単位</t>
    <rPh sb="3" eb="6">
      <t>ゲンタンイ</t>
    </rPh>
    <phoneticPr fontId="14"/>
  </si>
  <si>
    <t>30　原単位（続き）</t>
    <rPh sb="3" eb="6">
      <t>ゲンタンイ</t>
    </rPh>
    <rPh sb="7" eb="8">
      <t>ツヅ</t>
    </rPh>
    <phoneticPr fontId="14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</si>
  <si>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4"/>
  </si>
  <si>
    <t>16　稲作作業の受委託状況</t>
    <rPh sb="8" eb="11">
      <t>ジュイタク</t>
    </rPh>
    <rPh sb="11" eb="13">
      <t>ジョウキョウ</t>
    </rPh>
    <phoneticPr fontId="14"/>
  </si>
  <si>
    <r>
      <t>11　借入金（買掛未払金含む）の資金種類別内訳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カ</t>
    </rPh>
    <rPh sb="8" eb="9">
      <t>カ</t>
    </rPh>
    <rPh sb="9" eb="11">
      <t>ミバラ</t>
    </rPh>
    <rPh sb="11" eb="12">
      <t>キン</t>
    </rPh>
    <rPh sb="12" eb="13">
      <t>フク</t>
    </rPh>
    <rPh sb="16" eb="18">
      <t>シキン</t>
    </rPh>
    <rPh sb="18" eb="21">
      <t>シュルイベツ</t>
    </rPh>
    <rPh sb="21" eb="23">
      <t>ウチワケ</t>
    </rPh>
    <rPh sb="24" eb="25">
      <t>エン</t>
    </rPh>
    <phoneticPr fontId="14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</si>
  <si>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4"/>
  </si>
  <si>
    <r>
      <t>９  農業共済金、各種助成措置の状況</t>
    </r>
    <r>
      <rPr>
        <sz val="6"/>
        <rFont val="ＭＳ 明朝"/>
        <family val="1"/>
        <charset val="128"/>
      </rPr>
      <t>（円）</t>
    </r>
    <rPh sb="9" eb="11">
      <t>カクシュ</t>
    </rPh>
    <rPh sb="11" eb="13">
      <t>ジョセイ</t>
    </rPh>
    <rPh sb="13" eb="15">
      <t>ソチ</t>
    </rPh>
    <rPh sb="16" eb="18">
      <t>ジョウキョウ</t>
    </rPh>
    <rPh sb="19" eb="20">
      <t>エン</t>
    </rPh>
    <phoneticPr fontId="14"/>
  </si>
  <si>
    <r>
      <t>23　「移植」「直まき」別作付面積</t>
    </r>
    <r>
      <rPr>
        <sz val="6"/>
        <rFont val="ＭＳ 明朝"/>
        <family val="1"/>
        <charset val="128"/>
      </rPr>
      <t>（ａ）</t>
    </r>
    <rPh sb="4" eb="6">
      <t>イショク</t>
    </rPh>
    <rPh sb="8" eb="9">
      <t>ジカ</t>
    </rPh>
    <rPh sb="12" eb="13">
      <t>ベツ</t>
    </rPh>
    <rPh sb="13" eb="15">
      <t>サクツ</t>
    </rPh>
    <rPh sb="15" eb="17">
      <t>メンセキ</t>
    </rPh>
    <phoneticPr fontId="14"/>
  </si>
  <si>
    <r>
      <t>８　収益性</t>
    </r>
    <r>
      <rPr>
        <sz val="6"/>
        <rFont val="ＭＳ 明朝"/>
        <family val="1"/>
        <charset val="128"/>
      </rPr>
      <t>（円）</t>
    </r>
    <phoneticPr fontId="14"/>
  </si>
  <si>
    <t>24　田の概況</t>
    <rPh sb="3" eb="4">
      <t>タ</t>
    </rPh>
    <rPh sb="5" eb="7">
      <t>ガイキョウ</t>
    </rPh>
    <phoneticPr fontId="14"/>
  </si>
  <si>
    <r>
      <t>25　ほ場枚数及び面積</t>
    </r>
    <r>
      <rPr>
        <sz val="6"/>
        <rFont val="ＭＳ 明朝"/>
        <family val="1"/>
        <charset val="128"/>
      </rPr>
      <t>（ａ）</t>
    </r>
    <rPh sb="4" eb="5">
      <t>ジョウ</t>
    </rPh>
    <rPh sb="5" eb="7">
      <t>マイスウ</t>
    </rPh>
    <rPh sb="7" eb="8">
      <t>オヨ</t>
    </rPh>
    <rPh sb="9" eb="11">
      <t>メンセキ</t>
    </rPh>
    <phoneticPr fontId="14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</si>
  <si>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4"/>
  </si>
  <si>
    <r>
      <t>26　団地への距離等</t>
    </r>
    <r>
      <rPr>
        <sz val="6"/>
        <rFont val="ＭＳ 明朝"/>
        <family val="1"/>
        <charset val="128"/>
      </rPr>
      <t>（㎞）</t>
    </r>
    <rPh sb="3" eb="5">
      <t>ダンチ</t>
    </rPh>
    <rPh sb="7" eb="9">
      <t>キョリ</t>
    </rPh>
    <rPh sb="9" eb="10">
      <t>トウ</t>
    </rPh>
    <phoneticPr fontId="14"/>
  </si>
  <si>
    <r>
      <t>15　うるち米の品種別作付面積</t>
    </r>
    <r>
      <rPr>
        <sz val="6"/>
        <rFont val="ＭＳ 明朝"/>
        <family val="1"/>
        <charset val="128"/>
      </rPr>
      <t>（ａ）</t>
    </r>
    <rPh sb="6" eb="7">
      <t>マイ</t>
    </rPh>
    <rPh sb="8" eb="11">
      <t>ヒンシュベツ</t>
    </rPh>
    <rPh sb="11" eb="13">
      <t>サクツケ</t>
    </rPh>
    <rPh sb="13" eb="15">
      <t>メンセキ</t>
    </rPh>
    <phoneticPr fontId="14"/>
  </si>
  <si>
    <r>
      <t>27　飼料用米作付状況</t>
    </r>
    <r>
      <rPr>
        <sz val="6"/>
        <rFont val="ＭＳ 明朝"/>
        <family val="1"/>
        <charset val="128"/>
      </rPr>
      <t>（ａ）</t>
    </r>
    <rPh sb="3" eb="5">
      <t>シリョウ</t>
    </rPh>
    <rPh sb="5" eb="7">
      <t>ヨウマイ</t>
    </rPh>
    <rPh sb="7" eb="9">
      <t>サクツケ</t>
    </rPh>
    <rPh sb="9" eb="11">
      <t>ジョウキョウ</t>
    </rPh>
    <phoneticPr fontId="14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</si>
  <si>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4"/>
  </si>
  <si>
    <r>
      <t>13　年齢階層別構成員労働時間及び労働評価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1">
      <t>ヒョウカ</t>
    </rPh>
    <rPh sb="22" eb="24">
      <t>ジカン</t>
    </rPh>
    <rPh sb="25" eb="26">
      <t>エン</t>
    </rPh>
    <phoneticPr fontId="14"/>
  </si>
  <si>
    <r>
      <t>28　構成員数等</t>
    </r>
    <r>
      <rPr>
        <sz val="6"/>
        <rFont val="ＭＳ 明朝"/>
        <family val="1"/>
        <charset val="128"/>
      </rPr>
      <t>（人、戸）</t>
    </r>
    <rPh sb="3" eb="6">
      <t>コウセイイン</t>
    </rPh>
    <rPh sb="6" eb="7">
      <t>スウ</t>
    </rPh>
    <rPh sb="7" eb="8">
      <t>トウ</t>
    </rPh>
    <rPh sb="9" eb="10">
      <t>ヒト</t>
    </rPh>
    <rPh sb="11" eb="12">
      <t>コ</t>
    </rPh>
    <phoneticPr fontId="6"/>
  </si>
  <si>
    <t>３～５条植</t>
    <rPh sb="3" eb="4">
      <t>ジョウ</t>
    </rPh>
    <rPh sb="4" eb="5">
      <t>ウエ</t>
    </rPh>
    <phoneticPr fontId="14"/>
  </si>
  <si>
    <t>もみすり機</t>
    <rPh sb="4" eb="5">
      <t>キ</t>
    </rPh>
    <phoneticPr fontId="14"/>
  </si>
  <si>
    <t>農機具等</t>
    <rPh sb="0" eb="3">
      <t>ノウキグ</t>
    </rPh>
    <rPh sb="3" eb="4">
      <t>トウ</t>
    </rPh>
    <phoneticPr fontId="14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</si>
  <si>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4"/>
  </si>
  <si>
    <t>集計区分</t>
    <phoneticPr fontId="6"/>
  </si>
  <si>
    <t>コード</t>
    <phoneticPr fontId="6"/>
  </si>
  <si>
    <t>収穫皆無</t>
    <rPh sb="0" eb="2">
      <t>シュウカク</t>
    </rPh>
    <rPh sb="2" eb="4">
      <t>カイム</t>
    </rPh>
    <phoneticPr fontId="6"/>
  </si>
  <si>
    <t>平年作比120％以上</t>
    <rPh sb="0" eb="4">
      <t>ヘイネンサクヒ</t>
    </rPh>
    <rPh sb="8" eb="10">
      <t>イジョウ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</si>
  <si>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4"/>
  </si>
  <si>
    <t>農業共済組合賦課金</t>
    <rPh sb="0" eb="2">
      <t>ノウギョウ</t>
    </rPh>
    <rPh sb="2" eb="4">
      <t>キョウサイ</t>
    </rPh>
    <rPh sb="4" eb="6">
      <t>クミアイ</t>
    </rPh>
    <rPh sb="6" eb="9">
      <t>フカキン</t>
    </rPh>
    <phoneticPr fontId="14"/>
  </si>
  <si>
    <t>5.0ha未満</t>
    <rPh sb="5" eb="7">
      <t>ミマン</t>
    </rPh>
    <phoneticPr fontId="6"/>
  </si>
  <si>
    <t>5.0～10.0</t>
    <phoneticPr fontId="6"/>
  </si>
  <si>
    <t>10.0～15.0</t>
    <phoneticPr fontId="6"/>
  </si>
  <si>
    <t>15.0～20.0</t>
    <phoneticPr fontId="6"/>
  </si>
  <si>
    <t>20.0～30.0</t>
    <phoneticPr fontId="6"/>
  </si>
  <si>
    <t>30.0～50.0</t>
    <phoneticPr fontId="6"/>
  </si>
  <si>
    <t>50.0～100.0</t>
    <phoneticPr fontId="6"/>
  </si>
  <si>
    <t>100.0ha以上</t>
    <rPh sb="7" eb="9">
      <t>イジョウ</t>
    </rPh>
    <phoneticPr fontId="6"/>
  </si>
  <si>
    <t>600kg未満</t>
    <rPh sb="5" eb="7">
      <t>ミマン</t>
    </rPh>
    <phoneticPr fontId="6"/>
  </si>
  <si>
    <t>600～1,200</t>
  </si>
  <si>
    <t>1,200～1,800</t>
  </si>
  <si>
    <t>3,600～4,200</t>
  </si>
  <si>
    <t>4,200～4,800</t>
  </si>
  <si>
    <t>4,800～5,400</t>
  </si>
  <si>
    <t>5,400～6,000</t>
  </si>
  <si>
    <t>6,000～6,600</t>
  </si>
  <si>
    <t>6,600～7,200</t>
  </si>
  <si>
    <t>7,200～7,800</t>
  </si>
  <si>
    <t>7,800～8,400</t>
  </si>
  <si>
    <t>8,400～9,000</t>
  </si>
  <si>
    <t>9,000～9,600</t>
  </si>
  <si>
    <t>9,600～10,200</t>
  </si>
  <si>
    <t>10,200～10,800</t>
  </si>
  <si>
    <t>10,800～11,400</t>
  </si>
  <si>
    <t>11,400～12,000</t>
  </si>
  <si>
    <t>12,000～12,600</t>
  </si>
  <si>
    <t>12,600～13,200</t>
  </si>
  <si>
    <t>13,200～13,800</t>
  </si>
  <si>
    <t>13,800～14,400</t>
  </si>
  <si>
    <t>14,400～15,000</t>
  </si>
  <si>
    <t>15,000～15,600</t>
  </si>
  <si>
    <t>15,600～16,200</t>
  </si>
  <si>
    <t>16,200～16,800</t>
  </si>
  <si>
    <t>16,800～17,400</t>
  </si>
  <si>
    <t>17,400～18,000</t>
  </si>
  <si>
    <t>18,000～18,600</t>
  </si>
  <si>
    <t>18,600～19,200</t>
  </si>
  <si>
    <t>19,200～19,800</t>
  </si>
  <si>
    <t>19,800～20,400</t>
  </si>
  <si>
    <t>20,400～21,000</t>
  </si>
  <si>
    <t>21,000～21,600</t>
  </si>
  <si>
    <t>21,600～22,200</t>
  </si>
  <si>
    <t>22,200～22,800</t>
  </si>
  <si>
    <t>22,800～23,400</t>
  </si>
  <si>
    <t>23,400～24,000</t>
  </si>
  <si>
    <t>24,000～24,600</t>
  </si>
  <si>
    <t>24,600～25,200</t>
  </si>
  <si>
    <t>25,200～25,800</t>
  </si>
  <si>
    <t>25,800～26,400</t>
  </si>
  <si>
    <t>26,400～27,000</t>
  </si>
  <si>
    <t>27,000～27,600</t>
  </si>
  <si>
    <t>27,600～28,200</t>
  </si>
  <si>
    <t>28,200～28,800</t>
  </si>
  <si>
    <t>28,800～29,400</t>
  </si>
  <si>
    <t>29,400～30,000</t>
  </si>
  <si>
    <t>30,000～30,600</t>
  </si>
  <si>
    <t>30,600～31,200</t>
  </si>
  <si>
    <t>31,200～31,800</t>
  </si>
  <si>
    <t>31,800～32,400</t>
  </si>
  <si>
    <t>32,400～33,000</t>
  </si>
  <si>
    <t>33,000～33,600</t>
  </si>
  <si>
    <t>33,600～34,200</t>
  </si>
  <si>
    <t>34,200～34,800</t>
  </si>
  <si>
    <t>34,800～35,400</t>
  </si>
  <si>
    <t>35,400～36,000</t>
  </si>
  <si>
    <t>36,000～36,600</t>
  </si>
  <si>
    <t>36,600～37,200</t>
  </si>
  <si>
    <t>37,200～37,800</t>
  </si>
  <si>
    <t>37,800～38,400</t>
  </si>
  <si>
    <t>38,400～39,000</t>
  </si>
  <si>
    <t>39,000～39,600</t>
  </si>
  <si>
    <t>39,600～40,200</t>
  </si>
  <si>
    <t>40,200～40,800</t>
  </si>
  <si>
    <t>40,800～41,400</t>
  </si>
  <si>
    <t>41,400～42,000</t>
  </si>
  <si>
    <t>42,000～42,600</t>
  </si>
  <si>
    <t>42,600～43,200</t>
  </si>
  <si>
    <t>43,200～43,800</t>
  </si>
  <si>
    <t>43,800～44,400</t>
  </si>
  <si>
    <t>44,400～45,000</t>
  </si>
  <si>
    <t>45,000～45,600</t>
  </si>
  <si>
    <t>45,600～46,200</t>
  </si>
  <si>
    <t>46,200～46,800</t>
  </si>
  <si>
    <t>46,800～47,400</t>
  </si>
  <si>
    <t>47,400～48,000</t>
  </si>
  <si>
    <t>48,000～48,600</t>
  </si>
  <si>
    <t>48,600～49,200</t>
  </si>
  <si>
    <t>49,200～49,800</t>
  </si>
  <si>
    <t>49,800～50,400</t>
  </si>
  <si>
    <t>50,400～51,000</t>
  </si>
  <si>
    <t>51,000～51,600</t>
  </si>
  <si>
    <t>51,600～52,200</t>
  </si>
  <si>
    <t>52,200～52,800</t>
  </si>
  <si>
    <t>52,800～53,400</t>
  </si>
  <si>
    <t>53,400～54,000</t>
  </si>
  <si>
    <t>54,000～54,600</t>
  </si>
  <si>
    <t>54,600～55,200</t>
  </si>
  <si>
    <t>55,200～55,800</t>
  </si>
  <si>
    <t>55,800～56,400</t>
  </si>
  <si>
    <t>56,400～57,000</t>
  </si>
  <si>
    <t>57,000～57,600</t>
  </si>
  <si>
    <t>57,600～58,200</t>
  </si>
  <si>
    <t>58,200～58,800</t>
  </si>
  <si>
    <t>58,800～59,400</t>
  </si>
  <si>
    <t>59,400～60,000</t>
  </si>
  <si>
    <t>60,000～60,600</t>
  </si>
  <si>
    <t>60,600～61,200</t>
  </si>
  <si>
    <t>61,200～61,800</t>
  </si>
  <si>
    <t>61,800～62,400</t>
  </si>
  <si>
    <t>62,400～63,000</t>
  </si>
  <si>
    <t>63,000～63,600</t>
  </si>
  <si>
    <t>63,600～64,200</t>
  </si>
  <si>
    <t>64,200～64,800</t>
  </si>
  <si>
    <t>64,800～65,400</t>
  </si>
  <si>
    <t>65,400～66,000</t>
  </si>
  <si>
    <t>66,000～66,600</t>
  </si>
  <si>
    <t>66,600～67,200</t>
  </si>
  <si>
    <t>67,200～67,800</t>
  </si>
  <si>
    <t>67,800～68,400</t>
  </si>
  <si>
    <t>68,400～69,000</t>
  </si>
  <si>
    <t>69,000～69,600</t>
  </si>
  <si>
    <t>69,600～70,200</t>
  </si>
  <si>
    <t>70,200～70,800</t>
  </si>
  <si>
    <t>70,800～71,400</t>
  </si>
  <si>
    <t>71,400～72,000</t>
  </si>
  <si>
    <t>72,000kg以上</t>
    <rPh sb="8" eb="10">
      <t>イジョウ</t>
    </rPh>
    <phoneticPr fontId="6"/>
  </si>
  <si>
    <t>稲わら(もみがら含む)</t>
    <rPh sb="0" eb="1">
      <t>イナ</t>
    </rPh>
    <rPh sb="8" eb="9">
      <t>フク</t>
    </rPh>
    <phoneticPr fontId="14"/>
  </si>
  <si>
    <t>自脱型
コンバイン</t>
    <rPh sb="0" eb="1">
      <t>ジ</t>
    </rPh>
    <rPh sb="1" eb="2">
      <t>ダツ</t>
    </rPh>
    <rPh sb="2" eb="3">
      <t>ガタ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</si>
</sst>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,##0.00;\-#,##0.00;&quot;&quot;"/>
    <numFmt numFmtId="182" formatCode="000"/>
  </numFmts>
  <fonts count="26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u/>
      <sz val="13.2"/>
      <color indexed="12"/>
      <name val="ＭＳ Ｐゴシック"/>
      <family val="3"/>
      <charset val="128"/>
    </font>
    <font>
      <b/>
      <sz val="12"/>
      <name val="ＭＳ 明朝"/>
      <family val="1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color theme="1"/>
      <name val="ＭＳ 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hair">
        <color auto="1"/>
      </left>
      <right/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hair">
        <color indexed="64"/>
      </top>
      <bottom style="hair">
        <color indexed="64"/>
      </bottom>
      <diagonal style="hair">
        <color auto="1"/>
      </diagonal>
    </border>
    <border diagonalDown="1">
      <left style="thin">
        <color indexed="64"/>
      </left>
      <right style="thin">
        <color auto="1"/>
      </right>
      <top style="hair">
        <color indexed="64"/>
      </top>
      <bottom style="medium">
        <color auto="1"/>
      </bottom>
      <diagonal style="hair">
        <color auto="1"/>
      </diagonal>
    </border>
    <border>
      <left style="thin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 diagonalDown="1">
      <left style="thin">
        <color indexed="64"/>
      </left>
      <right/>
      <top style="hair">
        <color indexed="64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indexed="64"/>
      </bottom>
      <diagonal/>
    </border>
    <border diagonalDown="1">
      <left/>
      <right style="medium">
        <color auto="1"/>
      </right>
      <top style="hair">
        <color indexed="64"/>
      </top>
      <bottom style="hair">
        <color indexed="64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>
      <left style="hair">
        <color indexed="64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/>
      <bottom style="thin">
        <color auto="1"/>
      </bottom>
      <diagonal/>
    </border>
    <border diagonalDown="1">
      <left/>
      <right/>
      <top/>
      <bottom style="hair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indexed="64"/>
      </bottom>
      <diagonal style="hair">
        <color auto="1"/>
      </diagonal>
    </border>
    <border diagonalDown="1">
      <left style="medium">
        <color indexed="64"/>
      </left>
      <right/>
      <top style="thin">
        <color auto="1"/>
      </top>
      <bottom style="hair">
        <color indexed="64"/>
      </bottom>
      <diagonal style="hair">
        <color auto="1"/>
      </diagonal>
    </border>
    <border diagonalDown="1">
      <left style="medium">
        <color indexed="64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/>
      <right style="thin">
        <color indexed="64"/>
      </right>
      <top style="thin">
        <color auto="1"/>
      </top>
      <bottom style="thin">
        <color indexed="64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thin">
        <color indexed="64"/>
      </left>
      <right style="medium">
        <color auto="1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 diagonalDown="1">
      <left style="thin">
        <color indexed="64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thin">
        <color auto="1"/>
      </right>
      <top/>
      <bottom/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3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3" fillId="0" borderId="0"/>
    <xf numFmtId="0" fontId="9" fillId="0" borderId="0">
      <alignment vertical="center"/>
    </xf>
    <xf numFmtId="0" fontId="7" fillId="0" borderId="0"/>
    <xf numFmtId="0" fontId="13" fillId="0" borderId="0"/>
  </cellStyleXfs>
  <cellXfs count="721">
    <xf numFmtId="0" fontId="0" fillId="0" borderId="0" xfId="0"/>
    <xf numFmtId="0" fontId="9" fillId="0" borderId="0" xfId="94" applyFont="1" applyFill="1" applyBorder="1" applyAlignment="1" applyProtection="1">
      <alignment vertical="center" wrapText="1"/>
    </xf>
    <xf numFmtId="0" fontId="13" fillId="0" borderId="0" xfId="93" applyFont="1" applyFill="1" applyBorder="1" applyAlignment="1" applyProtection="1">
      <alignment vertical="center" wrapText="1"/>
    </xf>
    <xf numFmtId="0" fontId="22" fillId="0" borderId="0" xfId="93" applyFont="1" applyFill="1" applyBorder="1" applyAlignment="1" applyProtection="1"/>
    <xf numFmtId="0" fontId="13" fillId="0" borderId="0" xfId="93" applyFont="1" applyFill="1" applyBorder="1" applyAlignment="1" applyProtection="1">
      <alignment horizontal="center" vertical="distributed" textRotation="255"/>
    </xf>
    <xf numFmtId="0" fontId="18" fillId="0" borderId="0" xfId="93" applyFont="1" applyFill="1" applyBorder="1" applyAlignment="1" applyProtection="1">
      <alignment horizontal="center" vertical="center" shrinkToFit="1"/>
    </xf>
    <xf numFmtId="0" fontId="13" fillId="0" borderId="0" xfId="93" applyFont="1" applyFill="1" applyBorder="1" applyAlignment="1" applyProtection="1">
      <alignment vertical="center" justifyLastLine="1"/>
    </xf>
    <xf numFmtId="179" fontId="13" fillId="0" borderId="0" xfId="94" applyNumberFormat="1" applyFont="1" applyFill="1" applyBorder="1" applyAlignment="1" applyProtection="1">
      <alignment vertical="center" shrinkToFit="1"/>
    </xf>
    <xf numFmtId="178" fontId="13" fillId="0" borderId="0" xfId="94" applyNumberFormat="1" applyFont="1" applyFill="1" applyBorder="1" applyAlignment="1" applyProtection="1">
      <alignment vertical="center" shrinkToFit="1"/>
    </xf>
    <xf numFmtId="0" fontId="8" fillId="0" borderId="0" xfId="93" applyFont="1" applyFill="1" applyBorder="1" applyAlignment="1" applyProtection="1"/>
    <xf numFmtId="0" fontId="16" fillId="0" borderId="0" xfId="93" applyFont="1" applyFill="1" applyBorder="1" applyAlignment="1" applyProtection="1"/>
    <xf numFmtId="0" fontId="20" fillId="0" borderId="0" xfId="93" applyFont="1" applyFill="1" applyBorder="1" applyAlignment="1" applyProtection="1">
      <alignment vertical="top"/>
    </xf>
    <xf numFmtId="0" fontId="13" fillId="0" borderId="12" xfId="93" applyFont="1" applyFill="1" applyBorder="1" applyAlignment="1" applyProtection="1">
      <alignment vertical="center"/>
    </xf>
    <xf numFmtId="0" fontId="8" fillId="0" borderId="0" xfId="93" applyFont="1" applyFill="1" applyBorder="1" applyAlignment="1" applyProtection="1">
      <alignment horizontal="left" vertical="center"/>
    </xf>
    <xf numFmtId="0" fontId="16" fillId="0" borderId="0" xfId="93" applyFont="1" applyFill="1" applyBorder="1" applyAlignment="1" applyProtection="1">
      <alignment vertical="center"/>
    </xf>
    <xf numFmtId="178" fontId="9" fillId="2" borderId="0" xfId="94" applyNumberFormat="1" applyFont="1" applyFill="1" applyBorder="1" applyAlignment="1" applyProtection="1">
      <alignment horizontal="right" vertical="center" shrinkToFit="1"/>
    </xf>
    <xf numFmtId="1" fontId="13" fillId="0" borderId="0" xfId="93" applyNumberFormat="1" applyFont="1" applyFill="1" applyBorder="1" applyAlignment="1" applyProtection="1">
      <alignment horizontal="right" vertical="center" shrinkToFit="1"/>
    </xf>
    <xf numFmtId="1" fontId="24" fillId="0" borderId="0" xfId="93" applyNumberFormat="1" applyFont="1" applyFill="1" applyBorder="1" applyAlignment="1" applyProtection="1">
      <alignment horizontal="center" vertical="center"/>
    </xf>
    <xf numFmtId="1" fontId="13" fillId="0" borderId="0" xfId="93" applyNumberFormat="1" applyFont="1" applyFill="1" applyBorder="1" applyAlignment="1" applyProtection="1">
      <alignment vertical="center" shrinkToFit="1"/>
    </xf>
    <xf numFmtId="0" fontId="16" fillId="0" borderId="33" xfId="93" applyFont="1" applyFill="1" applyBorder="1" applyAlignment="1" applyProtection="1">
      <alignment vertical="center"/>
    </xf>
    <xf numFmtId="0" fontId="20" fillId="0" borderId="11" xfId="93" applyFont="1" applyFill="1" applyBorder="1" applyAlignment="1" applyProtection="1">
      <alignment vertical="center"/>
    </xf>
    <xf numFmtId="0" fontId="14" fillId="0" borderId="11" xfId="93" applyFont="1" applyFill="1" applyBorder="1" applyAlignment="1" applyProtection="1">
      <alignment vertical="center"/>
    </xf>
    <xf numFmtId="0" fontId="20" fillId="0" borderId="11" xfId="93" applyFont="1" applyFill="1" applyBorder="1" applyAlignment="1" applyProtection="1">
      <alignment horizontal="right"/>
    </xf>
    <xf numFmtId="0" fontId="14" fillId="0" borderId="52" xfId="93" applyFont="1" applyFill="1" applyBorder="1" applyAlignment="1" applyProtection="1">
      <alignment vertical="center"/>
    </xf>
    <xf numFmtId="0" fontId="13" fillId="0" borderId="95" xfId="93" applyFont="1" applyFill="1" applyBorder="1" applyAlignment="1" applyProtection="1">
      <alignment vertical="center"/>
    </xf>
    <xf numFmtId="0" fontId="13" fillId="0" borderId="43" xfId="93" applyFont="1" applyFill="1" applyBorder="1" applyAlignment="1" applyProtection="1">
      <alignment vertical="center"/>
    </xf>
    <xf numFmtId="0" fontId="13" fillId="0" borderId="12" xfId="93" applyFont="1" applyFill="1" applyBorder="1" applyAlignment="1" applyProtection="1">
      <alignment vertical="center" justifyLastLine="1"/>
    </xf>
    <xf numFmtId="0" fontId="13" fillId="0" borderId="12" xfId="93" applyFont="1" applyFill="1" applyBorder="1" applyAlignment="1" applyProtection="1">
      <alignment horizontal="distributed" vertical="center"/>
    </xf>
    <xf numFmtId="0" fontId="13" fillId="0" borderId="50" xfId="93" applyFont="1" applyFill="1" applyBorder="1" applyAlignment="1" applyProtection="1">
      <alignment vertical="center"/>
    </xf>
    <xf numFmtId="0" fontId="13" fillId="0" borderId="61" xfId="93" applyFont="1" applyFill="1" applyBorder="1" applyAlignment="1" applyProtection="1">
      <alignment vertical="center"/>
    </xf>
    <xf numFmtId="0" fontId="8" fillId="0" borderId="50" xfId="93" applyFont="1" applyFill="1" applyBorder="1" applyAlignment="1" applyProtection="1">
      <alignment vertical="center"/>
    </xf>
    <xf numFmtId="0" fontId="8" fillId="0" borderId="61" xfId="93" applyFont="1" applyFill="1" applyBorder="1" applyAlignment="1" applyProtection="1">
      <alignment vertical="center"/>
    </xf>
    <xf numFmtId="0" fontId="14" fillId="0" borderId="55" xfId="93" applyFont="1" applyFill="1" applyBorder="1" applyAlignment="1" applyProtection="1">
      <alignment vertical="center"/>
    </xf>
    <xf numFmtId="0" fontId="14" fillId="0" borderId="84" xfId="93" applyFont="1" applyFill="1" applyBorder="1" applyAlignment="1" applyProtection="1">
      <alignment vertical="center"/>
    </xf>
    <xf numFmtId="0" fontId="14" fillId="0" borderId="56" xfId="93" applyFont="1" applyFill="1" applyBorder="1" applyAlignment="1" applyProtection="1">
      <alignment vertical="center"/>
    </xf>
    <xf numFmtId="0" fontId="14" fillId="0" borderId="166" xfId="93" applyFont="1" applyFill="1" applyBorder="1" applyAlignment="1" applyProtection="1">
      <alignment vertical="center"/>
    </xf>
    <xf numFmtId="0" fontId="14" fillId="0" borderId="183" xfId="93" applyFont="1" applyFill="1" applyBorder="1" applyAlignment="1" applyProtection="1">
      <alignment vertical="center"/>
    </xf>
    <xf numFmtId="0" fontId="13" fillId="0" borderId="183" xfId="93" applyFont="1" applyFill="1" applyBorder="1" applyAlignment="1" applyProtection="1">
      <alignment vertical="center"/>
    </xf>
    <xf numFmtId="0" fontId="14" fillId="0" borderId="47" xfId="93" applyFont="1" applyFill="1" applyBorder="1" applyAlignment="1" applyProtection="1">
      <alignment vertical="center"/>
    </xf>
    <xf numFmtId="0" fontId="14" fillId="0" borderId="183" xfId="93" applyFont="1" applyFill="1" applyBorder="1" applyAlignment="1" applyProtection="1">
      <alignment horizontal="distributed" vertical="center"/>
    </xf>
    <xf numFmtId="0" fontId="13" fillId="0" borderId="183" xfId="93" applyFont="1" applyFill="1" applyBorder="1" applyAlignment="1" applyProtection="1">
      <alignment horizontal="distributed" vertical="center"/>
    </xf>
    <xf numFmtId="0" fontId="14" fillId="0" borderId="55" xfId="94" applyFont="1" applyFill="1" applyBorder="1" applyAlignment="1" applyProtection="1">
      <alignment horizontal="distributed" vertical="center" shrinkToFit="1"/>
    </xf>
    <xf numFmtId="0" fontId="14" fillId="0" borderId="47" xfId="94" applyFont="1" applyFill="1" applyBorder="1" applyAlignment="1" applyProtection="1">
      <alignment horizontal="distributed" vertical="center" shrinkToFit="1"/>
    </xf>
    <xf numFmtId="0" fontId="14" fillId="0" borderId="48" xfId="93" applyFont="1" applyFill="1" applyBorder="1" applyAlignment="1" applyProtection="1">
      <alignment vertical="center"/>
    </xf>
    <xf numFmtId="0" fontId="14" fillId="0" borderId="32" xfId="93" applyFont="1" applyFill="1" applyBorder="1" applyAlignment="1" applyProtection="1">
      <alignment vertical="center"/>
    </xf>
    <xf numFmtId="0" fontId="14" fillId="0" borderId="76" xfId="93" applyFont="1" applyFill="1" applyBorder="1" applyAlignment="1" applyProtection="1">
      <alignment vertical="center"/>
    </xf>
    <xf numFmtId="0" fontId="14" fillId="0" borderId="13" xfId="93" applyFont="1" applyFill="1" applyBorder="1" applyAlignment="1" applyProtection="1">
      <alignment vertical="center"/>
    </xf>
    <xf numFmtId="0" fontId="14" fillId="0" borderId="66" xfId="93" applyFont="1" applyFill="1" applyBorder="1" applyAlignment="1" applyProtection="1">
      <alignment vertical="center"/>
    </xf>
    <xf numFmtId="0" fontId="14" fillId="0" borderId="56" xfId="94" applyFont="1" applyFill="1" applyBorder="1" applyAlignment="1" applyProtection="1">
      <alignment horizontal="distributed" vertical="center" shrinkToFit="1"/>
    </xf>
    <xf numFmtId="0" fontId="14" fillId="0" borderId="0" xfId="93" applyFont="1" applyFill="1" applyAlignment="1" applyProtection="1">
      <alignment vertical="center"/>
    </xf>
    <xf numFmtId="0" fontId="14" fillId="0" borderId="0" xfId="93" applyFont="1" applyFill="1" applyBorder="1" applyAlignment="1" applyProtection="1">
      <alignment vertical="center"/>
    </xf>
    <xf numFmtId="0" fontId="14" fillId="0" borderId="55" xfId="93" applyFont="1" applyFill="1" applyBorder="1" applyAlignment="1" applyProtection="1">
      <alignment vertical="center" textRotation="255" shrinkToFit="1"/>
    </xf>
    <xf numFmtId="0" fontId="14" fillId="0" borderId="84" xfId="93" applyFont="1" applyFill="1" applyBorder="1" applyAlignment="1" applyProtection="1">
      <alignment vertical="center" textRotation="255" shrinkToFit="1"/>
    </xf>
    <xf numFmtId="0" fontId="14" fillId="0" borderId="0" xfId="93" applyFont="1" applyFill="1" applyBorder="1" applyAlignment="1" applyProtection="1">
      <alignment vertical="center" justifyLastLine="1"/>
    </xf>
    <xf numFmtId="179" fontId="14" fillId="0" borderId="26" xfId="94" applyNumberFormat="1" applyFont="1" applyFill="1" applyBorder="1" applyAlignment="1" applyProtection="1">
      <alignment vertical="center" shrinkToFit="1"/>
    </xf>
    <xf numFmtId="179" fontId="14" fillId="0" borderId="36" xfId="94" applyNumberFormat="1" applyFont="1" applyFill="1" applyBorder="1" applyAlignment="1" applyProtection="1">
      <alignment vertical="center" shrinkToFit="1"/>
    </xf>
    <xf numFmtId="176" fontId="14" fillId="0" borderId="16" xfId="94" applyNumberFormat="1" applyFont="1" applyFill="1" applyBorder="1" applyAlignment="1" applyProtection="1">
      <alignment vertical="center" shrinkToFit="1"/>
    </xf>
    <xf numFmtId="176" fontId="14" fillId="0" borderId="36" xfId="94" applyNumberFormat="1" applyFont="1" applyFill="1" applyBorder="1" applyAlignment="1" applyProtection="1">
      <alignment vertical="center" shrinkToFit="1"/>
    </xf>
    <xf numFmtId="180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69" xfId="93" applyFont="1" applyFill="1" applyBorder="1" applyAlignment="1" applyProtection="1">
      <alignment vertical="center"/>
    </xf>
    <xf numFmtId="0" fontId="14" fillId="0" borderId="95" xfId="93" applyFont="1" applyFill="1" applyBorder="1" applyAlignment="1" applyProtection="1">
      <alignment vertical="center"/>
    </xf>
    <xf numFmtId="0" fontId="13" fillId="0" borderId="52" xfId="93" applyFont="1" applyFill="1" applyBorder="1" applyAlignment="1" applyProtection="1">
      <alignment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/>
    <xf numFmtId="0" fontId="4" fillId="6" borderId="0" xfId="0" applyFont="1" applyFill="1" applyAlignment="1">
      <alignment horizontal="center" vertical="center"/>
    </xf>
    <xf numFmtId="0" fontId="4" fillId="7" borderId="0" xfId="0" applyFont="1" applyFill="1"/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4" fillId="10" borderId="0" xfId="0" applyFont="1" applyFill="1"/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8" borderId="0" xfId="0" applyNumberFormat="1" applyFont="1" applyFill="1"/>
    <xf numFmtId="0" fontId="4" fillId="10" borderId="0" xfId="0" applyNumberFormat="1" applyFont="1" applyFill="1"/>
    <xf numFmtId="0" fontId="4" fillId="4" borderId="0" xfId="0" applyFont="1" applyFill="1" applyAlignment="1">
      <alignment horizontal="center" vertical="center"/>
    </xf>
    <xf numFmtId="0" fontId="4" fillId="4" borderId="0" xfId="0" applyNumberFormat="1" applyFont="1" applyFill="1"/>
    <xf numFmtId="0" fontId="4" fillId="9" borderId="0" xfId="0" applyNumberFormat="1" applyFont="1" applyFill="1"/>
    <xf numFmtId="0" fontId="4" fillId="0" borderId="0" xfId="0" applyFont="1" applyAlignment="1">
      <alignment horizontal="center"/>
    </xf>
    <xf numFmtId="0" fontId="4" fillId="6" borderId="0" xfId="0" applyNumberFormat="1" applyFont="1" applyFill="1"/>
    <xf numFmtId="0" fontId="4" fillId="11" borderId="0" xfId="0" applyNumberFormat="1" applyFont="1" applyFill="1"/>
    <xf numFmtId="0" fontId="4" fillId="12" borderId="0" xfId="0" applyNumberFormat="1" applyFont="1" applyFill="1"/>
    <xf numFmtId="0" fontId="4" fillId="5" borderId="0" xfId="0" applyNumberFormat="1" applyFont="1" applyFill="1"/>
    <xf numFmtId="0" fontId="4" fillId="12" borderId="0" xfId="0" applyFont="1" applyFill="1"/>
    <xf numFmtId="0" fontId="4" fillId="7" borderId="0" xfId="0" applyFont="1" applyFill="1" applyAlignment="1">
      <alignment horizontal="center" vertical="center"/>
    </xf>
    <xf numFmtId="0" fontId="4" fillId="7" borderId="0" xfId="0" applyNumberFormat="1" applyFont="1" applyFill="1"/>
    <xf numFmtId="177" fontId="19" fillId="4" borderId="68" xfId="93" applyNumberFormat="1" applyFont="1" applyFill="1" applyBorder="1" applyAlignment="1" applyProtection="1">
      <alignment horizontal="center" vertical="center" shrinkToFit="1"/>
    </xf>
    <xf numFmtId="1" fontId="19" fillId="4" borderId="68" xfId="93" applyNumberFormat="1" applyFont="1" applyFill="1" applyBorder="1" applyAlignment="1" applyProtection="1">
      <alignment horizontal="center" vertical="center" shrinkToFit="1"/>
    </xf>
    <xf numFmtId="179" fontId="14" fillId="0" borderId="12" xfId="94" applyNumberFormat="1" applyFont="1" applyFill="1" applyBorder="1" applyAlignment="1" applyProtection="1">
      <alignment horizontal="right" vertical="center" shrinkToFit="1"/>
    </xf>
    <xf numFmtId="178" fontId="14" fillId="0" borderId="12" xfId="94" applyNumberFormat="1" applyFont="1" applyFill="1" applyBorder="1" applyAlignment="1" applyProtection="1">
      <alignment horizontal="right" vertical="center" shrinkToFit="1"/>
    </xf>
    <xf numFmtId="0" fontId="14" fillId="0" borderId="84" xfId="93" applyFont="1" applyFill="1" applyBorder="1" applyAlignment="1" applyProtection="1">
      <alignment horizontal="distributed" vertical="center"/>
    </xf>
    <xf numFmtId="0" fontId="16" fillId="0" borderId="51" xfId="93" applyFont="1" applyFill="1" applyBorder="1" applyAlignment="1" applyProtection="1">
      <alignment vertical="center"/>
    </xf>
    <xf numFmtId="0" fontId="14" fillId="0" borderId="50" xfId="93" applyFont="1" applyFill="1" applyBorder="1" applyAlignment="1" applyProtection="1">
      <alignment vertical="center"/>
    </xf>
    <xf numFmtId="0" fontId="13" fillId="0" borderId="0" xfId="93" applyFont="1" applyFill="1" applyAlignment="1" applyProtection="1">
      <alignment vertical="center"/>
    </xf>
    <xf numFmtId="0" fontId="14" fillId="0" borderId="11" xfId="93" applyFont="1" applyFill="1" applyBorder="1" applyAlignment="1" applyProtection="1">
      <alignment horizontal="center" vertical="center"/>
    </xf>
    <xf numFmtId="0" fontId="13" fillId="0" borderId="0" xfId="93" applyFont="1" applyFill="1" applyBorder="1" applyAlignment="1" applyProtection="1">
      <alignment horizontal="distributed" vertical="center" justifyLastLine="1"/>
    </xf>
    <xf numFmtId="0" fontId="13" fillId="0" borderId="0" xfId="93" applyFont="1" applyFill="1" applyBorder="1" applyAlignment="1" applyProtection="1">
      <alignment horizontal="center" vertical="center"/>
    </xf>
    <xf numFmtId="0" fontId="13" fillId="0" borderId="0" xfId="93" applyFont="1" applyFill="1" applyBorder="1" applyAlignment="1" applyProtection="1">
      <alignment horizontal="distributed" vertical="center"/>
    </xf>
    <xf numFmtId="0" fontId="13" fillId="0" borderId="0" xfId="93" applyFont="1" applyFill="1" applyBorder="1" applyAlignment="1" applyProtection="1">
      <alignment vertical="center"/>
    </xf>
    <xf numFmtId="0" fontId="8" fillId="0" borderId="0" xfId="93" applyFont="1" applyFill="1" applyBorder="1" applyAlignment="1" applyProtection="1">
      <alignment vertical="center"/>
    </xf>
    <xf numFmtId="179" fontId="13" fillId="0" borderId="0" xfId="94" applyNumberFormat="1" applyFont="1" applyFill="1" applyBorder="1" applyAlignment="1" applyProtection="1">
      <alignment horizontal="right" vertical="center" shrinkToFit="1"/>
    </xf>
    <xf numFmtId="1" fontId="8" fillId="0" borderId="0" xfId="93" applyNumberFormat="1" applyFont="1" applyFill="1" applyBorder="1" applyAlignment="1" applyProtection="1">
      <alignment horizontal="center" vertical="center"/>
    </xf>
    <xf numFmtId="178" fontId="13" fillId="0" borderId="0" xfId="94" applyNumberFormat="1" applyFont="1" applyFill="1" applyBorder="1" applyAlignment="1" applyProtection="1">
      <alignment horizontal="right" vertical="center" shrinkToFit="1"/>
    </xf>
    <xf numFmtId="0" fontId="0" fillId="0" borderId="0" xfId="0" applyProtection="1"/>
    <xf numFmtId="179" fontId="14" fillId="0" borderId="105" xfId="94" applyNumberFormat="1" applyFont="1" applyFill="1" applyBorder="1" applyAlignment="1" applyProtection="1">
      <alignment horizontal="center" vertical="center" shrinkToFit="1"/>
    </xf>
    <xf numFmtId="179" fontId="14" fillId="0" borderId="63" xfId="94" applyNumberFormat="1" applyFont="1" applyFill="1" applyBorder="1" applyAlignment="1" applyProtection="1">
      <alignment horizontal="center" vertical="center" shrinkToFit="1"/>
    </xf>
    <xf numFmtId="179" fontId="14" fillId="0" borderId="104" xfId="94" applyNumberFormat="1" applyFont="1" applyFill="1" applyBorder="1" applyAlignment="1" applyProtection="1">
      <alignment horizontal="center" vertical="center" shrinkToFit="1"/>
    </xf>
    <xf numFmtId="179" fontId="14" fillId="0" borderId="166" xfId="94" applyNumberFormat="1" applyFont="1" applyFill="1" applyBorder="1" applyAlignment="1" applyProtection="1">
      <alignment horizontal="center" vertical="center" shrinkToFit="1"/>
    </xf>
    <xf numFmtId="179" fontId="14" fillId="0" borderId="167" xfId="94" applyNumberFormat="1" applyFont="1" applyFill="1" applyBorder="1" applyAlignment="1" applyProtection="1">
      <alignment horizontal="center" vertical="center" shrinkToFit="1"/>
    </xf>
    <xf numFmtId="179" fontId="14" fillId="0" borderId="145" xfId="94" applyNumberFormat="1" applyFont="1" applyFill="1" applyBorder="1" applyAlignment="1" applyProtection="1">
      <alignment horizontal="center" vertical="center" shrinkToFit="1"/>
    </xf>
    <xf numFmtId="0" fontId="0" fillId="0" borderId="12" xfId="0" applyBorder="1" applyProtection="1"/>
    <xf numFmtId="0" fontId="0" fillId="0" borderId="14" xfId="0" applyBorder="1" applyProtection="1"/>
    <xf numFmtId="0" fontId="0" fillId="0" borderId="43" xfId="0" applyBorder="1" applyProtection="1"/>
    <xf numFmtId="179" fontId="13" fillId="0" borderId="0" xfId="94" applyNumberFormat="1" applyFont="1" applyFill="1" applyBorder="1" applyAlignment="1" applyProtection="1">
      <alignment horizontal="distributed" vertical="center" wrapText="1" justifyLastLine="1" shrinkToFit="1"/>
    </xf>
    <xf numFmtId="177" fontId="13" fillId="0" borderId="0" xfId="94" applyNumberFormat="1" applyFont="1" applyFill="1" applyBorder="1" applyAlignment="1" applyProtection="1">
      <alignment vertical="center" shrinkToFit="1"/>
    </xf>
    <xf numFmtId="0" fontId="0" fillId="0" borderId="95" xfId="0" applyBorder="1" applyProtection="1"/>
    <xf numFmtId="0" fontId="13" fillId="0" borderId="0" xfId="94" applyNumberFormat="1" applyFont="1" applyFill="1" applyBorder="1" applyAlignment="1" applyProtection="1">
      <alignment horizontal="center" vertical="center" shrinkToFit="1"/>
    </xf>
    <xf numFmtId="1" fontId="19" fillId="0" borderId="68" xfId="93" applyNumberFormat="1" applyFont="1" applyFill="1" applyBorder="1" applyAlignment="1" applyProtection="1">
      <alignment horizontal="center" vertical="center" shrinkToFit="1"/>
      <protection locked="0"/>
    </xf>
    <xf numFmtId="177" fontId="19" fillId="0" borderId="68" xfId="93" applyNumberFormat="1" applyFont="1" applyFill="1" applyBorder="1" applyAlignment="1" applyProtection="1">
      <alignment horizontal="center" vertical="center" shrinkToFit="1"/>
    </xf>
    <xf numFmtId="182" fontId="4" fillId="12" borderId="0" xfId="0" applyNumberFormat="1" applyFont="1" applyFill="1" applyAlignment="1">
      <alignment horizontal="center" vertical="center"/>
    </xf>
    <xf numFmtId="0" fontId="13" fillId="0" borderId="81" xfId="93" applyFont="1" applyFill="1" applyBorder="1" applyAlignment="1" applyProtection="1">
      <alignment horizontal="center" vertical="center" textRotation="255"/>
    </xf>
    <xf numFmtId="0" fontId="13" fillId="0" borderId="71" xfId="93" applyFont="1" applyFill="1" applyBorder="1" applyAlignment="1" applyProtection="1">
      <alignment vertical="center"/>
    </xf>
    <xf numFmtId="0" fontId="13" fillId="0" borderId="78" xfId="93" applyFont="1" applyFill="1" applyBorder="1" applyAlignment="1" applyProtection="1">
      <alignment vertical="center"/>
    </xf>
    <xf numFmtId="0" fontId="13" fillId="0" borderId="45" xfId="93" applyFont="1" applyFill="1" applyBorder="1" applyAlignment="1" applyProtection="1">
      <alignment vertical="center"/>
    </xf>
    <xf numFmtId="0" fontId="14" fillId="0" borderId="10" xfId="93" applyFont="1" applyFill="1" applyBorder="1" applyAlignment="1" applyProtection="1">
      <alignment horizontal="distributed" vertical="center" justifyLastLine="1"/>
    </xf>
    <xf numFmtId="0" fontId="14" fillId="0" borderId="0" xfId="93" applyFont="1" applyFill="1" applyBorder="1" applyAlignment="1" applyProtection="1">
      <alignment horizontal="distributed" vertical="center" justifyLastLine="1"/>
    </xf>
    <xf numFmtId="0" fontId="14" fillId="0" borderId="10" xfId="93" applyFont="1" applyFill="1" applyBorder="1" applyAlignment="1" applyProtection="1">
      <alignment horizontal="center" vertical="center"/>
    </xf>
    <xf numFmtId="0" fontId="14" fillId="0" borderId="0" xfId="93" applyFont="1" applyFill="1" applyBorder="1" applyAlignment="1" applyProtection="1">
      <alignment horizontal="center" vertical="center"/>
    </xf>
    <xf numFmtId="0" fontId="14" fillId="0" borderId="95" xfId="93" applyFont="1" applyFill="1" applyBorder="1" applyAlignment="1" applyProtection="1">
      <alignment horizontal="center" vertical="center"/>
    </xf>
    <xf numFmtId="0" fontId="14" fillId="0" borderId="42" xfId="93" applyFont="1" applyFill="1" applyBorder="1" applyAlignment="1" applyProtection="1">
      <alignment horizontal="distributed" vertical="center" justifyLastLine="1"/>
    </xf>
    <xf numFmtId="0" fontId="14" fillId="0" borderId="40" xfId="93" applyFont="1" applyFill="1" applyBorder="1" applyAlignment="1" applyProtection="1">
      <alignment horizontal="distributed" vertical="center" justifyLastLine="1"/>
    </xf>
    <xf numFmtId="0" fontId="14" fillId="0" borderId="140" xfId="93" applyFont="1" applyFill="1" applyBorder="1" applyAlignment="1" applyProtection="1">
      <alignment horizontal="distributed" vertical="center"/>
    </xf>
    <xf numFmtId="0" fontId="14" fillId="0" borderId="118" xfId="93" applyFont="1" applyFill="1" applyBorder="1" applyAlignment="1" applyProtection="1">
      <alignment horizontal="distributed" vertical="center"/>
    </xf>
    <xf numFmtId="0" fontId="14" fillId="0" borderId="20" xfId="93" applyFont="1" applyFill="1" applyBorder="1" applyAlignment="1" applyProtection="1">
      <alignment horizontal="distributed" vertical="center"/>
    </xf>
    <xf numFmtId="49" fontId="19" fillId="0" borderId="171" xfId="94" applyNumberFormat="1" applyFont="1" applyFill="1" applyBorder="1" applyAlignment="1" applyProtection="1">
      <alignment horizontal="right" vertical="center" shrinkToFit="1"/>
    </xf>
    <xf numFmtId="49" fontId="19" fillId="0" borderId="113" xfId="94" applyNumberFormat="1" applyFont="1" applyFill="1" applyBorder="1" applyAlignment="1" applyProtection="1">
      <alignment horizontal="right" vertical="center" shrinkToFit="1"/>
    </xf>
    <xf numFmtId="49" fontId="19" fillId="4" borderId="118" xfId="94" applyNumberFormat="1" applyFont="1" applyFill="1" applyBorder="1" applyAlignment="1" applyProtection="1">
      <alignment horizontal="right" vertical="center" shrinkToFit="1"/>
    </xf>
    <xf numFmtId="49" fontId="19" fillId="4" borderId="21" xfId="94" applyNumberFormat="1" applyFont="1" applyFill="1" applyBorder="1" applyAlignment="1" applyProtection="1">
      <alignment horizontal="right" vertical="center" shrinkToFit="1"/>
    </xf>
    <xf numFmtId="49" fontId="19" fillId="4" borderId="144" xfId="94" applyNumberFormat="1" applyFont="1" applyFill="1" applyBorder="1" applyAlignment="1" applyProtection="1">
      <alignment horizontal="right" vertical="center" shrinkToFit="1"/>
    </xf>
    <xf numFmtId="0" fontId="14" fillId="0" borderId="108" xfId="93" applyFont="1" applyFill="1" applyBorder="1" applyAlignment="1" applyProtection="1">
      <alignment horizontal="center" vertical="center" textRotation="255" shrinkToFit="1"/>
    </xf>
    <xf numFmtId="0" fontId="14" fillId="0" borderId="73" xfId="93" applyFont="1" applyFill="1" applyBorder="1" applyAlignment="1" applyProtection="1">
      <alignment horizontal="distributed" vertical="center"/>
    </xf>
    <xf numFmtId="0" fontId="14" fillId="0" borderId="72" xfId="93" applyFont="1" applyFill="1" applyBorder="1" applyAlignment="1" applyProtection="1">
      <alignment horizontal="distributed" vertical="center"/>
    </xf>
    <xf numFmtId="49" fontId="19" fillId="4" borderId="110" xfId="94" applyNumberFormat="1" applyFont="1" applyFill="1" applyBorder="1" applyAlignment="1" applyProtection="1">
      <alignment horizontal="right" vertical="center" shrinkToFit="1"/>
    </xf>
    <xf numFmtId="49" fontId="19" fillId="4" borderId="54" xfId="94" applyNumberFormat="1" applyFont="1" applyFill="1" applyBorder="1" applyAlignment="1" applyProtection="1">
      <alignment horizontal="right" vertical="center" shrinkToFit="1"/>
    </xf>
    <xf numFmtId="49" fontId="19" fillId="4" borderId="188" xfId="94" applyNumberFormat="1" applyFont="1" applyFill="1" applyBorder="1" applyAlignment="1" applyProtection="1">
      <alignment horizontal="right" vertical="center" shrinkToFit="1"/>
    </xf>
    <xf numFmtId="49" fontId="19" fillId="4" borderId="182" xfId="94" applyNumberFormat="1" applyFont="1" applyFill="1" applyBorder="1" applyAlignment="1" applyProtection="1">
      <alignment horizontal="right" vertical="center" shrinkToFit="1"/>
    </xf>
    <xf numFmtId="0" fontId="14" fillId="0" borderId="73" xfId="93" applyFont="1" applyFill="1" applyBorder="1" applyAlignment="1" applyProtection="1">
      <alignment horizontal="center" vertical="center" shrinkToFit="1"/>
    </xf>
    <xf numFmtId="0" fontId="14" fillId="0" borderId="72" xfId="93" applyFont="1" applyFill="1" applyBorder="1" applyAlignment="1" applyProtection="1">
      <alignment horizontal="center" vertical="center" shrinkToFit="1"/>
    </xf>
    <xf numFmtId="49" fontId="19" fillId="0" borderId="176" xfId="94" applyNumberFormat="1" applyFont="1" applyFill="1" applyBorder="1" applyAlignment="1" applyProtection="1">
      <alignment horizontal="right" vertical="center" shrinkToFit="1"/>
    </xf>
    <xf numFmtId="49" fontId="19" fillId="0" borderId="120" xfId="94" applyNumberFormat="1" applyFont="1" applyFill="1" applyBorder="1" applyAlignment="1" applyProtection="1">
      <alignment horizontal="right" vertical="center" shrinkToFit="1"/>
    </xf>
    <xf numFmtId="49" fontId="19" fillId="4" borderId="73" xfId="94" applyNumberFormat="1" applyFont="1" applyFill="1" applyBorder="1" applyAlignment="1" applyProtection="1">
      <alignment horizontal="right" vertical="center" shrinkToFit="1"/>
    </xf>
    <xf numFmtId="49" fontId="19" fillId="4" borderId="38" xfId="94" applyNumberFormat="1" applyFont="1" applyFill="1" applyBorder="1" applyAlignment="1" applyProtection="1">
      <alignment horizontal="right" vertical="center" shrinkToFit="1"/>
    </xf>
    <xf numFmtId="0" fontId="14" fillId="0" borderId="84" xfId="93" applyFont="1" applyFill="1" applyBorder="1" applyAlignment="1" applyProtection="1">
      <alignment horizontal="center" vertical="center" textRotation="255" shrinkToFit="1"/>
    </xf>
    <xf numFmtId="0" fontId="14" fillId="0" borderId="47" xfId="93" applyFont="1" applyFill="1" applyBorder="1" applyAlignment="1" applyProtection="1">
      <alignment horizontal="distributed" vertical="center"/>
    </xf>
    <xf numFmtId="0" fontId="14" fillId="0" borderId="70" xfId="93" applyFont="1" applyFill="1" applyBorder="1" applyAlignment="1" applyProtection="1">
      <alignment horizontal="distributed" vertical="center"/>
    </xf>
    <xf numFmtId="49" fontId="19" fillId="4" borderId="98" xfId="94" applyNumberFormat="1" applyFont="1" applyFill="1" applyBorder="1" applyAlignment="1" applyProtection="1">
      <alignment horizontal="right" vertical="center" shrinkToFit="1"/>
    </xf>
    <xf numFmtId="49" fontId="19" fillId="4" borderId="47" xfId="94" applyNumberFormat="1" applyFont="1" applyFill="1" applyBorder="1" applyAlignment="1" applyProtection="1">
      <alignment horizontal="right" vertical="center" shrinkToFit="1"/>
    </xf>
    <xf numFmtId="49" fontId="19" fillId="4" borderId="48" xfId="94" applyNumberFormat="1" applyFont="1" applyFill="1" applyBorder="1" applyAlignment="1" applyProtection="1">
      <alignment horizontal="right" vertical="center" shrinkToFit="1"/>
    </xf>
    <xf numFmtId="49" fontId="19" fillId="4" borderId="148" xfId="94" applyNumberFormat="1" applyFont="1" applyFill="1" applyBorder="1" applyAlignment="1" applyProtection="1">
      <alignment horizontal="right" vertical="center" shrinkToFit="1"/>
    </xf>
    <xf numFmtId="49" fontId="19" fillId="4" borderId="114" xfId="94" applyNumberFormat="1" applyFont="1" applyFill="1" applyBorder="1" applyAlignment="1" applyProtection="1">
      <alignment horizontal="right" vertical="center" shrinkToFit="1"/>
    </xf>
    <xf numFmtId="49" fontId="19" fillId="4" borderId="135" xfId="94" applyNumberFormat="1" applyFont="1" applyFill="1" applyBorder="1" applyAlignment="1" applyProtection="1">
      <alignment horizontal="right" vertical="center" shrinkToFit="1"/>
    </xf>
    <xf numFmtId="0" fontId="14" fillId="0" borderId="68" xfId="93" applyFont="1" applyFill="1" applyBorder="1" applyAlignment="1" applyProtection="1">
      <alignment horizontal="distributed" vertical="center" justifyLastLine="1"/>
    </xf>
    <xf numFmtId="0" fontId="14" fillId="0" borderId="39" xfId="93" applyFont="1" applyFill="1" applyBorder="1" applyAlignment="1" applyProtection="1">
      <alignment horizontal="distributed" vertical="center" justifyLastLine="1"/>
    </xf>
    <xf numFmtId="0" fontId="14" fillId="0" borderId="41" xfId="93" applyFont="1" applyFill="1" applyBorder="1" applyAlignment="1" applyProtection="1">
      <alignment horizontal="distributed" vertical="center" justifyLastLine="1"/>
    </xf>
    <xf numFmtId="0" fontId="14" fillId="0" borderId="38" xfId="93" applyFont="1" applyFill="1" applyBorder="1" applyAlignment="1" applyProtection="1">
      <alignment horizontal="distributed" vertical="center"/>
    </xf>
    <xf numFmtId="49" fontId="19" fillId="4" borderId="72" xfId="94" applyNumberFormat="1" applyFont="1" applyFill="1" applyBorder="1" applyAlignment="1" applyProtection="1">
      <alignment horizontal="right" vertical="center" shrinkToFit="1"/>
    </xf>
    <xf numFmtId="49" fontId="19" fillId="0" borderId="150" xfId="93" applyNumberFormat="1" applyFont="1" applyFill="1" applyBorder="1" applyAlignment="1" applyProtection="1">
      <alignment horizontal="center" vertical="center" shrinkToFit="1"/>
    </xf>
    <xf numFmtId="49" fontId="19" fillId="0" borderId="91" xfId="93" applyNumberFormat="1" applyFont="1" applyFill="1" applyBorder="1" applyAlignment="1" applyProtection="1">
      <alignment horizontal="center" vertical="center" shrinkToFit="1"/>
    </xf>
    <xf numFmtId="49" fontId="19" fillId="0" borderId="112" xfId="93" applyNumberFormat="1" applyFont="1" applyFill="1" applyBorder="1" applyAlignment="1" applyProtection="1">
      <alignment horizontal="center" vertical="center" shrinkToFit="1"/>
    </xf>
    <xf numFmtId="49" fontId="19" fillId="0" borderId="119" xfId="93" applyNumberFormat="1" applyFont="1" applyFill="1" applyBorder="1" applyAlignment="1" applyProtection="1">
      <alignment horizontal="center" vertical="center" shrinkToFit="1"/>
    </xf>
    <xf numFmtId="49" fontId="19" fillId="0" borderId="161" xfId="93" applyNumberFormat="1" applyFont="1" applyFill="1" applyBorder="1" applyAlignment="1" applyProtection="1">
      <alignment horizontal="center" vertical="center" shrinkToFit="1"/>
    </xf>
    <xf numFmtId="49" fontId="19" fillId="0" borderId="153" xfId="93" applyNumberFormat="1" applyFont="1" applyFill="1" applyBorder="1" applyAlignment="1" applyProtection="1">
      <alignment horizontal="center" vertical="center" shrinkToFit="1"/>
    </xf>
    <xf numFmtId="49" fontId="19" fillId="0" borderId="162" xfId="93" applyNumberFormat="1" applyFont="1" applyFill="1" applyBorder="1" applyAlignment="1" applyProtection="1">
      <alignment horizontal="center" vertical="center" shrinkToFit="1"/>
    </xf>
    <xf numFmtId="49" fontId="19" fillId="0" borderId="170" xfId="93" applyNumberFormat="1" applyFont="1" applyFill="1" applyBorder="1" applyAlignment="1" applyProtection="1">
      <alignment horizontal="center" vertical="center" shrinkToFit="1"/>
    </xf>
    <xf numFmtId="49" fontId="19" fillId="0" borderId="133" xfId="93" applyNumberFormat="1" applyFont="1" applyFill="1" applyBorder="1" applyAlignment="1" applyProtection="1">
      <alignment horizontal="center" vertical="center" shrinkToFit="1"/>
    </xf>
    <xf numFmtId="49" fontId="19" fillId="0" borderId="168" xfId="93" applyNumberFormat="1" applyFont="1" applyFill="1" applyBorder="1" applyAlignment="1" applyProtection="1">
      <alignment horizontal="center" vertical="center" shrinkToFit="1"/>
    </xf>
    <xf numFmtId="0" fontId="14" fillId="0" borderId="21" xfId="93" applyFont="1" applyFill="1" applyBorder="1" applyAlignment="1" applyProtection="1">
      <alignment horizontal="distributed" vertical="center"/>
    </xf>
    <xf numFmtId="49" fontId="19" fillId="0" borderId="14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18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96" xfId="93" applyFont="1" applyFill="1" applyBorder="1" applyAlignment="1" applyProtection="1">
      <alignment horizontal="center" vertical="distributed" textRotation="255"/>
    </xf>
    <xf numFmtId="0" fontId="14" fillId="0" borderId="43" xfId="93" applyFont="1" applyFill="1" applyBorder="1" applyAlignment="1" applyProtection="1">
      <alignment horizontal="center" vertical="distributed" textRotation="255"/>
    </xf>
    <xf numFmtId="0" fontId="14" fillId="0" borderId="13" xfId="93" applyFont="1" applyFill="1" applyBorder="1" applyAlignment="1" applyProtection="1"/>
    <xf numFmtId="0" fontId="14" fillId="0" borderId="54" xfId="93" applyFont="1" applyFill="1" applyBorder="1" applyAlignment="1" applyProtection="1">
      <alignment horizontal="distributed" vertical="center"/>
    </xf>
    <xf numFmtId="0" fontId="14" fillId="0" borderId="38" xfId="93" applyFont="1" applyFill="1" applyBorder="1" applyAlignment="1" applyProtection="1">
      <alignment vertical="center" shrinkToFit="1"/>
    </xf>
    <xf numFmtId="0" fontId="14" fillId="0" borderId="35" xfId="93" applyFont="1" applyFill="1" applyBorder="1" applyAlignment="1" applyProtection="1">
      <alignment vertical="center" shrinkToFit="1"/>
    </xf>
    <xf numFmtId="0" fontId="14" fillId="0" borderId="36" xfId="93" applyFont="1" applyFill="1" applyBorder="1" applyAlignment="1" applyProtection="1">
      <alignment vertical="center" shrinkToFit="1"/>
    </xf>
    <xf numFmtId="49" fontId="19" fillId="0" borderId="11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73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44" xfId="93" applyFont="1" applyFill="1" applyBorder="1" applyAlignment="1" applyProtection="1">
      <alignment horizontal="distributed" vertical="center"/>
    </xf>
    <xf numFmtId="0" fontId="14" fillId="0" borderId="3" xfId="93" applyFont="1" applyFill="1" applyBorder="1" applyAlignment="1" applyProtection="1">
      <alignment horizontal="distributed" vertical="center"/>
    </xf>
    <xf numFmtId="0" fontId="14" fillId="0" borderId="2" xfId="93" applyFont="1" applyFill="1" applyBorder="1" applyAlignment="1" applyProtection="1">
      <alignment horizontal="distributed" vertical="center"/>
    </xf>
    <xf numFmtId="49" fontId="19" fillId="4" borderId="70" xfId="94" applyNumberFormat="1" applyFont="1" applyFill="1" applyBorder="1" applyAlignment="1" applyProtection="1">
      <alignment horizontal="right" vertical="center" shrinkToFit="1"/>
    </xf>
    <xf numFmtId="49" fontId="19" fillId="4" borderId="124" xfId="94" applyNumberFormat="1" applyFont="1" applyFill="1" applyBorder="1" applyAlignment="1" applyProtection="1">
      <alignment horizontal="right" vertical="center" shrinkToFit="1"/>
    </xf>
    <xf numFmtId="49" fontId="19" fillId="4" borderId="105" xfId="94" applyNumberFormat="1" applyFont="1" applyFill="1" applyBorder="1" applyAlignment="1" applyProtection="1">
      <alignment horizontal="right" vertical="center" shrinkToFit="1"/>
    </xf>
    <xf numFmtId="49" fontId="19" fillId="4" borderId="131" xfId="94" applyNumberFormat="1" applyFont="1" applyFill="1" applyBorder="1" applyAlignment="1" applyProtection="1">
      <alignment horizontal="right" vertical="center" shrinkToFit="1"/>
    </xf>
    <xf numFmtId="0" fontId="13" fillId="0" borderId="81" xfId="93" applyFont="1" applyFill="1" applyBorder="1" applyAlignment="1" applyProtection="1">
      <alignment vertical="center"/>
    </xf>
    <xf numFmtId="0" fontId="14" fillId="0" borderId="95" xfId="93" applyFont="1" applyFill="1" applyBorder="1" applyAlignment="1" applyProtection="1">
      <alignment horizontal="distributed" vertical="center" justifyLastLine="1"/>
    </xf>
    <xf numFmtId="0" fontId="14" fillId="0" borderId="100" xfId="93" applyFont="1" applyFill="1" applyBorder="1" applyAlignment="1" applyProtection="1">
      <alignment horizontal="center" vertical="center"/>
    </xf>
    <xf numFmtId="0" fontId="14" fillId="0" borderId="42" xfId="93" applyFont="1" applyFill="1" applyBorder="1" applyAlignment="1" applyProtection="1">
      <alignment horizontal="center" vertical="center"/>
    </xf>
    <xf numFmtId="0" fontId="14" fillId="0" borderId="121" xfId="93" applyFont="1" applyFill="1" applyBorder="1" applyAlignment="1" applyProtection="1">
      <alignment horizontal="center" vertical="center"/>
    </xf>
    <xf numFmtId="0" fontId="14" fillId="0" borderId="187" xfId="93" applyFont="1" applyFill="1" applyBorder="1" applyAlignment="1" applyProtection="1">
      <alignment horizontal="center" vertical="center"/>
    </xf>
    <xf numFmtId="0" fontId="14" fillId="0" borderId="13" xfId="93" applyFont="1" applyFill="1" applyBorder="1" applyAlignment="1" applyProtection="1">
      <alignment horizontal="distributed" vertical="center" shrinkToFit="1"/>
    </xf>
    <xf numFmtId="0" fontId="14" fillId="0" borderId="12" xfId="93" applyFont="1" applyFill="1" applyBorder="1" applyAlignment="1" applyProtection="1">
      <alignment horizontal="distributed" vertical="center" shrinkToFit="1"/>
    </xf>
    <xf numFmtId="49" fontId="19" fillId="0" borderId="21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46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17" xfId="94" applyNumberFormat="1" applyFont="1" applyFill="1" applyBorder="1" applyAlignment="1" applyProtection="1">
      <alignment horizontal="center" vertical="center" shrinkToFit="1"/>
      <protection locked="0"/>
    </xf>
    <xf numFmtId="0" fontId="13" fillId="0" borderId="93" xfId="93" applyFont="1" applyFill="1" applyBorder="1" applyAlignment="1" applyProtection="1">
      <alignment horizontal="center" vertical="center"/>
    </xf>
    <xf numFmtId="0" fontId="13" fillId="0" borderId="92" xfId="93" applyFont="1" applyFill="1" applyBorder="1" applyAlignment="1" applyProtection="1">
      <alignment horizontal="center" vertical="center"/>
    </xf>
    <xf numFmtId="0" fontId="13" fillId="0" borderId="185" xfId="93" applyFont="1" applyFill="1" applyBorder="1" applyAlignment="1" applyProtection="1">
      <alignment horizontal="center" vertical="center"/>
    </xf>
    <xf numFmtId="0" fontId="16" fillId="0" borderId="51" xfId="93" applyFont="1" applyFill="1" applyBorder="1" applyAlignment="1" applyProtection="1">
      <alignment horizontal="left" vertical="center"/>
    </xf>
    <xf numFmtId="0" fontId="16" fillId="0" borderId="50" xfId="93" applyFont="1" applyFill="1" applyBorder="1" applyAlignment="1" applyProtection="1">
      <alignment horizontal="left" vertical="center"/>
    </xf>
    <xf numFmtId="0" fontId="16" fillId="0" borderId="61" xfId="93" applyFont="1" applyFill="1" applyBorder="1" applyAlignment="1" applyProtection="1">
      <alignment horizontal="left" vertical="center"/>
    </xf>
    <xf numFmtId="0" fontId="13" fillId="0" borderId="93" xfId="93" applyFont="1" applyFill="1" applyBorder="1" applyAlignment="1" applyProtection="1">
      <alignment horizontal="center" vertical="center" shrinkToFit="1"/>
    </xf>
    <xf numFmtId="0" fontId="13" fillId="0" borderId="92" xfId="93" applyFont="1" applyFill="1" applyBorder="1" applyAlignment="1" applyProtection="1">
      <alignment horizontal="center" vertical="center" shrinkToFit="1"/>
    </xf>
    <xf numFmtId="0" fontId="13" fillId="0" borderId="185" xfId="93" applyFont="1" applyFill="1" applyBorder="1" applyAlignment="1" applyProtection="1">
      <alignment horizontal="center" vertical="center" shrinkToFit="1"/>
    </xf>
    <xf numFmtId="179" fontId="14" fillId="0" borderId="4" xfId="94" applyNumberFormat="1" applyFont="1" applyFill="1" applyBorder="1" applyAlignment="1" applyProtection="1">
      <alignment horizontal="distributed" vertical="center" wrapText="1" justifyLastLine="1" shrinkToFit="1"/>
    </xf>
    <xf numFmtId="179" fontId="14" fillId="0" borderId="9" xfId="94" applyNumberFormat="1" applyFont="1" applyFill="1" applyBorder="1" applyAlignment="1" applyProtection="1">
      <alignment horizontal="distributed" vertical="center" wrapText="1" justifyLastLine="1" shrinkToFit="1"/>
    </xf>
    <xf numFmtId="179" fontId="14" fillId="0" borderId="8" xfId="94" applyNumberFormat="1" applyFont="1" applyFill="1" applyBorder="1" applyAlignment="1" applyProtection="1">
      <alignment horizontal="distributed" vertical="center" wrapText="1" justifyLastLine="1" shrinkToFit="1"/>
    </xf>
    <xf numFmtId="179" fontId="14" fillId="0" borderId="77" xfId="94" applyNumberFormat="1" applyFont="1" applyFill="1" applyBorder="1" applyAlignment="1" applyProtection="1">
      <alignment horizontal="distributed" vertical="center" wrapText="1" justifyLastLine="1" shrinkToFit="1"/>
    </xf>
    <xf numFmtId="0" fontId="14" fillId="0" borderId="58" xfId="93" applyFont="1" applyFill="1" applyBorder="1" applyAlignment="1" applyProtection="1">
      <alignment horizontal="distributed" vertical="center" shrinkToFit="1"/>
    </xf>
    <xf numFmtId="0" fontId="14" fillId="0" borderId="28" xfId="93" applyFont="1" applyFill="1" applyBorder="1" applyAlignment="1" applyProtection="1">
      <alignment horizontal="distributed" vertical="center" shrinkToFit="1"/>
    </xf>
    <xf numFmtId="49" fontId="19" fillId="0" borderId="63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62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27" xfId="94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93" applyFont="1" applyFill="1" applyBorder="1" applyAlignment="1" applyProtection="1">
      <alignment horizontal="distributed" vertical="center" wrapText="1" justifyLastLine="1"/>
    </xf>
    <xf numFmtId="0" fontId="14" fillId="0" borderId="77" xfId="93" applyFont="1" applyFill="1" applyBorder="1" applyAlignment="1" applyProtection="1">
      <alignment horizontal="distributed" vertical="center" wrapText="1" justifyLastLine="1"/>
    </xf>
    <xf numFmtId="0" fontId="14" fillId="0" borderId="111" xfId="93" applyFont="1" applyFill="1" applyBorder="1" applyAlignment="1" applyProtection="1">
      <alignment horizontal="distributed" vertical="center" justifyLastLine="1"/>
    </xf>
    <xf numFmtId="0" fontId="14" fillId="0" borderId="9" xfId="93" applyFont="1" applyFill="1" applyBorder="1" applyAlignment="1" applyProtection="1">
      <alignment horizontal="distributed" vertical="center" justifyLastLine="1"/>
    </xf>
    <xf numFmtId="0" fontId="14" fillId="0" borderId="8" xfId="93" applyFont="1" applyFill="1" applyBorder="1" applyAlignment="1" applyProtection="1">
      <alignment horizontal="distributed" vertical="center" justifyLastLine="1"/>
    </xf>
    <xf numFmtId="0" fontId="14" fillId="0" borderId="115" xfId="93" applyFont="1" applyFill="1" applyBorder="1" applyAlignment="1" applyProtection="1">
      <alignment horizontal="distributed" vertical="center" justifyLastLine="1"/>
    </xf>
    <xf numFmtId="0" fontId="14" fillId="0" borderId="4" xfId="93" applyFont="1" applyFill="1" applyBorder="1" applyAlignment="1" applyProtection="1">
      <alignment horizontal="distributed" vertical="center" justifyLastLine="1"/>
    </xf>
    <xf numFmtId="0" fontId="14" fillId="0" borderId="47" xfId="93" applyNumberFormat="1" applyFont="1" applyFill="1" applyBorder="1" applyAlignment="1" applyProtection="1">
      <alignment horizontal="center" vertical="center" justifyLastLine="1"/>
    </xf>
    <xf numFmtId="0" fontId="14" fillId="0" borderId="148" xfId="93" applyNumberFormat="1" applyFont="1" applyFill="1" applyBorder="1" applyAlignment="1" applyProtection="1">
      <alignment horizontal="center" vertical="center" justifyLastLine="1"/>
    </xf>
    <xf numFmtId="0" fontId="13" fillId="0" borderId="118" xfId="93" applyNumberFormat="1" applyFont="1" applyFill="1" applyBorder="1" applyAlignment="1" applyProtection="1">
      <alignment horizontal="center" vertical="center" wrapText="1"/>
    </xf>
    <xf numFmtId="0" fontId="13" fillId="0" borderId="144" xfId="93" applyNumberFormat="1" applyFont="1" applyFill="1" applyBorder="1" applyAlignment="1" applyProtection="1">
      <alignment horizontal="center" vertical="center" wrapText="1"/>
    </xf>
    <xf numFmtId="0" fontId="13" fillId="0" borderId="118" xfId="94" applyNumberFormat="1" applyFont="1" applyFill="1" applyBorder="1" applyAlignment="1" applyProtection="1">
      <alignment horizontal="center" vertical="center" shrinkToFit="1"/>
    </xf>
    <xf numFmtId="49" fontId="19" fillId="4" borderId="146" xfId="94" applyNumberFormat="1" applyFont="1" applyFill="1" applyBorder="1" applyAlignment="1" applyProtection="1">
      <alignment horizontal="right" vertical="center" shrinkToFit="1"/>
    </xf>
    <xf numFmtId="0" fontId="14" fillId="0" borderId="54" xfId="93" applyFont="1" applyFill="1" applyBorder="1" applyAlignment="1" applyProtection="1">
      <alignment horizontal="distributed" vertical="center" shrinkToFit="1"/>
    </xf>
    <xf numFmtId="0" fontId="14" fillId="0" borderId="107" xfId="93" applyFont="1" applyFill="1" applyBorder="1" applyAlignment="1" applyProtection="1">
      <alignment horizontal="distributed" vertical="center" shrinkToFit="1"/>
    </xf>
    <xf numFmtId="0" fontId="14" fillId="0" borderId="184" xfId="93" applyFont="1" applyFill="1" applyBorder="1" applyAlignment="1" applyProtection="1">
      <alignment horizontal="distributed" vertical="center"/>
    </xf>
    <xf numFmtId="0" fontId="14" fillId="0" borderId="83" xfId="93" applyFont="1" applyFill="1" applyBorder="1" applyAlignment="1" applyProtection="1">
      <alignment horizontal="distributed" vertical="center"/>
    </xf>
    <xf numFmtId="0" fontId="14" fillId="0" borderId="37" xfId="93" applyFont="1" applyFill="1" applyBorder="1" applyAlignment="1" applyProtection="1">
      <alignment horizontal="distributed" vertical="center"/>
    </xf>
    <xf numFmtId="49" fontId="19" fillId="4" borderId="37" xfId="94" applyNumberFormat="1" applyFont="1" applyFill="1" applyBorder="1" applyAlignment="1" applyProtection="1">
      <alignment horizontal="right" vertical="center" shrinkToFit="1"/>
    </xf>
    <xf numFmtId="49" fontId="19" fillId="4" borderId="35" xfId="94" applyNumberFormat="1" applyFont="1" applyFill="1" applyBorder="1" applyAlignment="1" applyProtection="1">
      <alignment horizontal="right" vertical="center" shrinkToFit="1"/>
    </xf>
    <xf numFmtId="49" fontId="19" fillId="4" borderId="53" xfId="94" applyNumberFormat="1" applyFont="1" applyFill="1" applyBorder="1" applyAlignment="1" applyProtection="1">
      <alignment horizontal="right" vertical="center" shrinkToFit="1"/>
    </xf>
    <xf numFmtId="0" fontId="14" fillId="0" borderId="84" xfId="93" applyFont="1" applyFill="1" applyBorder="1" applyAlignment="1" applyProtection="1">
      <alignment horizontal="distributed" vertical="center" shrinkToFit="1"/>
    </xf>
    <xf numFmtId="0" fontId="14" fillId="0" borderId="47" xfId="93" applyFont="1" applyFill="1" applyBorder="1" applyAlignment="1" applyProtection="1">
      <alignment horizontal="distributed" vertical="center" shrinkToFit="1"/>
    </xf>
    <xf numFmtId="0" fontId="19" fillId="0" borderId="140" xfId="93" applyNumberFormat="1" applyFont="1" applyFill="1" applyBorder="1" applyAlignment="1" applyProtection="1">
      <alignment horizontal="center" vertical="center" shrinkToFit="1"/>
      <protection locked="0"/>
    </xf>
    <xf numFmtId="0" fontId="19" fillId="0" borderId="118" xfId="93" applyNumberFormat="1" applyFont="1" applyFill="1" applyBorder="1" applyAlignment="1" applyProtection="1">
      <alignment horizontal="center" vertical="center" shrinkToFit="1"/>
      <protection locked="0"/>
    </xf>
    <xf numFmtId="0" fontId="14" fillId="0" borderId="47" xfId="93" applyFont="1" applyFill="1" applyBorder="1" applyAlignment="1" applyProtection="1">
      <alignment horizontal="distributed" vertical="center" justifyLastLine="1"/>
    </xf>
    <xf numFmtId="49" fontId="19" fillId="0" borderId="103" xfId="93" applyNumberFormat="1" applyFont="1" applyFill="1" applyBorder="1" applyAlignment="1" applyProtection="1">
      <alignment horizontal="center" vertical="center" shrinkToFit="1"/>
      <protection locked="0"/>
    </xf>
    <xf numFmtId="0" fontId="14" fillId="0" borderId="18" xfId="93" applyFont="1" applyFill="1" applyBorder="1" applyAlignment="1" applyProtection="1">
      <alignment horizontal="distributed" vertical="center"/>
    </xf>
    <xf numFmtId="0" fontId="14" fillId="0" borderId="16" xfId="93" applyFont="1" applyFill="1" applyBorder="1" applyAlignment="1" applyProtection="1">
      <alignment horizontal="distributed" vertical="center"/>
    </xf>
    <xf numFmtId="49" fontId="19" fillId="4" borderId="17" xfId="94" applyNumberFormat="1" applyFont="1" applyFill="1" applyBorder="1" applyAlignment="1" applyProtection="1">
      <alignment horizontal="right" vertical="center" shrinkToFit="1"/>
    </xf>
    <xf numFmtId="49" fontId="19" fillId="4" borderId="18" xfId="94" applyNumberFormat="1" applyFont="1" applyFill="1" applyBorder="1" applyAlignment="1" applyProtection="1">
      <alignment horizontal="right" vertical="center" shrinkToFit="1"/>
    </xf>
    <xf numFmtId="49" fontId="19" fillId="4" borderId="46" xfId="94" applyNumberFormat="1" applyFont="1" applyFill="1" applyBorder="1" applyAlignment="1" applyProtection="1">
      <alignment horizontal="right" vertical="center" shrinkToFit="1"/>
    </xf>
    <xf numFmtId="49" fontId="19" fillId="4" borderId="20" xfId="94" applyNumberFormat="1" applyFont="1" applyFill="1" applyBorder="1" applyAlignment="1" applyProtection="1">
      <alignment horizontal="right" vertical="center" shrinkToFit="1"/>
    </xf>
    <xf numFmtId="49" fontId="19" fillId="0" borderId="3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5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53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08" xfId="93" applyFont="1" applyFill="1" applyBorder="1" applyAlignment="1" applyProtection="1">
      <alignment horizontal="distributed" vertical="center"/>
    </xf>
    <xf numFmtId="0" fontId="14" fillId="0" borderId="35" xfId="93" applyFont="1" applyFill="1" applyBorder="1" applyAlignment="1" applyProtection="1">
      <alignment horizontal="distributed" vertical="center"/>
    </xf>
    <xf numFmtId="0" fontId="14" fillId="0" borderId="36" xfId="93" applyFont="1" applyFill="1" applyBorder="1" applyAlignment="1" applyProtection="1">
      <alignment horizontal="distributed" vertical="center"/>
    </xf>
    <xf numFmtId="49" fontId="19" fillId="0" borderId="151" xfId="94" applyNumberFormat="1" applyFont="1" applyFill="1" applyBorder="1" applyAlignment="1" applyProtection="1">
      <alignment horizontal="right" vertical="center" shrinkToFit="1"/>
    </xf>
    <xf numFmtId="49" fontId="19" fillId="0" borderId="159" xfId="94" applyNumberFormat="1" applyFont="1" applyFill="1" applyBorder="1" applyAlignment="1" applyProtection="1">
      <alignment horizontal="right" vertical="center" shrinkToFit="1"/>
    </xf>
    <xf numFmtId="49" fontId="19" fillId="4" borderId="83" xfId="94" applyNumberFormat="1" applyFont="1" applyFill="1" applyBorder="1" applyAlignment="1" applyProtection="1">
      <alignment horizontal="right" vertical="center" shrinkToFit="1"/>
    </xf>
    <xf numFmtId="49" fontId="19" fillId="4" borderId="155" xfId="94" applyNumberFormat="1" applyFont="1" applyFill="1" applyBorder="1" applyAlignment="1" applyProtection="1">
      <alignment horizontal="right" vertical="center" shrinkToFit="1"/>
    </xf>
    <xf numFmtId="49" fontId="19" fillId="4" borderId="36" xfId="94" applyNumberFormat="1" applyFont="1" applyFill="1" applyBorder="1" applyAlignment="1" applyProtection="1">
      <alignment horizontal="right" vertical="center" shrinkToFit="1"/>
    </xf>
    <xf numFmtId="0" fontId="14" fillId="0" borderId="198" xfId="93" applyFont="1" applyFill="1" applyBorder="1" applyAlignment="1" applyProtection="1">
      <alignment horizontal="center" vertical="center"/>
    </xf>
    <xf numFmtId="0" fontId="14" fillId="0" borderId="102" xfId="93" applyFont="1" applyFill="1" applyBorder="1" applyAlignment="1" applyProtection="1">
      <alignment horizontal="center" vertical="center"/>
    </xf>
    <xf numFmtId="0" fontId="14" fillId="0" borderId="156" xfId="93" applyFont="1" applyFill="1" applyBorder="1" applyAlignment="1" applyProtection="1">
      <alignment horizontal="distributed" vertical="center"/>
    </xf>
    <xf numFmtId="0" fontId="14" fillId="0" borderId="58" xfId="93" applyFont="1" applyFill="1" applyBorder="1" applyAlignment="1" applyProtection="1">
      <alignment horizontal="center" vertical="distributed" textRotation="255" justifyLastLine="1"/>
    </xf>
    <xf numFmtId="0" fontId="14" fillId="0" borderId="49" xfId="93" applyFont="1" applyFill="1" applyBorder="1" applyAlignment="1" applyProtection="1">
      <alignment horizontal="center" vertical="distributed" textRotation="255" justifyLastLine="1"/>
    </xf>
    <xf numFmtId="0" fontId="14" fillId="0" borderId="96" xfId="93" applyFont="1" applyFill="1" applyBorder="1" applyAlignment="1" applyProtection="1">
      <alignment horizontal="center" vertical="distributed" textRotation="255" justifyLastLine="1"/>
    </xf>
    <xf numFmtId="0" fontId="14" fillId="0" borderId="63" xfId="93" applyFont="1" applyFill="1" applyBorder="1" applyAlignment="1" applyProtection="1">
      <alignment horizontal="distributed" vertical="center"/>
    </xf>
    <xf numFmtId="0" fontId="14" fillId="0" borderId="28" xfId="93" applyFont="1" applyFill="1" applyBorder="1" applyAlignment="1" applyProtection="1">
      <alignment horizontal="distributed" vertical="center"/>
    </xf>
    <xf numFmtId="0" fontId="14" fillId="0" borderId="26" xfId="93" applyFont="1" applyFill="1" applyBorder="1" applyAlignment="1" applyProtection="1">
      <alignment horizontal="distributed" vertical="center"/>
    </xf>
    <xf numFmtId="49" fontId="19" fillId="0" borderId="2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6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47" xfId="94" applyNumberFormat="1" applyFont="1" applyFill="1" applyBorder="1" applyAlignment="1" applyProtection="1">
      <alignment horizontal="right" vertical="center" shrinkToFit="1"/>
      <protection locked="0"/>
    </xf>
    <xf numFmtId="49" fontId="19" fillId="4" borderId="31" xfId="94" applyNumberFormat="1" applyFont="1" applyFill="1" applyBorder="1" applyAlignment="1" applyProtection="1">
      <alignment horizontal="right" vertical="center" shrinkToFit="1"/>
    </xf>
    <xf numFmtId="49" fontId="19" fillId="4" borderId="194" xfId="94" applyNumberFormat="1" applyFont="1" applyFill="1" applyBorder="1" applyAlignment="1" applyProtection="1">
      <alignment horizontal="right" vertical="center" shrinkToFit="1"/>
    </xf>
    <xf numFmtId="49" fontId="19" fillId="4" borderId="195" xfId="94" applyNumberFormat="1" applyFont="1" applyFill="1" applyBorder="1" applyAlignment="1" applyProtection="1">
      <alignment horizontal="right" vertical="center" shrinkToFit="1"/>
    </xf>
    <xf numFmtId="49" fontId="19" fillId="0" borderId="157" xfId="94" applyNumberFormat="1" applyFont="1" applyFill="1" applyBorder="1" applyAlignment="1" applyProtection="1">
      <alignment horizontal="right" vertical="center" shrinkToFit="1"/>
    </xf>
    <xf numFmtId="49" fontId="19" fillId="0" borderId="158" xfId="94" applyNumberFormat="1" applyFont="1" applyFill="1" applyBorder="1" applyAlignment="1" applyProtection="1">
      <alignment horizontal="right" vertical="center" shrinkToFit="1"/>
    </xf>
    <xf numFmtId="0" fontId="14" fillId="0" borderId="108" xfId="93" applyFont="1" applyFill="1" applyBorder="1" applyAlignment="1" applyProtection="1">
      <alignment horizontal="center" vertical="center" shrinkToFit="1"/>
    </xf>
    <xf numFmtId="0" fontId="14" fillId="0" borderId="38" xfId="93" applyFont="1" applyFill="1" applyBorder="1" applyAlignment="1" applyProtection="1">
      <alignment horizontal="center" vertical="center" shrinkToFit="1"/>
    </xf>
    <xf numFmtId="0" fontId="13" fillId="0" borderId="86" xfId="93" applyFont="1" applyFill="1" applyBorder="1" applyAlignment="1" applyProtection="1">
      <alignment vertical="center"/>
    </xf>
    <xf numFmtId="0" fontId="13" fillId="0" borderId="74" xfId="93" applyFont="1" applyFill="1" applyBorder="1" applyAlignment="1" applyProtection="1">
      <alignment vertical="center"/>
    </xf>
    <xf numFmtId="0" fontId="14" fillId="0" borderId="84" xfId="93" applyFont="1" applyFill="1" applyBorder="1" applyAlignment="1" applyProtection="1">
      <alignment horizontal="distributed" vertical="center"/>
    </xf>
    <xf numFmtId="0" fontId="14" fillId="0" borderId="48" xfId="93" applyFont="1" applyFill="1" applyBorder="1" applyAlignment="1" applyProtection="1">
      <alignment horizontal="distributed" vertical="center"/>
    </xf>
    <xf numFmtId="0" fontId="14" fillId="0" borderId="1" xfId="93" applyFont="1" applyFill="1" applyBorder="1" applyAlignment="1" applyProtection="1">
      <alignment horizontal="center" vertical="center" justifyLastLine="1"/>
    </xf>
    <xf numFmtId="0" fontId="14" fillId="0" borderId="3" xfId="93" applyFont="1" applyFill="1" applyBorder="1" applyAlignment="1" applyProtection="1">
      <alignment horizontal="center" vertical="center" justifyLastLine="1"/>
    </xf>
    <xf numFmtId="0" fontId="14" fillId="0" borderId="85" xfId="93" applyFont="1" applyFill="1" applyBorder="1" applyAlignment="1" applyProtection="1">
      <alignment horizontal="center" vertical="center" justifyLastLine="1"/>
    </xf>
    <xf numFmtId="0" fontId="14" fillId="0" borderId="122" xfId="93" applyFont="1" applyFill="1" applyBorder="1" applyAlignment="1" applyProtection="1">
      <alignment horizontal="distributed" vertical="center" justifyLastLine="1"/>
    </xf>
    <xf numFmtId="0" fontId="14" fillId="0" borderId="103" xfId="93" applyFont="1" applyFill="1" applyBorder="1" applyAlignment="1" applyProtection="1">
      <alignment horizontal="distributed" vertical="center" justifyLastLine="1"/>
    </xf>
    <xf numFmtId="0" fontId="14" fillId="0" borderId="149" xfId="93" applyFont="1" applyFill="1" applyBorder="1" applyAlignment="1" applyProtection="1">
      <alignment horizontal="distributed" vertical="center" justifyLastLine="1"/>
    </xf>
    <xf numFmtId="0" fontId="14" fillId="0" borderId="108" xfId="93" applyFont="1" applyFill="1" applyBorder="1" applyAlignment="1" applyProtection="1">
      <alignment horizontal="center" vertical="center" textRotation="255" wrapText="1"/>
    </xf>
    <xf numFmtId="0" fontId="14" fillId="0" borderId="73" xfId="93" applyFont="1" applyFill="1" applyBorder="1" applyAlignment="1" applyProtection="1">
      <alignment horizontal="center" vertical="center" textRotation="255" wrapText="1"/>
    </xf>
    <xf numFmtId="0" fontId="14" fillId="0" borderId="106" xfId="93" applyFont="1" applyFill="1" applyBorder="1" applyAlignment="1" applyProtection="1">
      <alignment horizontal="center" vertical="center" textRotation="255" wrapText="1"/>
    </xf>
    <xf numFmtId="0" fontId="14" fillId="0" borderId="54" xfId="93" applyFont="1" applyFill="1" applyBorder="1" applyAlignment="1" applyProtection="1">
      <alignment horizontal="center" vertical="center" textRotation="255" wrapText="1"/>
    </xf>
    <xf numFmtId="0" fontId="14" fillId="0" borderId="73" xfId="93" applyFont="1" applyFill="1" applyBorder="1" applyAlignment="1" applyProtection="1">
      <alignment horizontal="distributed" vertical="center" shrinkToFit="1"/>
    </xf>
    <xf numFmtId="0" fontId="14" fillId="0" borderId="72" xfId="93" applyFont="1" applyFill="1" applyBorder="1" applyAlignment="1" applyProtection="1">
      <alignment horizontal="distributed" vertical="center" shrinkToFit="1"/>
    </xf>
    <xf numFmtId="49" fontId="19" fillId="0" borderId="12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03" xfId="94" applyNumberFormat="1" applyFont="1" applyFill="1" applyBorder="1" applyAlignment="1" applyProtection="1">
      <alignment horizontal="right" vertical="center" shrinkToFit="1"/>
      <protection locked="0"/>
    </xf>
    <xf numFmtId="49" fontId="19" fillId="4" borderId="103" xfId="94" applyNumberFormat="1" applyFont="1" applyFill="1" applyBorder="1" applyAlignment="1" applyProtection="1">
      <alignment horizontal="right" vertical="center" shrinkToFit="1"/>
    </xf>
    <xf numFmtId="49" fontId="19" fillId="4" borderId="149" xfId="94" applyNumberFormat="1" applyFont="1" applyFill="1" applyBorder="1" applyAlignment="1" applyProtection="1">
      <alignment horizontal="right" vertical="center" shrinkToFit="1"/>
    </xf>
    <xf numFmtId="0" fontId="14" fillId="0" borderId="126" xfId="93" applyFont="1" applyFill="1" applyBorder="1" applyAlignment="1" applyProtection="1">
      <alignment horizontal="center" vertical="distributed" textRotation="255" justifyLastLine="1"/>
    </xf>
    <xf numFmtId="0" fontId="14" fillId="0" borderId="105" xfId="93" applyFont="1" applyFill="1" applyBorder="1" applyAlignment="1" applyProtection="1">
      <alignment horizontal="center" vertical="distributed" textRotation="255" justifyLastLine="1"/>
    </xf>
    <xf numFmtId="0" fontId="14" fillId="0" borderId="108" xfId="93" applyFont="1" applyFill="1" applyBorder="1" applyAlignment="1" applyProtection="1">
      <alignment horizontal="center" vertical="distributed" textRotation="255" justifyLastLine="1"/>
    </xf>
    <xf numFmtId="0" fontId="14" fillId="0" borderId="73" xfId="93" applyFont="1" applyFill="1" applyBorder="1" applyAlignment="1" applyProtection="1">
      <alignment horizontal="center" vertical="distributed" textRotation="255" justifyLastLine="1"/>
    </xf>
    <xf numFmtId="49" fontId="19" fillId="0" borderId="98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06" xfId="93" applyFont="1" applyFill="1" applyBorder="1" applyAlignment="1" applyProtection="1">
      <alignment horizontal="distributed" vertical="center"/>
    </xf>
    <xf numFmtId="0" fontId="14" fillId="0" borderId="27" xfId="93" applyFont="1" applyFill="1" applyBorder="1" applyAlignment="1" applyProtection="1">
      <alignment horizontal="distributed" vertical="center" indent="3"/>
    </xf>
    <xf numFmtId="0" fontId="14" fillId="0" borderId="28" xfId="93" applyFont="1" applyFill="1" applyBorder="1" applyAlignment="1" applyProtection="1">
      <alignment horizontal="distributed" vertical="center" indent="3"/>
    </xf>
    <xf numFmtId="0" fontId="14" fillId="0" borderId="57" xfId="93" applyFont="1" applyFill="1" applyBorder="1" applyAlignment="1" applyProtection="1">
      <alignment horizontal="distributed" vertical="center" indent="3"/>
    </xf>
    <xf numFmtId="0" fontId="14" fillId="0" borderId="140" xfId="96" applyFont="1" applyFill="1" applyBorder="1" applyAlignment="1" applyProtection="1">
      <alignment horizontal="distributed" vertical="center" justifyLastLine="1"/>
    </xf>
    <xf numFmtId="0" fontId="14" fillId="0" borderId="118" xfId="96" applyFont="1" applyFill="1" applyBorder="1" applyAlignment="1" applyProtection="1">
      <alignment horizontal="distributed" vertical="center" justifyLastLine="1"/>
    </xf>
    <xf numFmtId="0" fontId="14" fillId="0" borderId="20" xfId="96" applyFont="1" applyFill="1" applyBorder="1" applyAlignment="1" applyProtection="1">
      <alignment horizontal="distributed" vertical="center" justifyLastLine="1"/>
    </xf>
    <xf numFmtId="0" fontId="14" fillId="0" borderId="38" xfId="93" applyFont="1" applyFill="1" applyBorder="1" applyAlignment="1" applyProtection="1">
      <alignment horizontal="distributed" vertical="center" shrinkToFit="1"/>
    </xf>
    <xf numFmtId="0" fontId="14" fillId="0" borderId="49" xfId="96" applyFont="1" applyFill="1" applyBorder="1" applyAlignment="1" applyProtection="1">
      <alignment horizontal="distributed" vertical="center" justifyLastLine="1"/>
    </xf>
    <xf numFmtId="0" fontId="14" fillId="0" borderId="35" xfId="96" applyFont="1" applyFill="1" applyBorder="1" applyAlignment="1" applyProtection="1">
      <alignment horizontal="distributed" vertical="center" justifyLastLine="1"/>
    </xf>
    <xf numFmtId="0" fontId="14" fillId="0" borderId="36" xfId="96" applyFont="1" applyFill="1" applyBorder="1" applyAlignment="1" applyProtection="1">
      <alignment horizontal="distributed" vertical="center" justifyLastLine="1"/>
    </xf>
    <xf numFmtId="0" fontId="14" fillId="0" borderId="6" xfId="93" applyFont="1" applyFill="1" applyBorder="1" applyAlignment="1" applyProtection="1">
      <alignment horizontal="distributed" vertical="center" justifyLastLine="1"/>
    </xf>
    <xf numFmtId="0" fontId="14" fillId="0" borderId="97" xfId="93" applyFont="1" applyFill="1" applyBorder="1" applyAlignment="1" applyProtection="1">
      <alignment horizontal="distributed" vertical="center" justifyLastLine="1"/>
    </xf>
    <xf numFmtId="0" fontId="14" fillId="0" borderId="109" xfId="93" applyFont="1" applyFill="1" applyBorder="1" applyAlignment="1" applyProtection="1">
      <alignment horizontal="distributed" vertical="center" justifyLastLine="1"/>
    </xf>
    <xf numFmtId="0" fontId="13" fillId="0" borderId="80" xfId="93" applyFont="1" applyFill="1" applyBorder="1" applyAlignment="1" applyProtection="1">
      <alignment horizontal="distributed" vertical="center" justifyLastLine="1"/>
    </xf>
    <xf numFmtId="0" fontId="13" fillId="0" borderId="102" xfId="93" applyFont="1" applyFill="1" applyBorder="1" applyAlignment="1" applyProtection="1">
      <alignment horizontal="distributed" vertical="center" justifyLastLine="1"/>
    </xf>
    <xf numFmtId="0" fontId="13" fillId="0" borderId="117" xfId="93" applyFont="1" applyFill="1" applyBorder="1" applyAlignment="1" applyProtection="1">
      <alignment horizontal="distributed" vertical="center" justifyLastLine="1"/>
    </xf>
    <xf numFmtId="0" fontId="14" fillId="0" borderId="121" xfId="93" applyFont="1" applyFill="1" applyBorder="1" applyAlignment="1" applyProtection="1">
      <alignment horizontal="distributed" vertical="center" justifyLastLine="1"/>
    </xf>
    <xf numFmtId="1" fontId="23" fillId="0" borderId="0" xfId="94" applyNumberFormat="1" applyFont="1" applyFill="1" applyBorder="1" applyAlignment="1" applyProtection="1">
      <alignment horizontal="center" vertical="center" shrinkToFit="1"/>
    </xf>
    <xf numFmtId="1" fontId="23" fillId="0" borderId="95" xfId="94" applyNumberFormat="1" applyFont="1" applyFill="1" applyBorder="1" applyAlignment="1" applyProtection="1">
      <alignment horizontal="center" vertical="center" shrinkToFit="1"/>
    </xf>
    <xf numFmtId="49" fontId="19" fillId="4" borderId="63" xfId="94" applyNumberFormat="1" applyFont="1" applyFill="1" applyBorder="1" applyAlignment="1" applyProtection="1">
      <alignment horizontal="right" vertical="center" shrinkToFit="1"/>
    </xf>
    <xf numFmtId="0" fontId="16" fillId="0" borderId="51" xfId="93" applyFont="1" applyFill="1" applyBorder="1" applyAlignment="1" applyProtection="1">
      <alignment vertical="center"/>
    </xf>
    <xf numFmtId="0" fontId="14" fillId="0" borderId="50" xfId="93" applyFont="1" applyFill="1" applyBorder="1" applyAlignment="1" applyProtection="1">
      <alignment vertical="center"/>
    </xf>
    <xf numFmtId="0" fontId="14" fillId="0" borderId="61" xfId="93" applyFont="1" applyFill="1" applyBorder="1" applyAlignment="1" applyProtection="1">
      <alignment vertical="center"/>
    </xf>
    <xf numFmtId="0" fontId="14" fillId="0" borderId="101" xfId="96" applyFont="1" applyFill="1" applyBorder="1" applyAlignment="1" applyProtection="1">
      <alignment horizontal="distributed" vertical="center" justifyLastLine="1"/>
    </xf>
    <xf numFmtId="0" fontId="14" fillId="0" borderId="99" xfId="96" applyFont="1" applyFill="1" applyBorder="1" applyAlignment="1" applyProtection="1">
      <alignment horizontal="distributed" vertical="center" justifyLastLine="1"/>
    </xf>
    <xf numFmtId="0" fontId="14" fillId="0" borderId="164" xfId="96" applyFont="1" applyFill="1" applyBorder="1" applyAlignment="1" applyProtection="1">
      <alignment horizontal="distributed" vertical="center" justifyLastLine="1"/>
    </xf>
    <xf numFmtId="0" fontId="13" fillId="0" borderId="0" xfId="93" applyFont="1" applyFill="1" applyAlignment="1" applyProtection="1">
      <alignment vertical="center"/>
    </xf>
    <xf numFmtId="0" fontId="14" fillId="0" borderId="142" xfId="93" applyFont="1" applyFill="1" applyBorder="1" applyAlignment="1" applyProtection="1">
      <alignment horizontal="distributed" vertical="center" shrinkToFit="1"/>
    </xf>
    <xf numFmtId="0" fontId="14" fillId="0" borderId="143" xfId="93" applyFont="1" applyFill="1" applyBorder="1" applyAlignment="1" applyProtection="1">
      <alignment horizontal="distributed" vertical="center" shrinkToFit="1"/>
    </xf>
    <xf numFmtId="0" fontId="14" fillId="0" borderId="142" xfId="93" applyFont="1" applyFill="1" applyBorder="1" applyAlignment="1" applyProtection="1">
      <alignment horizontal="distributed" vertical="center" justifyLastLine="1"/>
    </xf>
    <xf numFmtId="0" fontId="13" fillId="0" borderId="180" xfId="93" applyFont="1" applyFill="1" applyBorder="1" applyAlignment="1" applyProtection="1">
      <alignment vertical="center"/>
    </xf>
    <xf numFmtId="0" fontId="13" fillId="0" borderId="181" xfId="93" applyFont="1" applyFill="1" applyBorder="1" applyAlignment="1" applyProtection="1">
      <alignment vertical="center"/>
    </xf>
    <xf numFmtId="0" fontId="13" fillId="0" borderId="116" xfId="93" applyFont="1" applyFill="1" applyBorder="1" applyAlignment="1" applyProtection="1">
      <alignment vertical="center"/>
    </xf>
    <xf numFmtId="0" fontId="13" fillId="0" borderId="139" xfId="93" applyFont="1" applyFill="1" applyBorder="1" applyAlignment="1" applyProtection="1">
      <alignment vertical="center"/>
    </xf>
    <xf numFmtId="0" fontId="13" fillId="0" borderId="138" xfId="93" applyFont="1" applyFill="1" applyBorder="1" applyAlignment="1" applyProtection="1">
      <alignment vertical="center"/>
    </xf>
    <xf numFmtId="0" fontId="13" fillId="0" borderId="88" xfId="93" applyFont="1" applyFill="1" applyBorder="1" applyAlignment="1" applyProtection="1">
      <alignment vertical="center"/>
    </xf>
    <xf numFmtId="0" fontId="14" fillId="0" borderId="102" xfId="93" applyFont="1" applyFill="1" applyBorder="1" applyAlignment="1" applyProtection="1">
      <alignment horizontal="distributed" vertical="center" justifyLastLine="1"/>
    </xf>
    <xf numFmtId="0" fontId="14" fillId="0" borderId="1" xfId="93" applyFont="1" applyFill="1" applyBorder="1" applyAlignment="1" applyProtection="1">
      <alignment horizontal="center" vertical="center"/>
    </xf>
    <xf numFmtId="0" fontId="14" fillId="0" borderId="3" xfId="93" applyFont="1" applyFill="1" applyBorder="1" applyAlignment="1" applyProtection="1">
      <alignment horizontal="center" vertical="center"/>
    </xf>
    <xf numFmtId="0" fontId="14" fillId="0" borderId="2" xfId="93" applyFont="1" applyFill="1" applyBorder="1" applyAlignment="1" applyProtection="1">
      <alignment horizontal="center" vertical="center"/>
    </xf>
    <xf numFmtId="0" fontId="14" fillId="0" borderId="80" xfId="93" applyFont="1" applyFill="1" applyBorder="1" applyAlignment="1" applyProtection="1">
      <alignment horizontal="distributed" vertical="center" wrapText="1" justifyLastLine="1"/>
    </xf>
    <xf numFmtId="0" fontId="14" fillId="0" borderId="117" xfId="93" applyFont="1" applyFill="1" applyBorder="1" applyAlignment="1" applyProtection="1">
      <alignment horizontal="distributed" vertical="center" justifyLastLine="1"/>
    </xf>
    <xf numFmtId="0" fontId="14" fillId="0" borderId="25" xfId="93" applyFont="1" applyFill="1" applyBorder="1" applyAlignment="1" applyProtection="1">
      <alignment vertical="center" shrinkToFit="1"/>
    </xf>
    <xf numFmtId="0" fontId="14" fillId="0" borderId="7" xfId="93" applyFont="1" applyFill="1" applyBorder="1" applyAlignment="1" applyProtection="1">
      <alignment vertical="center" shrinkToFit="1"/>
    </xf>
    <xf numFmtId="0" fontId="14" fillId="0" borderId="90" xfId="93" applyFont="1" applyFill="1" applyBorder="1" applyAlignment="1" applyProtection="1">
      <alignment horizontal="center" vertical="center"/>
    </xf>
    <xf numFmtId="0" fontId="14" fillId="0" borderId="7" xfId="93" applyFont="1" applyFill="1" applyBorder="1" applyAlignment="1" applyProtection="1">
      <alignment horizontal="center" vertical="center"/>
    </xf>
    <xf numFmtId="0" fontId="14" fillId="0" borderId="79" xfId="93" applyFont="1" applyFill="1" applyBorder="1" applyAlignment="1" applyProtection="1">
      <alignment horizontal="center" vertical="center"/>
    </xf>
    <xf numFmtId="0" fontId="14" fillId="0" borderId="141" xfId="93" applyFont="1" applyFill="1" applyBorder="1" applyAlignment="1" applyProtection="1">
      <alignment horizontal="distributed" vertical="center" justifyLastLine="1"/>
    </xf>
    <xf numFmtId="0" fontId="14" fillId="0" borderId="11" xfId="93" applyFont="1" applyFill="1" applyBorder="1" applyAlignment="1" applyProtection="1">
      <alignment horizontal="center" vertical="center"/>
    </xf>
    <xf numFmtId="0" fontId="14" fillId="0" borderId="142" xfId="93" applyFont="1" applyFill="1" applyBorder="1" applyAlignment="1" applyProtection="1">
      <alignment horizontal="distributed" vertical="center"/>
    </xf>
    <xf numFmtId="181" fontId="19" fillId="0" borderId="68" xfId="93" applyNumberFormat="1" applyFont="1" applyFill="1" applyBorder="1" applyAlignment="1" applyProtection="1">
      <alignment horizontal="center" vertical="center" shrinkToFit="1"/>
      <protection locked="0"/>
    </xf>
    <xf numFmtId="181" fontId="19" fillId="0" borderId="40" xfId="93" applyNumberFormat="1" applyFont="1" applyFill="1" applyBorder="1" applyAlignment="1" applyProtection="1">
      <alignment horizontal="center" vertical="center" shrinkToFit="1"/>
      <protection locked="0"/>
    </xf>
    <xf numFmtId="181" fontId="19" fillId="0" borderId="67" xfId="93" applyNumberFormat="1" applyFont="1" applyFill="1" applyBorder="1" applyAlignment="1" applyProtection="1">
      <alignment horizontal="center" vertical="center" shrinkToFit="1"/>
      <protection locked="0"/>
    </xf>
    <xf numFmtId="49" fontId="19" fillId="0" borderId="118" xfId="94" applyNumberFormat="1" applyFont="1" applyFill="1" applyBorder="1" applyAlignment="1" applyProtection="1">
      <alignment horizontal="center" vertical="center" shrinkToFit="1"/>
      <protection locked="0"/>
    </xf>
    <xf numFmtId="0" fontId="14" fillId="0" borderId="40" xfId="93" applyNumberFormat="1" applyFont="1" applyFill="1" applyBorder="1" applyAlignment="1" applyProtection="1">
      <alignment horizontal="center" vertical="center" shrinkToFit="1"/>
    </xf>
    <xf numFmtId="0" fontId="14" fillId="0" borderId="67" xfId="93" applyNumberFormat="1" applyFont="1" applyFill="1" applyBorder="1" applyAlignment="1" applyProtection="1">
      <alignment horizontal="center" vertical="center" shrinkToFit="1"/>
    </xf>
    <xf numFmtId="0" fontId="14" fillId="0" borderId="48" xfId="93" applyFont="1" applyFill="1" applyBorder="1" applyAlignment="1" applyProtection="1">
      <alignment horizontal="distributed" vertical="center" justifyLastLine="1"/>
    </xf>
    <xf numFmtId="0" fontId="14" fillId="0" borderId="32" xfId="93" applyFont="1" applyFill="1" applyBorder="1" applyAlignment="1" applyProtection="1">
      <alignment horizontal="distributed" vertical="center" justifyLastLine="1"/>
    </xf>
    <xf numFmtId="0" fontId="14" fillId="0" borderId="76" xfId="93" applyFont="1" applyFill="1" applyBorder="1" applyAlignment="1" applyProtection="1">
      <alignment horizontal="distributed" vertical="center" justifyLastLine="1"/>
    </xf>
    <xf numFmtId="49" fontId="19" fillId="0" borderId="103" xfId="93" applyNumberFormat="1" applyFont="1" applyFill="1" applyBorder="1" applyAlignment="1" applyProtection="1">
      <alignment horizontal="center" vertical="center" shrinkToFit="1"/>
    </xf>
    <xf numFmtId="0" fontId="19" fillId="0" borderId="132" xfId="93" applyNumberFormat="1" applyFont="1" applyFill="1" applyBorder="1" applyAlignment="1" applyProtection="1">
      <alignment horizontal="center" vertical="center" shrinkToFit="1"/>
    </xf>
    <xf numFmtId="0" fontId="19" fillId="0" borderId="103" xfId="93" applyNumberFormat="1" applyFont="1" applyFill="1" applyBorder="1" applyAlignment="1" applyProtection="1">
      <alignment horizontal="center" vertical="center" shrinkToFit="1"/>
    </xf>
    <xf numFmtId="0" fontId="14" fillId="0" borderId="65" xfId="93" applyFont="1" applyFill="1" applyBorder="1" applyAlignment="1" applyProtection="1">
      <alignment horizontal="distributed" vertical="center"/>
    </xf>
    <xf numFmtId="0" fontId="14" fillId="0" borderId="105" xfId="93" applyFont="1" applyFill="1" applyBorder="1" applyAlignment="1" applyProtection="1">
      <alignment horizontal="distributed" vertical="center"/>
    </xf>
    <xf numFmtId="0" fontId="14" fillId="0" borderId="41" xfId="93" applyNumberFormat="1" applyFont="1" applyFill="1" applyBorder="1" applyAlignment="1" applyProtection="1">
      <alignment horizontal="center" vertical="center" shrinkToFit="1"/>
    </xf>
    <xf numFmtId="0" fontId="14" fillId="0" borderId="84" xfId="96" applyFont="1" applyFill="1" applyBorder="1" applyAlignment="1" applyProtection="1">
      <alignment horizontal="distributed" vertical="center"/>
    </xf>
    <xf numFmtId="0" fontId="14" fillId="0" borderId="47" xfId="96" applyFont="1" applyFill="1" applyBorder="1" applyAlignment="1" applyProtection="1">
      <alignment horizontal="distributed" vertical="center"/>
    </xf>
    <xf numFmtId="0" fontId="14" fillId="0" borderId="70" xfId="96" applyFont="1" applyFill="1" applyBorder="1" applyAlignment="1" applyProtection="1">
      <alignment horizontal="distributed" vertical="center"/>
    </xf>
    <xf numFmtId="0" fontId="14" fillId="0" borderId="108" xfId="96" applyFont="1" applyFill="1" applyBorder="1" applyAlignment="1" applyProtection="1">
      <alignment horizontal="distributed" vertical="center" justifyLastLine="1"/>
    </xf>
    <xf numFmtId="0" fontId="14" fillId="0" borderId="73" xfId="96" applyFont="1" applyFill="1" applyBorder="1" applyAlignment="1" applyProtection="1">
      <alignment horizontal="distributed" vertical="center" justifyLastLine="1"/>
    </xf>
    <xf numFmtId="0" fontId="14" fillId="0" borderId="72" xfId="96" applyFont="1" applyFill="1" applyBorder="1" applyAlignment="1" applyProtection="1">
      <alignment horizontal="distributed" vertical="center" justifyLastLine="1"/>
    </xf>
    <xf numFmtId="0" fontId="13" fillId="0" borderId="78" xfId="96" applyFont="1" applyFill="1" applyBorder="1" applyAlignment="1" applyProtection="1">
      <alignment vertical="center"/>
    </xf>
    <xf numFmtId="0" fontId="13" fillId="0" borderId="45" xfId="96" applyFont="1" applyFill="1" applyBorder="1" applyAlignment="1" applyProtection="1">
      <alignment vertical="center"/>
    </xf>
    <xf numFmtId="0" fontId="12" fillId="0" borderId="81" xfId="93" applyFont="1" applyFill="1" applyBorder="1" applyAlignment="1" applyProtection="1">
      <alignment vertical="center"/>
    </xf>
    <xf numFmtId="0" fontId="14" fillId="0" borderId="104" xfId="93" applyFont="1" applyFill="1" applyBorder="1" applyAlignment="1" applyProtection="1">
      <alignment horizontal="distributed" vertical="center"/>
    </xf>
    <xf numFmtId="49" fontId="19" fillId="0" borderId="1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9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4" xfId="94" applyNumberFormat="1" applyFont="1" applyFill="1" applyBorder="1" applyAlignment="1" applyProtection="1">
      <alignment horizontal="right" vertical="center" shrinkToFit="1"/>
      <protection locked="0"/>
    </xf>
    <xf numFmtId="0" fontId="16" fillId="0" borderId="51" xfId="93" applyFont="1" applyFill="1" applyBorder="1" applyAlignment="1" applyProtection="1">
      <alignment horizontal="left" vertical="center" shrinkToFit="1"/>
    </xf>
    <xf numFmtId="0" fontId="16" fillId="0" borderId="50" xfId="93" applyFont="1" applyFill="1" applyBorder="1" applyAlignment="1" applyProtection="1">
      <alignment horizontal="left" vertical="center" shrinkToFit="1"/>
    </xf>
    <xf numFmtId="0" fontId="16" fillId="0" borderId="61" xfId="93" applyFont="1" applyFill="1" applyBorder="1" applyAlignment="1" applyProtection="1">
      <alignment horizontal="left" vertical="center" shrinkToFit="1"/>
    </xf>
    <xf numFmtId="0" fontId="14" fillId="0" borderId="0" xfId="93" applyFont="1" applyFill="1" applyBorder="1" applyAlignment="1" applyProtection="1">
      <alignment horizontal="distributed" vertical="center" wrapText="1" justifyLastLine="1"/>
    </xf>
    <xf numFmtId="0" fontId="25" fillId="0" borderId="4" xfId="93" applyFont="1" applyFill="1" applyBorder="1" applyAlignment="1" applyProtection="1">
      <alignment horizontal="distributed" vertical="center" justifyLastLine="1"/>
    </xf>
    <xf numFmtId="0" fontId="25" fillId="0" borderId="9" xfId="93" applyFont="1" applyFill="1" applyBorder="1" applyAlignment="1" applyProtection="1">
      <alignment horizontal="distributed" vertical="center" justifyLastLine="1"/>
    </xf>
    <xf numFmtId="0" fontId="25" fillId="0" borderId="8" xfId="93" applyFont="1" applyFill="1" applyBorder="1" applyAlignment="1" applyProtection="1">
      <alignment horizontal="distributed" vertical="center" justifyLastLine="1"/>
    </xf>
    <xf numFmtId="0" fontId="14" fillId="0" borderId="28" xfId="93" applyFont="1" applyFill="1" applyBorder="1" applyAlignment="1" applyProtection="1">
      <alignment horizontal="distributed" vertical="center" wrapText="1"/>
    </xf>
    <xf numFmtId="0" fontId="14" fillId="0" borderId="62" xfId="93" applyFont="1" applyFill="1" applyBorder="1" applyAlignment="1" applyProtection="1">
      <alignment horizontal="distributed" vertical="center" wrapText="1"/>
    </xf>
    <xf numFmtId="0" fontId="14" fillId="0" borderId="62" xfId="93" applyFont="1" applyFill="1" applyBorder="1" applyAlignment="1" applyProtection="1">
      <alignment horizontal="distributed" vertical="center"/>
    </xf>
    <xf numFmtId="49" fontId="19" fillId="0" borderId="57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35" xfId="93" applyFont="1" applyFill="1" applyBorder="1" applyAlignment="1" applyProtection="1">
      <alignment horizontal="distributed" vertical="center" wrapText="1"/>
    </xf>
    <xf numFmtId="0" fontId="14" fillId="0" borderId="53" xfId="93" applyFont="1" applyFill="1" applyBorder="1" applyAlignment="1" applyProtection="1">
      <alignment horizontal="distributed" vertical="center" wrapText="1"/>
    </xf>
    <xf numFmtId="0" fontId="14" fillId="0" borderId="53" xfId="93" applyFont="1" applyFill="1" applyBorder="1" applyAlignment="1" applyProtection="1">
      <alignment horizontal="distributed" vertical="center"/>
    </xf>
    <xf numFmtId="0" fontId="14" fillId="0" borderId="12" xfId="93" applyFont="1" applyFill="1" applyBorder="1" applyAlignment="1" applyProtection="1">
      <alignment horizontal="distributed" vertical="center" wrapText="1"/>
    </xf>
    <xf numFmtId="0" fontId="14" fillId="0" borderId="66" xfId="93" applyFont="1" applyFill="1" applyBorder="1" applyAlignment="1" applyProtection="1">
      <alignment horizontal="distributed" vertical="center" wrapText="1"/>
    </xf>
    <xf numFmtId="179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0" xfId="93" applyFont="1" applyFill="1" applyBorder="1" applyAlignment="1" applyProtection="1">
      <alignment horizontal="distributed" vertical="center" justifyLastLine="1"/>
    </xf>
    <xf numFmtId="0" fontId="13" fillId="0" borderId="0" xfId="93" applyFont="1" applyFill="1" applyBorder="1" applyAlignment="1" applyProtection="1">
      <alignment horizontal="center" vertical="center"/>
    </xf>
    <xf numFmtId="178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0" xfId="93" applyFont="1" applyFill="1" applyBorder="1" applyAlignment="1" applyProtection="1">
      <alignment horizontal="distributed" vertical="center"/>
    </xf>
    <xf numFmtId="0" fontId="13" fillId="0" borderId="0" xfId="93" applyFont="1" applyFill="1" applyBorder="1" applyAlignment="1" applyProtection="1">
      <alignment vertical="center"/>
    </xf>
    <xf numFmtId="0" fontId="8" fillId="0" borderId="0" xfId="93" applyFont="1" applyFill="1" applyBorder="1" applyAlignment="1" applyProtection="1">
      <alignment vertical="center"/>
    </xf>
    <xf numFmtId="0" fontId="13" fillId="0" borderId="0" xfId="93" applyFont="1" applyFill="1" applyBorder="1" applyAlignment="1" applyProtection="1">
      <alignment horizontal="distributed" vertical="center" shrinkToFit="1"/>
    </xf>
    <xf numFmtId="179" fontId="13" fillId="3" borderId="0" xfId="94" applyNumberFormat="1" applyFont="1" applyFill="1" applyBorder="1" applyAlignment="1" applyProtection="1">
      <alignment horizontal="right" vertical="center" shrinkToFit="1"/>
    </xf>
    <xf numFmtId="178" fontId="13" fillId="3" borderId="0" xfId="94" applyNumberFormat="1" applyFont="1" applyFill="1" applyBorder="1" applyAlignment="1" applyProtection="1">
      <alignment horizontal="right" vertical="center" shrinkToFit="1"/>
    </xf>
    <xf numFmtId="0" fontId="14" fillId="0" borderId="160" xfId="93" applyFont="1" applyFill="1" applyBorder="1" applyAlignment="1" applyProtection="1">
      <alignment horizontal="distributed" vertical="center" justifyLastLine="1"/>
    </xf>
    <xf numFmtId="0" fontId="14" fillId="0" borderId="18" xfId="93" applyFont="1" applyFill="1" applyBorder="1" applyAlignment="1" applyProtection="1">
      <alignment horizontal="distributed" vertical="center" justifyLastLine="1"/>
    </xf>
    <xf numFmtId="0" fontId="14" fillId="0" borderId="58" xfId="93" applyFont="1" applyFill="1" applyBorder="1" applyAlignment="1" applyProtection="1">
      <alignment horizontal="distributed" vertical="center" justifyLastLine="1"/>
    </xf>
    <xf numFmtId="0" fontId="14" fillId="0" borderId="28" xfId="93" applyFont="1" applyFill="1" applyBorder="1" applyAlignment="1" applyProtection="1">
      <alignment horizontal="distributed" vertical="center" justifyLastLine="1"/>
    </xf>
    <xf numFmtId="0" fontId="14" fillId="0" borderId="49" xfId="93" applyFont="1" applyFill="1" applyBorder="1" applyAlignment="1" applyProtection="1">
      <alignment horizontal="distributed" vertical="center" justifyLastLine="1"/>
    </xf>
    <xf numFmtId="0" fontId="14" fillId="0" borderId="35" xfId="93" applyFont="1" applyFill="1" applyBorder="1" applyAlignment="1" applyProtection="1">
      <alignment horizontal="distributed" vertical="center" justifyLastLine="1"/>
    </xf>
    <xf numFmtId="49" fontId="19" fillId="0" borderId="144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60" xfId="93" applyFont="1" applyFill="1" applyBorder="1" applyAlignment="1" applyProtection="1">
      <alignment horizontal="center" vertical="center"/>
    </xf>
    <xf numFmtId="0" fontId="14" fillId="0" borderId="18" xfId="93" applyFont="1" applyFill="1" applyBorder="1" applyAlignment="1" applyProtection="1">
      <alignment horizontal="center" vertical="center"/>
    </xf>
    <xf numFmtId="177" fontId="19" fillId="0" borderId="114" xfId="94" applyNumberFormat="1" applyFont="1" applyFill="1" applyBorder="1" applyAlignment="1" applyProtection="1">
      <alignment horizontal="center" vertical="center" shrinkToFit="1"/>
      <protection locked="0"/>
    </xf>
    <xf numFmtId="177" fontId="19" fillId="0" borderId="73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135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60" xfId="93" applyFont="1" applyFill="1" applyBorder="1" applyAlignment="1" applyProtection="1">
      <alignment horizontal="distributed" vertical="center"/>
    </xf>
    <xf numFmtId="0" fontId="16" fillId="0" borderId="50" xfId="93" applyFont="1" applyFill="1" applyBorder="1" applyAlignment="1" applyProtection="1">
      <alignment vertical="center"/>
    </xf>
    <xf numFmtId="0" fontId="16" fillId="0" borderId="61" xfId="93" applyFont="1" applyFill="1" applyBorder="1" applyAlignment="1" applyProtection="1">
      <alignment vertical="center"/>
    </xf>
    <xf numFmtId="0" fontId="14" fillId="0" borderId="13" xfId="93" applyFont="1" applyFill="1" applyBorder="1" applyAlignment="1" applyProtection="1">
      <alignment horizontal="distributed" vertical="center"/>
    </xf>
    <xf numFmtId="0" fontId="14" fillId="0" borderId="12" xfId="93" applyFont="1" applyFill="1" applyBorder="1" applyAlignment="1" applyProtection="1">
      <alignment horizontal="distributed" vertical="center"/>
    </xf>
    <xf numFmtId="0" fontId="14" fillId="0" borderId="49" xfId="93" applyFont="1" applyFill="1" applyBorder="1" applyAlignment="1" applyProtection="1">
      <alignment horizontal="distributed" vertical="center"/>
    </xf>
    <xf numFmtId="0" fontId="14" fillId="0" borderId="124" xfId="93" applyFont="1" applyFill="1" applyBorder="1" applyAlignment="1" applyProtection="1">
      <alignment horizontal="center" vertical="center"/>
    </xf>
    <xf numFmtId="0" fontId="14" fillId="0" borderId="105" xfId="93" applyFont="1" applyFill="1" applyBorder="1" applyAlignment="1" applyProtection="1">
      <alignment horizontal="center" vertical="center"/>
    </xf>
    <xf numFmtId="0" fontId="14" fillId="0" borderId="131" xfId="93" applyFont="1" applyFill="1" applyBorder="1" applyAlignment="1" applyProtection="1">
      <alignment horizontal="center" vertical="center"/>
    </xf>
    <xf numFmtId="0" fontId="14" fillId="0" borderId="47" xfId="93" applyFont="1" applyFill="1" applyBorder="1" applyAlignment="1" applyProtection="1">
      <alignment horizontal="center" vertical="distributed" textRotation="255"/>
    </xf>
    <xf numFmtId="0" fontId="14" fillId="0" borderId="73" xfId="93" applyFont="1" applyFill="1" applyBorder="1" applyAlignment="1" applyProtection="1">
      <alignment horizontal="center" vertical="distributed" textRotation="255"/>
    </xf>
    <xf numFmtId="49" fontId="19" fillId="4" borderId="76" xfId="94" applyNumberFormat="1" applyFont="1" applyFill="1" applyBorder="1" applyAlignment="1" applyProtection="1">
      <alignment horizontal="right" vertical="center" shrinkToFit="1"/>
    </xf>
    <xf numFmtId="0" fontId="13" fillId="0" borderId="137" xfId="93" applyFont="1" applyFill="1" applyBorder="1" applyAlignment="1" applyProtection="1">
      <alignment vertical="center"/>
    </xf>
    <xf numFmtId="0" fontId="13" fillId="0" borderId="127" xfId="93" applyFont="1" applyFill="1" applyBorder="1" applyAlignment="1" applyProtection="1">
      <alignment vertical="center"/>
    </xf>
    <xf numFmtId="0" fontId="13" fillId="0" borderId="186" xfId="93" applyFont="1" applyFill="1" applyBorder="1" applyAlignment="1" applyProtection="1">
      <alignment vertical="center"/>
    </xf>
    <xf numFmtId="0" fontId="13" fillId="0" borderId="136" xfId="93" applyFont="1" applyFill="1" applyBorder="1" applyAlignment="1" applyProtection="1">
      <alignment vertical="center"/>
    </xf>
    <xf numFmtId="0" fontId="13" fillId="0" borderId="129" xfId="93" applyFont="1" applyFill="1" applyBorder="1" applyAlignment="1" applyProtection="1">
      <alignment vertical="center"/>
    </xf>
    <xf numFmtId="0" fontId="13" fillId="0" borderId="134" xfId="93" applyFont="1" applyFill="1" applyBorder="1" applyAlignment="1" applyProtection="1">
      <alignment vertical="center"/>
    </xf>
    <xf numFmtId="0" fontId="14" fillId="0" borderId="124" xfId="93" applyFont="1" applyFill="1" applyBorder="1" applyAlignment="1" applyProtection="1">
      <alignment horizontal="distributed" vertical="center" justifyLastLine="1"/>
    </xf>
    <xf numFmtId="0" fontId="14" fillId="0" borderId="105" xfId="93" applyFont="1" applyFill="1" applyBorder="1" applyAlignment="1" applyProtection="1">
      <alignment horizontal="distributed" vertical="center" justifyLastLine="1"/>
    </xf>
    <xf numFmtId="0" fontId="14" fillId="0" borderId="63" xfId="93" applyFont="1" applyFill="1" applyBorder="1" applyAlignment="1" applyProtection="1">
      <alignment horizontal="distributed" vertical="center" justifyLastLine="1"/>
    </xf>
    <xf numFmtId="49" fontId="19" fillId="4" borderId="104" xfId="94" applyNumberFormat="1" applyFont="1" applyFill="1" applyBorder="1" applyAlignment="1" applyProtection="1">
      <alignment horizontal="right" vertical="center" shrinkToFit="1"/>
    </xf>
    <xf numFmtId="0" fontId="14" fillId="0" borderId="90" xfId="93" applyFont="1" applyFill="1" applyBorder="1" applyAlignment="1" applyProtection="1">
      <alignment horizontal="distributed" vertical="center" justifyLastLine="1"/>
    </xf>
    <xf numFmtId="0" fontId="14" fillId="0" borderId="7" xfId="93" applyFont="1" applyFill="1" applyBorder="1" applyAlignment="1" applyProtection="1">
      <alignment horizontal="distributed" vertical="center" justifyLastLine="1"/>
    </xf>
    <xf numFmtId="0" fontId="14" fillId="0" borderId="24" xfId="93" applyFont="1" applyFill="1" applyBorder="1" applyAlignment="1" applyProtection="1">
      <alignment horizontal="distributed" vertical="center" justifyLastLine="1"/>
    </xf>
    <xf numFmtId="0" fontId="14" fillId="0" borderId="54" xfId="93" applyFont="1" applyFill="1" applyBorder="1" applyAlignment="1" applyProtection="1">
      <alignment horizontal="center" vertical="center" textRotation="255" shrinkToFit="1"/>
    </xf>
    <xf numFmtId="0" fontId="14" fillId="0" borderId="47" xfId="93" applyFont="1" applyFill="1" applyBorder="1" applyAlignment="1" applyProtection="1">
      <alignment horizontal="center" vertical="center" textRotation="255" shrinkToFit="1"/>
    </xf>
    <xf numFmtId="0" fontId="14" fillId="0" borderId="54" xfId="93" applyFont="1" applyFill="1" applyBorder="1" applyAlignment="1" applyProtection="1">
      <alignment horizontal="center" vertical="center" wrapText="1"/>
    </xf>
    <xf numFmtId="0" fontId="14" fillId="0" borderId="56" xfId="93" applyFont="1" applyFill="1" applyBorder="1" applyAlignment="1" applyProtection="1">
      <alignment horizontal="center" vertical="center" wrapText="1"/>
    </xf>
    <xf numFmtId="0" fontId="14" fillId="0" borderId="47" xfId="93" applyFont="1" applyFill="1" applyBorder="1" applyAlignment="1" applyProtection="1">
      <alignment horizontal="center" vertical="center" wrapText="1"/>
    </xf>
    <xf numFmtId="49" fontId="19" fillId="0" borderId="105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31" xfId="94" applyNumberFormat="1" applyFont="1" applyFill="1" applyBorder="1" applyAlignment="1" applyProtection="1">
      <alignment horizontal="right" vertical="center" shrinkToFit="1"/>
      <protection locked="0"/>
    </xf>
    <xf numFmtId="177" fontId="19" fillId="0" borderId="124" xfId="94" applyNumberFormat="1" applyFont="1" applyFill="1" applyBorder="1" applyAlignment="1" applyProtection="1">
      <alignment horizontal="center" vertical="center" shrinkToFit="1"/>
      <protection locked="0"/>
    </xf>
    <xf numFmtId="177" fontId="19" fillId="0" borderId="105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112" xfId="94" applyNumberFormat="1" applyFont="1" applyFill="1" applyBorder="1" applyAlignment="1" applyProtection="1">
      <alignment horizontal="right" vertical="center" shrinkToFit="1"/>
    </xf>
    <xf numFmtId="49" fontId="19" fillId="0" borderId="169" xfId="94" applyNumberFormat="1" applyFont="1" applyFill="1" applyBorder="1" applyAlignment="1" applyProtection="1">
      <alignment horizontal="right" vertical="center" shrinkToFit="1"/>
    </xf>
    <xf numFmtId="49" fontId="19" fillId="0" borderId="123" xfId="94" applyNumberFormat="1" applyFont="1" applyFill="1" applyBorder="1" applyAlignment="1" applyProtection="1">
      <alignment horizontal="right" vertical="center" shrinkToFit="1"/>
    </xf>
    <xf numFmtId="0" fontId="14" fillId="0" borderId="82" xfId="93" applyFont="1" applyFill="1" applyBorder="1" applyAlignment="1" applyProtection="1">
      <alignment horizontal="center" vertical="distributed" textRotation="255"/>
    </xf>
    <xf numFmtId="0" fontId="14" fillId="0" borderId="49" xfId="93" applyFont="1" applyFill="1" applyBorder="1" applyAlignment="1" applyProtection="1">
      <alignment horizontal="center" vertical="distributed" textRotation="255"/>
    </xf>
    <xf numFmtId="0" fontId="14" fillId="0" borderId="32" xfId="93" applyFont="1" applyFill="1" applyBorder="1" applyAlignment="1" applyProtection="1">
      <alignment horizontal="distributed" vertical="center"/>
    </xf>
    <xf numFmtId="0" fontId="14" fillId="0" borderId="31" xfId="93" applyFont="1" applyFill="1" applyBorder="1" applyAlignment="1" applyProtection="1">
      <alignment horizontal="distributed" vertical="center"/>
    </xf>
    <xf numFmtId="0" fontId="14" fillId="0" borderId="35" xfId="93" applyFont="1" applyFill="1" applyBorder="1" applyAlignment="1" applyProtection="1">
      <alignment horizontal="center" vertical="center" shrinkToFit="1"/>
    </xf>
    <xf numFmtId="0" fontId="14" fillId="0" borderId="36" xfId="93" applyFont="1" applyFill="1" applyBorder="1" applyAlignment="1" applyProtection="1">
      <alignment horizontal="center" vertical="center" shrinkToFit="1"/>
    </xf>
    <xf numFmtId="49" fontId="19" fillId="4" borderId="166" xfId="94" applyNumberFormat="1" applyFont="1" applyFill="1" applyBorder="1" applyAlignment="1" applyProtection="1">
      <alignment horizontal="right" vertical="center" shrinkToFit="1"/>
    </xf>
    <xf numFmtId="49" fontId="19" fillId="4" borderId="192" xfId="94" applyNumberFormat="1" applyFont="1" applyFill="1" applyBorder="1" applyAlignment="1" applyProtection="1">
      <alignment horizontal="right" vertical="center" shrinkToFit="1"/>
    </xf>
    <xf numFmtId="49" fontId="19" fillId="0" borderId="7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5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07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1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6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73" xfId="94" applyFont="1" applyFill="1" applyBorder="1" applyAlignment="1" applyProtection="1">
      <alignment horizontal="distributed" vertical="center" wrapText="1" shrinkToFit="1"/>
    </xf>
    <xf numFmtId="0" fontId="14" fillId="0" borderId="72" xfId="94" applyFont="1" applyFill="1" applyBorder="1" applyAlignment="1" applyProtection="1">
      <alignment horizontal="distributed" vertical="center" wrapText="1" shrinkToFit="1"/>
    </xf>
    <xf numFmtId="0" fontId="14" fillId="0" borderId="106" xfId="94" applyFont="1" applyFill="1" applyBorder="1" applyAlignment="1" applyProtection="1">
      <alignment horizontal="center" vertical="center" shrinkToFit="1"/>
    </xf>
    <xf numFmtId="0" fontId="14" fillId="0" borderId="73" xfId="94" applyFont="1" applyFill="1" applyBorder="1" applyAlignment="1" applyProtection="1">
      <alignment horizontal="center" vertical="center" shrinkToFit="1"/>
    </xf>
    <xf numFmtId="0" fontId="14" fillId="0" borderId="72" xfId="94" applyFont="1" applyFill="1" applyBorder="1" applyAlignment="1" applyProtection="1">
      <alignment horizontal="center" vertical="center" shrinkToFit="1"/>
    </xf>
    <xf numFmtId="49" fontId="19" fillId="0" borderId="176" xfId="94" quotePrefix="1" applyNumberFormat="1" applyFont="1" applyFill="1" applyBorder="1" applyAlignment="1" applyProtection="1">
      <alignment horizontal="right" vertical="center" shrinkToFit="1"/>
    </xf>
    <xf numFmtId="49" fontId="19" fillId="0" borderId="120" xfId="94" quotePrefix="1" applyNumberFormat="1" applyFont="1" applyFill="1" applyBorder="1" applyAlignment="1" applyProtection="1">
      <alignment horizontal="right" vertical="center" shrinkToFit="1"/>
    </xf>
    <xf numFmtId="49" fontId="19" fillId="0" borderId="112" xfId="94" quotePrefix="1" applyNumberFormat="1" applyFont="1" applyFill="1" applyBorder="1" applyAlignment="1" applyProtection="1">
      <alignment horizontal="right" vertical="center" shrinkToFit="1"/>
    </xf>
    <xf numFmtId="49" fontId="19" fillId="0" borderId="12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04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19" xfId="94" applyNumberFormat="1" applyFont="1" applyFill="1" applyBorder="1" applyAlignment="1" applyProtection="1">
      <alignment horizontal="right" vertical="center" shrinkToFit="1"/>
    </xf>
    <xf numFmtId="49" fontId="19" fillId="0" borderId="91" xfId="94" applyNumberFormat="1" applyFont="1" applyFill="1" applyBorder="1" applyAlignment="1" applyProtection="1">
      <alignment horizontal="right" vertical="center" shrinkToFit="1"/>
    </xf>
    <xf numFmtId="49" fontId="19" fillId="0" borderId="161" xfId="94" applyNumberFormat="1" applyFont="1" applyFill="1" applyBorder="1" applyAlignment="1" applyProtection="1">
      <alignment horizontal="right" vertical="center" shrinkToFit="1"/>
    </xf>
    <xf numFmtId="49" fontId="19" fillId="4" borderId="19" xfId="94" applyNumberFormat="1" applyFont="1" applyFill="1" applyBorder="1" applyAlignment="1" applyProtection="1">
      <alignment horizontal="right" vertical="center" shrinkToFit="1"/>
    </xf>
    <xf numFmtId="49" fontId="19" fillId="4" borderId="30" xfId="94" applyNumberFormat="1" applyFont="1" applyFill="1" applyBorder="1" applyAlignment="1" applyProtection="1">
      <alignment horizontal="right" vertical="center" shrinkToFit="1"/>
    </xf>
    <xf numFmtId="49" fontId="19" fillId="4" borderId="32" xfId="94" applyNumberFormat="1" applyFont="1" applyFill="1" applyBorder="1" applyAlignment="1" applyProtection="1">
      <alignment horizontal="right" vertical="center" shrinkToFit="1"/>
    </xf>
    <xf numFmtId="49" fontId="19" fillId="0" borderId="172" xfId="94" applyNumberFormat="1" applyFont="1" applyFill="1" applyBorder="1" applyAlignment="1" applyProtection="1">
      <alignment horizontal="right" vertical="center" shrinkToFit="1"/>
    </xf>
    <xf numFmtId="49" fontId="19" fillId="0" borderId="165" xfId="94" applyNumberFormat="1" applyFont="1" applyFill="1" applyBorder="1" applyAlignment="1" applyProtection="1">
      <alignment horizontal="right" vertical="center" shrinkToFit="1"/>
    </xf>
    <xf numFmtId="49" fontId="19" fillId="0" borderId="173" xfId="94" applyNumberFormat="1" applyFont="1" applyFill="1" applyBorder="1" applyAlignment="1" applyProtection="1">
      <alignment horizontal="right" vertical="center" shrinkToFit="1"/>
    </xf>
    <xf numFmtId="0" fontId="14" fillId="0" borderId="101" xfId="93" applyFont="1" applyFill="1" applyBorder="1" applyAlignment="1" applyProtection="1">
      <alignment horizontal="center" vertical="center"/>
    </xf>
    <xf numFmtId="0" fontId="14" fillId="0" borderId="99" xfId="93" applyFont="1" applyFill="1" applyBorder="1" applyAlignment="1" applyProtection="1">
      <alignment horizontal="center" vertical="center"/>
    </xf>
    <xf numFmtId="0" fontId="14" fillId="0" borderId="164" xfId="93" applyFont="1" applyFill="1" applyBorder="1" applyAlignment="1" applyProtection="1">
      <alignment horizontal="center" vertical="center"/>
    </xf>
    <xf numFmtId="0" fontId="14" fillId="0" borderId="42" xfId="93" applyFont="1" applyFill="1" applyBorder="1" applyAlignment="1" applyProtection="1">
      <alignment horizontal="distributed" vertical="center"/>
    </xf>
    <xf numFmtId="0" fontId="14" fillId="0" borderId="40" xfId="93" applyFont="1" applyFill="1" applyBorder="1" applyAlignment="1" applyProtection="1">
      <alignment horizontal="distributed" vertical="center"/>
    </xf>
    <xf numFmtId="0" fontId="14" fillId="0" borderId="87" xfId="93" applyFont="1" applyFill="1" applyBorder="1" applyAlignment="1" applyProtection="1">
      <alignment horizontal="distributed" vertical="center"/>
    </xf>
    <xf numFmtId="0" fontId="14" fillId="0" borderId="27" xfId="93" applyFont="1" applyFill="1" applyBorder="1" applyAlignment="1" applyProtection="1">
      <alignment horizontal="center" vertical="center"/>
    </xf>
    <xf numFmtId="0" fontId="14" fillId="0" borderId="28" xfId="93" applyFont="1" applyFill="1" applyBorder="1" applyAlignment="1" applyProtection="1">
      <alignment horizontal="center" vertical="center"/>
    </xf>
    <xf numFmtId="0" fontId="14" fillId="0" borderId="57" xfId="93" applyFont="1" applyFill="1" applyBorder="1" applyAlignment="1" applyProtection="1">
      <alignment horizontal="center" vertical="center"/>
    </xf>
    <xf numFmtId="0" fontId="14" fillId="0" borderId="100" xfId="93" applyFont="1" applyFill="1" applyBorder="1" applyAlignment="1" applyProtection="1">
      <alignment horizontal="distributed" vertical="center" justifyLastLine="1"/>
    </xf>
    <xf numFmtId="0" fontId="19" fillId="4" borderId="103" xfId="93" applyNumberFormat="1" applyFont="1" applyFill="1" applyBorder="1" applyAlignment="1" applyProtection="1">
      <alignment horizontal="center" vertical="center" shrinkToFit="1"/>
    </xf>
    <xf numFmtId="0" fontId="14" fillId="0" borderId="103" xfId="93" applyFont="1" applyFill="1" applyBorder="1" applyAlignment="1" applyProtection="1">
      <alignment horizontal="center" vertical="center"/>
    </xf>
    <xf numFmtId="0" fontId="14" fillId="0" borderId="58" xfId="93" applyFont="1" applyFill="1" applyBorder="1" applyAlignment="1" applyProtection="1">
      <alignment horizontal="distributed" vertical="center"/>
    </xf>
    <xf numFmtId="0" fontId="14" fillId="0" borderId="96" xfId="93" applyFont="1" applyFill="1" applyBorder="1" applyAlignment="1" applyProtection="1">
      <alignment horizontal="distributed" vertical="center"/>
    </xf>
    <xf numFmtId="0" fontId="14" fillId="0" borderId="59" xfId="93" applyFont="1" applyFill="1" applyBorder="1" applyAlignment="1" applyProtection="1">
      <alignment horizontal="distributed" vertical="center"/>
    </xf>
    <xf numFmtId="0" fontId="14" fillId="0" borderId="60" xfId="93" applyFont="1" applyFill="1" applyBorder="1" applyAlignment="1" applyProtection="1">
      <alignment horizontal="distributed" vertical="center"/>
    </xf>
    <xf numFmtId="49" fontId="19" fillId="0" borderId="162" xfId="94" applyNumberFormat="1" applyFont="1" applyFill="1" applyBorder="1" applyAlignment="1" applyProtection="1">
      <alignment horizontal="right" vertical="center" shrinkToFit="1"/>
    </xf>
    <xf numFmtId="49" fontId="19" fillId="0" borderId="168" xfId="94" applyNumberFormat="1" applyFont="1" applyFill="1" applyBorder="1" applyAlignment="1" applyProtection="1">
      <alignment horizontal="right" vertical="center" shrinkToFit="1"/>
    </xf>
    <xf numFmtId="49" fontId="19" fillId="0" borderId="30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3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54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82" xfId="93" applyFont="1" applyFill="1" applyBorder="1" applyAlignment="1" applyProtection="1">
      <alignment horizontal="distributed" vertical="center" shrinkToFit="1"/>
    </xf>
    <xf numFmtId="0" fontId="14" fillId="0" borderId="32" xfId="93" applyFont="1" applyFill="1" applyBorder="1" applyAlignment="1" applyProtection="1">
      <alignment horizontal="distributed" vertical="center" shrinkToFit="1"/>
    </xf>
    <xf numFmtId="0" fontId="14" fillId="0" borderId="5" xfId="93" applyFont="1" applyFill="1" applyBorder="1" applyAlignment="1" applyProtection="1">
      <alignment horizontal="center" vertical="center"/>
    </xf>
    <xf numFmtId="49" fontId="19" fillId="4" borderId="34" xfId="94" applyNumberFormat="1" applyFont="1" applyFill="1" applyBorder="1" applyAlignment="1" applyProtection="1">
      <alignment horizontal="right" vertical="center" shrinkToFit="1"/>
    </xf>
    <xf numFmtId="0" fontId="14" fillId="0" borderId="95" xfId="93" applyFont="1" applyFill="1" applyBorder="1" applyAlignment="1" applyProtection="1">
      <alignment horizontal="distributed" vertical="center" wrapText="1" justifyLastLine="1"/>
    </xf>
    <xf numFmtId="0" fontId="14" fillId="0" borderId="7" xfId="93" applyFont="1" applyFill="1" applyBorder="1" applyAlignment="1" applyProtection="1">
      <alignment horizontal="distributed" vertical="center" wrapText="1" justifyLastLine="1"/>
    </xf>
    <xf numFmtId="0" fontId="14" fillId="0" borderId="24" xfId="93" applyFont="1" applyFill="1" applyBorder="1" applyAlignment="1" applyProtection="1">
      <alignment horizontal="distributed" vertical="center" wrapText="1" justifyLastLine="1"/>
    </xf>
    <xf numFmtId="49" fontId="19" fillId="0" borderId="76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48" xfId="94" applyNumberFormat="1" applyFont="1" applyFill="1" applyBorder="1" applyAlignment="1" applyProtection="1">
      <alignment horizontal="right" vertical="center" shrinkToFit="1"/>
      <protection locked="0"/>
    </xf>
    <xf numFmtId="177" fontId="19" fillId="0" borderId="146" xfId="94" applyNumberFormat="1" applyFont="1" applyFill="1" applyBorder="1" applyAlignment="1" applyProtection="1">
      <alignment horizontal="center" vertical="center" shrinkToFit="1"/>
      <protection locked="0"/>
    </xf>
    <xf numFmtId="177" fontId="19" fillId="0" borderId="118" xfId="94" applyNumberFormat="1" applyFont="1" applyFill="1" applyBorder="1" applyAlignment="1" applyProtection="1">
      <alignment horizontal="center" vertical="center" shrinkToFit="1"/>
      <protection locked="0"/>
    </xf>
    <xf numFmtId="49" fontId="19" fillId="0" borderId="22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15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23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42" xfId="93" applyNumberFormat="1" applyFont="1" applyFill="1" applyBorder="1" applyAlignment="1" applyProtection="1">
      <alignment horizontal="center" vertical="center" shrinkToFit="1"/>
    </xf>
    <xf numFmtId="0" fontId="13" fillId="0" borderId="143" xfId="93" applyNumberFormat="1" applyFont="1" applyFill="1" applyBorder="1" applyAlignment="1" applyProtection="1">
      <alignment horizontal="center" vertical="center" shrinkToFit="1"/>
    </xf>
    <xf numFmtId="0" fontId="14" fillId="2" borderId="96" xfId="94" applyFont="1" applyFill="1" applyBorder="1" applyAlignment="1" applyProtection="1">
      <alignment horizontal="distributed" vertical="center"/>
    </xf>
    <xf numFmtId="0" fontId="14" fillId="2" borderId="59" xfId="94" applyFont="1" applyFill="1" applyBorder="1" applyAlignment="1" applyProtection="1">
      <alignment horizontal="distributed" vertical="center"/>
    </xf>
    <xf numFmtId="49" fontId="19" fillId="4" borderId="152" xfId="94" applyNumberFormat="1" applyFont="1" applyFill="1" applyBorder="1" applyAlignment="1" applyProtection="1">
      <alignment horizontal="right" vertical="center" shrinkToFit="1"/>
    </xf>
    <xf numFmtId="49" fontId="19" fillId="4" borderId="147" xfId="94" applyNumberFormat="1" applyFont="1" applyFill="1" applyBorder="1" applyAlignment="1" applyProtection="1">
      <alignment horizontal="right" vertical="center" shrinkToFit="1"/>
    </xf>
    <xf numFmtId="49" fontId="19" fillId="0" borderId="36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74" xfId="93" applyFont="1" applyFill="1" applyBorder="1" applyAlignment="1" applyProtection="1">
      <alignment vertical="center"/>
    </xf>
    <xf numFmtId="0" fontId="13" fillId="0" borderId="29" xfId="93" applyFont="1" applyFill="1" applyBorder="1" applyAlignment="1" applyProtection="1">
      <alignment vertical="center"/>
    </xf>
    <xf numFmtId="0" fontId="13" fillId="0" borderId="175" xfId="93" applyFont="1" applyFill="1" applyBorder="1" applyAlignment="1" applyProtection="1">
      <alignment vertical="center"/>
    </xf>
    <xf numFmtId="0" fontId="13" fillId="0" borderId="89" xfId="93" applyFont="1" applyFill="1" applyBorder="1" applyAlignment="1" applyProtection="1">
      <alignment vertical="center"/>
    </xf>
    <xf numFmtId="0" fontId="14" fillId="0" borderId="27" xfId="93" applyFont="1" applyFill="1" applyBorder="1" applyAlignment="1" applyProtection="1">
      <alignment horizontal="distributed" vertical="center" justifyLastLine="1"/>
    </xf>
    <xf numFmtId="0" fontId="19" fillId="4" borderId="160" xfId="93" applyNumberFormat="1" applyFont="1" applyFill="1" applyBorder="1" applyAlignment="1" applyProtection="1">
      <alignment horizontal="center" vertical="center" shrinkToFit="1"/>
    </xf>
    <xf numFmtId="0" fontId="19" fillId="4" borderId="18" xfId="93" applyNumberFormat="1" applyFont="1" applyFill="1" applyBorder="1" applyAlignment="1" applyProtection="1">
      <alignment horizontal="center" vertical="center" shrinkToFit="1"/>
    </xf>
    <xf numFmtId="0" fontId="19" fillId="4" borderId="46" xfId="93" applyNumberFormat="1" applyFont="1" applyFill="1" applyBorder="1" applyAlignment="1" applyProtection="1">
      <alignment horizontal="center" vertical="center" shrinkToFit="1"/>
    </xf>
    <xf numFmtId="49" fontId="19" fillId="0" borderId="26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82" xfId="93" applyFont="1" applyFill="1" applyBorder="1" applyAlignment="1" applyProtection="1">
      <alignment horizontal="distributed" vertical="center"/>
    </xf>
    <xf numFmtId="0" fontId="14" fillId="0" borderId="75" xfId="93" applyFont="1" applyFill="1" applyBorder="1" applyAlignment="1" applyProtection="1">
      <alignment horizontal="distributed" vertical="center"/>
    </xf>
    <xf numFmtId="0" fontId="14" fillId="0" borderId="73" xfId="93" applyFont="1" applyFill="1" applyBorder="1" applyAlignment="1" applyProtection="1">
      <alignment horizontal="distributed" vertical="center" justifyLastLine="1"/>
    </xf>
    <xf numFmtId="0" fontId="14" fillId="0" borderId="72" xfId="93" applyFont="1" applyFill="1" applyBorder="1" applyAlignment="1" applyProtection="1">
      <alignment horizontal="distributed" vertical="center" justifyLastLine="1"/>
    </xf>
    <xf numFmtId="0" fontId="14" fillId="0" borderId="24" xfId="93" applyFont="1" applyFill="1" applyBorder="1" applyAlignment="1" applyProtection="1">
      <alignment horizontal="center" vertical="center"/>
    </xf>
    <xf numFmtId="0" fontId="16" fillId="0" borderId="51" xfId="94" applyFont="1" applyFill="1" applyBorder="1" applyAlignment="1" applyProtection="1">
      <alignment horizontal="left" vertical="center" shrinkToFit="1"/>
    </xf>
    <xf numFmtId="0" fontId="16" fillId="0" borderId="50" xfId="94" applyFont="1" applyFill="1" applyBorder="1" applyAlignment="1" applyProtection="1">
      <alignment horizontal="left" vertical="center" shrinkToFit="1"/>
    </xf>
    <xf numFmtId="0" fontId="16" fillId="0" borderId="61" xfId="94" applyFont="1" applyFill="1" applyBorder="1" applyAlignment="1" applyProtection="1">
      <alignment horizontal="left" vertical="center" shrinkToFit="1"/>
    </xf>
    <xf numFmtId="0" fontId="14" fillId="2" borderId="58" xfId="94" applyFont="1" applyFill="1" applyBorder="1" applyAlignment="1" applyProtection="1">
      <alignment horizontal="distributed" vertical="center"/>
    </xf>
    <xf numFmtId="0" fontId="14" fillId="2" borderId="28" xfId="94" applyFont="1" applyFill="1" applyBorder="1" applyAlignment="1" applyProtection="1">
      <alignment horizontal="distributed" vertical="center"/>
    </xf>
    <xf numFmtId="0" fontId="14" fillId="2" borderId="49" xfId="94" applyFont="1" applyFill="1" applyBorder="1" applyAlignment="1" applyProtection="1">
      <alignment horizontal="distributed" vertical="center"/>
    </xf>
    <xf numFmtId="0" fontId="14" fillId="2" borderId="35" xfId="94" applyFont="1" applyFill="1" applyBorder="1" applyAlignment="1" applyProtection="1">
      <alignment horizontal="distributed" vertical="center"/>
    </xf>
    <xf numFmtId="0" fontId="14" fillId="0" borderId="126" xfId="93" applyFont="1" applyFill="1" applyBorder="1" applyAlignment="1" applyProtection="1">
      <alignment horizontal="distributed" vertical="center"/>
    </xf>
    <xf numFmtId="0" fontId="17" fillId="0" borderId="108" xfId="93" applyFont="1" applyFill="1" applyBorder="1" applyAlignment="1" applyProtection="1">
      <alignment horizontal="center" vertical="distributed" textRotation="255" wrapText="1"/>
    </xf>
    <xf numFmtId="0" fontId="17" fillId="0" borderId="73" xfId="93" applyFont="1" applyFill="1" applyBorder="1" applyAlignment="1" applyProtection="1">
      <alignment horizontal="center" vertical="distributed" textRotation="255" wrapText="1"/>
    </xf>
    <xf numFmtId="0" fontId="17" fillId="0" borderId="140" xfId="93" applyFont="1" applyFill="1" applyBorder="1" applyAlignment="1" applyProtection="1">
      <alignment horizontal="center" vertical="distributed" textRotation="255" wrapText="1"/>
    </xf>
    <xf numFmtId="0" fontId="17" fillId="0" borderId="118" xfId="93" applyFont="1" applyFill="1" applyBorder="1" applyAlignment="1" applyProtection="1">
      <alignment horizontal="center" vertical="distributed" textRotation="255" wrapText="1"/>
    </xf>
    <xf numFmtId="49" fontId="19" fillId="0" borderId="46" xfId="94" applyNumberFormat="1" applyFont="1" applyFill="1" applyBorder="1" applyAlignment="1" applyProtection="1">
      <alignment horizontal="right" vertical="center" shrinkToFit="1"/>
      <protection locked="0"/>
    </xf>
    <xf numFmtId="0" fontId="14" fillId="0" borderId="118" xfId="93" applyFont="1" applyFill="1" applyBorder="1" applyAlignment="1" applyProtection="1">
      <alignment horizontal="distributed" vertical="center" justifyLastLine="1"/>
    </xf>
    <xf numFmtId="0" fontId="14" fillId="0" borderId="20" xfId="93" applyFont="1" applyFill="1" applyBorder="1" applyAlignment="1" applyProtection="1">
      <alignment horizontal="distributed" vertical="center" justifyLastLine="1"/>
    </xf>
    <xf numFmtId="0" fontId="14" fillId="0" borderId="54" xfId="93" applyFont="1" applyFill="1" applyBorder="1" applyAlignment="1" applyProtection="1">
      <alignment horizontal="distributed" vertical="center" justifyLastLine="1"/>
    </xf>
    <xf numFmtId="0" fontId="14" fillId="0" borderId="101" xfId="93" applyFont="1" applyFill="1" applyBorder="1" applyAlignment="1" applyProtection="1">
      <alignment horizontal="distributed" vertical="center" justifyLastLine="1"/>
    </xf>
    <xf numFmtId="0" fontId="14" fillId="0" borderId="99" xfId="93" applyFont="1" applyFill="1" applyBorder="1" applyAlignment="1" applyProtection="1">
      <alignment horizontal="distributed" vertical="center" justifyLastLine="1"/>
    </xf>
    <xf numFmtId="49" fontId="19" fillId="4" borderId="27" xfId="94" applyNumberFormat="1" applyFont="1" applyFill="1" applyBorder="1" applyAlignment="1" applyProtection="1">
      <alignment horizontal="right" vertical="center" shrinkToFit="1"/>
    </xf>
    <xf numFmtId="49" fontId="19" fillId="4" borderId="28" xfId="94" applyNumberFormat="1" applyFont="1" applyFill="1" applyBorder="1" applyAlignment="1" applyProtection="1">
      <alignment horizontal="right" vertical="center" shrinkToFit="1"/>
    </xf>
    <xf numFmtId="49" fontId="19" fillId="4" borderId="62" xfId="94" applyNumberFormat="1" applyFont="1" applyFill="1" applyBorder="1" applyAlignment="1" applyProtection="1">
      <alignment horizontal="right" vertical="center" shrinkToFit="1"/>
    </xf>
    <xf numFmtId="0" fontId="14" fillId="0" borderId="164" xfId="93" applyFont="1" applyFill="1" applyBorder="1" applyAlignment="1" applyProtection="1">
      <alignment horizontal="distributed" vertical="center" justifyLastLine="1"/>
    </xf>
    <xf numFmtId="49" fontId="19" fillId="4" borderId="154" xfId="94" applyNumberFormat="1" applyFont="1" applyFill="1" applyBorder="1" applyAlignment="1" applyProtection="1">
      <alignment horizontal="right" vertical="center" shrinkToFit="1"/>
    </xf>
    <xf numFmtId="0" fontId="14" fillId="0" borderId="43" xfId="93" applyFont="1" applyFill="1" applyBorder="1" applyAlignment="1" applyProtection="1">
      <alignment horizontal="left" vertical="distributed" textRotation="255" justifyLastLine="1"/>
    </xf>
    <xf numFmtId="0" fontId="14" fillId="0" borderId="13" xfId="93" applyFont="1" applyFill="1" applyBorder="1" applyAlignment="1" applyProtection="1">
      <alignment horizontal="left" vertical="distributed" textRotation="255" justifyLastLine="1"/>
    </xf>
    <xf numFmtId="0" fontId="14" fillId="0" borderId="64" xfId="93" applyFont="1" applyFill="1" applyBorder="1" applyAlignment="1" applyProtection="1">
      <alignment horizontal="distributed" vertical="center" justifyLastLine="1"/>
    </xf>
    <xf numFmtId="0" fontId="14" fillId="0" borderId="104" xfId="93" applyFont="1" applyFill="1" applyBorder="1" applyAlignment="1" applyProtection="1">
      <alignment horizontal="distributed" vertical="center" justifyLastLine="1"/>
    </xf>
    <xf numFmtId="0" fontId="14" fillId="0" borderId="84" xfId="93" applyFont="1" applyFill="1" applyBorder="1" applyAlignment="1" applyProtection="1">
      <alignment horizontal="distributed" vertical="center" justifyLastLine="1"/>
    </xf>
    <xf numFmtId="49" fontId="19" fillId="0" borderId="32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154" xfId="93" applyNumberFormat="1" applyFont="1" applyFill="1" applyBorder="1" applyAlignment="1" applyProtection="1">
      <alignment horizontal="right" vertical="center" shrinkToFit="1"/>
      <protection locked="0"/>
    </xf>
    <xf numFmtId="0" fontId="14" fillId="0" borderId="108" xfId="93" applyFont="1" applyFill="1" applyBorder="1" applyAlignment="1" applyProtection="1">
      <alignment horizontal="distributed" vertical="center" justifyLastLine="1"/>
    </xf>
    <xf numFmtId="49" fontId="19" fillId="0" borderId="35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34" xfId="93" applyNumberFormat="1" applyFont="1" applyFill="1" applyBorder="1" applyAlignment="1" applyProtection="1">
      <alignment horizontal="right" vertical="center" shrinkToFit="1"/>
      <protection locked="0"/>
    </xf>
    <xf numFmtId="178" fontId="14" fillId="0" borderId="140" xfId="94" applyNumberFormat="1" applyFont="1" applyFill="1" applyBorder="1" applyAlignment="1" applyProtection="1">
      <alignment vertical="center" shrinkToFit="1"/>
    </xf>
    <xf numFmtId="178" fontId="14" fillId="0" borderId="118" xfId="94" applyNumberFormat="1" applyFont="1" applyFill="1" applyBorder="1" applyAlignment="1" applyProtection="1">
      <alignment vertical="center" shrinkToFit="1"/>
    </xf>
    <xf numFmtId="49" fontId="19" fillId="0" borderId="18" xfId="93" applyNumberFormat="1" applyFont="1" applyFill="1" applyBorder="1" applyAlignment="1" applyProtection="1">
      <alignment horizontal="right" vertical="center" shrinkToFit="1"/>
      <protection locked="0"/>
    </xf>
    <xf numFmtId="49" fontId="19" fillId="0" borderId="19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93" xfId="93" applyFont="1" applyFill="1" applyBorder="1" applyAlignment="1" applyProtection="1">
      <alignment vertical="center"/>
    </xf>
    <xf numFmtId="0" fontId="13" fillId="0" borderId="92" xfId="93" applyFont="1" applyFill="1" applyBorder="1" applyAlignment="1" applyProtection="1">
      <alignment vertical="center"/>
    </xf>
    <xf numFmtId="0" fontId="14" fillId="0" borderId="9" xfId="93" applyFont="1" applyFill="1" applyBorder="1" applyAlignment="1" applyProtection="1">
      <alignment horizontal="center" vertical="center"/>
    </xf>
    <xf numFmtId="0" fontId="14" fillId="0" borderId="77" xfId="93" applyFont="1" applyFill="1" applyBorder="1" applyAlignment="1" applyProtection="1">
      <alignment horizontal="center" vertical="center"/>
    </xf>
    <xf numFmtId="0" fontId="14" fillId="0" borderId="5" xfId="93" applyFont="1" applyFill="1" applyBorder="1" applyAlignment="1" applyProtection="1">
      <alignment horizontal="distributed" vertical="center" justifyLastLine="1"/>
    </xf>
    <xf numFmtId="0" fontId="14" fillId="2" borderId="13" xfId="93" applyFont="1" applyFill="1" applyBorder="1" applyAlignment="1" applyProtection="1">
      <alignment horizontal="distributed" vertical="center"/>
    </xf>
    <xf numFmtId="0" fontId="14" fillId="2" borderId="12" xfId="93" applyFont="1" applyFill="1" applyBorder="1" applyAlignment="1" applyProtection="1">
      <alignment horizontal="distributed" vertical="center"/>
    </xf>
    <xf numFmtId="0" fontId="18" fillId="0" borderId="0" xfId="93" applyFont="1" applyFill="1" applyBorder="1" applyAlignment="1" applyProtection="1">
      <alignment horizontal="distributed" vertical="center" wrapText="1"/>
    </xf>
    <xf numFmtId="1" fontId="13" fillId="0" borderId="0" xfId="94" applyNumberFormat="1" applyFont="1" applyFill="1" applyBorder="1" applyAlignment="1" applyProtection="1">
      <alignment horizontal="right" vertical="center" shrinkToFit="1"/>
    </xf>
    <xf numFmtId="0" fontId="8" fillId="0" borderId="0" xfId="94" applyFont="1" applyFill="1" applyBorder="1" applyAlignment="1" applyProtection="1">
      <alignment horizontal="left" vertical="center" shrinkToFit="1"/>
    </xf>
    <xf numFmtId="0" fontId="13" fillId="2" borderId="0" xfId="94" applyFont="1" applyFill="1" applyBorder="1" applyAlignment="1" applyProtection="1">
      <alignment horizontal="distributed" vertical="center"/>
    </xf>
    <xf numFmtId="0" fontId="13" fillId="0" borderId="0" xfId="94" applyFont="1" applyFill="1" applyBorder="1" applyAlignment="1" applyProtection="1">
      <alignment horizontal="right" vertical="center" shrinkToFit="1"/>
    </xf>
    <xf numFmtId="177" fontId="13" fillId="0" borderId="0" xfId="94" applyNumberFormat="1" applyFont="1" applyFill="1" applyBorder="1" applyAlignment="1" applyProtection="1">
      <alignment horizontal="right" vertical="center" shrinkToFit="1"/>
    </xf>
    <xf numFmtId="1" fontId="8" fillId="0" borderId="0" xfId="93" applyNumberFormat="1" applyFont="1" applyFill="1" applyBorder="1" applyAlignment="1" applyProtection="1">
      <alignment horizontal="center" vertical="center"/>
    </xf>
    <xf numFmtId="0" fontId="18" fillId="0" borderId="0" xfId="93" applyFont="1" applyFill="1" applyBorder="1" applyAlignment="1" applyProtection="1">
      <alignment horizontal="distributed" vertical="center"/>
    </xf>
    <xf numFmtId="0" fontId="14" fillId="0" borderId="140" xfId="93" applyFont="1" applyFill="1" applyBorder="1" applyAlignment="1" applyProtection="1">
      <alignment horizontal="center" vertical="distributed" textRotation="255" justifyLastLine="1"/>
    </xf>
    <xf numFmtId="49" fontId="19" fillId="0" borderId="179" xfId="94" applyNumberFormat="1" applyFont="1" applyFill="1" applyBorder="1" applyAlignment="1" applyProtection="1">
      <alignment horizontal="right" vertical="center" shrinkToFit="1"/>
    </xf>
    <xf numFmtId="49" fontId="19" fillId="0" borderId="170" xfId="94" applyNumberFormat="1" applyFont="1" applyFill="1" applyBorder="1" applyAlignment="1" applyProtection="1">
      <alignment horizontal="right" vertical="center" shrinkToFit="1"/>
    </xf>
    <xf numFmtId="0" fontId="13" fillId="0" borderId="189" xfId="93" applyNumberFormat="1" applyFont="1" applyFill="1" applyBorder="1" applyAlignment="1" applyProtection="1">
      <alignment horizontal="distributed" vertical="center" justifyLastLine="1"/>
    </xf>
    <xf numFmtId="0" fontId="13" fillId="0" borderId="190" xfId="93" applyNumberFormat="1" applyFont="1" applyFill="1" applyBorder="1" applyAlignment="1" applyProtection="1">
      <alignment horizontal="distributed" vertical="center" justifyLastLine="1"/>
    </xf>
    <xf numFmtId="0" fontId="13" fillId="0" borderId="191" xfId="93" applyNumberFormat="1" applyFont="1" applyFill="1" applyBorder="1" applyAlignment="1" applyProtection="1">
      <alignment horizontal="distributed" vertical="center" justifyLastLine="1"/>
    </xf>
    <xf numFmtId="0" fontId="13" fillId="0" borderId="21" xfId="94" applyNumberFormat="1" applyFont="1" applyFill="1" applyBorder="1" applyAlignment="1" applyProtection="1">
      <alignment horizontal="center" vertical="center" shrinkToFit="1"/>
    </xf>
    <xf numFmtId="0" fontId="13" fillId="0" borderId="18" xfId="94" applyNumberFormat="1" applyFont="1" applyFill="1" applyBorder="1" applyAlignment="1" applyProtection="1">
      <alignment horizontal="center" vertical="center" shrinkToFit="1"/>
    </xf>
    <xf numFmtId="0" fontId="13" fillId="0" borderId="46" xfId="94" applyNumberFormat="1" applyFont="1" applyFill="1" applyBorder="1" applyAlignment="1" applyProtection="1">
      <alignment horizontal="center" vertical="center" shrinkToFit="1"/>
    </xf>
    <xf numFmtId="0" fontId="13" fillId="0" borderId="142" xfId="93" applyNumberFormat="1" applyFont="1" applyFill="1" applyBorder="1" applyAlignment="1" applyProtection="1">
      <alignment horizontal="distributed" vertical="center" justifyLastLine="1"/>
    </xf>
    <xf numFmtId="0" fontId="14" fillId="0" borderId="21" xfId="93" applyFont="1" applyFill="1" applyBorder="1" applyAlignment="1" applyProtection="1">
      <alignment horizontal="distributed" vertical="center" shrinkToFit="1"/>
    </xf>
    <xf numFmtId="0" fontId="14" fillId="0" borderId="18" xfId="93" applyFont="1" applyFill="1" applyBorder="1" applyAlignment="1" applyProtection="1">
      <alignment horizontal="distributed" vertical="center" shrinkToFit="1"/>
    </xf>
    <xf numFmtId="0" fontId="14" fillId="0" borderId="46" xfId="93" applyFont="1" applyFill="1" applyBorder="1" applyAlignment="1" applyProtection="1">
      <alignment horizontal="distributed" vertical="center" shrinkToFit="1"/>
    </xf>
    <xf numFmtId="178" fontId="16" fillId="0" borderId="51" xfId="94" applyNumberFormat="1" applyFont="1" applyFill="1" applyBorder="1" applyAlignment="1" applyProtection="1">
      <alignment vertical="center" shrinkToFit="1"/>
    </xf>
    <xf numFmtId="178" fontId="14" fillId="0" borderId="50" xfId="94" applyNumberFormat="1" applyFont="1" applyFill="1" applyBorder="1" applyAlignment="1" applyProtection="1">
      <alignment vertical="center" shrinkToFit="1"/>
    </xf>
    <xf numFmtId="178" fontId="14" fillId="0" borderId="61" xfId="94" applyNumberFormat="1" applyFont="1" applyFill="1" applyBorder="1" applyAlignment="1" applyProtection="1">
      <alignment vertical="center" shrinkToFit="1"/>
    </xf>
    <xf numFmtId="0" fontId="14" fillId="0" borderId="54" xfId="94" applyFont="1" applyFill="1" applyBorder="1" applyAlignment="1" applyProtection="1">
      <alignment horizontal="distributed" vertical="center"/>
    </xf>
    <xf numFmtId="0" fontId="14" fillId="0" borderId="107" xfId="94" applyFont="1" applyFill="1" applyBorder="1" applyAlignment="1" applyProtection="1">
      <alignment horizontal="distributed" vertical="center"/>
    </xf>
    <xf numFmtId="49" fontId="14" fillId="0" borderId="49" xfId="93" applyNumberFormat="1" applyFont="1" applyFill="1" applyBorder="1" applyAlignment="1" applyProtection="1">
      <alignment horizontal="center" vertical="center"/>
      <protection locked="0"/>
    </xf>
    <xf numFmtId="49" fontId="14" fillId="0" borderId="35" xfId="93" applyNumberFormat="1" applyFont="1" applyFill="1" applyBorder="1" applyAlignment="1" applyProtection="1">
      <alignment horizontal="center" vertical="center"/>
      <protection locked="0"/>
    </xf>
    <xf numFmtId="49" fontId="14" fillId="0" borderId="36" xfId="93" applyNumberFormat="1" applyFont="1" applyFill="1" applyBorder="1" applyAlignment="1" applyProtection="1">
      <alignment horizontal="center" vertical="center"/>
      <protection locked="0"/>
    </xf>
    <xf numFmtId="49" fontId="14" fillId="0" borderId="160" xfId="93" applyNumberFormat="1" applyFont="1" applyFill="1" applyBorder="1" applyAlignment="1" applyProtection="1">
      <alignment horizontal="center" vertical="center"/>
      <protection locked="0"/>
    </xf>
    <xf numFmtId="49" fontId="14" fillId="0" borderId="18" xfId="93" applyNumberFormat="1" applyFont="1" applyFill="1" applyBorder="1" applyAlignment="1" applyProtection="1">
      <alignment horizontal="center" vertical="center"/>
      <protection locked="0"/>
    </xf>
    <xf numFmtId="49" fontId="14" fillId="0" borderId="16" xfId="93" applyNumberFormat="1" applyFont="1" applyFill="1" applyBorder="1" applyAlignment="1" applyProtection="1">
      <alignment horizontal="center" vertical="center"/>
      <protection locked="0"/>
    </xf>
    <xf numFmtId="49" fontId="14" fillId="0" borderId="49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35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53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38" xfId="94" applyNumberFormat="1" applyFont="1" applyFill="1" applyBorder="1" applyAlignment="1" applyProtection="1">
      <alignment horizontal="right" vertical="center" shrinkToFit="1"/>
      <protection locked="0"/>
    </xf>
    <xf numFmtId="49" fontId="14" fillId="0" borderId="160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18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46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193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40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67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68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40" xfId="94" applyNumberFormat="1" applyFont="1" applyFill="1" applyBorder="1" applyAlignment="1" applyProtection="1">
      <alignment horizontal="right" vertical="center" shrinkToFit="1"/>
      <protection locked="0"/>
    </xf>
    <xf numFmtId="49" fontId="19" fillId="0" borderId="41" xfId="94" applyNumberFormat="1" applyFont="1" applyFill="1" applyBorder="1" applyAlignment="1" applyProtection="1">
      <alignment horizontal="right" vertical="center" shrinkToFit="1"/>
      <protection locked="0"/>
    </xf>
    <xf numFmtId="49" fontId="14" fillId="0" borderId="82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32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76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48" xfId="94" applyNumberFormat="1" applyFont="1" applyFill="1" applyBorder="1" applyAlignment="1" applyProtection="1">
      <alignment horizontal="right" vertical="center" shrinkToFit="1"/>
      <protection locked="0"/>
    </xf>
    <xf numFmtId="0" fontId="16" fillId="0" borderId="51" xfId="94" applyNumberFormat="1" applyFont="1" applyFill="1" applyBorder="1" applyAlignment="1" applyProtection="1">
      <alignment horizontal="left" vertical="center" shrinkToFit="1"/>
    </xf>
    <xf numFmtId="0" fontId="16" fillId="0" borderId="50" xfId="94" applyNumberFormat="1" applyFont="1" applyFill="1" applyBorder="1" applyAlignment="1" applyProtection="1">
      <alignment horizontal="left" vertical="center" shrinkToFit="1"/>
    </xf>
    <xf numFmtId="0" fontId="16" fillId="0" borderId="61" xfId="94" applyNumberFormat="1" applyFont="1" applyFill="1" applyBorder="1" applyAlignment="1" applyProtection="1">
      <alignment horizontal="left" vertical="center" shrinkToFit="1"/>
    </xf>
    <xf numFmtId="49" fontId="14" fillId="0" borderId="58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28" xfId="94" applyNumberFormat="1" applyFont="1" applyFill="1" applyBorder="1" applyAlignment="1" applyProtection="1">
      <alignment horizontal="left" vertical="center" shrinkToFit="1"/>
      <protection locked="0"/>
    </xf>
    <xf numFmtId="49" fontId="14" fillId="0" borderId="62" xfId="94" applyNumberFormat="1" applyFont="1" applyFill="1" applyBorder="1" applyAlignment="1" applyProtection="1">
      <alignment horizontal="left" vertical="center" shrinkToFit="1"/>
      <protection locked="0"/>
    </xf>
    <xf numFmtId="49" fontId="19" fillId="0" borderId="63" xfId="94" applyNumberFormat="1" applyFont="1" applyFill="1" applyBorder="1" applyAlignment="1" applyProtection="1">
      <alignment horizontal="right" vertical="center" shrinkToFit="1"/>
      <protection locked="0"/>
    </xf>
    <xf numFmtId="0" fontId="19" fillId="4" borderId="54" xfId="93" applyNumberFormat="1" applyFont="1" applyFill="1" applyBorder="1" applyAlignment="1" applyProtection="1">
      <alignment horizontal="center" vertical="center" shrinkToFit="1"/>
    </xf>
    <xf numFmtId="0" fontId="13" fillId="0" borderId="177" xfId="93" applyFont="1" applyFill="1" applyBorder="1" applyAlignment="1" applyProtection="1">
      <alignment vertical="center"/>
    </xf>
    <xf numFmtId="0" fontId="13" fillId="0" borderId="178" xfId="93" applyFont="1" applyFill="1" applyBorder="1" applyAlignment="1" applyProtection="1">
      <alignment vertical="center"/>
    </xf>
    <xf numFmtId="0" fontId="13" fillId="0" borderId="172" xfId="93" applyFont="1" applyFill="1" applyBorder="1" applyAlignment="1" applyProtection="1">
      <alignment vertical="center"/>
    </xf>
    <xf numFmtId="0" fontId="13" fillId="0" borderId="128" xfId="93" applyFont="1" applyFill="1" applyBorder="1" applyAlignment="1" applyProtection="1">
      <alignment vertical="center"/>
    </xf>
    <xf numFmtId="0" fontId="14" fillId="0" borderId="98" xfId="93" applyFont="1" applyFill="1" applyBorder="1" applyAlignment="1" applyProtection="1">
      <alignment horizontal="distributed" vertical="center" justifyLastLine="1"/>
    </xf>
    <xf numFmtId="0" fontId="14" fillId="0" borderId="98" xfId="93" applyFont="1" applyFill="1" applyBorder="1" applyAlignment="1" applyProtection="1">
      <alignment horizontal="center" vertical="center"/>
    </xf>
    <xf numFmtId="0" fontId="14" fillId="0" borderId="47" xfId="93" applyFont="1" applyFill="1" applyBorder="1" applyAlignment="1" applyProtection="1">
      <alignment horizontal="center" vertical="center"/>
    </xf>
    <xf numFmtId="0" fontId="14" fillId="0" borderId="148" xfId="93" applyFont="1" applyFill="1" applyBorder="1" applyAlignment="1" applyProtection="1">
      <alignment horizontal="center" vertical="center"/>
    </xf>
    <xf numFmtId="49" fontId="19" fillId="0" borderId="150" xfId="94" applyNumberFormat="1" applyFont="1" applyFill="1" applyBorder="1" applyAlignment="1" applyProtection="1">
      <alignment horizontal="right" vertical="center" shrinkToFit="1"/>
    </xf>
    <xf numFmtId="0" fontId="14" fillId="0" borderId="43" xfId="93" applyFont="1" applyFill="1" applyBorder="1" applyAlignment="1" applyProtection="1">
      <alignment horizontal="center" vertical="center" textRotation="255" wrapText="1"/>
    </xf>
    <xf numFmtId="0" fontId="14" fillId="0" borderId="0" xfId="93" applyFont="1" applyFill="1" applyBorder="1" applyAlignment="1" applyProtection="1">
      <alignment horizontal="center" vertical="center" textRotation="255" wrapText="1"/>
    </xf>
    <xf numFmtId="0" fontId="14" fillId="0" borderId="13" xfId="93" applyFont="1" applyFill="1" applyBorder="1" applyAlignment="1" applyProtection="1">
      <alignment horizontal="center" vertical="center" textRotation="255" wrapText="1"/>
    </xf>
    <xf numFmtId="0" fontId="14" fillId="0" borderId="12" xfId="93" applyFont="1" applyFill="1" applyBorder="1" applyAlignment="1" applyProtection="1">
      <alignment horizontal="center" vertical="center" textRotation="255" wrapText="1"/>
    </xf>
    <xf numFmtId="0" fontId="14" fillId="0" borderId="67" xfId="93" applyFont="1" applyFill="1" applyBorder="1" applyAlignment="1" applyProtection="1">
      <alignment horizontal="distributed" vertical="center" justifyLastLine="1"/>
    </xf>
    <xf numFmtId="0" fontId="16" fillId="0" borderId="51" xfId="93" applyFont="1" applyFill="1" applyBorder="1" applyAlignment="1" applyProtection="1">
      <alignment horizontal="left" vertical="center" wrapText="1"/>
    </xf>
    <xf numFmtId="0" fontId="16" fillId="0" borderId="50" xfId="93" applyFont="1" applyFill="1" applyBorder="1" applyAlignment="1" applyProtection="1">
      <alignment horizontal="left" vertical="center" wrapText="1"/>
    </xf>
    <xf numFmtId="0" fontId="16" fillId="0" borderId="61" xfId="93" applyFont="1" applyFill="1" applyBorder="1" applyAlignment="1" applyProtection="1">
      <alignment horizontal="left" vertical="center" wrapText="1"/>
    </xf>
    <xf numFmtId="0" fontId="14" fillId="0" borderId="1" xfId="93" applyFont="1" applyFill="1" applyBorder="1" applyAlignment="1" applyProtection="1">
      <alignment horizontal="distributed" vertical="center" justifyLastLine="1"/>
    </xf>
    <xf numFmtId="0" fontId="14" fillId="0" borderId="3" xfId="93" applyFont="1" applyFill="1" applyBorder="1" applyAlignment="1" applyProtection="1">
      <alignment horizontal="distributed" vertical="center" justifyLastLine="1"/>
    </xf>
    <xf numFmtId="0" fontId="14" fillId="0" borderId="2" xfId="93" applyFont="1" applyFill="1" applyBorder="1" applyAlignment="1" applyProtection="1">
      <alignment horizontal="distributed" vertical="center" justifyLastLine="1"/>
    </xf>
    <xf numFmtId="0" fontId="14" fillId="0" borderId="154" xfId="93" applyFont="1" applyFill="1" applyBorder="1" applyAlignment="1" applyProtection="1">
      <alignment horizontal="distributed" vertical="center" justifyLastLine="1"/>
    </xf>
    <xf numFmtId="49" fontId="19" fillId="4" borderId="57" xfId="94" applyNumberFormat="1" applyFont="1" applyFill="1" applyBorder="1" applyAlignment="1" applyProtection="1">
      <alignment horizontal="right" vertical="center" shrinkToFit="1"/>
    </xf>
    <xf numFmtId="49" fontId="19" fillId="0" borderId="196" xfId="94" applyNumberFormat="1" applyFont="1" applyFill="1" applyBorder="1" applyAlignment="1" applyProtection="1">
      <alignment horizontal="right" vertical="center" shrinkToFit="1"/>
    </xf>
    <xf numFmtId="49" fontId="19" fillId="0" borderId="29" xfId="94" applyNumberFormat="1" applyFont="1" applyFill="1" applyBorder="1" applyAlignment="1" applyProtection="1">
      <alignment horizontal="right" vertical="center" shrinkToFit="1"/>
    </xf>
    <xf numFmtId="49" fontId="19" fillId="0" borderId="197" xfId="94" applyNumberFormat="1" applyFont="1" applyFill="1" applyBorder="1" applyAlignment="1" applyProtection="1">
      <alignment horizontal="right" vertical="center" shrinkToFit="1"/>
    </xf>
    <xf numFmtId="0" fontId="14" fillId="0" borderId="130" xfId="93" applyFont="1" applyFill="1" applyBorder="1" applyAlignment="1" applyProtection="1">
      <alignment horizontal="center" vertical="center"/>
    </xf>
    <xf numFmtId="0" fontId="14" fillId="0" borderId="125" xfId="93" applyFont="1" applyFill="1" applyBorder="1" applyAlignment="1" applyProtection="1">
      <alignment horizontal="center" vertical="center"/>
    </xf>
    <xf numFmtId="0" fontId="14" fillId="0" borderId="163" xfId="93" applyFont="1" applyFill="1" applyBorder="1" applyAlignment="1" applyProtection="1">
      <alignment horizontal="center" vertical="center"/>
    </xf>
    <xf numFmtId="0" fontId="14" fillId="0" borderId="21" xfId="93" applyFont="1" applyFill="1" applyBorder="1" applyAlignment="1" applyProtection="1">
      <alignment horizontal="center" vertical="center"/>
    </xf>
    <xf numFmtId="0" fontId="14" fillId="0" borderId="16" xfId="93" applyFont="1" applyFill="1" applyBorder="1" applyAlignment="1" applyProtection="1">
      <alignment horizontal="center" vertical="center"/>
    </xf>
    <xf numFmtId="49" fontId="19" fillId="0" borderId="94" xfId="94" applyNumberFormat="1" applyFont="1" applyFill="1" applyBorder="1" applyAlignment="1" applyProtection="1">
      <alignment horizontal="right" vertical="center" shrinkToFit="1"/>
    </xf>
    <xf numFmtId="0" fontId="19" fillId="0" borderId="0" xfId="93" applyFont="1" applyFill="1" applyBorder="1" applyAlignment="1" applyProtection="1">
      <alignment vertical="center" wrapText="1"/>
    </xf>
    <xf numFmtId="0" fontId="13" fillId="0" borderId="0" xfId="93" applyFont="1" applyFill="1" applyBorder="1" applyAlignment="1" applyProtection="1">
      <alignment horizontal="distributed" vertical="center" wrapText="1"/>
    </xf>
    <xf numFmtId="49" fontId="19" fillId="0" borderId="153" xfId="94" applyNumberFormat="1" applyFont="1" applyFill="1" applyBorder="1" applyAlignment="1" applyProtection="1">
      <alignment horizontal="right" vertical="center" shrinkToFit="1"/>
    </xf>
    <xf numFmtId="0" fontId="14" fillId="0" borderId="73" xfId="93" applyFont="1" applyFill="1" applyBorder="1" applyAlignment="1" applyProtection="1">
      <alignment horizontal="distributed" vertical="center" wrapText="1"/>
    </xf>
    <xf numFmtId="0" fontId="14" fillId="0" borderId="73" xfId="93" applyFont="1" applyFill="1" applyBorder="1" applyAlignment="1" applyProtection="1">
      <alignment horizontal="center" vertical="center" wrapText="1"/>
    </xf>
    <xf numFmtId="0" fontId="14" fillId="0" borderId="108" xfId="93" applyFont="1" applyFill="1" applyBorder="1" applyAlignment="1" applyProtection="1">
      <alignment horizontal="center" vertical="distributed" textRotation="255" wrapText="1" justifyLastLine="1"/>
    </xf>
    <xf numFmtId="0" fontId="14" fillId="0" borderId="118" xfId="93" applyFont="1" applyFill="1" applyBorder="1" applyAlignment="1" applyProtection="1">
      <alignment horizontal="center" vertical="distributed" textRotation="255" justifyLastLine="1"/>
    </xf>
    <xf numFmtId="49" fontId="19" fillId="4" borderId="16" xfId="94" applyNumberFormat="1" applyFont="1" applyFill="1" applyBorder="1" applyAlignment="1" applyProtection="1">
      <alignment horizontal="right" vertical="center" shrinkToFit="1"/>
    </xf>
    <xf numFmtId="0" fontId="14" fillId="0" borderId="73" xfId="93" applyFont="1" applyFill="1" applyBorder="1" applyAlignment="1" applyProtection="1">
      <alignment horizontal="center" vertical="center"/>
    </xf>
    <xf numFmtId="0" fontId="14" fillId="0" borderId="108" xfId="93" applyFont="1" applyFill="1" applyBorder="1" applyAlignment="1" applyProtection="1">
      <alignment vertical="center" textRotation="255" wrapText="1"/>
    </xf>
    <xf numFmtId="0" fontId="14" fillId="0" borderId="73" xfId="93" applyFont="1" applyFill="1" applyBorder="1" applyAlignment="1" applyProtection="1">
      <alignment vertical="center" textRotation="255" wrapText="1"/>
    </xf>
    <xf numFmtId="0" fontId="14" fillId="0" borderId="73" xfId="93" applyFont="1" applyFill="1" applyBorder="1" applyAlignment="1" applyProtection="1">
      <alignment horizontal="center" vertical="distributed" textRotation="255" wrapText="1" justifyLastLine="1"/>
    </xf>
    <xf numFmtId="0" fontId="13" fillId="0" borderId="0" xfId="93" applyFont="1" applyFill="1" applyBorder="1" applyAlignment="1" applyProtection="1">
      <alignment horizontal="center" vertical="distributed" textRotation="255" justifyLastLine="1"/>
    </xf>
    <xf numFmtId="0" fontId="17" fillId="0" borderId="73" xfId="93" applyFont="1" applyFill="1" applyBorder="1" applyAlignment="1" applyProtection="1">
      <alignment horizontal="center" vertical="center" wrapText="1" shrinkToFit="1"/>
    </xf>
    <xf numFmtId="0" fontId="17" fillId="0" borderId="73" xfId="93" applyFont="1" applyFill="1" applyBorder="1" applyAlignment="1" applyProtection="1">
      <alignment horizontal="center" vertical="center" shrinkToFit="1"/>
    </xf>
    <xf numFmtId="0" fontId="14" fillId="0" borderId="38" xfId="93" applyFont="1" applyFill="1" applyBorder="1" applyAlignment="1" applyProtection="1">
      <alignment horizontal="distributed" vertical="center" wrapText="1"/>
    </xf>
    <xf numFmtId="0" fontId="13" fillId="0" borderId="0" xfId="93" applyFont="1" applyFill="1" applyBorder="1" applyAlignment="1" applyProtection="1">
      <alignment horizontal="center" vertical="center" textRotation="255"/>
    </xf>
    <xf numFmtId="0" fontId="14" fillId="0" borderId="108" xfId="93" applyFont="1" applyFill="1" applyBorder="1" applyAlignment="1" applyProtection="1">
      <alignment horizontal="center" vertical="center" textRotation="255"/>
    </xf>
    <xf numFmtId="0" fontId="14" fillId="0" borderId="73" xfId="93" applyFont="1" applyFill="1" applyBorder="1" applyAlignment="1" applyProtection="1">
      <alignment horizontal="center" vertical="center" textRotation="255"/>
    </xf>
    <xf numFmtId="0" fontId="14" fillId="2" borderId="73" xfId="93" applyFont="1" applyFill="1" applyBorder="1" applyAlignment="1" applyProtection="1">
      <alignment horizontal="distributed" vertical="center"/>
    </xf>
    <xf numFmtId="0" fontId="15" fillId="0" borderId="73" xfId="89" applyFont="1" applyBorder="1" applyAlignment="1" applyProtection="1">
      <alignment horizontal="distributed" vertical="center"/>
    </xf>
    <xf numFmtId="0" fontId="15" fillId="0" borderId="38" xfId="89" applyFont="1" applyBorder="1" applyAlignment="1" applyProtection="1">
      <alignment horizontal="distributed" vertical="center"/>
    </xf>
    <xf numFmtId="0" fontId="14" fillId="2" borderId="38" xfId="93" applyFont="1" applyFill="1" applyBorder="1" applyAlignment="1" applyProtection="1">
      <alignment horizontal="distributed" vertical="center"/>
    </xf>
    <xf numFmtId="0" fontId="14" fillId="0" borderId="84" xfId="93" applyFont="1" applyFill="1" applyBorder="1" applyAlignment="1" applyProtection="1">
      <alignment horizontal="center" vertical="center" textRotation="255"/>
    </xf>
    <xf numFmtId="0" fontId="14" fillId="0" borderId="47" xfId="93" applyFont="1" applyFill="1" applyBorder="1" applyAlignment="1" applyProtection="1">
      <alignment horizontal="center" vertical="center" textRotation="255"/>
    </xf>
    <xf numFmtId="49" fontId="19" fillId="4" borderId="26" xfId="94" applyNumberFormat="1" applyFont="1" applyFill="1" applyBorder="1" applyAlignment="1" applyProtection="1">
      <alignment horizontal="right" vertical="center" shrinkToFit="1"/>
    </xf>
    <xf numFmtId="0" fontId="14" fillId="0" borderId="38" xfId="93" applyFont="1" applyFill="1" applyBorder="1" applyAlignment="1" applyProtection="1">
      <alignment horizontal="center" vertical="center"/>
    </xf>
    <xf numFmtId="0" fontId="13" fillId="0" borderId="142" xfId="93" applyNumberFormat="1" applyFont="1" applyFill="1" applyBorder="1" applyAlignment="1" applyProtection="1">
      <alignment horizontal="distributed" vertical="center" wrapText="1" justifyLastLine="1" shrinkToFit="1"/>
    </xf>
    <xf numFmtId="0" fontId="19" fillId="4" borderId="160" xfId="94" applyNumberFormat="1" applyFont="1" applyFill="1" applyBorder="1" applyAlignment="1" applyProtection="1">
      <alignment horizontal="center" vertical="center" shrinkToFit="1"/>
    </xf>
    <xf numFmtId="0" fontId="19" fillId="4" borderId="18" xfId="94" applyNumberFormat="1" applyFont="1" applyFill="1" applyBorder="1" applyAlignment="1" applyProtection="1">
      <alignment horizontal="center" vertical="center" shrinkToFit="1"/>
    </xf>
    <xf numFmtId="0" fontId="19" fillId="4" borderId="46" xfId="94" applyNumberFormat="1" applyFont="1" applyFill="1" applyBorder="1" applyAlignment="1" applyProtection="1">
      <alignment horizontal="center" vertical="center" shrinkToFit="1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5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6" xr:uid="{00000000-0005-0000-0000-000060000000}"/>
  </cellStyles>
  <dxfs count="0"/>
  <tableStyles count="0" defaultTableStyle="TableStyleMedium2" defaultPivotStyle="PivotStyleLight16"/>
  <colors>
    <mruColors>
      <color rgb="FFCCFFCC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62"/>
  <sheetViews>
    <sheetView showGridLines="0" tabSelected="1" view="pageBreakPreview" zoomScale="130" zoomScaleNormal="100" zoomScaleSheetLayoutView="130" zoomScalePageLayoutView="55" workbookViewId="0"/>
  </sheetViews>
  <sheetFormatPr defaultColWidth="8" defaultRowHeight="12"/>
  <cols>
    <col min="1" max="1" width="2.625" style="95" customWidth="1"/>
    <col min="2" max="85" width="1.625" style="95" customWidth="1"/>
    <col min="86" max="86" width="1" style="95" customWidth="1"/>
    <col min="87" max="87" width="2.875" style="95" customWidth="1"/>
    <col min="88" max="93" width="2.375" style="95" customWidth="1"/>
    <col min="94" max="16384" width="8" style="95"/>
  </cols>
  <sheetData>
    <row r="1" spans="1:93" ht="13.7" customHeight="1">
      <c r="A1" s="3"/>
      <c r="B1" s="9" t="str">
        <f>B5&amp;"年産　農業経営統計調査（米生産費統計（組織法人経営体））　個別結果表№１"</f>
        <v>年産　農業経営統計調査（米生産費統計（組織法人経営体））　個別結果表№１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N1" s="342"/>
      <c r="CO1" s="342"/>
    </row>
    <row r="2" spans="1:93" ht="9.75" customHeight="1" thickBot="1">
      <c r="A2" s="3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</row>
    <row r="3" spans="1:93" ht="9.75" customHeight="1" thickBot="1">
      <c r="B3" s="19" t="s">
        <v>292</v>
      </c>
      <c r="C3" s="20"/>
      <c r="D3" s="20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364"/>
      <c r="U3" s="364"/>
      <c r="V3" s="364"/>
      <c r="W3" s="364"/>
      <c r="X3" s="364"/>
      <c r="Y3" s="36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96"/>
      <c r="AS3" s="22"/>
      <c r="AT3" s="22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3"/>
    </row>
    <row r="4" spans="1:93" ht="9.75" customHeight="1">
      <c r="A4" s="49">
        <v>1</v>
      </c>
      <c r="B4" s="363" t="s">
        <v>4</v>
      </c>
      <c r="C4" s="345"/>
      <c r="D4" s="345"/>
      <c r="E4" s="345"/>
      <c r="F4" s="345"/>
      <c r="G4" s="345"/>
      <c r="H4" s="365" t="s">
        <v>295</v>
      </c>
      <c r="I4" s="365"/>
      <c r="J4" s="365"/>
      <c r="K4" s="365"/>
      <c r="L4" s="365"/>
      <c r="M4" s="365"/>
      <c r="N4" s="365" t="s">
        <v>267</v>
      </c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45" t="s">
        <v>99</v>
      </c>
      <c r="AA4" s="345"/>
      <c r="AB4" s="345"/>
      <c r="AC4" s="345"/>
      <c r="AD4" s="345"/>
      <c r="AE4" s="345"/>
      <c r="AF4" s="345" t="s">
        <v>241</v>
      </c>
      <c r="AG4" s="345"/>
      <c r="AH4" s="345"/>
      <c r="AI4" s="345"/>
      <c r="AJ4" s="345"/>
      <c r="AK4" s="345"/>
      <c r="AL4" s="345" t="s">
        <v>2</v>
      </c>
      <c r="AM4" s="345"/>
      <c r="AN4" s="345"/>
      <c r="AO4" s="345"/>
      <c r="AP4" s="345"/>
      <c r="AQ4" s="345"/>
      <c r="AR4" s="345" t="s">
        <v>98</v>
      </c>
      <c r="AS4" s="345"/>
      <c r="AT4" s="345"/>
      <c r="AU4" s="345"/>
      <c r="AV4" s="345"/>
      <c r="AW4" s="345"/>
      <c r="AX4" s="345" t="s">
        <v>97</v>
      </c>
      <c r="AY4" s="345"/>
      <c r="AZ4" s="345"/>
      <c r="BA4" s="345"/>
      <c r="BB4" s="345"/>
      <c r="BC4" s="345"/>
      <c r="BD4" s="343" t="s">
        <v>3</v>
      </c>
      <c r="BE4" s="343"/>
      <c r="BF4" s="343"/>
      <c r="BG4" s="343"/>
      <c r="BH4" s="343"/>
      <c r="BI4" s="343"/>
      <c r="BJ4" s="343" t="s">
        <v>6</v>
      </c>
      <c r="BK4" s="343"/>
      <c r="BL4" s="343"/>
      <c r="BM4" s="343"/>
      <c r="BN4" s="343"/>
      <c r="BO4" s="343"/>
      <c r="BP4" s="365" t="s">
        <v>272</v>
      </c>
      <c r="BQ4" s="365"/>
      <c r="BR4" s="365"/>
      <c r="BS4" s="365"/>
      <c r="BT4" s="365"/>
      <c r="BU4" s="365"/>
      <c r="BV4" s="345" t="s">
        <v>273</v>
      </c>
      <c r="BW4" s="345"/>
      <c r="BX4" s="345"/>
      <c r="BY4" s="345"/>
      <c r="BZ4" s="345"/>
      <c r="CA4" s="345"/>
      <c r="CB4" s="343" t="s">
        <v>274</v>
      </c>
      <c r="CC4" s="343"/>
      <c r="CD4" s="343"/>
      <c r="CE4" s="343"/>
      <c r="CF4" s="343"/>
      <c r="CG4" s="344"/>
    </row>
    <row r="5" spans="1:93" ht="9.75" customHeight="1">
      <c r="A5" s="49">
        <v>2</v>
      </c>
      <c r="B5" s="376"/>
      <c r="C5" s="377"/>
      <c r="D5" s="377"/>
      <c r="E5" s="377"/>
      <c r="F5" s="377"/>
      <c r="G5" s="377"/>
      <c r="H5" s="88"/>
      <c r="I5" s="370" t="str">
        <f>IF(H5&gt;0,DGET(リスト!A2:B49,"都道府県番号",リスト!B51:B52),"")</f>
        <v/>
      </c>
      <c r="J5" s="370"/>
      <c r="K5" s="370"/>
      <c r="L5" s="370"/>
      <c r="M5" s="371"/>
      <c r="N5" s="375"/>
      <c r="O5" s="375"/>
      <c r="P5" s="375"/>
      <c r="Q5" s="375"/>
      <c r="R5" s="375"/>
      <c r="S5" s="375"/>
      <c r="T5" s="375"/>
      <c r="U5" s="375"/>
      <c r="V5" s="375"/>
      <c r="W5" s="375"/>
      <c r="X5" s="375"/>
      <c r="Y5" s="375"/>
      <c r="Z5" s="120"/>
      <c r="AA5" s="370" t="str">
        <f>IF(Z5&gt;0,DGET(リスト!D2:E13,"生産費区分",リスト!E15:E16),"")</f>
        <v/>
      </c>
      <c r="AB5" s="370"/>
      <c r="AC5" s="370"/>
      <c r="AD5" s="370"/>
      <c r="AE5" s="371"/>
      <c r="AF5" s="89"/>
      <c r="AG5" s="370" t="str">
        <f>IF(AF5&gt;0,DGET(リスト!M2:N7,"集計区分",リスト!N9:N10),"")</f>
        <v/>
      </c>
      <c r="AH5" s="370"/>
      <c r="AI5" s="370"/>
      <c r="AJ5" s="370"/>
      <c r="AK5" s="371"/>
      <c r="AL5" s="366"/>
      <c r="AM5" s="367"/>
      <c r="AN5" s="367"/>
      <c r="AO5" s="367"/>
      <c r="AP5" s="367"/>
      <c r="AQ5" s="368"/>
      <c r="AR5" s="89"/>
      <c r="AS5" s="370" t="str">
        <f>IF(AR5&gt;0,DGET(リスト!P3:Q11,"作付規模階層",リスト!Q13:Q14),"")</f>
        <v/>
      </c>
      <c r="AT5" s="370"/>
      <c r="AU5" s="370"/>
      <c r="AV5" s="370"/>
      <c r="AW5" s="371"/>
      <c r="AX5" s="88"/>
      <c r="AY5" s="370" t="str">
        <f>IF(AX5&gt;0,DGET(リスト!S3:T124,"販売数量階層",リスト!T126:T127),"")</f>
        <v/>
      </c>
      <c r="AZ5" s="370"/>
      <c r="BA5" s="370"/>
      <c r="BB5" s="370"/>
      <c r="BC5" s="371"/>
      <c r="BD5" s="88"/>
      <c r="BE5" s="370" t="str">
        <f>IF(BD5&gt;0,DGET(リスト!G2:H14,"農業地域類型区分",リスト!H16:H17),"")</f>
        <v/>
      </c>
      <c r="BF5" s="370"/>
      <c r="BG5" s="370"/>
      <c r="BH5" s="370"/>
      <c r="BI5" s="371"/>
      <c r="BJ5" s="119"/>
      <c r="BK5" s="370" t="str">
        <f>IF(BJ5&lt;&gt;"",DGET(リスト!J2:K4,"認定農業者区分",リスト!K6:K7),"")</f>
        <v/>
      </c>
      <c r="BL5" s="370"/>
      <c r="BM5" s="370"/>
      <c r="BN5" s="370"/>
      <c r="BO5" s="371"/>
      <c r="BP5" s="119"/>
      <c r="BQ5" s="370" t="str">
        <f>IF(BP5&gt;0,DGET(リスト!V2:W6,"組織形態区分",リスト!W8:W9),"")</f>
        <v/>
      </c>
      <c r="BR5" s="370"/>
      <c r="BS5" s="370"/>
      <c r="BT5" s="370"/>
      <c r="BU5" s="371"/>
      <c r="BV5" s="119"/>
      <c r="BW5" s="370" t="str">
        <f>IF(BV5&gt;0,DGET(リスト!Y2:Z4,"集落営農区分",リスト!Z6:Z7),"")</f>
        <v/>
      </c>
      <c r="BX5" s="370"/>
      <c r="BY5" s="370"/>
      <c r="BZ5" s="370"/>
      <c r="CA5" s="371"/>
      <c r="CB5" s="119"/>
      <c r="CC5" s="370" t="str">
        <f>IF(CB5&lt;&gt;"",DGET(リスト!AB2:AC4,"稲作主体区分",リスト!AC6:AC7),"")</f>
        <v/>
      </c>
      <c r="CD5" s="370"/>
      <c r="CE5" s="370"/>
      <c r="CF5" s="370"/>
      <c r="CG5" s="380"/>
      <c r="CH5" s="25"/>
    </row>
    <row r="6" spans="1:93" ht="9.75" customHeight="1">
      <c r="A6" s="49">
        <v>3</v>
      </c>
      <c r="B6" s="247" t="s">
        <v>275</v>
      </c>
      <c r="C6" s="248"/>
      <c r="D6" s="248"/>
      <c r="E6" s="248"/>
      <c r="F6" s="248"/>
      <c r="G6" s="248"/>
      <c r="H6" s="251" t="s">
        <v>268</v>
      </c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372" t="s">
        <v>311</v>
      </c>
      <c r="U6" s="373"/>
      <c r="V6" s="373"/>
      <c r="W6" s="373"/>
      <c r="X6" s="373"/>
      <c r="Y6" s="374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  <c r="BD6" s="233"/>
      <c r="BE6" s="233"/>
      <c r="BF6" s="233"/>
      <c r="BG6" s="233"/>
      <c r="BH6" s="233"/>
      <c r="BI6" s="233"/>
      <c r="BJ6" s="233"/>
      <c r="BK6" s="233"/>
      <c r="BL6" s="233"/>
      <c r="BM6" s="233"/>
      <c r="BN6" s="233"/>
      <c r="BO6" s="233"/>
      <c r="BP6" s="233"/>
      <c r="BQ6" s="233"/>
      <c r="BR6" s="233"/>
      <c r="BS6" s="233"/>
      <c r="BT6" s="233"/>
      <c r="BU6" s="233"/>
      <c r="BV6" s="233"/>
      <c r="BW6" s="233"/>
      <c r="BX6" s="233"/>
      <c r="BY6" s="233"/>
      <c r="BZ6" s="233"/>
      <c r="CA6" s="233"/>
      <c r="CB6" s="233"/>
      <c r="CC6" s="233"/>
      <c r="CD6" s="233"/>
      <c r="CE6" s="233"/>
      <c r="CF6" s="233"/>
      <c r="CG6" s="234"/>
    </row>
    <row r="7" spans="1:93" ht="9.75" customHeight="1" thickBot="1">
      <c r="A7" s="49">
        <v>4</v>
      </c>
      <c r="B7" s="249"/>
      <c r="C7" s="250"/>
      <c r="D7" s="250"/>
      <c r="E7" s="250"/>
      <c r="F7" s="250"/>
      <c r="G7" s="250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369"/>
      <c r="U7" s="369"/>
      <c r="V7" s="369"/>
      <c r="W7" s="369"/>
      <c r="X7" s="369"/>
      <c r="Y7" s="369"/>
      <c r="Z7" s="237"/>
      <c r="AA7" s="237"/>
      <c r="AB7" s="237"/>
      <c r="AC7" s="237"/>
      <c r="AD7" s="237"/>
      <c r="AE7" s="237"/>
      <c r="AF7" s="237"/>
      <c r="AG7" s="237"/>
      <c r="AH7" s="237"/>
      <c r="AI7" s="237"/>
      <c r="AJ7" s="237"/>
      <c r="AK7" s="237"/>
      <c r="AL7" s="237"/>
      <c r="AM7" s="237"/>
      <c r="AN7" s="237"/>
      <c r="AO7" s="237"/>
      <c r="AP7" s="237"/>
      <c r="AQ7" s="237"/>
      <c r="AR7" s="237"/>
      <c r="AS7" s="237"/>
      <c r="AT7" s="237"/>
      <c r="AU7" s="237"/>
      <c r="AV7" s="237"/>
      <c r="AW7" s="237"/>
      <c r="AX7" s="237"/>
      <c r="AY7" s="237"/>
      <c r="AZ7" s="237"/>
      <c r="BA7" s="237"/>
      <c r="BB7" s="237"/>
      <c r="BC7" s="237"/>
      <c r="BD7" s="237"/>
      <c r="BE7" s="237"/>
      <c r="BF7" s="237"/>
      <c r="BG7" s="237"/>
      <c r="BH7" s="237"/>
      <c r="BI7" s="237"/>
      <c r="BJ7" s="237"/>
      <c r="BK7" s="237"/>
      <c r="BL7" s="237"/>
      <c r="BM7" s="237"/>
      <c r="BN7" s="237"/>
      <c r="BO7" s="237"/>
      <c r="BP7" s="237"/>
      <c r="BQ7" s="237"/>
      <c r="BR7" s="237"/>
      <c r="BS7" s="237"/>
      <c r="BT7" s="237"/>
      <c r="BU7" s="237"/>
      <c r="BV7" s="237"/>
      <c r="BW7" s="237"/>
      <c r="BX7" s="237"/>
      <c r="BY7" s="237"/>
      <c r="BZ7" s="237"/>
      <c r="CA7" s="237"/>
      <c r="CB7" s="235"/>
      <c r="CC7" s="235"/>
      <c r="CD7" s="235"/>
      <c r="CE7" s="235"/>
      <c r="CF7" s="235"/>
      <c r="CG7" s="236"/>
    </row>
    <row r="8" spans="1:93" ht="9.75" customHeight="1">
      <c r="A8" s="49">
        <v>5</v>
      </c>
      <c r="B8" s="336" t="s">
        <v>293</v>
      </c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337"/>
      <c r="AB8" s="337"/>
      <c r="AC8" s="337"/>
      <c r="AD8" s="337"/>
      <c r="AE8" s="337"/>
      <c r="AF8" s="337"/>
      <c r="AG8" s="337"/>
      <c r="AH8" s="337"/>
      <c r="AI8" s="337"/>
      <c r="AJ8" s="337"/>
      <c r="AK8" s="337"/>
      <c r="AL8" s="337"/>
      <c r="AM8" s="337"/>
      <c r="AN8" s="337"/>
      <c r="AO8" s="337"/>
      <c r="AP8" s="337"/>
      <c r="AQ8" s="337"/>
      <c r="AR8" s="337"/>
      <c r="AS8" s="337"/>
      <c r="AT8" s="337"/>
      <c r="AU8" s="337"/>
      <c r="AV8" s="337"/>
      <c r="AW8" s="337"/>
      <c r="AX8" s="337"/>
      <c r="AY8" s="337"/>
      <c r="AZ8" s="337"/>
      <c r="BA8" s="337"/>
      <c r="BB8" s="337"/>
      <c r="BC8" s="337"/>
      <c r="BD8" s="337"/>
      <c r="BE8" s="337"/>
      <c r="BF8" s="337"/>
      <c r="BG8" s="337"/>
      <c r="BH8" s="337"/>
      <c r="BI8" s="338"/>
      <c r="BJ8" s="93" t="s">
        <v>399</v>
      </c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1"/>
      <c r="CB8" s="100"/>
      <c r="CC8" s="100"/>
      <c r="CD8" s="100"/>
      <c r="CE8" s="100"/>
      <c r="CF8" s="100"/>
      <c r="CG8" s="24"/>
      <c r="CH8" s="100"/>
    </row>
    <row r="9" spans="1:93" ht="9.75" customHeight="1">
      <c r="A9" s="49">
        <v>6</v>
      </c>
      <c r="B9" s="346"/>
      <c r="C9" s="347"/>
      <c r="D9" s="347"/>
      <c r="E9" s="347"/>
      <c r="F9" s="347"/>
      <c r="G9" s="348"/>
      <c r="H9" s="352" t="s">
        <v>75</v>
      </c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126"/>
      <c r="AF9" s="353" t="s">
        <v>96</v>
      </c>
      <c r="AG9" s="354"/>
      <c r="AH9" s="354"/>
      <c r="AI9" s="354"/>
      <c r="AJ9" s="354"/>
      <c r="AK9" s="354"/>
      <c r="AL9" s="354"/>
      <c r="AM9" s="354"/>
      <c r="AN9" s="354"/>
      <c r="AO9" s="354"/>
      <c r="AP9" s="354"/>
      <c r="AQ9" s="354"/>
      <c r="AR9" s="354"/>
      <c r="AS9" s="354"/>
      <c r="AT9" s="354"/>
      <c r="AU9" s="354"/>
      <c r="AV9" s="354"/>
      <c r="AW9" s="354"/>
      <c r="AX9" s="354"/>
      <c r="AY9" s="354"/>
      <c r="AZ9" s="354"/>
      <c r="BA9" s="354"/>
      <c r="BB9" s="354"/>
      <c r="BC9" s="355"/>
      <c r="BD9" s="356" t="s">
        <v>95</v>
      </c>
      <c r="BE9" s="352"/>
      <c r="BF9" s="352"/>
      <c r="BG9" s="352"/>
      <c r="BH9" s="352"/>
      <c r="BI9" s="357"/>
      <c r="BJ9" s="358" t="s">
        <v>94</v>
      </c>
      <c r="BK9" s="359"/>
      <c r="BL9" s="359"/>
      <c r="BM9" s="359"/>
      <c r="BN9" s="359"/>
      <c r="BO9" s="359"/>
      <c r="BP9" s="360" t="s">
        <v>93</v>
      </c>
      <c r="BQ9" s="361"/>
      <c r="BR9" s="361"/>
      <c r="BS9" s="361"/>
      <c r="BT9" s="361"/>
      <c r="BU9" s="362"/>
      <c r="BV9" s="326" t="s">
        <v>92</v>
      </c>
      <c r="BW9" s="327"/>
      <c r="BX9" s="327"/>
      <c r="BY9" s="327"/>
      <c r="BZ9" s="327"/>
      <c r="CA9" s="328"/>
      <c r="CB9" s="329"/>
      <c r="CC9" s="330"/>
      <c r="CD9" s="330"/>
      <c r="CE9" s="330"/>
      <c r="CF9" s="330"/>
      <c r="CG9" s="331"/>
      <c r="CH9" s="100"/>
    </row>
    <row r="10" spans="1:93" ht="9.75" customHeight="1" thickBot="1">
      <c r="A10" s="49">
        <v>7</v>
      </c>
      <c r="B10" s="349"/>
      <c r="C10" s="350"/>
      <c r="D10" s="350"/>
      <c r="E10" s="350"/>
      <c r="F10" s="350"/>
      <c r="G10" s="351"/>
      <c r="H10" s="297" t="s">
        <v>91</v>
      </c>
      <c r="I10" s="298"/>
      <c r="J10" s="298"/>
      <c r="K10" s="298"/>
      <c r="L10" s="298"/>
      <c r="M10" s="298"/>
      <c r="N10" s="298" t="s">
        <v>312</v>
      </c>
      <c r="O10" s="298"/>
      <c r="P10" s="298"/>
      <c r="Q10" s="298"/>
      <c r="R10" s="298"/>
      <c r="S10" s="298"/>
      <c r="T10" s="298" t="s">
        <v>90</v>
      </c>
      <c r="U10" s="298"/>
      <c r="V10" s="298"/>
      <c r="W10" s="298"/>
      <c r="X10" s="298"/>
      <c r="Y10" s="298"/>
      <c r="Z10" s="298" t="s">
        <v>5</v>
      </c>
      <c r="AA10" s="298"/>
      <c r="AB10" s="298"/>
      <c r="AC10" s="298"/>
      <c r="AD10" s="298"/>
      <c r="AE10" s="163"/>
      <c r="AF10" s="297" t="s">
        <v>91</v>
      </c>
      <c r="AG10" s="298"/>
      <c r="AH10" s="298"/>
      <c r="AI10" s="298"/>
      <c r="AJ10" s="298"/>
      <c r="AK10" s="298"/>
      <c r="AL10" s="298" t="s">
        <v>313</v>
      </c>
      <c r="AM10" s="298"/>
      <c r="AN10" s="298"/>
      <c r="AO10" s="298"/>
      <c r="AP10" s="298"/>
      <c r="AQ10" s="298"/>
      <c r="AR10" s="298" t="s">
        <v>90</v>
      </c>
      <c r="AS10" s="298"/>
      <c r="AT10" s="298"/>
      <c r="AU10" s="298"/>
      <c r="AV10" s="298"/>
      <c r="AW10" s="298"/>
      <c r="AX10" s="298" t="s">
        <v>5</v>
      </c>
      <c r="AY10" s="298"/>
      <c r="AZ10" s="298"/>
      <c r="BA10" s="298"/>
      <c r="BB10" s="298"/>
      <c r="BC10" s="332"/>
      <c r="BD10" s="326"/>
      <c r="BE10" s="327"/>
      <c r="BF10" s="327"/>
      <c r="BG10" s="327"/>
      <c r="BH10" s="327"/>
      <c r="BI10" s="328"/>
      <c r="BJ10" s="282"/>
      <c r="BK10" s="282"/>
      <c r="BL10" s="282"/>
      <c r="BM10" s="282"/>
      <c r="BN10" s="282"/>
      <c r="BO10" s="282"/>
      <c r="BP10" s="158"/>
      <c r="BQ10" s="158"/>
      <c r="BR10" s="158"/>
      <c r="BS10" s="158"/>
      <c r="BT10" s="158"/>
      <c r="BU10" s="158"/>
      <c r="BV10" s="158"/>
      <c r="BW10" s="158"/>
      <c r="BX10" s="158"/>
      <c r="BY10" s="158"/>
      <c r="BZ10" s="158"/>
      <c r="CA10" s="160"/>
      <c r="CB10" s="333"/>
      <c r="CC10" s="333"/>
      <c r="CD10" s="333"/>
      <c r="CE10" s="333"/>
      <c r="CF10" s="333"/>
      <c r="CG10" s="334"/>
      <c r="CH10" s="100"/>
    </row>
    <row r="11" spans="1:93" ht="9.75" customHeight="1">
      <c r="A11" s="49">
        <v>8</v>
      </c>
      <c r="B11" s="378" t="s">
        <v>89</v>
      </c>
      <c r="C11" s="379"/>
      <c r="D11" s="379"/>
      <c r="E11" s="379"/>
      <c r="F11" s="379"/>
      <c r="G11" s="276"/>
      <c r="H11" s="157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93"/>
      <c r="AF11" s="157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95"/>
      <c r="AY11" s="195"/>
      <c r="AZ11" s="195"/>
      <c r="BA11" s="195"/>
      <c r="BB11" s="195"/>
      <c r="BC11" s="335"/>
      <c r="BD11" s="194"/>
      <c r="BE11" s="195"/>
      <c r="BF11" s="195"/>
      <c r="BG11" s="195"/>
      <c r="BH11" s="195"/>
      <c r="BI11" s="196"/>
      <c r="BJ11" s="336" t="s">
        <v>400</v>
      </c>
      <c r="BK11" s="337"/>
      <c r="BL11" s="337"/>
      <c r="BM11" s="337"/>
      <c r="BN11" s="337"/>
      <c r="BO11" s="337"/>
      <c r="BP11" s="337"/>
      <c r="BQ11" s="337"/>
      <c r="BR11" s="337"/>
      <c r="BS11" s="337"/>
      <c r="BT11" s="337"/>
      <c r="BU11" s="337"/>
      <c r="BV11" s="337"/>
      <c r="BW11" s="337"/>
      <c r="BX11" s="337"/>
      <c r="BY11" s="337"/>
      <c r="BZ11" s="337"/>
      <c r="CA11" s="337"/>
      <c r="CB11" s="337"/>
      <c r="CC11" s="337"/>
      <c r="CD11" s="337"/>
      <c r="CE11" s="337"/>
      <c r="CF11" s="337"/>
      <c r="CG11" s="338"/>
      <c r="CH11" s="100"/>
    </row>
    <row r="12" spans="1:93" ht="9.75" customHeight="1">
      <c r="A12" s="49">
        <v>9</v>
      </c>
      <c r="B12" s="32"/>
      <c r="C12" s="142" t="s">
        <v>88</v>
      </c>
      <c r="D12" s="142"/>
      <c r="E12" s="142"/>
      <c r="F12" s="142"/>
      <c r="G12" s="166"/>
      <c r="H12" s="161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1"/>
      <c r="U12" s="151"/>
      <c r="V12" s="151"/>
      <c r="W12" s="151"/>
      <c r="X12" s="151"/>
      <c r="Y12" s="151"/>
      <c r="Z12" s="152"/>
      <c r="AA12" s="152"/>
      <c r="AB12" s="152"/>
      <c r="AC12" s="152"/>
      <c r="AD12" s="152"/>
      <c r="AE12" s="167"/>
      <c r="AF12" s="161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1"/>
      <c r="AS12" s="151"/>
      <c r="AT12" s="151"/>
      <c r="AU12" s="151"/>
      <c r="AV12" s="151"/>
      <c r="AW12" s="151"/>
      <c r="AX12" s="152"/>
      <c r="AY12" s="152"/>
      <c r="AZ12" s="152"/>
      <c r="BA12" s="152"/>
      <c r="BB12" s="152"/>
      <c r="BC12" s="153"/>
      <c r="BD12" s="161"/>
      <c r="BE12" s="152"/>
      <c r="BF12" s="152"/>
      <c r="BG12" s="152"/>
      <c r="BH12" s="152"/>
      <c r="BI12" s="162"/>
      <c r="BJ12" s="387"/>
      <c r="BK12" s="388"/>
      <c r="BL12" s="388"/>
      <c r="BM12" s="388"/>
      <c r="BN12" s="388"/>
      <c r="BO12" s="388"/>
      <c r="BP12" s="339" t="s">
        <v>87</v>
      </c>
      <c r="BQ12" s="340"/>
      <c r="BR12" s="340"/>
      <c r="BS12" s="340"/>
      <c r="BT12" s="340"/>
      <c r="BU12" s="340"/>
      <c r="BV12" s="340" t="s">
        <v>54</v>
      </c>
      <c r="BW12" s="340"/>
      <c r="BX12" s="340"/>
      <c r="BY12" s="340"/>
      <c r="BZ12" s="340"/>
      <c r="CA12" s="340"/>
      <c r="CB12" s="340" t="s">
        <v>5</v>
      </c>
      <c r="CC12" s="340"/>
      <c r="CD12" s="340"/>
      <c r="CE12" s="340"/>
      <c r="CF12" s="340"/>
      <c r="CG12" s="341"/>
      <c r="CH12" s="100"/>
    </row>
    <row r="13" spans="1:93" ht="9.75" customHeight="1">
      <c r="A13" s="49">
        <v>10</v>
      </c>
      <c r="B13" s="32"/>
      <c r="C13" s="142" t="s">
        <v>86</v>
      </c>
      <c r="D13" s="142"/>
      <c r="E13" s="142"/>
      <c r="F13" s="142"/>
      <c r="G13" s="166"/>
      <c r="H13" s="161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1"/>
      <c r="U13" s="151"/>
      <c r="V13" s="151"/>
      <c r="W13" s="151"/>
      <c r="X13" s="151"/>
      <c r="Y13" s="151"/>
      <c r="Z13" s="152"/>
      <c r="AA13" s="152"/>
      <c r="AB13" s="152"/>
      <c r="AC13" s="152"/>
      <c r="AD13" s="152"/>
      <c r="AE13" s="167"/>
      <c r="AF13" s="161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1"/>
      <c r="AS13" s="151"/>
      <c r="AT13" s="151"/>
      <c r="AU13" s="151"/>
      <c r="AV13" s="151"/>
      <c r="AW13" s="151"/>
      <c r="AX13" s="152"/>
      <c r="AY13" s="152"/>
      <c r="AZ13" s="152"/>
      <c r="BA13" s="152"/>
      <c r="BB13" s="152"/>
      <c r="BC13" s="153"/>
      <c r="BD13" s="161"/>
      <c r="BE13" s="152"/>
      <c r="BF13" s="152"/>
      <c r="BG13" s="152"/>
      <c r="BH13" s="152"/>
      <c r="BI13" s="162"/>
      <c r="BJ13" s="381" t="s">
        <v>85</v>
      </c>
      <c r="BK13" s="382"/>
      <c r="BL13" s="382"/>
      <c r="BM13" s="382"/>
      <c r="BN13" s="382"/>
      <c r="BO13" s="383"/>
      <c r="BP13" s="314"/>
      <c r="BQ13" s="282"/>
      <c r="BR13" s="282"/>
      <c r="BS13" s="282"/>
      <c r="BT13" s="282"/>
      <c r="BU13" s="282"/>
      <c r="BV13" s="282"/>
      <c r="BW13" s="282"/>
      <c r="BX13" s="282"/>
      <c r="BY13" s="282"/>
      <c r="BZ13" s="282"/>
      <c r="CA13" s="282"/>
      <c r="CB13" s="158"/>
      <c r="CC13" s="158"/>
      <c r="CD13" s="158"/>
      <c r="CE13" s="158"/>
      <c r="CF13" s="158"/>
      <c r="CG13" s="160"/>
      <c r="CH13" s="100"/>
    </row>
    <row r="14" spans="1:93" ht="9.75" customHeight="1">
      <c r="A14" s="49">
        <v>11</v>
      </c>
      <c r="B14" s="32"/>
      <c r="C14" s="142" t="s">
        <v>84</v>
      </c>
      <c r="D14" s="142"/>
      <c r="E14" s="142"/>
      <c r="F14" s="142"/>
      <c r="G14" s="166"/>
      <c r="H14" s="161"/>
      <c r="I14" s="152"/>
      <c r="J14" s="152"/>
      <c r="K14" s="152"/>
      <c r="L14" s="152"/>
      <c r="M14" s="152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2"/>
      <c r="AB14" s="152"/>
      <c r="AC14" s="152"/>
      <c r="AD14" s="152"/>
      <c r="AE14" s="167"/>
      <c r="AF14" s="161"/>
      <c r="AG14" s="152"/>
      <c r="AH14" s="152"/>
      <c r="AI14" s="152"/>
      <c r="AJ14" s="152"/>
      <c r="AK14" s="152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2"/>
      <c r="AY14" s="152"/>
      <c r="AZ14" s="152"/>
      <c r="BA14" s="152"/>
      <c r="BB14" s="152"/>
      <c r="BC14" s="153"/>
      <c r="BD14" s="161"/>
      <c r="BE14" s="152"/>
      <c r="BF14" s="152"/>
      <c r="BG14" s="152"/>
      <c r="BH14" s="152"/>
      <c r="BI14" s="162"/>
      <c r="BJ14" s="323" t="s">
        <v>299</v>
      </c>
      <c r="BK14" s="324"/>
      <c r="BL14" s="324"/>
      <c r="BM14" s="324"/>
      <c r="BN14" s="324"/>
      <c r="BO14" s="325"/>
      <c r="BP14" s="188"/>
      <c r="BQ14" s="189"/>
      <c r="BR14" s="189"/>
      <c r="BS14" s="189"/>
      <c r="BT14" s="189"/>
      <c r="BU14" s="189"/>
      <c r="BV14" s="189"/>
      <c r="BW14" s="189"/>
      <c r="BX14" s="189"/>
      <c r="BY14" s="189"/>
      <c r="BZ14" s="189"/>
      <c r="CA14" s="189"/>
      <c r="CB14" s="152"/>
      <c r="CC14" s="152"/>
      <c r="CD14" s="152"/>
      <c r="CE14" s="152"/>
      <c r="CF14" s="152"/>
      <c r="CG14" s="162"/>
      <c r="CH14" s="100"/>
    </row>
    <row r="15" spans="1:93" ht="9.75" customHeight="1">
      <c r="A15" s="49">
        <v>12</v>
      </c>
      <c r="B15" s="32"/>
      <c r="C15" s="142" t="s">
        <v>83</v>
      </c>
      <c r="D15" s="142"/>
      <c r="E15" s="142"/>
      <c r="F15" s="142"/>
      <c r="G15" s="166"/>
      <c r="H15" s="161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1"/>
      <c r="U15" s="151"/>
      <c r="V15" s="151"/>
      <c r="W15" s="151"/>
      <c r="X15" s="151"/>
      <c r="Y15" s="151"/>
      <c r="Z15" s="152"/>
      <c r="AA15" s="152"/>
      <c r="AB15" s="152"/>
      <c r="AC15" s="152"/>
      <c r="AD15" s="152"/>
      <c r="AE15" s="167"/>
      <c r="AF15" s="161"/>
      <c r="AG15" s="152"/>
      <c r="AH15" s="152"/>
      <c r="AI15" s="152"/>
      <c r="AJ15" s="152"/>
      <c r="AK15" s="152"/>
      <c r="AL15" s="152"/>
      <c r="AM15" s="152"/>
      <c r="AN15" s="152"/>
      <c r="AO15" s="152"/>
      <c r="AP15" s="152"/>
      <c r="AQ15" s="152"/>
      <c r="AR15" s="151"/>
      <c r="AS15" s="151"/>
      <c r="AT15" s="151"/>
      <c r="AU15" s="151"/>
      <c r="AV15" s="151"/>
      <c r="AW15" s="151"/>
      <c r="AX15" s="152"/>
      <c r="AY15" s="152"/>
      <c r="AZ15" s="152"/>
      <c r="BA15" s="152"/>
      <c r="BB15" s="152"/>
      <c r="BC15" s="153"/>
      <c r="BD15" s="161"/>
      <c r="BE15" s="152"/>
      <c r="BF15" s="152"/>
      <c r="BG15" s="152"/>
      <c r="BH15" s="152"/>
      <c r="BI15" s="162"/>
      <c r="BJ15" s="323" t="s">
        <v>300</v>
      </c>
      <c r="BK15" s="324"/>
      <c r="BL15" s="324"/>
      <c r="BM15" s="324"/>
      <c r="BN15" s="324"/>
      <c r="BO15" s="325"/>
      <c r="BP15" s="188"/>
      <c r="BQ15" s="189"/>
      <c r="BR15" s="189"/>
      <c r="BS15" s="189"/>
      <c r="BT15" s="189"/>
      <c r="BU15" s="189"/>
      <c r="BV15" s="189"/>
      <c r="BW15" s="189"/>
      <c r="BX15" s="189"/>
      <c r="BY15" s="189"/>
      <c r="BZ15" s="189"/>
      <c r="CA15" s="189"/>
      <c r="CB15" s="152"/>
      <c r="CC15" s="152"/>
      <c r="CD15" s="152"/>
      <c r="CE15" s="152"/>
      <c r="CF15" s="152"/>
      <c r="CG15" s="162"/>
      <c r="CH15" s="100"/>
    </row>
    <row r="16" spans="1:93" ht="9.75" customHeight="1">
      <c r="A16" s="49">
        <v>13</v>
      </c>
      <c r="B16" s="32"/>
      <c r="C16" s="304" t="s">
        <v>82</v>
      </c>
      <c r="D16" s="304"/>
      <c r="E16" s="304"/>
      <c r="F16" s="304"/>
      <c r="G16" s="322"/>
      <c r="H16" s="161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1"/>
      <c r="U16" s="151"/>
      <c r="V16" s="151"/>
      <c r="W16" s="151"/>
      <c r="X16" s="151"/>
      <c r="Y16" s="151"/>
      <c r="Z16" s="152"/>
      <c r="AA16" s="152"/>
      <c r="AB16" s="152"/>
      <c r="AC16" s="152"/>
      <c r="AD16" s="152"/>
      <c r="AE16" s="167"/>
      <c r="AF16" s="161"/>
      <c r="AG16" s="152"/>
      <c r="AH16" s="152"/>
      <c r="AI16" s="152"/>
      <c r="AJ16" s="152"/>
      <c r="AK16" s="152"/>
      <c r="AL16" s="152"/>
      <c r="AM16" s="152"/>
      <c r="AN16" s="152"/>
      <c r="AO16" s="152"/>
      <c r="AP16" s="152"/>
      <c r="AQ16" s="152"/>
      <c r="AR16" s="151"/>
      <c r="AS16" s="151"/>
      <c r="AT16" s="151"/>
      <c r="AU16" s="151"/>
      <c r="AV16" s="151"/>
      <c r="AW16" s="151"/>
      <c r="AX16" s="152"/>
      <c r="AY16" s="152"/>
      <c r="AZ16" s="152"/>
      <c r="BA16" s="152"/>
      <c r="BB16" s="152"/>
      <c r="BC16" s="153"/>
      <c r="BD16" s="161"/>
      <c r="BE16" s="152"/>
      <c r="BF16" s="152"/>
      <c r="BG16" s="152"/>
      <c r="BH16" s="152"/>
      <c r="BI16" s="162"/>
      <c r="BJ16" s="384" t="s">
        <v>81</v>
      </c>
      <c r="BK16" s="385"/>
      <c r="BL16" s="385"/>
      <c r="BM16" s="385"/>
      <c r="BN16" s="385"/>
      <c r="BO16" s="386"/>
      <c r="BP16" s="188"/>
      <c r="BQ16" s="189"/>
      <c r="BR16" s="189"/>
      <c r="BS16" s="189"/>
      <c r="BT16" s="189"/>
      <c r="BU16" s="189"/>
      <c r="BV16" s="189"/>
      <c r="BW16" s="189"/>
      <c r="BX16" s="189"/>
      <c r="BY16" s="189"/>
      <c r="BZ16" s="189"/>
      <c r="CA16" s="189"/>
      <c r="CB16" s="152"/>
      <c r="CC16" s="152"/>
      <c r="CD16" s="152"/>
      <c r="CE16" s="152"/>
      <c r="CF16" s="152"/>
      <c r="CG16" s="162"/>
      <c r="CH16" s="100"/>
    </row>
    <row r="17" spans="1:86" ht="9.75" customHeight="1" thickBot="1">
      <c r="A17" s="49">
        <v>14</v>
      </c>
      <c r="B17" s="32"/>
      <c r="C17" s="148" t="s">
        <v>431</v>
      </c>
      <c r="D17" s="148"/>
      <c r="E17" s="148"/>
      <c r="F17" s="148"/>
      <c r="G17" s="289"/>
      <c r="H17" s="161"/>
      <c r="I17" s="152"/>
      <c r="J17" s="152"/>
      <c r="K17" s="152"/>
      <c r="L17" s="152"/>
      <c r="M17" s="152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2"/>
      <c r="AA17" s="152"/>
      <c r="AB17" s="152"/>
      <c r="AC17" s="152"/>
      <c r="AD17" s="152"/>
      <c r="AE17" s="167"/>
      <c r="AF17" s="161"/>
      <c r="AG17" s="152"/>
      <c r="AH17" s="152"/>
      <c r="AI17" s="152"/>
      <c r="AJ17" s="152"/>
      <c r="AK17" s="152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2"/>
      <c r="AY17" s="152"/>
      <c r="AZ17" s="152"/>
      <c r="BA17" s="152"/>
      <c r="BB17" s="152"/>
      <c r="BC17" s="153"/>
      <c r="BD17" s="161"/>
      <c r="BE17" s="152"/>
      <c r="BF17" s="152"/>
      <c r="BG17" s="152"/>
      <c r="BH17" s="152"/>
      <c r="BI17" s="162"/>
      <c r="BJ17" s="319" t="s">
        <v>5</v>
      </c>
      <c r="BK17" s="320"/>
      <c r="BL17" s="320"/>
      <c r="BM17" s="320"/>
      <c r="BN17" s="320"/>
      <c r="BO17" s="321"/>
      <c r="BP17" s="238"/>
      <c r="BQ17" s="138"/>
      <c r="BR17" s="138"/>
      <c r="BS17" s="138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40"/>
      <c r="CH17" s="100"/>
    </row>
    <row r="18" spans="1:86" ht="9.75" customHeight="1">
      <c r="A18" s="49">
        <v>15</v>
      </c>
      <c r="B18" s="32"/>
      <c r="C18" s="304" t="s">
        <v>80</v>
      </c>
      <c r="D18" s="304"/>
      <c r="E18" s="304"/>
      <c r="F18" s="304"/>
      <c r="G18" s="322"/>
      <c r="H18" s="161"/>
      <c r="I18" s="152"/>
      <c r="J18" s="152"/>
      <c r="K18" s="152"/>
      <c r="L18" s="152"/>
      <c r="M18" s="152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2"/>
      <c r="AA18" s="152"/>
      <c r="AB18" s="152"/>
      <c r="AC18" s="152"/>
      <c r="AD18" s="152"/>
      <c r="AE18" s="167"/>
      <c r="AF18" s="161"/>
      <c r="AG18" s="152"/>
      <c r="AH18" s="152"/>
      <c r="AI18" s="152"/>
      <c r="AJ18" s="152"/>
      <c r="AK18" s="152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2"/>
      <c r="AY18" s="152"/>
      <c r="AZ18" s="152"/>
      <c r="BA18" s="152"/>
      <c r="BB18" s="152"/>
      <c r="BC18" s="153"/>
      <c r="BD18" s="161"/>
      <c r="BE18" s="152"/>
      <c r="BF18" s="152"/>
      <c r="BG18" s="152"/>
      <c r="BH18" s="152"/>
      <c r="BI18" s="162"/>
      <c r="BJ18" s="93" t="s">
        <v>401</v>
      </c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9"/>
      <c r="CH18" s="100"/>
    </row>
    <row r="19" spans="1:86" ht="9.75" customHeight="1">
      <c r="A19" s="49">
        <v>16</v>
      </c>
      <c r="B19" s="32"/>
      <c r="C19" s="148" t="s">
        <v>426</v>
      </c>
      <c r="D19" s="148"/>
      <c r="E19" s="148"/>
      <c r="F19" s="148"/>
      <c r="G19" s="289"/>
      <c r="H19" s="161"/>
      <c r="I19" s="152"/>
      <c r="J19" s="152"/>
      <c r="K19" s="152"/>
      <c r="L19" s="152"/>
      <c r="M19" s="152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2"/>
      <c r="AA19" s="152"/>
      <c r="AB19" s="152"/>
      <c r="AC19" s="152"/>
      <c r="AD19" s="152"/>
      <c r="AE19" s="167"/>
      <c r="AF19" s="161"/>
      <c r="AG19" s="152"/>
      <c r="AH19" s="152"/>
      <c r="AI19" s="152"/>
      <c r="AJ19" s="152"/>
      <c r="AK19" s="152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2"/>
      <c r="AY19" s="152"/>
      <c r="AZ19" s="152"/>
      <c r="BA19" s="152"/>
      <c r="BB19" s="152"/>
      <c r="BC19" s="153"/>
      <c r="BD19" s="161"/>
      <c r="BE19" s="152"/>
      <c r="BF19" s="152"/>
      <c r="BG19" s="152"/>
      <c r="BH19" s="152"/>
      <c r="BI19" s="162"/>
      <c r="BJ19" s="389"/>
      <c r="BK19" s="123"/>
      <c r="BL19" s="123"/>
      <c r="BM19" s="123"/>
      <c r="BN19" s="123"/>
      <c r="BO19" s="123"/>
      <c r="BP19" s="316" t="s">
        <v>75</v>
      </c>
      <c r="BQ19" s="317"/>
      <c r="BR19" s="317"/>
      <c r="BS19" s="317"/>
      <c r="BT19" s="317"/>
      <c r="BU19" s="317"/>
      <c r="BV19" s="317"/>
      <c r="BW19" s="317"/>
      <c r="BX19" s="317"/>
      <c r="BY19" s="317"/>
      <c r="BZ19" s="317"/>
      <c r="CA19" s="317"/>
      <c r="CB19" s="317"/>
      <c r="CC19" s="317"/>
      <c r="CD19" s="317"/>
      <c r="CE19" s="317"/>
      <c r="CF19" s="317"/>
      <c r="CG19" s="318"/>
      <c r="CH19" s="100"/>
    </row>
    <row r="20" spans="1:86" ht="9.75" customHeight="1">
      <c r="A20" s="49">
        <v>17</v>
      </c>
      <c r="B20" s="32"/>
      <c r="C20" s="142" t="s">
        <v>79</v>
      </c>
      <c r="D20" s="142"/>
      <c r="E20" s="142"/>
      <c r="F20" s="142"/>
      <c r="G20" s="166"/>
      <c r="H20" s="188"/>
      <c r="I20" s="189"/>
      <c r="J20" s="189"/>
      <c r="K20" s="189"/>
      <c r="L20" s="189"/>
      <c r="M20" s="189"/>
      <c r="N20" s="151"/>
      <c r="O20" s="151"/>
      <c r="P20" s="151"/>
      <c r="Q20" s="151"/>
      <c r="R20" s="151"/>
      <c r="S20" s="151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67"/>
      <c r="AF20" s="161"/>
      <c r="AG20" s="152"/>
      <c r="AH20" s="152"/>
      <c r="AI20" s="152"/>
      <c r="AJ20" s="152"/>
      <c r="AK20" s="152"/>
      <c r="AL20" s="151"/>
      <c r="AM20" s="151"/>
      <c r="AN20" s="151"/>
      <c r="AO20" s="151"/>
      <c r="AP20" s="151"/>
      <c r="AQ20" s="151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3"/>
      <c r="BD20" s="161"/>
      <c r="BE20" s="152"/>
      <c r="BF20" s="152"/>
      <c r="BG20" s="152"/>
      <c r="BH20" s="152"/>
      <c r="BI20" s="162"/>
      <c r="BJ20" s="124"/>
      <c r="BK20" s="125"/>
      <c r="BL20" s="125"/>
      <c r="BM20" s="125"/>
      <c r="BN20" s="125"/>
      <c r="BO20" s="125"/>
      <c r="BP20" s="297" t="s">
        <v>55</v>
      </c>
      <c r="BQ20" s="298"/>
      <c r="BR20" s="298"/>
      <c r="BS20" s="298"/>
      <c r="BT20" s="298"/>
      <c r="BU20" s="298"/>
      <c r="BV20" s="298" t="s">
        <v>54</v>
      </c>
      <c r="BW20" s="298"/>
      <c r="BX20" s="298"/>
      <c r="BY20" s="298"/>
      <c r="BZ20" s="298"/>
      <c r="CA20" s="298"/>
      <c r="CB20" s="298" t="s">
        <v>5</v>
      </c>
      <c r="CC20" s="298"/>
      <c r="CD20" s="298"/>
      <c r="CE20" s="298"/>
      <c r="CF20" s="298"/>
      <c r="CG20" s="299"/>
      <c r="CH20" s="100"/>
    </row>
    <row r="21" spans="1:86" ht="9.75" customHeight="1">
      <c r="A21" s="49">
        <v>18</v>
      </c>
      <c r="B21" s="32"/>
      <c r="C21" s="142" t="s">
        <v>77</v>
      </c>
      <c r="D21" s="142"/>
      <c r="E21" s="142"/>
      <c r="F21" s="142"/>
      <c r="G21" s="166"/>
      <c r="H21" s="188"/>
      <c r="I21" s="189"/>
      <c r="J21" s="189"/>
      <c r="K21" s="189"/>
      <c r="L21" s="189"/>
      <c r="M21" s="189"/>
      <c r="N21" s="151"/>
      <c r="O21" s="151"/>
      <c r="P21" s="151"/>
      <c r="Q21" s="151"/>
      <c r="R21" s="151"/>
      <c r="S21" s="151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67"/>
      <c r="AF21" s="161"/>
      <c r="AG21" s="152"/>
      <c r="AH21" s="152"/>
      <c r="AI21" s="152"/>
      <c r="AJ21" s="152"/>
      <c r="AK21" s="152"/>
      <c r="AL21" s="151"/>
      <c r="AM21" s="151"/>
      <c r="AN21" s="151"/>
      <c r="AO21" s="151"/>
      <c r="AP21" s="151"/>
      <c r="AQ21" s="151"/>
      <c r="AR21" s="152"/>
      <c r="AS21" s="152"/>
      <c r="AT21" s="152"/>
      <c r="AU21" s="152"/>
      <c r="AV21" s="152"/>
      <c r="AW21" s="152"/>
      <c r="AX21" s="152"/>
      <c r="AY21" s="152"/>
      <c r="AZ21" s="152"/>
      <c r="BA21" s="152"/>
      <c r="BB21" s="152"/>
      <c r="BC21" s="153"/>
      <c r="BD21" s="161"/>
      <c r="BE21" s="152"/>
      <c r="BF21" s="152"/>
      <c r="BG21" s="152"/>
      <c r="BH21" s="152"/>
      <c r="BI21" s="162"/>
      <c r="BJ21" s="310" t="s">
        <v>72</v>
      </c>
      <c r="BK21" s="311"/>
      <c r="BL21" s="379" t="s">
        <v>71</v>
      </c>
      <c r="BM21" s="379"/>
      <c r="BN21" s="379"/>
      <c r="BO21" s="390"/>
      <c r="BP21" s="314"/>
      <c r="BQ21" s="282"/>
      <c r="BR21" s="282"/>
      <c r="BS21" s="282"/>
      <c r="BT21" s="282"/>
      <c r="BU21" s="282"/>
      <c r="BV21" s="282"/>
      <c r="BW21" s="282"/>
      <c r="BX21" s="282"/>
      <c r="BY21" s="282"/>
      <c r="BZ21" s="282"/>
      <c r="CA21" s="282"/>
      <c r="CB21" s="158"/>
      <c r="CC21" s="158"/>
      <c r="CD21" s="158"/>
      <c r="CE21" s="158"/>
      <c r="CF21" s="158"/>
      <c r="CG21" s="160"/>
      <c r="CH21" s="100"/>
    </row>
    <row r="22" spans="1:86" ht="9.75" customHeight="1">
      <c r="A22" s="49">
        <v>19</v>
      </c>
      <c r="B22" s="32"/>
      <c r="C22" s="142" t="s">
        <v>76</v>
      </c>
      <c r="D22" s="142"/>
      <c r="E22" s="142"/>
      <c r="F22" s="142"/>
      <c r="G22" s="166"/>
      <c r="H22" s="188"/>
      <c r="I22" s="189"/>
      <c r="J22" s="189"/>
      <c r="K22" s="189"/>
      <c r="L22" s="189"/>
      <c r="M22" s="189"/>
      <c r="N22" s="151"/>
      <c r="O22" s="151"/>
      <c r="P22" s="151"/>
      <c r="Q22" s="151"/>
      <c r="R22" s="151"/>
      <c r="S22" s="151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67"/>
      <c r="AF22" s="161"/>
      <c r="AG22" s="152"/>
      <c r="AH22" s="152"/>
      <c r="AI22" s="152"/>
      <c r="AJ22" s="152"/>
      <c r="AK22" s="152"/>
      <c r="AL22" s="151"/>
      <c r="AM22" s="151"/>
      <c r="AN22" s="151"/>
      <c r="AO22" s="151"/>
      <c r="AP22" s="151"/>
      <c r="AQ22" s="151"/>
      <c r="AR22" s="152"/>
      <c r="AS22" s="152"/>
      <c r="AT22" s="152"/>
      <c r="AU22" s="152"/>
      <c r="AV22" s="152"/>
      <c r="AW22" s="152"/>
      <c r="AX22" s="152"/>
      <c r="AY22" s="152"/>
      <c r="AZ22" s="152"/>
      <c r="BA22" s="152"/>
      <c r="BB22" s="152"/>
      <c r="BC22" s="153"/>
      <c r="BD22" s="161"/>
      <c r="BE22" s="152"/>
      <c r="BF22" s="152"/>
      <c r="BG22" s="152"/>
      <c r="BH22" s="152"/>
      <c r="BI22" s="162"/>
      <c r="BJ22" s="312"/>
      <c r="BK22" s="313"/>
      <c r="BL22" s="185" t="s">
        <v>69</v>
      </c>
      <c r="BM22" s="186"/>
      <c r="BN22" s="186"/>
      <c r="BO22" s="187"/>
      <c r="BP22" s="188"/>
      <c r="BQ22" s="189"/>
      <c r="BR22" s="189"/>
      <c r="BS22" s="189"/>
      <c r="BT22" s="189"/>
      <c r="BU22" s="189"/>
      <c r="BV22" s="189"/>
      <c r="BW22" s="189"/>
      <c r="BX22" s="189"/>
      <c r="BY22" s="189"/>
      <c r="BZ22" s="189"/>
      <c r="CA22" s="189"/>
      <c r="CB22" s="152"/>
      <c r="CC22" s="152"/>
      <c r="CD22" s="152"/>
      <c r="CE22" s="152"/>
      <c r="CF22" s="152"/>
      <c r="CG22" s="162"/>
      <c r="CH22" s="100"/>
    </row>
    <row r="23" spans="1:86" ht="9.75" customHeight="1">
      <c r="A23" s="49">
        <v>20</v>
      </c>
      <c r="B23" s="33"/>
      <c r="C23" s="142" t="s">
        <v>74</v>
      </c>
      <c r="D23" s="142"/>
      <c r="E23" s="142"/>
      <c r="F23" s="142"/>
      <c r="G23" s="166"/>
      <c r="H23" s="188"/>
      <c r="I23" s="189"/>
      <c r="J23" s="189"/>
      <c r="K23" s="189"/>
      <c r="L23" s="189"/>
      <c r="M23" s="189"/>
      <c r="N23" s="151"/>
      <c r="O23" s="151"/>
      <c r="P23" s="151"/>
      <c r="Q23" s="151"/>
      <c r="R23" s="151"/>
      <c r="S23" s="151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67"/>
      <c r="AF23" s="161"/>
      <c r="AG23" s="152"/>
      <c r="AH23" s="152"/>
      <c r="AI23" s="152"/>
      <c r="AJ23" s="152"/>
      <c r="AK23" s="152"/>
      <c r="AL23" s="151"/>
      <c r="AM23" s="151"/>
      <c r="AN23" s="151"/>
      <c r="AO23" s="151"/>
      <c r="AP23" s="151"/>
      <c r="AQ23" s="151"/>
      <c r="AR23" s="152"/>
      <c r="AS23" s="152"/>
      <c r="AT23" s="152"/>
      <c r="AU23" s="152"/>
      <c r="AV23" s="152"/>
      <c r="AW23" s="152"/>
      <c r="AX23" s="152"/>
      <c r="AY23" s="152"/>
      <c r="AZ23" s="152"/>
      <c r="BA23" s="152"/>
      <c r="BB23" s="152"/>
      <c r="BC23" s="153"/>
      <c r="BD23" s="161"/>
      <c r="BE23" s="152"/>
      <c r="BF23" s="152"/>
      <c r="BG23" s="152"/>
      <c r="BH23" s="152"/>
      <c r="BI23" s="162"/>
      <c r="BJ23" s="312"/>
      <c r="BK23" s="313"/>
      <c r="BL23" s="304" t="s">
        <v>67</v>
      </c>
      <c r="BM23" s="304"/>
      <c r="BN23" s="304"/>
      <c r="BO23" s="305"/>
      <c r="BP23" s="188"/>
      <c r="BQ23" s="189"/>
      <c r="BR23" s="189"/>
      <c r="BS23" s="189"/>
      <c r="BT23" s="189"/>
      <c r="BU23" s="189"/>
      <c r="BV23" s="189"/>
      <c r="BW23" s="189"/>
      <c r="BX23" s="189"/>
      <c r="BY23" s="189"/>
      <c r="BZ23" s="189"/>
      <c r="CA23" s="189"/>
      <c r="CB23" s="152"/>
      <c r="CC23" s="152"/>
      <c r="CD23" s="152"/>
      <c r="CE23" s="152"/>
      <c r="CF23" s="152"/>
      <c r="CG23" s="162"/>
      <c r="CH23" s="100"/>
    </row>
    <row r="24" spans="1:86" ht="9.75" customHeight="1">
      <c r="A24" s="49">
        <v>21</v>
      </c>
      <c r="B24" s="315" t="s">
        <v>73</v>
      </c>
      <c r="C24" s="142"/>
      <c r="D24" s="142"/>
      <c r="E24" s="142"/>
      <c r="F24" s="142"/>
      <c r="G24" s="166"/>
      <c r="H24" s="161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1"/>
      <c r="U24" s="151"/>
      <c r="V24" s="151"/>
      <c r="W24" s="151"/>
      <c r="X24" s="151"/>
      <c r="Y24" s="151"/>
      <c r="Z24" s="152"/>
      <c r="AA24" s="152"/>
      <c r="AB24" s="152"/>
      <c r="AC24" s="152"/>
      <c r="AD24" s="152"/>
      <c r="AE24" s="167"/>
      <c r="AF24" s="161"/>
      <c r="AG24" s="152"/>
      <c r="AH24" s="152"/>
      <c r="AI24" s="152"/>
      <c r="AJ24" s="152"/>
      <c r="AK24" s="152"/>
      <c r="AL24" s="152"/>
      <c r="AM24" s="152"/>
      <c r="AN24" s="152"/>
      <c r="AO24" s="152"/>
      <c r="AP24" s="152"/>
      <c r="AQ24" s="152"/>
      <c r="AR24" s="151"/>
      <c r="AS24" s="151"/>
      <c r="AT24" s="151"/>
      <c r="AU24" s="151"/>
      <c r="AV24" s="151"/>
      <c r="AW24" s="151"/>
      <c r="AX24" s="152"/>
      <c r="AY24" s="152"/>
      <c r="AZ24" s="152"/>
      <c r="BA24" s="152"/>
      <c r="BB24" s="152"/>
      <c r="BC24" s="153"/>
      <c r="BD24" s="161"/>
      <c r="BE24" s="152"/>
      <c r="BF24" s="152"/>
      <c r="BG24" s="152"/>
      <c r="BH24" s="152"/>
      <c r="BI24" s="162"/>
      <c r="BJ24" s="312"/>
      <c r="BK24" s="313"/>
      <c r="BL24" s="304" t="s">
        <v>59</v>
      </c>
      <c r="BM24" s="304"/>
      <c r="BN24" s="304"/>
      <c r="BO24" s="305"/>
      <c r="BP24" s="188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52"/>
      <c r="CC24" s="152"/>
      <c r="CD24" s="152"/>
      <c r="CE24" s="152"/>
      <c r="CF24" s="152"/>
      <c r="CG24" s="162"/>
      <c r="CH24" s="100"/>
    </row>
    <row r="25" spans="1:86" ht="9.75" customHeight="1">
      <c r="A25" s="49">
        <v>22</v>
      </c>
      <c r="B25" s="32"/>
      <c r="C25" s="142" t="s">
        <v>70</v>
      </c>
      <c r="D25" s="142"/>
      <c r="E25" s="142"/>
      <c r="F25" s="142"/>
      <c r="G25" s="166"/>
      <c r="H25" s="161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1"/>
      <c r="U25" s="151"/>
      <c r="V25" s="151"/>
      <c r="W25" s="151"/>
      <c r="X25" s="151"/>
      <c r="Y25" s="151"/>
      <c r="Z25" s="152"/>
      <c r="AA25" s="152"/>
      <c r="AB25" s="152"/>
      <c r="AC25" s="152"/>
      <c r="AD25" s="152"/>
      <c r="AE25" s="167"/>
      <c r="AF25" s="161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1"/>
      <c r="AS25" s="151"/>
      <c r="AT25" s="151"/>
      <c r="AU25" s="151"/>
      <c r="AV25" s="151"/>
      <c r="AW25" s="151"/>
      <c r="AX25" s="152"/>
      <c r="AY25" s="152"/>
      <c r="AZ25" s="152"/>
      <c r="BA25" s="152"/>
      <c r="BB25" s="152"/>
      <c r="BC25" s="153"/>
      <c r="BD25" s="161"/>
      <c r="BE25" s="152"/>
      <c r="BF25" s="152"/>
      <c r="BG25" s="152"/>
      <c r="BH25" s="152"/>
      <c r="BI25" s="162"/>
      <c r="BJ25" s="300" t="s">
        <v>64</v>
      </c>
      <c r="BK25" s="301"/>
      <c r="BL25" s="304" t="s">
        <v>63</v>
      </c>
      <c r="BM25" s="304"/>
      <c r="BN25" s="304"/>
      <c r="BO25" s="305"/>
      <c r="BP25" s="188"/>
      <c r="BQ25" s="189"/>
      <c r="BR25" s="189"/>
      <c r="BS25" s="189"/>
      <c r="BT25" s="189"/>
      <c r="BU25" s="189"/>
      <c r="BV25" s="189"/>
      <c r="BW25" s="189"/>
      <c r="BX25" s="189"/>
      <c r="BY25" s="189"/>
      <c r="BZ25" s="189"/>
      <c r="CA25" s="189"/>
      <c r="CB25" s="152"/>
      <c r="CC25" s="152"/>
      <c r="CD25" s="152"/>
      <c r="CE25" s="152"/>
      <c r="CF25" s="152"/>
      <c r="CG25" s="162"/>
      <c r="CH25" s="100"/>
    </row>
    <row r="26" spans="1:86" ht="9.75" customHeight="1">
      <c r="A26" s="49">
        <v>23</v>
      </c>
      <c r="B26" s="33"/>
      <c r="C26" s="142" t="s">
        <v>68</v>
      </c>
      <c r="D26" s="142"/>
      <c r="E26" s="142"/>
      <c r="F26" s="142"/>
      <c r="G26" s="166"/>
      <c r="H26" s="161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1"/>
      <c r="U26" s="151"/>
      <c r="V26" s="151"/>
      <c r="W26" s="151"/>
      <c r="X26" s="151"/>
      <c r="Y26" s="151"/>
      <c r="Z26" s="152"/>
      <c r="AA26" s="152"/>
      <c r="AB26" s="152"/>
      <c r="AC26" s="152"/>
      <c r="AD26" s="152"/>
      <c r="AE26" s="167"/>
      <c r="AF26" s="161"/>
      <c r="AG26" s="152"/>
      <c r="AH26" s="152"/>
      <c r="AI26" s="152"/>
      <c r="AJ26" s="152"/>
      <c r="AK26" s="152"/>
      <c r="AL26" s="152"/>
      <c r="AM26" s="152"/>
      <c r="AN26" s="152"/>
      <c r="AO26" s="152"/>
      <c r="AP26" s="152"/>
      <c r="AQ26" s="152"/>
      <c r="AR26" s="151"/>
      <c r="AS26" s="151"/>
      <c r="AT26" s="151"/>
      <c r="AU26" s="151"/>
      <c r="AV26" s="151"/>
      <c r="AW26" s="151"/>
      <c r="AX26" s="152"/>
      <c r="AY26" s="152"/>
      <c r="AZ26" s="152"/>
      <c r="BA26" s="152"/>
      <c r="BB26" s="152"/>
      <c r="BC26" s="153"/>
      <c r="BD26" s="161"/>
      <c r="BE26" s="152"/>
      <c r="BF26" s="152"/>
      <c r="BG26" s="152"/>
      <c r="BH26" s="152"/>
      <c r="BI26" s="162"/>
      <c r="BJ26" s="300"/>
      <c r="BK26" s="301"/>
      <c r="BL26" s="142" t="s">
        <v>61</v>
      </c>
      <c r="BM26" s="142"/>
      <c r="BN26" s="142"/>
      <c r="BO26" s="143"/>
      <c r="BP26" s="188"/>
      <c r="BQ26" s="189"/>
      <c r="BR26" s="189"/>
      <c r="BS26" s="189"/>
      <c r="BT26" s="189"/>
      <c r="BU26" s="189"/>
      <c r="BV26" s="189"/>
      <c r="BW26" s="189"/>
      <c r="BX26" s="189"/>
      <c r="BY26" s="189"/>
      <c r="BZ26" s="189"/>
      <c r="CA26" s="189"/>
      <c r="CB26" s="152"/>
      <c r="CC26" s="152"/>
      <c r="CD26" s="152"/>
      <c r="CE26" s="152"/>
      <c r="CF26" s="152"/>
      <c r="CG26" s="162"/>
      <c r="CH26" s="100"/>
    </row>
    <row r="27" spans="1:86" ht="9.75" customHeight="1">
      <c r="A27" s="49">
        <v>24</v>
      </c>
      <c r="B27" s="262" t="s">
        <v>66</v>
      </c>
      <c r="C27" s="142"/>
      <c r="D27" s="142"/>
      <c r="E27" s="142"/>
      <c r="F27" s="142"/>
      <c r="G27" s="166"/>
      <c r="H27" s="161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67"/>
      <c r="AF27" s="161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52"/>
      <c r="AT27" s="152"/>
      <c r="AU27" s="152"/>
      <c r="AV27" s="152"/>
      <c r="AW27" s="152"/>
      <c r="AX27" s="152"/>
      <c r="AY27" s="152"/>
      <c r="AZ27" s="152"/>
      <c r="BA27" s="152"/>
      <c r="BB27" s="152"/>
      <c r="BC27" s="153"/>
      <c r="BD27" s="161"/>
      <c r="BE27" s="152"/>
      <c r="BF27" s="152"/>
      <c r="BG27" s="152"/>
      <c r="BH27" s="152"/>
      <c r="BI27" s="162"/>
      <c r="BJ27" s="302"/>
      <c r="BK27" s="303"/>
      <c r="BL27" s="239" t="s">
        <v>59</v>
      </c>
      <c r="BM27" s="239"/>
      <c r="BN27" s="239"/>
      <c r="BO27" s="240"/>
      <c r="BP27" s="306"/>
      <c r="BQ27" s="307"/>
      <c r="BR27" s="307"/>
      <c r="BS27" s="307"/>
      <c r="BT27" s="307"/>
      <c r="BU27" s="307"/>
      <c r="BV27" s="307"/>
      <c r="BW27" s="307"/>
      <c r="BX27" s="307"/>
      <c r="BY27" s="307"/>
      <c r="BZ27" s="307"/>
      <c r="CA27" s="307"/>
      <c r="CB27" s="308"/>
      <c r="CC27" s="308"/>
      <c r="CD27" s="308"/>
      <c r="CE27" s="308"/>
      <c r="CF27" s="308"/>
      <c r="CG27" s="309"/>
      <c r="CH27" s="100"/>
    </row>
    <row r="28" spans="1:86" ht="9.75" customHeight="1">
      <c r="A28" s="49">
        <v>25</v>
      </c>
      <c r="B28" s="262" t="s">
        <v>65</v>
      </c>
      <c r="C28" s="142"/>
      <c r="D28" s="142"/>
      <c r="E28" s="142"/>
      <c r="F28" s="142"/>
      <c r="G28" s="166"/>
      <c r="H28" s="150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2"/>
      <c r="AA28" s="152"/>
      <c r="AB28" s="152"/>
      <c r="AC28" s="152"/>
      <c r="AD28" s="152"/>
      <c r="AE28" s="167"/>
      <c r="AF28" s="150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2"/>
      <c r="AY28" s="152"/>
      <c r="AZ28" s="152"/>
      <c r="BA28" s="152"/>
      <c r="BB28" s="152"/>
      <c r="BC28" s="153"/>
      <c r="BD28" s="161"/>
      <c r="BE28" s="152"/>
      <c r="BF28" s="152"/>
      <c r="BG28" s="152"/>
      <c r="BH28" s="152"/>
      <c r="BI28" s="162"/>
      <c r="BJ28" s="290"/>
      <c r="BK28" s="291"/>
      <c r="BL28" s="291"/>
      <c r="BM28" s="291"/>
      <c r="BN28" s="291"/>
      <c r="BO28" s="291"/>
      <c r="BP28" s="294" t="s">
        <v>57</v>
      </c>
      <c r="BQ28" s="295"/>
      <c r="BR28" s="295"/>
      <c r="BS28" s="295"/>
      <c r="BT28" s="295"/>
      <c r="BU28" s="295"/>
      <c r="BV28" s="295"/>
      <c r="BW28" s="295"/>
      <c r="BX28" s="295"/>
      <c r="BY28" s="295"/>
      <c r="BZ28" s="295"/>
      <c r="CA28" s="295"/>
      <c r="CB28" s="295"/>
      <c r="CC28" s="295"/>
      <c r="CD28" s="295"/>
      <c r="CE28" s="295"/>
      <c r="CF28" s="295"/>
      <c r="CG28" s="296"/>
      <c r="CH28" s="100"/>
    </row>
    <row r="29" spans="1:86" ht="9.75" customHeight="1">
      <c r="A29" s="49">
        <v>26</v>
      </c>
      <c r="B29" s="262" t="s">
        <v>62</v>
      </c>
      <c r="C29" s="142"/>
      <c r="D29" s="142"/>
      <c r="E29" s="142"/>
      <c r="F29" s="142"/>
      <c r="G29" s="166"/>
      <c r="H29" s="150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2"/>
      <c r="AA29" s="152"/>
      <c r="AB29" s="152"/>
      <c r="AC29" s="152"/>
      <c r="AD29" s="152"/>
      <c r="AE29" s="167"/>
      <c r="AF29" s="150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2"/>
      <c r="AY29" s="152"/>
      <c r="AZ29" s="152"/>
      <c r="BA29" s="152"/>
      <c r="BB29" s="152"/>
      <c r="BC29" s="153"/>
      <c r="BD29" s="161"/>
      <c r="BE29" s="152"/>
      <c r="BF29" s="152"/>
      <c r="BG29" s="152"/>
      <c r="BH29" s="152"/>
      <c r="BI29" s="162"/>
      <c r="BJ29" s="124"/>
      <c r="BK29" s="125"/>
      <c r="BL29" s="125"/>
      <c r="BM29" s="125"/>
      <c r="BN29" s="125"/>
      <c r="BO29" s="125"/>
      <c r="BP29" s="297" t="s">
        <v>55</v>
      </c>
      <c r="BQ29" s="298"/>
      <c r="BR29" s="298"/>
      <c r="BS29" s="298"/>
      <c r="BT29" s="298"/>
      <c r="BU29" s="298"/>
      <c r="BV29" s="298" t="s">
        <v>54</v>
      </c>
      <c r="BW29" s="298"/>
      <c r="BX29" s="298"/>
      <c r="BY29" s="298"/>
      <c r="BZ29" s="298"/>
      <c r="CA29" s="298"/>
      <c r="CB29" s="298" t="s">
        <v>5</v>
      </c>
      <c r="CC29" s="298"/>
      <c r="CD29" s="298"/>
      <c r="CE29" s="298"/>
      <c r="CF29" s="298"/>
      <c r="CG29" s="299"/>
      <c r="CH29" s="100"/>
    </row>
    <row r="30" spans="1:86" ht="9.75" customHeight="1">
      <c r="A30" s="49">
        <v>27</v>
      </c>
      <c r="B30" s="262" t="s">
        <v>60</v>
      </c>
      <c r="C30" s="142"/>
      <c r="D30" s="142"/>
      <c r="E30" s="142"/>
      <c r="F30" s="142"/>
      <c r="G30" s="166"/>
      <c r="H30" s="150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2"/>
      <c r="AA30" s="152"/>
      <c r="AB30" s="152"/>
      <c r="AC30" s="152"/>
      <c r="AD30" s="152"/>
      <c r="AE30" s="167"/>
      <c r="AF30" s="150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2"/>
      <c r="AY30" s="152"/>
      <c r="AZ30" s="152"/>
      <c r="BA30" s="152"/>
      <c r="BB30" s="152"/>
      <c r="BC30" s="153"/>
      <c r="BD30" s="161"/>
      <c r="BE30" s="152"/>
      <c r="BF30" s="152"/>
      <c r="BG30" s="152"/>
      <c r="BH30" s="152"/>
      <c r="BI30" s="162"/>
      <c r="BJ30" s="292" t="s">
        <v>52</v>
      </c>
      <c r="BK30" s="155"/>
      <c r="BL30" s="155"/>
      <c r="BM30" s="155"/>
      <c r="BN30" s="155"/>
      <c r="BO30" s="293"/>
      <c r="BP30" s="157"/>
      <c r="BQ30" s="158"/>
      <c r="BR30" s="158"/>
      <c r="BS30" s="158"/>
      <c r="BT30" s="158"/>
      <c r="BU30" s="158"/>
      <c r="BV30" s="158"/>
      <c r="BW30" s="158"/>
      <c r="BX30" s="158"/>
      <c r="BY30" s="158"/>
      <c r="BZ30" s="158"/>
      <c r="CA30" s="158"/>
      <c r="CB30" s="158"/>
      <c r="CC30" s="158"/>
      <c r="CD30" s="158"/>
      <c r="CE30" s="158"/>
      <c r="CF30" s="158"/>
      <c r="CG30" s="160"/>
      <c r="CH30" s="100"/>
    </row>
    <row r="31" spans="1:86" ht="9.75" customHeight="1">
      <c r="A31" s="49">
        <v>28</v>
      </c>
      <c r="B31" s="262" t="s">
        <v>58</v>
      </c>
      <c r="C31" s="142"/>
      <c r="D31" s="142"/>
      <c r="E31" s="142"/>
      <c r="F31" s="142"/>
      <c r="G31" s="166"/>
      <c r="H31" s="150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2"/>
      <c r="AA31" s="152"/>
      <c r="AB31" s="152"/>
      <c r="AC31" s="152"/>
      <c r="AD31" s="152"/>
      <c r="AE31" s="167"/>
      <c r="AF31" s="150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2"/>
      <c r="AY31" s="152"/>
      <c r="AZ31" s="152"/>
      <c r="BA31" s="152"/>
      <c r="BB31" s="152"/>
      <c r="BC31" s="153"/>
      <c r="BD31" s="161"/>
      <c r="BE31" s="152"/>
      <c r="BF31" s="152"/>
      <c r="BG31" s="152"/>
      <c r="BH31" s="152"/>
      <c r="BI31" s="162"/>
      <c r="BJ31" s="262" t="s">
        <v>50</v>
      </c>
      <c r="BK31" s="142"/>
      <c r="BL31" s="142"/>
      <c r="BM31" s="142"/>
      <c r="BN31" s="142"/>
      <c r="BO31" s="166"/>
      <c r="BP31" s="161"/>
      <c r="BQ31" s="152"/>
      <c r="BR31" s="152"/>
      <c r="BS31" s="152"/>
      <c r="BT31" s="152"/>
      <c r="BU31" s="152"/>
      <c r="BV31" s="152"/>
      <c r="BW31" s="152"/>
      <c r="BX31" s="152"/>
      <c r="BY31" s="152"/>
      <c r="BZ31" s="152"/>
      <c r="CA31" s="152"/>
      <c r="CB31" s="152"/>
      <c r="CC31" s="152"/>
      <c r="CD31" s="152"/>
      <c r="CE31" s="152"/>
      <c r="CF31" s="152"/>
      <c r="CG31" s="162"/>
      <c r="CH31" s="100"/>
    </row>
    <row r="32" spans="1:86" ht="9.75" customHeight="1" thickBot="1">
      <c r="A32" s="49">
        <v>29</v>
      </c>
      <c r="B32" s="288" t="s">
        <v>56</v>
      </c>
      <c r="C32" s="148"/>
      <c r="D32" s="148"/>
      <c r="E32" s="148"/>
      <c r="F32" s="148"/>
      <c r="G32" s="289"/>
      <c r="H32" s="150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2"/>
      <c r="AA32" s="152"/>
      <c r="AB32" s="152"/>
      <c r="AC32" s="152"/>
      <c r="AD32" s="152"/>
      <c r="AE32" s="167"/>
      <c r="AF32" s="150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2"/>
      <c r="AY32" s="152"/>
      <c r="AZ32" s="152"/>
      <c r="BA32" s="152"/>
      <c r="BB32" s="152"/>
      <c r="BC32" s="153"/>
      <c r="BD32" s="161"/>
      <c r="BE32" s="152"/>
      <c r="BF32" s="152"/>
      <c r="BG32" s="152"/>
      <c r="BH32" s="152"/>
      <c r="BI32" s="162"/>
      <c r="BJ32" s="133" t="s">
        <v>48</v>
      </c>
      <c r="BK32" s="134"/>
      <c r="BL32" s="134"/>
      <c r="BM32" s="134"/>
      <c r="BN32" s="134"/>
      <c r="BO32" s="178"/>
      <c r="BP32" s="2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40"/>
      <c r="CH32" s="100"/>
    </row>
    <row r="33" spans="1:86" ht="9.75" customHeight="1">
      <c r="A33" s="49">
        <v>30</v>
      </c>
      <c r="B33" s="262" t="s">
        <v>53</v>
      </c>
      <c r="C33" s="142"/>
      <c r="D33" s="142"/>
      <c r="E33" s="142"/>
      <c r="F33" s="142"/>
      <c r="G33" s="166"/>
      <c r="H33" s="150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2"/>
      <c r="AA33" s="152"/>
      <c r="AB33" s="152"/>
      <c r="AC33" s="152"/>
      <c r="AD33" s="152"/>
      <c r="AE33" s="167"/>
      <c r="AF33" s="150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2"/>
      <c r="AY33" s="152"/>
      <c r="AZ33" s="152"/>
      <c r="BA33" s="152"/>
      <c r="BB33" s="152"/>
      <c r="BC33" s="153"/>
      <c r="BD33" s="161"/>
      <c r="BE33" s="152"/>
      <c r="BF33" s="152"/>
      <c r="BG33" s="152"/>
      <c r="BH33" s="152"/>
      <c r="BI33" s="162"/>
      <c r="CG33" s="61"/>
      <c r="CH33" s="100"/>
    </row>
    <row r="34" spans="1:86" ht="9.75" customHeight="1">
      <c r="A34" s="49">
        <v>31</v>
      </c>
      <c r="B34" s="262" t="s">
        <v>51</v>
      </c>
      <c r="C34" s="142"/>
      <c r="D34" s="142"/>
      <c r="E34" s="142"/>
      <c r="F34" s="142"/>
      <c r="G34" s="166"/>
      <c r="H34" s="150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2"/>
      <c r="AA34" s="152"/>
      <c r="AB34" s="152"/>
      <c r="AC34" s="152"/>
      <c r="AD34" s="152"/>
      <c r="AE34" s="167"/>
      <c r="AF34" s="150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2"/>
      <c r="AY34" s="152"/>
      <c r="AZ34" s="152"/>
      <c r="BA34" s="152"/>
      <c r="BB34" s="152"/>
      <c r="BC34" s="153"/>
      <c r="BD34" s="161"/>
      <c r="BE34" s="152"/>
      <c r="BF34" s="152"/>
      <c r="BG34" s="152"/>
      <c r="BH34" s="152"/>
      <c r="BI34" s="162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0"/>
      <c r="BW34" s="100"/>
      <c r="BX34" s="100"/>
      <c r="BY34" s="100"/>
      <c r="BZ34" s="100"/>
      <c r="CA34" s="100"/>
      <c r="CB34" s="100"/>
      <c r="CC34" s="100"/>
      <c r="CD34" s="100"/>
      <c r="CE34" s="100"/>
      <c r="CF34" s="100"/>
      <c r="CG34" s="24"/>
      <c r="CH34" s="100"/>
    </row>
    <row r="35" spans="1:86" ht="9.75" customHeight="1" thickBot="1">
      <c r="A35" s="49">
        <v>32</v>
      </c>
      <c r="B35" s="133" t="s">
        <v>49</v>
      </c>
      <c r="C35" s="134"/>
      <c r="D35" s="134"/>
      <c r="E35" s="134"/>
      <c r="F35" s="134"/>
      <c r="G35" s="178"/>
      <c r="H35" s="136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8"/>
      <c r="AA35" s="138"/>
      <c r="AB35" s="138"/>
      <c r="AC35" s="138"/>
      <c r="AD35" s="138"/>
      <c r="AE35" s="258"/>
      <c r="AF35" s="136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8"/>
      <c r="AY35" s="138"/>
      <c r="AZ35" s="138"/>
      <c r="BA35" s="138"/>
      <c r="BB35" s="138"/>
      <c r="BC35" s="139"/>
      <c r="BD35" s="238"/>
      <c r="BE35" s="138"/>
      <c r="BF35" s="138"/>
      <c r="BG35" s="138"/>
      <c r="BH35" s="138"/>
      <c r="BI35" s="140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24"/>
      <c r="CH35" s="100"/>
    </row>
    <row r="36" spans="1:86" ht="9.75" customHeight="1">
      <c r="A36" s="49">
        <v>33</v>
      </c>
      <c r="B36" s="93" t="s">
        <v>294</v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9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93" t="s">
        <v>402</v>
      </c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9"/>
      <c r="CH36" s="100"/>
    </row>
    <row r="37" spans="1:86" ht="9.75" customHeight="1">
      <c r="A37" s="49">
        <v>34</v>
      </c>
      <c r="B37" s="208"/>
      <c r="C37" s="209"/>
      <c r="D37" s="209"/>
      <c r="E37" s="209"/>
      <c r="F37" s="209"/>
      <c r="G37" s="210"/>
      <c r="H37" s="232" t="s">
        <v>276</v>
      </c>
      <c r="I37" s="229"/>
      <c r="J37" s="229"/>
      <c r="K37" s="229"/>
      <c r="L37" s="229"/>
      <c r="M37" s="231"/>
      <c r="N37" s="228" t="s">
        <v>277</v>
      </c>
      <c r="O37" s="229"/>
      <c r="P37" s="229"/>
      <c r="Q37" s="229"/>
      <c r="R37" s="229"/>
      <c r="S37" s="231"/>
      <c r="T37" s="228" t="s">
        <v>5</v>
      </c>
      <c r="U37" s="229"/>
      <c r="V37" s="229"/>
      <c r="W37" s="229"/>
      <c r="X37" s="229"/>
      <c r="Y37" s="230"/>
      <c r="Z37" s="226" t="s">
        <v>12</v>
      </c>
      <c r="AA37" s="226"/>
      <c r="AB37" s="226"/>
      <c r="AC37" s="226"/>
      <c r="AD37" s="226"/>
      <c r="AE37" s="227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97"/>
      <c r="BE37" s="123"/>
      <c r="BF37" s="123"/>
      <c r="BG37" s="123"/>
      <c r="BH37" s="123"/>
      <c r="BI37" s="123"/>
      <c r="BJ37" s="126" t="s">
        <v>42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6" t="s">
        <v>46</v>
      </c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  <c r="CG37" s="198"/>
      <c r="CH37" s="100"/>
    </row>
    <row r="38" spans="1:86" ht="9.75" customHeight="1">
      <c r="A38" s="49">
        <v>35</v>
      </c>
      <c r="B38" s="273" t="s">
        <v>44</v>
      </c>
      <c r="C38" s="276" t="s">
        <v>43</v>
      </c>
      <c r="D38" s="277"/>
      <c r="E38" s="277"/>
      <c r="F38" s="277"/>
      <c r="G38" s="278"/>
      <c r="H38" s="279"/>
      <c r="I38" s="280"/>
      <c r="J38" s="280"/>
      <c r="K38" s="280"/>
      <c r="L38" s="280"/>
      <c r="M38" s="281"/>
      <c r="N38" s="282"/>
      <c r="O38" s="282"/>
      <c r="P38" s="282"/>
      <c r="Q38" s="282"/>
      <c r="R38" s="282"/>
      <c r="S38" s="282"/>
      <c r="T38" s="158"/>
      <c r="U38" s="158"/>
      <c r="V38" s="158"/>
      <c r="W38" s="158"/>
      <c r="X38" s="158"/>
      <c r="Y38" s="193"/>
      <c r="Z38" s="283"/>
      <c r="AA38" s="284"/>
      <c r="AB38" s="284"/>
      <c r="AC38" s="284"/>
      <c r="AD38" s="284"/>
      <c r="AE38" s="28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24"/>
      <c r="BE38" s="125"/>
      <c r="BF38" s="125"/>
      <c r="BG38" s="125"/>
      <c r="BH38" s="125"/>
      <c r="BI38" s="125"/>
      <c r="BJ38" s="199" t="s">
        <v>45</v>
      </c>
      <c r="BK38" s="199"/>
      <c r="BL38" s="199"/>
      <c r="BM38" s="199"/>
      <c r="BN38" s="199"/>
      <c r="BO38" s="200"/>
      <c r="BP38" s="201" t="s">
        <v>12</v>
      </c>
      <c r="BQ38" s="199"/>
      <c r="BR38" s="199"/>
      <c r="BS38" s="199"/>
      <c r="BT38" s="199"/>
      <c r="BU38" s="200"/>
      <c r="BV38" s="199" t="s">
        <v>45</v>
      </c>
      <c r="BW38" s="199"/>
      <c r="BX38" s="199"/>
      <c r="BY38" s="199"/>
      <c r="BZ38" s="199"/>
      <c r="CA38" s="200"/>
      <c r="CB38" s="201" t="s">
        <v>12</v>
      </c>
      <c r="CC38" s="199"/>
      <c r="CD38" s="199"/>
      <c r="CE38" s="199"/>
      <c r="CF38" s="199"/>
      <c r="CG38" s="202"/>
      <c r="CH38" s="100"/>
    </row>
    <row r="39" spans="1:86" ht="9.75" customHeight="1">
      <c r="A39" s="49">
        <v>36</v>
      </c>
      <c r="B39" s="274"/>
      <c r="C39" s="166" t="s">
        <v>41</v>
      </c>
      <c r="D39" s="263"/>
      <c r="E39" s="263"/>
      <c r="F39" s="263"/>
      <c r="G39" s="264"/>
      <c r="H39" s="259"/>
      <c r="I39" s="260"/>
      <c r="J39" s="260"/>
      <c r="K39" s="260"/>
      <c r="L39" s="260"/>
      <c r="M39" s="261"/>
      <c r="N39" s="189"/>
      <c r="O39" s="189"/>
      <c r="P39" s="189"/>
      <c r="Q39" s="189"/>
      <c r="R39" s="189"/>
      <c r="S39" s="189"/>
      <c r="T39" s="152"/>
      <c r="U39" s="152"/>
      <c r="V39" s="152"/>
      <c r="W39" s="152"/>
      <c r="X39" s="152"/>
      <c r="Y39" s="167"/>
      <c r="Z39" s="269"/>
      <c r="AA39" s="267"/>
      <c r="AB39" s="267"/>
      <c r="AC39" s="267"/>
      <c r="AD39" s="267"/>
      <c r="AE39" s="268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90" t="s">
        <v>301</v>
      </c>
      <c r="BE39" s="191"/>
      <c r="BF39" s="191"/>
      <c r="BG39" s="191"/>
      <c r="BH39" s="191"/>
      <c r="BI39" s="192"/>
      <c r="BJ39" s="157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93"/>
      <c r="BV39" s="194"/>
      <c r="BW39" s="195"/>
      <c r="BX39" s="195"/>
      <c r="BY39" s="195"/>
      <c r="BZ39" s="195"/>
      <c r="CA39" s="195"/>
      <c r="CB39" s="195"/>
      <c r="CC39" s="195"/>
      <c r="CD39" s="195"/>
      <c r="CE39" s="195"/>
      <c r="CF39" s="195"/>
      <c r="CG39" s="196"/>
      <c r="CH39" s="100"/>
    </row>
    <row r="40" spans="1:86" ht="9.75" customHeight="1">
      <c r="A40" s="49">
        <v>37</v>
      </c>
      <c r="B40" s="274"/>
      <c r="C40" s="166" t="s">
        <v>39</v>
      </c>
      <c r="D40" s="263"/>
      <c r="E40" s="263"/>
      <c r="F40" s="263"/>
      <c r="G40" s="264"/>
      <c r="H40" s="259"/>
      <c r="I40" s="260"/>
      <c r="J40" s="260"/>
      <c r="K40" s="260"/>
      <c r="L40" s="260"/>
      <c r="M40" s="261"/>
      <c r="N40" s="189"/>
      <c r="O40" s="189"/>
      <c r="P40" s="189"/>
      <c r="Q40" s="189"/>
      <c r="R40" s="189"/>
      <c r="S40" s="189"/>
      <c r="T40" s="152"/>
      <c r="U40" s="152"/>
      <c r="V40" s="152"/>
      <c r="W40" s="152"/>
      <c r="X40" s="152"/>
      <c r="Y40" s="167"/>
      <c r="Z40" s="269"/>
      <c r="AA40" s="267"/>
      <c r="AB40" s="267"/>
      <c r="AC40" s="267"/>
      <c r="AD40" s="267"/>
      <c r="AE40" s="268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51"/>
      <c r="BE40" s="142" t="s">
        <v>40</v>
      </c>
      <c r="BF40" s="142"/>
      <c r="BG40" s="142"/>
      <c r="BH40" s="142"/>
      <c r="BI40" s="166"/>
      <c r="BJ40" s="161"/>
      <c r="BK40" s="152"/>
      <c r="BL40" s="152"/>
      <c r="BM40" s="152"/>
      <c r="BN40" s="152"/>
      <c r="BO40" s="152"/>
      <c r="BP40" s="152"/>
      <c r="BQ40" s="152"/>
      <c r="BR40" s="152"/>
      <c r="BS40" s="152"/>
      <c r="BT40" s="152"/>
      <c r="BU40" s="167"/>
      <c r="BV40" s="161"/>
      <c r="BW40" s="152"/>
      <c r="BX40" s="152"/>
      <c r="BY40" s="152"/>
      <c r="BZ40" s="152"/>
      <c r="CA40" s="152"/>
      <c r="CB40" s="152"/>
      <c r="CC40" s="152"/>
      <c r="CD40" s="152"/>
      <c r="CE40" s="152"/>
      <c r="CF40" s="152"/>
      <c r="CG40" s="162"/>
      <c r="CH40" s="100"/>
    </row>
    <row r="41" spans="1:86" ht="9.75" customHeight="1">
      <c r="A41" s="49">
        <v>38</v>
      </c>
      <c r="B41" s="274"/>
      <c r="C41" s="166" t="s">
        <v>37</v>
      </c>
      <c r="D41" s="263"/>
      <c r="E41" s="263"/>
      <c r="F41" s="263"/>
      <c r="G41" s="264"/>
      <c r="H41" s="259"/>
      <c r="I41" s="260"/>
      <c r="J41" s="260"/>
      <c r="K41" s="260"/>
      <c r="L41" s="260"/>
      <c r="M41" s="261"/>
      <c r="N41" s="189"/>
      <c r="O41" s="189"/>
      <c r="P41" s="189"/>
      <c r="Q41" s="189"/>
      <c r="R41" s="189"/>
      <c r="S41" s="189"/>
      <c r="T41" s="152"/>
      <c r="U41" s="152"/>
      <c r="V41" s="152"/>
      <c r="W41" s="152"/>
      <c r="X41" s="152"/>
      <c r="Y41" s="167"/>
      <c r="Z41" s="269"/>
      <c r="AA41" s="267"/>
      <c r="AB41" s="267"/>
      <c r="AC41" s="267"/>
      <c r="AD41" s="267"/>
      <c r="AE41" s="268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52"/>
      <c r="BE41" s="142" t="s">
        <v>38</v>
      </c>
      <c r="BF41" s="142"/>
      <c r="BG41" s="142"/>
      <c r="BH41" s="142"/>
      <c r="BI41" s="166"/>
      <c r="BJ41" s="161"/>
      <c r="BK41" s="152"/>
      <c r="BL41" s="152"/>
      <c r="BM41" s="152"/>
      <c r="BN41" s="152"/>
      <c r="BO41" s="152"/>
      <c r="BP41" s="152"/>
      <c r="BQ41" s="152"/>
      <c r="BR41" s="152"/>
      <c r="BS41" s="152"/>
      <c r="BT41" s="152"/>
      <c r="BU41" s="167"/>
      <c r="BV41" s="144"/>
      <c r="BW41" s="145"/>
      <c r="BX41" s="145"/>
      <c r="BY41" s="145"/>
      <c r="BZ41" s="145"/>
      <c r="CA41" s="145"/>
      <c r="CB41" s="145"/>
      <c r="CC41" s="145"/>
      <c r="CD41" s="145"/>
      <c r="CE41" s="145"/>
      <c r="CF41" s="145"/>
      <c r="CG41" s="147"/>
      <c r="CH41" s="100"/>
    </row>
    <row r="42" spans="1:86" ht="9.75" customHeight="1">
      <c r="A42" s="49">
        <v>39</v>
      </c>
      <c r="B42" s="274"/>
      <c r="C42" s="166" t="s">
        <v>34</v>
      </c>
      <c r="D42" s="263"/>
      <c r="E42" s="263"/>
      <c r="F42" s="263"/>
      <c r="G42" s="264"/>
      <c r="H42" s="259"/>
      <c r="I42" s="260"/>
      <c r="J42" s="260"/>
      <c r="K42" s="260"/>
      <c r="L42" s="260"/>
      <c r="M42" s="261"/>
      <c r="N42" s="189"/>
      <c r="O42" s="189"/>
      <c r="P42" s="189"/>
      <c r="Q42" s="189"/>
      <c r="R42" s="189"/>
      <c r="S42" s="189"/>
      <c r="T42" s="152"/>
      <c r="U42" s="152"/>
      <c r="V42" s="152"/>
      <c r="W42" s="152"/>
      <c r="X42" s="152"/>
      <c r="Y42" s="167"/>
      <c r="Z42" s="269"/>
      <c r="AA42" s="267"/>
      <c r="AB42" s="267"/>
      <c r="AC42" s="267"/>
      <c r="AD42" s="267"/>
      <c r="AE42" s="268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81" t="s">
        <v>36</v>
      </c>
      <c r="BE42" s="142" t="s">
        <v>35</v>
      </c>
      <c r="BF42" s="142"/>
      <c r="BG42" s="142"/>
      <c r="BH42" s="142"/>
      <c r="BI42" s="143"/>
      <c r="BJ42" s="161"/>
      <c r="BK42" s="152"/>
      <c r="BL42" s="152"/>
      <c r="BM42" s="152"/>
      <c r="BN42" s="152"/>
      <c r="BO42" s="152"/>
      <c r="BP42" s="152"/>
      <c r="BQ42" s="152"/>
      <c r="BR42" s="152"/>
      <c r="BS42" s="152"/>
      <c r="BT42" s="152"/>
      <c r="BU42" s="153"/>
      <c r="BV42" s="168"/>
      <c r="BW42" s="169"/>
      <c r="BX42" s="169"/>
      <c r="BY42" s="169"/>
      <c r="BZ42" s="169"/>
      <c r="CA42" s="170"/>
      <c r="CB42" s="171"/>
      <c r="CC42" s="169"/>
      <c r="CD42" s="169"/>
      <c r="CE42" s="169"/>
      <c r="CF42" s="169"/>
      <c r="CG42" s="172"/>
      <c r="CH42" s="100"/>
    </row>
    <row r="43" spans="1:86" ht="9.75" customHeight="1">
      <c r="A43" s="49">
        <v>40</v>
      </c>
      <c r="B43" s="274"/>
      <c r="C43" s="166" t="s">
        <v>32</v>
      </c>
      <c r="D43" s="263"/>
      <c r="E43" s="263"/>
      <c r="F43" s="263"/>
      <c r="G43" s="264"/>
      <c r="H43" s="259"/>
      <c r="I43" s="260"/>
      <c r="J43" s="260"/>
      <c r="K43" s="260"/>
      <c r="L43" s="260"/>
      <c r="M43" s="261"/>
      <c r="N43" s="189"/>
      <c r="O43" s="189"/>
      <c r="P43" s="189"/>
      <c r="Q43" s="189"/>
      <c r="R43" s="189"/>
      <c r="S43" s="189"/>
      <c r="T43" s="152"/>
      <c r="U43" s="152"/>
      <c r="V43" s="152"/>
      <c r="W43" s="152"/>
      <c r="X43" s="152"/>
      <c r="Y43" s="167"/>
      <c r="Z43" s="269"/>
      <c r="AA43" s="267"/>
      <c r="AB43" s="267"/>
      <c r="AC43" s="267"/>
      <c r="AD43" s="267"/>
      <c r="AE43" s="268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82"/>
      <c r="BE43" s="142" t="s">
        <v>33</v>
      </c>
      <c r="BF43" s="142"/>
      <c r="BG43" s="142"/>
      <c r="BH43" s="142"/>
      <c r="BI43" s="143"/>
      <c r="BJ43" s="161"/>
      <c r="BK43" s="152"/>
      <c r="BL43" s="152"/>
      <c r="BM43" s="152"/>
      <c r="BN43" s="152"/>
      <c r="BO43" s="152"/>
      <c r="BP43" s="152"/>
      <c r="BQ43" s="152"/>
      <c r="BR43" s="152"/>
      <c r="BS43" s="152"/>
      <c r="BT43" s="152"/>
      <c r="BU43" s="153"/>
      <c r="BV43" s="168"/>
      <c r="BW43" s="169"/>
      <c r="BX43" s="169"/>
      <c r="BY43" s="169"/>
      <c r="BZ43" s="169"/>
      <c r="CA43" s="170"/>
      <c r="CB43" s="171"/>
      <c r="CC43" s="169"/>
      <c r="CD43" s="169"/>
      <c r="CE43" s="169"/>
      <c r="CF43" s="169"/>
      <c r="CG43" s="172"/>
      <c r="CH43" s="100"/>
    </row>
    <row r="44" spans="1:86" ht="9.75" customHeight="1">
      <c r="A44" s="49">
        <v>41</v>
      </c>
      <c r="B44" s="274"/>
      <c r="C44" s="166" t="s">
        <v>30</v>
      </c>
      <c r="D44" s="263"/>
      <c r="E44" s="263"/>
      <c r="F44" s="263"/>
      <c r="G44" s="264"/>
      <c r="H44" s="259"/>
      <c r="I44" s="260"/>
      <c r="J44" s="260"/>
      <c r="K44" s="260"/>
      <c r="L44" s="260"/>
      <c r="M44" s="261"/>
      <c r="N44" s="189"/>
      <c r="O44" s="189"/>
      <c r="P44" s="189"/>
      <c r="Q44" s="189"/>
      <c r="R44" s="189"/>
      <c r="S44" s="189"/>
      <c r="T44" s="152"/>
      <c r="U44" s="152"/>
      <c r="V44" s="152"/>
      <c r="W44" s="152"/>
      <c r="X44" s="152"/>
      <c r="Y44" s="167"/>
      <c r="Z44" s="269"/>
      <c r="AA44" s="267"/>
      <c r="AB44" s="267"/>
      <c r="AC44" s="267"/>
      <c r="AD44" s="267"/>
      <c r="AE44" s="268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82"/>
      <c r="BE44" s="184" t="s">
        <v>31</v>
      </c>
      <c r="BF44" s="142"/>
      <c r="BG44" s="142"/>
      <c r="BH44" s="142"/>
      <c r="BI44" s="143"/>
      <c r="BJ44" s="161"/>
      <c r="BK44" s="152"/>
      <c r="BL44" s="152"/>
      <c r="BM44" s="152"/>
      <c r="BN44" s="152"/>
      <c r="BO44" s="152"/>
      <c r="BP44" s="152"/>
      <c r="BQ44" s="152"/>
      <c r="BR44" s="152"/>
      <c r="BS44" s="152"/>
      <c r="BT44" s="152"/>
      <c r="BU44" s="153"/>
      <c r="BV44" s="168"/>
      <c r="BW44" s="169"/>
      <c r="BX44" s="169"/>
      <c r="BY44" s="169"/>
      <c r="BZ44" s="169"/>
      <c r="CA44" s="170"/>
      <c r="CB44" s="171"/>
      <c r="CC44" s="169"/>
      <c r="CD44" s="169"/>
      <c r="CE44" s="169"/>
      <c r="CF44" s="169"/>
      <c r="CG44" s="172"/>
      <c r="CH44" s="100"/>
    </row>
    <row r="45" spans="1:86" ht="9.75" customHeight="1">
      <c r="A45" s="49">
        <v>42</v>
      </c>
      <c r="B45" s="274"/>
      <c r="C45" s="166" t="s">
        <v>28</v>
      </c>
      <c r="D45" s="263"/>
      <c r="E45" s="263"/>
      <c r="F45" s="263"/>
      <c r="G45" s="264"/>
      <c r="H45" s="259"/>
      <c r="I45" s="260"/>
      <c r="J45" s="260"/>
      <c r="K45" s="260"/>
      <c r="L45" s="260"/>
      <c r="M45" s="261"/>
      <c r="N45" s="189"/>
      <c r="O45" s="189"/>
      <c r="P45" s="189"/>
      <c r="Q45" s="189"/>
      <c r="R45" s="189"/>
      <c r="S45" s="189"/>
      <c r="T45" s="152"/>
      <c r="U45" s="152"/>
      <c r="V45" s="152"/>
      <c r="W45" s="152"/>
      <c r="X45" s="152"/>
      <c r="Y45" s="167"/>
      <c r="Z45" s="269"/>
      <c r="AA45" s="267"/>
      <c r="AB45" s="267"/>
      <c r="AC45" s="267"/>
      <c r="AD45" s="267"/>
      <c r="AE45" s="268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82"/>
      <c r="BE45" s="34"/>
      <c r="BF45" s="185" t="s">
        <v>29</v>
      </c>
      <c r="BG45" s="186"/>
      <c r="BH45" s="186"/>
      <c r="BI45" s="187"/>
      <c r="BJ45" s="188"/>
      <c r="BK45" s="189"/>
      <c r="BL45" s="189"/>
      <c r="BM45" s="189"/>
      <c r="BN45" s="189"/>
      <c r="BO45" s="189"/>
      <c r="BP45" s="152"/>
      <c r="BQ45" s="152"/>
      <c r="BR45" s="152"/>
      <c r="BS45" s="152"/>
      <c r="BT45" s="152"/>
      <c r="BU45" s="153"/>
      <c r="BV45" s="168"/>
      <c r="BW45" s="169"/>
      <c r="BX45" s="169"/>
      <c r="BY45" s="169"/>
      <c r="BZ45" s="169"/>
      <c r="CA45" s="170"/>
      <c r="CB45" s="171"/>
      <c r="CC45" s="169"/>
      <c r="CD45" s="169"/>
      <c r="CE45" s="169"/>
      <c r="CF45" s="169"/>
      <c r="CG45" s="172"/>
      <c r="CH45" s="100"/>
    </row>
    <row r="46" spans="1:86" ht="9.75" customHeight="1">
      <c r="A46" s="49">
        <v>43</v>
      </c>
      <c r="B46" s="274"/>
      <c r="C46" s="166" t="s">
        <v>26</v>
      </c>
      <c r="D46" s="263"/>
      <c r="E46" s="263"/>
      <c r="F46" s="263"/>
      <c r="G46" s="264"/>
      <c r="H46" s="259"/>
      <c r="I46" s="260"/>
      <c r="J46" s="260"/>
      <c r="K46" s="260"/>
      <c r="L46" s="260"/>
      <c r="M46" s="261"/>
      <c r="N46" s="189"/>
      <c r="O46" s="189"/>
      <c r="P46" s="189"/>
      <c r="Q46" s="189"/>
      <c r="R46" s="189"/>
      <c r="S46" s="189"/>
      <c r="T46" s="152"/>
      <c r="U46" s="152"/>
      <c r="V46" s="152"/>
      <c r="W46" s="152"/>
      <c r="X46" s="152"/>
      <c r="Y46" s="167"/>
      <c r="Z46" s="269"/>
      <c r="AA46" s="267"/>
      <c r="AB46" s="267"/>
      <c r="AC46" s="267"/>
      <c r="AD46" s="267"/>
      <c r="AE46" s="268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82"/>
      <c r="BE46" s="34"/>
      <c r="BF46" s="185" t="s">
        <v>27</v>
      </c>
      <c r="BG46" s="186"/>
      <c r="BH46" s="186"/>
      <c r="BI46" s="187"/>
      <c r="BJ46" s="188"/>
      <c r="BK46" s="189"/>
      <c r="BL46" s="189"/>
      <c r="BM46" s="189"/>
      <c r="BN46" s="189"/>
      <c r="BO46" s="189"/>
      <c r="BP46" s="152"/>
      <c r="BQ46" s="152"/>
      <c r="BR46" s="152"/>
      <c r="BS46" s="152"/>
      <c r="BT46" s="152"/>
      <c r="BU46" s="153"/>
      <c r="BV46" s="168"/>
      <c r="BW46" s="169"/>
      <c r="BX46" s="169"/>
      <c r="BY46" s="169"/>
      <c r="BZ46" s="169"/>
      <c r="CA46" s="170"/>
      <c r="CB46" s="171"/>
      <c r="CC46" s="169"/>
      <c r="CD46" s="169"/>
      <c r="CE46" s="169"/>
      <c r="CF46" s="169"/>
      <c r="CG46" s="172"/>
      <c r="CH46" s="100"/>
    </row>
    <row r="47" spans="1:86" ht="9.75" customHeight="1">
      <c r="A47" s="49">
        <v>44</v>
      </c>
      <c r="B47" s="274"/>
      <c r="C47" s="166" t="s">
        <v>24</v>
      </c>
      <c r="D47" s="263"/>
      <c r="E47" s="263"/>
      <c r="F47" s="263"/>
      <c r="G47" s="264"/>
      <c r="H47" s="259"/>
      <c r="I47" s="260"/>
      <c r="J47" s="260"/>
      <c r="K47" s="260"/>
      <c r="L47" s="260"/>
      <c r="M47" s="261"/>
      <c r="N47" s="189"/>
      <c r="O47" s="189"/>
      <c r="P47" s="189"/>
      <c r="Q47" s="189"/>
      <c r="R47" s="189"/>
      <c r="S47" s="189"/>
      <c r="T47" s="152"/>
      <c r="U47" s="152"/>
      <c r="V47" s="152"/>
      <c r="W47" s="152"/>
      <c r="X47" s="152"/>
      <c r="Y47" s="167"/>
      <c r="Z47" s="269"/>
      <c r="AA47" s="267"/>
      <c r="AB47" s="267"/>
      <c r="AC47" s="267"/>
      <c r="AD47" s="267"/>
      <c r="AE47" s="268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82"/>
      <c r="BE47" s="34"/>
      <c r="BF47" s="142" t="s">
        <v>25</v>
      </c>
      <c r="BG47" s="142"/>
      <c r="BH47" s="142"/>
      <c r="BI47" s="143"/>
      <c r="BJ47" s="188"/>
      <c r="BK47" s="189"/>
      <c r="BL47" s="189"/>
      <c r="BM47" s="189"/>
      <c r="BN47" s="189"/>
      <c r="BO47" s="189"/>
      <c r="BP47" s="152"/>
      <c r="BQ47" s="152"/>
      <c r="BR47" s="152"/>
      <c r="BS47" s="152"/>
      <c r="BT47" s="152"/>
      <c r="BU47" s="153"/>
      <c r="BV47" s="168"/>
      <c r="BW47" s="169"/>
      <c r="BX47" s="169"/>
      <c r="BY47" s="169"/>
      <c r="BZ47" s="169"/>
      <c r="CA47" s="170"/>
      <c r="CB47" s="171"/>
      <c r="CC47" s="169"/>
      <c r="CD47" s="169"/>
      <c r="CE47" s="169"/>
      <c r="CF47" s="169"/>
      <c r="CG47" s="172"/>
      <c r="CH47" s="100"/>
    </row>
    <row r="48" spans="1:86" ht="9.75" customHeight="1" thickBot="1">
      <c r="A48" s="49">
        <v>45</v>
      </c>
      <c r="B48" s="274"/>
      <c r="C48" s="166" t="s">
        <v>22</v>
      </c>
      <c r="D48" s="263"/>
      <c r="E48" s="263"/>
      <c r="F48" s="263"/>
      <c r="G48" s="264"/>
      <c r="H48" s="259"/>
      <c r="I48" s="260"/>
      <c r="J48" s="260"/>
      <c r="K48" s="260"/>
      <c r="L48" s="260"/>
      <c r="M48" s="261"/>
      <c r="N48" s="189"/>
      <c r="O48" s="189"/>
      <c r="P48" s="189"/>
      <c r="Q48" s="189"/>
      <c r="R48" s="189"/>
      <c r="S48" s="189"/>
      <c r="T48" s="152"/>
      <c r="U48" s="152"/>
      <c r="V48" s="152"/>
      <c r="W48" s="152"/>
      <c r="X48" s="152"/>
      <c r="Y48" s="167"/>
      <c r="Z48" s="267"/>
      <c r="AA48" s="267"/>
      <c r="AB48" s="267"/>
      <c r="AC48" s="267"/>
      <c r="AD48" s="267"/>
      <c r="AE48" s="268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83"/>
      <c r="BE48" s="35"/>
      <c r="BF48" s="134" t="s">
        <v>425</v>
      </c>
      <c r="BG48" s="134"/>
      <c r="BH48" s="134"/>
      <c r="BI48" s="178"/>
      <c r="BJ48" s="179"/>
      <c r="BK48" s="180"/>
      <c r="BL48" s="180"/>
      <c r="BM48" s="180"/>
      <c r="BN48" s="180"/>
      <c r="BO48" s="180"/>
      <c r="BP48" s="138"/>
      <c r="BQ48" s="138"/>
      <c r="BR48" s="138"/>
      <c r="BS48" s="138"/>
      <c r="BT48" s="138"/>
      <c r="BU48" s="139"/>
      <c r="BV48" s="173"/>
      <c r="BW48" s="174"/>
      <c r="BX48" s="174"/>
      <c r="BY48" s="174"/>
      <c r="BZ48" s="174"/>
      <c r="CA48" s="175"/>
      <c r="CB48" s="176"/>
      <c r="CC48" s="174"/>
      <c r="CD48" s="174"/>
      <c r="CE48" s="174"/>
      <c r="CF48" s="174"/>
      <c r="CG48" s="177"/>
      <c r="CH48" s="100"/>
    </row>
    <row r="49" spans="1:86" ht="9.75" customHeight="1">
      <c r="A49" s="49">
        <v>46</v>
      </c>
      <c r="B49" s="274"/>
      <c r="C49" s="166" t="s">
        <v>21</v>
      </c>
      <c r="D49" s="263"/>
      <c r="E49" s="263"/>
      <c r="F49" s="263"/>
      <c r="G49" s="264"/>
      <c r="H49" s="259"/>
      <c r="I49" s="260"/>
      <c r="J49" s="260"/>
      <c r="K49" s="260"/>
      <c r="L49" s="260"/>
      <c r="M49" s="261"/>
      <c r="N49" s="189"/>
      <c r="O49" s="189"/>
      <c r="P49" s="189"/>
      <c r="Q49" s="189"/>
      <c r="R49" s="189"/>
      <c r="S49" s="189"/>
      <c r="T49" s="152"/>
      <c r="U49" s="152"/>
      <c r="V49" s="152"/>
      <c r="W49" s="152"/>
      <c r="X49" s="152"/>
      <c r="Y49" s="167"/>
      <c r="Z49" s="267"/>
      <c r="AA49" s="267"/>
      <c r="AB49" s="267"/>
      <c r="AC49" s="267"/>
      <c r="AD49" s="267"/>
      <c r="AE49" s="268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93" t="s">
        <v>403</v>
      </c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9"/>
      <c r="CH49" s="100"/>
    </row>
    <row r="50" spans="1:86" ht="9.75" customHeight="1">
      <c r="A50" s="49">
        <v>47</v>
      </c>
      <c r="B50" s="275"/>
      <c r="C50" s="166" t="s">
        <v>18</v>
      </c>
      <c r="D50" s="263"/>
      <c r="E50" s="263"/>
      <c r="F50" s="263"/>
      <c r="G50" s="264"/>
      <c r="H50" s="259"/>
      <c r="I50" s="260"/>
      <c r="J50" s="260"/>
      <c r="K50" s="260"/>
      <c r="L50" s="260"/>
      <c r="M50" s="261"/>
      <c r="N50" s="151"/>
      <c r="O50" s="151"/>
      <c r="P50" s="151"/>
      <c r="Q50" s="151"/>
      <c r="R50" s="151"/>
      <c r="S50" s="151"/>
      <c r="T50" s="152"/>
      <c r="U50" s="152"/>
      <c r="V50" s="152"/>
      <c r="W50" s="152"/>
      <c r="X50" s="152"/>
      <c r="Y50" s="167"/>
      <c r="Z50" s="267"/>
      <c r="AA50" s="267"/>
      <c r="AB50" s="267"/>
      <c r="AC50" s="267"/>
      <c r="AD50" s="267"/>
      <c r="AE50" s="268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22"/>
      <c r="BE50" s="123"/>
      <c r="BF50" s="123"/>
      <c r="BG50" s="123"/>
      <c r="BH50" s="123"/>
      <c r="BI50" s="123"/>
      <c r="BJ50" s="126" t="s">
        <v>20</v>
      </c>
      <c r="BK50" s="127"/>
      <c r="BL50" s="127"/>
      <c r="BM50" s="127"/>
      <c r="BN50" s="127"/>
      <c r="BO50" s="127"/>
      <c r="BP50" s="127"/>
      <c r="BQ50" s="127"/>
      <c r="BR50" s="127"/>
      <c r="BS50" s="127"/>
      <c r="BT50" s="127"/>
      <c r="BU50" s="127"/>
      <c r="BV50" s="128" t="s">
        <v>19</v>
      </c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30"/>
      <c r="CH50" s="100"/>
    </row>
    <row r="51" spans="1:86" ht="9.75" customHeight="1">
      <c r="A51" s="49">
        <v>48</v>
      </c>
      <c r="B51" s="270" t="s">
        <v>5</v>
      </c>
      <c r="C51" s="271"/>
      <c r="D51" s="271"/>
      <c r="E51" s="271"/>
      <c r="F51" s="271"/>
      <c r="G51" s="128"/>
      <c r="H51" s="244"/>
      <c r="I51" s="245"/>
      <c r="J51" s="245"/>
      <c r="K51" s="245"/>
      <c r="L51" s="245"/>
      <c r="M51" s="246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67"/>
      <c r="Z51" s="267"/>
      <c r="AA51" s="267"/>
      <c r="AB51" s="267"/>
      <c r="AC51" s="267"/>
      <c r="AD51" s="267"/>
      <c r="AE51" s="268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24"/>
      <c r="BE51" s="125"/>
      <c r="BF51" s="125"/>
      <c r="BG51" s="125"/>
      <c r="BH51" s="125"/>
      <c r="BI51" s="125"/>
      <c r="BJ51" s="131" t="s">
        <v>17</v>
      </c>
      <c r="BK51" s="132"/>
      <c r="BL51" s="132"/>
      <c r="BM51" s="132"/>
      <c r="BN51" s="132"/>
      <c r="BO51" s="132"/>
      <c r="BP51" s="163" t="s">
        <v>16</v>
      </c>
      <c r="BQ51" s="132"/>
      <c r="BR51" s="132"/>
      <c r="BS51" s="132"/>
      <c r="BT51" s="132"/>
      <c r="BU51" s="164"/>
      <c r="BV51" s="131" t="s">
        <v>17</v>
      </c>
      <c r="BW51" s="132"/>
      <c r="BX51" s="132"/>
      <c r="BY51" s="132"/>
      <c r="BZ51" s="132"/>
      <c r="CA51" s="132"/>
      <c r="CB51" s="163" t="s">
        <v>16</v>
      </c>
      <c r="CC51" s="132"/>
      <c r="CD51" s="132"/>
      <c r="CE51" s="132"/>
      <c r="CF51" s="132"/>
      <c r="CG51" s="165"/>
      <c r="CH51" s="100"/>
    </row>
    <row r="52" spans="1:86" ht="9.75" customHeight="1">
      <c r="A52" s="49">
        <v>49</v>
      </c>
      <c r="B52" s="272" t="s">
        <v>14</v>
      </c>
      <c r="C52" s="242"/>
      <c r="D52" s="242"/>
      <c r="E52" s="242"/>
      <c r="F52" s="242"/>
      <c r="G52" s="243"/>
      <c r="H52" s="259"/>
      <c r="I52" s="260"/>
      <c r="J52" s="260"/>
      <c r="K52" s="260"/>
      <c r="L52" s="260"/>
      <c r="M52" s="261"/>
      <c r="N52" s="189"/>
      <c r="O52" s="189"/>
      <c r="P52" s="189"/>
      <c r="Q52" s="189"/>
      <c r="R52" s="189"/>
      <c r="S52" s="189"/>
      <c r="T52" s="152"/>
      <c r="U52" s="152"/>
      <c r="V52" s="152"/>
      <c r="W52" s="152"/>
      <c r="X52" s="152"/>
      <c r="Y52" s="167"/>
      <c r="Z52" s="267"/>
      <c r="AA52" s="267"/>
      <c r="AB52" s="267"/>
      <c r="AC52" s="267"/>
      <c r="AD52" s="267"/>
      <c r="AE52" s="268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54" t="s">
        <v>15</v>
      </c>
      <c r="BE52" s="155" t="s">
        <v>124</v>
      </c>
      <c r="BF52" s="155"/>
      <c r="BG52" s="155"/>
      <c r="BH52" s="155"/>
      <c r="BI52" s="156"/>
      <c r="BJ52" s="157"/>
      <c r="BK52" s="158"/>
      <c r="BL52" s="158"/>
      <c r="BM52" s="158"/>
      <c r="BN52" s="158"/>
      <c r="BO52" s="158"/>
      <c r="BP52" s="158"/>
      <c r="BQ52" s="158"/>
      <c r="BR52" s="158"/>
      <c r="BS52" s="158"/>
      <c r="BT52" s="158"/>
      <c r="BU52" s="159"/>
      <c r="BV52" s="157"/>
      <c r="BW52" s="158"/>
      <c r="BX52" s="158"/>
      <c r="BY52" s="158"/>
      <c r="BZ52" s="158"/>
      <c r="CA52" s="158"/>
      <c r="CB52" s="158"/>
      <c r="CC52" s="158"/>
      <c r="CD52" s="158"/>
      <c r="CE52" s="158"/>
      <c r="CF52" s="158"/>
      <c r="CG52" s="160"/>
      <c r="CH52" s="100"/>
    </row>
    <row r="53" spans="1:86" ht="9.75" customHeight="1">
      <c r="A53" s="49">
        <v>50</v>
      </c>
      <c r="B53" s="241" t="s">
        <v>13</v>
      </c>
      <c r="C53" s="242"/>
      <c r="D53" s="242"/>
      <c r="E53" s="242"/>
      <c r="F53" s="242"/>
      <c r="G53" s="243"/>
      <c r="H53" s="244"/>
      <c r="I53" s="245"/>
      <c r="J53" s="245"/>
      <c r="K53" s="245"/>
      <c r="L53" s="245"/>
      <c r="M53" s="246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67"/>
      <c r="Z53" s="286"/>
      <c r="AA53" s="286"/>
      <c r="AB53" s="286"/>
      <c r="AC53" s="286"/>
      <c r="AD53" s="286"/>
      <c r="AE53" s="287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41"/>
      <c r="BE53" s="142" t="s">
        <v>278</v>
      </c>
      <c r="BF53" s="142"/>
      <c r="BG53" s="142"/>
      <c r="BH53" s="142"/>
      <c r="BI53" s="143"/>
      <c r="BJ53" s="161"/>
      <c r="BK53" s="152"/>
      <c r="BL53" s="152"/>
      <c r="BM53" s="152"/>
      <c r="BN53" s="152"/>
      <c r="BO53" s="152"/>
      <c r="BP53" s="152"/>
      <c r="BQ53" s="152"/>
      <c r="BR53" s="152"/>
      <c r="BS53" s="152"/>
      <c r="BT53" s="152"/>
      <c r="BU53" s="153"/>
      <c r="BV53" s="161"/>
      <c r="BW53" s="152"/>
      <c r="BX53" s="152"/>
      <c r="BY53" s="152"/>
      <c r="BZ53" s="152"/>
      <c r="CA53" s="152"/>
      <c r="CB53" s="152"/>
      <c r="CC53" s="152"/>
      <c r="CD53" s="152"/>
      <c r="CE53" s="152"/>
      <c r="CF53" s="152"/>
      <c r="CG53" s="162"/>
      <c r="CH53" s="100"/>
    </row>
    <row r="54" spans="1:86" ht="9.75" customHeight="1" thickBot="1">
      <c r="A54" s="49">
        <v>51</v>
      </c>
      <c r="B54" s="36"/>
      <c r="C54" s="178" t="s">
        <v>12</v>
      </c>
      <c r="D54" s="253"/>
      <c r="E54" s="253"/>
      <c r="F54" s="253"/>
      <c r="G54" s="254"/>
      <c r="H54" s="255"/>
      <c r="I54" s="256"/>
      <c r="J54" s="256"/>
      <c r="K54" s="256"/>
      <c r="L54" s="256"/>
      <c r="M54" s="257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258"/>
      <c r="Z54" s="265"/>
      <c r="AA54" s="265"/>
      <c r="AB54" s="265"/>
      <c r="AC54" s="265"/>
      <c r="AD54" s="265"/>
      <c r="AE54" s="266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41"/>
      <c r="BE54" s="142" t="s">
        <v>5</v>
      </c>
      <c r="BF54" s="142"/>
      <c r="BG54" s="142"/>
      <c r="BH54" s="142"/>
      <c r="BI54" s="143"/>
      <c r="BJ54" s="161"/>
      <c r="BK54" s="152"/>
      <c r="BL54" s="152"/>
      <c r="BM54" s="152"/>
      <c r="BN54" s="152"/>
      <c r="BO54" s="152"/>
      <c r="BP54" s="152"/>
      <c r="BQ54" s="152"/>
      <c r="BR54" s="152"/>
      <c r="BS54" s="152"/>
      <c r="BT54" s="152"/>
      <c r="BU54" s="153"/>
      <c r="BV54" s="161"/>
      <c r="BW54" s="152"/>
      <c r="BX54" s="152"/>
      <c r="BY54" s="152"/>
      <c r="BZ54" s="152"/>
      <c r="CA54" s="152"/>
      <c r="CB54" s="152"/>
      <c r="CC54" s="152"/>
      <c r="CD54" s="152"/>
      <c r="CE54" s="152"/>
      <c r="CF54" s="152"/>
      <c r="CG54" s="162"/>
      <c r="CH54" s="100"/>
    </row>
    <row r="55" spans="1:86" ht="9.75" customHeight="1">
      <c r="A55" s="49">
        <v>52</v>
      </c>
      <c r="B55" s="211" t="s">
        <v>404</v>
      </c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3"/>
      <c r="Z55" s="58"/>
      <c r="AA55" s="58"/>
      <c r="AB55" s="58"/>
      <c r="AC55" s="58"/>
      <c r="AD55" s="58"/>
      <c r="AE55" s="58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41" t="s">
        <v>11</v>
      </c>
      <c r="BE55" s="142" t="s">
        <v>10</v>
      </c>
      <c r="BF55" s="142"/>
      <c r="BG55" s="142"/>
      <c r="BH55" s="142"/>
      <c r="BI55" s="143"/>
      <c r="BJ55" s="144"/>
      <c r="BK55" s="145"/>
      <c r="BL55" s="145"/>
      <c r="BM55" s="145"/>
      <c r="BN55" s="145"/>
      <c r="BO55" s="145"/>
      <c r="BP55" s="145"/>
      <c r="BQ55" s="145"/>
      <c r="BR55" s="145"/>
      <c r="BS55" s="145"/>
      <c r="BT55" s="145"/>
      <c r="BU55" s="146"/>
      <c r="BV55" s="144"/>
      <c r="BW55" s="145"/>
      <c r="BX55" s="145"/>
      <c r="BY55" s="145"/>
      <c r="BZ55" s="145"/>
      <c r="CA55" s="145"/>
      <c r="CB55" s="145"/>
      <c r="CC55" s="145"/>
      <c r="CD55" s="145"/>
      <c r="CE55" s="145"/>
      <c r="CF55" s="145"/>
      <c r="CG55" s="147"/>
      <c r="CH55" s="100"/>
    </row>
    <row r="56" spans="1:86" ht="9.75" customHeight="1">
      <c r="A56" s="49">
        <v>53</v>
      </c>
      <c r="B56" s="214"/>
      <c r="C56" s="215"/>
      <c r="D56" s="215"/>
      <c r="E56" s="215"/>
      <c r="F56" s="215"/>
      <c r="G56" s="216"/>
      <c r="H56" s="217" t="s">
        <v>247</v>
      </c>
      <c r="I56" s="218"/>
      <c r="J56" s="218"/>
      <c r="K56" s="218"/>
      <c r="L56" s="218"/>
      <c r="M56" s="218"/>
      <c r="N56" s="217" t="s">
        <v>248</v>
      </c>
      <c r="O56" s="218"/>
      <c r="P56" s="218"/>
      <c r="Q56" s="218"/>
      <c r="R56" s="218"/>
      <c r="S56" s="219"/>
      <c r="T56" s="217" t="s">
        <v>249</v>
      </c>
      <c r="U56" s="218"/>
      <c r="V56" s="218"/>
      <c r="W56" s="218"/>
      <c r="X56" s="218"/>
      <c r="Y56" s="220"/>
      <c r="Z56" s="7"/>
      <c r="AA56" s="7"/>
      <c r="AB56" s="7"/>
      <c r="AC56" s="7"/>
      <c r="AD56" s="7"/>
      <c r="AE56" s="7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41"/>
      <c r="BE56" s="148" t="s">
        <v>559</v>
      </c>
      <c r="BF56" s="148"/>
      <c r="BG56" s="148"/>
      <c r="BH56" s="148"/>
      <c r="BI56" s="149"/>
      <c r="BJ56" s="144"/>
      <c r="BK56" s="145"/>
      <c r="BL56" s="145"/>
      <c r="BM56" s="145"/>
      <c r="BN56" s="145"/>
      <c r="BO56" s="145"/>
      <c r="BP56" s="145"/>
      <c r="BQ56" s="145"/>
      <c r="BR56" s="145"/>
      <c r="BS56" s="145"/>
      <c r="BT56" s="145"/>
      <c r="BU56" s="146"/>
      <c r="BV56" s="144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7"/>
      <c r="CH56" s="100"/>
    </row>
    <row r="57" spans="1:86" ht="9.75" customHeight="1">
      <c r="A57" s="49">
        <v>54</v>
      </c>
      <c r="B57" s="221" t="s">
        <v>250</v>
      </c>
      <c r="C57" s="222"/>
      <c r="D57" s="222"/>
      <c r="E57" s="222"/>
      <c r="F57" s="222"/>
      <c r="G57" s="222"/>
      <c r="H57" s="225"/>
      <c r="I57" s="224"/>
      <c r="J57" s="106" t="s">
        <v>1</v>
      </c>
      <c r="K57" s="223"/>
      <c r="L57" s="224"/>
      <c r="M57" s="107" t="s">
        <v>252</v>
      </c>
      <c r="N57" s="225"/>
      <c r="O57" s="224"/>
      <c r="P57" s="106" t="s">
        <v>1</v>
      </c>
      <c r="Q57" s="223"/>
      <c r="R57" s="224"/>
      <c r="S57" s="108" t="s">
        <v>252</v>
      </c>
      <c r="T57" s="194"/>
      <c r="U57" s="195"/>
      <c r="V57" s="195"/>
      <c r="W57" s="195"/>
      <c r="X57" s="195"/>
      <c r="Y57" s="196"/>
      <c r="Z57" s="100"/>
      <c r="AA57" s="100"/>
      <c r="AB57" s="100"/>
      <c r="AC57" s="100"/>
      <c r="AD57" s="100"/>
      <c r="AE57" s="100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41"/>
      <c r="BE57" s="142" t="s">
        <v>5</v>
      </c>
      <c r="BF57" s="142"/>
      <c r="BG57" s="142"/>
      <c r="BH57" s="142"/>
      <c r="BI57" s="143"/>
      <c r="BJ57" s="150"/>
      <c r="BK57" s="151"/>
      <c r="BL57" s="151"/>
      <c r="BM57" s="151"/>
      <c r="BN57" s="151"/>
      <c r="BO57" s="151"/>
      <c r="BP57" s="152"/>
      <c r="BQ57" s="152"/>
      <c r="BR57" s="152"/>
      <c r="BS57" s="152"/>
      <c r="BT57" s="152"/>
      <c r="BU57" s="153"/>
      <c r="BV57" s="150"/>
      <c r="BW57" s="151"/>
      <c r="BX57" s="151"/>
      <c r="BY57" s="151"/>
      <c r="BZ57" s="151"/>
      <c r="CA57" s="151"/>
      <c r="CB57" s="152"/>
      <c r="CC57" s="152"/>
      <c r="CD57" s="152"/>
      <c r="CE57" s="152"/>
      <c r="CF57" s="152"/>
      <c r="CG57" s="162"/>
      <c r="CH57" s="100"/>
    </row>
    <row r="58" spans="1:86" ht="9.75" customHeight="1" thickBot="1">
      <c r="A58" s="49">
        <v>55</v>
      </c>
      <c r="B58" s="203" t="s">
        <v>251</v>
      </c>
      <c r="C58" s="204"/>
      <c r="D58" s="204"/>
      <c r="E58" s="204"/>
      <c r="F58" s="204"/>
      <c r="G58" s="204"/>
      <c r="H58" s="207"/>
      <c r="I58" s="206"/>
      <c r="J58" s="109" t="s">
        <v>1</v>
      </c>
      <c r="K58" s="205"/>
      <c r="L58" s="206"/>
      <c r="M58" s="110" t="s">
        <v>252</v>
      </c>
      <c r="N58" s="207"/>
      <c r="O58" s="206"/>
      <c r="P58" s="109" t="s">
        <v>1</v>
      </c>
      <c r="Q58" s="205"/>
      <c r="R58" s="206"/>
      <c r="S58" s="111" t="s">
        <v>252</v>
      </c>
      <c r="T58" s="238"/>
      <c r="U58" s="138"/>
      <c r="V58" s="138"/>
      <c r="W58" s="138"/>
      <c r="X58" s="138"/>
      <c r="Y58" s="140"/>
      <c r="Z58" s="26"/>
      <c r="AA58" s="26"/>
      <c r="AB58" s="26"/>
      <c r="AC58" s="26"/>
      <c r="AD58" s="26"/>
      <c r="AE58" s="26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3"/>
      <c r="BD58" s="133" t="s">
        <v>9</v>
      </c>
      <c r="BE58" s="134"/>
      <c r="BF58" s="134"/>
      <c r="BG58" s="134"/>
      <c r="BH58" s="134"/>
      <c r="BI58" s="135"/>
      <c r="BJ58" s="136"/>
      <c r="BK58" s="137"/>
      <c r="BL58" s="137"/>
      <c r="BM58" s="137"/>
      <c r="BN58" s="137"/>
      <c r="BO58" s="137"/>
      <c r="BP58" s="138"/>
      <c r="BQ58" s="138"/>
      <c r="BR58" s="138"/>
      <c r="BS58" s="138"/>
      <c r="BT58" s="138"/>
      <c r="BU58" s="139"/>
      <c r="BV58" s="136"/>
      <c r="BW58" s="137"/>
      <c r="BX58" s="137"/>
      <c r="BY58" s="137"/>
      <c r="BZ58" s="137"/>
      <c r="CA58" s="137"/>
      <c r="CB58" s="138"/>
      <c r="CC58" s="138"/>
      <c r="CD58" s="138"/>
      <c r="CE58" s="138"/>
      <c r="CF58" s="138"/>
      <c r="CG58" s="140"/>
      <c r="CH58" s="100"/>
    </row>
    <row r="59" spans="1:86" ht="9.75" customHeight="1">
      <c r="B59" s="127">
        <v>1</v>
      </c>
      <c r="C59" s="127"/>
      <c r="D59" s="127"/>
      <c r="E59" s="127"/>
      <c r="F59" s="127"/>
      <c r="G59" s="127"/>
      <c r="H59" s="127">
        <v>2</v>
      </c>
      <c r="I59" s="127"/>
      <c r="J59" s="127"/>
      <c r="K59" s="127"/>
      <c r="L59" s="127"/>
      <c r="M59" s="127"/>
      <c r="N59" s="127">
        <v>3</v>
      </c>
      <c r="O59" s="127"/>
      <c r="P59" s="127"/>
      <c r="Q59" s="127"/>
      <c r="R59" s="127"/>
      <c r="S59" s="127"/>
      <c r="T59" s="127">
        <v>4</v>
      </c>
      <c r="U59" s="127"/>
      <c r="V59" s="127"/>
      <c r="W59" s="127"/>
      <c r="X59" s="127"/>
      <c r="Y59" s="127"/>
      <c r="Z59" s="127">
        <v>5</v>
      </c>
      <c r="AA59" s="127"/>
      <c r="AB59" s="127"/>
      <c r="AC59" s="127"/>
      <c r="AD59" s="127"/>
      <c r="AE59" s="127"/>
      <c r="AF59" s="127">
        <v>6</v>
      </c>
      <c r="AG59" s="127"/>
      <c r="AH59" s="127"/>
      <c r="AI59" s="127"/>
      <c r="AJ59" s="127"/>
      <c r="AK59" s="127"/>
      <c r="AL59" s="127">
        <v>7</v>
      </c>
      <c r="AM59" s="127"/>
      <c r="AN59" s="127"/>
      <c r="AO59" s="127"/>
      <c r="AP59" s="127"/>
      <c r="AQ59" s="127"/>
      <c r="AR59" s="127">
        <v>8</v>
      </c>
      <c r="AS59" s="127"/>
      <c r="AT59" s="127"/>
      <c r="AU59" s="127"/>
      <c r="AV59" s="127"/>
      <c r="AW59" s="127"/>
      <c r="AX59" s="127">
        <v>9</v>
      </c>
      <c r="AY59" s="127"/>
      <c r="AZ59" s="127"/>
      <c r="BA59" s="127"/>
      <c r="BB59" s="127"/>
      <c r="BC59" s="127"/>
      <c r="BD59" s="127">
        <v>10</v>
      </c>
      <c r="BE59" s="127"/>
      <c r="BF59" s="127"/>
      <c r="BG59" s="127"/>
      <c r="BH59" s="127"/>
      <c r="BI59" s="127"/>
      <c r="BJ59" s="127">
        <v>11</v>
      </c>
      <c r="BK59" s="127"/>
      <c r="BL59" s="127"/>
      <c r="BM59" s="127"/>
      <c r="BN59" s="127"/>
      <c r="BO59" s="127"/>
      <c r="BP59" s="127">
        <v>12</v>
      </c>
      <c r="BQ59" s="127"/>
      <c r="BR59" s="127"/>
      <c r="BS59" s="127"/>
      <c r="BT59" s="127"/>
      <c r="BU59" s="127"/>
      <c r="BV59" s="127">
        <v>13</v>
      </c>
      <c r="BW59" s="127"/>
      <c r="BX59" s="127"/>
      <c r="BY59" s="127"/>
      <c r="BZ59" s="127"/>
      <c r="CA59" s="127"/>
      <c r="CB59" s="127">
        <v>14</v>
      </c>
      <c r="CC59" s="127"/>
      <c r="CD59" s="127"/>
      <c r="CE59" s="127"/>
      <c r="CF59" s="127"/>
      <c r="CG59" s="127"/>
    </row>
    <row r="60" spans="1:86" ht="17.45" customHeight="1"/>
    <row r="61" spans="1:86" ht="17.45" customHeight="1"/>
    <row r="62" spans="1:86" ht="17.45" customHeight="1"/>
  </sheetData>
  <mergeCells count="626">
    <mergeCell ref="BK5:BO5"/>
    <mergeCell ref="BQ5:BU5"/>
    <mergeCell ref="BW5:CA5"/>
    <mergeCell ref="CC5:CG5"/>
    <mergeCell ref="H57:I57"/>
    <mergeCell ref="H58:I58"/>
    <mergeCell ref="T57:Y57"/>
    <mergeCell ref="T58:Y58"/>
    <mergeCell ref="AS5:AW5"/>
    <mergeCell ref="AR20:AW20"/>
    <mergeCell ref="AX20:BC20"/>
    <mergeCell ref="BD20:BI20"/>
    <mergeCell ref="AR21:AW21"/>
    <mergeCell ref="AX21:BC21"/>
    <mergeCell ref="BD21:BI21"/>
    <mergeCell ref="BJ13:BO13"/>
    <mergeCell ref="AX12:BC12"/>
    <mergeCell ref="BJ16:BO16"/>
    <mergeCell ref="BJ14:BO14"/>
    <mergeCell ref="BJ12:BO12"/>
    <mergeCell ref="BJ19:BO20"/>
    <mergeCell ref="AR19:AW19"/>
    <mergeCell ref="AX19:BC19"/>
    <mergeCell ref="BL21:BO21"/>
    <mergeCell ref="Z15:AE15"/>
    <mergeCell ref="AF15:AK15"/>
    <mergeCell ref="AL15:AQ15"/>
    <mergeCell ref="AX14:BC14"/>
    <mergeCell ref="BD14:BI14"/>
    <mergeCell ref="H11:M11"/>
    <mergeCell ref="N11:S11"/>
    <mergeCell ref="T11:Y11"/>
    <mergeCell ref="BD12:BI12"/>
    <mergeCell ref="AR13:AW13"/>
    <mergeCell ref="C20:G20"/>
    <mergeCell ref="AF12:AK12"/>
    <mergeCell ref="AL12:AQ12"/>
    <mergeCell ref="Z11:AE11"/>
    <mergeCell ref="AF11:AK11"/>
    <mergeCell ref="AL11:AQ11"/>
    <mergeCell ref="Z12:AE12"/>
    <mergeCell ref="C13:G13"/>
    <mergeCell ref="H13:M13"/>
    <mergeCell ref="N13:S13"/>
    <mergeCell ref="T13:Y13"/>
    <mergeCell ref="Z13:AE13"/>
    <mergeCell ref="H17:M17"/>
    <mergeCell ref="N17:S17"/>
    <mergeCell ref="T17:Y17"/>
    <mergeCell ref="Z17:AE17"/>
    <mergeCell ref="H18:M18"/>
    <mergeCell ref="N18:S18"/>
    <mergeCell ref="AF13:AK13"/>
    <mergeCell ref="AL13:AQ13"/>
    <mergeCell ref="C19:G19"/>
    <mergeCell ref="H19:M19"/>
    <mergeCell ref="N15:S15"/>
    <mergeCell ref="T15:Y15"/>
    <mergeCell ref="B5:G5"/>
    <mergeCell ref="H4:M4"/>
    <mergeCell ref="AR4:AW4"/>
    <mergeCell ref="AF4:AK4"/>
    <mergeCell ref="AL4:AQ4"/>
    <mergeCell ref="BV59:CA59"/>
    <mergeCell ref="CB59:CG59"/>
    <mergeCell ref="B59:G59"/>
    <mergeCell ref="H59:M59"/>
    <mergeCell ref="N59:S59"/>
    <mergeCell ref="T59:Y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C12:G12"/>
    <mergeCell ref="H12:M12"/>
    <mergeCell ref="N12:S12"/>
    <mergeCell ref="T12:Y12"/>
    <mergeCell ref="B11:G11"/>
    <mergeCell ref="I5:M5"/>
    <mergeCell ref="BD4:BI4"/>
    <mergeCell ref="T6:Y6"/>
    <mergeCell ref="Z6:AE6"/>
    <mergeCell ref="AF6:AK6"/>
    <mergeCell ref="AL6:AQ6"/>
    <mergeCell ref="AR6:AW6"/>
    <mergeCell ref="AX6:BC6"/>
    <mergeCell ref="BD6:BI6"/>
    <mergeCell ref="N5:Y5"/>
    <mergeCell ref="AA5:AE5"/>
    <mergeCell ref="AG5:AK5"/>
    <mergeCell ref="AY5:BC5"/>
    <mergeCell ref="BE5:BI5"/>
    <mergeCell ref="BJ6:BO6"/>
    <mergeCell ref="BP6:BU6"/>
    <mergeCell ref="T7:Y7"/>
    <mergeCell ref="Z7:AE7"/>
    <mergeCell ref="AF7:AK7"/>
    <mergeCell ref="AL7:AQ7"/>
    <mergeCell ref="AR7:AW7"/>
    <mergeCell ref="AX7:BC7"/>
    <mergeCell ref="BD7:BI7"/>
    <mergeCell ref="BJ7:BO7"/>
    <mergeCell ref="BP7:BU7"/>
    <mergeCell ref="CN1:CO1"/>
    <mergeCell ref="CB4:CG4"/>
    <mergeCell ref="BV4:CA4"/>
    <mergeCell ref="B8:BI8"/>
    <mergeCell ref="B9:G10"/>
    <mergeCell ref="H9:AE9"/>
    <mergeCell ref="AF9:BC9"/>
    <mergeCell ref="BD9:BI10"/>
    <mergeCell ref="BJ9:BO9"/>
    <mergeCell ref="BP9:BU9"/>
    <mergeCell ref="B4:G4"/>
    <mergeCell ref="Z4:AE4"/>
    <mergeCell ref="AX4:BC4"/>
    <mergeCell ref="T3:Y3"/>
    <mergeCell ref="N4:Y4"/>
    <mergeCell ref="BJ4:BO4"/>
    <mergeCell ref="BP4:BU4"/>
    <mergeCell ref="AL5:AQ5"/>
    <mergeCell ref="H10:M10"/>
    <mergeCell ref="N10:S10"/>
    <mergeCell ref="T10:Y10"/>
    <mergeCell ref="Z10:AE10"/>
    <mergeCell ref="AF10:AK10"/>
    <mergeCell ref="AL10:AQ10"/>
    <mergeCell ref="C15:G15"/>
    <mergeCell ref="BJ15:BO15"/>
    <mergeCell ref="BV13:CA13"/>
    <mergeCell ref="CB13:CG13"/>
    <mergeCell ref="AX13:BC13"/>
    <mergeCell ref="BD13:BI13"/>
    <mergeCell ref="BP13:BU13"/>
    <mergeCell ref="BV9:CA9"/>
    <mergeCell ref="CB9:CG9"/>
    <mergeCell ref="AR10:AW10"/>
    <mergeCell ref="AX10:BC10"/>
    <mergeCell ref="BJ10:BO10"/>
    <mergeCell ref="BP10:BU10"/>
    <mergeCell ref="BV10:CA10"/>
    <mergeCell ref="CB10:CG10"/>
    <mergeCell ref="AR11:AW11"/>
    <mergeCell ref="AX11:BC11"/>
    <mergeCell ref="BD11:BI11"/>
    <mergeCell ref="BJ11:CG11"/>
    <mergeCell ref="BP12:BU12"/>
    <mergeCell ref="BV12:CA12"/>
    <mergeCell ref="CB12:CG12"/>
    <mergeCell ref="AR12:AW12"/>
    <mergeCell ref="H15:M15"/>
    <mergeCell ref="T18:Y18"/>
    <mergeCell ref="Z18:AE18"/>
    <mergeCell ref="AF18:AK18"/>
    <mergeCell ref="AL18:AQ18"/>
    <mergeCell ref="BD19:BI19"/>
    <mergeCell ref="AR18:AW18"/>
    <mergeCell ref="AX18:BC18"/>
    <mergeCell ref="BD18:BI18"/>
    <mergeCell ref="C16:G16"/>
    <mergeCell ref="H16:M16"/>
    <mergeCell ref="N16:S16"/>
    <mergeCell ref="T16:Y16"/>
    <mergeCell ref="Z16:AE16"/>
    <mergeCell ref="AF16:AK16"/>
    <mergeCell ref="AL16:AQ16"/>
    <mergeCell ref="AR16:AW16"/>
    <mergeCell ref="AX16:BC16"/>
    <mergeCell ref="C17:G17"/>
    <mergeCell ref="C18:G18"/>
    <mergeCell ref="BP14:BU14"/>
    <mergeCell ref="BV14:CA14"/>
    <mergeCell ref="AX17:BC17"/>
    <mergeCell ref="BD17:BI17"/>
    <mergeCell ref="AF17:AK17"/>
    <mergeCell ref="AL17:AQ17"/>
    <mergeCell ref="BP16:BU16"/>
    <mergeCell ref="BV16:CA16"/>
    <mergeCell ref="CB14:CG14"/>
    <mergeCell ref="BJ17:BO17"/>
    <mergeCell ref="BP17:BU17"/>
    <mergeCell ref="BV17:CA17"/>
    <mergeCell ref="CB17:CG17"/>
    <mergeCell ref="AR17:AW17"/>
    <mergeCell ref="CB16:CG16"/>
    <mergeCell ref="CB15:CG15"/>
    <mergeCell ref="AR15:AW15"/>
    <mergeCell ref="AX15:BC15"/>
    <mergeCell ref="BD15:BI15"/>
    <mergeCell ref="BP15:BU15"/>
    <mergeCell ref="BV15:CA15"/>
    <mergeCell ref="BD16:BI16"/>
    <mergeCell ref="C14:G14"/>
    <mergeCell ref="H14:M14"/>
    <mergeCell ref="N14:S14"/>
    <mergeCell ref="T14:Y14"/>
    <mergeCell ref="Z14:AE14"/>
    <mergeCell ref="AF14:AK14"/>
    <mergeCell ref="AL14:AQ14"/>
    <mergeCell ref="AR14:AW14"/>
    <mergeCell ref="N21:S21"/>
    <mergeCell ref="T21:Y21"/>
    <mergeCell ref="Z21:AE21"/>
    <mergeCell ref="AF21:AK21"/>
    <mergeCell ref="AL21:AQ21"/>
    <mergeCell ref="AF20:AK20"/>
    <mergeCell ref="AL20:AQ20"/>
    <mergeCell ref="H20:M20"/>
    <mergeCell ref="N20:S20"/>
    <mergeCell ref="T20:Y20"/>
    <mergeCell ref="Z20:AE20"/>
    <mergeCell ref="N19:S19"/>
    <mergeCell ref="T19:Y19"/>
    <mergeCell ref="Z19:AE19"/>
    <mergeCell ref="AF19:AK19"/>
    <mergeCell ref="AL19:AQ19"/>
    <mergeCell ref="BP19:CG19"/>
    <mergeCell ref="C23:G23"/>
    <mergeCell ref="H23:M23"/>
    <mergeCell ref="N23:S23"/>
    <mergeCell ref="T23:Y23"/>
    <mergeCell ref="Z23:AE23"/>
    <mergeCell ref="BV20:CA20"/>
    <mergeCell ref="CB20:CG20"/>
    <mergeCell ref="AX23:BC23"/>
    <mergeCell ref="BD23:BI23"/>
    <mergeCell ref="BP20:BU20"/>
    <mergeCell ref="C22:G22"/>
    <mergeCell ref="H22:M22"/>
    <mergeCell ref="N22:S22"/>
    <mergeCell ref="T22:Y22"/>
    <mergeCell ref="Z22:AE22"/>
    <mergeCell ref="AF22:AK22"/>
    <mergeCell ref="AL22:AQ22"/>
    <mergeCell ref="AR22:AW22"/>
    <mergeCell ref="CB21:CG21"/>
    <mergeCell ref="CB22:CG22"/>
    <mergeCell ref="C21:G21"/>
    <mergeCell ref="H21:M21"/>
    <mergeCell ref="AX22:BC22"/>
    <mergeCell ref="B24:G24"/>
    <mergeCell ref="H24:M24"/>
    <mergeCell ref="N24:S24"/>
    <mergeCell ref="T24:Y24"/>
    <mergeCell ref="Z24:AE24"/>
    <mergeCell ref="AF24:AK24"/>
    <mergeCell ref="AL24:AQ24"/>
    <mergeCell ref="AR24:AW24"/>
    <mergeCell ref="AF23:AK23"/>
    <mergeCell ref="AL23:AQ23"/>
    <mergeCell ref="AR23:AW23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BP21:BU21"/>
    <mergeCell ref="BV21:CA21"/>
    <mergeCell ref="BD25:BI25"/>
    <mergeCell ref="BL22:BO22"/>
    <mergeCell ref="BP22:BU22"/>
    <mergeCell ref="BV22:CA22"/>
    <mergeCell ref="BL23:BO23"/>
    <mergeCell ref="BP23:BU23"/>
    <mergeCell ref="BV23:CA23"/>
    <mergeCell ref="BD22:BI22"/>
    <mergeCell ref="CB23:CG23"/>
    <mergeCell ref="B27:G27"/>
    <mergeCell ref="H27:M27"/>
    <mergeCell ref="N27:S27"/>
    <mergeCell ref="T27:Y27"/>
    <mergeCell ref="Z27:AE27"/>
    <mergeCell ref="BP24:BU24"/>
    <mergeCell ref="BV24:CA24"/>
    <mergeCell ref="CB24:CG24"/>
    <mergeCell ref="AR27:AW27"/>
    <mergeCell ref="AX27:BC27"/>
    <mergeCell ref="BD27:BI27"/>
    <mergeCell ref="BL24:BO24"/>
    <mergeCell ref="T26:Y26"/>
    <mergeCell ref="Z26:AE26"/>
    <mergeCell ref="AF26:AK26"/>
    <mergeCell ref="AL26:AQ26"/>
    <mergeCell ref="AR26:AW26"/>
    <mergeCell ref="AX26:BC26"/>
    <mergeCell ref="BD26:BI26"/>
    <mergeCell ref="AX24:BC24"/>
    <mergeCell ref="BD24:BI24"/>
    <mergeCell ref="BJ21:BK24"/>
    <mergeCell ref="BV25:CA25"/>
    <mergeCell ref="CB25:CG25"/>
    <mergeCell ref="B29:G29"/>
    <mergeCell ref="H29:M29"/>
    <mergeCell ref="N29:S29"/>
    <mergeCell ref="T29:Y29"/>
    <mergeCell ref="Z29:AE29"/>
    <mergeCell ref="AF29:AK29"/>
    <mergeCell ref="AL29:AQ29"/>
    <mergeCell ref="AR29:AW29"/>
    <mergeCell ref="AR28:AW28"/>
    <mergeCell ref="AX28:BC28"/>
    <mergeCell ref="BD28:BI28"/>
    <mergeCell ref="BJ25:BK27"/>
    <mergeCell ref="BL25:BO25"/>
    <mergeCell ref="BP25:BU25"/>
    <mergeCell ref="AX29:BC29"/>
    <mergeCell ref="BD29:BI29"/>
    <mergeCell ref="BL26:BO26"/>
    <mergeCell ref="BP26:BU26"/>
    <mergeCell ref="BP27:BU27"/>
    <mergeCell ref="BV27:CA27"/>
    <mergeCell ref="CB27:CG27"/>
    <mergeCell ref="BV26:CA26"/>
    <mergeCell ref="CB26:CG26"/>
    <mergeCell ref="AF27:AK27"/>
    <mergeCell ref="AL27:AQ27"/>
    <mergeCell ref="B30:G30"/>
    <mergeCell ref="H30:M30"/>
    <mergeCell ref="N30:S30"/>
    <mergeCell ref="T30:Y30"/>
    <mergeCell ref="Z30:AE30"/>
    <mergeCell ref="AF30:AK30"/>
    <mergeCell ref="AL30:AQ30"/>
    <mergeCell ref="B28:G28"/>
    <mergeCell ref="H28:M28"/>
    <mergeCell ref="N28:S28"/>
    <mergeCell ref="T28:Y28"/>
    <mergeCell ref="Z28:AE28"/>
    <mergeCell ref="AF28:AK28"/>
    <mergeCell ref="AL28:AQ28"/>
    <mergeCell ref="BJ28:BO29"/>
    <mergeCell ref="BJ30:BO30"/>
    <mergeCell ref="BP31:BU31"/>
    <mergeCell ref="BV31:CA31"/>
    <mergeCell ref="AX30:BC30"/>
    <mergeCell ref="BD30:BI30"/>
    <mergeCell ref="BP28:CG28"/>
    <mergeCell ref="BP29:BU29"/>
    <mergeCell ref="BV29:CA29"/>
    <mergeCell ref="CB29:CG29"/>
    <mergeCell ref="AR30:AW30"/>
    <mergeCell ref="CB30:CG30"/>
    <mergeCell ref="BP30:BU30"/>
    <mergeCell ref="BV30:CA30"/>
    <mergeCell ref="B31:G31"/>
    <mergeCell ref="H31:M31"/>
    <mergeCell ref="N31:S31"/>
    <mergeCell ref="T31:Y31"/>
    <mergeCell ref="B32:G32"/>
    <mergeCell ref="H32:M32"/>
    <mergeCell ref="N32:S32"/>
    <mergeCell ref="T32:Y32"/>
    <mergeCell ref="Z32:AE32"/>
    <mergeCell ref="AF32:AK32"/>
    <mergeCell ref="BD31:BI31"/>
    <mergeCell ref="Z39:AE39"/>
    <mergeCell ref="B35:G35"/>
    <mergeCell ref="H35:M35"/>
    <mergeCell ref="N35:S35"/>
    <mergeCell ref="T35:Y35"/>
    <mergeCell ref="Z35:AE35"/>
    <mergeCell ref="Z31:AE31"/>
    <mergeCell ref="AF31:AK31"/>
    <mergeCell ref="BJ31:BO31"/>
    <mergeCell ref="AF35:AK35"/>
    <mergeCell ref="AL35:AQ35"/>
    <mergeCell ref="AR35:AW35"/>
    <mergeCell ref="AX35:BC35"/>
    <mergeCell ref="BD35:BI35"/>
    <mergeCell ref="Z34:AE34"/>
    <mergeCell ref="AF34:AK34"/>
    <mergeCell ref="AL34:AQ34"/>
    <mergeCell ref="AR34:AW34"/>
    <mergeCell ref="B33:G33"/>
    <mergeCell ref="H33:M33"/>
    <mergeCell ref="N33:S33"/>
    <mergeCell ref="T33:Y33"/>
    <mergeCell ref="Z33:AE33"/>
    <mergeCell ref="AF33:AK33"/>
    <mergeCell ref="T53:Y53"/>
    <mergeCell ref="Z53:AE53"/>
    <mergeCell ref="T48:Y48"/>
    <mergeCell ref="Z48:AE48"/>
    <mergeCell ref="T50:Y50"/>
    <mergeCell ref="Z50:AE50"/>
    <mergeCell ref="T49:Y49"/>
    <mergeCell ref="Z49:AE49"/>
    <mergeCell ref="C41:G41"/>
    <mergeCell ref="H41:M41"/>
    <mergeCell ref="N41:S41"/>
    <mergeCell ref="T41:Y41"/>
    <mergeCell ref="Z41:AE41"/>
    <mergeCell ref="H45:M45"/>
    <mergeCell ref="C44:G44"/>
    <mergeCell ref="Z44:AE44"/>
    <mergeCell ref="C42:G42"/>
    <mergeCell ref="H42:M42"/>
    <mergeCell ref="N42:S42"/>
    <mergeCell ref="T42:Y42"/>
    <mergeCell ref="Z42:AE42"/>
    <mergeCell ref="C43:G43"/>
    <mergeCell ref="T43:Y43"/>
    <mergeCell ref="Z43:AE43"/>
    <mergeCell ref="C38:G38"/>
    <mergeCell ref="H38:M38"/>
    <mergeCell ref="N38:S38"/>
    <mergeCell ref="C49:G49"/>
    <mergeCell ref="H49:M49"/>
    <mergeCell ref="N49:S49"/>
    <mergeCell ref="C47:G47"/>
    <mergeCell ref="H47:M47"/>
    <mergeCell ref="Z51:AE51"/>
    <mergeCell ref="H43:M43"/>
    <mergeCell ref="N43:S43"/>
    <mergeCell ref="T47:Y47"/>
    <mergeCell ref="Z47:AE47"/>
    <mergeCell ref="C45:G45"/>
    <mergeCell ref="C46:G46"/>
    <mergeCell ref="H46:M46"/>
    <mergeCell ref="C40:G40"/>
    <mergeCell ref="H40:M40"/>
    <mergeCell ref="N40:S40"/>
    <mergeCell ref="T40:Y40"/>
    <mergeCell ref="Z40:AE40"/>
    <mergeCell ref="T38:Y38"/>
    <mergeCell ref="Z38:AE38"/>
    <mergeCell ref="T39:Y39"/>
    <mergeCell ref="C39:G39"/>
    <mergeCell ref="H39:M39"/>
    <mergeCell ref="N39:S39"/>
    <mergeCell ref="Z54:AE54"/>
    <mergeCell ref="N52:S52"/>
    <mergeCell ref="T52:Y52"/>
    <mergeCell ref="Z52:AE52"/>
    <mergeCell ref="N53:S53"/>
    <mergeCell ref="N46:S46"/>
    <mergeCell ref="T46:Y46"/>
    <mergeCell ref="Z46:AE46"/>
    <mergeCell ref="N45:S45"/>
    <mergeCell ref="T45:Y45"/>
    <mergeCell ref="Z45:AE45"/>
    <mergeCell ref="B51:G51"/>
    <mergeCell ref="H51:M51"/>
    <mergeCell ref="B52:G52"/>
    <mergeCell ref="H52:M52"/>
    <mergeCell ref="C48:G48"/>
    <mergeCell ref="H48:M48"/>
    <mergeCell ref="N48:S48"/>
    <mergeCell ref="C50:G50"/>
    <mergeCell ref="H50:M50"/>
    <mergeCell ref="B38:B50"/>
    <mergeCell ref="B53:G53"/>
    <mergeCell ref="H53:M53"/>
    <mergeCell ref="N51:S51"/>
    <mergeCell ref="T51:Y51"/>
    <mergeCell ref="B6:G6"/>
    <mergeCell ref="B7:G7"/>
    <mergeCell ref="H6:S6"/>
    <mergeCell ref="H7:S7"/>
    <mergeCell ref="C54:G54"/>
    <mergeCell ref="H54:M54"/>
    <mergeCell ref="N54:S54"/>
    <mergeCell ref="T54:Y54"/>
    <mergeCell ref="N50:S50"/>
    <mergeCell ref="H44:M44"/>
    <mergeCell ref="N44:S44"/>
    <mergeCell ref="T44:Y44"/>
    <mergeCell ref="B34:G34"/>
    <mergeCell ref="H34:M34"/>
    <mergeCell ref="N34:S34"/>
    <mergeCell ref="T34:Y34"/>
    <mergeCell ref="C26:G26"/>
    <mergeCell ref="H26:M26"/>
    <mergeCell ref="N26:S26"/>
    <mergeCell ref="N47:S47"/>
    <mergeCell ref="H37:M37"/>
    <mergeCell ref="CB31:CG31"/>
    <mergeCell ref="AL32:AQ32"/>
    <mergeCell ref="AR32:AW32"/>
    <mergeCell ref="AX32:BC32"/>
    <mergeCell ref="BD32:BI32"/>
    <mergeCell ref="BV6:CA6"/>
    <mergeCell ref="CB6:CG6"/>
    <mergeCell ref="CB7:CG7"/>
    <mergeCell ref="BV7:CA7"/>
    <mergeCell ref="AX34:BC34"/>
    <mergeCell ref="BV32:CA32"/>
    <mergeCell ref="CB32:CG32"/>
    <mergeCell ref="BJ32:BO32"/>
    <mergeCell ref="BD33:BI33"/>
    <mergeCell ref="BD34:BI34"/>
    <mergeCell ref="AR33:AW33"/>
    <mergeCell ref="AX33:BC33"/>
    <mergeCell ref="BP32:BU32"/>
    <mergeCell ref="BL27:BO27"/>
    <mergeCell ref="AL31:AQ31"/>
    <mergeCell ref="AR31:AW31"/>
    <mergeCell ref="AX31:BC31"/>
    <mergeCell ref="AL33:AQ33"/>
    <mergeCell ref="BD37:BI38"/>
    <mergeCell ref="BJ37:BU37"/>
    <mergeCell ref="BV37:CG37"/>
    <mergeCell ref="BJ38:BO38"/>
    <mergeCell ref="BP38:BU38"/>
    <mergeCell ref="BV38:CA38"/>
    <mergeCell ref="CB38:CG38"/>
    <mergeCell ref="B58:G58"/>
    <mergeCell ref="K58:L58"/>
    <mergeCell ref="N58:O58"/>
    <mergeCell ref="Q58:R58"/>
    <mergeCell ref="B37:G37"/>
    <mergeCell ref="B55:Y55"/>
    <mergeCell ref="B56:G56"/>
    <mergeCell ref="H56:M56"/>
    <mergeCell ref="N56:S56"/>
    <mergeCell ref="T56:Y56"/>
    <mergeCell ref="B57:G57"/>
    <mergeCell ref="K57:L57"/>
    <mergeCell ref="N57:O57"/>
    <mergeCell ref="Q57:R57"/>
    <mergeCell ref="Z37:AE37"/>
    <mergeCell ref="T37:Y37"/>
    <mergeCell ref="N37:S37"/>
    <mergeCell ref="BD39:BI39"/>
    <mergeCell ref="BJ39:BO39"/>
    <mergeCell ref="BP39:BU39"/>
    <mergeCell ref="BV39:CA39"/>
    <mergeCell ref="CB39:CG39"/>
    <mergeCell ref="BE40:BI40"/>
    <mergeCell ref="BJ40:BO40"/>
    <mergeCell ref="BP40:BU40"/>
    <mergeCell ref="BV40:CA40"/>
    <mergeCell ref="CB40:CG40"/>
    <mergeCell ref="BJ48:BO48"/>
    <mergeCell ref="BD42:BD48"/>
    <mergeCell ref="BE42:BI42"/>
    <mergeCell ref="BJ42:BO42"/>
    <mergeCell ref="BP42:BU42"/>
    <mergeCell ref="BE43:BI43"/>
    <mergeCell ref="BJ43:BO43"/>
    <mergeCell ref="BP43:BU43"/>
    <mergeCell ref="BE44:BI44"/>
    <mergeCell ref="BJ44:BO44"/>
    <mergeCell ref="BP44:BU44"/>
    <mergeCell ref="BF45:BI45"/>
    <mergeCell ref="BJ45:BO45"/>
    <mergeCell ref="BP45:BU45"/>
    <mergeCell ref="BF46:BI46"/>
    <mergeCell ref="BJ46:BO46"/>
    <mergeCell ref="BP46:BU46"/>
    <mergeCell ref="BF47:BI47"/>
    <mergeCell ref="BJ47:BO47"/>
    <mergeCell ref="BP47:BU47"/>
    <mergeCell ref="BP48:BU48"/>
    <mergeCell ref="CB57:CG57"/>
    <mergeCell ref="BP51:BU51"/>
    <mergeCell ref="BV51:CA51"/>
    <mergeCell ref="CB51:CG51"/>
    <mergeCell ref="BE41:BI41"/>
    <mergeCell ref="BJ41:BO41"/>
    <mergeCell ref="BP41:BU41"/>
    <mergeCell ref="BV41:CA41"/>
    <mergeCell ref="CB41:CG41"/>
    <mergeCell ref="BV42:CA42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V47:CA47"/>
    <mergeCell ref="CB47:CG47"/>
    <mergeCell ref="BV48:CA48"/>
    <mergeCell ref="CB48:CG48"/>
    <mergeCell ref="BF48:BI48"/>
    <mergeCell ref="BD52:BD54"/>
    <mergeCell ref="BE52:BI52"/>
    <mergeCell ref="BJ52:BO52"/>
    <mergeCell ref="BP52:BU52"/>
    <mergeCell ref="BV52:CA52"/>
    <mergeCell ref="CB52:CG52"/>
    <mergeCell ref="BE53:BI53"/>
    <mergeCell ref="BJ53:BO53"/>
    <mergeCell ref="BP53:BU53"/>
    <mergeCell ref="BV53:CA53"/>
    <mergeCell ref="CB53:CG53"/>
    <mergeCell ref="BE54:BI54"/>
    <mergeCell ref="BJ54:BO54"/>
    <mergeCell ref="BP54:BU54"/>
    <mergeCell ref="BV54:CA54"/>
    <mergeCell ref="CB54:CG54"/>
    <mergeCell ref="BD50:BI51"/>
    <mergeCell ref="BJ50:BU50"/>
    <mergeCell ref="BV50:CG50"/>
    <mergeCell ref="BJ51:BO51"/>
    <mergeCell ref="BD58:BI58"/>
    <mergeCell ref="BJ58:BO58"/>
    <mergeCell ref="BP58:BU58"/>
    <mergeCell ref="BV58:CA58"/>
    <mergeCell ref="CB58:CG58"/>
    <mergeCell ref="BD55:BD57"/>
    <mergeCell ref="BE55:BI55"/>
    <mergeCell ref="BJ55:BO55"/>
    <mergeCell ref="BP55:BU55"/>
    <mergeCell ref="BV55:CA55"/>
    <mergeCell ref="CB55:CG55"/>
    <mergeCell ref="BE56:BI56"/>
    <mergeCell ref="BJ56:BO56"/>
    <mergeCell ref="BP56:BU56"/>
    <mergeCell ref="BV56:CA56"/>
    <mergeCell ref="CB56:CG56"/>
    <mergeCell ref="BE57:BI57"/>
    <mergeCell ref="BJ57:BO57"/>
    <mergeCell ref="BP57:BU57"/>
    <mergeCell ref="BV57:CA57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96"/>
  <sheetViews>
    <sheetView showGridLines="0" view="pageBreakPreview" zoomScale="130" zoomScaleNormal="55" zoomScaleSheetLayoutView="130" zoomScalePageLayoutView="55" workbookViewId="0"/>
  </sheetViews>
  <sheetFormatPr defaultColWidth="8" defaultRowHeight="12"/>
  <cols>
    <col min="1" max="1" width="2.625" style="95" customWidth="1"/>
    <col min="2" max="85" width="1.625" style="95" customWidth="1"/>
    <col min="86" max="86" width="1" style="95" customWidth="1"/>
    <col min="87" max="16384" width="8" style="95"/>
  </cols>
  <sheetData>
    <row r="1" spans="1:86" ht="13.7" customHeight="1">
      <c r="B1" s="101" t="str">
        <f>B5&amp;"年産　農業経営統計調査（米生産費統計（組織法人経営体））　個別結果表№２"</f>
        <v>0年産　農業経営統計調査（米生産費統計（組織法人経営体））　個別結果表№２</v>
      </c>
      <c r="C1" s="14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</row>
    <row r="2" spans="1:86" ht="9.75" customHeight="1" thickBot="1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</row>
    <row r="3" spans="1:86" ht="9.75" customHeight="1" thickBot="1">
      <c r="B3" s="19" t="s">
        <v>292</v>
      </c>
      <c r="C3" s="20"/>
      <c r="D3" s="20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364"/>
      <c r="U3" s="364"/>
      <c r="V3" s="364"/>
      <c r="W3" s="364"/>
      <c r="X3" s="364"/>
      <c r="Y3" s="36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96"/>
      <c r="AS3" s="22"/>
      <c r="AT3" s="22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3"/>
    </row>
    <row r="4" spans="1:86" ht="9.75" customHeight="1">
      <c r="A4" s="49">
        <v>1</v>
      </c>
      <c r="B4" s="363" t="s">
        <v>4</v>
      </c>
      <c r="C4" s="345"/>
      <c r="D4" s="345"/>
      <c r="E4" s="345"/>
      <c r="F4" s="345"/>
      <c r="G4" s="345"/>
      <c r="H4" s="365" t="s">
        <v>267</v>
      </c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613"/>
      <c r="U4" s="614"/>
      <c r="V4" s="614"/>
      <c r="W4" s="614"/>
      <c r="X4" s="614"/>
      <c r="Y4" s="615"/>
      <c r="Z4" s="537"/>
      <c r="AA4" s="537"/>
      <c r="AB4" s="537"/>
      <c r="AC4" s="537"/>
      <c r="AD4" s="537"/>
      <c r="AE4" s="537"/>
      <c r="AF4" s="619"/>
      <c r="AG4" s="619"/>
      <c r="AH4" s="619"/>
      <c r="AI4" s="619"/>
      <c r="AJ4" s="619"/>
      <c r="AK4" s="619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37"/>
      <c r="AY4" s="537"/>
      <c r="AZ4" s="537"/>
      <c r="BA4" s="537"/>
      <c r="BB4" s="537"/>
      <c r="BC4" s="537"/>
      <c r="BD4" s="537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/>
      <c r="BP4" s="537"/>
      <c r="BQ4" s="537"/>
      <c r="BR4" s="537"/>
      <c r="BS4" s="537"/>
      <c r="BT4" s="537"/>
      <c r="BU4" s="537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38"/>
      <c r="CH4" s="100"/>
    </row>
    <row r="5" spans="1:86" ht="9.75" customHeight="1" thickBot="1">
      <c r="A5" s="49">
        <v>2</v>
      </c>
      <c r="B5" s="549">
        <f>'No1'!B5</f>
        <v>0</v>
      </c>
      <c r="C5" s="550"/>
      <c r="D5" s="550"/>
      <c r="E5" s="550"/>
      <c r="F5" s="550"/>
      <c r="G5" s="551"/>
      <c r="H5" s="512" t="str">
        <f>IF('No1'!N5&lt;&gt;"",'No1'!N5,"")</f>
        <v/>
      </c>
      <c r="I5" s="512"/>
      <c r="J5" s="512"/>
      <c r="K5" s="512"/>
      <c r="L5" s="512"/>
      <c r="M5" s="512"/>
      <c r="N5" s="512"/>
      <c r="O5" s="512"/>
      <c r="P5" s="512"/>
      <c r="Q5" s="512"/>
      <c r="R5" s="512"/>
      <c r="S5" s="512"/>
      <c r="T5" s="616"/>
      <c r="U5" s="617"/>
      <c r="V5" s="617"/>
      <c r="W5" s="617"/>
      <c r="X5" s="617"/>
      <c r="Y5" s="618"/>
      <c r="Z5" s="235"/>
      <c r="AA5" s="235"/>
      <c r="AB5" s="235"/>
      <c r="AC5" s="235"/>
      <c r="AD5" s="235"/>
      <c r="AE5" s="235"/>
      <c r="AF5" s="237"/>
      <c r="AG5" s="237"/>
      <c r="AH5" s="237"/>
      <c r="AI5" s="237"/>
      <c r="AJ5" s="237"/>
      <c r="AK5" s="237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6"/>
      <c r="CH5" s="100"/>
    </row>
    <row r="6" spans="1:86" ht="9.75" customHeight="1">
      <c r="A6" s="50">
        <v>3</v>
      </c>
      <c r="B6" s="395" t="s">
        <v>408</v>
      </c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  <c r="AH6" s="396"/>
      <c r="AI6" s="396"/>
      <c r="AJ6" s="396"/>
      <c r="AK6" s="397"/>
      <c r="AL6" s="336" t="s">
        <v>409</v>
      </c>
      <c r="AM6" s="434"/>
      <c r="AN6" s="434"/>
      <c r="AO6" s="434"/>
      <c r="AP6" s="434"/>
      <c r="AQ6" s="434"/>
      <c r="AR6" s="434"/>
      <c r="AS6" s="434"/>
      <c r="AT6" s="434"/>
      <c r="AU6" s="434"/>
      <c r="AV6" s="434"/>
      <c r="AW6" s="434"/>
      <c r="AX6" s="434"/>
      <c r="AY6" s="434"/>
      <c r="AZ6" s="434"/>
      <c r="BA6" s="434"/>
      <c r="BB6" s="434"/>
      <c r="BC6" s="434"/>
      <c r="BD6" s="434"/>
      <c r="BE6" s="434"/>
      <c r="BF6" s="434"/>
      <c r="BG6" s="434"/>
      <c r="BH6" s="434"/>
      <c r="BI6" s="434"/>
      <c r="BJ6" s="434"/>
      <c r="BK6" s="434"/>
      <c r="BL6" s="434"/>
      <c r="BM6" s="434"/>
      <c r="BN6" s="434"/>
      <c r="BO6" s="435"/>
      <c r="BP6" s="211" t="s">
        <v>410</v>
      </c>
      <c r="BQ6" s="212"/>
      <c r="BR6" s="212"/>
      <c r="BS6" s="212"/>
      <c r="BT6" s="212"/>
      <c r="BU6" s="212"/>
      <c r="BV6" s="212"/>
      <c r="BW6" s="212"/>
      <c r="BX6" s="212"/>
      <c r="BY6" s="212"/>
      <c r="BZ6" s="212"/>
      <c r="CA6" s="212"/>
      <c r="CB6" s="212"/>
      <c r="CC6" s="212"/>
      <c r="CD6" s="212"/>
      <c r="CE6" s="212"/>
      <c r="CF6" s="212"/>
      <c r="CG6" s="213"/>
      <c r="CH6" s="100"/>
    </row>
    <row r="7" spans="1:86" ht="9.75" customHeight="1">
      <c r="A7" s="60">
        <v>4</v>
      </c>
      <c r="B7" s="398" t="s">
        <v>310</v>
      </c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56"/>
      <c r="N7" s="399" t="s">
        <v>304</v>
      </c>
      <c r="O7" s="400"/>
      <c r="P7" s="400"/>
      <c r="Q7" s="400"/>
      <c r="R7" s="400"/>
      <c r="S7" s="401"/>
      <c r="T7" s="229" t="s">
        <v>309</v>
      </c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30"/>
      <c r="AF7" s="232" t="s">
        <v>304</v>
      </c>
      <c r="AG7" s="229"/>
      <c r="AH7" s="229"/>
      <c r="AI7" s="229"/>
      <c r="AJ7" s="229"/>
      <c r="AK7" s="230"/>
      <c r="AL7" s="544"/>
      <c r="AM7" s="545"/>
      <c r="AN7" s="545"/>
      <c r="AO7" s="545"/>
      <c r="AP7" s="545"/>
      <c r="AQ7" s="545"/>
      <c r="AR7" s="548" t="s">
        <v>45</v>
      </c>
      <c r="AS7" s="424"/>
      <c r="AT7" s="424"/>
      <c r="AU7" s="424"/>
      <c r="AV7" s="424"/>
      <c r="AW7" s="424"/>
      <c r="AX7" s="424"/>
      <c r="AY7" s="424"/>
      <c r="AZ7" s="424"/>
      <c r="BA7" s="424"/>
      <c r="BB7" s="424"/>
      <c r="BC7" s="424"/>
      <c r="BD7" s="508" t="s">
        <v>106</v>
      </c>
      <c r="BE7" s="509"/>
      <c r="BF7" s="509"/>
      <c r="BG7" s="509"/>
      <c r="BH7" s="509"/>
      <c r="BI7" s="509"/>
      <c r="BJ7" s="509"/>
      <c r="BK7" s="509"/>
      <c r="BL7" s="509"/>
      <c r="BM7" s="509"/>
      <c r="BN7" s="509"/>
      <c r="BO7" s="510"/>
      <c r="BP7" s="124"/>
      <c r="BQ7" s="125"/>
      <c r="BR7" s="125"/>
      <c r="BS7" s="125"/>
      <c r="BT7" s="125"/>
      <c r="BU7" s="125"/>
      <c r="BV7" s="502" t="s">
        <v>45</v>
      </c>
      <c r="BW7" s="503"/>
      <c r="BX7" s="503"/>
      <c r="BY7" s="503"/>
      <c r="BZ7" s="503"/>
      <c r="CA7" s="503"/>
      <c r="CB7" s="503" t="s">
        <v>12</v>
      </c>
      <c r="CC7" s="503"/>
      <c r="CD7" s="503"/>
      <c r="CE7" s="503"/>
      <c r="CF7" s="503"/>
      <c r="CG7" s="504"/>
      <c r="CH7" s="97"/>
    </row>
    <row r="8" spans="1:86" ht="9.75" customHeight="1">
      <c r="A8" s="60">
        <v>5</v>
      </c>
      <c r="B8" s="402" t="s">
        <v>289</v>
      </c>
      <c r="C8" s="402"/>
      <c r="D8" s="402"/>
      <c r="E8" s="402"/>
      <c r="F8" s="402"/>
      <c r="G8" s="402"/>
      <c r="H8" s="402"/>
      <c r="I8" s="402"/>
      <c r="J8" s="402"/>
      <c r="K8" s="402"/>
      <c r="L8" s="403"/>
      <c r="M8" s="54" t="s">
        <v>305</v>
      </c>
      <c r="N8" s="279"/>
      <c r="O8" s="280"/>
      <c r="P8" s="280"/>
      <c r="Q8" s="280"/>
      <c r="R8" s="280"/>
      <c r="S8" s="552"/>
      <c r="T8" s="277" t="s">
        <v>41</v>
      </c>
      <c r="U8" s="277"/>
      <c r="V8" s="277"/>
      <c r="W8" s="277"/>
      <c r="X8" s="277"/>
      <c r="Y8" s="277"/>
      <c r="Z8" s="277"/>
      <c r="AA8" s="277"/>
      <c r="AB8" s="277"/>
      <c r="AC8" s="277"/>
      <c r="AD8" s="404"/>
      <c r="AE8" s="54" t="s">
        <v>305</v>
      </c>
      <c r="AF8" s="279"/>
      <c r="AG8" s="280"/>
      <c r="AH8" s="280"/>
      <c r="AI8" s="280"/>
      <c r="AJ8" s="280"/>
      <c r="AK8" s="405"/>
      <c r="AL8" s="546"/>
      <c r="AM8" s="547"/>
      <c r="AN8" s="547"/>
      <c r="AO8" s="547"/>
      <c r="AP8" s="547"/>
      <c r="AQ8" s="547"/>
      <c r="AR8" s="505" t="s">
        <v>105</v>
      </c>
      <c r="AS8" s="506"/>
      <c r="AT8" s="506"/>
      <c r="AU8" s="506"/>
      <c r="AV8" s="506"/>
      <c r="AW8" s="506"/>
      <c r="AX8" s="163" t="s">
        <v>60</v>
      </c>
      <c r="AY8" s="132"/>
      <c r="AZ8" s="132"/>
      <c r="BA8" s="132"/>
      <c r="BB8" s="132"/>
      <c r="BC8" s="132"/>
      <c r="BD8" s="505" t="s">
        <v>105</v>
      </c>
      <c r="BE8" s="506"/>
      <c r="BF8" s="506"/>
      <c r="BG8" s="506"/>
      <c r="BH8" s="506"/>
      <c r="BI8" s="506"/>
      <c r="BJ8" s="163" t="s">
        <v>60</v>
      </c>
      <c r="BK8" s="132"/>
      <c r="BL8" s="132"/>
      <c r="BM8" s="132"/>
      <c r="BN8" s="132"/>
      <c r="BO8" s="165"/>
      <c r="BP8" s="273" t="s">
        <v>158</v>
      </c>
      <c r="BQ8" s="507" t="s">
        <v>157</v>
      </c>
      <c r="BR8" s="277"/>
      <c r="BS8" s="277"/>
      <c r="BT8" s="277"/>
      <c r="BU8" s="278"/>
      <c r="BV8" s="194"/>
      <c r="BW8" s="195"/>
      <c r="BX8" s="195"/>
      <c r="BY8" s="195"/>
      <c r="BZ8" s="195"/>
      <c r="CA8" s="195"/>
      <c r="CB8" s="195"/>
      <c r="CC8" s="195"/>
      <c r="CD8" s="195"/>
      <c r="CE8" s="195"/>
      <c r="CF8" s="195"/>
      <c r="CG8" s="196"/>
      <c r="CH8" s="102"/>
    </row>
    <row r="9" spans="1:86" ht="9.75" customHeight="1">
      <c r="A9" s="60">
        <v>6</v>
      </c>
      <c r="B9" s="406" t="s">
        <v>120</v>
      </c>
      <c r="C9" s="406"/>
      <c r="D9" s="406"/>
      <c r="E9" s="406"/>
      <c r="F9" s="406"/>
      <c r="G9" s="406"/>
      <c r="H9" s="406"/>
      <c r="I9" s="406"/>
      <c r="J9" s="406"/>
      <c r="K9" s="406"/>
      <c r="L9" s="407"/>
      <c r="M9" s="55" t="s">
        <v>305</v>
      </c>
      <c r="N9" s="259"/>
      <c r="O9" s="260"/>
      <c r="P9" s="260"/>
      <c r="Q9" s="260"/>
      <c r="R9" s="260"/>
      <c r="S9" s="543"/>
      <c r="T9" s="263" t="s">
        <v>120</v>
      </c>
      <c r="U9" s="263"/>
      <c r="V9" s="263"/>
      <c r="W9" s="263"/>
      <c r="X9" s="263"/>
      <c r="Y9" s="263"/>
      <c r="Z9" s="263"/>
      <c r="AA9" s="263"/>
      <c r="AB9" s="263"/>
      <c r="AC9" s="263"/>
      <c r="AD9" s="408"/>
      <c r="AE9" s="55" t="s">
        <v>305</v>
      </c>
      <c r="AF9" s="259"/>
      <c r="AG9" s="260"/>
      <c r="AH9" s="260"/>
      <c r="AI9" s="260"/>
      <c r="AJ9" s="260"/>
      <c r="AK9" s="394"/>
      <c r="AL9" s="553" t="s">
        <v>262</v>
      </c>
      <c r="AM9" s="472"/>
      <c r="AN9" s="472"/>
      <c r="AO9" s="293" t="s">
        <v>233</v>
      </c>
      <c r="AP9" s="472"/>
      <c r="AQ9" s="473"/>
      <c r="AR9" s="520"/>
      <c r="AS9" s="521"/>
      <c r="AT9" s="521"/>
      <c r="AU9" s="521"/>
      <c r="AV9" s="521"/>
      <c r="AW9" s="521"/>
      <c r="AX9" s="499"/>
      <c r="AY9" s="500"/>
      <c r="AZ9" s="500"/>
      <c r="BA9" s="500"/>
      <c r="BB9" s="500"/>
      <c r="BC9" s="500"/>
      <c r="BD9" s="497"/>
      <c r="BE9" s="498"/>
      <c r="BF9" s="498"/>
      <c r="BG9" s="498"/>
      <c r="BH9" s="498"/>
      <c r="BI9" s="498"/>
      <c r="BJ9" s="499"/>
      <c r="BK9" s="500"/>
      <c r="BL9" s="500"/>
      <c r="BM9" s="500"/>
      <c r="BN9" s="500"/>
      <c r="BO9" s="501"/>
      <c r="BP9" s="274"/>
      <c r="BQ9" s="48"/>
      <c r="BR9" s="166" t="s">
        <v>154</v>
      </c>
      <c r="BS9" s="263"/>
      <c r="BT9" s="263"/>
      <c r="BU9" s="264"/>
      <c r="BV9" s="188"/>
      <c r="BW9" s="189"/>
      <c r="BX9" s="189"/>
      <c r="BY9" s="189"/>
      <c r="BZ9" s="189"/>
      <c r="CA9" s="189"/>
      <c r="CB9" s="152"/>
      <c r="CC9" s="152"/>
      <c r="CD9" s="152"/>
      <c r="CE9" s="152"/>
      <c r="CF9" s="152"/>
      <c r="CG9" s="162"/>
      <c r="CH9" s="102"/>
    </row>
    <row r="10" spans="1:86" ht="9.75" customHeight="1">
      <c r="A10" s="60">
        <v>7</v>
      </c>
      <c r="B10" s="406" t="s">
        <v>41</v>
      </c>
      <c r="C10" s="406"/>
      <c r="D10" s="406"/>
      <c r="E10" s="406"/>
      <c r="F10" s="406"/>
      <c r="G10" s="406"/>
      <c r="H10" s="406"/>
      <c r="I10" s="406"/>
      <c r="J10" s="406"/>
      <c r="K10" s="406"/>
      <c r="L10" s="407"/>
      <c r="M10" s="55" t="s">
        <v>305</v>
      </c>
      <c r="N10" s="259"/>
      <c r="O10" s="260"/>
      <c r="P10" s="260"/>
      <c r="Q10" s="260"/>
      <c r="R10" s="260"/>
      <c r="S10" s="543"/>
      <c r="T10" s="263" t="s">
        <v>32</v>
      </c>
      <c r="U10" s="263"/>
      <c r="V10" s="263"/>
      <c r="W10" s="263"/>
      <c r="X10" s="263"/>
      <c r="Y10" s="263"/>
      <c r="Z10" s="263"/>
      <c r="AA10" s="263"/>
      <c r="AB10" s="263"/>
      <c r="AC10" s="263"/>
      <c r="AD10" s="408"/>
      <c r="AE10" s="55" t="s">
        <v>305</v>
      </c>
      <c r="AF10" s="259"/>
      <c r="AG10" s="260"/>
      <c r="AH10" s="260"/>
      <c r="AI10" s="260"/>
      <c r="AJ10" s="260"/>
      <c r="AK10" s="394"/>
      <c r="AL10" s="438"/>
      <c r="AM10" s="263"/>
      <c r="AN10" s="263"/>
      <c r="AO10" s="166" t="s">
        <v>234</v>
      </c>
      <c r="AP10" s="263"/>
      <c r="AQ10" s="264"/>
      <c r="AR10" s="259"/>
      <c r="AS10" s="260"/>
      <c r="AT10" s="260"/>
      <c r="AU10" s="260"/>
      <c r="AV10" s="260"/>
      <c r="AW10" s="260"/>
      <c r="AX10" s="493"/>
      <c r="AY10" s="494"/>
      <c r="AZ10" s="494"/>
      <c r="BA10" s="494"/>
      <c r="BB10" s="494"/>
      <c r="BC10" s="494"/>
      <c r="BD10" s="244"/>
      <c r="BE10" s="245"/>
      <c r="BF10" s="245"/>
      <c r="BG10" s="245"/>
      <c r="BH10" s="245"/>
      <c r="BI10" s="245"/>
      <c r="BJ10" s="493"/>
      <c r="BK10" s="494"/>
      <c r="BL10" s="494"/>
      <c r="BM10" s="494"/>
      <c r="BN10" s="494"/>
      <c r="BO10" s="495"/>
      <c r="BP10" s="274"/>
      <c r="BQ10" s="42"/>
      <c r="BR10" s="142" t="s">
        <v>23</v>
      </c>
      <c r="BS10" s="142"/>
      <c r="BT10" s="142"/>
      <c r="BU10" s="166"/>
      <c r="BV10" s="188"/>
      <c r="BW10" s="189"/>
      <c r="BX10" s="189"/>
      <c r="BY10" s="189"/>
      <c r="BZ10" s="189"/>
      <c r="CA10" s="189"/>
      <c r="CB10" s="152"/>
      <c r="CC10" s="152"/>
      <c r="CD10" s="152"/>
      <c r="CE10" s="152"/>
      <c r="CF10" s="152"/>
      <c r="CG10" s="162"/>
      <c r="CH10" s="102"/>
    </row>
    <row r="11" spans="1:86" ht="9.75" customHeight="1">
      <c r="A11" s="60">
        <v>8</v>
      </c>
      <c r="B11" s="406" t="s">
        <v>32</v>
      </c>
      <c r="C11" s="406"/>
      <c r="D11" s="406"/>
      <c r="E11" s="406"/>
      <c r="F11" s="406"/>
      <c r="G11" s="406"/>
      <c r="H11" s="406"/>
      <c r="I11" s="406"/>
      <c r="J11" s="406"/>
      <c r="K11" s="406"/>
      <c r="L11" s="407"/>
      <c r="M11" s="55" t="s">
        <v>305</v>
      </c>
      <c r="N11" s="259"/>
      <c r="O11" s="260"/>
      <c r="P11" s="260"/>
      <c r="Q11" s="260"/>
      <c r="R11" s="260"/>
      <c r="S11" s="543"/>
      <c r="T11" s="263" t="s">
        <v>24</v>
      </c>
      <c r="U11" s="263"/>
      <c r="V11" s="263"/>
      <c r="W11" s="263"/>
      <c r="X11" s="263"/>
      <c r="Y11" s="263"/>
      <c r="Z11" s="263"/>
      <c r="AA11" s="263"/>
      <c r="AB11" s="263"/>
      <c r="AC11" s="263"/>
      <c r="AD11" s="408"/>
      <c r="AE11" s="55" t="s">
        <v>305</v>
      </c>
      <c r="AF11" s="259"/>
      <c r="AG11" s="260"/>
      <c r="AH11" s="260"/>
      <c r="AI11" s="260"/>
      <c r="AJ11" s="260"/>
      <c r="AK11" s="394"/>
      <c r="AL11" s="438" t="s">
        <v>101</v>
      </c>
      <c r="AM11" s="263"/>
      <c r="AN11" s="263"/>
      <c r="AO11" s="263"/>
      <c r="AP11" s="263"/>
      <c r="AQ11" s="263"/>
      <c r="AR11" s="259"/>
      <c r="AS11" s="260"/>
      <c r="AT11" s="260"/>
      <c r="AU11" s="260"/>
      <c r="AV11" s="260"/>
      <c r="AW11" s="260"/>
      <c r="AX11" s="493"/>
      <c r="AY11" s="494"/>
      <c r="AZ11" s="494"/>
      <c r="BA11" s="494"/>
      <c r="BB11" s="494"/>
      <c r="BC11" s="494"/>
      <c r="BD11" s="244"/>
      <c r="BE11" s="245"/>
      <c r="BF11" s="245"/>
      <c r="BG11" s="245"/>
      <c r="BH11" s="245"/>
      <c r="BI11" s="245"/>
      <c r="BJ11" s="493"/>
      <c r="BK11" s="494"/>
      <c r="BL11" s="494"/>
      <c r="BM11" s="494"/>
      <c r="BN11" s="494"/>
      <c r="BO11" s="495"/>
      <c r="BP11" s="274"/>
      <c r="BQ11" s="293" t="s">
        <v>151</v>
      </c>
      <c r="BR11" s="263"/>
      <c r="BS11" s="263"/>
      <c r="BT11" s="263"/>
      <c r="BU11" s="264"/>
      <c r="BV11" s="188"/>
      <c r="BW11" s="189"/>
      <c r="BX11" s="189"/>
      <c r="BY11" s="189"/>
      <c r="BZ11" s="189"/>
      <c r="CA11" s="189"/>
      <c r="CB11" s="152"/>
      <c r="CC11" s="152"/>
      <c r="CD11" s="152"/>
      <c r="CE11" s="152"/>
      <c r="CF11" s="152"/>
      <c r="CG11" s="162"/>
      <c r="CH11" s="102"/>
    </row>
    <row r="12" spans="1:86" ht="9.75" customHeight="1" thickBot="1">
      <c r="A12" s="60">
        <v>9</v>
      </c>
      <c r="B12" s="406" t="s">
        <v>24</v>
      </c>
      <c r="C12" s="406"/>
      <c r="D12" s="406"/>
      <c r="E12" s="406"/>
      <c r="F12" s="406"/>
      <c r="G12" s="406"/>
      <c r="H12" s="406"/>
      <c r="I12" s="406"/>
      <c r="J12" s="406"/>
      <c r="K12" s="406"/>
      <c r="L12" s="407"/>
      <c r="M12" s="55" t="s">
        <v>305</v>
      </c>
      <c r="N12" s="259"/>
      <c r="O12" s="260"/>
      <c r="P12" s="260"/>
      <c r="Q12" s="260"/>
      <c r="R12" s="260"/>
      <c r="S12" s="543"/>
      <c r="T12" s="263" t="s">
        <v>127</v>
      </c>
      <c r="U12" s="263"/>
      <c r="V12" s="263"/>
      <c r="W12" s="263"/>
      <c r="X12" s="263"/>
      <c r="Y12" s="263"/>
      <c r="Z12" s="263"/>
      <c r="AA12" s="263"/>
      <c r="AB12" s="263"/>
      <c r="AC12" s="263"/>
      <c r="AD12" s="408"/>
      <c r="AE12" s="55" t="s">
        <v>305</v>
      </c>
      <c r="AF12" s="259"/>
      <c r="AG12" s="260"/>
      <c r="AH12" s="260"/>
      <c r="AI12" s="260"/>
      <c r="AJ12" s="260"/>
      <c r="AK12" s="394"/>
      <c r="AL12" s="433" t="s">
        <v>5</v>
      </c>
      <c r="AM12" s="253"/>
      <c r="AN12" s="253"/>
      <c r="AO12" s="253"/>
      <c r="AP12" s="253"/>
      <c r="AQ12" s="253"/>
      <c r="AR12" s="255"/>
      <c r="AS12" s="256"/>
      <c r="AT12" s="256"/>
      <c r="AU12" s="256"/>
      <c r="AV12" s="256"/>
      <c r="AW12" s="256"/>
      <c r="AX12" s="481"/>
      <c r="AY12" s="392"/>
      <c r="AZ12" s="392"/>
      <c r="BA12" s="392"/>
      <c r="BB12" s="392"/>
      <c r="BC12" s="392"/>
      <c r="BD12" s="255"/>
      <c r="BE12" s="256"/>
      <c r="BF12" s="256"/>
      <c r="BG12" s="256"/>
      <c r="BH12" s="256"/>
      <c r="BI12" s="256"/>
      <c r="BJ12" s="139"/>
      <c r="BK12" s="256"/>
      <c r="BL12" s="256"/>
      <c r="BM12" s="256"/>
      <c r="BN12" s="256"/>
      <c r="BO12" s="496"/>
      <c r="BP12" s="274"/>
      <c r="BQ12" s="166" t="s">
        <v>150</v>
      </c>
      <c r="BR12" s="263"/>
      <c r="BS12" s="263"/>
      <c r="BT12" s="263"/>
      <c r="BU12" s="264"/>
      <c r="BV12" s="188"/>
      <c r="BW12" s="189"/>
      <c r="BX12" s="189"/>
      <c r="BY12" s="189"/>
      <c r="BZ12" s="189"/>
      <c r="CA12" s="189"/>
      <c r="CB12" s="152"/>
      <c r="CC12" s="152"/>
      <c r="CD12" s="152"/>
      <c r="CE12" s="152"/>
      <c r="CF12" s="152"/>
      <c r="CG12" s="162"/>
      <c r="CH12" s="102"/>
    </row>
    <row r="13" spans="1:86" ht="9.75" customHeight="1">
      <c r="A13" s="60">
        <v>10</v>
      </c>
      <c r="B13" s="406" t="s">
        <v>290</v>
      </c>
      <c r="C13" s="406"/>
      <c r="D13" s="406"/>
      <c r="E13" s="406"/>
      <c r="F13" s="406"/>
      <c r="G13" s="406"/>
      <c r="H13" s="406"/>
      <c r="I13" s="406"/>
      <c r="J13" s="406"/>
      <c r="K13" s="406"/>
      <c r="L13" s="407"/>
      <c r="M13" s="55" t="s">
        <v>305</v>
      </c>
      <c r="N13" s="259"/>
      <c r="O13" s="260"/>
      <c r="P13" s="260"/>
      <c r="Q13" s="260"/>
      <c r="R13" s="260"/>
      <c r="S13" s="543"/>
      <c r="T13" s="516" t="s">
        <v>117</v>
      </c>
      <c r="U13" s="516"/>
      <c r="V13" s="516"/>
      <c r="W13" s="516"/>
      <c r="X13" s="516"/>
      <c r="Y13" s="516"/>
      <c r="Z13" s="516"/>
      <c r="AA13" s="516"/>
      <c r="AB13" s="516"/>
      <c r="AC13" s="516"/>
      <c r="AD13" s="554"/>
      <c r="AE13" s="55" t="s">
        <v>306</v>
      </c>
      <c r="AF13" s="259"/>
      <c r="AG13" s="260"/>
      <c r="AH13" s="260"/>
      <c r="AI13" s="260"/>
      <c r="AJ13" s="260"/>
      <c r="AK13" s="394"/>
      <c r="AL13" s="93" t="s">
        <v>411</v>
      </c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28"/>
      <c r="BK13" s="28"/>
      <c r="BL13" s="28"/>
      <c r="BM13" s="28"/>
      <c r="BN13" s="28"/>
      <c r="BO13" s="29"/>
      <c r="BP13" s="274"/>
      <c r="BQ13" s="166" t="s">
        <v>149</v>
      </c>
      <c r="BR13" s="263"/>
      <c r="BS13" s="263"/>
      <c r="BT13" s="263"/>
      <c r="BU13" s="264"/>
      <c r="BV13" s="188"/>
      <c r="BW13" s="189"/>
      <c r="BX13" s="189"/>
      <c r="BY13" s="189"/>
      <c r="BZ13" s="189"/>
      <c r="CA13" s="189"/>
      <c r="CB13" s="152"/>
      <c r="CC13" s="152"/>
      <c r="CD13" s="152"/>
      <c r="CE13" s="152"/>
      <c r="CF13" s="152"/>
      <c r="CG13" s="162"/>
      <c r="CH13" s="102"/>
    </row>
    <row r="14" spans="1:86" ht="9.75" customHeight="1" thickBot="1">
      <c r="A14" s="60">
        <v>11</v>
      </c>
      <c r="B14" s="409" t="s">
        <v>117</v>
      </c>
      <c r="C14" s="409"/>
      <c r="D14" s="409"/>
      <c r="E14" s="409"/>
      <c r="F14" s="409"/>
      <c r="G14" s="409"/>
      <c r="H14" s="409"/>
      <c r="I14" s="409"/>
      <c r="J14" s="409"/>
      <c r="K14" s="409"/>
      <c r="L14" s="410"/>
      <c r="M14" s="56" t="s">
        <v>306</v>
      </c>
      <c r="N14" s="391"/>
      <c r="O14" s="392"/>
      <c r="P14" s="392"/>
      <c r="Q14" s="392"/>
      <c r="R14" s="392"/>
      <c r="S14" s="393"/>
      <c r="T14" s="59"/>
      <c r="U14" s="166" t="s">
        <v>242</v>
      </c>
      <c r="V14" s="263"/>
      <c r="W14" s="263"/>
      <c r="X14" s="263"/>
      <c r="Y14" s="263"/>
      <c r="Z14" s="263"/>
      <c r="AA14" s="263"/>
      <c r="AB14" s="263"/>
      <c r="AC14" s="263"/>
      <c r="AD14" s="408"/>
      <c r="AE14" s="57" t="s">
        <v>306</v>
      </c>
      <c r="AF14" s="259"/>
      <c r="AG14" s="260"/>
      <c r="AH14" s="260"/>
      <c r="AI14" s="260"/>
      <c r="AJ14" s="260"/>
      <c r="AK14" s="394"/>
      <c r="AL14" s="197"/>
      <c r="AM14" s="123"/>
      <c r="AN14" s="123"/>
      <c r="AO14" s="123"/>
      <c r="AP14" s="123"/>
      <c r="AQ14" s="123"/>
      <c r="AR14" s="126" t="s">
        <v>75</v>
      </c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508" t="s">
        <v>106</v>
      </c>
      <c r="BE14" s="509"/>
      <c r="BF14" s="509"/>
      <c r="BG14" s="509"/>
      <c r="BH14" s="509"/>
      <c r="BI14" s="509"/>
      <c r="BJ14" s="509"/>
      <c r="BK14" s="509"/>
      <c r="BL14" s="509"/>
      <c r="BM14" s="509"/>
      <c r="BN14" s="509"/>
      <c r="BO14" s="510"/>
      <c r="BP14" s="274"/>
      <c r="BQ14" s="166" t="s">
        <v>148</v>
      </c>
      <c r="BR14" s="263"/>
      <c r="BS14" s="263"/>
      <c r="BT14" s="263"/>
      <c r="BU14" s="264"/>
      <c r="BV14" s="188"/>
      <c r="BW14" s="189"/>
      <c r="BX14" s="189"/>
      <c r="BY14" s="189"/>
      <c r="BZ14" s="189"/>
      <c r="CA14" s="189"/>
      <c r="CB14" s="152"/>
      <c r="CC14" s="152"/>
      <c r="CD14" s="152"/>
      <c r="CE14" s="152"/>
      <c r="CF14" s="152"/>
      <c r="CG14" s="162"/>
      <c r="CH14" s="102"/>
    </row>
    <row r="15" spans="1:86" ht="9.75" customHeight="1" thickBot="1">
      <c r="A15" s="49">
        <v>12</v>
      </c>
      <c r="B15" s="114"/>
      <c r="C15" s="105"/>
      <c r="D15" s="105"/>
      <c r="E15" s="105"/>
      <c r="F15" s="105"/>
      <c r="G15" s="105"/>
      <c r="H15" s="100"/>
      <c r="I15" s="100"/>
      <c r="J15" s="100"/>
      <c r="K15" s="100"/>
      <c r="L15" s="100"/>
      <c r="M15" s="100"/>
      <c r="N15" s="105"/>
      <c r="O15" s="105"/>
      <c r="P15" s="105"/>
      <c r="Q15" s="105"/>
      <c r="R15" s="105"/>
      <c r="S15" s="105"/>
      <c r="T15" s="37"/>
      <c r="U15" s="620" t="s">
        <v>296</v>
      </c>
      <c r="V15" s="621"/>
      <c r="W15" s="621"/>
      <c r="X15" s="621"/>
      <c r="Y15" s="621"/>
      <c r="Z15" s="621"/>
      <c r="AA15" s="621"/>
      <c r="AB15" s="621"/>
      <c r="AC15" s="621"/>
      <c r="AD15" s="622"/>
      <c r="AE15" s="56" t="s">
        <v>306</v>
      </c>
      <c r="AF15" s="391"/>
      <c r="AG15" s="392"/>
      <c r="AH15" s="392"/>
      <c r="AI15" s="392"/>
      <c r="AJ15" s="392"/>
      <c r="AK15" s="393"/>
      <c r="AL15" s="124"/>
      <c r="AM15" s="125"/>
      <c r="AN15" s="125"/>
      <c r="AO15" s="125"/>
      <c r="AP15" s="125"/>
      <c r="AQ15" s="125"/>
      <c r="AR15" s="131" t="s">
        <v>104</v>
      </c>
      <c r="AS15" s="132"/>
      <c r="AT15" s="132"/>
      <c r="AU15" s="132"/>
      <c r="AV15" s="132"/>
      <c r="AW15" s="132"/>
      <c r="AX15" s="163" t="s">
        <v>103</v>
      </c>
      <c r="AY15" s="132"/>
      <c r="AZ15" s="132"/>
      <c r="BA15" s="132"/>
      <c r="BB15" s="132"/>
      <c r="BC15" s="132"/>
      <c r="BD15" s="511" t="s">
        <v>104</v>
      </c>
      <c r="BE15" s="511"/>
      <c r="BF15" s="511"/>
      <c r="BG15" s="511"/>
      <c r="BH15" s="511"/>
      <c r="BI15" s="297"/>
      <c r="BJ15" s="132" t="s">
        <v>103</v>
      </c>
      <c r="BK15" s="132"/>
      <c r="BL15" s="132"/>
      <c r="BM15" s="132"/>
      <c r="BN15" s="132"/>
      <c r="BO15" s="165"/>
      <c r="BP15" s="274"/>
      <c r="BQ15" s="166" t="s">
        <v>147</v>
      </c>
      <c r="BR15" s="263"/>
      <c r="BS15" s="263"/>
      <c r="BT15" s="263"/>
      <c r="BU15" s="264"/>
      <c r="BV15" s="188"/>
      <c r="BW15" s="189"/>
      <c r="BX15" s="189"/>
      <c r="BY15" s="189"/>
      <c r="BZ15" s="189"/>
      <c r="CA15" s="189"/>
      <c r="CB15" s="152"/>
      <c r="CC15" s="152"/>
      <c r="CD15" s="152"/>
      <c r="CE15" s="152"/>
      <c r="CF15" s="152"/>
      <c r="CG15" s="162"/>
      <c r="CH15" s="13"/>
    </row>
    <row r="16" spans="1:86" ht="9.75" customHeight="1">
      <c r="A16" s="49">
        <v>13</v>
      </c>
      <c r="B16" s="558" t="s">
        <v>412</v>
      </c>
      <c r="C16" s="559"/>
      <c r="D16" s="559"/>
      <c r="E16" s="559"/>
      <c r="F16" s="559"/>
      <c r="G16" s="559"/>
      <c r="H16" s="559"/>
      <c r="I16" s="559"/>
      <c r="J16" s="559"/>
      <c r="K16" s="559"/>
      <c r="L16" s="559"/>
      <c r="M16" s="560"/>
      <c r="N16" s="101"/>
      <c r="O16" s="101"/>
      <c r="P16" s="101"/>
      <c r="Q16" s="101"/>
      <c r="R16" s="101"/>
      <c r="S16" s="101"/>
      <c r="T16" s="336" t="s">
        <v>413</v>
      </c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5"/>
      <c r="AL16" s="292" t="s">
        <v>102</v>
      </c>
      <c r="AM16" s="155"/>
      <c r="AN16" s="155"/>
      <c r="AO16" s="155"/>
      <c r="AP16" s="155"/>
      <c r="AQ16" s="156"/>
      <c r="AR16" s="491"/>
      <c r="AS16" s="463"/>
      <c r="AT16" s="463"/>
      <c r="AU16" s="463"/>
      <c r="AV16" s="463"/>
      <c r="AW16" s="463"/>
      <c r="AX16" s="463"/>
      <c r="AY16" s="463"/>
      <c r="AZ16" s="463"/>
      <c r="BA16" s="463"/>
      <c r="BB16" s="463"/>
      <c r="BC16" s="492"/>
      <c r="BD16" s="444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60"/>
      <c r="BP16" s="274"/>
      <c r="BQ16" s="166" t="s">
        <v>146</v>
      </c>
      <c r="BR16" s="263"/>
      <c r="BS16" s="263"/>
      <c r="BT16" s="263"/>
      <c r="BU16" s="264"/>
      <c r="BV16" s="188"/>
      <c r="BW16" s="189"/>
      <c r="BX16" s="189"/>
      <c r="BY16" s="189"/>
      <c r="BZ16" s="189"/>
      <c r="CA16" s="189"/>
      <c r="CB16" s="152"/>
      <c r="CC16" s="152"/>
      <c r="CD16" s="152"/>
      <c r="CE16" s="152"/>
      <c r="CF16" s="152"/>
      <c r="CG16" s="162"/>
      <c r="CH16" s="115"/>
    </row>
    <row r="17" spans="1:86" ht="9.75" customHeight="1">
      <c r="A17" s="49">
        <v>14</v>
      </c>
      <c r="B17" s="124"/>
      <c r="C17" s="125"/>
      <c r="D17" s="125"/>
      <c r="E17" s="125"/>
      <c r="F17" s="125"/>
      <c r="G17" s="125"/>
      <c r="H17" s="599" t="s">
        <v>116</v>
      </c>
      <c r="I17" s="456"/>
      <c r="J17" s="456"/>
      <c r="K17" s="456"/>
      <c r="L17" s="456"/>
      <c r="M17" s="457"/>
      <c r="N17" s="100"/>
      <c r="O17" s="100"/>
      <c r="P17" s="100"/>
      <c r="Q17" s="100"/>
      <c r="R17" s="100"/>
      <c r="S17" s="100"/>
      <c r="T17" s="595"/>
      <c r="U17" s="596"/>
      <c r="V17" s="596"/>
      <c r="W17" s="596"/>
      <c r="X17" s="596"/>
      <c r="Y17" s="596"/>
      <c r="Z17" s="232" t="s">
        <v>75</v>
      </c>
      <c r="AA17" s="229"/>
      <c r="AB17" s="229"/>
      <c r="AC17" s="229"/>
      <c r="AD17" s="229"/>
      <c r="AE17" s="231"/>
      <c r="AF17" s="597" t="s">
        <v>12</v>
      </c>
      <c r="AG17" s="597"/>
      <c r="AH17" s="597"/>
      <c r="AI17" s="597"/>
      <c r="AJ17" s="597"/>
      <c r="AK17" s="598"/>
      <c r="AL17" s="485" t="s">
        <v>266</v>
      </c>
      <c r="AM17" s="486"/>
      <c r="AN17" s="486"/>
      <c r="AO17" s="486"/>
      <c r="AP17" s="486"/>
      <c r="AQ17" s="487"/>
      <c r="AR17" s="488"/>
      <c r="AS17" s="489"/>
      <c r="AT17" s="489"/>
      <c r="AU17" s="489"/>
      <c r="AV17" s="489"/>
      <c r="AW17" s="489"/>
      <c r="AX17" s="152"/>
      <c r="AY17" s="152"/>
      <c r="AZ17" s="152"/>
      <c r="BA17" s="152"/>
      <c r="BB17" s="152"/>
      <c r="BC17" s="167"/>
      <c r="BD17" s="490"/>
      <c r="BE17" s="489"/>
      <c r="BF17" s="489"/>
      <c r="BG17" s="489"/>
      <c r="BH17" s="489"/>
      <c r="BI17" s="489"/>
      <c r="BJ17" s="152"/>
      <c r="BK17" s="152"/>
      <c r="BL17" s="152"/>
      <c r="BM17" s="152"/>
      <c r="BN17" s="152"/>
      <c r="BO17" s="162"/>
      <c r="BP17" s="274"/>
      <c r="BQ17" s="166" t="s">
        <v>145</v>
      </c>
      <c r="BR17" s="263"/>
      <c r="BS17" s="263"/>
      <c r="BT17" s="263"/>
      <c r="BU17" s="264"/>
      <c r="BV17" s="188"/>
      <c r="BW17" s="189"/>
      <c r="BX17" s="189"/>
      <c r="BY17" s="189"/>
      <c r="BZ17" s="189"/>
      <c r="CA17" s="189"/>
      <c r="CB17" s="152"/>
      <c r="CC17" s="152"/>
      <c r="CD17" s="152"/>
      <c r="CE17" s="152"/>
      <c r="CF17" s="152"/>
      <c r="CG17" s="162"/>
      <c r="CH17" s="104"/>
    </row>
    <row r="18" spans="1:86" ht="9.75" customHeight="1">
      <c r="A18" s="49">
        <v>15</v>
      </c>
      <c r="B18" s="561" t="s">
        <v>229</v>
      </c>
      <c r="C18" s="562"/>
      <c r="D18" s="562"/>
      <c r="E18" s="562"/>
      <c r="F18" s="562"/>
      <c r="G18" s="562"/>
      <c r="H18" s="520"/>
      <c r="I18" s="521"/>
      <c r="J18" s="521"/>
      <c r="K18" s="521"/>
      <c r="L18" s="521"/>
      <c r="M18" s="522"/>
      <c r="N18" s="100"/>
      <c r="O18" s="100"/>
      <c r="P18" s="100"/>
      <c r="Q18" s="100"/>
      <c r="R18" s="100"/>
      <c r="S18" s="100"/>
      <c r="T18" s="514" t="s">
        <v>9</v>
      </c>
      <c r="U18" s="277"/>
      <c r="V18" s="277"/>
      <c r="W18" s="277"/>
      <c r="X18" s="277"/>
      <c r="Y18" s="277"/>
      <c r="Z18" s="194"/>
      <c r="AA18" s="195"/>
      <c r="AB18" s="195"/>
      <c r="AC18" s="195"/>
      <c r="AD18" s="195"/>
      <c r="AE18" s="195"/>
      <c r="AF18" s="444"/>
      <c r="AG18" s="158"/>
      <c r="AH18" s="158"/>
      <c r="AI18" s="158"/>
      <c r="AJ18" s="158"/>
      <c r="AK18" s="160"/>
      <c r="AL18" s="41"/>
      <c r="AM18" s="483" t="s">
        <v>100</v>
      </c>
      <c r="AN18" s="483"/>
      <c r="AO18" s="483"/>
      <c r="AP18" s="483"/>
      <c r="AQ18" s="484"/>
      <c r="AR18" s="150"/>
      <c r="AS18" s="151"/>
      <c r="AT18" s="151"/>
      <c r="AU18" s="151"/>
      <c r="AV18" s="151"/>
      <c r="AW18" s="151"/>
      <c r="AX18" s="189"/>
      <c r="AY18" s="189"/>
      <c r="AZ18" s="189"/>
      <c r="BA18" s="189"/>
      <c r="BB18" s="189"/>
      <c r="BC18" s="478"/>
      <c r="BD18" s="467"/>
      <c r="BE18" s="151"/>
      <c r="BF18" s="151"/>
      <c r="BG18" s="151"/>
      <c r="BH18" s="151"/>
      <c r="BI18" s="151"/>
      <c r="BJ18" s="152"/>
      <c r="BK18" s="152"/>
      <c r="BL18" s="152"/>
      <c r="BM18" s="152"/>
      <c r="BN18" s="152"/>
      <c r="BO18" s="162"/>
      <c r="BP18" s="274"/>
      <c r="BQ18" s="166" t="s">
        <v>143</v>
      </c>
      <c r="BR18" s="263"/>
      <c r="BS18" s="263"/>
      <c r="BT18" s="263"/>
      <c r="BU18" s="264"/>
      <c r="BV18" s="188"/>
      <c r="BW18" s="189"/>
      <c r="BX18" s="189"/>
      <c r="BY18" s="189"/>
      <c r="BZ18" s="189"/>
      <c r="CA18" s="189"/>
      <c r="CB18" s="152"/>
      <c r="CC18" s="152"/>
      <c r="CD18" s="152"/>
      <c r="CE18" s="152"/>
      <c r="CF18" s="152"/>
      <c r="CG18" s="162"/>
      <c r="CH18" s="104"/>
    </row>
    <row r="19" spans="1:86" ht="9.75" customHeight="1">
      <c r="A19" s="49">
        <v>16</v>
      </c>
      <c r="B19" s="563" t="s">
        <v>232</v>
      </c>
      <c r="C19" s="564"/>
      <c r="D19" s="564"/>
      <c r="E19" s="564"/>
      <c r="F19" s="564"/>
      <c r="G19" s="564"/>
      <c r="H19" s="259"/>
      <c r="I19" s="260"/>
      <c r="J19" s="260"/>
      <c r="K19" s="260"/>
      <c r="L19" s="260"/>
      <c r="M19" s="394"/>
      <c r="N19" s="100"/>
      <c r="O19" s="100"/>
      <c r="P19" s="100"/>
      <c r="Q19" s="100"/>
      <c r="R19" s="100"/>
      <c r="S19" s="100"/>
      <c r="T19" s="438" t="s">
        <v>142</v>
      </c>
      <c r="U19" s="263"/>
      <c r="V19" s="263"/>
      <c r="W19" s="263"/>
      <c r="X19" s="263"/>
      <c r="Y19" s="263"/>
      <c r="Z19" s="161"/>
      <c r="AA19" s="152"/>
      <c r="AB19" s="152"/>
      <c r="AC19" s="152"/>
      <c r="AD19" s="152"/>
      <c r="AE19" s="152"/>
      <c r="AF19" s="246"/>
      <c r="AG19" s="152"/>
      <c r="AH19" s="152"/>
      <c r="AI19" s="152"/>
      <c r="AJ19" s="152"/>
      <c r="AK19" s="162"/>
      <c r="AL19" s="41"/>
      <c r="AM19" s="626" t="s">
        <v>246</v>
      </c>
      <c r="AN19" s="626"/>
      <c r="AO19" s="626"/>
      <c r="AP19" s="626"/>
      <c r="AQ19" s="627"/>
      <c r="AR19" s="150"/>
      <c r="AS19" s="151"/>
      <c r="AT19" s="151"/>
      <c r="AU19" s="151"/>
      <c r="AV19" s="151"/>
      <c r="AW19" s="151"/>
      <c r="AX19" s="189"/>
      <c r="AY19" s="189"/>
      <c r="AZ19" s="189"/>
      <c r="BA19" s="189"/>
      <c r="BB19" s="189"/>
      <c r="BC19" s="478"/>
      <c r="BD19" s="467"/>
      <c r="BE19" s="151"/>
      <c r="BF19" s="151"/>
      <c r="BG19" s="151"/>
      <c r="BH19" s="151"/>
      <c r="BI19" s="151"/>
      <c r="BJ19" s="152"/>
      <c r="BK19" s="152"/>
      <c r="BL19" s="152"/>
      <c r="BM19" s="152"/>
      <c r="BN19" s="152"/>
      <c r="BO19" s="162"/>
      <c r="BP19" s="274"/>
      <c r="BQ19" s="166" t="s">
        <v>118</v>
      </c>
      <c r="BR19" s="263"/>
      <c r="BS19" s="263"/>
      <c r="BT19" s="263"/>
      <c r="BU19" s="264"/>
      <c r="BV19" s="161"/>
      <c r="BW19" s="152"/>
      <c r="BX19" s="152"/>
      <c r="BY19" s="152"/>
      <c r="BZ19" s="152"/>
      <c r="CA19" s="152"/>
      <c r="CB19" s="152"/>
      <c r="CC19" s="152"/>
      <c r="CD19" s="152"/>
      <c r="CE19" s="152"/>
      <c r="CF19" s="152"/>
      <c r="CG19" s="162"/>
      <c r="CH19" s="100"/>
    </row>
    <row r="20" spans="1:86" ht="9.75" customHeight="1" thickBot="1">
      <c r="A20" s="49">
        <v>17</v>
      </c>
      <c r="B20" s="539" t="s">
        <v>5</v>
      </c>
      <c r="C20" s="540"/>
      <c r="D20" s="540"/>
      <c r="E20" s="540"/>
      <c r="F20" s="540"/>
      <c r="G20" s="540"/>
      <c r="H20" s="541"/>
      <c r="I20" s="541"/>
      <c r="J20" s="541"/>
      <c r="K20" s="541"/>
      <c r="L20" s="541"/>
      <c r="M20" s="542"/>
      <c r="N20" s="100"/>
      <c r="O20" s="100"/>
      <c r="P20" s="100"/>
      <c r="Q20" s="100"/>
      <c r="R20" s="100"/>
      <c r="S20" s="100"/>
      <c r="T20" s="438" t="s">
        <v>140</v>
      </c>
      <c r="U20" s="263"/>
      <c r="V20" s="263"/>
      <c r="W20" s="263"/>
      <c r="X20" s="263"/>
      <c r="Y20" s="263"/>
      <c r="Z20" s="161"/>
      <c r="AA20" s="152"/>
      <c r="AB20" s="152"/>
      <c r="AC20" s="152"/>
      <c r="AD20" s="152"/>
      <c r="AE20" s="152"/>
      <c r="AF20" s="246"/>
      <c r="AG20" s="152"/>
      <c r="AH20" s="152"/>
      <c r="AI20" s="152"/>
      <c r="AJ20" s="152"/>
      <c r="AK20" s="162"/>
      <c r="AL20" s="628"/>
      <c r="AM20" s="629"/>
      <c r="AN20" s="629"/>
      <c r="AO20" s="629"/>
      <c r="AP20" s="629"/>
      <c r="AQ20" s="630"/>
      <c r="AR20" s="188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478"/>
      <c r="BD20" s="246"/>
      <c r="BE20" s="152"/>
      <c r="BF20" s="152"/>
      <c r="BG20" s="152"/>
      <c r="BH20" s="152"/>
      <c r="BI20" s="152"/>
      <c r="BJ20" s="152"/>
      <c r="BK20" s="152"/>
      <c r="BL20" s="152"/>
      <c r="BM20" s="152"/>
      <c r="BN20" s="152"/>
      <c r="BO20" s="162"/>
      <c r="BP20" s="470" t="s">
        <v>138</v>
      </c>
      <c r="BQ20" s="293" t="s">
        <v>137</v>
      </c>
      <c r="BR20" s="472"/>
      <c r="BS20" s="472"/>
      <c r="BT20" s="472"/>
      <c r="BU20" s="473"/>
      <c r="BV20" s="314"/>
      <c r="BW20" s="282"/>
      <c r="BX20" s="282"/>
      <c r="BY20" s="282"/>
      <c r="BZ20" s="282"/>
      <c r="CA20" s="282"/>
      <c r="CB20" s="158"/>
      <c r="CC20" s="158"/>
      <c r="CD20" s="158"/>
      <c r="CE20" s="158"/>
      <c r="CF20" s="158"/>
      <c r="CG20" s="160"/>
      <c r="CH20" s="97"/>
    </row>
    <row r="21" spans="1:86" ht="9.75" customHeight="1">
      <c r="A21" s="49">
        <v>18</v>
      </c>
      <c r="B21" s="336" t="s">
        <v>414</v>
      </c>
      <c r="C21" s="434"/>
      <c r="D21" s="434"/>
      <c r="E21" s="434"/>
      <c r="F21" s="434"/>
      <c r="G21" s="434"/>
      <c r="H21" s="434"/>
      <c r="I21" s="434"/>
      <c r="J21" s="434"/>
      <c r="K21" s="434"/>
      <c r="L21" s="434"/>
      <c r="M21" s="435"/>
      <c r="N21" s="100"/>
      <c r="O21" s="100"/>
      <c r="P21" s="100"/>
      <c r="Q21" s="100"/>
      <c r="R21" s="100"/>
      <c r="S21" s="100"/>
      <c r="T21" s="515" t="s">
        <v>136</v>
      </c>
      <c r="U21" s="263"/>
      <c r="V21" s="263"/>
      <c r="W21" s="263"/>
      <c r="X21" s="263"/>
      <c r="Y21" s="263"/>
      <c r="Z21" s="161"/>
      <c r="AA21" s="152"/>
      <c r="AB21" s="152"/>
      <c r="AC21" s="152"/>
      <c r="AD21" s="152"/>
      <c r="AE21" s="152"/>
      <c r="AF21" s="246"/>
      <c r="AG21" s="152"/>
      <c r="AH21" s="152"/>
      <c r="AI21" s="152"/>
      <c r="AJ21" s="152"/>
      <c r="AK21" s="162"/>
      <c r="AL21" s="628"/>
      <c r="AM21" s="629"/>
      <c r="AN21" s="629"/>
      <c r="AO21" s="629"/>
      <c r="AP21" s="629"/>
      <c r="AQ21" s="630"/>
      <c r="AR21" s="188"/>
      <c r="AS21" s="189"/>
      <c r="AT21" s="189"/>
      <c r="AU21" s="189"/>
      <c r="AV21" s="189"/>
      <c r="AW21" s="189"/>
      <c r="AX21" s="479"/>
      <c r="AY21" s="479"/>
      <c r="AZ21" s="479"/>
      <c r="BA21" s="479"/>
      <c r="BB21" s="479"/>
      <c r="BC21" s="480"/>
      <c r="BD21" s="246"/>
      <c r="BE21" s="152"/>
      <c r="BF21" s="152"/>
      <c r="BG21" s="152"/>
      <c r="BH21" s="152"/>
      <c r="BI21" s="152"/>
      <c r="BJ21" s="152"/>
      <c r="BK21" s="152"/>
      <c r="BL21" s="152"/>
      <c r="BM21" s="152"/>
      <c r="BN21" s="152"/>
      <c r="BO21" s="162"/>
      <c r="BP21" s="471"/>
      <c r="BQ21" s="166" t="s">
        <v>133</v>
      </c>
      <c r="BR21" s="263"/>
      <c r="BS21" s="263"/>
      <c r="BT21" s="263"/>
      <c r="BU21" s="264"/>
      <c r="BV21" s="188"/>
      <c r="BW21" s="189"/>
      <c r="BX21" s="189"/>
      <c r="BY21" s="189"/>
      <c r="BZ21" s="189"/>
      <c r="CA21" s="189"/>
      <c r="CB21" s="152"/>
      <c r="CC21" s="152"/>
      <c r="CD21" s="152"/>
      <c r="CE21" s="152"/>
      <c r="CF21" s="152"/>
      <c r="CG21" s="162"/>
      <c r="CH21" s="104"/>
    </row>
    <row r="22" spans="1:86" ht="9.75" customHeight="1" thickBot="1">
      <c r="A22" s="49">
        <v>19</v>
      </c>
      <c r="B22" s="124"/>
      <c r="C22" s="125"/>
      <c r="D22" s="125"/>
      <c r="E22" s="125"/>
      <c r="F22" s="125"/>
      <c r="G22" s="125"/>
      <c r="H22" s="525" t="s">
        <v>162</v>
      </c>
      <c r="I22" s="361"/>
      <c r="J22" s="361"/>
      <c r="K22" s="361"/>
      <c r="L22" s="361"/>
      <c r="M22" s="557"/>
      <c r="N22" s="100"/>
      <c r="O22" s="100"/>
      <c r="P22" s="100"/>
      <c r="Q22" s="100"/>
      <c r="R22" s="100"/>
      <c r="S22" s="100"/>
      <c r="T22" s="92"/>
      <c r="U22" s="142" t="s">
        <v>131</v>
      </c>
      <c r="V22" s="142"/>
      <c r="W22" s="142"/>
      <c r="X22" s="142"/>
      <c r="Y22" s="143"/>
      <c r="Z22" s="161"/>
      <c r="AA22" s="152"/>
      <c r="AB22" s="152"/>
      <c r="AC22" s="152"/>
      <c r="AD22" s="152"/>
      <c r="AE22" s="152"/>
      <c r="AF22" s="494"/>
      <c r="AG22" s="494"/>
      <c r="AH22" s="494"/>
      <c r="AI22" s="494"/>
      <c r="AJ22" s="494"/>
      <c r="AK22" s="495"/>
      <c r="AL22" s="631"/>
      <c r="AM22" s="632"/>
      <c r="AN22" s="632"/>
      <c r="AO22" s="632"/>
      <c r="AP22" s="632"/>
      <c r="AQ22" s="633"/>
      <c r="AR22" s="179"/>
      <c r="AS22" s="180"/>
      <c r="AT22" s="180"/>
      <c r="AU22" s="180"/>
      <c r="AV22" s="180"/>
      <c r="AW22" s="180"/>
      <c r="AX22" s="481"/>
      <c r="AY22" s="392"/>
      <c r="AZ22" s="392"/>
      <c r="BA22" s="392"/>
      <c r="BB22" s="392"/>
      <c r="BC22" s="482"/>
      <c r="BD22" s="257"/>
      <c r="BE22" s="138"/>
      <c r="BF22" s="138"/>
      <c r="BG22" s="138"/>
      <c r="BH22" s="138"/>
      <c r="BI22" s="138"/>
      <c r="BJ22" s="476"/>
      <c r="BK22" s="476"/>
      <c r="BL22" s="476"/>
      <c r="BM22" s="476"/>
      <c r="BN22" s="476"/>
      <c r="BO22" s="477"/>
      <c r="BP22" s="471"/>
      <c r="BQ22" s="166" t="s">
        <v>132</v>
      </c>
      <c r="BR22" s="263"/>
      <c r="BS22" s="263"/>
      <c r="BT22" s="263"/>
      <c r="BU22" s="264"/>
      <c r="BV22" s="188"/>
      <c r="BW22" s="189"/>
      <c r="BX22" s="189"/>
      <c r="BY22" s="189"/>
      <c r="BZ22" s="189"/>
      <c r="CA22" s="189"/>
      <c r="CB22" s="152"/>
      <c r="CC22" s="152"/>
      <c r="CD22" s="152"/>
      <c r="CE22" s="152"/>
      <c r="CF22" s="152"/>
      <c r="CG22" s="162"/>
      <c r="CH22" s="104"/>
    </row>
    <row r="23" spans="1:86" ht="9.75" customHeight="1">
      <c r="A23" s="49">
        <v>20</v>
      </c>
      <c r="B23" s="565" t="s">
        <v>160</v>
      </c>
      <c r="C23" s="379"/>
      <c r="D23" s="379"/>
      <c r="E23" s="379"/>
      <c r="F23" s="379"/>
      <c r="G23" s="390"/>
      <c r="H23" s="281"/>
      <c r="I23" s="463"/>
      <c r="J23" s="463"/>
      <c r="K23" s="463"/>
      <c r="L23" s="463"/>
      <c r="M23" s="464"/>
      <c r="N23" s="100"/>
      <c r="O23" s="100"/>
      <c r="P23" s="100"/>
      <c r="Q23" s="100"/>
      <c r="R23" s="100"/>
      <c r="S23" s="100"/>
      <c r="T23" s="315" t="s">
        <v>307</v>
      </c>
      <c r="U23" s="142"/>
      <c r="V23" s="142"/>
      <c r="W23" s="142"/>
      <c r="X23" s="142"/>
      <c r="Y23" s="143"/>
      <c r="Z23" s="161"/>
      <c r="AA23" s="152"/>
      <c r="AB23" s="152"/>
      <c r="AC23" s="152"/>
      <c r="AD23" s="152"/>
      <c r="AE23" s="152"/>
      <c r="AF23" s="246"/>
      <c r="AG23" s="152"/>
      <c r="AH23" s="152"/>
      <c r="AI23" s="152"/>
      <c r="AJ23" s="152"/>
      <c r="AK23" s="162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4"/>
      <c r="AY23" s="5"/>
      <c r="AZ23" s="5"/>
      <c r="BA23" s="5"/>
      <c r="BB23" s="5"/>
      <c r="BC23" s="5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471"/>
      <c r="BQ23" s="289" t="s">
        <v>432</v>
      </c>
      <c r="BR23" s="474"/>
      <c r="BS23" s="474"/>
      <c r="BT23" s="474"/>
      <c r="BU23" s="475"/>
      <c r="BV23" s="188"/>
      <c r="BW23" s="189"/>
      <c r="BX23" s="189"/>
      <c r="BY23" s="189"/>
      <c r="BZ23" s="189"/>
      <c r="CA23" s="189"/>
      <c r="CB23" s="152"/>
      <c r="CC23" s="152"/>
      <c r="CD23" s="152"/>
      <c r="CE23" s="152"/>
      <c r="CF23" s="152"/>
      <c r="CG23" s="162"/>
      <c r="CH23" s="104"/>
    </row>
    <row r="24" spans="1:86" ht="9.75" customHeight="1" thickBot="1">
      <c r="A24" s="49">
        <v>21</v>
      </c>
      <c r="B24" s="566" t="s">
        <v>297</v>
      </c>
      <c r="C24" s="567"/>
      <c r="D24" s="555" t="s">
        <v>156</v>
      </c>
      <c r="E24" s="555"/>
      <c r="F24" s="555"/>
      <c r="G24" s="556"/>
      <c r="H24" s="261"/>
      <c r="I24" s="189"/>
      <c r="J24" s="189"/>
      <c r="K24" s="189"/>
      <c r="L24" s="189"/>
      <c r="M24" s="432"/>
      <c r="N24" s="100"/>
      <c r="O24" s="100"/>
      <c r="P24" s="100"/>
      <c r="Q24" s="100"/>
      <c r="R24" s="100"/>
      <c r="S24" s="100"/>
      <c r="T24" s="40"/>
      <c r="U24" s="134" t="s">
        <v>131</v>
      </c>
      <c r="V24" s="134"/>
      <c r="W24" s="134"/>
      <c r="X24" s="134"/>
      <c r="Y24" s="135"/>
      <c r="Z24" s="238"/>
      <c r="AA24" s="138"/>
      <c r="AB24" s="138"/>
      <c r="AC24" s="138"/>
      <c r="AD24" s="138"/>
      <c r="AE24" s="138"/>
      <c r="AF24" s="518"/>
      <c r="AG24" s="518"/>
      <c r="AH24" s="518"/>
      <c r="AI24" s="518"/>
      <c r="AJ24" s="518"/>
      <c r="AK24" s="519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4"/>
      <c r="AY24" s="99"/>
      <c r="AZ24" s="99"/>
      <c r="BA24" s="99"/>
      <c r="BB24" s="99"/>
      <c r="BC24" s="99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471"/>
      <c r="BQ24" s="166" t="s">
        <v>130</v>
      </c>
      <c r="BR24" s="263"/>
      <c r="BS24" s="263"/>
      <c r="BT24" s="263"/>
      <c r="BU24" s="264"/>
      <c r="BV24" s="188"/>
      <c r="BW24" s="189"/>
      <c r="BX24" s="189"/>
      <c r="BY24" s="189"/>
      <c r="BZ24" s="189"/>
      <c r="CA24" s="189"/>
      <c r="CB24" s="152"/>
      <c r="CC24" s="152"/>
      <c r="CD24" s="152"/>
      <c r="CE24" s="152"/>
      <c r="CF24" s="152"/>
      <c r="CG24" s="162"/>
      <c r="CH24" s="104"/>
    </row>
    <row r="25" spans="1:86" ht="9.75" customHeight="1">
      <c r="A25" s="49">
        <v>22</v>
      </c>
      <c r="B25" s="566"/>
      <c r="C25" s="567"/>
      <c r="D25" s="555" t="s">
        <v>230</v>
      </c>
      <c r="E25" s="555"/>
      <c r="F25" s="555"/>
      <c r="G25" s="556"/>
      <c r="H25" s="261"/>
      <c r="I25" s="189"/>
      <c r="J25" s="189"/>
      <c r="K25" s="189"/>
      <c r="L25" s="189"/>
      <c r="M25" s="432"/>
      <c r="N25" s="100"/>
      <c r="O25" s="100"/>
      <c r="P25" s="100"/>
      <c r="Q25" s="100"/>
      <c r="R25" s="100"/>
      <c r="S25" s="100"/>
      <c r="T25" s="623" t="s">
        <v>302</v>
      </c>
      <c r="U25" s="624"/>
      <c r="V25" s="624"/>
      <c r="W25" s="624"/>
      <c r="X25" s="624"/>
      <c r="Y25" s="624"/>
      <c r="Z25" s="624"/>
      <c r="AA25" s="624"/>
      <c r="AB25" s="624"/>
      <c r="AC25" s="624"/>
      <c r="AD25" s="624"/>
      <c r="AE25" s="624"/>
      <c r="AF25" s="624"/>
      <c r="AG25" s="624"/>
      <c r="AH25" s="624"/>
      <c r="AI25" s="624"/>
      <c r="AJ25" s="624"/>
      <c r="AK25" s="625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4"/>
      <c r="AY25" s="99"/>
      <c r="AZ25" s="99"/>
      <c r="BA25" s="99"/>
      <c r="BB25" s="99"/>
      <c r="BC25" s="99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471"/>
      <c r="BQ25" s="166" t="s">
        <v>118</v>
      </c>
      <c r="BR25" s="263"/>
      <c r="BS25" s="263"/>
      <c r="BT25" s="263"/>
      <c r="BU25" s="264"/>
      <c r="BV25" s="161"/>
      <c r="BW25" s="152"/>
      <c r="BX25" s="152"/>
      <c r="BY25" s="152"/>
      <c r="BZ25" s="152"/>
      <c r="CA25" s="152"/>
      <c r="CB25" s="152"/>
      <c r="CC25" s="152"/>
      <c r="CD25" s="152"/>
      <c r="CE25" s="152"/>
      <c r="CF25" s="152"/>
      <c r="CG25" s="162"/>
      <c r="CH25" s="104"/>
    </row>
    <row r="26" spans="1:86" ht="9.75" customHeight="1" thickBot="1">
      <c r="A26" s="49">
        <v>23</v>
      </c>
      <c r="B26" s="568"/>
      <c r="C26" s="569"/>
      <c r="D26" s="571" t="s">
        <v>231</v>
      </c>
      <c r="E26" s="571"/>
      <c r="F26" s="571"/>
      <c r="G26" s="572"/>
      <c r="H26" s="570"/>
      <c r="I26" s="180"/>
      <c r="J26" s="180"/>
      <c r="K26" s="180"/>
      <c r="L26" s="180"/>
      <c r="M26" s="427"/>
      <c r="N26" s="100"/>
      <c r="O26" s="100"/>
      <c r="P26" s="100"/>
      <c r="Q26" s="100"/>
      <c r="R26" s="100"/>
      <c r="S26" s="100"/>
      <c r="T26" s="595"/>
      <c r="U26" s="596"/>
      <c r="V26" s="596"/>
      <c r="W26" s="596"/>
      <c r="X26" s="596"/>
      <c r="Y26" s="596"/>
      <c r="Z26" s="232" t="s">
        <v>75</v>
      </c>
      <c r="AA26" s="229"/>
      <c r="AB26" s="229"/>
      <c r="AC26" s="229"/>
      <c r="AD26" s="229"/>
      <c r="AE26" s="231"/>
      <c r="AF26" s="597" t="s">
        <v>12</v>
      </c>
      <c r="AG26" s="597"/>
      <c r="AH26" s="597"/>
      <c r="AI26" s="597"/>
      <c r="AJ26" s="597"/>
      <c r="AK26" s="598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99"/>
      <c r="AY26" s="99"/>
      <c r="AZ26" s="99"/>
      <c r="BA26" s="99"/>
      <c r="BB26" s="99"/>
      <c r="BC26" s="99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433" t="s">
        <v>78</v>
      </c>
      <c r="BQ26" s="253"/>
      <c r="BR26" s="253"/>
      <c r="BS26" s="253"/>
      <c r="BT26" s="253"/>
      <c r="BU26" s="253"/>
      <c r="BV26" s="2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40"/>
      <c r="CH26" s="104"/>
    </row>
    <row r="27" spans="1:86" ht="9.75" customHeight="1">
      <c r="A27" s="49">
        <v>24</v>
      </c>
      <c r="B27" s="336" t="s">
        <v>415</v>
      </c>
      <c r="C27" s="434"/>
      <c r="D27" s="434"/>
      <c r="E27" s="434"/>
      <c r="F27" s="434"/>
      <c r="G27" s="434"/>
      <c r="H27" s="434"/>
      <c r="I27" s="434"/>
      <c r="J27" s="434"/>
      <c r="K27" s="434"/>
      <c r="L27" s="434"/>
      <c r="M27" s="434"/>
      <c r="N27" s="434"/>
      <c r="O27" s="434"/>
      <c r="P27" s="434"/>
      <c r="Q27" s="434"/>
      <c r="R27" s="434"/>
      <c r="S27" s="435"/>
      <c r="T27" s="565" t="s">
        <v>9</v>
      </c>
      <c r="U27" s="379"/>
      <c r="V27" s="379"/>
      <c r="W27" s="379"/>
      <c r="X27" s="379"/>
      <c r="Y27" s="276"/>
      <c r="Z27" s="194"/>
      <c r="AA27" s="195"/>
      <c r="AB27" s="195"/>
      <c r="AC27" s="195"/>
      <c r="AD27" s="195"/>
      <c r="AE27" s="195"/>
      <c r="AF27" s="444"/>
      <c r="AG27" s="158"/>
      <c r="AH27" s="158"/>
      <c r="AI27" s="158"/>
      <c r="AJ27" s="158"/>
      <c r="AK27" s="160"/>
      <c r="AL27" s="105"/>
      <c r="AM27" s="105"/>
      <c r="AN27" s="105"/>
      <c r="AO27" s="105"/>
      <c r="AP27" s="105"/>
      <c r="AQ27" s="105"/>
      <c r="AX27" s="336" t="s">
        <v>416</v>
      </c>
      <c r="AY27" s="434"/>
      <c r="AZ27" s="434"/>
      <c r="BA27" s="434"/>
      <c r="BB27" s="434"/>
      <c r="BC27" s="434"/>
      <c r="BD27" s="434"/>
      <c r="BE27" s="434"/>
      <c r="BF27" s="434"/>
      <c r="BG27" s="434"/>
      <c r="BH27" s="434"/>
      <c r="BI27" s="434"/>
      <c r="BJ27" s="434"/>
      <c r="BK27" s="434"/>
      <c r="BL27" s="434"/>
      <c r="BM27" s="434"/>
      <c r="BN27" s="434"/>
      <c r="BO27" s="434"/>
      <c r="BP27" s="434"/>
      <c r="BQ27" s="434"/>
      <c r="BR27" s="434"/>
      <c r="BS27" s="434"/>
      <c r="BT27" s="434"/>
      <c r="BU27" s="434"/>
      <c r="BV27" s="434"/>
      <c r="BW27" s="434"/>
      <c r="BX27" s="434"/>
      <c r="BY27" s="434"/>
      <c r="BZ27" s="434"/>
      <c r="CA27" s="434"/>
      <c r="CB27" s="434"/>
      <c r="CC27" s="434"/>
      <c r="CD27" s="434"/>
      <c r="CE27" s="434"/>
      <c r="CF27" s="434"/>
      <c r="CG27" s="435"/>
      <c r="CH27" s="104"/>
    </row>
    <row r="28" spans="1:86" ht="9.75" customHeight="1">
      <c r="A28" s="49">
        <v>25</v>
      </c>
      <c r="B28" s="124"/>
      <c r="C28" s="125"/>
      <c r="D28" s="125"/>
      <c r="E28" s="125"/>
      <c r="F28" s="125"/>
      <c r="G28" s="125"/>
      <c r="H28" s="232" t="s">
        <v>161</v>
      </c>
      <c r="I28" s="229"/>
      <c r="J28" s="229"/>
      <c r="K28" s="229"/>
      <c r="L28" s="229"/>
      <c r="M28" s="231"/>
      <c r="N28" s="455" t="s">
        <v>116</v>
      </c>
      <c r="O28" s="456"/>
      <c r="P28" s="456"/>
      <c r="Q28" s="456"/>
      <c r="R28" s="456"/>
      <c r="S28" s="457"/>
      <c r="T28" s="262" t="s">
        <v>142</v>
      </c>
      <c r="U28" s="142"/>
      <c r="V28" s="142"/>
      <c r="W28" s="142"/>
      <c r="X28" s="142"/>
      <c r="Y28" s="166"/>
      <c r="Z28" s="161"/>
      <c r="AA28" s="152"/>
      <c r="AB28" s="152"/>
      <c r="AC28" s="152"/>
      <c r="AD28" s="152"/>
      <c r="AE28" s="152"/>
      <c r="AF28" s="246"/>
      <c r="AG28" s="152"/>
      <c r="AH28" s="152"/>
      <c r="AI28" s="152"/>
      <c r="AJ28" s="152"/>
      <c r="AK28" s="162"/>
      <c r="AL28" s="105"/>
      <c r="AM28" s="105"/>
      <c r="AN28" s="105"/>
      <c r="AO28" s="105"/>
      <c r="AP28" s="105"/>
      <c r="AQ28" s="105"/>
      <c r="AX28" s="445"/>
      <c r="AY28" s="446"/>
      <c r="AZ28" s="446"/>
      <c r="BA28" s="446"/>
      <c r="BB28" s="446"/>
      <c r="BC28" s="447"/>
      <c r="BD28" s="451" t="s">
        <v>20</v>
      </c>
      <c r="BE28" s="452"/>
      <c r="BF28" s="452"/>
      <c r="BG28" s="452"/>
      <c r="BH28" s="452"/>
      <c r="BI28" s="452"/>
      <c r="BJ28" s="452"/>
      <c r="BK28" s="452"/>
      <c r="BL28" s="452"/>
      <c r="BM28" s="452"/>
      <c r="BN28" s="452"/>
      <c r="BO28" s="452"/>
      <c r="BP28" s="452"/>
      <c r="BQ28" s="452"/>
      <c r="BR28" s="452"/>
      <c r="BS28" s="452"/>
      <c r="BT28" s="452"/>
      <c r="BU28" s="453"/>
      <c r="BV28" s="439" t="s">
        <v>19</v>
      </c>
      <c r="BW28" s="440"/>
      <c r="BX28" s="440"/>
      <c r="BY28" s="440"/>
      <c r="BZ28" s="440"/>
      <c r="CA28" s="440"/>
      <c r="CB28" s="440"/>
      <c r="CC28" s="440"/>
      <c r="CD28" s="440"/>
      <c r="CE28" s="440"/>
      <c r="CF28" s="440"/>
      <c r="CG28" s="441"/>
      <c r="CH28" s="104"/>
    </row>
    <row r="29" spans="1:86" ht="9.75" customHeight="1">
      <c r="A29" s="49">
        <v>26</v>
      </c>
      <c r="B29" s="514" t="s">
        <v>159</v>
      </c>
      <c r="C29" s="277"/>
      <c r="D29" s="277"/>
      <c r="E29" s="277"/>
      <c r="F29" s="277"/>
      <c r="G29" s="277"/>
      <c r="H29" s="491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4"/>
      <c r="T29" s="262" t="s">
        <v>140</v>
      </c>
      <c r="U29" s="142"/>
      <c r="V29" s="142"/>
      <c r="W29" s="142"/>
      <c r="X29" s="142"/>
      <c r="Y29" s="166"/>
      <c r="Z29" s="161"/>
      <c r="AA29" s="152"/>
      <c r="AB29" s="152"/>
      <c r="AC29" s="152"/>
      <c r="AD29" s="152"/>
      <c r="AE29" s="152"/>
      <c r="AF29" s="246"/>
      <c r="AG29" s="152"/>
      <c r="AH29" s="152"/>
      <c r="AI29" s="152"/>
      <c r="AJ29" s="152"/>
      <c r="AK29" s="162"/>
      <c r="AL29" s="105"/>
      <c r="AM29" s="105"/>
      <c r="AN29" s="105"/>
      <c r="AO29" s="105"/>
      <c r="AP29" s="105"/>
      <c r="AQ29" s="105"/>
      <c r="AX29" s="448"/>
      <c r="AY29" s="449"/>
      <c r="AZ29" s="449"/>
      <c r="BA29" s="449"/>
      <c r="BB29" s="449"/>
      <c r="BC29" s="450"/>
      <c r="BD29" s="297" t="s">
        <v>17</v>
      </c>
      <c r="BE29" s="298"/>
      <c r="BF29" s="298"/>
      <c r="BG29" s="298"/>
      <c r="BH29" s="298"/>
      <c r="BI29" s="298"/>
      <c r="BJ29" s="298" t="s">
        <v>16</v>
      </c>
      <c r="BK29" s="298"/>
      <c r="BL29" s="298"/>
      <c r="BM29" s="298"/>
      <c r="BN29" s="298"/>
      <c r="BO29" s="298"/>
      <c r="BP29" s="298" t="s">
        <v>126</v>
      </c>
      <c r="BQ29" s="298"/>
      <c r="BR29" s="298"/>
      <c r="BS29" s="298"/>
      <c r="BT29" s="298"/>
      <c r="BU29" s="163"/>
      <c r="BV29" s="297" t="s">
        <v>17</v>
      </c>
      <c r="BW29" s="298"/>
      <c r="BX29" s="298"/>
      <c r="BY29" s="298"/>
      <c r="BZ29" s="298"/>
      <c r="CA29" s="298"/>
      <c r="CB29" s="298" t="s">
        <v>16</v>
      </c>
      <c r="CC29" s="298"/>
      <c r="CD29" s="298"/>
      <c r="CE29" s="298"/>
      <c r="CF29" s="298"/>
      <c r="CG29" s="299"/>
      <c r="CH29" s="104"/>
    </row>
    <row r="30" spans="1:86" ht="9.75" customHeight="1">
      <c r="A30" s="49">
        <v>27</v>
      </c>
      <c r="B30" s="438" t="s">
        <v>155</v>
      </c>
      <c r="C30" s="263"/>
      <c r="D30" s="263"/>
      <c r="E30" s="263"/>
      <c r="F30" s="263"/>
      <c r="G30" s="263"/>
      <c r="H30" s="188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432"/>
      <c r="T30" s="315" t="s">
        <v>136</v>
      </c>
      <c r="U30" s="142"/>
      <c r="V30" s="142"/>
      <c r="W30" s="142"/>
      <c r="X30" s="142"/>
      <c r="Y30" s="166"/>
      <c r="Z30" s="161"/>
      <c r="AA30" s="152"/>
      <c r="AB30" s="152"/>
      <c r="AC30" s="152"/>
      <c r="AD30" s="152"/>
      <c r="AE30" s="152"/>
      <c r="AF30" s="246"/>
      <c r="AG30" s="152"/>
      <c r="AH30" s="152"/>
      <c r="AI30" s="152"/>
      <c r="AJ30" s="152"/>
      <c r="AK30" s="162"/>
      <c r="AL30" s="105"/>
      <c r="AM30" s="105"/>
      <c r="AN30" s="105"/>
      <c r="AO30" s="105"/>
      <c r="AP30" s="105"/>
      <c r="AQ30" s="105"/>
      <c r="AX30" s="154" t="s">
        <v>125</v>
      </c>
      <c r="AY30" s="442" t="s">
        <v>124</v>
      </c>
      <c r="AZ30" s="155" t="s">
        <v>123</v>
      </c>
      <c r="BA30" s="155"/>
      <c r="BB30" s="155"/>
      <c r="BC30" s="293"/>
      <c r="BD30" s="314"/>
      <c r="BE30" s="282"/>
      <c r="BF30" s="282"/>
      <c r="BG30" s="282"/>
      <c r="BH30" s="282"/>
      <c r="BI30" s="282"/>
      <c r="BJ30" s="282"/>
      <c r="BK30" s="282"/>
      <c r="BL30" s="282"/>
      <c r="BM30" s="282"/>
      <c r="BN30" s="282"/>
      <c r="BO30" s="282"/>
      <c r="BP30" s="195"/>
      <c r="BQ30" s="195"/>
      <c r="BR30" s="195"/>
      <c r="BS30" s="195"/>
      <c r="BT30" s="195"/>
      <c r="BU30" s="454"/>
      <c r="BV30" s="194"/>
      <c r="BW30" s="195"/>
      <c r="BX30" s="195"/>
      <c r="BY30" s="195"/>
      <c r="BZ30" s="195"/>
      <c r="CA30" s="195"/>
      <c r="CB30" s="444"/>
      <c r="CC30" s="158"/>
      <c r="CD30" s="158"/>
      <c r="CE30" s="158"/>
      <c r="CF30" s="158"/>
      <c r="CG30" s="160"/>
      <c r="CH30" s="15"/>
    </row>
    <row r="31" spans="1:86" ht="9.75" customHeight="1">
      <c r="A31" s="49">
        <v>28</v>
      </c>
      <c r="B31" s="438" t="s">
        <v>153</v>
      </c>
      <c r="C31" s="263"/>
      <c r="D31" s="263"/>
      <c r="E31" s="263"/>
      <c r="F31" s="263"/>
      <c r="G31" s="263"/>
      <c r="H31" s="188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432"/>
      <c r="T31" s="92"/>
      <c r="U31" s="142" t="s">
        <v>131</v>
      </c>
      <c r="V31" s="142"/>
      <c r="W31" s="142"/>
      <c r="X31" s="142"/>
      <c r="Y31" s="166"/>
      <c r="Z31" s="161"/>
      <c r="AA31" s="152"/>
      <c r="AB31" s="152"/>
      <c r="AC31" s="152"/>
      <c r="AD31" s="152"/>
      <c r="AE31" s="152"/>
      <c r="AF31" s="494"/>
      <c r="AG31" s="494"/>
      <c r="AH31" s="494"/>
      <c r="AI31" s="494"/>
      <c r="AJ31" s="494"/>
      <c r="AK31" s="495"/>
      <c r="AL31" s="98"/>
      <c r="AM31" s="98"/>
      <c r="AN31" s="98"/>
      <c r="AO31" s="98"/>
      <c r="AP31" s="98"/>
      <c r="AQ31" s="98"/>
      <c r="AX31" s="141"/>
      <c r="AY31" s="443"/>
      <c r="AZ31" s="142" t="s">
        <v>113</v>
      </c>
      <c r="BA31" s="142"/>
      <c r="BB31" s="142"/>
      <c r="BC31" s="166"/>
      <c r="BD31" s="188"/>
      <c r="BE31" s="189"/>
      <c r="BF31" s="189"/>
      <c r="BG31" s="189"/>
      <c r="BH31" s="189"/>
      <c r="BI31" s="189"/>
      <c r="BJ31" s="189"/>
      <c r="BK31" s="189"/>
      <c r="BL31" s="189"/>
      <c r="BM31" s="189"/>
      <c r="BN31" s="189"/>
      <c r="BO31" s="189"/>
      <c r="BP31" s="152"/>
      <c r="BQ31" s="152"/>
      <c r="BR31" s="152"/>
      <c r="BS31" s="152"/>
      <c r="BT31" s="152"/>
      <c r="BU31" s="167"/>
      <c r="BV31" s="161"/>
      <c r="BW31" s="152"/>
      <c r="BX31" s="152"/>
      <c r="BY31" s="152"/>
      <c r="BZ31" s="152"/>
      <c r="CA31" s="152"/>
      <c r="CB31" s="246"/>
      <c r="CC31" s="152"/>
      <c r="CD31" s="152"/>
      <c r="CE31" s="152"/>
      <c r="CF31" s="152"/>
      <c r="CG31" s="162"/>
      <c r="CH31" s="15"/>
    </row>
    <row r="32" spans="1:86" ht="9.75" customHeight="1">
      <c r="A32" s="49">
        <v>29</v>
      </c>
      <c r="B32" s="438" t="s">
        <v>152</v>
      </c>
      <c r="C32" s="263"/>
      <c r="D32" s="263"/>
      <c r="E32" s="263"/>
      <c r="F32" s="263"/>
      <c r="G32" s="263"/>
      <c r="H32" s="188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432"/>
      <c r="T32" s="515" t="s">
        <v>307</v>
      </c>
      <c r="U32" s="516"/>
      <c r="V32" s="516"/>
      <c r="W32" s="516"/>
      <c r="X32" s="516"/>
      <c r="Y32" s="517"/>
      <c r="Z32" s="161"/>
      <c r="AA32" s="152"/>
      <c r="AB32" s="152"/>
      <c r="AC32" s="152"/>
      <c r="AD32" s="152"/>
      <c r="AE32" s="152"/>
      <c r="AF32" s="246"/>
      <c r="AG32" s="152"/>
      <c r="AH32" s="152"/>
      <c r="AI32" s="152"/>
      <c r="AJ32" s="152"/>
      <c r="AK32" s="162"/>
      <c r="AL32" s="104"/>
      <c r="AM32" s="104"/>
      <c r="AN32" s="104"/>
      <c r="AO32" s="104"/>
      <c r="AP32" s="104"/>
      <c r="AQ32" s="104"/>
      <c r="AX32" s="141"/>
      <c r="AY32" s="443"/>
      <c r="AZ32" s="142" t="s">
        <v>122</v>
      </c>
      <c r="BA32" s="142"/>
      <c r="BB32" s="142"/>
      <c r="BC32" s="166"/>
      <c r="BD32" s="188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52"/>
      <c r="BQ32" s="152"/>
      <c r="BR32" s="152"/>
      <c r="BS32" s="152"/>
      <c r="BT32" s="152"/>
      <c r="BU32" s="167"/>
      <c r="BV32" s="161"/>
      <c r="BW32" s="152"/>
      <c r="BX32" s="152"/>
      <c r="BY32" s="152"/>
      <c r="BZ32" s="152"/>
      <c r="CA32" s="152"/>
      <c r="CB32" s="246"/>
      <c r="CC32" s="152"/>
      <c r="CD32" s="152"/>
      <c r="CE32" s="152"/>
      <c r="CF32" s="152"/>
      <c r="CG32" s="162"/>
      <c r="CH32" s="16"/>
    </row>
    <row r="33" spans="1:86" ht="9.75" customHeight="1" thickBot="1">
      <c r="A33" s="49">
        <v>30</v>
      </c>
      <c r="B33" s="438" t="s">
        <v>244</v>
      </c>
      <c r="C33" s="263"/>
      <c r="D33" s="263"/>
      <c r="E33" s="263"/>
      <c r="F33" s="263"/>
      <c r="G33" s="263"/>
      <c r="H33" s="188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432"/>
      <c r="T33" s="39"/>
      <c r="U33" s="134" t="s">
        <v>131</v>
      </c>
      <c r="V33" s="134"/>
      <c r="W33" s="134"/>
      <c r="X33" s="134"/>
      <c r="Y33" s="178"/>
      <c r="Z33" s="238"/>
      <c r="AA33" s="138"/>
      <c r="AB33" s="138"/>
      <c r="AC33" s="138"/>
      <c r="AD33" s="138"/>
      <c r="AE33" s="138"/>
      <c r="AF33" s="518"/>
      <c r="AG33" s="518"/>
      <c r="AH33" s="518"/>
      <c r="AI33" s="518"/>
      <c r="AJ33" s="518"/>
      <c r="AK33" s="519"/>
      <c r="AL33" s="104"/>
      <c r="AM33" s="104"/>
      <c r="AN33" s="104"/>
      <c r="AO33" s="104"/>
      <c r="AP33" s="104"/>
      <c r="AQ33" s="104"/>
      <c r="AX33" s="141"/>
      <c r="AY33" s="443"/>
      <c r="AZ33" s="142" t="s">
        <v>118</v>
      </c>
      <c r="BA33" s="142"/>
      <c r="BB33" s="142"/>
      <c r="BC33" s="166"/>
      <c r="BD33" s="161"/>
      <c r="BE33" s="152"/>
      <c r="BF33" s="152"/>
      <c r="BG33" s="152"/>
      <c r="BH33" s="152"/>
      <c r="BI33" s="152"/>
      <c r="BJ33" s="152"/>
      <c r="BK33" s="152"/>
      <c r="BL33" s="152"/>
      <c r="BM33" s="152"/>
      <c r="BN33" s="152"/>
      <c r="BO33" s="152"/>
      <c r="BP33" s="152"/>
      <c r="BQ33" s="152"/>
      <c r="BR33" s="152"/>
      <c r="BS33" s="152"/>
      <c r="BT33" s="152"/>
      <c r="BU33" s="167"/>
      <c r="BV33" s="161"/>
      <c r="BW33" s="152"/>
      <c r="BX33" s="152"/>
      <c r="BY33" s="152"/>
      <c r="BZ33" s="152"/>
      <c r="CA33" s="152"/>
      <c r="CB33" s="246"/>
      <c r="CC33" s="152"/>
      <c r="CD33" s="152"/>
      <c r="CE33" s="152"/>
      <c r="CF33" s="152"/>
      <c r="CG33" s="162"/>
      <c r="CH33" s="17"/>
    </row>
    <row r="34" spans="1:86" ht="9.75" customHeight="1">
      <c r="A34" s="49">
        <v>31</v>
      </c>
      <c r="B34" s="438" t="s">
        <v>245</v>
      </c>
      <c r="C34" s="263"/>
      <c r="D34" s="263"/>
      <c r="E34" s="263"/>
      <c r="F34" s="263"/>
      <c r="G34" s="263"/>
      <c r="H34" s="188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432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X34" s="141"/>
      <c r="AY34" s="443" t="s">
        <v>291</v>
      </c>
      <c r="AZ34" s="142" t="s">
        <v>121</v>
      </c>
      <c r="BA34" s="142"/>
      <c r="BB34" s="142"/>
      <c r="BC34" s="166"/>
      <c r="BD34" s="188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52"/>
      <c r="BQ34" s="152"/>
      <c r="BR34" s="152"/>
      <c r="BS34" s="152"/>
      <c r="BT34" s="152"/>
      <c r="BU34" s="167"/>
      <c r="BV34" s="161"/>
      <c r="BW34" s="152"/>
      <c r="BX34" s="152"/>
      <c r="BY34" s="152"/>
      <c r="BZ34" s="152"/>
      <c r="CA34" s="152"/>
      <c r="CB34" s="246"/>
      <c r="CC34" s="152"/>
      <c r="CD34" s="152"/>
      <c r="CE34" s="152"/>
      <c r="CF34" s="152"/>
      <c r="CG34" s="162"/>
      <c r="CH34" s="100"/>
    </row>
    <row r="35" spans="1:86" ht="9.75" customHeight="1" thickBot="1">
      <c r="A35" s="49">
        <v>32</v>
      </c>
      <c r="B35" s="428" t="s">
        <v>5</v>
      </c>
      <c r="C35" s="429"/>
      <c r="D35" s="429"/>
      <c r="E35" s="429"/>
      <c r="F35" s="429"/>
      <c r="G35" s="429"/>
      <c r="H35" s="2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40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X35" s="141"/>
      <c r="AY35" s="443"/>
      <c r="AZ35" s="142" t="s">
        <v>119</v>
      </c>
      <c r="BA35" s="142"/>
      <c r="BB35" s="142"/>
      <c r="BC35" s="166"/>
      <c r="BD35" s="188"/>
      <c r="BE35" s="189"/>
      <c r="BF35" s="189"/>
      <c r="BG35" s="189"/>
      <c r="BH35" s="189"/>
      <c r="BI35" s="189"/>
      <c r="BJ35" s="189"/>
      <c r="BK35" s="189"/>
      <c r="BL35" s="189"/>
      <c r="BM35" s="189"/>
      <c r="BN35" s="189"/>
      <c r="BO35" s="189"/>
      <c r="BP35" s="152"/>
      <c r="BQ35" s="152"/>
      <c r="BR35" s="152"/>
      <c r="BS35" s="152"/>
      <c r="BT35" s="152"/>
      <c r="BU35" s="167"/>
      <c r="BV35" s="161"/>
      <c r="BW35" s="152"/>
      <c r="BX35" s="152"/>
      <c r="BY35" s="152"/>
      <c r="BZ35" s="152"/>
      <c r="CA35" s="152"/>
      <c r="CB35" s="246"/>
      <c r="CC35" s="152"/>
      <c r="CD35" s="152"/>
      <c r="CE35" s="152"/>
      <c r="CF35" s="152"/>
      <c r="CG35" s="162"/>
      <c r="CH35" s="98"/>
    </row>
    <row r="36" spans="1:86" ht="9.75" customHeight="1">
      <c r="A36" s="49">
        <v>33</v>
      </c>
      <c r="B36" s="336" t="s">
        <v>417</v>
      </c>
      <c r="C36" s="434"/>
      <c r="D36" s="434"/>
      <c r="E36" s="434"/>
      <c r="F36" s="434"/>
      <c r="G36" s="434"/>
      <c r="H36" s="434"/>
      <c r="I36" s="434"/>
      <c r="J36" s="434"/>
      <c r="K36" s="434"/>
      <c r="L36" s="434"/>
      <c r="M36" s="435"/>
      <c r="N36" s="102"/>
      <c r="O36" s="102"/>
      <c r="P36" s="102"/>
      <c r="Q36" s="102"/>
      <c r="R36" s="102"/>
      <c r="S36" s="102"/>
      <c r="T36" s="99"/>
      <c r="U36" s="99"/>
      <c r="V36" s="99"/>
      <c r="W36" s="99"/>
      <c r="X36" s="99"/>
      <c r="Y36" s="99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X36" s="141"/>
      <c r="AY36" s="443"/>
      <c r="AZ36" s="142" t="s">
        <v>108</v>
      </c>
      <c r="BA36" s="142"/>
      <c r="BB36" s="142"/>
      <c r="BC36" s="166"/>
      <c r="BD36" s="188"/>
      <c r="BE36" s="189"/>
      <c r="BF36" s="189"/>
      <c r="BG36" s="189"/>
      <c r="BH36" s="189"/>
      <c r="BI36" s="189"/>
      <c r="BJ36" s="189"/>
      <c r="BK36" s="189"/>
      <c r="BL36" s="189"/>
      <c r="BM36" s="189"/>
      <c r="BN36" s="189"/>
      <c r="BO36" s="189"/>
      <c r="BP36" s="152"/>
      <c r="BQ36" s="152"/>
      <c r="BR36" s="152"/>
      <c r="BS36" s="152"/>
      <c r="BT36" s="152"/>
      <c r="BU36" s="167"/>
      <c r="BV36" s="161"/>
      <c r="BW36" s="152"/>
      <c r="BX36" s="152"/>
      <c r="BY36" s="152"/>
      <c r="BZ36" s="152"/>
      <c r="CA36" s="152"/>
      <c r="CB36" s="246"/>
      <c r="CC36" s="152"/>
      <c r="CD36" s="152"/>
      <c r="CE36" s="152"/>
      <c r="CF36" s="152"/>
      <c r="CG36" s="162"/>
      <c r="CH36" s="97"/>
    </row>
    <row r="37" spans="1:86" ht="9.75" customHeight="1">
      <c r="A37" s="49">
        <v>34</v>
      </c>
      <c r="B37" s="523" t="s">
        <v>129</v>
      </c>
      <c r="C37" s="524"/>
      <c r="D37" s="524"/>
      <c r="E37" s="524"/>
      <c r="F37" s="524"/>
      <c r="G37" s="524"/>
      <c r="H37" s="520"/>
      <c r="I37" s="521"/>
      <c r="J37" s="521"/>
      <c r="K37" s="521"/>
      <c r="L37" s="521"/>
      <c r="M37" s="522"/>
      <c r="N37" s="102"/>
      <c r="O37" s="102"/>
      <c r="P37" s="102"/>
      <c r="Q37" s="102"/>
      <c r="R37" s="102"/>
      <c r="S37" s="102"/>
      <c r="T37" s="6"/>
      <c r="U37" s="6"/>
      <c r="V37" s="6"/>
      <c r="W37" s="6"/>
      <c r="X37" s="6"/>
      <c r="Y37" s="6"/>
      <c r="Z37" s="116"/>
      <c r="AA37" s="116"/>
      <c r="AB37" s="116"/>
      <c r="AC37" s="116"/>
      <c r="AD37" s="116"/>
      <c r="AE37" s="116"/>
      <c r="AF37" s="7"/>
      <c r="AG37" s="7"/>
      <c r="AH37" s="7"/>
      <c r="AI37" s="7"/>
      <c r="AJ37" s="7"/>
      <c r="AK37" s="7"/>
      <c r="AL37" s="100"/>
      <c r="AM37" s="100"/>
      <c r="AN37" s="100"/>
      <c r="AO37" s="100"/>
      <c r="AP37" s="100"/>
      <c r="AQ37" s="100"/>
      <c r="AX37" s="141"/>
      <c r="AY37" s="443"/>
      <c r="AZ37" s="142" t="s">
        <v>118</v>
      </c>
      <c r="BA37" s="142"/>
      <c r="BB37" s="142"/>
      <c r="BC37" s="166"/>
      <c r="BD37" s="161"/>
      <c r="BE37" s="152"/>
      <c r="BF37" s="152"/>
      <c r="BG37" s="152"/>
      <c r="BH37" s="152"/>
      <c r="BI37" s="152"/>
      <c r="BJ37" s="152"/>
      <c r="BK37" s="152"/>
      <c r="BL37" s="152"/>
      <c r="BM37" s="152"/>
      <c r="BN37" s="152"/>
      <c r="BO37" s="152"/>
      <c r="BP37" s="152"/>
      <c r="BQ37" s="152"/>
      <c r="BR37" s="152"/>
      <c r="BS37" s="152"/>
      <c r="BT37" s="152"/>
      <c r="BU37" s="167"/>
      <c r="BV37" s="161"/>
      <c r="BW37" s="152"/>
      <c r="BX37" s="152"/>
      <c r="BY37" s="152"/>
      <c r="BZ37" s="152"/>
      <c r="CA37" s="152"/>
      <c r="CB37" s="246"/>
      <c r="CC37" s="152"/>
      <c r="CD37" s="152"/>
      <c r="CE37" s="152"/>
      <c r="CF37" s="152"/>
      <c r="CG37" s="162"/>
      <c r="CH37" s="104"/>
    </row>
    <row r="38" spans="1:86" ht="9.75" customHeight="1" thickBot="1">
      <c r="A38" s="49">
        <v>35</v>
      </c>
      <c r="B38" s="436" t="s">
        <v>128</v>
      </c>
      <c r="C38" s="437"/>
      <c r="D38" s="437"/>
      <c r="E38" s="437"/>
      <c r="F38" s="437"/>
      <c r="G38" s="437"/>
      <c r="H38" s="259"/>
      <c r="I38" s="260"/>
      <c r="J38" s="260"/>
      <c r="K38" s="260"/>
      <c r="L38" s="260"/>
      <c r="M38" s="394"/>
      <c r="N38" s="102"/>
      <c r="O38" s="102"/>
      <c r="P38" s="102"/>
      <c r="Q38" s="102"/>
      <c r="R38" s="102"/>
      <c r="S38" s="102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5"/>
      <c r="AR38" s="105"/>
      <c r="AS38" s="105"/>
      <c r="AT38" s="105"/>
      <c r="AU38" s="105"/>
      <c r="AX38" s="141"/>
      <c r="AY38" s="142" t="s">
        <v>78</v>
      </c>
      <c r="AZ38" s="142"/>
      <c r="BA38" s="142"/>
      <c r="BB38" s="142"/>
      <c r="BC38" s="166"/>
      <c r="BD38" s="161"/>
      <c r="BE38" s="152"/>
      <c r="BF38" s="152"/>
      <c r="BG38" s="152"/>
      <c r="BH38" s="152"/>
      <c r="BI38" s="152"/>
      <c r="BJ38" s="152"/>
      <c r="BK38" s="152"/>
      <c r="BL38" s="152"/>
      <c r="BM38" s="152"/>
      <c r="BN38" s="152"/>
      <c r="BO38" s="152"/>
      <c r="BP38" s="152"/>
      <c r="BQ38" s="152"/>
      <c r="BR38" s="152"/>
      <c r="BS38" s="152"/>
      <c r="BT38" s="152"/>
      <c r="BU38" s="167"/>
      <c r="BV38" s="161"/>
      <c r="BW38" s="152"/>
      <c r="BX38" s="152"/>
      <c r="BY38" s="152"/>
      <c r="BZ38" s="152"/>
      <c r="CA38" s="152"/>
      <c r="CB38" s="246"/>
      <c r="CC38" s="152"/>
      <c r="CD38" s="152"/>
      <c r="CE38" s="152"/>
      <c r="CF38" s="152"/>
      <c r="CG38" s="162"/>
      <c r="CH38" s="104"/>
    </row>
    <row r="39" spans="1:86" ht="9.75" customHeight="1">
      <c r="A39" s="49">
        <v>36</v>
      </c>
      <c r="B39" s="336" t="s">
        <v>418</v>
      </c>
      <c r="C39" s="434"/>
      <c r="D39" s="434"/>
      <c r="E39" s="434"/>
      <c r="F39" s="434"/>
      <c r="G39" s="434"/>
      <c r="H39" s="434"/>
      <c r="I39" s="434"/>
      <c r="J39" s="434"/>
      <c r="K39" s="434"/>
      <c r="L39" s="434"/>
      <c r="M39" s="434"/>
      <c r="N39" s="434"/>
      <c r="O39" s="434"/>
      <c r="P39" s="434"/>
      <c r="Q39" s="434"/>
      <c r="R39" s="434"/>
      <c r="S39" s="435"/>
      <c r="T39" s="211" t="s">
        <v>419</v>
      </c>
      <c r="U39" s="212"/>
      <c r="V39" s="212"/>
      <c r="W39" s="212"/>
      <c r="X39" s="212"/>
      <c r="Y39" s="212"/>
      <c r="Z39" s="212"/>
      <c r="AA39" s="212"/>
      <c r="AB39" s="212"/>
      <c r="AC39" s="212"/>
      <c r="AD39" s="212"/>
      <c r="AE39" s="213"/>
      <c r="AK39" s="105"/>
      <c r="AL39" s="105"/>
      <c r="AM39" s="14"/>
      <c r="AN39" s="14"/>
      <c r="AO39" s="14"/>
      <c r="AP39" s="14"/>
      <c r="AQ39" s="105"/>
      <c r="AR39" s="105"/>
      <c r="AS39" s="105"/>
      <c r="AT39" s="105"/>
      <c r="AU39" s="105"/>
      <c r="AX39" s="312" t="s">
        <v>115</v>
      </c>
      <c r="AY39" s="458" t="s">
        <v>114</v>
      </c>
      <c r="AZ39" s="516" t="s">
        <v>113</v>
      </c>
      <c r="BA39" s="516"/>
      <c r="BB39" s="516"/>
      <c r="BC39" s="517"/>
      <c r="BD39" s="188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52"/>
      <c r="BQ39" s="152"/>
      <c r="BR39" s="152"/>
      <c r="BS39" s="152"/>
      <c r="BT39" s="152"/>
      <c r="BU39" s="167"/>
      <c r="BV39" s="161"/>
      <c r="BW39" s="152"/>
      <c r="BX39" s="152"/>
      <c r="BY39" s="152"/>
      <c r="BZ39" s="152"/>
      <c r="CA39" s="152"/>
      <c r="CB39" s="246"/>
      <c r="CC39" s="152"/>
      <c r="CD39" s="152"/>
      <c r="CE39" s="152"/>
      <c r="CF39" s="152"/>
      <c r="CG39" s="162"/>
      <c r="CH39" s="104"/>
    </row>
    <row r="40" spans="1:86" ht="9.75" customHeight="1" thickBot="1">
      <c r="A40" s="49">
        <v>37</v>
      </c>
      <c r="B40" s="124"/>
      <c r="C40" s="125"/>
      <c r="D40" s="125"/>
      <c r="E40" s="125"/>
      <c r="F40" s="125"/>
      <c r="G40" s="125"/>
      <c r="H40" s="525" t="s">
        <v>303</v>
      </c>
      <c r="I40" s="361"/>
      <c r="J40" s="361"/>
      <c r="K40" s="361"/>
      <c r="L40" s="361"/>
      <c r="M40" s="361"/>
      <c r="N40" s="455" t="s">
        <v>116</v>
      </c>
      <c r="O40" s="456"/>
      <c r="P40" s="456"/>
      <c r="Q40" s="456"/>
      <c r="R40" s="456"/>
      <c r="S40" s="457"/>
      <c r="T40" s="600" t="s">
        <v>134</v>
      </c>
      <c r="U40" s="601"/>
      <c r="V40" s="601"/>
      <c r="W40" s="601"/>
      <c r="X40" s="601"/>
      <c r="Y40" s="601"/>
      <c r="Z40" s="534"/>
      <c r="AA40" s="535"/>
      <c r="AB40" s="535"/>
      <c r="AC40" s="535"/>
      <c r="AD40" s="535"/>
      <c r="AE40" s="536"/>
      <c r="AK40" s="105"/>
      <c r="AL40" s="105"/>
      <c r="AM40" s="53"/>
      <c r="AN40" s="53"/>
      <c r="AO40" s="53"/>
      <c r="AP40" s="53"/>
      <c r="AQ40" s="105"/>
      <c r="AR40" s="105"/>
      <c r="AS40" s="105"/>
      <c r="AT40" s="105"/>
      <c r="AU40" s="105"/>
      <c r="AX40" s="312"/>
      <c r="AY40" s="459"/>
      <c r="AZ40" s="166" t="s">
        <v>108</v>
      </c>
      <c r="BA40" s="263"/>
      <c r="BB40" s="263"/>
      <c r="BC40" s="264"/>
      <c r="BD40" s="188"/>
      <c r="BE40" s="189"/>
      <c r="BF40" s="189"/>
      <c r="BG40" s="189"/>
      <c r="BH40" s="189"/>
      <c r="BI40" s="189"/>
      <c r="BJ40" s="189"/>
      <c r="BK40" s="189"/>
      <c r="BL40" s="189"/>
      <c r="BM40" s="189"/>
      <c r="BN40" s="189"/>
      <c r="BO40" s="189"/>
      <c r="BP40" s="152"/>
      <c r="BQ40" s="152"/>
      <c r="BR40" s="152"/>
      <c r="BS40" s="152"/>
      <c r="BT40" s="152"/>
      <c r="BU40" s="167"/>
      <c r="BV40" s="161"/>
      <c r="BW40" s="152"/>
      <c r="BX40" s="152"/>
      <c r="BY40" s="152"/>
      <c r="BZ40" s="152"/>
      <c r="CA40" s="152"/>
      <c r="CB40" s="246"/>
      <c r="CC40" s="152"/>
      <c r="CD40" s="152"/>
      <c r="CE40" s="152"/>
      <c r="CF40" s="152"/>
      <c r="CG40" s="162"/>
      <c r="CH40" s="104"/>
    </row>
    <row r="41" spans="1:86" ht="9.75" customHeight="1">
      <c r="A41" s="49">
        <v>38</v>
      </c>
      <c r="B41" s="423" t="s">
        <v>139</v>
      </c>
      <c r="C41" s="424"/>
      <c r="D41" s="424"/>
      <c r="E41" s="424"/>
      <c r="F41" s="424"/>
      <c r="G41" s="424"/>
      <c r="H41" s="465"/>
      <c r="I41" s="466"/>
      <c r="J41" s="466"/>
      <c r="K41" s="466"/>
      <c r="L41" s="466"/>
      <c r="M41" s="466"/>
      <c r="N41" s="463"/>
      <c r="O41" s="463"/>
      <c r="P41" s="463"/>
      <c r="Q41" s="463"/>
      <c r="R41" s="463"/>
      <c r="S41" s="464"/>
      <c r="AK41" s="105"/>
      <c r="AL41" s="105"/>
      <c r="AM41" s="8"/>
      <c r="AN41" s="8"/>
      <c r="AO41" s="8"/>
      <c r="AP41" s="8"/>
      <c r="AQ41" s="105"/>
      <c r="AR41" s="105"/>
      <c r="AS41" s="105"/>
      <c r="AT41" s="105"/>
      <c r="AU41" s="105"/>
      <c r="AX41" s="312"/>
      <c r="AY41" s="460" t="s">
        <v>291</v>
      </c>
      <c r="AZ41" s="516" t="s">
        <v>111</v>
      </c>
      <c r="BA41" s="516"/>
      <c r="BB41" s="516"/>
      <c r="BC41" s="517"/>
      <c r="BD41" s="188"/>
      <c r="BE41" s="189"/>
      <c r="BF41" s="189"/>
      <c r="BG41" s="189"/>
      <c r="BH41" s="189"/>
      <c r="BI41" s="189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469"/>
      <c r="BV41" s="161"/>
      <c r="BW41" s="152"/>
      <c r="BX41" s="152"/>
      <c r="BY41" s="152"/>
      <c r="BZ41" s="152"/>
      <c r="CA41" s="152"/>
      <c r="CB41" s="467"/>
      <c r="CC41" s="151"/>
      <c r="CD41" s="151"/>
      <c r="CE41" s="151"/>
      <c r="CF41" s="151"/>
      <c r="CG41" s="468"/>
      <c r="CH41" s="16"/>
    </row>
    <row r="42" spans="1:86" ht="9.75" customHeight="1">
      <c r="A42" s="49">
        <v>39</v>
      </c>
      <c r="B42" s="425" t="s">
        <v>135</v>
      </c>
      <c r="C42" s="426"/>
      <c r="D42" s="426"/>
      <c r="E42" s="426"/>
      <c r="F42" s="426"/>
      <c r="G42" s="426"/>
      <c r="H42" s="430"/>
      <c r="I42" s="431"/>
      <c r="J42" s="431"/>
      <c r="K42" s="431"/>
      <c r="L42" s="431"/>
      <c r="M42" s="431"/>
      <c r="N42" s="189"/>
      <c r="O42" s="189"/>
      <c r="P42" s="189"/>
      <c r="Q42" s="189"/>
      <c r="R42" s="189"/>
      <c r="S42" s="432"/>
      <c r="AK42" s="105"/>
      <c r="AL42" s="105"/>
      <c r="AM42" s="8"/>
      <c r="AN42" s="8"/>
      <c r="AO42" s="8"/>
      <c r="AP42" s="8"/>
      <c r="AQ42" s="105"/>
      <c r="AR42" s="105"/>
      <c r="AS42" s="105"/>
      <c r="AT42" s="105"/>
      <c r="AU42" s="105"/>
      <c r="AX42" s="312"/>
      <c r="AY42" s="461"/>
      <c r="AZ42" s="166" t="s">
        <v>110</v>
      </c>
      <c r="BA42" s="263"/>
      <c r="BB42" s="263"/>
      <c r="BC42" s="264"/>
      <c r="BD42" s="188"/>
      <c r="BE42" s="189"/>
      <c r="BF42" s="189"/>
      <c r="BG42" s="189"/>
      <c r="BH42" s="189"/>
      <c r="BI42" s="189"/>
      <c r="BJ42" s="189"/>
      <c r="BK42" s="189"/>
      <c r="BL42" s="189"/>
      <c r="BM42" s="189"/>
      <c r="BN42" s="189"/>
      <c r="BO42" s="189"/>
      <c r="BP42" s="152"/>
      <c r="BQ42" s="152"/>
      <c r="BR42" s="152"/>
      <c r="BS42" s="152"/>
      <c r="BT42" s="152"/>
      <c r="BU42" s="167"/>
      <c r="BV42" s="161"/>
      <c r="BW42" s="152"/>
      <c r="BX42" s="152"/>
      <c r="BY42" s="152"/>
      <c r="BZ42" s="152"/>
      <c r="CA42" s="152"/>
      <c r="CB42" s="246"/>
      <c r="CC42" s="152"/>
      <c r="CD42" s="152"/>
      <c r="CE42" s="152"/>
      <c r="CF42" s="152"/>
      <c r="CG42" s="162"/>
      <c r="CH42" s="18"/>
    </row>
    <row r="43" spans="1:86" ht="9.75" customHeight="1">
      <c r="A43" s="49">
        <v>40</v>
      </c>
      <c r="B43" s="425" t="s">
        <v>144</v>
      </c>
      <c r="C43" s="426"/>
      <c r="D43" s="426"/>
      <c r="E43" s="426"/>
      <c r="F43" s="426"/>
      <c r="G43" s="426"/>
      <c r="H43" s="430"/>
      <c r="I43" s="431"/>
      <c r="J43" s="431"/>
      <c r="K43" s="431"/>
      <c r="L43" s="431"/>
      <c r="M43" s="431"/>
      <c r="N43" s="189"/>
      <c r="O43" s="189"/>
      <c r="P43" s="189"/>
      <c r="Q43" s="189"/>
      <c r="R43" s="189"/>
      <c r="S43" s="432"/>
      <c r="AK43" s="105"/>
      <c r="AL43" s="105"/>
      <c r="AM43" s="8"/>
      <c r="AN43" s="8"/>
      <c r="AO43" s="8"/>
      <c r="AP43" s="8"/>
      <c r="AQ43" s="105"/>
      <c r="AR43" s="105"/>
      <c r="AS43" s="105"/>
      <c r="AT43" s="105"/>
      <c r="AU43" s="105"/>
      <c r="AX43" s="312"/>
      <c r="AY43" s="462"/>
      <c r="AZ43" s="263" t="s">
        <v>0</v>
      </c>
      <c r="BA43" s="263"/>
      <c r="BB43" s="263"/>
      <c r="BC43" s="264"/>
      <c r="BD43" s="188"/>
      <c r="BE43" s="189"/>
      <c r="BF43" s="189"/>
      <c r="BG43" s="189"/>
      <c r="BH43" s="189"/>
      <c r="BI43" s="189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469"/>
      <c r="BV43" s="161"/>
      <c r="BW43" s="152"/>
      <c r="BX43" s="152"/>
      <c r="BY43" s="152"/>
      <c r="BZ43" s="152"/>
      <c r="CA43" s="152"/>
      <c r="CB43" s="467"/>
      <c r="CC43" s="151"/>
      <c r="CD43" s="151"/>
      <c r="CE43" s="151"/>
      <c r="CF43" s="151"/>
      <c r="CG43" s="468"/>
      <c r="CH43" s="18"/>
    </row>
    <row r="44" spans="1:86" ht="9.75" customHeight="1">
      <c r="A44" s="49">
        <v>41</v>
      </c>
      <c r="B44" s="425" t="s">
        <v>141</v>
      </c>
      <c r="C44" s="426"/>
      <c r="D44" s="426"/>
      <c r="E44" s="426"/>
      <c r="F44" s="426"/>
      <c r="G44" s="426"/>
      <c r="H44" s="430"/>
      <c r="I44" s="431"/>
      <c r="J44" s="431"/>
      <c r="K44" s="431"/>
      <c r="L44" s="431"/>
      <c r="M44" s="431"/>
      <c r="N44" s="189"/>
      <c r="O44" s="189"/>
      <c r="P44" s="189"/>
      <c r="Q44" s="189"/>
      <c r="R44" s="189"/>
      <c r="S44" s="432"/>
      <c r="AK44" s="105"/>
      <c r="AL44" s="105"/>
      <c r="AM44" s="8"/>
      <c r="AN44" s="8"/>
      <c r="AO44" s="8"/>
      <c r="AP44" s="8"/>
      <c r="AQ44" s="105"/>
      <c r="AR44" s="105"/>
      <c r="AS44" s="105"/>
      <c r="AT44" s="105"/>
      <c r="AU44" s="105"/>
      <c r="AX44" s="312"/>
      <c r="AY44" s="142" t="s">
        <v>107</v>
      </c>
      <c r="AZ44" s="142"/>
      <c r="BA44" s="142"/>
      <c r="BB44" s="142"/>
      <c r="BC44" s="166"/>
      <c r="BD44" s="161"/>
      <c r="BE44" s="152"/>
      <c r="BF44" s="152"/>
      <c r="BG44" s="152"/>
      <c r="BH44" s="152"/>
      <c r="BI44" s="152"/>
      <c r="BJ44" s="152"/>
      <c r="BK44" s="152"/>
      <c r="BL44" s="152"/>
      <c r="BM44" s="152"/>
      <c r="BN44" s="152"/>
      <c r="BO44" s="152"/>
      <c r="BP44" s="151"/>
      <c r="BQ44" s="151"/>
      <c r="BR44" s="151"/>
      <c r="BS44" s="151"/>
      <c r="BT44" s="151"/>
      <c r="BU44" s="469"/>
      <c r="BV44" s="161"/>
      <c r="BW44" s="152"/>
      <c r="BX44" s="152"/>
      <c r="BY44" s="152"/>
      <c r="BZ44" s="152"/>
      <c r="CA44" s="152"/>
      <c r="CB44" s="246"/>
      <c r="CC44" s="152"/>
      <c r="CD44" s="152"/>
      <c r="CE44" s="152"/>
      <c r="CF44" s="152"/>
      <c r="CG44" s="162"/>
      <c r="CH44" s="18"/>
    </row>
    <row r="45" spans="1:86" ht="9.75" customHeight="1">
      <c r="A45" s="49">
        <v>42</v>
      </c>
      <c r="B45" s="425" t="s">
        <v>253</v>
      </c>
      <c r="C45" s="426"/>
      <c r="D45" s="426"/>
      <c r="E45" s="426"/>
      <c r="F45" s="426"/>
      <c r="G45" s="426"/>
      <c r="H45" s="430"/>
      <c r="I45" s="431"/>
      <c r="J45" s="431"/>
      <c r="K45" s="431"/>
      <c r="L45" s="431"/>
      <c r="M45" s="431"/>
      <c r="N45" s="189"/>
      <c r="O45" s="189"/>
      <c r="P45" s="189"/>
      <c r="Q45" s="189"/>
      <c r="R45" s="189"/>
      <c r="S45" s="432"/>
      <c r="AK45" s="105"/>
      <c r="AL45" s="105"/>
      <c r="AM45" s="8"/>
      <c r="AN45" s="8"/>
      <c r="AO45" s="8"/>
      <c r="AP45" s="8"/>
      <c r="AQ45" s="105"/>
      <c r="AR45" s="105"/>
      <c r="AS45" s="105"/>
      <c r="AT45" s="105"/>
      <c r="AU45" s="105"/>
      <c r="AX45" s="312"/>
      <c r="AY45" s="142" t="s">
        <v>10</v>
      </c>
      <c r="AZ45" s="142"/>
      <c r="BA45" s="142"/>
      <c r="BB45" s="142"/>
      <c r="BC45" s="166"/>
      <c r="BD45" s="188"/>
      <c r="BE45" s="189"/>
      <c r="BF45" s="189"/>
      <c r="BG45" s="189"/>
      <c r="BH45" s="189"/>
      <c r="BI45" s="189"/>
      <c r="BJ45" s="189"/>
      <c r="BK45" s="189"/>
      <c r="BL45" s="189"/>
      <c r="BM45" s="189"/>
      <c r="BN45" s="189"/>
      <c r="BO45" s="189"/>
      <c r="BP45" s="152"/>
      <c r="BQ45" s="152"/>
      <c r="BR45" s="152"/>
      <c r="BS45" s="152"/>
      <c r="BT45" s="152"/>
      <c r="BU45" s="167"/>
      <c r="BV45" s="161"/>
      <c r="BW45" s="152"/>
      <c r="BX45" s="152"/>
      <c r="BY45" s="152"/>
      <c r="BZ45" s="152"/>
      <c r="CA45" s="152"/>
      <c r="CB45" s="246"/>
      <c r="CC45" s="152"/>
      <c r="CD45" s="152"/>
      <c r="CE45" s="152"/>
      <c r="CF45" s="152"/>
      <c r="CG45" s="162"/>
      <c r="CH45" s="18"/>
    </row>
    <row r="46" spans="1:86" ht="9.75" customHeight="1">
      <c r="A46" s="49">
        <v>43</v>
      </c>
      <c r="B46" s="425" t="s">
        <v>254</v>
      </c>
      <c r="C46" s="426"/>
      <c r="D46" s="426"/>
      <c r="E46" s="426"/>
      <c r="F46" s="426"/>
      <c r="G46" s="426"/>
      <c r="H46" s="430"/>
      <c r="I46" s="431"/>
      <c r="J46" s="431"/>
      <c r="K46" s="431"/>
      <c r="L46" s="431"/>
      <c r="M46" s="431"/>
      <c r="N46" s="189"/>
      <c r="O46" s="189"/>
      <c r="P46" s="189"/>
      <c r="Q46" s="189"/>
      <c r="R46" s="189"/>
      <c r="S46" s="432"/>
      <c r="AK46" s="105"/>
      <c r="AL46" s="105"/>
      <c r="AM46" s="8"/>
      <c r="AN46" s="8"/>
      <c r="AO46" s="8"/>
      <c r="AP46" s="8"/>
      <c r="AQ46" s="105"/>
      <c r="AR46" s="105"/>
      <c r="AS46" s="105"/>
      <c r="AT46" s="105"/>
      <c r="AU46" s="105"/>
      <c r="AX46" s="312"/>
      <c r="AY46" s="142" t="s">
        <v>243</v>
      </c>
      <c r="AZ46" s="142"/>
      <c r="BA46" s="142"/>
      <c r="BB46" s="142"/>
      <c r="BC46" s="166"/>
      <c r="BD46" s="188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52"/>
      <c r="BQ46" s="152"/>
      <c r="BR46" s="152"/>
      <c r="BS46" s="152"/>
      <c r="BT46" s="152"/>
      <c r="BU46" s="167"/>
      <c r="BV46" s="161"/>
      <c r="BW46" s="152"/>
      <c r="BX46" s="152"/>
      <c r="BY46" s="152"/>
      <c r="BZ46" s="152"/>
      <c r="CA46" s="152"/>
      <c r="CB46" s="246"/>
      <c r="CC46" s="152"/>
      <c r="CD46" s="152"/>
      <c r="CE46" s="152"/>
      <c r="CF46" s="152"/>
      <c r="CG46" s="162"/>
      <c r="CH46" s="18"/>
    </row>
    <row r="47" spans="1:86" ht="9.75" customHeight="1" thickBot="1">
      <c r="A47" s="49">
        <v>44</v>
      </c>
      <c r="B47" s="425" t="s">
        <v>255</v>
      </c>
      <c r="C47" s="426"/>
      <c r="D47" s="426"/>
      <c r="E47" s="426"/>
      <c r="F47" s="426"/>
      <c r="G47" s="426"/>
      <c r="H47" s="430"/>
      <c r="I47" s="431"/>
      <c r="J47" s="431"/>
      <c r="K47" s="431"/>
      <c r="L47" s="431"/>
      <c r="M47" s="431"/>
      <c r="N47" s="189"/>
      <c r="O47" s="189"/>
      <c r="P47" s="189"/>
      <c r="Q47" s="189"/>
      <c r="R47" s="189"/>
      <c r="S47" s="432"/>
      <c r="AK47" s="105"/>
      <c r="AL47" s="105"/>
      <c r="AM47" s="8"/>
      <c r="AN47" s="8"/>
      <c r="AO47" s="8"/>
      <c r="AP47" s="8"/>
      <c r="AQ47" s="105"/>
      <c r="AR47" s="105"/>
      <c r="AS47" s="105"/>
      <c r="AT47" s="105"/>
      <c r="AU47" s="105"/>
      <c r="AX47" s="610"/>
      <c r="AY47" s="134" t="s">
        <v>78</v>
      </c>
      <c r="AZ47" s="134"/>
      <c r="BA47" s="134"/>
      <c r="BB47" s="134"/>
      <c r="BC47" s="178"/>
      <c r="BD47" s="136"/>
      <c r="BE47" s="137"/>
      <c r="BF47" s="137"/>
      <c r="BG47" s="137"/>
      <c r="BH47" s="137"/>
      <c r="BI47" s="137"/>
      <c r="BJ47" s="138"/>
      <c r="BK47" s="138"/>
      <c r="BL47" s="138"/>
      <c r="BM47" s="138"/>
      <c r="BN47" s="138"/>
      <c r="BO47" s="138"/>
      <c r="BP47" s="137"/>
      <c r="BQ47" s="137"/>
      <c r="BR47" s="137"/>
      <c r="BS47" s="137"/>
      <c r="BT47" s="137"/>
      <c r="BU47" s="611"/>
      <c r="BV47" s="612"/>
      <c r="BW47" s="137"/>
      <c r="BX47" s="137"/>
      <c r="BY47" s="137"/>
      <c r="BZ47" s="137"/>
      <c r="CA47" s="137"/>
      <c r="CB47" s="138"/>
      <c r="CC47" s="138"/>
      <c r="CD47" s="138"/>
      <c r="CE47" s="138"/>
      <c r="CF47" s="138"/>
      <c r="CG47" s="140"/>
      <c r="CH47" s="18"/>
    </row>
    <row r="48" spans="1:86" ht="9.75" customHeight="1">
      <c r="A48" s="49">
        <v>45</v>
      </c>
      <c r="B48" s="425" t="s">
        <v>256</v>
      </c>
      <c r="C48" s="426"/>
      <c r="D48" s="426"/>
      <c r="E48" s="426"/>
      <c r="F48" s="426"/>
      <c r="G48" s="426"/>
      <c r="H48" s="430"/>
      <c r="I48" s="431"/>
      <c r="J48" s="431"/>
      <c r="K48" s="431"/>
      <c r="L48" s="431"/>
      <c r="M48" s="431"/>
      <c r="N48" s="189"/>
      <c r="O48" s="189"/>
      <c r="P48" s="189"/>
      <c r="Q48" s="189"/>
      <c r="R48" s="189"/>
      <c r="S48" s="432"/>
      <c r="AF48" s="211" t="s">
        <v>420</v>
      </c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3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05"/>
      <c r="CF48" s="105"/>
      <c r="CG48" s="117"/>
      <c r="CH48" s="100"/>
    </row>
    <row r="49" spans="1:86" ht="9.75" customHeight="1">
      <c r="A49" s="49">
        <v>46</v>
      </c>
      <c r="B49" s="425" t="s">
        <v>257</v>
      </c>
      <c r="C49" s="426"/>
      <c r="D49" s="426"/>
      <c r="E49" s="426"/>
      <c r="F49" s="426"/>
      <c r="G49" s="426"/>
      <c r="H49" s="430"/>
      <c r="I49" s="431"/>
      <c r="J49" s="431"/>
      <c r="K49" s="431"/>
      <c r="L49" s="431"/>
      <c r="M49" s="431"/>
      <c r="N49" s="189"/>
      <c r="O49" s="189"/>
      <c r="P49" s="189"/>
      <c r="Q49" s="189"/>
      <c r="R49" s="189"/>
      <c r="S49" s="432"/>
      <c r="AF49" s="124"/>
      <c r="AG49" s="125"/>
      <c r="AH49" s="125"/>
      <c r="AI49" s="125"/>
      <c r="AJ49" s="125"/>
      <c r="AK49" s="125"/>
      <c r="AL49" s="574" t="s">
        <v>112</v>
      </c>
      <c r="AM49" s="575"/>
      <c r="AN49" s="575"/>
      <c r="AO49" s="575"/>
      <c r="AP49" s="575"/>
      <c r="AQ49" s="575"/>
      <c r="AR49" s="575" t="s">
        <v>73</v>
      </c>
      <c r="AS49" s="575"/>
      <c r="AT49" s="575"/>
      <c r="AU49" s="575"/>
      <c r="AV49" s="575"/>
      <c r="AW49" s="579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05"/>
      <c r="CF49" s="105"/>
      <c r="CG49" s="117"/>
      <c r="CH49" s="100"/>
    </row>
    <row r="50" spans="1:86" ht="9.75" customHeight="1" thickBot="1">
      <c r="A50" s="49">
        <v>47</v>
      </c>
      <c r="B50" s="421" t="s">
        <v>258</v>
      </c>
      <c r="C50" s="422"/>
      <c r="D50" s="422"/>
      <c r="E50" s="422"/>
      <c r="F50" s="422"/>
      <c r="G50" s="422"/>
      <c r="H50" s="532"/>
      <c r="I50" s="533"/>
      <c r="J50" s="533"/>
      <c r="K50" s="533"/>
      <c r="L50" s="533"/>
      <c r="M50" s="533"/>
      <c r="N50" s="180"/>
      <c r="O50" s="180"/>
      <c r="P50" s="180"/>
      <c r="Q50" s="180"/>
      <c r="R50" s="180"/>
      <c r="S50" s="427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581" t="s">
        <v>45</v>
      </c>
      <c r="AG50" s="583" t="s">
        <v>282</v>
      </c>
      <c r="AH50" s="452"/>
      <c r="AI50" s="452"/>
      <c r="AJ50" s="452"/>
      <c r="AK50" s="584"/>
      <c r="AL50" s="576"/>
      <c r="AM50" s="577"/>
      <c r="AN50" s="577"/>
      <c r="AO50" s="577"/>
      <c r="AP50" s="577"/>
      <c r="AQ50" s="578"/>
      <c r="AR50" s="498"/>
      <c r="AS50" s="498"/>
      <c r="AT50" s="498"/>
      <c r="AU50" s="498"/>
      <c r="AV50" s="498"/>
      <c r="AW50" s="580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05"/>
      <c r="CF50" s="105"/>
      <c r="CG50" s="117"/>
      <c r="CH50" s="100"/>
    </row>
    <row r="51" spans="1:86" ht="9.75" customHeight="1">
      <c r="A51" s="49">
        <v>48</v>
      </c>
      <c r="B51" s="211" t="s">
        <v>421</v>
      </c>
      <c r="C51" s="212"/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3"/>
      <c r="AF51" s="581"/>
      <c r="AG51" s="34"/>
      <c r="AH51" s="142" t="s">
        <v>283</v>
      </c>
      <c r="AI51" s="142"/>
      <c r="AJ51" s="142"/>
      <c r="AK51" s="143"/>
      <c r="AL51" s="244"/>
      <c r="AM51" s="245"/>
      <c r="AN51" s="245"/>
      <c r="AO51" s="245"/>
      <c r="AP51" s="245"/>
      <c r="AQ51" s="246"/>
      <c r="AR51" s="260"/>
      <c r="AS51" s="260"/>
      <c r="AT51" s="260"/>
      <c r="AU51" s="260"/>
      <c r="AV51" s="260"/>
      <c r="AW51" s="394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17"/>
      <c r="CH51" s="100"/>
    </row>
    <row r="52" spans="1:86" ht="9.75" customHeight="1">
      <c r="A52" s="49">
        <v>49</v>
      </c>
      <c r="B52" s="197"/>
      <c r="C52" s="123"/>
      <c r="D52" s="123"/>
      <c r="E52" s="123"/>
      <c r="F52" s="123"/>
      <c r="G52" s="123"/>
      <c r="H52" s="353" t="s">
        <v>285</v>
      </c>
      <c r="I52" s="354"/>
      <c r="J52" s="354"/>
      <c r="K52" s="354"/>
      <c r="L52" s="354"/>
      <c r="M52" s="354"/>
      <c r="N52" s="354"/>
      <c r="O52" s="354"/>
      <c r="P52" s="354"/>
      <c r="Q52" s="354"/>
      <c r="R52" s="354"/>
      <c r="S52" s="354"/>
      <c r="T52" s="354"/>
      <c r="U52" s="354"/>
      <c r="V52" s="354"/>
      <c r="W52" s="354"/>
      <c r="X52" s="354"/>
      <c r="Y52" s="355"/>
      <c r="Z52" s="398" t="s">
        <v>286</v>
      </c>
      <c r="AA52" s="398"/>
      <c r="AB52" s="398"/>
      <c r="AC52" s="398"/>
      <c r="AD52" s="398"/>
      <c r="AE52" s="527"/>
      <c r="AF52" s="581"/>
      <c r="AG52" s="38"/>
      <c r="AH52" s="142" t="s">
        <v>284</v>
      </c>
      <c r="AI52" s="142"/>
      <c r="AJ52" s="142"/>
      <c r="AK52" s="143"/>
      <c r="AL52" s="244"/>
      <c r="AM52" s="245"/>
      <c r="AN52" s="245"/>
      <c r="AO52" s="245"/>
      <c r="AP52" s="245"/>
      <c r="AQ52" s="246"/>
      <c r="AR52" s="260"/>
      <c r="AS52" s="260"/>
      <c r="AT52" s="260"/>
      <c r="AU52" s="260"/>
      <c r="AV52" s="260"/>
      <c r="AW52" s="394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17"/>
      <c r="CH52" s="100"/>
    </row>
    <row r="53" spans="1:86" ht="9.75" customHeight="1">
      <c r="A53" s="49">
        <v>50</v>
      </c>
      <c r="B53" s="124"/>
      <c r="C53" s="125"/>
      <c r="D53" s="125"/>
      <c r="E53" s="125"/>
      <c r="F53" s="125"/>
      <c r="G53" s="125"/>
      <c r="H53" s="297" t="s">
        <v>283</v>
      </c>
      <c r="I53" s="298"/>
      <c r="J53" s="298"/>
      <c r="K53" s="298"/>
      <c r="L53" s="298"/>
      <c r="M53" s="298"/>
      <c r="N53" s="298" t="s">
        <v>284</v>
      </c>
      <c r="O53" s="298"/>
      <c r="P53" s="298"/>
      <c r="Q53" s="298"/>
      <c r="R53" s="298"/>
      <c r="S53" s="298"/>
      <c r="T53" s="513" t="s">
        <v>5</v>
      </c>
      <c r="U53" s="513"/>
      <c r="V53" s="513"/>
      <c r="W53" s="513"/>
      <c r="X53" s="513"/>
      <c r="Y53" s="201"/>
      <c r="Z53" s="528"/>
      <c r="AA53" s="528"/>
      <c r="AB53" s="528"/>
      <c r="AC53" s="528"/>
      <c r="AD53" s="528"/>
      <c r="AE53" s="529"/>
      <c r="AF53" s="581"/>
      <c r="AG53" s="573" t="s">
        <v>47</v>
      </c>
      <c r="AH53" s="555"/>
      <c r="AI53" s="555"/>
      <c r="AJ53" s="555"/>
      <c r="AK53" s="556"/>
      <c r="AL53" s="244"/>
      <c r="AM53" s="245"/>
      <c r="AN53" s="245"/>
      <c r="AO53" s="245"/>
      <c r="AP53" s="245"/>
      <c r="AQ53" s="246"/>
      <c r="AR53" s="245"/>
      <c r="AS53" s="245"/>
      <c r="AT53" s="245"/>
      <c r="AU53" s="245"/>
      <c r="AV53" s="245"/>
      <c r="AW53" s="526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17"/>
      <c r="CH53" s="100"/>
    </row>
    <row r="54" spans="1:86" ht="9.75" customHeight="1" thickBot="1">
      <c r="A54" s="49">
        <v>51</v>
      </c>
      <c r="B54" s="423" t="s">
        <v>8</v>
      </c>
      <c r="C54" s="424"/>
      <c r="D54" s="424"/>
      <c r="E54" s="424"/>
      <c r="F54" s="424"/>
      <c r="G54" s="424"/>
      <c r="H54" s="314"/>
      <c r="I54" s="282"/>
      <c r="J54" s="282"/>
      <c r="K54" s="282"/>
      <c r="L54" s="282"/>
      <c r="M54" s="282"/>
      <c r="N54" s="282"/>
      <c r="O54" s="282"/>
      <c r="P54" s="282"/>
      <c r="Q54" s="282"/>
      <c r="R54" s="282"/>
      <c r="S54" s="282"/>
      <c r="T54" s="158"/>
      <c r="U54" s="158"/>
      <c r="V54" s="158"/>
      <c r="W54" s="158"/>
      <c r="X54" s="158"/>
      <c r="Y54" s="193"/>
      <c r="Z54" s="530"/>
      <c r="AA54" s="282"/>
      <c r="AB54" s="282"/>
      <c r="AC54" s="282"/>
      <c r="AD54" s="282"/>
      <c r="AE54" s="531"/>
      <c r="AF54" s="581"/>
      <c r="AG54" s="34"/>
      <c r="AH54" s="142" t="s">
        <v>283</v>
      </c>
      <c r="AI54" s="142"/>
      <c r="AJ54" s="142"/>
      <c r="AK54" s="143"/>
      <c r="AL54" s="244"/>
      <c r="AM54" s="245"/>
      <c r="AN54" s="245"/>
      <c r="AO54" s="245"/>
      <c r="AP54" s="245"/>
      <c r="AQ54" s="246"/>
      <c r="AR54" s="260"/>
      <c r="AS54" s="260"/>
      <c r="AT54" s="260"/>
      <c r="AU54" s="260"/>
      <c r="AV54" s="260"/>
      <c r="AW54" s="394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17"/>
      <c r="CH54" s="100"/>
    </row>
    <row r="55" spans="1:86" ht="9.75" customHeight="1">
      <c r="A55" s="49">
        <v>52</v>
      </c>
      <c r="B55" s="425" t="s">
        <v>287</v>
      </c>
      <c r="C55" s="426"/>
      <c r="D55" s="426"/>
      <c r="E55" s="426"/>
      <c r="F55" s="426"/>
      <c r="G55" s="426"/>
      <c r="H55" s="188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52"/>
      <c r="U55" s="152"/>
      <c r="V55" s="152"/>
      <c r="W55" s="152"/>
      <c r="X55" s="152"/>
      <c r="Y55" s="167"/>
      <c r="Z55" s="261"/>
      <c r="AA55" s="189"/>
      <c r="AB55" s="189"/>
      <c r="AC55" s="189"/>
      <c r="AD55" s="189"/>
      <c r="AE55" s="432"/>
      <c r="AF55" s="581"/>
      <c r="AG55" s="38"/>
      <c r="AH55" s="142" t="s">
        <v>284</v>
      </c>
      <c r="AI55" s="142"/>
      <c r="AJ55" s="142"/>
      <c r="AK55" s="143"/>
      <c r="AL55" s="244"/>
      <c r="AM55" s="245"/>
      <c r="AN55" s="245"/>
      <c r="AO55" s="245"/>
      <c r="AP55" s="245"/>
      <c r="AQ55" s="246"/>
      <c r="AR55" s="260"/>
      <c r="AS55" s="260"/>
      <c r="AT55" s="260"/>
      <c r="AU55" s="260"/>
      <c r="AV55" s="260"/>
      <c r="AW55" s="394"/>
      <c r="AX55" s="395" t="s">
        <v>422</v>
      </c>
      <c r="AY55" s="396"/>
      <c r="AZ55" s="396"/>
      <c r="BA55" s="396"/>
      <c r="BB55" s="396"/>
      <c r="BC55" s="396"/>
      <c r="BD55" s="396"/>
      <c r="BE55" s="396"/>
      <c r="BF55" s="396"/>
      <c r="BG55" s="396"/>
      <c r="BH55" s="396"/>
      <c r="BI55" s="397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17"/>
      <c r="CH55" s="100"/>
    </row>
    <row r="56" spans="1:86" ht="9.75" customHeight="1">
      <c r="A56" s="49">
        <v>53</v>
      </c>
      <c r="B56" s="425" t="s">
        <v>288</v>
      </c>
      <c r="C56" s="426"/>
      <c r="D56" s="426"/>
      <c r="E56" s="426"/>
      <c r="F56" s="426"/>
      <c r="G56" s="426"/>
      <c r="H56" s="188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52"/>
      <c r="U56" s="152"/>
      <c r="V56" s="152"/>
      <c r="W56" s="152"/>
      <c r="X56" s="152"/>
      <c r="Y56" s="167"/>
      <c r="Z56" s="261"/>
      <c r="AA56" s="189"/>
      <c r="AB56" s="189"/>
      <c r="AC56" s="189"/>
      <c r="AD56" s="189"/>
      <c r="AE56" s="432"/>
      <c r="AF56" s="581"/>
      <c r="AG56" s="573" t="s">
        <v>78</v>
      </c>
      <c r="AH56" s="555"/>
      <c r="AI56" s="555"/>
      <c r="AJ56" s="555"/>
      <c r="AK56" s="556"/>
      <c r="AL56" s="244"/>
      <c r="AM56" s="245"/>
      <c r="AN56" s="245"/>
      <c r="AO56" s="245"/>
      <c r="AP56" s="245"/>
      <c r="AQ56" s="246"/>
      <c r="AR56" s="245"/>
      <c r="AS56" s="245"/>
      <c r="AT56" s="245"/>
      <c r="AU56" s="245"/>
      <c r="AV56" s="245"/>
      <c r="AW56" s="526"/>
      <c r="AX56" s="585" t="s">
        <v>279</v>
      </c>
      <c r="AY56" s="251"/>
      <c r="AZ56" s="251"/>
      <c r="BA56" s="251"/>
      <c r="BB56" s="251"/>
      <c r="BC56" s="251"/>
      <c r="BD56" s="586"/>
      <c r="BE56" s="586"/>
      <c r="BF56" s="586"/>
      <c r="BG56" s="586"/>
      <c r="BH56" s="586"/>
      <c r="BI56" s="587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17"/>
      <c r="CH56" s="100"/>
    </row>
    <row r="57" spans="1:86" ht="9.75" customHeight="1">
      <c r="A57" s="49">
        <v>54</v>
      </c>
      <c r="B57" s="425" t="s">
        <v>7</v>
      </c>
      <c r="C57" s="426"/>
      <c r="D57" s="426"/>
      <c r="E57" s="426"/>
      <c r="F57" s="426"/>
      <c r="G57" s="426"/>
      <c r="H57" s="188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52"/>
      <c r="U57" s="152"/>
      <c r="V57" s="152"/>
      <c r="W57" s="152"/>
      <c r="X57" s="152"/>
      <c r="Y57" s="167"/>
      <c r="Z57" s="261"/>
      <c r="AA57" s="189"/>
      <c r="AB57" s="189"/>
      <c r="AC57" s="189"/>
      <c r="AD57" s="189"/>
      <c r="AE57" s="432"/>
      <c r="AF57" s="581"/>
      <c r="AG57" s="34"/>
      <c r="AH57" s="142" t="s">
        <v>283</v>
      </c>
      <c r="AI57" s="142"/>
      <c r="AJ57" s="142"/>
      <c r="AK57" s="143"/>
      <c r="AL57" s="244"/>
      <c r="AM57" s="245"/>
      <c r="AN57" s="245"/>
      <c r="AO57" s="245"/>
      <c r="AP57" s="245"/>
      <c r="AQ57" s="246"/>
      <c r="AR57" s="245"/>
      <c r="AS57" s="245"/>
      <c r="AT57" s="245"/>
      <c r="AU57" s="245"/>
      <c r="AV57" s="245"/>
      <c r="AW57" s="526"/>
      <c r="AX57" s="588" t="s">
        <v>280</v>
      </c>
      <c r="AY57" s="555"/>
      <c r="AZ57" s="555"/>
      <c r="BA57" s="555"/>
      <c r="BB57" s="555"/>
      <c r="BC57" s="555"/>
      <c r="BD57" s="589"/>
      <c r="BE57" s="589"/>
      <c r="BF57" s="589"/>
      <c r="BG57" s="589"/>
      <c r="BH57" s="589"/>
      <c r="BI57" s="590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17"/>
      <c r="CH57" s="100"/>
    </row>
    <row r="58" spans="1:86" ht="9.75" customHeight="1" thickBot="1">
      <c r="A58" s="49">
        <v>55</v>
      </c>
      <c r="B58" s="428" t="s">
        <v>5</v>
      </c>
      <c r="C58" s="429"/>
      <c r="D58" s="429"/>
      <c r="E58" s="429"/>
      <c r="F58" s="429"/>
      <c r="G58" s="429"/>
      <c r="H58" s="2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258"/>
      <c r="Z58" s="257"/>
      <c r="AA58" s="138"/>
      <c r="AB58" s="138"/>
      <c r="AC58" s="138"/>
      <c r="AD58" s="138"/>
      <c r="AE58" s="140"/>
      <c r="AF58" s="582"/>
      <c r="AG58" s="35"/>
      <c r="AH58" s="134" t="s">
        <v>284</v>
      </c>
      <c r="AI58" s="134"/>
      <c r="AJ58" s="134"/>
      <c r="AK58" s="135"/>
      <c r="AL58" s="255"/>
      <c r="AM58" s="256"/>
      <c r="AN58" s="256"/>
      <c r="AO58" s="256"/>
      <c r="AP58" s="256"/>
      <c r="AQ58" s="257"/>
      <c r="AR58" s="256"/>
      <c r="AS58" s="256"/>
      <c r="AT58" s="256"/>
      <c r="AU58" s="256"/>
      <c r="AV58" s="256"/>
      <c r="AW58" s="496"/>
      <c r="AX58" s="591" t="s">
        <v>281</v>
      </c>
      <c r="AY58" s="592"/>
      <c r="AZ58" s="592"/>
      <c r="BA58" s="592"/>
      <c r="BB58" s="592"/>
      <c r="BC58" s="592"/>
      <c r="BD58" s="593"/>
      <c r="BE58" s="593"/>
      <c r="BF58" s="593"/>
      <c r="BG58" s="593"/>
      <c r="BH58" s="593"/>
      <c r="BI58" s="594"/>
      <c r="BJ58" s="112"/>
      <c r="BK58" s="112"/>
      <c r="BL58" s="112"/>
      <c r="BM58" s="112"/>
      <c r="BN58" s="112"/>
      <c r="BO58" s="112"/>
      <c r="BP58" s="112"/>
      <c r="BQ58" s="112"/>
      <c r="BR58" s="112"/>
      <c r="BS58" s="112"/>
      <c r="BT58" s="112"/>
      <c r="BU58" s="112"/>
      <c r="BV58" s="112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3"/>
      <c r="CH58" s="100"/>
    </row>
    <row r="59" spans="1:86" ht="9.75" customHeight="1">
      <c r="B59" s="127">
        <v>1</v>
      </c>
      <c r="C59" s="127"/>
      <c r="D59" s="127"/>
      <c r="E59" s="127"/>
      <c r="F59" s="127"/>
      <c r="G59" s="127"/>
      <c r="H59" s="127">
        <v>2</v>
      </c>
      <c r="I59" s="127"/>
      <c r="J59" s="127"/>
      <c r="K59" s="127"/>
      <c r="L59" s="127"/>
      <c r="M59" s="127"/>
      <c r="N59" s="127">
        <v>3</v>
      </c>
      <c r="O59" s="127"/>
      <c r="P59" s="127"/>
      <c r="Q59" s="127"/>
      <c r="R59" s="127"/>
      <c r="S59" s="127"/>
      <c r="T59" s="127">
        <v>4</v>
      </c>
      <c r="U59" s="127"/>
      <c r="V59" s="127"/>
      <c r="W59" s="127"/>
      <c r="X59" s="127"/>
      <c r="Y59" s="127"/>
      <c r="Z59" s="127">
        <v>5</v>
      </c>
      <c r="AA59" s="127"/>
      <c r="AB59" s="127"/>
      <c r="AC59" s="127"/>
      <c r="AD59" s="127"/>
      <c r="AE59" s="127"/>
      <c r="AF59" s="127">
        <v>6</v>
      </c>
      <c r="AG59" s="127"/>
      <c r="AH59" s="127"/>
      <c r="AI59" s="127"/>
      <c r="AJ59" s="127"/>
      <c r="AK59" s="127"/>
      <c r="AL59" s="127">
        <v>7</v>
      </c>
      <c r="AM59" s="127"/>
      <c r="AN59" s="127"/>
      <c r="AO59" s="127"/>
      <c r="AP59" s="127"/>
      <c r="AQ59" s="127"/>
      <c r="AR59" s="127">
        <v>8</v>
      </c>
      <c r="AS59" s="127"/>
      <c r="AT59" s="127"/>
      <c r="AU59" s="127"/>
      <c r="AV59" s="127"/>
      <c r="AW59" s="127"/>
      <c r="AX59" s="127">
        <v>9</v>
      </c>
      <c r="AY59" s="127"/>
      <c r="AZ59" s="127"/>
      <c r="BA59" s="127"/>
      <c r="BB59" s="127"/>
      <c r="BC59" s="127"/>
      <c r="BD59" s="127">
        <v>10</v>
      </c>
      <c r="BE59" s="127"/>
      <c r="BF59" s="127"/>
      <c r="BG59" s="127"/>
      <c r="BH59" s="127"/>
      <c r="BI59" s="127"/>
      <c r="BJ59" s="127">
        <v>11</v>
      </c>
      <c r="BK59" s="127"/>
      <c r="BL59" s="127"/>
      <c r="BM59" s="127"/>
      <c r="BN59" s="127"/>
      <c r="BO59" s="127"/>
      <c r="BP59" s="127">
        <v>12</v>
      </c>
      <c r="BQ59" s="127"/>
      <c r="BR59" s="127"/>
      <c r="BS59" s="127"/>
      <c r="BT59" s="127"/>
      <c r="BU59" s="127"/>
      <c r="BV59" s="127">
        <v>13</v>
      </c>
      <c r="BW59" s="127"/>
      <c r="BX59" s="127"/>
      <c r="BY59" s="127"/>
      <c r="BZ59" s="127"/>
      <c r="CA59" s="127"/>
      <c r="CB59" s="127">
        <v>14</v>
      </c>
      <c r="CC59" s="127"/>
      <c r="CD59" s="127"/>
      <c r="CE59" s="127"/>
      <c r="CF59" s="127"/>
      <c r="CG59" s="127"/>
    </row>
    <row r="60" spans="1:86" ht="13.5">
      <c r="A60" s="100"/>
      <c r="B60" s="2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608"/>
      <c r="AG60" s="608"/>
      <c r="AH60" s="608"/>
      <c r="AI60" s="608"/>
      <c r="AJ60" s="608"/>
      <c r="AK60" s="608"/>
      <c r="AL60" s="608"/>
      <c r="AM60" s="608"/>
      <c r="AN60" s="608"/>
      <c r="AO60" s="608"/>
      <c r="AP60" s="608"/>
      <c r="AQ60" s="608"/>
      <c r="AR60" s="103"/>
      <c r="AS60" s="103"/>
      <c r="AT60" s="103"/>
      <c r="AU60" s="103"/>
      <c r="AV60" s="103"/>
      <c r="AW60" s="103"/>
    </row>
    <row r="61" spans="1:86" s="100" customFormat="1"/>
    <row r="62" spans="1:86" s="100" customFormat="1">
      <c r="B62" s="417"/>
      <c r="C62" s="417"/>
      <c r="D62" s="417"/>
      <c r="E62" s="417"/>
      <c r="F62" s="417"/>
      <c r="G62" s="417"/>
      <c r="H62" s="417"/>
      <c r="I62" s="417"/>
      <c r="J62" s="417"/>
      <c r="K62" s="417"/>
      <c r="L62" s="417"/>
      <c r="M62" s="417"/>
      <c r="N62" s="417"/>
      <c r="O62" s="417"/>
      <c r="P62" s="417"/>
      <c r="Q62" s="417"/>
      <c r="R62" s="417"/>
      <c r="S62" s="417"/>
      <c r="AN62" s="101"/>
      <c r="AO62" s="101"/>
      <c r="AP62" s="101"/>
      <c r="AQ62" s="101"/>
    </row>
    <row r="63" spans="1:86" s="100" customFormat="1" ht="13.7" customHeight="1">
      <c r="B63" s="416"/>
      <c r="C63" s="416"/>
      <c r="D63" s="416"/>
      <c r="E63" s="416"/>
      <c r="F63" s="416"/>
      <c r="G63" s="416"/>
      <c r="H63" s="412"/>
      <c r="I63" s="412"/>
      <c r="J63" s="412"/>
      <c r="K63" s="412"/>
      <c r="L63" s="412"/>
      <c r="M63" s="412"/>
      <c r="N63" s="412"/>
      <c r="O63" s="412"/>
      <c r="P63" s="412"/>
      <c r="Q63" s="412"/>
      <c r="R63" s="412"/>
      <c r="S63" s="412"/>
    </row>
    <row r="64" spans="1:86" s="100" customFormat="1" ht="13.5">
      <c r="B64" s="415"/>
      <c r="C64" s="415"/>
      <c r="D64" s="415"/>
      <c r="E64" s="415"/>
      <c r="F64" s="415"/>
      <c r="G64" s="415"/>
      <c r="H64" s="414"/>
      <c r="I64" s="414"/>
      <c r="J64" s="414"/>
      <c r="K64" s="414"/>
      <c r="L64" s="414"/>
      <c r="M64" s="414"/>
      <c r="N64" s="411"/>
      <c r="O64" s="411"/>
      <c r="P64" s="411"/>
      <c r="Q64" s="411"/>
      <c r="R64" s="411"/>
      <c r="S64" s="411"/>
      <c r="U64" s="105"/>
    </row>
    <row r="65" spans="2:32" s="100" customFormat="1" ht="13.5">
      <c r="B65" s="415"/>
      <c r="C65" s="415"/>
      <c r="D65" s="415"/>
      <c r="E65" s="415"/>
      <c r="F65" s="415"/>
      <c r="G65" s="415"/>
      <c r="H65" s="414"/>
      <c r="I65" s="414"/>
      <c r="J65" s="414"/>
      <c r="K65" s="414"/>
      <c r="L65" s="414"/>
      <c r="M65" s="414"/>
      <c r="N65" s="411"/>
      <c r="O65" s="411"/>
      <c r="P65" s="411"/>
      <c r="Q65" s="411"/>
      <c r="R65" s="411"/>
      <c r="S65" s="411"/>
      <c r="U65" s="105"/>
    </row>
    <row r="66" spans="2:32" s="100" customFormat="1" ht="13.5">
      <c r="B66" s="415"/>
      <c r="C66" s="415"/>
      <c r="D66" s="415"/>
      <c r="E66" s="415"/>
      <c r="F66" s="415"/>
      <c r="G66" s="415"/>
      <c r="H66" s="414"/>
      <c r="I66" s="414"/>
      <c r="J66" s="414"/>
      <c r="K66" s="414"/>
      <c r="L66" s="414"/>
      <c r="M66" s="414"/>
      <c r="N66" s="411"/>
      <c r="O66" s="411"/>
      <c r="P66" s="411"/>
      <c r="Q66" s="411"/>
      <c r="R66" s="411"/>
      <c r="S66" s="411"/>
      <c r="U66" s="105"/>
    </row>
    <row r="67" spans="2:32" s="100" customFormat="1" ht="13.5">
      <c r="B67" s="415"/>
      <c r="C67" s="415"/>
      <c r="D67" s="415"/>
      <c r="E67" s="415"/>
      <c r="F67" s="415"/>
      <c r="G67" s="415"/>
      <c r="H67" s="414"/>
      <c r="I67" s="414"/>
      <c r="J67" s="414"/>
      <c r="K67" s="414"/>
      <c r="L67" s="414"/>
      <c r="M67" s="414"/>
      <c r="N67" s="411"/>
      <c r="O67" s="411"/>
      <c r="P67" s="411"/>
      <c r="Q67" s="411"/>
      <c r="R67" s="411"/>
      <c r="S67" s="411"/>
      <c r="U67" s="105"/>
    </row>
    <row r="68" spans="2:32" s="100" customFormat="1" ht="13.5">
      <c r="B68" s="415"/>
      <c r="C68" s="415"/>
      <c r="D68" s="415"/>
      <c r="E68" s="415"/>
      <c r="F68" s="415"/>
      <c r="G68" s="415"/>
      <c r="H68" s="414"/>
      <c r="I68" s="414"/>
      <c r="J68" s="414"/>
      <c r="K68" s="414"/>
      <c r="L68" s="414"/>
      <c r="M68" s="414"/>
      <c r="N68" s="411"/>
      <c r="O68" s="411"/>
      <c r="P68" s="411"/>
      <c r="Q68" s="411"/>
      <c r="R68" s="411"/>
      <c r="S68" s="411"/>
      <c r="U68" s="105"/>
    </row>
    <row r="69" spans="2:32" s="100" customFormat="1" ht="13.5">
      <c r="B69" s="415"/>
      <c r="C69" s="415"/>
      <c r="D69" s="415"/>
      <c r="E69" s="415"/>
      <c r="F69" s="415"/>
      <c r="G69" s="415"/>
      <c r="H69" s="414"/>
      <c r="I69" s="414"/>
      <c r="J69" s="414"/>
      <c r="K69" s="414"/>
      <c r="L69" s="414"/>
      <c r="M69" s="414"/>
      <c r="N69" s="411"/>
      <c r="O69" s="411"/>
      <c r="P69" s="411"/>
      <c r="Q69" s="411"/>
      <c r="R69" s="411"/>
      <c r="S69" s="411"/>
      <c r="U69" s="105"/>
    </row>
    <row r="70" spans="2:32" s="100" customFormat="1" ht="13.5">
      <c r="B70" s="413"/>
      <c r="C70" s="413"/>
      <c r="D70" s="413"/>
      <c r="E70" s="413"/>
      <c r="F70" s="413"/>
      <c r="G70" s="413"/>
      <c r="H70" s="420"/>
      <c r="I70" s="420"/>
      <c r="J70" s="420"/>
      <c r="K70" s="420"/>
      <c r="L70" s="420"/>
      <c r="M70" s="420"/>
      <c r="N70" s="419"/>
      <c r="O70" s="419"/>
      <c r="P70" s="419"/>
      <c r="Q70" s="419"/>
      <c r="R70" s="419"/>
      <c r="S70" s="419"/>
      <c r="U70" s="105"/>
    </row>
    <row r="71" spans="2:32" s="100" customFormat="1" ht="13.5">
      <c r="B71" s="417"/>
      <c r="C71" s="417"/>
      <c r="D71" s="417"/>
      <c r="E71" s="417"/>
      <c r="F71" s="417"/>
      <c r="G71" s="417"/>
      <c r="H71" s="417"/>
      <c r="I71" s="417"/>
      <c r="J71" s="417"/>
      <c r="K71" s="417"/>
      <c r="L71" s="417"/>
      <c r="M71" s="417"/>
      <c r="N71" s="102"/>
      <c r="O71" s="102"/>
      <c r="P71" s="102"/>
      <c r="Q71" s="102"/>
      <c r="R71" s="102"/>
      <c r="S71" s="102"/>
      <c r="U71" s="105"/>
    </row>
    <row r="72" spans="2:32" s="100" customFormat="1" ht="13.5">
      <c r="B72" s="418"/>
      <c r="C72" s="418"/>
      <c r="D72" s="418"/>
      <c r="E72" s="418"/>
      <c r="F72" s="418"/>
      <c r="G72" s="418"/>
      <c r="H72" s="411"/>
      <c r="I72" s="411"/>
      <c r="J72" s="411"/>
      <c r="K72" s="411"/>
      <c r="L72" s="411"/>
      <c r="M72" s="411"/>
      <c r="N72" s="102"/>
      <c r="O72" s="102"/>
      <c r="P72" s="102"/>
      <c r="Q72" s="102"/>
      <c r="R72" s="102"/>
      <c r="S72" s="102"/>
      <c r="U72" s="105"/>
    </row>
    <row r="73" spans="2:32" s="100" customFormat="1" ht="13.5">
      <c r="B73" s="609"/>
      <c r="C73" s="609"/>
      <c r="D73" s="609"/>
      <c r="E73" s="609"/>
      <c r="F73" s="609"/>
      <c r="G73" s="609"/>
      <c r="H73" s="411"/>
      <c r="I73" s="411"/>
      <c r="J73" s="411"/>
      <c r="K73" s="411"/>
      <c r="L73" s="411"/>
      <c r="M73" s="411"/>
      <c r="N73" s="102"/>
      <c r="O73" s="102"/>
      <c r="P73" s="102"/>
      <c r="Q73" s="102"/>
      <c r="R73" s="102"/>
      <c r="S73" s="102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</row>
    <row r="74" spans="2:32" s="100" customFormat="1" ht="13.5">
      <c r="B74" s="417"/>
      <c r="C74" s="417"/>
      <c r="D74" s="417"/>
      <c r="E74" s="417"/>
      <c r="F74" s="417"/>
      <c r="G74" s="417"/>
      <c r="H74" s="417"/>
      <c r="I74" s="417"/>
      <c r="J74" s="417"/>
      <c r="K74" s="417"/>
      <c r="L74" s="417"/>
      <c r="M74" s="417"/>
      <c r="N74" s="417"/>
      <c r="O74" s="417"/>
      <c r="P74" s="417"/>
      <c r="Q74" s="417"/>
      <c r="R74" s="417"/>
      <c r="S74" s="417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</row>
    <row r="75" spans="2:32" s="100" customFormat="1">
      <c r="B75" s="416"/>
      <c r="C75" s="416"/>
      <c r="D75" s="416"/>
      <c r="E75" s="416"/>
      <c r="F75" s="416"/>
      <c r="G75" s="416"/>
      <c r="H75" s="413"/>
      <c r="I75" s="413"/>
      <c r="J75" s="413"/>
      <c r="K75" s="413"/>
      <c r="L75" s="413"/>
      <c r="M75" s="413"/>
      <c r="N75" s="412"/>
      <c r="O75" s="412"/>
      <c r="P75" s="412"/>
      <c r="Q75" s="412"/>
      <c r="R75" s="412"/>
      <c r="S75" s="412"/>
    </row>
    <row r="76" spans="2:32" s="100" customFormat="1">
      <c r="B76" s="412"/>
      <c r="C76" s="412"/>
      <c r="D76" s="412"/>
      <c r="E76" s="412"/>
      <c r="F76" s="412"/>
      <c r="G76" s="412"/>
      <c r="H76" s="413"/>
      <c r="I76" s="413"/>
      <c r="J76" s="413"/>
      <c r="K76" s="413"/>
      <c r="L76" s="413"/>
      <c r="M76" s="413"/>
      <c r="N76" s="412"/>
      <c r="O76" s="412"/>
      <c r="P76" s="412"/>
      <c r="Q76" s="412"/>
      <c r="R76" s="412"/>
      <c r="S76" s="412"/>
    </row>
    <row r="77" spans="2:32" s="100" customFormat="1">
      <c r="B77" s="412"/>
      <c r="C77" s="412"/>
      <c r="D77" s="412"/>
      <c r="E77" s="412"/>
      <c r="F77" s="412"/>
      <c r="G77" s="412"/>
      <c r="H77" s="606"/>
      <c r="I77" s="606"/>
      <c r="J77" s="606"/>
      <c r="K77" s="606"/>
      <c r="L77" s="606"/>
      <c r="M77" s="606"/>
      <c r="N77" s="411"/>
      <c r="O77" s="411"/>
      <c r="P77" s="411"/>
      <c r="Q77" s="411"/>
      <c r="R77" s="411"/>
      <c r="S77" s="411"/>
    </row>
    <row r="78" spans="2:32" s="100" customFormat="1">
      <c r="B78" s="412"/>
      <c r="C78" s="412"/>
      <c r="D78" s="412"/>
      <c r="E78" s="412"/>
      <c r="F78" s="412"/>
      <c r="G78" s="412"/>
      <c r="H78" s="607"/>
      <c r="I78" s="607"/>
      <c r="J78" s="607"/>
      <c r="K78" s="607"/>
      <c r="L78" s="607"/>
      <c r="M78" s="607"/>
      <c r="N78" s="411"/>
      <c r="O78" s="411"/>
      <c r="P78" s="411"/>
      <c r="Q78" s="411"/>
      <c r="R78" s="411"/>
      <c r="S78" s="411"/>
    </row>
    <row r="79" spans="2:32" s="100" customFormat="1">
      <c r="B79" s="412"/>
      <c r="C79" s="412"/>
      <c r="D79" s="412"/>
      <c r="E79" s="412"/>
      <c r="F79" s="412"/>
      <c r="G79" s="412"/>
      <c r="H79" s="607"/>
      <c r="I79" s="607"/>
      <c r="J79" s="607"/>
      <c r="K79" s="607"/>
      <c r="L79" s="607"/>
      <c r="M79" s="607"/>
      <c r="N79" s="411"/>
      <c r="O79" s="411"/>
      <c r="P79" s="411"/>
      <c r="Q79" s="411"/>
      <c r="R79" s="411"/>
      <c r="S79" s="411"/>
    </row>
    <row r="80" spans="2:32" s="100" customFormat="1">
      <c r="B80" s="412"/>
      <c r="C80" s="412"/>
      <c r="D80" s="412"/>
      <c r="E80" s="412"/>
      <c r="F80" s="412"/>
      <c r="G80" s="412"/>
      <c r="H80" s="607"/>
      <c r="I80" s="607"/>
      <c r="J80" s="607"/>
      <c r="K80" s="607"/>
      <c r="L80" s="607"/>
      <c r="M80" s="607"/>
      <c r="N80" s="411"/>
      <c r="O80" s="411"/>
      <c r="P80" s="411"/>
      <c r="Q80" s="411"/>
      <c r="R80" s="411"/>
      <c r="S80" s="411"/>
    </row>
    <row r="81" spans="2:19" s="100" customFormat="1">
      <c r="B81" s="412"/>
      <c r="C81" s="412"/>
      <c r="D81" s="412"/>
      <c r="E81" s="412"/>
      <c r="F81" s="412"/>
      <c r="G81" s="412"/>
      <c r="H81" s="607"/>
      <c r="I81" s="607"/>
      <c r="J81" s="607"/>
      <c r="K81" s="607"/>
      <c r="L81" s="607"/>
      <c r="M81" s="607"/>
      <c r="N81" s="411"/>
      <c r="O81" s="411"/>
      <c r="P81" s="411"/>
      <c r="Q81" s="411"/>
      <c r="R81" s="411"/>
      <c r="S81" s="411"/>
    </row>
    <row r="82" spans="2:19" s="100" customFormat="1">
      <c r="B82" s="412"/>
      <c r="C82" s="412"/>
      <c r="D82" s="412"/>
      <c r="E82" s="412"/>
      <c r="F82" s="412"/>
      <c r="G82" s="412"/>
      <c r="H82" s="607"/>
      <c r="I82" s="607"/>
      <c r="J82" s="607"/>
      <c r="K82" s="607"/>
      <c r="L82" s="607"/>
      <c r="M82" s="607"/>
      <c r="N82" s="411"/>
      <c r="O82" s="411"/>
      <c r="P82" s="411"/>
      <c r="Q82" s="411"/>
      <c r="R82" s="411"/>
      <c r="S82" s="411"/>
    </row>
    <row r="83" spans="2:19" s="100" customFormat="1">
      <c r="B83" s="412"/>
      <c r="C83" s="412"/>
      <c r="D83" s="412"/>
      <c r="E83" s="412"/>
      <c r="F83" s="412"/>
      <c r="G83" s="412"/>
      <c r="H83" s="607"/>
      <c r="I83" s="607"/>
      <c r="J83" s="607"/>
      <c r="K83" s="607"/>
      <c r="L83" s="607"/>
      <c r="M83" s="607"/>
      <c r="N83" s="411"/>
      <c r="O83" s="411"/>
      <c r="P83" s="411"/>
      <c r="Q83" s="411"/>
      <c r="R83" s="411"/>
      <c r="S83" s="411"/>
    </row>
    <row r="84" spans="2:19" s="100" customFormat="1">
      <c r="B84" s="412"/>
      <c r="C84" s="412"/>
      <c r="D84" s="412"/>
      <c r="E84" s="412"/>
      <c r="F84" s="412"/>
      <c r="G84" s="412"/>
      <c r="H84" s="607"/>
      <c r="I84" s="607"/>
      <c r="J84" s="607"/>
      <c r="K84" s="607"/>
      <c r="L84" s="607"/>
      <c r="M84" s="607"/>
      <c r="N84" s="411"/>
      <c r="O84" s="411"/>
      <c r="P84" s="411"/>
      <c r="Q84" s="411"/>
      <c r="R84" s="411"/>
      <c r="S84" s="411"/>
    </row>
    <row r="85" spans="2:19" s="100" customFormat="1">
      <c r="B85" s="412"/>
      <c r="C85" s="412"/>
      <c r="D85" s="412"/>
      <c r="E85" s="412"/>
      <c r="F85" s="412"/>
      <c r="G85" s="412"/>
      <c r="H85" s="607"/>
      <c r="I85" s="607"/>
      <c r="J85" s="607"/>
      <c r="K85" s="607"/>
      <c r="L85" s="607"/>
      <c r="M85" s="607"/>
      <c r="N85" s="411"/>
      <c r="O85" s="411"/>
      <c r="P85" s="411"/>
      <c r="Q85" s="411"/>
      <c r="R85" s="411"/>
      <c r="S85" s="411"/>
    </row>
    <row r="86" spans="2:19" s="100" customFormat="1"/>
    <row r="87" spans="2:19" s="100" customFormat="1">
      <c r="B87" s="604"/>
      <c r="C87" s="604"/>
      <c r="D87" s="604"/>
      <c r="E87" s="604"/>
      <c r="F87" s="604"/>
      <c r="G87" s="604"/>
      <c r="H87" s="604"/>
      <c r="I87" s="604"/>
      <c r="J87" s="604"/>
      <c r="K87" s="604"/>
      <c r="L87" s="604"/>
      <c r="M87" s="604"/>
    </row>
    <row r="88" spans="2:19" s="100" customFormat="1">
      <c r="B88" s="605"/>
      <c r="C88" s="605"/>
      <c r="D88" s="605"/>
      <c r="E88" s="605"/>
      <c r="F88" s="605"/>
      <c r="G88" s="605"/>
      <c r="H88" s="414"/>
      <c r="I88" s="414"/>
      <c r="J88" s="414"/>
      <c r="K88" s="414"/>
      <c r="L88" s="414"/>
      <c r="M88" s="414"/>
    </row>
    <row r="89" spans="2:19" s="100" customFormat="1">
      <c r="B89" s="605"/>
      <c r="C89" s="605"/>
      <c r="D89" s="605"/>
      <c r="E89" s="605"/>
      <c r="F89" s="605"/>
      <c r="G89" s="605"/>
      <c r="H89" s="414"/>
      <c r="I89" s="414"/>
      <c r="J89" s="414"/>
      <c r="K89" s="414"/>
      <c r="L89" s="414"/>
      <c r="M89" s="414"/>
    </row>
    <row r="90" spans="2:19" s="100" customFormat="1">
      <c r="B90" s="605"/>
      <c r="C90" s="605"/>
      <c r="D90" s="605"/>
      <c r="E90" s="605"/>
      <c r="F90" s="605"/>
      <c r="G90" s="605"/>
      <c r="H90" s="420"/>
      <c r="I90" s="420"/>
      <c r="J90" s="420"/>
      <c r="K90" s="420"/>
      <c r="L90" s="420"/>
      <c r="M90" s="420"/>
    </row>
    <row r="91" spans="2:19" s="100" customFormat="1">
      <c r="B91" s="417"/>
      <c r="C91" s="417"/>
      <c r="D91" s="417"/>
      <c r="E91" s="417"/>
      <c r="F91" s="417"/>
      <c r="G91" s="417"/>
      <c r="H91" s="416"/>
      <c r="I91" s="416"/>
      <c r="J91" s="416"/>
      <c r="K91" s="416"/>
      <c r="L91" s="416"/>
      <c r="M91" s="416"/>
    </row>
    <row r="92" spans="2:19" s="100" customFormat="1">
      <c r="B92" s="416"/>
      <c r="C92" s="416"/>
      <c r="D92" s="416"/>
      <c r="E92" s="416"/>
      <c r="F92" s="416"/>
      <c r="G92" s="416"/>
      <c r="H92" s="413"/>
      <c r="I92" s="413"/>
      <c r="J92" s="413"/>
      <c r="K92" s="413"/>
      <c r="L92" s="413"/>
      <c r="M92" s="413"/>
    </row>
    <row r="93" spans="2:19" s="100" customFormat="1">
      <c r="B93" s="415"/>
      <c r="C93" s="415"/>
      <c r="D93" s="415"/>
      <c r="E93" s="415"/>
      <c r="F93" s="415"/>
      <c r="G93" s="415"/>
      <c r="H93" s="414"/>
      <c r="I93" s="414"/>
      <c r="J93" s="414"/>
      <c r="K93" s="414"/>
      <c r="L93" s="414"/>
      <c r="M93" s="414"/>
    </row>
    <row r="94" spans="2:19" s="100" customFormat="1">
      <c r="B94" s="602"/>
      <c r="C94" s="602"/>
      <c r="D94" s="412"/>
      <c r="E94" s="412"/>
      <c r="F94" s="412"/>
      <c r="G94" s="412"/>
      <c r="H94" s="603"/>
      <c r="I94" s="603"/>
      <c r="J94" s="603"/>
      <c r="K94" s="603"/>
      <c r="L94" s="603"/>
      <c r="M94" s="603"/>
    </row>
    <row r="95" spans="2:19" s="100" customFormat="1">
      <c r="B95" s="602"/>
      <c r="C95" s="602"/>
      <c r="D95" s="412"/>
      <c r="E95" s="412"/>
      <c r="F95" s="412"/>
      <c r="G95" s="412"/>
      <c r="H95" s="603"/>
      <c r="I95" s="603"/>
      <c r="J95" s="603"/>
      <c r="K95" s="603"/>
      <c r="L95" s="603"/>
      <c r="M95" s="603"/>
    </row>
    <row r="96" spans="2:19" s="100" customFormat="1">
      <c r="B96" s="602"/>
      <c r="C96" s="602"/>
      <c r="D96" s="412"/>
      <c r="E96" s="412"/>
      <c r="F96" s="412"/>
      <c r="G96" s="412"/>
      <c r="H96" s="603"/>
      <c r="I96" s="603"/>
      <c r="J96" s="603"/>
      <c r="K96" s="603"/>
      <c r="L96" s="603"/>
      <c r="M96" s="603"/>
    </row>
  </sheetData>
  <mergeCells count="628">
    <mergeCell ref="T25:AK25"/>
    <mergeCell ref="T26:Y26"/>
    <mergeCell ref="Z26:AE26"/>
    <mergeCell ref="AF26:AK26"/>
    <mergeCell ref="T27:Y27"/>
    <mergeCell ref="Z27:AE27"/>
    <mergeCell ref="AF27:AK27"/>
    <mergeCell ref="T28:Y28"/>
    <mergeCell ref="AM19:AQ19"/>
    <mergeCell ref="AL20:AQ20"/>
    <mergeCell ref="AL21:AQ21"/>
    <mergeCell ref="AL22:AQ22"/>
    <mergeCell ref="U15:AD15"/>
    <mergeCell ref="AF15:AK15"/>
    <mergeCell ref="T23:Y23"/>
    <mergeCell ref="Z23:AE23"/>
    <mergeCell ref="AF23:AK23"/>
    <mergeCell ref="U24:Y24"/>
    <mergeCell ref="Z24:AE24"/>
    <mergeCell ref="AF24:AK24"/>
    <mergeCell ref="U22:Y22"/>
    <mergeCell ref="Z22:AE22"/>
    <mergeCell ref="AF22:AK22"/>
    <mergeCell ref="T19:Y19"/>
    <mergeCell ref="Z19:AE19"/>
    <mergeCell ref="AF19:AK19"/>
    <mergeCell ref="T20:Y20"/>
    <mergeCell ref="Z20:AE20"/>
    <mergeCell ref="AF20:AK20"/>
    <mergeCell ref="T21:Y21"/>
    <mergeCell ref="Z21:AE21"/>
    <mergeCell ref="AF21:AK21"/>
    <mergeCell ref="T4:Y4"/>
    <mergeCell ref="Z4:AE4"/>
    <mergeCell ref="T5:Y5"/>
    <mergeCell ref="Z5:AE5"/>
    <mergeCell ref="BJ4:BO4"/>
    <mergeCell ref="AF4:AK4"/>
    <mergeCell ref="AL4:AQ4"/>
    <mergeCell ref="AX4:BC4"/>
    <mergeCell ref="BD4:BI4"/>
    <mergeCell ref="AR4:AW4"/>
    <mergeCell ref="CB59:CG59"/>
    <mergeCell ref="AR59:AW59"/>
    <mergeCell ref="AX59:BC59"/>
    <mergeCell ref="AY47:BC47"/>
    <mergeCell ref="CB46:CG46"/>
    <mergeCell ref="AX39:AX47"/>
    <mergeCell ref="BD45:BI45"/>
    <mergeCell ref="B78:G78"/>
    <mergeCell ref="H78:M78"/>
    <mergeCell ref="BP47:BU47"/>
    <mergeCell ref="BV47:CA47"/>
    <mergeCell ref="CB44:CG44"/>
    <mergeCell ref="CB41:CG41"/>
    <mergeCell ref="BJ40:BO40"/>
    <mergeCell ref="BJ45:BO45"/>
    <mergeCell ref="BP45:BU45"/>
    <mergeCell ref="BP40:BU40"/>
    <mergeCell ref="BP46:BU46"/>
    <mergeCell ref="BV46:CA46"/>
    <mergeCell ref="AY46:BC46"/>
    <mergeCell ref="AY45:BC45"/>
    <mergeCell ref="CB45:CG45"/>
    <mergeCell ref="BJ47:BO47"/>
    <mergeCell ref="CB47:CG47"/>
    <mergeCell ref="AL60:AQ60"/>
    <mergeCell ref="AL59:AQ59"/>
    <mergeCell ref="AF60:AK60"/>
    <mergeCell ref="AF59:AK59"/>
    <mergeCell ref="Z57:AE57"/>
    <mergeCell ref="B85:G85"/>
    <mergeCell ref="H85:M85"/>
    <mergeCell ref="N78:S78"/>
    <mergeCell ref="B79:G79"/>
    <mergeCell ref="H79:M79"/>
    <mergeCell ref="N79:S79"/>
    <mergeCell ref="N65:S65"/>
    <mergeCell ref="H65:M65"/>
    <mergeCell ref="B65:G65"/>
    <mergeCell ref="T59:Y59"/>
    <mergeCell ref="Z59:AE59"/>
    <mergeCell ref="T57:Y57"/>
    <mergeCell ref="N82:S82"/>
    <mergeCell ref="AH57:AK57"/>
    <mergeCell ref="H59:M59"/>
    <mergeCell ref="N59:S59"/>
    <mergeCell ref="B57:G57"/>
    <mergeCell ref="H73:M73"/>
    <mergeCell ref="B73:G73"/>
    <mergeCell ref="B87:M87"/>
    <mergeCell ref="B88:G88"/>
    <mergeCell ref="H88:M88"/>
    <mergeCell ref="B90:G90"/>
    <mergeCell ref="B89:G89"/>
    <mergeCell ref="H89:M89"/>
    <mergeCell ref="H77:M77"/>
    <mergeCell ref="N77:S77"/>
    <mergeCell ref="B77:G77"/>
    <mergeCell ref="N85:S85"/>
    <mergeCell ref="B80:G80"/>
    <mergeCell ref="H80:M80"/>
    <mergeCell ref="N80:S80"/>
    <mergeCell ref="B84:G84"/>
    <mergeCell ref="H84:M84"/>
    <mergeCell ref="N84:S84"/>
    <mergeCell ref="B83:G83"/>
    <mergeCell ref="H83:M83"/>
    <mergeCell ref="N83:S83"/>
    <mergeCell ref="B81:G81"/>
    <mergeCell ref="H81:M81"/>
    <mergeCell ref="N81:S81"/>
    <mergeCell ref="B82:G82"/>
    <mergeCell ref="H82:M82"/>
    <mergeCell ref="B94:C96"/>
    <mergeCell ref="D94:G94"/>
    <mergeCell ref="H94:M94"/>
    <mergeCell ref="D95:G95"/>
    <mergeCell ref="H95:M95"/>
    <mergeCell ref="D96:G96"/>
    <mergeCell ref="H96:M96"/>
    <mergeCell ref="B91:G91"/>
    <mergeCell ref="H91:M91"/>
    <mergeCell ref="B92:G92"/>
    <mergeCell ref="H92:M92"/>
    <mergeCell ref="B93:G93"/>
    <mergeCell ref="H93:M93"/>
    <mergeCell ref="H90:M90"/>
    <mergeCell ref="T16:AK16"/>
    <mergeCell ref="T17:Y17"/>
    <mergeCell ref="Z17:AE17"/>
    <mergeCell ref="AF17:AK17"/>
    <mergeCell ref="T18:Y18"/>
    <mergeCell ref="Z18:AE18"/>
    <mergeCell ref="AF18:AK18"/>
    <mergeCell ref="AH54:AK54"/>
    <mergeCell ref="AH55:AK55"/>
    <mergeCell ref="H17:M17"/>
    <mergeCell ref="H23:M23"/>
    <mergeCell ref="N32:S32"/>
    <mergeCell ref="N31:S31"/>
    <mergeCell ref="N30:S30"/>
    <mergeCell ref="T39:AE39"/>
    <mergeCell ref="T40:Y40"/>
    <mergeCell ref="N33:S33"/>
    <mergeCell ref="AG53:AK53"/>
    <mergeCell ref="H30:M30"/>
    <mergeCell ref="H24:M24"/>
    <mergeCell ref="H55:M55"/>
    <mergeCell ref="H53:M53"/>
    <mergeCell ref="N64:S64"/>
    <mergeCell ref="BJ59:BO59"/>
    <mergeCell ref="BP59:BU59"/>
    <mergeCell ref="BV59:CA59"/>
    <mergeCell ref="BD59:BI59"/>
    <mergeCell ref="BV45:CA45"/>
    <mergeCell ref="BJ46:BO46"/>
    <mergeCell ref="BD46:BI46"/>
    <mergeCell ref="BJ41:BO41"/>
    <mergeCell ref="BP41:BU41"/>
    <mergeCell ref="BJ42:BO42"/>
    <mergeCell ref="BD41:BI41"/>
    <mergeCell ref="BV43:CA43"/>
    <mergeCell ref="BJ44:BO44"/>
    <mergeCell ref="AX55:BI55"/>
    <mergeCell ref="AX56:BC56"/>
    <mergeCell ref="BD56:BI56"/>
    <mergeCell ref="AX57:BC57"/>
    <mergeCell ref="BD57:BI57"/>
    <mergeCell ref="AX58:BC58"/>
    <mergeCell ref="BD58:BI58"/>
    <mergeCell ref="BD47:BI47"/>
    <mergeCell ref="AY44:BC44"/>
    <mergeCell ref="BP44:BU44"/>
    <mergeCell ref="BV44:CA44"/>
    <mergeCell ref="AR58:AW58"/>
    <mergeCell ref="AG56:AK56"/>
    <mergeCell ref="N45:S45"/>
    <mergeCell ref="N46:S46"/>
    <mergeCell ref="AL58:AQ58"/>
    <mergeCell ref="AL57:AQ57"/>
    <mergeCell ref="AH58:AK58"/>
    <mergeCell ref="AL49:AQ49"/>
    <mergeCell ref="AL53:AQ53"/>
    <mergeCell ref="AL50:AQ50"/>
    <mergeCell ref="AR52:AW52"/>
    <mergeCell ref="AR53:AW53"/>
    <mergeCell ref="AR49:AW49"/>
    <mergeCell ref="AR50:AW50"/>
    <mergeCell ref="AR51:AW51"/>
    <mergeCell ref="AH52:AK52"/>
    <mergeCell ref="AF50:AF58"/>
    <mergeCell ref="AG50:AK50"/>
    <mergeCell ref="AH51:AK51"/>
    <mergeCell ref="N58:S58"/>
    <mergeCell ref="T58:Y58"/>
    <mergeCell ref="Z58:AE58"/>
    <mergeCell ref="N55:S55"/>
    <mergeCell ref="T55:Y55"/>
    <mergeCell ref="H25:M25"/>
    <mergeCell ref="D24:G24"/>
    <mergeCell ref="N28:S28"/>
    <mergeCell ref="H22:M22"/>
    <mergeCell ref="B16:M16"/>
    <mergeCell ref="B17:G17"/>
    <mergeCell ref="B18:G18"/>
    <mergeCell ref="H18:M18"/>
    <mergeCell ref="B19:G19"/>
    <mergeCell ref="H19:M19"/>
    <mergeCell ref="D25:G25"/>
    <mergeCell ref="B22:G22"/>
    <mergeCell ref="B27:S27"/>
    <mergeCell ref="B23:G23"/>
    <mergeCell ref="B24:C26"/>
    <mergeCell ref="H26:M26"/>
    <mergeCell ref="D26:G26"/>
    <mergeCell ref="B28:G28"/>
    <mergeCell ref="AL7:AQ8"/>
    <mergeCell ref="AR7:BC7"/>
    <mergeCell ref="N12:S12"/>
    <mergeCell ref="B5:G5"/>
    <mergeCell ref="N13:S13"/>
    <mergeCell ref="N9:S9"/>
    <mergeCell ref="N10:S10"/>
    <mergeCell ref="N8:S8"/>
    <mergeCell ref="B13:L13"/>
    <mergeCell ref="AL9:AN10"/>
    <mergeCell ref="AO9:AQ9"/>
    <mergeCell ref="AR9:AW9"/>
    <mergeCell ref="AX9:BC9"/>
    <mergeCell ref="AL11:AQ11"/>
    <mergeCell ref="AR11:AW11"/>
    <mergeCell ref="AX11:BC11"/>
    <mergeCell ref="T13:AD13"/>
    <mergeCell ref="AF13:AK13"/>
    <mergeCell ref="AY38:BC38"/>
    <mergeCell ref="BP42:BU42"/>
    <mergeCell ref="BV42:CA42"/>
    <mergeCell ref="AZ41:BC41"/>
    <mergeCell ref="AZ42:BC42"/>
    <mergeCell ref="CB4:CG4"/>
    <mergeCell ref="B4:G4"/>
    <mergeCell ref="H28:M28"/>
    <mergeCell ref="BP4:BU4"/>
    <mergeCell ref="BV4:CA4"/>
    <mergeCell ref="CB5:CG5"/>
    <mergeCell ref="B20:G20"/>
    <mergeCell ref="H20:M20"/>
    <mergeCell ref="AF5:AK5"/>
    <mergeCell ref="AR5:AW5"/>
    <mergeCell ref="AL5:AQ5"/>
    <mergeCell ref="AX5:BC5"/>
    <mergeCell ref="BD5:BI5"/>
    <mergeCell ref="BJ5:BO5"/>
    <mergeCell ref="BP5:BU5"/>
    <mergeCell ref="BV5:CA5"/>
    <mergeCell ref="N11:S11"/>
    <mergeCell ref="AL6:BO6"/>
    <mergeCell ref="BP6:CG6"/>
    <mergeCell ref="Z40:AE40"/>
    <mergeCell ref="AR55:AW55"/>
    <mergeCell ref="AR56:AW56"/>
    <mergeCell ref="N53:S53"/>
    <mergeCell ref="T54:Y54"/>
    <mergeCell ref="B51:AE51"/>
    <mergeCell ref="Z56:AE56"/>
    <mergeCell ref="AF49:AK49"/>
    <mergeCell ref="BV34:CA34"/>
    <mergeCell ref="BV35:CA35"/>
    <mergeCell ref="AZ35:BC35"/>
    <mergeCell ref="BD35:BI35"/>
    <mergeCell ref="BJ34:BO34"/>
    <mergeCell ref="BV40:CA40"/>
    <mergeCell ref="BP39:BU39"/>
    <mergeCell ref="AZ34:BC34"/>
    <mergeCell ref="AZ39:BC39"/>
    <mergeCell ref="AZ40:BC40"/>
    <mergeCell ref="AZ43:BC43"/>
    <mergeCell ref="BJ39:BO39"/>
    <mergeCell ref="BD39:BI39"/>
    <mergeCell ref="BV38:CA38"/>
    <mergeCell ref="BJ38:BO38"/>
    <mergeCell ref="BD44:BI44"/>
    <mergeCell ref="AR57:AW57"/>
    <mergeCell ref="B47:G47"/>
    <mergeCell ref="N47:S47"/>
    <mergeCell ref="N49:S49"/>
    <mergeCell ref="AL55:AQ55"/>
    <mergeCell ref="AL56:AQ56"/>
    <mergeCell ref="AL54:AQ54"/>
    <mergeCell ref="H48:M48"/>
    <mergeCell ref="Z52:AE53"/>
    <mergeCell ref="Z54:AE54"/>
    <mergeCell ref="AL52:AQ52"/>
    <mergeCell ref="AL51:AQ51"/>
    <mergeCell ref="AF48:AW48"/>
    <mergeCell ref="H50:M50"/>
    <mergeCell ref="H49:M49"/>
    <mergeCell ref="AR54:AW54"/>
    <mergeCell ref="N48:S48"/>
    <mergeCell ref="Z55:AE55"/>
    <mergeCell ref="B52:G53"/>
    <mergeCell ref="H37:M37"/>
    <mergeCell ref="B32:G32"/>
    <mergeCell ref="H34:M34"/>
    <mergeCell ref="H33:M33"/>
    <mergeCell ref="B33:G33"/>
    <mergeCell ref="B37:G37"/>
    <mergeCell ref="H42:M42"/>
    <mergeCell ref="B45:G45"/>
    <mergeCell ref="B43:G43"/>
    <mergeCell ref="B40:G40"/>
    <mergeCell ref="B35:G35"/>
    <mergeCell ref="H32:M32"/>
    <mergeCell ref="H40:M40"/>
    <mergeCell ref="H44:M44"/>
    <mergeCell ref="T32:Y32"/>
    <mergeCell ref="Z32:AE32"/>
    <mergeCell ref="AF32:AK32"/>
    <mergeCell ref="U33:Y33"/>
    <mergeCell ref="Z33:AE33"/>
    <mergeCell ref="AF33:AK33"/>
    <mergeCell ref="T29:Y29"/>
    <mergeCell ref="Z28:AE28"/>
    <mergeCell ref="AF28:AK28"/>
    <mergeCell ref="AF31:AK31"/>
    <mergeCell ref="B31:G31"/>
    <mergeCell ref="B29:G29"/>
    <mergeCell ref="H29:M29"/>
    <mergeCell ref="N29:S29"/>
    <mergeCell ref="Z29:AE29"/>
    <mergeCell ref="AF29:AK29"/>
    <mergeCell ref="T30:Y30"/>
    <mergeCell ref="Z30:AE30"/>
    <mergeCell ref="AF30:AK30"/>
    <mergeCell ref="U31:Y31"/>
    <mergeCell ref="Z31:AE31"/>
    <mergeCell ref="B30:G30"/>
    <mergeCell ref="T3:Y3"/>
    <mergeCell ref="BD33:BI33"/>
    <mergeCell ref="BD34:BI34"/>
    <mergeCell ref="CB34:CG34"/>
    <mergeCell ref="CB29:CG29"/>
    <mergeCell ref="H4:S4"/>
    <mergeCell ref="H5:S5"/>
    <mergeCell ref="B21:M21"/>
    <mergeCell ref="B66:G66"/>
    <mergeCell ref="H66:M66"/>
    <mergeCell ref="N66:S66"/>
    <mergeCell ref="H57:M57"/>
    <mergeCell ref="N57:S57"/>
    <mergeCell ref="H52:Y52"/>
    <mergeCell ref="T53:Y53"/>
    <mergeCell ref="H56:M56"/>
    <mergeCell ref="N56:S56"/>
    <mergeCell ref="T56:Y56"/>
    <mergeCell ref="B62:S62"/>
    <mergeCell ref="B63:G63"/>
    <mergeCell ref="H63:M63"/>
    <mergeCell ref="N63:S63"/>
    <mergeCell ref="B64:G64"/>
    <mergeCell ref="H64:M64"/>
    <mergeCell ref="BP7:BU7"/>
    <mergeCell ref="BV7:CA7"/>
    <mergeCell ref="CB7:CG7"/>
    <mergeCell ref="AR8:AW8"/>
    <mergeCell ref="AX8:BC8"/>
    <mergeCell ref="BD8:BI8"/>
    <mergeCell ref="BJ8:BO8"/>
    <mergeCell ref="BP8:BP19"/>
    <mergeCell ref="BQ8:BU8"/>
    <mergeCell ref="BV8:CA8"/>
    <mergeCell ref="CB8:CG8"/>
    <mergeCell ref="BQ13:BU13"/>
    <mergeCell ref="BV13:CA13"/>
    <mergeCell ref="CB13:CG13"/>
    <mergeCell ref="BD7:BO7"/>
    <mergeCell ref="AR14:BC14"/>
    <mergeCell ref="BD14:BO14"/>
    <mergeCell ref="BQ14:BU14"/>
    <mergeCell ref="BV14:CA14"/>
    <mergeCell ref="CB14:CG14"/>
    <mergeCell ref="AR15:AW15"/>
    <mergeCell ref="AX15:BC15"/>
    <mergeCell ref="BD15:BI15"/>
    <mergeCell ref="BJ15:BO15"/>
    <mergeCell ref="BD9:BI9"/>
    <mergeCell ref="BJ9:BO9"/>
    <mergeCell ref="BR9:BU9"/>
    <mergeCell ref="BV9:CA9"/>
    <mergeCell ref="CB9:CG9"/>
    <mergeCell ref="AO10:AQ10"/>
    <mergeCell ref="AR10:AW10"/>
    <mergeCell ref="AX10:BC10"/>
    <mergeCell ref="BD10:BI10"/>
    <mergeCell ref="BJ10:BO10"/>
    <mergeCell ref="BR10:BU10"/>
    <mergeCell ref="BV10:CA10"/>
    <mergeCell ref="CB10:CG10"/>
    <mergeCell ref="BD11:BI11"/>
    <mergeCell ref="BJ11:BO11"/>
    <mergeCell ref="BQ11:BU11"/>
    <mergeCell ref="BV11:CA11"/>
    <mergeCell ref="CB11:CG11"/>
    <mergeCell ref="AL12:AQ12"/>
    <mergeCell ref="AR12:AW12"/>
    <mergeCell ref="AX12:BC12"/>
    <mergeCell ref="BD12:BI12"/>
    <mergeCell ref="BJ12:BO12"/>
    <mergeCell ref="BQ12:BU12"/>
    <mergeCell ref="BV12:CA12"/>
    <mergeCell ref="CB12:CG12"/>
    <mergeCell ref="BQ15:BU15"/>
    <mergeCell ref="BV15:CA15"/>
    <mergeCell ref="CB15:CG15"/>
    <mergeCell ref="AL16:AQ16"/>
    <mergeCell ref="AR16:AW16"/>
    <mergeCell ref="AX16:BC16"/>
    <mergeCell ref="BD16:BI16"/>
    <mergeCell ref="BJ16:BO16"/>
    <mergeCell ref="BQ16:BU16"/>
    <mergeCell ref="BV16:CA16"/>
    <mergeCell ref="CB16:CG16"/>
    <mergeCell ref="AL14:AQ15"/>
    <mergeCell ref="BJ17:BO17"/>
    <mergeCell ref="BQ17:BU17"/>
    <mergeCell ref="BV17:CA17"/>
    <mergeCell ref="CB17:CG17"/>
    <mergeCell ref="AM18:AQ18"/>
    <mergeCell ref="AR18:AW18"/>
    <mergeCell ref="AX18:BC18"/>
    <mergeCell ref="BD18:BI18"/>
    <mergeCell ref="BJ18:BO18"/>
    <mergeCell ref="BQ18:BU18"/>
    <mergeCell ref="BV18:CA18"/>
    <mergeCell ref="CB18:CG18"/>
    <mergeCell ref="AL17:AQ17"/>
    <mergeCell ref="AR17:AW17"/>
    <mergeCell ref="AX17:BC17"/>
    <mergeCell ref="BD17:BI17"/>
    <mergeCell ref="AR19:AW19"/>
    <mergeCell ref="AX19:BC19"/>
    <mergeCell ref="BD19:BI19"/>
    <mergeCell ref="BJ19:BO19"/>
    <mergeCell ref="BQ19:BU19"/>
    <mergeCell ref="BV19:CA19"/>
    <mergeCell ref="CB19:CG19"/>
    <mergeCell ref="CB20:CG20"/>
    <mergeCell ref="AR21:AW21"/>
    <mergeCell ref="BD21:BI21"/>
    <mergeCell ref="BQ21:BU21"/>
    <mergeCell ref="BV21:CA21"/>
    <mergeCell ref="CB21:CG21"/>
    <mergeCell ref="BJ20:BO20"/>
    <mergeCell ref="BJ21:BO21"/>
    <mergeCell ref="AR22:AW22"/>
    <mergeCell ref="BD22:BI22"/>
    <mergeCell ref="BQ22:BU22"/>
    <mergeCell ref="BV22:CA22"/>
    <mergeCell ref="CB22:CG22"/>
    <mergeCell ref="AR20:AW20"/>
    <mergeCell ref="BD20:BI20"/>
    <mergeCell ref="BP20:BP25"/>
    <mergeCell ref="BQ20:BU20"/>
    <mergeCell ref="BV20:CA20"/>
    <mergeCell ref="BQ23:BU23"/>
    <mergeCell ref="BV23:CA23"/>
    <mergeCell ref="CB23:CG23"/>
    <mergeCell ref="BQ24:BU24"/>
    <mergeCell ref="BV24:CA24"/>
    <mergeCell ref="CB24:CG24"/>
    <mergeCell ref="BQ25:BU25"/>
    <mergeCell ref="BV25:CA25"/>
    <mergeCell ref="CB25:CG25"/>
    <mergeCell ref="BJ22:BO22"/>
    <mergeCell ref="AX20:BC20"/>
    <mergeCell ref="AX21:BC21"/>
    <mergeCell ref="AX22:BC22"/>
    <mergeCell ref="BD43:BI43"/>
    <mergeCell ref="CB37:CG37"/>
    <mergeCell ref="BV39:CA39"/>
    <mergeCell ref="CB40:CG40"/>
    <mergeCell ref="CB42:CG42"/>
    <mergeCell ref="CB43:CG43"/>
    <mergeCell ref="BJ43:BO43"/>
    <mergeCell ref="BP43:BU43"/>
    <mergeCell ref="BV41:CA41"/>
    <mergeCell ref="BP38:BU38"/>
    <mergeCell ref="CB39:CG39"/>
    <mergeCell ref="BD38:BI38"/>
    <mergeCell ref="BV37:CA37"/>
    <mergeCell ref="BD37:BI37"/>
    <mergeCell ref="BP37:BU37"/>
    <mergeCell ref="N40:S40"/>
    <mergeCell ref="B42:G42"/>
    <mergeCell ref="BJ37:BO37"/>
    <mergeCell ref="AY39:AY40"/>
    <mergeCell ref="AY41:AY43"/>
    <mergeCell ref="AX30:AX38"/>
    <mergeCell ref="AZ33:BC33"/>
    <mergeCell ref="AY34:AY37"/>
    <mergeCell ref="BJ33:BO33"/>
    <mergeCell ref="N43:S43"/>
    <mergeCell ref="H43:M43"/>
    <mergeCell ref="N41:S41"/>
    <mergeCell ref="H41:M41"/>
    <mergeCell ref="B39:S39"/>
    <mergeCell ref="BJ31:BO31"/>
    <mergeCell ref="BJ32:BO32"/>
    <mergeCell ref="AZ32:BC32"/>
    <mergeCell ref="AZ37:BC37"/>
    <mergeCell ref="BD40:BI40"/>
    <mergeCell ref="BD42:BI42"/>
    <mergeCell ref="BJ35:BO35"/>
    <mergeCell ref="BJ36:BO36"/>
    <mergeCell ref="N42:S42"/>
    <mergeCell ref="N34:S34"/>
    <mergeCell ref="BD28:BU28"/>
    <mergeCell ref="BD29:BI29"/>
    <mergeCell ref="CB32:CG32"/>
    <mergeCell ref="CB31:CG31"/>
    <mergeCell ref="BP31:BU31"/>
    <mergeCell ref="BV32:CA32"/>
    <mergeCell ref="BV31:CA31"/>
    <mergeCell ref="BP36:BU36"/>
    <mergeCell ref="BV36:CA36"/>
    <mergeCell ref="BP33:BU33"/>
    <mergeCell ref="BV33:CA33"/>
    <mergeCell ref="CB33:CG33"/>
    <mergeCell ref="CB35:CG35"/>
    <mergeCell ref="BP34:BU34"/>
    <mergeCell ref="BD36:BI36"/>
    <mergeCell ref="BD30:BI30"/>
    <mergeCell ref="BD32:BI32"/>
    <mergeCell ref="BJ29:BO29"/>
    <mergeCell ref="BP29:BU29"/>
    <mergeCell ref="BV30:CA30"/>
    <mergeCell ref="BJ30:BO30"/>
    <mergeCell ref="BP30:BU30"/>
    <mergeCell ref="BP26:BU26"/>
    <mergeCell ref="BV26:CA26"/>
    <mergeCell ref="CB26:CG26"/>
    <mergeCell ref="H31:M31"/>
    <mergeCell ref="H35:M35"/>
    <mergeCell ref="N35:S35"/>
    <mergeCell ref="B36:M36"/>
    <mergeCell ref="B38:G38"/>
    <mergeCell ref="H38:M38"/>
    <mergeCell ref="B34:G34"/>
    <mergeCell ref="CB38:CG38"/>
    <mergeCell ref="CB36:CG36"/>
    <mergeCell ref="BP32:BU32"/>
    <mergeCell ref="BP35:BU35"/>
    <mergeCell ref="AZ36:BC36"/>
    <mergeCell ref="BV28:CG28"/>
    <mergeCell ref="AY30:AY33"/>
    <mergeCell ref="AZ30:BC30"/>
    <mergeCell ref="CB30:CG30"/>
    <mergeCell ref="BD31:BI31"/>
    <mergeCell ref="AZ31:BC31"/>
    <mergeCell ref="AX28:BC29"/>
    <mergeCell ref="AX27:CG27"/>
    <mergeCell ref="BV29:CA29"/>
    <mergeCell ref="B59:G59"/>
    <mergeCell ref="H54:M54"/>
    <mergeCell ref="N54:S54"/>
    <mergeCell ref="B50:G50"/>
    <mergeCell ref="B41:G41"/>
    <mergeCell ref="B55:G55"/>
    <mergeCell ref="N50:S50"/>
    <mergeCell ref="B58:G58"/>
    <mergeCell ref="H58:M58"/>
    <mergeCell ref="B49:G49"/>
    <mergeCell ref="H45:M45"/>
    <mergeCell ref="B54:G54"/>
    <mergeCell ref="B44:G44"/>
    <mergeCell ref="B56:G56"/>
    <mergeCell ref="N44:S44"/>
    <mergeCell ref="B46:G46"/>
    <mergeCell ref="H46:M46"/>
    <mergeCell ref="H47:M47"/>
    <mergeCell ref="B48:G48"/>
    <mergeCell ref="N67:S67"/>
    <mergeCell ref="N76:S76"/>
    <mergeCell ref="H76:M76"/>
    <mergeCell ref="B76:G76"/>
    <mergeCell ref="H68:M68"/>
    <mergeCell ref="B68:G68"/>
    <mergeCell ref="H67:M67"/>
    <mergeCell ref="B67:G67"/>
    <mergeCell ref="B75:G75"/>
    <mergeCell ref="B74:S74"/>
    <mergeCell ref="H72:M72"/>
    <mergeCell ref="B72:G72"/>
    <mergeCell ref="N75:S75"/>
    <mergeCell ref="H75:M75"/>
    <mergeCell ref="B71:M71"/>
    <mergeCell ref="N70:S70"/>
    <mergeCell ref="H70:M70"/>
    <mergeCell ref="B70:G70"/>
    <mergeCell ref="N69:S69"/>
    <mergeCell ref="H69:M69"/>
    <mergeCell ref="B69:G69"/>
    <mergeCell ref="N68:S68"/>
    <mergeCell ref="N14:S14"/>
    <mergeCell ref="AF14:AK14"/>
    <mergeCell ref="B6:AK6"/>
    <mergeCell ref="B7:M7"/>
    <mergeCell ref="N7:S7"/>
    <mergeCell ref="T7:AE7"/>
    <mergeCell ref="AF7:AK7"/>
    <mergeCell ref="B8:L8"/>
    <mergeCell ref="T8:AD8"/>
    <mergeCell ref="AF8:AK8"/>
    <mergeCell ref="B9:L9"/>
    <mergeCell ref="T9:AD9"/>
    <mergeCell ref="AF9:AK9"/>
    <mergeCell ref="B10:L10"/>
    <mergeCell ref="T10:AD10"/>
    <mergeCell ref="AF10:AK10"/>
    <mergeCell ref="B11:L11"/>
    <mergeCell ref="T11:AD11"/>
    <mergeCell ref="B12:L12"/>
    <mergeCell ref="T12:AD12"/>
    <mergeCell ref="AF11:AK11"/>
    <mergeCell ref="AF12:AK12"/>
    <mergeCell ref="B14:L14"/>
    <mergeCell ref="U14:AD14"/>
  </mergeCells>
  <phoneticPr fontId="14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O74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95" customWidth="1"/>
    <col min="2" max="85" width="1.625" style="95" customWidth="1"/>
    <col min="86" max="86" width="1" style="95" customWidth="1"/>
    <col min="87" max="87" width="2" style="95" customWidth="1"/>
    <col min="88" max="93" width="2.375" style="95" customWidth="1"/>
    <col min="94" max="16384" width="8" style="95"/>
  </cols>
  <sheetData>
    <row r="1" spans="1:86" ht="13.7" customHeight="1">
      <c r="B1" s="101" t="str">
        <f>B5&amp;"年産　農業経営統計調査（米生産費統計（組織法人経営体））　個別結果表№３"</f>
        <v>0年産　農業経営統計調査（米生産費統計（組織法人経営体））　個別結果表№３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</row>
    <row r="2" spans="1:86" ht="9.75" customHeight="1" thickBot="1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</row>
    <row r="3" spans="1:86" ht="9.75" customHeight="1" thickBot="1">
      <c r="B3" s="19" t="s">
        <v>292</v>
      </c>
      <c r="C3" s="20"/>
      <c r="D3" s="20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364"/>
      <c r="U3" s="364"/>
      <c r="V3" s="364"/>
      <c r="W3" s="364"/>
      <c r="X3" s="364"/>
      <c r="Y3" s="36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96"/>
      <c r="AS3" s="22"/>
      <c r="AT3" s="22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3"/>
    </row>
    <row r="4" spans="1:86" ht="9.75" customHeight="1">
      <c r="A4" s="49">
        <v>1</v>
      </c>
      <c r="B4" s="363" t="s">
        <v>4</v>
      </c>
      <c r="C4" s="345"/>
      <c r="D4" s="345"/>
      <c r="E4" s="345"/>
      <c r="F4" s="345"/>
      <c r="G4" s="345"/>
      <c r="H4" s="365" t="s">
        <v>267</v>
      </c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619"/>
      <c r="U4" s="619"/>
      <c r="V4" s="619"/>
      <c r="W4" s="619"/>
      <c r="X4" s="619"/>
      <c r="Y4" s="619"/>
      <c r="Z4" s="537"/>
      <c r="AA4" s="537"/>
      <c r="AB4" s="537"/>
      <c r="AC4" s="537"/>
      <c r="AD4" s="537"/>
      <c r="AE4" s="537"/>
      <c r="AF4" s="619"/>
      <c r="AG4" s="619"/>
      <c r="AH4" s="619"/>
      <c r="AI4" s="619"/>
      <c r="AJ4" s="619"/>
      <c r="AK4" s="619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619"/>
      <c r="AY4" s="619"/>
      <c r="AZ4" s="619"/>
      <c r="BA4" s="619"/>
      <c r="BB4" s="619"/>
      <c r="BC4" s="619"/>
      <c r="BD4" s="537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/>
      <c r="BP4" s="717"/>
      <c r="BQ4" s="717"/>
      <c r="BR4" s="717"/>
      <c r="BS4" s="717"/>
      <c r="BT4" s="717"/>
      <c r="BU4" s="717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38"/>
    </row>
    <row r="5" spans="1:86" ht="9.75" customHeight="1" thickBot="1">
      <c r="A5" s="49">
        <v>2</v>
      </c>
      <c r="B5" s="718">
        <f>'No1'!B5</f>
        <v>0</v>
      </c>
      <c r="C5" s="719"/>
      <c r="D5" s="719"/>
      <c r="E5" s="719"/>
      <c r="F5" s="719"/>
      <c r="G5" s="720"/>
      <c r="H5" s="658" t="str">
        <f>IF('No1'!N5&lt;&gt;"",'No1'!N5,"")</f>
        <v/>
      </c>
      <c r="I5" s="658"/>
      <c r="J5" s="658"/>
      <c r="K5" s="658"/>
      <c r="L5" s="658"/>
      <c r="M5" s="658"/>
      <c r="N5" s="658"/>
      <c r="O5" s="658"/>
      <c r="P5" s="658"/>
      <c r="Q5" s="658"/>
      <c r="R5" s="658"/>
      <c r="S5" s="658"/>
      <c r="T5" s="237"/>
      <c r="U5" s="237"/>
      <c r="V5" s="237"/>
      <c r="W5" s="237"/>
      <c r="X5" s="237"/>
      <c r="Y5" s="237"/>
      <c r="Z5" s="235"/>
      <c r="AA5" s="235"/>
      <c r="AB5" s="235"/>
      <c r="AC5" s="235"/>
      <c r="AD5" s="235"/>
      <c r="AE5" s="235"/>
      <c r="AF5" s="237"/>
      <c r="AG5" s="237"/>
      <c r="AH5" s="237"/>
      <c r="AI5" s="237"/>
      <c r="AJ5" s="237"/>
      <c r="AK5" s="237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6"/>
    </row>
    <row r="6" spans="1:86" ht="9.75" customHeight="1">
      <c r="A6" s="49">
        <v>3</v>
      </c>
      <c r="B6" s="211" t="s">
        <v>405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3"/>
      <c r="AR6" s="673" t="s">
        <v>406</v>
      </c>
      <c r="AS6" s="674"/>
      <c r="AT6" s="674"/>
      <c r="AU6" s="674"/>
      <c r="AV6" s="674"/>
      <c r="AW6" s="674"/>
      <c r="AX6" s="674"/>
      <c r="AY6" s="674"/>
      <c r="AZ6" s="674"/>
      <c r="BA6" s="674"/>
      <c r="BB6" s="674"/>
      <c r="BC6" s="674"/>
      <c r="BD6" s="674"/>
      <c r="BE6" s="674"/>
      <c r="BF6" s="674"/>
      <c r="BG6" s="674"/>
      <c r="BH6" s="674"/>
      <c r="BI6" s="674"/>
      <c r="BJ6" s="674"/>
      <c r="BK6" s="674"/>
      <c r="BL6" s="674"/>
      <c r="BM6" s="674"/>
      <c r="BN6" s="674"/>
      <c r="BO6" s="674"/>
      <c r="BP6" s="674"/>
      <c r="BQ6" s="674"/>
      <c r="BR6" s="674"/>
      <c r="BS6" s="674"/>
      <c r="BT6" s="674"/>
      <c r="BU6" s="674"/>
      <c r="BV6" s="674"/>
      <c r="BW6" s="674"/>
      <c r="BX6" s="674"/>
      <c r="BY6" s="674"/>
      <c r="BZ6" s="674"/>
      <c r="CA6" s="674"/>
      <c r="CB6" s="674"/>
      <c r="CC6" s="674"/>
      <c r="CD6" s="674"/>
      <c r="CE6" s="674"/>
      <c r="CF6" s="674"/>
      <c r="CG6" s="675"/>
      <c r="CH6" s="100"/>
    </row>
    <row r="7" spans="1:86" ht="9.75" customHeight="1">
      <c r="A7" s="49">
        <v>4</v>
      </c>
      <c r="B7" s="659"/>
      <c r="C7" s="660"/>
      <c r="D7" s="660"/>
      <c r="E7" s="660"/>
      <c r="F7" s="660"/>
      <c r="G7" s="660"/>
      <c r="H7" s="660"/>
      <c r="I7" s="660"/>
      <c r="J7" s="660"/>
      <c r="K7" s="660"/>
      <c r="L7" s="660"/>
      <c r="M7" s="661"/>
      <c r="N7" s="663" t="s">
        <v>45</v>
      </c>
      <c r="O7" s="251"/>
      <c r="P7" s="251"/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1"/>
      <c r="AB7" s="251"/>
      <c r="AC7" s="251"/>
      <c r="AD7" s="251"/>
      <c r="AE7" s="372"/>
      <c r="AF7" s="664" t="s">
        <v>19</v>
      </c>
      <c r="AG7" s="665"/>
      <c r="AH7" s="665"/>
      <c r="AI7" s="665"/>
      <c r="AJ7" s="665"/>
      <c r="AK7" s="665"/>
      <c r="AL7" s="665"/>
      <c r="AM7" s="665"/>
      <c r="AN7" s="665"/>
      <c r="AO7" s="665"/>
      <c r="AP7" s="665"/>
      <c r="AQ7" s="666"/>
      <c r="AR7" s="197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676" t="s">
        <v>45</v>
      </c>
      <c r="BE7" s="677"/>
      <c r="BF7" s="677"/>
      <c r="BG7" s="677"/>
      <c r="BH7" s="677"/>
      <c r="BI7" s="677"/>
      <c r="BJ7" s="677"/>
      <c r="BK7" s="677"/>
      <c r="BL7" s="677"/>
      <c r="BM7" s="677"/>
      <c r="BN7" s="677"/>
      <c r="BO7" s="677"/>
      <c r="BP7" s="677"/>
      <c r="BQ7" s="677"/>
      <c r="BR7" s="677"/>
      <c r="BS7" s="677"/>
      <c r="BT7" s="677"/>
      <c r="BU7" s="678"/>
      <c r="BV7" s="373" t="s">
        <v>19</v>
      </c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679"/>
      <c r="CH7" s="100"/>
    </row>
    <row r="8" spans="1:86" ht="9.75" customHeight="1">
      <c r="A8" s="49">
        <v>5</v>
      </c>
      <c r="B8" s="448"/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662"/>
      <c r="N8" s="297" t="s">
        <v>17</v>
      </c>
      <c r="O8" s="298"/>
      <c r="P8" s="298"/>
      <c r="Q8" s="298"/>
      <c r="R8" s="298"/>
      <c r="S8" s="298"/>
      <c r="T8" s="298" t="s">
        <v>16</v>
      </c>
      <c r="U8" s="298"/>
      <c r="V8" s="298"/>
      <c r="W8" s="298"/>
      <c r="X8" s="298"/>
      <c r="Y8" s="298"/>
      <c r="Z8" s="298" t="s">
        <v>126</v>
      </c>
      <c r="AA8" s="298"/>
      <c r="AB8" s="298"/>
      <c r="AC8" s="298"/>
      <c r="AD8" s="298"/>
      <c r="AE8" s="163"/>
      <c r="AF8" s="297" t="s">
        <v>17</v>
      </c>
      <c r="AG8" s="298"/>
      <c r="AH8" s="298"/>
      <c r="AI8" s="298"/>
      <c r="AJ8" s="298"/>
      <c r="AK8" s="298"/>
      <c r="AL8" s="298" t="s">
        <v>16</v>
      </c>
      <c r="AM8" s="298"/>
      <c r="AN8" s="298"/>
      <c r="AO8" s="298"/>
      <c r="AP8" s="298"/>
      <c r="AQ8" s="299"/>
      <c r="AR8" s="124"/>
      <c r="AS8" s="125"/>
      <c r="AT8" s="125"/>
      <c r="AU8" s="125"/>
      <c r="AV8" s="125"/>
      <c r="AW8" s="125"/>
      <c r="AX8" s="125"/>
      <c r="AY8" s="125"/>
      <c r="AZ8" s="125"/>
      <c r="BA8" s="125"/>
      <c r="BB8" s="125"/>
      <c r="BC8" s="125"/>
      <c r="BD8" s="297" t="s">
        <v>17</v>
      </c>
      <c r="BE8" s="298"/>
      <c r="BF8" s="298"/>
      <c r="BG8" s="298"/>
      <c r="BH8" s="298"/>
      <c r="BI8" s="298"/>
      <c r="BJ8" s="298" t="s">
        <v>16</v>
      </c>
      <c r="BK8" s="298"/>
      <c r="BL8" s="298"/>
      <c r="BM8" s="298"/>
      <c r="BN8" s="298"/>
      <c r="BO8" s="298"/>
      <c r="BP8" s="298" t="s">
        <v>126</v>
      </c>
      <c r="BQ8" s="298"/>
      <c r="BR8" s="298"/>
      <c r="BS8" s="298"/>
      <c r="BT8" s="298"/>
      <c r="BU8" s="332"/>
      <c r="BV8" s="672" t="s">
        <v>17</v>
      </c>
      <c r="BW8" s="298"/>
      <c r="BX8" s="298"/>
      <c r="BY8" s="298"/>
      <c r="BZ8" s="298"/>
      <c r="CA8" s="298"/>
      <c r="CB8" s="298" t="s">
        <v>16</v>
      </c>
      <c r="CC8" s="298"/>
      <c r="CD8" s="298"/>
      <c r="CE8" s="298"/>
      <c r="CF8" s="298"/>
      <c r="CG8" s="299"/>
      <c r="CH8" s="100"/>
    </row>
    <row r="9" spans="1:86" ht="9.75" customHeight="1">
      <c r="A9" s="49">
        <v>6</v>
      </c>
      <c r="B9" s="713" t="s">
        <v>88</v>
      </c>
      <c r="C9" s="714"/>
      <c r="D9" s="665" t="s">
        <v>228</v>
      </c>
      <c r="E9" s="665"/>
      <c r="F9" s="665"/>
      <c r="G9" s="155" t="s">
        <v>91</v>
      </c>
      <c r="H9" s="155"/>
      <c r="I9" s="155"/>
      <c r="J9" s="155"/>
      <c r="K9" s="155"/>
      <c r="L9" s="155"/>
      <c r="M9" s="293"/>
      <c r="N9" s="279"/>
      <c r="O9" s="280"/>
      <c r="P9" s="280"/>
      <c r="Q9" s="280"/>
      <c r="R9" s="280"/>
      <c r="S9" s="281"/>
      <c r="T9" s="657"/>
      <c r="U9" s="280"/>
      <c r="V9" s="280"/>
      <c r="W9" s="280"/>
      <c r="X9" s="280"/>
      <c r="Y9" s="281"/>
      <c r="Z9" s="335"/>
      <c r="AA9" s="577"/>
      <c r="AB9" s="577"/>
      <c r="AC9" s="577"/>
      <c r="AD9" s="577"/>
      <c r="AE9" s="715"/>
      <c r="AF9" s="444"/>
      <c r="AG9" s="158"/>
      <c r="AH9" s="158"/>
      <c r="AI9" s="158"/>
      <c r="AJ9" s="158"/>
      <c r="AK9" s="158"/>
      <c r="AL9" s="335"/>
      <c r="AM9" s="577"/>
      <c r="AN9" s="577"/>
      <c r="AO9" s="577"/>
      <c r="AP9" s="577"/>
      <c r="AQ9" s="680"/>
      <c r="AR9" s="668" t="s">
        <v>263</v>
      </c>
      <c r="AS9" s="669"/>
      <c r="AT9" s="293" t="s">
        <v>219</v>
      </c>
      <c r="AU9" s="472"/>
      <c r="AV9" s="472"/>
      <c r="AW9" s="472"/>
      <c r="AX9" s="472"/>
      <c r="AY9" s="472"/>
      <c r="AZ9" s="472"/>
      <c r="BA9" s="472"/>
      <c r="BB9" s="472"/>
      <c r="BC9" s="473"/>
      <c r="BD9" s="188"/>
      <c r="BE9" s="189"/>
      <c r="BF9" s="189"/>
      <c r="BG9" s="189"/>
      <c r="BH9" s="189"/>
      <c r="BI9" s="189"/>
      <c r="BJ9" s="189"/>
      <c r="BK9" s="189"/>
      <c r="BL9" s="189"/>
      <c r="BM9" s="189"/>
      <c r="BN9" s="189"/>
      <c r="BO9" s="189"/>
      <c r="BP9" s="195"/>
      <c r="BQ9" s="195"/>
      <c r="BR9" s="195"/>
      <c r="BS9" s="195"/>
      <c r="BT9" s="195"/>
      <c r="BU9" s="454"/>
      <c r="BV9" s="444"/>
      <c r="BW9" s="158"/>
      <c r="BX9" s="158"/>
      <c r="BY9" s="158"/>
      <c r="BZ9" s="158"/>
      <c r="CA9" s="158"/>
      <c r="CB9" s="195"/>
      <c r="CC9" s="195"/>
      <c r="CD9" s="195"/>
      <c r="CE9" s="195"/>
      <c r="CF9" s="195"/>
      <c r="CG9" s="196"/>
      <c r="CH9" s="100"/>
    </row>
    <row r="10" spans="1:86" ht="9.75" customHeight="1">
      <c r="A10" s="49">
        <v>7</v>
      </c>
      <c r="B10" s="707"/>
      <c r="C10" s="708"/>
      <c r="D10" s="698"/>
      <c r="E10" s="698"/>
      <c r="F10" s="698"/>
      <c r="G10" s="142" t="s">
        <v>313</v>
      </c>
      <c r="H10" s="142"/>
      <c r="I10" s="142"/>
      <c r="J10" s="142"/>
      <c r="K10" s="142"/>
      <c r="L10" s="142"/>
      <c r="M10" s="166"/>
      <c r="N10" s="259"/>
      <c r="O10" s="260"/>
      <c r="P10" s="260"/>
      <c r="Q10" s="260"/>
      <c r="R10" s="260"/>
      <c r="S10" s="261"/>
      <c r="T10" s="637"/>
      <c r="U10" s="260"/>
      <c r="V10" s="260"/>
      <c r="W10" s="260"/>
      <c r="X10" s="260"/>
      <c r="Y10" s="261"/>
      <c r="Z10" s="153"/>
      <c r="AA10" s="245"/>
      <c r="AB10" s="245"/>
      <c r="AC10" s="245"/>
      <c r="AD10" s="245"/>
      <c r="AE10" s="269"/>
      <c r="AF10" s="161"/>
      <c r="AG10" s="152"/>
      <c r="AH10" s="152"/>
      <c r="AI10" s="152"/>
      <c r="AJ10" s="152"/>
      <c r="AK10" s="152"/>
      <c r="AL10" s="153"/>
      <c r="AM10" s="245"/>
      <c r="AN10" s="245"/>
      <c r="AO10" s="245"/>
      <c r="AP10" s="245"/>
      <c r="AQ10" s="526"/>
      <c r="AR10" s="668"/>
      <c r="AS10" s="669"/>
      <c r="AT10" s="166" t="s">
        <v>218</v>
      </c>
      <c r="AU10" s="263"/>
      <c r="AV10" s="263"/>
      <c r="AW10" s="263"/>
      <c r="AX10" s="263"/>
      <c r="AY10" s="263"/>
      <c r="AZ10" s="263"/>
      <c r="BA10" s="263"/>
      <c r="BB10" s="263"/>
      <c r="BC10" s="264"/>
      <c r="BD10" s="188"/>
      <c r="BE10" s="189"/>
      <c r="BF10" s="189"/>
      <c r="BG10" s="189"/>
      <c r="BH10" s="189"/>
      <c r="BI10" s="189"/>
      <c r="BJ10" s="189"/>
      <c r="BK10" s="189"/>
      <c r="BL10" s="189"/>
      <c r="BM10" s="189"/>
      <c r="BN10" s="189"/>
      <c r="BO10" s="189"/>
      <c r="BP10" s="152"/>
      <c r="BQ10" s="152"/>
      <c r="BR10" s="152"/>
      <c r="BS10" s="152"/>
      <c r="BT10" s="152"/>
      <c r="BU10" s="167"/>
      <c r="BV10" s="161"/>
      <c r="BW10" s="152"/>
      <c r="BX10" s="152"/>
      <c r="BY10" s="152"/>
      <c r="BZ10" s="152"/>
      <c r="CA10" s="152"/>
      <c r="CB10" s="152"/>
      <c r="CC10" s="152"/>
      <c r="CD10" s="152"/>
      <c r="CE10" s="152"/>
      <c r="CF10" s="152"/>
      <c r="CG10" s="162"/>
      <c r="CH10" s="100"/>
    </row>
    <row r="11" spans="1:86" ht="9.75" customHeight="1">
      <c r="A11" s="49">
        <v>8</v>
      </c>
      <c r="B11" s="707"/>
      <c r="C11" s="708"/>
      <c r="D11" s="698" t="s">
        <v>224</v>
      </c>
      <c r="E11" s="698"/>
      <c r="F11" s="698"/>
      <c r="G11" s="698"/>
      <c r="H11" s="698"/>
      <c r="I11" s="698"/>
      <c r="J11" s="698"/>
      <c r="K11" s="698"/>
      <c r="L11" s="698"/>
      <c r="M11" s="716"/>
      <c r="N11" s="259"/>
      <c r="O11" s="260"/>
      <c r="P11" s="260"/>
      <c r="Q11" s="260"/>
      <c r="R11" s="260"/>
      <c r="S11" s="261"/>
      <c r="T11" s="637"/>
      <c r="U11" s="260"/>
      <c r="V11" s="260"/>
      <c r="W11" s="260"/>
      <c r="X11" s="260"/>
      <c r="Y11" s="261"/>
      <c r="Z11" s="153"/>
      <c r="AA11" s="245"/>
      <c r="AB11" s="245"/>
      <c r="AC11" s="245"/>
      <c r="AD11" s="245"/>
      <c r="AE11" s="269"/>
      <c r="AF11" s="161"/>
      <c r="AG11" s="152"/>
      <c r="AH11" s="152"/>
      <c r="AI11" s="152"/>
      <c r="AJ11" s="152"/>
      <c r="AK11" s="152"/>
      <c r="AL11" s="153"/>
      <c r="AM11" s="245"/>
      <c r="AN11" s="245"/>
      <c r="AO11" s="245"/>
      <c r="AP11" s="245"/>
      <c r="AQ11" s="526"/>
      <c r="AR11" s="668"/>
      <c r="AS11" s="669"/>
      <c r="AT11" s="166" t="s">
        <v>217</v>
      </c>
      <c r="AU11" s="263"/>
      <c r="AV11" s="263"/>
      <c r="AW11" s="263"/>
      <c r="AX11" s="263"/>
      <c r="AY11" s="263"/>
      <c r="AZ11" s="263"/>
      <c r="BA11" s="263"/>
      <c r="BB11" s="263"/>
      <c r="BC11" s="264"/>
      <c r="BD11" s="188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/>
      <c r="BO11" s="189"/>
      <c r="BP11" s="152"/>
      <c r="BQ11" s="152"/>
      <c r="BR11" s="152"/>
      <c r="BS11" s="152"/>
      <c r="BT11" s="152"/>
      <c r="BU11" s="167"/>
      <c r="BV11" s="161"/>
      <c r="BW11" s="152"/>
      <c r="BX11" s="152"/>
      <c r="BY11" s="152"/>
      <c r="BZ11" s="152"/>
      <c r="CA11" s="152"/>
      <c r="CB11" s="152"/>
      <c r="CC11" s="152"/>
      <c r="CD11" s="152"/>
      <c r="CE11" s="152"/>
      <c r="CF11" s="152"/>
      <c r="CG11" s="162"/>
      <c r="CH11" s="100"/>
    </row>
    <row r="12" spans="1:86" ht="9.75" customHeight="1">
      <c r="A12" s="49">
        <v>9</v>
      </c>
      <c r="B12" s="707"/>
      <c r="C12" s="708"/>
      <c r="D12" s="698" t="s">
        <v>5</v>
      </c>
      <c r="E12" s="698"/>
      <c r="F12" s="698"/>
      <c r="G12" s="698"/>
      <c r="H12" s="698"/>
      <c r="I12" s="698"/>
      <c r="J12" s="698"/>
      <c r="K12" s="698"/>
      <c r="L12" s="698"/>
      <c r="M12" s="716"/>
      <c r="N12" s="667"/>
      <c r="O12" s="494"/>
      <c r="P12" s="494"/>
      <c r="Q12" s="494"/>
      <c r="R12" s="494"/>
      <c r="S12" s="467"/>
      <c r="T12" s="153"/>
      <c r="U12" s="245"/>
      <c r="V12" s="245"/>
      <c r="W12" s="245"/>
      <c r="X12" s="245"/>
      <c r="Y12" s="246"/>
      <c r="Z12" s="493"/>
      <c r="AA12" s="494"/>
      <c r="AB12" s="494"/>
      <c r="AC12" s="494"/>
      <c r="AD12" s="494"/>
      <c r="AE12" s="689"/>
      <c r="AF12" s="150"/>
      <c r="AG12" s="151"/>
      <c r="AH12" s="151"/>
      <c r="AI12" s="151"/>
      <c r="AJ12" s="151"/>
      <c r="AK12" s="151"/>
      <c r="AL12" s="153"/>
      <c r="AM12" s="245"/>
      <c r="AN12" s="245"/>
      <c r="AO12" s="245"/>
      <c r="AP12" s="245"/>
      <c r="AQ12" s="526"/>
      <c r="AR12" s="668"/>
      <c r="AS12" s="669"/>
      <c r="AT12" s="166" t="s">
        <v>216</v>
      </c>
      <c r="AU12" s="263"/>
      <c r="AV12" s="263"/>
      <c r="AW12" s="263"/>
      <c r="AX12" s="263"/>
      <c r="AY12" s="263"/>
      <c r="AZ12" s="263"/>
      <c r="BA12" s="263"/>
      <c r="BB12" s="263"/>
      <c r="BC12" s="264"/>
      <c r="BD12" s="188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52"/>
      <c r="BQ12" s="152"/>
      <c r="BR12" s="152"/>
      <c r="BS12" s="152"/>
      <c r="BT12" s="152"/>
      <c r="BU12" s="167"/>
      <c r="BV12" s="161"/>
      <c r="BW12" s="152"/>
      <c r="BX12" s="152"/>
      <c r="BY12" s="152"/>
      <c r="BZ12" s="152"/>
      <c r="CA12" s="152"/>
      <c r="CB12" s="152"/>
      <c r="CC12" s="152"/>
      <c r="CD12" s="152"/>
      <c r="CE12" s="152"/>
      <c r="CF12" s="152"/>
      <c r="CG12" s="162"/>
      <c r="CH12" s="100"/>
    </row>
    <row r="13" spans="1:86" ht="9.75" customHeight="1">
      <c r="A13" s="49">
        <v>10</v>
      </c>
      <c r="B13" s="312" t="s">
        <v>86</v>
      </c>
      <c r="C13" s="313"/>
      <c r="D13" s="709" t="s">
        <v>235</v>
      </c>
      <c r="E13" s="710"/>
      <c r="F13" s="710"/>
      <c r="G13" s="710"/>
      <c r="H13" s="710"/>
      <c r="I13" s="710"/>
      <c r="J13" s="710"/>
      <c r="K13" s="710"/>
      <c r="L13" s="710"/>
      <c r="M13" s="711"/>
      <c r="N13" s="259"/>
      <c r="O13" s="260"/>
      <c r="P13" s="260"/>
      <c r="Q13" s="260"/>
      <c r="R13" s="260"/>
      <c r="S13" s="261"/>
      <c r="T13" s="637"/>
      <c r="U13" s="260"/>
      <c r="V13" s="260"/>
      <c r="W13" s="260"/>
      <c r="X13" s="260"/>
      <c r="Y13" s="261"/>
      <c r="Z13" s="153"/>
      <c r="AA13" s="245"/>
      <c r="AB13" s="245"/>
      <c r="AC13" s="245"/>
      <c r="AD13" s="245"/>
      <c r="AE13" s="269"/>
      <c r="AF13" s="161"/>
      <c r="AG13" s="152"/>
      <c r="AH13" s="152"/>
      <c r="AI13" s="152"/>
      <c r="AJ13" s="152"/>
      <c r="AK13" s="152"/>
      <c r="AL13" s="153"/>
      <c r="AM13" s="245"/>
      <c r="AN13" s="245"/>
      <c r="AO13" s="245"/>
      <c r="AP13" s="245"/>
      <c r="AQ13" s="526"/>
      <c r="AR13" s="668"/>
      <c r="AS13" s="669"/>
      <c r="AT13" s="166" t="s">
        <v>215</v>
      </c>
      <c r="AU13" s="263"/>
      <c r="AV13" s="263"/>
      <c r="AW13" s="263"/>
      <c r="AX13" s="263"/>
      <c r="AY13" s="263"/>
      <c r="AZ13" s="263"/>
      <c r="BA13" s="263"/>
      <c r="BB13" s="263"/>
      <c r="BC13" s="264"/>
      <c r="BD13" s="188"/>
      <c r="BE13" s="189"/>
      <c r="BF13" s="189"/>
      <c r="BG13" s="189"/>
      <c r="BH13" s="189"/>
      <c r="BI13" s="189"/>
      <c r="BJ13" s="189"/>
      <c r="BK13" s="189"/>
      <c r="BL13" s="189"/>
      <c r="BM13" s="189"/>
      <c r="BN13" s="189"/>
      <c r="BO13" s="189"/>
      <c r="BP13" s="152"/>
      <c r="BQ13" s="152"/>
      <c r="BR13" s="152"/>
      <c r="BS13" s="152"/>
      <c r="BT13" s="152"/>
      <c r="BU13" s="167"/>
      <c r="BV13" s="161"/>
      <c r="BW13" s="152"/>
      <c r="BX13" s="152"/>
      <c r="BY13" s="152"/>
      <c r="BZ13" s="152"/>
      <c r="CA13" s="152"/>
      <c r="CB13" s="152"/>
      <c r="CC13" s="152"/>
      <c r="CD13" s="152"/>
      <c r="CE13" s="152"/>
      <c r="CF13" s="152"/>
      <c r="CG13" s="162"/>
      <c r="CH13" s="100"/>
    </row>
    <row r="14" spans="1:86" ht="9.75" customHeight="1">
      <c r="A14" s="49">
        <v>11</v>
      </c>
      <c r="B14" s="312"/>
      <c r="C14" s="313"/>
      <c r="D14" s="709" t="s">
        <v>236</v>
      </c>
      <c r="E14" s="710"/>
      <c r="F14" s="710"/>
      <c r="G14" s="710"/>
      <c r="H14" s="710"/>
      <c r="I14" s="710"/>
      <c r="J14" s="710"/>
      <c r="K14" s="710"/>
      <c r="L14" s="710"/>
      <c r="M14" s="711"/>
      <c r="N14" s="259"/>
      <c r="O14" s="260"/>
      <c r="P14" s="260"/>
      <c r="Q14" s="260"/>
      <c r="R14" s="260"/>
      <c r="S14" s="261"/>
      <c r="T14" s="637"/>
      <c r="U14" s="260"/>
      <c r="V14" s="260"/>
      <c r="W14" s="260"/>
      <c r="X14" s="260"/>
      <c r="Y14" s="261"/>
      <c r="Z14" s="153"/>
      <c r="AA14" s="245"/>
      <c r="AB14" s="245"/>
      <c r="AC14" s="245"/>
      <c r="AD14" s="245"/>
      <c r="AE14" s="269"/>
      <c r="AF14" s="161"/>
      <c r="AG14" s="152"/>
      <c r="AH14" s="152"/>
      <c r="AI14" s="152"/>
      <c r="AJ14" s="152"/>
      <c r="AK14" s="152"/>
      <c r="AL14" s="153"/>
      <c r="AM14" s="245"/>
      <c r="AN14" s="245"/>
      <c r="AO14" s="245"/>
      <c r="AP14" s="245"/>
      <c r="AQ14" s="526"/>
      <c r="AR14" s="668"/>
      <c r="AS14" s="669"/>
      <c r="AT14" s="166" t="s">
        <v>108</v>
      </c>
      <c r="AU14" s="263"/>
      <c r="AV14" s="263"/>
      <c r="AW14" s="263"/>
      <c r="AX14" s="263"/>
      <c r="AY14" s="263"/>
      <c r="AZ14" s="263"/>
      <c r="BA14" s="263"/>
      <c r="BB14" s="263"/>
      <c r="BC14" s="264"/>
      <c r="BD14" s="150"/>
      <c r="BE14" s="151"/>
      <c r="BF14" s="151"/>
      <c r="BG14" s="151"/>
      <c r="BH14" s="151"/>
      <c r="BI14" s="151"/>
      <c r="BJ14" s="189"/>
      <c r="BK14" s="189"/>
      <c r="BL14" s="189"/>
      <c r="BM14" s="189"/>
      <c r="BN14" s="189"/>
      <c r="BO14" s="189"/>
      <c r="BP14" s="151"/>
      <c r="BQ14" s="151"/>
      <c r="BR14" s="151"/>
      <c r="BS14" s="151"/>
      <c r="BT14" s="151"/>
      <c r="BU14" s="469"/>
      <c r="BV14" s="667"/>
      <c r="BW14" s="494"/>
      <c r="BX14" s="494"/>
      <c r="BY14" s="494"/>
      <c r="BZ14" s="494"/>
      <c r="CA14" s="467"/>
      <c r="CB14" s="152"/>
      <c r="CC14" s="152"/>
      <c r="CD14" s="152"/>
      <c r="CE14" s="152"/>
      <c r="CF14" s="152"/>
      <c r="CG14" s="162"/>
      <c r="CH14" s="100"/>
    </row>
    <row r="15" spans="1:86" ht="9.75" customHeight="1" thickBot="1">
      <c r="A15" s="49">
        <v>12</v>
      </c>
      <c r="B15" s="312"/>
      <c r="C15" s="313"/>
      <c r="D15" s="709" t="s">
        <v>237</v>
      </c>
      <c r="E15" s="710"/>
      <c r="F15" s="710"/>
      <c r="G15" s="710"/>
      <c r="H15" s="710"/>
      <c r="I15" s="710"/>
      <c r="J15" s="710"/>
      <c r="K15" s="710"/>
      <c r="L15" s="710"/>
      <c r="M15" s="711"/>
      <c r="N15" s="259"/>
      <c r="O15" s="260"/>
      <c r="P15" s="260"/>
      <c r="Q15" s="260"/>
      <c r="R15" s="260"/>
      <c r="S15" s="261"/>
      <c r="T15" s="637"/>
      <c r="U15" s="260"/>
      <c r="V15" s="260"/>
      <c r="W15" s="260"/>
      <c r="X15" s="260"/>
      <c r="Y15" s="261"/>
      <c r="Z15" s="153"/>
      <c r="AA15" s="245"/>
      <c r="AB15" s="245"/>
      <c r="AC15" s="245"/>
      <c r="AD15" s="245"/>
      <c r="AE15" s="269"/>
      <c r="AF15" s="161"/>
      <c r="AG15" s="152"/>
      <c r="AH15" s="152"/>
      <c r="AI15" s="152"/>
      <c r="AJ15" s="152"/>
      <c r="AK15" s="152"/>
      <c r="AL15" s="153"/>
      <c r="AM15" s="245"/>
      <c r="AN15" s="245"/>
      <c r="AO15" s="245"/>
      <c r="AP15" s="245"/>
      <c r="AQ15" s="526"/>
      <c r="AR15" s="670"/>
      <c r="AS15" s="671"/>
      <c r="AT15" s="687" t="s">
        <v>5</v>
      </c>
      <c r="AU15" s="429"/>
      <c r="AV15" s="429"/>
      <c r="AW15" s="429"/>
      <c r="AX15" s="429"/>
      <c r="AY15" s="429"/>
      <c r="AZ15" s="429"/>
      <c r="BA15" s="429"/>
      <c r="BB15" s="429"/>
      <c r="BC15" s="688"/>
      <c r="BD15" s="136"/>
      <c r="BE15" s="137"/>
      <c r="BF15" s="137"/>
      <c r="BG15" s="137"/>
      <c r="BH15" s="137"/>
      <c r="BI15" s="137"/>
      <c r="BJ15" s="152"/>
      <c r="BK15" s="152"/>
      <c r="BL15" s="152"/>
      <c r="BM15" s="152"/>
      <c r="BN15" s="152"/>
      <c r="BO15" s="152"/>
      <c r="BP15" s="137"/>
      <c r="BQ15" s="137"/>
      <c r="BR15" s="137"/>
      <c r="BS15" s="137"/>
      <c r="BT15" s="137"/>
      <c r="BU15" s="611"/>
      <c r="BV15" s="612"/>
      <c r="BW15" s="137"/>
      <c r="BX15" s="137"/>
      <c r="BY15" s="137"/>
      <c r="BZ15" s="137"/>
      <c r="CA15" s="137"/>
      <c r="CB15" s="152"/>
      <c r="CC15" s="152"/>
      <c r="CD15" s="152"/>
      <c r="CE15" s="152"/>
      <c r="CF15" s="152"/>
      <c r="CG15" s="162"/>
      <c r="CH15" s="100"/>
    </row>
    <row r="16" spans="1:86" ht="9.75" customHeight="1">
      <c r="A16" s="49">
        <v>13</v>
      </c>
      <c r="B16" s="312"/>
      <c r="C16" s="313"/>
      <c r="D16" s="709" t="s">
        <v>238</v>
      </c>
      <c r="E16" s="709"/>
      <c r="F16" s="709"/>
      <c r="G16" s="709"/>
      <c r="H16" s="709"/>
      <c r="I16" s="709"/>
      <c r="J16" s="709"/>
      <c r="K16" s="709"/>
      <c r="L16" s="709"/>
      <c r="M16" s="712"/>
      <c r="N16" s="259"/>
      <c r="O16" s="260"/>
      <c r="P16" s="260"/>
      <c r="Q16" s="260"/>
      <c r="R16" s="260"/>
      <c r="S16" s="261"/>
      <c r="T16" s="637"/>
      <c r="U16" s="260"/>
      <c r="V16" s="260"/>
      <c r="W16" s="260"/>
      <c r="X16" s="260"/>
      <c r="Y16" s="261"/>
      <c r="Z16" s="153"/>
      <c r="AA16" s="245"/>
      <c r="AB16" s="245"/>
      <c r="AC16" s="245"/>
      <c r="AD16" s="245"/>
      <c r="AE16" s="269"/>
      <c r="AF16" s="161"/>
      <c r="AG16" s="152"/>
      <c r="AH16" s="152"/>
      <c r="AI16" s="152"/>
      <c r="AJ16" s="152"/>
      <c r="AK16" s="152"/>
      <c r="AL16" s="153"/>
      <c r="AM16" s="245"/>
      <c r="AN16" s="245"/>
      <c r="AO16" s="245"/>
      <c r="AP16" s="245"/>
      <c r="AQ16" s="526"/>
      <c r="AR16" s="336" t="s">
        <v>407</v>
      </c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4"/>
      <c r="BF16" s="434"/>
      <c r="BG16" s="434"/>
      <c r="BH16" s="434"/>
      <c r="BI16" s="434"/>
      <c r="BJ16" s="434"/>
      <c r="BK16" s="434"/>
      <c r="BL16" s="434"/>
      <c r="BM16" s="434"/>
      <c r="BN16" s="434"/>
      <c r="BO16" s="434"/>
      <c r="BP16" s="434"/>
      <c r="BQ16" s="434"/>
      <c r="BR16" s="434"/>
      <c r="BS16" s="434"/>
      <c r="BT16" s="434"/>
      <c r="BU16" s="435"/>
      <c r="BV16" s="651" t="s">
        <v>308</v>
      </c>
      <c r="BW16" s="652"/>
      <c r="BX16" s="652"/>
      <c r="BY16" s="652"/>
      <c r="BZ16" s="652"/>
      <c r="CA16" s="652"/>
      <c r="CB16" s="652"/>
      <c r="CC16" s="652"/>
      <c r="CD16" s="652"/>
      <c r="CE16" s="652"/>
      <c r="CF16" s="652"/>
      <c r="CG16" s="653"/>
      <c r="CH16" s="100"/>
    </row>
    <row r="17" spans="1:119" ht="9.75" customHeight="1">
      <c r="A17" s="49">
        <v>14</v>
      </c>
      <c r="B17" s="312"/>
      <c r="C17" s="313"/>
      <c r="D17" s="142" t="s">
        <v>214</v>
      </c>
      <c r="E17" s="142"/>
      <c r="F17" s="142"/>
      <c r="G17" s="142"/>
      <c r="H17" s="142"/>
      <c r="I17" s="142"/>
      <c r="J17" s="142"/>
      <c r="K17" s="142"/>
      <c r="L17" s="142"/>
      <c r="M17" s="166"/>
      <c r="N17" s="259"/>
      <c r="O17" s="260"/>
      <c r="P17" s="260"/>
      <c r="Q17" s="260"/>
      <c r="R17" s="260"/>
      <c r="S17" s="261"/>
      <c r="T17" s="637"/>
      <c r="U17" s="260"/>
      <c r="V17" s="260"/>
      <c r="W17" s="260"/>
      <c r="X17" s="260"/>
      <c r="Y17" s="261"/>
      <c r="Z17" s="153"/>
      <c r="AA17" s="245"/>
      <c r="AB17" s="245"/>
      <c r="AC17" s="245"/>
      <c r="AD17" s="245"/>
      <c r="AE17" s="269"/>
      <c r="AF17" s="161"/>
      <c r="AG17" s="152"/>
      <c r="AH17" s="152"/>
      <c r="AI17" s="152"/>
      <c r="AJ17" s="152"/>
      <c r="AK17" s="152"/>
      <c r="AL17" s="153"/>
      <c r="AM17" s="245"/>
      <c r="AN17" s="245"/>
      <c r="AO17" s="245"/>
      <c r="AP17" s="245"/>
      <c r="AQ17" s="526"/>
      <c r="AR17" s="595"/>
      <c r="AS17" s="596"/>
      <c r="AT17" s="596"/>
      <c r="AU17" s="596"/>
      <c r="AV17" s="596"/>
      <c r="AW17" s="596"/>
      <c r="AX17" s="596"/>
      <c r="AY17" s="596"/>
      <c r="AZ17" s="596"/>
      <c r="BA17" s="596"/>
      <c r="BB17" s="596"/>
      <c r="BC17" s="596"/>
      <c r="BD17" s="684" t="s">
        <v>269</v>
      </c>
      <c r="BE17" s="685"/>
      <c r="BF17" s="685"/>
      <c r="BG17" s="685"/>
      <c r="BH17" s="685"/>
      <c r="BI17" s="685"/>
      <c r="BJ17" s="685" t="s">
        <v>45</v>
      </c>
      <c r="BK17" s="685"/>
      <c r="BL17" s="685"/>
      <c r="BM17" s="685"/>
      <c r="BN17" s="685"/>
      <c r="BO17" s="685"/>
      <c r="BP17" s="685" t="s">
        <v>12</v>
      </c>
      <c r="BQ17" s="685"/>
      <c r="BR17" s="685"/>
      <c r="BS17" s="685"/>
      <c r="BT17" s="685"/>
      <c r="BU17" s="686"/>
      <c r="BV17" s="654"/>
      <c r="BW17" s="655"/>
      <c r="BX17" s="655"/>
      <c r="BY17" s="655"/>
      <c r="BZ17" s="655"/>
      <c r="CA17" s="656"/>
      <c r="CB17" s="657"/>
      <c r="CC17" s="280"/>
      <c r="CD17" s="280"/>
      <c r="CE17" s="280"/>
      <c r="CF17" s="280"/>
      <c r="CG17" s="405"/>
      <c r="CH17" s="100"/>
    </row>
    <row r="18" spans="1:119" ht="9.75" customHeight="1">
      <c r="A18" s="49">
        <v>15</v>
      </c>
      <c r="B18" s="312"/>
      <c r="C18" s="313"/>
      <c r="D18" s="709" t="s">
        <v>239</v>
      </c>
      <c r="E18" s="710"/>
      <c r="F18" s="710"/>
      <c r="G18" s="710"/>
      <c r="H18" s="710"/>
      <c r="I18" s="710"/>
      <c r="J18" s="710"/>
      <c r="K18" s="710"/>
      <c r="L18" s="710"/>
      <c r="M18" s="711"/>
      <c r="N18" s="259"/>
      <c r="O18" s="260"/>
      <c r="P18" s="260"/>
      <c r="Q18" s="260"/>
      <c r="R18" s="260"/>
      <c r="S18" s="261"/>
      <c r="T18" s="637"/>
      <c r="U18" s="260"/>
      <c r="V18" s="260"/>
      <c r="W18" s="260"/>
      <c r="X18" s="260"/>
      <c r="Y18" s="261"/>
      <c r="Z18" s="153"/>
      <c r="AA18" s="245"/>
      <c r="AB18" s="245"/>
      <c r="AC18" s="245"/>
      <c r="AD18" s="245"/>
      <c r="AE18" s="269"/>
      <c r="AF18" s="161"/>
      <c r="AG18" s="152"/>
      <c r="AH18" s="152"/>
      <c r="AI18" s="152"/>
      <c r="AJ18" s="152"/>
      <c r="AK18" s="152"/>
      <c r="AL18" s="153"/>
      <c r="AM18" s="245"/>
      <c r="AN18" s="245"/>
      <c r="AO18" s="245"/>
      <c r="AP18" s="245"/>
      <c r="AQ18" s="526"/>
      <c r="AR18" s="310" t="s">
        <v>213</v>
      </c>
      <c r="AS18" s="311"/>
      <c r="AT18" s="379" t="s">
        <v>270</v>
      </c>
      <c r="AU18" s="379"/>
      <c r="AV18" s="379"/>
      <c r="AW18" s="379"/>
      <c r="AX18" s="379"/>
      <c r="AY18" s="379"/>
      <c r="AZ18" s="379"/>
      <c r="BA18" s="379"/>
      <c r="BB18" s="379"/>
      <c r="BC18" s="276"/>
      <c r="BD18" s="681"/>
      <c r="BE18" s="682"/>
      <c r="BF18" s="682"/>
      <c r="BG18" s="682"/>
      <c r="BH18" s="682"/>
      <c r="BI18" s="683"/>
      <c r="BJ18" s="657"/>
      <c r="BK18" s="280"/>
      <c r="BL18" s="280"/>
      <c r="BM18" s="280"/>
      <c r="BN18" s="280"/>
      <c r="BO18" s="281"/>
      <c r="BP18" s="335"/>
      <c r="BQ18" s="577"/>
      <c r="BR18" s="577"/>
      <c r="BS18" s="577"/>
      <c r="BT18" s="577"/>
      <c r="BU18" s="680"/>
      <c r="BV18" s="634"/>
      <c r="BW18" s="635"/>
      <c r="BX18" s="635"/>
      <c r="BY18" s="635"/>
      <c r="BZ18" s="635"/>
      <c r="CA18" s="636"/>
      <c r="CB18" s="637"/>
      <c r="CC18" s="260"/>
      <c r="CD18" s="260"/>
      <c r="CE18" s="260"/>
      <c r="CF18" s="260"/>
      <c r="CG18" s="394"/>
      <c r="CH18" s="100"/>
    </row>
    <row r="19" spans="1:119" ht="9.75" customHeight="1">
      <c r="A19" s="49">
        <v>16</v>
      </c>
      <c r="B19" s="312"/>
      <c r="C19" s="313"/>
      <c r="D19" s="142" t="s">
        <v>209</v>
      </c>
      <c r="E19" s="142"/>
      <c r="F19" s="142"/>
      <c r="G19" s="142"/>
      <c r="H19" s="142"/>
      <c r="I19" s="142"/>
      <c r="J19" s="142"/>
      <c r="K19" s="142"/>
      <c r="L19" s="142"/>
      <c r="M19" s="166"/>
      <c r="N19" s="667"/>
      <c r="O19" s="494"/>
      <c r="P19" s="494"/>
      <c r="Q19" s="494"/>
      <c r="R19" s="494"/>
      <c r="S19" s="467"/>
      <c r="T19" s="637"/>
      <c r="U19" s="260"/>
      <c r="V19" s="260"/>
      <c r="W19" s="260"/>
      <c r="X19" s="260"/>
      <c r="Y19" s="261"/>
      <c r="Z19" s="493"/>
      <c r="AA19" s="494"/>
      <c r="AB19" s="494"/>
      <c r="AC19" s="494"/>
      <c r="AD19" s="494"/>
      <c r="AE19" s="689"/>
      <c r="AF19" s="150"/>
      <c r="AG19" s="151"/>
      <c r="AH19" s="151"/>
      <c r="AI19" s="151"/>
      <c r="AJ19" s="151"/>
      <c r="AK19" s="151"/>
      <c r="AL19" s="153"/>
      <c r="AM19" s="245"/>
      <c r="AN19" s="245"/>
      <c r="AO19" s="245"/>
      <c r="AP19" s="245"/>
      <c r="AQ19" s="526"/>
      <c r="AR19" s="312"/>
      <c r="AS19" s="313"/>
      <c r="AT19" s="142" t="s">
        <v>212</v>
      </c>
      <c r="AU19" s="142"/>
      <c r="AV19" s="142"/>
      <c r="AW19" s="142"/>
      <c r="AX19" s="142"/>
      <c r="AY19" s="142"/>
      <c r="AZ19" s="142"/>
      <c r="BA19" s="142"/>
      <c r="BB19" s="142"/>
      <c r="BC19" s="166"/>
      <c r="BD19" s="667"/>
      <c r="BE19" s="494"/>
      <c r="BF19" s="494"/>
      <c r="BG19" s="494"/>
      <c r="BH19" s="494"/>
      <c r="BI19" s="467"/>
      <c r="BJ19" s="637"/>
      <c r="BK19" s="260"/>
      <c r="BL19" s="260"/>
      <c r="BM19" s="260"/>
      <c r="BN19" s="260"/>
      <c r="BO19" s="261"/>
      <c r="BP19" s="153"/>
      <c r="BQ19" s="245"/>
      <c r="BR19" s="245"/>
      <c r="BS19" s="245"/>
      <c r="BT19" s="245"/>
      <c r="BU19" s="526"/>
      <c r="BV19" s="634"/>
      <c r="BW19" s="635"/>
      <c r="BX19" s="635"/>
      <c r="BY19" s="635"/>
      <c r="BZ19" s="635"/>
      <c r="CA19" s="636"/>
      <c r="CB19" s="637"/>
      <c r="CC19" s="260"/>
      <c r="CD19" s="260"/>
      <c r="CE19" s="260"/>
      <c r="CF19" s="260"/>
      <c r="CG19" s="394"/>
      <c r="CH19" s="100"/>
    </row>
    <row r="20" spans="1:119" ht="9.75" customHeight="1">
      <c r="A20" s="49">
        <v>17</v>
      </c>
      <c r="B20" s="312"/>
      <c r="C20" s="313"/>
      <c r="D20" s="142" t="s">
        <v>207</v>
      </c>
      <c r="E20" s="142"/>
      <c r="F20" s="142"/>
      <c r="G20" s="142"/>
      <c r="H20" s="142"/>
      <c r="I20" s="142"/>
      <c r="J20" s="142"/>
      <c r="K20" s="142"/>
      <c r="L20" s="142"/>
      <c r="M20" s="166"/>
      <c r="N20" s="259"/>
      <c r="O20" s="260"/>
      <c r="P20" s="260"/>
      <c r="Q20" s="260"/>
      <c r="R20" s="260"/>
      <c r="S20" s="261"/>
      <c r="T20" s="637"/>
      <c r="U20" s="260"/>
      <c r="V20" s="260"/>
      <c r="W20" s="260"/>
      <c r="X20" s="260"/>
      <c r="Y20" s="261"/>
      <c r="Z20" s="153"/>
      <c r="AA20" s="245"/>
      <c r="AB20" s="245"/>
      <c r="AC20" s="245"/>
      <c r="AD20" s="245"/>
      <c r="AE20" s="269"/>
      <c r="AF20" s="161"/>
      <c r="AG20" s="152"/>
      <c r="AH20" s="152"/>
      <c r="AI20" s="152"/>
      <c r="AJ20" s="152"/>
      <c r="AK20" s="152"/>
      <c r="AL20" s="153"/>
      <c r="AM20" s="245"/>
      <c r="AN20" s="245"/>
      <c r="AO20" s="245"/>
      <c r="AP20" s="245"/>
      <c r="AQ20" s="526"/>
      <c r="AR20" s="312"/>
      <c r="AS20" s="313"/>
      <c r="AT20" s="142" t="s">
        <v>211</v>
      </c>
      <c r="AU20" s="142"/>
      <c r="AV20" s="142"/>
      <c r="AW20" s="142"/>
      <c r="AX20" s="142"/>
      <c r="AY20" s="142"/>
      <c r="AZ20" s="142"/>
      <c r="BA20" s="142"/>
      <c r="BB20" s="142"/>
      <c r="BC20" s="166"/>
      <c r="BD20" s="667"/>
      <c r="BE20" s="494"/>
      <c r="BF20" s="494"/>
      <c r="BG20" s="494"/>
      <c r="BH20" s="494"/>
      <c r="BI20" s="467"/>
      <c r="BJ20" s="637"/>
      <c r="BK20" s="260"/>
      <c r="BL20" s="260"/>
      <c r="BM20" s="260"/>
      <c r="BN20" s="260"/>
      <c r="BO20" s="261"/>
      <c r="BP20" s="153"/>
      <c r="BQ20" s="245"/>
      <c r="BR20" s="245"/>
      <c r="BS20" s="245"/>
      <c r="BT20" s="245"/>
      <c r="BU20" s="526"/>
      <c r="BV20" s="634"/>
      <c r="BW20" s="635"/>
      <c r="BX20" s="635"/>
      <c r="BY20" s="635"/>
      <c r="BZ20" s="635"/>
      <c r="CA20" s="636"/>
      <c r="CB20" s="637"/>
      <c r="CC20" s="260"/>
      <c r="CD20" s="260"/>
      <c r="CE20" s="260"/>
      <c r="CF20" s="260"/>
      <c r="CG20" s="394"/>
      <c r="CH20" s="100"/>
    </row>
    <row r="21" spans="1:119" ht="9.75" customHeight="1">
      <c r="A21" s="49">
        <v>18</v>
      </c>
      <c r="B21" s="312"/>
      <c r="C21" s="313"/>
      <c r="D21" s="142" t="s">
        <v>108</v>
      </c>
      <c r="E21" s="142"/>
      <c r="F21" s="142"/>
      <c r="G21" s="142"/>
      <c r="H21" s="142"/>
      <c r="I21" s="142"/>
      <c r="J21" s="142"/>
      <c r="K21" s="142"/>
      <c r="L21" s="142"/>
      <c r="M21" s="166"/>
      <c r="N21" s="667"/>
      <c r="O21" s="494"/>
      <c r="P21" s="494"/>
      <c r="Q21" s="494"/>
      <c r="R21" s="494"/>
      <c r="S21" s="467"/>
      <c r="T21" s="637"/>
      <c r="U21" s="260"/>
      <c r="V21" s="260"/>
      <c r="W21" s="260"/>
      <c r="X21" s="260"/>
      <c r="Y21" s="261"/>
      <c r="Z21" s="493"/>
      <c r="AA21" s="494"/>
      <c r="AB21" s="494"/>
      <c r="AC21" s="494"/>
      <c r="AD21" s="494"/>
      <c r="AE21" s="689"/>
      <c r="AF21" s="150"/>
      <c r="AG21" s="151"/>
      <c r="AH21" s="151"/>
      <c r="AI21" s="151"/>
      <c r="AJ21" s="151"/>
      <c r="AK21" s="151"/>
      <c r="AL21" s="153"/>
      <c r="AM21" s="245"/>
      <c r="AN21" s="245"/>
      <c r="AO21" s="245"/>
      <c r="AP21" s="245"/>
      <c r="AQ21" s="526"/>
      <c r="AR21" s="312"/>
      <c r="AS21" s="313"/>
      <c r="AT21" s="142" t="s">
        <v>210</v>
      </c>
      <c r="AU21" s="142"/>
      <c r="AV21" s="142"/>
      <c r="AW21" s="142"/>
      <c r="AX21" s="142"/>
      <c r="AY21" s="142"/>
      <c r="AZ21" s="142"/>
      <c r="BA21" s="142"/>
      <c r="BB21" s="142"/>
      <c r="BC21" s="166"/>
      <c r="BD21" s="667"/>
      <c r="BE21" s="494"/>
      <c r="BF21" s="494"/>
      <c r="BG21" s="494"/>
      <c r="BH21" s="494"/>
      <c r="BI21" s="467"/>
      <c r="BJ21" s="637"/>
      <c r="BK21" s="260"/>
      <c r="BL21" s="260"/>
      <c r="BM21" s="260"/>
      <c r="BN21" s="260"/>
      <c r="BO21" s="261"/>
      <c r="BP21" s="153"/>
      <c r="BQ21" s="245"/>
      <c r="BR21" s="245"/>
      <c r="BS21" s="245"/>
      <c r="BT21" s="245"/>
      <c r="BU21" s="526"/>
      <c r="BV21" s="634"/>
      <c r="BW21" s="635"/>
      <c r="BX21" s="635"/>
      <c r="BY21" s="635"/>
      <c r="BZ21" s="635"/>
      <c r="CA21" s="636"/>
      <c r="CB21" s="637"/>
      <c r="CC21" s="260"/>
      <c r="CD21" s="260"/>
      <c r="CE21" s="260"/>
      <c r="CF21" s="260"/>
      <c r="CG21" s="394"/>
      <c r="CH21" s="100"/>
    </row>
    <row r="22" spans="1:119" ht="9.75" customHeight="1">
      <c r="A22" s="49">
        <v>19</v>
      </c>
      <c r="B22" s="312"/>
      <c r="C22" s="313"/>
      <c r="D22" s="698" t="s">
        <v>314</v>
      </c>
      <c r="E22" s="698"/>
      <c r="F22" s="698"/>
      <c r="G22" s="142" t="s">
        <v>109</v>
      </c>
      <c r="H22" s="142"/>
      <c r="I22" s="142"/>
      <c r="J22" s="142"/>
      <c r="K22" s="142"/>
      <c r="L22" s="142"/>
      <c r="M22" s="166"/>
      <c r="N22" s="259"/>
      <c r="O22" s="260"/>
      <c r="P22" s="260"/>
      <c r="Q22" s="260"/>
      <c r="R22" s="260"/>
      <c r="S22" s="261"/>
      <c r="T22" s="637"/>
      <c r="U22" s="260"/>
      <c r="V22" s="260"/>
      <c r="W22" s="260"/>
      <c r="X22" s="260"/>
      <c r="Y22" s="261"/>
      <c r="Z22" s="153"/>
      <c r="AA22" s="245"/>
      <c r="AB22" s="245"/>
      <c r="AC22" s="245"/>
      <c r="AD22" s="245"/>
      <c r="AE22" s="269"/>
      <c r="AF22" s="161"/>
      <c r="AG22" s="152"/>
      <c r="AH22" s="152"/>
      <c r="AI22" s="152"/>
      <c r="AJ22" s="152"/>
      <c r="AK22" s="152"/>
      <c r="AL22" s="153"/>
      <c r="AM22" s="245"/>
      <c r="AN22" s="245"/>
      <c r="AO22" s="245"/>
      <c r="AP22" s="245"/>
      <c r="AQ22" s="526"/>
      <c r="AR22" s="312"/>
      <c r="AS22" s="313"/>
      <c r="AT22" s="142" t="s">
        <v>208</v>
      </c>
      <c r="AU22" s="142"/>
      <c r="AV22" s="142"/>
      <c r="AW22" s="142"/>
      <c r="AX22" s="142"/>
      <c r="AY22" s="142"/>
      <c r="AZ22" s="142"/>
      <c r="BA22" s="142"/>
      <c r="BB22" s="142"/>
      <c r="BC22" s="166"/>
      <c r="BD22" s="667"/>
      <c r="BE22" s="494"/>
      <c r="BF22" s="494"/>
      <c r="BG22" s="494"/>
      <c r="BH22" s="494"/>
      <c r="BI22" s="467"/>
      <c r="BJ22" s="637"/>
      <c r="BK22" s="260"/>
      <c r="BL22" s="260"/>
      <c r="BM22" s="260"/>
      <c r="BN22" s="260"/>
      <c r="BO22" s="261"/>
      <c r="BP22" s="153"/>
      <c r="BQ22" s="245"/>
      <c r="BR22" s="245"/>
      <c r="BS22" s="245"/>
      <c r="BT22" s="245"/>
      <c r="BU22" s="526"/>
      <c r="BV22" s="634"/>
      <c r="BW22" s="635"/>
      <c r="BX22" s="635"/>
      <c r="BY22" s="635"/>
      <c r="BZ22" s="635"/>
      <c r="CA22" s="636"/>
      <c r="CB22" s="637"/>
      <c r="CC22" s="260"/>
      <c r="CD22" s="260"/>
      <c r="CE22" s="260"/>
      <c r="CF22" s="260"/>
      <c r="CG22" s="394"/>
      <c r="CH22" s="100"/>
    </row>
    <row r="23" spans="1:119" ht="9.75" customHeight="1">
      <c r="A23" s="49">
        <v>20</v>
      </c>
      <c r="B23" s="312"/>
      <c r="C23" s="313"/>
      <c r="D23" s="698"/>
      <c r="E23" s="698"/>
      <c r="F23" s="698"/>
      <c r="G23" s="142" t="s">
        <v>204</v>
      </c>
      <c r="H23" s="142"/>
      <c r="I23" s="142"/>
      <c r="J23" s="142"/>
      <c r="K23" s="142"/>
      <c r="L23" s="142"/>
      <c r="M23" s="166"/>
      <c r="N23" s="259"/>
      <c r="O23" s="260"/>
      <c r="P23" s="260"/>
      <c r="Q23" s="260"/>
      <c r="R23" s="260"/>
      <c r="S23" s="261"/>
      <c r="T23" s="637"/>
      <c r="U23" s="260"/>
      <c r="V23" s="260"/>
      <c r="W23" s="260"/>
      <c r="X23" s="260"/>
      <c r="Y23" s="261"/>
      <c r="Z23" s="153"/>
      <c r="AA23" s="245"/>
      <c r="AB23" s="245"/>
      <c r="AC23" s="245"/>
      <c r="AD23" s="245"/>
      <c r="AE23" s="269"/>
      <c r="AF23" s="161"/>
      <c r="AG23" s="152"/>
      <c r="AH23" s="152"/>
      <c r="AI23" s="152"/>
      <c r="AJ23" s="152"/>
      <c r="AK23" s="152"/>
      <c r="AL23" s="153"/>
      <c r="AM23" s="245"/>
      <c r="AN23" s="245"/>
      <c r="AO23" s="245"/>
      <c r="AP23" s="245"/>
      <c r="AQ23" s="526"/>
      <c r="AR23" s="312"/>
      <c r="AS23" s="313"/>
      <c r="AT23" s="142" t="s">
        <v>206</v>
      </c>
      <c r="AU23" s="142"/>
      <c r="AV23" s="142"/>
      <c r="AW23" s="142"/>
      <c r="AX23" s="142"/>
      <c r="AY23" s="142"/>
      <c r="AZ23" s="142"/>
      <c r="BA23" s="142"/>
      <c r="BB23" s="142"/>
      <c r="BC23" s="166"/>
      <c r="BD23" s="667"/>
      <c r="BE23" s="494"/>
      <c r="BF23" s="494"/>
      <c r="BG23" s="494"/>
      <c r="BH23" s="494"/>
      <c r="BI23" s="467"/>
      <c r="BJ23" s="637"/>
      <c r="BK23" s="260"/>
      <c r="BL23" s="260"/>
      <c r="BM23" s="260"/>
      <c r="BN23" s="260"/>
      <c r="BO23" s="261"/>
      <c r="BP23" s="153"/>
      <c r="BQ23" s="245"/>
      <c r="BR23" s="245"/>
      <c r="BS23" s="245"/>
      <c r="BT23" s="245"/>
      <c r="BU23" s="526"/>
      <c r="BV23" s="634"/>
      <c r="BW23" s="635"/>
      <c r="BX23" s="635"/>
      <c r="BY23" s="635"/>
      <c r="BZ23" s="635"/>
      <c r="CA23" s="636"/>
      <c r="CB23" s="637"/>
      <c r="CC23" s="260"/>
      <c r="CD23" s="260"/>
      <c r="CE23" s="260"/>
      <c r="CF23" s="260"/>
      <c r="CG23" s="394"/>
      <c r="CH23" s="100"/>
    </row>
    <row r="24" spans="1:119" ht="9.75" customHeight="1">
      <c r="A24" s="49">
        <v>21</v>
      </c>
      <c r="B24" s="312"/>
      <c r="C24" s="313"/>
      <c r="D24" s="698"/>
      <c r="E24" s="698"/>
      <c r="F24" s="698"/>
      <c r="G24" s="142" t="s">
        <v>203</v>
      </c>
      <c r="H24" s="142"/>
      <c r="I24" s="142"/>
      <c r="J24" s="142"/>
      <c r="K24" s="142"/>
      <c r="L24" s="142"/>
      <c r="M24" s="166"/>
      <c r="N24" s="259"/>
      <c r="O24" s="260"/>
      <c r="P24" s="260"/>
      <c r="Q24" s="260"/>
      <c r="R24" s="260"/>
      <c r="S24" s="261"/>
      <c r="T24" s="637"/>
      <c r="U24" s="260"/>
      <c r="V24" s="260"/>
      <c r="W24" s="260"/>
      <c r="X24" s="260"/>
      <c r="Y24" s="261"/>
      <c r="Z24" s="153"/>
      <c r="AA24" s="245"/>
      <c r="AB24" s="245"/>
      <c r="AC24" s="245"/>
      <c r="AD24" s="245"/>
      <c r="AE24" s="269"/>
      <c r="AF24" s="161"/>
      <c r="AG24" s="152"/>
      <c r="AH24" s="152"/>
      <c r="AI24" s="152"/>
      <c r="AJ24" s="152"/>
      <c r="AK24" s="152"/>
      <c r="AL24" s="153"/>
      <c r="AM24" s="245"/>
      <c r="AN24" s="245"/>
      <c r="AO24" s="245"/>
      <c r="AP24" s="245"/>
      <c r="AQ24" s="526"/>
      <c r="AR24" s="312"/>
      <c r="AS24" s="313"/>
      <c r="AT24" s="142" t="s">
        <v>205</v>
      </c>
      <c r="AU24" s="142"/>
      <c r="AV24" s="142"/>
      <c r="AW24" s="142"/>
      <c r="AX24" s="142"/>
      <c r="AY24" s="142"/>
      <c r="AZ24" s="142"/>
      <c r="BA24" s="142"/>
      <c r="BB24" s="142"/>
      <c r="BC24" s="166"/>
      <c r="BD24" s="667"/>
      <c r="BE24" s="494"/>
      <c r="BF24" s="494"/>
      <c r="BG24" s="494"/>
      <c r="BH24" s="494"/>
      <c r="BI24" s="467"/>
      <c r="BJ24" s="637"/>
      <c r="BK24" s="260"/>
      <c r="BL24" s="260"/>
      <c r="BM24" s="260"/>
      <c r="BN24" s="260"/>
      <c r="BO24" s="261"/>
      <c r="BP24" s="153"/>
      <c r="BQ24" s="245"/>
      <c r="BR24" s="245"/>
      <c r="BS24" s="245"/>
      <c r="BT24" s="245"/>
      <c r="BU24" s="526"/>
      <c r="BV24" s="634"/>
      <c r="BW24" s="635"/>
      <c r="BX24" s="635"/>
      <c r="BY24" s="635"/>
      <c r="BZ24" s="635"/>
      <c r="CA24" s="636"/>
      <c r="CB24" s="637"/>
      <c r="CC24" s="260"/>
      <c r="CD24" s="260"/>
      <c r="CE24" s="260"/>
      <c r="CF24" s="260"/>
      <c r="CG24" s="394"/>
      <c r="CH24" s="100"/>
    </row>
    <row r="25" spans="1:119" ht="9.75" customHeight="1">
      <c r="A25" s="49">
        <v>22</v>
      </c>
      <c r="B25" s="312"/>
      <c r="C25" s="313"/>
      <c r="D25" s="698"/>
      <c r="E25" s="698"/>
      <c r="F25" s="698"/>
      <c r="G25" s="142" t="s">
        <v>108</v>
      </c>
      <c r="H25" s="142"/>
      <c r="I25" s="142"/>
      <c r="J25" s="142"/>
      <c r="K25" s="142"/>
      <c r="L25" s="142"/>
      <c r="M25" s="166"/>
      <c r="N25" s="667"/>
      <c r="O25" s="494"/>
      <c r="P25" s="494"/>
      <c r="Q25" s="494"/>
      <c r="R25" s="494"/>
      <c r="S25" s="467"/>
      <c r="T25" s="637"/>
      <c r="U25" s="260"/>
      <c r="V25" s="260"/>
      <c r="W25" s="260"/>
      <c r="X25" s="260"/>
      <c r="Y25" s="261"/>
      <c r="Z25" s="493"/>
      <c r="AA25" s="494"/>
      <c r="AB25" s="494"/>
      <c r="AC25" s="494"/>
      <c r="AD25" s="494"/>
      <c r="AE25" s="689"/>
      <c r="AF25" s="150"/>
      <c r="AG25" s="151"/>
      <c r="AH25" s="151"/>
      <c r="AI25" s="151"/>
      <c r="AJ25" s="151"/>
      <c r="AK25" s="151"/>
      <c r="AL25" s="153"/>
      <c r="AM25" s="245"/>
      <c r="AN25" s="245"/>
      <c r="AO25" s="245"/>
      <c r="AP25" s="245"/>
      <c r="AQ25" s="526"/>
      <c r="AR25" s="312"/>
      <c r="AS25" s="313"/>
      <c r="AT25" s="142" t="s">
        <v>108</v>
      </c>
      <c r="AU25" s="142"/>
      <c r="AV25" s="142"/>
      <c r="AW25" s="142"/>
      <c r="AX25" s="142"/>
      <c r="AY25" s="142"/>
      <c r="AZ25" s="142"/>
      <c r="BA25" s="142"/>
      <c r="BB25" s="142"/>
      <c r="BC25" s="166"/>
      <c r="BD25" s="667"/>
      <c r="BE25" s="494"/>
      <c r="BF25" s="494"/>
      <c r="BG25" s="494"/>
      <c r="BH25" s="494"/>
      <c r="BI25" s="467"/>
      <c r="BJ25" s="637"/>
      <c r="BK25" s="260"/>
      <c r="BL25" s="260"/>
      <c r="BM25" s="260"/>
      <c r="BN25" s="260"/>
      <c r="BO25" s="261"/>
      <c r="BP25" s="153"/>
      <c r="BQ25" s="245"/>
      <c r="BR25" s="245"/>
      <c r="BS25" s="245"/>
      <c r="BT25" s="245"/>
      <c r="BU25" s="526"/>
      <c r="BV25" s="634"/>
      <c r="BW25" s="635"/>
      <c r="BX25" s="635"/>
      <c r="BY25" s="635"/>
      <c r="BZ25" s="635"/>
      <c r="CA25" s="636"/>
      <c r="CB25" s="637"/>
      <c r="CC25" s="260"/>
      <c r="CD25" s="260"/>
      <c r="CE25" s="260"/>
      <c r="CF25" s="260"/>
      <c r="CG25" s="394"/>
      <c r="CH25" s="100"/>
    </row>
    <row r="26" spans="1:119" ht="9.75" customHeight="1">
      <c r="A26" s="49">
        <v>23</v>
      </c>
      <c r="B26" s="312"/>
      <c r="C26" s="313"/>
      <c r="D26" s="142" t="s">
        <v>5</v>
      </c>
      <c r="E26" s="142"/>
      <c r="F26" s="142"/>
      <c r="G26" s="142"/>
      <c r="H26" s="142"/>
      <c r="I26" s="142"/>
      <c r="J26" s="142"/>
      <c r="K26" s="142"/>
      <c r="L26" s="142"/>
      <c r="M26" s="166"/>
      <c r="N26" s="667"/>
      <c r="O26" s="494"/>
      <c r="P26" s="494"/>
      <c r="Q26" s="494"/>
      <c r="R26" s="494"/>
      <c r="S26" s="467"/>
      <c r="T26" s="153"/>
      <c r="U26" s="245"/>
      <c r="V26" s="245"/>
      <c r="W26" s="245"/>
      <c r="X26" s="245"/>
      <c r="Y26" s="246"/>
      <c r="Z26" s="493"/>
      <c r="AA26" s="494"/>
      <c r="AB26" s="494"/>
      <c r="AC26" s="494"/>
      <c r="AD26" s="494"/>
      <c r="AE26" s="689"/>
      <c r="AF26" s="150"/>
      <c r="AG26" s="151"/>
      <c r="AH26" s="151"/>
      <c r="AI26" s="151"/>
      <c r="AJ26" s="151"/>
      <c r="AK26" s="151"/>
      <c r="AL26" s="153"/>
      <c r="AM26" s="245"/>
      <c r="AN26" s="245"/>
      <c r="AO26" s="245"/>
      <c r="AP26" s="245"/>
      <c r="AQ26" s="526"/>
      <c r="AR26" s="312"/>
      <c r="AS26" s="313"/>
      <c r="AT26" s="184" t="s">
        <v>5</v>
      </c>
      <c r="AU26" s="184"/>
      <c r="AV26" s="184"/>
      <c r="AW26" s="142"/>
      <c r="AX26" s="142"/>
      <c r="AY26" s="142"/>
      <c r="AZ26" s="142"/>
      <c r="BA26" s="142"/>
      <c r="BB26" s="142"/>
      <c r="BC26" s="166"/>
      <c r="BD26" s="667"/>
      <c r="BE26" s="494"/>
      <c r="BF26" s="494"/>
      <c r="BG26" s="494"/>
      <c r="BH26" s="494"/>
      <c r="BI26" s="467"/>
      <c r="BJ26" s="153"/>
      <c r="BK26" s="245"/>
      <c r="BL26" s="245"/>
      <c r="BM26" s="245"/>
      <c r="BN26" s="245"/>
      <c r="BO26" s="246"/>
      <c r="BP26" s="153"/>
      <c r="BQ26" s="245"/>
      <c r="BR26" s="245"/>
      <c r="BS26" s="245"/>
      <c r="BT26" s="245"/>
      <c r="BU26" s="526"/>
      <c r="BV26" s="641"/>
      <c r="BW26" s="642"/>
      <c r="BX26" s="642"/>
      <c r="BY26" s="642"/>
      <c r="BZ26" s="642"/>
      <c r="CA26" s="643"/>
      <c r="CB26" s="644"/>
      <c r="CC26" s="645"/>
      <c r="CD26" s="645"/>
      <c r="CE26" s="645"/>
      <c r="CF26" s="645"/>
      <c r="CG26" s="646"/>
      <c r="CH26" s="100"/>
    </row>
    <row r="27" spans="1:119" ht="9.75" customHeight="1">
      <c r="A27" s="49">
        <v>24</v>
      </c>
      <c r="B27" s="312" t="s">
        <v>202</v>
      </c>
      <c r="C27" s="313"/>
      <c r="D27" s="142" t="s">
        <v>201</v>
      </c>
      <c r="E27" s="142"/>
      <c r="F27" s="142"/>
      <c r="G27" s="142"/>
      <c r="H27" s="142"/>
      <c r="I27" s="142"/>
      <c r="J27" s="142"/>
      <c r="K27" s="142"/>
      <c r="L27" s="142"/>
      <c r="M27" s="166"/>
      <c r="N27" s="667"/>
      <c r="O27" s="494"/>
      <c r="P27" s="494"/>
      <c r="Q27" s="494"/>
      <c r="R27" s="494"/>
      <c r="S27" s="467"/>
      <c r="T27" s="637"/>
      <c r="U27" s="260"/>
      <c r="V27" s="260"/>
      <c r="W27" s="260"/>
      <c r="X27" s="260"/>
      <c r="Y27" s="261"/>
      <c r="Z27" s="493"/>
      <c r="AA27" s="494"/>
      <c r="AB27" s="494"/>
      <c r="AC27" s="494"/>
      <c r="AD27" s="494"/>
      <c r="AE27" s="689"/>
      <c r="AF27" s="150"/>
      <c r="AG27" s="151"/>
      <c r="AH27" s="151"/>
      <c r="AI27" s="151"/>
      <c r="AJ27" s="151"/>
      <c r="AK27" s="151"/>
      <c r="AL27" s="153"/>
      <c r="AM27" s="245"/>
      <c r="AN27" s="245"/>
      <c r="AO27" s="245"/>
      <c r="AP27" s="245"/>
      <c r="AQ27" s="526"/>
      <c r="AR27" s="312"/>
      <c r="AS27" s="313"/>
      <c r="AT27" s="43"/>
      <c r="AU27" s="44"/>
      <c r="AV27" s="45"/>
      <c r="AW27" s="142" t="s">
        <v>259</v>
      </c>
      <c r="AX27" s="142"/>
      <c r="AY27" s="142"/>
      <c r="AZ27" s="142"/>
      <c r="BA27" s="142"/>
      <c r="BB27" s="142"/>
      <c r="BC27" s="166"/>
      <c r="BD27" s="667"/>
      <c r="BE27" s="494"/>
      <c r="BF27" s="494"/>
      <c r="BG27" s="494"/>
      <c r="BH27" s="494"/>
      <c r="BI27" s="467"/>
      <c r="BJ27" s="637"/>
      <c r="BK27" s="260"/>
      <c r="BL27" s="260"/>
      <c r="BM27" s="260"/>
      <c r="BN27" s="260"/>
      <c r="BO27" s="261"/>
      <c r="BP27" s="153"/>
      <c r="BQ27" s="245"/>
      <c r="BR27" s="245"/>
      <c r="BS27" s="245"/>
      <c r="BT27" s="245"/>
      <c r="BU27" s="526"/>
      <c r="BV27" s="647"/>
      <c r="BW27" s="648"/>
      <c r="BX27" s="648"/>
      <c r="BY27" s="648"/>
      <c r="BZ27" s="648"/>
      <c r="CA27" s="649"/>
      <c r="CB27" s="650"/>
      <c r="CC27" s="521"/>
      <c r="CD27" s="521"/>
      <c r="CE27" s="521"/>
      <c r="CF27" s="521"/>
      <c r="CG27" s="522"/>
      <c r="CH27" s="100"/>
    </row>
    <row r="28" spans="1:119" ht="9.75" customHeight="1">
      <c r="A28" s="49">
        <v>25</v>
      </c>
      <c r="B28" s="312"/>
      <c r="C28" s="313"/>
      <c r="D28" s="142" t="s">
        <v>200</v>
      </c>
      <c r="E28" s="142"/>
      <c r="F28" s="142"/>
      <c r="G28" s="142"/>
      <c r="H28" s="142"/>
      <c r="I28" s="142"/>
      <c r="J28" s="142"/>
      <c r="K28" s="142"/>
      <c r="L28" s="142"/>
      <c r="M28" s="166"/>
      <c r="N28" s="667"/>
      <c r="O28" s="494"/>
      <c r="P28" s="494"/>
      <c r="Q28" s="494"/>
      <c r="R28" s="494"/>
      <c r="S28" s="467"/>
      <c r="T28" s="637"/>
      <c r="U28" s="260"/>
      <c r="V28" s="260"/>
      <c r="W28" s="260"/>
      <c r="X28" s="260"/>
      <c r="Y28" s="261"/>
      <c r="Z28" s="493"/>
      <c r="AA28" s="494"/>
      <c r="AB28" s="494"/>
      <c r="AC28" s="494"/>
      <c r="AD28" s="494"/>
      <c r="AE28" s="689"/>
      <c r="AF28" s="150"/>
      <c r="AG28" s="151"/>
      <c r="AH28" s="151"/>
      <c r="AI28" s="151"/>
      <c r="AJ28" s="151"/>
      <c r="AK28" s="151"/>
      <c r="AL28" s="153"/>
      <c r="AM28" s="245"/>
      <c r="AN28" s="245"/>
      <c r="AO28" s="245"/>
      <c r="AP28" s="245"/>
      <c r="AQ28" s="526"/>
      <c r="AR28" s="707" t="s">
        <v>25</v>
      </c>
      <c r="AS28" s="708"/>
      <c r="AT28" s="142" t="s">
        <v>271</v>
      </c>
      <c r="AU28" s="142"/>
      <c r="AV28" s="142"/>
      <c r="AW28" s="142"/>
      <c r="AX28" s="142"/>
      <c r="AY28" s="142"/>
      <c r="AZ28" s="142"/>
      <c r="BA28" s="142"/>
      <c r="BB28" s="142"/>
      <c r="BC28" s="166"/>
      <c r="BD28" s="259"/>
      <c r="BE28" s="260"/>
      <c r="BF28" s="260"/>
      <c r="BG28" s="260"/>
      <c r="BH28" s="260"/>
      <c r="BI28" s="261"/>
      <c r="BJ28" s="637"/>
      <c r="BK28" s="260"/>
      <c r="BL28" s="260"/>
      <c r="BM28" s="260"/>
      <c r="BN28" s="260"/>
      <c r="BO28" s="261"/>
      <c r="BP28" s="153"/>
      <c r="BQ28" s="245"/>
      <c r="BR28" s="245"/>
      <c r="BS28" s="245"/>
      <c r="BT28" s="245"/>
      <c r="BU28" s="526"/>
      <c r="BV28" s="634"/>
      <c r="BW28" s="635"/>
      <c r="BX28" s="635"/>
      <c r="BY28" s="635"/>
      <c r="BZ28" s="635"/>
      <c r="CA28" s="636"/>
      <c r="CB28" s="637"/>
      <c r="CC28" s="260"/>
      <c r="CD28" s="260"/>
      <c r="CE28" s="260"/>
      <c r="CF28" s="260"/>
      <c r="CG28" s="394"/>
      <c r="CH28" s="100"/>
    </row>
    <row r="29" spans="1:119" ht="9.75" customHeight="1">
      <c r="A29" s="49">
        <v>26</v>
      </c>
      <c r="B29" s="312"/>
      <c r="C29" s="313"/>
      <c r="D29" s="142" t="s">
        <v>199</v>
      </c>
      <c r="E29" s="142"/>
      <c r="F29" s="142"/>
      <c r="G29" s="142"/>
      <c r="H29" s="142"/>
      <c r="I29" s="142"/>
      <c r="J29" s="142"/>
      <c r="K29" s="142"/>
      <c r="L29" s="142"/>
      <c r="M29" s="166"/>
      <c r="N29" s="667"/>
      <c r="O29" s="494"/>
      <c r="P29" s="494"/>
      <c r="Q29" s="494"/>
      <c r="R29" s="494"/>
      <c r="S29" s="467"/>
      <c r="T29" s="637"/>
      <c r="U29" s="260"/>
      <c r="V29" s="260"/>
      <c r="W29" s="260"/>
      <c r="X29" s="260"/>
      <c r="Y29" s="261"/>
      <c r="Z29" s="493"/>
      <c r="AA29" s="494"/>
      <c r="AB29" s="494"/>
      <c r="AC29" s="494"/>
      <c r="AD29" s="494"/>
      <c r="AE29" s="689"/>
      <c r="AF29" s="150"/>
      <c r="AG29" s="151"/>
      <c r="AH29" s="151"/>
      <c r="AI29" s="151"/>
      <c r="AJ29" s="151"/>
      <c r="AK29" s="151"/>
      <c r="AL29" s="153"/>
      <c r="AM29" s="245"/>
      <c r="AN29" s="245"/>
      <c r="AO29" s="245"/>
      <c r="AP29" s="245"/>
      <c r="AQ29" s="526"/>
      <c r="AR29" s="707"/>
      <c r="AS29" s="708"/>
      <c r="AT29" s="142" t="s">
        <v>108</v>
      </c>
      <c r="AU29" s="142"/>
      <c r="AV29" s="142"/>
      <c r="AW29" s="142"/>
      <c r="AX29" s="142"/>
      <c r="AY29" s="142"/>
      <c r="AZ29" s="142"/>
      <c r="BA29" s="142"/>
      <c r="BB29" s="142"/>
      <c r="BC29" s="166"/>
      <c r="BD29" s="667"/>
      <c r="BE29" s="494"/>
      <c r="BF29" s="494"/>
      <c r="BG29" s="494"/>
      <c r="BH29" s="494"/>
      <c r="BI29" s="467"/>
      <c r="BJ29" s="637"/>
      <c r="BK29" s="260"/>
      <c r="BL29" s="260"/>
      <c r="BM29" s="260"/>
      <c r="BN29" s="260"/>
      <c r="BO29" s="261"/>
      <c r="BP29" s="153"/>
      <c r="BQ29" s="245"/>
      <c r="BR29" s="245"/>
      <c r="BS29" s="245"/>
      <c r="BT29" s="245"/>
      <c r="BU29" s="526"/>
      <c r="BV29" s="634"/>
      <c r="BW29" s="635"/>
      <c r="BX29" s="635"/>
      <c r="BY29" s="635"/>
      <c r="BZ29" s="635"/>
      <c r="CA29" s="636"/>
      <c r="CB29" s="637"/>
      <c r="CC29" s="260"/>
      <c r="CD29" s="260"/>
      <c r="CE29" s="260"/>
      <c r="CF29" s="260"/>
      <c r="CG29" s="394"/>
      <c r="CH29" s="100"/>
    </row>
    <row r="30" spans="1:119" ht="9.75" customHeight="1">
      <c r="A30" s="49">
        <v>27</v>
      </c>
      <c r="B30" s="312"/>
      <c r="C30" s="313"/>
      <c r="D30" s="142" t="s">
        <v>198</v>
      </c>
      <c r="E30" s="142"/>
      <c r="F30" s="142"/>
      <c r="G30" s="142"/>
      <c r="H30" s="142"/>
      <c r="I30" s="142"/>
      <c r="J30" s="142"/>
      <c r="K30" s="142"/>
      <c r="L30" s="142"/>
      <c r="M30" s="166"/>
      <c r="N30" s="667"/>
      <c r="O30" s="494"/>
      <c r="P30" s="494"/>
      <c r="Q30" s="494"/>
      <c r="R30" s="494"/>
      <c r="S30" s="467"/>
      <c r="T30" s="637"/>
      <c r="U30" s="260"/>
      <c r="V30" s="260"/>
      <c r="W30" s="260"/>
      <c r="X30" s="260"/>
      <c r="Y30" s="261"/>
      <c r="Z30" s="493"/>
      <c r="AA30" s="494"/>
      <c r="AB30" s="494"/>
      <c r="AC30" s="494"/>
      <c r="AD30" s="494"/>
      <c r="AE30" s="689"/>
      <c r="AF30" s="150"/>
      <c r="AG30" s="151"/>
      <c r="AH30" s="151"/>
      <c r="AI30" s="151"/>
      <c r="AJ30" s="151"/>
      <c r="AK30" s="151"/>
      <c r="AL30" s="153"/>
      <c r="AM30" s="245"/>
      <c r="AN30" s="245"/>
      <c r="AO30" s="245"/>
      <c r="AP30" s="245"/>
      <c r="AQ30" s="526"/>
      <c r="AR30" s="707"/>
      <c r="AS30" s="708"/>
      <c r="AT30" s="184" t="s">
        <v>5</v>
      </c>
      <c r="AU30" s="184"/>
      <c r="AV30" s="184"/>
      <c r="AW30" s="142"/>
      <c r="AX30" s="142"/>
      <c r="AY30" s="142"/>
      <c r="AZ30" s="142"/>
      <c r="BA30" s="142"/>
      <c r="BB30" s="142"/>
      <c r="BC30" s="166"/>
      <c r="BD30" s="667"/>
      <c r="BE30" s="494"/>
      <c r="BF30" s="494"/>
      <c r="BG30" s="494"/>
      <c r="BH30" s="494"/>
      <c r="BI30" s="467"/>
      <c r="BJ30" s="153"/>
      <c r="BK30" s="245"/>
      <c r="BL30" s="245"/>
      <c r="BM30" s="245"/>
      <c r="BN30" s="245"/>
      <c r="BO30" s="246"/>
      <c r="BP30" s="153"/>
      <c r="BQ30" s="245"/>
      <c r="BR30" s="245"/>
      <c r="BS30" s="245"/>
      <c r="BT30" s="245"/>
      <c r="BU30" s="526"/>
      <c r="BV30" s="634"/>
      <c r="BW30" s="635"/>
      <c r="BX30" s="635"/>
      <c r="BY30" s="635"/>
      <c r="BZ30" s="635"/>
      <c r="CA30" s="636"/>
      <c r="CB30" s="637"/>
      <c r="CC30" s="260"/>
      <c r="CD30" s="260"/>
      <c r="CE30" s="260"/>
      <c r="CF30" s="260"/>
      <c r="CG30" s="394"/>
      <c r="CH30" s="100"/>
      <c r="CL30" s="417"/>
      <c r="CM30" s="416"/>
      <c r="CN30" s="416"/>
      <c r="CO30" s="416"/>
      <c r="CP30" s="416"/>
      <c r="CQ30" s="416"/>
      <c r="CR30" s="416"/>
      <c r="CS30" s="416"/>
      <c r="CT30" s="416"/>
      <c r="CU30" s="416"/>
      <c r="CV30" s="416"/>
      <c r="CW30" s="416"/>
      <c r="CX30" s="416"/>
      <c r="CY30" s="416"/>
      <c r="CZ30" s="416"/>
      <c r="DA30" s="416"/>
      <c r="DB30" s="416"/>
      <c r="DC30" s="416"/>
      <c r="DD30" s="416"/>
      <c r="DE30" s="416"/>
      <c r="DF30" s="416"/>
      <c r="DG30" s="416"/>
      <c r="DH30" s="416"/>
      <c r="DI30" s="416"/>
      <c r="DJ30" s="416"/>
      <c r="DK30" s="416"/>
      <c r="DL30" s="416"/>
      <c r="DM30" s="416"/>
      <c r="DN30" s="416"/>
      <c r="DO30" s="416"/>
    </row>
    <row r="31" spans="1:119" ht="9.75" customHeight="1">
      <c r="A31" s="49">
        <v>28</v>
      </c>
      <c r="B31" s="312"/>
      <c r="C31" s="313"/>
      <c r="D31" s="142" t="s">
        <v>108</v>
      </c>
      <c r="E31" s="142"/>
      <c r="F31" s="142"/>
      <c r="G31" s="142"/>
      <c r="H31" s="142"/>
      <c r="I31" s="142"/>
      <c r="J31" s="142"/>
      <c r="K31" s="142"/>
      <c r="L31" s="142"/>
      <c r="M31" s="166"/>
      <c r="N31" s="667"/>
      <c r="O31" s="494"/>
      <c r="P31" s="494"/>
      <c r="Q31" s="494"/>
      <c r="R31" s="494"/>
      <c r="S31" s="467"/>
      <c r="T31" s="637"/>
      <c r="U31" s="260"/>
      <c r="V31" s="260"/>
      <c r="W31" s="260"/>
      <c r="X31" s="260"/>
      <c r="Y31" s="261"/>
      <c r="Z31" s="493"/>
      <c r="AA31" s="494"/>
      <c r="AB31" s="494"/>
      <c r="AC31" s="494"/>
      <c r="AD31" s="494"/>
      <c r="AE31" s="689"/>
      <c r="AF31" s="150"/>
      <c r="AG31" s="151"/>
      <c r="AH31" s="151"/>
      <c r="AI31" s="151"/>
      <c r="AJ31" s="151"/>
      <c r="AK31" s="151"/>
      <c r="AL31" s="153"/>
      <c r="AM31" s="245"/>
      <c r="AN31" s="245"/>
      <c r="AO31" s="245"/>
      <c r="AP31" s="245"/>
      <c r="AQ31" s="526"/>
      <c r="AR31" s="707"/>
      <c r="AS31" s="708"/>
      <c r="AT31" s="43"/>
      <c r="AU31" s="44"/>
      <c r="AV31" s="45"/>
      <c r="AW31" s="142" t="s">
        <v>259</v>
      </c>
      <c r="AX31" s="142"/>
      <c r="AY31" s="142"/>
      <c r="AZ31" s="142"/>
      <c r="BA31" s="142"/>
      <c r="BB31" s="142"/>
      <c r="BC31" s="166"/>
      <c r="BD31" s="667"/>
      <c r="BE31" s="494"/>
      <c r="BF31" s="494"/>
      <c r="BG31" s="494"/>
      <c r="BH31" s="494"/>
      <c r="BI31" s="467"/>
      <c r="BJ31" s="637"/>
      <c r="BK31" s="260"/>
      <c r="BL31" s="260"/>
      <c r="BM31" s="260"/>
      <c r="BN31" s="260"/>
      <c r="BO31" s="261"/>
      <c r="BP31" s="153"/>
      <c r="BQ31" s="245"/>
      <c r="BR31" s="245"/>
      <c r="BS31" s="245"/>
      <c r="BT31" s="245"/>
      <c r="BU31" s="526"/>
      <c r="BV31" s="634"/>
      <c r="BW31" s="635"/>
      <c r="BX31" s="635"/>
      <c r="BY31" s="635"/>
      <c r="BZ31" s="635"/>
      <c r="CA31" s="636"/>
      <c r="CB31" s="637"/>
      <c r="CC31" s="260"/>
      <c r="CD31" s="260"/>
      <c r="CE31" s="260"/>
      <c r="CF31" s="260"/>
      <c r="CG31" s="394"/>
      <c r="CH31" s="100"/>
      <c r="CL31" s="416"/>
      <c r="CM31" s="416"/>
      <c r="CN31" s="416"/>
      <c r="CO31" s="416"/>
      <c r="CP31" s="416"/>
      <c r="CQ31" s="416"/>
      <c r="CR31" s="416"/>
      <c r="CS31" s="416"/>
      <c r="CT31" s="416"/>
      <c r="CU31" s="416"/>
      <c r="CV31" s="416"/>
      <c r="CW31" s="416"/>
      <c r="CX31" s="416"/>
      <c r="CY31" s="416"/>
      <c r="CZ31" s="416"/>
      <c r="DA31" s="416"/>
      <c r="DB31" s="416"/>
      <c r="DC31" s="416"/>
      <c r="DD31" s="413"/>
      <c r="DE31" s="413"/>
      <c r="DF31" s="413"/>
      <c r="DG31" s="413"/>
      <c r="DH31" s="413"/>
      <c r="DI31" s="413"/>
      <c r="DJ31" s="413"/>
      <c r="DK31" s="413"/>
      <c r="DL31" s="413"/>
      <c r="DM31" s="413"/>
      <c r="DN31" s="413"/>
      <c r="DO31" s="413"/>
    </row>
    <row r="32" spans="1:119" ht="9.75" customHeight="1">
      <c r="A32" s="49">
        <v>29</v>
      </c>
      <c r="B32" s="312"/>
      <c r="C32" s="313"/>
      <c r="D32" s="142" t="s">
        <v>5</v>
      </c>
      <c r="E32" s="142"/>
      <c r="F32" s="142"/>
      <c r="G32" s="142"/>
      <c r="H32" s="142"/>
      <c r="I32" s="142"/>
      <c r="J32" s="142"/>
      <c r="K32" s="142"/>
      <c r="L32" s="142"/>
      <c r="M32" s="166"/>
      <c r="N32" s="667"/>
      <c r="O32" s="494"/>
      <c r="P32" s="494"/>
      <c r="Q32" s="494"/>
      <c r="R32" s="494"/>
      <c r="S32" s="467"/>
      <c r="T32" s="153"/>
      <c r="U32" s="245"/>
      <c r="V32" s="245"/>
      <c r="W32" s="245"/>
      <c r="X32" s="245"/>
      <c r="Y32" s="246"/>
      <c r="Z32" s="493"/>
      <c r="AA32" s="494"/>
      <c r="AB32" s="494"/>
      <c r="AC32" s="494"/>
      <c r="AD32" s="494"/>
      <c r="AE32" s="689"/>
      <c r="AF32" s="150"/>
      <c r="AG32" s="151"/>
      <c r="AH32" s="151"/>
      <c r="AI32" s="151"/>
      <c r="AJ32" s="151"/>
      <c r="AK32" s="151"/>
      <c r="AL32" s="153"/>
      <c r="AM32" s="245"/>
      <c r="AN32" s="245"/>
      <c r="AO32" s="245"/>
      <c r="AP32" s="245"/>
      <c r="AQ32" s="526"/>
      <c r="AR32" s="312" t="s">
        <v>23</v>
      </c>
      <c r="AS32" s="313"/>
      <c r="AT32" s="142" t="s">
        <v>197</v>
      </c>
      <c r="AU32" s="142"/>
      <c r="AV32" s="142"/>
      <c r="AW32" s="142"/>
      <c r="AX32" s="142"/>
      <c r="AY32" s="142"/>
      <c r="AZ32" s="142"/>
      <c r="BA32" s="142"/>
      <c r="BB32" s="142"/>
      <c r="BC32" s="166"/>
      <c r="BD32" s="259"/>
      <c r="BE32" s="260"/>
      <c r="BF32" s="260"/>
      <c r="BG32" s="260"/>
      <c r="BH32" s="260"/>
      <c r="BI32" s="261"/>
      <c r="BJ32" s="637"/>
      <c r="BK32" s="260"/>
      <c r="BL32" s="260"/>
      <c r="BM32" s="260"/>
      <c r="BN32" s="260"/>
      <c r="BO32" s="261"/>
      <c r="BP32" s="153"/>
      <c r="BQ32" s="245"/>
      <c r="BR32" s="245"/>
      <c r="BS32" s="245"/>
      <c r="BT32" s="245"/>
      <c r="BU32" s="526"/>
      <c r="BV32" s="634"/>
      <c r="BW32" s="635"/>
      <c r="BX32" s="635"/>
      <c r="BY32" s="635"/>
      <c r="BZ32" s="635"/>
      <c r="CA32" s="636"/>
      <c r="CB32" s="637"/>
      <c r="CC32" s="260"/>
      <c r="CD32" s="260"/>
      <c r="CE32" s="260"/>
      <c r="CF32" s="260"/>
      <c r="CG32" s="394"/>
      <c r="CH32" s="100"/>
      <c r="CL32" s="702"/>
      <c r="CM32" s="702"/>
      <c r="CN32" s="415"/>
      <c r="CO32" s="415"/>
      <c r="CP32" s="415"/>
      <c r="CQ32" s="415"/>
      <c r="CR32" s="415"/>
      <c r="CS32" s="415"/>
      <c r="CT32" s="415"/>
      <c r="CU32" s="415"/>
      <c r="CV32" s="415"/>
      <c r="CW32" s="415"/>
      <c r="CX32" s="606"/>
      <c r="CY32" s="606"/>
      <c r="CZ32" s="606"/>
      <c r="DA32" s="606"/>
      <c r="DB32" s="606"/>
      <c r="DC32" s="606"/>
      <c r="DD32" s="414"/>
      <c r="DE32" s="414"/>
      <c r="DF32" s="414"/>
      <c r="DG32" s="414"/>
      <c r="DH32" s="414"/>
      <c r="DI32" s="414"/>
      <c r="DJ32" s="420"/>
      <c r="DK32" s="420"/>
      <c r="DL32" s="420"/>
      <c r="DM32" s="420"/>
      <c r="DN32" s="420"/>
      <c r="DO32" s="420"/>
    </row>
    <row r="33" spans="1:119" ht="9.75" customHeight="1">
      <c r="A33" s="49">
        <v>30</v>
      </c>
      <c r="B33" s="312" t="s">
        <v>195</v>
      </c>
      <c r="C33" s="313"/>
      <c r="D33" s="694" t="s">
        <v>194</v>
      </c>
      <c r="E33" s="694"/>
      <c r="F33" s="694"/>
      <c r="G33" s="142" t="s">
        <v>193</v>
      </c>
      <c r="H33" s="142"/>
      <c r="I33" s="142"/>
      <c r="J33" s="142"/>
      <c r="K33" s="142"/>
      <c r="L33" s="142"/>
      <c r="M33" s="166"/>
      <c r="N33" s="259"/>
      <c r="O33" s="260"/>
      <c r="P33" s="260"/>
      <c r="Q33" s="260"/>
      <c r="R33" s="260"/>
      <c r="S33" s="261"/>
      <c r="T33" s="637"/>
      <c r="U33" s="260"/>
      <c r="V33" s="260"/>
      <c r="W33" s="260"/>
      <c r="X33" s="260"/>
      <c r="Y33" s="261"/>
      <c r="Z33" s="153"/>
      <c r="AA33" s="245"/>
      <c r="AB33" s="245"/>
      <c r="AC33" s="245"/>
      <c r="AD33" s="245"/>
      <c r="AE33" s="269"/>
      <c r="AF33" s="161"/>
      <c r="AG33" s="152"/>
      <c r="AH33" s="152"/>
      <c r="AI33" s="152"/>
      <c r="AJ33" s="152"/>
      <c r="AK33" s="152"/>
      <c r="AL33" s="153"/>
      <c r="AM33" s="245"/>
      <c r="AN33" s="245"/>
      <c r="AO33" s="245"/>
      <c r="AP33" s="245"/>
      <c r="AQ33" s="526"/>
      <c r="AR33" s="312"/>
      <c r="AS33" s="313"/>
      <c r="AT33" s="142" t="s">
        <v>196</v>
      </c>
      <c r="AU33" s="142"/>
      <c r="AV33" s="142"/>
      <c r="AW33" s="142"/>
      <c r="AX33" s="142"/>
      <c r="AY33" s="142"/>
      <c r="AZ33" s="142"/>
      <c r="BA33" s="142"/>
      <c r="BB33" s="142"/>
      <c r="BC33" s="166"/>
      <c r="BD33" s="259"/>
      <c r="BE33" s="260"/>
      <c r="BF33" s="260"/>
      <c r="BG33" s="260"/>
      <c r="BH33" s="260"/>
      <c r="BI33" s="261"/>
      <c r="BJ33" s="637"/>
      <c r="BK33" s="260"/>
      <c r="BL33" s="260"/>
      <c r="BM33" s="260"/>
      <c r="BN33" s="260"/>
      <c r="BO33" s="261"/>
      <c r="BP33" s="153"/>
      <c r="BQ33" s="245"/>
      <c r="BR33" s="245"/>
      <c r="BS33" s="245"/>
      <c r="BT33" s="245"/>
      <c r="BU33" s="526"/>
      <c r="BV33" s="634"/>
      <c r="BW33" s="635"/>
      <c r="BX33" s="635"/>
      <c r="BY33" s="635"/>
      <c r="BZ33" s="635"/>
      <c r="CA33" s="636"/>
      <c r="CB33" s="637"/>
      <c r="CC33" s="260"/>
      <c r="CD33" s="260"/>
      <c r="CE33" s="260"/>
      <c r="CF33" s="260"/>
      <c r="CG33" s="394"/>
      <c r="CH33" s="100"/>
      <c r="CL33" s="702"/>
      <c r="CM33" s="702"/>
      <c r="CN33" s="415"/>
      <c r="CO33" s="415"/>
      <c r="CP33" s="415"/>
      <c r="CQ33" s="415"/>
      <c r="CR33" s="415"/>
      <c r="CS33" s="415"/>
      <c r="CT33" s="415"/>
      <c r="CU33" s="415"/>
      <c r="CV33" s="415"/>
      <c r="CW33" s="415"/>
      <c r="CX33" s="606"/>
      <c r="CY33" s="606"/>
      <c r="CZ33" s="606"/>
      <c r="DA33" s="606"/>
      <c r="DB33" s="606"/>
      <c r="DC33" s="606"/>
      <c r="DD33" s="414"/>
      <c r="DE33" s="414"/>
      <c r="DF33" s="414"/>
      <c r="DG33" s="414"/>
      <c r="DH33" s="414"/>
      <c r="DI33" s="414"/>
      <c r="DJ33" s="420"/>
      <c r="DK33" s="420"/>
      <c r="DL33" s="420"/>
      <c r="DM33" s="420"/>
      <c r="DN33" s="420"/>
      <c r="DO33" s="420"/>
    </row>
    <row r="34" spans="1:119" ht="9.75" customHeight="1">
      <c r="A34" s="49">
        <v>31</v>
      </c>
      <c r="B34" s="312"/>
      <c r="C34" s="313"/>
      <c r="D34" s="694"/>
      <c r="E34" s="694"/>
      <c r="F34" s="694"/>
      <c r="G34" s="142" t="s">
        <v>191</v>
      </c>
      <c r="H34" s="142"/>
      <c r="I34" s="142"/>
      <c r="J34" s="142"/>
      <c r="K34" s="142"/>
      <c r="L34" s="142"/>
      <c r="M34" s="166"/>
      <c r="N34" s="259"/>
      <c r="O34" s="260"/>
      <c r="P34" s="260"/>
      <c r="Q34" s="260"/>
      <c r="R34" s="260"/>
      <c r="S34" s="261"/>
      <c r="T34" s="637"/>
      <c r="U34" s="260"/>
      <c r="V34" s="260"/>
      <c r="W34" s="260"/>
      <c r="X34" s="260"/>
      <c r="Y34" s="261"/>
      <c r="Z34" s="153"/>
      <c r="AA34" s="245"/>
      <c r="AB34" s="245"/>
      <c r="AC34" s="245"/>
      <c r="AD34" s="245"/>
      <c r="AE34" s="269"/>
      <c r="AF34" s="161"/>
      <c r="AG34" s="152"/>
      <c r="AH34" s="152"/>
      <c r="AI34" s="152"/>
      <c r="AJ34" s="152"/>
      <c r="AK34" s="152"/>
      <c r="AL34" s="153"/>
      <c r="AM34" s="245"/>
      <c r="AN34" s="245"/>
      <c r="AO34" s="245"/>
      <c r="AP34" s="245"/>
      <c r="AQ34" s="526"/>
      <c r="AR34" s="312"/>
      <c r="AS34" s="313"/>
      <c r="AT34" s="142" t="s">
        <v>192</v>
      </c>
      <c r="AU34" s="142"/>
      <c r="AV34" s="142"/>
      <c r="AW34" s="142"/>
      <c r="AX34" s="142"/>
      <c r="AY34" s="142"/>
      <c r="AZ34" s="142"/>
      <c r="BA34" s="142"/>
      <c r="BB34" s="142"/>
      <c r="BC34" s="166"/>
      <c r="BD34" s="259"/>
      <c r="BE34" s="260"/>
      <c r="BF34" s="260"/>
      <c r="BG34" s="260"/>
      <c r="BH34" s="260"/>
      <c r="BI34" s="261"/>
      <c r="BJ34" s="637"/>
      <c r="BK34" s="260"/>
      <c r="BL34" s="260"/>
      <c r="BM34" s="260"/>
      <c r="BN34" s="260"/>
      <c r="BO34" s="261"/>
      <c r="BP34" s="153"/>
      <c r="BQ34" s="245"/>
      <c r="BR34" s="245"/>
      <c r="BS34" s="245"/>
      <c r="BT34" s="245"/>
      <c r="BU34" s="526"/>
      <c r="BV34" s="634"/>
      <c r="BW34" s="635"/>
      <c r="BX34" s="635"/>
      <c r="BY34" s="635"/>
      <c r="BZ34" s="635"/>
      <c r="CA34" s="636"/>
      <c r="CB34" s="637"/>
      <c r="CC34" s="260"/>
      <c r="CD34" s="260"/>
      <c r="CE34" s="260"/>
      <c r="CF34" s="260"/>
      <c r="CG34" s="394"/>
      <c r="CH34" s="100"/>
      <c r="CL34" s="702"/>
      <c r="CM34" s="702"/>
      <c r="CN34" s="415"/>
      <c r="CO34" s="415"/>
      <c r="CP34" s="415"/>
      <c r="CQ34" s="415"/>
      <c r="CR34" s="415"/>
      <c r="CS34" s="415"/>
      <c r="CT34" s="415"/>
      <c r="CU34" s="415"/>
      <c r="CV34" s="415"/>
      <c r="CW34" s="415"/>
      <c r="CX34" s="606"/>
      <c r="CY34" s="606"/>
      <c r="CZ34" s="606"/>
      <c r="DA34" s="606"/>
      <c r="DB34" s="606"/>
      <c r="DC34" s="606"/>
      <c r="DD34" s="414"/>
      <c r="DE34" s="414"/>
      <c r="DF34" s="414"/>
      <c r="DG34" s="414"/>
      <c r="DH34" s="414"/>
      <c r="DI34" s="414"/>
      <c r="DJ34" s="420"/>
      <c r="DK34" s="420"/>
      <c r="DL34" s="420"/>
      <c r="DM34" s="420"/>
      <c r="DN34" s="420"/>
      <c r="DO34" s="420"/>
    </row>
    <row r="35" spans="1:119" ht="9.75" customHeight="1">
      <c r="A35" s="49">
        <v>32</v>
      </c>
      <c r="B35" s="312"/>
      <c r="C35" s="313"/>
      <c r="D35" s="694"/>
      <c r="E35" s="694"/>
      <c r="F35" s="694"/>
      <c r="G35" s="142" t="s">
        <v>189</v>
      </c>
      <c r="H35" s="142"/>
      <c r="I35" s="142"/>
      <c r="J35" s="142"/>
      <c r="K35" s="142"/>
      <c r="L35" s="142"/>
      <c r="M35" s="166"/>
      <c r="N35" s="259"/>
      <c r="O35" s="260"/>
      <c r="P35" s="260"/>
      <c r="Q35" s="260"/>
      <c r="R35" s="260"/>
      <c r="S35" s="261"/>
      <c r="T35" s="637"/>
      <c r="U35" s="260"/>
      <c r="V35" s="260"/>
      <c r="W35" s="260"/>
      <c r="X35" s="260"/>
      <c r="Y35" s="261"/>
      <c r="Z35" s="153"/>
      <c r="AA35" s="245"/>
      <c r="AB35" s="245"/>
      <c r="AC35" s="245"/>
      <c r="AD35" s="245"/>
      <c r="AE35" s="269"/>
      <c r="AF35" s="161"/>
      <c r="AG35" s="152"/>
      <c r="AH35" s="152"/>
      <c r="AI35" s="152"/>
      <c r="AJ35" s="152"/>
      <c r="AK35" s="152"/>
      <c r="AL35" s="153"/>
      <c r="AM35" s="245"/>
      <c r="AN35" s="245"/>
      <c r="AO35" s="245"/>
      <c r="AP35" s="245"/>
      <c r="AQ35" s="526"/>
      <c r="AR35" s="312"/>
      <c r="AS35" s="313"/>
      <c r="AT35" s="693" t="s">
        <v>264</v>
      </c>
      <c r="AU35" s="693"/>
      <c r="AV35" s="693"/>
      <c r="AW35" s="142" t="s">
        <v>190</v>
      </c>
      <c r="AX35" s="142"/>
      <c r="AY35" s="142"/>
      <c r="AZ35" s="142"/>
      <c r="BA35" s="142"/>
      <c r="BB35" s="142"/>
      <c r="BC35" s="166"/>
      <c r="BD35" s="259"/>
      <c r="BE35" s="260"/>
      <c r="BF35" s="260"/>
      <c r="BG35" s="260"/>
      <c r="BH35" s="260"/>
      <c r="BI35" s="261"/>
      <c r="BJ35" s="637"/>
      <c r="BK35" s="260"/>
      <c r="BL35" s="260"/>
      <c r="BM35" s="260"/>
      <c r="BN35" s="260"/>
      <c r="BO35" s="261"/>
      <c r="BP35" s="153"/>
      <c r="BQ35" s="245"/>
      <c r="BR35" s="245"/>
      <c r="BS35" s="245"/>
      <c r="BT35" s="245"/>
      <c r="BU35" s="526"/>
      <c r="BV35" s="634"/>
      <c r="BW35" s="635"/>
      <c r="BX35" s="635"/>
      <c r="BY35" s="635"/>
      <c r="BZ35" s="635"/>
      <c r="CA35" s="636"/>
      <c r="CB35" s="637"/>
      <c r="CC35" s="260"/>
      <c r="CD35" s="260"/>
      <c r="CE35" s="260"/>
      <c r="CF35" s="260"/>
      <c r="CG35" s="394"/>
      <c r="CH35" s="100"/>
      <c r="CL35" s="702"/>
      <c r="CM35" s="702"/>
      <c r="CN35" s="415"/>
      <c r="CO35" s="415"/>
      <c r="CP35" s="415"/>
      <c r="CQ35" s="415"/>
      <c r="CR35" s="415"/>
      <c r="CS35" s="415"/>
      <c r="CT35" s="415"/>
      <c r="CU35" s="415"/>
      <c r="CV35" s="415"/>
      <c r="CW35" s="415"/>
      <c r="CX35" s="606"/>
      <c r="CY35" s="606"/>
      <c r="CZ35" s="606"/>
      <c r="DA35" s="606"/>
      <c r="DB35" s="606"/>
      <c r="DC35" s="606"/>
      <c r="DD35" s="414"/>
      <c r="DE35" s="414"/>
      <c r="DF35" s="414"/>
      <c r="DG35" s="414"/>
      <c r="DH35" s="414"/>
      <c r="DI35" s="414"/>
      <c r="DJ35" s="420"/>
      <c r="DK35" s="420"/>
      <c r="DL35" s="420"/>
      <c r="DM35" s="420"/>
      <c r="DN35" s="420"/>
      <c r="DO35" s="420"/>
    </row>
    <row r="36" spans="1:119" ht="9.75" customHeight="1">
      <c r="A36" s="49">
        <v>33</v>
      </c>
      <c r="B36" s="312"/>
      <c r="C36" s="313"/>
      <c r="D36" s="694"/>
      <c r="E36" s="694"/>
      <c r="F36" s="694"/>
      <c r="G36" s="142" t="s">
        <v>260</v>
      </c>
      <c r="H36" s="142"/>
      <c r="I36" s="142"/>
      <c r="J36" s="142"/>
      <c r="K36" s="142"/>
      <c r="L36" s="142"/>
      <c r="M36" s="166"/>
      <c r="N36" s="259"/>
      <c r="O36" s="260"/>
      <c r="P36" s="260"/>
      <c r="Q36" s="260"/>
      <c r="R36" s="260"/>
      <c r="S36" s="261"/>
      <c r="T36" s="637"/>
      <c r="U36" s="260"/>
      <c r="V36" s="260"/>
      <c r="W36" s="260"/>
      <c r="X36" s="260"/>
      <c r="Y36" s="261"/>
      <c r="Z36" s="153"/>
      <c r="AA36" s="245"/>
      <c r="AB36" s="245"/>
      <c r="AC36" s="245"/>
      <c r="AD36" s="245"/>
      <c r="AE36" s="269"/>
      <c r="AF36" s="161"/>
      <c r="AG36" s="152"/>
      <c r="AH36" s="152"/>
      <c r="AI36" s="152"/>
      <c r="AJ36" s="152"/>
      <c r="AK36" s="152"/>
      <c r="AL36" s="153"/>
      <c r="AM36" s="245"/>
      <c r="AN36" s="245"/>
      <c r="AO36" s="245"/>
      <c r="AP36" s="245"/>
      <c r="AQ36" s="526"/>
      <c r="AR36" s="312"/>
      <c r="AS36" s="313"/>
      <c r="AT36" s="693"/>
      <c r="AU36" s="693"/>
      <c r="AV36" s="693"/>
      <c r="AW36" s="142" t="s">
        <v>188</v>
      </c>
      <c r="AX36" s="142"/>
      <c r="AY36" s="142"/>
      <c r="AZ36" s="142"/>
      <c r="BA36" s="142"/>
      <c r="BB36" s="142"/>
      <c r="BC36" s="166"/>
      <c r="BD36" s="259"/>
      <c r="BE36" s="260"/>
      <c r="BF36" s="260"/>
      <c r="BG36" s="260"/>
      <c r="BH36" s="260"/>
      <c r="BI36" s="261"/>
      <c r="BJ36" s="637"/>
      <c r="BK36" s="260"/>
      <c r="BL36" s="260"/>
      <c r="BM36" s="260"/>
      <c r="BN36" s="260"/>
      <c r="BO36" s="261"/>
      <c r="BP36" s="153"/>
      <c r="BQ36" s="245"/>
      <c r="BR36" s="245"/>
      <c r="BS36" s="245"/>
      <c r="BT36" s="245"/>
      <c r="BU36" s="526"/>
      <c r="BV36" s="634"/>
      <c r="BW36" s="635"/>
      <c r="BX36" s="635"/>
      <c r="BY36" s="635"/>
      <c r="BZ36" s="635"/>
      <c r="CA36" s="636"/>
      <c r="CB36" s="637"/>
      <c r="CC36" s="260"/>
      <c r="CD36" s="260"/>
      <c r="CE36" s="260"/>
      <c r="CF36" s="260"/>
      <c r="CG36" s="394"/>
      <c r="CH36" s="100"/>
      <c r="CL36" s="702"/>
      <c r="CM36" s="702"/>
      <c r="CN36" s="415"/>
      <c r="CO36" s="415"/>
      <c r="CP36" s="415"/>
      <c r="CQ36" s="415"/>
      <c r="CR36" s="415"/>
      <c r="CS36" s="415"/>
      <c r="CT36" s="415"/>
      <c r="CU36" s="415"/>
      <c r="CV36" s="415"/>
      <c r="CW36" s="415"/>
      <c r="CX36" s="606"/>
      <c r="CY36" s="606"/>
      <c r="CZ36" s="606"/>
      <c r="DA36" s="606"/>
      <c r="DB36" s="606"/>
      <c r="DC36" s="606"/>
      <c r="DD36" s="414"/>
      <c r="DE36" s="414"/>
      <c r="DF36" s="414"/>
      <c r="DG36" s="414"/>
      <c r="DH36" s="414"/>
      <c r="DI36" s="414"/>
      <c r="DJ36" s="420"/>
      <c r="DK36" s="420"/>
      <c r="DL36" s="420"/>
      <c r="DM36" s="420"/>
      <c r="DN36" s="420"/>
      <c r="DO36" s="420"/>
    </row>
    <row r="37" spans="1:119" ht="9.75" customHeight="1">
      <c r="A37" s="49">
        <v>34</v>
      </c>
      <c r="B37" s="312"/>
      <c r="C37" s="313"/>
      <c r="D37" s="694"/>
      <c r="E37" s="694"/>
      <c r="F37" s="694"/>
      <c r="G37" s="142" t="s">
        <v>186</v>
      </c>
      <c r="H37" s="142"/>
      <c r="I37" s="142"/>
      <c r="J37" s="142"/>
      <c r="K37" s="142"/>
      <c r="L37" s="142"/>
      <c r="M37" s="166"/>
      <c r="N37" s="259"/>
      <c r="O37" s="260"/>
      <c r="P37" s="260"/>
      <c r="Q37" s="260"/>
      <c r="R37" s="260"/>
      <c r="S37" s="261"/>
      <c r="T37" s="637"/>
      <c r="U37" s="260"/>
      <c r="V37" s="260"/>
      <c r="W37" s="260"/>
      <c r="X37" s="260"/>
      <c r="Y37" s="261"/>
      <c r="Z37" s="153"/>
      <c r="AA37" s="245"/>
      <c r="AB37" s="245"/>
      <c r="AC37" s="245"/>
      <c r="AD37" s="245"/>
      <c r="AE37" s="269"/>
      <c r="AF37" s="161"/>
      <c r="AG37" s="152"/>
      <c r="AH37" s="152"/>
      <c r="AI37" s="152"/>
      <c r="AJ37" s="152"/>
      <c r="AK37" s="152"/>
      <c r="AL37" s="153"/>
      <c r="AM37" s="245"/>
      <c r="AN37" s="245"/>
      <c r="AO37" s="245"/>
      <c r="AP37" s="245"/>
      <c r="AQ37" s="526"/>
      <c r="AR37" s="312"/>
      <c r="AS37" s="313"/>
      <c r="AT37" s="693"/>
      <c r="AU37" s="693"/>
      <c r="AV37" s="693"/>
      <c r="AW37" s="142" t="s">
        <v>187</v>
      </c>
      <c r="AX37" s="142"/>
      <c r="AY37" s="142"/>
      <c r="AZ37" s="142"/>
      <c r="BA37" s="142"/>
      <c r="BB37" s="142"/>
      <c r="BC37" s="166"/>
      <c r="BD37" s="259"/>
      <c r="BE37" s="260"/>
      <c r="BF37" s="260"/>
      <c r="BG37" s="260"/>
      <c r="BH37" s="260"/>
      <c r="BI37" s="261"/>
      <c r="BJ37" s="637"/>
      <c r="BK37" s="260"/>
      <c r="BL37" s="260"/>
      <c r="BM37" s="260"/>
      <c r="BN37" s="260"/>
      <c r="BO37" s="261"/>
      <c r="BP37" s="153"/>
      <c r="BQ37" s="245"/>
      <c r="BR37" s="245"/>
      <c r="BS37" s="245"/>
      <c r="BT37" s="245"/>
      <c r="BU37" s="526"/>
      <c r="BV37" s="634"/>
      <c r="BW37" s="635"/>
      <c r="BX37" s="635"/>
      <c r="BY37" s="635"/>
      <c r="BZ37" s="635"/>
      <c r="CA37" s="636"/>
      <c r="CB37" s="637"/>
      <c r="CC37" s="260"/>
      <c r="CD37" s="260"/>
      <c r="CE37" s="260"/>
      <c r="CF37" s="260"/>
      <c r="CG37" s="394"/>
      <c r="CH37" s="100"/>
      <c r="CL37" s="702"/>
      <c r="CM37" s="702"/>
      <c r="CN37" s="415"/>
      <c r="CO37" s="415"/>
      <c r="CP37" s="415"/>
      <c r="CQ37" s="415"/>
      <c r="CR37" s="415"/>
      <c r="CS37" s="415"/>
      <c r="CT37" s="415"/>
      <c r="CU37" s="415"/>
      <c r="CV37" s="415"/>
      <c r="CW37" s="415"/>
      <c r="CX37" s="606"/>
      <c r="CY37" s="606"/>
      <c r="CZ37" s="606"/>
      <c r="DA37" s="606"/>
      <c r="DB37" s="606"/>
      <c r="DC37" s="606"/>
      <c r="DD37" s="414"/>
      <c r="DE37" s="414"/>
      <c r="DF37" s="414"/>
      <c r="DG37" s="414"/>
      <c r="DH37" s="414"/>
      <c r="DI37" s="414"/>
      <c r="DJ37" s="420"/>
      <c r="DK37" s="420"/>
      <c r="DL37" s="420"/>
      <c r="DM37" s="420"/>
      <c r="DN37" s="420"/>
      <c r="DO37" s="420"/>
    </row>
    <row r="38" spans="1:119" ht="9.75" customHeight="1">
      <c r="A38" s="49">
        <v>35</v>
      </c>
      <c r="B38" s="312"/>
      <c r="C38" s="313"/>
      <c r="D38" s="694"/>
      <c r="E38" s="694"/>
      <c r="F38" s="694"/>
      <c r="G38" s="142" t="s">
        <v>184</v>
      </c>
      <c r="H38" s="142"/>
      <c r="I38" s="142"/>
      <c r="J38" s="142"/>
      <c r="K38" s="142"/>
      <c r="L38" s="142"/>
      <c r="M38" s="166"/>
      <c r="N38" s="259"/>
      <c r="O38" s="260"/>
      <c r="P38" s="260"/>
      <c r="Q38" s="260"/>
      <c r="R38" s="260"/>
      <c r="S38" s="261"/>
      <c r="T38" s="637"/>
      <c r="U38" s="260"/>
      <c r="V38" s="260"/>
      <c r="W38" s="260"/>
      <c r="X38" s="260"/>
      <c r="Y38" s="261"/>
      <c r="Z38" s="153"/>
      <c r="AA38" s="245"/>
      <c r="AB38" s="245"/>
      <c r="AC38" s="245"/>
      <c r="AD38" s="245"/>
      <c r="AE38" s="269"/>
      <c r="AF38" s="161"/>
      <c r="AG38" s="152"/>
      <c r="AH38" s="152"/>
      <c r="AI38" s="152"/>
      <c r="AJ38" s="152"/>
      <c r="AK38" s="152"/>
      <c r="AL38" s="153"/>
      <c r="AM38" s="245"/>
      <c r="AN38" s="245"/>
      <c r="AO38" s="245"/>
      <c r="AP38" s="245"/>
      <c r="AQ38" s="526"/>
      <c r="AR38" s="312"/>
      <c r="AS38" s="313"/>
      <c r="AT38" s="693" t="s">
        <v>185</v>
      </c>
      <c r="AU38" s="693"/>
      <c r="AV38" s="693"/>
      <c r="AW38" s="693"/>
      <c r="AX38" s="693"/>
      <c r="AY38" s="693"/>
      <c r="AZ38" s="693"/>
      <c r="BA38" s="693"/>
      <c r="BB38" s="693"/>
      <c r="BC38" s="705"/>
      <c r="BD38" s="259"/>
      <c r="BE38" s="260"/>
      <c r="BF38" s="260"/>
      <c r="BG38" s="260"/>
      <c r="BH38" s="260"/>
      <c r="BI38" s="261"/>
      <c r="BJ38" s="637"/>
      <c r="BK38" s="260"/>
      <c r="BL38" s="260"/>
      <c r="BM38" s="260"/>
      <c r="BN38" s="260"/>
      <c r="BO38" s="261"/>
      <c r="BP38" s="153"/>
      <c r="BQ38" s="245"/>
      <c r="BR38" s="245"/>
      <c r="BS38" s="245"/>
      <c r="BT38" s="245"/>
      <c r="BU38" s="526"/>
      <c r="BV38" s="634"/>
      <c r="BW38" s="635"/>
      <c r="BX38" s="635"/>
      <c r="BY38" s="635"/>
      <c r="BZ38" s="635"/>
      <c r="CA38" s="636"/>
      <c r="CB38" s="637"/>
      <c r="CC38" s="260"/>
      <c r="CD38" s="260"/>
      <c r="CE38" s="260"/>
      <c r="CF38" s="260"/>
      <c r="CG38" s="394"/>
      <c r="CH38" s="100"/>
      <c r="CL38" s="702"/>
      <c r="CM38" s="702"/>
      <c r="CN38" s="415"/>
      <c r="CO38" s="415"/>
      <c r="CP38" s="415"/>
      <c r="CQ38" s="415"/>
      <c r="CR38" s="415"/>
      <c r="CS38" s="415"/>
      <c r="CT38" s="415"/>
      <c r="CU38" s="415"/>
      <c r="CV38" s="415"/>
      <c r="CW38" s="415"/>
      <c r="CX38" s="606"/>
      <c r="CY38" s="606"/>
      <c r="CZ38" s="606"/>
      <c r="DA38" s="606"/>
      <c r="DB38" s="606"/>
      <c r="DC38" s="606"/>
      <c r="DD38" s="414"/>
      <c r="DE38" s="414"/>
      <c r="DF38" s="414"/>
      <c r="DG38" s="414"/>
      <c r="DH38" s="414"/>
      <c r="DI38" s="414"/>
      <c r="DJ38" s="420"/>
      <c r="DK38" s="420"/>
      <c r="DL38" s="420"/>
      <c r="DM38" s="420"/>
      <c r="DN38" s="420"/>
      <c r="DO38" s="420"/>
    </row>
    <row r="39" spans="1:119" ht="9.75" customHeight="1">
      <c r="A39" s="49">
        <v>36</v>
      </c>
      <c r="B39" s="312"/>
      <c r="C39" s="313"/>
      <c r="D39" s="142" t="s">
        <v>183</v>
      </c>
      <c r="E39" s="142"/>
      <c r="F39" s="142"/>
      <c r="G39" s="142"/>
      <c r="H39" s="142"/>
      <c r="I39" s="142"/>
      <c r="J39" s="142"/>
      <c r="K39" s="142"/>
      <c r="L39" s="142"/>
      <c r="M39" s="166"/>
      <c r="N39" s="667"/>
      <c r="O39" s="494"/>
      <c r="P39" s="494"/>
      <c r="Q39" s="494"/>
      <c r="R39" s="494"/>
      <c r="S39" s="467"/>
      <c r="T39" s="637"/>
      <c r="U39" s="260"/>
      <c r="V39" s="260"/>
      <c r="W39" s="260"/>
      <c r="X39" s="260"/>
      <c r="Y39" s="261"/>
      <c r="Z39" s="493"/>
      <c r="AA39" s="494"/>
      <c r="AB39" s="494"/>
      <c r="AC39" s="494"/>
      <c r="AD39" s="494"/>
      <c r="AE39" s="689"/>
      <c r="AF39" s="150"/>
      <c r="AG39" s="151"/>
      <c r="AH39" s="151"/>
      <c r="AI39" s="151"/>
      <c r="AJ39" s="151"/>
      <c r="AK39" s="151"/>
      <c r="AL39" s="153"/>
      <c r="AM39" s="245"/>
      <c r="AN39" s="245"/>
      <c r="AO39" s="245"/>
      <c r="AP39" s="245"/>
      <c r="AQ39" s="526"/>
      <c r="AR39" s="312"/>
      <c r="AS39" s="313"/>
      <c r="AT39" s="142" t="s">
        <v>182</v>
      </c>
      <c r="AU39" s="142"/>
      <c r="AV39" s="142"/>
      <c r="AW39" s="142"/>
      <c r="AX39" s="142"/>
      <c r="AY39" s="142"/>
      <c r="AZ39" s="142"/>
      <c r="BA39" s="142"/>
      <c r="BB39" s="142"/>
      <c r="BC39" s="166"/>
      <c r="BD39" s="259"/>
      <c r="BE39" s="260"/>
      <c r="BF39" s="260"/>
      <c r="BG39" s="260"/>
      <c r="BH39" s="260"/>
      <c r="BI39" s="261"/>
      <c r="BJ39" s="637"/>
      <c r="BK39" s="260"/>
      <c r="BL39" s="260"/>
      <c r="BM39" s="260"/>
      <c r="BN39" s="260"/>
      <c r="BO39" s="261"/>
      <c r="BP39" s="153"/>
      <c r="BQ39" s="245"/>
      <c r="BR39" s="245"/>
      <c r="BS39" s="245"/>
      <c r="BT39" s="245"/>
      <c r="BU39" s="526"/>
      <c r="BV39" s="634"/>
      <c r="BW39" s="635"/>
      <c r="BX39" s="635"/>
      <c r="BY39" s="635"/>
      <c r="BZ39" s="635"/>
      <c r="CA39" s="636"/>
      <c r="CB39" s="637"/>
      <c r="CC39" s="260"/>
      <c r="CD39" s="260"/>
      <c r="CE39" s="260"/>
      <c r="CF39" s="260"/>
      <c r="CG39" s="394"/>
      <c r="CH39" s="100"/>
      <c r="CL39" s="702"/>
      <c r="CM39" s="702"/>
      <c r="CN39" s="415"/>
      <c r="CO39" s="415"/>
      <c r="CP39" s="415"/>
      <c r="CQ39" s="415"/>
      <c r="CR39" s="415"/>
      <c r="CS39" s="415"/>
      <c r="CT39" s="415"/>
      <c r="CU39" s="415"/>
      <c r="CV39" s="415"/>
      <c r="CW39" s="415"/>
      <c r="CX39" s="606"/>
      <c r="CY39" s="606"/>
      <c r="CZ39" s="606"/>
      <c r="DA39" s="606"/>
      <c r="DB39" s="606"/>
      <c r="DC39" s="606"/>
      <c r="DD39" s="414"/>
      <c r="DE39" s="414"/>
      <c r="DF39" s="414"/>
      <c r="DG39" s="414"/>
      <c r="DH39" s="414"/>
      <c r="DI39" s="414"/>
      <c r="DJ39" s="420"/>
      <c r="DK39" s="420"/>
      <c r="DL39" s="420"/>
      <c r="DM39" s="420"/>
      <c r="DN39" s="420"/>
      <c r="DO39" s="420"/>
    </row>
    <row r="40" spans="1:119" ht="9.75" customHeight="1">
      <c r="A40" s="49">
        <v>37</v>
      </c>
      <c r="B40" s="312"/>
      <c r="C40" s="313"/>
      <c r="D40" s="142" t="s">
        <v>108</v>
      </c>
      <c r="E40" s="142"/>
      <c r="F40" s="142"/>
      <c r="G40" s="142"/>
      <c r="H40" s="142"/>
      <c r="I40" s="142"/>
      <c r="J40" s="142"/>
      <c r="K40" s="142"/>
      <c r="L40" s="142"/>
      <c r="M40" s="166"/>
      <c r="N40" s="667"/>
      <c r="O40" s="494"/>
      <c r="P40" s="494"/>
      <c r="Q40" s="494"/>
      <c r="R40" s="494"/>
      <c r="S40" s="467"/>
      <c r="T40" s="637"/>
      <c r="U40" s="260"/>
      <c r="V40" s="260"/>
      <c r="W40" s="260"/>
      <c r="X40" s="260"/>
      <c r="Y40" s="261"/>
      <c r="Z40" s="493"/>
      <c r="AA40" s="494"/>
      <c r="AB40" s="494"/>
      <c r="AC40" s="494"/>
      <c r="AD40" s="494"/>
      <c r="AE40" s="689"/>
      <c r="AF40" s="150"/>
      <c r="AG40" s="151"/>
      <c r="AH40" s="151"/>
      <c r="AI40" s="151"/>
      <c r="AJ40" s="151"/>
      <c r="AK40" s="151"/>
      <c r="AL40" s="153"/>
      <c r="AM40" s="245"/>
      <c r="AN40" s="245"/>
      <c r="AO40" s="245"/>
      <c r="AP40" s="245"/>
      <c r="AQ40" s="526"/>
      <c r="AR40" s="312"/>
      <c r="AS40" s="313"/>
      <c r="AT40" s="142" t="s">
        <v>181</v>
      </c>
      <c r="AU40" s="142"/>
      <c r="AV40" s="142"/>
      <c r="AW40" s="142" t="s">
        <v>180</v>
      </c>
      <c r="AX40" s="142"/>
      <c r="AY40" s="142"/>
      <c r="AZ40" s="142"/>
      <c r="BA40" s="142"/>
      <c r="BB40" s="142"/>
      <c r="BC40" s="166"/>
      <c r="BD40" s="259"/>
      <c r="BE40" s="260"/>
      <c r="BF40" s="260"/>
      <c r="BG40" s="260"/>
      <c r="BH40" s="260"/>
      <c r="BI40" s="261"/>
      <c r="BJ40" s="637"/>
      <c r="BK40" s="260"/>
      <c r="BL40" s="260"/>
      <c r="BM40" s="260"/>
      <c r="BN40" s="260"/>
      <c r="BO40" s="261"/>
      <c r="BP40" s="153"/>
      <c r="BQ40" s="245"/>
      <c r="BR40" s="245"/>
      <c r="BS40" s="245"/>
      <c r="BT40" s="245"/>
      <c r="BU40" s="526"/>
      <c r="BV40" s="634"/>
      <c r="BW40" s="635"/>
      <c r="BX40" s="635"/>
      <c r="BY40" s="635"/>
      <c r="BZ40" s="635"/>
      <c r="CA40" s="636"/>
      <c r="CB40" s="637"/>
      <c r="CC40" s="260"/>
      <c r="CD40" s="260"/>
      <c r="CE40" s="260"/>
      <c r="CF40" s="260"/>
      <c r="CG40" s="394"/>
      <c r="CH40" s="100"/>
      <c r="CL40" s="702"/>
      <c r="CM40" s="702"/>
      <c r="CN40" s="415"/>
      <c r="CO40" s="415"/>
      <c r="CP40" s="415"/>
      <c r="CQ40" s="415"/>
      <c r="CR40" s="415"/>
      <c r="CS40" s="415"/>
      <c r="CT40" s="415"/>
      <c r="CU40" s="415"/>
      <c r="CV40" s="415"/>
      <c r="CW40" s="415"/>
      <c r="CX40" s="606"/>
      <c r="CY40" s="606"/>
      <c r="CZ40" s="606"/>
      <c r="DA40" s="606"/>
      <c r="DB40" s="606"/>
      <c r="DC40" s="606"/>
      <c r="DD40" s="420"/>
      <c r="DE40" s="420"/>
      <c r="DF40" s="420"/>
      <c r="DG40" s="420"/>
      <c r="DH40" s="420"/>
      <c r="DI40" s="420"/>
      <c r="DJ40" s="420"/>
      <c r="DK40" s="420"/>
      <c r="DL40" s="420"/>
      <c r="DM40" s="420"/>
      <c r="DN40" s="420"/>
      <c r="DO40" s="420"/>
    </row>
    <row r="41" spans="1:119" ht="9.75" customHeight="1">
      <c r="A41" s="49">
        <v>38</v>
      </c>
      <c r="B41" s="312"/>
      <c r="C41" s="313"/>
      <c r="D41" s="142" t="s">
        <v>314</v>
      </c>
      <c r="E41" s="142"/>
      <c r="F41" s="142"/>
      <c r="G41" s="142"/>
      <c r="H41" s="142"/>
      <c r="I41" s="142"/>
      <c r="J41" s="142"/>
      <c r="K41" s="142"/>
      <c r="L41" s="142"/>
      <c r="M41" s="166"/>
      <c r="N41" s="667"/>
      <c r="O41" s="494"/>
      <c r="P41" s="494"/>
      <c r="Q41" s="494"/>
      <c r="R41" s="494"/>
      <c r="S41" s="467"/>
      <c r="T41" s="637"/>
      <c r="U41" s="260"/>
      <c r="V41" s="260"/>
      <c r="W41" s="260"/>
      <c r="X41" s="260"/>
      <c r="Y41" s="261"/>
      <c r="Z41" s="493"/>
      <c r="AA41" s="494"/>
      <c r="AB41" s="494"/>
      <c r="AC41" s="494"/>
      <c r="AD41" s="494"/>
      <c r="AE41" s="689"/>
      <c r="AF41" s="150"/>
      <c r="AG41" s="151"/>
      <c r="AH41" s="151"/>
      <c r="AI41" s="151"/>
      <c r="AJ41" s="151"/>
      <c r="AK41" s="151"/>
      <c r="AL41" s="153"/>
      <c r="AM41" s="245"/>
      <c r="AN41" s="245"/>
      <c r="AO41" s="245"/>
      <c r="AP41" s="245"/>
      <c r="AQ41" s="526"/>
      <c r="AR41" s="312"/>
      <c r="AS41" s="313"/>
      <c r="AT41" s="142"/>
      <c r="AU41" s="142"/>
      <c r="AV41" s="142"/>
      <c r="AW41" s="142" t="s">
        <v>423</v>
      </c>
      <c r="AX41" s="142"/>
      <c r="AY41" s="142"/>
      <c r="AZ41" s="142"/>
      <c r="BA41" s="142"/>
      <c r="BB41" s="142"/>
      <c r="BC41" s="166"/>
      <c r="BD41" s="259"/>
      <c r="BE41" s="260"/>
      <c r="BF41" s="260"/>
      <c r="BG41" s="260"/>
      <c r="BH41" s="260"/>
      <c r="BI41" s="261"/>
      <c r="BJ41" s="637"/>
      <c r="BK41" s="260"/>
      <c r="BL41" s="260"/>
      <c r="BM41" s="260"/>
      <c r="BN41" s="260"/>
      <c r="BO41" s="261"/>
      <c r="BP41" s="153"/>
      <c r="BQ41" s="245"/>
      <c r="BR41" s="245"/>
      <c r="BS41" s="245"/>
      <c r="BT41" s="245"/>
      <c r="BU41" s="526"/>
      <c r="BV41" s="634"/>
      <c r="BW41" s="635"/>
      <c r="BX41" s="635"/>
      <c r="BY41" s="635"/>
      <c r="BZ41" s="635"/>
      <c r="CA41" s="636"/>
      <c r="CB41" s="637"/>
      <c r="CC41" s="260"/>
      <c r="CD41" s="260"/>
      <c r="CE41" s="260"/>
      <c r="CF41" s="260"/>
      <c r="CG41" s="394"/>
      <c r="CH41" s="100"/>
      <c r="CL41" s="702"/>
      <c r="CM41" s="702"/>
      <c r="CN41" s="100"/>
      <c r="CO41" s="100"/>
      <c r="CP41" s="100"/>
      <c r="CQ41" s="415"/>
      <c r="CR41" s="415"/>
      <c r="CS41" s="415"/>
      <c r="CT41" s="415"/>
      <c r="CU41" s="415"/>
      <c r="CV41" s="415"/>
      <c r="CW41" s="415"/>
      <c r="CX41" s="606"/>
      <c r="CY41" s="606"/>
      <c r="CZ41" s="606"/>
      <c r="DA41" s="606"/>
      <c r="DB41" s="606"/>
      <c r="DC41" s="606"/>
      <c r="DD41" s="414"/>
      <c r="DE41" s="414"/>
      <c r="DF41" s="414"/>
      <c r="DG41" s="414"/>
      <c r="DH41" s="414"/>
      <c r="DI41" s="414"/>
      <c r="DJ41" s="420"/>
      <c r="DK41" s="420"/>
      <c r="DL41" s="420"/>
      <c r="DM41" s="420"/>
      <c r="DN41" s="420"/>
      <c r="DO41" s="420"/>
    </row>
    <row r="42" spans="1:119" ht="9.75" customHeight="1">
      <c r="A42" s="49">
        <v>39</v>
      </c>
      <c r="B42" s="312"/>
      <c r="C42" s="313"/>
      <c r="D42" s="142" t="s">
        <v>5</v>
      </c>
      <c r="E42" s="142"/>
      <c r="F42" s="142"/>
      <c r="G42" s="142"/>
      <c r="H42" s="142"/>
      <c r="I42" s="142"/>
      <c r="J42" s="142"/>
      <c r="K42" s="142"/>
      <c r="L42" s="142"/>
      <c r="M42" s="166"/>
      <c r="N42" s="667"/>
      <c r="O42" s="494"/>
      <c r="P42" s="494"/>
      <c r="Q42" s="494"/>
      <c r="R42" s="494"/>
      <c r="S42" s="467"/>
      <c r="T42" s="153"/>
      <c r="U42" s="245"/>
      <c r="V42" s="245"/>
      <c r="W42" s="245"/>
      <c r="X42" s="245"/>
      <c r="Y42" s="246"/>
      <c r="Z42" s="493"/>
      <c r="AA42" s="494"/>
      <c r="AB42" s="494"/>
      <c r="AC42" s="494"/>
      <c r="AD42" s="494"/>
      <c r="AE42" s="689"/>
      <c r="AF42" s="150"/>
      <c r="AG42" s="151"/>
      <c r="AH42" s="151"/>
      <c r="AI42" s="151"/>
      <c r="AJ42" s="151"/>
      <c r="AK42" s="151"/>
      <c r="AL42" s="153"/>
      <c r="AM42" s="245"/>
      <c r="AN42" s="245"/>
      <c r="AO42" s="245"/>
      <c r="AP42" s="245"/>
      <c r="AQ42" s="526"/>
      <c r="AR42" s="312"/>
      <c r="AS42" s="313"/>
      <c r="AT42" s="142"/>
      <c r="AU42" s="142"/>
      <c r="AV42" s="142"/>
      <c r="AW42" s="142" t="s">
        <v>179</v>
      </c>
      <c r="AX42" s="142"/>
      <c r="AY42" s="142"/>
      <c r="AZ42" s="142"/>
      <c r="BA42" s="142"/>
      <c r="BB42" s="142"/>
      <c r="BC42" s="166"/>
      <c r="BD42" s="259"/>
      <c r="BE42" s="260"/>
      <c r="BF42" s="260"/>
      <c r="BG42" s="260"/>
      <c r="BH42" s="260"/>
      <c r="BI42" s="261"/>
      <c r="BJ42" s="637"/>
      <c r="BK42" s="260"/>
      <c r="BL42" s="260"/>
      <c r="BM42" s="260"/>
      <c r="BN42" s="260"/>
      <c r="BO42" s="261"/>
      <c r="BP42" s="153"/>
      <c r="BQ42" s="245"/>
      <c r="BR42" s="245"/>
      <c r="BS42" s="245"/>
      <c r="BT42" s="245"/>
      <c r="BU42" s="526"/>
      <c r="BV42" s="634"/>
      <c r="BW42" s="635"/>
      <c r="BX42" s="635"/>
      <c r="BY42" s="635"/>
      <c r="BZ42" s="635"/>
      <c r="CA42" s="636"/>
      <c r="CB42" s="637"/>
      <c r="CC42" s="260"/>
      <c r="CD42" s="260"/>
      <c r="CE42" s="260"/>
      <c r="CF42" s="260"/>
      <c r="CG42" s="394"/>
      <c r="CH42" s="100"/>
      <c r="CL42" s="416"/>
      <c r="CM42" s="416"/>
      <c r="CN42" s="416"/>
      <c r="CO42" s="416"/>
      <c r="CP42" s="416"/>
      <c r="CQ42" s="416"/>
      <c r="CR42" s="416"/>
      <c r="CS42" s="416"/>
      <c r="CT42" s="416"/>
      <c r="CU42" s="416"/>
      <c r="CV42" s="416"/>
      <c r="CW42" s="416"/>
      <c r="CX42" s="413"/>
      <c r="CY42" s="413"/>
      <c r="CZ42" s="413"/>
      <c r="DA42" s="413"/>
      <c r="DB42" s="413"/>
      <c r="DC42" s="413"/>
      <c r="DD42" s="413"/>
      <c r="DE42" s="413"/>
      <c r="DF42" s="413"/>
      <c r="DG42" s="413"/>
      <c r="DH42" s="413"/>
      <c r="DI42" s="413"/>
      <c r="DJ42" s="413"/>
      <c r="DK42" s="413"/>
      <c r="DL42" s="413"/>
      <c r="DM42" s="413"/>
      <c r="DN42" s="413"/>
      <c r="DO42" s="413"/>
    </row>
    <row r="43" spans="1:119" ht="9.75" customHeight="1">
      <c r="A43" s="49">
        <v>40</v>
      </c>
      <c r="B43" s="699" t="s">
        <v>265</v>
      </c>
      <c r="C43" s="700"/>
      <c r="D43" s="289" t="s">
        <v>240</v>
      </c>
      <c r="E43" s="474"/>
      <c r="F43" s="474"/>
      <c r="G43" s="474"/>
      <c r="H43" s="474"/>
      <c r="I43" s="474"/>
      <c r="J43" s="474"/>
      <c r="K43" s="474"/>
      <c r="L43" s="474"/>
      <c r="M43" s="475"/>
      <c r="N43" s="259"/>
      <c r="O43" s="260"/>
      <c r="P43" s="260"/>
      <c r="Q43" s="260"/>
      <c r="R43" s="260"/>
      <c r="S43" s="261"/>
      <c r="T43" s="637"/>
      <c r="U43" s="260"/>
      <c r="V43" s="260"/>
      <c r="W43" s="260"/>
      <c r="X43" s="260"/>
      <c r="Y43" s="261"/>
      <c r="Z43" s="153"/>
      <c r="AA43" s="245"/>
      <c r="AB43" s="245"/>
      <c r="AC43" s="245"/>
      <c r="AD43" s="245"/>
      <c r="AE43" s="269"/>
      <c r="AF43" s="161"/>
      <c r="AG43" s="152"/>
      <c r="AH43" s="152"/>
      <c r="AI43" s="152"/>
      <c r="AJ43" s="152"/>
      <c r="AK43" s="152"/>
      <c r="AL43" s="153"/>
      <c r="AM43" s="245"/>
      <c r="AN43" s="245"/>
      <c r="AO43" s="245"/>
      <c r="AP43" s="245"/>
      <c r="AQ43" s="526"/>
      <c r="AR43" s="312"/>
      <c r="AS43" s="313"/>
      <c r="AT43" s="142" t="s">
        <v>178</v>
      </c>
      <c r="AU43" s="142"/>
      <c r="AV43" s="142"/>
      <c r="AW43" s="142"/>
      <c r="AX43" s="142"/>
      <c r="AY43" s="142"/>
      <c r="AZ43" s="142"/>
      <c r="BA43" s="142"/>
      <c r="BB43" s="142"/>
      <c r="BC43" s="166"/>
      <c r="BD43" s="259"/>
      <c r="BE43" s="260"/>
      <c r="BF43" s="260"/>
      <c r="BG43" s="260"/>
      <c r="BH43" s="260"/>
      <c r="BI43" s="261"/>
      <c r="BJ43" s="637"/>
      <c r="BK43" s="260"/>
      <c r="BL43" s="260"/>
      <c r="BM43" s="260"/>
      <c r="BN43" s="260"/>
      <c r="BO43" s="261"/>
      <c r="BP43" s="153"/>
      <c r="BQ43" s="245"/>
      <c r="BR43" s="245"/>
      <c r="BS43" s="245"/>
      <c r="BT43" s="245"/>
      <c r="BU43" s="526"/>
      <c r="BV43" s="634"/>
      <c r="BW43" s="635"/>
      <c r="BX43" s="635"/>
      <c r="BY43" s="635"/>
      <c r="BZ43" s="635"/>
      <c r="CA43" s="636"/>
      <c r="CB43" s="637"/>
      <c r="CC43" s="260"/>
      <c r="CD43" s="260"/>
      <c r="CE43" s="260"/>
      <c r="CF43" s="260"/>
      <c r="CG43" s="394"/>
      <c r="CH43" s="100"/>
      <c r="CL43" s="706"/>
      <c r="CM43" s="706"/>
      <c r="CN43" s="415"/>
      <c r="CO43" s="415"/>
      <c r="CP43" s="415"/>
      <c r="CQ43" s="415"/>
      <c r="CR43" s="415"/>
      <c r="CS43" s="415"/>
      <c r="CT43" s="415"/>
      <c r="CU43" s="415"/>
      <c r="CV43" s="415"/>
      <c r="CW43" s="415"/>
      <c r="CX43" s="411"/>
      <c r="CY43" s="411"/>
      <c r="CZ43" s="411"/>
      <c r="DA43" s="411"/>
      <c r="DB43" s="411"/>
      <c r="DC43" s="411"/>
      <c r="DD43" s="414"/>
      <c r="DE43" s="414"/>
      <c r="DF43" s="414"/>
      <c r="DG43" s="414"/>
      <c r="DH43" s="414"/>
      <c r="DI43" s="414"/>
      <c r="DJ43" s="420"/>
      <c r="DK43" s="420"/>
      <c r="DL43" s="420"/>
      <c r="DM43" s="420"/>
      <c r="DN43" s="420"/>
      <c r="DO43" s="420"/>
    </row>
    <row r="44" spans="1:119" ht="9.75" customHeight="1">
      <c r="A44" s="49">
        <v>41</v>
      </c>
      <c r="B44" s="699"/>
      <c r="C44" s="700"/>
      <c r="D44" s="142" t="s">
        <v>108</v>
      </c>
      <c r="E44" s="142"/>
      <c r="F44" s="142"/>
      <c r="G44" s="142"/>
      <c r="H44" s="142"/>
      <c r="I44" s="142"/>
      <c r="J44" s="142"/>
      <c r="K44" s="142"/>
      <c r="L44" s="142"/>
      <c r="M44" s="166"/>
      <c r="N44" s="667"/>
      <c r="O44" s="494"/>
      <c r="P44" s="494"/>
      <c r="Q44" s="494"/>
      <c r="R44" s="494"/>
      <c r="S44" s="467"/>
      <c r="T44" s="637"/>
      <c r="U44" s="260"/>
      <c r="V44" s="260"/>
      <c r="W44" s="260"/>
      <c r="X44" s="260"/>
      <c r="Y44" s="261"/>
      <c r="Z44" s="493"/>
      <c r="AA44" s="494"/>
      <c r="AB44" s="494"/>
      <c r="AC44" s="494"/>
      <c r="AD44" s="494"/>
      <c r="AE44" s="689"/>
      <c r="AF44" s="150"/>
      <c r="AG44" s="151"/>
      <c r="AH44" s="151"/>
      <c r="AI44" s="151"/>
      <c r="AJ44" s="151"/>
      <c r="AK44" s="151"/>
      <c r="AL44" s="153"/>
      <c r="AM44" s="245"/>
      <c r="AN44" s="245"/>
      <c r="AO44" s="245"/>
      <c r="AP44" s="245"/>
      <c r="AQ44" s="526"/>
      <c r="AR44" s="312"/>
      <c r="AS44" s="313"/>
      <c r="AT44" s="142" t="s">
        <v>177</v>
      </c>
      <c r="AU44" s="142"/>
      <c r="AV44" s="142"/>
      <c r="AW44" s="142"/>
      <c r="AX44" s="142"/>
      <c r="AY44" s="142"/>
      <c r="AZ44" s="142"/>
      <c r="BA44" s="142"/>
      <c r="BB44" s="142"/>
      <c r="BC44" s="166"/>
      <c r="BD44" s="259"/>
      <c r="BE44" s="260"/>
      <c r="BF44" s="260"/>
      <c r="BG44" s="260"/>
      <c r="BH44" s="260"/>
      <c r="BI44" s="261"/>
      <c r="BJ44" s="637"/>
      <c r="BK44" s="260"/>
      <c r="BL44" s="260"/>
      <c r="BM44" s="260"/>
      <c r="BN44" s="260"/>
      <c r="BO44" s="261"/>
      <c r="BP44" s="153"/>
      <c r="BQ44" s="245"/>
      <c r="BR44" s="245"/>
      <c r="BS44" s="245"/>
      <c r="BT44" s="245"/>
      <c r="BU44" s="526"/>
      <c r="BV44" s="634"/>
      <c r="BW44" s="635"/>
      <c r="BX44" s="635"/>
      <c r="BY44" s="635"/>
      <c r="BZ44" s="635"/>
      <c r="CA44" s="636"/>
      <c r="CB44" s="637"/>
      <c r="CC44" s="260"/>
      <c r="CD44" s="260"/>
      <c r="CE44" s="260"/>
      <c r="CF44" s="260"/>
      <c r="CG44" s="394"/>
      <c r="CH44" s="100"/>
      <c r="CL44" s="706"/>
      <c r="CM44" s="706"/>
      <c r="CN44" s="415"/>
      <c r="CO44" s="415"/>
      <c r="CP44" s="415"/>
      <c r="CQ44" s="415"/>
      <c r="CR44" s="415"/>
      <c r="CS44" s="415"/>
      <c r="CT44" s="415"/>
      <c r="CU44" s="415"/>
      <c r="CV44" s="415"/>
      <c r="CW44" s="415"/>
      <c r="CX44" s="603"/>
      <c r="CY44" s="603"/>
      <c r="CZ44" s="603"/>
      <c r="DA44" s="603"/>
      <c r="DB44" s="603"/>
      <c r="DC44" s="603"/>
      <c r="DD44" s="414"/>
      <c r="DE44" s="414"/>
      <c r="DF44" s="414"/>
      <c r="DG44" s="414"/>
      <c r="DH44" s="414"/>
      <c r="DI44" s="414"/>
      <c r="DJ44" s="420"/>
      <c r="DK44" s="420"/>
      <c r="DL44" s="420"/>
      <c r="DM44" s="420"/>
      <c r="DN44" s="420"/>
      <c r="DO44" s="420"/>
    </row>
    <row r="45" spans="1:119" ht="9.75" customHeight="1">
      <c r="A45" s="49">
        <v>42</v>
      </c>
      <c r="B45" s="699"/>
      <c r="C45" s="700"/>
      <c r="D45" s="142" t="s">
        <v>314</v>
      </c>
      <c r="E45" s="142"/>
      <c r="F45" s="142"/>
      <c r="G45" s="142"/>
      <c r="H45" s="142"/>
      <c r="I45" s="142"/>
      <c r="J45" s="142"/>
      <c r="K45" s="142"/>
      <c r="L45" s="142"/>
      <c r="M45" s="166"/>
      <c r="N45" s="667"/>
      <c r="O45" s="494"/>
      <c r="P45" s="494"/>
      <c r="Q45" s="494"/>
      <c r="R45" s="494"/>
      <c r="S45" s="467"/>
      <c r="T45" s="637"/>
      <c r="U45" s="260"/>
      <c r="V45" s="260"/>
      <c r="W45" s="260"/>
      <c r="X45" s="260"/>
      <c r="Y45" s="261"/>
      <c r="Z45" s="493"/>
      <c r="AA45" s="494"/>
      <c r="AB45" s="494"/>
      <c r="AC45" s="494"/>
      <c r="AD45" s="494"/>
      <c r="AE45" s="689"/>
      <c r="AF45" s="150"/>
      <c r="AG45" s="151"/>
      <c r="AH45" s="151"/>
      <c r="AI45" s="151"/>
      <c r="AJ45" s="151"/>
      <c r="AK45" s="151"/>
      <c r="AL45" s="153"/>
      <c r="AM45" s="245"/>
      <c r="AN45" s="245"/>
      <c r="AO45" s="245"/>
      <c r="AP45" s="245"/>
      <c r="AQ45" s="526"/>
      <c r="AR45" s="312"/>
      <c r="AS45" s="313"/>
      <c r="AT45" s="142" t="s">
        <v>261</v>
      </c>
      <c r="AU45" s="142"/>
      <c r="AV45" s="142"/>
      <c r="AW45" s="142"/>
      <c r="AX45" s="142"/>
      <c r="AY45" s="142"/>
      <c r="AZ45" s="142"/>
      <c r="BA45" s="142"/>
      <c r="BB45" s="142"/>
      <c r="BC45" s="166"/>
      <c r="BD45" s="259"/>
      <c r="BE45" s="260"/>
      <c r="BF45" s="260"/>
      <c r="BG45" s="260"/>
      <c r="BH45" s="260"/>
      <c r="BI45" s="261"/>
      <c r="BJ45" s="637"/>
      <c r="BK45" s="260"/>
      <c r="BL45" s="260"/>
      <c r="BM45" s="260"/>
      <c r="BN45" s="260"/>
      <c r="BO45" s="261"/>
      <c r="BP45" s="153"/>
      <c r="BQ45" s="245"/>
      <c r="BR45" s="245"/>
      <c r="BS45" s="245"/>
      <c r="BT45" s="245"/>
      <c r="BU45" s="526"/>
      <c r="BV45" s="634"/>
      <c r="BW45" s="635"/>
      <c r="BX45" s="635"/>
      <c r="BY45" s="635"/>
      <c r="BZ45" s="635"/>
      <c r="CA45" s="636"/>
      <c r="CB45" s="637"/>
      <c r="CC45" s="260"/>
      <c r="CD45" s="260"/>
      <c r="CE45" s="260"/>
      <c r="CF45" s="260"/>
      <c r="CG45" s="394"/>
      <c r="CH45" s="100"/>
      <c r="CL45" s="706"/>
      <c r="CM45" s="706"/>
      <c r="CN45" s="415"/>
      <c r="CO45" s="415"/>
      <c r="CP45" s="415"/>
      <c r="CQ45" s="415"/>
      <c r="CR45" s="415"/>
      <c r="CS45" s="415"/>
      <c r="CT45" s="415"/>
      <c r="CU45" s="415"/>
      <c r="CV45" s="415"/>
      <c r="CW45" s="415"/>
      <c r="CX45" s="603"/>
      <c r="CY45" s="603"/>
      <c r="CZ45" s="603"/>
      <c r="DA45" s="603"/>
      <c r="DB45" s="603"/>
      <c r="DC45" s="603"/>
      <c r="DD45" s="420"/>
      <c r="DE45" s="420"/>
      <c r="DF45" s="420"/>
      <c r="DG45" s="420"/>
      <c r="DH45" s="420"/>
      <c r="DI45" s="420"/>
      <c r="DJ45" s="420"/>
      <c r="DK45" s="420"/>
      <c r="DL45" s="420"/>
      <c r="DM45" s="420"/>
      <c r="DN45" s="420"/>
      <c r="DO45" s="420"/>
    </row>
    <row r="46" spans="1:119" ht="9.75" customHeight="1">
      <c r="A46" s="49">
        <v>43</v>
      </c>
      <c r="B46" s="699"/>
      <c r="C46" s="700"/>
      <c r="D46" s="142" t="s">
        <v>5</v>
      </c>
      <c r="E46" s="142"/>
      <c r="F46" s="142"/>
      <c r="G46" s="142"/>
      <c r="H46" s="142"/>
      <c r="I46" s="142"/>
      <c r="J46" s="142"/>
      <c r="K46" s="142"/>
      <c r="L46" s="142"/>
      <c r="M46" s="166"/>
      <c r="N46" s="667"/>
      <c r="O46" s="494"/>
      <c r="P46" s="494"/>
      <c r="Q46" s="494"/>
      <c r="R46" s="494"/>
      <c r="S46" s="467"/>
      <c r="T46" s="153"/>
      <c r="U46" s="245"/>
      <c r="V46" s="245"/>
      <c r="W46" s="245"/>
      <c r="X46" s="245"/>
      <c r="Y46" s="246"/>
      <c r="Z46" s="493"/>
      <c r="AA46" s="494"/>
      <c r="AB46" s="494"/>
      <c r="AC46" s="494"/>
      <c r="AD46" s="494"/>
      <c r="AE46" s="689"/>
      <c r="AF46" s="150"/>
      <c r="AG46" s="151"/>
      <c r="AH46" s="151"/>
      <c r="AI46" s="151"/>
      <c r="AJ46" s="151"/>
      <c r="AK46" s="151"/>
      <c r="AL46" s="153"/>
      <c r="AM46" s="245"/>
      <c r="AN46" s="245"/>
      <c r="AO46" s="245"/>
      <c r="AP46" s="245"/>
      <c r="AQ46" s="526"/>
      <c r="AR46" s="312"/>
      <c r="AS46" s="313"/>
      <c r="AT46" s="703" t="s">
        <v>560</v>
      </c>
      <c r="AU46" s="704"/>
      <c r="AV46" s="704"/>
      <c r="AW46" s="142" t="s">
        <v>176</v>
      </c>
      <c r="AX46" s="142"/>
      <c r="AY46" s="142"/>
      <c r="AZ46" s="142"/>
      <c r="BA46" s="142"/>
      <c r="BB46" s="142"/>
      <c r="BC46" s="166"/>
      <c r="BD46" s="259"/>
      <c r="BE46" s="260"/>
      <c r="BF46" s="260"/>
      <c r="BG46" s="260"/>
      <c r="BH46" s="260"/>
      <c r="BI46" s="261"/>
      <c r="BJ46" s="637"/>
      <c r="BK46" s="260"/>
      <c r="BL46" s="260"/>
      <c r="BM46" s="260"/>
      <c r="BN46" s="260"/>
      <c r="BO46" s="261"/>
      <c r="BP46" s="153"/>
      <c r="BQ46" s="245"/>
      <c r="BR46" s="245"/>
      <c r="BS46" s="245"/>
      <c r="BT46" s="245"/>
      <c r="BU46" s="526"/>
      <c r="BV46" s="634"/>
      <c r="BW46" s="635"/>
      <c r="BX46" s="635"/>
      <c r="BY46" s="635"/>
      <c r="BZ46" s="635"/>
      <c r="CA46" s="636"/>
      <c r="CB46" s="637"/>
      <c r="CC46" s="260"/>
      <c r="CD46" s="260"/>
      <c r="CE46" s="260"/>
      <c r="CF46" s="260"/>
      <c r="CG46" s="394"/>
      <c r="CH46" s="100"/>
      <c r="CL46" s="706"/>
      <c r="CM46" s="706"/>
      <c r="CN46" s="100"/>
      <c r="CO46" s="100"/>
      <c r="CP46" s="100"/>
      <c r="CQ46" s="415"/>
      <c r="CR46" s="415"/>
      <c r="CS46" s="415"/>
      <c r="CT46" s="415"/>
      <c r="CU46" s="415"/>
      <c r="CV46" s="415"/>
      <c r="CW46" s="415"/>
      <c r="CX46" s="603"/>
      <c r="CY46" s="603"/>
      <c r="CZ46" s="603"/>
      <c r="DA46" s="603"/>
      <c r="DB46" s="603"/>
      <c r="DC46" s="603"/>
      <c r="DD46" s="414"/>
      <c r="DE46" s="414"/>
      <c r="DF46" s="414"/>
      <c r="DG46" s="414"/>
      <c r="DH46" s="414"/>
      <c r="DI46" s="414"/>
      <c r="DJ46" s="420"/>
      <c r="DK46" s="420"/>
      <c r="DL46" s="420"/>
      <c r="DM46" s="420"/>
      <c r="DN46" s="420"/>
      <c r="DO46" s="420"/>
    </row>
    <row r="47" spans="1:119" ht="9.75" customHeight="1">
      <c r="A47" s="49">
        <v>44</v>
      </c>
      <c r="B47" s="695" t="s">
        <v>170</v>
      </c>
      <c r="C47" s="701"/>
      <c r="D47" s="693" t="s">
        <v>169</v>
      </c>
      <c r="E47" s="693"/>
      <c r="F47" s="693"/>
      <c r="G47" s="142" t="s">
        <v>168</v>
      </c>
      <c r="H47" s="142"/>
      <c r="I47" s="142"/>
      <c r="J47" s="142"/>
      <c r="K47" s="142"/>
      <c r="L47" s="142"/>
      <c r="M47" s="166"/>
      <c r="N47" s="667"/>
      <c r="O47" s="494"/>
      <c r="P47" s="494"/>
      <c r="Q47" s="494"/>
      <c r="R47" s="494"/>
      <c r="S47" s="467"/>
      <c r="T47" s="637"/>
      <c r="U47" s="260"/>
      <c r="V47" s="260"/>
      <c r="W47" s="260"/>
      <c r="X47" s="260"/>
      <c r="Y47" s="261"/>
      <c r="Z47" s="493"/>
      <c r="AA47" s="494"/>
      <c r="AB47" s="494"/>
      <c r="AC47" s="494"/>
      <c r="AD47" s="494"/>
      <c r="AE47" s="689"/>
      <c r="AF47" s="150"/>
      <c r="AG47" s="151"/>
      <c r="AH47" s="151"/>
      <c r="AI47" s="151"/>
      <c r="AJ47" s="151"/>
      <c r="AK47" s="151"/>
      <c r="AL47" s="153"/>
      <c r="AM47" s="245"/>
      <c r="AN47" s="245"/>
      <c r="AO47" s="245"/>
      <c r="AP47" s="245"/>
      <c r="AQ47" s="526"/>
      <c r="AR47" s="312"/>
      <c r="AS47" s="313"/>
      <c r="AT47" s="704"/>
      <c r="AU47" s="704"/>
      <c r="AV47" s="704"/>
      <c r="AW47" s="142" t="s">
        <v>175</v>
      </c>
      <c r="AX47" s="142"/>
      <c r="AY47" s="142"/>
      <c r="AZ47" s="142"/>
      <c r="BA47" s="142"/>
      <c r="BB47" s="142"/>
      <c r="BC47" s="166"/>
      <c r="BD47" s="259"/>
      <c r="BE47" s="260"/>
      <c r="BF47" s="260"/>
      <c r="BG47" s="260"/>
      <c r="BH47" s="260"/>
      <c r="BI47" s="261"/>
      <c r="BJ47" s="637"/>
      <c r="BK47" s="260"/>
      <c r="BL47" s="260"/>
      <c r="BM47" s="260"/>
      <c r="BN47" s="260"/>
      <c r="BO47" s="261"/>
      <c r="BP47" s="153"/>
      <c r="BQ47" s="245"/>
      <c r="BR47" s="245"/>
      <c r="BS47" s="245"/>
      <c r="BT47" s="245"/>
      <c r="BU47" s="526"/>
      <c r="BV47" s="634"/>
      <c r="BW47" s="635"/>
      <c r="BX47" s="635"/>
      <c r="BY47" s="635"/>
      <c r="BZ47" s="635"/>
      <c r="CA47" s="636"/>
      <c r="CB47" s="637"/>
      <c r="CC47" s="260"/>
      <c r="CD47" s="260"/>
      <c r="CE47" s="260"/>
      <c r="CF47" s="260"/>
      <c r="CG47" s="394"/>
      <c r="CH47" s="100"/>
      <c r="CL47" s="416"/>
      <c r="CM47" s="416"/>
      <c r="CN47" s="416"/>
      <c r="CO47" s="416"/>
      <c r="CP47" s="416"/>
      <c r="CQ47" s="416"/>
      <c r="CR47" s="416"/>
      <c r="CS47" s="416"/>
      <c r="CT47" s="416"/>
      <c r="CU47" s="416"/>
      <c r="CV47" s="416"/>
      <c r="CW47" s="416"/>
      <c r="CX47" s="413"/>
      <c r="CY47" s="413"/>
      <c r="CZ47" s="413"/>
      <c r="DA47" s="413"/>
      <c r="DB47" s="413"/>
      <c r="DC47" s="413"/>
      <c r="DD47" s="413"/>
      <c r="DE47" s="413"/>
      <c r="DF47" s="413"/>
      <c r="DG47" s="413"/>
      <c r="DH47" s="413"/>
      <c r="DI47" s="413"/>
      <c r="DJ47" s="413"/>
      <c r="DK47" s="413"/>
      <c r="DL47" s="413"/>
      <c r="DM47" s="413"/>
      <c r="DN47" s="413"/>
      <c r="DO47" s="413"/>
    </row>
    <row r="48" spans="1:119" ht="9.75" customHeight="1">
      <c r="A48" s="49">
        <v>45</v>
      </c>
      <c r="B48" s="695"/>
      <c r="C48" s="701"/>
      <c r="D48" s="693"/>
      <c r="E48" s="693"/>
      <c r="F48" s="693"/>
      <c r="G48" s="142" t="s">
        <v>166</v>
      </c>
      <c r="H48" s="142"/>
      <c r="I48" s="142"/>
      <c r="J48" s="142"/>
      <c r="K48" s="142"/>
      <c r="L48" s="142"/>
      <c r="M48" s="166"/>
      <c r="N48" s="667"/>
      <c r="O48" s="494"/>
      <c r="P48" s="494"/>
      <c r="Q48" s="494"/>
      <c r="R48" s="494"/>
      <c r="S48" s="467"/>
      <c r="T48" s="637"/>
      <c r="U48" s="260"/>
      <c r="V48" s="260"/>
      <c r="W48" s="260"/>
      <c r="X48" s="260"/>
      <c r="Y48" s="261"/>
      <c r="Z48" s="493"/>
      <c r="AA48" s="494"/>
      <c r="AB48" s="494"/>
      <c r="AC48" s="494"/>
      <c r="AD48" s="494"/>
      <c r="AE48" s="689"/>
      <c r="AF48" s="150"/>
      <c r="AG48" s="151"/>
      <c r="AH48" s="151"/>
      <c r="AI48" s="151"/>
      <c r="AJ48" s="151"/>
      <c r="AK48" s="151"/>
      <c r="AL48" s="153"/>
      <c r="AM48" s="245"/>
      <c r="AN48" s="245"/>
      <c r="AO48" s="245"/>
      <c r="AP48" s="245"/>
      <c r="AQ48" s="526"/>
      <c r="AR48" s="312"/>
      <c r="AS48" s="313"/>
      <c r="AT48" s="142" t="s">
        <v>174</v>
      </c>
      <c r="AU48" s="142"/>
      <c r="AV48" s="142"/>
      <c r="AW48" s="142"/>
      <c r="AX48" s="142"/>
      <c r="AY48" s="142"/>
      <c r="AZ48" s="142"/>
      <c r="BA48" s="142"/>
      <c r="BB48" s="142"/>
      <c r="BC48" s="166"/>
      <c r="BD48" s="259"/>
      <c r="BE48" s="260"/>
      <c r="BF48" s="260"/>
      <c r="BG48" s="260"/>
      <c r="BH48" s="260"/>
      <c r="BI48" s="261"/>
      <c r="BJ48" s="637"/>
      <c r="BK48" s="260"/>
      <c r="BL48" s="260"/>
      <c r="BM48" s="260"/>
      <c r="BN48" s="260"/>
      <c r="BO48" s="261"/>
      <c r="BP48" s="153"/>
      <c r="BQ48" s="245"/>
      <c r="BR48" s="245"/>
      <c r="BS48" s="245"/>
      <c r="BT48" s="245"/>
      <c r="BU48" s="526"/>
      <c r="BV48" s="634"/>
      <c r="BW48" s="635"/>
      <c r="BX48" s="635"/>
      <c r="BY48" s="635"/>
      <c r="BZ48" s="635"/>
      <c r="CA48" s="636"/>
      <c r="CB48" s="637"/>
      <c r="CC48" s="260"/>
      <c r="CD48" s="260"/>
      <c r="CE48" s="260"/>
      <c r="CF48" s="260"/>
      <c r="CG48" s="394"/>
      <c r="CH48" s="100"/>
      <c r="CL48" s="702"/>
      <c r="CM48" s="702"/>
      <c r="CN48" s="415"/>
      <c r="CO48" s="415"/>
      <c r="CP48" s="415"/>
      <c r="CQ48" s="415"/>
      <c r="CR48" s="415"/>
      <c r="CS48" s="415"/>
      <c r="CT48" s="415"/>
      <c r="CU48" s="415"/>
      <c r="CV48" s="415"/>
      <c r="CW48" s="415"/>
      <c r="CX48" s="411"/>
      <c r="CY48" s="411"/>
      <c r="CZ48" s="411"/>
      <c r="DA48" s="411"/>
      <c r="DB48" s="411"/>
      <c r="DC48" s="411"/>
      <c r="DD48" s="414"/>
      <c r="DE48" s="414"/>
      <c r="DF48" s="414"/>
      <c r="DG48" s="414"/>
      <c r="DH48" s="414"/>
      <c r="DI48" s="414"/>
      <c r="DJ48" s="420"/>
      <c r="DK48" s="420"/>
      <c r="DL48" s="420"/>
      <c r="DM48" s="420"/>
      <c r="DN48" s="420"/>
      <c r="DO48" s="420"/>
    </row>
    <row r="49" spans="1:119" ht="9.75" customHeight="1">
      <c r="A49" s="49">
        <v>46</v>
      </c>
      <c r="B49" s="695"/>
      <c r="C49" s="701"/>
      <c r="D49" s="142" t="s">
        <v>165</v>
      </c>
      <c r="E49" s="142"/>
      <c r="F49" s="142"/>
      <c r="G49" s="142"/>
      <c r="H49" s="142"/>
      <c r="I49" s="142"/>
      <c r="J49" s="142"/>
      <c r="K49" s="142"/>
      <c r="L49" s="142"/>
      <c r="M49" s="166"/>
      <c r="N49" s="667"/>
      <c r="O49" s="494"/>
      <c r="P49" s="494"/>
      <c r="Q49" s="494"/>
      <c r="R49" s="494"/>
      <c r="S49" s="467"/>
      <c r="T49" s="637"/>
      <c r="U49" s="260"/>
      <c r="V49" s="260"/>
      <c r="W49" s="260"/>
      <c r="X49" s="260"/>
      <c r="Y49" s="261"/>
      <c r="Z49" s="493"/>
      <c r="AA49" s="494"/>
      <c r="AB49" s="494"/>
      <c r="AC49" s="494"/>
      <c r="AD49" s="494"/>
      <c r="AE49" s="689"/>
      <c r="AF49" s="150"/>
      <c r="AG49" s="151"/>
      <c r="AH49" s="151"/>
      <c r="AI49" s="151"/>
      <c r="AJ49" s="151"/>
      <c r="AK49" s="151"/>
      <c r="AL49" s="153"/>
      <c r="AM49" s="245"/>
      <c r="AN49" s="245"/>
      <c r="AO49" s="245"/>
      <c r="AP49" s="245"/>
      <c r="AQ49" s="526"/>
      <c r="AR49" s="312"/>
      <c r="AS49" s="313"/>
      <c r="AT49" s="142" t="s">
        <v>173</v>
      </c>
      <c r="AU49" s="142"/>
      <c r="AV49" s="142"/>
      <c r="AW49" s="142"/>
      <c r="AX49" s="142"/>
      <c r="AY49" s="142"/>
      <c r="AZ49" s="142"/>
      <c r="BA49" s="142"/>
      <c r="BB49" s="142"/>
      <c r="BC49" s="166"/>
      <c r="BD49" s="259"/>
      <c r="BE49" s="260"/>
      <c r="BF49" s="260"/>
      <c r="BG49" s="260"/>
      <c r="BH49" s="260"/>
      <c r="BI49" s="261"/>
      <c r="BJ49" s="637"/>
      <c r="BK49" s="260"/>
      <c r="BL49" s="260"/>
      <c r="BM49" s="260"/>
      <c r="BN49" s="260"/>
      <c r="BO49" s="261"/>
      <c r="BP49" s="153"/>
      <c r="BQ49" s="245"/>
      <c r="BR49" s="245"/>
      <c r="BS49" s="245"/>
      <c r="BT49" s="245"/>
      <c r="BU49" s="526"/>
      <c r="BV49" s="634"/>
      <c r="BW49" s="635"/>
      <c r="BX49" s="635"/>
      <c r="BY49" s="635"/>
      <c r="BZ49" s="635"/>
      <c r="CA49" s="636"/>
      <c r="CB49" s="637"/>
      <c r="CC49" s="260"/>
      <c r="CD49" s="260"/>
      <c r="CE49" s="260"/>
      <c r="CF49" s="260"/>
      <c r="CG49" s="394"/>
      <c r="CH49" s="100"/>
      <c r="CL49" s="702"/>
      <c r="CM49" s="702"/>
      <c r="CN49" s="415"/>
      <c r="CO49" s="415"/>
      <c r="CP49" s="415"/>
      <c r="CQ49" s="415"/>
      <c r="CR49" s="415"/>
      <c r="CS49" s="415"/>
      <c r="CT49" s="415"/>
      <c r="CU49" s="415"/>
      <c r="CV49" s="415"/>
      <c r="CW49" s="415"/>
      <c r="CX49" s="411"/>
      <c r="CY49" s="411"/>
      <c r="CZ49" s="411"/>
      <c r="DA49" s="411"/>
      <c r="DB49" s="411"/>
      <c r="DC49" s="411"/>
      <c r="DD49" s="414"/>
      <c r="DE49" s="414"/>
      <c r="DF49" s="414"/>
      <c r="DG49" s="414"/>
      <c r="DH49" s="414"/>
      <c r="DI49" s="414"/>
      <c r="DJ49" s="420"/>
      <c r="DK49" s="420"/>
      <c r="DL49" s="420"/>
      <c r="DM49" s="420"/>
      <c r="DN49" s="420"/>
      <c r="DO49" s="420"/>
    </row>
    <row r="50" spans="1:119" ht="9.75" customHeight="1">
      <c r="A50" s="49">
        <v>47</v>
      </c>
      <c r="B50" s="695"/>
      <c r="C50" s="701"/>
      <c r="D50" s="142" t="s">
        <v>164</v>
      </c>
      <c r="E50" s="142"/>
      <c r="F50" s="142"/>
      <c r="G50" s="142"/>
      <c r="H50" s="142"/>
      <c r="I50" s="142"/>
      <c r="J50" s="142"/>
      <c r="K50" s="142"/>
      <c r="L50" s="142"/>
      <c r="M50" s="166"/>
      <c r="N50" s="667"/>
      <c r="O50" s="494"/>
      <c r="P50" s="494"/>
      <c r="Q50" s="494"/>
      <c r="R50" s="494"/>
      <c r="S50" s="467"/>
      <c r="T50" s="637"/>
      <c r="U50" s="260"/>
      <c r="V50" s="260"/>
      <c r="W50" s="260"/>
      <c r="X50" s="260"/>
      <c r="Y50" s="261"/>
      <c r="Z50" s="493"/>
      <c r="AA50" s="494"/>
      <c r="AB50" s="494"/>
      <c r="AC50" s="494"/>
      <c r="AD50" s="494"/>
      <c r="AE50" s="689"/>
      <c r="AF50" s="150"/>
      <c r="AG50" s="151"/>
      <c r="AH50" s="151"/>
      <c r="AI50" s="151"/>
      <c r="AJ50" s="151"/>
      <c r="AK50" s="151"/>
      <c r="AL50" s="153"/>
      <c r="AM50" s="245"/>
      <c r="AN50" s="245"/>
      <c r="AO50" s="245"/>
      <c r="AP50" s="245"/>
      <c r="AQ50" s="526"/>
      <c r="AR50" s="312"/>
      <c r="AS50" s="313"/>
      <c r="AT50" s="142" t="s">
        <v>424</v>
      </c>
      <c r="AU50" s="142"/>
      <c r="AV50" s="142"/>
      <c r="AW50" s="142"/>
      <c r="AX50" s="142"/>
      <c r="AY50" s="142"/>
      <c r="AZ50" s="142"/>
      <c r="BA50" s="142"/>
      <c r="BB50" s="142"/>
      <c r="BC50" s="166"/>
      <c r="BD50" s="259"/>
      <c r="BE50" s="260"/>
      <c r="BF50" s="260"/>
      <c r="BG50" s="260"/>
      <c r="BH50" s="260"/>
      <c r="BI50" s="261"/>
      <c r="BJ50" s="637"/>
      <c r="BK50" s="260"/>
      <c r="BL50" s="260"/>
      <c r="BM50" s="260"/>
      <c r="BN50" s="260"/>
      <c r="BO50" s="261"/>
      <c r="BP50" s="153"/>
      <c r="BQ50" s="245"/>
      <c r="BR50" s="245"/>
      <c r="BS50" s="245"/>
      <c r="BT50" s="245"/>
      <c r="BU50" s="526"/>
      <c r="BV50" s="634"/>
      <c r="BW50" s="635"/>
      <c r="BX50" s="635"/>
      <c r="BY50" s="635"/>
      <c r="BZ50" s="635"/>
      <c r="CA50" s="636"/>
      <c r="CB50" s="637"/>
      <c r="CC50" s="260"/>
      <c r="CD50" s="260"/>
      <c r="CE50" s="260"/>
      <c r="CF50" s="260"/>
      <c r="CG50" s="394"/>
      <c r="CH50" s="100"/>
      <c r="CL50" s="702"/>
      <c r="CM50" s="702"/>
      <c r="CN50" s="415"/>
      <c r="CO50" s="415"/>
      <c r="CP50" s="415"/>
      <c r="CQ50" s="415"/>
      <c r="CR50" s="415"/>
      <c r="CS50" s="415"/>
      <c r="CT50" s="415"/>
      <c r="CU50" s="415"/>
      <c r="CV50" s="415"/>
      <c r="CW50" s="415"/>
      <c r="CX50" s="411"/>
      <c r="CY50" s="411"/>
      <c r="CZ50" s="411"/>
      <c r="DA50" s="411"/>
      <c r="DB50" s="411"/>
      <c r="DC50" s="411"/>
      <c r="DD50" s="414"/>
      <c r="DE50" s="414"/>
      <c r="DF50" s="414"/>
      <c r="DG50" s="414"/>
      <c r="DH50" s="414"/>
      <c r="DI50" s="414"/>
      <c r="DJ50" s="420"/>
      <c r="DK50" s="420"/>
      <c r="DL50" s="420"/>
      <c r="DM50" s="420"/>
      <c r="DN50" s="420"/>
      <c r="DO50" s="420"/>
    </row>
    <row r="51" spans="1:119" ht="9.75" customHeight="1">
      <c r="A51" s="49">
        <v>48</v>
      </c>
      <c r="B51" s="695"/>
      <c r="C51" s="701"/>
      <c r="D51" s="142" t="s">
        <v>108</v>
      </c>
      <c r="E51" s="142"/>
      <c r="F51" s="142"/>
      <c r="G51" s="142"/>
      <c r="H51" s="142"/>
      <c r="I51" s="142"/>
      <c r="J51" s="142"/>
      <c r="K51" s="142"/>
      <c r="L51" s="142"/>
      <c r="M51" s="166"/>
      <c r="N51" s="667"/>
      <c r="O51" s="494"/>
      <c r="P51" s="494"/>
      <c r="Q51" s="494"/>
      <c r="R51" s="494"/>
      <c r="S51" s="467"/>
      <c r="T51" s="637"/>
      <c r="U51" s="260"/>
      <c r="V51" s="260"/>
      <c r="W51" s="260"/>
      <c r="X51" s="260"/>
      <c r="Y51" s="261"/>
      <c r="Z51" s="493"/>
      <c r="AA51" s="494"/>
      <c r="AB51" s="494"/>
      <c r="AC51" s="494"/>
      <c r="AD51" s="494"/>
      <c r="AE51" s="689"/>
      <c r="AF51" s="150"/>
      <c r="AG51" s="151"/>
      <c r="AH51" s="151"/>
      <c r="AI51" s="151"/>
      <c r="AJ51" s="151"/>
      <c r="AK51" s="151"/>
      <c r="AL51" s="153"/>
      <c r="AM51" s="245"/>
      <c r="AN51" s="245"/>
      <c r="AO51" s="245"/>
      <c r="AP51" s="245"/>
      <c r="AQ51" s="526"/>
      <c r="AR51" s="312"/>
      <c r="AS51" s="313"/>
      <c r="AT51" s="142" t="s">
        <v>172</v>
      </c>
      <c r="AU51" s="142"/>
      <c r="AV51" s="142"/>
      <c r="AW51" s="142" t="s">
        <v>171</v>
      </c>
      <c r="AX51" s="142"/>
      <c r="AY51" s="142"/>
      <c r="AZ51" s="142"/>
      <c r="BA51" s="142"/>
      <c r="BB51" s="142"/>
      <c r="BC51" s="166"/>
      <c r="BD51" s="259"/>
      <c r="BE51" s="260"/>
      <c r="BF51" s="260"/>
      <c r="BG51" s="260"/>
      <c r="BH51" s="260"/>
      <c r="BI51" s="261"/>
      <c r="BJ51" s="637"/>
      <c r="BK51" s="260"/>
      <c r="BL51" s="260"/>
      <c r="BM51" s="260"/>
      <c r="BN51" s="260"/>
      <c r="BO51" s="261"/>
      <c r="BP51" s="153"/>
      <c r="BQ51" s="245"/>
      <c r="BR51" s="245"/>
      <c r="BS51" s="245"/>
      <c r="BT51" s="245"/>
      <c r="BU51" s="526"/>
      <c r="BV51" s="634"/>
      <c r="BW51" s="635"/>
      <c r="BX51" s="635"/>
      <c r="BY51" s="635"/>
      <c r="BZ51" s="635"/>
      <c r="CA51" s="636"/>
      <c r="CB51" s="637"/>
      <c r="CC51" s="260"/>
      <c r="CD51" s="260"/>
      <c r="CE51" s="260"/>
      <c r="CF51" s="260"/>
      <c r="CG51" s="394"/>
      <c r="CH51" s="100"/>
      <c r="CL51" s="702"/>
      <c r="CM51" s="702"/>
      <c r="CN51" s="691"/>
      <c r="CO51" s="415"/>
      <c r="CP51" s="415"/>
      <c r="CQ51" s="415"/>
      <c r="CR51" s="415"/>
      <c r="CS51" s="415"/>
      <c r="CT51" s="415"/>
      <c r="CU51" s="415"/>
      <c r="CV51" s="415"/>
      <c r="CW51" s="415"/>
      <c r="CX51" s="411"/>
      <c r="CY51" s="411"/>
      <c r="CZ51" s="411"/>
      <c r="DA51" s="411"/>
      <c r="DB51" s="411"/>
      <c r="DC51" s="411"/>
      <c r="DD51" s="414"/>
      <c r="DE51" s="414"/>
      <c r="DF51" s="414"/>
      <c r="DG51" s="414"/>
      <c r="DH51" s="414"/>
      <c r="DI51" s="414"/>
      <c r="DJ51" s="420"/>
      <c r="DK51" s="420"/>
      <c r="DL51" s="420"/>
      <c r="DM51" s="420"/>
      <c r="DN51" s="420"/>
      <c r="DO51" s="420"/>
    </row>
    <row r="52" spans="1:119" ht="9.75" customHeight="1">
      <c r="A52" s="49">
        <v>49</v>
      </c>
      <c r="B52" s="695"/>
      <c r="C52" s="701"/>
      <c r="D52" s="142" t="s">
        <v>5</v>
      </c>
      <c r="E52" s="142"/>
      <c r="F52" s="142"/>
      <c r="G52" s="142"/>
      <c r="H52" s="142"/>
      <c r="I52" s="142"/>
      <c r="J52" s="142"/>
      <c r="K52" s="142"/>
      <c r="L52" s="142"/>
      <c r="M52" s="166"/>
      <c r="N52" s="667"/>
      <c r="O52" s="494"/>
      <c r="P52" s="494"/>
      <c r="Q52" s="494"/>
      <c r="R52" s="494"/>
      <c r="S52" s="467"/>
      <c r="T52" s="153"/>
      <c r="U52" s="245"/>
      <c r="V52" s="245"/>
      <c r="W52" s="245"/>
      <c r="X52" s="245"/>
      <c r="Y52" s="246"/>
      <c r="Z52" s="493"/>
      <c r="AA52" s="494"/>
      <c r="AB52" s="494"/>
      <c r="AC52" s="494"/>
      <c r="AD52" s="494"/>
      <c r="AE52" s="689"/>
      <c r="AF52" s="150"/>
      <c r="AG52" s="151"/>
      <c r="AH52" s="151"/>
      <c r="AI52" s="151"/>
      <c r="AJ52" s="151"/>
      <c r="AK52" s="151"/>
      <c r="AL52" s="153"/>
      <c r="AM52" s="245"/>
      <c r="AN52" s="245"/>
      <c r="AO52" s="245"/>
      <c r="AP52" s="245"/>
      <c r="AQ52" s="526"/>
      <c r="AR52" s="312"/>
      <c r="AS52" s="313"/>
      <c r="AT52" s="142"/>
      <c r="AU52" s="142"/>
      <c r="AV52" s="142"/>
      <c r="AW52" s="142" t="s">
        <v>167</v>
      </c>
      <c r="AX52" s="142"/>
      <c r="AY52" s="142"/>
      <c r="AZ52" s="142"/>
      <c r="BA52" s="142"/>
      <c r="BB52" s="142"/>
      <c r="BC52" s="166"/>
      <c r="BD52" s="259"/>
      <c r="BE52" s="260"/>
      <c r="BF52" s="260"/>
      <c r="BG52" s="260"/>
      <c r="BH52" s="260"/>
      <c r="BI52" s="261"/>
      <c r="BJ52" s="637"/>
      <c r="BK52" s="260"/>
      <c r="BL52" s="260"/>
      <c r="BM52" s="260"/>
      <c r="BN52" s="260"/>
      <c r="BO52" s="261"/>
      <c r="BP52" s="153"/>
      <c r="BQ52" s="245"/>
      <c r="BR52" s="245"/>
      <c r="BS52" s="245"/>
      <c r="BT52" s="245"/>
      <c r="BU52" s="526"/>
      <c r="BV52" s="634"/>
      <c r="BW52" s="635"/>
      <c r="BX52" s="635"/>
      <c r="BY52" s="635"/>
      <c r="BZ52" s="635"/>
      <c r="CA52" s="636"/>
      <c r="CB52" s="637"/>
      <c r="CC52" s="260"/>
      <c r="CD52" s="260"/>
      <c r="CE52" s="260"/>
      <c r="CF52" s="260"/>
      <c r="CG52" s="394"/>
      <c r="CH52" s="100"/>
      <c r="CL52" s="702"/>
      <c r="CM52" s="702"/>
      <c r="CN52" s="415"/>
      <c r="CO52" s="415"/>
      <c r="CP52" s="415"/>
      <c r="CQ52" s="415"/>
      <c r="CR52" s="415"/>
      <c r="CS52" s="415"/>
      <c r="CT52" s="415"/>
      <c r="CU52" s="415"/>
      <c r="CV52" s="415"/>
      <c r="CW52" s="415"/>
      <c r="CX52" s="411"/>
      <c r="CY52" s="411"/>
      <c r="CZ52" s="411"/>
      <c r="DA52" s="411"/>
      <c r="DB52" s="411"/>
      <c r="DC52" s="411"/>
      <c r="DD52" s="414"/>
      <c r="DE52" s="414"/>
      <c r="DF52" s="414"/>
      <c r="DG52" s="414"/>
      <c r="DH52" s="414"/>
      <c r="DI52" s="414"/>
      <c r="DJ52" s="420"/>
      <c r="DK52" s="420"/>
      <c r="DL52" s="420"/>
      <c r="DM52" s="420"/>
      <c r="DN52" s="420"/>
      <c r="DO52" s="420"/>
    </row>
    <row r="53" spans="1:119" ht="9.75" customHeight="1">
      <c r="A53" s="49">
        <v>50</v>
      </c>
      <c r="B53" s="695" t="s">
        <v>298</v>
      </c>
      <c r="C53" s="313"/>
      <c r="D53" s="694" t="s">
        <v>227</v>
      </c>
      <c r="E53" s="698"/>
      <c r="F53" s="698"/>
      <c r="G53" s="142" t="s">
        <v>226</v>
      </c>
      <c r="H53" s="142"/>
      <c r="I53" s="142"/>
      <c r="J53" s="142"/>
      <c r="K53" s="142"/>
      <c r="L53" s="142"/>
      <c r="M53" s="166"/>
      <c r="N53" s="667"/>
      <c r="O53" s="494"/>
      <c r="P53" s="494"/>
      <c r="Q53" s="494"/>
      <c r="R53" s="494"/>
      <c r="S53" s="467"/>
      <c r="T53" s="637"/>
      <c r="U53" s="260"/>
      <c r="V53" s="260"/>
      <c r="W53" s="260"/>
      <c r="X53" s="260"/>
      <c r="Y53" s="261"/>
      <c r="Z53" s="493"/>
      <c r="AA53" s="494"/>
      <c r="AB53" s="494"/>
      <c r="AC53" s="494"/>
      <c r="AD53" s="494"/>
      <c r="AE53" s="689"/>
      <c r="AF53" s="150"/>
      <c r="AG53" s="151"/>
      <c r="AH53" s="151"/>
      <c r="AI53" s="151"/>
      <c r="AJ53" s="151"/>
      <c r="AK53" s="151"/>
      <c r="AL53" s="153"/>
      <c r="AM53" s="245"/>
      <c r="AN53" s="245"/>
      <c r="AO53" s="245"/>
      <c r="AP53" s="245"/>
      <c r="AQ53" s="526"/>
      <c r="AR53" s="312"/>
      <c r="AS53" s="313"/>
      <c r="AT53" s="142" t="s">
        <v>108</v>
      </c>
      <c r="AU53" s="142"/>
      <c r="AV53" s="142"/>
      <c r="AW53" s="142"/>
      <c r="AX53" s="142"/>
      <c r="AY53" s="142"/>
      <c r="AZ53" s="142"/>
      <c r="BA53" s="142"/>
      <c r="BB53" s="142"/>
      <c r="BC53" s="166"/>
      <c r="BD53" s="667"/>
      <c r="BE53" s="494"/>
      <c r="BF53" s="494"/>
      <c r="BG53" s="494"/>
      <c r="BH53" s="494"/>
      <c r="BI53" s="467"/>
      <c r="BJ53" s="637"/>
      <c r="BK53" s="260"/>
      <c r="BL53" s="260"/>
      <c r="BM53" s="260"/>
      <c r="BN53" s="260"/>
      <c r="BO53" s="261"/>
      <c r="BP53" s="153"/>
      <c r="BQ53" s="245"/>
      <c r="BR53" s="245"/>
      <c r="BS53" s="245"/>
      <c r="BT53" s="245"/>
      <c r="BU53" s="526"/>
      <c r="BV53" s="634"/>
      <c r="BW53" s="635"/>
      <c r="BX53" s="635"/>
      <c r="BY53" s="635"/>
      <c r="BZ53" s="635"/>
      <c r="CA53" s="636"/>
      <c r="CB53" s="637"/>
      <c r="CC53" s="260"/>
      <c r="CD53" s="260"/>
      <c r="CE53" s="260"/>
      <c r="CF53" s="260"/>
      <c r="CG53" s="394"/>
      <c r="CH53" s="100"/>
      <c r="CL53" s="702"/>
      <c r="CM53" s="702"/>
      <c r="CN53" s="415"/>
      <c r="CO53" s="415"/>
      <c r="CP53" s="415"/>
      <c r="CQ53" s="415"/>
      <c r="CR53" s="415"/>
      <c r="CS53" s="415"/>
      <c r="CT53" s="415"/>
      <c r="CU53" s="415"/>
      <c r="CV53" s="415"/>
      <c r="CW53" s="415"/>
      <c r="CX53" s="411"/>
      <c r="CY53" s="411"/>
      <c r="CZ53" s="411"/>
      <c r="DA53" s="411"/>
      <c r="DB53" s="411"/>
      <c r="DC53" s="411"/>
      <c r="DD53" s="414"/>
      <c r="DE53" s="414"/>
      <c r="DF53" s="414"/>
      <c r="DG53" s="414"/>
      <c r="DH53" s="414"/>
      <c r="DI53" s="414"/>
      <c r="DJ53" s="420"/>
      <c r="DK53" s="420"/>
      <c r="DL53" s="420"/>
      <c r="DM53" s="420"/>
      <c r="DN53" s="420"/>
      <c r="DO53" s="420"/>
    </row>
    <row r="54" spans="1:119" ht="9.75" customHeight="1">
      <c r="A54" s="49">
        <v>51</v>
      </c>
      <c r="B54" s="312"/>
      <c r="C54" s="313"/>
      <c r="D54" s="698"/>
      <c r="E54" s="698"/>
      <c r="F54" s="698"/>
      <c r="G54" s="142" t="s">
        <v>225</v>
      </c>
      <c r="H54" s="142"/>
      <c r="I54" s="142"/>
      <c r="J54" s="142"/>
      <c r="K54" s="142"/>
      <c r="L54" s="142"/>
      <c r="M54" s="166"/>
      <c r="N54" s="667"/>
      <c r="O54" s="494"/>
      <c r="P54" s="494"/>
      <c r="Q54" s="494"/>
      <c r="R54" s="494"/>
      <c r="S54" s="467"/>
      <c r="T54" s="637"/>
      <c r="U54" s="260"/>
      <c r="V54" s="260"/>
      <c r="W54" s="260"/>
      <c r="X54" s="260"/>
      <c r="Y54" s="261"/>
      <c r="Z54" s="493"/>
      <c r="AA54" s="494"/>
      <c r="AB54" s="494"/>
      <c r="AC54" s="494"/>
      <c r="AD54" s="494"/>
      <c r="AE54" s="689"/>
      <c r="AF54" s="150"/>
      <c r="AG54" s="151"/>
      <c r="AH54" s="151"/>
      <c r="AI54" s="151"/>
      <c r="AJ54" s="151"/>
      <c r="AK54" s="151"/>
      <c r="AL54" s="153"/>
      <c r="AM54" s="245"/>
      <c r="AN54" s="245"/>
      <c r="AO54" s="245"/>
      <c r="AP54" s="245"/>
      <c r="AQ54" s="526"/>
      <c r="AR54" s="312"/>
      <c r="AS54" s="313"/>
      <c r="AT54" s="184" t="s">
        <v>5</v>
      </c>
      <c r="AU54" s="184"/>
      <c r="AV54" s="184"/>
      <c r="AW54" s="142"/>
      <c r="AX54" s="142"/>
      <c r="AY54" s="142"/>
      <c r="AZ54" s="142"/>
      <c r="BA54" s="142"/>
      <c r="BB54" s="142"/>
      <c r="BC54" s="166"/>
      <c r="BD54" s="667"/>
      <c r="BE54" s="494"/>
      <c r="BF54" s="494"/>
      <c r="BG54" s="494"/>
      <c r="BH54" s="494"/>
      <c r="BI54" s="467"/>
      <c r="BJ54" s="153"/>
      <c r="BK54" s="245"/>
      <c r="BL54" s="245"/>
      <c r="BM54" s="245"/>
      <c r="BN54" s="245"/>
      <c r="BO54" s="246"/>
      <c r="BP54" s="153"/>
      <c r="BQ54" s="245"/>
      <c r="BR54" s="245"/>
      <c r="BS54" s="245"/>
      <c r="BT54" s="245"/>
      <c r="BU54" s="526"/>
      <c r="BV54" s="634"/>
      <c r="BW54" s="635"/>
      <c r="BX54" s="635"/>
      <c r="BY54" s="635"/>
      <c r="BZ54" s="635"/>
      <c r="CA54" s="636"/>
      <c r="CB54" s="637"/>
      <c r="CC54" s="260"/>
      <c r="CD54" s="260"/>
      <c r="CE54" s="260"/>
      <c r="CF54" s="260"/>
      <c r="CG54" s="394"/>
      <c r="CH54" s="100"/>
      <c r="CL54" s="702"/>
      <c r="CM54" s="702"/>
      <c r="CN54" s="691"/>
      <c r="CO54" s="691"/>
      <c r="CP54" s="691"/>
      <c r="CQ54" s="691"/>
      <c r="CR54" s="691"/>
      <c r="CS54" s="691"/>
      <c r="CT54" s="691"/>
      <c r="CU54" s="691"/>
      <c r="CV54" s="691"/>
      <c r="CW54" s="691"/>
      <c r="CX54" s="411"/>
      <c r="CY54" s="411"/>
      <c r="CZ54" s="411"/>
      <c r="DA54" s="411"/>
      <c r="DB54" s="411"/>
      <c r="DC54" s="411"/>
      <c r="DD54" s="414"/>
      <c r="DE54" s="414"/>
      <c r="DF54" s="414"/>
      <c r="DG54" s="414"/>
      <c r="DH54" s="414"/>
      <c r="DI54" s="414"/>
      <c r="DJ54" s="420"/>
      <c r="DK54" s="420"/>
      <c r="DL54" s="420"/>
      <c r="DM54" s="420"/>
      <c r="DN54" s="420"/>
      <c r="DO54" s="420"/>
    </row>
    <row r="55" spans="1:119" ht="9.75" customHeight="1">
      <c r="A55" s="49">
        <v>52</v>
      </c>
      <c r="B55" s="312"/>
      <c r="C55" s="313"/>
      <c r="D55" s="698"/>
      <c r="E55" s="698"/>
      <c r="F55" s="698"/>
      <c r="G55" s="142" t="s">
        <v>223</v>
      </c>
      <c r="H55" s="142"/>
      <c r="I55" s="142"/>
      <c r="J55" s="142"/>
      <c r="K55" s="142"/>
      <c r="L55" s="142"/>
      <c r="M55" s="166"/>
      <c r="N55" s="667"/>
      <c r="O55" s="494"/>
      <c r="P55" s="494"/>
      <c r="Q55" s="494"/>
      <c r="R55" s="494"/>
      <c r="S55" s="467"/>
      <c r="T55" s="637"/>
      <c r="U55" s="260"/>
      <c r="V55" s="260"/>
      <c r="W55" s="260"/>
      <c r="X55" s="260"/>
      <c r="Y55" s="261"/>
      <c r="Z55" s="493"/>
      <c r="AA55" s="494"/>
      <c r="AB55" s="494"/>
      <c r="AC55" s="494"/>
      <c r="AD55" s="494"/>
      <c r="AE55" s="689"/>
      <c r="AF55" s="150"/>
      <c r="AG55" s="151"/>
      <c r="AH55" s="151"/>
      <c r="AI55" s="151"/>
      <c r="AJ55" s="151"/>
      <c r="AK55" s="151"/>
      <c r="AL55" s="153"/>
      <c r="AM55" s="245"/>
      <c r="AN55" s="245"/>
      <c r="AO55" s="245"/>
      <c r="AP55" s="245"/>
      <c r="AQ55" s="526"/>
      <c r="AR55" s="312"/>
      <c r="AS55" s="313"/>
      <c r="AT55" s="43"/>
      <c r="AU55" s="44"/>
      <c r="AV55" s="45"/>
      <c r="AW55" s="142" t="s">
        <v>259</v>
      </c>
      <c r="AX55" s="142"/>
      <c r="AY55" s="142"/>
      <c r="AZ55" s="142"/>
      <c r="BA55" s="142"/>
      <c r="BB55" s="142"/>
      <c r="BC55" s="166"/>
      <c r="BD55" s="667"/>
      <c r="BE55" s="494"/>
      <c r="BF55" s="494"/>
      <c r="BG55" s="494"/>
      <c r="BH55" s="494"/>
      <c r="BI55" s="467"/>
      <c r="BJ55" s="637"/>
      <c r="BK55" s="260"/>
      <c r="BL55" s="260"/>
      <c r="BM55" s="260"/>
      <c r="BN55" s="260"/>
      <c r="BO55" s="261"/>
      <c r="BP55" s="153"/>
      <c r="BQ55" s="245"/>
      <c r="BR55" s="245"/>
      <c r="BS55" s="245"/>
      <c r="BT55" s="245"/>
      <c r="BU55" s="526"/>
      <c r="BV55" s="634"/>
      <c r="BW55" s="635"/>
      <c r="BX55" s="635"/>
      <c r="BY55" s="635"/>
      <c r="BZ55" s="635"/>
      <c r="CA55" s="636"/>
      <c r="CB55" s="637"/>
      <c r="CC55" s="260"/>
      <c r="CD55" s="260"/>
      <c r="CE55" s="260"/>
      <c r="CF55" s="260"/>
      <c r="CG55" s="394"/>
      <c r="CH55" s="100"/>
      <c r="CL55" s="702"/>
      <c r="CM55" s="702"/>
      <c r="CN55" s="415"/>
      <c r="CO55" s="415"/>
      <c r="CP55" s="415"/>
      <c r="CQ55" s="415"/>
      <c r="CR55" s="415"/>
      <c r="CS55" s="415"/>
      <c r="CT55" s="415"/>
      <c r="CU55" s="415"/>
      <c r="CV55" s="415"/>
      <c r="CW55" s="415"/>
      <c r="CX55" s="411"/>
      <c r="CY55" s="411"/>
      <c r="CZ55" s="411"/>
      <c r="DA55" s="411"/>
      <c r="DB55" s="411"/>
      <c r="DC55" s="411"/>
      <c r="DD55" s="414"/>
      <c r="DE55" s="414"/>
      <c r="DF55" s="414"/>
      <c r="DG55" s="414"/>
      <c r="DH55" s="414"/>
      <c r="DI55" s="414"/>
      <c r="DJ55" s="420"/>
      <c r="DK55" s="420"/>
      <c r="DL55" s="420"/>
      <c r="DM55" s="420"/>
      <c r="DN55" s="420"/>
      <c r="DO55" s="420"/>
    </row>
    <row r="56" spans="1:119" ht="9.75" customHeight="1">
      <c r="A56" s="49">
        <v>53</v>
      </c>
      <c r="B56" s="312"/>
      <c r="C56" s="313"/>
      <c r="D56" s="142" t="s">
        <v>222</v>
      </c>
      <c r="E56" s="142"/>
      <c r="F56" s="142"/>
      <c r="G56" s="142"/>
      <c r="H56" s="142"/>
      <c r="I56" s="142"/>
      <c r="J56" s="142"/>
      <c r="K56" s="142"/>
      <c r="L56" s="142"/>
      <c r="M56" s="166"/>
      <c r="N56" s="667"/>
      <c r="O56" s="494"/>
      <c r="P56" s="494"/>
      <c r="Q56" s="494"/>
      <c r="R56" s="494"/>
      <c r="S56" s="467"/>
      <c r="T56" s="637"/>
      <c r="U56" s="260"/>
      <c r="V56" s="260"/>
      <c r="W56" s="260"/>
      <c r="X56" s="260"/>
      <c r="Y56" s="261"/>
      <c r="Z56" s="493"/>
      <c r="AA56" s="494"/>
      <c r="AB56" s="494"/>
      <c r="AC56" s="494"/>
      <c r="AD56" s="494"/>
      <c r="AE56" s="689"/>
      <c r="AF56" s="150"/>
      <c r="AG56" s="151"/>
      <c r="AH56" s="151"/>
      <c r="AI56" s="151"/>
      <c r="AJ56" s="151"/>
      <c r="AK56" s="151"/>
      <c r="AL56" s="153"/>
      <c r="AM56" s="245"/>
      <c r="AN56" s="245"/>
      <c r="AO56" s="245"/>
      <c r="AP56" s="245"/>
      <c r="AQ56" s="526"/>
      <c r="AR56" s="315" t="s">
        <v>163</v>
      </c>
      <c r="AS56" s="184"/>
      <c r="AT56" s="142"/>
      <c r="AU56" s="142"/>
      <c r="AV56" s="142"/>
      <c r="AW56" s="142"/>
      <c r="AX56" s="142"/>
      <c r="AY56" s="142"/>
      <c r="AZ56" s="142"/>
      <c r="BA56" s="142"/>
      <c r="BB56" s="142"/>
      <c r="BC56" s="166"/>
      <c r="BD56" s="667"/>
      <c r="BE56" s="494"/>
      <c r="BF56" s="494"/>
      <c r="BG56" s="494"/>
      <c r="BH56" s="494"/>
      <c r="BI56" s="467"/>
      <c r="BJ56" s="637"/>
      <c r="BK56" s="260"/>
      <c r="BL56" s="260"/>
      <c r="BM56" s="260"/>
      <c r="BN56" s="260"/>
      <c r="BO56" s="261"/>
      <c r="BP56" s="153"/>
      <c r="BQ56" s="245"/>
      <c r="BR56" s="245"/>
      <c r="BS56" s="245"/>
      <c r="BT56" s="245"/>
      <c r="BU56" s="526"/>
      <c r="BV56" s="634"/>
      <c r="BW56" s="635"/>
      <c r="BX56" s="635"/>
      <c r="BY56" s="635"/>
      <c r="BZ56" s="635"/>
      <c r="CA56" s="636"/>
      <c r="CB56" s="637"/>
      <c r="CC56" s="260"/>
      <c r="CD56" s="260"/>
      <c r="CE56" s="260"/>
      <c r="CF56" s="260"/>
      <c r="CG56" s="394"/>
      <c r="CH56" s="100"/>
      <c r="CL56" s="702"/>
      <c r="CM56" s="702"/>
      <c r="CN56" s="415"/>
      <c r="CO56" s="415"/>
      <c r="CP56" s="415"/>
      <c r="CQ56" s="415"/>
      <c r="CR56" s="415"/>
      <c r="CS56" s="415"/>
      <c r="CT56" s="415"/>
      <c r="CU56" s="415"/>
      <c r="CV56" s="415"/>
      <c r="CW56" s="415"/>
      <c r="CX56" s="411"/>
      <c r="CY56" s="411"/>
      <c r="CZ56" s="411"/>
      <c r="DA56" s="411"/>
      <c r="DB56" s="411"/>
      <c r="DC56" s="411"/>
      <c r="DD56" s="414"/>
      <c r="DE56" s="414"/>
      <c r="DF56" s="414"/>
      <c r="DG56" s="414"/>
      <c r="DH56" s="414"/>
      <c r="DI56" s="414"/>
      <c r="DJ56" s="420"/>
      <c r="DK56" s="420"/>
      <c r="DL56" s="420"/>
      <c r="DM56" s="420"/>
      <c r="DN56" s="420"/>
      <c r="DO56" s="420"/>
    </row>
    <row r="57" spans="1:119" ht="9.75" customHeight="1" thickBot="1">
      <c r="A57" s="49">
        <v>54</v>
      </c>
      <c r="B57" s="312"/>
      <c r="C57" s="313"/>
      <c r="D57" s="142" t="s">
        <v>221</v>
      </c>
      <c r="E57" s="142"/>
      <c r="F57" s="142"/>
      <c r="G57" s="142"/>
      <c r="H57" s="142"/>
      <c r="I57" s="142"/>
      <c r="J57" s="142"/>
      <c r="K57" s="142"/>
      <c r="L57" s="142"/>
      <c r="M57" s="166"/>
      <c r="N57" s="259"/>
      <c r="O57" s="260"/>
      <c r="P57" s="260"/>
      <c r="Q57" s="260"/>
      <c r="R57" s="260"/>
      <c r="S57" s="261"/>
      <c r="T57" s="637"/>
      <c r="U57" s="260"/>
      <c r="V57" s="260"/>
      <c r="W57" s="260"/>
      <c r="X57" s="260"/>
      <c r="Y57" s="261"/>
      <c r="Z57" s="153"/>
      <c r="AA57" s="245"/>
      <c r="AB57" s="245"/>
      <c r="AC57" s="245"/>
      <c r="AD57" s="245"/>
      <c r="AE57" s="269"/>
      <c r="AF57" s="161"/>
      <c r="AG57" s="152"/>
      <c r="AH57" s="152"/>
      <c r="AI57" s="152"/>
      <c r="AJ57" s="152"/>
      <c r="AK57" s="152"/>
      <c r="AL57" s="153"/>
      <c r="AM57" s="245"/>
      <c r="AN57" s="245"/>
      <c r="AO57" s="245"/>
      <c r="AP57" s="245"/>
      <c r="AQ57" s="526"/>
      <c r="AR57" s="46"/>
      <c r="AS57" s="47"/>
      <c r="AT57" s="134" t="s">
        <v>259</v>
      </c>
      <c r="AU57" s="134"/>
      <c r="AV57" s="134"/>
      <c r="AW57" s="134"/>
      <c r="AX57" s="134"/>
      <c r="AY57" s="134"/>
      <c r="AZ57" s="134"/>
      <c r="BA57" s="134"/>
      <c r="BB57" s="134"/>
      <c r="BC57" s="178"/>
      <c r="BD57" s="692"/>
      <c r="BE57" s="518"/>
      <c r="BF57" s="518"/>
      <c r="BG57" s="518"/>
      <c r="BH57" s="518"/>
      <c r="BI57" s="612"/>
      <c r="BJ57" s="481"/>
      <c r="BK57" s="392"/>
      <c r="BL57" s="392"/>
      <c r="BM57" s="392"/>
      <c r="BN57" s="392"/>
      <c r="BO57" s="570"/>
      <c r="BP57" s="139"/>
      <c r="BQ57" s="256"/>
      <c r="BR57" s="256"/>
      <c r="BS57" s="256"/>
      <c r="BT57" s="256"/>
      <c r="BU57" s="496"/>
      <c r="BV57" s="634"/>
      <c r="BW57" s="635"/>
      <c r="BX57" s="635"/>
      <c r="BY57" s="635"/>
      <c r="BZ57" s="635"/>
      <c r="CA57" s="636"/>
      <c r="CB57" s="637"/>
      <c r="CC57" s="260"/>
      <c r="CD57" s="260"/>
      <c r="CE57" s="260"/>
      <c r="CF57" s="260"/>
      <c r="CG57" s="394"/>
      <c r="CH57" s="100"/>
      <c r="CL57" s="702"/>
      <c r="CM57" s="702"/>
      <c r="CN57" s="415"/>
      <c r="CO57" s="415"/>
      <c r="CP57" s="415"/>
      <c r="CQ57" s="415"/>
      <c r="CR57" s="415"/>
      <c r="CS57" s="415"/>
      <c r="CT57" s="415"/>
      <c r="CU57" s="415"/>
      <c r="CV57" s="415"/>
      <c r="CW57" s="415"/>
      <c r="CX57" s="411"/>
      <c r="CY57" s="411"/>
      <c r="CZ57" s="411"/>
      <c r="DA57" s="411"/>
      <c r="DB57" s="411"/>
      <c r="DC57" s="411"/>
      <c r="DD57" s="414"/>
      <c r="DE57" s="414"/>
      <c r="DF57" s="414"/>
      <c r="DG57" s="414"/>
      <c r="DH57" s="414"/>
      <c r="DI57" s="414"/>
      <c r="DJ57" s="420"/>
      <c r="DK57" s="420"/>
      <c r="DL57" s="420"/>
      <c r="DM57" s="420"/>
      <c r="DN57" s="420"/>
      <c r="DO57" s="420"/>
    </row>
    <row r="58" spans="1:119" ht="9.75" customHeight="1" thickBot="1">
      <c r="A58" s="49">
        <v>55</v>
      </c>
      <c r="B58" s="610"/>
      <c r="C58" s="696"/>
      <c r="D58" s="134" t="s">
        <v>220</v>
      </c>
      <c r="E58" s="134"/>
      <c r="F58" s="134"/>
      <c r="G58" s="134"/>
      <c r="H58" s="134"/>
      <c r="I58" s="134"/>
      <c r="J58" s="134"/>
      <c r="K58" s="134"/>
      <c r="L58" s="134"/>
      <c r="M58" s="178"/>
      <c r="N58" s="391"/>
      <c r="O58" s="392"/>
      <c r="P58" s="392"/>
      <c r="Q58" s="392"/>
      <c r="R58" s="392"/>
      <c r="S58" s="570"/>
      <c r="T58" s="481"/>
      <c r="U58" s="392"/>
      <c r="V58" s="392"/>
      <c r="W58" s="392"/>
      <c r="X58" s="392"/>
      <c r="Y58" s="570"/>
      <c r="Z58" s="139"/>
      <c r="AA58" s="256"/>
      <c r="AB58" s="256"/>
      <c r="AC58" s="256"/>
      <c r="AD58" s="256"/>
      <c r="AE58" s="697"/>
      <c r="AF58" s="238"/>
      <c r="AG58" s="138"/>
      <c r="AH58" s="138"/>
      <c r="AI58" s="138"/>
      <c r="AJ58" s="138"/>
      <c r="AK58" s="138"/>
      <c r="AL58" s="139"/>
      <c r="AM58" s="256"/>
      <c r="AN58" s="256"/>
      <c r="AO58" s="256"/>
      <c r="AP58" s="256"/>
      <c r="AQ58" s="496"/>
      <c r="AR58" s="12"/>
      <c r="AS58" s="12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90"/>
      <c r="BE58" s="90"/>
      <c r="BF58" s="90"/>
      <c r="BG58" s="90"/>
      <c r="BH58" s="90"/>
      <c r="BI58" s="90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638"/>
      <c r="BW58" s="639"/>
      <c r="BX58" s="639"/>
      <c r="BY58" s="639"/>
      <c r="BZ58" s="639"/>
      <c r="CA58" s="640"/>
      <c r="CB58" s="481"/>
      <c r="CC58" s="392"/>
      <c r="CD58" s="392"/>
      <c r="CE58" s="392"/>
      <c r="CF58" s="392"/>
      <c r="CG58" s="393"/>
      <c r="CH58" s="100"/>
      <c r="CL58" s="702"/>
      <c r="CM58" s="702"/>
      <c r="CN58" s="415"/>
      <c r="CO58" s="415"/>
      <c r="CP58" s="415"/>
      <c r="CQ58" s="415"/>
      <c r="CR58" s="415"/>
      <c r="CS58" s="415"/>
      <c r="CT58" s="415"/>
      <c r="CU58" s="415"/>
      <c r="CV58" s="415"/>
      <c r="CW58" s="415"/>
      <c r="CX58" s="411"/>
      <c r="CY58" s="411"/>
      <c r="CZ58" s="411"/>
      <c r="DA58" s="411"/>
      <c r="DB58" s="411"/>
      <c r="DC58" s="411"/>
      <c r="DD58" s="414"/>
      <c r="DE58" s="414"/>
      <c r="DF58" s="414"/>
      <c r="DG58" s="414"/>
      <c r="DH58" s="414"/>
      <c r="DI58" s="414"/>
      <c r="DJ58" s="420"/>
      <c r="DK58" s="420"/>
      <c r="DL58" s="420"/>
      <c r="DM58" s="420"/>
      <c r="DN58" s="420"/>
      <c r="DO58" s="420"/>
    </row>
    <row r="59" spans="1:119" ht="9.75" customHeight="1">
      <c r="B59" s="127">
        <v>1</v>
      </c>
      <c r="C59" s="127"/>
      <c r="D59" s="127"/>
      <c r="E59" s="127"/>
      <c r="F59" s="127"/>
      <c r="G59" s="127"/>
      <c r="H59" s="127">
        <v>2</v>
      </c>
      <c r="I59" s="127"/>
      <c r="J59" s="127"/>
      <c r="K59" s="127"/>
      <c r="L59" s="127"/>
      <c r="M59" s="127"/>
      <c r="N59" s="127">
        <v>3</v>
      </c>
      <c r="O59" s="127"/>
      <c r="P59" s="127"/>
      <c r="Q59" s="127"/>
      <c r="R59" s="127"/>
      <c r="S59" s="127"/>
      <c r="T59" s="127">
        <v>4</v>
      </c>
      <c r="U59" s="127"/>
      <c r="V59" s="127"/>
      <c r="W59" s="127"/>
      <c r="X59" s="127"/>
      <c r="Y59" s="127"/>
      <c r="Z59" s="127">
        <v>5</v>
      </c>
      <c r="AA59" s="127"/>
      <c r="AB59" s="127"/>
      <c r="AC59" s="127"/>
      <c r="AD59" s="127"/>
      <c r="AE59" s="127"/>
      <c r="AF59" s="127">
        <v>6</v>
      </c>
      <c r="AG59" s="127"/>
      <c r="AH59" s="127"/>
      <c r="AI59" s="127"/>
      <c r="AJ59" s="127"/>
      <c r="AK59" s="127"/>
      <c r="AL59" s="127">
        <v>7</v>
      </c>
      <c r="AM59" s="127"/>
      <c r="AN59" s="127"/>
      <c r="AO59" s="127"/>
      <c r="AP59" s="127"/>
      <c r="AQ59" s="127"/>
      <c r="AR59" s="127">
        <v>8</v>
      </c>
      <c r="AS59" s="127"/>
      <c r="AT59" s="127"/>
      <c r="AU59" s="127"/>
      <c r="AV59" s="127"/>
      <c r="AW59" s="127"/>
      <c r="AX59" s="127">
        <v>9</v>
      </c>
      <c r="AY59" s="127"/>
      <c r="AZ59" s="127"/>
      <c r="BA59" s="127"/>
      <c r="BB59" s="127"/>
      <c r="BC59" s="127"/>
      <c r="BD59" s="127">
        <v>10</v>
      </c>
      <c r="BE59" s="127"/>
      <c r="BF59" s="127"/>
      <c r="BG59" s="127"/>
      <c r="BH59" s="127"/>
      <c r="BI59" s="127"/>
      <c r="BJ59" s="127">
        <v>11</v>
      </c>
      <c r="BK59" s="127"/>
      <c r="BL59" s="127"/>
      <c r="BM59" s="127"/>
      <c r="BN59" s="127"/>
      <c r="BO59" s="127"/>
      <c r="BP59" s="127">
        <v>12</v>
      </c>
      <c r="BQ59" s="127"/>
      <c r="BR59" s="127"/>
      <c r="BS59" s="127"/>
      <c r="BT59" s="127"/>
      <c r="BU59" s="127"/>
      <c r="BV59" s="127">
        <v>13</v>
      </c>
      <c r="BW59" s="127"/>
      <c r="BX59" s="127"/>
      <c r="BY59" s="127"/>
      <c r="BZ59" s="127"/>
      <c r="CA59" s="127"/>
      <c r="CB59" s="127">
        <v>14</v>
      </c>
      <c r="CC59" s="127"/>
      <c r="CD59" s="127"/>
      <c r="CE59" s="127"/>
      <c r="CF59" s="127"/>
      <c r="CG59" s="127"/>
      <c r="CL59" s="702"/>
      <c r="CM59" s="702"/>
      <c r="CN59" s="415"/>
      <c r="CO59" s="415"/>
      <c r="CP59" s="415"/>
      <c r="CQ59" s="415"/>
      <c r="CR59" s="415"/>
      <c r="CS59" s="415"/>
      <c r="CT59" s="415"/>
      <c r="CU59" s="415"/>
      <c r="CV59" s="415"/>
      <c r="CW59" s="415"/>
      <c r="CX59" s="411"/>
      <c r="CY59" s="411"/>
      <c r="CZ59" s="411"/>
      <c r="DA59" s="411"/>
      <c r="DB59" s="411"/>
      <c r="DC59" s="411"/>
      <c r="DD59" s="414"/>
      <c r="DE59" s="414"/>
      <c r="DF59" s="414"/>
      <c r="DG59" s="414"/>
      <c r="DH59" s="414"/>
      <c r="DI59" s="414"/>
      <c r="DJ59" s="420"/>
      <c r="DK59" s="420"/>
      <c r="DL59" s="420"/>
      <c r="DM59" s="420"/>
      <c r="DN59" s="420"/>
      <c r="DO59" s="420"/>
    </row>
    <row r="60" spans="1:119"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L60" s="702"/>
      <c r="CM60" s="702"/>
      <c r="CN60" s="415"/>
      <c r="CO60" s="415"/>
      <c r="CP60" s="415"/>
      <c r="CQ60" s="415"/>
      <c r="CR60" s="415"/>
      <c r="CS60" s="415"/>
      <c r="CT60" s="415"/>
      <c r="CU60" s="415"/>
      <c r="CV60" s="415"/>
      <c r="CW60" s="415"/>
      <c r="CX60" s="411"/>
      <c r="CY60" s="411"/>
      <c r="CZ60" s="411"/>
      <c r="DA60" s="411"/>
      <c r="DB60" s="411"/>
      <c r="DC60" s="411"/>
      <c r="DD60" s="414"/>
      <c r="DE60" s="414"/>
      <c r="DF60" s="414"/>
      <c r="DG60" s="414"/>
      <c r="DH60" s="414"/>
      <c r="DI60" s="414"/>
      <c r="DJ60" s="420"/>
      <c r="DK60" s="420"/>
      <c r="DL60" s="420"/>
      <c r="DM60" s="420"/>
      <c r="DN60" s="420"/>
      <c r="DO60" s="420"/>
    </row>
    <row r="61" spans="1:119">
      <c r="BV61" s="412"/>
      <c r="BW61" s="412"/>
      <c r="BX61" s="412"/>
      <c r="BY61" s="412"/>
      <c r="BZ61" s="412"/>
      <c r="CA61" s="412"/>
      <c r="CB61" s="412"/>
      <c r="CC61" s="412"/>
      <c r="CD61" s="412"/>
      <c r="CE61" s="412"/>
      <c r="CF61" s="412"/>
      <c r="CG61" s="412"/>
      <c r="CL61" s="702"/>
      <c r="CM61" s="702"/>
      <c r="CN61" s="415"/>
      <c r="CO61" s="415"/>
      <c r="CP61" s="415"/>
      <c r="CQ61" s="415"/>
      <c r="CR61" s="415"/>
      <c r="CS61" s="415"/>
      <c r="CT61" s="415"/>
      <c r="CU61" s="415"/>
      <c r="CV61" s="415"/>
      <c r="CW61" s="415"/>
      <c r="CX61" s="411"/>
      <c r="CY61" s="411"/>
      <c r="CZ61" s="411"/>
      <c r="DA61" s="411"/>
      <c r="DB61" s="411"/>
      <c r="DC61" s="411"/>
      <c r="DD61" s="414"/>
      <c r="DE61" s="414"/>
      <c r="DF61" s="414"/>
      <c r="DG61" s="414"/>
      <c r="DH61" s="414"/>
      <c r="DI61" s="414"/>
      <c r="DJ61" s="420"/>
      <c r="DK61" s="420"/>
      <c r="DL61" s="420"/>
      <c r="DM61" s="420"/>
      <c r="DN61" s="420"/>
      <c r="DO61" s="420"/>
    </row>
    <row r="62" spans="1:119">
      <c r="BV62" s="412"/>
      <c r="BW62" s="412"/>
      <c r="BX62" s="412"/>
      <c r="BY62" s="412"/>
      <c r="BZ62" s="412"/>
      <c r="CA62" s="412"/>
      <c r="CB62" s="412"/>
      <c r="CC62" s="412"/>
      <c r="CD62" s="412"/>
      <c r="CE62" s="412"/>
      <c r="CF62" s="412"/>
      <c r="CG62" s="412"/>
      <c r="CL62" s="702"/>
      <c r="CM62" s="702"/>
      <c r="CN62" s="690"/>
      <c r="CO62" s="690"/>
      <c r="CP62" s="690"/>
      <c r="CQ62" s="415"/>
      <c r="CR62" s="415"/>
      <c r="CS62" s="415"/>
      <c r="CT62" s="415"/>
      <c r="CU62" s="415"/>
      <c r="CV62" s="415"/>
      <c r="CW62" s="415"/>
      <c r="CX62" s="411"/>
      <c r="CY62" s="411"/>
      <c r="CZ62" s="411"/>
      <c r="DA62" s="411"/>
      <c r="DB62" s="411"/>
      <c r="DC62" s="411"/>
      <c r="DD62" s="414"/>
      <c r="DE62" s="414"/>
      <c r="DF62" s="414"/>
      <c r="DG62" s="414"/>
      <c r="DH62" s="414"/>
      <c r="DI62" s="414"/>
      <c r="DJ62" s="420"/>
      <c r="DK62" s="420"/>
      <c r="DL62" s="420"/>
      <c r="DM62" s="420"/>
      <c r="DN62" s="420"/>
      <c r="DO62" s="420"/>
    </row>
    <row r="63" spans="1:119">
      <c r="CL63" s="702"/>
      <c r="CM63" s="702"/>
      <c r="CN63" s="690"/>
      <c r="CO63" s="690"/>
      <c r="CP63" s="690"/>
      <c r="CQ63" s="415"/>
      <c r="CR63" s="415"/>
      <c r="CS63" s="415"/>
      <c r="CT63" s="415"/>
      <c r="CU63" s="415"/>
      <c r="CV63" s="415"/>
      <c r="CW63" s="415"/>
      <c r="CX63" s="411"/>
      <c r="CY63" s="411"/>
      <c r="CZ63" s="411"/>
      <c r="DA63" s="411"/>
      <c r="DB63" s="411"/>
      <c r="DC63" s="411"/>
      <c r="DD63" s="414"/>
      <c r="DE63" s="414"/>
      <c r="DF63" s="414"/>
      <c r="DG63" s="414"/>
      <c r="DH63" s="414"/>
      <c r="DI63" s="414"/>
      <c r="DJ63" s="420"/>
      <c r="DK63" s="420"/>
      <c r="DL63" s="420"/>
      <c r="DM63" s="420"/>
      <c r="DN63" s="420"/>
      <c r="DO63" s="420"/>
    </row>
    <row r="64" spans="1:119">
      <c r="CL64" s="702"/>
      <c r="CM64" s="702"/>
      <c r="CN64" s="415"/>
      <c r="CO64" s="415"/>
      <c r="CP64" s="415"/>
      <c r="CQ64" s="415"/>
      <c r="CR64" s="415"/>
      <c r="CS64" s="415"/>
      <c r="CT64" s="415"/>
      <c r="CU64" s="415"/>
      <c r="CV64" s="415"/>
      <c r="CW64" s="415"/>
      <c r="CX64" s="411"/>
      <c r="CY64" s="411"/>
      <c r="CZ64" s="411"/>
      <c r="DA64" s="411"/>
      <c r="DB64" s="411"/>
      <c r="DC64" s="411"/>
      <c r="DD64" s="414"/>
      <c r="DE64" s="414"/>
      <c r="DF64" s="414"/>
      <c r="DG64" s="414"/>
      <c r="DH64" s="414"/>
      <c r="DI64" s="414"/>
      <c r="DJ64" s="420"/>
      <c r="DK64" s="420"/>
      <c r="DL64" s="420"/>
      <c r="DM64" s="420"/>
      <c r="DN64" s="420"/>
      <c r="DO64" s="420"/>
    </row>
    <row r="65" spans="90:119">
      <c r="CL65" s="702"/>
      <c r="CM65" s="702"/>
      <c r="CN65" s="415"/>
      <c r="CO65" s="415"/>
      <c r="CP65" s="415"/>
      <c r="CQ65" s="415"/>
      <c r="CR65" s="415"/>
      <c r="CS65" s="415"/>
      <c r="CT65" s="415"/>
      <c r="CU65" s="415"/>
      <c r="CV65" s="415"/>
      <c r="CW65" s="415"/>
      <c r="CX65" s="411"/>
      <c r="CY65" s="411"/>
      <c r="CZ65" s="411"/>
      <c r="DA65" s="411"/>
      <c r="DB65" s="411"/>
      <c r="DC65" s="411"/>
      <c r="DD65" s="414"/>
      <c r="DE65" s="414"/>
      <c r="DF65" s="414"/>
      <c r="DG65" s="414"/>
      <c r="DH65" s="414"/>
      <c r="DI65" s="414"/>
      <c r="DJ65" s="420"/>
      <c r="DK65" s="420"/>
      <c r="DL65" s="420"/>
      <c r="DM65" s="420"/>
      <c r="DN65" s="420"/>
      <c r="DO65" s="420"/>
    </row>
    <row r="66" spans="90:119">
      <c r="CL66" s="702"/>
      <c r="CM66" s="702"/>
      <c r="CN66" s="415"/>
      <c r="CO66" s="415"/>
      <c r="CP66" s="415"/>
      <c r="CQ66" s="415"/>
      <c r="CR66" s="415"/>
      <c r="CS66" s="415"/>
      <c r="CT66" s="415"/>
      <c r="CU66" s="415"/>
      <c r="CV66" s="415"/>
      <c r="CW66" s="415"/>
      <c r="CX66" s="411"/>
      <c r="CY66" s="411"/>
      <c r="CZ66" s="411"/>
      <c r="DA66" s="411"/>
      <c r="DB66" s="411"/>
      <c r="DC66" s="411"/>
      <c r="DD66" s="414"/>
      <c r="DE66" s="414"/>
      <c r="DF66" s="414"/>
      <c r="DG66" s="414"/>
      <c r="DH66" s="414"/>
      <c r="DI66" s="414"/>
      <c r="DJ66" s="420"/>
      <c r="DK66" s="420"/>
      <c r="DL66" s="420"/>
      <c r="DM66" s="420"/>
      <c r="DN66" s="420"/>
      <c r="DO66" s="420"/>
    </row>
    <row r="67" spans="90:119">
      <c r="CL67" s="702"/>
      <c r="CM67" s="702"/>
      <c r="CN67" s="413"/>
      <c r="CO67" s="413"/>
      <c r="CP67" s="413"/>
      <c r="CQ67" s="415"/>
      <c r="CR67" s="415"/>
      <c r="CS67" s="415"/>
      <c r="CT67" s="415"/>
      <c r="CU67" s="415"/>
      <c r="CV67" s="415"/>
      <c r="CW67" s="415"/>
      <c r="CX67" s="411"/>
      <c r="CY67" s="411"/>
      <c r="CZ67" s="411"/>
      <c r="DA67" s="411"/>
      <c r="DB67" s="411"/>
      <c r="DC67" s="411"/>
      <c r="DD67" s="414"/>
      <c r="DE67" s="414"/>
      <c r="DF67" s="414"/>
      <c r="DG67" s="414"/>
      <c r="DH67" s="414"/>
      <c r="DI67" s="414"/>
      <c r="DJ67" s="420"/>
      <c r="DK67" s="420"/>
      <c r="DL67" s="420"/>
      <c r="DM67" s="420"/>
      <c r="DN67" s="420"/>
      <c r="DO67" s="420"/>
    </row>
    <row r="68" spans="90:119">
      <c r="CL68" s="702"/>
      <c r="CM68" s="702"/>
      <c r="CN68" s="413"/>
      <c r="CO68" s="413"/>
      <c r="CP68" s="413"/>
      <c r="CQ68" s="415"/>
      <c r="CR68" s="415"/>
      <c r="CS68" s="415"/>
      <c r="CT68" s="415"/>
      <c r="CU68" s="415"/>
      <c r="CV68" s="415"/>
      <c r="CW68" s="415"/>
      <c r="CX68" s="411"/>
      <c r="CY68" s="411"/>
      <c r="CZ68" s="411"/>
      <c r="DA68" s="411"/>
      <c r="DB68" s="411"/>
      <c r="DC68" s="411"/>
      <c r="DD68" s="414"/>
      <c r="DE68" s="414"/>
      <c r="DF68" s="414"/>
      <c r="DG68" s="414"/>
      <c r="DH68" s="414"/>
      <c r="DI68" s="414"/>
      <c r="DJ68" s="420"/>
      <c r="DK68" s="420"/>
      <c r="DL68" s="420"/>
      <c r="DM68" s="420"/>
      <c r="DN68" s="420"/>
      <c r="DO68" s="420"/>
    </row>
    <row r="69" spans="90:119">
      <c r="CL69" s="702"/>
      <c r="CM69" s="702"/>
      <c r="CN69" s="415"/>
      <c r="CO69" s="415"/>
      <c r="CP69" s="415"/>
      <c r="CQ69" s="415"/>
      <c r="CR69" s="415"/>
      <c r="CS69" s="415"/>
      <c r="CT69" s="415"/>
      <c r="CU69" s="415"/>
      <c r="CV69" s="415"/>
      <c r="CW69" s="415"/>
      <c r="CX69" s="411"/>
      <c r="CY69" s="411"/>
      <c r="CZ69" s="411"/>
      <c r="DA69" s="411"/>
      <c r="DB69" s="411"/>
      <c r="DC69" s="411"/>
      <c r="DD69" s="414"/>
      <c r="DE69" s="414"/>
      <c r="DF69" s="414"/>
      <c r="DG69" s="414"/>
      <c r="DH69" s="414"/>
      <c r="DI69" s="414"/>
      <c r="DJ69" s="420"/>
      <c r="DK69" s="420"/>
      <c r="DL69" s="420"/>
      <c r="DM69" s="420"/>
      <c r="DN69" s="420"/>
      <c r="DO69" s="420"/>
    </row>
    <row r="70" spans="90:119">
      <c r="CL70" s="702"/>
      <c r="CM70" s="702"/>
      <c r="CN70" s="415"/>
      <c r="CO70" s="415"/>
      <c r="CP70" s="415"/>
      <c r="CQ70" s="415"/>
      <c r="CR70" s="415"/>
      <c r="CS70" s="415"/>
      <c r="CT70" s="415"/>
      <c r="CU70" s="415"/>
      <c r="CV70" s="415"/>
      <c r="CW70" s="415"/>
      <c r="CX70" s="411"/>
      <c r="CY70" s="411"/>
      <c r="CZ70" s="411"/>
      <c r="DA70" s="411"/>
      <c r="DB70" s="411"/>
      <c r="DC70" s="411"/>
      <c r="DD70" s="414"/>
      <c r="DE70" s="414"/>
      <c r="DF70" s="414"/>
      <c r="DG70" s="414"/>
      <c r="DH70" s="414"/>
      <c r="DI70" s="414"/>
      <c r="DJ70" s="420"/>
      <c r="DK70" s="420"/>
      <c r="DL70" s="420"/>
      <c r="DM70" s="420"/>
      <c r="DN70" s="420"/>
      <c r="DO70" s="420"/>
    </row>
    <row r="71" spans="90:119">
      <c r="CL71" s="702"/>
      <c r="CM71" s="702"/>
      <c r="CN71" s="100"/>
      <c r="CO71" s="100"/>
      <c r="CP71" s="100"/>
      <c r="CQ71" s="415"/>
      <c r="CR71" s="415"/>
      <c r="CS71" s="415"/>
      <c r="CT71" s="415"/>
      <c r="CU71" s="415"/>
      <c r="CV71" s="415"/>
      <c r="CW71" s="415"/>
      <c r="CX71" s="411"/>
      <c r="CY71" s="411"/>
      <c r="CZ71" s="411"/>
      <c r="DA71" s="411"/>
      <c r="DB71" s="411"/>
      <c r="DC71" s="411"/>
      <c r="DD71" s="414"/>
      <c r="DE71" s="414"/>
      <c r="DF71" s="414"/>
      <c r="DG71" s="414"/>
      <c r="DH71" s="414"/>
      <c r="DI71" s="414"/>
      <c r="DJ71" s="420"/>
      <c r="DK71" s="420"/>
      <c r="DL71" s="420"/>
      <c r="DM71" s="420"/>
      <c r="DN71" s="420"/>
      <c r="DO71" s="420"/>
    </row>
    <row r="72" spans="90:119">
      <c r="CL72" s="415"/>
      <c r="CM72" s="415"/>
      <c r="CN72" s="415"/>
      <c r="CO72" s="415"/>
      <c r="CP72" s="415"/>
      <c r="CQ72" s="415"/>
      <c r="CR72" s="415"/>
      <c r="CS72" s="415"/>
      <c r="CT72" s="415"/>
      <c r="CU72" s="415"/>
      <c r="CV72" s="415"/>
      <c r="CW72" s="415"/>
      <c r="CX72" s="413"/>
      <c r="CY72" s="413"/>
      <c r="CZ72" s="413"/>
      <c r="DA72" s="413"/>
      <c r="DB72" s="413"/>
      <c r="DC72" s="413"/>
      <c r="DD72" s="413"/>
      <c r="DE72" s="413"/>
      <c r="DF72" s="413"/>
      <c r="DG72" s="413"/>
      <c r="DH72" s="413"/>
      <c r="DI72" s="413"/>
      <c r="DJ72" s="413"/>
      <c r="DK72" s="413"/>
      <c r="DL72" s="413"/>
      <c r="DM72" s="413"/>
      <c r="DN72" s="413"/>
      <c r="DO72" s="413"/>
    </row>
    <row r="73" spans="90:119">
      <c r="CL73" s="415"/>
      <c r="CM73" s="415"/>
      <c r="CN73" s="415"/>
      <c r="CO73" s="415"/>
      <c r="CP73" s="415"/>
      <c r="CQ73" s="415"/>
      <c r="CR73" s="415"/>
      <c r="CS73" s="415"/>
      <c r="CT73" s="415"/>
      <c r="CU73" s="415"/>
      <c r="CV73" s="415"/>
      <c r="CW73" s="415"/>
      <c r="CX73" s="411"/>
      <c r="CY73" s="411"/>
      <c r="CZ73" s="411"/>
      <c r="DA73" s="411"/>
      <c r="DB73" s="411"/>
      <c r="DC73" s="411"/>
      <c r="DD73" s="414"/>
      <c r="DE73" s="414"/>
      <c r="DF73" s="414"/>
      <c r="DG73" s="414"/>
      <c r="DH73" s="414"/>
      <c r="DI73" s="414"/>
      <c r="DJ73" s="420"/>
      <c r="DK73" s="420"/>
      <c r="DL73" s="420"/>
      <c r="DM73" s="420"/>
      <c r="DN73" s="420"/>
      <c r="DO73" s="420"/>
    </row>
    <row r="74" spans="90:119">
      <c r="CL74" s="100"/>
      <c r="CM74" s="100"/>
      <c r="CN74" s="415"/>
      <c r="CO74" s="415"/>
      <c r="CP74" s="415"/>
      <c r="CQ74" s="415"/>
      <c r="CR74" s="415"/>
      <c r="CS74" s="415"/>
      <c r="CT74" s="415"/>
      <c r="CU74" s="415"/>
      <c r="CV74" s="415"/>
      <c r="CW74" s="415"/>
      <c r="CX74" s="411"/>
      <c r="CY74" s="411"/>
      <c r="CZ74" s="411"/>
      <c r="DA74" s="411"/>
      <c r="DB74" s="411"/>
      <c r="DC74" s="411"/>
      <c r="DD74" s="414"/>
      <c r="DE74" s="414"/>
      <c r="DF74" s="414"/>
      <c r="DG74" s="414"/>
      <c r="DH74" s="414"/>
      <c r="DI74" s="414"/>
      <c r="DJ74" s="420"/>
      <c r="DK74" s="420"/>
      <c r="DL74" s="420"/>
      <c r="DM74" s="420"/>
      <c r="DN74" s="420"/>
      <c r="DO74" s="420"/>
    </row>
  </sheetData>
  <mergeCells count="859">
    <mergeCell ref="AL4:AQ4"/>
    <mergeCell ref="AR4:AW4"/>
    <mergeCell ref="AX4:BC4"/>
    <mergeCell ref="BD4:BI4"/>
    <mergeCell ref="BJ4:BO4"/>
    <mergeCell ref="B5:G5"/>
    <mergeCell ref="AF5:AK5"/>
    <mergeCell ref="B4:G4"/>
    <mergeCell ref="AF4:AK4"/>
    <mergeCell ref="BD5:BI5"/>
    <mergeCell ref="BJ5:BO5"/>
    <mergeCell ref="T4:Y4"/>
    <mergeCell ref="Z4:AE4"/>
    <mergeCell ref="T5:Y5"/>
    <mergeCell ref="Z5:AE5"/>
    <mergeCell ref="BP4:BU4"/>
    <mergeCell ref="BV4:CA4"/>
    <mergeCell ref="CB4:CG4"/>
    <mergeCell ref="AR5:AW5"/>
    <mergeCell ref="AX5:BC5"/>
    <mergeCell ref="BV5:CA5"/>
    <mergeCell ref="DJ31:DO31"/>
    <mergeCell ref="CL32:CM41"/>
    <mergeCell ref="CN32:CW32"/>
    <mergeCell ref="CX32:DC32"/>
    <mergeCell ref="CL31:CW31"/>
    <mergeCell ref="CX31:DC31"/>
    <mergeCell ref="DD31:DI31"/>
    <mergeCell ref="DD32:DI32"/>
    <mergeCell ref="DJ32:DO32"/>
    <mergeCell ref="DJ34:DO34"/>
    <mergeCell ref="DJ35:DO35"/>
    <mergeCell ref="CN36:CW36"/>
    <mergeCell ref="CX36:DC36"/>
    <mergeCell ref="DJ40:DO40"/>
    <mergeCell ref="CN40:CW40"/>
    <mergeCell ref="CX40:DC40"/>
    <mergeCell ref="DJ33:DO33"/>
    <mergeCell ref="DJ37:DO37"/>
    <mergeCell ref="B9:C12"/>
    <mergeCell ref="D9:F10"/>
    <mergeCell ref="G9:M9"/>
    <mergeCell ref="N9:S9"/>
    <mergeCell ref="T9:Y9"/>
    <mergeCell ref="Z9:AE9"/>
    <mergeCell ref="AF9:AK9"/>
    <mergeCell ref="AL12:AQ12"/>
    <mergeCell ref="D11:M11"/>
    <mergeCell ref="N11:S11"/>
    <mergeCell ref="D12:M12"/>
    <mergeCell ref="N12:S12"/>
    <mergeCell ref="T12:Y12"/>
    <mergeCell ref="Z12:AE12"/>
    <mergeCell ref="AF12:AK12"/>
    <mergeCell ref="AL10:AQ10"/>
    <mergeCell ref="AL9:AQ9"/>
    <mergeCell ref="AL8:AQ8"/>
    <mergeCell ref="CN39:CW39"/>
    <mergeCell ref="CX39:DC39"/>
    <mergeCell ref="DD39:DI39"/>
    <mergeCell ref="DJ39:DO39"/>
    <mergeCell ref="CN38:CW38"/>
    <mergeCell ref="CX33:DC33"/>
    <mergeCell ref="BJ22:BO22"/>
    <mergeCell ref="T11:Y11"/>
    <mergeCell ref="Z11:AE11"/>
    <mergeCell ref="AF11:AK11"/>
    <mergeCell ref="AL11:AQ11"/>
    <mergeCell ref="CN35:CW35"/>
    <mergeCell ref="CN34:CW34"/>
    <mergeCell ref="CN33:CW33"/>
    <mergeCell ref="AW27:BC27"/>
    <mergeCell ref="AF23:AK23"/>
    <mergeCell ref="AL23:AQ23"/>
    <mergeCell ref="AL22:AQ22"/>
    <mergeCell ref="AR18:AS27"/>
    <mergeCell ref="AL13:AQ13"/>
    <mergeCell ref="AL14:AQ14"/>
    <mergeCell ref="AT20:BC20"/>
    <mergeCell ref="BD20:BI20"/>
    <mergeCell ref="T14:Y14"/>
    <mergeCell ref="D15:M15"/>
    <mergeCell ref="N15:S15"/>
    <mergeCell ref="T15:Y15"/>
    <mergeCell ref="Z15:AE15"/>
    <mergeCell ref="AF15:AK15"/>
    <mergeCell ref="AL15:AQ15"/>
    <mergeCell ref="AF19:AK19"/>
    <mergeCell ref="AL19:AQ19"/>
    <mergeCell ref="Z14:AE14"/>
    <mergeCell ref="AF14:AK14"/>
    <mergeCell ref="AL17:AQ17"/>
    <mergeCell ref="D14:M14"/>
    <mergeCell ref="N14:S14"/>
    <mergeCell ref="AL18:AQ18"/>
    <mergeCell ref="Z16:AE16"/>
    <mergeCell ref="AF16:AK16"/>
    <mergeCell ref="AL16:AQ16"/>
    <mergeCell ref="D16:M16"/>
    <mergeCell ref="D21:M21"/>
    <mergeCell ref="AF24:AK24"/>
    <mergeCell ref="AL24:AQ24"/>
    <mergeCell ref="T16:Y16"/>
    <mergeCell ref="D19:M19"/>
    <mergeCell ref="N19:S19"/>
    <mergeCell ref="T19:Y19"/>
    <mergeCell ref="T20:Y20"/>
    <mergeCell ref="N16:S16"/>
    <mergeCell ref="Z19:AE19"/>
    <mergeCell ref="D20:M20"/>
    <mergeCell ref="N20:S20"/>
    <mergeCell ref="AF18:AK18"/>
    <mergeCell ref="Z23:AE23"/>
    <mergeCell ref="D18:M18"/>
    <mergeCell ref="N18:S18"/>
    <mergeCell ref="T18:Y18"/>
    <mergeCell ref="Z18:AE18"/>
    <mergeCell ref="G23:M23"/>
    <mergeCell ref="G24:M24"/>
    <mergeCell ref="AF20:AK20"/>
    <mergeCell ref="T23:Y23"/>
    <mergeCell ref="N24:S24"/>
    <mergeCell ref="T24:Y24"/>
    <mergeCell ref="Z20:AE20"/>
    <mergeCell ref="BP30:BU30"/>
    <mergeCell ref="BD33:BI33"/>
    <mergeCell ref="BD30:BI30"/>
    <mergeCell ref="AF30:AK30"/>
    <mergeCell ref="BJ20:BO20"/>
    <mergeCell ref="BJ31:BO31"/>
    <mergeCell ref="BP31:BU31"/>
    <mergeCell ref="BP29:BU29"/>
    <mergeCell ref="BP24:BU24"/>
    <mergeCell ref="AL20:AQ20"/>
    <mergeCell ref="AT22:BC22"/>
    <mergeCell ref="BD22:BI22"/>
    <mergeCell ref="BP28:BU28"/>
    <mergeCell ref="BJ28:BO28"/>
    <mergeCell ref="AL27:AQ27"/>
    <mergeCell ref="BJ26:BO26"/>
    <mergeCell ref="AL26:AQ26"/>
    <mergeCell ref="AW31:BC31"/>
    <mergeCell ref="AL31:AQ31"/>
    <mergeCell ref="AL32:AQ32"/>
    <mergeCell ref="AT32:BC32"/>
    <mergeCell ref="BD32:BI32"/>
    <mergeCell ref="AL21:AQ21"/>
    <mergeCell ref="N23:S23"/>
    <mergeCell ref="BP35:BU35"/>
    <mergeCell ref="BJ35:BO35"/>
    <mergeCell ref="BD35:BI35"/>
    <mergeCell ref="AW35:BC35"/>
    <mergeCell ref="BJ34:BO34"/>
    <mergeCell ref="AF34:AK34"/>
    <mergeCell ref="AL34:AQ34"/>
    <mergeCell ref="AF33:AK33"/>
    <mergeCell ref="BP34:BU34"/>
    <mergeCell ref="BP33:BU33"/>
    <mergeCell ref="AT33:BC33"/>
    <mergeCell ref="BD27:BI27"/>
    <mergeCell ref="AL25:AQ25"/>
    <mergeCell ref="AF26:AK26"/>
    <mergeCell ref="BJ32:BO32"/>
    <mergeCell ref="BP32:BU32"/>
    <mergeCell ref="BJ27:BO27"/>
    <mergeCell ref="BP27:BU27"/>
    <mergeCell ref="Z24:AE24"/>
    <mergeCell ref="Z25:AE25"/>
    <mergeCell ref="AF25:AK25"/>
    <mergeCell ref="AT34:BC34"/>
    <mergeCell ref="BD34:BI34"/>
    <mergeCell ref="B13:C26"/>
    <mergeCell ref="D13:M13"/>
    <mergeCell ref="N13:S13"/>
    <mergeCell ref="T13:Y13"/>
    <mergeCell ref="Z13:AE13"/>
    <mergeCell ref="AF13:AK13"/>
    <mergeCell ref="D22:F25"/>
    <mergeCell ref="G22:M22"/>
    <mergeCell ref="N22:S22"/>
    <mergeCell ref="T22:Y22"/>
    <mergeCell ref="Z22:AE22"/>
    <mergeCell ref="AF22:AK22"/>
    <mergeCell ref="D17:M17"/>
    <mergeCell ref="N17:S17"/>
    <mergeCell ref="T17:Y17"/>
    <mergeCell ref="Z17:AE17"/>
    <mergeCell ref="AF17:AK17"/>
    <mergeCell ref="G25:M25"/>
    <mergeCell ref="N25:S25"/>
    <mergeCell ref="T25:Y25"/>
    <mergeCell ref="N21:S21"/>
    <mergeCell ref="T21:Y21"/>
    <mergeCell ref="Z21:AE21"/>
    <mergeCell ref="AF21:AK21"/>
    <mergeCell ref="AL30:AQ30"/>
    <mergeCell ref="AR28:AS31"/>
    <mergeCell ref="AL28:AQ28"/>
    <mergeCell ref="AT30:BC30"/>
    <mergeCell ref="Z34:AE34"/>
    <mergeCell ref="AL33:AQ33"/>
    <mergeCell ref="AT26:BC26"/>
    <mergeCell ref="BD25:BI25"/>
    <mergeCell ref="Z26:AE26"/>
    <mergeCell ref="B27:C32"/>
    <mergeCell ref="D27:M27"/>
    <mergeCell ref="N27:S27"/>
    <mergeCell ref="T27:Y27"/>
    <mergeCell ref="Z27:AE27"/>
    <mergeCell ref="AF27:AK27"/>
    <mergeCell ref="N29:S29"/>
    <mergeCell ref="D28:M28"/>
    <mergeCell ref="T28:Y28"/>
    <mergeCell ref="Z28:AE28"/>
    <mergeCell ref="AF32:AK32"/>
    <mergeCell ref="AF31:AK31"/>
    <mergeCell ref="AF28:AK28"/>
    <mergeCell ref="D30:M30"/>
    <mergeCell ref="N30:S30"/>
    <mergeCell ref="T30:Y30"/>
    <mergeCell ref="N28:S28"/>
    <mergeCell ref="CX51:DC51"/>
    <mergeCell ref="DD51:DI51"/>
    <mergeCell ref="BJ37:BO37"/>
    <mergeCell ref="AF37:AK37"/>
    <mergeCell ref="AL37:AQ37"/>
    <mergeCell ref="AT35:AV37"/>
    <mergeCell ref="BJ30:BO30"/>
    <mergeCell ref="AF29:AK29"/>
    <mergeCell ref="AL29:AQ29"/>
    <mergeCell ref="AW36:BC36"/>
    <mergeCell ref="AW37:BC37"/>
    <mergeCell ref="BJ29:BO29"/>
    <mergeCell ref="BJ33:BO33"/>
    <mergeCell ref="DD33:DI33"/>
    <mergeCell ref="CX43:DC43"/>
    <mergeCell ref="CN37:CW37"/>
    <mergeCell ref="AF35:AK35"/>
    <mergeCell ref="AL35:AQ35"/>
    <mergeCell ref="AF41:AK41"/>
    <mergeCell ref="AF42:AK42"/>
    <mergeCell ref="AL42:AQ42"/>
    <mergeCell ref="AF43:AK43"/>
    <mergeCell ref="AL45:AQ45"/>
    <mergeCell ref="BD31:BI31"/>
    <mergeCell ref="DJ56:DO56"/>
    <mergeCell ref="BJ46:BO46"/>
    <mergeCell ref="BP46:BU46"/>
    <mergeCell ref="BJ47:BO47"/>
    <mergeCell ref="BP47:BU47"/>
    <mergeCell ref="DD41:DI41"/>
    <mergeCell ref="DD53:DI53"/>
    <mergeCell ref="DD42:DI42"/>
    <mergeCell ref="DD45:DI45"/>
    <mergeCell ref="DD56:DI56"/>
    <mergeCell ref="BJ42:BO42"/>
    <mergeCell ref="BP42:BU42"/>
    <mergeCell ref="BJ44:BO44"/>
    <mergeCell ref="DJ48:DO48"/>
    <mergeCell ref="BP49:BU49"/>
    <mergeCell ref="BP50:BU50"/>
    <mergeCell ref="CX53:DC53"/>
    <mergeCell ref="DD46:DI46"/>
    <mergeCell ref="BJ43:BO43"/>
    <mergeCell ref="BP43:BU43"/>
    <mergeCell ref="CQ41:CW41"/>
    <mergeCell ref="CL42:CW42"/>
    <mergeCell ref="CL43:CM46"/>
    <mergeCell ref="BJ52:BO52"/>
    <mergeCell ref="CQ51:CW51"/>
    <mergeCell ref="CQ53:CW53"/>
    <mergeCell ref="G38:M38"/>
    <mergeCell ref="N38:S38"/>
    <mergeCell ref="T38:Y38"/>
    <mergeCell ref="Z38:AE38"/>
    <mergeCell ref="CN45:CW45"/>
    <mergeCell ref="CQ52:CW52"/>
    <mergeCell ref="BP39:BU39"/>
    <mergeCell ref="BP53:BU53"/>
    <mergeCell ref="BD53:BI53"/>
    <mergeCell ref="BD50:BI50"/>
    <mergeCell ref="BP41:BU41"/>
    <mergeCell ref="AL52:AQ52"/>
    <mergeCell ref="BP48:BU48"/>
    <mergeCell ref="AT50:BC50"/>
    <mergeCell ref="AW47:BC47"/>
    <mergeCell ref="BD39:BI39"/>
    <mergeCell ref="D42:M42"/>
    <mergeCell ref="AF46:AK46"/>
    <mergeCell ref="N42:S42"/>
    <mergeCell ref="T42:Y42"/>
    <mergeCell ref="Z42:AE42"/>
    <mergeCell ref="D41:M41"/>
    <mergeCell ref="BP37:BU37"/>
    <mergeCell ref="BJ36:BO36"/>
    <mergeCell ref="BJ38:BO38"/>
    <mergeCell ref="BP36:BU36"/>
    <mergeCell ref="BP38:BU38"/>
    <mergeCell ref="BJ39:BO39"/>
    <mergeCell ref="N39:S39"/>
    <mergeCell ref="T39:Y39"/>
    <mergeCell ref="AW41:BC41"/>
    <mergeCell ref="G37:M37"/>
    <mergeCell ref="G36:M36"/>
    <mergeCell ref="N36:S36"/>
    <mergeCell ref="T36:Y36"/>
    <mergeCell ref="Z36:AE36"/>
    <mergeCell ref="AF36:AK36"/>
    <mergeCell ref="AL36:AQ36"/>
    <mergeCell ref="AT38:BC38"/>
    <mergeCell ref="N37:S37"/>
    <mergeCell ref="T37:Y37"/>
    <mergeCell ref="CX49:DC49"/>
    <mergeCell ref="CX48:DC48"/>
    <mergeCell ref="CX41:DC41"/>
    <mergeCell ref="CX45:DC45"/>
    <mergeCell ref="BD48:BI48"/>
    <mergeCell ref="BJ48:BO48"/>
    <mergeCell ref="BJ49:BO49"/>
    <mergeCell ref="BD46:BI46"/>
    <mergeCell ref="AW42:BC42"/>
    <mergeCell ref="BD42:BI42"/>
    <mergeCell ref="BD43:BI43"/>
    <mergeCell ref="CN43:CW43"/>
    <mergeCell ref="CN44:CW44"/>
    <mergeCell ref="BD41:BI41"/>
    <mergeCell ref="CQ46:CW46"/>
    <mergeCell ref="BP44:BU44"/>
    <mergeCell ref="BV41:CA41"/>
    <mergeCell ref="CB41:CG41"/>
    <mergeCell ref="BV42:CA42"/>
    <mergeCell ref="CB42:CG42"/>
    <mergeCell ref="BV43:CA43"/>
    <mergeCell ref="CB43:CG43"/>
    <mergeCell ref="BV44:CA44"/>
    <mergeCell ref="CB44:CG44"/>
    <mergeCell ref="AT46:AV47"/>
    <mergeCell ref="AW46:BC46"/>
    <mergeCell ref="AL47:AQ47"/>
    <mergeCell ref="Z37:AE37"/>
    <mergeCell ref="BJ40:BO40"/>
    <mergeCell ref="BJ41:BO41"/>
    <mergeCell ref="DJ49:DO49"/>
    <mergeCell ref="CX38:DC38"/>
    <mergeCell ref="CX34:DC34"/>
    <mergeCell ref="DD34:DI34"/>
    <mergeCell ref="CX44:DC44"/>
    <mergeCell ref="CX42:DC42"/>
    <mergeCell ref="CX47:DC47"/>
    <mergeCell ref="Z39:AE39"/>
    <mergeCell ref="AF39:AK39"/>
    <mergeCell ref="AW40:BC40"/>
    <mergeCell ref="BD40:BI40"/>
    <mergeCell ref="BD36:BI36"/>
    <mergeCell ref="AF38:AK38"/>
    <mergeCell ref="AL38:AQ38"/>
    <mergeCell ref="AT39:BC39"/>
    <mergeCell ref="AL39:AQ39"/>
    <mergeCell ref="BD38:BI38"/>
    <mergeCell ref="BD37:BI37"/>
    <mergeCell ref="DD50:DI50"/>
    <mergeCell ref="DD49:DI49"/>
    <mergeCell ref="DD48:DI48"/>
    <mergeCell ref="DD38:DI38"/>
    <mergeCell ref="DD37:DI37"/>
    <mergeCell ref="DD40:DI40"/>
    <mergeCell ref="DJ36:DO36"/>
    <mergeCell ref="DJ38:DO38"/>
    <mergeCell ref="DJ41:DO41"/>
    <mergeCell ref="DJ42:DO42"/>
    <mergeCell ref="DD36:DI36"/>
    <mergeCell ref="DJ50:DO50"/>
    <mergeCell ref="DD47:DI47"/>
    <mergeCell ref="DJ57:DO57"/>
    <mergeCell ref="DD57:DI57"/>
    <mergeCell ref="DJ52:DO52"/>
    <mergeCell ref="DJ53:DO53"/>
    <mergeCell ref="CN55:CW55"/>
    <mergeCell ref="AL53:AQ53"/>
    <mergeCell ref="CX35:DC35"/>
    <mergeCell ref="DD35:DI35"/>
    <mergeCell ref="DJ51:DO51"/>
    <mergeCell ref="CX52:DC52"/>
    <mergeCell ref="DD52:DI52"/>
    <mergeCell ref="DD54:DI54"/>
    <mergeCell ref="CX55:DC55"/>
    <mergeCell ref="DD55:DI55"/>
    <mergeCell ref="DJ55:DO55"/>
    <mergeCell ref="DJ43:DO43"/>
    <mergeCell ref="DJ44:DO44"/>
    <mergeCell ref="DJ45:DO45"/>
    <mergeCell ref="DD43:DI43"/>
    <mergeCell ref="DJ46:DO46"/>
    <mergeCell ref="DD44:DI44"/>
    <mergeCell ref="CX46:DC46"/>
    <mergeCell ref="CX37:DC37"/>
    <mergeCell ref="CX50:DC50"/>
    <mergeCell ref="AF56:AK56"/>
    <mergeCell ref="Z57:AE57"/>
    <mergeCell ref="DJ54:DO54"/>
    <mergeCell ref="CN56:CP58"/>
    <mergeCell ref="CQ56:CW56"/>
    <mergeCell ref="AT48:BC48"/>
    <mergeCell ref="BP54:BU54"/>
    <mergeCell ref="AW55:BC55"/>
    <mergeCell ref="BP55:BU55"/>
    <mergeCell ref="BD55:BI55"/>
    <mergeCell ref="AF58:AK58"/>
    <mergeCell ref="BD56:BI56"/>
    <mergeCell ref="CN50:CW50"/>
    <mergeCell ref="CN49:CW49"/>
    <mergeCell ref="CL48:CM71"/>
    <mergeCell ref="CN48:CW48"/>
    <mergeCell ref="CQ57:CW57"/>
    <mergeCell ref="CX57:DC57"/>
    <mergeCell ref="BJ54:BO54"/>
    <mergeCell ref="AL50:AQ50"/>
    <mergeCell ref="BJ50:BO50"/>
    <mergeCell ref="BJ53:BO53"/>
    <mergeCell ref="AL48:AQ48"/>
    <mergeCell ref="AT49:BC49"/>
    <mergeCell ref="BD54:BI54"/>
    <mergeCell ref="Z41:AE41"/>
    <mergeCell ref="T41:Y41"/>
    <mergeCell ref="AW52:BC52"/>
    <mergeCell ref="BD52:BI52"/>
    <mergeCell ref="N43:S43"/>
    <mergeCell ref="T43:Y43"/>
    <mergeCell ref="Z43:AE43"/>
    <mergeCell ref="BD49:BI49"/>
    <mergeCell ref="AT54:BC54"/>
    <mergeCell ref="AL41:AQ41"/>
    <mergeCell ref="BD44:BI44"/>
    <mergeCell ref="AT43:BC43"/>
    <mergeCell ref="BD47:BI47"/>
    <mergeCell ref="AF49:AK49"/>
    <mergeCell ref="AF50:AK50"/>
    <mergeCell ref="AF48:AK48"/>
    <mergeCell ref="AF47:AK47"/>
    <mergeCell ref="N41:S41"/>
    <mergeCell ref="N50:S50"/>
    <mergeCell ref="AL44:AQ44"/>
    <mergeCell ref="AT44:BC44"/>
    <mergeCell ref="AL46:AQ46"/>
    <mergeCell ref="AF45:AK45"/>
    <mergeCell ref="G35:M35"/>
    <mergeCell ref="N35:S35"/>
    <mergeCell ref="T35:Y35"/>
    <mergeCell ref="Z35:AE35"/>
    <mergeCell ref="G34:M34"/>
    <mergeCell ref="D29:M29"/>
    <mergeCell ref="T29:Y29"/>
    <mergeCell ref="Z29:AE29"/>
    <mergeCell ref="D32:M32"/>
    <mergeCell ref="N32:S32"/>
    <mergeCell ref="T32:Y32"/>
    <mergeCell ref="Z32:AE32"/>
    <mergeCell ref="D31:M31"/>
    <mergeCell ref="N31:S31"/>
    <mergeCell ref="T31:Y31"/>
    <mergeCell ref="Z31:AE31"/>
    <mergeCell ref="N34:S34"/>
    <mergeCell ref="T34:Y34"/>
    <mergeCell ref="Z30:AE30"/>
    <mergeCell ref="D26:M26"/>
    <mergeCell ref="N26:S26"/>
    <mergeCell ref="T26:Y26"/>
    <mergeCell ref="BD29:BI29"/>
    <mergeCell ref="AT29:BC29"/>
    <mergeCell ref="B43:C46"/>
    <mergeCell ref="B47:C52"/>
    <mergeCell ref="G48:M48"/>
    <mergeCell ref="N48:S48"/>
    <mergeCell ref="T48:Y48"/>
    <mergeCell ref="Z48:AE48"/>
    <mergeCell ref="D49:M49"/>
    <mergeCell ref="D50:M50"/>
    <mergeCell ref="D43:M43"/>
    <mergeCell ref="D52:M52"/>
    <mergeCell ref="N52:S52"/>
    <mergeCell ref="T52:Y52"/>
    <mergeCell ref="Z52:AE52"/>
    <mergeCell ref="D45:M45"/>
    <mergeCell ref="N45:S45"/>
    <mergeCell ref="T45:Y45"/>
    <mergeCell ref="Z45:AE45"/>
    <mergeCell ref="Z46:AE46"/>
    <mergeCell ref="D39:M39"/>
    <mergeCell ref="AF53:AK53"/>
    <mergeCell ref="AF52:AK52"/>
    <mergeCell ref="D44:M44"/>
    <mergeCell ref="Z50:AE50"/>
    <mergeCell ref="N49:S49"/>
    <mergeCell ref="T49:Y49"/>
    <mergeCell ref="N44:S44"/>
    <mergeCell ref="T44:Y44"/>
    <mergeCell ref="AL43:AQ43"/>
    <mergeCell ref="Z47:AE47"/>
    <mergeCell ref="Z44:AE44"/>
    <mergeCell ref="D46:M46"/>
    <mergeCell ref="N46:S46"/>
    <mergeCell ref="T46:Y46"/>
    <mergeCell ref="AF44:AK44"/>
    <mergeCell ref="D58:M58"/>
    <mergeCell ref="N58:S58"/>
    <mergeCell ref="T58:Y58"/>
    <mergeCell ref="Z58:AE58"/>
    <mergeCell ref="T57:Y57"/>
    <mergeCell ref="D53:F55"/>
    <mergeCell ref="G53:M53"/>
    <mergeCell ref="N53:S53"/>
    <mergeCell ref="D57:M57"/>
    <mergeCell ref="N57:S57"/>
    <mergeCell ref="N54:S54"/>
    <mergeCell ref="T54:Y54"/>
    <mergeCell ref="Z53:AE53"/>
    <mergeCell ref="G55:M55"/>
    <mergeCell ref="N55:S55"/>
    <mergeCell ref="T55:Y55"/>
    <mergeCell ref="Z55:AE55"/>
    <mergeCell ref="N59:S59"/>
    <mergeCell ref="T59:Y59"/>
    <mergeCell ref="Z59:AE59"/>
    <mergeCell ref="AF59:AK59"/>
    <mergeCell ref="CN61:CW61"/>
    <mergeCell ref="B33:C42"/>
    <mergeCell ref="D33:F38"/>
    <mergeCell ref="G33:M33"/>
    <mergeCell ref="N33:S33"/>
    <mergeCell ref="T33:Y33"/>
    <mergeCell ref="Z33:AE33"/>
    <mergeCell ref="BD59:BI59"/>
    <mergeCell ref="BJ59:BO59"/>
    <mergeCell ref="BP59:BU59"/>
    <mergeCell ref="AT40:AV42"/>
    <mergeCell ref="D40:M40"/>
    <mergeCell ref="N40:S40"/>
    <mergeCell ref="T40:Y40"/>
    <mergeCell ref="Z40:AE40"/>
    <mergeCell ref="AF40:AK40"/>
    <mergeCell ref="AL40:AQ40"/>
    <mergeCell ref="BP40:BU40"/>
    <mergeCell ref="B53:C58"/>
    <mergeCell ref="T53:Y53"/>
    <mergeCell ref="DJ66:DO66"/>
    <mergeCell ref="CN64:CW64"/>
    <mergeCell ref="CX64:DC64"/>
    <mergeCell ref="DD64:DI64"/>
    <mergeCell ref="DJ64:DO64"/>
    <mergeCell ref="DJ62:DO62"/>
    <mergeCell ref="DJ63:DO63"/>
    <mergeCell ref="DJ61:DO61"/>
    <mergeCell ref="DD63:DI63"/>
    <mergeCell ref="CX62:DC62"/>
    <mergeCell ref="CQ63:CW63"/>
    <mergeCell ref="CX63:DC63"/>
    <mergeCell ref="CX61:DC61"/>
    <mergeCell ref="DD61:DI61"/>
    <mergeCell ref="CN66:CW66"/>
    <mergeCell ref="DJ60:DO60"/>
    <mergeCell ref="DJ58:DO58"/>
    <mergeCell ref="CQ58:CW58"/>
    <mergeCell ref="CX58:DC58"/>
    <mergeCell ref="DD58:DI58"/>
    <mergeCell ref="D47:F48"/>
    <mergeCell ref="D56:M56"/>
    <mergeCell ref="N56:S56"/>
    <mergeCell ref="T56:Y56"/>
    <mergeCell ref="N47:S47"/>
    <mergeCell ref="T47:Y47"/>
    <mergeCell ref="G47:M47"/>
    <mergeCell ref="Z49:AE49"/>
    <mergeCell ref="T50:Y50"/>
    <mergeCell ref="Z56:AE56"/>
    <mergeCell ref="DJ47:DO47"/>
    <mergeCell ref="CL47:CW47"/>
    <mergeCell ref="AL49:AQ49"/>
    <mergeCell ref="CX54:DC54"/>
    <mergeCell ref="CN51:CP53"/>
    <mergeCell ref="AL55:AQ55"/>
    <mergeCell ref="BJ55:BO55"/>
    <mergeCell ref="B59:G59"/>
    <mergeCell ref="H59:M59"/>
    <mergeCell ref="DJ73:DO73"/>
    <mergeCell ref="AR32:AS55"/>
    <mergeCell ref="CL72:CW72"/>
    <mergeCell ref="CX72:DC72"/>
    <mergeCell ref="DD72:DI72"/>
    <mergeCell ref="DJ72:DO72"/>
    <mergeCell ref="AT45:BC45"/>
    <mergeCell ref="BD45:BI45"/>
    <mergeCell ref="BJ45:BO45"/>
    <mergeCell ref="BP45:BU45"/>
    <mergeCell ref="CQ71:CW71"/>
    <mergeCell ref="CX71:DC71"/>
    <mergeCell ref="DD71:DI71"/>
    <mergeCell ref="DJ70:DO70"/>
    <mergeCell ref="DJ68:DO68"/>
    <mergeCell ref="DJ69:DO69"/>
    <mergeCell ref="DJ71:DO71"/>
    <mergeCell ref="CN70:CW70"/>
    <mergeCell ref="CX70:DC70"/>
    <mergeCell ref="DD70:DI70"/>
    <mergeCell ref="CX69:DC69"/>
    <mergeCell ref="DD69:DI69"/>
    <mergeCell ref="DJ65:DO65"/>
    <mergeCell ref="CN59:CW59"/>
    <mergeCell ref="CL73:CW73"/>
    <mergeCell ref="CX73:DC73"/>
    <mergeCell ref="DD73:DI73"/>
    <mergeCell ref="AL58:AQ58"/>
    <mergeCell ref="DD68:DI68"/>
    <mergeCell ref="DD65:DI65"/>
    <mergeCell ref="DD62:DI62"/>
    <mergeCell ref="AL56:AQ56"/>
    <mergeCell ref="AL59:AQ59"/>
    <mergeCell ref="DD59:DI59"/>
    <mergeCell ref="CN60:CW60"/>
    <mergeCell ref="CX60:DC60"/>
    <mergeCell ref="DD60:DI60"/>
    <mergeCell ref="BV62:CA62"/>
    <mergeCell ref="CB62:CG62"/>
    <mergeCell ref="BJ57:BO57"/>
    <mergeCell ref="BP57:BU57"/>
    <mergeCell ref="AT57:BC57"/>
    <mergeCell ref="BD57:BI57"/>
    <mergeCell ref="BV61:CA61"/>
    <mergeCell ref="CB61:CG61"/>
    <mergeCell ref="BV59:CA59"/>
    <mergeCell ref="CB59:CG59"/>
    <mergeCell ref="DJ74:DO74"/>
    <mergeCell ref="CN69:CW69"/>
    <mergeCell ref="CN74:CW74"/>
    <mergeCell ref="CX74:DC74"/>
    <mergeCell ref="CN67:CP68"/>
    <mergeCell ref="CQ67:CW67"/>
    <mergeCell ref="BP52:BU52"/>
    <mergeCell ref="AT53:BC53"/>
    <mergeCell ref="DJ59:DO59"/>
    <mergeCell ref="CQ68:CW68"/>
    <mergeCell ref="CX68:DC68"/>
    <mergeCell ref="CX65:DC65"/>
    <mergeCell ref="AR59:AW59"/>
    <mergeCell ref="AX59:BC59"/>
    <mergeCell ref="CN65:CW65"/>
    <mergeCell ref="CN62:CP63"/>
    <mergeCell ref="CQ62:CW62"/>
    <mergeCell ref="AR56:BC56"/>
    <mergeCell ref="CX59:DC59"/>
    <mergeCell ref="BJ56:BO56"/>
    <mergeCell ref="BP56:BU56"/>
    <mergeCell ref="CX56:DC56"/>
    <mergeCell ref="CN54:CW54"/>
    <mergeCell ref="DD74:DI74"/>
    <mergeCell ref="CL30:DO30"/>
    <mergeCell ref="D51:M51"/>
    <mergeCell ref="N51:S51"/>
    <mergeCell ref="T51:Y51"/>
    <mergeCell ref="Z51:AE51"/>
    <mergeCell ref="AF51:AK51"/>
    <mergeCell ref="AL51:AQ51"/>
    <mergeCell ref="CX67:DC67"/>
    <mergeCell ref="DD67:DI67"/>
    <mergeCell ref="DJ67:DO67"/>
    <mergeCell ref="AT51:AV52"/>
    <mergeCell ref="AW51:BC51"/>
    <mergeCell ref="BD51:BI51"/>
    <mergeCell ref="BJ51:BO51"/>
    <mergeCell ref="BP51:BU51"/>
    <mergeCell ref="CX66:DC66"/>
    <mergeCell ref="DD66:DI66"/>
    <mergeCell ref="G54:M54"/>
    <mergeCell ref="Z54:AE54"/>
    <mergeCell ref="AF54:AK54"/>
    <mergeCell ref="AL54:AQ54"/>
    <mergeCell ref="AF57:AK57"/>
    <mergeCell ref="AL57:AQ57"/>
    <mergeCell ref="AF55:AK55"/>
    <mergeCell ref="BP19:BU19"/>
    <mergeCell ref="BD28:BI28"/>
    <mergeCell ref="AT28:BC28"/>
    <mergeCell ref="BP22:BU22"/>
    <mergeCell ref="AT23:BC23"/>
    <mergeCell ref="BD23:BI23"/>
    <mergeCell ref="BJ23:BO23"/>
    <mergeCell ref="BP23:BU23"/>
    <mergeCell ref="AT24:BC24"/>
    <mergeCell ref="BD24:BI24"/>
    <mergeCell ref="BJ24:BO24"/>
    <mergeCell ref="BP20:BU20"/>
    <mergeCell ref="AT21:BC21"/>
    <mergeCell ref="BD21:BI21"/>
    <mergeCell ref="BJ21:BO21"/>
    <mergeCell ref="BP21:BU21"/>
    <mergeCell ref="BJ25:BO25"/>
    <mergeCell ref="BP25:BU25"/>
    <mergeCell ref="BP26:BU26"/>
    <mergeCell ref="AT25:BC25"/>
    <mergeCell ref="BJ19:BO19"/>
    <mergeCell ref="BD19:BI19"/>
    <mergeCell ref="AT19:BC19"/>
    <mergeCell ref="BD26:BI26"/>
    <mergeCell ref="BP18:BU18"/>
    <mergeCell ref="BJ18:BO18"/>
    <mergeCell ref="BD18:BI18"/>
    <mergeCell ref="AT18:BC18"/>
    <mergeCell ref="AR17:BC17"/>
    <mergeCell ref="BD17:BI17"/>
    <mergeCell ref="BJ17:BO17"/>
    <mergeCell ref="BP17:BU17"/>
    <mergeCell ref="AT14:BC14"/>
    <mergeCell ref="AT15:BC15"/>
    <mergeCell ref="AR16:BU16"/>
    <mergeCell ref="BP14:BU14"/>
    <mergeCell ref="BD15:BI15"/>
    <mergeCell ref="BJ15:BO15"/>
    <mergeCell ref="BP15:BU15"/>
    <mergeCell ref="BJ8:BO8"/>
    <mergeCell ref="BP8:BU8"/>
    <mergeCell ref="BV10:CA10"/>
    <mergeCell ref="BD9:BI9"/>
    <mergeCell ref="BJ9:BO9"/>
    <mergeCell ref="BP9:BU9"/>
    <mergeCell ref="BV8:CA8"/>
    <mergeCell ref="CB8:CG8"/>
    <mergeCell ref="AR6:CG6"/>
    <mergeCell ref="AT9:BC9"/>
    <mergeCell ref="BV9:CA9"/>
    <mergeCell ref="BD10:BI10"/>
    <mergeCell ref="BJ10:BO10"/>
    <mergeCell ref="BP10:BU10"/>
    <mergeCell ref="AR7:BC8"/>
    <mergeCell ref="BD7:BU7"/>
    <mergeCell ref="BV7:CG7"/>
    <mergeCell ref="BV15:CA15"/>
    <mergeCell ref="CB15:CG15"/>
    <mergeCell ref="BD12:BI12"/>
    <mergeCell ref="BJ12:BO12"/>
    <mergeCell ref="B6:AQ6"/>
    <mergeCell ref="AL5:AQ5"/>
    <mergeCell ref="BV14:CA14"/>
    <mergeCell ref="CB14:CG14"/>
    <mergeCell ref="CB12:CG12"/>
    <mergeCell ref="BD13:BI13"/>
    <mergeCell ref="BJ13:BO13"/>
    <mergeCell ref="BP13:BU13"/>
    <mergeCell ref="BV13:CA13"/>
    <mergeCell ref="CB13:CG13"/>
    <mergeCell ref="BP12:BU12"/>
    <mergeCell ref="BV12:CA12"/>
    <mergeCell ref="BD14:BI14"/>
    <mergeCell ref="BJ14:BO14"/>
    <mergeCell ref="AR9:AS15"/>
    <mergeCell ref="AT11:BC11"/>
    <mergeCell ref="AT12:BC12"/>
    <mergeCell ref="AT13:BC13"/>
    <mergeCell ref="CB5:CG5"/>
    <mergeCell ref="CB10:CG10"/>
    <mergeCell ref="T3:Y3"/>
    <mergeCell ref="H4:S4"/>
    <mergeCell ref="H5:S5"/>
    <mergeCell ref="BV11:CA11"/>
    <mergeCell ref="CB11:CG11"/>
    <mergeCell ref="CB9:CG9"/>
    <mergeCell ref="BD11:BI11"/>
    <mergeCell ref="BJ11:BO11"/>
    <mergeCell ref="BP11:BU11"/>
    <mergeCell ref="AT10:BC10"/>
    <mergeCell ref="B7:M8"/>
    <mergeCell ref="G10:M10"/>
    <mergeCell ref="N10:S10"/>
    <mergeCell ref="T10:Y10"/>
    <mergeCell ref="Z10:AE10"/>
    <mergeCell ref="AF10:AK10"/>
    <mergeCell ref="N8:S8"/>
    <mergeCell ref="T8:Y8"/>
    <mergeCell ref="Z8:AE8"/>
    <mergeCell ref="AF8:AK8"/>
    <mergeCell ref="N7:AE7"/>
    <mergeCell ref="AF7:AQ7"/>
    <mergeCell ref="BP5:BU5"/>
    <mergeCell ref="BD8:BI8"/>
    <mergeCell ref="BV16:CG16"/>
    <mergeCell ref="BV17:CA17"/>
    <mergeCell ref="CB17:CG17"/>
    <mergeCell ref="BV18:CA18"/>
    <mergeCell ref="CB18:CG18"/>
    <mergeCell ref="BV19:CA19"/>
    <mergeCell ref="CB19:CG19"/>
    <mergeCell ref="BV20:CA20"/>
    <mergeCell ref="CB20:CG20"/>
    <mergeCell ref="BV21:CA21"/>
    <mergeCell ref="CB21:CG21"/>
    <mergeCell ref="BV22:CA22"/>
    <mergeCell ref="CB22:CG22"/>
    <mergeCell ref="BV23:CA23"/>
    <mergeCell ref="CB23:CG23"/>
    <mergeCell ref="BV24:CA24"/>
    <mergeCell ref="CB24:CG24"/>
    <mergeCell ref="BV25:CA25"/>
    <mergeCell ref="CB25:CG25"/>
    <mergeCell ref="BV26:CA26"/>
    <mergeCell ref="CB26:CG26"/>
    <mergeCell ref="BV27:CA27"/>
    <mergeCell ref="CB27:CG27"/>
    <mergeCell ref="BV28:CA28"/>
    <mergeCell ref="CB28:CG28"/>
    <mergeCell ref="BV29:CA29"/>
    <mergeCell ref="CB29:CG29"/>
    <mergeCell ref="BV30:CA30"/>
    <mergeCell ref="CB30:CG30"/>
    <mergeCell ref="BV31:CA31"/>
    <mergeCell ref="CB31:CG31"/>
    <mergeCell ref="BV32:CA32"/>
    <mergeCell ref="CB32:CG32"/>
    <mergeCell ref="BV33:CA33"/>
    <mergeCell ref="CB33:CG33"/>
    <mergeCell ref="BV34:CA34"/>
    <mergeCell ref="CB34:CG34"/>
    <mergeCell ref="BV35:CA35"/>
    <mergeCell ref="CB35:CG35"/>
    <mergeCell ref="BV36:CA36"/>
    <mergeCell ref="CB36:CG36"/>
    <mergeCell ref="BV37:CA37"/>
    <mergeCell ref="CB37:CG37"/>
    <mergeCell ref="BV38:CA38"/>
    <mergeCell ref="CB38:CG38"/>
    <mergeCell ref="BV39:CA39"/>
    <mergeCell ref="CB39:CG39"/>
    <mergeCell ref="BV40:CA40"/>
    <mergeCell ref="CB40:CG40"/>
    <mergeCell ref="BV45:CA45"/>
    <mergeCell ref="CB45:CG45"/>
    <mergeCell ref="BV46:CA46"/>
    <mergeCell ref="CB46:CG46"/>
    <mergeCell ref="BV47:CA47"/>
    <mergeCell ref="CB47:CG47"/>
    <mergeCell ref="BV48:CA48"/>
    <mergeCell ref="CB48:CG48"/>
    <mergeCell ref="BV49:CA49"/>
    <mergeCell ref="CB49:CG49"/>
    <mergeCell ref="BV55:CA55"/>
    <mergeCell ref="CB55:CG55"/>
    <mergeCell ref="BV56:CA56"/>
    <mergeCell ref="CB56:CG56"/>
    <mergeCell ref="BV57:CA57"/>
    <mergeCell ref="CB57:CG57"/>
    <mergeCell ref="BV58:CA58"/>
    <mergeCell ref="CB58:CG58"/>
    <mergeCell ref="BV50:CA50"/>
    <mergeCell ref="CB50:CG50"/>
    <mergeCell ref="BV51:CA51"/>
    <mergeCell ref="CB51:CG51"/>
    <mergeCell ref="BV52:CA52"/>
    <mergeCell ref="CB52:CG52"/>
    <mergeCell ref="BV53:CA53"/>
    <mergeCell ref="CB53:CG53"/>
    <mergeCell ref="BV54:CA54"/>
    <mergeCell ref="CB54:CG54"/>
  </mergeCells>
  <phoneticPr fontId="6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C146"/>
  <sheetViews>
    <sheetView topLeftCell="H1" workbookViewId="0">
      <selection activeCell="S11" sqref="S11"/>
    </sheetView>
  </sheetViews>
  <sheetFormatPr defaultColWidth="8.875" defaultRowHeight="13.5"/>
  <cols>
    <col min="1" max="1" width="16.875" style="63" bestFit="1" customWidth="1"/>
    <col min="2" max="3" width="8.875" style="63"/>
    <col min="4" max="4" width="16.875" style="63" bestFit="1" customWidth="1"/>
    <col min="5" max="5" width="8.875" style="63"/>
    <col min="6" max="6" width="4.25" style="63" customWidth="1"/>
    <col min="7" max="7" width="21.5" style="63" bestFit="1" customWidth="1"/>
    <col min="8" max="9" width="8.875" style="63"/>
    <col min="10" max="10" width="16.125" style="63" bestFit="1" customWidth="1"/>
    <col min="11" max="12" width="8.875" style="63"/>
    <col min="13" max="13" width="19.375" style="63" bestFit="1" customWidth="1"/>
    <col min="14" max="15" width="8.875" style="63"/>
    <col min="16" max="16" width="13.875" style="63" bestFit="1" customWidth="1"/>
    <col min="17" max="17" width="8.875" style="63"/>
    <col min="18" max="18" width="3.375" style="63" customWidth="1"/>
    <col min="19" max="19" width="19.375" style="63" bestFit="1" customWidth="1"/>
    <col min="20" max="21" width="8.875" style="63"/>
    <col min="22" max="22" width="33.875" style="63" bestFit="1" customWidth="1"/>
    <col min="23" max="23" width="8.875" style="80"/>
    <col min="24" max="24" width="8.875" style="63"/>
    <col min="25" max="25" width="13" style="63" bestFit="1" customWidth="1"/>
    <col min="26" max="27" width="8.875" style="63"/>
    <col min="28" max="28" width="13" style="63" bestFit="1" customWidth="1"/>
    <col min="29" max="16384" width="8.875" style="63"/>
  </cols>
  <sheetData>
    <row r="2" spans="1:29">
      <c r="A2" s="62" t="s">
        <v>315</v>
      </c>
      <c r="B2" s="62" t="s">
        <v>316</v>
      </c>
      <c r="D2" s="64" t="s">
        <v>99</v>
      </c>
      <c r="E2" s="64" t="s">
        <v>316</v>
      </c>
      <c r="G2" s="65" t="s">
        <v>317</v>
      </c>
      <c r="H2" s="66" t="s">
        <v>316</v>
      </c>
      <c r="J2" s="67" t="s">
        <v>318</v>
      </c>
      <c r="K2" s="67" t="s">
        <v>316</v>
      </c>
      <c r="M2" s="68" t="s">
        <v>427</v>
      </c>
      <c r="N2" s="68" t="s">
        <v>428</v>
      </c>
      <c r="P2" s="63" t="s">
        <v>393</v>
      </c>
      <c r="S2" s="63" t="s">
        <v>393</v>
      </c>
      <c r="V2" s="69" t="s">
        <v>319</v>
      </c>
      <c r="W2" s="70" t="s">
        <v>320</v>
      </c>
      <c r="Y2" s="71" t="s">
        <v>273</v>
      </c>
      <c r="Z2" s="71" t="s">
        <v>320</v>
      </c>
      <c r="AB2" s="85" t="s">
        <v>274</v>
      </c>
      <c r="AC2" s="85" t="s">
        <v>320</v>
      </c>
    </row>
    <row r="3" spans="1:29">
      <c r="A3" s="62" t="s">
        <v>321</v>
      </c>
      <c r="B3" s="62">
        <v>2</v>
      </c>
      <c r="D3" s="64"/>
      <c r="E3" s="64"/>
      <c r="G3" s="65" t="s">
        <v>322</v>
      </c>
      <c r="H3" s="66">
        <v>11</v>
      </c>
      <c r="J3" s="67" t="s">
        <v>323</v>
      </c>
      <c r="K3" s="67">
        <v>1</v>
      </c>
      <c r="M3" s="68" t="s">
        <v>429</v>
      </c>
      <c r="N3" s="68">
        <v>1</v>
      </c>
      <c r="P3" s="72" t="s">
        <v>325</v>
      </c>
      <c r="Q3" s="72" t="s">
        <v>316</v>
      </c>
      <c r="S3" s="73" t="s">
        <v>326</v>
      </c>
      <c r="T3" s="73" t="s">
        <v>320</v>
      </c>
      <c r="V3" s="69" t="s">
        <v>327</v>
      </c>
      <c r="W3" s="70">
        <v>1</v>
      </c>
      <c r="Y3" s="71" t="s">
        <v>328</v>
      </c>
      <c r="Z3" s="71">
        <v>1</v>
      </c>
      <c r="AB3" s="85" t="s">
        <v>394</v>
      </c>
      <c r="AC3" s="85">
        <v>1</v>
      </c>
    </row>
    <row r="4" spans="1:29">
      <c r="A4" s="62" t="s">
        <v>329</v>
      </c>
      <c r="B4" s="62">
        <v>3</v>
      </c>
      <c r="D4" s="64"/>
      <c r="E4" s="64"/>
      <c r="G4" s="65" t="s">
        <v>330</v>
      </c>
      <c r="H4" s="66">
        <v>12</v>
      </c>
      <c r="J4" s="67" t="s">
        <v>331</v>
      </c>
      <c r="K4" s="67">
        <v>0</v>
      </c>
      <c r="M4" s="68" t="s">
        <v>324</v>
      </c>
      <c r="N4" s="68">
        <v>2</v>
      </c>
      <c r="P4" s="72" t="s">
        <v>433</v>
      </c>
      <c r="Q4" s="72">
        <v>1</v>
      </c>
      <c r="S4" s="73" t="s">
        <v>441</v>
      </c>
      <c r="T4" s="121">
        <v>1</v>
      </c>
      <c r="V4" s="69" t="s">
        <v>332</v>
      </c>
      <c r="W4" s="70">
        <v>2</v>
      </c>
      <c r="Y4" s="71" t="s">
        <v>333</v>
      </c>
      <c r="Z4" s="71">
        <v>2</v>
      </c>
      <c r="AB4" s="85" t="s">
        <v>395</v>
      </c>
      <c r="AC4" s="85">
        <v>0</v>
      </c>
    </row>
    <row r="5" spans="1:29">
      <c r="A5" s="62" t="s">
        <v>334</v>
      </c>
      <c r="B5" s="62">
        <v>4</v>
      </c>
      <c r="D5" s="64"/>
      <c r="E5" s="64"/>
      <c r="G5" s="65" t="s">
        <v>335</v>
      </c>
      <c r="H5" s="66">
        <v>13</v>
      </c>
      <c r="M5" s="68" t="s">
        <v>336</v>
      </c>
      <c r="N5" s="68">
        <v>3</v>
      </c>
      <c r="P5" s="72" t="s">
        <v>434</v>
      </c>
      <c r="Q5" s="72">
        <v>2</v>
      </c>
      <c r="S5" s="73" t="s">
        <v>442</v>
      </c>
      <c r="T5" s="121">
        <v>2</v>
      </c>
      <c r="V5" s="69" t="s">
        <v>337</v>
      </c>
      <c r="W5" s="70">
        <v>3</v>
      </c>
    </row>
    <row r="6" spans="1:29">
      <c r="A6" s="62" t="s">
        <v>338</v>
      </c>
      <c r="B6" s="62">
        <v>5</v>
      </c>
      <c r="D6" s="64"/>
      <c r="E6" s="64"/>
      <c r="G6" s="65" t="s">
        <v>339</v>
      </c>
      <c r="H6" s="66">
        <v>21</v>
      </c>
      <c r="K6" s="67" t="s">
        <v>316</v>
      </c>
      <c r="M6" s="68" t="s">
        <v>430</v>
      </c>
      <c r="N6" s="68">
        <v>4</v>
      </c>
      <c r="P6" s="72" t="s">
        <v>435</v>
      </c>
      <c r="Q6" s="72">
        <v>3</v>
      </c>
      <c r="S6" s="73" t="s">
        <v>443</v>
      </c>
      <c r="T6" s="121">
        <v>3</v>
      </c>
      <c r="V6" s="69" t="s">
        <v>340</v>
      </c>
      <c r="W6" s="70">
        <v>4</v>
      </c>
      <c r="Z6" s="74" t="s">
        <v>316</v>
      </c>
      <c r="AC6" s="73" t="s">
        <v>316</v>
      </c>
    </row>
    <row r="7" spans="1:29">
      <c r="A7" s="62" t="s">
        <v>341</v>
      </c>
      <c r="B7" s="62">
        <v>6</v>
      </c>
      <c r="D7" s="64" t="s">
        <v>393</v>
      </c>
      <c r="E7" s="64">
        <v>80</v>
      </c>
      <c r="G7" s="65" t="s">
        <v>342</v>
      </c>
      <c r="H7" s="66">
        <v>22</v>
      </c>
      <c r="K7" s="75" t="str">
        <f>"="&amp;'No1'!BJ5</f>
        <v>=</v>
      </c>
      <c r="M7" s="68" t="s">
        <v>343</v>
      </c>
      <c r="N7" s="68">
        <v>5</v>
      </c>
      <c r="P7" s="72" t="s">
        <v>436</v>
      </c>
      <c r="Q7" s="72">
        <v>4</v>
      </c>
      <c r="S7" s="73" t="s">
        <v>396</v>
      </c>
      <c r="T7" s="121">
        <v>4</v>
      </c>
      <c r="V7"/>
      <c r="W7"/>
      <c r="Z7" s="76" t="str">
        <f>"="&amp;'No1'!BV5</f>
        <v>=</v>
      </c>
      <c r="AC7" s="83" t="str">
        <f>"="&amp;'No1'!CB5</f>
        <v>=</v>
      </c>
    </row>
    <row r="8" spans="1:29">
      <c r="A8" s="62" t="s">
        <v>344</v>
      </c>
      <c r="B8" s="62">
        <v>7</v>
      </c>
      <c r="D8" s="64"/>
      <c r="E8" s="64"/>
      <c r="G8" s="65" t="s">
        <v>345</v>
      </c>
      <c r="H8" s="66">
        <v>23</v>
      </c>
      <c r="P8" s="72" t="s">
        <v>437</v>
      </c>
      <c r="Q8" s="72">
        <v>5</v>
      </c>
      <c r="S8" s="73" t="s">
        <v>397</v>
      </c>
      <c r="T8" s="121">
        <v>5</v>
      </c>
      <c r="V8"/>
      <c r="W8" s="77" t="s">
        <v>316</v>
      </c>
    </row>
    <row r="9" spans="1:29">
      <c r="A9" s="62" t="s">
        <v>346</v>
      </c>
      <c r="B9" s="62">
        <v>8</v>
      </c>
      <c r="D9" s="64"/>
      <c r="E9" s="64"/>
      <c r="G9" s="65" t="s">
        <v>347</v>
      </c>
      <c r="H9" s="66">
        <v>31</v>
      </c>
      <c r="N9" s="68" t="s">
        <v>316</v>
      </c>
      <c r="P9" s="72" t="s">
        <v>438</v>
      </c>
      <c r="Q9" s="72">
        <v>6</v>
      </c>
      <c r="S9" s="73" t="s">
        <v>398</v>
      </c>
      <c r="T9" s="121">
        <v>6</v>
      </c>
      <c r="W9" s="78" t="str">
        <f>"="&amp;'No1'!BP5</f>
        <v>=</v>
      </c>
    </row>
    <row r="10" spans="1:29">
      <c r="A10" s="62" t="s">
        <v>348</v>
      </c>
      <c r="B10" s="62">
        <v>9</v>
      </c>
      <c r="D10" s="64"/>
      <c r="E10" s="64"/>
      <c r="G10" s="65" t="s">
        <v>349</v>
      </c>
      <c r="H10" s="66">
        <v>32</v>
      </c>
      <c r="N10" s="79" t="str">
        <f>"="&amp;'No1'!AF5</f>
        <v>=</v>
      </c>
      <c r="P10" s="72" t="s">
        <v>439</v>
      </c>
      <c r="Q10" s="72">
        <v>7</v>
      </c>
      <c r="S10" s="73" t="s">
        <v>444</v>
      </c>
      <c r="T10" s="121">
        <v>7</v>
      </c>
    </row>
    <row r="11" spans="1:29">
      <c r="A11" s="62" t="s">
        <v>350</v>
      </c>
      <c r="B11" s="62">
        <v>10</v>
      </c>
      <c r="D11" s="64"/>
      <c r="E11" s="64"/>
      <c r="G11" s="65" t="s">
        <v>351</v>
      </c>
      <c r="H11" s="66">
        <v>33</v>
      </c>
      <c r="P11" s="72" t="s">
        <v>440</v>
      </c>
      <c r="Q11" s="72">
        <v>8</v>
      </c>
      <c r="S11" s="73" t="s">
        <v>445</v>
      </c>
      <c r="T11" s="121">
        <v>8</v>
      </c>
    </row>
    <row r="12" spans="1:29">
      <c r="A12" s="62" t="s">
        <v>352</v>
      </c>
      <c r="B12" s="62">
        <v>11</v>
      </c>
      <c r="D12" s="64"/>
      <c r="E12" s="64"/>
      <c r="G12" s="65" t="s">
        <v>353</v>
      </c>
      <c r="H12" s="66">
        <v>41</v>
      </c>
      <c r="S12" s="73" t="s">
        <v>446</v>
      </c>
      <c r="T12" s="121">
        <v>9</v>
      </c>
    </row>
    <row r="13" spans="1:29">
      <c r="A13" s="62" t="s">
        <v>354</v>
      </c>
      <c r="B13" s="62">
        <v>12</v>
      </c>
      <c r="D13" s="64"/>
      <c r="E13" s="64"/>
      <c r="G13" s="65" t="s">
        <v>355</v>
      </c>
      <c r="H13" s="66">
        <v>42</v>
      </c>
      <c r="Q13" s="72" t="s">
        <v>316</v>
      </c>
      <c r="S13" s="73" t="s">
        <v>447</v>
      </c>
      <c r="T13" s="121">
        <v>10</v>
      </c>
    </row>
    <row r="14" spans="1:29">
      <c r="A14" s="62" t="s">
        <v>356</v>
      </c>
      <c r="B14" s="62">
        <v>13</v>
      </c>
      <c r="G14" s="65" t="s">
        <v>357</v>
      </c>
      <c r="H14" s="66">
        <v>43</v>
      </c>
      <c r="Q14" s="82" t="str">
        <f>"="&amp;'No1'!AR5</f>
        <v>=</v>
      </c>
      <c r="S14" s="73" t="s">
        <v>448</v>
      </c>
      <c r="T14" s="121">
        <v>11</v>
      </c>
    </row>
    <row r="15" spans="1:29">
      <c r="A15" s="62" t="s">
        <v>358</v>
      </c>
      <c r="B15" s="62">
        <v>14</v>
      </c>
      <c r="E15" s="64" t="s">
        <v>316</v>
      </c>
      <c r="S15" s="73" t="s">
        <v>449</v>
      </c>
      <c r="T15" s="121">
        <v>12</v>
      </c>
    </row>
    <row r="16" spans="1:29">
      <c r="A16" s="62" t="s">
        <v>359</v>
      </c>
      <c r="B16" s="62">
        <v>15</v>
      </c>
      <c r="E16" s="81" t="str">
        <f>"="&amp;'No1'!Z5</f>
        <v>=</v>
      </c>
      <c r="H16" s="86" t="s">
        <v>316</v>
      </c>
      <c r="P16"/>
      <c r="Q16"/>
      <c r="S16" s="73" t="s">
        <v>450</v>
      </c>
      <c r="T16" s="121">
        <v>13</v>
      </c>
    </row>
    <row r="17" spans="1:20">
      <c r="A17" s="62" t="s">
        <v>360</v>
      </c>
      <c r="B17" s="62">
        <v>16</v>
      </c>
      <c r="H17" s="87" t="str">
        <f>"="&amp;'No1'!BD5</f>
        <v>=</v>
      </c>
      <c r="P17"/>
      <c r="Q17"/>
      <c r="S17" s="73" t="s">
        <v>451</v>
      </c>
      <c r="T17" s="121">
        <v>14</v>
      </c>
    </row>
    <row r="18" spans="1:20">
      <c r="A18" s="62" t="s">
        <v>361</v>
      </c>
      <c r="B18" s="62">
        <v>17</v>
      </c>
      <c r="P18"/>
      <c r="Q18"/>
      <c r="S18" s="73" t="s">
        <v>452</v>
      </c>
      <c r="T18" s="121">
        <v>15</v>
      </c>
    </row>
    <row r="19" spans="1:20">
      <c r="A19" s="62" t="s">
        <v>362</v>
      </c>
      <c r="B19" s="62">
        <v>18</v>
      </c>
      <c r="P19"/>
      <c r="Q19"/>
      <c r="S19" s="73" t="s">
        <v>453</v>
      </c>
      <c r="T19" s="121">
        <v>16</v>
      </c>
    </row>
    <row r="20" spans="1:20">
      <c r="A20" s="62" t="s">
        <v>363</v>
      </c>
      <c r="B20" s="62">
        <v>19</v>
      </c>
      <c r="P20"/>
      <c r="Q20"/>
      <c r="S20" s="73" t="s">
        <v>454</v>
      </c>
      <c r="T20" s="121">
        <v>17</v>
      </c>
    </row>
    <row r="21" spans="1:20">
      <c r="A21" s="62" t="s">
        <v>364</v>
      </c>
      <c r="B21" s="62">
        <v>20</v>
      </c>
      <c r="P21"/>
      <c r="Q21"/>
      <c r="S21" s="73" t="s">
        <v>455</v>
      </c>
      <c r="T21" s="121">
        <v>18</v>
      </c>
    </row>
    <row r="22" spans="1:20">
      <c r="A22" s="62" t="s">
        <v>365</v>
      </c>
      <c r="B22" s="62">
        <v>21</v>
      </c>
      <c r="P22"/>
      <c r="Q22"/>
      <c r="S22" s="73" t="s">
        <v>456</v>
      </c>
      <c r="T22" s="121">
        <v>19</v>
      </c>
    </row>
    <row r="23" spans="1:20">
      <c r="A23" s="62" t="s">
        <v>366</v>
      </c>
      <c r="B23" s="62">
        <v>22</v>
      </c>
      <c r="P23"/>
      <c r="Q23"/>
      <c r="S23" s="73" t="s">
        <v>457</v>
      </c>
      <c r="T23" s="121">
        <v>20</v>
      </c>
    </row>
    <row r="24" spans="1:20">
      <c r="A24" s="62" t="s">
        <v>367</v>
      </c>
      <c r="B24" s="62">
        <v>23</v>
      </c>
      <c r="P24"/>
      <c r="Q24"/>
      <c r="S24" s="73" t="s">
        <v>458</v>
      </c>
      <c r="T24" s="121">
        <v>21</v>
      </c>
    </row>
    <row r="25" spans="1:20">
      <c r="A25" s="62" t="s">
        <v>368</v>
      </c>
      <c r="B25" s="62">
        <v>24</v>
      </c>
      <c r="P25"/>
      <c r="Q25"/>
      <c r="S25" s="73" t="s">
        <v>459</v>
      </c>
      <c r="T25" s="121">
        <v>22</v>
      </c>
    </row>
    <row r="26" spans="1:20">
      <c r="A26" s="62" t="s">
        <v>369</v>
      </c>
      <c r="B26" s="62">
        <v>25</v>
      </c>
      <c r="P26"/>
      <c r="Q26"/>
      <c r="S26" s="73" t="s">
        <v>460</v>
      </c>
      <c r="T26" s="121">
        <v>23</v>
      </c>
    </row>
    <row r="27" spans="1:20">
      <c r="A27" s="62" t="s">
        <v>370</v>
      </c>
      <c r="B27" s="62">
        <v>26</v>
      </c>
      <c r="P27"/>
      <c r="Q27"/>
      <c r="S27" s="73" t="s">
        <v>461</v>
      </c>
      <c r="T27" s="121">
        <v>24</v>
      </c>
    </row>
    <row r="28" spans="1:20">
      <c r="A28" s="62" t="s">
        <v>371</v>
      </c>
      <c r="B28" s="62">
        <v>27</v>
      </c>
      <c r="P28"/>
      <c r="Q28"/>
      <c r="S28" s="73" t="s">
        <v>462</v>
      </c>
      <c r="T28" s="121">
        <v>25</v>
      </c>
    </row>
    <row r="29" spans="1:20">
      <c r="A29" s="62" t="s">
        <v>372</v>
      </c>
      <c r="B29" s="62">
        <v>28</v>
      </c>
      <c r="P29"/>
      <c r="Q29"/>
      <c r="S29" s="73" t="s">
        <v>463</v>
      </c>
      <c r="T29" s="121">
        <v>26</v>
      </c>
    </row>
    <row r="30" spans="1:20">
      <c r="A30" s="62" t="s">
        <v>373</v>
      </c>
      <c r="B30" s="62">
        <v>29</v>
      </c>
      <c r="P30"/>
      <c r="Q30"/>
      <c r="S30" s="73" t="s">
        <v>464</v>
      </c>
      <c r="T30" s="121">
        <v>27</v>
      </c>
    </row>
    <row r="31" spans="1:20">
      <c r="A31" s="62" t="s">
        <v>374</v>
      </c>
      <c r="B31" s="62">
        <v>30</v>
      </c>
      <c r="P31"/>
      <c r="Q31"/>
      <c r="S31" s="73" t="s">
        <v>465</v>
      </c>
      <c r="T31" s="121">
        <v>28</v>
      </c>
    </row>
    <row r="32" spans="1:20">
      <c r="A32" s="62" t="s">
        <v>375</v>
      </c>
      <c r="B32" s="62">
        <v>31</v>
      </c>
      <c r="P32"/>
      <c r="Q32"/>
      <c r="S32" s="73" t="s">
        <v>466</v>
      </c>
      <c r="T32" s="121">
        <v>29</v>
      </c>
    </row>
    <row r="33" spans="1:20">
      <c r="A33" s="62" t="s">
        <v>376</v>
      </c>
      <c r="B33" s="62">
        <v>32</v>
      </c>
      <c r="P33"/>
      <c r="Q33"/>
      <c r="S33" s="73" t="s">
        <v>467</v>
      </c>
      <c r="T33" s="121">
        <v>30</v>
      </c>
    </row>
    <row r="34" spans="1:20">
      <c r="A34" s="62" t="s">
        <v>377</v>
      </c>
      <c r="B34" s="62">
        <v>33</v>
      </c>
      <c r="P34"/>
      <c r="Q34"/>
      <c r="S34" s="73" t="s">
        <v>468</v>
      </c>
      <c r="T34" s="121">
        <v>31</v>
      </c>
    </row>
    <row r="35" spans="1:20">
      <c r="A35" s="62" t="s">
        <v>378</v>
      </c>
      <c r="B35" s="62">
        <v>34</v>
      </c>
      <c r="P35"/>
      <c r="Q35"/>
      <c r="S35" s="73" t="s">
        <v>469</v>
      </c>
      <c r="T35" s="121">
        <v>32</v>
      </c>
    </row>
    <row r="36" spans="1:20">
      <c r="A36" s="62" t="s">
        <v>379</v>
      </c>
      <c r="B36" s="62">
        <v>35</v>
      </c>
      <c r="P36"/>
      <c r="Q36"/>
      <c r="S36" s="73" t="s">
        <v>470</v>
      </c>
      <c r="T36" s="121">
        <v>33</v>
      </c>
    </row>
    <row r="37" spans="1:20">
      <c r="A37" s="62" t="s">
        <v>380</v>
      </c>
      <c r="B37" s="62">
        <v>36</v>
      </c>
      <c r="P37"/>
      <c r="Q37"/>
      <c r="S37" s="73" t="s">
        <v>471</v>
      </c>
      <c r="T37" s="121">
        <v>34</v>
      </c>
    </row>
    <row r="38" spans="1:20">
      <c r="A38" s="62" t="s">
        <v>381</v>
      </c>
      <c r="B38" s="62">
        <v>37</v>
      </c>
      <c r="P38"/>
      <c r="Q38"/>
      <c r="S38" s="73" t="s">
        <v>472</v>
      </c>
      <c r="T38" s="121">
        <v>35</v>
      </c>
    </row>
    <row r="39" spans="1:20">
      <c r="A39" s="62" t="s">
        <v>382</v>
      </c>
      <c r="B39" s="62">
        <v>38</v>
      </c>
      <c r="P39"/>
      <c r="Q39"/>
      <c r="S39" s="73" t="s">
        <v>473</v>
      </c>
      <c r="T39" s="121">
        <v>36</v>
      </c>
    </row>
    <row r="40" spans="1:20">
      <c r="A40" s="62" t="s">
        <v>383</v>
      </c>
      <c r="B40" s="62">
        <v>39</v>
      </c>
      <c r="P40"/>
      <c r="Q40"/>
      <c r="S40" s="73" t="s">
        <v>474</v>
      </c>
      <c r="T40" s="121">
        <v>37</v>
      </c>
    </row>
    <row r="41" spans="1:20">
      <c r="A41" s="62" t="s">
        <v>384</v>
      </c>
      <c r="B41" s="62">
        <v>40</v>
      </c>
      <c r="P41"/>
      <c r="Q41"/>
      <c r="S41" s="73" t="s">
        <v>475</v>
      </c>
      <c r="T41" s="121">
        <v>38</v>
      </c>
    </row>
    <row r="42" spans="1:20">
      <c r="A42" s="62" t="s">
        <v>385</v>
      </c>
      <c r="B42" s="62">
        <v>41</v>
      </c>
      <c r="P42"/>
      <c r="Q42"/>
      <c r="S42" s="73" t="s">
        <v>476</v>
      </c>
      <c r="T42" s="121">
        <v>39</v>
      </c>
    </row>
    <row r="43" spans="1:20">
      <c r="A43" s="62" t="s">
        <v>386</v>
      </c>
      <c r="B43" s="62">
        <v>42</v>
      </c>
      <c r="P43"/>
      <c r="Q43"/>
      <c r="S43" s="73" t="s">
        <v>477</v>
      </c>
      <c r="T43" s="121">
        <v>40</v>
      </c>
    </row>
    <row r="44" spans="1:20">
      <c r="A44" s="62" t="s">
        <v>387</v>
      </c>
      <c r="B44" s="62">
        <v>43</v>
      </c>
      <c r="P44"/>
      <c r="Q44"/>
      <c r="S44" s="73" t="s">
        <v>478</v>
      </c>
      <c r="T44" s="121">
        <v>41</v>
      </c>
    </row>
    <row r="45" spans="1:20">
      <c r="A45" s="62" t="s">
        <v>388</v>
      </c>
      <c r="B45" s="62">
        <v>44</v>
      </c>
      <c r="P45"/>
      <c r="Q45"/>
      <c r="S45" s="73" t="s">
        <v>479</v>
      </c>
      <c r="T45" s="121">
        <v>42</v>
      </c>
    </row>
    <row r="46" spans="1:20">
      <c r="A46" s="62" t="s">
        <v>389</v>
      </c>
      <c r="B46" s="62">
        <v>45</v>
      </c>
      <c r="P46"/>
      <c r="Q46"/>
      <c r="S46" s="73" t="s">
        <v>480</v>
      </c>
      <c r="T46" s="121">
        <v>43</v>
      </c>
    </row>
    <row r="47" spans="1:20">
      <c r="A47" s="62" t="s">
        <v>390</v>
      </c>
      <c r="B47" s="62">
        <v>46</v>
      </c>
      <c r="P47"/>
      <c r="Q47"/>
      <c r="S47" s="73" t="s">
        <v>481</v>
      </c>
      <c r="T47" s="121">
        <v>44</v>
      </c>
    </row>
    <row r="48" spans="1:20">
      <c r="A48" s="62" t="s">
        <v>391</v>
      </c>
      <c r="B48" s="62">
        <v>47</v>
      </c>
      <c r="P48"/>
      <c r="Q48"/>
      <c r="S48" s="73" t="s">
        <v>482</v>
      </c>
      <c r="T48" s="121">
        <v>45</v>
      </c>
    </row>
    <row r="49" spans="1:20">
      <c r="A49" s="62" t="s">
        <v>392</v>
      </c>
      <c r="B49" s="62">
        <v>1</v>
      </c>
      <c r="P49"/>
      <c r="Q49"/>
      <c r="S49" s="73" t="s">
        <v>483</v>
      </c>
      <c r="T49" s="121">
        <v>46</v>
      </c>
    </row>
    <row r="50" spans="1:20">
      <c r="P50"/>
      <c r="Q50"/>
      <c r="S50" s="73" t="s">
        <v>484</v>
      </c>
      <c r="T50" s="121">
        <v>47</v>
      </c>
    </row>
    <row r="51" spans="1:20">
      <c r="B51" s="62" t="s">
        <v>316</v>
      </c>
      <c r="S51" s="73" t="s">
        <v>485</v>
      </c>
      <c r="T51" s="121">
        <v>48</v>
      </c>
    </row>
    <row r="52" spans="1:20">
      <c r="B52" s="84" t="str">
        <f>"="&amp;'No1'!H5</f>
        <v>=</v>
      </c>
      <c r="S52" s="73" t="s">
        <v>486</v>
      </c>
      <c r="T52" s="121">
        <v>49</v>
      </c>
    </row>
    <row r="53" spans="1:20">
      <c r="S53" s="73" t="s">
        <v>487</v>
      </c>
      <c r="T53" s="121">
        <v>50</v>
      </c>
    </row>
    <row r="54" spans="1:20">
      <c r="S54" s="73" t="s">
        <v>488</v>
      </c>
      <c r="T54" s="121">
        <v>51</v>
      </c>
    </row>
    <row r="55" spans="1:20">
      <c r="S55" s="73" t="s">
        <v>489</v>
      </c>
      <c r="T55" s="121">
        <v>52</v>
      </c>
    </row>
    <row r="56" spans="1:20">
      <c r="S56" s="73" t="s">
        <v>490</v>
      </c>
      <c r="T56" s="121">
        <v>53</v>
      </c>
    </row>
    <row r="57" spans="1:20">
      <c r="S57" s="73" t="s">
        <v>491</v>
      </c>
      <c r="T57" s="121">
        <v>54</v>
      </c>
    </row>
    <row r="58" spans="1:20">
      <c r="S58" s="73" t="s">
        <v>492</v>
      </c>
      <c r="T58" s="121">
        <v>55</v>
      </c>
    </row>
    <row r="59" spans="1:20">
      <c r="S59" s="73" t="s">
        <v>493</v>
      </c>
      <c r="T59" s="121">
        <v>56</v>
      </c>
    </row>
    <row r="60" spans="1:20">
      <c r="S60" s="73" t="s">
        <v>494</v>
      </c>
      <c r="T60" s="121">
        <v>57</v>
      </c>
    </row>
    <row r="61" spans="1:20">
      <c r="S61" s="73" t="s">
        <v>495</v>
      </c>
      <c r="T61" s="121">
        <v>58</v>
      </c>
    </row>
    <row r="62" spans="1:20">
      <c r="S62" s="73" t="s">
        <v>496</v>
      </c>
      <c r="T62" s="121">
        <v>59</v>
      </c>
    </row>
    <row r="63" spans="1:20">
      <c r="S63" s="73" t="s">
        <v>497</v>
      </c>
      <c r="T63" s="121">
        <v>60</v>
      </c>
    </row>
    <row r="64" spans="1:20">
      <c r="S64" s="73" t="s">
        <v>498</v>
      </c>
      <c r="T64" s="121">
        <v>61</v>
      </c>
    </row>
    <row r="65" spans="19:20">
      <c r="S65" s="73" t="s">
        <v>499</v>
      </c>
      <c r="T65" s="121">
        <v>62</v>
      </c>
    </row>
    <row r="66" spans="19:20">
      <c r="S66" s="73" t="s">
        <v>500</v>
      </c>
      <c r="T66" s="121">
        <v>63</v>
      </c>
    </row>
    <row r="67" spans="19:20">
      <c r="S67" s="73" t="s">
        <v>501</v>
      </c>
      <c r="T67" s="121">
        <v>64</v>
      </c>
    </row>
    <row r="68" spans="19:20">
      <c r="S68" s="73" t="s">
        <v>502</v>
      </c>
      <c r="T68" s="121">
        <v>65</v>
      </c>
    </row>
    <row r="69" spans="19:20">
      <c r="S69" s="73" t="s">
        <v>503</v>
      </c>
      <c r="T69" s="121">
        <v>66</v>
      </c>
    </row>
    <row r="70" spans="19:20">
      <c r="S70" s="73" t="s">
        <v>504</v>
      </c>
      <c r="T70" s="121">
        <v>67</v>
      </c>
    </row>
    <row r="71" spans="19:20">
      <c r="S71" s="73" t="s">
        <v>505</v>
      </c>
      <c r="T71" s="121">
        <v>68</v>
      </c>
    </row>
    <row r="72" spans="19:20">
      <c r="S72" s="73" t="s">
        <v>506</v>
      </c>
      <c r="T72" s="121">
        <v>69</v>
      </c>
    </row>
    <row r="73" spans="19:20">
      <c r="S73" s="73" t="s">
        <v>507</v>
      </c>
      <c r="T73" s="121">
        <v>70</v>
      </c>
    </row>
    <row r="74" spans="19:20">
      <c r="S74" s="73" t="s">
        <v>508</v>
      </c>
      <c r="T74" s="121">
        <v>71</v>
      </c>
    </row>
    <row r="75" spans="19:20">
      <c r="S75" s="73" t="s">
        <v>509</v>
      </c>
      <c r="T75" s="121">
        <v>72</v>
      </c>
    </row>
    <row r="76" spans="19:20">
      <c r="S76" s="73" t="s">
        <v>510</v>
      </c>
      <c r="T76" s="121">
        <v>73</v>
      </c>
    </row>
    <row r="77" spans="19:20">
      <c r="S77" s="73" t="s">
        <v>511</v>
      </c>
      <c r="T77" s="121">
        <v>74</v>
      </c>
    </row>
    <row r="78" spans="19:20">
      <c r="S78" s="73" t="s">
        <v>512</v>
      </c>
      <c r="T78" s="121">
        <v>75</v>
      </c>
    </row>
    <row r="79" spans="19:20">
      <c r="S79" s="73" t="s">
        <v>513</v>
      </c>
      <c r="T79" s="121">
        <v>76</v>
      </c>
    </row>
    <row r="80" spans="19:20">
      <c r="S80" s="73" t="s">
        <v>514</v>
      </c>
      <c r="T80" s="121">
        <v>77</v>
      </c>
    </row>
    <row r="81" spans="19:20">
      <c r="S81" s="73" t="s">
        <v>515</v>
      </c>
      <c r="T81" s="121">
        <v>78</v>
      </c>
    </row>
    <row r="82" spans="19:20">
      <c r="S82" s="73" t="s">
        <v>516</v>
      </c>
      <c r="T82" s="121">
        <v>79</v>
      </c>
    </row>
    <row r="83" spans="19:20">
      <c r="S83" s="73" t="s">
        <v>517</v>
      </c>
      <c r="T83" s="121">
        <v>80</v>
      </c>
    </row>
    <row r="84" spans="19:20">
      <c r="S84" s="73" t="s">
        <v>518</v>
      </c>
      <c r="T84" s="121">
        <v>81</v>
      </c>
    </row>
    <row r="85" spans="19:20">
      <c r="S85" s="73" t="s">
        <v>519</v>
      </c>
      <c r="T85" s="121">
        <v>82</v>
      </c>
    </row>
    <row r="86" spans="19:20">
      <c r="S86" s="73" t="s">
        <v>520</v>
      </c>
      <c r="T86" s="121">
        <v>83</v>
      </c>
    </row>
    <row r="87" spans="19:20">
      <c r="S87" s="73" t="s">
        <v>521</v>
      </c>
      <c r="T87" s="121">
        <v>84</v>
      </c>
    </row>
    <row r="88" spans="19:20">
      <c r="S88" s="73" t="s">
        <v>522</v>
      </c>
      <c r="T88" s="121">
        <v>85</v>
      </c>
    </row>
    <row r="89" spans="19:20">
      <c r="S89" s="73" t="s">
        <v>523</v>
      </c>
      <c r="T89" s="121">
        <v>86</v>
      </c>
    </row>
    <row r="90" spans="19:20">
      <c r="S90" s="73" t="s">
        <v>524</v>
      </c>
      <c r="T90" s="121">
        <v>87</v>
      </c>
    </row>
    <row r="91" spans="19:20">
      <c r="S91" s="73" t="s">
        <v>525</v>
      </c>
      <c r="T91" s="121">
        <v>88</v>
      </c>
    </row>
    <row r="92" spans="19:20">
      <c r="S92" s="73" t="s">
        <v>526</v>
      </c>
      <c r="T92" s="121">
        <v>89</v>
      </c>
    </row>
    <row r="93" spans="19:20">
      <c r="S93" s="73" t="s">
        <v>527</v>
      </c>
      <c r="T93" s="121">
        <v>90</v>
      </c>
    </row>
    <row r="94" spans="19:20">
      <c r="S94" s="73" t="s">
        <v>528</v>
      </c>
      <c r="T94" s="121">
        <v>91</v>
      </c>
    </row>
    <row r="95" spans="19:20">
      <c r="S95" s="73" t="s">
        <v>529</v>
      </c>
      <c r="T95" s="121">
        <v>92</v>
      </c>
    </row>
    <row r="96" spans="19:20">
      <c r="S96" s="73" t="s">
        <v>530</v>
      </c>
      <c r="T96" s="121">
        <v>93</v>
      </c>
    </row>
    <row r="97" spans="19:20">
      <c r="S97" s="73" t="s">
        <v>531</v>
      </c>
      <c r="T97" s="121">
        <v>94</v>
      </c>
    </row>
    <row r="98" spans="19:20">
      <c r="S98" s="73" t="s">
        <v>532</v>
      </c>
      <c r="T98" s="121">
        <v>95</v>
      </c>
    </row>
    <row r="99" spans="19:20">
      <c r="S99" s="73" t="s">
        <v>533</v>
      </c>
      <c r="T99" s="121">
        <v>96</v>
      </c>
    </row>
    <row r="100" spans="19:20">
      <c r="S100" s="73" t="s">
        <v>534</v>
      </c>
      <c r="T100" s="121">
        <v>97</v>
      </c>
    </row>
    <row r="101" spans="19:20">
      <c r="S101" s="73" t="s">
        <v>535</v>
      </c>
      <c r="T101" s="121">
        <v>98</v>
      </c>
    </row>
    <row r="102" spans="19:20">
      <c r="S102" s="73" t="s">
        <v>536</v>
      </c>
      <c r="T102" s="121">
        <v>99</v>
      </c>
    </row>
    <row r="103" spans="19:20">
      <c r="S103" s="73" t="s">
        <v>537</v>
      </c>
      <c r="T103" s="121">
        <v>100</v>
      </c>
    </row>
    <row r="104" spans="19:20">
      <c r="S104" s="73" t="s">
        <v>538</v>
      </c>
      <c r="T104" s="121">
        <v>101</v>
      </c>
    </row>
    <row r="105" spans="19:20">
      <c r="S105" s="73" t="s">
        <v>539</v>
      </c>
      <c r="T105" s="121">
        <v>102</v>
      </c>
    </row>
    <row r="106" spans="19:20">
      <c r="S106" s="73" t="s">
        <v>540</v>
      </c>
      <c r="T106" s="121">
        <v>103</v>
      </c>
    </row>
    <row r="107" spans="19:20">
      <c r="S107" s="73" t="s">
        <v>541</v>
      </c>
      <c r="T107" s="121">
        <v>104</v>
      </c>
    </row>
    <row r="108" spans="19:20">
      <c r="S108" s="73" t="s">
        <v>542</v>
      </c>
      <c r="T108" s="121">
        <v>105</v>
      </c>
    </row>
    <row r="109" spans="19:20">
      <c r="S109" s="73" t="s">
        <v>543</v>
      </c>
      <c r="T109" s="121">
        <v>106</v>
      </c>
    </row>
    <row r="110" spans="19:20">
      <c r="S110" s="73" t="s">
        <v>544</v>
      </c>
      <c r="T110" s="121">
        <v>107</v>
      </c>
    </row>
    <row r="111" spans="19:20">
      <c r="S111" s="73" t="s">
        <v>545</v>
      </c>
      <c r="T111" s="121">
        <v>108</v>
      </c>
    </row>
    <row r="112" spans="19:20">
      <c r="S112" s="73" t="s">
        <v>546</v>
      </c>
      <c r="T112" s="121">
        <v>109</v>
      </c>
    </row>
    <row r="113" spans="19:20">
      <c r="S113" s="73" t="s">
        <v>547</v>
      </c>
      <c r="T113" s="121">
        <v>110</v>
      </c>
    </row>
    <row r="114" spans="19:20">
      <c r="S114" s="73" t="s">
        <v>548</v>
      </c>
      <c r="T114" s="121">
        <v>111</v>
      </c>
    </row>
    <row r="115" spans="19:20">
      <c r="S115" s="73" t="s">
        <v>549</v>
      </c>
      <c r="T115" s="121">
        <v>112</v>
      </c>
    </row>
    <row r="116" spans="19:20">
      <c r="S116" s="73" t="s">
        <v>550</v>
      </c>
      <c r="T116" s="121">
        <v>113</v>
      </c>
    </row>
    <row r="117" spans="19:20">
      <c r="S117" s="73" t="s">
        <v>551</v>
      </c>
      <c r="T117" s="121">
        <v>114</v>
      </c>
    </row>
    <row r="118" spans="19:20">
      <c r="S118" s="73" t="s">
        <v>552</v>
      </c>
      <c r="T118" s="121">
        <v>115</v>
      </c>
    </row>
    <row r="119" spans="19:20">
      <c r="S119" s="73" t="s">
        <v>553</v>
      </c>
      <c r="T119" s="121">
        <v>116</v>
      </c>
    </row>
    <row r="120" spans="19:20">
      <c r="S120" s="73" t="s">
        <v>554</v>
      </c>
      <c r="T120" s="121">
        <v>117</v>
      </c>
    </row>
    <row r="121" spans="19:20">
      <c r="S121" s="73" t="s">
        <v>555</v>
      </c>
      <c r="T121" s="121">
        <v>118</v>
      </c>
    </row>
    <row r="122" spans="19:20">
      <c r="S122" s="73" t="s">
        <v>556</v>
      </c>
      <c r="T122" s="121">
        <v>119</v>
      </c>
    </row>
    <row r="123" spans="19:20">
      <c r="S123" s="73" t="s">
        <v>557</v>
      </c>
      <c r="T123" s="121">
        <v>120</v>
      </c>
    </row>
    <row r="124" spans="19:20">
      <c r="S124" s="73" t="s">
        <v>558</v>
      </c>
      <c r="T124" s="121">
        <v>121</v>
      </c>
    </row>
    <row r="126" spans="19:20">
      <c r="T126" s="73" t="s">
        <v>316</v>
      </c>
    </row>
    <row r="127" spans="19:20">
      <c r="T127" s="83" t="str">
        <f>"="&amp;'No1'!AX5</f>
        <v>=</v>
      </c>
    </row>
    <row r="128" spans="19:20">
      <c r="S128"/>
      <c r="T128"/>
    </row>
    <row r="129" spans="19:20">
      <c r="S129"/>
      <c r="T129"/>
    </row>
    <row r="130" spans="19:20">
      <c r="S130"/>
      <c r="T130"/>
    </row>
    <row r="131" spans="19:20">
      <c r="S131"/>
      <c r="T131"/>
    </row>
    <row r="132" spans="19:20">
      <c r="S132"/>
      <c r="T132"/>
    </row>
    <row r="133" spans="19:20">
      <c r="S133"/>
      <c r="T133"/>
    </row>
    <row r="134" spans="19:20">
      <c r="S134"/>
      <c r="T134"/>
    </row>
    <row r="135" spans="19:20">
      <c r="S135"/>
      <c r="T135"/>
    </row>
    <row r="136" spans="19:20">
      <c r="S136"/>
      <c r="T136"/>
    </row>
    <row r="137" spans="19:20">
      <c r="S137"/>
      <c r="T137"/>
    </row>
    <row r="138" spans="19:20">
      <c r="S138"/>
      <c r="T138"/>
    </row>
    <row r="139" spans="19:20">
      <c r="S139"/>
      <c r="T139"/>
    </row>
    <row r="140" spans="19:20">
      <c r="S140"/>
      <c r="T140"/>
    </row>
    <row r="141" spans="19:20">
      <c r="S141"/>
      <c r="T141"/>
    </row>
    <row r="142" spans="19:20">
      <c r="S142"/>
      <c r="T142"/>
    </row>
    <row r="144" spans="19:20">
      <c r="S144"/>
      <c r="T144"/>
    </row>
    <row r="145" spans="19:20">
      <c r="S145"/>
      <c r="T145"/>
    </row>
    <row r="146" spans="19:20">
      <c r="S146"/>
      <c r="T146"/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Administrator</cp:lastModifiedBy>
  <cp:lastPrinted>2019-06-21T00:22:32Z</cp:lastPrinted>
  <dcterms:created xsi:type="dcterms:W3CDTF">2012-06-25T01:10:26Z</dcterms:created>
  <dcterms:modified xsi:type="dcterms:W3CDTF">2022-12-07T02:29:52Z</dcterms:modified>
</cp:coreProperties>
</file>