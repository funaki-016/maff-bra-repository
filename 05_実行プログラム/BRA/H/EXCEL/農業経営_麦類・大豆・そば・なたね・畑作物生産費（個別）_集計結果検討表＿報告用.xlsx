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o\Box\入札プロジェクト\01_農林水産省\【BRA】農業経営統計調査集計プログラム(2022)\09_基本設計書\フェーズ2\01_差分\BRA-003_03-02_帳票仕様書\帳票イメージ\07_集計結果検討表（報告用）\レイアウト\"/>
    </mc:Choice>
  </mc:AlternateContent>
  <xr:revisionPtr revIDLastSave="0" documentId="13_ncr:1_{0CACD773-69D7-4B89-8A74-20D749894DCA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農産物_麦・大豆・そば・なたね・畑作物_個別" sheetId="12" r:id="rId1"/>
    <sheet name="リスト" sheetId="13" state="hidden" r:id="rId2"/>
    <sheet name="元" sheetId="10" state="hidden" r:id="rId3"/>
  </sheets>
  <definedNames>
    <definedName name="_xlnm.Print_Area" localSheetId="2">元!$A$1:$Q$50</definedName>
    <definedName name="_xlnm.Print_Area" localSheetId="0">農産物_麦・大豆・そば・なたね・畑作物_個別!$A$1:$S$46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43" i="12" l="1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L46" i="12" l="1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B74" i="13"/>
  <c r="R3" i="12" s="1"/>
  <c r="P3" i="12"/>
  <c r="E16" i="13"/>
  <c r="J5" i="12"/>
  <c r="H5" i="12"/>
  <c r="K30" i="12"/>
  <c r="I30" i="12"/>
  <c r="K29" i="12"/>
  <c r="I29" i="12"/>
  <c r="K28" i="12"/>
  <c r="I28" i="12"/>
  <c r="K27" i="12"/>
  <c r="I27" i="12"/>
  <c r="K26" i="12"/>
  <c r="I26" i="12"/>
  <c r="K25" i="12"/>
  <c r="I25" i="12"/>
  <c r="K24" i="12"/>
  <c r="I24" i="12"/>
  <c r="K23" i="12"/>
  <c r="I23" i="12"/>
  <c r="K22" i="12"/>
  <c r="I22" i="12"/>
  <c r="K21" i="12"/>
  <c r="I21" i="12"/>
  <c r="K20" i="12"/>
  <c r="I20" i="12"/>
  <c r="K19" i="12"/>
  <c r="I19" i="12"/>
  <c r="K18" i="12"/>
  <c r="I18" i="12"/>
  <c r="K17" i="12"/>
  <c r="I17" i="12"/>
  <c r="K16" i="12"/>
  <c r="I16" i="12"/>
  <c r="K15" i="12"/>
  <c r="I15" i="12"/>
  <c r="K14" i="12"/>
  <c r="I14" i="12"/>
  <c r="K13" i="12"/>
  <c r="I13" i="12"/>
  <c r="K12" i="12"/>
  <c r="I12" i="12"/>
  <c r="K11" i="12"/>
  <c r="I11" i="12"/>
  <c r="K10" i="12"/>
  <c r="I10" i="12"/>
  <c r="K9" i="12"/>
  <c r="I9" i="12"/>
  <c r="K8" i="12"/>
  <c r="I8" i="12"/>
</calcChain>
</file>

<file path=xl/sharedStrings.xml><?xml version="1.0" encoding="utf-8"?>
<sst xmlns="http://schemas.openxmlformats.org/spreadsheetml/2006/main" count="252" uniqueCount="160">
  <si>
    <t>構成比</t>
    <rPh sb="0" eb="3">
      <t>コウセイヒ</t>
    </rPh>
    <phoneticPr fontId="1"/>
  </si>
  <si>
    <t>増減率</t>
    <rPh sb="0" eb="3">
      <t>ゾウゲンリツ</t>
    </rPh>
    <phoneticPr fontId="1"/>
  </si>
  <si>
    <t>増減額</t>
    <rPh sb="0" eb="3">
      <t>ゾウゲンガク</t>
    </rPh>
    <phoneticPr fontId="1"/>
  </si>
  <si>
    <t>（円）</t>
    <rPh sb="1" eb="2">
      <t>エン</t>
    </rPh>
    <phoneticPr fontId="1"/>
  </si>
  <si>
    <t>生産費区分</t>
    <rPh sb="0" eb="3">
      <t>セイサンヒ</t>
    </rPh>
    <rPh sb="3" eb="5">
      <t>クブン</t>
    </rPh>
    <phoneticPr fontId="1"/>
  </si>
  <si>
    <t>集計番号</t>
    <rPh sb="0" eb="2">
      <t>シュウケイ</t>
    </rPh>
    <rPh sb="2" eb="4">
      <t>バンゴウ</t>
    </rPh>
    <phoneticPr fontId="1"/>
  </si>
  <si>
    <t>主な増減要因</t>
    <rPh sb="0" eb="1">
      <t>オモ</t>
    </rPh>
    <rPh sb="2" eb="4">
      <t>ゾウゲン</t>
    </rPh>
    <rPh sb="4" eb="6">
      <t>ヨウイン</t>
    </rPh>
    <phoneticPr fontId="1"/>
  </si>
  <si>
    <t>区　　　　　分</t>
    <rPh sb="0" eb="1">
      <t>ク</t>
    </rPh>
    <rPh sb="6" eb="7">
      <t>ブン</t>
    </rPh>
    <phoneticPr fontId="5"/>
  </si>
  <si>
    <t>10
ａ
当
た
り
生
産
費</t>
    <rPh sb="7" eb="8">
      <t>ア</t>
    </rPh>
    <rPh sb="16" eb="23">
      <t>セイサンヒ</t>
    </rPh>
    <phoneticPr fontId="5"/>
  </si>
  <si>
    <t>物財費</t>
    <rPh sb="0" eb="1">
      <t>ブツ</t>
    </rPh>
    <rPh sb="1" eb="3">
      <t>ザイヒ</t>
    </rPh>
    <phoneticPr fontId="5"/>
  </si>
  <si>
    <t>種苗費</t>
    <rPh sb="0" eb="2">
      <t>シュビョウ</t>
    </rPh>
    <rPh sb="2" eb="3">
      <t>ヒ</t>
    </rPh>
    <phoneticPr fontId="5"/>
  </si>
  <si>
    <t>肥料費</t>
    <rPh sb="0" eb="3">
      <t>ヒリョウヒ</t>
    </rPh>
    <phoneticPr fontId="5"/>
  </si>
  <si>
    <t>農業薬剤費</t>
    <rPh sb="0" eb="2">
      <t>ノウギョウ</t>
    </rPh>
    <rPh sb="2" eb="5">
      <t>ヤクザイヒ</t>
    </rPh>
    <phoneticPr fontId="5"/>
  </si>
  <si>
    <t>光熱動力費</t>
    <rPh sb="0" eb="2">
      <t>コウネツ</t>
    </rPh>
    <rPh sb="2" eb="5">
      <t>ドウリョクヒ</t>
    </rPh>
    <phoneticPr fontId="5"/>
  </si>
  <si>
    <t>その他の諸材料費</t>
    <rPh sb="2" eb="3">
      <t>タ</t>
    </rPh>
    <rPh sb="4" eb="5">
      <t>ショ</t>
    </rPh>
    <rPh sb="5" eb="8">
      <t>ザイリョウヒ</t>
    </rPh>
    <phoneticPr fontId="5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</si>
  <si>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5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</si>
  <si>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5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</si>
  <si>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5"/>
  </si>
  <si>
    <t>建物費</t>
    <rPh sb="0" eb="2">
      <t>タテモノ</t>
    </rPh>
    <rPh sb="2" eb="3">
      <t>ヒ</t>
    </rPh>
    <phoneticPr fontId="5"/>
  </si>
  <si>
    <t>償却費</t>
    <rPh sb="0" eb="3">
      <t>ショウキャクヒ</t>
    </rPh>
    <phoneticPr fontId="5"/>
  </si>
  <si>
    <t>農機具費</t>
    <rPh sb="0" eb="3">
      <t>ノウキグ</t>
    </rPh>
    <rPh sb="3" eb="4">
      <t>ヒ</t>
    </rPh>
    <phoneticPr fontId="5"/>
  </si>
  <si>
    <t>生産管理費</t>
    <rPh sb="0" eb="2">
      <t>セイサン</t>
    </rPh>
    <rPh sb="2" eb="5">
      <t>カンリヒ</t>
    </rPh>
    <phoneticPr fontId="5"/>
  </si>
  <si>
    <t>労働費</t>
    <rPh sb="0" eb="3">
      <t>ロウドウヒ</t>
    </rPh>
    <phoneticPr fontId="5"/>
  </si>
  <si>
    <t>家族</t>
    <rPh sb="0" eb="2">
      <t>カゾク</t>
    </rPh>
    <phoneticPr fontId="5"/>
  </si>
  <si>
    <t>直接労働費</t>
    <rPh sb="0" eb="2">
      <t>チョクセツ</t>
    </rPh>
    <rPh sb="2" eb="5">
      <t>ロウドウヒ</t>
    </rPh>
    <phoneticPr fontId="5"/>
  </si>
  <si>
    <t>間接労働費</t>
    <rPh sb="0" eb="2">
      <t>カンセツ</t>
    </rPh>
    <rPh sb="2" eb="5">
      <t>ロウドウヒ</t>
    </rPh>
    <phoneticPr fontId="5"/>
  </si>
  <si>
    <t>費用合計</t>
    <rPh sb="0" eb="2">
      <t>ヒヨウ</t>
    </rPh>
    <rPh sb="2" eb="4">
      <t>ゴウケイ</t>
    </rPh>
    <phoneticPr fontId="5"/>
  </si>
  <si>
    <t>副産物価額</t>
    <rPh sb="0" eb="3">
      <t>フクサンブツ</t>
    </rPh>
    <rPh sb="3" eb="5">
      <t>カガク</t>
    </rPh>
    <phoneticPr fontId="5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</si>
  <si>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5"/>
  </si>
  <si>
    <t>支払利子</t>
    <rPh sb="0" eb="2">
      <t>シハライ</t>
    </rPh>
    <rPh sb="2" eb="4">
      <t>リシ</t>
    </rPh>
    <phoneticPr fontId="5"/>
  </si>
  <si>
    <t>支払地代</t>
    <rPh sb="0" eb="2">
      <t>シハライ</t>
    </rPh>
    <rPh sb="2" eb="4">
      <t>チダイ</t>
    </rPh>
    <phoneticPr fontId="5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</si>
  <si>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5"/>
  </si>
  <si>
    <t>自己資本利子</t>
    <rPh sb="0" eb="2">
      <t>ジコ</t>
    </rPh>
    <rPh sb="2" eb="4">
      <t>シホン</t>
    </rPh>
    <rPh sb="4" eb="6">
      <t>リシ</t>
    </rPh>
    <phoneticPr fontId="5"/>
  </si>
  <si>
    <t>自作地地代</t>
    <rPh sb="0" eb="3">
      <t>ジサクチ</t>
    </rPh>
    <rPh sb="3" eb="5">
      <t>チダイ</t>
    </rPh>
    <phoneticPr fontId="5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</si>
  <si>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5"/>
  </si>
  <si>
    <t>外部支払経費</t>
    <rPh sb="0" eb="2">
      <t>ガイブ</t>
    </rPh>
    <rPh sb="2" eb="4">
      <t>シハライ</t>
    </rPh>
    <rPh sb="4" eb="6">
      <t>ケイヒ</t>
    </rPh>
    <phoneticPr fontId="5"/>
  </si>
  <si>
    <t>収
益
性
等</t>
    <rPh sb="0" eb="4">
      <t>シュウエキ</t>
    </rPh>
    <rPh sb="6" eb="7">
      <t>セイ</t>
    </rPh>
    <rPh sb="9" eb="10">
      <t>トウ</t>
    </rPh>
    <phoneticPr fontId="5"/>
  </si>
  <si>
    <t>10ａ当たり収量(kg)</t>
    <rPh sb="3" eb="4">
      <t>ア</t>
    </rPh>
    <rPh sb="6" eb="8">
      <t>シュウリョウ</t>
    </rPh>
    <phoneticPr fontId="5"/>
  </si>
  <si>
    <t>10ａ当たり粗収益</t>
    <rPh sb="3" eb="4">
      <t>ア</t>
    </rPh>
    <rPh sb="6" eb="9">
      <t>ソシュウエキ</t>
    </rPh>
    <phoneticPr fontId="5"/>
  </si>
  <si>
    <t>10ａ当たり所得</t>
    <rPh sb="3" eb="4">
      <t>ア</t>
    </rPh>
    <rPh sb="6" eb="8">
      <t>ショトク</t>
    </rPh>
    <phoneticPr fontId="5"/>
  </si>
  <si>
    <t>1日当たり所得</t>
    <rPh sb="1" eb="2">
      <t>ヒ</t>
    </rPh>
    <rPh sb="2" eb="3">
      <t>ア</t>
    </rPh>
    <rPh sb="5" eb="7">
      <t>ショトク</t>
    </rPh>
    <phoneticPr fontId="5"/>
  </si>
  <si>
    <t>１日当たり家族労働報酬</t>
    <rPh sb="1" eb="2">
      <t>ニチ</t>
    </rPh>
    <rPh sb="2" eb="3">
      <t>ア</t>
    </rPh>
    <rPh sb="5" eb="7">
      <t>カゾク</t>
    </rPh>
    <rPh sb="7" eb="9">
      <t>ロウドウ</t>
    </rPh>
    <rPh sb="9" eb="11">
      <t>ホウシュウ</t>
    </rPh>
    <phoneticPr fontId="5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</si>
  <si>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5"/>
  </si>
  <si>
    <t>労賃単価（計）</t>
    <rPh sb="0" eb="2">
      <t>ロウチン</t>
    </rPh>
    <rPh sb="2" eb="4">
      <t>タンカ</t>
    </rPh>
    <rPh sb="5" eb="6">
      <t>ケイ</t>
    </rPh>
    <phoneticPr fontId="5"/>
  </si>
  <si>
    <t>１戸当たり作付面積（ａ）</t>
    <rPh sb="1" eb="2">
      <t>コ</t>
    </rPh>
    <rPh sb="2" eb="3">
      <t>ア</t>
    </rPh>
    <rPh sb="5" eb="7">
      <t>サクツケ</t>
    </rPh>
    <rPh sb="7" eb="9">
      <t>メンセキ</t>
    </rPh>
    <phoneticPr fontId="5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</si>
  <si>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5"/>
  </si>
  <si>
    <t>単位数量当たり支払利子地代算入生産費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1" eb="13">
      <t>チダイ</t>
    </rPh>
    <rPh sb="13" eb="15">
      <t>サンニュウ</t>
    </rPh>
    <rPh sb="15" eb="18">
      <t>セイサンヒ</t>
    </rPh>
    <phoneticPr fontId="5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</si>
  <si>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5"/>
  </si>
  <si>
    <t>（％）</t>
    <phoneticPr fontId="1"/>
  </si>
  <si>
    <t>自動車費</t>
    <rPh sb="0" eb="3">
      <t>ジドウシャ</t>
    </rPh>
    <rPh sb="3" eb="4">
      <t>ヒ</t>
    </rPh>
    <phoneticPr fontId="5"/>
  </si>
  <si>
    <t xml:space="preserve">   年産</t>
    <phoneticPr fontId="1"/>
  </si>
  <si>
    <t>都道府県等</t>
    <rPh sb="0" eb="4">
      <t>トドウフケン</t>
    </rPh>
    <rPh sb="4" eb="5">
      <t>トウ</t>
    </rPh>
    <phoneticPr fontId="1"/>
  </si>
  <si>
    <t>　　年産 農産物生産費統計（個別経営体） 集計結果検討表（報告用）</t>
    <rPh sb="14" eb="16">
      <t>コベツ</t>
    </rPh>
    <rPh sb="16" eb="19">
      <t>ケイエイタイ</t>
    </rPh>
    <rPh sb="29" eb="32">
      <t>ホウコクヨウ</t>
    </rPh>
    <phoneticPr fontId="1"/>
  </si>
  <si>
    <t>生産費区分</t>
    <rPh sb="0" eb="3">
      <t>セイサンヒ</t>
    </rPh>
    <rPh sb="3" eb="5">
      <t>クブン</t>
    </rPh>
    <phoneticPr fontId="5"/>
  </si>
  <si>
    <t>地方農政局等</t>
    <rPh sb="0" eb="2">
      <t>チホウ</t>
    </rPh>
    <rPh sb="2" eb="5">
      <t>ノウセイキョク</t>
    </rPh>
    <rPh sb="5" eb="6">
      <t>トウ</t>
    </rPh>
    <phoneticPr fontId="5"/>
  </si>
  <si>
    <t>　</t>
    <phoneticPr fontId="5"/>
  </si>
  <si>
    <t>単位</t>
    <rPh sb="0" eb="2">
      <t>タンイ</t>
    </rPh>
    <phoneticPr fontId="5"/>
  </si>
  <si>
    <t>増減率</t>
    <rPh sb="0" eb="2">
      <t>ゾウゲン</t>
    </rPh>
    <rPh sb="2" eb="3">
      <t>リツ</t>
    </rPh>
    <phoneticPr fontId="5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</si>
  <si>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5"/>
  </si>
  <si>
    <t>（％）</t>
    <phoneticPr fontId="5"/>
  </si>
  <si>
    <t>円</t>
    <rPh sb="0" eb="1">
      <t>エン</t>
    </rPh>
    <phoneticPr fontId="5"/>
  </si>
  <si>
    <t>〃</t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</si>
  <si>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5"/>
  </si>
  <si>
    <t>経営概況</t>
    <rPh sb="0" eb="2">
      <t>ケイエイ</t>
    </rPh>
    <rPh sb="2" eb="4">
      <t>ガイキョウ</t>
    </rPh>
    <phoneticPr fontId="5"/>
  </si>
  <si>
    <t>10ａ当たり収量</t>
    <rPh sb="3" eb="4">
      <t>ア</t>
    </rPh>
    <rPh sb="6" eb="8">
      <t>シュウリョウ</t>
    </rPh>
    <phoneticPr fontId="5"/>
  </si>
  <si>
    <t>kg</t>
    <phoneticPr fontId="5"/>
  </si>
  <si>
    <t>時間</t>
    <rPh sb="0" eb="2">
      <t>ジカン</t>
    </rPh>
    <phoneticPr fontId="5"/>
  </si>
  <si>
    <t>ａ</t>
    <phoneticPr fontId="5"/>
  </si>
  <si>
    <t>集計経営体数</t>
    <rPh sb="0" eb="2">
      <t>シュウケイ</t>
    </rPh>
    <rPh sb="2" eb="5">
      <t>ケイエイタイ</t>
    </rPh>
    <rPh sb="5" eb="6">
      <t>スウ</t>
    </rPh>
    <phoneticPr fontId="5"/>
  </si>
  <si>
    <t>家族(構成員)</t>
    <rPh sb="0" eb="2">
      <t>カゾク</t>
    </rPh>
    <rPh sb="3" eb="6">
      <t>コウセイイン</t>
    </rPh>
    <phoneticPr fontId="5"/>
  </si>
  <si>
    <t>増減額
(円)</t>
    <rPh sb="0" eb="2">
      <t>ゾウゲン</t>
    </rPh>
    <rPh sb="2" eb="3">
      <t>ガク</t>
    </rPh>
    <rPh sb="5" eb="6">
      <t>エン</t>
    </rPh>
    <phoneticPr fontId="5"/>
  </si>
  <si>
    <t>構成割合</t>
    <rPh sb="0" eb="2">
      <t>コウセイ</t>
    </rPh>
    <rPh sb="2" eb="4">
      <t>ワリアイ</t>
    </rPh>
    <phoneticPr fontId="5"/>
  </si>
  <si>
    <t>１経営体当たり作付面積</t>
    <rPh sb="1" eb="4">
      <t>ケイエイタイ</t>
    </rPh>
    <rPh sb="4" eb="5">
      <t>ア</t>
    </rPh>
    <rPh sb="7" eb="9">
      <t>サクツケ</t>
    </rPh>
    <rPh sb="9" eb="11">
      <t>メンセキ</t>
    </rPh>
    <phoneticPr fontId="5"/>
  </si>
  <si>
    <t>年産　農産物生産費統計（個別経営体・組織法人経営体）　集計結果検討表（報告用）　</t>
    <rPh sb="1" eb="2">
      <t>サン</t>
    </rPh>
    <rPh sb="3" eb="6">
      <t>ノウサンブツ</t>
    </rPh>
    <rPh sb="12" eb="14">
      <t>コベツ</t>
    </rPh>
    <rPh sb="14" eb="17">
      <t>ケイエイタイ</t>
    </rPh>
    <rPh sb="18" eb="20">
      <t>ソシキ</t>
    </rPh>
    <rPh sb="20" eb="22">
      <t>ホウジン</t>
    </rPh>
    <rPh sb="22" eb="24">
      <t>ケイエイ</t>
    </rPh>
    <rPh sb="24" eb="25">
      <t>タイ</t>
    </rPh>
    <phoneticPr fontId="5"/>
  </si>
  <si>
    <t>都道府県番号</t>
  </si>
  <si>
    <t>コード</t>
    <phoneticPr fontId="18"/>
  </si>
  <si>
    <t>小麦</t>
    <rPh sb="0" eb="2">
      <t>コムギ</t>
    </rPh>
    <phoneticPr fontId="18"/>
  </si>
  <si>
    <t>なたね</t>
    <phoneticPr fontId="18"/>
  </si>
  <si>
    <t>全国</t>
    <rPh sb="0" eb="2">
      <t>ゼンコク</t>
    </rPh>
    <phoneticPr fontId="18"/>
  </si>
  <si>
    <t>都府県平均</t>
    <rPh sb="0" eb="3">
      <t>トフケン</t>
    </rPh>
    <rPh sb="3" eb="5">
      <t>ヘイキン</t>
    </rPh>
    <phoneticPr fontId="18"/>
  </si>
  <si>
    <t>そば</t>
    <phoneticPr fontId="18"/>
  </si>
  <si>
    <t>北海道</t>
    <rPh sb="0" eb="3">
      <t>ホッカイドウ</t>
    </rPh>
    <phoneticPr fontId="18"/>
  </si>
  <si>
    <t>二条大麦</t>
    <rPh sb="0" eb="2">
      <t>ニジョウ</t>
    </rPh>
    <rPh sb="2" eb="4">
      <t>オオムギ</t>
    </rPh>
    <phoneticPr fontId="18"/>
  </si>
  <si>
    <t>東北</t>
    <rPh sb="0" eb="2">
      <t>トウホク</t>
    </rPh>
    <phoneticPr fontId="18"/>
  </si>
  <si>
    <t>六条大麦</t>
    <rPh sb="0" eb="2">
      <t>ロクジョウ</t>
    </rPh>
    <rPh sb="2" eb="4">
      <t>オオムギ</t>
    </rPh>
    <phoneticPr fontId="18"/>
  </si>
  <si>
    <t>北陸</t>
    <rPh sb="0" eb="2">
      <t>ホクリク</t>
    </rPh>
    <phoneticPr fontId="18"/>
  </si>
  <si>
    <t>はだか麦</t>
    <rPh sb="3" eb="4">
      <t>ムギ</t>
    </rPh>
    <phoneticPr fontId="18"/>
  </si>
  <si>
    <t>関東・東山</t>
    <rPh sb="0" eb="2">
      <t>カントウ</t>
    </rPh>
    <rPh sb="3" eb="5">
      <t>ヒガシヤマ</t>
    </rPh>
    <phoneticPr fontId="18"/>
  </si>
  <si>
    <t>東海</t>
    <rPh sb="0" eb="2">
      <t>トウカイ</t>
    </rPh>
    <phoneticPr fontId="18"/>
  </si>
  <si>
    <t>大豆</t>
    <rPh sb="0" eb="2">
      <t>ダイズ</t>
    </rPh>
    <phoneticPr fontId="18"/>
  </si>
  <si>
    <t>近畿</t>
    <rPh sb="0" eb="2">
      <t>キンキ</t>
    </rPh>
    <phoneticPr fontId="18"/>
  </si>
  <si>
    <t>原料用かんしょ</t>
    <rPh sb="0" eb="3">
      <t>ゲンリョウヨウ</t>
    </rPh>
    <phoneticPr fontId="18"/>
  </si>
  <si>
    <t>てんさい</t>
    <phoneticPr fontId="18"/>
  </si>
  <si>
    <t>中国</t>
    <rPh sb="0" eb="2">
      <t>チュウゴク</t>
    </rPh>
    <phoneticPr fontId="18"/>
  </si>
  <si>
    <t>原料用ばれいしょ</t>
    <rPh sb="0" eb="3">
      <t>ゲンリョウヨウ</t>
    </rPh>
    <phoneticPr fontId="18"/>
  </si>
  <si>
    <t>四国</t>
    <rPh sb="0" eb="2">
      <t>シコク</t>
    </rPh>
    <phoneticPr fontId="18"/>
  </si>
  <si>
    <t>さとうきび</t>
    <phoneticPr fontId="18"/>
  </si>
  <si>
    <t>九州</t>
    <rPh sb="0" eb="2">
      <t>キュウシュウ</t>
    </rPh>
    <phoneticPr fontId="18"/>
  </si>
  <si>
    <t>沖縄</t>
    <rPh sb="0" eb="2">
      <t>オキナワ</t>
    </rPh>
    <phoneticPr fontId="18"/>
  </si>
  <si>
    <t>北関東</t>
    <rPh sb="0" eb="1">
      <t>キタ</t>
    </rPh>
    <rPh sb="1" eb="3">
      <t>カントウ</t>
    </rPh>
    <phoneticPr fontId="18"/>
  </si>
  <si>
    <t>南関東</t>
    <rPh sb="0" eb="1">
      <t>ミナミ</t>
    </rPh>
    <rPh sb="1" eb="3">
      <t>カントウ</t>
    </rPh>
    <phoneticPr fontId="18"/>
  </si>
  <si>
    <t>東山</t>
    <rPh sb="0" eb="2">
      <t>ヒガシヤマ</t>
    </rPh>
    <phoneticPr fontId="18"/>
  </si>
  <si>
    <t>北東北</t>
    <rPh sb="0" eb="1">
      <t>キタ</t>
    </rPh>
    <rPh sb="1" eb="3">
      <t>トウホク</t>
    </rPh>
    <phoneticPr fontId="8"/>
  </si>
  <si>
    <t>南東北</t>
    <rPh sb="0" eb="1">
      <t>ミナミ</t>
    </rPh>
    <rPh sb="1" eb="3">
      <t>トウホク</t>
    </rPh>
    <phoneticPr fontId="8"/>
  </si>
  <si>
    <t>山陰</t>
    <rPh sb="0" eb="2">
      <t>サンイン</t>
    </rPh>
    <phoneticPr fontId="18"/>
  </si>
  <si>
    <t>山陽</t>
    <rPh sb="0" eb="2">
      <t>サンヨウ</t>
    </rPh>
    <phoneticPr fontId="18"/>
  </si>
  <si>
    <t>北九州</t>
    <rPh sb="0" eb="3">
      <t>キタキュウシュウ</t>
    </rPh>
    <phoneticPr fontId="18"/>
  </si>
  <si>
    <t>南九州</t>
    <rPh sb="0" eb="1">
      <t>ミナミ</t>
    </rPh>
    <rPh sb="1" eb="3">
      <t>キュウシュウ</t>
    </rPh>
    <phoneticPr fontId="18"/>
  </si>
  <si>
    <t>関東農政局</t>
    <rPh sb="0" eb="2">
      <t>カントウ</t>
    </rPh>
    <rPh sb="2" eb="5">
      <t>ノウセイキョク</t>
    </rPh>
    <phoneticPr fontId="18"/>
  </si>
  <si>
    <t>東海農政局</t>
    <rPh sb="0" eb="2">
      <t>トウカイ</t>
    </rPh>
    <rPh sb="2" eb="5">
      <t>ノウセイキョク</t>
    </rPh>
    <phoneticPr fontId="18"/>
  </si>
  <si>
    <t>中国四国局</t>
    <rPh sb="0" eb="2">
      <t>チュウゴク</t>
    </rPh>
    <rPh sb="2" eb="4">
      <t>シコク</t>
    </rPh>
    <rPh sb="4" eb="5">
      <t>キョク</t>
    </rPh>
    <phoneticPr fontId="18"/>
  </si>
  <si>
    <t>青森</t>
    <rPh sb="0" eb="2">
      <t>アオモリ</t>
    </rPh>
    <phoneticPr fontId="18"/>
  </si>
  <si>
    <t>岩手</t>
    <rPh sb="0" eb="2">
      <t>イワテ</t>
    </rPh>
    <phoneticPr fontId="18"/>
  </si>
  <si>
    <t>宮城</t>
    <rPh sb="0" eb="2">
      <t>ミヤギ</t>
    </rPh>
    <phoneticPr fontId="18"/>
  </si>
  <si>
    <t>秋田</t>
    <rPh sb="0" eb="2">
      <t>アキタ</t>
    </rPh>
    <phoneticPr fontId="18"/>
  </si>
  <si>
    <t>山形</t>
    <rPh sb="0" eb="2">
      <t>ヤマガタ</t>
    </rPh>
    <phoneticPr fontId="18"/>
  </si>
  <si>
    <t>福島</t>
    <rPh sb="0" eb="2">
      <t>フクシマ</t>
    </rPh>
    <phoneticPr fontId="18"/>
  </si>
  <si>
    <t>茨城</t>
    <rPh sb="0" eb="2">
      <t>イバラキ</t>
    </rPh>
    <phoneticPr fontId="18"/>
  </si>
  <si>
    <t>栃木</t>
    <rPh sb="0" eb="2">
      <t>トチギ</t>
    </rPh>
    <phoneticPr fontId="18"/>
  </si>
  <si>
    <t>群馬</t>
    <rPh sb="0" eb="2">
      <t>グンマ</t>
    </rPh>
    <phoneticPr fontId="18"/>
  </si>
  <si>
    <t>埼玉</t>
    <rPh sb="0" eb="2">
      <t>サイタマ</t>
    </rPh>
    <phoneticPr fontId="18"/>
  </si>
  <si>
    <t>千葉</t>
    <rPh sb="0" eb="2">
      <t>チバ</t>
    </rPh>
    <phoneticPr fontId="18"/>
  </si>
  <si>
    <t>東京</t>
    <rPh sb="0" eb="2">
      <t>トウキョウ</t>
    </rPh>
    <phoneticPr fontId="18"/>
  </si>
  <si>
    <t>神奈川</t>
    <rPh sb="0" eb="3">
      <t>カナガワ</t>
    </rPh>
    <phoneticPr fontId="18"/>
  </si>
  <si>
    <t>新潟</t>
    <rPh sb="0" eb="2">
      <t>ニイガタ</t>
    </rPh>
    <phoneticPr fontId="18"/>
  </si>
  <si>
    <t>富山</t>
    <rPh sb="0" eb="2">
      <t>トヤマ</t>
    </rPh>
    <phoneticPr fontId="18"/>
  </si>
  <si>
    <t>石川</t>
    <rPh sb="0" eb="2">
      <t>イシカワ</t>
    </rPh>
    <phoneticPr fontId="18"/>
  </si>
  <si>
    <t>福井</t>
    <rPh sb="0" eb="2">
      <t>フクイ</t>
    </rPh>
    <phoneticPr fontId="18"/>
  </si>
  <si>
    <t>山梨</t>
    <rPh sb="0" eb="2">
      <t>ヤマナシ</t>
    </rPh>
    <phoneticPr fontId="18"/>
  </si>
  <si>
    <t>長野</t>
    <rPh sb="0" eb="2">
      <t>ナガノ</t>
    </rPh>
    <phoneticPr fontId="18"/>
  </si>
  <si>
    <t>岐阜</t>
    <rPh sb="0" eb="2">
      <t>ギフ</t>
    </rPh>
    <phoneticPr fontId="18"/>
  </si>
  <si>
    <t>静岡</t>
    <rPh sb="0" eb="2">
      <t>シズオカ</t>
    </rPh>
    <phoneticPr fontId="18"/>
  </si>
  <si>
    <t>愛知</t>
    <rPh sb="0" eb="2">
      <t>アイチ</t>
    </rPh>
    <phoneticPr fontId="18"/>
  </si>
  <si>
    <t>三重</t>
    <rPh sb="0" eb="2">
      <t>ミエ</t>
    </rPh>
    <phoneticPr fontId="18"/>
  </si>
  <si>
    <t>滋賀</t>
    <rPh sb="0" eb="2">
      <t>シガ</t>
    </rPh>
    <phoneticPr fontId="18"/>
  </si>
  <si>
    <t>京都</t>
    <rPh sb="0" eb="2">
      <t>キョウト</t>
    </rPh>
    <phoneticPr fontId="18"/>
  </si>
  <si>
    <t>大阪</t>
    <rPh sb="0" eb="2">
      <t>オオサカ</t>
    </rPh>
    <phoneticPr fontId="18"/>
  </si>
  <si>
    <t>兵庫</t>
    <rPh sb="0" eb="2">
      <t>ヒョウゴ</t>
    </rPh>
    <phoneticPr fontId="18"/>
  </si>
  <si>
    <t>奈良</t>
    <rPh sb="0" eb="2">
      <t>ナラ</t>
    </rPh>
    <phoneticPr fontId="18"/>
  </si>
  <si>
    <t>和歌山</t>
    <rPh sb="0" eb="3">
      <t>ワカヤマ</t>
    </rPh>
    <phoneticPr fontId="18"/>
  </si>
  <si>
    <t>鳥取</t>
    <rPh sb="0" eb="2">
      <t>トットリ</t>
    </rPh>
    <phoneticPr fontId="18"/>
  </si>
  <si>
    <t>島根</t>
    <rPh sb="0" eb="2">
      <t>シマネ</t>
    </rPh>
    <phoneticPr fontId="18"/>
  </si>
  <si>
    <t>岡山</t>
    <rPh sb="0" eb="2">
      <t>オカヤマ</t>
    </rPh>
    <phoneticPr fontId="18"/>
  </si>
  <si>
    <t>広島</t>
    <rPh sb="0" eb="2">
      <t>ヒロシマ</t>
    </rPh>
    <phoneticPr fontId="18"/>
  </si>
  <si>
    <t>山口</t>
    <rPh sb="0" eb="2">
      <t>ヤマグチ</t>
    </rPh>
    <phoneticPr fontId="18"/>
  </si>
  <si>
    <t>徳島</t>
    <rPh sb="0" eb="2">
      <t>トクシマ</t>
    </rPh>
    <phoneticPr fontId="18"/>
  </si>
  <si>
    <t>香川</t>
    <rPh sb="0" eb="2">
      <t>カガワ</t>
    </rPh>
    <phoneticPr fontId="18"/>
  </si>
  <si>
    <t>愛媛</t>
    <rPh sb="0" eb="2">
      <t>エヒメ</t>
    </rPh>
    <phoneticPr fontId="18"/>
  </si>
  <si>
    <t>高知</t>
    <rPh sb="0" eb="2">
      <t>コウチ</t>
    </rPh>
    <phoneticPr fontId="18"/>
  </si>
  <si>
    <t>福岡</t>
    <rPh sb="0" eb="2">
      <t>フクオカ</t>
    </rPh>
    <phoneticPr fontId="18"/>
  </si>
  <si>
    <t>佐賀</t>
    <rPh sb="0" eb="2">
      <t>サガ</t>
    </rPh>
    <phoneticPr fontId="18"/>
  </si>
  <si>
    <t>長崎</t>
    <rPh sb="0" eb="2">
      <t>ナガサキ</t>
    </rPh>
    <phoneticPr fontId="18"/>
  </si>
  <si>
    <t>熊本</t>
    <rPh sb="0" eb="2">
      <t>クマモト</t>
    </rPh>
    <phoneticPr fontId="18"/>
  </si>
  <si>
    <t>大分</t>
    <rPh sb="0" eb="2">
      <t>オオイタ</t>
    </rPh>
    <phoneticPr fontId="18"/>
  </si>
  <si>
    <t>宮崎</t>
    <rPh sb="0" eb="2">
      <t>ミヤザキ</t>
    </rPh>
    <phoneticPr fontId="18"/>
  </si>
  <si>
    <t>鹿児島</t>
    <rPh sb="0" eb="3">
      <t>カゴシマ</t>
    </rPh>
    <phoneticPr fontId="18"/>
  </si>
  <si>
    <t>-</t>
  </si>
  <si>
    <t>-</t>
    <phoneticPr fontId="1"/>
  </si>
  <si>
    <t>-</t>
    <phoneticPr fontId="1"/>
  </si>
  <si>
    <t>経営体</t>
    <rPh sb="0" eb="3">
      <t>ケイエイタイ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</si>
</sst>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.0"/>
    <numFmt numFmtId="177" formatCode="###\ ###\ ##0.0"/>
    <numFmt numFmtId="178" formatCode="##\ ###\ ##0"/>
    <numFmt numFmtId="179" formatCode="##0.0"/>
    <numFmt numFmtId="180" formatCode="###\ ##0.0"/>
    <numFmt numFmtId="181" formatCode="###\ ##0"/>
    <numFmt numFmtId="182" formatCode="#\ ##0.00"/>
    <numFmt numFmtId="183" formatCode="000"/>
    <numFmt numFmtId="184" formatCode="00"/>
    <numFmt numFmtId="185" formatCode="0000"/>
    <numFmt numFmtId="186" formatCode="###\ ###\ ##0"/>
    <numFmt numFmtId="187" formatCode="#0&quot;年&quot;"/>
    <numFmt numFmtId="188" formatCode="#,##0;\-#,##0;0"/>
    <numFmt numFmtId="189" formatCode="#,##0.0;\-#,##0.0;0.0"/>
  </numFmts>
  <fonts count="24"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7"/>
      <name val="ＭＳ ゴシック"/>
      <family val="3"/>
      <charset val="128"/>
    </font>
    <font>
      <sz val="8"/>
      <name val="ＭＳ Ｐゴシック"/>
      <family val="3"/>
      <charset val="128"/>
    </font>
    <font>
      <sz val="9"/>
      <color rgb="FFFF0000"/>
      <name val="ＭＳ ゴシック"/>
      <family val="3"/>
      <charset val="128"/>
    </font>
    <font>
      <strike/>
      <sz val="9"/>
      <color rgb="FFFF0000"/>
      <name val="ＭＳ ゴシック"/>
      <family val="3"/>
      <charset val="128"/>
    </font>
    <font>
      <strike/>
      <sz val="11"/>
      <color rgb="FFFF0000"/>
      <name val="ＭＳ ゴシック"/>
      <family val="3"/>
      <charset val="128"/>
    </font>
    <font>
      <sz val="10"/>
      <name val="ＭＳ 明朝"/>
      <family val="1"/>
      <charset val="128"/>
    </font>
    <font>
      <sz val="6"/>
      <name val="明朝"/>
      <family val="1"/>
      <charset val="128"/>
    </font>
    <font>
      <sz val="11"/>
      <name val="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0.5"/>
      <name val="ＭＳ 明朝"/>
      <family val="1"/>
      <charset val="128"/>
    </font>
    <font>
      <sz val="5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124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/>
      <bottom style="hair">
        <color indexed="64"/>
      </bottom>
      <diagonal style="hair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hair">
        <color indexed="64"/>
      </diagonal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0" fontId="8" fillId="0" borderId="0"/>
    <xf numFmtId="0" fontId="17" fillId="0" borderId="0"/>
    <xf numFmtId="0" fontId="19" fillId="0" borderId="0"/>
    <xf numFmtId="0" fontId="20" fillId="0" borderId="0">
      <alignment vertical="center"/>
    </xf>
    <xf numFmtId="0" fontId="17" fillId="0" borderId="0"/>
  </cellStyleXfs>
  <cellXfs count="284">
    <xf numFmtId="0" fontId="0" fillId="0" borderId="0" xfId="0"/>
    <xf numFmtId="0" fontId="4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0" borderId="0" xfId="0" applyFont="1"/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78" fontId="2" fillId="0" borderId="4" xfId="0" applyNumberFormat="1" applyFont="1" applyBorder="1" applyAlignment="1">
      <alignment horizontal="right" vertical="center"/>
    </xf>
    <xf numFmtId="178" fontId="2" fillId="0" borderId="5" xfId="0" quotePrefix="1" applyNumberFormat="1" applyFont="1" applyBorder="1" applyAlignment="1">
      <alignment horizontal="right" vertical="center"/>
    </xf>
    <xf numFmtId="0" fontId="6" fillId="0" borderId="6" xfId="0" applyFont="1" applyBorder="1" applyAlignment="1">
      <alignment vertical="center"/>
    </xf>
    <xf numFmtId="0" fontId="6" fillId="0" borderId="7" xfId="0" applyFont="1" applyBorder="1" applyAlignment="1">
      <alignment horizontal="distributed" vertical="center"/>
    </xf>
    <xf numFmtId="0" fontId="6" fillId="0" borderId="8" xfId="0" applyFont="1" applyBorder="1" applyAlignment="1">
      <alignment horizontal="distributed" vertical="center"/>
    </xf>
    <xf numFmtId="178" fontId="2" fillId="0" borderId="5" xfId="0" applyNumberFormat="1" applyFont="1" applyBorder="1" applyAlignment="1">
      <alignment horizontal="right" vertical="center"/>
    </xf>
    <xf numFmtId="0" fontId="6" fillId="1" borderId="9" xfId="0" applyFont="1" applyFill="1" applyBorder="1" applyAlignment="1">
      <alignment horizontal="distributed" vertical="center"/>
    </xf>
    <xf numFmtId="0" fontId="6" fillId="1" borderId="10" xfId="0" applyFont="1" applyFill="1" applyBorder="1" applyAlignment="1">
      <alignment horizontal="distributed" vertical="center"/>
    </xf>
    <xf numFmtId="0" fontId="6" fillId="1" borderId="11" xfId="0" applyFont="1" applyFill="1" applyBorder="1" applyAlignment="1">
      <alignment horizontal="distributed" vertical="center"/>
    </xf>
    <xf numFmtId="178" fontId="2" fillId="0" borderId="12" xfId="0" quotePrefix="1" applyNumberFormat="1" applyFont="1" applyBorder="1" applyAlignment="1">
      <alignment horizontal="right" vertical="center"/>
    </xf>
    <xf numFmtId="178" fontId="2" fillId="0" borderId="13" xfId="0" quotePrefix="1" applyNumberFormat="1" applyFont="1" applyBorder="1" applyAlignment="1">
      <alignment horizontal="right" vertical="center"/>
    </xf>
    <xf numFmtId="178" fontId="2" fillId="0" borderId="14" xfId="0" quotePrefix="1" applyNumberFormat="1" applyFont="1" applyBorder="1" applyAlignment="1">
      <alignment horizontal="right" vertical="center"/>
    </xf>
    <xf numFmtId="178" fontId="2" fillId="0" borderId="4" xfId="0" quotePrefix="1" applyNumberFormat="1" applyFont="1" applyBorder="1" applyAlignment="1">
      <alignment horizontal="right" vertical="center"/>
    </xf>
    <xf numFmtId="182" fontId="2" fillId="0" borderId="5" xfId="0" applyNumberFormat="1" applyFont="1" applyBorder="1" applyAlignment="1">
      <alignment horizontal="right" vertical="center"/>
    </xf>
    <xf numFmtId="0" fontId="6" fillId="1" borderId="6" xfId="0" applyFont="1" applyFill="1" applyBorder="1" applyAlignment="1">
      <alignment vertical="center"/>
    </xf>
    <xf numFmtId="0" fontId="6" fillId="1" borderId="8" xfId="0" applyFont="1" applyFill="1" applyBorder="1" applyAlignment="1">
      <alignment horizontal="distributed" vertical="center"/>
    </xf>
    <xf numFmtId="0" fontId="6" fillId="1" borderId="7" xfId="0" applyFont="1" applyFill="1" applyBorder="1" applyAlignment="1">
      <alignment horizontal="distributed" vertical="center"/>
    </xf>
    <xf numFmtId="182" fontId="2" fillId="0" borderId="5" xfId="0" quotePrefix="1" applyNumberFormat="1" applyFont="1" applyBorder="1" applyAlignment="1">
      <alignment horizontal="right" vertical="center"/>
    </xf>
    <xf numFmtId="181" fontId="2" fillId="0" borderId="5" xfId="0" applyNumberFormat="1" applyFont="1" applyBorder="1" applyAlignment="1">
      <alignment horizontal="right" vertical="center"/>
    </xf>
    <xf numFmtId="181" fontId="2" fillId="0" borderId="5" xfId="0" quotePrefix="1" applyNumberFormat="1" applyFont="1" applyBorder="1" applyAlignment="1">
      <alignment horizontal="right" vertical="center"/>
    </xf>
    <xf numFmtId="179" fontId="2" fillId="0" borderId="15" xfId="0" applyNumberFormat="1" applyFont="1" applyBorder="1" applyAlignment="1">
      <alignment horizontal="right" vertical="center" shrinkToFit="1"/>
    </xf>
    <xf numFmtId="176" fontId="2" fillId="0" borderId="16" xfId="0" applyNumberFormat="1" applyFont="1" applyBorder="1" applyAlignment="1">
      <alignment vertical="center" shrinkToFit="1"/>
    </xf>
    <xf numFmtId="0" fontId="2" fillId="0" borderId="16" xfId="0" applyFont="1" applyBorder="1" applyAlignment="1">
      <alignment vertical="center" shrinkToFit="1"/>
    </xf>
    <xf numFmtId="0" fontId="2" fillId="0" borderId="17" xfId="0" applyFont="1" applyBorder="1" applyAlignment="1">
      <alignment vertical="center" shrinkToFit="1"/>
    </xf>
    <xf numFmtId="0" fontId="2" fillId="0" borderId="18" xfId="0" applyFont="1" applyBorder="1" applyAlignment="1">
      <alignment vertical="center" shrinkToFit="1"/>
    </xf>
    <xf numFmtId="0" fontId="2" fillId="0" borderId="19" xfId="0" applyFont="1" applyBorder="1" applyAlignment="1">
      <alignment vertical="center" shrinkToFit="1"/>
    </xf>
    <xf numFmtId="0" fontId="2" fillId="0" borderId="20" xfId="0" applyFont="1" applyBorder="1" applyAlignment="1">
      <alignment vertical="center" shrinkToFit="1"/>
    </xf>
    <xf numFmtId="179" fontId="2" fillId="0" borderId="21" xfId="0" applyNumberFormat="1" applyFont="1" applyBorder="1" applyAlignment="1">
      <alignment horizontal="right" vertical="center" shrinkToFit="1"/>
    </xf>
    <xf numFmtId="178" fontId="2" fillId="0" borderId="21" xfId="0" applyNumberFormat="1" applyFont="1" applyBorder="1" applyAlignment="1">
      <alignment horizontal="right" vertical="center" shrinkToFit="1"/>
    </xf>
    <xf numFmtId="179" fontId="2" fillId="0" borderId="22" xfId="0" applyNumberFormat="1" applyFont="1" applyBorder="1" applyAlignment="1">
      <alignment horizontal="right" vertical="center" shrinkToFit="1"/>
    </xf>
    <xf numFmtId="179" fontId="2" fillId="0" borderId="23" xfId="0" applyNumberFormat="1" applyFont="1" applyBorder="1" applyAlignment="1">
      <alignment horizontal="right" vertical="center" shrinkToFit="1"/>
    </xf>
    <xf numFmtId="179" fontId="2" fillId="0" borderId="24" xfId="0" applyNumberFormat="1" applyFont="1" applyBorder="1" applyAlignment="1">
      <alignment horizontal="right" vertical="center" shrinkToFit="1"/>
    </xf>
    <xf numFmtId="179" fontId="2" fillId="0" borderId="25" xfId="0" applyNumberFormat="1" applyFont="1" applyBorder="1" applyAlignment="1">
      <alignment horizontal="right" vertical="center" shrinkToFit="1"/>
    </xf>
    <xf numFmtId="179" fontId="2" fillId="0" borderId="26" xfId="0" applyNumberFormat="1" applyFont="1" applyBorder="1" applyAlignment="1">
      <alignment horizontal="right" vertical="center" shrinkToFit="1"/>
    </xf>
    <xf numFmtId="179" fontId="2" fillId="0" borderId="27" xfId="0" applyNumberFormat="1" applyFont="1" applyBorder="1" applyAlignment="1">
      <alignment horizontal="right" vertical="center" shrinkToFit="1"/>
    </xf>
    <xf numFmtId="179" fontId="2" fillId="0" borderId="28" xfId="0" applyNumberFormat="1" applyFont="1" applyBorder="1" applyAlignment="1">
      <alignment horizontal="right" vertical="center" shrinkToFi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shrinkToFit="1"/>
    </xf>
    <xf numFmtId="0" fontId="2" fillId="0" borderId="33" xfId="0" applyFont="1" applyBorder="1" applyAlignment="1">
      <alignment horizontal="center" vertical="center"/>
    </xf>
    <xf numFmtId="183" fontId="2" fillId="0" borderId="34" xfId="0" applyNumberFormat="1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distributed" vertical="center" justifyLastLine="1"/>
    </xf>
    <xf numFmtId="0" fontId="2" fillId="0" borderId="37" xfId="0" applyFont="1" applyBorder="1" applyAlignment="1">
      <alignment horizontal="distributed" vertical="center" justifyLastLine="1"/>
    </xf>
    <xf numFmtId="180" fontId="2" fillId="0" borderId="38" xfId="0" applyNumberFormat="1" applyFont="1" applyBorder="1" applyAlignment="1">
      <alignment horizontal="right" vertical="center"/>
    </xf>
    <xf numFmtId="0" fontId="2" fillId="0" borderId="39" xfId="0" applyFont="1" applyBorder="1" applyAlignment="1">
      <alignment vertical="center" shrinkToFit="1"/>
    </xf>
    <xf numFmtId="179" fontId="2" fillId="0" borderId="40" xfId="0" applyNumberFormat="1" applyFont="1" applyBorder="1" applyAlignment="1">
      <alignment horizontal="right" vertical="center" shrinkToFit="1"/>
    </xf>
    <xf numFmtId="178" fontId="2" fillId="0" borderId="41" xfId="0" applyNumberFormat="1" applyFont="1" applyBorder="1" applyAlignment="1">
      <alignment horizontal="right" vertical="center" shrinkToFit="1"/>
    </xf>
    <xf numFmtId="178" fontId="2" fillId="0" borderId="25" xfId="0" applyNumberFormat="1" applyFont="1" applyBorder="1" applyAlignment="1">
      <alignment horizontal="right" vertical="center" shrinkToFit="1"/>
    </xf>
    <xf numFmtId="178" fontId="2" fillId="0" borderId="27" xfId="0" applyNumberFormat="1" applyFont="1" applyBorder="1" applyAlignment="1">
      <alignment horizontal="right" vertical="center" shrinkToFit="1"/>
    </xf>
    <xf numFmtId="178" fontId="2" fillId="0" borderId="42" xfId="0" applyNumberFormat="1" applyFont="1" applyBorder="1" applyAlignment="1">
      <alignment horizontal="right" vertical="center" shrinkToFit="1"/>
    </xf>
    <xf numFmtId="178" fontId="2" fillId="0" borderId="40" xfId="0" applyNumberFormat="1" applyFont="1" applyBorder="1" applyAlignment="1">
      <alignment horizontal="right" vertical="center" shrinkToFit="1"/>
    </xf>
    <xf numFmtId="0" fontId="2" fillId="0" borderId="0" xfId="1" applyFont="1" applyAlignment="1">
      <alignment horizont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center" vertical="center" wrapText="1"/>
    </xf>
    <xf numFmtId="0" fontId="6" fillId="0" borderId="0" xfId="1" applyFont="1"/>
    <xf numFmtId="0" fontId="4" fillId="0" borderId="0" xfId="1" applyFont="1"/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10" fillId="0" borderId="0" xfId="1" applyFont="1"/>
    <xf numFmtId="186" fontId="2" fillId="2" borderId="90" xfId="1" applyNumberFormat="1" applyFont="1" applyFill="1" applyBorder="1" applyAlignment="1">
      <alignment horizontal="center" vertical="center" shrinkToFit="1"/>
    </xf>
    <xf numFmtId="49" fontId="10" fillId="0" borderId="0" xfId="1" applyNumberFormat="1" applyFont="1"/>
    <xf numFmtId="0" fontId="6" fillId="0" borderId="0" xfId="1" applyFont="1" applyAlignment="1">
      <alignment wrapText="1"/>
    </xf>
    <xf numFmtId="0" fontId="2" fillId="0" borderId="8" xfId="2" applyFont="1" applyBorder="1" applyAlignment="1">
      <alignment horizontal="distributed" vertical="center"/>
    </xf>
    <xf numFmtId="0" fontId="2" fillId="1" borderId="6" xfId="2" applyFont="1" applyFill="1" applyBorder="1" applyAlignment="1">
      <alignment horizontal="distributed" vertical="center"/>
    </xf>
    <xf numFmtId="0" fontId="2" fillId="1" borderId="8" xfId="2" applyFont="1" applyFill="1" applyBorder="1" applyAlignment="1">
      <alignment horizontal="distributed" vertical="center"/>
    </xf>
    <xf numFmtId="0" fontId="10" fillId="0" borderId="0" xfId="1" applyFont="1" applyAlignment="1">
      <alignment horizontal="left"/>
    </xf>
    <xf numFmtId="0" fontId="15" fillId="0" borderId="6" xfId="0" applyFont="1" applyBorder="1" applyAlignment="1">
      <alignment vertical="center"/>
    </xf>
    <xf numFmtId="0" fontId="15" fillId="0" borderId="8" xfId="0" applyFont="1" applyBorder="1" applyAlignment="1">
      <alignment horizontal="distributed" vertical="center"/>
    </xf>
    <xf numFmtId="0" fontId="15" fillId="0" borderId="7" xfId="0" applyFont="1" applyBorder="1" applyAlignment="1">
      <alignment horizontal="distributed" vertical="center"/>
    </xf>
    <xf numFmtId="0" fontId="7" fillId="2" borderId="104" xfId="1" applyFont="1" applyFill="1" applyBorder="1" applyAlignment="1">
      <alignment horizontal="center" vertical="center" wrapText="1"/>
    </xf>
    <xf numFmtId="0" fontId="7" fillId="2" borderId="104" xfId="1" applyFont="1" applyFill="1" applyBorder="1" applyAlignment="1">
      <alignment horizontal="center" vertical="center"/>
    </xf>
    <xf numFmtId="0" fontId="7" fillId="2" borderId="105" xfId="1" applyFont="1" applyFill="1" applyBorder="1" applyAlignment="1">
      <alignment horizontal="center" vertical="center" wrapText="1"/>
    </xf>
    <xf numFmtId="0" fontId="7" fillId="2" borderId="106" xfId="1" applyFont="1" applyFill="1" applyBorder="1" applyAlignment="1">
      <alignment horizontal="center" vertical="center" wrapText="1"/>
    </xf>
    <xf numFmtId="0" fontId="7" fillId="2" borderId="107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top" wrapText="1"/>
    </xf>
    <xf numFmtId="185" fontId="13" fillId="0" borderId="0" xfId="1" applyNumberFormat="1" applyFont="1" applyAlignment="1">
      <alignment horizontal="center" vertical="top" wrapText="1"/>
    </xf>
    <xf numFmtId="0" fontId="7" fillId="2" borderId="108" xfId="1" applyFont="1" applyFill="1" applyBorder="1" applyAlignment="1">
      <alignment horizontal="center" vertical="center" wrapText="1"/>
    </xf>
    <xf numFmtId="0" fontId="2" fillId="2" borderId="36" xfId="1" applyFont="1" applyFill="1" applyBorder="1" applyAlignment="1">
      <alignment horizontal="center" vertical="center" shrinkToFit="1"/>
    </xf>
    <xf numFmtId="0" fontId="2" fillId="0" borderId="6" xfId="2" applyFont="1" applyBorder="1" applyAlignment="1">
      <alignment horizontal="distributed" vertical="center"/>
    </xf>
    <xf numFmtId="0" fontId="2" fillId="0" borderId="84" xfId="1" applyFont="1" applyBorder="1" applyAlignment="1">
      <alignment horizontal="center" vertical="center" shrinkToFit="1"/>
    </xf>
    <xf numFmtId="186" fontId="2" fillId="0" borderId="92" xfId="1" applyNumberFormat="1" applyFont="1" applyBorder="1" applyAlignment="1">
      <alignment horizontal="center" vertical="center" shrinkToFit="1"/>
    </xf>
    <xf numFmtId="0" fontId="4" fillId="3" borderId="0" xfId="3" applyFont="1" applyFill="1" applyAlignment="1">
      <alignment horizontal="center" vertical="center"/>
    </xf>
    <xf numFmtId="0" fontId="4" fillId="0" borderId="0" xfId="4" applyFont="1"/>
    <xf numFmtId="0" fontId="4" fillId="4" borderId="0" xfId="4" applyFont="1" applyFill="1" applyAlignment="1">
      <alignment horizontal="center" vertical="center"/>
    </xf>
    <xf numFmtId="0" fontId="21" fillId="4" borderId="0" xfId="3" applyFont="1" applyFill="1" applyAlignment="1">
      <alignment horizontal="center" vertical="center"/>
    </xf>
    <xf numFmtId="0" fontId="4" fillId="0" borderId="0" xfId="4" applyFont="1" applyAlignment="1">
      <alignment horizontal="center"/>
    </xf>
    <xf numFmtId="0" fontId="4" fillId="4" borderId="0" xfId="4" applyFont="1" applyFill="1"/>
    <xf numFmtId="0" fontId="4" fillId="3" borderId="0" xfId="4" applyFont="1" applyFill="1" applyAlignment="1">
      <alignment horizontal="center" vertical="center"/>
    </xf>
    <xf numFmtId="0" fontId="4" fillId="3" borderId="0" xfId="4" applyFont="1" applyFill="1"/>
    <xf numFmtId="184" fontId="22" fillId="0" borderId="119" xfId="6" applyNumberFormat="1" applyFont="1" applyBorder="1" applyAlignment="1">
      <alignment horizontal="center" vertical="center" shrinkToFit="1"/>
    </xf>
    <xf numFmtId="184" fontId="22" fillId="0" borderId="122" xfId="6" applyNumberFormat="1" applyFont="1" applyBorder="1" applyAlignment="1">
      <alignment horizontal="center" vertical="center" shrinkToFit="1"/>
    </xf>
    <xf numFmtId="0" fontId="13" fillId="0" borderId="123" xfId="1" applyFont="1" applyBorder="1" applyAlignment="1">
      <alignment horizontal="center" vertical="center" wrapText="1"/>
    </xf>
    <xf numFmtId="184" fontId="2" fillId="0" borderId="118" xfId="1" applyNumberFormat="1" applyFont="1" applyBorder="1" applyAlignment="1">
      <alignment horizontal="center" vertical="center" wrapText="1"/>
    </xf>
    <xf numFmtId="0" fontId="23" fillId="0" borderId="113" xfId="2" applyFont="1" applyBorder="1" applyAlignment="1">
      <alignment horizontal="center" vertical="center"/>
    </xf>
    <xf numFmtId="188" fontId="2" fillId="0" borderId="114" xfId="1" applyNumberFormat="1" applyFont="1" applyBorder="1" applyAlignment="1">
      <alignment horizontal="right" vertical="center" shrinkToFit="1"/>
    </xf>
    <xf numFmtId="188" fontId="2" fillId="0" borderId="116" xfId="1" applyNumberFormat="1" applyFont="1" applyBorder="1" applyAlignment="1">
      <alignment horizontal="right" vertical="center" shrinkToFit="1"/>
    </xf>
    <xf numFmtId="188" fontId="2" fillId="0" borderId="115" xfId="1" applyNumberFormat="1" applyFont="1" applyBorder="1" applyAlignment="1">
      <alignment horizontal="right" vertical="center" shrinkToFit="1"/>
    </xf>
    <xf numFmtId="188" fontId="2" fillId="0" borderId="30" xfId="1" applyNumberFormat="1" applyFont="1" applyBorder="1" applyAlignment="1">
      <alignment horizontal="right" vertical="center" shrinkToFit="1"/>
    </xf>
    <xf numFmtId="188" fontId="2" fillId="0" borderId="67" xfId="1" applyNumberFormat="1" applyFont="1" applyBorder="1" applyAlignment="1">
      <alignment horizontal="right" vertical="center" shrinkToFit="1"/>
    </xf>
    <xf numFmtId="188" fontId="2" fillId="0" borderId="13" xfId="1" applyNumberFormat="1" applyFont="1" applyBorder="1" applyAlignment="1">
      <alignment horizontal="right" vertical="center" shrinkToFit="1"/>
    </xf>
    <xf numFmtId="188" fontId="2" fillId="0" borderId="25" xfId="1" applyNumberFormat="1" applyFont="1" applyBorder="1" applyAlignment="1">
      <alignment horizontal="right" vertical="center" shrinkToFit="1"/>
    </xf>
    <xf numFmtId="188" fontId="2" fillId="0" borderId="70" xfId="1" applyNumberFormat="1" applyFont="1" applyBorder="1" applyAlignment="1">
      <alignment horizontal="right" vertical="center" shrinkToFit="1"/>
    </xf>
    <xf numFmtId="188" fontId="2" fillId="0" borderId="5" xfId="1" applyNumberFormat="1" applyFont="1" applyBorder="1" applyAlignment="1">
      <alignment horizontal="right" vertical="center" shrinkToFit="1"/>
    </xf>
    <xf numFmtId="188" fontId="2" fillId="0" borderId="23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 shrinkToFit="1"/>
    </xf>
    <xf numFmtId="188" fontId="2" fillId="0" borderId="16" xfId="1" applyNumberFormat="1" applyFont="1" applyBorder="1" applyAlignment="1">
      <alignment horizontal="right" vertical="center"/>
    </xf>
    <xf numFmtId="188" fontId="2" fillId="0" borderId="71" xfId="1" applyNumberFormat="1" applyFont="1" applyBorder="1" applyAlignment="1">
      <alignment horizontal="right" vertical="center" shrinkToFit="1"/>
    </xf>
    <xf numFmtId="188" fontId="2" fillId="0" borderId="19" xfId="1" applyNumberFormat="1" applyFont="1" applyBorder="1" applyAlignment="1">
      <alignment horizontal="right" vertical="center" shrinkToFit="1"/>
    </xf>
    <xf numFmtId="188" fontId="2" fillId="0" borderId="14" xfId="1" applyNumberFormat="1" applyFont="1" applyBorder="1" applyAlignment="1">
      <alignment horizontal="right" vertical="center" shrinkToFit="1"/>
    </xf>
    <xf numFmtId="188" fontId="2" fillId="0" borderId="26" xfId="1" applyNumberFormat="1" applyFont="1" applyBorder="1" applyAlignment="1">
      <alignment horizontal="right" vertical="center" shrinkToFit="1"/>
    </xf>
    <xf numFmtId="188" fontId="2" fillId="0" borderId="100" xfId="1" applyNumberFormat="1" applyFont="1" applyBorder="1" applyAlignment="1">
      <alignment horizontal="right" vertical="center" shrinkToFit="1"/>
    </xf>
    <xf numFmtId="188" fontId="2" fillId="0" borderId="18" xfId="1" applyNumberFormat="1" applyFont="1" applyBorder="1" applyAlignment="1">
      <alignment horizontal="right" vertical="center" shrinkToFit="1"/>
    </xf>
    <xf numFmtId="188" fontId="2" fillId="0" borderId="39" xfId="1" applyNumberFormat="1" applyFont="1" applyBorder="1" applyAlignment="1">
      <alignment horizontal="right" vertical="center" shrinkToFit="1"/>
    </xf>
    <xf numFmtId="188" fontId="2" fillId="0" borderId="40" xfId="1" applyNumberFormat="1" applyFont="1" applyBorder="1" applyAlignment="1">
      <alignment horizontal="right" vertical="center" shrinkToFit="1"/>
    </xf>
    <xf numFmtId="189" fontId="2" fillId="0" borderId="117" xfId="1" applyNumberFormat="1" applyFont="1" applyBorder="1" applyAlignment="1">
      <alignment horizontal="right" vertical="center" shrinkToFit="1"/>
    </xf>
    <xf numFmtId="189" fontId="2" fillId="0" borderId="8" xfId="1" applyNumberFormat="1" applyFont="1" applyBorder="1" applyAlignment="1">
      <alignment horizontal="right" vertical="center" shrinkToFit="1"/>
    </xf>
    <xf numFmtId="189" fontId="2" fillId="0" borderId="45" xfId="1" applyNumberFormat="1" applyFont="1" applyBorder="1" applyAlignment="1">
      <alignment horizontal="right" vertical="center" shrinkToFit="1"/>
    </xf>
    <xf numFmtId="189" fontId="2" fillId="0" borderId="99" xfId="1" applyNumberFormat="1" applyFont="1" applyBorder="1" applyAlignment="1">
      <alignment horizontal="right" vertical="center" shrinkToFit="1"/>
    </xf>
    <xf numFmtId="189" fontId="2" fillId="0" borderId="58" xfId="1" applyNumberFormat="1" applyFont="1" applyBorder="1" applyAlignment="1">
      <alignment horizontal="right" vertical="center" shrinkToFit="1"/>
    </xf>
    <xf numFmtId="189" fontId="2" fillId="0" borderId="48" xfId="1" applyNumberFormat="1" applyFont="1" applyBorder="1" applyAlignment="1">
      <alignment horizontal="right" vertical="center" shrinkToFit="1"/>
    </xf>
    <xf numFmtId="189" fontId="2" fillId="0" borderId="6" xfId="1" applyNumberFormat="1" applyFont="1" applyBorder="1" applyAlignment="1">
      <alignment horizontal="right" vertical="center" shrinkToFit="1"/>
    </xf>
    <xf numFmtId="189" fontId="2" fillId="0" borderId="15" xfId="1" applyNumberFormat="1" applyFont="1" applyBorder="1" applyAlignment="1">
      <alignment horizontal="right" vertical="center" shrinkToFit="1"/>
    </xf>
    <xf numFmtId="189" fontId="2" fillId="0" borderId="69" xfId="1" applyNumberFormat="1" applyFont="1" applyBorder="1" applyAlignment="1">
      <alignment horizontal="right" vertical="center" shrinkToFit="1"/>
    </xf>
    <xf numFmtId="39" fontId="2" fillId="0" borderId="70" xfId="1" applyNumberFormat="1" applyFont="1" applyBorder="1" applyAlignment="1">
      <alignment horizontal="right" vertical="center" shrinkToFit="1"/>
    </xf>
    <xf numFmtId="39" fontId="2" fillId="0" borderId="5" xfId="1" applyNumberFormat="1" applyFont="1" applyBorder="1" applyAlignment="1">
      <alignment horizontal="right" vertical="center" shrinkToFit="1"/>
    </xf>
    <xf numFmtId="189" fontId="2" fillId="0" borderId="102" xfId="1" applyNumberFormat="1" applyFont="1" applyBorder="1" applyAlignment="1">
      <alignment horizontal="right" vertical="center" shrinkToFit="1"/>
    </xf>
    <xf numFmtId="189" fontId="2" fillId="0" borderId="38" xfId="1" applyNumberFormat="1" applyFont="1" applyBorder="1" applyAlignment="1">
      <alignment horizontal="right" vertical="center" shrinkToFit="1"/>
    </xf>
    <xf numFmtId="0" fontId="2" fillId="0" borderId="43" xfId="2" applyFont="1" applyBorder="1" applyAlignment="1">
      <alignment horizontal="distributed" vertical="center"/>
    </xf>
    <xf numFmtId="0" fontId="2" fillId="0" borderId="60" xfId="2" applyFont="1" applyBorder="1" applyAlignment="1">
      <alignment horizontal="distributed" vertical="center"/>
    </xf>
    <xf numFmtId="0" fontId="2" fillId="0" borderId="70" xfId="2" applyFont="1" applyBorder="1" applyAlignment="1">
      <alignment horizontal="center" vertical="center" shrinkToFit="1"/>
    </xf>
    <xf numFmtId="0" fontId="2" fillId="0" borderId="43" xfId="2" applyFont="1" applyBorder="1" applyAlignment="1">
      <alignment horizontal="center" vertical="center" shrinkToFit="1"/>
    </xf>
    <xf numFmtId="0" fontId="2" fillId="0" borderId="60" xfId="2" applyFont="1" applyBorder="1" applyAlignment="1">
      <alignment horizontal="center" vertical="center" shrinkToFit="1"/>
    </xf>
    <xf numFmtId="188" fontId="2" fillId="0" borderId="44" xfId="1" applyNumberFormat="1" applyFont="1" applyBorder="1" applyAlignment="1">
      <alignment horizontal="left" vertical="center" shrinkToFit="1"/>
    </xf>
    <xf numFmtId="188" fontId="2" fillId="0" borderId="45" xfId="1" applyNumberFormat="1" applyFont="1" applyBorder="1" applyAlignment="1">
      <alignment horizontal="left" vertical="center" shrinkToFit="1"/>
    </xf>
    <xf numFmtId="188" fontId="2" fillId="0" borderId="46" xfId="1" applyNumberFormat="1" applyFont="1" applyBorder="1" applyAlignment="1">
      <alignment horizontal="left" vertical="center" shrinkToFit="1"/>
    </xf>
    <xf numFmtId="0" fontId="2" fillId="1" borderId="71" xfId="2" applyFont="1" applyFill="1" applyBorder="1" applyAlignment="1">
      <alignment horizontal="distributed" vertical="center"/>
    </xf>
    <xf numFmtId="0" fontId="2" fillId="1" borderId="65" xfId="2" applyFont="1" applyFill="1" applyBorder="1" applyAlignment="1">
      <alignment horizontal="distributed" vertical="center"/>
    </xf>
    <xf numFmtId="0" fontId="2" fillId="1" borderId="103" xfId="2" applyFont="1" applyFill="1" applyBorder="1" applyAlignment="1">
      <alignment horizontal="distributed" vertical="center"/>
    </xf>
    <xf numFmtId="0" fontId="2" fillId="0" borderId="100" xfId="2" applyFont="1" applyBorder="1" applyAlignment="1">
      <alignment horizontal="distributed" vertical="center"/>
    </xf>
    <xf numFmtId="0" fontId="2" fillId="0" borderId="101" xfId="2" applyFont="1" applyBorder="1" applyAlignment="1">
      <alignment horizontal="distributed" vertical="center"/>
    </xf>
    <xf numFmtId="0" fontId="2" fillId="0" borderId="57" xfId="2" applyFont="1" applyBorder="1" applyAlignment="1">
      <alignment horizontal="distributed" vertical="center"/>
    </xf>
    <xf numFmtId="0" fontId="2" fillId="1" borderId="65" xfId="2" applyFont="1" applyFill="1" applyBorder="1" applyAlignment="1">
      <alignment horizontal="center" vertical="center" shrinkToFit="1"/>
    </xf>
    <xf numFmtId="0" fontId="2" fillId="1" borderId="103" xfId="2" applyFont="1" applyFill="1" applyBorder="1" applyAlignment="1">
      <alignment horizontal="center" vertical="center" shrinkToFit="1"/>
    </xf>
    <xf numFmtId="0" fontId="2" fillId="0" borderId="54" xfId="2" applyFont="1" applyBorder="1" applyAlignment="1">
      <alignment horizontal="center" vertical="center" wrapText="1"/>
    </xf>
    <xf numFmtId="0" fontId="2" fillId="0" borderId="55" xfId="2" applyFont="1" applyBorder="1" applyAlignment="1">
      <alignment horizontal="center" vertical="center" wrapText="1"/>
    </xf>
    <xf numFmtId="0" fontId="2" fillId="0" borderId="56" xfId="2" applyFont="1" applyBorder="1" applyAlignment="1">
      <alignment horizontal="center" vertical="center" wrapText="1"/>
    </xf>
    <xf numFmtId="0" fontId="2" fillId="0" borderId="58" xfId="2" applyFont="1" applyBorder="1" applyAlignment="1">
      <alignment horizontal="distributed" vertical="center"/>
    </xf>
    <xf numFmtId="0" fontId="2" fillId="0" borderId="45" xfId="2" applyFont="1" applyBorder="1" applyAlignment="1">
      <alignment horizontal="distributed" vertical="center"/>
    </xf>
    <xf numFmtId="0" fontId="2" fillId="1" borderId="61" xfId="2" applyFont="1" applyFill="1" applyBorder="1" applyAlignment="1">
      <alignment horizontal="distributed" vertical="center"/>
    </xf>
    <xf numFmtId="0" fontId="2" fillId="1" borderId="62" xfId="2" applyFont="1" applyFill="1" applyBorder="1" applyAlignment="1">
      <alignment horizontal="distributed" vertical="center"/>
    </xf>
    <xf numFmtId="0" fontId="2" fillId="0" borderId="47" xfId="2" applyFont="1" applyBorder="1" applyAlignment="1">
      <alignment horizontal="distributed" vertical="center"/>
    </xf>
    <xf numFmtId="0" fontId="2" fillId="0" borderId="48" xfId="2" applyFont="1" applyBorder="1" applyAlignment="1">
      <alignment horizontal="distributed" vertical="center"/>
    </xf>
    <xf numFmtId="188" fontId="2" fillId="0" borderId="78" xfId="1" applyNumberFormat="1" applyFont="1" applyBorder="1" applyAlignment="1">
      <alignment horizontal="left" vertical="center" shrinkToFit="1"/>
    </xf>
    <xf numFmtId="188" fontId="2" fillId="0" borderId="48" xfId="1" applyNumberFormat="1" applyFont="1" applyBorder="1" applyAlignment="1">
      <alignment horizontal="left" vertical="center" shrinkToFit="1"/>
    </xf>
    <xf numFmtId="188" fontId="2" fillId="0" borderId="79" xfId="1" applyNumberFormat="1" applyFont="1" applyBorder="1" applyAlignment="1">
      <alignment horizontal="left" vertical="center" shrinkToFit="1"/>
    </xf>
    <xf numFmtId="0" fontId="2" fillId="1" borderId="43" xfId="2" applyFont="1" applyFill="1" applyBorder="1" applyAlignment="1">
      <alignment horizontal="distributed" vertical="center"/>
    </xf>
    <xf numFmtId="0" fontId="2" fillId="1" borderId="60" xfId="2" applyFont="1" applyFill="1" applyBorder="1" applyAlignment="1">
      <alignment horizontal="distributed" vertical="center"/>
    </xf>
    <xf numFmtId="0" fontId="2" fillId="0" borderId="6" xfId="2" applyFont="1" applyBorder="1" applyAlignment="1">
      <alignment horizontal="distributed" vertical="center"/>
    </xf>
    <xf numFmtId="0" fontId="2" fillId="0" borderId="64" xfId="2" applyFont="1" applyBorder="1" applyAlignment="1">
      <alignment horizontal="distributed" vertical="center"/>
    </xf>
    <xf numFmtId="0" fontId="2" fillId="0" borderId="61" xfId="2" applyFont="1" applyBorder="1" applyAlignment="1">
      <alignment horizontal="distributed" vertical="center"/>
    </xf>
    <xf numFmtId="0" fontId="2" fillId="0" borderId="43" xfId="2" applyFont="1" applyBorder="1" applyAlignment="1">
      <alignment horizontal="distributed" vertical="center" shrinkToFit="1"/>
    </xf>
    <xf numFmtId="0" fontId="2" fillId="0" borderId="60" xfId="2" applyFont="1" applyBorder="1" applyAlignment="1">
      <alignment horizontal="distributed" vertical="center" shrinkToFit="1"/>
    </xf>
    <xf numFmtId="0" fontId="2" fillId="0" borderId="111" xfId="2" applyFont="1" applyBorder="1" applyAlignment="1">
      <alignment horizontal="distributed" vertical="center"/>
    </xf>
    <xf numFmtId="0" fontId="2" fillId="0" borderId="112" xfId="2" applyFont="1" applyBorder="1" applyAlignment="1">
      <alignment horizontal="distributed" vertical="center"/>
    </xf>
    <xf numFmtId="188" fontId="2" fillId="0" borderId="96" xfId="1" applyNumberFormat="1" applyFont="1" applyBorder="1" applyAlignment="1">
      <alignment horizontal="left" vertical="center" shrinkToFit="1"/>
    </xf>
    <xf numFmtId="188" fontId="2" fillId="0" borderId="95" xfId="1" applyNumberFormat="1" applyFont="1" applyBorder="1" applyAlignment="1">
      <alignment horizontal="left" vertical="center" shrinkToFit="1"/>
    </xf>
    <xf numFmtId="188" fontId="2" fillId="0" borderId="97" xfId="1" applyNumberFormat="1" applyFont="1" applyBorder="1" applyAlignment="1">
      <alignment horizontal="left" vertical="center" shrinkToFit="1"/>
    </xf>
    <xf numFmtId="0" fontId="2" fillId="0" borderId="98" xfId="2" applyFont="1" applyBorder="1" applyAlignment="1">
      <alignment horizontal="center" vertical="center" wrapText="1"/>
    </xf>
    <xf numFmtId="0" fontId="2" fillId="0" borderId="72" xfId="2" applyFont="1" applyBorder="1" applyAlignment="1">
      <alignment horizontal="distributed" vertical="center"/>
    </xf>
    <xf numFmtId="0" fontId="2" fillId="0" borderId="68" xfId="2" applyFont="1" applyBorder="1" applyAlignment="1">
      <alignment horizontal="distributed" vertical="center"/>
    </xf>
    <xf numFmtId="188" fontId="2" fillId="0" borderId="109" xfId="1" applyNumberFormat="1" applyFont="1" applyBorder="1" applyAlignment="1">
      <alignment horizontal="left" vertical="center" shrinkToFit="1"/>
    </xf>
    <xf numFmtId="188" fontId="2" fillId="0" borderId="8" xfId="1" applyNumberFormat="1" applyFont="1" applyBorder="1" applyAlignment="1">
      <alignment horizontal="left" vertical="center" shrinkToFit="1"/>
    </xf>
    <xf numFmtId="188" fontId="2" fillId="0" borderId="110" xfId="1" applyNumberFormat="1" applyFont="1" applyBorder="1" applyAlignment="1">
      <alignment horizontal="left" vertical="center" shrinkToFit="1"/>
    </xf>
    <xf numFmtId="0" fontId="2" fillId="0" borderId="111" xfId="1" applyFont="1" applyBorder="1" applyAlignment="1">
      <alignment horizontal="center" vertical="top" wrapText="1"/>
    </xf>
    <xf numFmtId="0" fontId="2" fillId="0" borderId="117" xfId="1" applyFont="1" applyBorder="1" applyAlignment="1">
      <alignment horizontal="center" vertical="top" wrapText="1"/>
    </xf>
    <xf numFmtId="0" fontId="2" fillId="0" borderId="120" xfId="1" applyFont="1" applyBorder="1" applyAlignment="1">
      <alignment horizontal="center" vertical="top" wrapText="1"/>
    </xf>
    <xf numFmtId="0" fontId="2" fillId="0" borderId="121" xfId="1" applyFont="1" applyBorder="1" applyAlignment="1">
      <alignment horizontal="center" vertical="top" wrapText="1"/>
    </xf>
    <xf numFmtId="0" fontId="2" fillId="2" borderId="85" xfId="1" applyFont="1" applyFill="1" applyBorder="1" applyAlignment="1">
      <alignment horizontal="center" vertical="center"/>
    </xf>
    <xf numFmtId="0" fontId="2" fillId="2" borderId="51" xfId="1" applyFont="1" applyFill="1" applyBorder="1" applyAlignment="1">
      <alignment horizontal="center" vertical="center"/>
    </xf>
    <xf numFmtId="0" fontId="2" fillId="2" borderId="73" xfId="1" applyFont="1" applyFill="1" applyBorder="1" applyAlignment="1">
      <alignment horizontal="center" vertical="center"/>
    </xf>
    <xf numFmtId="0" fontId="2" fillId="2" borderId="93" xfId="1" applyFont="1" applyFill="1" applyBorder="1" applyAlignment="1">
      <alignment horizontal="center" vertical="center"/>
    </xf>
    <xf numFmtId="0" fontId="2" fillId="2" borderId="87" xfId="1" applyFont="1" applyFill="1" applyBorder="1" applyAlignment="1">
      <alignment horizontal="center" vertical="center"/>
    </xf>
    <xf numFmtId="0" fontId="2" fillId="2" borderId="94" xfId="1" applyFont="1" applyFill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86" xfId="2" applyFont="1" applyBorder="1" applyAlignment="1">
      <alignment horizontal="center" vertical="center"/>
    </xf>
    <xf numFmtId="0" fontId="2" fillId="0" borderId="87" xfId="2" applyFont="1" applyBorder="1" applyAlignment="1">
      <alignment horizontal="center" vertical="center"/>
    </xf>
    <xf numFmtId="0" fontId="2" fillId="2" borderId="82" xfId="1" applyFont="1" applyFill="1" applyBorder="1" applyAlignment="1">
      <alignment horizontal="center" vertical="center" wrapText="1"/>
    </xf>
    <xf numFmtId="0" fontId="2" fillId="2" borderId="88" xfId="1" applyFont="1" applyFill="1" applyBorder="1" applyAlignment="1">
      <alignment horizontal="center" vertical="center" wrapText="1"/>
    </xf>
    <xf numFmtId="187" fontId="2" fillId="2" borderId="83" xfId="1" applyNumberFormat="1" applyFont="1" applyFill="1" applyBorder="1" applyAlignment="1">
      <alignment horizontal="center" vertical="center" shrinkToFit="1"/>
    </xf>
    <xf numFmtId="187" fontId="2" fillId="2" borderId="89" xfId="1" applyNumberFormat="1" applyFont="1" applyFill="1" applyBorder="1" applyAlignment="1">
      <alignment horizontal="center" vertical="center" shrinkToFit="1"/>
    </xf>
    <xf numFmtId="187" fontId="2" fillId="2" borderId="35" xfId="1" applyNumberFormat="1" applyFont="1" applyFill="1" applyBorder="1" applyAlignment="1">
      <alignment horizontal="center" vertical="center" shrinkToFit="1"/>
    </xf>
    <xf numFmtId="187" fontId="2" fillId="2" borderId="91" xfId="1" applyNumberFormat="1" applyFont="1" applyFill="1" applyBorder="1" applyAlignment="1">
      <alignment horizontal="center" vertical="center" shrinkToFit="1"/>
    </xf>
    <xf numFmtId="0" fontId="2" fillId="2" borderId="84" xfId="1" applyFont="1" applyFill="1" applyBorder="1" applyAlignment="1">
      <alignment horizontal="center" vertical="center" wrapText="1" shrinkToFit="1"/>
    </xf>
    <xf numFmtId="0" fontId="2" fillId="2" borderId="92" xfId="1" applyFont="1" applyFill="1" applyBorder="1" applyAlignment="1">
      <alignment horizontal="center" vertical="center" shrinkToFit="1"/>
    </xf>
    <xf numFmtId="0" fontId="10" fillId="0" borderId="0" xfId="1" applyFont="1" applyAlignment="1">
      <alignment horizontal="center" vertical="top" wrapText="1"/>
    </xf>
    <xf numFmtId="0" fontId="2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2" fillId="0" borderId="78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2" fillId="0" borderId="79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46" xfId="0" applyFont="1" applyBorder="1" applyAlignment="1">
      <alignment horizontal="left" vertical="center"/>
    </xf>
    <xf numFmtId="0" fontId="2" fillId="0" borderId="80" xfId="0" applyFont="1" applyBorder="1" applyAlignment="1">
      <alignment horizontal="left" vertical="center"/>
    </xf>
    <xf numFmtId="0" fontId="2" fillId="0" borderId="58" xfId="0" applyFont="1" applyBorder="1" applyAlignment="1">
      <alignment horizontal="left" vertical="center"/>
    </xf>
    <xf numFmtId="0" fontId="2" fillId="0" borderId="81" xfId="0" applyFont="1" applyBorder="1" applyAlignment="1">
      <alignment horizontal="left" vertical="center"/>
    </xf>
    <xf numFmtId="0" fontId="4" fillId="0" borderId="58" xfId="0" applyFont="1" applyBorder="1" applyAlignment="1">
      <alignment horizontal="left" vertical="center"/>
    </xf>
    <xf numFmtId="0" fontId="4" fillId="0" borderId="81" xfId="0" applyFont="1" applyBorder="1" applyAlignment="1">
      <alignment horizontal="left" vertical="center"/>
    </xf>
    <xf numFmtId="0" fontId="6" fillId="1" borderId="71" xfId="0" applyFont="1" applyFill="1" applyBorder="1" applyAlignment="1">
      <alignment horizontal="distributed" vertical="center"/>
    </xf>
    <xf numFmtId="0" fontId="6" fillId="1" borderId="65" xfId="0" applyFont="1" applyFill="1" applyBorder="1" applyAlignment="1">
      <alignment vertical="center"/>
    </xf>
    <xf numFmtId="0" fontId="6" fillId="1" borderId="66" xfId="0" applyFont="1" applyFill="1" applyBorder="1" applyAlignment="1">
      <alignment vertical="center"/>
    </xf>
    <xf numFmtId="0" fontId="6" fillId="0" borderId="43" xfId="0" applyFont="1" applyBorder="1" applyAlignment="1">
      <alignment horizontal="distributed" vertical="center"/>
    </xf>
    <xf numFmtId="0" fontId="6" fillId="0" borderId="15" xfId="0" applyFont="1" applyBorder="1" applyAlignment="1">
      <alignment horizontal="distributed" vertical="center"/>
    </xf>
    <xf numFmtId="0" fontId="6" fillId="0" borderId="43" xfId="0" applyFont="1" applyBorder="1" applyAlignment="1">
      <alignment horizontal="distributed" vertical="center" shrinkToFit="1"/>
    </xf>
    <xf numFmtId="0" fontId="6" fillId="0" borderId="15" xfId="0" applyFont="1" applyBorder="1" applyAlignment="1">
      <alignment horizontal="distributed" vertical="center" shrinkToFit="1"/>
    </xf>
    <xf numFmtId="0" fontId="6" fillId="0" borderId="64" xfId="0" applyFont="1" applyBorder="1" applyAlignment="1">
      <alignment horizontal="distributed" vertical="center"/>
    </xf>
    <xf numFmtId="0" fontId="6" fillId="0" borderId="67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43" xfId="0" applyFont="1" applyBorder="1" applyAlignment="1">
      <alignment vertical="center"/>
    </xf>
    <xf numFmtId="0" fontId="2" fillId="0" borderId="51" xfId="0" applyFont="1" applyBorder="1" applyAlignment="1">
      <alignment horizontal="distributed" vertical="center" justifyLastLine="1"/>
    </xf>
    <xf numFmtId="0" fontId="2" fillId="0" borderId="73" xfId="0" applyFont="1" applyBorder="1" applyAlignment="1">
      <alignment horizontal="distributed" vertical="center" justifyLastLine="1"/>
    </xf>
    <xf numFmtId="0" fontId="2" fillId="0" borderId="53" xfId="0" applyFont="1" applyBorder="1" applyAlignment="1">
      <alignment horizontal="distributed" vertical="center" justifyLastLine="1"/>
    </xf>
    <xf numFmtId="0" fontId="2" fillId="0" borderId="74" xfId="0" applyFont="1" applyBorder="1" applyAlignment="1">
      <alignment horizontal="distributed" vertical="center" justifyLastLine="1"/>
    </xf>
    <xf numFmtId="177" fontId="6" fillId="0" borderId="75" xfId="0" applyNumberFormat="1" applyFont="1" applyBorder="1" applyAlignment="1">
      <alignment horizontal="left" vertical="center"/>
    </xf>
    <xf numFmtId="0" fontId="4" fillId="0" borderId="76" xfId="0" applyFont="1" applyBorder="1" applyAlignment="1">
      <alignment horizontal="left" vertical="center"/>
    </xf>
    <xf numFmtId="0" fontId="4" fillId="0" borderId="77" xfId="0" applyFont="1" applyBorder="1" applyAlignment="1">
      <alignment horizontal="left" vertical="center"/>
    </xf>
    <xf numFmtId="0" fontId="6" fillId="0" borderId="72" xfId="0" applyFont="1" applyBorder="1" applyAlignment="1">
      <alignment horizontal="distributed" vertical="center"/>
    </xf>
    <xf numFmtId="0" fontId="6" fillId="0" borderId="68" xfId="0" applyFont="1" applyBorder="1" applyAlignment="1">
      <alignment horizontal="distributed" vertical="center"/>
    </xf>
    <xf numFmtId="0" fontId="6" fillId="0" borderId="69" xfId="0" applyFont="1" applyBorder="1" applyAlignment="1">
      <alignment horizontal="distributed" vertical="center"/>
    </xf>
    <xf numFmtId="0" fontId="6" fillId="0" borderId="68" xfId="0" applyFont="1" applyBorder="1" applyAlignment="1">
      <alignment vertical="center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0" borderId="47" xfId="0" applyFont="1" applyBorder="1" applyAlignment="1">
      <alignment horizontal="distributed" vertical="center"/>
    </xf>
    <xf numFmtId="0" fontId="6" fillId="0" borderId="48" xfId="0" applyFont="1" applyBorder="1" applyAlignment="1">
      <alignment horizontal="distributed" vertical="center"/>
    </xf>
    <xf numFmtId="0" fontId="6" fillId="0" borderId="49" xfId="0" applyFont="1" applyBorder="1" applyAlignment="1">
      <alignment horizontal="distributed" vertical="center"/>
    </xf>
    <xf numFmtId="0" fontId="6" fillId="1" borderId="64" xfId="0" applyFont="1" applyFill="1" applyBorder="1" applyAlignment="1">
      <alignment horizontal="center" vertical="center" shrinkToFit="1"/>
    </xf>
    <xf numFmtId="0" fontId="6" fillId="1" borderId="43" xfId="0" applyFont="1" applyFill="1" applyBorder="1" applyAlignment="1">
      <alignment horizontal="center" vertical="center" shrinkToFit="1"/>
    </xf>
    <xf numFmtId="0" fontId="6" fillId="1" borderId="15" xfId="0" applyFont="1" applyFill="1" applyBorder="1" applyAlignment="1">
      <alignment horizontal="center" vertical="center" shrinkToFit="1"/>
    </xf>
    <xf numFmtId="0" fontId="15" fillId="2" borderId="65" xfId="0" applyFont="1" applyFill="1" applyBorder="1" applyAlignment="1">
      <alignment horizontal="distributed" vertical="center"/>
    </xf>
    <xf numFmtId="0" fontId="16" fillId="2" borderId="66" xfId="0" applyFont="1" applyFill="1" applyBorder="1" applyAlignment="1">
      <alignment horizontal="distributed" vertical="center"/>
    </xf>
    <xf numFmtId="0" fontId="6" fillId="0" borderId="67" xfId="0" applyFont="1" applyBorder="1" applyAlignment="1">
      <alignment horizontal="distributed" vertical="center"/>
    </xf>
    <xf numFmtId="0" fontId="6" fillId="0" borderId="69" xfId="0" applyFont="1" applyBorder="1" applyAlignment="1">
      <alignment vertical="center"/>
    </xf>
    <xf numFmtId="0" fontId="6" fillId="0" borderId="70" xfId="0" applyFont="1" applyBorder="1" applyAlignment="1">
      <alignment horizontal="center" vertical="center" shrinkToFit="1"/>
    </xf>
    <xf numFmtId="0" fontId="6" fillId="0" borderId="43" xfId="0" applyFont="1" applyBorder="1" applyAlignment="1">
      <alignment horizontal="center" vertical="center" shrinkToFit="1"/>
    </xf>
    <xf numFmtId="0" fontId="6" fillId="0" borderId="15" xfId="0" applyFont="1" applyBorder="1" applyAlignment="1">
      <alignment horizontal="center" vertical="center" shrinkToFit="1"/>
    </xf>
    <xf numFmtId="0" fontId="4" fillId="0" borderId="43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6" fillId="1" borderId="43" xfId="0" applyFont="1" applyFill="1" applyBorder="1" applyAlignment="1">
      <alignment horizontal="distributed" vertical="center"/>
    </xf>
    <xf numFmtId="0" fontId="6" fillId="1" borderId="15" xfId="0" applyFont="1" applyFill="1" applyBorder="1" applyAlignment="1">
      <alignment horizontal="distributed" vertical="center"/>
    </xf>
    <xf numFmtId="0" fontId="14" fillId="0" borderId="54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distributed" vertical="center"/>
    </xf>
    <xf numFmtId="0" fontId="6" fillId="0" borderId="58" xfId="0" applyFont="1" applyBorder="1" applyAlignment="1">
      <alignment horizontal="distributed" vertical="center"/>
    </xf>
    <xf numFmtId="0" fontId="6" fillId="0" borderId="59" xfId="0" applyFont="1" applyBorder="1" applyAlignment="1">
      <alignment horizontal="distributed" vertical="center"/>
    </xf>
    <xf numFmtId="0" fontId="6" fillId="0" borderId="60" xfId="0" applyFont="1" applyBorder="1" applyAlignment="1">
      <alignment horizontal="distributed" vertical="center"/>
    </xf>
    <xf numFmtId="0" fontId="6" fillId="0" borderId="45" xfId="0" applyFont="1" applyBorder="1" applyAlignment="1">
      <alignment horizontal="distributed" vertical="center"/>
    </xf>
    <xf numFmtId="0" fontId="6" fillId="0" borderId="22" xfId="0" applyFont="1" applyBorder="1" applyAlignment="1">
      <alignment horizontal="distributed" vertical="center"/>
    </xf>
    <xf numFmtId="0" fontId="15" fillId="0" borderId="60" xfId="0" applyFont="1" applyBorder="1" applyAlignment="1">
      <alignment horizontal="distributed" vertical="center"/>
    </xf>
    <xf numFmtId="0" fontId="15" fillId="0" borderId="45" xfId="0" applyFont="1" applyBorder="1" applyAlignment="1">
      <alignment horizontal="distributed" vertical="center"/>
    </xf>
    <xf numFmtId="0" fontId="15" fillId="0" borderId="22" xfId="0" applyFont="1" applyBorder="1" applyAlignment="1">
      <alignment horizontal="distributed" vertical="center"/>
    </xf>
    <xf numFmtId="0" fontId="6" fillId="1" borderId="61" xfId="0" applyFont="1" applyFill="1" applyBorder="1" applyAlignment="1">
      <alignment horizontal="distributed" vertical="center"/>
    </xf>
    <xf numFmtId="0" fontId="6" fillId="1" borderId="62" xfId="0" applyFont="1" applyFill="1" applyBorder="1" applyAlignment="1">
      <alignment horizontal="distributed" vertical="center"/>
    </xf>
    <xf numFmtId="0" fontId="6" fillId="1" borderId="63" xfId="0" applyFont="1" applyFill="1" applyBorder="1" applyAlignment="1">
      <alignment horizontal="distributed" vertical="center"/>
    </xf>
    <xf numFmtId="0" fontId="15" fillId="0" borderId="61" xfId="0" applyFont="1" applyBorder="1" applyAlignment="1">
      <alignment horizontal="distributed" vertical="center"/>
    </xf>
    <xf numFmtId="0" fontId="15" fillId="0" borderId="62" xfId="0" applyFont="1" applyBorder="1" applyAlignment="1">
      <alignment horizontal="distributed" vertical="center"/>
    </xf>
    <xf numFmtId="0" fontId="15" fillId="0" borderId="63" xfId="0" applyFont="1" applyBorder="1" applyAlignment="1">
      <alignment horizontal="distributed" vertical="center"/>
    </xf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459D1509-895A-4F75-BC7F-4A9A6CD38422}"/>
    <cellStyle name="標準 4" xfId="4" xr:uid="{A24CF154-0A84-45A6-92E2-F08B1D9FD1E0}"/>
    <cellStyle name="標準 4 2" xfId="5" xr:uid="{30C467C7-49A6-4F0A-B55A-192979B360E4}"/>
    <cellStyle name="標準_BDA1S0T05201" xfId="6" xr:uid="{4134A008-D06B-4A13-B527-A5954297BD3A}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7</xdr:row>
      <xdr:rowOff>28575</xdr:rowOff>
    </xdr:from>
    <xdr:to>
      <xdr:col>19</xdr:col>
      <xdr:colOff>0</xdr:colOff>
      <xdr:row>26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1EAEF0B6-95B2-45AC-9A6A-75EFFE41E9F2}"/>
            </a:ext>
          </a:extLst>
        </xdr:cNvPr>
        <xdr:cNvSpPr>
          <a:spLocks/>
        </xdr:cNvSpPr>
      </xdr:nvSpPr>
      <xdr:spPr bwMode="auto">
        <a:xfrm>
          <a:off x="10487025" y="1162050"/>
          <a:ext cx="0" cy="30480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32</xdr:row>
      <xdr:rowOff>28575</xdr:rowOff>
    </xdr:from>
    <xdr:to>
      <xdr:col>19</xdr:col>
      <xdr:colOff>0</xdr:colOff>
      <xdr:row>32</xdr:row>
      <xdr:rowOff>133350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174E66B9-D7DE-4037-9C63-F6B7A0DB93D8}"/>
            </a:ext>
          </a:extLst>
        </xdr:cNvPr>
        <xdr:cNvSpPr>
          <a:spLocks/>
        </xdr:cNvSpPr>
      </xdr:nvSpPr>
      <xdr:spPr bwMode="auto">
        <a:xfrm>
          <a:off x="10487025" y="5210175"/>
          <a:ext cx="0" cy="1047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33</xdr:row>
      <xdr:rowOff>19050</xdr:rowOff>
    </xdr:from>
    <xdr:to>
      <xdr:col>19</xdr:col>
      <xdr:colOff>0</xdr:colOff>
      <xdr:row>41</xdr:row>
      <xdr:rowOff>123825</xdr:rowOff>
    </xdr:to>
    <xdr:sp macro="" textlink="">
      <xdr:nvSpPr>
        <xdr:cNvPr id="4" name="AutoShape 9">
          <a:extLst>
            <a:ext uri="{FF2B5EF4-FFF2-40B4-BE49-F238E27FC236}">
              <a16:creationId xmlns:a16="http://schemas.microsoft.com/office/drawing/2014/main" id="{38C5CB39-B0D8-435C-9899-84BF74C05D0B}"/>
            </a:ext>
          </a:extLst>
        </xdr:cNvPr>
        <xdr:cNvSpPr>
          <a:spLocks/>
        </xdr:cNvSpPr>
      </xdr:nvSpPr>
      <xdr:spPr bwMode="auto">
        <a:xfrm>
          <a:off x="10487025" y="5362575"/>
          <a:ext cx="0" cy="14001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42</xdr:row>
      <xdr:rowOff>47625</xdr:rowOff>
    </xdr:from>
    <xdr:to>
      <xdr:col>19</xdr:col>
      <xdr:colOff>0</xdr:colOff>
      <xdr:row>43</xdr:row>
      <xdr:rowOff>133350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A84C11E-3EE5-4293-AEEB-6D905AA092F0}"/>
            </a:ext>
          </a:extLst>
        </xdr:cNvPr>
        <xdr:cNvSpPr>
          <a:spLocks/>
        </xdr:cNvSpPr>
      </xdr:nvSpPr>
      <xdr:spPr bwMode="auto">
        <a:xfrm>
          <a:off x="10487025" y="6848475"/>
          <a:ext cx="0" cy="24765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26</xdr:row>
      <xdr:rowOff>28575</xdr:rowOff>
    </xdr:from>
    <xdr:to>
      <xdr:col>19</xdr:col>
      <xdr:colOff>0</xdr:colOff>
      <xdr:row>28</xdr:row>
      <xdr:rowOff>152400</xdr:rowOff>
    </xdr:to>
    <xdr:sp macro="" textlink="">
      <xdr:nvSpPr>
        <xdr:cNvPr id="6" name="AutoShape 11">
          <a:extLst>
            <a:ext uri="{FF2B5EF4-FFF2-40B4-BE49-F238E27FC236}">
              <a16:creationId xmlns:a16="http://schemas.microsoft.com/office/drawing/2014/main" id="{CB447B0D-FC81-45A3-A7B5-37F58994DA03}"/>
            </a:ext>
          </a:extLst>
        </xdr:cNvPr>
        <xdr:cNvSpPr>
          <a:spLocks/>
        </xdr:cNvSpPr>
      </xdr:nvSpPr>
      <xdr:spPr bwMode="auto">
        <a:xfrm>
          <a:off x="10487025" y="4238625"/>
          <a:ext cx="0" cy="447675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29</xdr:row>
      <xdr:rowOff>38100</xdr:rowOff>
    </xdr:from>
    <xdr:to>
      <xdr:col>19</xdr:col>
      <xdr:colOff>0</xdr:colOff>
      <xdr:row>32</xdr:row>
      <xdr:rowOff>9525</xdr:rowOff>
    </xdr:to>
    <xdr:sp macro="" textlink="">
      <xdr:nvSpPr>
        <xdr:cNvPr id="7" name="AutoShape 12">
          <a:extLst>
            <a:ext uri="{FF2B5EF4-FFF2-40B4-BE49-F238E27FC236}">
              <a16:creationId xmlns:a16="http://schemas.microsoft.com/office/drawing/2014/main" id="{28C4D8D5-5F78-4554-A640-70F85D45DF48}"/>
            </a:ext>
          </a:extLst>
        </xdr:cNvPr>
        <xdr:cNvSpPr>
          <a:spLocks/>
        </xdr:cNvSpPr>
      </xdr:nvSpPr>
      <xdr:spPr bwMode="auto">
        <a:xfrm>
          <a:off x="10487025" y="4733925"/>
          <a:ext cx="0" cy="457200"/>
        </a:xfrm>
        <a:prstGeom prst="rightBrace">
          <a:avLst>
            <a:gd name="adj1" fmla="val -2147483648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DE7B2-B51C-401F-AB23-40984E7D63BA}">
  <dimension ref="A1:Y47"/>
  <sheetViews>
    <sheetView showGridLines="0" tabSelected="1" view="pageBreakPreview" zoomScaleNormal="100" zoomScaleSheetLayoutView="100" workbookViewId="0"/>
  </sheetViews>
  <sheetFormatPr defaultColWidth="9" defaultRowHeight="12"/>
  <cols>
    <col min="1" max="4" width="2.625" style="70" customWidth="1"/>
    <col min="5" max="5" width="2.625" style="77" customWidth="1"/>
    <col min="6" max="6" width="8.625" style="77" customWidth="1"/>
    <col min="7" max="7" width="3.625" style="69" customWidth="1"/>
    <col min="8" max="8" width="10.625" style="77" customWidth="1"/>
    <col min="9" max="9" width="6.625" style="77" customWidth="1"/>
    <col min="10" max="10" width="10.625" style="70" customWidth="1"/>
    <col min="11" max="11" width="6.625" style="70" customWidth="1"/>
    <col min="12" max="12" width="7.625" style="70" customWidth="1"/>
    <col min="13" max="13" width="8.625" style="70" customWidth="1"/>
    <col min="14" max="14" width="30.625" style="70" customWidth="1"/>
    <col min="15" max="15" width="2.75" style="70" customWidth="1"/>
    <col min="16" max="16" width="7.25" style="70" customWidth="1"/>
    <col min="17" max="17" width="3.125" style="70" customWidth="1"/>
    <col min="18" max="18" width="8.375" style="70" customWidth="1"/>
    <col min="19" max="19" width="9.625" style="70" customWidth="1"/>
    <col min="20" max="20" width="0" style="70" hidden="1" customWidth="1"/>
    <col min="21" max="22" width="3.625" style="70" customWidth="1"/>
    <col min="23" max="23" width="2.5" style="70" customWidth="1"/>
    <col min="24" max="24" width="13.875" style="70" customWidth="1"/>
    <col min="25" max="25" width="7.625" style="70" customWidth="1"/>
    <col min="26" max="16384" width="9" style="70"/>
  </cols>
  <sheetData>
    <row r="1" spans="1:25" s="62" customFormat="1" ht="12.95" customHeight="1" thickBot="1">
      <c r="G1" s="69"/>
    </row>
    <row r="2" spans="1:25" s="67" customFormat="1" ht="12.95" customHeight="1">
      <c r="B2" s="207"/>
      <c r="C2" s="207"/>
      <c r="D2" s="207"/>
      <c r="E2" s="63" t="s">
        <v>73</v>
      </c>
      <c r="F2" s="64"/>
      <c r="G2" s="65"/>
      <c r="H2" s="64"/>
      <c r="I2" s="64"/>
      <c r="J2" s="64"/>
      <c r="K2" s="64"/>
      <c r="L2" s="64"/>
      <c r="M2" s="64"/>
      <c r="N2" s="64"/>
      <c r="O2" s="185" t="s">
        <v>53</v>
      </c>
      <c r="P2" s="186"/>
      <c r="Q2" s="187" t="s">
        <v>54</v>
      </c>
      <c r="R2" s="188"/>
      <c r="S2" s="86"/>
      <c r="T2" s="66"/>
      <c r="U2" s="66"/>
    </row>
    <row r="3" spans="1:25" s="67" customFormat="1" ht="12.95" customHeight="1" thickBot="1">
      <c r="A3" s="68" t="s">
        <v>55</v>
      </c>
      <c r="B3" s="64"/>
      <c r="C3" s="64"/>
      <c r="D3" s="64"/>
      <c r="E3" s="64"/>
      <c r="F3" s="64"/>
      <c r="G3" s="65"/>
      <c r="H3" s="64"/>
      <c r="I3" s="64"/>
      <c r="J3" s="64"/>
      <c r="K3" s="64"/>
      <c r="L3" s="64"/>
      <c r="M3" s="64"/>
      <c r="N3" s="64"/>
      <c r="O3" s="101"/>
      <c r="P3" s="104" t="str">
        <f>IF(O3&gt;0,DGET(リスト!D2:E13,"生産費区分",リスト!E15:E16),"")</f>
        <v/>
      </c>
      <c r="Q3" s="102"/>
      <c r="R3" s="103" t="str">
        <f>IF(Q3&lt;&gt;"",DGET(リスト!A2:B71,"都道府県番号",リスト!B73:B74),"")</f>
        <v/>
      </c>
      <c r="S3" s="87"/>
      <c r="T3" s="66"/>
      <c r="U3" s="66"/>
    </row>
    <row r="4" spans="1:25" s="67" customFormat="1" ht="12.95" customHeight="1" thickBot="1">
      <c r="A4" s="68"/>
      <c r="G4" s="69"/>
    </row>
    <row r="5" spans="1:25" ht="12.95" customHeight="1">
      <c r="A5" s="195" t="s">
        <v>7</v>
      </c>
      <c r="B5" s="196"/>
      <c r="C5" s="196"/>
      <c r="D5" s="196"/>
      <c r="E5" s="196"/>
      <c r="F5" s="196"/>
      <c r="G5" s="199" t="s">
        <v>56</v>
      </c>
      <c r="H5" s="201" t="str">
        <f>IF($B$2&lt;&gt;"",$B$2,"")</f>
        <v/>
      </c>
      <c r="I5" s="89" t="s">
        <v>71</v>
      </c>
      <c r="J5" s="203" t="str">
        <f>IF($B$2&lt;&gt;"",$B$2-1,"")</f>
        <v/>
      </c>
      <c r="K5" s="89" t="s">
        <v>71</v>
      </c>
      <c r="L5" s="91" t="s">
        <v>57</v>
      </c>
      <c r="M5" s="205" t="s">
        <v>70</v>
      </c>
      <c r="N5" s="189" t="s">
        <v>58</v>
      </c>
      <c r="O5" s="190"/>
      <c r="P5" s="190"/>
      <c r="Q5" s="190"/>
      <c r="R5" s="190"/>
      <c r="S5" s="191"/>
    </row>
    <row r="6" spans="1:25" ht="12.95" customHeight="1" thickBot="1">
      <c r="A6" s="197"/>
      <c r="B6" s="198"/>
      <c r="C6" s="198"/>
      <c r="D6" s="198"/>
      <c r="E6" s="198"/>
      <c r="F6" s="198"/>
      <c r="G6" s="200"/>
      <c r="H6" s="202"/>
      <c r="I6" s="71" t="s">
        <v>59</v>
      </c>
      <c r="J6" s="204"/>
      <c r="K6" s="71" t="s">
        <v>59</v>
      </c>
      <c r="L6" s="92" t="s">
        <v>59</v>
      </c>
      <c r="M6" s="206"/>
      <c r="N6" s="192"/>
      <c r="O6" s="193"/>
      <c r="P6" s="193"/>
      <c r="Q6" s="193"/>
      <c r="R6" s="193"/>
      <c r="S6" s="194"/>
      <c r="X6" s="72"/>
      <c r="Y6" s="66"/>
    </row>
    <row r="7" spans="1:25" ht="12.95" customHeight="1">
      <c r="A7" s="174" t="s">
        <v>68</v>
      </c>
      <c r="B7" s="175"/>
      <c r="C7" s="175"/>
      <c r="D7" s="175"/>
      <c r="E7" s="175"/>
      <c r="F7" s="175"/>
      <c r="G7" s="105" t="s">
        <v>159</v>
      </c>
      <c r="H7" s="106"/>
      <c r="I7" s="107"/>
      <c r="J7" s="108"/>
      <c r="K7" s="107"/>
      <c r="L7" s="126" t="str">
        <f>IF(H7="-", "-", IF(J7="-", "-", IF(ABS(J7)=0, "-", ROUND(100*(H7-J7)/ABS(J7), 10))))</f>
        <v>-</v>
      </c>
      <c r="M7" s="109" t="s">
        <v>158</v>
      </c>
      <c r="N7" s="176"/>
      <c r="O7" s="177"/>
      <c r="P7" s="177"/>
      <c r="Q7" s="177"/>
      <c r="R7" s="177"/>
      <c r="S7" s="178"/>
      <c r="X7" s="72"/>
      <c r="Y7" s="66"/>
    </row>
    <row r="8" spans="1:25" ht="12.95" customHeight="1">
      <c r="A8" s="156" t="s">
        <v>8</v>
      </c>
      <c r="B8" s="180" t="s">
        <v>9</v>
      </c>
      <c r="C8" s="181"/>
      <c r="D8" s="181"/>
      <c r="E8" s="181"/>
      <c r="F8" s="169"/>
      <c r="G8" s="88" t="s">
        <v>60</v>
      </c>
      <c r="H8" s="110"/>
      <c r="I8" s="132" t="str">
        <f>IFERROR(H8/$H$30%," ")</f>
        <v xml:space="preserve"> </v>
      </c>
      <c r="J8" s="111"/>
      <c r="K8" s="134" t="str">
        <f>IFERROR(J8/$J$30%," ")</f>
        <v xml:space="preserve"> </v>
      </c>
      <c r="L8" s="127" t="str">
        <f t="shared" ref="L8:L46" si="0">IF(H8="-", "-", IF(J8="-", "-", IF(ABS(J8)=0, "-", ROUND(100*(H8-J8)/ABS(J8), 10))))</f>
        <v>-</v>
      </c>
      <c r="M8" s="112" t="str">
        <f t="shared" ref="M8:M43" si="1">IF(H8-J8=0,"",H8-J8)</f>
        <v/>
      </c>
      <c r="N8" s="182"/>
      <c r="O8" s="183"/>
      <c r="P8" s="183"/>
      <c r="Q8" s="183"/>
      <c r="R8" s="183"/>
      <c r="S8" s="184"/>
      <c r="X8" s="72"/>
      <c r="Y8" s="66"/>
    </row>
    <row r="9" spans="1:25" ht="12.95" customHeight="1">
      <c r="A9" s="156"/>
      <c r="B9" s="181"/>
      <c r="C9" s="139" t="s">
        <v>10</v>
      </c>
      <c r="D9" s="139"/>
      <c r="E9" s="139"/>
      <c r="F9" s="140"/>
      <c r="G9" s="81" t="s">
        <v>61</v>
      </c>
      <c r="H9" s="113"/>
      <c r="I9" s="133" t="str">
        <f t="shared" ref="I9:I29" si="2">IFERROR(H9/$H$30%," ")</f>
        <v xml:space="preserve"> </v>
      </c>
      <c r="J9" s="114"/>
      <c r="K9" s="133" t="str">
        <f t="shared" ref="K9:K30" si="3">IFERROR(J9/$J$30%," ")</f>
        <v xml:space="preserve"> </v>
      </c>
      <c r="L9" s="128" t="str">
        <f t="shared" si="0"/>
        <v>-</v>
      </c>
      <c r="M9" s="115" t="str">
        <f t="shared" si="1"/>
        <v/>
      </c>
      <c r="N9" s="144"/>
      <c r="O9" s="145"/>
      <c r="P9" s="145"/>
      <c r="Q9" s="145"/>
      <c r="R9" s="145"/>
      <c r="S9" s="146"/>
      <c r="X9" s="72"/>
      <c r="Y9" s="66"/>
    </row>
    <row r="10" spans="1:25" ht="12.95" customHeight="1">
      <c r="A10" s="156"/>
      <c r="B10" s="139"/>
      <c r="C10" s="139" t="s">
        <v>11</v>
      </c>
      <c r="D10" s="139"/>
      <c r="E10" s="139"/>
      <c r="F10" s="140"/>
      <c r="G10" s="81" t="s">
        <v>61</v>
      </c>
      <c r="H10" s="113"/>
      <c r="I10" s="133" t="str">
        <f t="shared" si="2"/>
        <v xml:space="preserve"> </v>
      </c>
      <c r="J10" s="114"/>
      <c r="K10" s="133" t="str">
        <f t="shared" si="3"/>
        <v xml:space="preserve"> </v>
      </c>
      <c r="L10" s="128" t="str">
        <f t="shared" si="0"/>
        <v>-</v>
      </c>
      <c r="M10" s="115" t="str">
        <f t="shared" si="1"/>
        <v/>
      </c>
      <c r="N10" s="144"/>
      <c r="O10" s="145"/>
      <c r="P10" s="145"/>
      <c r="Q10" s="145"/>
      <c r="R10" s="145"/>
      <c r="S10" s="146"/>
      <c r="X10" s="72"/>
      <c r="Y10" s="66"/>
    </row>
    <row r="11" spans="1:25" ht="12.95" customHeight="1">
      <c r="A11" s="156"/>
      <c r="B11" s="139"/>
      <c r="C11" s="139" t="s">
        <v>12</v>
      </c>
      <c r="D11" s="139"/>
      <c r="E11" s="139"/>
      <c r="F11" s="140"/>
      <c r="G11" s="81" t="s">
        <v>61</v>
      </c>
      <c r="H11" s="113"/>
      <c r="I11" s="133" t="str">
        <f t="shared" si="2"/>
        <v xml:space="preserve"> </v>
      </c>
      <c r="J11" s="114"/>
      <c r="K11" s="133" t="str">
        <f t="shared" si="3"/>
        <v xml:space="preserve"> </v>
      </c>
      <c r="L11" s="128" t="str">
        <f t="shared" si="0"/>
        <v>-</v>
      </c>
      <c r="M11" s="115" t="str">
        <f t="shared" si="1"/>
        <v/>
      </c>
      <c r="N11" s="144"/>
      <c r="O11" s="145"/>
      <c r="P11" s="145"/>
      <c r="Q11" s="145"/>
      <c r="R11" s="145"/>
      <c r="S11" s="146"/>
      <c r="X11" s="72"/>
      <c r="Y11" s="66"/>
    </row>
    <row r="12" spans="1:25" ht="12.95" customHeight="1">
      <c r="A12" s="156"/>
      <c r="B12" s="139"/>
      <c r="C12" s="139" t="s">
        <v>13</v>
      </c>
      <c r="D12" s="139"/>
      <c r="E12" s="139"/>
      <c r="F12" s="140"/>
      <c r="G12" s="81" t="s">
        <v>61</v>
      </c>
      <c r="H12" s="113"/>
      <c r="I12" s="133" t="str">
        <f t="shared" si="2"/>
        <v xml:space="preserve"> </v>
      </c>
      <c r="J12" s="114"/>
      <c r="K12" s="133" t="str">
        <f t="shared" si="3"/>
        <v xml:space="preserve"> </v>
      </c>
      <c r="L12" s="128" t="str">
        <f t="shared" si="0"/>
        <v>-</v>
      </c>
      <c r="M12" s="115" t="str">
        <f t="shared" si="1"/>
        <v/>
      </c>
      <c r="N12" s="144"/>
      <c r="O12" s="145"/>
      <c r="P12" s="145"/>
      <c r="Q12" s="145"/>
      <c r="R12" s="145"/>
      <c r="S12" s="146"/>
      <c r="X12" s="72"/>
      <c r="Y12" s="66"/>
    </row>
    <row r="13" spans="1:25" ht="12.95" customHeight="1">
      <c r="A13" s="156"/>
      <c r="B13" s="139"/>
      <c r="C13" s="139" t="s">
        <v>14</v>
      </c>
      <c r="D13" s="139"/>
      <c r="E13" s="139"/>
      <c r="F13" s="140"/>
      <c r="G13" s="81" t="s">
        <v>61</v>
      </c>
      <c r="H13" s="113"/>
      <c r="I13" s="133" t="str">
        <f t="shared" si="2"/>
        <v xml:space="preserve"> </v>
      </c>
      <c r="J13" s="114"/>
      <c r="K13" s="133" t="str">
        <f t="shared" si="3"/>
        <v xml:space="preserve"> </v>
      </c>
      <c r="L13" s="128" t="str">
        <f t="shared" si="0"/>
        <v>-</v>
      </c>
      <c r="M13" s="115" t="str">
        <f t="shared" si="1"/>
        <v/>
      </c>
      <c r="N13" s="144"/>
      <c r="O13" s="145"/>
      <c r="P13" s="145"/>
      <c r="Q13" s="145"/>
      <c r="R13" s="145"/>
      <c r="S13" s="146"/>
      <c r="X13" s="72"/>
      <c r="Y13" s="66"/>
    </row>
    <row r="14" spans="1:25" ht="12.95" customHeight="1">
      <c r="A14" s="156"/>
      <c r="B14" s="139"/>
      <c r="C14" s="139" t="s">
        <v>15</v>
      </c>
      <c r="D14" s="139"/>
      <c r="E14" s="139"/>
      <c r="F14" s="140"/>
      <c r="G14" s="81" t="s">
        <v>61</v>
      </c>
      <c r="H14" s="113"/>
      <c r="I14" s="133" t="str">
        <f t="shared" si="2"/>
        <v xml:space="preserve"> </v>
      </c>
      <c r="J14" s="114"/>
      <c r="K14" s="133" t="str">
        <f t="shared" si="3"/>
        <v xml:space="preserve"> </v>
      </c>
      <c r="L14" s="128" t="str">
        <f t="shared" si="0"/>
        <v>-</v>
      </c>
      <c r="M14" s="115" t="str">
        <f t="shared" si="1"/>
        <v/>
      </c>
      <c r="N14" s="144"/>
      <c r="O14" s="145"/>
      <c r="P14" s="145"/>
      <c r="Q14" s="145"/>
      <c r="R14" s="145"/>
      <c r="S14" s="146"/>
      <c r="X14" s="72"/>
      <c r="Y14" s="66"/>
    </row>
    <row r="15" spans="1:25" ht="12.95" customHeight="1">
      <c r="A15" s="156"/>
      <c r="B15" s="139"/>
      <c r="C15" s="139" t="s">
        <v>16</v>
      </c>
      <c r="D15" s="139"/>
      <c r="E15" s="139"/>
      <c r="F15" s="140"/>
      <c r="G15" s="81" t="s">
        <v>61</v>
      </c>
      <c r="H15" s="113"/>
      <c r="I15" s="133" t="str">
        <f t="shared" si="2"/>
        <v xml:space="preserve"> </v>
      </c>
      <c r="J15" s="114"/>
      <c r="K15" s="133" t="str">
        <f t="shared" si="3"/>
        <v xml:space="preserve"> </v>
      </c>
      <c r="L15" s="128" t="str">
        <f t="shared" si="0"/>
        <v>-</v>
      </c>
      <c r="M15" s="115" t="str">
        <f t="shared" si="1"/>
        <v/>
      </c>
      <c r="N15" s="144"/>
      <c r="O15" s="145"/>
      <c r="P15" s="145"/>
      <c r="Q15" s="145"/>
      <c r="R15" s="145"/>
      <c r="S15" s="146"/>
      <c r="X15" s="72"/>
      <c r="Y15" s="66"/>
    </row>
    <row r="16" spans="1:25" ht="12.95" customHeight="1">
      <c r="A16" s="156"/>
      <c r="B16" s="139"/>
      <c r="C16" s="172" t="s">
        <v>17</v>
      </c>
      <c r="D16" s="172"/>
      <c r="E16" s="172"/>
      <c r="F16" s="173"/>
      <c r="G16" s="81" t="s">
        <v>61</v>
      </c>
      <c r="H16" s="113"/>
      <c r="I16" s="133" t="str">
        <f t="shared" si="2"/>
        <v xml:space="preserve"> </v>
      </c>
      <c r="J16" s="114"/>
      <c r="K16" s="133" t="str">
        <f t="shared" si="3"/>
        <v xml:space="preserve"> </v>
      </c>
      <c r="L16" s="128" t="str">
        <f t="shared" si="0"/>
        <v>-</v>
      </c>
      <c r="M16" s="115" t="str">
        <f t="shared" si="1"/>
        <v/>
      </c>
      <c r="N16" s="144"/>
      <c r="O16" s="145"/>
      <c r="P16" s="145"/>
      <c r="Q16" s="145"/>
      <c r="R16" s="145"/>
      <c r="S16" s="146"/>
      <c r="X16" s="72"/>
      <c r="Y16" s="66"/>
    </row>
    <row r="17" spans="1:25" ht="12.95" customHeight="1">
      <c r="A17" s="156"/>
      <c r="B17" s="139"/>
      <c r="C17" s="170" t="s">
        <v>18</v>
      </c>
      <c r="D17" s="170"/>
      <c r="E17" s="170"/>
      <c r="F17" s="171"/>
      <c r="G17" s="81" t="s">
        <v>61</v>
      </c>
      <c r="H17" s="113"/>
      <c r="I17" s="133" t="str">
        <f t="shared" si="2"/>
        <v xml:space="preserve"> </v>
      </c>
      <c r="J17" s="114"/>
      <c r="K17" s="133" t="str">
        <f t="shared" si="3"/>
        <v xml:space="preserve"> </v>
      </c>
      <c r="L17" s="128" t="str">
        <f t="shared" si="0"/>
        <v>-</v>
      </c>
      <c r="M17" s="115" t="str">
        <f t="shared" si="1"/>
        <v/>
      </c>
      <c r="N17" s="144"/>
      <c r="O17" s="145"/>
      <c r="P17" s="145"/>
      <c r="Q17" s="145"/>
      <c r="R17" s="145"/>
      <c r="S17" s="146"/>
      <c r="X17" s="72"/>
      <c r="Y17" s="73"/>
    </row>
    <row r="18" spans="1:25" ht="12.95" customHeight="1">
      <c r="A18" s="156"/>
      <c r="B18" s="139"/>
      <c r="C18" s="90"/>
      <c r="D18" s="140" t="s">
        <v>19</v>
      </c>
      <c r="E18" s="159"/>
      <c r="F18" s="159"/>
      <c r="G18" s="81" t="s">
        <v>61</v>
      </c>
      <c r="H18" s="113"/>
      <c r="I18" s="133" t="str">
        <f t="shared" si="2"/>
        <v xml:space="preserve"> </v>
      </c>
      <c r="J18" s="114"/>
      <c r="K18" s="133" t="str">
        <f t="shared" si="3"/>
        <v xml:space="preserve"> </v>
      </c>
      <c r="L18" s="128" t="str">
        <f t="shared" si="0"/>
        <v>-</v>
      </c>
      <c r="M18" s="115" t="str">
        <f t="shared" si="1"/>
        <v/>
      </c>
      <c r="N18" s="144"/>
      <c r="O18" s="145"/>
      <c r="P18" s="145"/>
      <c r="Q18" s="145"/>
      <c r="R18" s="145"/>
      <c r="S18" s="146"/>
      <c r="X18" s="72"/>
      <c r="Y18" s="66"/>
    </row>
    <row r="19" spans="1:25" ht="12.95" customHeight="1">
      <c r="A19" s="156"/>
      <c r="B19" s="139"/>
      <c r="C19" s="170" t="s">
        <v>49</v>
      </c>
      <c r="D19" s="170"/>
      <c r="E19" s="170"/>
      <c r="F19" s="171"/>
      <c r="G19" s="81" t="s">
        <v>61</v>
      </c>
      <c r="H19" s="113"/>
      <c r="I19" s="133" t="str">
        <f t="shared" si="2"/>
        <v xml:space="preserve"> </v>
      </c>
      <c r="J19" s="114"/>
      <c r="K19" s="133" t="str">
        <f t="shared" si="3"/>
        <v xml:space="preserve"> </v>
      </c>
      <c r="L19" s="128" t="str">
        <f t="shared" si="0"/>
        <v>-</v>
      </c>
      <c r="M19" s="115" t="str">
        <f t="shared" si="1"/>
        <v/>
      </c>
      <c r="N19" s="144"/>
      <c r="O19" s="145"/>
      <c r="P19" s="145"/>
      <c r="Q19" s="145"/>
      <c r="R19" s="145"/>
      <c r="S19" s="146"/>
      <c r="X19" s="72"/>
      <c r="Y19" s="66"/>
    </row>
    <row r="20" spans="1:25" ht="12.95" customHeight="1">
      <c r="A20" s="156"/>
      <c r="B20" s="139"/>
      <c r="C20" s="90"/>
      <c r="D20" s="140" t="s">
        <v>19</v>
      </c>
      <c r="E20" s="159"/>
      <c r="F20" s="159"/>
      <c r="G20" s="81" t="s">
        <v>61</v>
      </c>
      <c r="H20" s="113"/>
      <c r="I20" s="133" t="str">
        <f t="shared" si="2"/>
        <v xml:space="preserve"> </v>
      </c>
      <c r="J20" s="114"/>
      <c r="K20" s="133" t="str">
        <f t="shared" si="3"/>
        <v xml:space="preserve"> </v>
      </c>
      <c r="L20" s="128" t="str">
        <f t="shared" si="0"/>
        <v>-</v>
      </c>
      <c r="M20" s="115" t="str">
        <f t="shared" si="1"/>
        <v/>
      </c>
      <c r="N20" s="144"/>
      <c r="O20" s="145"/>
      <c r="P20" s="145"/>
      <c r="Q20" s="145"/>
      <c r="R20" s="145"/>
      <c r="S20" s="146"/>
      <c r="X20" s="72"/>
      <c r="Y20" s="66"/>
    </row>
    <row r="21" spans="1:25" ht="12.95" customHeight="1">
      <c r="A21" s="156"/>
      <c r="B21" s="139"/>
      <c r="C21" s="170" t="s">
        <v>20</v>
      </c>
      <c r="D21" s="170"/>
      <c r="E21" s="170"/>
      <c r="F21" s="171"/>
      <c r="G21" s="81" t="s">
        <v>61</v>
      </c>
      <c r="H21" s="113"/>
      <c r="I21" s="133" t="str">
        <f t="shared" si="2"/>
        <v xml:space="preserve"> </v>
      </c>
      <c r="J21" s="114"/>
      <c r="K21" s="133" t="str">
        <f t="shared" si="3"/>
        <v xml:space="preserve"> </v>
      </c>
      <c r="L21" s="128" t="str">
        <f t="shared" si="0"/>
        <v>-</v>
      </c>
      <c r="M21" s="115" t="str">
        <f t="shared" si="1"/>
        <v/>
      </c>
      <c r="N21" s="144"/>
      <c r="O21" s="145"/>
      <c r="P21" s="145"/>
      <c r="Q21" s="145"/>
      <c r="R21" s="145"/>
      <c r="S21" s="146"/>
      <c r="X21" s="72"/>
      <c r="Y21" s="66"/>
    </row>
    <row r="22" spans="1:25" ht="12.95" customHeight="1">
      <c r="A22" s="156"/>
      <c r="B22" s="139"/>
      <c r="C22" s="90"/>
      <c r="D22" s="140" t="s">
        <v>19</v>
      </c>
      <c r="E22" s="159"/>
      <c r="F22" s="159"/>
      <c r="G22" s="81" t="s">
        <v>61</v>
      </c>
      <c r="H22" s="113"/>
      <c r="I22" s="133" t="str">
        <f t="shared" si="2"/>
        <v xml:space="preserve"> </v>
      </c>
      <c r="J22" s="114"/>
      <c r="K22" s="133" t="str">
        <f t="shared" si="3"/>
        <v xml:space="preserve"> </v>
      </c>
      <c r="L22" s="128" t="str">
        <f t="shared" si="0"/>
        <v>-</v>
      </c>
      <c r="M22" s="115" t="str">
        <f t="shared" si="1"/>
        <v/>
      </c>
      <c r="N22" s="144"/>
      <c r="O22" s="145"/>
      <c r="P22" s="145"/>
      <c r="Q22" s="145"/>
      <c r="R22" s="145"/>
      <c r="S22" s="146"/>
      <c r="X22" s="72"/>
      <c r="Y22" s="66"/>
    </row>
    <row r="23" spans="1:25" ht="12.95" customHeight="1">
      <c r="A23" s="156"/>
      <c r="B23" s="139"/>
      <c r="C23" s="170" t="s">
        <v>21</v>
      </c>
      <c r="D23" s="170"/>
      <c r="E23" s="170"/>
      <c r="F23" s="171"/>
      <c r="G23" s="82" t="s">
        <v>61</v>
      </c>
      <c r="H23" s="113"/>
      <c r="I23" s="133" t="str">
        <f t="shared" si="2"/>
        <v xml:space="preserve"> </v>
      </c>
      <c r="J23" s="114"/>
      <c r="K23" s="133" t="str">
        <f t="shared" si="3"/>
        <v xml:space="preserve"> </v>
      </c>
      <c r="L23" s="128" t="str">
        <f t="shared" si="0"/>
        <v>-</v>
      </c>
      <c r="M23" s="115" t="str">
        <f t="shared" si="1"/>
        <v/>
      </c>
      <c r="N23" s="144"/>
      <c r="O23" s="145"/>
      <c r="P23" s="145"/>
      <c r="Q23" s="145"/>
      <c r="R23" s="145"/>
      <c r="S23" s="146"/>
      <c r="X23" s="72"/>
      <c r="Y23" s="66"/>
    </row>
    <row r="24" spans="1:25" ht="12.95" customHeight="1">
      <c r="A24" s="156"/>
      <c r="B24" s="139"/>
      <c r="C24" s="90"/>
      <c r="D24" s="140" t="s">
        <v>19</v>
      </c>
      <c r="E24" s="159"/>
      <c r="F24" s="159"/>
      <c r="G24" s="81" t="s">
        <v>61</v>
      </c>
      <c r="H24" s="113"/>
      <c r="I24" s="133" t="str">
        <f t="shared" si="2"/>
        <v xml:space="preserve"> </v>
      </c>
      <c r="J24" s="114"/>
      <c r="K24" s="133" t="str">
        <f t="shared" si="3"/>
        <v xml:space="preserve"> </v>
      </c>
      <c r="L24" s="128" t="str">
        <f t="shared" si="0"/>
        <v>-</v>
      </c>
      <c r="M24" s="115" t="str">
        <f t="shared" si="1"/>
        <v/>
      </c>
      <c r="N24" s="144"/>
      <c r="O24" s="145"/>
      <c r="P24" s="145"/>
      <c r="Q24" s="145"/>
      <c r="R24" s="145"/>
      <c r="S24" s="146"/>
      <c r="X24" s="72"/>
      <c r="Y24" s="66"/>
    </row>
    <row r="25" spans="1:25" ht="12.95" customHeight="1">
      <c r="A25" s="156"/>
      <c r="B25" s="170" t="s">
        <v>22</v>
      </c>
      <c r="C25" s="170"/>
      <c r="D25" s="170"/>
      <c r="E25" s="170"/>
      <c r="F25" s="171"/>
      <c r="G25" s="81" t="s">
        <v>61</v>
      </c>
      <c r="H25" s="113"/>
      <c r="I25" s="133" t="str">
        <f>IFERROR(H25/$H$30%," ")</f>
        <v xml:space="preserve"> </v>
      </c>
      <c r="J25" s="114"/>
      <c r="K25" s="133" t="str">
        <f t="shared" si="3"/>
        <v xml:space="preserve"> </v>
      </c>
      <c r="L25" s="128" t="str">
        <f t="shared" si="0"/>
        <v>-</v>
      </c>
      <c r="M25" s="115" t="str">
        <f t="shared" si="1"/>
        <v/>
      </c>
      <c r="N25" s="144"/>
      <c r="O25" s="145"/>
      <c r="P25" s="145"/>
      <c r="Q25" s="145"/>
      <c r="R25" s="145"/>
      <c r="S25" s="146"/>
      <c r="X25" s="72"/>
      <c r="Y25" s="66"/>
    </row>
    <row r="26" spans="1:25" ht="12.95" customHeight="1">
      <c r="A26" s="156"/>
      <c r="B26" s="169"/>
      <c r="C26" s="74"/>
      <c r="D26" s="140" t="s">
        <v>69</v>
      </c>
      <c r="E26" s="159"/>
      <c r="F26" s="159"/>
      <c r="G26" s="81" t="s">
        <v>61</v>
      </c>
      <c r="H26" s="113"/>
      <c r="I26" s="133" t="str">
        <f t="shared" si="2"/>
        <v xml:space="preserve"> </v>
      </c>
      <c r="J26" s="114"/>
      <c r="K26" s="133" t="str">
        <f t="shared" si="3"/>
        <v xml:space="preserve"> </v>
      </c>
      <c r="L26" s="128" t="str">
        <f t="shared" si="0"/>
        <v>-</v>
      </c>
      <c r="M26" s="115" t="str">
        <f t="shared" si="1"/>
        <v/>
      </c>
      <c r="N26" s="144"/>
      <c r="O26" s="145"/>
      <c r="P26" s="145"/>
      <c r="Q26" s="145"/>
      <c r="R26" s="145"/>
      <c r="S26" s="146"/>
      <c r="X26" s="72"/>
      <c r="Y26" s="66"/>
    </row>
    <row r="27" spans="1:25" ht="12.95" customHeight="1">
      <c r="A27" s="156"/>
      <c r="B27" s="139"/>
      <c r="C27" s="170" t="s">
        <v>24</v>
      </c>
      <c r="D27" s="170"/>
      <c r="E27" s="170"/>
      <c r="F27" s="171"/>
      <c r="G27" s="81" t="s">
        <v>61</v>
      </c>
      <c r="H27" s="113"/>
      <c r="I27" s="133" t="str">
        <f t="shared" si="2"/>
        <v xml:space="preserve"> </v>
      </c>
      <c r="J27" s="114"/>
      <c r="K27" s="133" t="str">
        <f t="shared" si="3"/>
        <v xml:space="preserve"> </v>
      </c>
      <c r="L27" s="128" t="str">
        <f t="shared" si="0"/>
        <v>-</v>
      </c>
      <c r="M27" s="115" t="str">
        <f t="shared" si="1"/>
        <v/>
      </c>
      <c r="N27" s="144"/>
      <c r="O27" s="145"/>
      <c r="P27" s="145"/>
      <c r="Q27" s="145"/>
      <c r="R27" s="145"/>
      <c r="S27" s="146"/>
      <c r="X27" s="72"/>
      <c r="Y27" s="66"/>
    </row>
    <row r="28" spans="1:25" ht="12.95" customHeight="1">
      <c r="A28" s="156"/>
      <c r="B28" s="139"/>
      <c r="C28" s="90"/>
      <c r="D28" s="140" t="s">
        <v>69</v>
      </c>
      <c r="E28" s="159"/>
      <c r="F28" s="159"/>
      <c r="G28" s="81" t="s">
        <v>61</v>
      </c>
      <c r="H28" s="113"/>
      <c r="I28" s="133" t="str">
        <f t="shared" si="2"/>
        <v xml:space="preserve"> </v>
      </c>
      <c r="J28" s="114"/>
      <c r="K28" s="133" t="str">
        <f t="shared" si="3"/>
        <v xml:space="preserve"> </v>
      </c>
      <c r="L28" s="128" t="str">
        <f t="shared" si="0"/>
        <v>-</v>
      </c>
      <c r="M28" s="115" t="str">
        <f t="shared" si="1"/>
        <v/>
      </c>
      <c r="N28" s="144"/>
      <c r="O28" s="145"/>
      <c r="P28" s="145"/>
      <c r="Q28" s="145"/>
      <c r="R28" s="145"/>
      <c r="S28" s="146"/>
      <c r="X28" s="72"/>
      <c r="Y28" s="66"/>
    </row>
    <row r="29" spans="1:25" ht="12.95" customHeight="1">
      <c r="A29" s="156"/>
      <c r="B29" s="139"/>
      <c r="C29" s="139" t="s">
        <v>25</v>
      </c>
      <c r="D29" s="139"/>
      <c r="E29" s="139"/>
      <c r="F29" s="140"/>
      <c r="G29" s="81" t="s">
        <v>61</v>
      </c>
      <c r="H29" s="113"/>
      <c r="I29" s="133" t="str">
        <f t="shared" si="2"/>
        <v xml:space="preserve"> </v>
      </c>
      <c r="J29" s="114"/>
      <c r="K29" s="133" t="str">
        <f t="shared" si="3"/>
        <v xml:space="preserve"> </v>
      </c>
      <c r="L29" s="128" t="str">
        <f t="shared" si="0"/>
        <v>-</v>
      </c>
      <c r="M29" s="115" t="str">
        <f t="shared" si="1"/>
        <v/>
      </c>
      <c r="N29" s="144"/>
      <c r="O29" s="145"/>
      <c r="P29" s="145"/>
      <c r="Q29" s="145"/>
      <c r="R29" s="145"/>
      <c r="S29" s="146"/>
      <c r="X29" s="72"/>
      <c r="Y29" s="66"/>
    </row>
    <row r="30" spans="1:25" ht="12.95" customHeight="1">
      <c r="A30" s="156"/>
      <c r="B30" s="139" t="s">
        <v>26</v>
      </c>
      <c r="C30" s="139"/>
      <c r="D30" s="139"/>
      <c r="E30" s="139"/>
      <c r="F30" s="140"/>
      <c r="G30" s="81" t="s">
        <v>61</v>
      </c>
      <c r="H30" s="113"/>
      <c r="I30" s="133" t="str">
        <f>IFERROR(H30/$H$30%," ")</f>
        <v xml:space="preserve"> </v>
      </c>
      <c r="J30" s="114"/>
      <c r="K30" s="133" t="str">
        <f t="shared" si="3"/>
        <v xml:space="preserve"> </v>
      </c>
      <c r="L30" s="128" t="str">
        <f t="shared" si="0"/>
        <v>-</v>
      </c>
      <c r="M30" s="115" t="str">
        <f t="shared" si="1"/>
        <v/>
      </c>
      <c r="N30" s="144"/>
      <c r="O30" s="145"/>
      <c r="P30" s="145"/>
      <c r="Q30" s="145"/>
      <c r="R30" s="145"/>
      <c r="S30" s="146"/>
      <c r="X30" s="72"/>
      <c r="Y30" s="66"/>
    </row>
    <row r="31" spans="1:25" ht="12.95" customHeight="1">
      <c r="A31" s="156"/>
      <c r="B31" s="139" t="s">
        <v>27</v>
      </c>
      <c r="C31" s="139"/>
      <c r="D31" s="139"/>
      <c r="E31" s="139"/>
      <c r="F31" s="140"/>
      <c r="G31" s="81" t="s">
        <v>61</v>
      </c>
      <c r="H31" s="113"/>
      <c r="I31" s="116"/>
      <c r="J31" s="114"/>
      <c r="K31" s="116"/>
      <c r="L31" s="128" t="str">
        <f t="shared" si="0"/>
        <v>-</v>
      </c>
      <c r="M31" s="115" t="str">
        <f t="shared" si="1"/>
        <v/>
      </c>
      <c r="N31" s="144"/>
      <c r="O31" s="145"/>
      <c r="P31" s="145"/>
      <c r="Q31" s="145"/>
      <c r="R31" s="145"/>
      <c r="S31" s="146"/>
      <c r="X31" s="72"/>
      <c r="Y31" s="73"/>
    </row>
    <row r="32" spans="1:25" ht="12.95" customHeight="1">
      <c r="A32" s="156"/>
      <c r="B32" s="167" t="s">
        <v>28</v>
      </c>
      <c r="C32" s="167"/>
      <c r="D32" s="167"/>
      <c r="E32" s="167"/>
      <c r="F32" s="168"/>
      <c r="G32" s="81" t="s">
        <v>61</v>
      </c>
      <c r="H32" s="113"/>
      <c r="I32" s="116"/>
      <c r="J32" s="114"/>
      <c r="K32" s="116"/>
      <c r="L32" s="128" t="str">
        <f t="shared" si="0"/>
        <v>-</v>
      </c>
      <c r="M32" s="115" t="str">
        <f t="shared" si="1"/>
        <v/>
      </c>
      <c r="N32" s="144"/>
      <c r="O32" s="145"/>
      <c r="P32" s="145"/>
      <c r="Q32" s="145"/>
      <c r="R32" s="145"/>
      <c r="S32" s="146"/>
      <c r="X32" s="72"/>
      <c r="Y32" s="66"/>
    </row>
    <row r="33" spans="1:25" ht="12.95" customHeight="1">
      <c r="A33" s="156"/>
      <c r="B33" s="139" t="s">
        <v>29</v>
      </c>
      <c r="C33" s="139"/>
      <c r="D33" s="139"/>
      <c r="E33" s="139"/>
      <c r="F33" s="140"/>
      <c r="G33" s="81" t="s">
        <v>61</v>
      </c>
      <c r="H33" s="113"/>
      <c r="I33" s="116"/>
      <c r="J33" s="114"/>
      <c r="K33" s="116"/>
      <c r="L33" s="128" t="str">
        <f t="shared" si="0"/>
        <v>-</v>
      </c>
      <c r="M33" s="115" t="str">
        <f t="shared" si="1"/>
        <v/>
      </c>
      <c r="N33" s="144"/>
      <c r="O33" s="145"/>
      <c r="P33" s="145"/>
      <c r="Q33" s="145"/>
      <c r="R33" s="145"/>
      <c r="S33" s="146"/>
      <c r="X33" s="72"/>
      <c r="Y33" s="66"/>
    </row>
    <row r="34" spans="1:25" ht="12.95" customHeight="1">
      <c r="A34" s="156"/>
      <c r="B34" s="139" t="s">
        <v>30</v>
      </c>
      <c r="C34" s="139"/>
      <c r="D34" s="139"/>
      <c r="E34" s="139"/>
      <c r="F34" s="140"/>
      <c r="G34" s="81" t="s">
        <v>61</v>
      </c>
      <c r="H34" s="113"/>
      <c r="I34" s="117"/>
      <c r="J34" s="114"/>
      <c r="K34" s="117"/>
      <c r="L34" s="128" t="str">
        <f t="shared" si="0"/>
        <v>-</v>
      </c>
      <c r="M34" s="115" t="str">
        <f t="shared" si="1"/>
        <v/>
      </c>
      <c r="N34" s="144"/>
      <c r="O34" s="145"/>
      <c r="P34" s="145"/>
      <c r="Q34" s="145"/>
      <c r="R34" s="145"/>
      <c r="S34" s="146"/>
      <c r="X34" s="72"/>
      <c r="Y34" s="66"/>
    </row>
    <row r="35" spans="1:25" ht="12.95" customHeight="1">
      <c r="A35" s="156"/>
      <c r="B35" s="172" t="s">
        <v>31</v>
      </c>
      <c r="C35" s="172"/>
      <c r="D35" s="172"/>
      <c r="E35" s="172"/>
      <c r="F35" s="173"/>
      <c r="G35" s="82" t="s">
        <v>61</v>
      </c>
      <c r="H35" s="113"/>
      <c r="I35" s="116"/>
      <c r="J35" s="114"/>
      <c r="K35" s="116"/>
      <c r="L35" s="128" t="str">
        <f t="shared" si="0"/>
        <v>-</v>
      </c>
      <c r="M35" s="115" t="str">
        <f t="shared" si="1"/>
        <v/>
      </c>
      <c r="N35" s="144"/>
      <c r="O35" s="145"/>
      <c r="P35" s="145"/>
      <c r="Q35" s="145"/>
      <c r="R35" s="145"/>
      <c r="S35" s="146"/>
      <c r="X35" s="72"/>
      <c r="Y35" s="66"/>
    </row>
    <row r="36" spans="1:25" ht="12.95" customHeight="1">
      <c r="A36" s="156"/>
      <c r="B36" s="139" t="s">
        <v>32</v>
      </c>
      <c r="C36" s="139"/>
      <c r="D36" s="139"/>
      <c r="E36" s="139"/>
      <c r="F36" s="140"/>
      <c r="G36" s="81" t="s">
        <v>61</v>
      </c>
      <c r="H36" s="113"/>
      <c r="I36" s="116"/>
      <c r="J36" s="114"/>
      <c r="K36" s="116"/>
      <c r="L36" s="128" t="str">
        <f t="shared" si="0"/>
        <v>-</v>
      </c>
      <c r="M36" s="115" t="str">
        <f t="shared" si="1"/>
        <v/>
      </c>
      <c r="N36" s="144"/>
      <c r="O36" s="145"/>
      <c r="P36" s="145"/>
      <c r="Q36" s="145"/>
      <c r="R36" s="145"/>
      <c r="S36" s="146"/>
      <c r="X36" s="72"/>
      <c r="Y36" s="66"/>
    </row>
    <row r="37" spans="1:25" ht="12.95" customHeight="1">
      <c r="A37" s="156"/>
      <c r="B37" s="139" t="s">
        <v>33</v>
      </c>
      <c r="C37" s="139"/>
      <c r="D37" s="139"/>
      <c r="E37" s="139"/>
      <c r="F37" s="140"/>
      <c r="G37" s="81" t="s">
        <v>61</v>
      </c>
      <c r="H37" s="113"/>
      <c r="I37" s="116"/>
      <c r="J37" s="114"/>
      <c r="K37" s="116"/>
      <c r="L37" s="128" t="str">
        <f t="shared" si="0"/>
        <v>-</v>
      </c>
      <c r="M37" s="115" t="str">
        <f t="shared" si="1"/>
        <v/>
      </c>
      <c r="N37" s="144"/>
      <c r="O37" s="145"/>
      <c r="P37" s="145"/>
      <c r="Q37" s="145"/>
      <c r="R37" s="145"/>
      <c r="S37" s="146"/>
      <c r="X37" s="72"/>
      <c r="Y37" s="73"/>
    </row>
    <row r="38" spans="1:25" ht="12.95" customHeight="1">
      <c r="A38" s="179"/>
      <c r="B38" s="153" t="s">
        <v>34</v>
      </c>
      <c r="C38" s="153"/>
      <c r="D38" s="153"/>
      <c r="E38" s="153"/>
      <c r="F38" s="154"/>
      <c r="G38" s="83" t="s">
        <v>61</v>
      </c>
      <c r="H38" s="118"/>
      <c r="I38" s="119"/>
      <c r="J38" s="120"/>
      <c r="K38" s="119"/>
      <c r="L38" s="129" t="str">
        <f t="shared" si="0"/>
        <v>-</v>
      </c>
      <c r="M38" s="121" t="str">
        <f t="shared" si="1"/>
        <v/>
      </c>
      <c r="N38" s="144"/>
      <c r="O38" s="145"/>
      <c r="P38" s="145"/>
      <c r="Q38" s="145"/>
      <c r="R38" s="145"/>
      <c r="S38" s="146"/>
      <c r="X38" s="72"/>
      <c r="Y38" s="73"/>
    </row>
    <row r="39" spans="1:25" ht="12.95" customHeight="1">
      <c r="A39" s="150" t="s">
        <v>45</v>
      </c>
      <c r="B39" s="151"/>
      <c r="C39" s="151"/>
      <c r="D39" s="151"/>
      <c r="E39" s="151"/>
      <c r="F39" s="152"/>
      <c r="G39" s="84" t="s">
        <v>61</v>
      </c>
      <c r="H39" s="122"/>
      <c r="I39" s="123"/>
      <c r="J39" s="111"/>
      <c r="K39" s="123"/>
      <c r="L39" s="130" t="str">
        <f t="shared" si="0"/>
        <v>-</v>
      </c>
      <c r="M39" s="112" t="str">
        <f t="shared" si="1"/>
        <v/>
      </c>
      <c r="N39" s="144"/>
      <c r="O39" s="145"/>
      <c r="P39" s="145"/>
      <c r="Q39" s="145"/>
      <c r="R39" s="145"/>
      <c r="S39" s="146"/>
      <c r="X39" s="72"/>
      <c r="Y39" s="66"/>
    </row>
    <row r="40" spans="1:25" ht="12.95" customHeight="1">
      <c r="A40" s="141" t="s">
        <v>62</v>
      </c>
      <c r="B40" s="142"/>
      <c r="C40" s="142"/>
      <c r="D40" s="142"/>
      <c r="E40" s="142"/>
      <c r="F40" s="143"/>
      <c r="G40" s="81" t="s">
        <v>61</v>
      </c>
      <c r="H40" s="113"/>
      <c r="I40" s="116"/>
      <c r="J40" s="114"/>
      <c r="K40" s="116"/>
      <c r="L40" s="128" t="str">
        <f t="shared" si="0"/>
        <v>-</v>
      </c>
      <c r="M40" s="115" t="str">
        <f t="shared" si="1"/>
        <v/>
      </c>
      <c r="N40" s="144"/>
      <c r="O40" s="145"/>
      <c r="P40" s="145"/>
      <c r="Q40" s="145"/>
      <c r="R40" s="145"/>
      <c r="S40" s="146"/>
      <c r="X40" s="72"/>
      <c r="Y40" s="66"/>
    </row>
    <row r="41" spans="1:25" ht="12.95" customHeight="1">
      <c r="A41" s="147" t="s">
        <v>47</v>
      </c>
      <c r="B41" s="148"/>
      <c r="C41" s="148"/>
      <c r="D41" s="148"/>
      <c r="E41" s="148"/>
      <c r="F41" s="149"/>
      <c r="G41" s="83" t="s">
        <v>61</v>
      </c>
      <c r="H41" s="118"/>
      <c r="I41" s="119"/>
      <c r="J41" s="120"/>
      <c r="K41" s="119"/>
      <c r="L41" s="129" t="str">
        <f t="shared" si="0"/>
        <v>-</v>
      </c>
      <c r="M41" s="121" t="str">
        <f t="shared" si="1"/>
        <v/>
      </c>
      <c r="N41" s="144"/>
      <c r="O41" s="145"/>
      <c r="P41" s="145"/>
      <c r="Q41" s="145"/>
      <c r="R41" s="145"/>
      <c r="S41" s="146"/>
      <c r="X41" s="72"/>
      <c r="Y41" s="66"/>
    </row>
    <row r="42" spans="1:25" ht="12.95" customHeight="1">
      <c r="A42" s="155" t="s">
        <v>63</v>
      </c>
      <c r="B42" s="152" t="s">
        <v>64</v>
      </c>
      <c r="C42" s="158"/>
      <c r="D42" s="158"/>
      <c r="E42" s="158"/>
      <c r="F42" s="158"/>
      <c r="G42" s="84" t="s">
        <v>65</v>
      </c>
      <c r="H42" s="122"/>
      <c r="I42" s="123"/>
      <c r="J42" s="111"/>
      <c r="K42" s="123"/>
      <c r="L42" s="130" t="str">
        <f t="shared" si="0"/>
        <v>-</v>
      </c>
      <c r="M42" s="112" t="s">
        <v>157</v>
      </c>
      <c r="N42" s="144"/>
      <c r="O42" s="145"/>
      <c r="P42" s="145"/>
      <c r="Q42" s="145"/>
      <c r="R42" s="145"/>
      <c r="S42" s="146"/>
      <c r="X42" s="72"/>
      <c r="Y42" s="66"/>
    </row>
    <row r="43" spans="1:25" ht="12.95" customHeight="1">
      <c r="A43" s="156"/>
      <c r="B43" s="140" t="s">
        <v>38</v>
      </c>
      <c r="C43" s="159"/>
      <c r="D43" s="159"/>
      <c r="E43" s="159"/>
      <c r="F43" s="159"/>
      <c r="G43" s="81" t="s">
        <v>60</v>
      </c>
      <c r="H43" s="113"/>
      <c r="I43" s="116"/>
      <c r="J43" s="114"/>
      <c r="K43" s="116"/>
      <c r="L43" s="128" t="str">
        <f t="shared" si="0"/>
        <v>-</v>
      </c>
      <c r="M43" s="115" t="str">
        <f t="shared" si="1"/>
        <v/>
      </c>
      <c r="N43" s="144"/>
      <c r="O43" s="145"/>
      <c r="P43" s="145"/>
      <c r="Q43" s="145"/>
      <c r="R43" s="145"/>
      <c r="S43" s="146"/>
      <c r="X43" s="72"/>
      <c r="Y43" s="66"/>
    </row>
    <row r="44" spans="1:25" ht="12.95" customHeight="1">
      <c r="A44" s="156"/>
      <c r="B44" s="160" t="s">
        <v>42</v>
      </c>
      <c r="C44" s="161"/>
      <c r="D44" s="161"/>
      <c r="E44" s="161"/>
      <c r="F44" s="161"/>
      <c r="G44" s="81" t="s">
        <v>66</v>
      </c>
      <c r="H44" s="135"/>
      <c r="I44" s="117"/>
      <c r="J44" s="136"/>
      <c r="K44" s="117"/>
      <c r="L44" s="128" t="str">
        <f t="shared" si="0"/>
        <v>-</v>
      </c>
      <c r="M44" s="115" t="s">
        <v>156</v>
      </c>
      <c r="N44" s="144"/>
      <c r="O44" s="145"/>
      <c r="P44" s="145"/>
      <c r="Q44" s="145"/>
      <c r="R44" s="145"/>
      <c r="S44" s="146"/>
      <c r="X44" s="72"/>
      <c r="Y44" s="66"/>
    </row>
    <row r="45" spans="1:25" ht="12.95" customHeight="1">
      <c r="A45" s="156"/>
      <c r="B45" s="75"/>
      <c r="C45" s="76"/>
      <c r="D45" s="140" t="s">
        <v>69</v>
      </c>
      <c r="E45" s="159"/>
      <c r="F45" s="159"/>
      <c r="G45" s="81" t="s">
        <v>61</v>
      </c>
      <c r="H45" s="135"/>
      <c r="I45" s="116"/>
      <c r="J45" s="136"/>
      <c r="K45" s="116"/>
      <c r="L45" s="128" t="str">
        <f t="shared" si="0"/>
        <v>-</v>
      </c>
      <c r="M45" s="115" t="s">
        <v>156</v>
      </c>
      <c r="N45" s="144"/>
      <c r="O45" s="145"/>
      <c r="P45" s="145"/>
      <c r="Q45" s="145"/>
      <c r="R45" s="145"/>
      <c r="S45" s="146"/>
    </row>
    <row r="46" spans="1:25" ht="12.95" customHeight="1" thickBot="1">
      <c r="A46" s="157"/>
      <c r="B46" s="162" t="s">
        <v>72</v>
      </c>
      <c r="C46" s="163"/>
      <c r="D46" s="163"/>
      <c r="E46" s="163"/>
      <c r="F46" s="163"/>
      <c r="G46" s="85" t="s">
        <v>67</v>
      </c>
      <c r="H46" s="137"/>
      <c r="I46" s="124"/>
      <c r="J46" s="138"/>
      <c r="K46" s="124"/>
      <c r="L46" s="131" t="str">
        <f t="shared" si="0"/>
        <v>-</v>
      </c>
      <c r="M46" s="125" t="s">
        <v>156</v>
      </c>
      <c r="N46" s="164"/>
      <c r="O46" s="165"/>
      <c r="P46" s="165"/>
      <c r="Q46" s="165"/>
      <c r="R46" s="165"/>
      <c r="S46" s="166"/>
    </row>
    <row r="47" spans="1:25" ht="12" customHeight="1"/>
  </sheetData>
  <mergeCells count="93">
    <mergeCell ref="O2:P2"/>
    <mergeCell ref="Q2:R2"/>
    <mergeCell ref="N5:S6"/>
    <mergeCell ref="A5:F6"/>
    <mergeCell ref="G5:G6"/>
    <mergeCell ref="H5:H6"/>
    <mergeCell ref="J5:J6"/>
    <mergeCell ref="M5:M6"/>
    <mergeCell ref="B2:D2"/>
    <mergeCell ref="A7:F7"/>
    <mergeCell ref="N7:S7"/>
    <mergeCell ref="A8:A38"/>
    <mergeCell ref="B8:F8"/>
    <mergeCell ref="N8:S8"/>
    <mergeCell ref="B9:B24"/>
    <mergeCell ref="C9:F9"/>
    <mergeCell ref="N9:S9"/>
    <mergeCell ref="C10:F10"/>
    <mergeCell ref="N10:S10"/>
    <mergeCell ref="C11:F11"/>
    <mergeCell ref="N11:S11"/>
    <mergeCell ref="C12:F12"/>
    <mergeCell ref="N12:S12"/>
    <mergeCell ref="C13:F13"/>
    <mergeCell ref="N13:S13"/>
    <mergeCell ref="C14:F14"/>
    <mergeCell ref="N14:S14"/>
    <mergeCell ref="C15:F15"/>
    <mergeCell ref="N15:S15"/>
    <mergeCell ref="C16:F16"/>
    <mergeCell ref="N16:S16"/>
    <mergeCell ref="C17:F17"/>
    <mergeCell ref="N17:S17"/>
    <mergeCell ref="D18:F18"/>
    <mergeCell ref="N18:S18"/>
    <mergeCell ref="C19:F19"/>
    <mergeCell ref="N19:S19"/>
    <mergeCell ref="D20:F20"/>
    <mergeCell ref="N20:S20"/>
    <mergeCell ref="C21:F21"/>
    <mergeCell ref="N21:S21"/>
    <mergeCell ref="D22:F22"/>
    <mergeCell ref="N22:S22"/>
    <mergeCell ref="C23:F23"/>
    <mergeCell ref="N23:S23"/>
    <mergeCell ref="D24:F24"/>
    <mergeCell ref="N24:S24"/>
    <mergeCell ref="B25:F25"/>
    <mergeCell ref="N25:S25"/>
    <mergeCell ref="B36:F36"/>
    <mergeCell ref="N36:S36"/>
    <mergeCell ref="B26:B29"/>
    <mergeCell ref="D26:F26"/>
    <mergeCell ref="N26:S26"/>
    <mergeCell ref="C27:F27"/>
    <mergeCell ref="N27:S27"/>
    <mergeCell ref="D28:F28"/>
    <mergeCell ref="N28:S28"/>
    <mergeCell ref="C29:F29"/>
    <mergeCell ref="N29:S29"/>
    <mergeCell ref="B33:F33"/>
    <mergeCell ref="N33:S33"/>
    <mergeCell ref="B34:F34"/>
    <mergeCell ref="N34:S34"/>
    <mergeCell ref="B35:F35"/>
    <mergeCell ref="N35:S35"/>
    <mergeCell ref="B30:F30"/>
    <mergeCell ref="N30:S30"/>
    <mergeCell ref="B31:F31"/>
    <mergeCell ref="N31:S31"/>
    <mergeCell ref="B32:F32"/>
    <mergeCell ref="N32:S32"/>
    <mergeCell ref="A42:A46"/>
    <mergeCell ref="B42:F42"/>
    <mergeCell ref="N42:S42"/>
    <mergeCell ref="B43:F43"/>
    <mergeCell ref="N43:S43"/>
    <mergeCell ref="B44:F44"/>
    <mergeCell ref="N44:S44"/>
    <mergeCell ref="D45:F45"/>
    <mergeCell ref="N45:S45"/>
    <mergeCell ref="B46:F46"/>
    <mergeCell ref="N46:S46"/>
    <mergeCell ref="B37:F37"/>
    <mergeCell ref="A40:F40"/>
    <mergeCell ref="N40:S40"/>
    <mergeCell ref="A41:F41"/>
    <mergeCell ref="N41:S41"/>
    <mergeCell ref="A39:F39"/>
    <mergeCell ref="N39:S39"/>
    <mergeCell ref="N37:S37"/>
    <mergeCell ref="B38:F38"/>
    <mergeCell ref="N38:S38"/>
  </mergeCells>
  <phoneticPr fontId="1"/>
  <printOptions horizontalCentered="1" verticalCentered="1"/>
  <pageMargins left="0.39370078740157483" right="0.39370078740157483" top="0.39370078740157483" bottom="0.39370078740157483" header="0.31496062992125984" footer="0.19685039370078741"/>
  <pageSetup paperSize="9" scale="9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1538-C52E-4026-BED8-149731EFF255}">
  <sheetPr>
    <pageSetUpPr fitToPage="1"/>
  </sheetPr>
  <dimension ref="A2:AR74"/>
  <sheetViews>
    <sheetView workbookViewId="0">
      <selection activeCell="H20" sqref="H20"/>
    </sheetView>
  </sheetViews>
  <sheetFormatPr defaultColWidth="8.875" defaultRowHeight="13.5"/>
  <cols>
    <col min="1" max="1" width="16.875" style="94" bestFit="1" customWidth="1"/>
    <col min="2" max="2" width="8.875" style="94"/>
    <col min="3" max="3" width="7.875" style="94" customWidth="1"/>
    <col min="4" max="4" width="16.875" style="94" bestFit="1" customWidth="1"/>
    <col min="5" max="5" width="8.875" style="94"/>
    <col min="6" max="6" width="7.875" style="94" customWidth="1"/>
    <col min="7" max="16384" width="8.875" style="94"/>
  </cols>
  <sheetData>
    <row r="2" spans="1:44">
      <c r="A2" s="93" t="s">
        <v>74</v>
      </c>
      <c r="B2" s="93" t="s">
        <v>75</v>
      </c>
      <c r="D2" s="95" t="s">
        <v>4</v>
      </c>
      <c r="E2" s="95" t="s">
        <v>75</v>
      </c>
    </row>
    <row r="3" spans="1:44">
      <c r="A3" s="93" t="s">
        <v>78</v>
      </c>
      <c r="B3" s="93">
        <v>0</v>
      </c>
      <c r="D3" s="96" t="s">
        <v>77</v>
      </c>
      <c r="E3" s="96">
        <v>75</v>
      </c>
    </row>
    <row r="4" spans="1:44">
      <c r="A4" s="93" t="s">
        <v>79</v>
      </c>
      <c r="B4" s="93">
        <v>60</v>
      </c>
      <c r="D4" s="96" t="s">
        <v>80</v>
      </c>
      <c r="E4" s="96">
        <v>76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</row>
    <row r="5" spans="1:44">
      <c r="A5" s="93" t="s">
        <v>81</v>
      </c>
      <c r="B5" s="93">
        <v>1</v>
      </c>
      <c r="D5" s="96" t="s">
        <v>82</v>
      </c>
      <c r="E5" s="96">
        <v>77</v>
      </c>
    </row>
    <row r="6" spans="1:44">
      <c r="A6" s="93" t="s">
        <v>83</v>
      </c>
      <c r="B6" s="93">
        <v>61</v>
      </c>
      <c r="D6" s="96" t="s">
        <v>84</v>
      </c>
      <c r="E6" s="96">
        <v>78</v>
      </c>
    </row>
    <row r="7" spans="1:44">
      <c r="A7" s="93" t="s">
        <v>85</v>
      </c>
      <c r="B7" s="93">
        <v>62</v>
      </c>
      <c r="D7" s="96" t="s">
        <v>86</v>
      </c>
      <c r="E7" s="96">
        <v>79</v>
      </c>
    </row>
    <row r="8" spans="1:44">
      <c r="A8" s="93" t="s">
        <v>87</v>
      </c>
      <c r="B8" s="93">
        <v>63</v>
      </c>
      <c r="D8" s="96" t="s">
        <v>76</v>
      </c>
      <c r="E8" s="96">
        <v>81</v>
      </c>
    </row>
    <row r="9" spans="1:44">
      <c r="A9" s="93" t="s">
        <v>88</v>
      </c>
      <c r="B9" s="93">
        <v>67</v>
      </c>
      <c r="D9" s="96" t="s">
        <v>89</v>
      </c>
      <c r="E9" s="96">
        <v>82</v>
      </c>
    </row>
    <row r="10" spans="1:44">
      <c r="A10" s="93" t="s">
        <v>90</v>
      </c>
      <c r="B10" s="93">
        <v>68</v>
      </c>
      <c r="D10" s="96" t="s">
        <v>91</v>
      </c>
      <c r="E10" s="96">
        <v>83</v>
      </c>
    </row>
    <row r="11" spans="1:44">
      <c r="A11" s="93" t="s">
        <v>93</v>
      </c>
      <c r="B11" s="93">
        <v>71</v>
      </c>
      <c r="D11" s="96" t="s">
        <v>94</v>
      </c>
      <c r="E11" s="96">
        <v>84</v>
      </c>
    </row>
    <row r="12" spans="1:44">
      <c r="A12" s="93" t="s">
        <v>95</v>
      </c>
      <c r="B12" s="93">
        <v>74</v>
      </c>
      <c r="D12" s="96" t="s">
        <v>96</v>
      </c>
      <c r="E12" s="96">
        <v>85</v>
      </c>
    </row>
    <row r="13" spans="1:44">
      <c r="A13" s="93" t="s">
        <v>97</v>
      </c>
      <c r="B13" s="93">
        <v>75</v>
      </c>
      <c r="D13" s="96" t="s">
        <v>92</v>
      </c>
      <c r="E13" s="96">
        <v>86</v>
      </c>
    </row>
    <row r="14" spans="1:44">
      <c r="A14" s="93" t="s">
        <v>98</v>
      </c>
      <c r="B14" s="93">
        <v>47</v>
      </c>
    </row>
    <row r="15" spans="1:44">
      <c r="A15" s="93" t="s">
        <v>99</v>
      </c>
      <c r="B15" s="93">
        <v>64</v>
      </c>
      <c r="E15" s="95" t="s">
        <v>75</v>
      </c>
    </row>
    <row r="16" spans="1:44">
      <c r="A16" s="93" t="s">
        <v>100</v>
      </c>
      <c r="B16" s="93">
        <v>65</v>
      </c>
      <c r="E16" s="98" t="str">
        <f>"="&amp;農産物_麦・大豆・そば・なたね・畑作物_個別!O3</f>
        <v>=</v>
      </c>
    </row>
    <row r="17" spans="1:2">
      <c r="A17" s="93" t="s">
        <v>101</v>
      </c>
      <c r="B17" s="93">
        <v>66</v>
      </c>
    </row>
    <row r="18" spans="1:2">
      <c r="A18" s="93" t="s">
        <v>102</v>
      </c>
      <c r="B18" s="93">
        <v>69</v>
      </c>
    </row>
    <row r="19" spans="1:2">
      <c r="A19" s="93" t="s">
        <v>103</v>
      </c>
      <c r="B19" s="93">
        <v>70</v>
      </c>
    </row>
    <row r="20" spans="1:2">
      <c r="A20" s="93" t="s">
        <v>104</v>
      </c>
      <c r="B20" s="93">
        <v>72</v>
      </c>
    </row>
    <row r="21" spans="1:2">
      <c r="A21" s="93" t="s">
        <v>105</v>
      </c>
      <c r="B21" s="93">
        <v>73</v>
      </c>
    </row>
    <row r="22" spans="1:2">
      <c r="A22" s="93" t="s">
        <v>106</v>
      </c>
      <c r="B22" s="93">
        <v>76</v>
      </c>
    </row>
    <row r="23" spans="1:2">
      <c r="A23" s="93" t="s">
        <v>107</v>
      </c>
      <c r="B23" s="93">
        <v>77</v>
      </c>
    </row>
    <row r="24" spans="1:2">
      <c r="A24" s="93" t="s">
        <v>108</v>
      </c>
      <c r="B24" s="93">
        <v>93</v>
      </c>
    </row>
    <row r="25" spans="1:2">
      <c r="A25" s="93" t="s">
        <v>109</v>
      </c>
      <c r="B25" s="93">
        <v>94</v>
      </c>
    </row>
    <row r="26" spans="1:2">
      <c r="A26" s="93" t="s">
        <v>110</v>
      </c>
      <c r="B26" s="93">
        <v>95</v>
      </c>
    </row>
    <row r="27" spans="1:2">
      <c r="A27" s="93" t="s">
        <v>111</v>
      </c>
      <c r="B27" s="93">
        <v>2</v>
      </c>
    </row>
    <row r="28" spans="1:2">
      <c r="A28" s="93" t="s">
        <v>112</v>
      </c>
      <c r="B28" s="93">
        <v>3</v>
      </c>
    </row>
    <row r="29" spans="1:2">
      <c r="A29" s="93" t="s">
        <v>113</v>
      </c>
      <c r="B29" s="93">
        <v>4</v>
      </c>
    </row>
    <row r="30" spans="1:2">
      <c r="A30" s="93" t="s">
        <v>114</v>
      </c>
      <c r="B30" s="93">
        <v>5</v>
      </c>
    </row>
    <row r="31" spans="1:2">
      <c r="A31" s="93" t="s">
        <v>115</v>
      </c>
      <c r="B31" s="93">
        <v>6</v>
      </c>
    </row>
    <row r="32" spans="1:2">
      <c r="A32" s="93" t="s">
        <v>116</v>
      </c>
      <c r="B32" s="93">
        <v>7</v>
      </c>
    </row>
    <row r="33" spans="1:2">
      <c r="A33" s="93" t="s">
        <v>117</v>
      </c>
      <c r="B33" s="93">
        <v>8</v>
      </c>
    </row>
    <row r="34" spans="1:2">
      <c r="A34" s="93" t="s">
        <v>118</v>
      </c>
      <c r="B34" s="93">
        <v>9</v>
      </c>
    </row>
    <row r="35" spans="1:2">
      <c r="A35" s="93" t="s">
        <v>119</v>
      </c>
      <c r="B35" s="93">
        <v>10</v>
      </c>
    </row>
    <row r="36" spans="1:2">
      <c r="A36" s="93" t="s">
        <v>120</v>
      </c>
      <c r="B36" s="93">
        <v>11</v>
      </c>
    </row>
    <row r="37" spans="1:2">
      <c r="A37" s="93" t="s">
        <v>121</v>
      </c>
      <c r="B37" s="93">
        <v>12</v>
      </c>
    </row>
    <row r="38" spans="1:2">
      <c r="A38" s="93" t="s">
        <v>122</v>
      </c>
      <c r="B38" s="93">
        <v>13</v>
      </c>
    </row>
    <row r="39" spans="1:2">
      <c r="A39" s="93" t="s">
        <v>123</v>
      </c>
      <c r="B39" s="93">
        <v>14</v>
      </c>
    </row>
    <row r="40" spans="1:2">
      <c r="A40" s="93" t="s">
        <v>124</v>
      </c>
      <c r="B40" s="93">
        <v>15</v>
      </c>
    </row>
    <row r="41" spans="1:2">
      <c r="A41" s="93" t="s">
        <v>125</v>
      </c>
      <c r="B41" s="93">
        <v>16</v>
      </c>
    </row>
    <row r="42" spans="1:2">
      <c r="A42" s="93" t="s">
        <v>126</v>
      </c>
      <c r="B42" s="93">
        <v>17</v>
      </c>
    </row>
    <row r="43" spans="1:2">
      <c r="A43" s="93" t="s">
        <v>127</v>
      </c>
      <c r="B43" s="93">
        <v>18</v>
      </c>
    </row>
    <row r="44" spans="1:2">
      <c r="A44" s="93" t="s">
        <v>128</v>
      </c>
      <c r="B44" s="93">
        <v>19</v>
      </c>
    </row>
    <row r="45" spans="1:2">
      <c r="A45" s="93" t="s">
        <v>129</v>
      </c>
      <c r="B45" s="93">
        <v>20</v>
      </c>
    </row>
    <row r="46" spans="1:2">
      <c r="A46" s="93" t="s">
        <v>130</v>
      </c>
      <c r="B46" s="93">
        <v>21</v>
      </c>
    </row>
    <row r="47" spans="1:2">
      <c r="A47" s="93" t="s">
        <v>131</v>
      </c>
      <c r="B47" s="93">
        <v>22</v>
      </c>
    </row>
    <row r="48" spans="1:2">
      <c r="A48" s="93" t="s">
        <v>132</v>
      </c>
      <c r="B48" s="93">
        <v>23</v>
      </c>
    </row>
    <row r="49" spans="1:2">
      <c r="A49" s="93" t="s">
        <v>133</v>
      </c>
      <c r="B49" s="93">
        <v>24</v>
      </c>
    </row>
    <row r="50" spans="1:2">
      <c r="A50" s="93" t="s">
        <v>134</v>
      </c>
      <c r="B50" s="93">
        <v>25</v>
      </c>
    </row>
    <row r="51" spans="1:2">
      <c r="A51" s="93" t="s">
        <v>135</v>
      </c>
      <c r="B51" s="93">
        <v>26</v>
      </c>
    </row>
    <row r="52" spans="1:2">
      <c r="A52" s="93" t="s">
        <v>136</v>
      </c>
      <c r="B52" s="93">
        <v>27</v>
      </c>
    </row>
    <row r="53" spans="1:2">
      <c r="A53" s="93" t="s">
        <v>137</v>
      </c>
      <c r="B53" s="93">
        <v>28</v>
      </c>
    </row>
    <row r="54" spans="1:2">
      <c r="A54" s="93" t="s">
        <v>138</v>
      </c>
      <c r="B54" s="93">
        <v>29</v>
      </c>
    </row>
    <row r="55" spans="1:2">
      <c r="A55" s="93" t="s">
        <v>139</v>
      </c>
      <c r="B55" s="93">
        <v>30</v>
      </c>
    </row>
    <row r="56" spans="1:2">
      <c r="A56" s="93" t="s">
        <v>140</v>
      </c>
      <c r="B56" s="93">
        <v>31</v>
      </c>
    </row>
    <row r="57" spans="1:2">
      <c r="A57" s="93" t="s">
        <v>141</v>
      </c>
      <c r="B57" s="93">
        <v>32</v>
      </c>
    </row>
    <row r="58" spans="1:2">
      <c r="A58" s="93" t="s">
        <v>142</v>
      </c>
      <c r="B58" s="93">
        <v>33</v>
      </c>
    </row>
    <row r="59" spans="1:2">
      <c r="A59" s="93" t="s">
        <v>143</v>
      </c>
      <c r="B59" s="93">
        <v>34</v>
      </c>
    </row>
    <row r="60" spans="1:2">
      <c r="A60" s="93" t="s">
        <v>144</v>
      </c>
      <c r="B60" s="93">
        <v>35</v>
      </c>
    </row>
    <row r="61" spans="1:2">
      <c r="A61" s="93" t="s">
        <v>145</v>
      </c>
      <c r="B61" s="93">
        <v>36</v>
      </c>
    </row>
    <row r="62" spans="1:2">
      <c r="A62" s="93" t="s">
        <v>146</v>
      </c>
      <c r="B62" s="93">
        <v>37</v>
      </c>
    </row>
    <row r="63" spans="1:2">
      <c r="A63" s="93" t="s">
        <v>147</v>
      </c>
      <c r="B63" s="93">
        <v>38</v>
      </c>
    </row>
    <row r="64" spans="1:2">
      <c r="A64" s="93" t="s">
        <v>148</v>
      </c>
      <c r="B64" s="93">
        <v>39</v>
      </c>
    </row>
    <row r="65" spans="1:2">
      <c r="A65" s="93" t="s">
        <v>149</v>
      </c>
      <c r="B65" s="93">
        <v>40</v>
      </c>
    </row>
    <row r="66" spans="1:2">
      <c r="A66" s="93" t="s">
        <v>150</v>
      </c>
      <c r="B66" s="93">
        <v>41</v>
      </c>
    </row>
    <row r="67" spans="1:2">
      <c r="A67" s="93" t="s">
        <v>151</v>
      </c>
      <c r="B67" s="93">
        <v>42</v>
      </c>
    </row>
    <row r="68" spans="1:2">
      <c r="A68" s="93" t="s">
        <v>152</v>
      </c>
      <c r="B68" s="93">
        <v>43</v>
      </c>
    </row>
    <row r="69" spans="1:2">
      <c r="A69" s="93" t="s">
        <v>153</v>
      </c>
      <c r="B69" s="93">
        <v>44</v>
      </c>
    </row>
    <row r="70" spans="1:2">
      <c r="A70" s="93" t="s">
        <v>154</v>
      </c>
      <c r="B70" s="93">
        <v>45</v>
      </c>
    </row>
    <row r="71" spans="1:2">
      <c r="A71" s="93" t="s">
        <v>155</v>
      </c>
      <c r="B71" s="93">
        <v>46</v>
      </c>
    </row>
    <row r="73" spans="1:2">
      <c r="B73" s="99" t="s">
        <v>75</v>
      </c>
    </row>
    <row r="74" spans="1:2">
      <c r="B74" s="100" t="str">
        <f>"="&amp;農産物_麦・大豆・そば・なたね・畑作物_個別!Q3</f>
        <v>=</v>
      </c>
    </row>
  </sheetData>
  <phoneticPr fontId="1"/>
  <pageMargins left="0.31496062992125984" right="0.31496062992125984" top="0.74803149606299213" bottom="0.74803149606299213" header="0.31496062992125984" footer="0.31496062992125984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Q50"/>
  <sheetViews>
    <sheetView showGridLines="0" zoomScaleNormal="100" zoomScaleSheetLayoutView="100" workbookViewId="0">
      <selection activeCell="B46" sqref="B46:F46"/>
    </sheetView>
  </sheetViews>
  <sheetFormatPr defaultColWidth="9" defaultRowHeight="12.75" customHeight="1"/>
  <cols>
    <col min="1" max="1" width="3" style="5" customWidth="1"/>
    <col min="2" max="5" width="1.875" style="5" customWidth="1"/>
    <col min="6" max="6" width="13.875" style="5" customWidth="1"/>
    <col min="7" max="7" width="8.125" style="6" customWidth="1"/>
    <col min="8" max="8" width="7.125" style="6" customWidth="1"/>
    <col min="9" max="9" width="8.125" style="6" customWidth="1"/>
    <col min="10" max="11" width="7.125" style="6" customWidth="1"/>
    <col min="12" max="12" width="8.125" style="6" customWidth="1"/>
    <col min="13" max="13" width="48.125" style="6" customWidth="1"/>
    <col min="14" max="14" width="8.125" style="6" customWidth="1"/>
    <col min="15" max="15" width="12.125" style="6" customWidth="1"/>
    <col min="16" max="16" width="13.125" style="6" customWidth="1"/>
    <col min="17" max="17" width="8.125" style="6" customWidth="1"/>
    <col min="18" max="16384" width="9" style="6"/>
  </cols>
  <sheetData>
    <row r="1" spans="1:17" ht="24.75" customHeight="1">
      <c r="A1" s="1" t="s">
        <v>52</v>
      </c>
      <c r="G1" s="1"/>
      <c r="H1" s="1"/>
      <c r="I1" s="1"/>
      <c r="J1" s="1"/>
      <c r="K1" s="1"/>
      <c r="L1" s="1"/>
      <c r="O1" s="45" t="s">
        <v>51</v>
      </c>
      <c r="P1" s="46" t="s">
        <v>4</v>
      </c>
      <c r="Q1" s="47" t="s">
        <v>5</v>
      </c>
    </row>
    <row r="2" spans="1:17" ht="15" customHeight="1" thickBot="1">
      <c r="A2" s="7"/>
      <c r="B2" s="7"/>
      <c r="C2" s="7"/>
      <c r="D2" s="7"/>
      <c r="E2" s="7"/>
      <c r="F2" s="7"/>
      <c r="G2" s="1"/>
      <c r="H2" s="1"/>
      <c r="I2" s="1"/>
      <c r="J2" s="1"/>
      <c r="K2" s="1"/>
      <c r="L2" s="1"/>
      <c r="O2" s="48"/>
      <c r="P2" s="49"/>
      <c r="Q2" s="50"/>
    </row>
    <row r="3" spans="1:17" ht="15" customHeight="1" thickBot="1">
      <c r="A3" s="8"/>
      <c r="B3" s="6"/>
      <c r="C3" s="6"/>
      <c r="D3" s="6"/>
      <c r="E3" s="6"/>
      <c r="F3" s="6"/>
    </row>
    <row r="4" spans="1:17" ht="15" customHeight="1">
      <c r="A4" s="245" t="s">
        <v>7</v>
      </c>
      <c r="B4" s="246"/>
      <c r="C4" s="246"/>
      <c r="D4" s="246"/>
      <c r="E4" s="246"/>
      <c r="F4" s="246"/>
      <c r="G4" s="51" t="s">
        <v>50</v>
      </c>
      <c r="H4" s="52" t="s">
        <v>0</v>
      </c>
      <c r="I4" s="51" t="s">
        <v>50</v>
      </c>
      <c r="J4" s="52" t="s">
        <v>0</v>
      </c>
      <c r="K4" s="53" t="s">
        <v>1</v>
      </c>
      <c r="L4" s="53" t="s">
        <v>2</v>
      </c>
      <c r="M4" s="234" t="s">
        <v>6</v>
      </c>
      <c r="N4" s="234"/>
      <c r="O4" s="234"/>
      <c r="P4" s="234"/>
      <c r="Q4" s="235"/>
    </row>
    <row r="5" spans="1:17" ht="15" customHeight="1" thickBot="1">
      <c r="A5" s="247"/>
      <c r="B5" s="248"/>
      <c r="C5" s="248"/>
      <c r="D5" s="248"/>
      <c r="E5" s="248"/>
      <c r="F5" s="248"/>
      <c r="G5" s="2" t="s">
        <v>3</v>
      </c>
      <c r="H5" s="3" t="s">
        <v>48</v>
      </c>
      <c r="I5" s="2" t="s">
        <v>3</v>
      </c>
      <c r="J5" s="3" t="s">
        <v>48</v>
      </c>
      <c r="K5" s="4" t="s">
        <v>48</v>
      </c>
      <c r="L5" s="4" t="s">
        <v>3</v>
      </c>
      <c r="M5" s="236"/>
      <c r="N5" s="236"/>
      <c r="O5" s="236"/>
      <c r="P5" s="236"/>
      <c r="Q5" s="237"/>
    </row>
    <row r="6" spans="1:17" ht="14.25" customHeight="1" thickTop="1">
      <c r="A6" s="229" t="s">
        <v>8</v>
      </c>
      <c r="B6" s="241" t="s">
        <v>9</v>
      </c>
      <c r="C6" s="242"/>
      <c r="D6" s="242"/>
      <c r="E6" s="242"/>
      <c r="F6" s="243"/>
      <c r="G6" s="9"/>
      <c r="H6" s="44"/>
      <c r="I6" s="9"/>
      <c r="J6" s="44"/>
      <c r="K6" s="36"/>
      <c r="L6" s="37"/>
      <c r="M6" s="238"/>
      <c r="N6" s="239"/>
      <c r="O6" s="239"/>
      <c r="P6" s="239"/>
      <c r="Q6" s="240"/>
    </row>
    <row r="7" spans="1:17" ht="14.25" customHeight="1">
      <c r="A7" s="230"/>
      <c r="B7" s="244"/>
      <c r="C7" s="224" t="s">
        <v>10</v>
      </c>
      <c r="D7" s="224"/>
      <c r="E7" s="224"/>
      <c r="F7" s="225"/>
      <c r="G7" s="10"/>
      <c r="H7" s="29"/>
      <c r="I7" s="10"/>
      <c r="J7" s="29"/>
      <c r="K7" s="38"/>
      <c r="L7" s="37"/>
      <c r="M7" s="208"/>
      <c r="N7" s="209"/>
      <c r="O7" s="209"/>
      <c r="P7" s="209"/>
      <c r="Q7" s="210"/>
    </row>
    <row r="8" spans="1:17" ht="14.25" customHeight="1">
      <c r="A8" s="230"/>
      <c r="B8" s="233"/>
      <c r="C8" s="224" t="s">
        <v>11</v>
      </c>
      <c r="D8" s="224"/>
      <c r="E8" s="224"/>
      <c r="F8" s="225"/>
      <c r="G8" s="10"/>
      <c r="H8" s="29"/>
      <c r="I8" s="10"/>
      <c r="J8" s="29"/>
      <c r="K8" s="38"/>
      <c r="L8" s="37"/>
      <c r="M8" s="208"/>
      <c r="N8" s="209"/>
      <c r="O8" s="209"/>
      <c r="P8" s="209"/>
      <c r="Q8" s="210"/>
    </row>
    <row r="9" spans="1:17" ht="14.25" customHeight="1">
      <c r="A9" s="230"/>
      <c r="B9" s="233"/>
      <c r="C9" s="224" t="s">
        <v>12</v>
      </c>
      <c r="D9" s="224"/>
      <c r="E9" s="224"/>
      <c r="F9" s="225"/>
      <c r="G9" s="10"/>
      <c r="H9" s="29"/>
      <c r="I9" s="10"/>
      <c r="J9" s="29"/>
      <c r="K9" s="38"/>
      <c r="L9" s="37"/>
      <c r="M9" s="208"/>
      <c r="N9" s="209"/>
      <c r="O9" s="209"/>
      <c r="P9" s="209"/>
      <c r="Q9" s="210"/>
    </row>
    <row r="10" spans="1:17" ht="14.25" customHeight="1">
      <c r="A10" s="230"/>
      <c r="B10" s="233"/>
      <c r="C10" s="224" t="s">
        <v>13</v>
      </c>
      <c r="D10" s="224"/>
      <c r="E10" s="224"/>
      <c r="F10" s="225"/>
      <c r="G10" s="10"/>
      <c r="H10" s="29"/>
      <c r="I10" s="10"/>
      <c r="J10" s="29"/>
      <c r="K10" s="38"/>
      <c r="L10" s="37"/>
      <c r="M10" s="208"/>
      <c r="N10" s="209"/>
      <c r="O10" s="209"/>
      <c r="P10" s="209"/>
      <c r="Q10" s="210"/>
    </row>
    <row r="11" spans="1:17" ht="14.25" customHeight="1">
      <c r="A11" s="230"/>
      <c r="B11" s="233"/>
      <c r="C11" s="224" t="s">
        <v>14</v>
      </c>
      <c r="D11" s="224"/>
      <c r="E11" s="224"/>
      <c r="F11" s="225"/>
      <c r="G11" s="10"/>
      <c r="H11" s="29"/>
      <c r="I11" s="10"/>
      <c r="J11" s="29"/>
      <c r="K11" s="38"/>
      <c r="L11" s="37"/>
      <c r="M11" s="208"/>
      <c r="N11" s="209"/>
      <c r="O11" s="209"/>
      <c r="P11" s="209"/>
      <c r="Q11" s="210"/>
    </row>
    <row r="12" spans="1:17" ht="14.25" customHeight="1">
      <c r="A12" s="230"/>
      <c r="B12" s="233"/>
      <c r="C12" s="224" t="s">
        <v>15</v>
      </c>
      <c r="D12" s="224"/>
      <c r="E12" s="224"/>
      <c r="F12" s="225"/>
      <c r="G12" s="10"/>
      <c r="H12" s="29"/>
      <c r="I12" s="10"/>
      <c r="J12" s="29"/>
      <c r="K12" s="38"/>
      <c r="L12" s="37"/>
      <c r="M12" s="208"/>
      <c r="N12" s="209"/>
      <c r="O12" s="209"/>
      <c r="P12" s="209"/>
      <c r="Q12" s="210"/>
    </row>
    <row r="13" spans="1:17" ht="14.25" customHeight="1">
      <c r="A13" s="230"/>
      <c r="B13" s="233"/>
      <c r="C13" s="224" t="s">
        <v>16</v>
      </c>
      <c r="D13" s="224"/>
      <c r="E13" s="224"/>
      <c r="F13" s="225"/>
      <c r="G13" s="10"/>
      <c r="H13" s="29"/>
      <c r="I13" s="10"/>
      <c r="J13" s="29"/>
      <c r="K13" s="38"/>
      <c r="L13" s="37"/>
      <c r="M13" s="208"/>
      <c r="N13" s="209"/>
      <c r="O13" s="209"/>
      <c r="P13" s="209"/>
      <c r="Q13" s="210"/>
    </row>
    <row r="14" spans="1:17" ht="14.25" customHeight="1">
      <c r="A14" s="230"/>
      <c r="B14" s="233"/>
      <c r="C14" s="226" t="s">
        <v>17</v>
      </c>
      <c r="D14" s="226"/>
      <c r="E14" s="226"/>
      <c r="F14" s="227"/>
      <c r="G14" s="10"/>
      <c r="H14" s="29"/>
      <c r="I14" s="10"/>
      <c r="J14" s="29"/>
      <c r="K14" s="38"/>
      <c r="L14" s="37"/>
      <c r="M14" s="208"/>
      <c r="N14" s="209"/>
      <c r="O14" s="209"/>
      <c r="P14" s="209"/>
      <c r="Q14" s="210"/>
    </row>
    <row r="15" spans="1:17" ht="14.25" customHeight="1">
      <c r="A15" s="230"/>
      <c r="B15" s="233"/>
      <c r="C15" s="228" t="s">
        <v>18</v>
      </c>
      <c r="D15" s="228"/>
      <c r="E15" s="224"/>
      <c r="F15" s="225"/>
      <c r="G15" s="10"/>
      <c r="H15" s="29"/>
      <c r="I15" s="10"/>
      <c r="J15" s="29"/>
      <c r="K15" s="38"/>
      <c r="L15" s="37"/>
      <c r="M15" s="208"/>
      <c r="N15" s="209"/>
      <c r="O15" s="209"/>
      <c r="P15" s="209"/>
      <c r="Q15" s="210"/>
    </row>
    <row r="16" spans="1:17" ht="14.25" customHeight="1">
      <c r="A16" s="230"/>
      <c r="B16" s="233"/>
      <c r="C16" s="11"/>
      <c r="D16" s="12"/>
      <c r="E16" s="224" t="s">
        <v>19</v>
      </c>
      <c r="F16" s="225"/>
      <c r="G16" s="10"/>
      <c r="H16" s="29"/>
      <c r="I16" s="10"/>
      <c r="J16" s="29"/>
      <c r="K16" s="38"/>
      <c r="L16" s="37"/>
      <c r="M16" s="208"/>
      <c r="N16" s="209"/>
      <c r="O16" s="209"/>
      <c r="P16" s="209"/>
      <c r="Q16" s="210"/>
    </row>
    <row r="17" spans="1:17" ht="14.25" customHeight="1">
      <c r="A17" s="230"/>
      <c r="B17" s="233"/>
      <c r="C17" s="228" t="s">
        <v>49</v>
      </c>
      <c r="D17" s="228"/>
      <c r="E17" s="224"/>
      <c r="F17" s="225"/>
      <c r="G17" s="10"/>
      <c r="H17" s="29"/>
      <c r="I17" s="10"/>
      <c r="J17" s="29"/>
      <c r="K17" s="38"/>
      <c r="L17" s="37"/>
      <c r="M17" s="208"/>
      <c r="N17" s="209"/>
      <c r="O17" s="209"/>
      <c r="P17" s="209"/>
      <c r="Q17" s="210"/>
    </row>
    <row r="18" spans="1:17" ht="14.25" customHeight="1">
      <c r="A18" s="230"/>
      <c r="B18" s="233"/>
      <c r="C18" s="11"/>
      <c r="D18" s="12"/>
      <c r="E18" s="224" t="s">
        <v>19</v>
      </c>
      <c r="F18" s="225"/>
      <c r="G18" s="10"/>
      <c r="H18" s="29"/>
      <c r="I18" s="10"/>
      <c r="J18" s="29"/>
      <c r="K18" s="38"/>
      <c r="L18" s="37"/>
      <c r="M18" s="208"/>
      <c r="N18" s="209"/>
      <c r="O18" s="209"/>
      <c r="P18" s="209"/>
      <c r="Q18" s="210"/>
    </row>
    <row r="19" spans="1:17" ht="14.25" customHeight="1">
      <c r="A19" s="230"/>
      <c r="B19" s="233"/>
      <c r="C19" s="228" t="s">
        <v>20</v>
      </c>
      <c r="D19" s="228"/>
      <c r="E19" s="224"/>
      <c r="F19" s="225"/>
      <c r="G19" s="10"/>
      <c r="H19" s="29"/>
      <c r="I19" s="10"/>
      <c r="J19" s="29"/>
      <c r="K19" s="38"/>
      <c r="L19" s="37"/>
      <c r="M19" s="208"/>
      <c r="N19" s="209"/>
      <c r="O19" s="209"/>
      <c r="P19" s="209"/>
      <c r="Q19" s="210"/>
    </row>
    <row r="20" spans="1:17" ht="14.25" customHeight="1">
      <c r="A20" s="230"/>
      <c r="B20" s="233"/>
      <c r="C20" s="11"/>
      <c r="D20" s="12"/>
      <c r="E20" s="224" t="s">
        <v>19</v>
      </c>
      <c r="F20" s="225"/>
      <c r="G20" s="10"/>
      <c r="H20" s="29"/>
      <c r="I20" s="10"/>
      <c r="J20" s="29"/>
      <c r="K20" s="38"/>
      <c r="L20" s="37"/>
      <c r="M20" s="208"/>
      <c r="N20" s="209"/>
      <c r="O20" s="209"/>
      <c r="P20" s="209"/>
      <c r="Q20" s="210"/>
    </row>
    <row r="21" spans="1:17" ht="14.25" customHeight="1">
      <c r="A21" s="230"/>
      <c r="B21" s="233"/>
      <c r="C21" s="228" t="s">
        <v>21</v>
      </c>
      <c r="D21" s="228"/>
      <c r="E21" s="224"/>
      <c r="F21" s="225"/>
      <c r="G21" s="10"/>
      <c r="H21" s="29"/>
      <c r="I21" s="10"/>
      <c r="J21" s="29"/>
      <c r="K21" s="38"/>
      <c r="L21" s="37"/>
      <c r="M21" s="208"/>
      <c r="N21" s="209"/>
      <c r="O21" s="209"/>
      <c r="P21" s="209"/>
      <c r="Q21" s="210"/>
    </row>
    <row r="22" spans="1:17" ht="14.25" customHeight="1">
      <c r="A22" s="230"/>
      <c r="B22" s="233"/>
      <c r="C22" s="11"/>
      <c r="D22" s="12"/>
      <c r="E22" s="224" t="s">
        <v>19</v>
      </c>
      <c r="F22" s="225"/>
      <c r="G22" s="10"/>
      <c r="H22" s="29"/>
      <c r="I22" s="10"/>
      <c r="J22" s="29"/>
      <c r="K22" s="38"/>
      <c r="L22" s="37"/>
      <c r="M22" s="208"/>
      <c r="N22" s="209"/>
      <c r="O22" s="209"/>
      <c r="P22" s="209"/>
      <c r="Q22" s="210"/>
    </row>
    <row r="23" spans="1:17" ht="14.25" customHeight="1">
      <c r="A23" s="230"/>
      <c r="B23" s="228" t="s">
        <v>22</v>
      </c>
      <c r="C23" s="228"/>
      <c r="D23" s="228"/>
      <c r="E23" s="224"/>
      <c r="F23" s="225"/>
      <c r="G23" s="10"/>
      <c r="H23" s="29"/>
      <c r="I23" s="10"/>
      <c r="J23" s="29"/>
      <c r="K23" s="38"/>
      <c r="L23" s="37"/>
      <c r="M23" s="208"/>
      <c r="N23" s="209"/>
      <c r="O23" s="209"/>
      <c r="P23" s="209"/>
      <c r="Q23" s="210"/>
    </row>
    <row r="24" spans="1:17" ht="14.25" customHeight="1">
      <c r="A24" s="230"/>
      <c r="B24" s="232"/>
      <c r="C24" s="13"/>
      <c r="D24" s="12"/>
      <c r="E24" s="224" t="s">
        <v>23</v>
      </c>
      <c r="F24" s="225"/>
      <c r="G24" s="10"/>
      <c r="H24" s="29"/>
      <c r="I24" s="10"/>
      <c r="J24" s="29"/>
      <c r="K24" s="38"/>
      <c r="L24" s="37"/>
      <c r="M24" s="208"/>
      <c r="N24" s="209"/>
      <c r="O24" s="209"/>
      <c r="P24" s="209"/>
      <c r="Q24" s="210"/>
    </row>
    <row r="25" spans="1:17" ht="14.25" customHeight="1">
      <c r="A25" s="230"/>
      <c r="B25" s="233"/>
      <c r="C25" s="228" t="s">
        <v>24</v>
      </c>
      <c r="D25" s="228"/>
      <c r="E25" s="224"/>
      <c r="F25" s="225"/>
      <c r="G25" s="14"/>
      <c r="H25" s="29"/>
      <c r="I25" s="14"/>
      <c r="J25" s="29"/>
      <c r="K25" s="38"/>
      <c r="L25" s="37"/>
      <c r="M25" s="208"/>
      <c r="N25" s="209"/>
      <c r="O25" s="209"/>
      <c r="P25" s="209"/>
      <c r="Q25" s="210"/>
    </row>
    <row r="26" spans="1:17" ht="12.75" customHeight="1">
      <c r="A26" s="230"/>
      <c r="B26" s="233"/>
      <c r="C26" s="11"/>
      <c r="D26" s="12"/>
      <c r="E26" s="224" t="s">
        <v>23</v>
      </c>
      <c r="F26" s="225"/>
      <c r="G26" s="10"/>
      <c r="H26" s="29"/>
      <c r="I26" s="10"/>
      <c r="J26" s="29"/>
      <c r="K26" s="39"/>
      <c r="L26" s="37"/>
      <c r="M26" s="208"/>
      <c r="N26" s="209"/>
      <c r="O26" s="209"/>
      <c r="P26" s="209"/>
      <c r="Q26" s="210"/>
    </row>
    <row r="27" spans="1:17" ht="12.75" customHeight="1">
      <c r="A27" s="230"/>
      <c r="B27" s="233"/>
      <c r="C27" s="224" t="s">
        <v>25</v>
      </c>
      <c r="D27" s="224"/>
      <c r="E27" s="224"/>
      <c r="F27" s="225"/>
      <c r="G27" s="10"/>
      <c r="H27" s="29"/>
      <c r="I27" s="10"/>
      <c r="J27" s="29"/>
      <c r="K27" s="39"/>
      <c r="L27" s="37"/>
      <c r="M27" s="208"/>
      <c r="N27" s="209"/>
      <c r="O27" s="209"/>
      <c r="P27" s="209"/>
      <c r="Q27" s="210"/>
    </row>
    <row r="28" spans="1:17" ht="12.75" customHeight="1">
      <c r="A28" s="230"/>
      <c r="B28" s="224" t="s">
        <v>26</v>
      </c>
      <c r="C28" s="224"/>
      <c r="D28" s="224"/>
      <c r="E28" s="224"/>
      <c r="F28" s="225"/>
      <c r="G28" s="10"/>
      <c r="H28" s="29"/>
      <c r="I28" s="10"/>
      <c r="J28" s="29"/>
      <c r="K28" s="39"/>
      <c r="L28" s="37"/>
      <c r="M28" s="208"/>
      <c r="N28" s="209"/>
      <c r="O28" s="209"/>
      <c r="P28" s="209"/>
      <c r="Q28" s="210"/>
    </row>
    <row r="29" spans="1:17" ht="12.75" customHeight="1">
      <c r="A29" s="230"/>
      <c r="B29" s="224" t="s">
        <v>27</v>
      </c>
      <c r="C29" s="224"/>
      <c r="D29" s="224"/>
      <c r="E29" s="224"/>
      <c r="F29" s="225"/>
      <c r="G29" s="10"/>
      <c r="H29" s="30"/>
      <c r="I29" s="10"/>
      <c r="J29" s="30"/>
      <c r="K29" s="39"/>
      <c r="L29" s="37"/>
      <c r="M29" s="208"/>
      <c r="N29" s="209"/>
      <c r="O29" s="209"/>
      <c r="P29" s="209"/>
      <c r="Q29" s="210"/>
    </row>
    <row r="30" spans="1:17" ht="12.75" customHeight="1">
      <c r="A30" s="230"/>
      <c r="B30" s="264" t="s">
        <v>28</v>
      </c>
      <c r="C30" s="264"/>
      <c r="D30" s="264"/>
      <c r="E30" s="264"/>
      <c r="F30" s="265"/>
      <c r="G30" s="10"/>
      <c r="H30" s="31"/>
      <c r="I30" s="10"/>
      <c r="J30" s="31"/>
      <c r="K30" s="39"/>
      <c r="L30" s="37"/>
      <c r="M30" s="208"/>
      <c r="N30" s="209"/>
      <c r="O30" s="209"/>
      <c r="P30" s="209"/>
      <c r="Q30" s="210"/>
    </row>
    <row r="31" spans="1:17" ht="12.75" customHeight="1">
      <c r="A31" s="230"/>
      <c r="B31" s="224" t="s">
        <v>29</v>
      </c>
      <c r="C31" s="262"/>
      <c r="D31" s="262"/>
      <c r="E31" s="262"/>
      <c r="F31" s="263"/>
      <c r="G31" s="10"/>
      <c r="H31" s="31"/>
      <c r="I31" s="10"/>
      <c r="J31" s="31"/>
      <c r="K31" s="39"/>
      <c r="L31" s="37"/>
      <c r="M31" s="208"/>
      <c r="N31" s="209"/>
      <c r="O31" s="209"/>
      <c r="P31" s="209"/>
      <c r="Q31" s="210"/>
    </row>
    <row r="32" spans="1:17" ht="12.75" customHeight="1">
      <c r="A32" s="230"/>
      <c r="B32" s="224" t="s">
        <v>30</v>
      </c>
      <c r="C32" s="262"/>
      <c r="D32" s="262"/>
      <c r="E32" s="262"/>
      <c r="F32" s="263"/>
      <c r="G32" s="10"/>
      <c r="H32" s="31"/>
      <c r="I32" s="10"/>
      <c r="J32" s="31"/>
      <c r="K32" s="39"/>
      <c r="L32" s="37"/>
      <c r="M32" s="208"/>
      <c r="N32" s="209"/>
      <c r="O32" s="209"/>
      <c r="P32" s="209"/>
      <c r="Q32" s="210"/>
    </row>
    <row r="33" spans="1:17" ht="12.75" customHeight="1">
      <c r="A33" s="230"/>
      <c r="B33" s="226" t="s">
        <v>31</v>
      </c>
      <c r="C33" s="226"/>
      <c r="D33" s="226"/>
      <c r="E33" s="226"/>
      <c r="F33" s="227"/>
      <c r="G33" s="10"/>
      <c r="H33" s="31"/>
      <c r="I33" s="10"/>
      <c r="J33" s="31"/>
      <c r="K33" s="39"/>
      <c r="L33" s="37"/>
      <c r="M33" s="208"/>
      <c r="N33" s="209"/>
      <c r="O33" s="209"/>
      <c r="P33" s="209"/>
      <c r="Q33" s="210"/>
    </row>
    <row r="34" spans="1:17" ht="12.75" customHeight="1">
      <c r="A34" s="230"/>
      <c r="B34" s="224" t="s">
        <v>32</v>
      </c>
      <c r="C34" s="262"/>
      <c r="D34" s="262"/>
      <c r="E34" s="262"/>
      <c r="F34" s="263"/>
      <c r="G34" s="10"/>
      <c r="H34" s="31"/>
      <c r="I34" s="10"/>
      <c r="J34" s="31"/>
      <c r="K34" s="39"/>
      <c r="L34" s="37"/>
      <c r="M34" s="208"/>
      <c r="N34" s="209"/>
      <c r="O34" s="209"/>
      <c r="P34" s="209"/>
      <c r="Q34" s="210"/>
    </row>
    <row r="35" spans="1:17" ht="12.75" customHeight="1">
      <c r="A35" s="230"/>
      <c r="B35" s="224" t="s">
        <v>33</v>
      </c>
      <c r="C35" s="262"/>
      <c r="D35" s="262"/>
      <c r="E35" s="262"/>
      <c r="F35" s="263"/>
      <c r="G35" s="10"/>
      <c r="H35" s="31"/>
      <c r="I35" s="10"/>
      <c r="J35" s="31"/>
      <c r="K35" s="39"/>
      <c r="L35" s="37"/>
      <c r="M35" s="208"/>
      <c r="N35" s="209"/>
      <c r="O35" s="209"/>
      <c r="P35" s="209"/>
      <c r="Q35" s="210"/>
    </row>
    <row r="36" spans="1:17" ht="12.75" customHeight="1">
      <c r="A36" s="230"/>
      <c r="B36" s="252" t="s">
        <v>34</v>
      </c>
      <c r="C36" s="252"/>
      <c r="D36" s="252"/>
      <c r="E36" s="253"/>
      <c r="F36" s="254"/>
      <c r="G36" s="10"/>
      <c r="H36" s="31"/>
      <c r="I36" s="10"/>
      <c r="J36" s="31"/>
      <c r="K36" s="39"/>
      <c r="L36" s="37"/>
      <c r="M36" s="208"/>
      <c r="N36" s="209"/>
      <c r="O36" s="209"/>
      <c r="P36" s="209"/>
      <c r="Q36" s="210"/>
    </row>
    <row r="37" spans="1:17" ht="12.75" customHeight="1">
      <c r="A37" s="231"/>
      <c r="B37" s="15"/>
      <c r="C37" s="16"/>
      <c r="D37" s="17"/>
      <c r="E37" s="255" t="s">
        <v>35</v>
      </c>
      <c r="F37" s="256"/>
      <c r="G37" s="18"/>
      <c r="H37" s="32"/>
      <c r="I37" s="18"/>
      <c r="J37" s="32"/>
      <c r="K37" s="40"/>
      <c r="L37" s="57"/>
      <c r="M37" s="208"/>
      <c r="N37" s="209"/>
      <c r="O37" s="209"/>
      <c r="P37" s="209"/>
      <c r="Q37" s="210"/>
    </row>
    <row r="38" spans="1:17" ht="12.75" customHeight="1">
      <c r="A38" s="257" t="s">
        <v>45</v>
      </c>
      <c r="B38" s="244"/>
      <c r="C38" s="244"/>
      <c r="D38" s="244"/>
      <c r="E38" s="244"/>
      <c r="F38" s="258"/>
      <c r="G38" s="19"/>
      <c r="H38" s="33"/>
      <c r="I38" s="19"/>
      <c r="J38" s="33"/>
      <c r="K38" s="41"/>
      <c r="L38" s="58"/>
      <c r="M38" s="216"/>
      <c r="N38" s="219"/>
      <c r="O38" s="219"/>
      <c r="P38" s="219"/>
      <c r="Q38" s="220"/>
    </row>
    <row r="39" spans="1:17" ht="12.75" customHeight="1">
      <c r="A39" s="259" t="s">
        <v>46</v>
      </c>
      <c r="B39" s="260"/>
      <c r="C39" s="260"/>
      <c r="D39" s="260"/>
      <c r="E39" s="260"/>
      <c r="F39" s="261"/>
      <c r="G39" s="10"/>
      <c r="H39" s="31"/>
      <c r="I39" s="10"/>
      <c r="J39" s="31"/>
      <c r="K39" s="39"/>
      <c r="L39" s="59"/>
      <c r="M39" s="208"/>
      <c r="N39" s="209"/>
      <c r="O39" s="209"/>
      <c r="P39" s="209"/>
      <c r="Q39" s="210"/>
    </row>
    <row r="40" spans="1:17" ht="12.75" customHeight="1">
      <c r="A40" s="221" t="s">
        <v>47</v>
      </c>
      <c r="B40" s="222"/>
      <c r="C40" s="222"/>
      <c r="D40" s="222"/>
      <c r="E40" s="222"/>
      <c r="F40" s="223"/>
      <c r="G40" s="20"/>
      <c r="H40" s="34"/>
      <c r="I40" s="20"/>
      <c r="J40" s="34"/>
      <c r="K40" s="42"/>
      <c r="L40" s="60"/>
      <c r="M40" s="208"/>
      <c r="N40" s="209"/>
      <c r="O40" s="209"/>
      <c r="P40" s="209"/>
      <c r="Q40" s="210"/>
    </row>
    <row r="41" spans="1:17" ht="12.75" customHeight="1">
      <c r="A41" s="266" t="s">
        <v>36</v>
      </c>
      <c r="B41" s="269" t="s">
        <v>37</v>
      </c>
      <c r="C41" s="270"/>
      <c r="D41" s="270"/>
      <c r="E41" s="270"/>
      <c r="F41" s="271"/>
      <c r="G41" s="21"/>
      <c r="H41" s="35"/>
      <c r="I41" s="21"/>
      <c r="J41" s="35"/>
      <c r="K41" s="43"/>
      <c r="L41" s="37"/>
      <c r="M41" s="216"/>
      <c r="N41" s="217"/>
      <c r="O41" s="217"/>
      <c r="P41" s="217"/>
      <c r="Q41" s="218"/>
    </row>
    <row r="42" spans="1:17" ht="12.75" customHeight="1">
      <c r="A42" s="267"/>
      <c r="B42" s="272" t="s">
        <v>38</v>
      </c>
      <c r="C42" s="273"/>
      <c r="D42" s="273"/>
      <c r="E42" s="273"/>
      <c r="F42" s="274"/>
      <c r="G42" s="10"/>
      <c r="H42" s="31"/>
      <c r="I42" s="10"/>
      <c r="J42" s="31"/>
      <c r="K42" s="39"/>
      <c r="L42" s="37"/>
      <c r="M42" s="208"/>
      <c r="N42" s="214"/>
      <c r="O42" s="214"/>
      <c r="P42" s="214"/>
      <c r="Q42" s="215"/>
    </row>
    <row r="43" spans="1:17" ht="12.75" customHeight="1">
      <c r="A43" s="267"/>
      <c r="B43" s="275" t="s">
        <v>39</v>
      </c>
      <c r="C43" s="276"/>
      <c r="D43" s="276"/>
      <c r="E43" s="276"/>
      <c r="F43" s="277"/>
      <c r="G43" s="10"/>
      <c r="H43" s="31"/>
      <c r="I43" s="10"/>
      <c r="J43" s="31"/>
      <c r="K43" s="39"/>
      <c r="L43" s="37"/>
      <c r="M43" s="208"/>
      <c r="N43" s="214"/>
      <c r="O43" s="214"/>
      <c r="P43" s="214"/>
      <c r="Q43" s="215"/>
    </row>
    <row r="44" spans="1:17" ht="12.75" customHeight="1">
      <c r="A44" s="267"/>
      <c r="B44" s="275" t="s">
        <v>40</v>
      </c>
      <c r="C44" s="276"/>
      <c r="D44" s="276"/>
      <c r="E44" s="276"/>
      <c r="F44" s="277"/>
      <c r="G44" s="10"/>
      <c r="H44" s="31"/>
      <c r="I44" s="10"/>
      <c r="J44" s="31"/>
      <c r="K44" s="39"/>
      <c r="L44" s="37"/>
      <c r="M44" s="208"/>
      <c r="N44" s="214"/>
      <c r="O44" s="214"/>
      <c r="P44" s="214"/>
      <c r="Q44" s="215"/>
    </row>
    <row r="45" spans="1:17" ht="12.75" customHeight="1">
      <c r="A45" s="267"/>
      <c r="B45" s="275" t="s">
        <v>41</v>
      </c>
      <c r="C45" s="276"/>
      <c r="D45" s="276"/>
      <c r="E45" s="276"/>
      <c r="F45" s="277"/>
      <c r="G45" s="10"/>
      <c r="H45" s="31"/>
      <c r="I45" s="10"/>
      <c r="J45" s="31"/>
      <c r="K45" s="39"/>
      <c r="L45" s="37"/>
      <c r="M45" s="208"/>
      <c r="N45" s="214"/>
      <c r="O45" s="214"/>
      <c r="P45" s="214"/>
      <c r="Q45" s="215"/>
    </row>
    <row r="46" spans="1:17" ht="12.75" customHeight="1">
      <c r="A46" s="267"/>
      <c r="B46" s="278" t="s">
        <v>42</v>
      </c>
      <c r="C46" s="279"/>
      <c r="D46" s="279"/>
      <c r="E46" s="279"/>
      <c r="F46" s="280"/>
      <c r="G46" s="22"/>
      <c r="H46" s="31"/>
      <c r="I46" s="22"/>
      <c r="J46" s="31"/>
      <c r="K46" s="39"/>
      <c r="L46" s="37"/>
      <c r="M46" s="208"/>
      <c r="N46" s="214"/>
      <c r="O46" s="214"/>
      <c r="P46" s="214"/>
      <c r="Q46" s="215"/>
    </row>
    <row r="47" spans="1:17" ht="12.75" customHeight="1">
      <c r="A47" s="267"/>
      <c r="B47" s="23"/>
      <c r="C47" s="24"/>
      <c r="D47" s="25"/>
      <c r="E47" s="272" t="s">
        <v>23</v>
      </c>
      <c r="F47" s="274"/>
      <c r="G47" s="26"/>
      <c r="H47" s="31"/>
      <c r="I47" s="26"/>
      <c r="J47" s="31"/>
      <c r="K47" s="39"/>
      <c r="L47" s="37"/>
      <c r="M47" s="208"/>
      <c r="N47" s="214"/>
      <c r="O47" s="214"/>
      <c r="P47" s="214"/>
      <c r="Q47" s="215"/>
    </row>
    <row r="48" spans="1:17" ht="12.75" customHeight="1">
      <c r="A48" s="267"/>
      <c r="B48" s="281" t="s">
        <v>43</v>
      </c>
      <c r="C48" s="282"/>
      <c r="D48" s="282"/>
      <c r="E48" s="282"/>
      <c r="F48" s="283"/>
      <c r="G48" s="27"/>
      <c r="H48" s="31"/>
      <c r="I48" s="27"/>
      <c r="J48" s="31"/>
      <c r="K48" s="39"/>
      <c r="L48" s="37"/>
      <c r="M48" s="208"/>
      <c r="N48" s="214"/>
      <c r="O48" s="214"/>
      <c r="P48" s="214"/>
      <c r="Q48" s="215"/>
    </row>
    <row r="49" spans="1:17" ht="12.75" customHeight="1">
      <c r="A49" s="267"/>
      <c r="B49" s="78"/>
      <c r="C49" s="79"/>
      <c r="D49" s="80"/>
      <c r="E49" s="275" t="s">
        <v>23</v>
      </c>
      <c r="F49" s="277"/>
      <c r="G49" s="28"/>
      <c r="H49" s="31"/>
      <c r="I49" s="28"/>
      <c r="J49" s="31"/>
      <c r="K49" s="39"/>
      <c r="L49" s="37"/>
      <c r="M49" s="208"/>
      <c r="N49" s="214"/>
      <c r="O49" s="214"/>
      <c r="P49" s="214"/>
      <c r="Q49" s="215"/>
    </row>
    <row r="50" spans="1:17" ht="12.75" customHeight="1" thickBot="1">
      <c r="A50" s="268"/>
      <c r="B50" s="249" t="s">
        <v>44</v>
      </c>
      <c r="C50" s="250"/>
      <c r="D50" s="250"/>
      <c r="E50" s="250"/>
      <c r="F50" s="251"/>
      <c r="G50" s="54"/>
      <c r="H50" s="55"/>
      <c r="I50" s="54"/>
      <c r="J50" s="55"/>
      <c r="K50" s="56"/>
      <c r="L50" s="61"/>
      <c r="M50" s="211"/>
      <c r="N50" s="212"/>
      <c r="O50" s="212"/>
      <c r="P50" s="212"/>
      <c r="Q50" s="213"/>
    </row>
  </sheetData>
  <mergeCells count="96">
    <mergeCell ref="B33:F33"/>
    <mergeCell ref="B34:F34"/>
    <mergeCell ref="M22:Q22"/>
    <mergeCell ref="M23:Q23"/>
    <mergeCell ref="A41:A50"/>
    <mergeCell ref="B41:F41"/>
    <mergeCell ref="B42:F42"/>
    <mergeCell ref="B43:F43"/>
    <mergeCell ref="B44:F44"/>
    <mergeCell ref="B45:F45"/>
    <mergeCell ref="B46:F46"/>
    <mergeCell ref="E47:F47"/>
    <mergeCell ref="B48:F48"/>
    <mergeCell ref="E49:F49"/>
    <mergeCell ref="C27:F27"/>
    <mergeCell ref="M35:Q35"/>
    <mergeCell ref="E18:F18"/>
    <mergeCell ref="C21:F21"/>
    <mergeCell ref="C19:F19"/>
    <mergeCell ref="B50:F50"/>
    <mergeCell ref="B36:F36"/>
    <mergeCell ref="E37:F37"/>
    <mergeCell ref="A38:F38"/>
    <mergeCell ref="A39:F39"/>
    <mergeCell ref="B35:F35"/>
    <mergeCell ref="B28:F28"/>
    <mergeCell ref="B29:F29"/>
    <mergeCell ref="B30:F30"/>
    <mergeCell ref="B31:F31"/>
    <mergeCell ref="E20:F20"/>
    <mergeCell ref="B32:F32"/>
    <mergeCell ref="E26:F26"/>
    <mergeCell ref="M4:Q5"/>
    <mergeCell ref="C12:F12"/>
    <mergeCell ref="M6:Q6"/>
    <mergeCell ref="M7:Q7"/>
    <mergeCell ref="M8:Q8"/>
    <mergeCell ref="M9:Q9"/>
    <mergeCell ref="B6:F6"/>
    <mergeCell ref="B7:B22"/>
    <mergeCell ref="C7:F7"/>
    <mergeCell ref="E22:F22"/>
    <mergeCell ref="A4:F5"/>
    <mergeCell ref="M20:Q20"/>
    <mergeCell ref="M10:Q10"/>
    <mergeCell ref="M11:Q11"/>
    <mergeCell ref="M12:Q12"/>
    <mergeCell ref="M13:Q13"/>
    <mergeCell ref="M14:Q14"/>
    <mergeCell ref="A40:F40"/>
    <mergeCell ref="C8:F8"/>
    <mergeCell ref="C9:F9"/>
    <mergeCell ref="C10:F10"/>
    <mergeCell ref="C11:F11"/>
    <mergeCell ref="C13:F13"/>
    <mergeCell ref="C14:F14"/>
    <mergeCell ref="C15:F15"/>
    <mergeCell ref="E16:F16"/>
    <mergeCell ref="C17:F17"/>
    <mergeCell ref="A6:A37"/>
    <mergeCell ref="B23:F23"/>
    <mergeCell ref="B24:B27"/>
    <mergeCell ref="E24:F24"/>
    <mergeCell ref="C25:F25"/>
    <mergeCell ref="M15:Q15"/>
    <mergeCell ref="M16:Q16"/>
    <mergeCell ref="M17:Q17"/>
    <mergeCell ref="M18:Q18"/>
    <mergeCell ref="M21:Q21"/>
    <mergeCell ref="M19:Q19"/>
    <mergeCell ref="M24:Q24"/>
    <mergeCell ref="M25:Q25"/>
    <mergeCell ref="M26:Q26"/>
    <mergeCell ref="M27:Q27"/>
    <mergeCell ref="M28:Q28"/>
    <mergeCell ref="M29:Q29"/>
    <mergeCell ref="M30:Q30"/>
    <mergeCell ref="M31:Q31"/>
    <mergeCell ref="M32:Q32"/>
    <mergeCell ref="M33:Q33"/>
    <mergeCell ref="M34:Q34"/>
    <mergeCell ref="M50:Q50"/>
    <mergeCell ref="M42:Q42"/>
    <mergeCell ref="M43:Q43"/>
    <mergeCell ref="M44:Q44"/>
    <mergeCell ref="M45:Q45"/>
    <mergeCell ref="M46:Q46"/>
    <mergeCell ref="M47:Q47"/>
    <mergeCell ref="M48:Q48"/>
    <mergeCell ref="M49:Q49"/>
    <mergeCell ref="M41:Q41"/>
    <mergeCell ref="M36:Q36"/>
    <mergeCell ref="M37:Q37"/>
    <mergeCell ref="M38:Q38"/>
    <mergeCell ref="M39:Q39"/>
    <mergeCell ref="M40:Q40"/>
  </mergeCells>
  <phoneticPr fontId="1"/>
  <printOptions horizontalCentered="1"/>
  <pageMargins left="0.70866141732283472" right="0.70866141732283472" top="0.70866141732283472" bottom="0.27559055118110237" header="0.35433070866141736" footer="0"/>
  <pageSetup paperSize="9" scale="80" firstPageNumber="36" orientation="landscape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農産物_麦・大豆・そば・なたね・畑作物_個別</vt:lpstr>
      <vt:lpstr>リスト</vt:lpstr>
      <vt:lpstr>元</vt:lpstr>
      <vt:lpstr>元!Print_Area</vt:lpstr>
      <vt:lpstr>農産物_麦・大豆・そば・なたね・畑作物_個別!Print_Area</vt:lpstr>
    </vt:vector>
  </TitlesOfParts>
  <Company>農林水産省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農林水産省</dc:creator>
  <cp:lastModifiedBy>　</cp:lastModifiedBy>
  <cp:lastPrinted>2019-11-18T06:28:51Z</cp:lastPrinted>
  <dcterms:created xsi:type="dcterms:W3CDTF">2003-10-30T09:49:36Z</dcterms:created>
  <dcterms:modified xsi:type="dcterms:W3CDTF">2023-03-23T02:12:31Z</dcterms:modified>
</cp:coreProperties>
</file>