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ando\Box\入札プロジェクト\01_農林水産省\【BRA】農業経営統計調査集計プログラム(2022)\09_基本設計書\フェーズ2\01_差分\BRA-003_03-02_帳票仕様書\帳票イメージ\07_集計結果検討表（報告用）\レイアウト\"/>
    </mc:Choice>
  </mc:AlternateContent>
  <xr:revisionPtr revIDLastSave="0" documentId="13_ncr:1_{0C08119C-5B7E-405E-A074-A12AA00017AA}" xr6:coauthVersionLast="47" xr6:coauthVersionMax="47" xr10:uidLastSave="{00000000-0000-0000-0000-000000000000}"/>
  <bookViews>
    <workbookView xWindow="-120" yWindow="-120" windowWidth="25440" windowHeight="15390" tabRatio="771" xr2:uid="{00000000-000D-0000-FFFF-FFFF00000000}"/>
  </bookViews>
  <sheets>
    <sheet name="牛乳" sheetId="19" r:id="rId1"/>
    <sheet name="リスト" sheetId="20" state="hidden" r:id="rId2"/>
  </sheets>
  <definedNames>
    <definedName name="_xlnm.Print_Area" localSheetId="0">牛乳!$A$1:$S$45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</workbook>
</file>

<file path=xl/calcChain.xml><?xml version="1.0" encoding="utf-8"?>
<calcChain xmlns="http://schemas.openxmlformats.org/spreadsheetml/2006/main">
  <c r="K25" i="19" l="1"/>
  <c r="K24" i="19"/>
  <c r="K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M45" i="19"/>
  <c r="M43" i="19"/>
  <c r="M42" i="19"/>
  <c r="M41" i="19"/>
  <c r="M40" i="19"/>
  <c r="M39" i="19"/>
  <c r="M38" i="19"/>
  <c r="M37" i="19"/>
  <c r="M36" i="19"/>
  <c r="M35" i="19"/>
  <c r="M34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M6" i="19"/>
  <c r="L45" i="19" l="1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B74" i="20"/>
  <c r="R2" i="19"/>
  <c r="J4" i="19"/>
  <c r="H4" i="19"/>
</calcChain>
</file>

<file path=xl/sharedStrings.xml><?xml version="1.0" encoding="utf-8"?>
<sst xmlns="http://schemas.openxmlformats.org/spreadsheetml/2006/main" count="166" uniqueCount="133">
  <si>
    <t>光熱動力費</t>
    <rPh sb="0" eb="2">
      <t>コウネツ</t>
    </rPh>
    <rPh sb="2" eb="5">
      <t>ドウリョクヒ</t>
    </rPh>
    <phoneticPr fontId="1"/>
  </si>
  <si>
    <t>賃借料及び料金</t>
    <rPh sb="0" eb="3">
      <t>チンシャクリョウ</t>
    </rPh>
    <rPh sb="3" eb="4">
      <t>オヨ</t>
    </rPh>
    <rPh sb="5" eb="7">
      <t>リョウキン</t>
    </rPh>
    <phoneticPr fontId="1"/>
  </si>
  <si>
    <t>建物費</t>
    <rPh sb="0" eb="2">
      <t>タテモノ</t>
    </rPh>
    <rPh sb="2" eb="3">
      <t>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</si>
  <si>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</si>
  <si>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</si>
  <si>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生産管理費</t>
    <rPh sb="0" eb="2">
      <t>セイサン</t>
    </rPh>
    <rPh sb="2" eb="5">
      <t>カンリヒ</t>
    </rPh>
    <phoneticPr fontId="1"/>
  </si>
  <si>
    <t>労働費</t>
    <rPh sb="0" eb="3">
      <t>ロウドウヒ</t>
    </rPh>
    <phoneticPr fontId="1"/>
  </si>
  <si>
    <t>費用合計</t>
    <rPh sb="0" eb="2">
      <t>ヒヨウ</t>
    </rPh>
    <rPh sb="2" eb="4">
      <t>ゴウケイ</t>
    </rPh>
    <phoneticPr fontId="1"/>
  </si>
  <si>
    <t>副産物価額</t>
    <rPh sb="0" eb="3">
      <t>フクサンブツ</t>
    </rPh>
    <rPh sb="3" eb="5">
      <t>カガク</t>
    </rPh>
    <phoneticPr fontId="1"/>
  </si>
  <si>
    <t>生産費</t>
    <rPh sb="0" eb="3">
      <t>セイサンヒ</t>
    </rPh>
    <phoneticPr fontId="1"/>
  </si>
  <si>
    <t>支払利子</t>
    <rPh sb="0" eb="2">
      <t>シハライ</t>
    </rPh>
    <rPh sb="2" eb="4">
      <t>リシ</t>
    </rPh>
    <phoneticPr fontId="1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</si>
  <si>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"/>
  </si>
  <si>
    <t>自己資本利子</t>
    <rPh sb="0" eb="2">
      <t>ジコ</t>
    </rPh>
    <rPh sb="2" eb="4">
      <t>シホン</t>
    </rPh>
    <rPh sb="4" eb="6">
      <t>リシ</t>
    </rPh>
    <phoneticPr fontId="1"/>
  </si>
  <si>
    <t>自作地地代</t>
    <rPh sb="0" eb="3">
      <t>ジサクチ</t>
    </rPh>
    <rPh sb="3" eb="5">
      <t>チダイ</t>
    </rPh>
    <phoneticPr fontId="1"/>
  </si>
  <si>
    <t>全算入生産費</t>
    <rPh sb="0" eb="1">
      <t>ゼン</t>
    </rPh>
    <rPh sb="1" eb="3">
      <t>サンニュウ</t>
    </rPh>
    <rPh sb="3" eb="6">
      <t>セイサンヒ</t>
    </rPh>
    <phoneticPr fontId="1"/>
  </si>
  <si>
    <t>労働時間</t>
    <rPh sb="0" eb="2">
      <t>ロウドウ</t>
    </rPh>
    <rPh sb="2" eb="4">
      <t>ジカン</t>
    </rPh>
    <phoneticPr fontId="1"/>
  </si>
  <si>
    <t>粗収益</t>
    <rPh sb="0" eb="3">
      <t>ソシュウエキ</t>
    </rPh>
    <phoneticPr fontId="1"/>
  </si>
  <si>
    <t>所得</t>
    <rPh sb="0" eb="2">
      <t>ショトク</t>
    </rPh>
    <phoneticPr fontId="1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</si>
  <si>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1"/>
  </si>
  <si>
    <t>種付料</t>
    <rPh sb="0" eb="2">
      <t>タネツ</t>
    </rPh>
    <rPh sb="2" eb="3">
      <t>リョウ</t>
    </rPh>
    <phoneticPr fontId="1"/>
  </si>
  <si>
    <t>敷料費</t>
    <rPh sb="0" eb="1">
      <t>シ</t>
    </rPh>
    <rPh sb="1" eb="2">
      <t>リョウ</t>
    </rPh>
    <rPh sb="2" eb="3">
      <t>ヒ</t>
    </rPh>
    <phoneticPr fontId="1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</si>
  <si>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1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</si>
  <si>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1"/>
  </si>
  <si>
    <t>乳牛償却費</t>
    <rPh sb="0" eb="2">
      <t>ニュウギュウ</t>
    </rPh>
    <rPh sb="2" eb="5">
      <t>ショウキャクヒ</t>
    </rPh>
    <phoneticPr fontId="1"/>
  </si>
  <si>
    <t>支払地代</t>
    <rPh sb="0" eb="2">
      <t>シハラ</t>
    </rPh>
    <rPh sb="2" eb="4">
      <t>チダイ</t>
    </rPh>
    <phoneticPr fontId="1"/>
  </si>
  <si>
    <t>搾乳量</t>
    <rPh sb="0" eb="3">
      <t>サクニュウリョウ</t>
    </rPh>
    <phoneticPr fontId="1"/>
  </si>
  <si>
    <t>搾乳牛通年換算頭数</t>
    <rPh sb="0" eb="1">
      <t>サク</t>
    </rPh>
    <rPh sb="1" eb="3">
      <t>ニュウギュウ</t>
    </rPh>
    <rPh sb="3" eb="5">
      <t>ツウネン</t>
    </rPh>
    <rPh sb="5" eb="7">
      <t>カンザン</t>
    </rPh>
    <rPh sb="7" eb="9">
      <t>トウスウ</t>
    </rPh>
    <phoneticPr fontId="1"/>
  </si>
  <si>
    <t>主産物価額</t>
    <rPh sb="0" eb="3">
      <t>シュサンブツ</t>
    </rPh>
    <rPh sb="3" eb="5">
      <t>カガク</t>
    </rPh>
    <phoneticPr fontId="1"/>
  </si>
  <si>
    <t>生産費区分</t>
    <rPh sb="0" eb="3">
      <t>セイサンヒ</t>
    </rPh>
    <rPh sb="3" eb="5">
      <t>クブン</t>
    </rPh>
    <phoneticPr fontId="1"/>
  </si>
  <si>
    <t>その他諸材料費</t>
    <rPh sb="2" eb="3">
      <t>タ</t>
    </rPh>
    <rPh sb="3" eb="7">
      <t>ショザイリョウヒ</t>
    </rPh>
    <phoneticPr fontId="1"/>
  </si>
  <si>
    <t>物財費</t>
    <rPh sb="0" eb="1">
      <t>ブツ</t>
    </rPh>
    <rPh sb="1" eb="2">
      <t>ザイ</t>
    </rPh>
    <rPh sb="2" eb="3">
      <t>ヒ</t>
    </rPh>
    <phoneticPr fontId="1"/>
  </si>
  <si>
    <t>（１経営体当たり）</t>
    <rPh sb="2" eb="5">
      <t>ケイエイタイ</t>
    </rPh>
    <rPh sb="5" eb="6">
      <t>ア</t>
    </rPh>
    <phoneticPr fontId="1"/>
  </si>
  <si>
    <t>地方農政局等</t>
    <rPh sb="0" eb="2">
      <t>チホウ</t>
    </rPh>
    <rPh sb="2" eb="5">
      <t>ノウセイキョク</t>
    </rPh>
    <rPh sb="5" eb="6">
      <t>トウ</t>
    </rPh>
    <phoneticPr fontId="1"/>
  </si>
  <si>
    <t>うち家族労働費</t>
    <rPh sb="2" eb="4">
      <t>カゾク</t>
    </rPh>
    <rPh sb="4" eb="7">
      <t>ロウドウヒ</t>
    </rPh>
    <phoneticPr fontId="1"/>
  </si>
  <si>
    <t>うち家族労働時間</t>
    <rPh sb="2" eb="4">
      <t>カゾク</t>
    </rPh>
    <rPh sb="4" eb="6">
      <t>ロウドウ</t>
    </rPh>
    <rPh sb="6" eb="8">
      <t>ジカン</t>
    </rPh>
    <phoneticPr fontId="1"/>
  </si>
  <si>
    <t>うち直接労働時間</t>
    <rPh sb="2" eb="4">
      <t>チョクセツ</t>
    </rPh>
    <rPh sb="4" eb="6">
      <t>ロウドウ</t>
    </rPh>
    <rPh sb="6" eb="8">
      <t>ジカン</t>
    </rPh>
    <phoneticPr fontId="1"/>
  </si>
  <si>
    <t>構成比</t>
    <rPh sb="0" eb="3">
      <t>コウセイヒ</t>
    </rPh>
    <phoneticPr fontId="1"/>
  </si>
  <si>
    <t>増減率</t>
    <rPh sb="0" eb="2">
      <t>ゾウゲン</t>
    </rPh>
    <rPh sb="2" eb="3">
      <t>リツ</t>
    </rPh>
    <phoneticPr fontId="1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</si>
  <si>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1"/>
  </si>
  <si>
    <t>　</t>
    <phoneticPr fontId="1"/>
  </si>
  <si>
    <t>区　　　　分</t>
    <rPh sb="0" eb="1">
      <t>ク</t>
    </rPh>
    <rPh sb="5" eb="6">
      <t>ブン</t>
    </rPh>
    <phoneticPr fontId="1"/>
  </si>
  <si>
    <t>単位</t>
    <rPh sb="0" eb="2">
      <t>タンイ</t>
    </rPh>
    <phoneticPr fontId="1"/>
  </si>
  <si>
    <t>増減</t>
    <rPh sb="0" eb="2">
      <t>ゾウゲン</t>
    </rPh>
    <phoneticPr fontId="1"/>
  </si>
  <si>
    <t>（％）</t>
    <phoneticPr fontId="1"/>
  </si>
  <si>
    <t>円</t>
    <rPh sb="0" eb="1">
      <t>エン</t>
    </rPh>
    <phoneticPr fontId="1"/>
  </si>
  <si>
    <t>〃</t>
  </si>
  <si>
    <t>時間</t>
    <rPh sb="0" eb="2">
      <t>ジカン</t>
    </rPh>
    <phoneticPr fontId="1"/>
  </si>
  <si>
    <t>〃</t>
    <phoneticPr fontId="1"/>
  </si>
  <si>
    <t>〃</t>
    <phoneticPr fontId="1"/>
  </si>
  <si>
    <t>kg</t>
    <phoneticPr fontId="1"/>
  </si>
  <si>
    <t>〃</t>
    <phoneticPr fontId="1"/>
  </si>
  <si>
    <t>〃</t>
    <phoneticPr fontId="1"/>
  </si>
  <si>
    <t>頭</t>
    <rPh sb="0" eb="1">
      <t>トウ</t>
    </rPh>
    <phoneticPr fontId="1"/>
  </si>
  <si>
    <t>飼料費</t>
    <rPh sb="0" eb="2">
      <t>シリョウ</t>
    </rPh>
    <rPh sb="2" eb="3">
      <t>ヒ</t>
    </rPh>
    <phoneticPr fontId="1"/>
  </si>
  <si>
    <t>流通飼料費</t>
    <rPh sb="0" eb="2">
      <t>リュウツウ</t>
    </rPh>
    <rPh sb="2" eb="5">
      <t>シリョウヒ</t>
    </rPh>
    <phoneticPr fontId="1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</si>
  <si>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1"/>
  </si>
  <si>
    <t>生乳100kg当たり</t>
    <rPh sb="0" eb="2">
      <t>セイニュウ</t>
    </rPh>
    <rPh sb="7" eb="8">
      <t>ア</t>
    </rPh>
    <phoneticPr fontId="1"/>
  </si>
  <si>
    <t>3.5％換算乳量</t>
    <rPh sb="4" eb="6">
      <t>カンサン</t>
    </rPh>
    <rPh sb="6" eb="8">
      <t>ニュウリョウ</t>
    </rPh>
    <phoneticPr fontId="1"/>
  </si>
  <si>
    <t>集計経営体数</t>
    <rPh sb="0" eb="2">
      <t>シュウケイ</t>
    </rPh>
    <rPh sb="2" eb="6">
      <t>ケイエイタイスウ</t>
    </rPh>
    <phoneticPr fontId="1"/>
  </si>
  <si>
    <t>経営体</t>
    <rPh sb="0" eb="3">
      <t>ケイエイタイ</t>
    </rPh>
    <phoneticPr fontId="1"/>
  </si>
  <si>
    <t>年　牛乳生産費統計　集計結果検討表（報告用）　</t>
    <phoneticPr fontId="1"/>
  </si>
  <si>
    <t>都道府県等</t>
    <rPh sb="4" eb="5">
      <t>ナド</t>
    </rPh>
    <phoneticPr fontId="34"/>
  </si>
  <si>
    <t>コード</t>
    <phoneticPr fontId="35"/>
  </si>
  <si>
    <t>全国</t>
    <rPh sb="0" eb="2">
      <t>ゼンコク</t>
    </rPh>
    <phoneticPr fontId="35"/>
  </si>
  <si>
    <t>都府県平均</t>
    <rPh sb="0" eb="3">
      <t>トフケン</t>
    </rPh>
    <rPh sb="3" eb="5">
      <t>ヘイキン</t>
    </rPh>
    <phoneticPr fontId="35"/>
  </si>
  <si>
    <t>北海道</t>
    <rPh sb="0" eb="3">
      <t>ホッカイドウ</t>
    </rPh>
    <phoneticPr fontId="35"/>
  </si>
  <si>
    <t>東北</t>
    <rPh sb="0" eb="2">
      <t>トウホク</t>
    </rPh>
    <phoneticPr fontId="35"/>
  </si>
  <si>
    <t>北陸</t>
    <rPh sb="0" eb="2">
      <t>ホクリク</t>
    </rPh>
    <phoneticPr fontId="35"/>
  </si>
  <si>
    <t>関東・東山</t>
    <rPh sb="0" eb="2">
      <t>カントウ</t>
    </rPh>
    <rPh sb="3" eb="5">
      <t>ヒガシヤマ</t>
    </rPh>
    <phoneticPr fontId="35"/>
  </si>
  <si>
    <t>東海</t>
    <rPh sb="0" eb="2">
      <t>トウカイ</t>
    </rPh>
    <phoneticPr fontId="35"/>
  </si>
  <si>
    <t>近畿</t>
    <rPh sb="0" eb="2">
      <t>キンキ</t>
    </rPh>
    <phoneticPr fontId="35"/>
  </si>
  <si>
    <t>中国</t>
    <rPh sb="0" eb="2">
      <t>チュウゴク</t>
    </rPh>
    <phoneticPr fontId="35"/>
  </si>
  <si>
    <t>四国</t>
    <rPh sb="0" eb="2">
      <t>シコク</t>
    </rPh>
    <phoneticPr fontId="35"/>
  </si>
  <si>
    <t>九州</t>
    <rPh sb="0" eb="2">
      <t>キュウシュウ</t>
    </rPh>
    <phoneticPr fontId="35"/>
  </si>
  <si>
    <t>沖縄</t>
    <rPh sb="0" eb="2">
      <t>オキナワ</t>
    </rPh>
    <phoneticPr fontId="35"/>
  </si>
  <si>
    <t>北関東</t>
    <rPh sb="0" eb="1">
      <t>キタ</t>
    </rPh>
    <rPh sb="1" eb="3">
      <t>カントウ</t>
    </rPh>
    <phoneticPr fontId="35"/>
  </si>
  <si>
    <t>南関東</t>
    <rPh sb="0" eb="1">
      <t>ミナミ</t>
    </rPh>
    <rPh sb="1" eb="3">
      <t>カントウ</t>
    </rPh>
    <phoneticPr fontId="35"/>
  </si>
  <si>
    <t>東山</t>
    <rPh sb="0" eb="2">
      <t>ヒガシヤマ</t>
    </rPh>
    <phoneticPr fontId="35"/>
  </si>
  <si>
    <t>北東北</t>
    <rPh sb="0" eb="1">
      <t>キタ</t>
    </rPh>
    <rPh sb="1" eb="3">
      <t>トウホク</t>
    </rPh>
    <phoneticPr fontId="35"/>
  </si>
  <si>
    <t>南東北</t>
    <rPh sb="0" eb="1">
      <t>ミナミ</t>
    </rPh>
    <rPh sb="1" eb="3">
      <t>トウホク</t>
    </rPh>
    <phoneticPr fontId="35"/>
  </si>
  <si>
    <t>山陰</t>
    <rPh sb="0" eb="2">
      <t>サンイン</t>
    </rPh>
    <phoneticPr fontId="35"/>
  </si>
  <si>
    <t>山陽</t>
    <rPh sb="0" eb="2">
      <t>サンヨウ</t>
    </rPh>
    <phoneticPr fontId="35"/>
  </si>
  <si>
    <t>北九州</t>
    <rPh sb="0" eb="3">
      <t>キタキュウシュウ</t>
    </rPh>
    <phoneticPr fontId="35"/>
  </si>
  <si>
    <t>南九州</t>
    <rPh sb="0" eb="1">
      <t>ミナミ</t>
    </rPh>
    <rPh sb="1" eb="3">
      <t>キュウシュウ</t>
    </rPh>
    <phoneticPr fontId="35"/>
  </si>
  <si>
    <t>関東農政局</t>
    <rPh sb="0" eb="2">
      <t>カントウ</t>
    </rPh>
    <rPh sb="2" eb="5">
      <t>ノウセイキョク</t>
    </rPh>
    <phoneticPr fontId="35"/>
  </si>
  <si>
    <t>東海農政局</t>
    <rPh sb="0" eb="2">
      <t>トウカイ</t>
    </rPh>
    <rPh sb="2" eb="5">
      <t>ノウセイキョク</t>
    </rPh>
    <phoneticPr fontId="35"/>
  </si>
  <si>
    <t>中国四国局</t>
    <rPh sb="0" eb="2">
      <t>チュウゴク</t>
    </rPh>
    <rPh sb="2" eb="4">
      <t>シコク</t>
    </rPh>
    <rPh sb="4" eb="5">
      <t>キョク</t>
    </rPh>
    <phoneticPr fontId="35"/>
  </si>
  <si>
    <t>青森</t>
    <rPh sb="0" eb="2">
      <t>アオモリ</t>
    </rPh>
    <phoneticPr fontId="35"/>
  </si>
  <si>
    <t>岩手</t>
    <rPh sb="0" eb="2">
      <t>イワテ</t>
    </rPh>
    <phoneticPr fontId="35"/>
  </si>
  <si>
    <t>宮城</t>
    <rPh sb="0" eb="2">
      <t>ミヤギ</t>
    </rPh>
    <phoneticPr fontId="35"/>
  </si>
  <si>
    <t>秋田</t>
    <rPh sb="0" eb="2">
      <t>アキタ</t>
    </rPh>
    <phoneticPr fontId="35"/>
  </si>
  <si>
    <t>山形</t>
    <rPh sb="0" eb="2">
      <t>ヤマガタ</t>
    </rPh>
    <phoneticPr fontId="35"/>
  </si>
  <si>
    <t>福島</t>
    <rPh sb="0" eb="2">
      <t>フクシマ</t>
    </rPh>
    <phoneticPr fontId="35"/>
  </si>
  <si>
    <t>茨城</t>
    <rPh sb="0" eb="2">
      <t>イバラキ</t>
    </rPh>
    <phoneticPr fontId="35"/>
  </si>
  <si>
    <t>栃木</t>
    <rPh sb="0" eb="2">
      <t>トチギ</t>
    </rPh>
    <phoneticPr fontId="35"/>
  </si>
  <si>
    <t>群馬</t>
    <rPh sb="0" eb="2">
      <t>グンマ</t>
    </rPh>
    <phoneticPr fontId="35"/>
  </si>
  <si>
    <t>埼玉</t>
    <rPh sb="0" eb="2">
      <t>サイタマ</t>
    </rPh>
    <phoneticPr fontId="35"/>
  </si>
  <si>
    <t>千葉</t>
    <rPh sb="0" eb="2">
      <t>チバ</t>
    </rPh>
    <phoneticPr fontId="35"/>
  </si>
  <si>
    <t>東京</t>
    <rPh sb="0" eb="2">
      <t>トウキョウ</t>
    </rPh>
    <phoneticPr fontId="35"/>
  </si>
  <si>
    <t>神奈川</t>
    <rPh sb="0" eb="3">
      <t>カナガワ</t>
    </rPh>
    <phoneticPr fontId="35"/>
  </si>
  <si>
    <t>新潟</t>
    <rPh sb="0" eb="2">
      <t>ニイガタ</t>
    </rPh>
    <phoneticPr fontId="35"/>
  </si>
  <si>
    <t>富山</t>
    <rPh sb="0" eb="2">
      <t>トヤマ</t>
    </rPh>
    <phoneticPr fontId="35"/>
  </si>
  <si>
    <t>石川</t>
    <rPh sb="0" eb="2">
      <t>イシカワ</t>
    </rPh>
    <phoneticPr fontId="35"/>
  </si>
  <si>
    <t>福井</t>
    <rPh sb="0" eb="2">
      <t>フクイ</t>
    </rPh>
    <phoneticPr fontId="35"/>
  </si>
  <si>
    <t>山梨</t>
    <rPh sb="0" eb="2">
      <t>ヤマナシ</t>
    </rPh>
    <phoneticPr fontId="35"/>
  </si>
  <si>
    <t>長野</t>
    <rPh sb="0" eb="2">
      <t>ナガノ</t>
    </rPh>
    <phoneticPr fontId="35"/>
  </si>
  <si>
    <t>岐阜</t>
    <rPh sb="0" eb="2">
      <t>ギフ</t>
    </rPh>
    <phoneticPr fontId="35"/>
  </si>
  <si>
    <t>静岡</t>
    <rPh sb="0" eb="2">
      <t>シズオカ</t>
    </rPh>
    <phoneticPr fontId="35"/>
  </si>
  <si>
    <t>愛知</t>
    <rPh sb="0" eb="2">
      <t>アイチ</t>
    </rPh>
    <phoneticPr fontId="35"/>
  </si>
  <si>
    <t>三重</t>
    <rPh sb="0" eb="2">
      <t>ミエ</t>
    </rPh>
    <phoneticPr fontId="35"/>
  </si>
  <si>
    <t>滋賀</t>
    <rPh sb="0" eb="2">
      <t>シガ</t>
    </rPh>
    <phoneticPr fontId="35"/>
  </si>
  <si>
    <t>京都</t>
    <rPh sb="0" eb="2">
      <t>キョウト</t>
    </rPh>
    <phoneticPr fontId="35"/>
  </si>
  <si>
    <t>大阪</t>
    <rPh sb="0" eb="2">
      <t>オオサカ</t>
    </rPh>
    <phoneticPr fontId="35"/>
  </si>
  <si>
    <t>兵庫</t>
    <rPh sb="0" eb="2">
      <t>ヒョウゴ</t>
    </rPh>
    <phoneticPr fontId="35"/>
  </si>
  <si>
    <t>奈良</t>
    <rPh sb="0" eb="2">
      <t>ナラ</t>
    </rPh>
    <phoneticPr fontId="35"/>
  </si>
  <si>
    <t>和歌山</t>
    <rPh sb="0" eb="3">
      <t>ワカヤマ</t>
    </rPh>
    <phoneticPr fontId="35"/>
  </si>
  <si>
    <t>鳥取</t>
    <rPh sb="0" eb="2">
      <t>トットリ</t>
    </rPh>
    <phoneticPr fontId="35"/>
  </si>
  <si>
    <t>島根</t>
    <rPh sb="0" eb="2">
      <t>シマネ</t>
    </rPh>
    <phoneticPr fontId="35"/>
  </si>
  <si>
    <t>岡山</t>
    <rPh sb="0" eb="2">
      <t>オカヤマ</t>
    </rPh>
    <phoneticPr fontId="35"/>
  </si>
  <si>
    <t>広島</t>
    <rPh sb="0" eb="2">
      <t>ヒロシマ</t>
    </rPh>
    <phoneticPr fontId="35"/>
  </si>
  <si>
    <t>山口</t>
    <rPh sb="0" eb="2">
      <t>ヤマグチ</t>
    </rPh>
    <phoneticPr fontId="35"/>
  </si>
  <si>
    <t>徳島</t>
    <rPh sb="0" eb="2">
      <t>トクシマ</t>
    </rPh>
    <phoneticPr fontId="35"/>
  </si>
  <si>
    <t>香川</t>
    <rPh sb="0" eb="2">
      <t>カガワ</t>
    </rPh>
    <phoneticPr fontId="35"/>
  </si>
  <si>
    <t>愛媛</t>
    <rPh sb="0" eb="2">
      <t>エヒメ</t>
    </rPh>
    <phoneticPr fontId="35"/>
  </si>
  <si>
    <t>高知</t>
    <rPh sb="0" eb="2">
      <t>コウチ</t>
    </rPh>
    <phoneticPr fontId="35"/>
  </si>
  <si>
    <t>福岡</t>
    <rPh sb="0" eb="2">
      <t>フクオカ</t>
    </rPh>
    <phoneticPr fontId="35"/>
  </si>
  <si>
    <t>佐賀</t>
    <rPh sb="0" eb="2">
      <t>サガ</t>
    </rPh>
    <phoneticPr fontId="35"/>
  </si>
  <si>
    <t>長崎</t>
    <rPh sb="0" eb="2">
      <t>ナガサキ</t>
    </rPh>
    <phoneticPr fontId="35"/>
  </si>
  <si>
    <t>熊本</t>
    <rPh sb="0" eb="2">
      <t>クマモト</t>
    </rPh>
    <phoneticPr fontId="35"/>
  </si>
  <si>
    <t>大分</t>
    <rPh sb="0" eb="2">
      <t>オオイタ</t>
    </rPh>
    <phoneticPr fontId="35"/>
  </si>
  <si>
    <t>宮崎</t>
    <rPh sb="0" eb="2">
      <t>ミヤザキ</t>
    </rPh>
    <phoneticPr fontId="35"/>
  </si>
  <si>
    <t>鹿児島</t>
    <rPh sb="0" eb="3">
      <t>カゴシマ</t>
    </rPh>
    <phoneticPr fontId="35"/>
  </si>
  <si>
    <t>牛乳</t>
    <rPh sb="0" eb="2">
      <t>ギュウニュウ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</si>
</sst>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##\ ###\ ##0"/>
    <numFmt numFmtId="177" formatCode="###\ ###\ ##0.0"/>
    <numFmt numFmtId="178" formatCode="00"/>
    <numFmt numFmtId="179" formatCode="#0&quot;年&quot;"/>
    <numFmt numFmtId="180" formatCode="#,##0;\-#,##0;0"/>
    <numFmt numFmtId="181" formatCode="#,##0.0;\-#,##0.0;0.0"/>
  </numFmts>
  <fonts count="3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sz val="7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7"/>
      <color theme="1"/>
      <name val="ＭＳ Ｐゴシック"/>
      <family val="3"/>
      <charset val="128"/>
    </font>
    <font>
      <sz val="7"/>
      <color theme="1"/>
      <name val="ＭＳ ゴシック"/>
      <family val="3"/>
      <charset val="128"/>
    </font>
    <font>
      <sz val="5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10"/>
      <name val="ＭＳ 明朝"/>
      <family val="1"/>
      <charset val="128"/>
    </font>
    <font>
      <sz val="10.5"/>
      <name val="ＭＳ 明朝"/>
      <family val="1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</fills>
  <borders count="10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ck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 style="hair">
        <color indexed="64"/>
      </diagonal>
    </border>
  </borders>
  <cellStyleXfs count="50">
    <xf numFmtId="0" fontId="0" fillId="0" borderId="0"/>
    <xf numFmtId="0" fontId="10" fillId="0" borderId="0"/>
    <xf numFmtId="0" fontId="16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1" borderId="83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6" fillId="23" borderId="84" applyNumberFormat="0" applyFont="0" applyAlignment="0" applyProtection="0">
      <alignment vertical="center"/>
    </xf>
    <xf numFmtId="0" fontId="22" fillId="0" borderId="85" applyNumberFormat="0" applyFill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4" borderId="8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7" applyNumberFormat="0" applyFill="0" applyAlignment="0" applyProtection="0">
      <alignment vertical="center"/>
    </xf>
    <xf numFmtId="0" fontId="27" fillId="0" borderId="88" applyNumberFormat="0" applyFill="0" applyAlignment="0" applyProtection="0">
      <alignment vertical="center"/>
    </xf>
    <xf numFmtId="0" fontId="28" fillId="0" borderId="8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0" applyNumberFormat="0" applyFill="0" applyAlignment="0" applyProtection="0">
      <alignment vertical="center"/>
    </xf>
    <xf numFmtId="0" fontId="30" fillId="24" borderId="91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86" applyNumberFormat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16" fillId="0" borderId="0"/>
    <xf numFmtId="0" fontId="16" fillId="0" borderId="0"/>
    <xf numFmtId="38" fontId="16" fillId="0" borderId="0" applyFont="0" applyFill="0" applyBorder="0" applyAlignment="0" applyProtection="0">
      <alignment vertical="center"/>
    </xf>
    <xf numFmtId="0" fontId="36" fillId="0" borderId="0"/>
    <xf numFmtId="0" fontId="16" fillId="0" borderId="0"/>
    <xf numFmtId="0" fontId="37" fillId="0" borderId="0"/>
  </cellStyleXfs>
  <cellXfs count="17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176" fontId="7" fillId="2" borderId="26" xfId="0" applyNumberFormat="1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distributed" vertical="distributed" textRotation="255"/>
    </xf>
    <xf numFmtId="0" fontId="7" fillId="2" borderId="1" xfId="0" applyFont="1" applyFill="1" applyBorder="1" applyAlignment="1">
      <alignment horizontal="distributed" vertical="distributed" textRotation="255"/>
    </xf>
    <xf numFmtId="0" fontId="7" fillId="2" borderId="3" xfId="0" applyFont="1" applyFill="1" applyBorder="1" applyAlignment="1">
      <alignment horizontal="distributed" vertical="distributed" textRotation="255"/>
    </xf>
    <xf numFmtId="0" fontId="7" fillId="2" borderId="51" xfId="0" applyFont="1" applyFill="1" applyBorder="1" applyAlignment="1">
      <alignment horizontal="center" vertical="center" shrinkToFit="1"/>
    </xf>
    <xf numFmtId="176" fontId="7" fillId="2" borderId="52" xfId="0" applyNumberFormat="1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horizontal="distributed" wrapText="1"/>
    </xf>
    <xf numFmtId="0" fontId="6" fillId="2" borderId="76" xfId="0" applyFont="1" applyFill="1" applyBorder="1" applyAlignment="1">
      <alignment horizontal="center" vertical="center" wrapText="1"/>
    </xf>
    <xf numFmtId="0" fontId="6" fillId="2" borderId="77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6" fillId="2" borderId="77" xfId="0" applyFont="1" applyFill="1" applyBorder="1" applyAlignment="1">
      <alignment horizontal="center" vertical="center"/>
    </xf>
    <xf numFmtId="0" fontId="6" fillId="2" borderId="79" xfId="0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 wrapText="1"/>
    </xf>
    <xf numFmtId="0" fontId="6" fillId="2" borderId="81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distributed"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7" fillId="0" borderId="44" xfId="0" applyFont="1" applyBorder="1" applyAlignment="1">
      <alignment vertical="center"/>
    </xf>
    <xf numFmtId="0" fontId="7" fillId="0" borderId="6" xfId="0" applyFont="1" applyBorder="1" applyAlignment="1">
      <alignment vertical="center" shrinkToFit="1"/>
    </xf>
    <xf numFmtId="0" fontId="11" fillId="2" borderId="7" xfId="0" applyFont="1" applyFill="1" applyBorder="1" applyAlignment="1">
      <alignment vertical="center" wrapText="1"/>
    </xf>
    <xf numFmtId="0" fontId="13" fillId="2" borderId="77" xfId="0" applyFont="1" applyFill="1" applyBorder="1" applyAlignment="1">
      <alignment horizontal="distributed" vertical="center" wrapText="1"/>
    </xf>
    <xf numFmtId="0" fontId="14" fillId="2" borderId="7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5" fillId="2" borderId="77" xfId="0" applyFont="1" applyFill="1" applyBorder="1" applyAlignment="1">
      <alignment horizontal="center" vertical="center" wrapText="1"/>
    </xf>
    <xf numFmtId="0" fontId="4" fillId="25" borderId="0" xfId="1" applyFont="1" applyFill="1" applyAlignment="1">
      <alignment horizontal="center" vertical="center"/>
    </xf>
    <xf numFmtId="0" fontId="10" fillId="0" borderId="0" xfId="1"/>
    <xf numFmtId="0" fontId="4" fillId="0" borderId="0" xfId="47" applyFont="1"/>
    <xf numFmtId="0" fontId="4" fillId="25" borderId="0" xfId="47" applyFont="1" applyFill="1" applyAlignment="1">
      <alignment horizontal="center" vertical="center"/>
    </xf>
    <xf numFmtId="0" fontId="4" fillId="25" borderId="0" xfId="47" applyFont="1" applyFill="1"/>
    <xf numFmtId="178" fontId="38" fillId="0" borderId="98" xfId="49" applyNumberFormat="1" applyFont="1" applyBorder="1" applyAlignment="1">
      <alignment horizontal="center" vertical="center" shrinkToFit="1"/>
    </xf>
    <xf numFmtId="178" fontId="38" fillId="0" borderId="101" xfId="49" applyNumberFormat="1" applyFont="1" applyBorder="1" applyAlignment="1">
      <alignment horizontal="center" vertical="center" shrinkToFit="1"/>
    </xf>
    <xf numFmtId="0" fontId="8" fillId="0" borderId="102" xfId="48" applyFont="1" applyBorder="1" applyAlignment="1">
      <alignment horizontal="center" vertical="center" wrapText="1"/>
    </xf>
    <xf numFmtId="178" fontId="7" fillId="0" borderId="95" xfId="48" applyNumberFormat="1" applyFont="1" applyBorder="1" applyAlignment="1">
      <alignment horizontal="center" vertical="center" wrapText="1"/>
    </xf>
    <xf numFmtId="180" fontId="7" fillId="0" borderId="70" xfId="0" applyNumberFormat="1" applyFont="1" applyBorder="1" applyAlignment="1">
      <alignment horizontal="right" vertical="center" shrinkToFit="1"/>
    </xf>
    <xf numFmtId="180" fontId="7" fillId="0" borderId="103" xfId="0" applyNumberFormat="1" applyFont="1" applyBorder="1" applyAlignment="1">
      <alignment horizontal="right" vertical="center" shrinkToFit="1"/>
    </xf>
    <xf numFmtId="180" fontId="7" fillId="0" borderId="64" xfId="0" applyNumberFormat="1" applyFont="1" applyBorder="1" applyAlignment="1">
      <alignment horizontal="right" vertical="center" shrinkToFit="1"/>
    </xf>
    <xf numFmtId="180" fontId="7" fillId="0" borderId="21" xfId="0" applyNumberFormat="1" applyFont="1" applyBorder="1" applyAlignment="1">
      <alignment horizontal="right" vertical="center" shrinkToFit="1"/>
    </xf>
    <xf numFmtId="180" fontId="7" fillId="0" borderId="10" xfId="0" applyNumberFormat="1" applyFont="1" applyBorder="1" applyAlignment="1">
      <alignment horizontal="left" vertical="center" shrinkToFit="1"/>
    </xf>
    <xf numFmtId="180" fontId="7" fillId="0" borderId="11" xfId="0" applyNumberFormat="1" applyFont="1" applyBorder="1" applyAlignment="1">
      <alignment horizontal="left" vertical="center" shrinkToFit="1"/>
    </xf>
    <xf numFmtId="180" fontId="7" fillId="0" borderId="12" xfId="0" applyNumberFormat="1" applyFont="1" applyBorder="1" applyAlignment="1">
      <alignment horizontal="left" vertical="center" shrinkToFit="1"/>
    </xf>
    <xf numFmtId="180" fontId="7" fillId="0" borderId="2" xfId="0" applyNumberFormat="1" applyFont="1" applyBorder="1" applyAlignment="1">
      <alignment horizontal="right" vertical="center" shrinkToFit="1"/>
    </xf>
    <xf numFmtId="180" fontId="7" fillId="0" borderId="63" xfId="0" applyNumberFormat="1" applyFont="1" applyBorder="1" applyAlignment="1">
      <alignment horizontal="right" vertical="center" shrinkToFit="1"/>
    </xf>
    <xf numFmtId="180" fontId="7" fillId="0" borderId="25" xfId="0" applyNumberFormat="1" applyFont="1" applyBorder="1" applyAlignment="1">
      <alignment horizontal="right" vertical="center" shrinkToFit="1"/>
    </xf>
    <xf numFmtId="180" fontId="7" fillId="0" borderId="55" xfId="0" applyNumberFormat="1" applyFont="1" applyBorder="1" applyAlignment="1">
      <alignment horizontal="right" vertical="center" shrinkToFit="1"/>
    </xf>
    <xf numFmtId="180" fontId="7" fillId="0" borderId="71" xfId="0" applyNumberFormat="1" applyFont="1" applyBorder="1" applyAlignment="1">
      <alignment horizontal="right" vertical="center" shrinkToFit="1"/>
    </xf>
    <xf numFmtId="180" fontId="7" fillId="0" borderId="56" xfId="0" applyNumberFormat="1" applyFont="1" applyBorder="1" applyAlignment="1">
      <alignment horizontal="right" vertical="center" shrinkToFit="1"/>
    </xf>
    <xf numFmtId="180" fontId="7" fillId="0" borderId="65" xfId="0" applyNumberFormat="1" applyFont="1" applyBorder="1" applyAlignment="1">
      <alignment horizontal="right" vertical="center" shrinkToFit="1"/>
    </xf>
    <xf numFmtId="180" fontId="7" fillId="0" borderId="66" xfId="0" applyNumberFormat="1" applyFont="1" applyBorder="1" applyAlignment="1">
      <alignment horizontal="right" vertical="center" shrinkToFit="1"/>
    </xf>
    <xf numFmtId="180" fontId="7" fillId="0" borderId="24" xfId="0" applyNumberFormat="1" applyFont="1" applyBorder="1" applyAlignment="1">
      <alignment horizontal="right" vertical="center" shrinkToFit="1"/>
    </xf>
    <xf numFmtId="180" fontId="7" fillId="0" borderId="72" xfId="0" applyNumberFormat="1" applyFont="1" applyBorder="1" applyAlignment="1">
      <alignment horizontal="right" vertical="center" shrinkToFit="1"/>
    </xf>
    <xf numFmtId="180" fontId="7" fillId="0" borderId="57" xfId="0" applyNumberFormat="1" applyFont="1" applyBorder="1" applyAlignment="1">
      <alignment horizontal="right" vertical="center"/>
    </xf>
    <xf numFmtId="180" fontId="7" fillId="0" borderId="67" xfId="0" applyNumberFormat="1" applyFont="1" applyBorder="1" applyAlignment="1">
      <alignment horizontal="right" vertical="center" shrinkToFit="1"/>
    </xf>
    <xf numFmtId="180" fontId="7" fillId="0" borderId="23" xfId="0" applyNumberFormat="1" applyFont="1" applyBorder="1" applyAlignment="1">
      <alignment horizontal="right" vertical="center" shrinkToFit="1"/>
    </xf>
    <xf numFmtId="180" fontId="7" fillId="0" borderId="58" xfId="0" applyNumberFormat="1" applyFont="1" applyBorder="1" applyAlignment="1">
      <alignment horizontal="right" vertical="center" shrinkToFit="1"/>
    </xf>
    <xf numFmtId="180" fontId="7" fillId="0" borderId="57" xfId="0" applyNumberFormat="1" applyFont="1" applyBorder="1" applyAlignment="1">
      <alignment horizontal="right" vertical="center" shrinkToFit="1"/>
    </xf>
    <xf numFmtId="180" fontId="7" fillId="0" borderId="73" xfId="0" applyNumberFormat="1" applyFont="1" applyBorder="1" applyAlignment="1">
      <alignment horizontal="right" vertical="center" shrinkToFit="1"/>
    </xf>
    <xf numFmtId="180" fontId="7" fillId="0" borderId="59" xfId="0" applyNumberFormat="1" applyFont="1" applyBorder="1" applyAlignment="1">
      <alignment horizontal="right" vertical="center" shrinkToFit="1"/>
    </xf>
    <xf numFmtId="180" fontId="7" fillId="0" borderId="68" xfId="0" applyNumberFormat="1" applyFont="1" applyBorder="1" applyAlignment="1">
      <alignment horizontal="right" vertical="center" shrinkToFit="1"/>
    </xf>
    <xf numFmtId="180" fontId="7" fillId="0" borderId="9" xfId="0" applyNumberFormat="1" applyFont="1" applyBorder="1" applyAlignment="1">
      <alignment horizontal="right" vertical="center" shrinkToFit="1"/>
    </xf>
    <xf numFmtId="180" fontId="7" fillId="0" borderId="13" xfId="0" applyNumberFormat="1" applyFont="1" applyBorder="1" applyAlignment="1">
      <alignment horizontal="right" vertical="center" shrinkToFit="1"/>
    </xf>
    <xf numFmtId="180" fontId="7" fillId="0" borderId="35" xfId="0" applyNumberFormat="1" applyFont="1" applyBorder="1" applyAlignment="1">
      <alignment horizontal="right" vertical="center" shrinkToFit="1"/>
    </xf>
    <xf numFmtId="180" fontId="7" fillId="0" borderId="93" xfId="0" applyNumberFormat="1" applyFont="1" applyBorder="1" applyAlignment="1">
      <alignment horizontal="right" vertical="center"/>
    </xf>
    <xf numFmtId="180" fontId="7" fillId="0" borderId="60" xfId="0" applyNumberFormat="1" applyFont="1" applyBorder="1" applyAlignment="1">
      <alignment horizontal="right" vertical="center"/>
    </xf>
    <xf numFmtId="181" fontId="7" fillId="0" borderId="11" xfId="0" applyNumberFormat="1" applyFont="1" applyBorder="1" applyAlignment="1">
      <alignment horizontal="right" vertical="center" shrinkToFit="1"/>
    </xf>
    <xf numFmtId="181" fontId="7" fillId="0" borderId="32" xfId="0" applyNumberFormat="1" applyFont="1" applyBorder="1" applyAlignment="1">
      <alignment horizontal="right" vertical="center" shrinkToFit="1"/>
    </xf>
    <xf numFmtId="181" fontId="7" fillId="0" borderId="14" xfId="0" applyNumberFormat="1" applyFont="1" applyBorder="1" applyAlignment="1">
      <alignment horizontal="right" vertical="center" shrinkToFit="1"/>
    </xf>
    <xf numFmtId="181" fontId="7" fillId="0" borderId="15" xfId="0" applyNumberFormat="1" applyFont="1" applyBorder="1" applyAlignment="1">
      <alignment horizontal="right" vertical="center" shrinkToFit="1"/>
    </xf>
    <xf numFmtId="181" fontId="7" fillId="0" borderId="0" xfId="0" applyNumberFormat="1" applyFont="1" applyAlignment="1">
      <alignment horizontal="right" vertical="center" shrinkToFit="1"/>
    </xf>
    <xf numFmtId="181" fontId="7" fillId="0" borderId="19" xfId="0" applyNumberFormat="1" applyFont="1" applyBorder="1" applyAlignment="1">
      <alignment horizontal="right" vertical="center" shrinkToFit="1"/>
    </xf>
    <xf numFmtId="181" fontId="7" fillId="0" borderId="13" xfId="0" applyNumberFormat="1" applyFont="1" applyBorder="1" applyAlignment="1">
      <alignment horizontal="right" vertical="center" shrinkToFit="1"/>
    </xf>
    <xf numFmtId="181" fontId="7" fillId="0" borderId="17" xfId="0" applyNumberFormat="1" applyFont="1" applyBorder="1" applyAlignment="1">
      <alignment horizontal="right" vertical="center" shrinkToFit="1"/>
    </xf>
    <xf numFmtId="181" fontId="7" fillId="0" borderId="53" xfId="0" applyNumberFormat="1" applyFont="1" applyBorder="1" applyAlignment="1">
      <alignment horizontal="right" vertical="center" shrinkToFit="1"/>
    </xf>
    <xf numFmtId="181" fontId="7" fillId="0" borderId="54" xfId="0" applyNumberFormat="1" applyFont="1" applyBorder="1" applyAlignment="1">
      <alignment horizontal="right" vertical="center" shrinkToFit="1"/>
    </xf>
    <xf numFmtId="39" fontId="7" fillId="0" borderId="72" xfId="0" applyNumberFormat="1" applyFont="1" applyBorder="1" applyAlignment="1">
      <alignment horizontal="right" vertical="center" shrinkToFit="1"/>
    </xf>
    <xf numFmtId="39" fontId="7" fillId="0" borderId="2" xfId="0" applyNumberFormat="1" applyFont="1" applyBorder="1" applyAlignment="1">
      <alignment horizontal="right" vertical="center" shrinkToFit="1"/>
    </xf>
    <xf numFmtId="39" fontId="7" fillId="0" borderId="71" xfId="0" applyNumberFormat="1" applyFont="1" applyBorder="1" applyAlignment="1">
      <alignment horizontal="right" vertical="center" shrinkToFit="1"/>
    </xf>
    <xf numFmtId="39" fontId="7" fillId="0" borderId="67" xfId="0" applyNumberFormat="1" applyFont="1" applyBorder="1" applyAlignment="1">
      <alignment horizontal="right" vertical="center" shrinkToFit="1"/>
    </xf>
    <xf numFmtId="39" fontId="7" fillId="0" borderId="63" xfId="0" applyNumberFormat="1" applyFont="1" applyBorder="1" applyAlignment="1">
      <alignment horizontal="right" vertical="center" shrinkToFit="1"/>
    </xf>
    <xf numFmtId="39" fontId="7" fillId="0" borderId="65" xfId="0" applyNumberFormat="1" applyFont="1" applyBorder="1" applyAlignment="1">
      <alignment horizontal="right" vertical="center" shrinkToFit="1"/>
    </xf>
    <xf numFmtId="39" fontId="7" fillId="0" borderId="23" xfId="0" applyNumberFormat="1" applyFont="1" applyBorder="1" applyAlignment="1">
      <alignment horizontal="right" vertical="center" shrinkToFit="1"/>
    </xf>
    <xf numFmtId="39" fontId="7" fillId="0" borderId="25" xfId="0" applyNumberFormat="1" applyFont="1" applyBorder="1" applyAlignment="1">
      <alignment horizontal="right" vertical="center" shrinkToFit="1"/>
    </xf>
    <xf numFmtId="39" fontId="7" fillId="0" borderId="24" xfId="0" applyNumberFormat="1" applyFont="1" applyBorder="1" applyAlignment="1">
      <alignment horizontal="right" vertical="center" shrinkToFit="1"/>
    </xf>
    <xf numFmtId="181" fontId="7" fillId="0" borderId="92" xfId="46" applyNumberFormat="1" applyFont="1" applyFill="1" applyBorder="1" applyAlignment="1">
      <alignment horizontal="right" vertical="center" shrinkToFit="1"/>
    </xf>
    <xf numFmtId="181" fontId="7" fillId="0" borderId="94" xfId="46" applyNumberFormat="1" applyFont="1" applyFill="1" applyBorder="1" applyAlignment="1">
      <alignment horizontal="right" vertical="center" shrinkToFit="1"/>
    </xf>
    <xf numFmtId="181" fontId="7" fillId="0" borderId="26" xfId="0" applyNumberFormat="1" applyFont="1" applyBorder="1" applyAlignment="1">
      <alignment horizontal="right" vertical="center" shrinkToFit="1"/>
    </xf>
    <xf numFmtId="0" fontId="7" fillId="0" borderId="31" xfId="0" applyFont="1" applyBorder="1" applyAlignment="1">
      <alignment horizontal="distributed" vertical="center" shrinkToFit="1"/>
    </xf>
    <xf numFmtId="0" fontId="7" fillId="0" borderId="11" xfId="0" applyFont="1" applyBorder="1" applyAlignment="1">
      <alignment horizontal="distributed" vertical="center" shrinkToFit="1"/>
    </xf>
    <xf numFmtId="0" fontId="7" fillId="0" borderId="70" xfId="0" applyFont="1" applyBorder="1" applyAlignment="1">
      <alignment horizontal="distributed" vertical="center" shrinkToFit="1"/>
    </xf>
    <xf numFmtId="0" fontId="7" fillId="0" borderId="31" xfId="0" applyFont="1" applyBorder="1" applyAlignment="1">
      <alignment horizontal="distributed" vertical="center"/>
    </xf>
    <xf numFmtId="0" fontId="7" fillId="0" borderId="11" xfId="0" applyFont="1" applyBorder="1" applyAlignment="1">
      <alignment horizontal="distributed" vertical="center"/>
    </xf>
    <xf numFmtId="0" fontId="7" fillId="2" borderId="28" xfId="0" applyFont="1" applyFill="1" applyBorder="1" applyAlignment="1">
      <alignment horizontal="distributed" wrapText="1"/>
    </xf>
    <xf numFmtId="0" fontId="7" fillId="2" borderId="17" xfId="0" applyFont="1" applyFill="1" applyBorder="1" applyAlignment="1">
      <alignment horizontal="distributed" wrapText="1"/>
    </xf>
    <xf numFmtId="0" fontId="7" fillId="2" borderId="17" xfId="0" applyFont="1" applyFill="1" applyBorder="1" applyAlignment="1">
      <alignment wrapText="1"/>
    </xf>
    <xf numFmtId="180" fontId="7" fillId="0" borderId="16" xfId="0" applyNumberFormat="1" applyFont="1" applyBorder="1" applyAlignment="1">
      <alignment horizontal="left" vertical="center" shrinkToFit="1"/>
    </xf>
    <xf numFmtId="180" fontId="7" fillId="0" borderId="17" xfId="0" applyNumberFormat="1" applyFont="1" applyBorder="1" applyAlignment="1">
      <alignment horizontal="left" vertical="center" shrinkToFit="1"/>
    </xf>
    <xf numFmtId="180" fontId="7" fillId="0" borderId="18" xfId="0" applyNumberFormat="1" applyFont="1" applyBorder="1" applyAlignment="1">
      <alignment horizontal="left" vertical="center" shrinkToFit="1"/>
    </xf>
    <xf numFmtId="0" fontId="7" fillId="2" borderId="30" xfId="0" applyFont="1" applyFill="1" applyBorder="1" applyAlignment="1">
      <alignment horizontal="distributed" wrapText="1"/>
    </xf>
    <xf numFmtId="0" fontId="7" fillId="2" borderId="11" xfId="0" applyFont="1" applyFill="1" applyBorder="1" applyAlignment="1">
      <alignment horizontal="distributed" wrapText="1"/>
    </xf>
    <xf numFmtId="0" fontId="7" fillId="2" borderId="11" xfId="0" applyFont="1" applyFill="1" applyBorder="1" applyAlignment="1">
      <alignment wrapText="1"/>
    </xf>
    <xf numFmtId="180" fontId="7" fillId="0" borderId="10" xfId="0" applyNumberFormat="1" applyFont="1" applyBorder="1" applyAlignment="1">
      <alignment horizontal="left" vertical="center" shrinkToFit="1"/>
    </xf>
    <xf numFmtId="180" fontId="7" fillId="0" borderId="11" xfId="0" applyNumberFormat="1" applyFont="1" applyBorder="1" applyAlignment="1">
      <alignment horizontal="left" vertical="center" shrinkToFit="1"/>
    </xf>
    <xf numFmtId="180" fontId="7" fillId="0" borderId="12" xfId="0" applyNumberFormat="1" applyFont="1" applyBorder="1" applyAlignment="1">
      <alignment horizontal="left" vertical="center" shrinkToFit="1"/>
    </xf>
    <xf numFmtId="0" fontId="7" fillId="2" borderId="27" xfId="0" applyFont="1" applyFill="1" applyBorder="1" applyAlignment="1">
      <alignment horizontal="distributed" vertical="center" wrapText="1"/>
    </xf>
    <xf numFmtId="0" fontId="7" fillId="2" borderId="34" xfId="0" applyFont="1" applyFill="1" applyBorder="1" applyAlignment="1">
      <alignment horizontal="distributed" vertical="center" wrapText="1"/>
    </xf>
    <xf numFmtId="0" fontId="7" fillId="2" borderId="13" xfId="0" applyFont="1" applyFill="1" applyBorder="1" applyAlignment="1">
      <alignment horizontal="distributed" vertical="center" wrapText="1"/>
    </xf>
    <xf numFmtId="0" fontId="7" fillId="2" borderId="13" xfId="0" applyFont="1" applyFill="1" applyBorder="1" applyAlignment="1">
      <alignment wrapText="1"/>
    </xf>
    <xf numFmtId="0" fontId="7" fillId="2" borderId="31" xfId="0" applyFont="1" applyFill="1" applyBorder="1" applyAlignment="1">
      <alignment horizontal="distributed" vertical="center" wrapText="1"/>
    </xf>
    <xf numFmtId="0" fontId="7" fillId="2" borderId="40" xfId="0" applyFont="1" applyFill="1" applyBorder="1" applyAlignment="1">
      <alignment horizontal="distributed" wrapText="1"/>
    </xf>
    <xf numFmtId="0" fontId="7" fillId="2" borderId="32" xfId="0" applyFont="1" applyFill="1" applyBorder="1" applyAlignment="1">
      <alignment horizontal="distributed" wrapText="1"/>
    </xf>
    <xf numFmtId="0" fontId="7" fillId="2" borderId="32" xfId="0" applyFont="1" applyFill="1" applyBorder="1" applyAlignment="1">
      <alignment wrapText="1"/>
    </xf>
    <xf numFmtId="0" fontId="7" fillId="2" borderId="41" xfId="0" applyFont="1" applyFill="1" applyBorder="1" applyAlignment="1">
      <alignment horizontal="distributed" vertical="distributed" wrapText="1"/>
    </xf>
    <xf numFmtId="0" fontId="7" fillId="2" borderId="42" xfId="0" applyFont="1" applyFill="1" applyBorder="1" applyAlignment="1">
      <alignment horizontal="distributed" wrapText="1"/>
    </xf>
    <xf numFmtId="0" fontId="7" fillId="2" borderId="42" xfId="0" applyFont="1" applyFill="1" applyBorder="1" applyAlignment="1">
      <alignment wrapText="1"/>
    </xf>
    <xf numFmtId="0" fontId="7" fillId="2" borderId="29" xfId="0" applyFont="1" applyFill="1" applyBorder="1" applyAlignment="1">
      <alignment horizontal="distributed" wrapText="1"/>
    </xf>
    <xf numFmtId="0" fontId="7" fillId="2" borderId="46" xfId="0" applyFont="1" applyFill="1" applyBorder="1" applyAlignment="1">
      <alignment horizontal="distributed" wrapText="1"/>
    </xf>
    <xf numFmtId="0" fontId="7" fillId="2" borderId="14" xfId="0" applyFont="1" applyFill="1" applyBorder="1" applyAlignment="1">
      <alignment horizontal="distributed" wrapText="1"/>
    </xf>
    <xf numFmtId="0" fontId="7" fillId="2" borderId="14" xfId="0" applyFont="1" applyFill="1" applyBorder="1" applyAlignment="1">
      <alignment wrapText="1"/>
    </xf>
    <xf numFmtId="0" fontId="7" fillId="2" borderId="31" xfId="0" applyFont="1" applyFill="1" applyBorder="1" applyAlignment="1">
      <alignment horizontal="distributed"/>
    </xf>
    <xf numFmtId="0" fontId="7" fillId="2" borderId="11" xfId="0" applyFont="1" applyFill="1" applyBorder="1" applyAlignment="1">
      <alignment horizontal="distributed"/>
    </xf>
    <xf numFmtId="0" fontId="7" fillId="2" borderId="33" xfId="0" applyFont="1" applyFill="1" applyBorder="1" applyAlignment="1">
      <alignment horizontal="distributed" wrapText="1"/>
    </xf>
    <xf numFmtId="0" fontId="7" fillId="2" borderId="45" xfId="0" applyFont="1" applyFill="1" applyBorder="1" applyAlignment="1">
      <alignment horizontal="distributed" wrapText="1"/>
    </xf>
    <xf numFmtId="0" fontId="7" fillId="2" borderId="15" xfId="0" applyFont="1" applyFill="1" applyBorder="1" applyAlignment="1">
      <alignment horizontal="distributed" wrapText="1"/>
    </xf>
    <xf numFmtId="0" fontId="7" fillId="2" borderId="15" xfId="0" applyFont="1" applyFill="1" applyBorder="1" applyAlignment="1">
      <alignment wrapText="1"/>
    </xf>
    <xf numFmtId="0" fontId="7" fillId="2" borderId="11" xfId="0" applyFont="1" applyFill="1" applyBorder="1" applyAlignment="1">
      <alignment horizontal="distributed" vertical="center" wrapText="1"/>
    </xf>
    <xf numFmtId="0" fontId="7" fillId="2" borderId="30" xfId="0" applyFont="1" applyFill="1" applyBorder="1" applyAlignment="1">
      <alignment horizontal="distributed" vertical="center" wrapText="1"/>
    </xf>
    <xf numFmtId="0" fontId="7" fillId="2" borderId="27" xfId="0" applyFont="1" applyFill="1" applyBorder="1" applyAlignment="1">
      <alignment horizontal="distributed" wrapText="1"/>
    </xf>
    <xf numFmtId="0" fontId="7" fillId="2" borderId="27" xfId="0" applyFont="1" applyFill="1" applyBorder="1" applyAlignment="1">
      <alignment wrapText="1"/>
    </xf>
    <xf numFmtId="0" fontId="7" fillId="2" borderId="31" xfId="0" applyFont="1" applyFill="1" applyBorder="1" applyAlignment="1">
      <alignment horizontal="distributed" vertical="center"/>
    </xf>
    <xf numFmtId="0" fontId="7" fillId="2" borderId="11" xfId="0" applyFont="1" applyFill="1" applyBorder="1" applyAlignment="1">
      <alignment horizontal="distributed" vertical="center"/>
    </xf>
    <xf numFmtId="0" fontId="7" fillId="2" borderId="1" xfId="0" applyFont="1" applyFill="1" applyBorder="1" applyAlignment="1">
      <alignment horizontal="distributed" vertical="center" wrapText="1"/>
    </xf>
    <xf numFmtId="0" fontId="7" fillId="2" borderId="32" xfId="0" applyFont="1" applyFill="1" applyBorder="1" applyAlignment="1">
      <alignment horizontal="distributed" vertical="center" wrapText="1"/>
    </xf>
    <xf numFmtId="180" fontId="7" fillId="0" borderId="22" xfId="0" applyNumberFormat="1" applyFont="1" applyBorder="1" applyAlignment="1">
      <alignment horizontal="left" vertical="center" shrinkToFit="1"/>
    </xf>
    <xf numFmtId="180" fontId="7" fillId="0" borderId="32" xfId="0" applyNumberFormat="1" applyFont="1" applyBorder="1" applyAlignment="1">
      <alignment horizontal="left" vertical="center" shrinkToFit="1"/>
    </xf>
    <xf numFmtId="180" fontId="7" fillId="0" borderId="43" xfId="0" applyNumberFormat="1" applyFont="1" applyBorder="1" applyAlignment="1">
      <alignment horizontal="left" vertical="center" shrinkToFit="1"/>
    </xf>
    <xf numFmtId="0" fontId="12" fillId="2" borderId="36" xfId="0" applyFont="1" applyFill="1" applyBorder="1" applyAlignment="1">
      <alignment horizontal="distributed" vertical="center" wrapText="1"/>
    </xf>
    <xf numFmtId="0" fontId="12" fillId="2" borderId="11" xfId="0" applyFont="1" applyFill="1" applyBorder="1" applyAlignment="1">
      <alignment horizontal="distributed" vertical="center" wrapText="1"/>
    </xf>
    <xf numFmtId="0" fontId="7" fillId="2" borderId="70" xfId="0" applyFont="1" applyFill="1" applyBorder="1" applyAlignment="1">
      <alignment horizontal="distributed" vertical="center" wrapText="1"/>
    </xf>
    <xf numFmtId="0" fontId="4" fillId="0" borderId="0" xfId="0" applyFont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7" fillId="2" borderId="74" xfId="0" applyFont="1" applyFill="1" applyBorder="1" applyAlignment="1">
      <alignment horizontal="center" vertical="center" wrapText="1"/>
    </xf>
    <xf numFmtId="0" fontId="7" fillId="2" borderId="75" xfId="0" applyFont="1" applyFill="1" applyBorder="1" applyAlignment="1">
      <alignment horizontal="center" vertical="center" wrapText="1"/>
    </xf>
    <xf numFmtId="179" fontId="7" fillId="2" borderId="82" xfId="48" applyNumberFormat="1" applyFont="1" applyFill="1" applyBorder="1" applyAlignment="1">
      <alignment horizontal="center" vertical="center" shrinkToFit="1"/>
    </xf>
    <xf numFmtId="179" fontId="7" fillId="2" borderId="69" xfId="48" applyNumberFormat="1" applyFont="1" applyFill="1" applyBorder="1" applyAlignment="1">
      <alignment horizontal="center" vertical="center" shrinkToFit="1"/>
    </xf>
    <xf numFmtId="179" fontId="7" fillId="2" borderId="61" xfId="48" applyNumberFormat="1" applyFont="1" applyFill="1" applyBorder="1" applyAlignment="1">
      <alignment horizontal="center" vertical="center" shrinkToFit="1"/>
    </xf>
    <xf numFmtId="179" fontId="7" fillId="2" borderId="62" xfId="48" applyNumberFormat="1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7" fillId="2" borderId="26" xfId="0" applyFont="1" applyFill="1" applyBorder="1" applyAlignment="1">
      <alignment horizontal="center" vertical="center" shrinkToFit="1"/>
    </xf>
    <xf numFmtId="0" fontId="7" fillId="0" borderId="96" xfId="48" applyFont="1" applyBorder="1" applyAlignment="1">
      <alignment horizontal="center" vertical="top" wrapText="1"/>
    </xf>
    <xf numFmtId="0" fontId="7" fillId="0" borderId="97" xfId="48" applyFont="1" applyBorder="1" applyAlignment="1">
      <alignment horizontal="center" vertical="top" wrapText="1"/>
    </xf>
    <xf numFmtId="0" fontId="7" fillId="0" borderId="99" xfId="48" applyFont="1" applyBorder="1" applyAlignment="1">
      <alignment horizontal="center" vertical="top" wrapText="1"/>
    </xf>
    <xf numFmtId="0" fontId="7" fillId="0" borderId="100" xfId="48" applyFont="1" applyBorder="1" applyAlignment="1">
      <alignment horizontal="center" vertical="top" wrapText="1"/>
    </xf>
  </cellXfs>
  <cellStyles count="50">
    <cellStyle name="20% - アクセント 1 2" xfId="3" xr:uid="{19465811-91AC-4D9F-9D55-4326B67462F8}"/>
    <cellStyle name="20% - アクセント 2 2" xfId="4" xr:uid="{88D3849B-EFD7-42E8-98C3-1024489D10F6}"/>
    <cellStyle name="20% - アクセント 3 2" xfId="5" xr:uid="{93C0D207-2031-442C-9701-23D809C0CCFF}"/>
    <cellStyle name="20% - アクセント 4 2" xfId="6" xr:uid="{9457B7AB-7048-45C3-8423-8A4A50224DDC}"/>
    <cellStyle name="20% - アクセント 5 2" xfId="7" xr:uid="{CDF95305-D1E0-42F1-A8CC-EEE78EF1E822}"/>
    <cellStyle name="20% - アクセント 6 2" xfId="8" xr:uid="{FA7DFB51-5E62-4B16-8516-F0BCE613FDD3}"/>
    <cellStyle name="40% - アクセント 1 2" xfId="9" xr:uid="{9C881E2C-3B9A-4301-9BCA-76B00D3356BA}"/>
    <cellStyle name="40% - アクセント 2 2" xfId="10" xr:uid="{D6A8E6AE-4FCE-4F94-A2A9-205AE973F075}"/>
    <cellStyle name="40% - アクセント 3 2" xfId="11" xr:uid="{2BE3A988-5EE7-4619-8EBB-42A48FD7AC38}"/>
    <cellStyle name="40% - アクセント 4 2" xfId="12" xr:uid="{0726B136-A3FC-4585-B19B-3CBDF9B1B518}"/>
    <cellStyle name="40% - アクセント 5 2" xfId="13" xr:uid="{3A21B15B-5B72-4986-914A-04515565E51C}"/>
    <cellStyle name="40% - アクセント 6 2" xfId="14" xr:uid="{2E01F357-1E86-4EC0-8BF0-D0C62C056D1B}"/>
    <cellStyle name="60% - アクセント 1 2" xfId="15" xr:uid="{9C9DA0AC-0265-49BA-BFB7-5F846E129A5D}"/>
    <cellStyle name="60% - アクセント 2 2" xfId="16" xr:uid="{4F9408CC-7717-4F2F-B522-47649DFEC758}"/>
    <cellStyle name="60% - アクセント 3 2" xfId="17" xr:uid="{C8D3AAF0-7DF5-4BF4-9D8A-A8833D6E5592}"/>
    <cellStyle name="60% - アクセント 4 2" xfId="18" xr:uid="{C0922DEB-61AD-4DA5-AA04-429CF393BCC8}"/>
    <cellStyle name="60% - アクセント 5 2" xfId="19" xr:uid="{72137156-A3E7-46D3-9C12-716154EF74D3}"/>
    <cellStyle name="60% - アクセント 6 2" xfId="20" xr:uid="{A7938D3C-05F1-4CB2-BBAE-A77DD878BA98}"/>
    <cellStyle name="アクセント 1 2" xfId="21" xr:uid="{82DD6C80-8250-4D8B-BF17-C91E1AA5F723}"/>
    <cellStyle name="アクセント 2 2" xfId="22" xr:uid="{BB2D8ECC-073A-4E99-B208-E2F8EDFE76FF}"/>
    <cellStyle name="アクセント 3 2" xfId="23" xr:uid="{6663B840-EA4E-466F-AEB2-0E4A92214E8D}"/>
    <cellStyle name="アクセント 4 2" xfId="24" xr:uid="{ACA50319-2BA3-4F52-8A88-8C6DFB7E8AB0}"/>
    <cellStyle name="アクセント 5 2" xfId="25" xr:uid="{D71D04A5-A1DB-44F0-A3AF-D718D0BF1429}"/>
    <cellStyle name="アクセント 6 2" xfId="26" xr:uid="{10FD3B74-5746-41A2-8360-6CDC4A6BF094}"/>
    <cellStyle name="タイトル 2" xfId="27" xr:uid="{8E3F2B88-1B26-4FE9-BB6F-B045D5950A5D}"/>
    <cellStyle name="チェック セル 2" xfId="28" xr:uid="{92D31D85-F06A-40E5-8A1E-FECD4C020517}"/>
    <cellStyle name="どちらでもない 2" xfId="29" xr:uid="{4D9E4251-384B-4092-BB10-D31BACE628B8}"/>
    <cellStyle name="メモ 2" xfId="30" xr:uid="{F0639D0C-F813-4389-8555-B71F5AE74940}"/>
    <cellStyle name="リンク セル 2" xfId="31" xr:uid="{8E973CE8-0B2A-4089-82E5-9735322022C1}"/>
    <cellStyle name="悪い 2" xfId="32" xr:uid="{9AE900D2-3751-44A2-957C-2E921D6770F0}"/>
    <cellStyle name="計算 2" xfId="33" xr:uid="{812D269A-D7B1-4FF3-8D31-E8129FE09DBF}"/>
    <cellStyle name="警告文 2" xfId="34" xr:uid="{0288C449-8D4B-4C46-BE71-F3CE2D3D47C8}"/>
    <cellStyle name="桁区切り" xfId="46" builtinId="6"/>
    <cellStyle name="見出し 1 2" xfId="35" xr:uid="{E81CF60A-0E19-4410-8755-D3A876845CCD}"/>
    <cellStyle name="見出し 2 2" xfId="36" xr:uid="{1F9B520A-506D-4A6D-BABD-622F07DD91CB}"/>
    <cellStyle name="見出し 3 2" xfId="37" xr:uid="{080982C8-0E5D-4F99-AF65-4D1A2DC7DE35}"/>
    <cellStyle name="見出し 4 2" xfId="38" xr:uid="{DE25F84A-D702-4CCA-8CE1-769F24FA6F05}"/>
    <cellStyle name="集計 2" xfId="39" xr:uid="{52ED1E8F-A6D0-4401-A61A-8BD59B60CA08}"/>
    <cellStyle name="出力 2" xfId="40" xr:uid="{93EDF9D3-C64C-488F-8D32-925E37B6FA82}"/>
    <cellStyle name="説明文 2" xfId="41" xr:uid="{A6255016-5038-4992-A357-8EA87D75918E}"/>
    <cellStyle name="入力 2" xfId="42" xr:uid="{81AA5A3A-6FBD-4AFE-817B-7EB71CD7E2E1}"/>
    <cellStyle name="標準" xfId="0" builtinId="0"/>
    <cellStyle name="標準 2" xfId="1" xr:uid="{00000000-0005-0000-0000-000001000000}"/>
    <cellStyle name="標準 2 2" xfId="48" xr:uid="{4E2BC263-ACB3-4082-9DFF-664430DA88D8}"/>
    <cellStyle name="標準 3" xfId="44" xr:uid="{4D595B6A-FFA6-4E99-A37E-5E6643D1FEEB}"/>
    <cellStyle name="標準 4" xfId="45" xr:uid="{2298CAC7-B9E7-4D54-A337-0C18BB1725BF}"/>
    <cellStyle name="標準 4 2" xfId="47" xr:uid="{492AD035-E855-4216-B281-720C82EAE7F3}"/>
    <cellStyle name="標準 5" xfId="2" xr:uid="{CE77D89A-F6AF-453A-A1FA-75A824F104A1}"/>
    <cellStyle name="標準_BDA1S0T05201" xfId="49" xr:uid="{A0A819BA-0CE2-4A6E-B507-CFF91E23AE6D}"/>
    <cellStyle name="良い 2" xfId="43" xr:uid="{2379C0B6-B1D6-4718-BFD2-64B6E3771D81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6</xdr:row>
      <xdr:rowOff>28575</xdr:rowOff>
    </xdr:from>
    <xdr:to>
      <xdr:col>19</xdr:col>
      <xdr:colOff>0</xdr:colOff>
      <xdr:row>27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 bwMode="auto">
        <a:xfrm>
          <a:off x="10487025" y="1000125"/>
          <a:ext cx="0" cy="30480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33</xdr:row>
      <xdr:rowOff>28575</xdr:rowOff>
    </xdr:from>
    <xdr:to>
      <xdr:col>19</xdr:col>
      <xdr:colOff>0</xdr:colOff>
      <xdr:row>33</xdr:row>
      <xdr:rowOff>133350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/>
        </xdr:cNvSpPr>
      </xdr:nvSpPr>
      <xdr:spPr bwMode="auto">
        <a:xfrm>
          <a:off x="10487025" y="5048250"/>
          <a:ext cx="0" cy="1047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34</xdr:row>
      <xdr:rowOff>19050</xdr:rowOff>
    </xdr:from>
    <xdr:to>
      <xdr:col>19</xdr:col>
      <xdr:colOff>0</xdr:colOff>
      <xdr:row>42</xdr:row>
      <xdr:rowOff>123825</xdr:rowOff>
    </xdr:to>
    <xdr:sp macro="" textlink="">
      <xdr:nvSpPr>
        <xdr:cNvPr id="4" name="AutoShap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/>
        </xdr:cNvSpPr>
      </xdr:nvSpPr>
      <xdr:spPr bwMode="auto">
        <a:xfrm>
          <a:off x="10487025" y="5200650"/>
          <a:ext cx="0" cy="14001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43</xdr:row>
      <xdr:rowOff>47625</xdr:rowOff>
    </xdr:from>
    <xdr:to>
      <xdr:col>19</xdr:col>
      <xdr:colOff>0</xdr:colOff>
      <xdr:row>44</xdr:row>
      <xdr:rowOff>133350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/>
        </xdr:cNvSpPr>
      </xdr:nvSpPr>
      <xdr:spPr bwMode="auto">
        <a:xfrm>
          <a:off x="10487025" y="6686550"/>
          <a:ext cx="0" cy="24765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27</xdr:row>
      <xdr:rowOff>28575</xdr:rowOff>
    </xdr:from>
    <xdr:to>
      <xdr:col>19</xdr:col>
      <xdr:colOff>0</xdr:colOff>
      <xdr:row>29</xdr:row>
      <xdr:rowOff>152400</xdr:rowOff>
    </xdr:to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/>
        </xdr:cNvSpPr>
      </xdr:nvSpPr>
      <xdr:spPr bwMode="auto">
        <a:xfrm>
          <a:off x="10487025" y="4076700"/>
          <a:ext cx="0" cy="4476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30</xdr:row>
      <xdr:rowOff>38100</xdr:rowOff>
    </xdr:from>
    <xdr:to>
      <xdr:col>19</xdr:col>
      <xdr:colOff>0</xdr:colOff>
      <xdr:row>33</xdr:row>
      <xdr:rowOff>9525</xdr:rowOff>
    </xdr:to>
    <xdr:sp macro="" textlink="">
      <xdr:nvSpPr>
        <xdr:cNvPr id="7" name="AutoShape 1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/>
        </xdr:cNvSpPr>
      </xdr:nvSpPr>
      <xdr:spPr bwMode="auto">
        <a:xfrm>
          <a:off x="10487025" y="4572000"/>
          <a:ext cx="0" cy="4572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9"/>
  <sheetViews>
    <sheetView showGridLines="0" tabSelected="1" zoomScaleNormal="100" zoomScaleSheetLayoutView="100" workbookViewId="0">
      <selection sqref="A1:C1"/>
    </sheetView>
  </sheetViews>
  <sheetFormatPr defaultColWidth="9" defaultRowHeight="12"/>
  <cols>
    <col min="1" max="4" width="2.625" style="1" customWidth="1"/>
    <col min="5" max="5" width="2.625" style="2" customWidth="1"/>
    <col min="6" max="6" width="8.625" style="2" customWidth="1"/>
    <col min="7" max="7" width="3.625" style="16" customWidth="1"/>
    <col min="8" max="8" width="10.625" style="2" customWidth="1"/>
    <col min="9" max="9" width="6.625" style="2" customWidth="1"/>
    <col min="10" max="10" width="10.625" style="1" customWidth="1"/>
    <col min="11" max="11" width="6.625" style="1" customWidth="1"/>
    <col min="12" max="12" width="7.625" style="1" customWidth="1"/>
    <col min="13" max="13" width="8.625" style="1" customWidth="1"/>
    <col min="14" max="14" width="30.625" style="1" customWidth="1"/>
    <col min="15" max="15" width="2.75" style="1" customWidth="1"/>
    <col min="16" max="16" width="11.875" style="1" customWidth="1"/>
    <col min="17" max="17" width="2.875" style="1" customWidth="1"/>
    <col min="18" max="18" width="10.125" style="1" customWidth="1"/>
    <col min="19" max="19" width="9.625" style="1" customWidth="1"/>
    <col min="20" max="21" width="3.625" style="1" customWidth="1"/>
    <col min="22" max="22" width="2.5" style="1" customWidth="1"/>
    <col min="23" max="16384" width="9" style="1"/>
  </cols>
  <sheetData>
    <row r="1" spans="1:20" s="3" customFormat="1" ht="12.95" customHeight="1">
      <c r="A1" s="152"/>
      <c r="B1" s="152"/>
      <c r="C1" s="152"/>
      <c r="D1" s="5" t="s">
        <v>60</v>
      </c>
      <c r="E1" s="7"/>
      <c r="F1" s="7"/>
      <c r="G1" s="15"/>
      <c r="H1" s="7"/>
      <c r="I1" s="7"/>
      <c r="J1" s="7"/>
      <c r="K1" s="7"/>
      <c r="L1" s="7"/>
      <c r="M1" s="7"/>
      <c r="N1" s="7"/>
      <c r="O1" s="171" t="s">
        <v>28</v>
      </c>
      <c r="P1" s="172"/>
      <c r="Q1" s="173" t="s">
        <v>32</v>
      </c>
      <c r="R1" s="174"/>
      <c r="S1"/>
      <c r="T1" s="4"/>
    </row>
    <row r="2" spans="1:20" s="3" customFormat="1" ht="12.95" customHeight="1" thickBot="1">
      <c r="A2" s="8" t="s">
        <v>39</v>
      </c>
      <c r="B2" s="7"/>
      <c r="C2" s="7"/>
      <c r="D2" s="7"/>
      <c r="E2" s="7"/>
      <c r="F2" s="7"/>
      <c r="G2" s="15"/>
      <c r="H2" s="7"/>
      <c r="I2" s="7"/>
      <c r="J2" s="7"/>
      <c r="K2" s="7"/>
      <c r="L2" s="7"/>
      <c r="M2" s="7"/>
      <c r="N2" s="7"/>
      <c r="O2" s="44">
        <v>90</v>
      </c>
      <c r="P2" s="47" t="s">
        <v>132</v>
      </c>
      <c r="Q2" s="45"/>
      <c r="R2" s="46" t="str">
        <f>IF(Q2&lt;&gt;"",DGET(リスト!A2:B71,"都道府県等",リスト!B73:B74),"")</f>
        <v/>
      </c>
      <c r="S2"/>
      <c r="T2" s="4"/>
    </row>
    <row r="3" spans="1:20" s="3" customFormat="1" ht="12.95" customHeight="1" thickBot="1">
      <c r="A3" s="8"/>
      <c r="G3" s="16"/>
    </row>
    <row r="4" spans="1:20" ht="12.95" customHeight="1">
      <c r="A4" s="159" t="s">
        <v>40</v>
      </c>
      <c r="B4" s="160"/>
      <c r="C4" s="160"/>
      <c r="D4" s="160"/>
      <c r="E4" s="160"/>
      <c r="F4" s="160"/>
      <c r="G4" s="163" t="s">
        <v>41</v>
      </c>
      <c r="H4" s="165" t="str">
        <f>IF($A$1&lt;&gt;"",$A$1,"")</f>
        <v/>
      </c>
      <c r="I4" s="13" t="s">
        <v>36</v>
      </c>
      <c r="J4" s="167" t="str">
        <f>IF($A$1&lt;&gt;"",$A$1-1,"")</f>
        <v/>
      </c>
      <c r="K4" s="13" t="s">
        <v>36</v>
      </c>
      <c r="L4" s="27" t="s">
        <v>37</v>
      </c>
      <c r="M4" s="169" t="s">
        <v>42</v>
      </c>
      <c r="N4" s="153" t="s">
        <v>38</v>
      </c>
      <c r="O4" s="154"/>
      <c r="P4" s="154"/>
      <c r="Q4" s="154"/>
      <c r="R4" s="154"/>
      <c r="S4" s="155"/>
    </row>
    <row r="5" spans="1:20" ht="12.95" customHeight="1" thickBot="1">
      <c r="A5" s="161"/>
      <c r="B5" s="162"/>
      <c r="C5" s="162"/>
      <c r="D5" s="162"/>
      <c r="E5" s="162"/>
      <c r="F5" s="162"/>
      <c r="G5" s="164"/>
      <c r="H5" s="166"/>
      <c r="I5" s="14" t="s">
        <v>43</v>
      </c>
      <c r="J5" s="168"/>
      <c r="K5" s="14" t="s">
        <v>43</v>
      </c>
      <c r="L5" s="9" t="s">
        <v>43</v>
      </c>
      <c r="M5" s="170"/>
      <c r="N5" s="156"/>
      <c r="O5" s="157"/>
      <c r="P5" s="157"/>
      <c r="Q5" s="157"/>
      <c r="R5" s="157"/>
      <c r="S5" s="158"/>
    </row>
    <row r="6" spans="1:20" ht="12.95" customHeight="1">
      <c r="A6" s="128" t="s">
        <v>58</v>
      </c>
      <c r="B6" s="112"/>
      <c r="C6" s="112"/>
      <c r="D6" s="112"/>
      <c r="E6" s="112"/>
      <c r="F6" s="113"/>
      <c r="G6" s="38" t="s">
        <v>59</v>
      </c>
      <c r="H6" s="48"/>
      <c r="I6" s="49"/>
      <c r="J6" s="50"/>
      <c r="K6" s="49"/>
      <c r="L6" s="78" t="str">
        <f>IF(H6="-", "-", IF(J6="-", "-", IF(ABS(J6)=0, "-", ROUND(100*(H6-J6)/ABS(J6), 10))))</f>
        <v>-</v>
      </c>
      <c r="M6" s="51" t="str">
        <f>IF(H6-J6=0,"",H6-J6)</f>
        <v/>
      </c>
      <c r="N6" s="114"/>
      <c r="O6" s="115"/>
      <c r="P6" s="115"/>
      <c r="Q6" s="115"/>
      <c r="R6" s="115"/>
      <c r="S6" s="116"/>
    </row>
    <row r="7" spans="1:20" ht="12.95" customHeight="1">
      <c r="A7" s="144" t="s">
        <v>30</v>
      </c>
      <c r="B7" s="145"/>
      <c r="C7" s="145"/>
      <c r="D7" s="145"/>
      <c r="E7" s="145"/>
      <c r="F7" s="124"/>
      <c r="G7" s="18" t="s">
        <v>44</v>
      </c>
      <c r="H7" s="55"/>
      <c r="I7" s="86" t="str">
        <f>IFERROR(ROUND(H7/H$25*100,1)," ")</f>
        <v xml:space="preserve"> </v>
      </c>
      <c r="J7" s="56"/>
      <c r="K7" s="86" t="str">
        <f t="shared" ref="K7:K25" si="0">IFERROR(ROUND(J7/J$25*100,1)," ")</f>
        <v xml:space="preserve"> </v>
      </c>
      <c r="L7" s="79" t="str">
        <f t="shared" ref="L7:L45" si="1">IF(H7="-", "-", IF(J7="-", "-", IF(ABS(J7)=0, "-", ROUND(100*(H7-J7)/ABS(J7), 10))))</f>
        <v>-</v>
      </c>
      <c r="M7" s="57" t="str">
        <f t="shared" ref="M7:M43" si="2">IF(H7-J7=0,"",H7-J7)</f>
        <v/>
      </c>
      <c r="N7" s="146"/>
      <c r="O7" s="147"/>
      <c r="P7" s="147"/>
      <c r="Q7" s="147"/>
      <c r="R7" s="147"/>
      <c r="S7" s="148"/>
    </row>
    <row r="8" spans="1:20" ht="12.95" customHeight="1">
      <c r="A8" s="29"/>
      <c r="B8" s="138" t="s">
        <v>19</v>
      </c>
      <c r="C8" s="138"/>
      <c r="D8" s="138"/>
      <c r="E8" s="138"/>
      <c r="F8" s="113"/>
      <c r="G8" s="19" t="s">
        <v>45</v>
      </c>
      <c r="H8" s="48"/>
      <c r="I8" s="87" t="str">
        <f t="shared" ref="I8:I25" si="3">IFERROR(ROUND(H8/H$25*100,1)," ")</f>
        <v xml:space="preserve"> </v>
      </c>
      <c r="J8" s="50"/>
      <c r="K8" s="87" t="str">
        <f t="shared" si="0"/>
        <v xml:space="preserve"> </v>
      </c>
      <c r="L8" s="78" t="str">
        <f t="shared" si="1"/>
        <v>-</v>
      </c>
      <c r="M8" s="51" t="str">
        <f t="shared" si="2"/>
        <v/>
      </c>
      <c r="N8" s="114"/>
      <c r="O8" s="115"/>
      <c r="P8" s="115"/>
      <c r="Q8" s="115"/>
      <c r="R8" s="115"/>
      <c r="S8" s="116"/>
    </row>
    <row r="9" spans="1:20" ht="12.95" customHeight="1">
      <c r="A9" s="34"/>
      <c r="B9" s="149" t="s">
        <v>53</v>
      </c>
      <c r="C9" s="150"/>
      <c r="D9" s="150"/>
      <c r="E9" s="150"/>
      <c r="F9" s="150"/>
      <c r="G9" s="35" t="s">
        <v>45</v>
      </c>
      <c r="H9" s="48"/>
      <c r="I9" s="87" t="str">
        <f t="shared" si="3"/>
        <v xml:space="preserve"> </v>
      </c>
      <c r="J9" s="50"/>
      <c r="K9" s="87" t="str">
        <f t="shared" si="0"/>
        <v xml:space="preserve"> </v>
      </c>
      <c r="L9" s="78" t="str">
        <f t="shared" si="1"/>
        <v>-</v>
      </c>
      <c r="M9" s="51" t="str">
        <f t="shared" si="2"/>
        <v/>
      </c>
      <c r="N9" s="114"/>
      <c r="O9" s="115"/>
      <c r="P9" s="115"/>
      <c r="Q9" s="115"/>
      <c r="R9" s="115"/>
      <c r="S9" s="116"/>
    </row>
    <row r="10" spans="1:20" ht="12.95" customHeight="1">
      <c r="A10" s="30"/>
      <c r="B10" s="32"/>
      <c r="C10" s="103" t="s">
        <v>54</v>
      </c>
      <c r="D10" s="104"/>
      <c r="E10" s="104"/>
      <c r="F10" s="104"/>
      <c r="G10" s="36" t="s">
        <v>45</v>
      </c>
      <c r="H10" s="48"/>
      <c r="I10" s="87" t="str">
        <f t="shared" si="3"/>
        <v xml:space="preserve"> </v>
      </c>
      <c r="J10" s="50"/>
      <c r="K10" s="87" t="str">
        <f t="shared" si="0"/>
        <v xml:space="preserve"> </v>
      </c>
      <c r="L10" s="78" t="str">
        <f t="shared" si="1"/>
        <v>-</v>
      </c>
      <c r="M10" s="51" t="str">
        <f t="shared" si="2"/>
        <v/>
      </c>
      <c r="N10" s="52"/>
      <c r="O10" s="53"/>
      <c r="P10" s="53"/>
      <c r="Q10" s="53"/>
      <c r="R10" s="53"/>
      <c r="S10" s="54"/>
    </row>
    <row r="11" spans="1:20" ht="12.95" customHeight="1">
      <c r="A11" s="30"/>
      <c r="B11" s="33"/>
      <c r="C11" s="100" t="s">
        <v>55</v>
      </c>
      <c r="D11" s="101"/>
      <c r="E11" s="101"/>
      <c r="F11" s="102"/>
      <c r="G11" s="36" t="s">
        <v>45</v>
      </c>
      <c r="H11" s="48"/>
      <c r="I11" s="87" t="str">
        <f t="shared" si="3"/>
        <v xml:space="preserve"> </v>
      </c>
      <c r="J11" s="50"/>
      <c r="K11" s="87" t="str">
        <f t="shared" si="0"/>
        <v xml:space="preserve"> </v>
      </c>
      <c r="L11" s="78" t="str">
        <f t="shared" si="1"/>
        <v>-</v>
      </c>
      <c r="M11" s="51" t="str">
        <f t="shared" si="2"/>
        <v/>
      </c>
      <c r="N11" s="52"/>
      <c r="O11" s="53"/>
      <c r="P11" s="53"/>
      <c r="Q11" s="53"/>
      <c r="R11" s="53"/>
      <c r="S11" s="54"/>
    </row>
    <row r="12" spans="1:20" ht="12.95" customHeight="1">
      <c r="A12" s="30"/>
      <c r="B12" s="121" t="s">
        <v>20</v>
      </c>
      <c r="C12" s="138"/>
      <c r="D12" s="138"/>
      <c r="E12" s="138"/>
      <c r="F12" s="151"/>
      <c r="G12" s="19" t="s">
        <v>45</v>
      </c>
      <c r="H12" s="48"/>
      <c r="I12" s="87" t="str">
        <f t="shared" si="3"/>
        <v xml:space="preserve"> </v>
      </c>
      <c r="J12" s="50"/>
      <c r="K12" s="87" t="str">
        <f t="shared" si="0"/>
        <v xml:space="preserve"> </v>
      </c>
      <c r="L12" s="78" t="str">
        <f t="shared" si="1"/>
        <v>-</v>
      </c>
      <c r="M12" s="51" t="str">
        <f t="shared" si="2"/>
        <v/>
      </c>
      <c r="N12" s="114"/>
      <c r="O12" s="115"/>
      <c r="P12" s="115"/>
      <c r="Q12" s="115"/>
      <c r="R12" s="115"/>
      <c r="S12" s="116"/>
    </row>
    <row r="13" spans="1:20" ht="12.95" customHeight="1">
      <c r="A13" s="30"/>
      <c r="B13" s="138" t="s">
        <v>0</v>
      </c>
      <c r="C13" s="138"/>
      <c r="D13" s="138"/>
      <c r="E13" s="138"/>
      <c r="F13" s="113"/>
      <c r="G13" s="19" t="s">
        <v>45</v>
      </c>
      <c r="H13" s="48"/>
      <c r="I13" s="87" t="str">
        <f t="shared" si="3"/>
        <v xml:space="preserve"> </v>
      </c>
      <c r="J13" s="50"/>
      <c r="K13" s="87" t="str">
        <f t="shared" si="0"/>
        <v xml:space="preserve"> </v>
      </c>
      <c r="L13" s="78" t="str">
        <f t="shared" si="1"/>
        <v>-</v>
      </c>
      <c r="M13" s="51" t="str">
        <f t="shared" si="2"/>
        <v/>
      </c>
      <c r="N13" s="114"/>
      <c r="O13" s="115"/>
      <c r="P13" s="115"/>
      <c r="Q13" s="115"/>
      <c r="R13" s="115"/>
      <c r="S13" s="116"/>
    </row>
    <row r="14" spans="1:20" ht="12.95" customHeight="1">
      <c r="A14" s="30"/>
      <c r="B14" s="138" t="s">
        <v>29</v>
      </c>
      <c r="C14" s="138"/>
      <c r="D14" s="138"/>
      <c r="E14" s="112"/>
      <c r="F14" s="113"/>
      <c r="G14" s="19" t="s">
        <v>45</v>
      </c>
      <c r="H14" s="48"/>
      <c r="I14" s="87" t="str">
        <f t="shared" si="3"/>
        <v xml:space="preserve"> </v>
      </c>
      <c r="J14" s="50"/>
      <c r="K14" s="87" t="str">
        <f t="shared" si="0"/>
        <v xml:space="preserve"> </v>
      </c>
      <c r="L14" s="78" t="str">
        <f t="shared" si="1"/>
        <v>-</v>
      </c>
      <c r="M14" s="51" t="str">
        <f t="shared" si="2"/>
        <v/>
      </c>
      <c r="N14" s="114"/>
      <c r="O14" s="115"/>
      <c r="P14" s="115"/>
      <c r="Q14" s="115"/>
      <c r="R14" s="115"/>
      <c r="S14" s="116"/>
    </row>
    <row r="15" spans="1:20" ht="12.95" customHeight="1">
      <c r="A15" s="30"/>
      <c r="B15" s="138" t="s">
        <v>21</v>
      </c>
      <c r="C15" s="138"/>
      <c r="D15" s="138"/>
      <c r="E15" s="112"/>
      <c r="F15" s="113"/>
      <c r="G15" s="19" t="s">
        <v>45</v>
      </c>
      <c r="H15" s="48"/>
      <c r="I15" s="87" t="str">
        <f t="shared" si="3"/>
        <v xml:space="preserve"> </v>
      </c>
      <c r="J15" s="50"/>
      <c r="K15" s="87" t="str">
        <f t="shared" si="0"/>
        <v xml:space="preserve"> </v>
      </c>
      <c r="L15" s="78" t="str">
        <f t="shared" si="1"/>
        <v>-</v>
      </c>
      <c r="M15" s="51" t="str">
        <f t="shared" si="2"/>
        <v/>
      </c>
      <c r="N15" s="114"/>
      <c r="O15" s="115"/>
      <c r="P15" s="115"/>
      <c r="Q15" s="115"/>
      <c r="R15" s="115"/>
      <c r="S15" s="116"/>
    </row>
    <row r="16" spans="1:20" ht="12.95" customHeight="1">
      <c r="A16" s="30"/>
      <c r="B16" s="138" t="s">
        <v>1</v>
      </c>
      <c r="C16" s="138"/>
      <c r="D16" s="138"/>
      <c r="E16" s="138"/>
      <c r="F16" s="113"/>
      <c r="G16" s="19" t="s">
        <v>45</v>
      </c>
      <c r="H16" s="48"/>
      <c r="I16" s="87" t="str">
        <f t="shared" si="3"/>
        <v xml:space="preserve"> </v>
      </c>
      <c r="J16" s="50"/>
      <c r="K16" s="87" t="str">
        <f t="shared" si="0"/>
        <v xml:space="preserve"> </v>
      </c>
      <c r="L16" s="78" t="str">
        <f t="shared" si="1"/>
        <v>-</v>
      </c>
      <c r="M16" s="51" t="str">
        <f t="shared" si="2"/>
        <v/>
      </c>
      <c r="N16" s="114"/>
      <c r="O16" s="115"/>
      <c r="P16" s="115"/>
      <c r="Q16" s="115"/>
      <c r="R16" s="115"/>
      <c r="S16" s="116"/>
    </row>
    <row r="17" spans="1:19" ht="12.95" customHeight="1">
      <c r="A17" s="30"/>
      <c r="B17" s="138" t="s">
        <v>22</v>
      </c>
      <c r="C17" s="138"/>
      <c r="D17" s="138"/>
      <c r="E17" s="138"/>
      <c r="F17" s="113"/>
      <c r="G17" s="19" t="s">
        <v>45</v>
      </c>
      <c r="H17" s="48"/>
      <c r="I17" s="87" t="str">
        <f t="shared" si="3"/>
        <v xml:space="preserve"> </v>
      </c>
      <c r="J17" s="50"/>
      <c r="K17" s="87" t="str">
        <f t="shared" si="0"/>
        <v xml:space="preserve"> </v>
      </c>
      <c r="L17" s="78" t="str">
        <f t="shared" si="1"/>
        <v>-</v>
      </c>
      <c r="M17" s="51" t="str">
        <f t="shared" si="2"/>
        <v/>
      </c>
      <c r="N17" s="114"/>
      <c r="O17" s="115"/>
      <c r="P17" s="115"/>
      <c r="Q17" s="115"/>
      <c r="R17" s="115"/>
      <c r="S17" s="116"/>
    </row>
    <row r="18" spans="1:19" ht="12.95" customHeight="1">
      <c r="A18" s="30"/>
      <c r="B18" s="138" t="s">
        <v>23</v>
      </c>
      <c r="C18" s="138"/>
      <c r="D18" s="138"/>
      <c r="E18" s="138"/>
      <c r="F18" s="113"/>
      <c r="G18" s="19" t="s">
        <v>45</v>
      </c>
      <c r="H18" s="48"/>
      <c r="I18" s="87" t="str">
        <f t="shared" si="3"/>
        <v xml:space="preserve"> </v>
      </c>
      <c r="J18" s="50"/>
      <c r="K18" s="87" t="str">
        <f t="shared" si="0"/>
        <v xml:space="preserve"> </v>
      </c>
      <c r="L18" s="78" t="str">
        <f t="shared" si="1"/>
        <v>-</v>
      </c>
      <c r="M18" s="51" t="str">
        <f t="shared" si="2"/>
        <v/>
      </c>
      <c r="N18" s="114"/>
      <c r="O18" s="115"/>
      <c r="P18" s="115"/>
      <c r="Q18" s="115"/>
      <c r="R18" s="115"/>
      <c r="S18" s="116"/>
    </row>
    <row r="19" spans="1:19" ht="12.95" customHeight="1">
      <c r="A19" s="30"/>
      <c r="B19" s="138" t="s">
        <v>2</v>
      </c>
      <c r="C19" s="138"/>
      <c r="D19" s="138"/>
      <c r="E19" s="138"/>
      <c r="F19" s="113"/>
      <c r="G19" s="19" t="s">
        <v>45</v>
      </c>
      <c r="H19" s="48"/>
      <c r="I19" s="87" t="str">
        <f t="shared" si="3"/>
        <v xml:space="preserve"> </v>
      </c>
      <c r="J19" s="50"/>
      <c r="K19" s="87" t="str">
        <f t="shared" si="0"/>
        <v xml:space="preserve"> </v>
      </c>
      <c r="L19" s="78" t="str">
        <f t="shared" si="1"/>
        <v>-</v>
      </c>
      <c r="M19" s="51" t="str">
        <f t="shared" si="2"/>
        <v/>
      </c>
      <c r="N19" s="114"/>
      <c r="O19" s="115"/>
      <c r="P19" s="115"/>
      <c r="Q19" s="115"/>
      <c r="R19" s="115"/>
      <c r="S19" s="116"/>
    </row>
    <row r="20" spans="1:19" ht="12.95" customHeight="1">
      <c r="A20" s="30"/>
      <c r="B20" s="138" t="s">
        <v>3</v>
      </c>
      <c r="C20" s="138"/>
      <c r="D20" s="138"/>
      <c r="E20" s="138"/>
      <c r="F20" s="113"/>
      <c r="G20" s="19" t="s">
        <v>45</v>
      </c>
      <c r="H20" s="48"/>
      <c r="I20" s="87" t="str">
        <f t="shared" si="3"/>
        <v xml:space="preserve"> </v>
      </c>
      <c r="J20" s="50"/>
      <c r="K20" s="87" t="str">
        <f t="shared" si="0"/>
        <v xml:space="preserve"> </v>
      </c>
      <c r="L20" s="78" t="str">
        <f t="shared" si="1"/>
        <v>-</v>
      </c>
      <c r="M20" s="51" t="str">
        <f t="shared" si="2"/>
        <v/>
      </c>
      <c r="N20" s="114"/>
      <c r="O20" s="115"/>
      <c r="P20" s="115"/>
      <c r="Q20" s="115"/>
      <c r="R20" s="115"/>
      <c r="S20" s="116"/>
    </row>
    <row r="21" spans="1:19" ht="12.95" customHeight="1">
      <c r="A21" s="30"/>
      <c r="B21" s="138" t="s">
        <v>4</v>
      </c>
      <c r="C21" s="138"/>
      <c r="D21" s="138"/>
      <c r="E21" s="138"/>
      <c r="F21" s="113"/>
      <c r="G21" s="19" t="s">
        <v>45</v>
      </c>
      <c r="H21" s="48"/>
      <c r="I21" s="87" t="str">
        <f t="shared" si="3"/>
        <v xml:space="preserve"> </v>
      </c>
      <c r="J21" s="50"/>
      <c r="K21" s="87" t="str">
        <f t="shared" si="0"/>
        <v xml:space="preserve"> </v>
      </c>
      <c r="L21" s="78" t="str">
        <f t="shared" si="1"/>
        <v>-</v>
      </c>
      <c r="M21" s="51" t="str">
        <f t="shared" si="2"/>
        <v/>
      </c>
      <c r="N21" s="114"/>
      <c r="O21" s="115"/>
      <c r="P21" s="115"/>
      <c r="Q21" s="115"/>
      <c r="R21" s="115"/>
      <c r="S21" s="116"/>
    </row>
    <row r="22" spans="1:19" ht="12.95" customHeight="1">
      <c r="A22" s="31"/>
      <c r="B22" s="138" t="s">
        <v>5</v>
      </c>
      <c r="C22" s="138"/>
      <c r="D22" s="138"/>
      <c r="E22" s="138"/>
      <c r="F22" s="113"/>
      <c r="G22" s="19" t="s">
        <v>45</v>
      </c>
      <c r="H22" s="48"/>
      <c r="I22" s="87" t="str">
        <f t="shared" si="3"/>
        <v xml:space="preserve"> </v>
      </c>
      <c r="J22" s="50"/>
      <c r="K22" s="87" t="str">
        <f t="shared" si="0"/>
        <v xml:space="preserve"> </v>
      </c>
      <c r="L22" s="78" t="str">
        <f t="shared" si="1"/>
        <v>-</v>
      </c>
      <c r="M22" s="51" t="str">
        <f t="shared" si="2"/>
        <v/>
      </c>
      <c r="N22" s="114"/>
      <c r="O22" s="115"/>
      <c r="P22" s="115"/>
      <c r="Q22" s="115"/>
      <c r="R22" s="115"/>
      <c r="S22" s="116"/>
    </row>
    <row r="23" spans="1:19" ht="12.95" customHeight="1">
      <c r="A23" s="139" t="s">
        <v>6</v>
      </c>
      <c r="B23" s="140"/>
      <c r="C23" s="140"/>
      <c r="D23" s="140"/>
      <c r="E23" s="140"/>
      <c r="F23" s="141"/>
      <c r="G23" s="20" t="s">
        <v>45</v>
      </c>
      <c r="H23" s="48"/>
      <c r="I23" s="87" t="str">
        <f t="shared" si="3"/>
        <v xml:space="preserve"> </v>
      </c>
      <c r="J23" s="50"/>
      <c r="K23" s="87" t="str">
        <f t="shared" si="0"/>
        <v xml:space="preserve"> </v>
      </c>
      <c r="L23" s="78" t="str">
        <f t="shared" si="1"/>
        <v>-</v>
      </c>
      <c r="M23" s="51" t="str">
        <f t="shared" si="2"/>
        <v/>
      </c>
      <c r="N23" s="114"/>
      <c r="O23" s="115"/>
      <c r="P23" s="115"/>
      <c r="Q23" s="115"/>
      <c r="R23" s="115"/>
      <c r="S23" s="116"/>
    </row>
    <row r="24" spans="1:19" ht="12.95" customHeight="1">
      <c r="A24" s="28"/>
      <c r="B24" s="142" t="s">
        <v>33</v>
      </c>
      <c r="C24" s="143"/>
      <c r="D24" s="143"/>
      <c r="E24" s="143"/>
      <c r="F24" s="143"/>
      <c r="G24" s="21" t="s">
        <v>45</v>
      </c>
      <c r="H24" s="48"/>
      <c r="I24" s="87" t="str">
        <f t="shared" si="3"/>
        <v xml:space="preserve"> </v>
      </c>
      <c r="J24" s="50"/>
      <c r="K24" s="87" t="str">
        <f t="shared" si="0"/>
        <v xml:space="preserve"> </v>
      </c>
      <c r="L24" s="78" t="str">
        <f t="shared" si="1"/>
        <v>-</v>
      </c>
      <c r="M24" s="51" t="str">
        <f t="shared" si="2"/>
        <v/>
      </c>
      <c r="N24" s="114"/>
      <c r="O24" s="115"/>
      <c r="P24" s="115"/>
      <c r="Q24" s="115"/>
      <c r="R24" s="115"/>
      <c r="S24" s="116"/>
    </row>
    <row r="25" spans="1:19" ht="12.95" customHeight="1">
      <c r="A25" s="128" t="s">
        <v>7</v>
      </c>
      <c r="B25" s="112"/>
      <c r="C25" s="112"/>
      <c r="D25" s="112"/>
      <c r="E25" s="112"/>
      <c r="F25" s="113"/>
      <c r="G25" s="19" t="s">
        <v>45</v>
      </c>
      <c r="H25" s="48"/>
      <c r="I25" s="87" t="str">
        <f t="shared" si="3"/>
        <v xml:space="preserve"> </v>
      </c>
      <c r="J25" s="50"/>
      <c r="K25" s="87" t="str">
        <f t="shared" si="0"/>
        <v xml:space="preserve"> </v>
      </c>
      <c r="L25" s="78" t="str">
        <f t="shared" si="1"/>
        <v>-</v>
      </c>
      <c r="M25" s="51" t="str">
        <f t="shared" si="2"/>
        <v/>
      </c>
      <c r="N25" s="114"/>
      <c r="O25" s="115"/>
      <c r="P25" s="115"/>
      <c r="Q25" s="115"/>
      <c r="R25" s="115"/>
      <c r="S25" s="116"/>
    </row>
    <row r="26" spans="1:19" ht="12.95" customHeight="1">
      <c r="A26" s="128" t="s">
        <v>8</v>
      </c>
      <c r="B26" s="112"/>
      <c r="C26" s="112"/>
      <c r="D26" s="112"/>
      <c r="E26" s="112"/>
      <c r="F26" s="113"/>
      <c r="G26" s="19" t="s">
        <v>45</v>
      </c>
      <c r="H26" s="48"/>
      <c r="I26" s="58"/>
      <c r="J26" s="50"/>
      <c r="K26" s="58"/>
      <c r="L26" s="78" t="str">
        <f t="shared" si="1"/>
        <v>-</v>
      </c>
      <c r="M26" s="51" t="str">
        <f t="shared" si="2"/>
        <v/>
      </c>
      <c r="N26" s="114"/>
      <c r="O26" s="115"/>
      <c r="P26" s="115"/>
      <c r="Q26" s="115"/>
      <c r="R26" s="115"/>
      <c r="S26" s="116"/>
    </row>
    <row r="27" spans="1:19" ht="12.95" customHeight="1">
      <c r="A27" s="111" t="s">
        <v>9</v>
      </c>
      <c r="B27" s="112"/>
      <c r="C27" s="112"/>
      <c r="D27" s="112"/>
      <c r="E27" s="112"/>
      <c r="F27" s="113"/>
      <c r="G27" s="19" t="s">
        <v>45</v>
      </c>
      <c r="H27" s="48"/>
      <c r="I27" s="58"/>
      <c r="J27" s="50"/>
      <c r="K27" s="58"/>
      <c r="L27" s="78" t="str">
        <f t="shared" si="1"/>
        <v>-</v>
      </c>
      <c r="M27" s="51" t="str">
        <f t="shared" si="2"/>
        <v/>
      </c>
      <c r="N27" s="114"/>
      <c r="O27" s="115"/>
      <c r="P27" s="115"/>
      <c r="Q27" s="115"/>
      <c r="R27" s="115"/>
      <c r="S27" s="116"/>
    </row>
    <row r="28" spans="1:19" ht="12.95" customHeight="1">
      <c r="A28" s="128" t="s">
        <v>10</v>
      </c>
      <c r="B28" s="112"/>
      <c r="C28" s="112"/>
      <c r="D28" s="112"/>
      <c r="E28" s="112"/>
      <c r="F28" s="113"/>
      <c r="G28" s="19" t="s">
        <v>45</v>
      </c>
      <c r="H28" s="48"/>
      <c r="I28" s="58"/>
      <c r="J28" s="50"/>
      <c r="K28" s="58"/>
      <c r="L28" s="78" t="str">
        <f t="shared" si="1"/>
        <v>-</v>
      </c>
      <c r="M28" s="51" t="str">
        <f t="shared" si="2"/>
        <v/>
      </c>
      <c r="N28" s="114"/>
      <c r="O28" s="115"/>
      <c r="P28" s="115"/>
      <c r="Q28" s="115"/>
      <c r="R28" s="115"/>
      <c r="S28" s="116"/>
    </row>
    <row r="29" spans="1:19" ht="12.95" customHeight="1">
      <c r="A29" s="128" t="s">
        <v>24</v>
      </c>
      <c r="B29" s="112"/>
      <c r="C29" s="112"/>
      <c r="D29" s="112"/>
      <c r="E29" s="112"/>
      <c r="F29" s="113"/>
      <c r="G29" s="19" t="s">
        <v>45</v>
      </c>
      <c r="H29" s="48"/>
      <c r="I29" s="58"/>
      <c r="J29" s="50"/>
      <c r="K29" s="58"/>
      <c r="L29" s="78" t="str">
        <f t="shared" si="1"/>
        <v>-</v>
      </c>
      <c r="M29" s="51" t="str">
        <f t="shared" si="2"/>
        <v/>
      </c>
      <c r="N29" s="114"/>
      <c r="O29" s="115"/>
      <c r="P29" s="115"/>
      <c r="Q29" s="115"/>
      <c r="R29" s="115"/>
      <c r="S29" s="116"/>
    </row>
    <row r="30" spans="1:19" ht="12.95" customHeight="1">
      <c r="A30" s="111" t="s">
        <v>11</v>
      </c>
      <c r="B30" s="112"/>
      <c r="C30" s="112"/>
      <c r="D30" s="112"/>
      <c r="E30" s="112"/>
      <c r="F30" s="113"/>
      <c r="G30" s="19" t="s">
        <v>45</v>
      </c>
      <c r="H30" s="48"/>
      <c r="I30" s="58"/>
      <c r="J30" s="50"/>
      <c r="K30" s="58"/>
      <c r="L30" s="78" t="str">
        <f t="shared" si="1"/>
        <v>-</v>
      </c>
      <c r="M30" s="51" t="str">
        <f t="shared" si="2"/>
        <v/>
      </c>
      <c r="N30" s="114"/>
      <c r="O30" s="115"/>
      <c r="P30" s="115"/>
      <c r="Q30" s="115"/>
      <c r="R30" s="115"/>
      <c r="S30" s="116"/>
    </row>
    <row r="31" spans="1:19" ht="12.95" customHeight="1">
      <c r="A31" s="128" t="s">
        <v>12</v>
      </c>
      <c r="B31" s="112"/>
      <c r="C31" s="112"/>
      <c r="D31" s="112"/>
      <c r="E31" s="112"/>
      <c r="F31" s="113"/>
      <c r="G31" s="19" t="s">
        <v>45</v>
      </c>
      <c r="H31" s="48"/>
      <c r="I31" s="58"/>
      <c r="J31" s="50"/>
      <c r="K31" s="58"/>
      <c r="L31" s="78" t="str">
        <f t="shared" si="1"/>
        <v>-</v>
      </c>
      <c r="M31" s="51" t="str">
        <f t="shared" si="2"/>
        <v/>
      </c>
      <c r="N31" s="114"/>
      <c r="O31" s="115"/>
      <c r="P31" s="115"/>
      <c r="Q31" s="115"/>
      <c r="R31" s="115"/>
      <c r="S31" s="116"/>
    </row>
    <row r="32" spans="1:19" ht="12.95" customHeight="1">
      <c r="A32" s="128" t="s">
        <v>13</v>
      </c>
      <c r="B32" s="112"/>
      <c r="C32" s="112"/>
      <c r="D32" s="112"/>
      <c r="E32" s="112"/>
      <c r="F32" s="113"/>
      <c r="G32" s="19" t="s">
        <v>45</v>
      </c>
      <c r="H32" s="48"/>
      <c r="I32" s="58"/>
      <c r="J32" s="50"/>
      <c r="K32" s="58"/>
      <c r="L32" s="78" t="str">
        <f t="shared" si="1"/>
        <v>-</v>
      </c>
      <c r="M32" s="51" t="str">
        <f t="shared" si="2"/>
        <v/>
      </c>
      <c r="N32" s="114"/>
      <c r="O32" s="115"/>
      <c r="P32" s="115"/>
      <c r="Q32" s="115"/>
      <c r="R32" s="115"/>
      <c r="S32" s="116"/>
    </row>
    <row r="33" spans="1:19" ht="12.95" customHeight="1">
      <c r="A33" s="111" t="s">
        <v>14</v>
      </c>
      <c r="B33" s="112"/>
      <c r="C33" s="112"/>
      <c r="D33" s="112"/>
      <c r="E33" s="112"/>
      <c r="F33" s="113"/>
      <c r="G33" s="19" t="s">
        <v>45</v>
      </c>
      <c r="H33" s="48"/>
      <c r="I33" s="58"/>
      <c r="J33" s="50"/>
      <c r="K33" s="58"/>
      <c r="L33" s="78" t="str">
        <f t="shared" si="1"/>
        <v>-</v>
      </c>
      <c r="M33" s="51" t="str">
        <f t="shared" si="2"/>
        <v/>
      </c>
      <c r="N33" s="114"/>
      <c r="O33" s="115"/>
      <c r="P33" s="115"/>
      <c r="Q33" s="115"/>
      <c r="R33" s="115"/>
      <c r="S33" s="116"/>
    </row>
    <row r="34" spans="1:19" ht="12.95" customHeight="1">
      <c r="A34" s="10"/>
      <c r="B34" s="121" t="s">
        <v>56</v>
      </c>
      <c r="C34" s="112"/>
      <c r="D34" s="112"/>
      <c r="E34" s="112"/>
      <c r="F34" s="113"/>
      <c r="G34" s="20" t="s">
        <v>45</v>
      </c>
      <c r="H34" s="59"/>
      <c r="I34" s="60"/>
      <c r="J34" s="61"/>
      <c r="K34" s="62"/>
      <c r="L34" s="80" t="str">
        <f t="shared" si="1"/>
        <v>-</v>
      </c>
      <c r="M34" s="63" t="str">
        <f t="shared" si="2"/>
        <v/>
      </c>
      <c r="N34" s="114"/>
      <c r="O34" s="115"/>
      <c r="P34" s="115"/>
      <c r="Q34" s="115"/>
      <c r="R34" s="115"/>
      <c r="S34" s="116"/>
    </row>
    <row r="35" spans="1:19" ht="12.95" customHeight="1">
      <c r="A35" s="125" t="s">
        <v>15</v>
      </c>
      <c r="B35" s="126"/>
      <c r="C35" s="126"/>
      <c r="D35" s="126"/>
      <c r="E35" s="126"/>
      <c r="F35" s="127"/>
      <c r="G35" s="22" t="s">
        <v>46</v>
      </c>
      <c r="H35" s="88"/>
      <c r="I35" s="65"/>
      <c r="J35" s="91"/>
      <c r="K35" s="65"/>
      <c r="L35" s="81" t="str">
        <f t="shared" si="1"/>
        <v>-</v>
      </c>
      <c r="M35" s="94" t="str">
        <f t="shared" si="2"/>
        <v/>
      </c>
      <c r="N35" s="114"/>
      <c r="O35" s="115"/>
      <c r="P35" s="115"/>
      <c r="Q35" s="115"/>
      <c r="R35" s="115"/>
      <c r="S35" s="116"/>
    </row>
    <row r="36" spans="1:19" ht="12.95" customHeight="1">
      <c r="A36" s="11"/>
      <c r="B36" s="132" t="s">
        <v>34</v>
      </c>
      <c r="C36" s="133"/>
      <c r="D36" s="133"/>
      <c r="E36" s="133"/>
      <c r="F36" s="133"/>
      <c r="G36" s="23" t="s">
        <v>48</v>
      </c>
      <c r="H36" s="89"/>
      <c r="I36" s="68"/>
      <c r="J36" s="92"/>
      <c r="K36" s="68"/>
      <c r="L36" s="78" t="str">
        <f t="shared" si="1"/>
        <v>-</v>
      </c>
      <c r="M36" s="95" t="str">
        <f t="shared" si="2"/>
        <v/>
      </c>
      <c r="N36" s="114"/>
      <c r="O36" s="115"/>
      <c r="P36" s="115"/>
      <c r="Q36" s="115"/>
      <c r="R36" s="115"/>
      <c r="S36" s="116"/>
    </row>
    <row r="37" spans="1:19" ht="12.95" customHeight="1">
      <c r="A37" s="12"/>
      <c r="B37" s="134" t="s">
        <v>35</v>
      </c>
      <c r="C37" s="130"/>
      <c r="D37" s="130"/>
      <c r="E37" s="130"/>
      <c r="F37" s="130"/>
      <c r="G37" s="24" t="s">
        <v>47</v>
      </c>
      <c r="H37" s="90"/>
      <c r="I37" s="60"/>
      <c r="J37" s="93"/>
      <c r="K37" s="60"/>
      <c r="L37" s="80" t="str">
        <f t="shared" si="1"/>
        <v>-</v>
      </c>
      <c r="M37" s="96" t="str">
        <f t="shared" si="2"/>
        <v/>
      </c>
      <c r="N37" s="114"/>
      <c r="O37" s="115"/>
      <c r="P37" s="115"/>
      <c r="Q37" s="115"/>
      <c r="R37" s="115"/>
      <c r="S37" s="116"/>
    </row>
    <row r="38" spans="1:19" ht="12.95" customHeight="1">
      <c r="A38" s="135" t="s">
        <v>25</v>
      </c>
      <c r="B38" s="136"/>
      <c r="C38" s="136"/>
      <c r="D38" s="136"/>
      <c r="E38" s="136"/>
      <c r="F38" s="137"/>
      <c r="G38" s="22" t="s">
        <v>49</v>
      </c>
      <c r="H38" s="64"/>
      <c r="I38" s="69"/>
      <c r="J38" s="66"/>
      <c r="K38" s="69"/>
      <c r="L38" s="81" t="str">
        <f t="shared" si="1"/>
        <v>-</v>
      </c>
      <c r="M38" s="67" t="str">
        <f t="shared" si="2"/>
        <v/>
      </c>
      <c r="N38" s="114"/>
      <c r="O38" s="115"/>
      <c r="P38" s="115"/>
      <c r="Q38" s="115"/>
      <c r="R38" s="115"/>
      <c r="S38" s="116"/>
    </row>
    <row r="39" spans="1:19" ht="12.95" customHeight="1">
      <c r="A39" s="128" t="s">
        <v>57</v>
      </c>
      <c r="B39" s="112"/>
      <c r="C39" s="112"/>
      <c r="D39" s="112"/>
      <c r="E39" s="112"/>
      <c r="F39" s="112"/>
      <c r="G39" s="25" t="s">
        <v>50</v>
      </c>
      <c r="H39" s="70"/>
      <c r="I39" s="71"/>
      <c r="J39" s="72"/>
      <c r="K39" s="71"/>
      <c r="L39" s="82" t="str">
        <f t="shared" si="1"/>
        <v>-</v>
      </c>
      <c r="M39" s="73" t="str">
        <f t="shared" si="2"/>
        <v/>
      </c>
      <c r="N39" s="114"/>
      <c r="O39" s="115"/>
      <c r="P39" s="115"/>
      <c r="Q39" s="115"/>
      <c r="R39" s="115"/>
      <c r="S39" s="116"/>
    </row>
    <row r="40" spans="1:19" ht="12.95" customHeight="1">
      <c r="A40" s="129" t="s">
        <v>27</v>
      </c>
      <c r="B40" s="130"/>
      <c r="C40" s="130"/>
      <c r="D40" s="130"/>
      <c r="E40" s="130"/>
      <c r="F40" s="131"/>
      <c r="G40" s="24" t="s">
        <v>44</v>
      </c>
      <c r="H40" s="59"/>
      <c r="I40" s="60"/>
      <c r="J40" s="61"/>
      <c r="K40" s="60"/>
      <c r="L40" s="80" t="str">
        <f t="shared" si="1"/>
        <v>-</v>
      </c>
      <c r="M40" s="63" t="str">
        <f t="shared" si="2"/>
        <v/>
      </c>
      <c r="N40" s="114"/>
      <c r="O40" s="115"/>
      <c r="P40" s="115"/>
      <c r="Q40" s="115"/>
      <c r="R40" s="115"/>
      <c r="S40" s="116"/>
    </row>
    <row r="41" spans="1:19" ht="12.95" customHeight="1">
      <c r="A41" s="122" t="s">
        <v>16</v>
      </c>
      <c r="B41" s="123"/>
      <c r="C41" s="123"/>
      <c r="D41" s="123"/>
      <c r="E41" s="123"/>
      <c r="F41" s="124"/>
      <c r="G41" s="18" t="s">
        <v>51</v>
      </c>
      <c r="H41" s="55"/>
      <c r="I41" s="68"/>
      <c r="J41" s="56"/>
      <c r="K41" s="68"/>
      <c r="L41" s="79" t="str">
        <f t="shared" si="1"/>
        <v>-</v>
      </c>
      <c r="M41" s="57" t="str">
        <f t="shared" si="2"/>
        <v/>
      </c>
      <c r="N41" s="114"/>
      <c r="O41" s="115"/>
      <c r="P41" s="115"/>
      <c r="Q41" s="115"/>
      <c r="R41" s="115"/>
      <c r="S41" s="116"/>
    </row>
    <row r="42" spans="1:19" ht="12.95" customHeight="1">
      <c r="A42" s="111" t="s">
        <v>17</v>
      </c>
      <c r="B42" s="112"/>
      <c r="C42" s="112"/>
      <c r="D42" s="112"/>
      <c r="E42" s="112"/>
      <c r="F42" s="113"/>
      <c r="G42" s="19" t="s">
        <v>45</v>
      </c>
      <c r="H42" s="48"/>
      <c r="I42" s="58"/>
      <c r="J42" s="50"/>
      <c r="K42" s="58"/>
      <c r="L42" s="78" t="str">
        <f t="shared" si="1"/>
        <v>-</v>
      </c>
      <c r="M42" s="51" t="str">
        <f t="shared" si="2"/>
        <v/>
      </c>
      <c r="N42" s="114"/>
      <c r="O42" s="115"/>
      <c r="P42" s="115"/>
      <c r="Q42" s="115"/>
      <c r="R42" s="115"/>
      <c r="S42" s="116"/>
    </row>
    <row r="43" spans="1:19" ht="12.95" customHeight="1" thickBot="1">
      <c r="A43" s="17"/>
      <c r="B43" s="117" t="s">
        <v>18</v>
      </c>
      <c r="C43" s="117"/>
      <c r="D43" s="117"/>
      <c r="E43" s="117"/>
      <c r="F43" s="117"/>
      <c r="G43" s="25" t="s">
        <v>45</v>
      </c>
      <c r="H43" s="70"/>
      <c r="I43" s="71"/>
      <c r="J43" s="72"/>
      <c r="K43" s="71"/>
      <c r="L43" s="83" t="str">
        <f t="shared" si="1"/>
        <v>-</v>
      </c>
      <c r="M43" s="73" t="str">
        <f t="shared" si="2"/>
        <v/>
      </c>
      <c r="N43" s="114"/>
      <c r="O43" s="115"/>
      <c r="P43" s="115"/>
      <c r="Q43" s="115"/>
      <c r="R43" s="115"/>
      <c r="S43" s="116"/>
    </row>
    <row r="44" spans="1:19" ht="12.95" customHeight="1" thickTop="1">
      <c r="A44" s="118" t="s">
        <v>31</v>
      </c>
      <c r="B44" s="119"/>
      <c r="C44" s="119"/>
      <c r="D44" s="119"/>
      <c r="E44" s="119"/>
      <c r="F44" s="120"/>
      <c r="G44" s="37"/>
      <c r="H44" s="74"/>
      <c r="I44" s="74"/>
      <c r="J44" s="74"/>
      <c r="K44" s="74"/>
      <c r="L44" s="84"/>
      <c r="M44" s="75"/>
      <c r="N44" s="114"/>
      <c r="O44" s="115"/>
      <c r="P44" s="115"/>
      <c r="Q44" s="115"/>
      <c r="R44" s="115"/>
      <c r="S44" s="116"/>
    </row>
    <row r="45" spans="1:19" ht="12.95" customHeight="1" thickBot="1">
      <c r="A45" s="105" t="s">
        <v>26</v>
      </c>
      <c r="B45" s="106"/>
      <c r="C45" s="106"/>
      <c r="D45" s="106"/>
      <c r="E45" s="106"/>
      <c r="F45" s="107"/>
      <c r="G45" s="26" t="s">
        <v>52</v>
      </c>
      <c r="H45" s="97"/>
      <c r="I45" s="76"/>
      <c r="J45" s="98"/>
      <c r="K45" s="77"/>
      <c r="L45" s="85" t="str">
        <f t="shared" si="1"/>
        <v>-</v>
      </c>
      <c r="M45" s="99" t="str">
        <f>IF(H45-J45=0,"",H45-J45)</f>
        <v/>
      </c>
      <c r="N45" s="108"/>
      <c r="O45" s="109"/>
      <c r="P45" s="109"/>
      <c r="Q45" s="109"/>
      <c r="R45" s="109"/>
      <c r="S45" s="110"/>
    </row>
    <row r="46" spans="1:19" ht="12.95" customHeight="1">
      <c r="N46" s="6"/>
      <c r="O46" s="6"/>
      <c r="P46" s="6"/>
    </row>
    <row r="47" spans="1:19" ht="12.95" customHeight="1">
      <c r="N47" s="6"/>
      <c r="O47" s="6"/>
      <c r="P47" s="6"/>
    </row>
    <row r="48" spans="1:19" ht="12.95" customHeight="1"/>
    <row r="49" ht="12.95" customHeight="1"/>
  </sheetData>
  <mergeCells count="87">
    <mergeCell ref="A1:C1"/>
    <mergeCell ref="A6:F6"/>
    <mergeCell ref="N6:S6"/>
    <mergeCell ref="N4:S5"/>
    <mergeCell ref="A4:F5"/>
    <mergeCell ref="G4:G5"/>
    <mergeCell ref="H4:H5"/>
    <mergeCell ref="J4:J5"/>
    <mergeCell ref="M4:M5"/>
    <mergeCell ref="O1:P1"/>
    <mergeCell ref="Q1:R1"/>
    <mergeCell ref="B12:F12"/>
    <mergeCell ref="N12:S12"/>
    <mergeCell ref="B13:F13"/>
    <mergeCell ref="N13:S13"/>
    <mergeCell ref="B14:F14"/>
    <mergeCell ref="N14:S14"/>
    <mergeCell ref="A7:F7"/>
    <mergeCell ref="N7:S7"/>
    <mergeCell ref="B8:F8"/>
    <mergeCell ref="N8:S8"/>
    <mergeCell ref="B9:F9"/>
    <mergeCell ref="N9:S9"/>
    <mergeCell ref="N15:S15"/>
    <mergeCell ref="B17:F17"/>
    <mergeCell ref="N17:S17"/>
    <mergeCell ref="B18:F18"/>
    <mergeCell ref="N18:S18"/>
    <mergeCell ref="B16:F16"/>
    <mergeCell ref="N16:S16"/>
    <mergeCell ref="B15:F15"/>
    <mergeCell ref="B19:F19"/>
    <mergeCell ref="N19:S19"/>
    <mergeCell ref="B20:F20"/>
    <mergeCell ref="N20:S20"/>
    <mergeCell ref="B21:F21"/>
    <mergeCell ref="N21:S21"/>
    <mergeCell ref="B22:F22"/>
    <mergeCell ref="N22:S22"/>
    <mergeCell ref="A23:F23"/>
    <mergeCell ref="N23:S23"/>
    <mergeCell ref="B24:F24"/>
    <mergeCell ref="N24:S24"/>
    <mergeCell ref="A25:F25"/>
    <mergeCell ref="N25:S25"/>
    <mergeCell ref="A26:F26"/>
    <mergeCell ref="N26:S26"/>
    <mergeCell ref="A27:F27"/>
    <mergeCell ref="N27:S27"/>
    <mergeCell ref="A28:F28"/>
    <mergeCell ref="N28:S28"/>
    <mergeCell ref="A29:F29"/>
    <mergeCell ref="N29:S29"/>
    <mergeCell ref="A30:F30"/>
    <mergeCell ref="N30:S30"/>
    <mergeCell ref="A39:F39"/>
    <mergeCell ref="A40:F40"/>
    <mergeCell ref="N40:S40"/>
    <mergeCell ref="A31:F31"/>
    <mergeCell ref="N31:S31"/>
    <mergeCell ref="A32:F32"/>
    <mergeCell ref="N32:S32"/>
    <mergeCell ref="A33:F33"/>
    <mergeCell ref="N33:S33"/>
    <mergeCell ref="B36:F36"/>
    <mergeCell ref="N36:S36"/>
    <mergeCell ref="B37:F37"/>
    <mergeCell ref="N37:S37"/>
    <mergeCell ref="A38:F38"/>
    <mergeCell ref="N38:S38"/>
    <mergeCell ref="N39:S39"/>
    <mergeCell ref="C11:F11"/>
    <mergeCell ref="C10:F10"/>
    <mergeCell ref="A45:F45"/>
    <mergeCell ref="N45:S45"/>
    <mergeCell ref="A42:F42"/>
    <mergeCell ref="N42:S42"/>
    <mergeCell ref="B43:F43"/>
    <mergeCell ref="N43:S43"/>
    <mergeCell ref="A44:F44"/>
    <mergeCell ref="N44:S44"/>
    <mergeCell ref="B34:F34"/>
    <mergeCell ref="N34:S34"/>
    <mergeCell ref="A41:F41"/>
    <mergeCell ref="N41:S41"/>
    <mergeCell ref="A35:F35"/>
    <mergeCell ref="N35:S35"/>
  </mergeCells>
  <phoneticPr fontId="1"/>
  <printOptions horizontalCentered="1" verticalCentered="1"/>
  <pageMargins left="0.39370078740157483" right="0.39370078740157483" top="0.59055118110236227" bottom="0.39370078740157483" header="0.31496062992125984" footer="0.19685039370078741"/>
  <pageSetup paperSize="9" scale="98" fitToWidth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ED15-8D48-42E9-91CC-61E3B9351C1B}">
  <dimension ref="A2:B74"/>
  <sheetViews>
    <sheetView topLeftCell="A7" workbookViewId="0">
      <selection activeCell="B75" sqref="B75"/>
    </sheetView>
  </sheetViews>
  <sheetFormatPr defaultColWidth="9" defaultRowHeight="13.5"/>
  <cols>
    <col min="1" max="1" width="16.875" style="41" bestFit="1" customWidth="1"/>
    <col min="2" max="2" width="9" style="41"/>
    <col min="3" max="16384" width="9" style="40"/>
  </cols>
  <sheetData>
    <row r="2" spans="1:2">
      <c r="A2" s="39" t="s">
        <v>61</v>
      </c>
      <c r="B2" s="39" t="s">
        <v>62</v>
      </c>
    </row>
    <row r="3" spans="1:2">
      <c r="A3" s="39" t="s">
        <v>63</v>
      </c>
      <c r="B3" s="39">
        <v>0</v>
      </c>
    </row>
    <row r="4" spans="1:2">
      <c r="A4" s="39" t="s">
        <v>64</v>
      </c>
      <c r="B4" s="39">
        <v>60</v>
      </c>
    </row>
    <row r="5" spans="1:2">
      <c r="A5" s="39" t="s">
        <v>65</v>
      </c>
      <c r="B5" s="39">
        <v>1</v>
      </c>
    </row>
    <row r="6" spans="1:2">
      <c r="A6" s="39" t="s">
        <v>66</v>
      </c>
      <c r="B6" s="39">
        <v>61</v>
      </c>
    </row>
    <row r="7" spans="1:2">
      <c r="A7" s="39" t="s">
        <v>67</v>
      </c>
      <c r="B7" s="39">
        <v>62</v>
      </c>
    </row>
    <row r="8" spans="1:2">
      <c r="A8" s="39" t="s">
        <v>68</v>
      </c>
      <c r="B8" s="39">
        <v>63</v>
      </c>
    </row>
    <row r="9" spans="1:2">
      <c r="A9" s="39" t="s">
        <v>69</v>
      </c>
      <c r="B9" s="39">
        <v>67</v>
      </c>
    </row>
    <row r="10" spans="1:2">
      <c r="A10" s="39" t="s">
        <v>70</v>
      </c>
      <c r="B10" s="39">
        <v>68</v>
      </c>
    </row>
    <row r="11" spans="1:2">
      <c r="A11" s="39" t="s">
        <v>71</v>
      </c>
      <c r="B11" s="39">
        <v>71</v>
      </c>
    </row>
    <row r="12" spans="1:2">
      <c r="A12" s="39" t="s">
        <v>72</v>
      </c>
      <c r="B12" s="39">
        <v>74</v>
      </c>
    </row>
    <row r="13" spans="1:2">
      <c r="A13" s="39" t="s">
        <v>73</v>
      </c>
      <c r="B13" s="39">
        <v>75</v>
      </c>
    </row>
    <row r="14" spans="1:2">
      <c r="A14" s="39" t="s">
        <v>74</v>
      </c>
      <c r="B14" s="39">
        <v>47</v>
      </c>
    </row>
    <row r="15" spans="1:2">
      <c r="A15" s="39" t="s">
        <v>75</v>
      </c>
      <c r="B15" s="39">
        <v>64</v>
      </c>
    </row>
    <row r="16" spans="1:2">
      <c r="A16" s="39" t="s">
        <v>76</v>
      </c>
      <c r="B16" s="39">
        <v>65</v>
      </c>
    </row>
    <row r="17" spans="1:2">
      <c r="A17" s="39" t="s">
        <v>77</v>
      </c>
      <c r="B17" s="39">
        <v>66</v>
      </c>
    </row>
    <row r="18" spans="1:2">
      <c r="A18" s="39" t="s">
        <v>78</v>
      </c>
      <c r="B18" s="39">
        <v>69</v>
      </c>
    </row>
    <row r="19" spans="1:2">
      <c r="A19" s="39" t="s">
        <v>79</v>
      </c>
      <c r="B19" s="39">
        <v>70</v>
      </c>
    </row>
    <row r="20" spans="1:2">
      <c r="A20" s="39" t="s">
        <v>80</v>
      </c>
      <c r="B20" s="39">
        <v>72</v>
      </c>
    </row>
    <row r="21" spans="1:2">
      <c r="A21" s="39" t="s">
        <v>81</v>
      </c>
      <c r="B21" s="39">
        <v>73</v>
      </c>
    </row>
    <row r="22" spans="1:2">
      <c r="A22" s="39" t="s">
        <v>82</v>
      </c>
      <c r="B22" s="39">
        <v>76</v>
      </c>
    </row>
    <row r="23" spans="1:2">
      <c r="A23" s="39" t="s">
        <v>83</v>
      </c>
      <c r="B23" s="39">
        <v>77</v>
      </c>
    </row>
    <row r="24" spans="1:2">
      <c r="A24" s="39" t="s">
        <v>84</v>
      </c>
      <c r="B24" s="39">
        <v>93</v>
      </c>
    </row>
    <row r="25" spans="1:2">
      <c r="A25" s="39" t="s">
        <v>85</v>
      </c>
      <c r="B25" s="39">
        <v>94</v>
      </c>
    </row>
    <row r="26" spans="1:2">
      <c r="A26" s="39" t="s">
        <v>86</v>
      </c>
      <c r="B26" s="39">
        <v>95</v>
      </c>
    </row>
    <row r="27" spans="1:2">
      <c r="A27" s="39" t="s">
        <v>87</v>
      </c>
      <c r="B27" s="39">
        <v>2</v>
      </c>
    </row>
    <row r="28" spans="1:2">
      <c r="A28" s="39" t="s">
        <v>88</v>
      </c>
      <c r="B28" s="39">
        <v>3</v>
      </c>
    </row>
    <row r="29" spans="1:2">
      <c r="A29" s="39" t="s">
        <v>89</v>
      </c>
      <c r="B29" s="39">
        <v>4</v>
      </c>
    </row>
    <row r="30" spans="1:2">
      <c r="A30" s="39" t="s">
        <v>90</v>
      </c>
      <c r="B30" s="39">
        <v>5</v>
      </c>
    </row>
    <row r="31" spans="1:2">
      <c r="A31" s="39" t="s">
        <v>91</v>
      </c>
      <c r="B31" s="39">
        <v>6</v>
      </c>
    </row>
    <row r="32" spans="1:2">
      <c r="A32" s="39" t="s">
        <v>92</v>
      </c>
      <c r="B32" s="39">
        <v>7</v>
      </c>
    </row>
    <row r="33" spans="1:2">
      <c r="A33" s="39" t="s">
        <v>93</v>
      </c>
      <c r="B33" s="39">
        <v>8</v>
      </c>
    </row>
    <row r="34" spans="1:2">
      <c r="A34" s="39" t="s">
        <v>94</v>
      </c>
      <c r="B34" s="39">
        <v>9</v>
      </c>
    </row>
    <row r="35" spans="1:2">
      <c r="A35" s="39" t="s">
        <v>95</v>
      </c>
      <c r="B35" s="39">
        <v>10</v>
      </c>
    </row>
    <row r="36" spans="1:2">
      <c r="A36" s="39" t="s">
        <v>96</v>
      </c>
      <c r="B36" s="39">
        <v>11</v>
      </c>
    </row>
    <row r="37" spans="1:2">
      <c r="A37" s="39" t="s">
        <v>97</v>
      </c>
      <c r="B37" s="39">
        <v>12</v>
      </c>
    </row>
    <row r="38" spans="1:2">
      <c r="A38" s="39" t="s">
        <v>98</v>
      </c>
      <c r="B38" s="39">
        <v>13</v>
      </c>
    </row>
    <row r="39" spans="1:2">
      <c r="A39" s="39" t="s">
        <v>99</v>
      </c>
      <c r="B39" s="39">
        <v>14</v>
      </c>
    </row>
    <row r="40" spans="1:2">
      <c r="A40" s="39" t="s">
        <v>100</v>
      </c>
      <c r="B40" s="39">
        <v>15</v>
      </c>
    </row>
    <row r="41" spans="1:2">
      <c r="A41" s="39" t="s">
        <v>101</v>
      </c>
      <c r="B41" s="39">
        <v>16</v>
      </c>
    </row>
    <row r="42" spans="1:2">
      <c r="A42" s="39" t="s">
        <v>102</v>
      </c>
      <c r="B42" s="39">
        <v>17</v>
      </c>
    </row>
    <row r="43" spans="1:2">
      <c r="A43" s="39" t="s">
        <v>103</v>
      </c>
      <c r="B43" s="39">
        <v>18</v>
      </c>
    </row>
    <row r="44" spans="1:2">
      <c r="A44" s="39" t="s">
        <v>104</v>
      </c>
      <c r="B44" s="39">
        <v>19</v>
      </c>
    </row>
    <row r="45" spans="1:2">
      <c r="A45" s="39" t="s">
        <v>105</v>
      </c>
      <c r="B45" s="39">
        <v>20</v>
      </c>
    </row>
    <row r="46" spans="1:2">
      <c r="A46" s="39" t="s">
        <v>106</v>
      </c>
      <c r="B46" s="39">
        <v>21</v>
      </c>
    </row>
    <row r="47" spans="1:2">
      <c r="A47" s="39" t="s">
        <v>107</v>
      </c>
      <c r="B47" s="39">
        <v>22</v>
      </c>
    </row>
    <row r="48" spans="1:2">
      <c r="A48" s="39" t="s">
        <v>108</v>
      </c>
      <c r="B48" s="39">
        <v>23</v>
      </c>
    </row>
    <row r="49" spans="1:2">
      <c r="A49" s="39" t="s">
        <v>109</v>
      </c>
      <c r="B49" s="39">
        <v>24</v>
      </c>
    </row>
    <row r="50" spans="1:2">
      <c r="A50" s="39" t="s">
        <v>110</v>
      </c>
      <c r="B50" s="39">
        <v>25</v>
      </c>
    </row>
    <row r="51" spans="1:2">
      <c r="A51" s="39" t="s">
        <v>111</v>
      </c>
      <c r="B51" s="39">
        <v>26</v>
      </c>
    </row>
    <row r="52" spans="1:2">
      <c r="A52" s="39" t="s">
        <v>112</v>
      </c>
      <c r="B52" s="39">
        <v>27</v>
      </c>
    </row>
    <row r="53" spans="1:2">
      <c r="A53" s="39" t="s">
        <v>113</v>
      </c>
      <c r="B53" s="39">
        <v>28</v>
      </c>
    </row>
    <row r="54" spans="1:2">
      <c r="A54" s="39" t="s">
        <v>114</v>
      </c>
      <c r="B54" s="39">
        <v>29</v>
      </c>
    </row>
    <row r="55" spans="1:2">
      <c r="A55" s="39" t="s">
        <v>115</v>
      </c>
      <c r="B55" s="39">
        <v>30</v>
      </c>
    </row>
    <row r="56" spans="1:2">
      <c r="A56" s="39" t="s">
        <v>116</v>
      </c>
      <c r="B56" s="39">
        <v>31</v>
      </c>
    </row>
    <row r="57" spans="1:2">
      <c r="A57" s="39" t="s">
        <v>117</v>
      </c>
      <c r="B57" s="39">
        <v>32</v>
      </c>
    </row>
    <row r="58" spans="1:2">
      <c r="A58" s="39" t="s">
        <v>118</v>
      </c>
      <c r="B58" s="39">
        <v>33</v>
      </c>
    </row>
    <row r="59" spans="1:2">
      <c r="A59" s="39" t="s">
        <v>119</v>
      </c>
      <c r="B59" s="39">
        <v>34</v>
      </c>
    </row>
    <row r="60" spans="1:2">
      <c r="A60" s="39" t="s">
        <v>120</v>
      </c>
      <c r="B60" s="39">
        <v>35</v>
      </c>
    </row>
    <row r="61" spans="1:2">
      <c r="A61" s="39" t="s">
        <v>121</v>
      </c>
      <c r="B61" s="39">
        <v>36</v>
      </c>
    </row>
    <row r="62" spans="1:2">
      <c r="A62" s="39" t="s">
        <v>122</v>
      </c>
      <c r="B62" s="39">
        <v>37</v>
      </c>
    </row>
    <row r="63" spans="1:2">
      <c r="A63" s="39" t="s">
        <v>123</v>
      </c>
      <c r="B63" s="39">
        <v>38</v>
      </c>
    </row>
    <row r="64" spans="1:2">
      <c r="A64" s="39" t="s">
        <v>124</v>
      </c>
      <c r="B64" s="39">
        <v>39</v>
      </c>
    </row>
    <row r="65" spans="1:2">
      <c r="A65" s="39" t="s">
        <v>125</v>
      </c>
      <c r="B65" s="39">
        <v>40</v>
      </c>
    </row>
    <row r="66" spans="1:2">
      <c r="A66" s="39" t="s">
        <v>126</v>
      </c>
      <c r="B66" s="39">
        <v>41</v>
      </c>
    </row>
    <row r="67" spans="1:2">
      <c r="A67" s="39" t="s">
        <v>127</v>
      </c>
      <c r="B67" s="39">
        <v>42</v>
      </c>
    </row>
    <row r="68" spans="1:2">
      <c r="A68" s="39" t="s">
        <v>128</v>
      </c>
      <c r="B68" s="39">
        <v>43</v>
      </c>
    </row>
    <row r="69" spans="1:2">
      <c r="A69" s="39" t="s">
        <v>129</v>
      </c>
      <c r="B69" s="39">
        <v>44</v>
      </c>
    </row>
    <row r="70" spans="1:2">
      <c r="A70" s="39" t="s">
        <v>130</v>
      </c>
      <c r="B70" s="39">
        <v>45</v>
      </c>
    </row>
    <row r="71" spans="1:2">
      <c r="A71" s="39" t="s">
        <v>131</v>
      </c>
      <c r="B71" s="39">
        <v>46</v>
      </c>
    </row>
    <row r="73" spans="1:2">
      <c r="B73" s="42" t="s">
        <v>62</v>
      </c>
    </row>
    <row r="74" spans="1:2">
      <c r="B74" s="43" t="str">
        <f>"="&amp;牛乳!Q2</f>
        <v>=</v>
      </c>
    </row>
  </sheetData>
  <phoneticPr fontId="1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牛乳</vt:lpstr>
      <vt:lpstr>リスト</vt:lpstr>
      <vt:lpstr>牛乳!Print_Area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　</cp:lastModifiedBy>
  <cp:lastPrinted>2022-10-25T11:37:27Z</cp:lastPrinted>
  <dcterms:created xsi:type="dcterms:W3CDTF">2003-10-30T02:07:33Z</dcterms:created>
  <dcterms:modified xsi:type="dcterms:W3CDTF">2023-03-23T02:12:47Z</dcterms:modified>
</cp:coreProperties>
</file>