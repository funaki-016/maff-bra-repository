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05" yWindow="-105" windowWidth="23250" windowHeight="12570"/>
  </bookViews>
  <sheets>
    <sheet name="№１" sheetId="6" r:id="rId1"/>
    <sheet name="№２" sheetId="3" r:id="rId2"/>
    <sheet name="№３" sheetId="5" r:id="rId3"/>
  </sheets>
  <definedNames>
    <definedName name="_xlnm.Print_Area" localSheetId="0">№１!$A$1:$AZ$48</definedName>
    <definedName name="_xlnm.Print_Area" localSheetId="1">№２!$A$1:$AZ$44</definedName>
    <definedName name="_xlnm.Print_Area" localSheetId="2">№３!$A$1:$AZ$36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5" l="1"/>
  <c r="W7" i="5"/>
  <c r="AO2" i="5" l="1"/>
  <c r="AO2" i="3"/>
  <c r="W25" i="5" l="1"/>
  <c r="W24" i="5"/>
  <c r="W23" i="5"/>
  <c r="W22" i="5"/>
  <c r="W21" i="5"/>
  <c r="W20" i="5"/>
  <c r="W19" i="5"/>
  <c r="W18" i="5"/>
  <c r="W15" i="5"/>
  <c r="W14" i="5"/>
  <c r="AX36" i="3"/>
  <c r="AO36" i="3"/>
  <c r="AF24" i="3"/>
  <c r="AF23" i="3"/>
  <c r="AF22" i="3"/>
  <c r="S24" i="6" l="1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AF34" i="5" l="1"/>
  <c r="AF33" i="5"/>
  <c r="AF32" i="5"/>
  <c r="AF31" i="5"/>
  <c r="AF30" i="5"/>
  <c r="AF29" i="5"/>
  <c r="AO25" i="5"/>
  <c r="AX21" i="5"/>
  <c r="AO21" i="5"/>
  <c r="AX20" i="5"/>
  <c r="AO20" i="5"/>
  <c r="AX19" i="5"/>
  <c r="AO19" i="5"/>
  <c r="AX18" i="5"/>
  <c r="AO18" i="5"/>
  <c r="AX17" i="5"/>
  <c r="AO17" i="5"/>
  <c r="AX16" i="5"/>
  <c r="AO16" i="5"/>
  <c r="AX15" i="5"/>
  <c r="AO15" i="5"/>
  <c r="AX14" i="5"/>
  <c r="AO14" i="5"/>
  <c r="AX13" i="5"/>
  <c r="AO13" i="5"/>
  <c r="AX12" i="5"/>
  <c r="AO12" i="5"/>
  <c r="AO7" i="5"/>
  <c r="AO6" i="5"/>
  <c r="W44" i="3" l="1"/>
  <c r="N44" i="3"/>
  <c r="AF43" i="3"/>
  <c r="W43" i="3"/>
  <c r="N43" i="3"/>
  <c r="AF42" i="3"/>
  <c r="W42" i="3"/>
  <c r="N42" i="3"/>
  <c r="AF41" i="3"/>
  <c r="W41" i="3"/>
  <c r="N41" i="3"/>
  <c r="AF36" i="3"/>
  <c r="AX35" i="3"/>
  <c r="AO35" i="3"/>
  <c r="AF35" i="3"/>
  <c r="N35" i="3"/>
  <c r="AX34" i="3"/>
  <c r="AO34" i="3"/>
  <c r="AF34" i="3"/>
  <c r="N34" i="3"/>
  <c r="AX33" i="3"/>
  <c r="AO33" i="3"/>
  <c r="AF33" i="3"/>
  <c r="N33" i="3"/>
  <c r="AX32" i="3"/>
  <c r="AO32" i="3"/>
  <c r="AF32" i="3"/>
  <c r="N32" i="3"/>
  <c r="AX31" i="3"/>
  <c r="AO31" i="3"/>
  <c r="AF31" i="3"/>
  <c r="N31" i="3"/>
  <c r="AX30" i="3"/>
  <c r="AO30" i="3"/>
  <c r="AF30" i="3"/>
  <c r="N30" i="3"/>
  <c r="N29" i="3"/>
  <c r="N28" i="3"/>
  <c r="N27" i="3"/>
  <c r="N26" i="3"/>
  <c r="N21" i="3"/>
  <c r="N20" i="3"/>
  <c r="N19" i="3"/>
  <c r="N18" i="3"/>
  <c r="AF17" i="3"/>
  <c r="N17" i="3"/>
  <c r="AF16" i="3"/>
  <c r="N16" i="3"/>
  <c r="AO15" i="3"/>
  <c r="AF15" i="3"/>
  <c r="N15" i="3"/>
  <c r="AO14" i="3"/>
  <c r="AF14" i="3"/>
  <c r="N14" i="3"/>
  <c r="N13" i="3"/>
  <c r="N12" i="3"/>
  <c r="N11" i="3"/>
  <c r="N10" i="3"/>
  <c r="N9" i="3"/>
  <c r="AF8" i="3"/>
  <c r="N8" i="3"/>
  <c r="AF7" i="3"/>
  <c r="N7" i="3"/>
  <c r="N35" i="5"/>
  <c r="N34" i="5"/>
  <c r="N33" i="5"/>
  <c r="N32" i="5"/>
  <c r="N31" i="5"/>
  <c r="N30" i="5"/>
  <c r="N3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8" i="5"/>
  <c r="N7" i="5"/>
  <c r="H6" i="5" l="1"/>
  <c r="AI24" i="5" s="1"/>
  <c r="H5" i="3"/>
  <c r="A1" i="3" s="1"/>
  <c r="O5" i="6"/>
  <c r="A1" i="6"/>
  <c r="AR11" i="5" l="1"/>
  <c r="Z40" i="3"/>
  <c r="AI12" i="3"/>
  <c r="AI11" i="5"/>
  <c r="AI5" i="5"/>
  <c r="Z28" i="3"/>
  <c r="Z5" i="3"/>
  <c r="AI28" i="3"/>
  <c r="H29" i="5"/>
  <c r="K5" i="3"/>
  <c r="Q6" i="5"/>
  <c r="H24" i="3"/>
  <c r="AR28" i="3"/>
  <c r="H12" i="5"/>
  <c r="Q12" i="5"/>
  <c r="H40" i="3"/>
  <c r="Z20" i="3"/>
  <c r="Z28" i="5"/>
  <c r="Q40" i="3"/>
  <c r="Z12" i="3"/>
  <c r="A1" i="5"/>
  <c r="K6" i="5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7" i="6"/>
  <c r="Y48" i="6"/>
  <c r="Y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7" i="6"/>
  <c r="V48" i="6"/>
  <c r="V7" i="6"/>
  <c r="AC20" i="3" l="1"/>
  <c r="K40" i="3"/>
  <c r="AU28" i="3"/>
  <c r="K24" i="3"/>
  <c r="AL12" i="3"/>
  <c r="AC40" i="3"/>
  <c r="AL28" i="3"/>
  <c r="AC5" i="3"/>
  <c r="AC28" i="3"/>
  <c r="AC12" i="3"/>
  <c r="T40" i="3"/>
  <c r="AL5" i="5"/>
  <c r="AU11" i="5"/>
  <c r="AL11" i="5"/>
  <c r="AL24" i="5"/>
  <c r="AC28" i="5"/>
  <c r="K29" i="5"/>
  <c r="T12" i="5"/>
  <c r="K12" i="5"/>
  <c r="T6" i="5"/>
</calcChain>
</file>

<file path=xl/sharedStrings.xml><?xml version="1.0" encoding="utf-8"?>
<sst xmlns="http://schemas.openxmlformats.org/spreadsheetml/2006/main" count="267" uniqueCount="153">
  <si>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</si>
  <si>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</si>
  <si>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</si>
  <si>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</si>
  <si>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</si>
  <si>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</si>
  <si>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</si>
  <si>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</si>
  <si>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</si>
  <si>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</si>
  <si>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</si>
  <si>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</si>
  <si>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</si>
  <si>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</si>
  <si>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</si>
  <si>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</si>
  <si>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</si>
  <si>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</si>
  <si>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</si>
  <si>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</si>
  <si>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</si>
  <si>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</si>
  <si>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</si>
  <si>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</si>
  <si>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</si>
  <si>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</si>
  <si>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</si>
  <si>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</si>
  <si>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</si>
  <si>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</si>
  <si>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</si>
  <si>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</si>
  <si>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</si>
  <si>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</si>
  <si>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</si>
  <si>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</si>
  <si>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</si>
  <si>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</si>
  <si>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</si>
  <si>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</si>
  <si>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</si>
  <si>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</si>
  <si>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</si>
  <si>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</si>
  <si>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</si>
  <si>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</si>
  <si>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</si>
  <si>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</si>
  <si>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</si>
  <si>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</si>
  <si>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</si>
  <si>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</si>
  <si>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</si>
  <si>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</si>
  <si>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</si>
  <si>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</si>
  <si>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</si>
  <si>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</si>
  <si>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</si>
  <si>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</si>
  <si>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</si>
  <si>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</si>
  <si>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月齢</t>
    <rPh sb="0" eb="2">
      <t>ゲツレイ</t>
    </rPh>
    <phoneticPr fontId="3"/>
  </si>
  <si>
    <t>(月)</t>
    <rPh sb="1" eb="2">
      <t>ツキ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</si>
  <si>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</si>
  <si>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</si>
  <si>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</si>
  <si>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</si>
  <si>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</si>
  <si>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</si>
  <si>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</si>
  <si>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</si>
  <si>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【作業別労働時間（調査対象畜１頭当たり）】</t>
    <rPh sb="1" eb="4">
      <t>サギョウベツ</t>
    </rPh>
    <rPh sb="4" eb="6">
      <t>ロウドウ</t>
    </rPh>
    <rPh sb="6" eb="8">
      <t>ジカン</t>
    </rPh>
    <rPh sb="9" eb="11">
      <t>チョウサ</t>
    </rPh>
    <rPh sb="11" eb="13">
      <t>タイショウ</t>
    </rPh>
    <rPh sb="13" eb="14">
      <t>チク</t>
    </rPh>
    <rPh sb="15" eb="16">
      <t>トウ</t>
    </rPh>
    <rPh sb="16" eb="17">
      <t>ア</t>
    </rPh>
    <phoneticPr fontId="3"/>
  </si>
  <si>
    <t>【自給牧草（調査対象畜１頭当たり）】</t>
    <rPh sb="1" eb="3">
      <t>ジキュウ</t>
    </rPh>
    <rPh sb="3" eb="5">
      <t>ボクソウ</t>
    </rPh>
    <rPh sb="6" eb="8">
      <t>チョウサ</t>
    </rPh>
    <rPh sb="8" eb="10">
      <t>タイショウ</t>
    </rPh>
    <rPh sb="10" eb="11">
      <t>チク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</si>
  <si>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</si>
  <si>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飼養月平均頭数</t>
    <rPh sb="0" eb="2">
      <t>シヨウ</t>
    </rPh>
    <rPh sb="2" eb="5">
      <t>ツキヘイキン</t>
    </rPh>
    <rPh sb="5" eb="7">
      <t>トウスウ</t>
    </rPh>
    <phoneticPr fontId="3"/>
  </si>
  <si>
    <t>販売頭数</t>
    <rPh sb="0" eb="2">
      <t>ハンバイ</t>
    </rPh>
    <rPh sb="2" eb="4">
      <t>トウスウ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</si>
  <si>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</si>
  <si>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</si>
  <si>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もと畜仕入</t>
    <rPh sb="2" eb="3">
      <t>チク</t>
    </rPh>
    <rPh sb="3" eb="5">
      <t>シイ</t>
    </rPh>
    <phoneticPr fontId="3"/>
  </si>
  <si>
    <t>【主産物（調査対象畜１頭当たり）】</t>
    <rPh sb="1" eb="4">
      <t>シュサンブツ</t>
    </rPh>
    <rPh sb="5" eb="7">
      <t>チョウサ</t>
    </rPh>
    <rPh sb="7" eb="9">
      <t>タイショウ</t>
    </rPh>
    <rPh sb="9" eb="10">
      <t>チク</t>
    </rPh>
    <phoneticPr fontId="3"/>
  </si>
  <si>
    <t>生体重</t>
    <rPh sb="0" eb="3">
      <t>セイタイジュウ</t>
    </rPh>
    <phoneticPr fontId="3"/>
  </si>
  <si>
    <t>(kg)</t>
    <phoneticPr fontId="3"/>
  </si>
  <si>
    <t>販　　　売</t>
    <rPh sb="0" eb="1">
      <t>ハン</t>
    </rPh>
    <rPh sb="4" eb="5">
      <t>バイ</t>
    </rPh>
    <phoneticPr fontId="3"/>
  </si>
  <si>
    <t>【流通飼料（調査対象畜１頭当たり）】</t>
    <rPh sb="1" eb="3">
      <t>リュウツウ</t>
    </rPh>
    <rPh sb="3" eb="5">
      <t>シリョウ</t>
    </rPh>
    <rPh sb="6" eb="8">
      <t>チョウサ</t>
    </rPh>
    <rPh sb="8" eb="10">
      <t>タイショウ</t>
    </rPh>
    <rPh sb="10" eb="11">
      <t>チク</t>
    </rPh>
    <phoneticPr fontId="3"/>
  </si>
  <si>
    <t>【物件税及び公課諸負担（調査対象畜１頭当たり）】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チョウサ</t>
    </rPh>
    <rPh sb="14" eb="16">
      <t>タイショウ</t>
    </rPh>
    <rPh sb="16" eb="17">
      <t>チク</t>
    </rPh>
    <phoneticPr fontId="3"/>
  </si>
  <si>
    <t>【副産物（きゅう肥）（調査対象畜１頭当たり）】</t>
    <rPh sb="1" eb="4">
      <t>フクサンブツ</t>
    </rPh>
    <rPh sb="8" eb="9">
      <t>ヒ</t>
    </rPh>
    <rPh sb="11" eb="13">
      <t>チョウサ</t>
    </rPh>
    <rPh sb="13" eb="15">
      <t>タイショウ</t>
    </rPh>
    <rPh sb="15" eb="16">
      <t>チク</t>
    </rPh>
    <phoneticPr fontId="3"/>
  </si>
  <si>
    <t>【減価償却額・資本額（調査対象畜１頭当たり）】</t>
    <rPh sb="1" eb="3">
      <t>ゲンカ</t>
    </rPh>
    <rPh sb="3" eb="6">
      <t>ショウキャクガク</t>
    </rPh>
    <rPh sb="7" eb="10">
      <t>シホンガク</t>
    </rPh>
    <rPh sb="11" eb="13">
      <t>チョウサ</t>
    </rPh>
    <rPh sb="13" eb="15">
      <t>タイショウ</t>
    </rPh>
    <rPh sb="15" eb="16">
      <t>チク</t>
    </rPh>
    <phoneticPr fontId="3"/>
  </si>
  <si>
    <t>増減率(%)</t>
    <phoneticPr fontId="3"/>
  </si>
  <si>
    <t>肥育･育成期間</t>
    <rPh sb="0" eb="2">
      <t>ヒイク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</si>
  <si>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</si>
  <si>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</si>
  <si>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</si>
  <si>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</si>
  <si>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</si>
  <si>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</si>
  <si>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</si>
  <si>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</si>
  <si>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</si>
  <si>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</si>
  <si>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</si>
  <si>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</si>
  <si>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</si>
  <si>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</si>
  <si>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</si>
  <si>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</si>
  <si>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</si>
  <si>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</si>
  <si>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</si>
  <si>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</si>
  <si>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</si>
  <si>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</si>
  <si>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</si>
  <si>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</si>
  <si>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</si>
  <si>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</si>
  <si>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</si>
  <si>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</si>
  <si>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</si>
  <si>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</si>
  <si>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</si>
  <si>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</si>
  <si>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</si>
  <si>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</si>
  <si>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</si>
  <si>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</si>
  <si>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</si>
  <si>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</si>
  <si>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
概  要</t>
    <rPh sb="2" eb="3">
      <t>チク</t>
    </rPh>
    <rPh sb="4" eb="5">
      <t>オオム</t>
    </rPh>
    <rPh sb="7" eb="8">
      <t>ヨウ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</si>
  <si>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</si>
  <si>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</si>
  <si>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</si>
  <si>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</si>
  <si>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〃</t>
    <phoneticPr fontId="3"/>
  </si>
  <si>
    <t>【生産費（調査対象畜１頭当たり）】</t>
    <rPh sb="1" eb="4">
      <t>セイサンヒ</t>
    </rPh>
    <rPh sb="5" eb="7">
      <t>チョウサ</t>
    </rPh>
    <rPh sb="7" eb="9">
      <t>タイショウ</t>
    </rPh>
    <rPh sb="9" eb="10">
      <t>チク</t>
    </rPh>
    <rPh sb="11" eb="12">
      <t>トウ</t>
    </rPh>
    <rPh sb="12" eb="13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</si>
  <si>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</si>
  <si>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</si>
  <si>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</si>
  <si>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</si>
  <si>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</si>
  <si>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</si>
  <si>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【費用合計（購入）（調査対象畜１頭当たり）】</t>
    <rPh sb="1" eb="3">
      <t>ヒヨウ</t>
    </rPh>
    <rPh sb="3" eb="5">
      <t>ゴウケイ</t>
    </rPh>
    <rPh sb="6" eb="8">
      <t>コウニュウ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</si>
  <si>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【費用合計（自給）（調査対象畜１頭当たり）】</t>
    <rPh sb="1" eb="3">
      <t>ヒヨウ</t>
    </rPh>
    <rPh sb="3" eb="5">
      <t>ゴウケイ</t>
    </rPh>
    <rPh sb="6" eb="8">
      <t>ジキュウ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</si>
  <si>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</si>
  <si>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</si>
  <si>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</si>
  <si>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</si>
  <si>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</si>
  <si>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</si>
  <si>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給与量(kg)</t>
    <rPh sb="0" eb="2">
      <t>キュウヨ</t>
    </rPh>
    <rPh sb="2" eb="3">
      <t>リョウ</t>
    </rPh>
    <phoneticPr fontId="3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</si>
  <si>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3"/>
  </si>
  <si>
    <t>仕入れ価額</t>
    <rPh sb="0" eb="2">
      <t>シイ</t>
    </rPh>
    <rPh sb="3" eb="5">
      <t>カガク</t>
    </rPh>
    <phoneticPr fontId="3"/>
  </si>
  <si>
    <t>【地代（経営体当たり）】</t>
    <rPh sb="1" eb="3">
      <t>チダイ</t>
    </rPh>
    <rPh sb="4" eb="7">
      <t>ケイエイタイ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</si>
</sst>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"/>
    <numFmt numFmtId="188" formatCode="#,##0.0;\-??0.0;0.0"/>
  </numFmts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 diagonalDown="1">
      <left/>
      <right/>
      <top/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46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178" fontId="2" fillId="0" borderId="0" xfId="0" applyNumberFormat="1" applyFont="1" applyFill="1" applyBorder="1" applyAlignment="1">
      <alignment horizontal="center" shrinkToFit="1"/>
    </xf>
    <xf numFmtId="179" fontId="2" fillId="0" borderId="0" xfId="0" applyNumberFormat="1" applyFont="1" applyFill="1" applyBorder="1" applyAlignment="1">
      <alignment horizontal="center" shrinkToFit="1"/>
    </xf>
    <xf numFmtId="178" fontId="2" fillId="0" borderId="0" xfId="0" applyNumberFormat="1" applyFont="1" applyFill="1" applyBorder="1" applyAlignment="1">
      <alignment horizontal="right" shrinkToFit="1"/>
    </xf>
    <xf numFmtId="0" fontId="2" fillId="0" borderId="51" xfId="0" applyFont="1" applyFill="1" applyBorder="1" applyAlignment="1">
      <alignment horizontal="distributed" vertical="center"/>
    </xf>
    <xf numFmtId="0" fontId="2" fillId="0" borderId="52" xfId="0" applyFont="1" applyFill="1" applyBorder="1" applyAlignment="1">
      <alignment horizontal="distributed" vertical="center"/>
    </xf>
    <xf numFmtId="0" fontId="2" fillId="0" borderId="32" xfId="0" applyFont="1" applyFill="1" applyBorder="1" applyAlignment="1">
      <alignment horizontal="distributed" vertical="center"/>
    </xf>
    <xf numFmtId="0" fontId="2" fillId="0" borderId="59" xfId="0" applyFont="1" applyFill="1" applyBorder="1" applyAlignment="1">
      <alignment horizontal="distributed" vertical="center"/>
    </xf>
    <xf numFmtId="0" fontId="2" fillId="0" borderId="28" xfId="0" applyFont="1" applyFill="1" applyBorder="1" applyAlignment="1">
      <alignment vertical="center" shrinkToFit="1"/>
    </xf>
    <xf numFmtId="0" fontId="2" fillId="0" borderId="24" xfId="0" applyFont="1" applyFill="1" applyBorder="1" applyAlignment="1">
      <alignment vertical="center" shrinkToFit="1"/>
    </xf>
    <xf numFmtId="0" fontId="2" fillId="0" borderId="26" xfId="0" applyFont="1" applyFill="1" applyBorder="1" applyAlignment="1">
      <alignment vertical="center" shrinkToFit="1"/>
    </xf>
    <xf numFmtId="0" fontId="6" fillId="0" borderId="51" xfId="0" applyFont="1" applyFill="1" applyBorder="1" applyAlignment="1">
      <alignment horizontal="distributed" vertical="center" textRotation="255" shrinkToFit="1"/>
    </xf>
    <xf numFmtId="0" fontId="6" fillId="0" borderId="59" xfId="0" applyFont="1" applyFill="1" applyBorder="1" applyAlignment="1">
      <alignment horizontal="distributed" vertical="center" textRotation="255" shrinkToFit="1"/>
    </xf>
    <xf numFmtId="0" fontId="2" fillId="0" borderId="45" xfId="0" applyFont="1" applyFill="1" applyBorder="1" applyAlignment="1">
      <alignment horizontal="distributed" vertical="center" textRotation="255"/>
    </xf>
    <xf numFmtId="0" fontId="2" fillId="0" borderId="64" xfId="0" applyFont="1" applyFill="1" applyBorder="1" applyAlignment="1">
      <alignment horizontal="distributed" vertical="center"/>
    </xf>
    <xf numFmtId="0" fontId="2" fillId="0" borderId="40" xfId="0" applyFont="1" applyFill="1" applyBorder="1" applyAlignment="1">
      <alignment vertical="center" shrinkToFi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vertical="center"/>
    </xf>
    <xf numFmtId="176" fontId="2" fillId="0" borderId="0" xfId="0" quotePrefix="1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shrinkToFit="1"/>
    </xf>
    <xf numFmtId="0" fontId="2" fillId="0" borderId="52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justifyLastLine="1"/>
    </xf>
    <xf numFmtId="0" fontId="8" fillId="0" borderId="0" xfId="0" applyFont="1" applyFill="1">
      <alignment vertical="center"/>
    </xf>
    <xf numFmtId="49" fontId="8" fillId="0" borderId="0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center"/>
    </xf>
    <xf numFmtId="179" fontId="2" fillId="0" borderId="0" xfId="0" applyNumberFormat="1" applyFont="1" applyFill="1" applyBorder="1" applyAlignment="1">
      <alignment shrinkToFit="1"/>
    </xf>
    <xf numFmtId="181" fontId="2" fillId="0" borderId="0" xfId="0" applyNumberFormat="1" applyFont="1" applyFill="1" applyBorder="1" applyAlignment="1">
      <alignment shrinkToFit="1"/>
    </xf>
    <xf numFmtId="179" fontId="2" fillId="0" borderId="0" xfId="0" applyNumberFormat="1" applyFont="1" applyFill="1" applyBorder="1" applyAlignment="1">
      <alignment horizontal="right" shrinkToFit="1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182" fontId="2" fillId="0" borderId="0" xfId="0" applyNumberFormat="1" applyFont="1" applyFill="1" applyBorder="1" applyAlignment="1">
      <alignment horizontal="center" shrinkToFit="1"/>
    </xf>
    <xf numFmtId="0" fontId="2" fillId="0" borderId="73" xfId="0" applyFont="1" applyFill="1" applyBorder="1" applyAlignment="1">
      <alignment vertical="center" shrinkToFit="1"/>
    </xf>
    <xf numFmtId="0" fontId="2" fillId="0" borderId="72" xfId="0" applyFont="1" applyFill="1" applyBorder="1" applyAlignment="1">
      <alignment vertical="center"/>
    </xf>
    <xf numFmtId="0" fontId="2" fillId="0" borderId="73" xfId="0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176" fontId="5" fillId="0" borderId="0" xfId="0" quotePrefix="1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 shrinkToFit="1"/>
    </xf>
    <xf numFmtId="179" fontId="2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49" fontId="5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 shrinkToFit="1"/>
    </xf>
    <xf numFmtId="184" fontId="2" fillId="0" borderId="13" xfId="0" applyNumberFormat="1" applyFont="1" applyFill="1" applyBorder="1" applyAlignment="1">
      <alignment vertical="center" shrinkToFit="1"/>
    </xf>
    <xf numFmtId="180" fontId="2" fillId="0" borderId="13" xfId="0" applyNumberFormat="1" applyFont="1" applyFill="1" applyBorder="1" applyAlignment="1">
      <alignment vertical="center" shrinkToFit="1"/>
    </xf>
    <xf numFmtId="179" fontId="2" fillId="0" borderId="13" xfId="0" applyNumberFormat="1" applyFont="1" applyFill="1" applyBorder="1" applyAlignment="1">
      <alignment vertical="center" shrinkToFit="1"/>
    </xf>
    <xf numFmtId="0" fontId="2" fillId="0" borderId="13" xfId="0" applyFont="1" applyFill="1" applyBorder="1">
      <alignment vertical="center"/>
    </xf>
    <xf numFmtId="0" fontId="2" fillId="0" borderId="45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10" fillId="0" borderId="92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wrapText="1"/>
    </xf>
    <xf numFmtId="0" fontId="10" fillId="0" borderId="80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vertical="center" wrapText="1"/>
    </xf>
    <xf numFmtId="0" fontId="11" fillId="0" borderId="81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distributed" vertical="center" wrapText="1"/>
    </xf>
    <xf numFmtId="0" fontId="10" fillId="0" borderId="80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distributed"/>
    </xf>
    <xf numFmtId="0" fontId="11" fillId="0" borderId="93" xfId="0" applyFont="1" applyFill="1" applyBorder="1" applyAlignment="1">
      <alignment horizontal="center" vertical="center" shrinkToFit="1"/>
    </xf>
    <xf numFmtId="0" fontId="8" fillId="0" borderId="45" xfId="0" applyFont="1" applyFill="1" applyBorder="1" applyAlignment="1">
      <alignment horizontal="distributed" vertical="distributed" textRotation="255"/>
    </xf>
    <xf numFmtId="0" fontId="8" fillId="0" borderId="64" xfId="0" applyFont="1" applyFill="1" applyBorder="1" applyAlignment="1">
      <alignment horizontal="distributed" vertical="distributed" textRotation="255"/>
    </xf>
    <xf numFmtId="0" fontId="10" fillId="0" borderId="69" xfId="0" applyFont="1" applyFill="1" applyBorder="1" applyAlignment="1">
      <alignment horizontal="center" vertical="center" wrapText="1"/>
    </xf>
    <xf numFmtId="0" fontId="10" fillId="0" borderId="93" xfId="0" applyFont="1" applyFill="1" applyBorder="1" applyAlignment="1">
      <alignment horizontal="center" vertical="center"/>
    </xf>
    <xf numFmtId="0" fontId="10" fillId="0" borderId="69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/>
    </xf>
    <xf numFmtId="0" fontId="10" fillId="0" borderId="70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distributed" wrapText="1"/>
    </xf>
    <xf numFmtId="0" fontId="11" fillId="0" borderId="92" xfId="0" applyFont="1" applyFill="1" applyBorder="1" applyAlignment="1">
      <alignment horizontal="center" vertical="center" wrapText="1"/>
    </xf>
    <xf numFmtId="0" fontId="10" fillId="0" borderId="95" xfId="0" applyFont="1" applyFill="1" applyBorder="1" applyAlignment="1">
      <alignment horizontal="distributed" vertical="center" wrapText="1"/>
    </xf>
    <xf numFmtId="0" fontId="10" fillId="0" borderId="9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50" xfId="0" applyFont="1" applyFill="1" applyBorder="1" applyAlignment="1">
      <alignment horizontal="center" vertical="center"/>
    </xf>
    <xf numFmtId="49" fontId="13" fillId="0" borderId="50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 shrinkToFit="1"/>
    </xf>
    <xf numFmtId="177" fontId="2" fillId="0" borderId="62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177" fontId="2" fillId="0" borderId="44" xfId="0" applyNumberFormat="1" applyFont="1" applyFill="1" applyBorder="1" applyAlignment="1">
      <alignment horizontal="center" vertical="center" shrinkToFit="1"/>
    </xf>
    <xf numFmtId="0" fontId="2" fillId="0" borderId="63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61" xfId="0" applyFont="1" applyFill="1" applyBorder="1" applyAlignment="1">
      <alignment horizontal="center" vertical="center" shrinkToFit="1"/>
    </xf>
    <xf numFmtId="177" fontId="2" fillId="0" borderId="60" xfId="0" applyNumberFormat="1" applyFont="1" applyFill="1" applyBorder="1" applyAlignment="1">
      <alignment horizontal="center" vertical="center" shrinkToFit="1"/>
    </xf>
    <xf numFmtId="177" fontId="2" fillId="0" borderId="45" xfId="0" applyNumberFormat="1" applyFont="1" applyFill="1" applyBorder="1" applyAlignment="1">
      <alignment horizontal="center" vertical="center" shrinkToFit="1"/>
    </xf>
    <xf numFmtId="0" fontId="2" fillId="0" borderId="89" xfId="0" applyFont="1" applyFill="1" applyBorder="1" applyAlignment="1">
      <alignment horizontal="center" vertical="center" shrinkToFit="1"/>
    </xf>
    <xf numFmtId="0" fontId="2" fillId="0" borderId="91" xfId="0" applyFont="1" applyFill="1" applyBorder="1" applyAlignment="1">
      <alignment horizontal="center" vertical="center" shrinkToFit="1"/>
    </xf>
    <xf numFmtId="0" fontId="2" fillId="0" borderId="90" xfId="0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 shrinkToFit="1"/>
    </xf>
    <xf numFmtId="0" fontId="2" fillId="0" borderId="92" xfId="0" applyFont="1" applyFill="1" applyBorder="1" applyAlignment="1">
      <alignment horizontal="center" vertical="center" shrinkToFit="1"/>
    </xf>
    <xf numFmtId="0" fontId="2" fillId="0" borderId="6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185" fontId="2" fillId="0" borderId="42" xfId="0" applyNumberFormat="1" applyFont="1" applyFill="1" applyBorder="1" applyAlignment="1">
      <alignment horizontal="center" vertical="center" shrinkToFit="1"/>
    </xf>
    <xf numFmtId="185" fontId="2" fillId="0" borderId="0" xfId="0" applyNumberFormat="1" applyFont="1" applyFill="1" applyBorder="1" applyAlignment="1">
      <alignment horizontal="center" vertical="center" shrinkToFit="1"/>
    </xf>
    <xf numFmtId="185" fontId="2" fillId="0" borderId="43" xfId="0" applyNumberFormat="1" applyFont="1" applyFill="1" applyBorder="1" applyAlignment="1">
      <alignment horizontal="center" vertical="center" shrinkToFit="1"/>
    </xf>
    <xf numFmtId="185" fontId="2" fillId="0" borderId="51" xfId="0" applyNumberFormat="1" applyFont="1" applyFill="1" applyBorder="1" applyAlignment="1">
      <alignment horizontal="center" vertical="center" shrinkToFit="1"/>
    </xf>
    <xf numFmtId="185" fontId="2" fillId="0" borderId="52" xfId="0" applyNumberFormat="1" applyFont="1" applyFill="1" applyBorder="1" applyAlignment="1">
      <alignment horizontal="center" vertical="center" shrinkToFit="1"/>
    </xf>
    <xf numFmtId="3" fontId="5" fillId="0" borderId="14" xfId="0" applyNumberFormat="1" applyFont="1" applyFill="1" applyBorder="1" applyAlignment="1">
      <alignment horizontal="right" vertical="center" shrinkToFit="1"/>
    </xf>
    <xf numFmtId="3" fontId="5" fillId="0" borderId="15" xfId="0" applyNumberFormat="1" applyFont="1" applyFill="1" applyBorder="1" applyAlignment="1">
      <alignment horizontal="right" vertical="center" shrinkToFit="1"/>
    </xf>
    <xf numFmtId="186" fontId="5" fillId="0" borderId="16" xfId="0" applyNumberFormat="1" applyFont="1" applyFill="1" applyBorder="1" applyAlignment="1">
      <alignment horizontal="right" vertical="center" shrinkToFit="1"/>
    </xf>
    <xf numFmtId="186" fontId="5" fillId="0" borderId="14" xfId="0" applyNumberFormat="1" applyFont="1" applyFill="1" applyBorder="1" applyAlignment="1">
      <alignment horizontal="right" vertical="center" shrinkToFit="1"/>
    </xf>
    <xf numFmtId="186" fontId="5" fillId="0" borderId="40" xfId="0" applyNumberFormat="1" applyFont="1" applyFill="1" applyBorder="1" applyAlignment="1">
      <alignment horizontal="right" vertical="center" shrinkToFit="1"/>
    </xf>
    <xf numFmtId="3" fontId="5" fillId="0" borderId="29" xfId="0" applyNumberFormat="1" applyFont="1" applyFill="1" applyBorder="1" applyAlignment="1">
      <alignment horizontal="right" vertical="center" shrinkToFit="1"/>
    </xf>
    <xf numFmtId="188" fontId="14" fillId="0" borderId="41" xfId="0" applyNumberFormat="1" applyFont="1" applyFill="1" applyBorder="1" applyAlignment="1">
      <alignment horizontal="right" vertical="center" shrinkToFit="1"/>
    </xf>
    <xf numFmtId="188" fontId="14" fillId="0" borderId="39" xfId="0" applyNumberFormat="1" applyFont="1" applyFill="1" applyBorder="1" applyAlignment="1">
      <alignment horizontal="right" vertical="center" shrinkToFit="1"/>
    </xf>
    <xf numFmtId="3" fontId="5" fillId="0" borderId="39" xfId="0" applyNumberFormat="1" applyFont="1" applyFill="1" applyBorder="1" applyAlignment="1">
      <alignment horizontal="right" vertical="center" shrinkToFit="1"/>
    </xf>
    <xf numFmtId="3" fontId="5" fillId="0" borderId="93" xfId="0" applyNumberFormat="1" applyFont="1" applyFill="1" applyBorder="1" applyAlignment="1">
      <alignment horizontal="right" vertical="center" shrinkToFit="1"/>
    </xf>
    <xf numFmtId="182" fontId="2" fillId="0" borderId="29" xfId="0" applyNumberFormat="1" applyFont="1" applyFill="1" applyBorder="1" applyAlignment="1">
      <alignment horizontal="left" vertical="center" shrinkToFit="1"/>
    </xf>
    <xf numFmtId="182" fontId="2" fillId="0" borderId="14" xfId="0" applyNumberFormat="1" applyFont="1" applyFill="1" applyBorder="1" applyAlignment="1">
      <alignment horizontal="left" vertical="center" shrinkToFit="1"/>
    </xf>
    <xf numFmtId="182" fontId="2" fillId="0" borderId="40" xfId="0" applyNumberFormat="1" applyFont="1" applyFill="1" applyBorder="1" applyAlignment="1">
      <alignment horizontal="left" vertical="center" shrinkToFit="1"/>
    </xf>
    <xf numFmtId="3" fontId="5" fillId="0" borderId="5" xfId="0" applyNumberFormat="1" applyFont="1" applyFill="1" applyBorder="1" applyAlignment="1">
      <alignment horizontal="right" vertical="center" shrinkToFit="1"/>
    </xf>
    <xf numFmtId="3" fontId="5" fillId="0" borderId="6" xfId="0" applyNumberFormat="1" applyFont="1" applyFill="1" applyBorder="1" applyAlignment="1">
      <alignment horizontal="right" vertical="center" shrinkToFit="1"/>
    </xf>
    <xf numFmtId="186" fontId="5" fillId="0" borderId="4" xfId="0" applyNumberFormat="1" applyFont="1" applyFill="1" applyBorder="1" applyAlignment="1">
      <alignment horizontal="right" vertical="center" shrinkToFit="1"/>
    </xf>
    <xf numFmtId="186" fontId="5" fillId="0" borderId="5" xfId="0" applyNumberFormat="1" applyFont="1" applyFill="1" applyBorder="1" applyAlignment="1">
      <alignment horizontal="right" vertical="center" shrinkToFit="1"/>
    </xf>
    <xf numFmtId="186" fontId="5" fillId="0" borderId="24" xfId="0" applyNumberFormat="1" applyFont="1" applyFill="1" applyBorder="1" applyAlignment="1">
      <alignment horizontal="right" vertical="center" shrinkToFit="1"/>
    </xf>
    <xf numFmtId="3" fontId="5" fillId="0" borderId="25" xfId="0" applyNumberFormat="1" applyFont="1" applyFill="1" applyBorder="1" applyAlignment="1">
      <alignment horizontal="right" vertical="center" shrinkToFit="1"/>
    </xf>
    <xf numFmtId="188" fontId="14" fillId="0" borderId="25" xfId="0" applyNumberFormat="1" applyFont="1" applyFill="1" applyBorder="1" applyAlignment="1">
      <alignment horizontal="right" vertical="center" shrinkToFit="1"/>
    </xf>
    <xf numFmtId="188" fontId="14" fillId="0" borderId="5" xfId="0" applyNumberFormat="1" applyFont="1" applyFill="1" applyBorder="1" applyAlignment="1">
      <alignment horizontal="right" vertical="center" shrinkToFit="1"/>
    </xf>
    <xf numFmtId="188" fontId="14" fillId="0" borderId="6" xfId="0" applyNumberFormat="1" applyFont="1" applyFill="1" applyBorder="1" applyAlignment="1">
      <alignment horizontal="right" vertical="center" shrinkToFit="1"/>
    </xf>
    <xf numFmtId="3" fontId="5" fillId="0" borderId="4" xfId="0" applyNumberFormat="1" applyFont="1" applyFill="1" applyBorder="1" applyAlignment="1">
      <alignment horizontal="right" vertical="center" shrinkToFit="1"/>
    </xf>
    <xf numFmtId="3" fontId="5" fillId="0" borderId="24" xfId="0" applyNumberFormat="1" applyFont="1" applyFill="1" applyBorder="1" applyAlignment="1">
      <alignment horizontal="right" vertical="center" shrinkToFit="1"/>
    </xf>
    <xf numFmtId="182" fontId="2" fillId="0" borderId="25" xfId="0" applyNumberFormat="1" applyFont="1" applyFill="1" applyBorder="1" applyAlignment="1">
      <alignment horizontal="left" vertical="center" shrinkToFit="1"/>
    </xf>
    <xf numFmtId="182" fontId="2" fillId="0" borderId="5" xfId="0" applyNumberFormat="1" applyFont="1" applyFill="1" applyBorder="1" applyAlignment="1">
      <alignment horizontal="left" vertical="center" shrinkToFit="1"/>
    </xf>
    <xf numFmtId="182" fontId="2" fillId="0" borderId="24" xfId="0" applyNumberFormat="1" applyFont="1" applyFill="1" applyBorder="1" applyAlignment="1">
      <alignment horizontal="left" vertical="center" shrinkToFit="1"/>
    </xf>
    <xf numFmtId="186" fontId="5" fillId="0" borderId="49" xfId="0" applyNumberFormat="1" applyFont="1" applyFill="1" applyBorder="1" applyAlignment="1">
      <alignment horizontal="right" vertical="center" shrinkToFit="1"/>
    </xf>
    <xf numFmtId="186" fontId="5" fillId="0" borderId="47" xfId="0" applyNumberFormat="1" applyFont="1" applyFill="1" applyBorder="1" applyAlignment="1">
      <alignment horizontal="right" vertical="center" shrinkToFit="1"/>
    </xf>
    <xf numFmtId="186" fontId="5" fillId="0" borderId="77" xfId="0" applyNumberFormat="1" applyFont="1" applyFill="1" applyBorder="1" applyAlignment="1">
      <alignment horizontal="right" vertical="center" shrinkToFit="1"/>
    </xf>
    <xf numFmtId="3" fontId="5" fillId="0" borderId="10" xfId="0" applyNumberFormat="1" applyFont="1" applyFill="1" applyBorder="1" applyAlignment="1">
      <alignment horizontal="right" vertical="center" shrinkToFit="1"/>
    </xf>
    <xf numFmtId="3" fontId="5" fillId="0" borderId="12" xfId="0" applyNumberFormat="1" applyFont="1" applyFill="1" applyBorder="1" applyAlignment="1">
      <alignment horizontal="right" vertical="center" shrinkToFit="1"/>
    </xf>
    <xf numFmtId="186" fontId="5" fillId="0" borderId="104" xfId="0" applyNumberFormat="1" applyFont="1" applyFill="1" applyBorder="1" applyAlignment="1">
      <alignment horizontal="right" vertical="center" shrinkToFit="1"/>
    </xf>
    <xf numFmtId="186" fontId="5" fillId="0" borderId="105" xfId="0" applyNumberFormat="1" applyFont="1" applyFill="1" applyBorder="1" applyAlignment="1">
      <alignment horizontal="right" vertical="center" shrinkToFit="1"/>
    </xf>
    <xf numFmtId="186" fontId="5" fillId="0" borderId="106" xfId="0" applyNumberFormat="1" applyFont="1" applyFill="1" applyBorder="1" applyAlignment="1">
      <alignment horizontal="right" vertical="center" shrinkToFit="1"/>
    </xf>
    <xf numFmtId="3" fontId="5" fillId="0" borderId="17" xfId="0" applyNumberFormat="1" applyFont="1" applyFill="1" applyBorder="1" applyAlignment="1">
      <alignment horizontal="right" vertical="center" shrinkToFit="1"/>
    </xf>
    <xf numFmtId="3" fontId="5" fillId="0" borderId="7" xfId="0" applyNumberFormat="1" applyFont="1" applyFill="1" applyBorder="1" applyAlignment="1">
      <alignment horizontal="right" vertical="center" shrinkToFit="1"/>
    </xf>
    <xf numFmtId="3" fontId="5" fillId="0" borderId="8" xfId="0" applyNumberFormat="1" applyFont="1" applyFill="1" applyBorder="1" applyAlignment="1">
      <alignment horizontal="right" vertical="center" shrinkToFit="1"/>
    </xf>
    <xf numFmtId="188" fontId="14" fillId="0" borderId="27" xfId="0" applyNumberFormat="1" applyFont="1" applyFill="1" applyBorder="1" applyAlignment="1">
      <alignment horizontal="right" vertical="center" shrinkToFit="1"/>
    </xf>
    <xf numFmtId="188" fontId="14" fillId="0" borderId="10" xfId="0" applyNumberFormat="1" applyFont="1" applyFill="1" applyBorder="1" applyAlignment="1">
      <alignment horizontal="right" vertical="center" shrinkToFit="1"/>
    </xf>
    <xf numFmtId="188" fontId="14" fillId="0" borderId="12" xfId="0" applyNumberFormat="1" applyFont="1" applyFill="1" applyBorder="1" applyAlignment="1">
      <alignment horizontal="right" vertical="center" shrinkToFit="1"/>
    </xf>
    <xf numFmtId="3" fontId="5" fillId="0" borderId="11" xfId="0" applyNumberFormat="1" applyFont="1" applyFill="1" applyBorder="1" applyAlignment="1">
      <alignment horizontal="right" vertical="center" shrinkToFit="1"/>
    </xf>
    <xf numFmtId="3" fontId="5" fillId="0" borderId="26" xfId="0" applyNumberFormat="1" applyFont="1" applyFill="1" applyBorder="1" applyAlignment="1">
      <alignment horizontal="right" vertical="center" shrinkToFit="1"/>
    </xf>
    <xf numFmtId="4" fontId="5" fillId="0" borderId="16" xfId="0" applyNumberFormat="1" applyFont="1" applyFill="1" applyBorder="1" applyAlignment="1">
      <alignment horizontal="right" vertical="center" shrinkToFit="1"/>
    </xf>
    <xf numFmtId="4" fontId="5" fillId="0" borderId="14" xfId="0" applyNumberFormat="1" applyFont="1" applyFill="1" applyBorder="1" applyAlignment="1">
      <alignment horizontal="right" vertical="center" shrinkToFit="1"/>
    </xf>
    <xf numFmtId="4" fontId="5" fillId="0" borderId="40" xfId="0" applyNumberFormat="1" applyFont="1" applyFill="1" applyBorder="1" applyAlignment="1">
      <alignment horizontal="right" vertical="center" shrinkToFit="1"/>
    </xf>
    <xf numFmtId="4" fontId="5" fillId="0" borderId="25" xfId="0" applyNumberFormat="1" applyFont="1" applyFill="1" applyBorder="1" applyAlignment="1">
      <alignment horizontal="right" vertical="center" shrinkToFit="1"/>
    </xf>
    <xf numFmtId="4" fontId="5" fillId="0" borderId="5" xfId="0" applyNumberFormat="1" applyFont="1" applyFill="1" applyBorder="1" applyAlignment="1">
      <alignment horizontal="right" vertical="center" shrinkToFit="1"/>
    </xf>
    <xf numFmtId="4" fontId="5" fillId="0" borderId="6" xfId="0" applyNumberFormat="1" applyFont="1" applyFill="1" applyBorder="1" applyAlignment="1">
      <alignment horizontal="right" vertical="center" shrinkToFit="1"/>
    </xf>
    <xf numFmtId="4" fontId="5" fillId="0" borderId="4" xfId="0" applyNumberFormat="1" applyFont="1" applyFill="1" applyBorder="1" applyAlignment="1">
      <alignment horizontal="right" vertical="center" shrinkToFit="1"/>
    </xf>
    <xf numFmtId="4" fontId="5" fillId="0" borderId="24" xfId="0" applyNumberFormat="1" applyFont="1" applyFill="1" applyBorder="1" applyAlignment="1">
      <alignment horizontal="right" vertical="center" shrinkToFit="1"/>
    </xf>
    <xf numFmtId="4" fontId="5" fillId="0" borderId="29" xfId="0" applyNumberFormat="1" applyFont="1" applyFill="1" applyBorder="1" applyAlignment="1">
      <alignment horizontal="right" vertical="center" shrinkToFit="1"/>
    </xf>
    <xf numFmtId="4" fontId="5" fillId="0" borderId="15" xfId="0" applyNumberFormat="1" applyFont="1" applyFill="1" applyBorder="1" applyAlignment="1">
      <alignment horizontal="right" vertical="center" shrinkToFit="1"/>
    </xf>
    <xf numFmtId="186" fontId="5" fillId="0" borderId="98" xfId="0" applyNumberFormat="1" applyFont="1" applyFill="1" applyBorder="1" applyAlignment="1">
      <alignment horizontal="right" vertical="center" shrinkToFit="1"/>
    </xf>
    <xf numFmtId="186" fontId="5" fillId="0" borderId="99" xfId="0" applyNumberFormat="1" applyFont="1" applyFill="1" applyBorder="1" applyAlignment="1">
      <alignment horizontal="right" vertical="center" shrinkToFit="1"/>
    </xf>
    <xf numFmtId="186" fontId="5" fillId="0" borderId="100" xfId="0" applyNumberFormat="1" applyFont="1" applyFill="1" applyBorder="1" applyAlignment="1">
      <alignment horizontal="right" vertical="center" shrinkToFit="1"/>
    </xf>
    <xf numFmtId="188" fontId="14" fillId="0" borderId="29" xfId="0" applyNumberFormat="1" applyFont="1" applyFill="1" applyBorder="1" applyAlignment="1">
      <alignment horizontal="right" vertical="center" shrinkToFit="1"/>
    </xf>
    <xf numFmtId="188" fontId="14" fillId="0" borderId="14" xfId="0" applyNumberFormat="1" applyFont="1" applyFill="1" applyBorder="1" applyAlignment="1">
      <alignment horizontal="right" vertical="center" shrinkToFit="1"/>
    </xf>
    <xf numFmtId="188" fontId="14" fillId="0" borderId="15" xfId="0" applyNumberFormat="1" applyFont="1" applyFill="1" applyBorder="1" applyAlignment="1">
      <alignment horizontal="right" vertical="center" shrinkToFit="1"/>
    </xf>
    <xf numFmtId="4" fontId="5" fillId="0" borderId="11" xfId="0" applyNumberFormat="1" applyFont="1" applyFill="1" applyBorder="1" applyAlignment="1">
      <alignment horizontal="right" vertical="center" shrinkToFit="1"/>
    </xf>
    <xf numFmtId="4" fontId="5" fillId="0" borderId="10" xfId="0" applyNumberFormat="1" applyFont="1" applyFill="1" applyBorder="1" applyAlignment="1">
      <alignment horizontal="right" vertical="center" shrinkToFit="1"/>
    </xf>
    <xf numFmtId="4" fontId="5" fillId="0" borderId="26" xfId="0" applyNumberFormat="1" applyFont="1" applyFill="1" applyBorder="1" applyAlignment="1">
      <alignment horizontal="right" vertical="center" shrinkToFit="1"/>
    </xf>
    <xf numFmtId="187" fontId="5" fillId="0" borderId="29" xfId="0" applyNumberFormat="1" applyFont="1" applyFill="1" applyBorder="1" applyAlignment="1">
      <alignment horizontal="right" vertical="center" shrinkToFit="1"/>
    </xf>
    <xf numFmtId="187" fontId="5" fillId="0" borderId="14" xfId="0" applyNumberFormat="1" applyFont="1" applyFill="1" applyBorder="1" applyAlignment="1">
      <alignment horizontal="right" vertical="center" shrinkToFit="1"/>
    </xf>
    <xf numFmtId="187" fontId="5" fillId="0" borderId="15" xfId="0" applyNumberFormat="1" applyFont="1" applyFill="1" applyBorder="1" applyAlignment="1">
      <alignment horizontal="right" vertical="center" shrinkToFit="1"/>
    </xf>
    <xf numFmtId="187" fontId="5" fillId="0" borderId="16" xfId="0" applyNumberFormat="1" applyFont="1" applyFill="1" applyBorder="1" applyAlignment="1">
      <alignment horizontal="right" vertical="center" shrinkToFit="1"/>
    </xf>
    <xf numFmtId="187" fontId="5" fillId="0" borderId="40" xfId="0" applyNumberFormat="1" applyFont="1" applyFill="1" applyBorder="1" applyAlignment="1">
      <alignment horizontal="right" vertical="center" shrinkToFit="1"/>
    </xf>
    <xf numFmtId="4" fontId="5" fillId="0" borderId="27" xfId="0" applyNumberFormat="1" applyFont="1" applyFill="1" applyBorder="1" applyAlignment="1">
      <alignment horizontal="right" vertical="center" shrinkToFit="1"/>
    </xf>
    <xf numFmtId="4" fontId="5" fillId="0" borderId="12" xfId="0" applyNumberFormat="1" applyFont="1" applyFill="1" applyBorder="1" applyAlignment="1">
      <alignment horizontal="right" vertical="center" shrinkToFit="1"/>
    </xf>
    <xf numFmtId="186" fontId="5" fillId="0" borderId="22" xfId="0" applyNumberFormat="1" applyFont="1" applyFill="1" applyBorder="1" applyAlignment="1">
      <alignment horizontal="right" vertical="center" shrinkToFit="1"/>
    </xf>
    <xf numFmtId="186" fontId="5" fillId="0" borderId="20" xfId="0" applyNumberFormat="1" applyFont="1" applyFill="1" applyBorder="1" applyAlignment="1">
      <alignment horizontal="right" vertical="center" shrinkToFit="1"/>
    </xf>
    <xf numFmtId="186" fontId="5" fillId="0" borderId="23" xfId="0" applyNumberFormat="1" applyFont="1" applyFill="1" applyBorder="1" applyAlignment="1">
      <alignment horizontal="right" vertical="center" shrinkToFit="1"/>
    </xf>
    <xf numFmtId="187" fontId="5" fillId="0" borderId="25" xfId="0" applyNumberFormat="1" applyFont="1" applyFill="1" applyBorder="1" applyAlignment="1">
      <alignment horizontal="right" vertical="center" shrinkToFit="1"/>
    </xf>
    <xf numFmtId="187" fontId="5" fillId="0" borderId="5" xfId="0" applyNumberFormat="1" applyFont="1" applyFill="1" applyBorder="1" applyAlignment="1">
      <alignment horizontal="right" vertical="center" shrinkToFit="1"/>
    </xf>
    <xf numFmtId="187" fontId="5" fillId="0" borderId="6" xfId="0" applyNumberFormat="1" applyFont="1" applyFill="1" applyBorder="1" applyAlignment="1">
      <alignment horizontal="right" vertical="center" shrinkToFit="1"/>
    </xf>
    <xf numFmtId="187" fontId="5" fillId="0" borderId="4" xfId="0" applyNumberFormat="1" applyFont="1" applyFill="1" applyBorder="1" applyAlignment="1">
      <alignment horizontal="right" vertical="center" shrinkToFit="1"/>
    </xf>
    <xf numFmtId="187" fontId="5" fillId="0" borderId="24" xfId="0" applyNumberFormat="1" applyFont="1" applyFill="1" applyBorder="1" applyAlignment="1">
      <alignment horizontal="right" vertical="center" shrinkToFit="1"/>
    </xf>
    <xf numFmtId="3" fontId="5" fillId="0" borderId="27" xfId="0" applyNumberFormat="1" applyFont="1" applyFill="1" applyBorder="1" applyAlignment="1">
      <alignment horizontal="right" vertical="center" shrinkToFit="1"/>
    </xf>
    <xf numFmtId="187" fontId="5" fillId="0" borderId="27" xfId="0" applyNumberFormat="1" applyFont="1" applyFill="1" applyBorder="1" applyAlignment="1">
      <alignment horizontal="right" vertical="center" shrinkToFit="1"/>
    </xf>
    <xf numFmtId="187" fontId="5" fillId="0" borderId="10" xfId="0" applyNumberFormat="1" applyFont="1" applyFill="1" applyBorder="1" applyAlignment="1">
      <alignment horizontal="right" vertical="center" shrinkToFit="1"/>
    </xf>
    <xf numFmtId="187" fontId="5" fillId="0" borderId="12" xfId="0" applyNumberFormat="1" applyFont="1" applyFill="1" applyBorder="1" applyAlignment="1">
      <alignment horizontal="right" vertical="center" shrinkToFit="1"/>
    </xf>
    <xf numFmtId="187" fontId="5" fillId="0" borderId="11" xfId="0" applyNumberFormat="1" applyFont="1" applyFill="1" applyBorder="1" applyAlignment="1">
      <alignment horizontal="right" vertical="center" shrinkToFit="1"/>
    </xf>
    <xf numFmtId="187" fontId="5" fillId="0" borderId="26" xfId="0" applyNumberFormat="1" applyFont="1" applyFill="1" applyBorder="1" applyAlignment="1">
      <alignment horizontal="right" vertical="center" shrinkToFit="1"/>
    </xf>
    <xf numFmtId="188" fontId="14" fillId="0" borderId="110" xfId="0" applyNumberFormat="1" applyFont="1" applyFill="1" applyBorder="1" applyAlignment="1">
      <alignment horizontal="right" vertical="center" shrinkToFit="1"/>
    </xf>
    <xf numFmtId="188" fontId="14" fillId="0" borderId="108" xfId="0" applyNumberFormat="1" applyFont="1" applyFill="1" applyBorder="1" applyAlignment="1">
      <alignment horizontal="right" vertical="center" shrinkToFit="1"/>
    </xf>
    <xf numFmtId="188" fontId="14" fillId="0" borderId="109" xfId="0" applyNumberFormat="1" applyFont="1" applyFill="1" applyBorder="1" applyAlignment="1">
      <alignment horizontal="right" vertical="center" shrinkToFit="1"/>
    </xf>
    <xf numFmtId="3" fontId="5" fillId="0" borderId="107" xfId="0" applyNumberFormat="1" applyFont="1" applyFill="1" applyBorder="1" applyAlignment="1">
      <alignment horizontal="right" vertical="center" shrinkToFit="1"/>
    </xf>
    <xf numFmtId="3" fontId="5" fillId="0" borderId="108" xfId="0" applyNumberFormat="1" applyFont="1" applyFill="1" applyBorder="1" applyAlignment="1">
      <alignment horizontal="right" vertical="center" shrinkToFit="1"/>
    </xf>
    <xf numFmtId="3" fontId="5" fillId="0" borderId="111" xfId="0" applyNumberFormat="1" applyFont="1" applyFill="1" applyBorder="1" applyAlignment="1">
      <alignment horizontal="right" vertical="center" shrinkToFit="1"/>
    </xf>
    <xf numFmtId="3" fontId="5" fillId="0" borderId="16" xfId="0" applyNumberFormat="1" applyFont="1" applyFill="1" applyBorder="1" applyAlignment="1">
      <alignment horizontal="right" vertical="center" shrinkToFit="1"/>
    </xf>
    <xf numFmtId="3" fontId="5" fillId="0" borderId="40" xfId="0" applyNumberFormat="1" applyFont="1" applyFill="1" applyBorder="1" applyAlignment="1">
      <alignment horizontal="right" vertical="center" shrinkToFit="1"/>
    </xf>
    <xf numFmtId="3" fontId="5" fillId="0" borderId="30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3" fontId="5" fillId="0" borderId="2" xfId="0" applyNumberFormat="1" applyFont="1" applyFill="1" applyBorder="1" applyAlignment="1">
      <alignment horizontal="right" vertical="center" shrinkToFit="1"/>
    </xf>
    <xf numFmtId="186" fontId="5" fillId="0" borderId="101" xfId="0" applyNumberFormat="1" applyFont="1" applyFill="1" applyBorder="1" applyAlignment="1">
      <alignment horizontal="right" vertical="center" shrinkToFit="1"/>
    </xf>
    <xf numFmtId="186" fontId="5" fillId="0" borderId="102" xfId="0" applyNumberFormat="1" applyFont="1" applyFill="1" applyBorder="1" applyAlignment="1">
      <alignment horizontal="right" vertical="center" shrinkToFit="1"/>
    </xf>
    <xf numFmtId="186" fontId="5" fillId="0" borderId="103" xfId="0" applyNumberFormat="1" applyFont="1" applyFill="1" applyBorder="1" applyAlignment="1">
      <alignment horizontal="right" vertical="center" shrinkToFit="1"/>
    </xf>
    <xf numFmtId="182" fontId="2" fillId="0" borderId="27" xfId="0" applyNumberFormat="1" applyFont="1" applyFill="1" applyBorder="1" applyAlignment="1">
      <alignment horizontal="left" vertical="center" shrinkToFit="1"/>
    </xf>
    <xf numFmtId="182" fontId="2" fillId="0" borderId="10" xfId="0" applyNumberFormat="1" applyFont="1" applyFill="1" applyBorder="1" applyAlignment="1">
      <alignment horizontal="left" vertical="center" shrinkToFit="1"/>
    </xf>
    <xf numFmtId="182" fontId="2" fillId="0" borderId="26" xfId="0" applyNumberFormat="1" applyFont="1" applyFill="1" applyBorder="1" applyAlignment="1">
      <alignment horizontal="left" vertical="center" shrinkToFit="1"/>
    </xf>
    <xf numFmtId="3" fontId="5" fillId="0" borderId="95" xfId="0" applyNumberFormat="1" applyFont="1" applyFill="1" applyBorder="1" applyAlignment="1">
      <alignment horizontal="right" vertical="center" shrinkToFit="1"/>
    </xf>
    <xf numFmtId="3" fontId="5" fillId="0" borderId="96" xfId="0" applyNumberFormat="1" applyFont="1" applyFill="1" applyBorder="1" applyAlignment="1">
      <alignment horizontal="right" vertical="center" shrinkToFit="1"/>
    </xf>
    <xf numFmtId="186" fontId="5" fillId="0" borderId="95" xfId="0" applyNumberFormat="1" applyFont="1" applyFill="1" applyBorder="1" applyAlignment="1">
      <alignment horizontal="right" vertical="center" shrinkToFit="1"/>
    </xf>
    <xf numFmtId="188" fontId="14" fillId="0" borderId="95" xfId="0" applyNumberFormat="1" applyFont="1" applyFill="1" applyBorder="1" applyAlignment="1">
      <alignment horizontal="right" vertical="center" shrinkToFit="1"/>
    </xf>
    <xf numFmtId="0" fontId="9" fillId="0" borderId="4" xfId="0" applyFont="1" applyFill="1" applyBorder="1" applyAlignment="1">
      <alignment horizontal="distributed" vertical="center" wrapText="1"/>
    </xf>
    <xf numFmtId="0" fontId="9" fillId="0" borderId="5" xfId="0" applyFont="1" applyFill="1" applyBorder="1" applyAlignment="1">
      <alignment horizontal="distributed" vertical="center" wrapText="1"/>
    </xf>
    <xf numFmtId="0" fontId="8" fillId="0" borderId="6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64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 wrapText="1"/>
    </xf>
    <xf numFmtId="0" fontId="8" fillId="0" borderId="90" xfId="0" applyFont="1" applyFill="1" applyBorder="1" applyAlignment="1">
      <alignment horizontal="center" vertical="center" wrapText="1"/>
    </xf>
    <xf numFmtId="0" fontId="8" fillId="0" borderId="97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distributed" vertical="center" wrapText="1"/>
    </xf>
    <xf numFmtId="0" fontId="8" fillId="0" borderId="0" xfId="0" applyFont="1" applyFill="1" applyBorder="1" applyAlignment="1">
      <alignment horizontal="distributed" vertical="center" wrapText="1"/>
    </xf>
    <xf numFmtId="0" fontId="9" fillId="0" borderId="9" xfId="0" applyFont="1" applyFill="1" applyBorder="1" applyAlignment="1">
      <alignment horizontal="distributed" vertical="center" wrapText="1"/>
    </xf>
    <xf numFmtId="0" fontId="2" fillId="0" borderId="4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9" fillId="0" borderId="107" xfId="0" applyFont="1" applyFill="1" applyBorder="1" applyAlignment="1">
      <alignment horizontal="center" vertical="center" shrinkToFit="1"/>
    </xf>
    <xf numFmtId="0" fontId="9" fillId="0" borderId="108" xfId="0" applyFont="1" applyFill="1" applyBorder="1" applyAlignment="1">
      <alignment horizontal="center" vertical="center" shrinkToFit="1"/>
    </xf>
    <xf numFmtId="0" fontId="9" fillId="0" borderId="109" xfId="0" applyFont="1" applyFill="1" applyBorder="1" applyAlignment="1">
      <alignment horizontal="center" vertical="center" shrinkToFit="1"/>
    </xf>
    <xf numFmtId="0" fontId="8" fillId="0" borderId="94" xfId="0" applyFont="1" applyFill="1" applyBorder="1" applyAlignment="1">
      <alignment horizontal="distributed" vertical="center" wrapText="1"/>
    </xf>
    <xf numFmtId="0" fontId="8" fillId="0" borderId="95" xfId="0" applyFont="1" applyFill="1" applyBorder="1" applyAlignment="1">
      <alignment horizontal="distributed" vertical="center" wrapText="1"/>
    </xf>
    <xf numFmtId="0" fontId="8" fillId="0" borderId="25" xfId="0" applyFont="1" applyFill="1" applyBorder="1" applyAlignment="1">
      <alignment horizontal="distributed" vertical="center"/>
    </xf>
    <xf numFmtId="0" fontId="8" fillId="0" borderId="5" xfId="0" applyFont="1" applyFill="1" applyBorder="1" applyAlignment="1">
      <alignment horizontal="distributed" vertical="center"/>
    </xf>
    <xf numFmtId="0" fontId="8" fillId="0" borderId="27" xfId="0" applyFont="1" applyFill="1" applyBorder="1" applyAlignment="1">
      <alignment horizontal="distributed" vertical="center"/>
    </xf>
    <xf numFmtId="0" fontId="8" fillId="0" borderId="10" xfId="0" applyFont="1" applyFill="1" applyBorder="1" applyAlignment="1">
      <alignment horizontal="distributed" vertical="center"/>
    </xf>
    <xf numFmtId="0" fontId="4" fillId="0" borderId="0" xfId="0" applyFont="1" applyFill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8" fillId="0" borderId="60" xfId="0" applyFont="1" applyFill="1" applyBorder="1" applyAlignment="1">
      <alignment horizontal="distributed" vertical="center" wrapText="1"/>
    </xf>
    <xf numFmtId="0" fontId="8" fillId="0" borderId="13" xfId="0" applyFont="1" applyFill="1" applyBorder="1" applyAlignment="1">
      <alignment horizontal="distributed" vertical="center" wrapText="1"/>
    </xf>
    <xf numFmtId="0" fontId="8" fillId="0" borderId="30" xfId="0" applyFont="1" applyFill="1" applyBorder="1" applyAlignment="1">
      <alignment horizontal="distributed" vertical="center" wrapText="1"/>
    </xf>
    <xf numFmtId="0" fontId="8" fillId="0" borderId="1" xfId="0" applyFont="1" applyFill="1" applyBorder="1" applyAlignment="1">
      <alignment horizontal="distributed" vertical="center" wrapText="1"/>
    </xf>
    <xf numFmtId="0" fontId="8" fillId="0" borderId="16" xfId="0" applyFont="1" applyFill="1" applyBorder="1" applyAlignment="1">
      <alignment horizontal="distributed" vertical="center"/>
    </xf>
    <xf numFmtId="0" fontId="8" fillId="0" borderId="14" xfId="0" applyFont="1" applyFill="1" applyBorder="1" applyAlignment="1">
      <alignment horizontal="distributed" vertical="center"/>
    </xf>
    <xf numFmtId="0" fontId="8" fillId="0" borderId="15" xfId="0" applyFont="1" applyFill="1" applyBorder="1" applyAlignment="1">
      <alignment horizontal="distributed" vertical="center"/>
    </xf>
    <xf numFmtId="0" fontId="8" fillId="0" borderId="4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distributed" vertical="center"/>
    </xf>
    <xf numFmtId="0" fontId="8" fillId="0" borderId="6" xfId="0" applyFont="1" applyFill="1" applyBorder="1" applyAlignment="1">
      <alignment horizontal="distributed" vertical="center"/>
    </xf>
    <xf numFmtId="0" fontId="8" fillId="0" borderId="30" xfId="0" applyFont="1" applyFill="1" applyBorder="1" applyAlignment="1">
      <alignment horizontal="distributed" wrapText="1"/>
    </xf>
    <xf numFmtId="0" fontId="8" fillId="0" borderId="1" xfId="0" applyFont="1" applyFill="1" applyBorder="1" applyAlignment="1">
      <alignment horizontal="distributed" wrapText="1"/>
    </xf>
    <xf numFmtId="0" fontId="8" fillId="0" borderId="17" xfId="0" applyFont="1" applyFill="1" applyBorder="1" applyAlignment="1">
      <alignment horizontal="distributed" wrapText="1"/>
    </xf>
    <xf numFmtId="0" fontId="8" fillId="0" borderId="7" xfId="0" applyFont="1" applyFill="1" applyBorder="1" applyAlignment="1">
      <alignment horizontal="distributed" wrapText="1"/>
    </xf>
    <xf numFmtId="0" fontId="8" fillId="0" borderId="9" xfId="0" applyFont="1" applyFill="1" applyBorder="1" applyAlignment="1">
      <alignment horizontal="distributed" vertical="center" wrapText="1"/>
    </xf>
    <xf numFmtId="0" fontId="8" fillId="0" borderId="7" xfId="0" applyFont="1" applyFill="1" applyBorder="1" applyAlignment="1">
      <alignment horizontal="distributed" vertical="center" wrapText="1"/>
    </xf>
    <xf numFmtId="0" fontId="8" fillId="0" borderId="60" xfId="0" applyFont="1" applyFill="1" applyBorder="1" applyAlignment="1">
      <alignment horizontal="distributed" vertical="distributed" wrapText="1"/>
    </xf>
    <xf numFmtId="0" fontId="9" fillId="0" borderId="13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wrapText="1"/>
    </xf>
    <xf numFmtId="0" fontId="8" fillId="0" borderId="4" xfId="0" applyFont="1" applyFill="1" applyBorder="1" applyAlignment="1">
      <alignment horizontal="distributed"/>
    </xf>
    <xf numFmtId="0" fontId="8" fillId="0" borderId="5" xfId="0" applyFont="1" applyFill="1" applyBorder="1" applyAlignment="1">
      <alignment horizontal="distributed"/>
    </xf>
    <xf numFmtId="0" fontId="8" fillId="0" borderId="11" xfId="0" applyFont="1" applyFill="1" applyBorder="1" applyAlignment="1">
      <alignment horizontal="distributed" wrapText="1"/>
    </xf>
    <xf numFmtId="0" fontId="8" fillId="0" borderId="10" xfId="0" applyFont="1" applyFill="1" applyBorder="1" applyAlignment="1">
      <alignment horizontal="distributed" wrapText="1"/>
    </xf>
    <xf numFmtId="0" fontId="8" fillId="0" borderId="64" xfId="0" applyFont="1" applyFill="1" applyBorder="1" applyAlignment="1">
      <alignment horizontal="distributed" vertical="center" wrapText="1"/>
    </xf>
    <xf numFmtId="0" fontId="8" fillId="0" borderId="65" xfId="0" applyFont="1" applyFill="1" applyBorder="1" applyAlignment="1">
      <alignment horizontal="distributed" vertical="center" wrapText="1"/>
    </xf>
    <xf numFmtId="0" fontId="8" fillId="0" borderId="11" xfId="0" applyFont="1" applyFill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distributed" wrapText="1"/>
    </xf>
    <xf numFmtId="0" fontId="8" fillId="0" borderId="5" xfId="0" applyFont="1" applyFill="1" applyBorder="1" applyAlignment="1">
      <alignment horizontal="distributed" wrapText="1"/>
    </xf>
    <xf numFmtId="0" fontId="8" fillId="0" borderId="17" xfId="0" applyFont="1" applyFill="1" applyBorder="1" applyAlignment="1">
      <alignment horizontal="distributed" vertical="center" wrapText="1"/>
    </xf>
    <xf numFmtId="0" fontId="9" fillId="0" borderId="7" xfId="0" applyFont="1" applyFill="1" applyBorder="1" applyAlignment="1">
      <alignment horizontal="distributed" wrapText="1"/>
    </xf>
    <xf numFmtId="0" fontId="9" fillId="0" borderId="7" xfId="0" applyFont="1" applyFill="1" applyBorder="1" applyAlignment="1">
      <alignment wrapText="1"/>
    </xf>
    <xf numFmtId="3" fontId="5" fillId="0" borderId="32" xfId="0" applyNumberFormat="1" applyFont="1" applyFill="1" applyBorder="1" applyAlignment="1">
      <alignment horizontal="right" vertical="center" shrinkToFit="1"/>
    </xf>
    <xf numFmtId="188" fontId="5" fillId="0" borderId="42" xfId="0" applyNumberFormat="1" applyFont="1" applyFill="1" applyBorder="1" applyAlignment="1">
      <alignment horizontal="right" vertical="center" shrinkToFit="1"/>
    </xf>
    <xf numFmtId="188" fontId="5" fillId="0" borderId="0" xfId="0" applyNumberFormat="1" applyFont="1" applyFill="1" applyBorder="1" applyAlignment="1">
      <alignment horizontal="right" vertical="center" shrinkToFit="1"/>
    </xf>
    <xf numFmtId="188" fontId="5" fillId="0" borderId="43" xfId="0" applyNumberFormat="1" applyFont="1" applyFill="1" applyBorder="1" applyAlignment="1">
      <alignment horizontal="right" vertical="center" shrinkToFit="1"/>
    </xf>
    <xf numFmtId="3" fontId="5" fillId="0" borderId="33" xfId="0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distributed" vertical="center"/>
    </xf>
    <xf numFmtId="0" fontId="2" fillId="0" borderId="26" xfId="0" applyFont="1" applyFill="1" applyBorder="1" applyAlignment="1">
      <alignment horizontal="distributed" vertical="center"/>
    </xf>
    <xf numFmtId="3" fontId="5" fillId="0" borderId="36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188" fontId="5" fillId="0" borderId="10" xfId="0" applyNumberFormat="1" applyFont="1" applyFill="1" applyBorder="1" applyAlignment="1">
      <alignment horizontal="right" vertical="center" shrinkToFit="1"/>
    </xf>
    <xf numFmtId="188" fontId="5" fillId="0" borderId="26" xfId="0" applyNumberFormat="1" applyFont="1" applyFill="1" applyBorder="1" applyAlignment="1">
      <alignment horizontal="right" vertical="center" shrinkToFit="1"/>
    </xf>
    <xf numFmtId="178" fontId="5" fillId="0" borderId="87" xfId="0" applyNumberFormat="1" applyFont="1" applyFill="1" applyBorder="1" applyAlignment="1">
      <alignment horizontal="right" vertical="center" shrinkToFit="1"/>
    </xf>
    <xf numFmtId="183" fontId="5" fillId="0" borderId="88" xfId="0" applyNumberFormat="1" applyFont="1" applyFill="1" applyBorder="1" applyAlignment="1">
      <alignment horizontal="right" vertical="center" shrinkToFit="1"/>
    </xf>
    <xf numFmtId="178" fontId="5" fillId="0" borderId="88" xfId="0" applyNumberFormat="1" applyFont="1" applyFill="1" applyBorder="1" applyAlignment="1">
      <alignment horizontal="right" vertical="center" shrinkToFit="1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2" xfId="4" applyNumberFormat="1" applyFont="1" applyFill="1" applyBorder="1" applyAlignment="1">
      <alignment horizontal="right" vertical="center" shrinkToFit="1"/>
    </xf>
    <xf numFmtId="179" fontId="5" fillId="0" borderId="22" xfId="0" applyNumberFormat="1" applyFont="1" applyFill="1" applyBorder="1" applyAlignment="1">
      <alignment horizontal="right" vertical="center" shrinkToFit="1"/>
    </xf>
    <xf numFmtId="179" fontId="5" fillId="0" borderId="20" xfId="0" applyNumberFormat="1" applyFont="1" applyFill="1" applyBorder="1" applyAlignment="1">
      <alignment horizontal="right" vertical="center" shrinkToFit="1"/>
    </xf>
    <xf numFmtId="179" fontId="5" fillId="0" borderId="23" xfId="0" applyNumberFormat="1" applyFont="1" applyFill="1" applyBorder="1" applyAlignment="1">
      <alignment horizontal="right" vertical="center" shrinkToFit="1"/>
    </xf>
    <xf numFmtId="188" fontId="5" fillId="0" borderId="4" xfId="0" applyNumberFormat="1" applyFont="1" applyFill="1" applyBorder="1" applyAlignment="1">
      <alignment horizontal="right" vertical="center" shrinkToFit="1"/>
    </xf>
    <xf numFmtId="188" fontId="5" fillId="0" borderId="5" xfId="0" applyNumberFormat="1" applyFont="1" applyFill="1" applyBorder="1" applyAlignment="1">
      <alignment horizontal="right" vertical="center" shrinkToFit="1"/>
    </xf>
    <xf numFmtId="188" fontId="5" fillId="0" borderId="24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distributed" vertical="center"/>
    </xf>
    <xf numFmtId="0" fontId="2" fillId="0" borderId="24" xfId="0" applyFont="1" applyFill="1" applyBorder="1" applyAlignment="1">
      <alignment horizontal="distributed" vertical="center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33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6" xfId="4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 shrinkToFit="1"/>
    </xf>
    <xf numFmtId="0" fontId="2" fillId="0" borderId="69" xfId="0" applyFont="1" applyFill="1" applyBorder="1" applyAlignment="1">
      <alignment horizontal="center" vertical="center" shrinkToFit="1"/>
    </xf>
    <xf numFmtId="176" fontId="2" fillId="0" borderId="35" xfId="0" quotePrefix="1" applyNumberFormat="1" applyFont="1" applyFill="1" applyBorder="1" applyAlignment="1">
      <alignment horizontal="center" vertical="center"/>
    </xf>
    <xf numFmtId="176" fontId="2" fillId="0" borderId="36" xfId="0" quotePrefix="1" applyNumberFormat="1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distributed" vertical="center"/>
    </xf>
    <xf numFmtId="0" fontId="2" fillId="0" borderId="1" xfId="0" applyFont="1" applyFill="1" applyBorder="1" applyAlignment="1">
      <alignment horizontal="distributed" vertical="center"/>
    </xf>
    <xf numFmtId="0" fontId="2" fillId="0" borderId="28" xfId="0" applyFont="1" applyFill="1" applyBorder="1" applyAlignment="1">
      <alignment horizontal="distributed" vertical="center"/>
    </xf>
    <xf numFmtId="176" fontId="2" fillId="0" borderId="12" xfId="0" quotePrefix="1" applyNumberFormat="1" applyFont="1" applyFill="1" applyBorder="1" applyAlignment="1">
      <alignment horizontal="center" vertical="center"/>
    </xf>
    <xf numFmtId="177" fontId="2" fillId="0" borderId="36" xfId="0" applyNumberFormat="1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distributed" vertical="center"/>
    </xf>
    <xf numFmtId="0" fontId="2" fillId="0" borderId="61" xfId="0" applyFont="1" applyFill="1" applyBorder="1" applyAlignment="1">
      <alignment horizontal="distributed" vertical="center"/>
    </xf>
    <xf numFmtId="188" fontId="5" fillId="0" borderId="79" xfId="0" applyNumberFormat="1" applyFont="1" applyFill="1" applyBorder="1" applyAlignment="1">
      <alignment horizontal="right" vertical="center" shrinkToFit="1"/>
    </xf>
    <xf numFmtId="188" fontId="5" fillId="0" borderId="72" xfId="0" applyNumberFormat="1" applyFont="1" applyFill="1" applyBorder="1" applyAlignment="1">
      <alignment horizontal="right" vertical="center" shrinkToFit="1"/>
    </xf>
    <xf numFmtId="188" fontId="5" fillId="0" borderId="73" xfId="0" applyNumberFormat="1" applyFont="1" applyFill="1" applyBorder="1" applyAlignment="1">
      <alignment horizontal="right" vertical="center" shrinkToFit="1"/>
    </xf>
    <xf numFmtId="0" fontId="2" fillId="0" borderId="74" xfId="0" applyFont="1" applyFill="1" applyBorder="1" applyAlignment="1">
      <alignment horizontal="distributed" vertical="center"/>
    </xf>
    <xf numFmtId="0" fontId="2" fillId="0" borderId="72" xfId="0" applyFont="1" applyFill="1" applyBorder="1" applyAlignment="1">
      <alignment horizontal="distributed" vertical="center"/>
    </xf>
    <xf numFmtId="0" fontId="2" fillId="0" borderId="73" xfId="0" applyFont="1" applyFill="1" applyBorder="1" applyAlignment="1">
      <alignment horizontal="distributed" vertical="center"/>
    </xf>
    <xf numFmtId="3" fontId="5" fillId="0" borderId="74" xfId="0" applyNumberFormat="1" applyFont="1" applyFill="1" applyBorder="1" applyAlignment="1">
      <alignment horizontal="right" vertical="center" shrinkToFit="1"/>
    </xf>
    <xf numFmtId="3" fontId="5" fillId="0" borderId="72" xfId="0" applyNumberFormat="1" applyFont="1" applyFill="1" applyBorder="1" applyAlignment="1">
      <alignment horizontal="right" vertical="center" shrinkToFit="1"/>
    </xf>
    <xf numFmtId="3" fontId="5" fillId="0" borderId="78" xfId="0" applyNumberFormat="1" applyFont="1" applyFill="1" applyBorder="1" applyAlignment="1">
      <alignment horizontal="right" vertical="center" shrinkToFit="1"/>
    </xf>
    <xf numFmtId="3" fontId="5" fillId="0" borderId="79" xfId="0" applyNumberFormat="1" applyFont="1" applyFill="1" applyBorder="1" applyAlignment="1">
      <alignment horizontal="right" vertical="center" shrinkToFit="1"/>
    </xf>
    <xf numFmtId="0" fontId="2" fillId="0" borderId="24" xfId="0" applyFont="1" applyFill="1" applyBorder="1" applyAlignment="1">
      <alignment horizontal="center" vertical="center" shrinkToFit="1"/>
    </xf>
    <xf numFmtId="0" fontId="2" fillId="0" borderId="45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43" xfId="0" applyFont="1" applyFill="1" applyBorder="1" applyAlignment="1">
      <alignment horizontal="distributed" vertical="center"/>
    </xf>
    <xf numFmtId="3" fontId="5" fillId="0" borderId="3" xfId="0" applyNumberFormat="1" applyFont="1" applyFill="1" applyBorder="1" applyAlignment="1">
      <alignment horizontal="right" vertical="center" shrinkToFit="1"/>
    </xf>
    <xf numFmtId="188" fontId="5" fillId="0" borderId="3" xfId="0" applyNumberFormat="1" applyFont="1" applyFill="1" applyBorder="1" applyAlignment="1">
      <alignment horizontal="right" vertical="center" shrinkToFit="1"/>
    </xf>
    <xf numFmtId="188" fontId="5" fillId="0" borderId="1" xfId="0" applyNumberFormat="1" applyFont="1" applyFill="1" applyBorder="1" applyAlignment="1">
      <alignment horizontal="right" vertical="center" shrinkToFit="1"/>
    </xf>
    <xf numFmtId="188" fontId="5" fillId="0" borderId="28" xfId="0" applyNumberFormat="1" applyFont="1" applyFill="1" applyBorder="1" applyAlignment="1">
      <alignment horizontal="right" vertical="center" shrinkToFit="1"/>
    </xf>
    <xf numFmtId="0" fontId="2" fillId="0" borderId="9" xfId="0" applyFont="1" applyFill="1" applyBorder="1" applyAlignment="1">
      <alignment horizontal="distributed" vertical="center"/>
    </xf>
    <xf numFmtId="176" fontId="2" fillId="0" borderId="60" xfId="0" quotePrefix="1" applyNumberFormat="1" applyFont="1" applyFill="1" applyBorder="1" applyAlignment="1">
      <alignment horizontal="center" vertical="center"/>
    </xf>
    <xf numFmtId="176" fontId="2" fillId="0" borderId="13" xfId="0" quotePrefix="1" applyNumberFormat="1" applyFont="1" applyFill="1" applyBorder="1" applyAlignment="1">
      <alignment horizontal="center" vertical="center"/>
    </xf>
    <xf numFmtId="176" fontId="2" fillId="0" borderId="62" xfId="0" quotePrefix="1" applyNumberFormat="1" applyFont="1" applyFill="1" applyBorder="1" applyAlignment="1">
      <alignment horizontal="center" vertical="center"/>
    </xf>
    <xf numFmtId="177" fontId="2" fillId="0" borderId="63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7" fontId="2" fillId="0" borderId="62" xfId="0" applyNumberFormat="1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 wrapText="1" shrinkToFit="1"/>
    </xf>
    <xf numFmtId="0" fontId="2" fillId="0" borderId="13" xfId="0" applyFont="1" applyFill="1" applyBorder="1" applyAlignment="1">
      <alignment horizontal="center" vertical="center" wrapText="1" shrinkToFit="1"/>
    </xf>
    <xf numFmtId="0" fontId="2" fillId="0" borderId="61" xfId="0" applyFont="1" applyFill="1" applyBorder="1" applyAlignment="1">
      <alignment horizontal="center" vertical="center" wrapText="1" shrinkToFit="1"/>
    </xf>
    <xf numFmtId="0" fontId="2" fillId="0" borderId="67" xfId="0" applyFont="1" applyFill="1" applyBorder="1" applyAlignment="1">
      <alignment horizontal="center" vertical="center" wrapText="1" shrinkToFit="1"/>
    </xf>
    <xf numFmtId="0" fontId="2" fillId="0" borderId="65" xfId="0" applyFont="1" applyFill="1" applyBorder="1" applyAlignment="1">
      <alignment horizontal="center" vertical="center" wrapText="1" shrinkToFit="1"/>
    </xf>
    <xf numFmtId="0" fontId="2" fillId="0" borderId="68" xfId="0" applyFont="1" applyFill="1" applyBorder="1" applyAlignment="1">
      <alignment horizontal="center" vertical="center" wrapText="1" shrinkToFit="1"/>
    </xf>
    <xf numFmtId="176" fontId="2" fillId="0" borderId="64" xfId="0" quotePrefix="1" applyNumberFormat="1" applyFont="1" applyFill="1" applyBorder="1" applyAlignment="1">
      <alignment horizontal="right" vertical="center"/>
    </xf>
    <xf numFmtId="176" fontId="2" fillId="0" borderId="65" xfId="0" quotePrefix="1" applyNumberFormat="1" applyFont="1" applyFill="1" applyBorder="1" applyAlignment="1">
      <alignment horizontal="right" vertical="center"/>
    </xf>
    <xf numFmtId="176" fontId="2" fillId="0" borderId="66" xfId="0" quotePrefix="1" applyNumberFormat="1" applyFont="1" applyFill="1" applyBorder="1" applyAlignment="1">
      <alignment horizontal="right" vertical="center"/>
    </xf>
    <xf numFmtId="176" fontId="2" fillId="0" borderId="67" xfId="0" quotePrefix="1" applyNumberFormat="1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distributed" vertical="center"/>
    </xf>
    <xf numFmtId="187" fontId="5" fillId="0" borderId="32" xfId="0" applyNumberFormat="1" applyFont="1" applyFill="1" applyBorder="1" applyAlignment="1">
      <alignment horizontal="right" vertical="center" shrinkToFit="1"/>
    </xf>
    <xf numFmtId="188" fontId="5" fillId="0" borderId="32" xfId="0" applyNumberFormat="1" applyFont="1" applyFill="1" applyBorder="1" applyAlignment="1">
      <alignment horizontal="right" vertical="center" shrinkToFit="1"/>
    </xf>
    <xf numFmtId="188" fontId="5" fillId="0" borderId="70" xfId="0" applyNumberFormat="1" applyFont="1" applyFill="1" applyBorder="1" applyAlignment="1">
      <alignment horizontal="right" vertical="center" shrinkToFit="1"/>
    </xf>
    <xf numFmtId="187" fontId="5" fillId="0" borderId="2" xfId="0" applyNumberFormat="1" applyFont="1" applyFill="1" applyBorder="1" applyAlignment="1">
      <alignment horizontal="right" vertical="center" shrinkToFit="1"/>
    </xf>
    <xf numFmtId="178" fontId="5" fillId="0" borderId="46" xfId="0" applyNumberFormat="1" applyFont="1" applyFill="1" applyBorder="1" applyAlignment="1">
      <alignment horizontal="right" vertical="center" shrinkToFit="1"/>
    </xf>
    <xf numFmtId="178" fontId="5" fillId="0" borderId="47" xfId="0" applyNumberFormat="1" applyFont="1" applyFill="1" applyBorder="1" applyAlignment="1">
      <alignment horizontal="right" vertical="center" shrinkToFit="1"/>
    </xf>
    <xf numFmtId="178" fontId="5" fillId="0" borderId="48" xfId="0" applyNumberFormat="1" applyFont="1" applyFill="1" applyBorder="1" applyAlignment="1">
      <alignment horizontal="right" vertical="center" shrinkToFit="1"/>
    </xf>
    <xf numFmtId="187" fontId="5" fillId="0" borderId="1" xfId="0" applyNumberFormat="1" applyFont="1" applyFill="1" applyBorder="1" applyAlignment="1">
      <alignment horizontal="right" vertical="center" shrinkToFit="1"/>
    </xf>
    <xf numFmtId="178" fontId="5" fillId="0" borderId="49" xfId="0" applyNumberFormat="1" applyFont="1" applyFill="1" applyBorder="1" applyAlignment="1">
      <alignment horizontal="right" vertical="center" shrinkToFit="1"/>
    </xf>
    <xf numFmtId="179" fontId="5" fillId="0" borderId="49" xfId="0" applyNumberFormat="1" applyFont="1" applyFill="1" applyBorder="1" applyAlignment="1">
      <alignment horizontal="right" vertical="center" shrinkToFit="1"/>
    </xf>
    <xf numFmtId="179" fontId="5" fillId="0" borderId="47" xfId="0" applyNumberFormat="1" applyFont="1" applyFill="1" applyBorder="1" applyAlignment="1">
      <alignment horizontal="right" vertical="center" shrinkToFit="1"/>
    </xf>
    <xf numFmtId="179" fontId="5" fillId="0" borderId="77" xfId="0" applyNumberFormat="1" applyFont="1" applyFill="1" applyBorder="1" applyAlignment="1">
      <alignment horizontal="right" vertical="center" shrinkToFit="1"/>
    </xf>
    <xf numFmtId="178" fontId="5" fillId="0" borderId="19" xfId="0" applyNumberFormat="1" applyFont="1" applyFill="1" applyBorder="1" applyAlignment="1">
      <alignment horizontal="right" vertical="center" shrinkToFit="1"/>
    </xf>
    <xf numFmtId="178" fontId="5" fillId="0" borderId="20" xfId="0" applyNumberFormat="1" applyFont="1" applyFill="1" applyBorder="1" applyAlignment="1">
      <alignment horizontal="right" vertical="center" shrinkToFit="1"/>
    </xf>
    <xf numFmtId="178" fontId="5" fillId="0" borderId="21" xfId="0" applyNumberFormat="1" applyFont="1" applyFill="1" applyBorder="1" applyAlignment="1">
      <alignment horizontal="right" vertical="center" shrinkToFit="1"/>
    </xf>
    <xf numFmtId="178" fontId="5" fillId="0" borderId="22" xfId="0" applyNumberFormat="1" applyFont="1" applyFill="1" applyBorder="1" applyAlignment="1">
      <alignment horizontal="right" vertical="center" shrinkToFit="1"/>
    </xf>
    <xf numFmtId="187" fontId="5" fillId="0" borderId="3" xfId="0" applyNumberFormat="1" applyFont="1" applyFill="1" applyBorder="1" applyAlignment="1">
      <alignment horizontal="right" vertical="center" shrinkToFit="1"/>
    </xf>
    <xf numFmtId="0" fontId="2" fillId="0" borderId="30" xfId="0" applyNumberFormat="1" applyFont="1" applyFill="1" applyBorder="1" applyAlignment="1">
      <alignment horizontal="distributed" vertical="center"/>
    </xf>
    <xf numFmtId="0" fontId="2" fillId="0" borderId="1" xfId="0" applyNumberFormat="1" applyFont="1" applyFill="1" applyBorder="1" applyAlignment="1">
      <alignment horizontal="distributed" vertical="center"/>
    </xf>
    <xf numFmtId="0" fontId="2" fillId="0" borderId="28" xfId="0" applyNumberFormat="1" applyFont="1" applyFill="1" applyBorder="1" applyAlignment="1">
      <alignment horizontal="distributed" vertical="center"/>
    </xf>
    <xf numFmtId="0" fontId="2" fillId="0" borderId="25" xfId="0" applyNumberFormat="1" applyFont="1" applyFill="1" applyBorder="1" applyAlignment="1">
      <alignment horizontal="distributed" vertical="center"/>
    </xf>
    <xf numFmtId="0" fontId="2" fillId="0" borderId="5" xfId="0" applyNumberFormat="1" applyFont="1" applyFill="1" applyBorder="1" applyAlignment="1">
      <alignment horizontal="distributed" vertical="center"/>
    </xf>
    <xf numFmtId="0" fontId="2" fillId="0" borderId="24" xfId="0" applyNumberFormat="1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 justifyLastLine="1"/>
    </xf>
    <xf numFmtId="0" fontId="2" fillId="0" borderId="40" xfId="0" applyFont="1" applyFill="1" applyBorder="1" applyAlignment="1">
      <alignment horizontal="distributed" vertical="center" justifyLastLine="1"/>
    </xf>
    <xf numFmtId="176" fontId="2" fillId="0" borderId="7" xfId="0" quotePrefix="1" applyNumberFormat="1" applyFont="1" applyFill="1" applyBorder="1" applyAlignment="1">
      <alignment horizontal="center" vertical="center"/>
    </xf>
    <xf numFmtId="176" fontId="2" fillId="0" borderId="8" xfId="0" quotePrefix="1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0" fontId="2" fillId="0" borderId="75" xfId="0" applyFont="1" applyFill="1" applyBorder="1" applyAlignment="1">
      <alignment horizontal="center" vertical="center"/>
    </xf>
    <xf numFmtId="0" fontId="2" fillId="0" borderId="71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27" xfId="0" applyNumberFormat="1" applyFont="1" applyFill="1" applyBorder="1" applyAlignment="1">
      <alignment horizontal="distributed" vertical="center"/>
    </xf>
    <xf numFmtId="0" fontId="2" fillId="0" borderId="10" xfId="0" applyNumberFormat="1" applyFont="1" applyFill="1" applyBorder="1" applyAlignment="1">
      <alignment horizontal="distributed" vertical="center"/>
    </xf>
    <xf numFmtId="0" fontId="2" fillId="0" borderId="26" xfId="0" applyNumberFormat="1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distributed"/>
    </xf>
    <xf numFmtId="0" fontId="2" fillId="0" borderId="5" xfId="0" applyFont="1" applyFill="1" applyBorder="1" applyAlignment="1">
      <alignment horizontal="distributed"/>
    </xf>
    <xf numFmtId="0" fontId="2" fillId="0" borderId="24" xfId="0" applyFont="1" applyFill="1" applyBorder="1" applyAlignment="1">
      <alignment horizontal="distributed"/>
    </xf>
    <xf numFmtId="0" fontId="6" fillId="0" borderId="45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distributed" vertical="center"/>
    </xf>
    <xf numFmtId="0" fontId="6" fillId="0" borderId="43" xfId="0" applyFont="1" applyFill="1" applyBorder="1" applyAlignment="1">
      <alignment horizontal="distributed" vertical="center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188" fontId="5" fillId="0" borderId="16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40" xfId="0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3" fontId="5" fillId="0" borderId="72" xfId="4" applyNumberFormat="1" applyFont="1" applyFill="1" applyBorder="1" applyAlignment="1">
      <alignment horizontal="right" vertical="center" shrinkToFit="1"/>
    </xf>
    <xf numFmtId="3" fontId="5" fillId="0" borderId="78" xfId="4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/>
    </xf>
    <xf numFmtId="0" fontId="2" fillId="0" borderId="10" xfId="0" applyFont="1" applyFill="1" applyBorder="1" applyAlignment="1">
      <alignment horizontal="distributed"/>
    </xf>
    <xf numFmtId="0" fontId="2" fillId="0" borderId="26" xfId="0" applyFont="1" applyFill="1" applyBorder="1" applyAlignment="1">
      <alignment horizontal="distributed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177" fontId="2" fillId="0" borderId="42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44" xfId="0" applyNumberFormat="1" applyFont="1" applyFill="1" applyBorder="1" applyAlignment="1">
      <alignment horizontal="center" vertical="center"/>
    </xf>
    <xf numFmtId="177" fontId="2" fillId="0" borderId="67" xfId="0" applyNumberFormat="1" applyFont="1" applyFill="1" applyBorder="1" applyAlignment="1">
      <alignment horizontal="center" vertical="center"/>
    </xf>
    <xf numFmtId="177" fontId="2" fillId="0" borderId="65" xfId="0" applyNumberFormat="1" applyFont="1" applyFill="1" applyBorder="1" applyAlignment="1">
      <alignment horizontal="center" vertical="center"/>
    </xf>
    <xf numFmtId="177" fontId="2" fillId="0" borderId="66" xfId="0" applyNumberFormat="1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44" xfId="4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distributed" vertical="center" justifyLastLine="1"/>
    </xf>
    <xf numFmtId="176" fontId="2" fillId="0" borderId="17" xfId="0" quotePrefix="1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 shrinkToFit="1"/>
    </xf>
    <xf numFmtId="4" fontId="5" fillId="0" borderId="42" xfId="4" applyNumberFormat="1" applyFont="1" applyFill="1" applyBorder="1" applyAlignment="1">
      <alignment horizontal="right" vertical="center" shrinkToFit="1"/>
    </xf>
    <xf numFmtId="0" fontId="13" fillId="0" borderId="50" xfId="0" applyNumberFormat="1" applyFont="1" applyFill="1" applyBorder="1" applyAlignment="1">
      <alignment horizontal="center" vertical="center"/>
    </xf>
    <xf numFmtId="176" fontId="2" fillId="0" borderId="45" xfId="0" quotePrefix="1" applyNumberFormat="1" applyFont="1" applyFill="1" applyBorder="1" applyAlignment="1">
      <alignment horizontal="center" vertical="center"/>
    </xf>
    <xf numFmtId="176" fontId="2" fillId="0" borderId="0" xfId="0" quotePrefix="1" applyNumberFormat="1" applyFont="1" applyFill="1" applyBorder="1" applyAlignment="1">
      <alignment horizontal="center" vertical="center"/>
    </xf>
    <xf numFmtId="176" fontId="2" fillId="0" borderId="44" xfId="0" quotePrefix="1" applyNumberFormat="1" applyFont="1" applyFill="1" applyBorder="1" applyAlignment="1">
      <alignment horizontal="center" vertical="center"/>
    </xf>
    <xf numFmtId="176" fontId="2" fillId="0" borderId="64" xfId="0" quotePrefix="1" applyNumberFormat="1" applyFont="1" applyFill="1" applyBorder="1" applyAlignment="1">
      <alignment horizontal="center" vertical="center"/>
    </xf>
    <xf numFmtId="176" fontId="2" fillId="0" borderId="65" xfId="0" quotePrefix="1" applyNumberFormat="1" applyFont="1" applyFill="1" applyBorder="1" applyAlignment="1">
      <alignment horizontal="center" vertical="center"/>
    </xf>
    <xf numFmtId="176" fontId="2" fillId="0" borderId="66" xfId="0" quotePrefix="1" applyNumberFormat="1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 wrapText="1" shrinkToFit="1"/>
    </xf>
    <xf numFmtId="187" fontId="5" fillId="0" borderId="30" xfId="0" applyNumberFormat="1" applyFont="1" applyFill="1" applyBorder="1" applyAlignment="1">
      <alignment horizontal="right" vertical="center" shrinkToFit="1"/>
    </xf>
    <xf numFmtId="0" fontId="2" fillId="0" borderId="72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center" vertical="center"/>
    </xf>
    <xf numFmtId="4" fontId="5" fillId="0" borderId="34" xfId="4" applyNumberFormat="1" applyFont="1" applyFill="1" applyBorder="1" applyAlignment="1">
      <alignment horizontal="right" vertical="center" shrinkToFit="1"/>
    </xf>
    <xf numFmtId="4" fontId="5" fillId="0" borderId="33" xfId="4" applyNumberFormat="1" applyFont="1" applyFill="1" applyBorder="1" applyAlignment="1">
      <alignment horizontal="right" vertical="center" shrinkToFit="1"/>
    </xf>
    <xf numFmtId="0" fontId="2" fillId="0" borderId="29" xfId="0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/>
    </xf>
    <xf numFmtId="0" fontId="2" fillId="0" borderId="83" xfId="0" applyFont="1" applyFill="1" applyBorder="1" applyAlignment="1">
      <alignment horizontal="center" vertical="center"/>
    </xf>
    <xf numFmtId="0" fontId="2" fillId="0" borderId="84" xfId="0" applyFont="1" applyFill="1" applyBorder="1" applyAlignment="1">
      <alignment horizontal="center" vertical="center"/>
    </xf>
    <xf numFmtId="0" fontId="2" fillId="0" borderId="85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 wrapText="1" shrinkToFit="1"/>
    </xf>
    <xf numFmtId="0" fontId="2" fillId="0" borderId="72" xfId="0" applyFont="1" applyFill="1" applyBorder="1" applyAlignment="1">
      <alignment horizontal="center" vertical="center" wrapText="1" shrinkToFit="1"/>
    </xf>
    <xf numFmtId="0" fontId="2" fillId="0" borderId="73" xfId="0" applyFont="1" applyFill="1" applyBorder="1" applyAlignment="1">
      <alignment horizontal="center" vertical="center" wrapText="1" shrinkToFit="1"/>
    </xf>
    <xf numFmtId="3" fontId="5" fillId="0" borderId="34" xfId="0" applyNumberFormat="1" applyFont="1" applyFill="1" applyBorder="1" applyAlignment="1">
      <alignment horizontal="right" vertical="center" shrinkToFit="1"/>
    </xf>
    <xf numFmtId="3" fontId="5" fillId="0" borderId="35" xfId="0" applyNumberFormat="1" applyFont="1" applyFill="1" applyBorder="1" applyAlignment="1">
      <alignment horizontal="right" vertical="center" shrinkToFit="1"/>
    </xf>
    <xf numFmtId="176" fontId="2" fillId="0" borderId="78" xfId="0" quotePrefix="1" applyNumberFormat="1" applyFont="1" applyFill="1" applyBorder="1" applyAlignment="1">
      <alignment horizontal="center" vertical="center"/>
    </xf>
    <xf numFmtId="176" fontId="2" fillId="0" borderId="82" xfId="0" quotePrefix="1" applyNumberFormat="1" applyFont="1" applyFill="1" applyBorder="1" applyAlignment="1">
      <alignment horizontal="center" vertical="center"/>
    </xf>
    <xf numFmtId="177" fontId="2" fillId="0" borderId="82" xfId="0" applyNumberFormat="1" applyFont="1" applyFill="1" applyBorder="1" applyAlignment="1">
      <alignment horizontal="center" vertical="center"/>
    </xf>
    <xf numFmtId="0" fontId="2" fillId="0" borderId="82" xfId="0" applyFont="1" applyFill="1" applyBorder="1" applyAlignment="1">
      <alignment horizontal="center" vertical="center" shrinkToFit="1"/>
    </xf>
    <xf numFmtId="0" fontId="2" fillId="0" borderId="86" xfId="0" applyFont="1" applyFill="1" applyBorder="1" applyAlignment="1">
      <alignment horizontal="center" vertical="center" shrinkToFit="1"/>
    </xf>
    <xf numFmtId="0" fontId="2" fillId="0" borderId="14" xfId="0" applyFont="1" applyFill="1" applyBorder="1" applyAlignment="1">
      <alignment horizontal="center" vertical="center" justifyLastLine="1"/>
    </xf>
    <xf numFmtId="0" fontId="2" fillId="0" borderId="40" xfId="0" applyFont="1" applyFill="1" applyBorder="1" applyAlignment="1">
      <alignment horizontal="center" vertical="center" justifyLastLine="1"/>
    </xf>
    <xf numFmtId="0" fontId="2" fillId="0" borderId="29" xfId="0" applyFont="1" applyFill="1" applyBorder="1" applyAlignment="1">
      <alignment horizontal="center" vertical="center" justifyLastLine="1"/>
    </xf>
    <xf numFmtId="3" fontId="5" fillId="0" borderId="31" xfId="0" applyNumberFormat="1" applyFont="1" applyFill="1" applyBorder="1" applyAlignment="1">
      <alignment horizontal="right" vertical="center" shrinkToFit="1"/>
    </xf>
    <xf numFmtId="180" fontId="5" fillId="0" borderId="112" xfId="0" applyNumberFormat="1" applyFont="1" applyFill="1" applyBorder="1" applyAlignment="1">
      <alignment horizontal="right" vertical="center" shrinkToFit="1"/>
    </xf>
    <xf numFmtId="184" fontId="5" fillId="0" borderId="113" xfId="0" applyNumberFormat="1" applyFont="1" applyFill="1" applyBorder="1" applyAlignment="1">
      <alignment horizontal="right" vertical="center" shrinkToFit="1"/>
    </xf>
    <xf numFmtId="180" fontId="5" fillId="0" borderId="113" xfId="0" applyNumberFormat="1" applyFont="1" applyFill="1" applyBorder="1" applyAlignment="1">
      <alignment horizontal="right" vertical="center" shrinkToFit="1"/>
    </xf>
    <xf numFmtId="179" fontId="5" fillId="0" borderId="113" xfId="0" applyNumberFormat="1" applyFont="1" applyFill="1" applyBorder="1" applyAlignment="1">
      <alignment horizontal="right" vertical="center" shrinkToFit="1"/>
    </xf>
    <xf numFmtId="179" fontId="5" fillId="0" borderId="114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horizontal="distributed" vertical="center"/>
    </xf>
    <xf numFmtId="0" fontId="2" fillId="0" borderId="67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188" fontId="5" fillId="0" borderId="33" xfId="0" applyNumberFormat="1" applyFont="1" applyFill="1" applyBorder="1" applyAlignment="1">
      <alignment horizontal="right" vertical="center" shrinkToFit="1"/>
    </xf>
    <xf numFmtId="188" fontId="5" fillId="0" borderId="80" xfId="0" applyNumberFormat="1" applyFont="1" applyFill="1" applyBorder="1" applyAlignment="1">
      <alignment horizontal="right" vertical="center" shrinkToFit="1"/>
    </xf>
    <xf numFmtId="0" fontId="2" fillId="0" borderId="51" xfId="0" applyFont="1" applyFill="1" applyBorder="1" applyAlignment="1">
      <alignment horizontal="center" vertical="center" textRotation="255"/>
    </xf>
    <xf numFmtId="0" fontId="2" fillId="0" borderId="59" xfId="0" applyFont="1" applyFill="1" applyBorder="1" applyAlignment="1">
      <alignment horizontal="center" vertical="center" textRotation="255"/>
    </xf>
    <xf numFmtId="188" fontId="5" fillId="0" borderId="49" xfId="0" applyNumberFormat="1" applyFont="1" applyFill="1" applyBorder="1" applyAlignment="1">
      <alignment horizontal="right" vertical="center" shrinkToFit="1"/>
    </xf>
    <xf numFmtId="188" fontId="5" fillId="0" borderId="47" xfId="0" applyNumberFormat="1" applyFont="1" applyFill="1" applyBorder="1" applyAlignment="1">
      <alignment horizontal="right" vertical="center" shrinkToFit="1"/>
    </xf>
    <xf numFmtId="188" fontId="5" fillId="0" borderId="77" xfId="0" applyNumberFormat="1" applyFont="1" applyFill="1" applyBorder="1" applyAlignment="1">
      <alignment horizontal="right" vertical="center" shrinkToFit="1"/>
    </xf>
    <xf numFmtId="4" fontId="5" fillId="0" borderId="34" xfId="0" applyNumberFormat="1" applyFont="1" applyFill="1" applyBorder="1" applyAlignment="1">
      <alignment horizontal="right" vertical="center" shrinkToFit="1"/>
    </xf>
    <xf numFmtId="4" fontId="5" fillId="0" borderId="33" xfId="0" applyNumberFormat="1" applyFont="1" applyFill="1" applyBorder="1" applyAlignment="1">
      <alignment horizontal="right" vertical="center" shrinkToFit="1"/>
    </xf>
    <xf numFmtId="180" fontId="5" fillId="0" borderId="115" xfId="0" applyNumberFormat="1" applyFont="1" applyFill="1" applyBorder="1" applyAlignment="1">
      <alignment horizontal="right" vertical="center" shrinkToFit="1"/>
    </xf>
    <xf numFmtId="184" fontId="5" fillId="0" borderId="116" xfId="0" applyNumberFormat="1" applyFont="1" applyFill="1" applyBorder="1" applyAlignment="1">
      <alignment horizontal="right" vertical="center" shrinkToFit="1"/>
    </xf>
    <xf numFmtId="180" fontId="5" fillId="0" borderId="116" xfId="0" applyNumberFormat="1" applyFont="1" applyFill="1" applyBorder="1" applyAlignment="1">
      <alignment horizontal="right" vertical="center" shrinkToFit="1"/>
    </xf>
    <xf numFmtId="3" fontId="5" fillId="0" borderId="41" xfId="0" applyNumberFormat="1" applyFont="1" applyFill="1" applyBorder="1" applyAlignment="1">
      <alignment horizontal="right" vertical="center" shrinkToFit="1"/>
    </xf>
    <xf numFmtId="0" fontId="2" fillId="0" borderId="16" xfId="0" applyFont="1" applyFill="1" applyBorder="1" applyAlignment="1">
      <alignment horizontal="distributed" vertical="center"/>
    </xf>
    <xf numFmtId="0" fontId="2" fillId="0" borderId="40" xfId="0" applyFont="1" applyFill="1" applyBorder="1" applyAlignment="1">
      <alignment horizontal="distributed" vertical="center"/>
    </xf>
    <xf numFmtId="4" fontId="5" fillId="0" borderId="35" xfId="0" applyNumberFormat="1" applyFont="1" applyFill="1" applyBorder="1" applyAlignment="1">
      <alignment horizontal="right" vertical="center" shrinkToFit="1"/>
    </xf>
    <xf numFmtId="4" fontId="5" fillId="0" borderId="36" xfId="0" applyNumberFormat="1" applyFont="1" applyFill="1" applyBorder="1" applyAlignment="1">
      <alignment horizontal="right" vertical="center" shrinkToFit="1"/>
    </xf>
    <xf numFmtId="0" fontId="2" fillId="0" borderId="17" xfId="0" applyFont="1" applyFill="1" applyBorder="1" applyAlignment="1">
      <alignment horizontal="distributed" vertical="center"/>
    </xf>
    <xf numFmtId="0" fontId="2" fillId="0" borderId="7" xfId="0" applyFont="1" applyFill="1" applyBorder="1" applyAlignment="1">
      <alignment horizontal="distributed" vertical="center"/>
    </xf>
    <xf numFmtId="0" fontId="2" fillId="0" borderId="18" xfId="0" applyFont="1" applyFill="1" applyBorder="1" applyAlignment="1">
      <alignment horizontal="distributed" vertical="center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2" xfId="4" applyNumberFormat="1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187" fontId="5" fillId="0" borderId="4" xfId="4" applyNumberFormat="1" applyFont="1" applyFill="1" applyBorder="1" applyAlignment="1">
      <alignment horizontal="right" vertical="center" shrinkToFit="1"/>
    </xf>
    <xf numFmtId="187" fontId="5" fillId="0" borderId="7" xfId="4" applyNumberFormat="1" applyFont="1" applyFill="1" applyBorder="1" applyAlignment="1">
      <alignment horizontal="right" vertical="center" shrinkToFit="1"/>
    </xf>
    <xf numFmtId="187" fontId="5" fillId="0" borderId="8" xfId="4" applyNumberFormat="1" applyFont="1" applyFill="1" applyBorder="1" applyAlignment="1">
      <alignment horizontal="right" vertical="center" shrinkToFit="1"/>
    </xf>
    <xf numFmtId="187" fontId="5" fillId="0" borderId="9" xfId="4" applyNumberFormat="1" applyFont="1" applyFill="1" applyBorder="1" applyAlignment="1">
      <alignment horizontal="right" vertical="center" shrinkToFit="1"/>
    </xf>
    <xf numFmtId="188" fontId="5" fillId="0" borderId="9" xfId="0" applyNumberFormat="1" applyFont="1" applyFill="1" applyBorder="1" applyAlignment="1">
      <alignment horizontal="right" vertical="center" shrinkToFit="1"/>
    </xf>
    <xf numFmtId="188" fontId="5" fillId="0" borderId="7" xfId="0" applyNumberFormat="1" applyFont="1" applyFill="1" applyBorder="1" applyAlignment="1">
      <alignment horizontal="right" vertical="center" shrinkToFit="1"/>
    </xf>
    <xf numFmtId="188" fontId="5" fillId="0" borderId="18" xfId="0" applyNumberFormat="1" applyFont="1" applyFill="1" applyBorder="1" applyAlignment="1">
      <alignment horizontal="right" vertical="center" shrinkToFit="1"/>
    </xf>
    <xf numFmtId="4" fontId="5" fillId="0" borderId="25" xfId="4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38" xfId="4" applyNumberFormat="1" applyFont="1" applyFill="1" applyBorder="1" applyAlignment="1">
      <alignment horizontal="right" vertical="center" shrinkToFit="1"/>
    </xf>
    <xf numFmtId="4" fontId="5" fillId="0" borderId="37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187" fontId="5" fillId="0" borderId="36" xfId="4" applyNumberFormat="1" applyFont="1" applyFill="1" applyBorder="1" applyAlignment="1">
      <alignment horizontal="right" vertical="center" shrinkToFit="1"/>
    </xf>
    <xf numFmtId="187" fontId="5" fillId="0" borderId="33" xfId="4" applyNumberFormat="1" applyFont="1" applyFill="1" applyBorder="1" applyAlignment="1">
      <alignment horizontal="right" vertical="center" shrinkToFit="1"/>
    </xf>
    <xf numFmtId="0" fontId="2" fillId="0" borderId="89" xfId="0" applyFont="1" applyFill="1" applyBorder="1" applyAlignment="1">
      <alignment horizontal="center" vertical="center" textRotation="255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176" fontId="2" fillId="0" borderId="10" xfId="0" quotePrefix="1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187" fontId="5" fillId="0" borderId="78" xfId="4" applyNumberFormat="1" applyFont="1" applyFill="1" applyBorder="1" applyAlignment="1">
      <alignment horizontal="right" vertical="center" shrinkToFit="1"/>
    </xf>
    <xf numFmtId="187" fontId="5" fillId="0" borderId="82" xfId="4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0" customWidth="1"/>
    <col min="8" max="65" width="2.625" style="2" customWidth="1"/>
    <col min="66" max="73" width="2.625" style="2"/>
    <col min="74" max="74" width="2.625" style="2" customWidth="1"/>
    <col min="75" max="16384" width="2.625" style="2"/>
  </cols>
  <sheetData>
    <row r="1" spans="1:76" ht="12.2" customHeight="1">
      <c r="A1" s="246" t="str">
        <f>IF(H5="【個】[000101]","9999",H5)&amp;"年　農業経営統計調査　育成牛・肥育牛生産費統計　個別結果検討表　№１"</f>
        <v>年　農業経営統計調査　育成牛・肥育牛生産費統計　個別結果検討表　№１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7"/>
      <c r="AO1" s="91" t="s">
        <v>0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</row>
    <row r="2" spans="1:76" ht="12.2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7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</row>
    <row r="3" spans="1:76" ht="12" customHeight="1">
      <c r="A3" s="2"/>
      <c r="B3" s="2"/>
      <c r="C3" s="2"/>
      <c r="D3" s="2"/>
      <c r="E3" s="2"/>
      <c r="F3" s="2"/>
      <c r="G3" s="2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76" ht="12" customHeight="1">
      <c r="A4" s="5" t="s">
        <v>134</v>
      </c>
      <c r="B4" s="4"/>
      <c r="C4" s="4"/>
      <c r="D4" s="4"/>
      <c r="E4" s="4"/>
      <c r="F4" s="4"/>
      <c r="G4" s="3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76" ht="12" customHeight="1">
      <c r="A5" s="224" t="s">
        <v>95</v>
      </c>
      <c r="B5" s="225"/>
      <c r="C5" s="225"/>
      <c r="D5" s="225"/>
      <c r="E5" s="225"/>
      <c r="F5" s="225"/>
      <c r="G5" s="228" t="s">
        <v>96</v>
      </c>
      <c r="H5" s="93"/>
      <c r="I5" s="93"/>
      <c r="J5" s="93"/>
      <c r="K5" s="94"/>
      <c r="L5" s="97" t="s">
        <v>97</v>
      </c>
      <c r="M5" s="98"/>
      <c r="N5" s="99"/>
      <c r="O5" s="100" t="str">
        <f>IF(H5="","",IF(H5="【個】[000101]","年",H5-1))</f>
        <v/>
      </c>
      <c r="P5" s="93"/>
      <c r="Q5" s="93"/>
      <c r="R5" s="94"/>
      <c r="S5" s="97" t="s">
        <v>97</v>
      </c>
      <c r="T5" s="98"/>
      <c r="U5" s="98"/>
      <c r="V5" s="102" t="s">
        <v>98</v>
      </c>
      <c r="W5" s="103"/>
      <c r="X5" s="103"/>
      <c r="Y5" s="103" t="s">
        <v>99</v>
      </c>
      <c r="Z5" s="103"/>
      <c r="AA5" s="104"/>
      <c r="AB5" s="107" t="s">
        <v>100</v>
      </c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9"/>
      <c r="BA5" s="3"/>
      <c r="BB5" s="4"/>
      <c r="BC5" s="3"/>
      <c r="BD5" s="9"/>
      <c r="BE5" s="9"/>
      <c r="BF5" s="11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3"/>
      <c r="BV5" s="9"/>
      <c r="BW5" s="3"/>
      <c r="BX5" s="9"/>
    </row>
    <row r="6" spans="1:76" ht="12" customHeight="1">
      <c r="A6" s="226"/>
      <c r="B6" s="227"/>
      <c r="C6" s="227"/>
      <c r="D6" s="227"/>
      <c r="E6" s="227"/>
      <c r="F6" s="227"/>
      <c r="G6" s="229"/>
      <c r="H6" s="95"/>
      <c r="I6" s="95"/>
      <c r="J6" s="95"/>
      <c r="K6" s="96"/>
      <c r="L6" s="113" t="s">
        <v>101</v>
      </c>
      <c r="M6" s="114"/>
      <c r="N6" s="115"/>
      <c r="O6" s="101"/>
      <c r="P6" s="95"/>
      <c r="Q6" s="95"/>
      <c r="R6" s="96"/>
      <c r="S6" s="113" t="s">
        <v>101</v>
      </c>
      <c r="T6" s="114"/>
      <c r="U6" s="114"/>
      <c r="V6" s="116" t="s">
        <v>101</v>
      </c>
      <c r="W6" s="117"/>
      <c r="X6" s="117"/>
      <c r="Y6" s="105"/>
      <c r="Z6" s="105"/>
      <c r="AA6" s="106"/>
      <c r="AB6" s="110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2"/>
      <c r="BA6" s="3"/>
      <c r="BB6" s="31"/>
      <c r="BC6" s="33"/>
      <c r="BD6" s="9"/>
      <c r="BE6" s="9"/>
      <c r="BF6" s="4"/>
      <c r="BG6" s="4"/>
      <c r="BH6" s="4"/>
      <c r="BI6" s="4"/>
      <c r="BJ6" s="4"/>
      <c r="BK6" s="4"/>
      <c r="BL6" s="4"/>
      <c r="BM6" s="31"/>
      <c r="BN6" s="31"/>
      <c r="BO6" s="31"/>
      <c r="BP6" s="32"/>
      <c r="BQ6" s="32"/>
      <c r="BR6" s="32"/>
      <c r="BS6" s="33"/>
      <c r="BT6" s="33"/>
      <c r="BU6" s="33"/>
      <c r="BV6" s="9"/>
      <c r="BW6" s="9"/>
      <c r="BX6" s="9"/>
    </row>
    <row r="7" spans="1:76" ht="12" customHeight="1">
      <c r="A7" s="230" t="s">
        <v>102</v>
      </c>
      <c r="B7" s="231"/>
      <c r="C7" s="231"/>
      <c r="D7" s="231"/>
      <c r="E7" s="231"/>
      <c r="F7" s="231"/>
      <c r="G7" s="67" t="s">
        <v>103</v>
      </c>
      <c r="H7" s="118"/>
      <c r="I7" s="118"/>
      <c r="J7" s="118"/>
      <c r="K7" s="119"/>
      <c r="L7" s="120" t="str">
        <f>IFERROR(ROUND(H7/$H$24*100,1),"-")</f>
        <v>-</v>
      </c>
      <c r="M7" s="121"/>
      <c r="N7" s="122"/>
      <c r="O7" s="123"/>
      <c r="P7" s="118"/>
      <c r="Q7" s="118"/>
      <c r="R7" s="119"/>
      <c r="S7" s="120" t="str">
        <f>IFERROR(ROUND(O7/$O$24*100,1),"-")</f>
        <v>-</v>
      </c>
      <c r="T7" s="121"/>
      <c r="U7" s="122"/>
      <c r="V7" s="124" t="str">
        <f>IF(H7="-", "-", IF(O7="-", "-", IF(ABS(O7)=0, "-", ROUND(100*(H7-O7)/ABS(O7),1))))</f>
        <v>-</v>
      </c>
      <c r="W7" s="125"/>
      <c r="X7" s="125"/>
      <c r="Y7" s="126">
        <f>H7-O7</f>
        <v>0</v>
      </c>
      <c r="Z7" s="126"/>
      <c r="AA7" s="127"/>
      <c r="AB7" s="128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30"/>
      <c r="BA7" s="3"/>
      <c r="BB7" s="31"/>
      <c r="BC7" s="33"/>
      <c r="BD7" s="9"/>
      <c r="BE7" s="9"/>
      <c r="BF7" s="4"/>
      <c r="BG7" s="4"/>
      <c r="BH7" s="4"/>
      <c r="BI7" s="4"/>
      <c r="BJ7" s="4"/>
      <c r="BK7" s="4"/>
      <c r="BL7" s="4"/>
      <c r="BM7" s="31"/>
      <c r="BN7" s="31"/>
      <c r="BO7" s="31"/>
      <c r="BP7" s="32"/>
      <c r="BQ7" s="32"/>
      <c r="BR7" s="32"/>
      <c r="BS7" s="33"/>
      <c r="BT7" s="33"/>
      <c r="BU7" s="33"/>
      <c r="BV7" s="9"/>
      <c r="BW7" s="9"/>
      <c r="BX7" s="9"/>
    </row>
    <row r="8" spans="1:76" ht="12" customHeight="1">
      <c r="A8" s="68"/>
      <c r="B8" s="222" t="s">
        <v>71</v>
      </c>
      <c r="C8" s="223"/>
      <c r="D8" s="223"/>
      <c r="E8" s="223"/>
      <c r="F8" s="223"/>
      <c r="G8" s="69" t="s">
        <v>127</v>
      </c>
      <c r="H8" s="131"/>
      <c r="I8" s="131"/>
      <c r="J8" s="131"/>
      <c r="K8" s="132"/>
      <c r="L8" s="133" t="str">
        <f t="shared" ref="L8:L24" si="0">IFERROR(ROUND(H8/$H$24*100,1),"-")</f>
        <v>-</v>
      </c>
      <c r="M8" s="134"/>
      <c r="N8" s="135"/>
      <c r="O8" s="136"/>
      <c r="P8" s="131"/>
      <c r="Q8" s="131"/>
      <c r="R8" s="132"/>
      <c r="S8" s="133" t="str">
        <f t="shared" ref="S8:S24" si="1">IFERROR(ROUND(O8/$O$24*100,1),"-")</f>
        <v>-</v>
      </c>
      <c r="T8" s="134"/>
      <c r="U8" s="135"/>
      <c r="V8" s="137" t="str">
        <f t="shared" ref="V8:V48" si="2">IF(H8="-", "-", IF(O8="-", "-", IF(ABS(O8)=0, "-", ROUND(100*(H8-O8)/ABS(O8),1))))</f>
        <v>-</v>
      </c>
      <c r="W8" s="138"/>
      <c r="X8" s="139"/>
      <c r="Y8" s="140">
        <f t="shared" ref="Y8:Y48" si="3">H8-O8</f>
        <v>0</v>
      </c>
      <c r="Z8" s="131"/>
      <c r="AA8" s="141"/>
      <c r="AB8" s="142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4"/>
      <c r="BA8" s="3"/>
      <c r="BB8" s="34"/>
      <c r="BC8" s="43"/>
      <c r="BD8" s="9"/>
      <c r="BE8" s="9"/>
      <c r="BF8" s="4"/>
      <c r="BG8" s="4"/>
      <c r="BH8" s="4"/>
      <c r="BI8" s="4"/>
      <c r="BJ8" s="4"/>
      <c r="BK8" s="4"/>
      <c r="BL8" s="35"/>
      <c r="BM8" s="34"/>
      <c r="BN8" s="34"/>
      <c r="BO8" s="34"/>
      <c r="BP8" s="34"/>
      <c r="BQ8" s="34"/>
      <c r="BR8" s="34"/>
      <c r="BS8" s="43"/>
      <c r="BT8" s="43"/>
      <c r="BU8" s="43"/>
      <c r="BV8" s="9"/>
      <c r="BW8" s="9"/>
      <c r="BX8" s="9"/>
    </row>
    <row r="9" spans="1:76" ht="12" customHeight="1">
      <c r="A9" s="68"/>
      <c r="B9" s="232" t="s">
        <v>105</v>
      </c>
      <c r="C9" s="223"/>
      <c r="D9" s="223"/>
      <c r="E9" s="223"/>
      <c r="F9" s="223"/>
      <c r="G9" s="69" t="s">
        <v>104</v>
      </c>
      <c r="H9" s="131"/>
      <c r="I9" s="131"/>
      <c r="J9" s="131"/>
      <c r="K9" s="132"/>
      <c r="L9" s="133" t="str">
        <f t="shared" si="0"/>
        <v>-</v>
      </c>
      <c r="M9" s="134"/>
      <c r="N9" s="135"/>
      <c r="O9" s="136"/>
      <c r="P9" s="131"/>
      <c r="Q9" s="131"/>
      <c r="R9" s="132"/>
      <c r="S9" s="133" t="str">
        <f t="shared" si="1"/>
        <v>-</v>
      </c>
      <c r="T9" s="134"/>
      <c r="U9" s="135"/>
      <c r="V9" s="137" t="str">
        <f t="shared" si="2"/>
        <v>-</v>
      </c>
      <c r="W9" s="138"/>
      <c r="X9" s="139"/>
      <c r="Y9" s="140">
        <f t="shared" si="3"/>
        <v>0</v>
      </c>
      <c r="Z9" s="131"/>
      <c r="AA9" s="141"/>
      <c r="AB9" s="142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4"/>
      <c r="BA9" s="3"/>
      <c r="BB9" s="9"/>
      <c r="BC9" s="9"/>
      <c r="BD9" s="9"/>
      <c r="BE9" s="9"/>
      <c r="BF9" s="4"/>
      <c r="BG9" s="4"/>
      <c r="BH9" s="4"/>
      <c r="BI9" s="4"/>
      <c r="BJ9" s="4"/>
      <c r="BK9" s="4"/>
      <c r="BL9" s="35"/>
      <c r="BM9" s="34"/>
      <c r="BN9" s="34"/>
      <c r="BO9" s="34"/>
      <c r="BP9" s="34"/>
      <c r="BQ9" s="34"/>
      <c r="BR9" s="34"/>
      <c r="BS9" s="43"/>
      <c r="BT9" s="43"/>
      <c r="BU9" s="43"/>
      <c r="BV9" s="9"/>
      <c r="BW9" s="9"/>
      <c r="BX9" s="9"/>
    </row>
    <row r="10" spans="1:76" ht="12" customHeight="1">
      <c r="A10" s="70"/>
      <c r="B10" s="36"/>
      <c r="C10" s="233" t="s">
        <v>6</v>
      </c>
      <c r="D10" s="234"/>
      <c r="E10" s="234"/>
      <c r="F10" s="234"/>
      <c r="G10" s="71" t="s">
        <v>104</v>
      </c>
      <c r="H10" s="131"/>
      <c r="I10" s="131"/>
      <c r="J10" s="131"/>
      <c r="K10" s="132"/>
      <c r="L10" s="133" t="str">
        <f t="shared" si="0"/>
        <v>-</v>
      </c>
      <c r="M10" s="134"/>
      <c r="N10" s="135"/>
      <c r="O10" s="136"/>
      <c r="P10" s="131"/>
      <c r="Q10" s="131"/>
      <c r="R10" s="132"/>
      <c r="S10" s="133" t="str">
        <f t="shared" si="1"/>
        <v>-</v>
      </c>
      <c r="T10" s="134"/>
      <c r="U10" s="135"/>
      <c r="V10" s="137" t="str">
        <f t="shared" si="2"/>
        <v>-</v>
      </c>
      <c r="W10" s="138"/>
      <c r="X10" s="139"/>
      <c r="Y10" s="140">
        <f t="shared" si="3"/>
        <v>0</v>
      </c>
      <c r="Z10" s="131"/>
      <c r="AA10" s="141"/>
      <c r="AB10" s="142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4"/>
      <c r="BA10" s="3"/>
      <c r="BB10" s="9"/>
      <c r="BC10" s="9"/>
      <c r="BD10" s="9"/>
      <c r="BE10" s="9"/>
      <c r="BF10" s="4"/>
      <c r="BG10" s="4"/>
      <c r="BH10" s="4"/>
      <c r="BI10" s="4"/>
      <c r="BJ10" s="4"/>
      <c r="BK10" s="4"/>
      <c r="BL10" s="35"/>
      <c r="BM10" s="34"/>
      <c r="BN10" s="34"/>
      <c r="BO10" s="34"/>
      <c r="BP10" s="34"/>
      <c r="BQ10" s="34"/>
      <c r="BR10" s="34"/>
      <c r="BS10" s="43"/>
      <c r="BT10" s="43"/>
      <c r="BU10" s="43"/>
      <c r="BV10" s="9"/>
      <c r="BW10" s="9"/>
      <c r="BX10" s="9"/>
    </row>
    <row r="11" spans="1:76" ht="12" customHeight="1">
      <c r="A11" s="70"/>
      <c r="B11" s="37"/>
      <c r="C11" s="235" t="s">
        <v>90</v>
      </c>
      <c r="D11" s="236"/>
      <c r="E11" s="236"/>
      <c r="F11" s="236"/>
      <c r="G11" s="71" t="s">
        <v>104</v>
      </c>
      <c r="H11" s="131"/>
      <c r="I11" s="131"/>
      <c r="J11" s="131"/>
      <c r="K11" s="132"/>
      <c r="L11" s="133" t="str">
        <f t="shared" si="0"/>
        <v>-</v>
      </c>
      <c r="M11" s="134"/>
      <c r="N11" s="135"/>
      <c r="O11" s="136"/>
      <c r="P11" s="131"/>
      <c r="Q11" s="131"/>
      <c r="R11" s="132"/>
      <c r="S11" s="133" t="str">
        <f t="shared" si="1"/>
        <v>-</v>
      </c>
      <c r="T11" s="134"/>
      <c r="U11" s="135"/>
      <c r="V11" s="137" t="str">
        <f t="shared" si="2"/>
        <v>-</v>
      </c>
      <c r="W11" s="138"/>
      <c r="X11" s="139"/>
      <c r="Y11" s="140">
        <f t="shared" si="3"/>
        <v>0</v>
      </c>
      <c r="Z11" s="131"/>
      <c r="AA11" s="141"/>
      <c r="AB11" s="142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4"/>
      <c r="BA11" s="3"/>
      <c r="BB11" s="9"/>
      <c r="BC11" s="9"/>
      <c r="BD11" s="9"/>
      <c r="BE11" s="9"/>
      <c r="BF11" s="4"/>
      <c r="BG11" s="4"/>
      <c r="BH11" s="4"/>
      <c r="BI11" s="4"/>
      <c r="BJ11" s="4"/>
      <c r="BK11" s="4"/>
      <c r="BL11" s="35"/>
      <c r="BM11" s="34"/>
      <c r="BN11" s="34"/>
      <c r="BO11" s="34"/>
      <c r="BP11" s="34"/>
      <c r="BQ11" s="34"/>
      <c r="BR11" s="34"/>
      <c r="BS11" s="43"/>
      <c r="BT11" s="43"/>
      <c r="BU11" s="43"/>
      <c r="BV11" s="9"/>
      <c r="BW11" s="9"/>
      <c r="BX11" s="9"/>
    </row>
    <row r="12" spans="1:76" ht="12" customHeight="1">
      <c r="A12" s="68"/>
      <c r="B12" s="222" t="s">
        <v>7</v>
      </c>
      <c r="C12" s="223"/>
      <c r="D12" s="223"/>
      <c r="E12" s="223"/>
      <c r="F12" s="223"/>
      <c r="G12" s="69" t="s">
        <v>104</v>
      </c>
      <c r="H12" s="131"/>
      <c r="I12" s="131"/>
      <c r="J12" s="131"/>
      <c r="K12" s="132"/>
      <c r="L12" s="133" t="str">
        <f t="shared" si="0"/>
        <v>-</v>
      </c>
      <c r="M12" s="134"/>
      <c r="N12" s="135"/>
      <c r="O12" s="136"/>
      <c r="P12" s="131"/>
      <c r="Q12" s="131"/>
      <c r="R12" s="132"/>
      <c r="S12" s="133" t="str">
        <f t="shared" si="1"/>
        <v>-</v>
      </c>
      <c r="T12" s="134"/>
      <c r="U12" s="135"/>
      <c r="V12" s="137" t="str">
        <f t="shared" si="2"/>
        <v>-</v>
      </c>
      <c r="W12" s="138"/>
      <c r="X12" s="139"/>
      <c r="Y12" s="140">
        <f t="shared" si="3"/>
        <v>0</v>
      </c>
      <c r="Z12" s="131"/>
      <c r="AA12" s="141"/>
      <c r="AB12" s="142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4"/>
      <c r="BA12" s="3"/>
      <c r="BB12" s="9"/>
      <c r="BC12" s="9"/>
      <c r="BD12" s="9"/>
      <c r="BE12" s="9"/>
      <c r="BF12" s="4"/>
      <c r="BG12" s="4"/>
      <c r="BH12" s="4"/>
      <c r="BI12" s="4"/>
      <c r="BJ12" s="4"/>
      <c r="BK12" s="4"/>
      <c r="BL12" s="35"/>
      <c r="BM12" s="34"/>
      <c r="BN12" s="34"/>
      <c r="BO12" s="34"/>
      <c r="BP12" s="34"/>
      <c r="BQ12" s="34"/>
      <c r="BR12" s="34"/>
      <c r="BS12" s="43"/>
      <c r="BT12" s="43"/>
      <c r="BU12" s="43"/>
      <c r="BV12" s="9"/>
      <c r="BW12" s="9"/>
      <c r="BX12" s="9"/>
    </row>
    <row r="13" spans="1:76" ht="12" customHeight="1">
      <c r="A13" s="68"/>
      <c r="B13" s="222" t="s">
        <v>91</v>
      </c>
      <c r="C13" s="223"/>
      <c r="D13" s="223"/>
      <c r="E13" s="223"/>
      <c r="F13" s="223"/>
      <c r="G13" s="69" t="s">
        <v>104</v>
      </c>
      <c r="H13" s="131"/>
      <c r="I13" s="131"/>
      <c r="J13" s="131"/>
      <c r="K13" s="132"/>
      <c r="L13" s="133" t="str">
        <f t="shared" si="0"/>
        <v>-</v>
      </c>
      <c r="M13" s="134"/>
      <c r="N13" s="135"/>
      <c r="O13" s="136"/>
      <c r="P13" s="131"/>
      <c r="Q13" s="131"/>
      <c r="R13" s="132"/>
      <c r="S13" s="133" t="str">
        <f t="shared" si="1"/>
        <v>-</v>
      </c>
      <c r="T13" s="134"/>
      <c r="U13" s="135"/>
      <c r="V13" s="137" t="str">
        <f t="shared" si="2"/>
        <v>-</v>
      </c>
      <c r="W13" s="138"/>
      <c r="X13" s="139"/>
      <c r="Y13" s="140">
        <f t="shared" si="3"/>
        <v>0</v>
      </c>
      <c r="Z13" s="131"/>
      <c r="AA13" s="141"/>
      <c r="AB13" s="142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4"/>
      <c r="BA13" s="3"/>
      <c r="BB13" s="9"/>
      <c r="BC13" s="9"/>
      <c r="BD13" s="9"/>
      <c r="BE13" s="9"/>
      <c r="BF13" s="4"/>
      <c r="BG13" s="4"/>
      <c r="BH13" s="4"/>
      <c r="BI13" s="4"/>
      <c r="BJ13" s="4"/>
      <c r="BK13" s="4"/>
      <c r="BL13" s="35"/>
      <c r="BM13" s="34"/>
      <c r="BN13" s="34"/>
      <c r="BO13" s="34"/>
      <c r="BP13" s="34"/>
      <c r="BQ13" s="34"/>
      <c r="BR13" s="34"/>
      <c r="BS13" s="43"/>
      <c r="BT13" s="43"/>
      <c r="BU13" s="43"/>
      <c r="BV13" s="9"/>
      <c r="BW13" s="9"/>
      <c r="BX13" s="9"/>
    </row>
    <row r="14" spans="1:76" ht="12" customHeight="1">
      <c r="A14" s="68"/>
      <c r="B14" s="222" t="s">
        <v>106</v>
      </c>
      <c r="C14" s="223"/>
      <c r="D14" s="223"/>
      <c r="E14" s="223"/>
      <c r="F14" s="223"/>
      <c r="G14" s="69" t="s">
        <v>104</v>
      </c>
      <c r="H14" s="131"/>
      <c r="I14" s="131"/>
      <c r="J14" s="131"/>
      <c r="K14" s="132"/>
      <c r="L14" s="133" t="str">
        <f t="shared" si="0"/>
        <v>-</v>
      </c>
      <c r="M14" s="134"/>
      <c r="N14" s="135"/>
      <c r="O14" s="136"/>
      <c r="P14" s="131"/>
      <c r="Q14" s="131"/>
      <c r="R14" s="132"/>
      <c r="S14" s="133" t="str">
        <f t="shared" si="1"/>
        <v>-</v>
      </c>
      <c r="T14" s="134"/>
      <c r="U14" s="135"/>
      <c r="V14" s="137" t="str">
        <f t="shared" si="2"/>
        <v>-</v>
      </c>
      <c r="W14" s="138"/>
      <c r="X14" s="139"/>
      <c r="Y14" s="140">
        <f t="shared" si="3"/>
        <v>0</v>
      </c>
      <c r="Z14" s="131"/>
      <c r="AA14" s="141"/>
      <c r="AB14" s="142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4"/>
      <c r="BA14" s="3"/>
      <c r="BB14" s="9"/>
      <c r="BC14" s="7"/>
      <c r="BD14" s="9"/>
      <c r="BE14" s="9"/>
      <c r="BF14" s="4"/>
      <c r="BG14" s="4"/>
      <c r="BH14" s="4"/>
      <c r="BI14" s="4"/>
      <c r="BJ14" s="4"/>
      <c r="BK14" s="4"/>
      <c r="BL14" s="35"/>
      <c r="BM14" s="34"/>
      <c r="BN14" s="34"/>
      <c r="BO14" s="34"/>
      <c r="BP14" s="34"/>
      <c r="BQ14" s="34"/>
      <c r="BR14" s="34"/>
      <c r="BS14" s="43"/>
      <c r="BT14" s="43"/>
      <c r="BU14" s="43"/>
      <c r="BV14" s="9"/>
      <c r="BW14" s="9"/>
      <c r="BX14" s="9"/>
    </row>
    <row r="15" spans="1:76" ht="12" customHeight="1">
      <c r="A15" s="68"/>
      <c r="B15" s="222" t="s">
        <v>107</v>
      </c>
      <c r="C15" s="223"/>
      <c r="D15" s="223"/>
      <c r="E15" s="223"/>
      <c r="F15" s="223"/>
      <c r="G15" s="69" t="s">
        <v>104</v>
      </c>
      <c r="H15" s="131"/>
      <c r="I15" s="131"/>
      <c r="J15" s="131"/>
      <c r="K15" s="132"/>
      <c r="L15" s="133" t="str">
        <f t="shared" si="0"/>
        <v>-</v>
      </c>
      <c r="M15" s="134"/>
      <c r="N15" s="135"/>
      <c r="O15" s="136"/>
      <c r="P15" s="131"/>
      <c r="Q15" s="131"/>
      <c r="R15" s="132"/>
      <c r="S15" s="133" t="str">
        <f t="shared" si="1"/>
        <v>-</v>
      </c>
      <c r="T15" s="134"/>
      <c r="U15" s="135"/>
      <c r="V15" s="137" t="str">
        <f t="shared" si="2"/>
        <v>-</v>
      </c>
      <c r="W15" s="138"/>
      <c r="X15" s="139"/>
      <c r="Y15" s="140">
        <f t="shared" si="3"/>
        <v>0</v>
      </c>
      <c r="Z15" s="131"/>
      <c r="AA15" s="141"/>
      <c r="AB15" s="142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4"/>
      <c r="BA15" s="3"/>
      <c r="BB15" s="9"/>
      <c r="BC15" s="33"/>
      <c r="BD15" s="9"/>
      <c r="BE15" s="9"/>
      <c r="BF15" s="4"/>
      <c r="BG15" s="4"/>
      <c r="BH15" s="4"/>
      <c r="BI15" s="4"/>
      <c r="BJ15" s="4"/>
      <c r="BK15" s="4"/>
      <c r="BL15" s="35"/>
      <c r="BM15" s="34"/>
      <c r="BN15" s="34"/>
      <c r="BO15" s="34"/>
      <c r="BP15" s="34"/>
      <c r="BQ15" s="34"/>
      <c r="BR15" s="34"/>
      <c r="BS15" s="43"/>
      <c r="BT15" s="43"/>
      <c r="BU15" s="43"/>
      <c r="BV15" s="9"/>
      <c r="BW15" s="9"/>
      <c r="BX15" s="9"/>
    </row>
    <row r="16" spans="1:76" ht="12" customHeight="1">
      <c r="A16" s="68"/>
      <c r="B16" s="222" t="s">
        <v>10</v>
      </c>
      <c r="C16" s="223"/>
      <c r="D16" s="223"/>
      <c r="E16" s="223"/>
      <c r="F16" s="223"/>
      <c r="G16" s="69" t="s">
        <v>104</v>
      </c>
      <c r="H16" s="131"/>
      <c r="I16" s="131"/>
      <c r="J16" s="131"/>
      <c r="K16" s="132"/>
      <c r="L16" s="133" t="str">
        <f t="shared" si="0"/>
        <v>-</v>
      </c>
      <c r="M16" s="134"/>
      <c r="N16" s="135"/>
      <c r="O16" s="136"/>
      <c r="P16" s="131"/>
      <c r="Q16" s="131"/>
      <c r="R16" s="132"/>
      <c r="S16" s="133" t="str">
        <f t="shared" si="1"/>
        <v>-</v>
      </c>
      <c r="T16" s="134"/>
      <c r="U16" s="135"/>
      <c r="V16" s="137" t="str">
        <f t="shared" si="2"/>
        <v>-</v>
      </c>
      <c r="W16" s="138"/>
      <c r="X16" s="139"/>
      <c r="Y16" s="140">
        <f t="shared" si="3"/>
        <v>0</v>
      </c>
      <c r="Z16" s="131"/>
      <c r="AA16" s="141"/>
      <c r="AB16" s="142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4"/>
      <c r="BA16" s="3"/>
      <c r="BB16" s="66"/>
      <c r="BC16" s="33"/>
      <c r="BD16" s="9"/>
      <c r="BE16" s="9"/>
      <c r="BF16" s="4"/>
      <c r="BG16" s="4"/>
      <c r="BH16" s="4"/>
      <c r="BI16" s="4"/>
      <c r="BJ16" s="4"/>
      <c r="BK16" s="4"/>
      <c r="BL16" s="35"/>
      <c r="BM16" s="38"/>
      <c r="BN16" s="38"/>
      <c r="BO16" s="38"/>
      <c r="BP16" s="38"/>
      <c r="BQ16" s="38"/>
      <c r="BR16" s="38"/>
      <c r="BS16" s="43"/>
      <c r="BT16" s="43"/>
      <c r="BU16" s="43"/>
      <c r="BV16" s="9"/>
      <c r="BW16" s="9"/>
      <c r="BX16" s="9"/>
    </row>
    <row r="17" spans="1:76" ht="12" customHeight="1">
      <c r="A17" s="68"/>
      <c r="B17" s="222" t="s">
        <v>108</v>
      </c>
      <c r="C17" s="223"/>
      <c r="D17" s="223"/>
      <c r="E17" s="223"/>
      <c r="F17" s="223"/>
      <c r="G17" s="69" t="s">
        <v>104</v>
      </c>
      <c r="H17" s="131"/>
      <c r="I17" s="131"/>
      <c r="J17" s="131"/>
      <c r="K17" s="132"/>
      <c r="L17" s="133" t="str">
        <f t="shared" si="0"/>
        <v>-</v>
      </c>
      <c r="M17" s="134"/>
      <c r="N17" s="135"/>
      <c r="O17" s="136"/>
      <c r="P17" s="131"/>
      <c r="Q17" s="131"/>
      <c r="R17" s="132"/>
      <c r="S17" s="133" t="str">
        <f t="shared" si="1"/>
        <v>-</v>
      </c>
      <c r="T17" s="134"/>
      <c r="U17" s="135"/>
      <c r="V17" s="137" t="str">
        <f t="shared" si="2"/>
        <v>-</v>
      </c>
      <c r="W17" s="138"/>
      <c r="X17" s="139"/>
      <c r="Y17" s="140">
        <f t="shared" si="3"/>
        <v>0</v>
      </c>
      <c r="Z17" s="131"/>
      <c r="AA17" s="141"/>
      <c r="AB17" s="142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4"/>
      <c r="BA17" s="3"/>
      <c r="BB17" s="31"/>
      <c r="BC17" s="43"/>
      <c r="BD17" s="9"/>
      <c r="BE17" s="9"/>
      <c r="BF17" s="4"/>
      <c r="BG17" s="4"/>
      <c r="BH17" s="4"/>
      <c r="BI17" s="4"/>
      <c r="BJ17" s="4"/>
      <c r="BK17" s="4"/>
      <c r="BL17" s="35"/>
      <c r="BM17" s="38"/>
      <c r="BN17" s="38"/>
      <c r="BO17" s="38"/>
      <c r="BP17" s="38"/>
      <c r="BQ17" s="38"/>
      <c r="BR17" s="38"/>
      <c r="BS17" s="43"/>
      <c r="BT17" s="43"/>
      <c r="BU17" s="43"/>
      <c r="BV17" s="9"/>
      <c r="BW17" s="9"/>
      <c r="BX17" s="9"/>
    </row>
    <row r="18" spans="1:76" ht="12" customHeight="1">
      <c r="A18" s="68"/>
      <c r="B18" s="222" t="s">
        <v>12</v>
      </c>
      <c r="C18" s="223"/>
      <c r="D18" s="223"/>
      <c r="E18" s="223"/>
      <c r="F18" s="223"/>
      <c r="G18" s="69" t="s">
        <v>104</v>
      </c>
      <c r="H18" s="131"/>
      <c r="I18" s="131"/>
      <c r="J18" s="131"/>
      <c r="K18" s="132"/>
      <c r="L18" s="133" t="str">
        <f t="shared" si="0"/>
        <v>-</v>
      </c>
      <c r="M18" s="134"/>
      <c r="N18" s="135"/>
      <c r="O18" s="136"/>
      <c r="P18" s="131"/>
      <c r="Q18" s="131"/>
      <c r="R18" s="132"/>
      <c r="S18" s="133" t="str">
        <f t="shared" si="1"/>
        <v>-</v>
      </c>
      <c r="T18" s="134"/>
      <c r="U18" s="135"/>
      <c r="V18" s="137" t="str">
        <f t="shared" si="2"/>
        <v>-</v>
      </c>
      <c r="W18" s="138"/>
      <c r="X18" s="139"/>
      <c r="Y18" s="140">
        <f t="shared" si="3"/>
        <v>0</v>
      </c>
      <c r="Z18" s="131"/>
      <c r="AA18" s="141"/>
      <c r="AB18" s="142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4"/>
      <c r="BA18" s="3"/>
      <c r="BB18" s="31"/>
      <c r="BC18" s="43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ht="12" customHeight="1">
      <c r="A19" s="68"/>
      <c r="B19" s="222" t="s">
        <v>13</v>
      </c>
      <c r="C19" s="223"/>
      <c r="D19" s="223"/>
      <c r="E19" s="223"/>
      <c r="F19" s="223"/>
      <c r="G19" s="69" t="s">
        <v>104</v>
      </c>
      <c r="H19" s="131"/>
      <c r="I19" s="131"/>
      <c r="J19" s="131"/>
      <c r="K19" s="132"/>
      <c r="L19" s="133" t="str">
        <f t="shared" si="0"/>
        <v>-</v>
      </c>
      <c r="M19" s="134"/>
      <c r="N19" s="135"/>
      <c r="O19" s="136"/>
      <c r="P19" s="131"/>
      <c r="Q19" s="131"/>
      <c r="R19" s="132"/>
      <c r="S19" s="133" t="str">
        <f t="shared" si="1"/>
        <v>-</v>
      </c>
      <c r="T19" s="134"/>
      <c r="U19" s="135"/>
      <c r="V19" s="137" t="str">
        <f t="shared" si="2"/>
        <v>-</v>
      </c>
      <c r="W19" s="138"/>
      <c r="X19" s="139"/>
      <c r="Y19" s="140">
        <f t="shared" si="3"/>
        <v>0</v>
      </c>
      <c r="Z19" s="131"/>
      <c r="AA19" s="141"/>
      <c r="AB19" s="142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4"/>
      <c r="BA19" s="3"/>
      <c r="BB19" s="44"/>
      <c r="BC19" s="43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ht="12" customHeight="1">
      <c r="A20" s="68"/>
      <c r="B20" s="222" t="s">
        <v>14</v>
      </c>
      <c r="C20" s="223"/>
      <c r="D20" s="223"/>
      <c r="E20" s="223"/>
      <c r="F20" s="223"/>
      <c r="G20" s="69" t="s">
        <v>104</v>
      </c>
      <c r="H20" s="131"/>
      <c r="I20" s="131"/>
      <c r="J20" s="131"/>
      <c r="K20" s="132"/>
      <c r="L20" s="133" t="str">
        <f t="shared" si="0"/>
        <v>-</v>
      </c>
      <c r="M20" s="134"/>
      <c r="N20" s="135"/>
      <c r="O20" s="136"/>
      <c r="P20" s="131"/>
      <c r="Q20" s="131"/>
      <c r="R20" s="132"/>
      <c r="S20" s="133" t="str">
        <f t="shared" si="1"/>
        <v>-</v>
      </c>
      <c r="T20" s="134"/>
      <c r="U20" s="135"/>
      <c r="V20" s="137" t="str">
        <f t="shared" si="2"/>
        <v>-</v>
      </c>
      <c r="W20" s="138"/>
      <c r="X20" s="139"/>
      <c r="Y20" s="140">
        <f t="shared" si="3"/>
        <v>0</v>
      </c>
      <c r="Z20" s="131"/>
      <c r="AA20" s="141"/>
      <c r="AB20" s="142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4"/>
      <c r="BA20" s="3"/>
      <c r="BB20" s="44"/>
      <c r="BC20" s="43"/>
      <c r="BD20" s="9"/>
      <c r="BE20" s="9"/>
      <c r="BF20" s="11"/>
      <c r="BG20" s="11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ht="12" customHeight="1">
      <c r="A21" s="72"/>
      <c r="B21" s="222" t="s">
        <v>109</v>
      </c>
      <c r="C21" s="223"/>
      <c r="D21" s="223"/>
      <c r="E21" s="223"/>
      <c r="F21" s="223"/>
      <c r="G21" s="69" t="s">
        <v>104</v>
      </c>
      <c r="H21" s="131"/>
      <c r="I21" s="131"/>
      <c r="J21" s="131"/>
      <c r="K21" s="132"/>
      <c r="L21" s="133" t="str">
        <f t="shared" si="0"/>
        <v>-</v>
      </c>
      <c r="M21" s="134"/>
      <c r="N21" s="135"/>
      <c r="O21" s="136"/>
      <c r="P21" s="131"/>
      <c r="Q21" s="131"/>
      <c r="R21" s="132"/>
      <c r="S21" s="133" t="str">
        <f t="shared" si="1"/>
        <v>-</v>
      </c>
      <c r="T21" s="134"/>
      <c r="U21" s="135"/>
      <c r="V21" s="137" t="str">
        <f t="shared" si="2"/>
        <v>-</v>
      </c>
      <c r="W21" s="138"/>
      <c r="X21" s="139"/>
      <c r="Y21" s="140">
        <f t="shared" si="3"/>
        <v>0</v>
      </c>
      <c r="Z21" s="131"/>
      <c r="AA21" s="141"/>
      <c r="AB21" s="142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4"/>
      <c r="BA21" s="3"/>
      <c r="BB21" s="44"/>
      <c r="BC21" s="43"/>
      <c r="BD21" s="9"/>
      <c r="BE21" s="9"/>
      <c r="BF21" s="4"/>
      <c r="BG21" s="4"/>
      <c r="BH21" s="4"/>
      <c r="BI21" s="4"/>
      <c r="BJ21" s="4"/>
      <c r="BK21" s="4"/>
      <c r="BL21" s="4"/>
      <c r="BM21" s="31"/>
      <c r="BN21" s="31"/>
      <c r="BO21" s="31"/>
      <c r="BP21" s="32"/>
      <c r="BQ21" s="32"/>
      <c r="BR21" s="32"/>
      <c r="BS21" s="33"/>
      <c r="BT21" s="33"/>
      <c r="BU21" s="33"/>
      <c r="BV21" s="9"/>
      <c r="BW21" s="9"/>
      <c r="BX21" s="9"/>
    </row>
    <row r="22" spans="1:76" ht="12" customHeight="1">
      <c r="A22" s="281" t="s">
        <v>17</v>
      </c>
      <c r="B22" s="282"/>
      <c r="C22" s="282"/>
      <c r="D22" s="282"/>
      <c r="E22" s="282"/>
      <c r="F22" s="283"/>
      <c r="G22" s="73" t="s">
        <v>104</v>
      </c>
      <c r="H22" s="131"/>
      <c r="I22" s="131"/>
      <c r="J22" s="131"/>
      <c r="K22" s="132"/>
      <c r="L22" s="133" t="str">
        <f t="shared" si="0"/>
        <v>-</v>
      </c>
      <c r="M22" s="134"/>
      <c r="N22" s="135"/>
      <c r="O22" s="136"/>
      <c r="P22" s="131"/>
      <c r="Q22" s="131"/>
      <c r="R22" s="132"/>
      <c r="S22" s="133" t="str">
        <f t="shared" si="1"/>
        <v>-</v>
      </c>
      <c r="T22" s="134"/>
      <c r="U22" s="135"/>
      <c r="V22" s="137" t="str">
        <f t="shared" si="2"/>
        <v>-</v>
      </c>
      <c r="W22" s="138"/>
      <c r="X22" s="139"/>
      <c r="Y22" s="140">
        <f t="shared" si="3"/>
        <v>0</v>
      </c>
      <c r="Z22" s="131"/>
      <c r="AA22" s="141"/>
      <c r="AB22" s="142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4"/>
      <c r="BA22" s="3"/>
      <c r="BB22" s="44"/>
      <c r="BC22" s="43"/>
      <c r="BD22" s="9"/>
      <c r="BE22" s="9"/>
      <c r="BF22" s="4"/>
      <c r="BG22" s="4"/>
      <c r="BH22" s="4"/>
      <c r="BI22" s="4"/>
      <c r="BJ22" s="4"/>
      <c r="BK22" s="4"/>
      <c r="BL22" s="4"/>
      <c r="BM22" s="31"/>
      <c r="BN22" s="31"/>
      <c r="BO22" s="31"/>
      <c r="BP22" s="31"/>
      <c r="BQ22" s="31"/>
      <c r="BR22" s="31"/>
      <c r="BS22" s="33"/>
      <c r="BT22" s="33"/>
      <c r="BU22" s="33"/>
      <c r="BV22" s="9"/>
      <c r="BW22" s="9"/>
      <c r="BX22" s="9"/>
    </row>
    <row r="23" spans="1:76" ht="12" customHeight="1">
      <c r="A23" s="74"/>
      <c r="B23" s="258" t="s">
        <v>110</v>
      </c>
      <c r="C23" s="243"/>
      <c r="D23" s="243"/>
      <c r="E23" s="243"/>
      <c r="F23" s="243"/>
      <c r="G23" s="75" t="s">
        <v>104</v>
      </c>
      <c r="H23" s="131"/>
      <c r="I23" s="131"/>
      <c r="J23" s="131"/>
      <c r="K23" s="132"/>
      <c r="L23" s="133" t="str">
        <f t="shared" si="0"/>
        <v>-</v>
      </c>
      <c r="M23" s="134"/>
      <c r="N23" s="135"/>
      <c r="O23" s="136"/>
      <c r="P23" s="131"/>
      <c r="Q23" s="131"/>
      <c r="R23" s="132"/>
      <c r="S23" s="133" t="str">
        <f t="shared" si="1"/>
        <v>-</v>
      </c>
      <c r="T23" s="134"/>
      <c r="U23" s="135"/>
      <c r="V23" s="137" t="str">
        <f t="shared" si="2"/>
        <v>-</v>
      </c>
      <c r="W23" s="138"/>
      <c r="X23" s="139"/>
      <c r="Y23" s="140">
        <f t="shared" si="3"/>
        <v>0</v>
      </c>
      <c r="Z23" s="131"/>
      <c r="AA23" s="141"/>
      <c r="AB23" s="142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4"/>
      <c r="BA23" s="9"/>
      <c r="BB23" s="44"/>
      <c r="BC23" s="43"/>
      <c r="BD23" s="9"/>
      <c r="BE23" s="9"/>
      <c r="BF23" s="4"/>
      <c r="BG23" s="4"/>
      <c r="BH23" s="4"/>
      <c r="BI23" s="4"/>
      <c r="BJ23" s="4"/>
      <c r="BK23" s="4"/>
      <c r="BL23" s="4"/>
      <c r="BM23" s="34"/>
      <c r="BN23" s="34"/>
      <c r="BO23" s="34"/>
      <c r="BP23" s="34"/>
      <c r="BQ23" s="34"/>
      <c r="BR23" s="34"/>
      <c r="BS23" s="43"/>
      <c r="BT23" s="43"/>
      <c r="BU23" s="43"/>
      <c r="BV23" s="9"/>
      <c r="BW23" s="9"/>
      <c r="BX23" s="9"/>
    </row>
    <row r="24" spans="1:76" ht="12" customHeight="1">
      <c r="A24" s="279" t="s">
        <v>21</v>
      </c>
      <c r="B24" s="280"/>
      <c r="C24" s="280"/>
      <c r="D24" s="280"/>
      <c r="E24" s="280"/>
      <c r="F24" s="280"/>
      <c r="G24" s="71" t="s">
        <v>104</v>
      </c>
      <c r="H24" s="131"/>
      <c r="I24" s="131"/>
      <c r="J24" s="131"/>
      <c r="K24" s="132"/>
      <c r="L24" s="133" t="str">
        <f t="shared" si="0"/>
        <v>-</v>
      </c>
      <c r="M24" s="134"/>
      <c r="N24" s="135"/>
      <c r="O24" s="136"/>
      <c r="P24" s="131"/>
      <c r="Q24" s="131"/>
      <c r="R24" s="132"/>
      <c r="S24" s="133" t="str">
        <f t="shared" si="1"/>
        <v>-</v>
      </c>
      <c r="T24" s="134"/>
      <c r="U24" s="135"/>
      <c r="V24" s="137" t="str">
        <f t="shared" si="2"/>
        <v>-</v>
      </c>
      <c r="W24" s="138"/>
      <c r="X24" s="139"/>
      <c r="Y24" s="140">
        <f t="shared" si="3"/>
        <v>0</v>
      </c>
      <c r="Z24" s="131"/>
      <c r="AA24" s="141"/>
      <c r="AB24" s="142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4"/>
      <c r="BA24" s="8"/>
      <c r="BB24" s="44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ht="12" customHeight="1">
      <c r="A25" s="279" t="s">
        <v>23</v>
      </c>
      <c r="B25" s="280"/>
      <c r="C25" s="280"/>
      <c r="D25" s="280"/>
      <c r="E25" s="280"/>
      <c r="F25" s="280"/>
      <c r="G25" s="71" t="s">
        <v>104</v>
      </c>
      <c r="H25" s="131"/>
      <c r="I25" s="131"/>
      <c r="J25" s="131"/>
      <c r="K25" s="132"/>
      <c r="L25" s="145"/>
      <c r="M25" s="146"/>
      <c r="N25" s="147"/>
      <c r="O25" s="136"/>
      <c r="P25" s="131"/>
      <c r="Q25" s="131"/>
      <c r="R25" s="132"/>
      <c r="S25" s="145"/>
      <c r="T25" s="146"/>
      <c r="U25" s="147"/>
      <c r="V25" s="137" t="str">
        <f t="shared" si="2"/>
        <v>-</v>
      </c>
      <c r="W25" s="138"/>
      <c r="X25" s="139"/>
      <c r="Y25" s="140">
        <f t="shared" si="3"/>
        <v>0</v>
      </c>
      <c r="Z25" s="131"/>
      <c r="AA25" s="141"/>
      <c r="AB25" s="142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4"/>
      <c r="BA25" s="9"/>
      <c r="BB25" s="44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ht="12" customHeight="1">
      <c r="A26" s="262" t="s">
        <v>24</v>
      </c>
      <c r="B26" s="263"/>
      <c r="C26" s="263"/>
      <c r="D26" s="263"/>
      <c r="E26" s="263"/>
      <c r="F26" s="263"/>
      <c r="G26" s="76" t="s">
        <v>104</v>
      </c>
      <c r="H26" s="131"/>
      <c r="I26" s="131"/>
      <c r="J26" s="131"/>
      <c r="K26" s="132"/>
      <c r="L26" s="145"/>
      <c r="M26" s="146"/>
      <c r="N26" s="147"/>
      <c r="O26" s="136"/>
      <c r="P26" s="131"/>
      <c r="Q26" s="131"/>
      <c r="R26" s="132"/>
      <c r="S26" s="145"/>
      <c r="T26" s="146"/>
      <c r="U26" s="147"/>
      <c r="V26" s="137" t="str">
        <f t="shared" si="2"/>
        <v>-</v>
      </c>
      <c r="W26" s="138"/>
      <c r="X26" s="139"/>
      <c r="Y26" s="140">
        <f t="shared" si="3"/>
        <v>0</v>
      </c>
      <c r="Z26" s="131"/>
      <c r="AA26" s="141"/>
      <c r="AB26" s="142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4"/>
      <c r="BA26" s="9"/>
      <c r="BB26" s="9"/>
      <c r="BC26" s="9"/>
      <c r="BD26" s="9"/>
      <c r="BE26" s="9"/>
      <c r="BF26" s="11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3"/>
      <c r="BX26" s="9"/>
    </row>
    <row r="27" spans="1:76" ht="12" customHeight="1">
      <c r="A27" s="279" t="s">
        <v>111</v>
      </c>
      <c r="B27" s="280"/>
      <c r="C27" s="280"/>
      <c r="D27" s="280"/>
      <c r="E27" s="280"/>
      <c r="F27" s="280"/>
      <c r="G27" s="71" t="s">
        <v>104</v>
      </c>
      <c r="H27" s="131"/>
      <c r="I27" s="131"/>
      <c r="J27" s="131"/>
      <c r="K27" s="132"/>
      <c r="L27" s="145"/>
      <c r="M27" s="146"/>
      <c r="N27" s="147"/>
      <c r="O27" s="136"/>
      <c r="P27" s="131"/>
      <c r="Q27" s="131"/>
      <c r="R27" s="132"/>
      <c r="S27" s="145"/>
      <c r="T27" s="146"/>
      <c r="U27" s="147"/>
      <c r="V27" s="137" t="str">
        <f t="shared" si="2"/>
        <v>-</v>
      </c>
      <c r="W27" s="138"/>
      <c r="X27" s="139"/>
      <c r="Y27" s="140">
        <f t="shared" si="3"/>
        <v>0</v>
      </c>
      <c r="Z27" s="131"/>
      <c r="AA27" s="141"/>
      <c r="AB27" s="142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4"/>
      <c r="BA27" s="9"/>
      <c r="BB27" s="9"/>
      <c r="BC27" s="3"/>
      <c r="BD27" s="9"/>
      <c r="BE27" s="9"/>
      <c r="BF27" s="11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ht="12" customHeight="1">
      <c r="A28" s="279" t="s">
        <v>25</v>
      </c>
      <c r="B28" s="280"/>
      <c r="C28" s="280"/>
      <c r="D28" s="280"/>
      <c r="E28" s="280"/>
      <c r="F28" s="280"/>
      <c r="G28" s="71" t="s">
        <v>104</v>
      </c>
      <c r="H28" s="131"/>
      <c r="I28" s="131"/>
      <c r="J28" s="131"/>
      <c r="K28" s="132"/>
      <c r="L28" s="145"/>
      <c r="M28" s="146"/>
      <c r="N28" s="147"/>
      <c r="O28" s="136"/>
      <c r="P28" s="131"/>
      <c r="Q28" s="131"/>
      <c r="R28" s="132"/>
      <c r="S28" s="145"/>
      <c r="T28" s="146"/>
      <c r="U28" s="147"/>
      <c r="V28" s="137" t="str">
        <f t="shared" si="2"/>
        <v>-</v>
      </c>
      <c r="W28" s="138"/>
      <c r="X28" s="139"/>
      <c r="Y28" s="140">
        <f t="shared" si="3"/>
        <v>0</v>
      </c>
      <c r="Z28" s="131"/>
      <c r="AA28" s="141"/>
      <c r="AB28" s="142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4"/>
      <c r="BA28" s="9"/>
      <c r="BB28" s="9"/>
      <c r="BC28" s="33"/>
      <c r="BD28" s="9"/>
      <c r="BE28" s="9"/>
      <c r="BF28" s="4"/>
      <c r="BG28" s="4"/>
      <c r="BH28" s="4"/>
      <c r="BI28" s="4"/>
      <c r="BJ28" s="4"/>
      <c r="BK28" s="4"/>
      <c r="BL28" s="4"/>
      <c r="BM28" s="31"/>
      <c r="BN28" s="31"/>
      <c r="BO28" s="31"/>
      <c r="BP28" s="32"/>
      <c r="BQ28" s="32"/>
      <c r="BR28" s="32"/>
      <c r="BS28" s="33"/>
      <c r="BT28" s="33"/>
      <c r="BU28" s="33"/>
      <c r="BV28" s="9"/>
      <c r="BW28" s="9"/>
      <c r="BX28" s="9"/>
    </row>
    <row r="29" spans="1:76" ht="12" customHeight="1">
      <c r="A29" s="262" t="s">
        <v>112</v>
      </c>
      <c r="B29" s="263"/>
      <c r="C29" s="263"/>
      <c r="D29" s="263"/>
      <c r="E29" s="263"/>
      <c r="F29" s="263"/>
      <c r="G29" s="76" t="s">
        <v>104</v>
      </c>
      <c r="H29" s="131"/>
      <c r="I29" s="131"/>
      <c r="J29" s="131"/>
      <c r="K29" s="132"/>
      <c r="L29" s="145"/>
      <c r="M29" s="146"/>
      <c r="N29" s="147"/>
      <c r="O29" s="136"/>
      <c r="P29" s="131"/>
      <c r="Q29" s="131"/>
      <c r="R29" s="132"/>
      <c r="S29" s="145"/>
      <c r="T29" s="146"/>
      <c r="U29" s="147"/>
      <c r="V29" s="137" t="str">
        <f t="shared" si="2"/>
        <v>-</v>
      </c>
      <c r="W29" s="138"/>
      <c r="X29" s="139"/>
      <c r="Y29" s="140">
        <f t="shared" si="3"/>
        <v>0</v>
      </c>
      <c r="Z29" s="131"/>
      <c r="AA29" s="141"/>
      <c r="AB29" s="142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4"/>
      <c r="BA29" s="9"/>
      <c r="BB29" s="9"/>
      <c r="BC29" s="33"/>
      <c r="BD29" s="9"/>
      <c r="BE29" s="9"/>
      <c r="BF29" s="4"/>
      <c r="BG29" s="4"/>
      <c r="BH29" s="4"/>
      <c r="BI29" s="4"/>
      <c r="BJ29" s="4"/>
      <c r="BK29" s="4"/>
      <c r="BL29" s="4"/>
      <c r="BM29" s="31"/>
      <c r="BN29" s="31"/>
      <c r="BO29" s="31"/>
      <c r="BP29" s="31"/>
      <c r="BQ29" s="31"/>
      <c r="BR29" s="31"/>
      <c r="BS29" s="33"/>
      <c r="BT29" s="33"/>
      <c r="BU29" s="33"/>
      <c r="BV29" s="9"/>
      <c r="BW29" s="9"/>
      <c r="BX29" s="9"/>
    </row>
    <row r="30" spans="1:76" ht="12" customHeight="1">
      <c r="A30" s="279" t="s">
        <v>26</v>
      </c>
      <c r="B30" s="280"/>
      <c r="C30" s="280"/>
      <c r="D30" s="280"/>
      <c r="E30" s="280"/>
      <c r="F30" s="280"/>
      <c r="G30" s="71" t="s">
        <v>104</v>
      </c>
      <c r="H30" s="131"/>
      <c r="I30" s="131"/>
      <c r="J30" s="131"/>
      <c r="K30" s="132"/>
      <c r="L30" s="145"/>
      <c r="M30" s="146"/>
      <c r="N30" s="147"/>
      <c r="O30" s="136"/>
      <c r="P30" s="131"/>
      <c r="Q30" s="131"/>
      <c r="R30" s="132"/>
      <c r="S30" s="145"/>
      <c r="T30" s="146"/>
      <c r="U30" s="147"/>
      <c r="V30" s="137" t="str">
        <f t="shared" si="2"/>
        <v>-</v>
      </c>
      <c r="W30" s="138"/>
      <c r="X30" s="139"/>
      <c r="Y30" s="140">
        <f t="shared" si="3"/>
        <v>0</v>
      </c>
      <c r="Z30" s="131"/>
      <c r="AA30" s="141"/>
      <c r="AB30" s="142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4"/>
      <c r="BA30" s="9"/>
      <c r="BB30" s="31"/>
      <c r="BC30" s="43"/>
      <c r="BD30" s="9"/>
      <c r="BE30" s="9"/>
      <c r="BF30" s="4"/>
      <c r="BG30" s="4"/>
      <c r="BH30" s="4"/>
      <c r="BI30" s="4"/>
      <c r="BJ30" s="4"/>
      <c r="BK30" s="4"/>
      <c r="BL30" s="4"/>
      <c r="BM30" s="34"/>
      <c r="BN30" s="34"/>
      <c r="BO30" s="34"/>
      <c r="BP30" s="34"/>
      <c r="BQ30" s="34"/>
      <c r="BR30" s="34"/>
      <c r="BS30" s="43"/>
      <c r="BT30" s="43"/>
      <c r="BU30" s="43"/>
      <c r="BV30" s="9"/>
      <c r="BW30" s="9"/>
      <c r="BX30" s="9"/>
    </row>
    <row r="31" spans="1:76" ht="12" customHeight="1">
      <c r="A31" s="279" t="s">
        <v>113</v>
      </c>
      <c r="B31" s="280"/>
      <c r="C31" s="280"/>
      <c r="D31" s="280"/>
      <c r="E31" s="280"/>
      <c r="F31" s="280"/>
      <c r="G31" s="71" t="s">
        <v>104</v>
      </c>
      <c r="H31" s="131"/>
      <c r="I31" s="131"/>
      <c r="J31" s="131"/>
      <c r="K31" s="132"/>
      <c r="L31" s="145"/>
      <c r="M31" s="146"/>
      <c r="N31" s="147"/>
      <c r="O31" s="136"/>
      <c r="P31" s="131"/>
      <c r="Q31" s="131"/>
      <c r="R31" s="132"/>
      <c r="S31" s="145"/>
      <c r="T31" s="146"/>
      <c r="U31" s="147"/>
      <c r="V31" s="137" t="str">
        <f t="shared" si="2"/>
        <v>-</v>
      </c>
      <c r="W31" s="138"/>
      <c r="X31" s="139"/>
      <c r="Y31" s="140">
        <f t="shared" si="3"/>
        <v>0</v>
      </c>
      <c r="Z31" s="131"/>
      <c r="AA31" s="141"/>
      <c r="AB31" s="142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4"/>
      <c r="BA31" s="9"/>
      <c r="BB31" s="31"/>
      <c r="BC31" s="43"/>
      <c r="BD31" s="9"/>
      <c r="BE31" s="9"/>
      <c r="BF31" s="4"/>
      <c r="BG31" s="4"/>
      <c r="BH31" s="4"/>
      <c r="BI31" s="4"/>
      <c r="BJ31" s="4"/>
      <c r="BK31" s="4"/>
      <c r="BL31" s="4"/>
      <c r="BM31" s="34"/>
      <c r="BN31" s="34"/>
      <c r="BO31" s="34"/>
      <c r="BP31" s="34"/>
      <c r="BQ31" s="34"/>
      <c r="BR31" s="34"/>
      <c r="BS31" s="43"/>
      <c r="BT31" s="43"/>
      <c r="BU31" s="43"/>
      <c r="BV31" s="9"/>
      <c r="BW31" s="9"/>
      <c r="BX31" s="9"/>
    </row>
    <row r="32" spans="1:76" ht="12" customHeight="1">
      <c r="A32" s="262" t="s">
        <v>27</v>
      </c>
      <c r="B32" s="263"/>
      <c r="C32" s="263"/>
      <c r="D32" s="263"/>
      <c r="E32" s="263"/>
      <c r="F32" s="263"/>
      <c r="G32" s="76" t="s">
        <v>104</v>
      </c>
      <c r="H32" s="131"/>
      <c r="I32" s="131"/>
      <c r="J32" s="131"/>
      <c r="K32" s="132"/>
      <c r="L32" s="145"/>
      <c r="M32" s="146"/>
      <c r="N32" s="147"/>
      <c r="O32" s="136"/>
      <c r="P32" s="131"/>
      <c r="Q32" s="131"/>
      <c r="R32" s="132"/>
      <c r="S32" s="145"/>
      <c r="T32" s="146"/>
      <c r="U32" s="147"/>
      <c r="V32" s="137" t="str">
        <f t="shared" si="2"/>
        <v>-</v>
      </c>
      <c r="W32" s="138"/>
      <c r="X32" s="139"/>
      <c r="Y32" s="140">
        <f t="shared" si="3"/>
        <v>0</v>
      </c>
      <c r="Z32" s="131"/>
      <c r="AA32" s="141"/>
      <c r="AB32" s="142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4"/>
      <c r="BA32" s="9"/>
      <c r="BB32" s="34"/>
      <c r="BC32" s="43"/>
      <c r="BD32" s="9"/>
      <c r="BE32" s="9"/>
      <c r="BF32" s="4"/>
      <c r="BG32" s="4"/>
      <c r="BH32" s="4"/>
      <c r="BI32" s="4"/>
      <c r="BJ32" s="4"/>
      <c r="BK32" s="4"/>
      <c r="BL32" s="4"/>
      <c r="BM32" s="34"/>
      <c r="BN32" s="34"/>
      <c r="BO32" s="34"/>
      <c r="BP32" s="34"/>
      <c r="BQ32" s="34"/>
      <c r="BR32" s="34"/>
      <c r="BS32" s="43"/>
      <c r="BT32" s="43"/>
      <c r="BU32" s="43"/>
      <c r="BV32" s="9"/>
      <c r="BW32" s="9"/>
      <c r="BX32" s="9"/>
    </row>
    <row r="33" spans="1:76" ht="12" customHeight="1">
      <c r="A33" s="77"/>
      <c r="B33" s="264" t="s">
        <v>135</v>
      </c>
      <c r="C33" s="265"/>
      <c r="D33" s="265"/>
      <c r="E33" s="265"/>
      <c r="F33" s="265"/>
      <c r="G33" s="76" t="s">
        <v>104</v>
      </c>
      <c r="H33" s="148"/>
      <c r="I33" s="148"/>
      <c r="J33" s="148"/>
      <c r="K33" s="149"/>
      <c r="L33" s="150"/>
      <c r="M33" s="151"/>
      <c r="N33" s="152"/>
      <c r="O33" s="153"/>
      <c r="P33" s="154"/>
      <c r="Q33" s="154"/>
      <c r="R33" s="155"/>
      <c r="S33" s="150"/>
      <c r="T33" s="151"/>
      <c r="U33" s="152"/>
      <c r="V33" s="156" t="str">
        <f t="shared" si="2"/>
        <v>-</v>
      </c>
      <c r="W33" s="157"/>
      <c r="X33" s="158"/>
      <c r="Y33" s="159">
        <f t="shared" si="3"/>
        <v>0</v>
      </c>
      <c r="Z33" s="148"/>
      <c r="AA33" s="160"/>
      <c r="AB33" s="142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4"/>
      <c r="BA33" s="9"/>
      <c r="BB33" s="34"/>
      <c r="BC33" s="9"/>
      <c r="BD33" s="9"/>
      <c r="BE33" s="9"/>
      <c r="BF33" s="4"/>
      <c r="BG33" s="4"/>
      <c r="BH33" s="4"/>
      <c r="BI33" s="4"/>
      <c r="BJ33" s="4"/>
      <c r="BK33" s="4"/>
      <c r="BL33" s="4"/>
      <c r="BM33" s="34"/>
      <c r="BN33" s="34"/>
      <c r="BO33" s="34"/>
      <c r="BP33" s="34"/>
      <c r="BQ33" s="34"/>
      <c r="BR33" s="34"/>
      <c r="BS33" s="43"/>
      <c r="BT33" s="43"/>
      <c r="BU33" s="43"/>
      <c r="BV33" s="9"/>
      <c r="BW33" s="9"/>
      <c r="BX33" s="9"/>
    </row>
    <row r="34" spans="1:76" ht="12" customHeight="1">
      <c r="A34" s="266" t="s">
        <v>114</v>
      </c>
      <c r="B34" s="267"/>
      <c r="C34" s="268"/>
      <c r="D34" s="268"/>
      <c r="E34" s="268"/>
      <c r="F34" s="269"/>
      <c r="G34" s="78" t="s">
        <v>115</v>
      </c>
      <c r="H34" s="169"/>
      <c r="I34" s="162"/>
      <c r="J34" s="162"/>
      <c r="K34" s="170"/>
      <c r="L34" s="171"/>
      <c r="M34" s="172"/>
      <c r="N34" s="173"/>
      <c r="O34" s="169"/>
      <c r="P34" s="162"/>
      <c r="Q34" s="162"/>
      <c r="R34" s="170"/>
      <c r="S34" s="171"/>
      <c r="T34" s="172"/>
      <c r="U34" s="173"/>
      <c r="V34" s="174" t="str">
        <f t="shared" si="2"/>
        <v>-</v>
      </c>
      <c r="W34" s="175"/>
      <c r="X34" s="176"/>
      <c r="Y34" s="161">
        <f t="shared" si="3"/>
        <v>0</v>
      </c>
      <c r="Z34" s="162"/>
      <c r="AA34" s="163"/>
      <c r="AB34" s="142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4"/>
      <c r="BA34" s="9"/>
      <c r="BB34" s="34"/>
      <c r="BC34" s="9"/>
      <c r="BD34" s="9"/>
      <c r="BE34" s="9"/>
      <c r="BF34" s="4"/>
      <c r="BG34" s="4"/>
      <c r="BH34" s="4"/>
      <c r="BI34" s="4"/>
      <c r="BJ34" s="4"/>
      <c r="BK34" s="4"/>
      <c r="BL34" s="4"/>
      <c r="BM34" s="34"/>
      <c r="BN34" s="34"/>
      <c r="BO34" s="34"/>
      <c r="BP34" s="34"/>
      <c r="BQ34" s="34"/>
      <c r="BR34" s="34"/>
      <c r="BS34" s="43"/>
      <c r="BT34" s="43"/>
      <c r="BU34" s="43"/>
      <c r="BV34" s="9"/>
      <c r="BW34" s="9"/>
      <c r="BX34" s="9"/>
    </row>
    <row r="35" spans="1:76" ht="12" customHeight="1">
      <c r="A35" s="79"/>
      <c r="B35" s="270" t="s">
        <v>116</v>
      </c>
      <c r="C35" s="271"/>
      <c r="D35" s="271"/>
      <c r="E35" s="271"/>
      <c r="F35" s="271"/>
      <c r="G35" s="75" t="s">
        <v>117</v>
      </c>
      <c r="H35" s="164"/>
      <c r="I35" s="165"/>
      <c r="J35" s="165"/>
      <c r="K35" s="166"/>
      <c r="L35" s="145"/>
      <c r="M35" s="146"/>
      <c r="N35" s="147"/>
      <c r="O35" s="164"/>
      <c r="P35" s="165"/>
      <c r="Q35" s="165"/>
      <c r="R35" s="166"/>
      <c r="S35" s="145"/>
      <c r="T35" s="146"/>
      <c r="U35" s="147"/>
      <c r="V35" s="137" t="str">
        <f t="shared" si="2"/>
        <v>-</v>
      </c>
      <c r="W35" s="138"/>
      <c r="X35" s="139"/>
      <c r="Y35" s="167">
        <f t="shared" si="3"/>
        <v>0</v>
      </c>
      <c r="Z35" s="165"/>
      <c r="AA35" s="168"/>
      <c r="AB35" s="142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4"/>
      <c r="BA35" s="9"/>
      <c r="BB35" s="9"/>
      <c r="BC35" s="9"/>
      <c r="BD35" s="9"/>
      <c r="BE35" s="9"/>
      <c r="BF35" s="4"/>
      <c r="BG35" s="4"/>
      <c r="BH35" s="4"/>
      <c r="BI35" s="4"/>
      <c r="BJ35" s="4"/>
      <c r="BK35" s="4"/>
      <c r="BL35" s="4"/>
      <c r="BM35" s="34"/>
      <c r="BN35" s="34"/>
      <c r="BO35" s="34"/>
      <c r="BP35" s="34"/>
      <c r="BQ35" s="34"/>
      <c r="BR35" s="34"/>
      <c r="BS35" s="43"/>
      <c r="BT35" s="43"/>
      <c r="BU35" s="43"/>
      <c r="BV35" s="9"/>
      <c r="BW35" s="9"/>
      <c r="BX35" s="9"/>
    </row>
    <row r="36" spans="1:76" ht="12" customHeight="1">
      <c r="A36" s="80"/>
      <c r="B36" s="272" t="s">
        <v>118</v>
      </c>
      <c r="C36" s="273"/>
      <c r="D36" s="273"/>
      <c r="E36" s="273"/>
      <c r="F36" s="273"/>
      <c r="G36" s="81" t="s">
        <v>117</v>
      </c>
      <c r="H36" s="185"/>
      <c r="I36" s="178"/>
      <c r="J36" s="178"/>
      <c r="K36" s="186"/>
      <c r="L36" s="187"/>
      <c r="M36" s="188"/>
      <c r="N36" s="189"/>
      <c r="O36" s="185"/>
      <c r="P36" s="178"/>
      <c r="Q36" s="178"/>
      <c r="R36" s="186"/>
      <c r="S36" s="187"/>
      <c r="T36" s="188"/>
      <c r="U36" s="189"/>
      <c r="V36" s="156" t="str">
        <f t="shared" si="2"/>
        <v>-</v>
      </c>
      <c r="W36" s="157"/>
      <c r="X36" s="158"/>
      <c r="Y36" s="177">
        <f t="shared" si="3"/>
        <v>0</v>
      </c>
      <c r="Z36" s="178"/>
      <c r="AA36" s="179"/>
      <c r="AB36" s="142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4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ht="12" customHeight="1">
      <c r="A37" s="248" t="s">
        <v>128</v>
      </c>
      <c r="B37" s="249"/>
      <c r="C37" s="249"/>
      <c r="D37" s="252" t="s">
        <v>62</v>
      </c>
      <c r="E37" s="253"/>
      <c r="F37" s="254"/>
      <c r="G37" s="82" t="s">
        <v>119</v>
      </c>
      <c r="H37" s="180"/>
      <c r="I37" s="181"/>
      <c r="J37" s="181"/>
      <c r="K37" s="182"/>
      <c r="L37" s="171"/>
      <c r="M37" s="172"/>
      <c r="N37" s="173"/>
      <c r="O37" s="180"/>
      <c r="P37" s="181"/>
      <c r="Q37" s="181"/>
      <c r="R37" s="182"/>
      <c r="S37" s="171"/>
      <c r="T37" s="172"/>
      <c r="U37" s="173"/>
      <c r="V37" s="174" t="str">
        <f t="shared" si="2"/>
        <v>-</v>
      </c>
      <c r="W37" s="175"/>
      <c r="X37" s="176"/>
      <c r="Y37" s="183">
        <f t="shared" si="3"/>
        <v>0</v>
      </c>
      <c r="Z37" s="181"/>
      <c r="AA37" s="184"/>
      <c r="AB37" s="142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4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ht="12" customHeight="1">
      <c r="A38" s="274"/>
      <c r="B38" s="275"/>
      <c r="C38" s="275"/>
      <c r="D38" s="276" t="s">
        <v>151</v>
      </c>
      <c r="E38" s="277"/>
      <c r="F38" s="278"/>
      <c r="G38" s="83" t="s">
        <v>103</v>
      </c>
      <c r="H38" s="195"/>
      <c r="I38" s="148"/>
      <c r="J38" s="148"/>
      <c r="K38" s="149"/>
      <c r="L38" s="187"/>
      <c r="M38" s="188"/>
      <c r="N38" s="189"/>
      <c r="O38" s="195"/>
      <c r="P38" s="148"/>
      <c r="Q38" s="148"/>
      <c r="R38" s="149"/>
      <c r="S38" s="187"/>
      <c r="T38" s="188"/>
      <c r="U38" s="189"/>
      <c r="V38" s="156" t="str">
        <f t="shared" si="2"/>
        <v>-</v>
      </c>
      <c r="W38" s="157"/>
      <c r="X38" s="158"/>
      <c r="Y38" s="159">
        <f t="shared" si="3"/>
        <v>0</v>
      </c>
      <c r="Z38" s="148"/>
      <c r="AA38" s="160"/>
      <c r="AB38" s="142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4"/>
      <c r="BA38" s="9"/>
      <c r="BB38" s="9"/>
      <c r="BC38" s="13"/>
      <c r="BD38" s="9"/>
      <c r="BE38" s="9"/>
      <c r="BF38" s="9"/>
      <c r="BG38" s="9"/>
      <c r="BH38" s="9"/>
      <c r="BI38" s="9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3"/>
      <c r="BU38" s="3"/>
      <c r="BV38" s="9"/>
      <c r="BW38" s="9"/>
      <c r="BX38" s="9"/>
    </row>
    <row r="39" spans="1:76" ht="12" customHeight="1">
      <c r="A39" s="248" t="s">
        <v>129</v>
      </c>
      <c r="B39" s="249"/>
      <c r="C39" s="249"/>
      <c r="D39" s="252" t="s">
        <v>62</v>
      </c>
      <c r="E39" s="253"/>
      <c r="F39" s="254"/>
      <c r="G39" s="82" t="s">
        <v>119</v>
      </c>
      <c r="H39" s="180"/>
      <c r="I39" s="181"/>
      <c r="J39" s="181"/>
      <c r="K39" s="182"/>
      <c r="L39" s="171"/>
      <c r="M39" s="172"/>
      <c r="N39" s="173"/>
      <c r="O39" s="180"/>
      <c r="P39" s="181"/>
      <c r="Q39" s="181"/>
      <c r="R39" s="182"/>
      <c r="S39" s="171"/>
      <c r="T39" s="172"/>
      <c r="U39" s="173"/>
      <c r="V39" s="174" t="str">
        <f t="shared" si="2"/>
        <v>-</v>
      </c>
      <c r="W39" s="175"/>
      <c r="X39" s="176"/>
      <c r="Y39" s="183">
        <f t="shared" si="3"/>
        <v>0</v>
      </c>
      <c r="Z39" s="181"/>
      <c r="AA39" s="184"/>
      <c r="AB39" s="142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4"/>
      <c r="BA39" s="9"/>
      <c r="BB39" s="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9"/>
      <c r="BW39" s="9"/>
      <c r="BX39" s="9"/>
    </row>
    <row r="40" spans="1:76" ht="12" customHeight="1">
      <c r="A40" s="230"/>
      <c r="B40" s="231"/>
      <c r="C40" s="231"/>
      <c r="D40" s="255" t="s">
        <v>130</v>
      </c>
      <c r="E40" s="256"/>
      <c r="F40" s="257"/>
      <c r="G40" s="75" t="s">
        <v>120</v>
      </c>
      <c r="H40" s="190"/>
      <c r="I40" s="191"/>
      <c r="J40" s="191"/>
      <c r="K40" s="192"/>
      <c r="L40" s="145"/>
      <c r="M40" s="146"/>
      <c r="N40" s="147"/>
      <c r="O40" s="190"/>
      <c r="P40" s="191"/>
      <c r="Q40" s="191"/>
      <c r="R40" s="192"/>
      <c r="S40" s="145"/>
      <c r="T40" s="146"/>
      <c r="U40" s="147"/>
      <c r="V40" s="137" t="str">
        <f t="shared" si="2"/>
        <v>-</v>
      </c>
      <c r="W40" s="138"/>
      <c r="X40" s="139"/>
      <c r="Y40" s="193">
        <f t="shared" si="3"/>
        <v>0</v>
      </c>
      <c r="Z40" s="191"/>
      <c r="AA40" s="194"/>
      <c r="AB40" s="142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4"/>
      <c r="BA40" s="9"/>
      <c r="BB40" s="12"/>
      <c r="BC40" s="33"/>
      <c r="BD40" s="31"/>
      <c r="BE40" s="31"/>
      <c r="BF40" s="31"/>
      <c r="BG40" s="32"/>
      <c r="BH40" s="32"/>
      <c r="BI40" s="32"/>
      <c r="BJ40" s="33"/>
      <c r="BK40" s="33"/>
      <c r="BL40" s="33"/>
      <c r="BM40" s="31"/>
      <c r="BN40" s="31"/>
      <c r="BO40" s="31"/>
      <c r="BP40" s="32"/>
      <c r="BQ40" s="32"/>
      <c r="BR40" s="32"/>
      <c r="BS40" s="33"/>
      <c r="BT40" s="33"/>
      <c r="BU40" s="33"/>
      <c r="BV40" s="9"/>
      <c r="BW40" s="9"/>
      <c r="BX40" s="9"/>
    </row>
    <row r="41" spans="1:76" ht="12" customHeight="1">
      <c r="A41" s="250"/>
      <c r="B41" s="251"/>
      <c r="C41" s="251"/>
      <c r="D41" s="258" t="s">
        <v>121</v>
      </c>
      <c r="E41" s="243"/>
      <c r="F41" s="259"/>
      <c r="G41" s="84" t="s">
        <v>103</v>
      </c>
      <c r="H41" s="136"/>
      <c r="I41" s="131"/>
      <c r="J41" s="131"/>
      <c r="K41" s="132"/>
      <c r="L41" s="145"/>
      <c r="M41" s="146"/>
      <c r="N41" s="147"/>
      <c r="O41" s="136"/>
      <c r="P41" s="131"/>
      <c r="Q41" s="131"/>
      <c r="R41" s="132"/>
      <c r="S41" s="145"/>
      <c r="T41" s="146"/>
      <c r="U41" s="147"/>
      <c r="V41" s="137" t="str">
        <f t="shared" si="2"/>
        <v>-</v>
      </c>
      <c r="W41" s="138"/>
      <c r="X41" s="139"/>
      <c r="Y41" s="140">
        <f t="shared" si="3"/>
        <v>0</v>
      </c>
      <c r="Z41" s="131"/>
      <c r="AA41" s="141"/>
      <c r="AB41" s="142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4"/>
      <c r="BA41" s="9"/>
      <c r="BB41" s="39"/>
      <c r="BC41" s="33"/>
      <c r="BD41" s="31"/>
      <c r="BE41" s="31"/>
      <c r="BF41" s="31"/>
      <c r="BG41" s="31"/>
      <c r="BH41" s="31"/>
      <c r="BI41" s="31"/>
      <c r="BJ41" s="33"/>
      <c r="BK41" s="33"/>
      <c r="BL41" s="33"/>
      <c r="BM41" s="31"/>
      <c r="BN41" s="31"/>
      <c r="BO41" s="31"/>
      <c r="BP41" s="31"/>
      <c r="BQ41" s="31"/>
      <c r="BR41" s="31"/>
      <c r="BS41" s="33"/>
      <c r="BT41" s="33"/>
      <c r="BU41" s="33"/>
      <c r="BV41" s="9"/>
      <c r="BW41" s="9"/>
      <c r="BX41" s="9"/>
    </row>
    <row r="42" spans="1:76" ht="12" customHeight="1">
      <c r="A42" s="244" t="s">
        <v>131</v>
      </c>
      <c r="B42" s="245"/>
      <c r="C42" s="245"/>
      <c r="D42" s="245"/>
      <c r="E42" s="245"/>
      <c r="F42" s="245"/>
      <c r="G42" s="83" t="s">
        <v>119</v>
      </c>
      <c r="H42" s="196"/>
      <c r="I42" s="197"/>
      <c r="J42" s="197"/>
      <c r="K42" s="198"/>
      <c r="L42" s="187"/>
      <c r="M42" s="188"/>
      <c r="N42" s="189"/>
      <c r="O42" s="196"/>
      <c r="P42" s="197"/>
      <c r="Q42" s="197"/>
      <c r="R42" s="198"/>
      <c r="S42" s="187"/>
      <c r="T42" s="188"/>
      <c r="U42" s="189"/>
      <c r="V42" s="156" t="str">
        <f t="shared" si="2"/>
        <v>-</v>
      </c>
      <c r="W42" s="157"/>
      <c r="X42" s="158"/>
      <c r="Y42" s="199">
        <f t="shared" si="3"/>
        <v>0</v>
      </c>
      <c r="Z42" s="197"/>
      <c r="AA42" s="200"/>
      <c r="AB42" s="142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4"/>
      <c r="BA42" s="9"/>
      <c r="BB42" s="31"/>
      <c r="BC42" s="43"/>
      <c r="BD42" s="44"/>
      <c r="BE42" s="44"/>
      <c r="BF42" s="44"/>
      <c r="BG42" s="44"/>
      <c r="BH42" s="44"/>
      <c r="BI42" s="44"/>
      <c r="BJ42" s="43"/>
      <c r="BK42" s="43"/>
      <c r="BL42" s="43"/>
      <c r="BM42" s="44"/>
      <c r="BN42" s="44"/>
      <c r="BO42" s="44"/>
      <c r="BP42" s="44"/>
      <c r="BQ42" s="44"/>
      <c r="BR42" s="44"/>
      <c r="BS42" s="43"/>
      <c r="BT42" s="43"/>
      <c r="BU42" s="43"/>
      <c r="BV42" s="9"/>
      <c r="BW42" s="9"/>
      <c r="BX42" s="9"/>
    </row>
    <row r="43" spans="1:76" ht="12" customHeight="1">
      <c r="A43" s="260" t="s">
        <v>122</v>
      </c>
      <c r="B43" s="261"/>
      <c r="C43" s="261"/>
      <c r="D43" s="261"/>
      <c r="E43" s="261"/>
      <c r="F43" s="261"/>
      <c r="G43" s="85" t="s">
        <v>103</v>
      </c>
      <c r="H43" s="209"/>
      <c r="I43" s="210"/>
      <c r="J43" s="210"/>
      <c r="K43" s="211"/>
      <c r="L43" s="212"/>
      <c r="M43" s="213"/>
      <c r="N43" s="214"/>
      <c r="O43" s="209"/>
      <c r="P43" s="210"/>
      <c r="Q43" s="210"/>
      <c r="R43" s="211"/>
      <c r="S43" s="212"/>
      <c r="T43" s="213"/>
      <c r="U43" s="214"/>
      <c r="V43" s="174" t="str">
        <f t="shared" si="2"/>
        <v>-</v>
      </c>
      <c r="W43" s="175"/>
      <c r="X43" s="176"/>
      <c r="Y43" s="207">
        <f t="shared" si="3"/>
        <v>0</v>
      </c>
      <c r="Z43" s="118"/>
      <c r="AA43" s="208"/>
      <c r="AB43" s="142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4"/>
      <c r="BA43" s="9"/>
      <c r="BB43" s="31"/>
      <c r="BC43" s="43"/>
      <c r="BD43" s="44"/>
      <c r="BE43" s="44"/>
      <c r="BF43" s="44"/>
      <c r="BG43" s="44"/>
      <c r="BH43" s="44"/>
      <c r="BI43" s="44"/>
      <c r="BJ43" s="43"/>
      <c r="BK43" s="43"/>
      <c r="BL43" s="43"/>
      <c r="BM43" s="44"/>
      <c r="BN43" s="44"/>
      <c r="BO43" s="44"/>
      <c r="BP43" s="44"/>
      <c r="BQ43" s="44"/>
      <c r="BR43" s="44"/>
      <c r="BS43" s="43"/>
      <c r="BT43" s="43"/>
      <c r="BU43" s="43"/>
      <c r="BV43" s="9"/>
      <c r="BW43" s="9"/>
      <c r="BX43" s="9"/>
    </row>
    <row r="44" spans="1:76" ht="12" customHeight="1">
      <c r="A44" s="262" t="s">
        <v>123</v>
      </c>
      <c r="B44" s="263"/>
      <c r="C44" s="263"/>
      <c r="D44" s="263"/>
      <c r="E44" s="263"/>
      <c r="F44" s="263"/>
      <c r="G44" s="71" t="s">
        <v>127</v>
      </c>
      <c r="H44" s="136"/>
      <c r="I44" s="131"/>
      <c r="J44" s="131"/>
      <c r="K44" s="132"/>
      <c r="L44" s="145"/>
      <c r="M44" s="146"/>
      <c r="N44" s="147"/>
      <c r="O44" s="136"/>
      <c r="P44" s="131"/>
      <c r="Q44" s="131"/>
      <c r="R44" s="132"/>
      <c r="S44" s="145"/>
      <c r="T44" s="146"/>
      <c r="U44" s="147"/>
      <c r="V44" s="137" t="str">
        <f t="shared" si="2"/>
        <v>-</v>
      </c>
      <c r="W44" s="138"/>
      <c r="X44" s="139"/>
      <c r="Y44" s="140">
        <f t="shared" si="3"/>
        <v>0</v>
      </c>
      <c r="Z44" s="131"/>
      <c r="AA44" s="141"/>
      <c r="AB44" s="142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4"/>
      <c r="BA44" s="9"/>
      <c r="BB44" s="44"/>
      <c r="BC44" s="43"/>
      <c r="BD44" s="44"/>
      <c r="BE44" s="44"/>
      <c r="BF44" s="44"/>
      <c r="BG44" s="44"/>
      <c r="BH44" s="44"/>
      <c r="BI44" s="44"/>
      <c r="BJ44" s="43"/>
      <c r="BK44" s="43"/>
      <c r="BL44" s="43"/>
      <c r="BM44" s="44"/>
      <c r="BN44" s="44"/>
      <c r="BO44" s="44"/>
      <c r="BP44" s="44"/>
      <c r="BQ44" s="44"/>
      <c r="BR44" s="44"/>
      <c r="BS44" s="43"/>
      <c r="BT44" s="43"/>
      <c r="BU44" s="43"/>
      <c r="BV44" s="9"/>
      <c r="BW44" s="9"/>
      <c r="BX44" s="9"/>
    </row>
    <row r="45" spans="1:76" ht="12" customHeight="1" thickBot="1">
      <c r="A45" s="86"/>
      <c r="B45" s="237" t="s">
        <v>124</v>
      </c>
      <c r="C45" s="238"/>
      <c r="D45" s="238"/>
      <c r="E45" s="238"/>
      <c r="F45" s="239"/>
      <c r="G45" s="87" t="s">
        <v>127</v>
      </c>
      <c r="H45" s="153"/>
      <c r="I45" s="154"/>
      <c r="J45" s="154"/>
      <c r="K45" s="155"/>
      <c r="L45" s="150"/>
      <c r="M45" s="151"/>
      <c r="N45" s="152"/>
      <c r="O45" s="153"/>
      <c r="P45" s="154"/>
      <c r="Q45" s="154"/>
      <c r="R45" s="155"/>
      <c r="S45" s="150"/>
      <c r="T45" s="151"/>
      <c r="U45" s="152"/>
      <c r="V45" s="201" t="str">
        <f t="shared" si="2"/>
        <v>-</v>
      </c>
      <c r="W45" s="202"/>
      <c r="X45" s="203"/>
      <c r="Y45" s="204">
        <f t="shared" si="3"/>
        <v>0</v>
      </c>
      <c r="Z45" s="205"/>
      <c r="AA45" s="206"/>
      <c r="AB45" s="142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4"/>
      <c r="BA45" s="9"/>
      <c r="BB45" s="44"/>
      <c r="BC45" s="43"/>
      <c r="BD45" s="44"/>
      <c r="BE45" s="44"/>
      <c r="BF45" s="44"/>
      <c r="BG45" s="44"/>
      <c r="BH45" s="44"/>
      <c r="BI45" s="44"/>
      <c r="BJ45" s="43"/>
      <c r="BK45" s="43"/>
      <c r="BL45" s="43"/>
      <c r="BM45" s="44"/>
      <c r="BN45" s="44"/>
      <c r="BO45" s="44"/>
      <c r="BP45" s="44"/>
      <c r="BQ45" s="44"/>
      <c r="BR45" s="44"/>
      <c r="BS45" s="43"/>
      <c r="BT45" s="43"/>
      <c r="BU45" s="43"/>
      <c r="BV45" s="9"/>
      <c r="BW45" s="9"/>
      <c r="BX45" s="9"/>
    </row>
    <row r="46" spans="1:76" ht="12" customHeight="1" thickTop="1">
      <c r="A46" s="240" t="s">
        <v>125</v>
      </c>
      <c r="B46" s="241"/>
      <c r="C46" s="241"/>
      <c r="D46" s="241"/>
      <c r="E46" s="241"/>
      <c r="F46" s="241"/>
      <c r="G46" s="88"/>
      <c r="H46" s="218"/>
      <c r="I46" s="218"/>
      <c r="J46" s="218"/>
      <c r="K46" s="218"/>
      <c r="L46" s="220"/>
      <c r="M46" s="220"/>
      <c r="N46" s="220"/>
      <c r="O46" s="218"/>
      <c r="P46" s="218"/>
      <c r="Q46" s="218"/>
      <c r="R46" s="218"/>
      <c r="S46" s="220"/>
      <c r="T46" s="220"/>
      <c r="U46" s="220"/>
      <c r="V46" s="221"/>
      <c r="W46" s="221"/>
      <c r="X46" s="221"/>
      <c r="Y46" s="218"/>
      <c r="Z46" s="218"/>
      <c r="AA46" s="219"/>
      <c r="AB46" s="142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4"/>
      <c r="BA46" s="9"/>
      <c r="BB46" s="44"/>
      <c r="BC46" s="43"/>
      <c r="BD46" s="44"/>
      <c r="BE46" s="44"/>
      <c r="BF46" s="44"/>
      <c r="BG46" s="44"/>
      <c r="BH46" s="44"/>
      <c r="BI46" s="44"/>
      <c r="BJ46" s="43"/>
      <c r="BK46" s="43"/>
      <c r="BL46" s="43"/>
      <c r="BM46" s="44"/>
      <c r="BN46" s="44"/>
      <c r="BO46" s="44"/>
      <c r="BP46" s="44"/>
      <c r="BQ46" s="44"/>
      <c r="BR46" s="44"/>
      <c r="BS46" s="43"/>
      <c r="BT46" s="43"/>
      <c r="BU46" s="43"/>
      <c r="BV46" s="9"/>
      <c r="BW46" s="9"/>
      <c r="BX46" s="9"/>
    </row>
    <row r="47" spans="1:76" ht="12" customHeight="1">
      <c r="A47" s="242" t="s">
        <v>132</v>
      </c>
      <c r="B47" s="243"/>
      <c r="C47" s="243"/>
      <c r="D47" s="243"/>
      <c r="E47" s="243"/>
      <c r="F47" s="243"/>
      <c r="G47" s="89" t="s">
        <v>126</v>
      </c>
      <c r="H47" s="190"/>
      <c r="I47" s="191"/>
      <c r="J47" s="191"/>
      <c r="K47" s="192"/>
      <c r="L47" s="145"/>
      <c r="M47" s="146"/>
      <c r="N47" s="147"/>
      <c r="O47" s="190"/>
      <c r="P47" s="191"/>
      <c r="Q47" s="191"/>
      <c r="R47" s="192"/>
      <c r="S47" s="145"/>
      <c r="T47" s="146"/>
      <c r="U47" s="147"/>
      <c r="V47" s="137" t="str">
        <f t="shared" si="2"/>
        <v>-</v>
      </c>
      <c r="W47" s="138"/>
      <c r="X47" s="139"/>
      <c r="Y47" s="193">
        <f t="shared" si="3"/>
        <v>0</v>
      </c>
      <c r="Z47" s="191"/>
      <c r="AA47" s="194"/>
      <c r="AB47" s="142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4"/>
      <c r="BA47" s="9"/>
      <c r="BB47" s="44"/>
      <c r="BC47" s="43"/>
      <c r="BD47" s="44"/>
      <c r="BE47" s="44"/>
      <c r="BF47" s="44"/>
      <c r="BG47" s="44"/>
      <c r="BH47" s="44"/>
      <c r="BI47" s="44"/>
      <c r="BJ47" s="43"/>
      <c r="BK47" s="43"/>
      <c r="BL47" s="43"/>
      <c r="BM47" s="44"/>
      <c r="BN47" s="44"/>
      <c r="BO47" s="44"/>
      <c r="BP47" s="44"/>
      <c r="BQ47" s="44"/>
      <c r="BR47" s="44"/>
      <c r="BS47" s="43"/>
      <c r="BT47" s="43"/>
      <c r="BU47" s="43"/>
      <c r="BV47" s="9"/>
      <c r="BW47" s="9"/>
      <c r="BX47" s="9"/>
    </row>
    <row r="48" spans="1:76" ht="12" customHeight="1">
      <c r="A48" s="244" t="s">
        <v>76</v>
      </c>
      <c r="B48" s="245"/>
      <c r="C48" s="245"/>
      <c r="D48" s="245"/>
      <c r="E48" s="245"/>
      <c r="F48" s="245"/>
      <c r="G48" s="83" t="s">
        <v>133</v>
      </c>
      <c r="H48" s="195"/>
      <c r="I48" s="148"/>
      <c r="J48" s="148"/>
      <c r="K48" s="149"/>
      <c r="L48" s="187"/>
      <c r="M48" s="188"/>
      <c r="N48" s="189"/>
      <c r="O48" s="195"/>
      <c r="P48" s="148"/>
      <c r="Q48" s="148"/>
      <c r="R48" s="149"/>
      <c r="S48" s="187"/>
      <c r="T48" s="188"/>
      <c r="U48" s="189"/>
      <c r="V48" s="156" t="str">
        <f t="shared" si="2"/>
        <v>-</v>
      </c>
      <c r="W48" s="157"/>
      <c r="X48" s="158"/>
      <c r="Y48" s="159">
        <f t="shared" si="3"/>
        <v>0</v>
      </c>
      <c r="Z48" s="148"/>
      <c r="AA48" s="160"/>
      <c r="AB48" s="215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  <c r="AU48" s="216"/>
      <c r="AV48" s="216"/>
      <c r="AW48" s="216"/>
      <c r="AX48" s="216"/>
      <c r="AY48" s="216"/>
      <c r="AZ48" s="217"/>
      <c r="BA48" s="9"/>
      <c r="BB48" s="44"/>
      <c r="BC48" s="43"/>
      <c r="BD48" s="44"/>
      <c r="BE48" s="44"/>
      <c r="BF48" s="44"/>
      <c r="BG48" s="44"/>
      <c r="BH48" s="44"/>
      <c r="BI48" s="44"/>
      <c r="BJ48" s="43"/>
      <c r="BK48" s="43"/>
      <c r="BL48" s="43"/>
      <c r="BM48" s="44"/>
      <c r="BN48" s="44"/>
      <c r="BO48" s="44"/>
      <c r="BP48" s="44"/>
      <c r="BQ48" s="44"/>
      <c r="BR48" s="44"/>
      <c r="BS48" s="43"/>
      <c r="BT48" s="43"/>
      <c r="BU48" s="43"/>
      <c r="BV48" s="9"/>
      <c r="BW48" s="9"/>
      <c r="BX48" s="9"/>
    </row>
    <row r="49" spans="1:54" ht="12.6" customHeight="1">
      <c r="AZ49" s="9"/>
      <c r="BA49" s="9"/>
      <c r="BB49" s="44"/>
    </row>
    <row r="50" spans="1:54" ht="12.6" customHeight="1"/>
    <row r="51" spans="1:54" ht="14.1" customHeight="1">
      <c r="A51" s="41"/>
      <c r="B51" s="41"/>
      <c r="C51" s="41"/>
      <c r="D51" s="41"/>
      <c r="E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3" spans="1:54" ht="14.1" customHeight="1">
      <c r="BB53" s="7"/>
    </row>
    <row r="54" spans="1:54" ht="14.1" customHeight="1">
      <c r="BA54" s="7"/>
    </row>
  </sheetData>
  <mergeCells count="353">
    <mergeCell ref="A44:F44"/>
    <mergeCell ref="A27:F27"/>
    <mergeCell ref="A28:F28"/>
    <mergeCell ref="A29:F29"/>
    <mergeCell ref="A30:F30"/>
    <mergeCell ref="A31:F31"/>
    <mergeCell ref="B20:F20"/>
    <mergeCell ref="B21:F21"/>
    <mergeCell ref="A22:F22"/>
    <mergeCell ref="B23:F23"/>
    <mergeCell ref="A24:F24"/>
    <mergeCell ref="A25:F25"/>
    <mergeCell ref="B45:F45"/>
    <mergeCell ref="A46:F46"/>
    <mergeCell ref="A47:F47"/>
    <mergeCell ref="A48:F48"/>
    <mergeCell ref="A1:AN2"/>
    <mergeCell ref="H10:K10"/>
    <mergeCell ref="L10:N10"/>
    <mergeCell ref="O10:R10"/>
    <mergeCell ref="S10:U10"/>
    <mergeCell ref="A39:C41"/>
    <mergeCell ref="D39:F39"/>
    <mergeCell ref="D40:F40"/>
    <mergeCell ref="D41:F41"/>
    <mergeCell ref="A42:F42"/>
    <mergeCell ref="A43:F43"/>
    <mergeCell ref="A32:F32"/>
    <mergeCell ref="B33:F33"/>
    <mergeCell ref="A34:F34"/>
    <mergeCell ref="B35:F35"/>
    <mergeCell ref="B36:F36"/>
    <mergeCell ref="A37:C38"/>
    <mergeCell ref="D37:F37"/>
    <mergeCell ref="D38:F38"/>
    <mergeCell ref="A26:F26"/>
    <mergeCell ref="B18:F18"/>
    <mergeCell ref="B19:F19"/>
    <mergeCell ref="A5:F6"/>
    <mergeCell ref="G5:G6"/>
    <mergeCell ref="A7:F7"/>
    <mergeCell ref="B8:F8"/>
    <mergeCell ref="B9:F9"/>
    <mergeCell ref="B12:F12"/>
    <mergeCell ref="B13:F13"/>
    <mergeCell ref="C10:F10"/>
    <mergeCell ref="C11:F11"/>
    <mergeCell ref="B14:F14"/>
    <mergeCell ref="B15:F15"/>
    <mergeCell ref="B16:F16"/>
    <mergeCell ref="B17:F17"/>
    <mergeCell ref="AB48:AZ48"/>
    <mergeCell ref="H48:K48"/>
    <mergeCell ref="L48:N48"/>
    <mergeCell ref="O48:R48"/>
    <mergeCell ref="S48:U48"/>
    <mergeCell ref="V48:X48"/>
    <mergeCell ref="Y48:AA48"/>
    <mergeCell ref="Y46:AA46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AB44:AZ44"/>
    <mergeCell ref="H45:K45"/>
    <mergeCell ref="L45:N45"/>
    <mergeCell ref="O45:R45"/>
    <mergeCell ref="S45:U45"/>
    <mergeCell ref="V45:X45"/>
    <mergeCell ref="Y45:AA45"/>
    <mergeCell ref="AB45:AZ45"/>
    <mergeCell ref="V43:X43"/>
    <mergeCell ref="Y43:AA43"/>
    <mergeCell ref="AB43:AZ43"/>
    <mergeCell ref="H44:K44"/>
    <mergeCell ref="L44:N44"/>
    <mergeCell ref="O44:R44"/>
    <mergeCell ref="S44:U44"/>
    <mergeCell ref="V44:X44"/>
    <mergeCell ref="Y44:AA44"/>
    <mergeCell ref="H43:K43"/>
    <mergeCell ref="L43:N43"/>
    <mergeCell ref="O43:R43"/>
    <mergeCell ref="S43:U43"/>
    <mergeCell ref="Y41:AA41"/>
    <mergeCell ref="AB41:AZ41"/>
    <mergeCell ref="H42:K42"/>
    <mergeCell ref="L42:N42"/>
    <mergeCell ref="O42:R42"/>
    <mergeCell ref="S42:U42"/>
    <mergeCell ref="V42:X42"/>
    <mergeCell ref="Y42:AA42"/>
    <mergeCell ref="AB42:AZ42"/>
    <mergeCell ref="H41:K41"/>
    <mergeCell ref="L41:N41"/>
    <mergeCell ref="O41:R41"/>
    <mergeCell ref="S41:U41"/>
    <mergeCell ref="V41:X41"/>
    <mergeCell ref="AB39:AZ39"/>
    <mergeCell ref="H40:K40"/>
    <mergeCell ref="L40:N40"/>
    <mergeCell ref="O40:R40"/>
    <mergeCell ref="S40:U40"/>
    <mergeCell ref="V40:X40"/>
    <mergeCell ref="Y40:AA40"/>
    <mergeCell ref="AB40:AZ40"/>
    <mergeCell ref="Y38:AA38"/>
    <mergeCell ref="AB38:AZ38"/>
    <mergeCell ref="H39:K39"/>
    <mergeCell ref="L39:N39"/>
    <mergeCell ref="O39:R39"/>
    <mergeCell ref="S39:U39"/>
    <mergeCell ref="V39:X39"/>
    <mergeCell ref="Y39:AA39"/>
    <mergeCell ref="H38:K38"/>
    <mergeCell ref="L38:N38"/>
    <mergeCell ref="O38:R38"/>
    <mergeCell ref="S38:U38"/>
    <mergeCell ref="V38:X38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V10:X10"/>
    <mergeCell ref="Y10:AA10"/>
    <mergeCell ref="AB10:AZ10"/>
    <mergeCell ref="H11:K11"/>
    <mergeCell ref="AB8:AZ8"/>
    <mergeCell ref="H9:K9"/>
    <mergeCell ref="L9:N9"/>
    <mergeCell ref="O9:R9"/>
    <mergeCell ref="S9:U9"/>
    <mergeCell ref="V9:X9"/>
    <mergeCell ref="Y9:AA9"/>
    <mergeCell ref="AB9:AZ9"/>
    <mergeCell ref="L11:N11"/>
    <mergeCell ref="O11:R11"/>
    <mergeCell ref="S11:U11"/>
    <mergeCell ref="V11:X11"/>
    <mergeCell ref="Y11:AA11"/>
    <mergeCell ref="AB11:AZ11"/>
    <mergeCell ref="H7:K7"/>
    <mergeCell ref="L7:N7"/>
    <mergeCell ref="O7:R7"/>
    <mergeCell ref="S7:U7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4" ht="12.6" customHeight="1">
      <c r="A1" s="246" t="str">
        <f>IF(H5="年","9999",H5)&amp;"年　農業経営統計調査　育成牛・肥育牛生産費統計　個別結果検討表　№２"</f>
        <v>0年　農業経営統計調査　育成牛・肥育牛生産費統計　個別結果検討表　№２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91" t="s">
        <v>0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1"/>
      <c r="BB1" s="1"/>
    </row>
    <row r="2" spans="1:54" ht="12.6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451" t="str">
        <f>IF(№１!AO2="","",№１!AO2)</f>
        <v/>
      </c>
      <c r="AP2" s="451"/>
      <c r="AQ2" s="451"/>
      <c r="AR2" s="451"/>
      <c r="AS2" s="451"/>
      <c r="AT2" s="451"/>
      <c r="AU2" s="451"/>
      <c r="AV2" s="451"/>
      <c r="AW2" s="451"/>
      <c r="AX2" s="451"/>
      <c r="AY2" s="451"/>
      <c r="AZ2" s="451"/>
    </row>
    <row r="3" spans="1:54" ht="12.9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4" ht="12.95" customHeight="1">
      <c r="A4" s="5" t="s">
        <v>141</v>
      </c>
      <c r="B4" s="4"/>
      <c r="C4" s="4"/>
      <c r="D4" s="4"/>
      <c r="E4" s="4"/>
      <c r="F4" s="4"/>
      <c r="G4" s="4"/>
      <c r="H4" s="1"/>
      <c r="P4" s="3"/>
      <c r="Q4" s="3"/>
      <c r="R4" s="3"/>
      <c r="S4" s="5" t="s">
        <v>1</v>
      </c>
      <c r="T4" s="4"/>
      <c r="U4" s="4"/>
      <c r="V4" s="4"/>
      <c r="W4" s="4"/>
      <c r="X4" s="4"/>
      <c r="Y4" s="4"/>
      <c r="Z4" s="1"/>
      <c r="AH4" s="3"/>
    </row>
    <row r="5" spans="1:54" ht="12.95" customHeight="1">
      <c r="A5" s="325"/>
      <c r="B5" s="326"/>
      <c r="C5" s="326"/>
      <c r="D5" s="326"/>
      <c r="E5" s="326"/>
      <c r="F5" s="326"/>
      <c r="G5" s="327"/>
      <c r="H5" s="353">
        <f>IF(№１!H5="【個】[000101]","年",№１!H5)</f>
        <v>0</v>
      </c>
      <c r="I5" s="354"/>
      <c r="J5" s="355"/>
      <c r="K5" s="356">
        <f>IF(H5="年","年",H5-1)</f>
        <v>-1</v>
      </c>
      <c r="L5" s="357"/>
      <c r="M5" s="358"/>
      <c r="N5" s="359" t="s">
        <v>2</v>
      </c>
      <c r="O5" s="360"/>
      <c r="P5" s="361"/>
      <c r="Q5" s="3"/>
      <c r="R5" s="3"/>
      <c r="S5" s="325"/>
      <c r="T5" s="326"/>
      <c r="U5" s="326"/>
      <c r="V5" s="326"/>
      <c r="W5" s="326"/>
      <c r="X5" s="326"/>
      <c r="Y5" s="327"/>
      <c r="Z5" s="354">
        <f>H5</f>
        <v>0</v>
      </c>
      <c r="AA5" s="354"/>
      <c r="AB5" s="355"/>
      <c r="AC5" s="356">
        <f>K5</f>
        <v>-1</v>
      </c>
      <c r="AD5" s="357"/>
      <c r="AE5" s="358"/>
      <c r="AF5" s="359" t="s">
        <v>2</v>
      </c>
      <c r="AG5" s="360"/>
      <c r="AH5" s="361"/>
    </row>
    <row r="6" spans="1:54" ht="12.95" customHeight="1">
      <c r="A6" s="328"/>
      <c r="B6" s="329"/>
      <c r="C6" s="329"/>
      <c r="D6" s="329"/>
      <c r="E6" s="329"/>
      <c r="F6" s="329"/>
      <c r="G6" s="330"/>
      <c r="H6" s="365" t="s">
        <v>3</v>
      </c>
      <c r="I6" s="366"/>
      <c r="J6" s="367"/>
      <c r="K6" s="368" t="s">
        <v>3</v>
      </c>
      <c r="L6" s="366"/>
      <c r="M6" s="367"/>
      <c r="N6" s="362"/>
      <c r="O6" s="363"/>
      <c r="P6" s="364"/>
      <c r="Q6" s="3"/>
      <c r="R6" s="3"/>
      <c r="S6" s="328"/>
      <c r="T6" s="329"/>
      <c r="U6" s="329"/>
      <c r="V6" s="329"/>
      <c r="W6" s="329"/>
      <c r="X6" s="329"/>
      <c r="Y6" s="330"/>
      <c r="Z6" s="366" t="s">
        <v>4</v>
      </c>
      <c r="AA6" s="366"/>
      <c r="AB6" s="367"/>
      <c r="AC6" s="368" t="s">
        <v>4</v>
      </c>
      <c r="AD6" s="366"/>
      <c r="AE6" s="367"/>
      <c r="AF6" s="362"/>
      <c r="AG6" s="363"/>
      <c r="AH6" s="364"/>
    </row>
    <row r="7" spans="1:54" ht="12.95" customHeight="1">
      <c r="A7" s="345" t="s">
        <v>5</v>
      </c>
      <c r="B7" s="346"/>
      <c r="C7" s="346"/>
      <c r="D7" s="346"/>
      <c r="E7" s="346"/>
      <c r="F7" s="346"/>
      <c r="G7" s="347"/>
      <c r="H7" s="209"/>
      <c r="I7" s="210"/>
      <c r="J7" s="211"/>
      <c r="K7" s="348"/>
      <c r="L7" s="210"/>
      <c r="M7" s="211"/>
      <c r="N7" s="349" t="str">
        <f t="shared" ref="N7:N21" si="0">IF(H7="-", "-", IF(K7="-", "-", IF(ABS(K7)=0, "-", ROUND(100*(H7-K7)/ABS(K7),1))))</f>
        <v>-</v>
      </c>
      <c r="O7" s="350"/>
      <c r="P7" s="351"/>
      <c r="Q7" s="3"/>
      <c r="R7" s="3"/>
      <c r="S7" s="320" t="s">
        <v>75</v>
      </c>
      <c r="T7" s="321"/>
      <c r="U7" s="321"/>
      <c r="V7" s="321"/>
      <c r="W7" s="321"/>
      <c r="X7" s="321"/>
      <c r="Y7" s="322"/>
      <c r="Z7" s="373"/>
      <c r="AA7" s="370"/>
      <c r="AB7" s="370"/>
      <c r="AC7" s="370"/>
      <c r="AD7" s="370"/>
      <c r="AE7" s="370"/>
      <c r="AF7" s="371" t="str">
        <f>IF(Z7="-", "-", IF(AC7="-", "-", IF(ABS(AC7)=0, "-", ROUND(100*(Z7-AC7)/ABS(AC7),1))))</f>
        <v>-</v>
      </c>
      <c r="AG7" s="371"/>
      <c r="AH7" s="372"/>
    </row>
    <row r="8" spans="1:54" ht="12.95" customHeight="1">
      <c r="A8" s="15"/>
      <c r="B8" s="233" t="s">
        <v>71</v>
      </c>
      <c r="C8" s="234"/>
      <c r="D8" s="234"/>
      <c r="E8" s="234"/>
      <c r="F8" s="234"/>
      <c r="G8" s="308"/>
      <c r="H8" s="136"/>
      <c r="I8" s="131"/>
      <c r="J8" s="132"/>
      <c r="K8" s="140"/>
      <c r="L8" s="131"/>
      <c r="M8" s="132"/>
      <c r="N8" s="304" t="str">
        <f t="shared" si="0"/>
        <v>-</v>
      </c>
      <c r="O8" s="305"/>
      <c r="P8" s="306"/>
      <c r="Q8" s="3"/>
      <c r="R8" s="3"/>
      <c r="S8" s="289" t="s">
        <v>76</v>
      </c>
      <c r="T8" s="290"/>
      <c r="U8" s="290"/>
      <c r="V8" s="290"/>
      <c r="W8" s="290"/>
      <c r="X8" s="290"/>
      <c r="Y8" s="291"/>
      <c r="Z8" s="149"/>
      <c r="AA8" s="292"/>
      <c r="AB8" s="292"/>
      <c r="AC8" s="292"/>
      <c r="AD8" s="292"/>
      <c r="AE8" s="292"/>
      <c r="AF8" s="293" t="str">
        <f>IF(Z8="-", "-", IF(AC8="-", "-", IF(ABS(AC8)=0, "-", ROUND(100*(Z8-AC8)/ABS(AC8),1))))</f>
        <v>-</v>
      </c>
      <c r="AG8" s="294"/>
      <c r="AH8" s="295"/>
    </row>
    <row r="9" spans="1:54" ht="12.95" customHeight="1">
      <c r="A9" s="15"/>
      <c r="B9" s="352" t="s">
        <v>138</v>
      </c>
      <c r="C9" s="234"/>
      <c r="D9" s="234"/>
      <c r="E9" s="234"/>
      <c r="F9" s="234"/>
      <c r="G9" s="308"/>
      <c r="H9" s="136"/>
      <c r="I9" s="131"/>
      <c r="J9" s="132"/>
      <c r="K9" s="140"/>
      <c r="L9" s="131"/>
      <c r="M9" s="132"/>
      <c r="N9" s="304" t="str">
        <f t="shared" si="0"/>
        <v>-</v>
      </c>
      <c r="O9" s="305"/>
      <c r="P9" s="306"/>
      <c r="R9" s="3"/>
    </row>
    <row r="10" spans="1:54" ht="12.95" customHeight="1">
      <c r="A10" s="15"/>
      <c r="B10" s="233" t="s">
        <v>7</v>
      </c>
      <c r="C10" s="234"/>
      <c r="D10" s="234"/>
      <c r="E10" s="234"/>
      <c r="F10" s="234"/>
      <c r="G10" s="308"/>
      <c r="H10" s="136"/>
      <c r="I10" s="131"/>
      <c r="J10" s="132"/>
      <c r="K10" s="140"/>
      <c r="L10" s="131"/>
      <c r="M10" s="132"/>
      <c r="N10" s="304" t="str">
        <f t="shared" si="0"/>
        <v>-</v>
      </c>
      <c r="O10" s="305"/>
      <c r="P10" s="306"/>
      <c r="Q10" s="8"/>
      <c r="R10" s="3"/>
      <c r="S10" s="6" t="s">
        <v>80</v>
      </c>
    </row>
    <row r="11" spans="1:54" ht="12.95" customHeight="1">
      <c r="A11" s="15"/>
      <c r="B11" s="233" t="s">
        <v>137</v>
      </c>
      <c r="C11" s="234"/>
      <c r="D11" s="234"/>
      <c r="E11" s="234"/>
      <c r="F11" s="234"/>
      <c r="G11" s="308"/>
      <c r="H11" s="136"/>
      <c r="I11" s="131"/>
      <c r="J11" s="132"/>
      <c r="K11" s="140"/>
      <c r="L11" s="131"/>
      <c r="M11" s="132"/>
      <c r="N11" s="304" t="str">
        <f t="shared" si="0"/>
        <v>-</v>
      </c>
      <c r="O11" s="305"/>
      <c r="P11" s="306"/>
      <c r="R11" s="3"/>
      <c r="S11" s="325"/>
      <c r="T11" s="326"/>
      <c r="U11" s="326"/>
      <c r="V11" s="326"/>
      <c r="W11" s="326"/>
      <c r="X11" s="326"/>
      <c r="Y11" s="327"/>
      <c r="Z11" s="460" t="s">
        <v>83</v>
      </c>
      <c r="AA11" s="460"/>
      <c r="AB11" s="460"/>
      <c r="AC11" s="460"/>
      <c r="AD11" s="460"/>
      <c r="AE11" s="460"/>
      <c r="AF11" s="460"/>
      <c r="AG11" s="460"/>
      <c r="AH11" s="461"/>
      <c r="AI11" s="462" t="s">
        <v>79</v>
      </c>
      <c r="AJ11" s="460"/>
      <c r="AK11" s="460"/>
      <c r="AL11" s="460"/>
      <c r="AM11" s="460"/>
      <c r="AN11" s="460"/>
      <c r="AO11" s="460"/>
      <c r="AP11" s="460"/>
      <c r="AQ11" s="461"/>
    </row>
    <row r="12" spans="1:54" ht="12.95" customHeight="1">
      <c r="A12" s="15"/>
      <c r="B12" s="233" t="s">
        <v>8</v>
      </c>
      <c r="C12" s="234"/>
      <c r="D12" s="234"/>
      <c r="E12" s="234"/>
      <c r="F12" s="234"/>
      <c r="G12" s="308"/>
      <c r="H12" s="136"/>
      <c r="I12" s="131"/>
      <c r="J12" s="132"/>
      <c r="K12" s="140"/>
      <c r="L12" s="131"/>
      <c r="M12" s="132"/>
      <c r="N12" s="304" t="str">
        <f t="shared" si="0"/>
        <v>-</v>
      </c>
      <c r="O12" s="305"/>
      <c r="P12" s="306"/>
      <c r="R12" s="3"/>
      <c r="S12" s="402"/>
      <c r="T12" s="403"/>
      <c r="U12" s="403"/>
      <c r="V12" s="403"/>
      <c r="W12" s="403"/>
      <c r="X12" s="403"/>
      <c r="Y12" s="404"/>
      <c r="Z12" s="453">
        <f>H5</f>
        <v>0</v>
      </c>
      <c r="AA12" s="453"/>
      <c r="AB12" s="454"/>
      <c r="AC12" s="437">
        <f>K5</f>
        <v>-1</v>
      </c>
      <c r="AD12" s="438"/>
      <c r="AE12" s="439"/>
      <c r="AF12" s="443" t="s">
        <v>2</v>
      </c>
      <c r="AG12" s="444"/>
      <c r="AH12" s="444"/>
      <c r="AI12" s="452">
        <f>H5</f>
        <v>0</v>
      </c>
      <c r="AJ12" s="453"/>
      <c r="AK12" s="454"/>
      <c r="AL12" s="437">
        <f>K5</f>
        <v>-1</v>
      </c>
      <c r="AM12" s="438"/>
      <c r="AN12" s="439"/>
      <c r="AO12" s="443" t="s">
        <v>2</v>
      </c>
      <c r="AP12" s="444"/>
      <c r="AQ12" s="458"/>
    </row>
    <row r="13" spans="1:54" ht="12.95" customHeight="1">
      <c r="A13" s="15"/>
      <c r="B13" s="233" t="s">
        <v>9</v>
      </c>
      <c r="C13" s="234"/>
      <c r="D13" s="234"/>
      <c r="E13" s="234"/>
      <c r="F13" s="234"/>
      <c r="G13" s="308"/>
      <c r="H13" s="136"/>
      <c r="I13" s="131"/>
      <c r="J13" s="132"/>
      <c r="K13" s="140"/>
      <c r="L13" s="131"/>
      <c r="M13" s="132"/>
      <c r="N13" s="304" t="str">
        <f t="shared" si="0"/>
        <v>-</v>
      </c>
      <c r="O13" s="305"/>
      <c r="P13" s="306"/>
      <c r="R13" s="3"/>
      <c r="S13" s="328"/>
      <c r="T13" s="329"/>
      <c r="U13" s="329"/>
      <c r="V13" s="329"/>
      <c r="W13" s="329"/>
      <c r="X13" s="329"/>
      <c r="Y13" s="330"/>
      <c r="Z13" s="456"/>
      <c r="AA13" s="456"/>
      <c r="AB13" s="457"/>
      <c r="AC13" s="440"/>
      <c r="AD13" s="441"/>
      <c r="AE13" s="442"/>
      <c r="AF13" s="362"/>
      <c r="AG13" s="363"/>
      <c r="AH13" s="363"/>
      <c r="AI13" s="455"/>
      <c r="AJ13" s="456"/>
      <c r="AK13" s="457"/>
      <c r="AL13" s="440"/>
      <c r="AM13" s="441"/>
      <c r="AN13" s="442"/>
      <c r="AO13" s="362"/>
      <c r="AP13" s="363"/>
      <c r="AQ13" s="364"/>
    </row>
    <row r="14" spans="1:54" ht="12.95" customHeight="1">
      <c r="A14" s="15"/>
      <c r="B14" s="233" t="s">
        <v>10</v>
      </c>
      <c r="C14" s="234"/>
      <c r="D14" s="234"/>
      <c r="E14" s="234"/>
      <c r="F14" s="234"/>
      <c r="G14" s="308"/>
      <c r="H14" s="136"/>
      <c r="I14" s="131"/>
      <c r="J14" s="132"/>
      <c r="K14" s="140"/>
      <c r="L14" s="131"/>
      <c r="M14" s="132"/>
      <c r="N14" s="304" t="str">
        <f t="shared" si="0"/>
        <v>-</v>
      </c>
      <c r="O14" s="305"/>
      <c r="P14" s="306"/>
      <c r="R14" s="3"/>
      <c r="S14" s="320" t="s">
        <v>62</v>
      </c>
      <c r="T14" s="321"/>
      <c r="U14" s="321"/>
      <c r="V14" s="321"/>
      <c r="W14" s="321"/>
      <c r="X14" s="321"/>
      <c r="Y14" s="19" t="s">
        <v>63</v>
      </c>
      <c r="Z14" s="377"/>
      <c r="AA14" s="377"/>
      <c r="AB14" s="373"/>
      <c r="AC14" s="386"/>
      <c r="AD14" s="377"/>
      <c r="AE14" s="373"/>
      <c r="AF14" s="349" t="str">
        <f>IF(Z14="-", "-", IF(AC14="-", "-", IF(ABS(AC14)=0, "-", ROUND(100*(Z14-AC14)/ABS(AC14),1))))</f>
        <v>-</v>
      </c>
      <c r="AG14" s="350"/>
      <c r="AH14" s="350"/>
      <c r="AI14" s="459"/>
      <c r="AJ14" s="377"/>
      <c r="AK14" s="373"/>
      <c r="AL14" s="386"/>
      <c r="AM14" s="377"/>
      <c r="AN14" s="373"/>
      <c r="AO14" s="349" t="str">
        <f>IF(AI14="-", "-", IF(AL14="-", "-", IF(ABS(AL14)=0, "-", ROUND(100*(AI14-AL14)/ABS(AL14),1))))</f>
        <v>-</v>
      </c>
      <c r="AP14" s="350"/>
      <c r="AQ14" s="351"/>
    </row>
    <row r="15" spans="1:54" ht="12.95" customHeight="1">
      <c r="A15" s="15"/>
      <c r="B15" s="233" t="s">
        <v>11</v>
      </c>
      <c r="C15" s="234"/>
      <c r="D15" s="234"/>
      <c r="E15" s="234"/>
      <c r="F15" s="234"/>
      <c r="G15" s="308"/>
      <c r="H15" s="136"/>
      <c r="I15" s="131"/>
      <c r="J15" s="132"/>
      <c r="K15" s="140"/>
      <c r="L15" s="131"/>
      <c r="M15" s="132"/>
      <c r="N15" s="304" t="str">
        <f t="shared" si="0"/>
        <v>-</v>
      </c>
      <c r="O15" s="305"/>
      <c r="P15" s="306"/>
      <c r="R15" s="3"/>
      <c r="S15" s="307" t="s">
        <v>78</v>
      </c>
      <c r="T15" s="234"/>
      <c r="U15" s="234"/>
      <c r="V15" s="234"/>
      <c r="W15" s="234"/>
      <c r="X15" s="234"/>
      <c r="Y15" s="20" t="s">
        <v>77</v>
      </c>
      <c r="Z15" s="131"/>
      <c r="AA15" s="131"/>
      <c r="AB15" s="132"/>
      <c r="AC15" s="140"/>
      <c r="AD15" s="131"/>
      <c r="AE15" s="132"/>
      <c r="AF15" s="304" t="str">
        <f>IF(Z15="-", "-", IF(AC15="-", "-", IF(ABS(AC15)=0, "-", ROUND(100*(Z15-AC15)/ABS(AC15),1))))</f>
        <v>-</v>
      </c>
      <c r="AG15" s="305"/>
      <c r="AH15" s="306"/>
      <c r="AI15" s="136"/>
      <c r="AJ15" s="131"/>
      <c r="AK15" s="132"/>
      <c r="AL15" s="140"/>
      <c r="AM15" s="131"/>
      <c r="AN15" s="132"/>
      <c r="AO15" s="304" t="str">
        <f>IF(AI15="-", "-", IF(AL15="-", "-", IF(ABS(AL15)=0, "-", ROUND(100*(AI15-AL15)/ABS(AL15),1))))</f>
        <v>-</v>
      </c>
      <c r="AP15" s="305"/>
      <c r="AQ15" s="306"/>
    </row>
    <row r="16" spans="1:54" ht="12.95" customHeight="1">
      <c r="A16" s="15"/>
      <c r="B16" s="233" t="s">
        <v>12</v>
      </c>
      <c r="C16" s="234"/>
      <c r="D16" s="234"/>
      <c r="E16" s="234"/>
      <c r="F16" s="234"/>
      <c r="G16" s="308"/>
      <c r="H16" s="136"/>
      <c r="I16" s="131"/>
      <c r="J16" s="132"/>
      <c r="K16" s="140"/>
      <c r="L16" s="131"/>
      <c r="M16" s="132"/>
      <c r="N16" s="304" t="str">
        <f t="shared" si="0"/>
        <v>-</v>
      </c>
      <c r="O16" s="305"/>
      <c r="P16" s="306"/>
      <c r="S16" s="307" t="s">
        <v>81</v>
      </c>
      <c r="T16" s="234"/>
      <c r="U16" s="234"/>
      <c r="V16" s="234"/>
      <c r="W16" s="234"/>
      <c r="X16" s="234"/>
      <c r="Y16" s="20" t="s">
        <v>82</v>
      </c>
      <c r="Z16" s="191"/>
      <c r="AA16" s="191"/>
      <c r="AB16" s="192"/>
      <c r="AC16" s="193"/>
      <c r="AD16" s="191"/>
      <c r="AE16" s="192"/>
      <c r="AF16" s="304" t="str">
        <f>IF(Z16="-", "-", IF(AC16="-", "-", IF(ABS(AC16)=0, "-", ROUND(100*(Z16-AC16)/ABS(AC16),1))))</f>
        <v>-</v>
      </c>
      <c r="AG16" s="305"/>
      <c r="AH16" s="306"/>
      <c r="AI16" s="374"/>
      <c r="AJ16" s="375"/>
      <c r="AK16" s="376"/>
      <c r="AL16" s="378"/>
      <c r="AM16" s="375"/>
      <c r="AN16" s="376"/>
      <c r="AO16" s="379"/>
      <c r="AP16" s="380"/>
      <c r="AQ16" s="381"/>
    </row>
    <row r="17" spans="1:53" ht="12.95" customHeight="1">
      <c r="A17" s="15"/>
      <c r="B17" s="233" t="s">
        <v>13</v>
      </c>
      <c r="C17" s="234"/>
      <c r="D17" s="234"/>
      <c r="E17" s="234"/>
      <c r="F17" s="234"/>
      <c r="G17" s="308"/>
      <c r="H17" s="136"/>
      <c r="I17" s="131"/>
      <c r="J17" s="132"/>
      <c r="K17" s="140"/>
      <c r="L17" s="131"/>
      <c r="M17" s="132"/>
      <c r="N17" s="304" t="str">
        <f t="shared" si="0"/>
        <v>-</v>
      </c>
      <c r="O17" s="305"/>
      <c r="P17" s="306"/>
      <c r="R17" s="8"/>
      <c r="S17" s="289" t="s">
        <v>89</v>
      </c>
      <c r="T17" s="290"/>
      <c r="U17" s="290"/>
      <c r="V17" s="290"/>
      <c r="W17" s="290"/>
      <c r="X17" s="290"/>
      <c r="Y17" s="21" t="s">
        <v>63</v>
      </c>
      <c r="Z17" s="197"/>
      <c r="AA17" s="197"/>
      <c r="AB17" s="198"/>
      <c r="AC17" s="199"/>
      <c r="AD17" s="197"/>
      <c r="AE17" s="198"/>
      <c r="AF17" s="293" t="str">
        <f>IF(Z17="-", "-", IF(AC17="-", "-", IF(ABS(AC17)=0, "-", ROUND(100*(Z17-AC17)/ABS(AC17),1))))</f>
        <v>-</v>
      </c>
      <c r="AG17" s="294"/>
      <c r="AH17" s="295"/>
      <c r="AI17" s="382"/>
      <c r="AJ17" s="383"/>
      <c r="AK17" s="384"/>
      <c r="AL17" s="385"/>
      <c r="AM17" s="383"/>
      <c r="AN17" s="384"/>
      <c r="AO17" s="301"/>
      <c r="AP17" s="302"/>
      <c r="AQ17" s="303"/>
    </row>
    <row r="18" spans="1:53" ht="12.95" customHeight="1">
      <c r="A18" s="15"/>
      <c r="B18" s="233" t="s">
        <v>14</v>
      </c>
      <c r="C18" s="234"/>
      <c r="D18" s="234"/>
      <c r="E18" s="234"/>
      <c r="F18" s="234"/>
      <c r="G18" s="308"/>
      <c r="H18" s="136"/>
      <c r="I18" s="131"/>
      <c r="J18" s="132"/>
      <c r="K18" s="140"/>
      <c r="L18" s="131"/>
      <c r="M18" s="132"/>
      <c r="N18" s="304" t="str">
        <f t="shared" si="0"/>
        <v>-</v>
      </c>
      <c r="O18" s="305"/>
      <c r="P18" s="306"/>
    </row>
    <row r="19" spans="1:53" ht="12.95" customHeight="1">
      <c r="A19" s="18"/>
      <c r="B19" s="369" t="s">
        <v>15</v>
      </c>
      <c r="C19" s="290"/>
      <c r="D19" s="290"/>
      <c r="E19" s="290"/>
      <c r="F19" s="290"/>
      <c r="G19" s="291"/>
      <c r="H19" s="195"/>
      <c r="I19" s="148"/>
      <c r="J19" s="149"/>
      <c r="K19" s="159"/>
      <c r="L19" s="148"/>
      <c r="M19" s="149"/>
      <c r="N19" s="293" t="str">
        <f t="shared" si="0"/>
        <v>-</v>
      </c>
      <c r="O19" s="294"/>
      <c r="P19" s="295"/>
      <c r="S19" s="6" t="s">
        <v>74</v>
      </c>
      <c r="AH19" s="3"/>
    </row>
    <row r="20" spans="1:53" ht="12.95" customHeight="1">
      <c r="A20" s="331" t="s">
        <v>139</v>
      </c>
      <c r="B20" s="332"/>
      <c r="C20" s="332"/>
      <c r="D20" s="332"/>
      <c r="E20" s="332"/>
      <c r="F20" s="332"/>
      <c r="G20" s="333"/>
      <c r="H20" s="123"/>
      <c r="I20" s="118"/>
      <c r="J20" s="119"/>
      <c r="K20" s="207"/>
      <c r="L20" s="118"/>
      <c r="M20" s="119"/>
      <c r="N20" s="334" t="str">
        <f t="shared" si="0"/>
        <v>-</v>
      </c>
      <c r="O20" s="335"/>
      <c r="P20" s="336"/>
      <c r="S20" s="325"/>
      <c r="T20" s="326"/>
      <c r="U20" s="326"/>
      <c r="V20" s="326"/>
      <c r="W20" s="326"/>
      <c r="X20" s="326"/>
      <c r="Y20" s="327"/>
      <c r="Z20" s="354">
        <f>H5</f>
        <v>0</v>
      </c>
      <c r="AA20" s="354"/>
      <c r="AB20" s="355"/>
      <c r="AC20" s="356">
        <f>K5</f>
        <v>-1</v>
      </c>
      <c r="AD20" s="357"/>
      <c r="AE20" s="358"/>
      <c r="AF20" s="359" t="s">
        <v>2</v>
      </c>
      <c r="AG20" s="360"/>
      <c r="AH20" s="361"/>
    </row>
    <row r="21" spans="1:53" ht="12.95" customHeight="1">
      <c r="A21" s="337" t="s">
        <v>18</v>
      </c>
      <c r="B21" s="338"/>
      <c r="C21" s="338"/>
      <c r="D21" s="338"/>
      <c r="E21" s="338"/>
      <c r="F21" s="338"/>
      <c r="G21" s="339"/>
      <c r="H21" s="340"/>
      <c r="I21" s="341"/>
      <c r="J21" s="342"/>
      <c r="K21" s="343"/>
      <c r="L21" s="341"/>
      <c r="M21" s="342"/>
      <c r="N21" s="334" t="str">
        <f t="shared" si="0"/>
        <v>-</v>
      </c>
      <c r="O21" s="335"/>
      <c r="P21" s="336"/>
      <c r="S21" s="328"/>
      <c r="T21" s="329"/>
      <c r="U21" s="329"/>
      <c r="V21" s="329"/>
      <c r="W21" s="329"/>
      <c r="X21" s="329"/>
      <c r="Y21" s="330"/>
      <c r="Z21" s="366" t="s">
        <v>16</v>
      </c>
      <c r="AA21" s="366"/>
      <c r="AB21" s="367"/>
      <c r="AC21" s="368" t="s">
        <v>16</v>
      </c>
      <c r="AD21" s="366"/>
      <c r="AE21" s="367"/>
      <c r="AF21" s="362"/>
      <c r="AG21" s="363"/>
      <c r="AH21" s="364"/>
      <c r="AI21" s="9"/>
      <c r="AJ21" s="9"/>
    </row>
    <row r="22" spans="1:53" ht="12.95" customHeight="1">
      <c r="A22" s="2"/>
      <c r="B22" s="2"/>
      <c r="C22" s="2"/>
      <c r="D22" s="2"/>
      <c r="E22" s="2"/>
      <c r="F22" s="2"/>
      <c r="G22" s="2"/>
      <c r="S22" s="387" t="s">
        <v>18</v>
      </c>
      <c r="T22" s="388"/>
      <c r="U22" s="388"/>
      <c r="V22" s="388"/>
      <c r="W22" s="388"/>
      <c r="X22" s="388"/>
      <c r="Y22" s="389"/>
      <c r="Z22" s="377"/>
      <c r="AA22" s="377"/>
      <c r="AB22" s="373"/>
      <c r="AC22" s="386"/>
      <c r="AD22" s="377"/>
      <c r="AE22" s="373"/>
      <c r="AF22" s="349" t="str">
        <f t="shared" ref="AF22:AF24" si="1">IF(Z22="-", "-", IF(AC22="-", "-", IF(ABS(AC22)=0, "-", ROUND(100*(Z22-AC22)/ABS(AC22),1))))</f>
        <v>-</v>
      </c>
      <c r="AG22" s="350"/>
      <c r="AH22" s="351"/>
      <c r="AI22" s="9"/>
      <c r="AJ22" s="9"/>
    </row>
    <row r="23" spans="1:53" ht="12.95" customHeight="1">
      <c r="A23" s="5" t="s">
        <v>142</v>
      </c>
      <c r="B23" s="4"/>
      <c r="C23" s="4"/>
      <c r="D23" s="4"/>
      <c r="E23" s="4"/>
      <c r="F23" s="4"/>
      <c r="G23" s="4"/>
      <c r="H23" s="1"/>
      <c r="P23" s="3"/>
      <c r="S23" s="390" t="s">
        <v>20</v>
      </c>
      <c r="T23" s="391"/>
      <c r="U23" s="391"/>
      <c r="V23" s="391"/>
      <c r="W23" s="391"/>
      <c r="X23" s="391"/>
      <c r="Y23" s="392"/>
      <c r="Z23" s="191"/>
      <c r="AA23" s="191"/>
      <c r="AB23" s="192"/>
      <c r="AC23" s="193"/>
      <c r="AD23" s="191"/>
      <c r="AE23" s="192"/>
      <c r="AF23" s="304" t="str">
        <f t="shared" si="1"/>
        <v>-</v>
      </c>
      <c r="AG23" s="305"/>
      <c r="AH23" s="306"/>
      <c r="AI23" s="9"/>
      <c r="AJ23" s="9"/>
    </row>
    <row r="24" spans="1:53" ht="12.95" customHeight="1">
      <c r="A24" s="325"/>
      <c r="B24" s="326"/>
      <c r="C24" s="326"/>
      <c r="D24" s="326"/>
      <c r="E24" s="326"/>
      <c r="F24" s="326"/>
      <c r="G24" s="327"/>
      <c r="H24" s="353">
        <f>H5</f>
        <v>0</v>
      </c>
      <c r="I24" s="354"/>
      <c r="J24" s="355"/>
      <c r="K24" s="356">
        <f>K5</f>
        <v>-1</v>
      </c>
      <c r="L24" s="357"/>
      <c r="M24" s="358"/>
      <c r="N24" s="359" t="s">
        <v>2</v>
      </c>
      <c r="O24" s="360"/>
      <c r="P24" s="361"/>
      <c r="S24" s="405" t="s">
        <v>22</v>
      </c>
      <c r="T24" s="406"/>
      <c r="U24" s="406"/>
      <c r="V24" s="406"/>
      <c r="W24" s="406"/>
      <c r="X24" s="406"/>
      <c r="Y24" s="407"/>
      <c r="Z24" s="197"/>
      <c r="AA24" s="197"/>
      <c r="AB24" s="198"/>
      <c r="AC24" s="199"/>
      <c r="AD24" s="197"/>
      <c r="AE24" s="198"/>
      <c r="AF24" s="293" t="str">
        <f t="shared" si="1"/>
        <v>-</v>
      </c>
      <c r="AG24" s="294"/>
      <c r="AH24" s="295"/>
      <c r="AI24" s="9"/>
      <c r="AJ24" s="9"/>
      <c r="AK24" s="6"/>
      <c r="BA24" s="9"/>
    </row>
    <row r="25" spans="1:53" ht="12.95" customHeight="1">
      <c r="A25" s="328"/>
      <c r="B25" s="329"/>
      <c r="C25" s="329"/>
      <c r="D25" s="329"/>
      <c r="E25" s="329"/>
      <c r="F25" s="329"/>
      <c r="G25" s="330"/>
      <c r="H25" s="365" t="s">
        <v>3</v>
      </c>
      <c r="I25" s="366"/>
      <c r="J25" s="367"/>
      <c r="K25" s="368" t="s">
        <v>3</v>
      </c>
      <c r="L25" s="366"/>
      <c r="M25" s="367"/>
      <c r="N25" s="362"/>
      <c r="O25" s="363"/>
      <c r="P25" s="364"/>
    </row>
    <row r="26" spans="1:53" ht="12.95" customHeight="1">
      <c r="A26" s="345" t="s">
        <v>5</v>
      </c>
      <c r="B26" s="346"/>
      <c r="C26" s="346"/>
      <c r="D26" s="346"/>
      <c r="E26" s="346"/>
      <c r="F26" s="346"/>
      <c r="G26" s="347"/>
      <c r="H26" s="209"/>
      <c r="I26" s="210"/>
      <c r="J26" s="211"/>
      <c r="K26" s="348"/>
      <c r="L26" s="210"/>
      <c r="M26" s="211"/>
      <c r="N26" s="349" t="str">
        <f t="shared" ref="N26:N35" si="2">IF(H26="-", "-", IF(K26="-", "-", IF(ABS(K26)=0, "-", ROUND(100*(H26-K26)/ABS(K26),1))))</f>
        <v>-</v>
      </c>
      <c r="O26" s="350"/>
      <c r="P26" s="351"/>
      <c r="S26" s="5" t="s">
        <v>72</v>
      </c>
      <c r="T26" s="4"/>
      <c r="U26" s="4"/>
      <c r="V26" s="4"/>
      <c r="W26" s="4"/>
      <c r="X26" s="4"/>
      <c r="Y26" s="66"/>
      <c r="Z26" s="12"/>
      <c r="AA26" s="12"/>
      <c r="AB26" s="12"/>
      <c r="AC26" s="12"/>
      <c r="AD26" s="12"/>
      <c r="AE26" s="12"/>
      <c r="AF26" s="13"/>
      <c r="AG26" s="13"/>
      <c r="AH26" s="13"/>
      <c r="AI26" s="9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3"/>
      <c r="AZ26" s="3"/>
    </row>
    <row r="27" spans="1:53" ht="12.95" customHeight="1">
      <c r="A27" s="15"/>
      <c r="B27" s="233" t="s">
        <v>71</v>
      </c>
      <c r="C27" s="234"/>
      <c r="D27" s="234"/>
      <c r="E27" s="234"/>
      <c r="F27" s="234"/>
      <c r="G27" s="308"/>
      <c r="H27" s="136"/>
      <c r="I27" s="131"/>
      <c r="J27" s="132"/>
      <c r="K27" s="140"/>
      <c r="L27" s="131"/>
      <c r="M27" s="132"/>
      <c r="N27" s="304" t="str">
        <f t="shared" si="2"/>
        <v>-</v>
      </c>
      <c r="O27" s="305"/>
      <c r="P27" s="306"/>
      <c r="S27" s="325"/>
      <c r="T27" s="326"/>
      <c r="U27" s="326"/>
      <c r="V27" s="326"/>
      <c r="W27" s="326"/>
      <c r="X27" s="326"/>
      <c r="Y27" s="327"/>
      <c r="Z27" s="393" t="s">
        <v>28</v>
      </c>
      <c r="AA27" s="393"/>
      <c r="AB27" s="393"/>
      <c r="AC27" s="393"/>
      <c r="AD27" s="393"/>
      <c r="AE27" s="393"/>
      <c r="AF27" s="393"/>
      <c r="AG27" s="393"/>
      <c r="AH27" s="394"/>
      <c r="AI27" s="447" t="s">
        <v>29</v>
      </c>
      <c r="AJ27" s="393"/>
      <c r="AK27" s="393"/>
      <c r="AL27" s="393"/>
      <c r="AM27" s="393"/>
      <c r="AN27" s="393"/>
      <c r="AO27" s="393"/>
      <c r="AP27" s="393"/>
      <c r="AQ27" s="394"/>
      <c r="AR27" s="447" t="s">
        <v>30</v>
      </c>
      <c r="AS27" s="393"/>
      <c r="AT27" s="393"/>
      <c r="AU27" s="393"/>
      <c r="AV27" s="393"/>
      <c r="AW27" s="393"/>
      <c r="AX27" s="393"/>
      <c r="AY27" s="393"/>
      <c r="AZ27" s="394"/>
    </row>
    <row r="28" spans="1:53" ht="12.95" customHeight="1">
      <c r="A28" s="15"/>
      <c r="B28" s="352" t="s">
        <v>138</v>
      </c>
      <c r="C28" s="234"/>
      <c r="D28" s="234"/>
      <c r="E28" s="234"/>
      <c r="F28" s="234"/>
      <c r="G28" s="308"/>
      <c r="H28" s="136"/>
      <c r="I28" s="131"/>
      <c r="J28" s="132"/>
      <c r="K28" s="140"/>
      <c r="L28" s="131"/>
      <c r="M28" s="132"/>
      <c r="N28" s="304" t="str">
        <f t="shared" si="2"/>
        <v>-</v>
      </c>
      <c r="O28" s="305"/>
      <c r="P28" s="306"/>
      <c r="S28" s="402"/>
      <c r="T28" s="403"/>
      <c r="U28" s="403"/>
      <c r="V28" s="403"/>
      <c r="W28" s="403"/>
      <c r="X28" s="403"/>
      <c r="Y28" s="404"/>
      <c r="Z28" s="395">
        <f>H5</f>
        <v>0</v>
      </c>
      <c r="AA28" s="395"/>
      <c r="AB28" s="396"/>
      <c r="AC28" s="397">
        <f>K5</f>
        <v>-1</v>
      </c>
      <c r="AD28" s="398"/>
      <c r="AE28" s="399"/>
      <c r="AF28" s="400" t="s">
        <v>2</v>
      </c>
      <c r="AG28" s="401"/>
      <c r="AH28" s="401"/>
      <c r="AI28" s="448">
        <f>H5</f>
        <v>0</v>
      </c>
      <c r="AJ28" s="395"/>
      <c r="AK28" s="396"/>
      <c r="AL28" s="397">
        <f>K5</f>
        <v>-1</v>
      </c>
      <c r="AM28" s="398"/>
      <c r="AN28" s="399"/>
      <c r="AO28" s="400" t="s">
        <v>2</v>
      </c>
      <c r="AP28" s="401"/>
      <c r="AQ28" s="449"/>
      <c r="AR28" s="395">
        <f>H5</f>
        <v>0</v>
      </c>
      <c r="AS28" s="395"/>
      <c r="AT28" s="396"/>
      <c r="AU28" s="397">
        <f>K5</f>
        <v>-1</v>
      </c>
      <c r="AV28" s="398"/>
      <c r="AW28" s="399"/>
      <c r="AX28" s="400" t="s">
        <v>2</v>
      </c>
      <c r="AY28" s="401"/>
      <c r="AZ28" s="449"/>
    </row>
    <row r="29" spans="1:53" ht="12.95" customHeight="1">
      <c r="A29" s="15"/>
      <c r="B29" s="16"/>
      <c r="C29" s="233" t="s">
        <v>6</v>
      </c>
      <c r="D29" s="234"/>
      <c r="E29" s="234"/>
      <c r="F29" s="234"/>
      <c r="G29" s="308"/>
      <c r="H29" s="136"/>
      <c r="I29" s="131"/>
      <c r="J29" s="132"/>
      <c r="K29" s="140"/>
      <c r="L29" s="131"/>
      <c r="M29" s="132"/>
      <c r="N29" s="304" t="str">
        <f t="shared" si="2"/>
        <v>-</v>
      </c>
      <c r="O29" s="305"/>
      <c r="P29" s="306"/>
      <c r="S29" s="328"/>
      <c r="T29" s="329"/>
      <c r="U29" s="329"/>
      <c r="V29" s="329"/>
      <c r="W29" s="329"/>
      <c r="X29" s="329"/>
      <c r="Y29" s="330"/>
      <c r="Z29" s="366" t="s">
        <v>31</v>
      </c>
      <c r="AA29" s="366"/>
      <c r="AB29" s="367"/>
      <c r="AC29" s="368" t="s">
        <v>31</v>
      </c>
      <c r="AD29" s="366"/>
      <c r="AE29" s="367"/>
      <c r="AF29" s="362"/>
      <c r="AG29" s="363"/>
      <c r="AH29" s="363"/>
      <c r="AI29" s="365" t="s">
        <v>31</v>
      </c>
      <c r="AJ29" s="366"/>
      <c r="AK29" s="367"/>
      <c r="AL29" s="368" t="s">
        <v>31</v>
      </c>
      <c r="AM29" s="366"/>
      <c r="AN29" s="367"/>
      <c r="AO29" s="362"/>
      <c r="AP29" s="363"/>
      <c r="AQ29" s="364"/>
      <c r="AR29" s="366" t="s">
        <v>31</v>
      </c>
      <c r="AS29" s="366"/>
      <c r="AT29" s="367"/>
      <c r="AU29" s="368" t="s">
        <v>31</v>
      </c>
      <c r="AV29" s="366"/>
      <c r="AW29" s="367"/>
      <c r="AX29" s="362"/>
      <c r="AY29" s="363"/>
      <c r="AZ29" s="364"/>
    </row>
    <row r="30" spans="1:53" ht="12.95" customHeight="1">
      <c r="A30" s="15"/>
      <c r="B30" s="17"/>
      <c r="C30" s="235" t="s">
        <v>90</v>
      </c>
      <c r="D30" s="236"/>
      <c r="E30" s="236"/>
      <c r="F30" s="236"/>
      <c r="G30" s="344"/>
      <c r="H30" s="136"/>
      <c r="I30" s="131"/>
      <c r="J30" s="132"/>
      <c r="K30" s="140"/>
      <c r="L30" s="131"/>
      <c r="M30" s="132"/>
      <c r="N30" s="304" t="str">
        <f t="shared" si="2"/>
        <v>-</v>
      </c>
      <c r="O30" s="305"/>
      <c r="P30" s="306"/>
      <c r="S30" s="414" t="s">
        <v>32</v>
      </c>
      <c r="T30" s="415"/>
      <c r="U30" s="415"/>
      <c r="V30" s="415"/>
      <c r="W30" s="415"/>
      <c r="X30" s="415"/>
      <c r="Y30" s="416"/>
      <c r="Z30" s="445"/>
      <c r="AA30" s="445"/>
      <c r="AB30" s="446"/>
      <c r="AC30" s="450"/>
      <c r="AD30" s="445"/>
      <c r="AE30" s="446"/>
      <c r="AF30" s="285" t="str">
        <f t="shared" ref="AF30:AF36" si="3">IF(Z30="-", "-", IF(AC30="-", "-", IF(ABS(AC30)=0, "-", ROUND(100*(Z30-AC30)/ABS(AC30),1))))</f>
        <v>-</v>
      </c>
      <c r="AG30" s="286"/>
      <c r="AH30" s="287"/>
      <c r="AI30" s="445"/>
      <c r="AJ30" s="445"/>
      <c r="AK30" s="446"/>
      <c r="AL30" s="450"/>
      <c r="AM30" s="445"/>
      <c r="AN30" s="446"/>
      <c r="AO30" s="285" t="str">
        <f t="shared" ref="AO30:AO35" si="4">IF(AI30="-", "-", IF(AL30="-", "-", IF(ABS(AL30)=0, "-", ROUND(100*(AI30-AL30)/ABS(AL30),1))))</f>
        <v>-</v>
      </c>
      <c r="AP30" s="286"/>
      <c r="AQ30" s="287"/>
      <c r="AR30" s="445"/>
      <c r="AS30" s="445"/>
      <c r="AT30" s="446"/>
      <c r="AU30" s="450"/>
      <c r="AV30" s="445"/>
      <c r="AW30" s="446"/>
      <c r="AX30" s="285" t="str">
        <f t="shared" ref="AX30:AX36" si="5">IF(AR30="-", "-", IF(AU30="-", "-", IF(ABS(AU30)=0, "-", ROUND(100*(AR30-AU30)/ABS(AU30),1))))</f>
        <v>-</v>
      </c>
      <c r="AY30" s="286"/>
      <c r="AZ30" s="287"/>
    </row>
    <row r="31" spans="1:53" ht="12.95" customHeight="1">
      <c r="A31" s="15"/>
      <c r="B31" s="233" t="s">
        <v>7</v>
      </c>
      <c r="C31" s="234"/>
      <c r="D31" s="234"/>
      <c r="E31" s="234"/>
      <c r="F31" s="234"/>
      <c r="G31" s="308"/>
      <c r="H31" s="136"/>
      <c r="I31" s="131"/>
      <c r="J31" s="132"/>
      <c r="K31" s="140"/>
      <c r="L31" s="131"/>
      <c r="M31" s="132"/>
      <c r="N31" s="304" t="str">
        <f t="shared" si="2"/>
        <v>-</v>
      </c>
      <c r="O31" s="305"/>
      <c r="P31" s="306"/>
      <c r="S31" s="22"/>
      <c r="T31" s="411" t="s">
        <v>33</v>
      </c>
      <c r="U31" s="412"/>
      <c r="V31" s="412"/>
      <c r="W31" s="412"/>
      <c r="X31" s="412"/>
      <c r="Y31" s="413"/>
      <c r="Z31" s="424"/>
      <c r="AA31" s="424"/>
      <c r="AB31" s="425"/>
      <c r="AC31" s="423"/>
      <c r="AD31" s="424"/>
      <c r="AE31" s="425"/>
      <c r="AF31" s="304" t="str">
        <f t="shared" si="3"/>
        <v>-</v>
      </c>
      <c r="AG31" s="305"/>
      <c r="AH31" s="306"/>
      <c r="AI31" s="424"/>
      <c r="AJ31" s="424"/>
      <c r="AK31" s="425"/>
      <c r="AL31" s="423"/>
      <c r="AM31" s="424"/>
      <c r="AN31" s="425"/>
      <c r="AO31" s="304" t="str">
        <f t="shared" si="4"/>
        <v>-</v>
      </c>
      <c r="AP31" s="305"/>
      <c r="AQ31" s="306"/>
      <c r="AR31" s="424"/>
      <c r="AS31" s="424"/>
      <c r="AT31" s="425"/>
      <c r="AU31" s="423"/>
      <c r="AV31" s="424"/>
      <c r="AW31" s="425"/>
      <c r="AX31" s="304" t="str">
        <f t="shared" si="5"/>
        <v>-</v>
      </c>
      <c r="AY31" s="305"/>
      <c r="AZ31" s="306"/>
    </row>
    <row r="32" spans="1:53" ht="12.95" customHeight="1">
      <c r="A32" s="15"/>
      <c r="B32" s="233" t="s">
        <v>137</v>
      </c>
      <c r="C32" s="234"/>
      <c r="D32" s="234"/>
      <c r="E32" s="234"/>
      <c r="F32" s="234"/>
      <c r="G32" s="308"/>
      <c r="H32" s="136"/>
      <c r="I32" s="131"/>
      <c r="J32" s="132"/>
      <c r="K32" s="140"/>
      <c r="L32" s="131"/>
      <c r="M32" s="132"/>
      <c r="N32" s="304" t="str">
        <f t="shared" si="2"/>
        <v>-</v>
      </c>
      <c r="O32" s="305"/>
      <c r="P32" s="306"/>
      <c r="S32" s="22"/>
      <c r="T32" s="408" t="s">
        <v>34</v>
      </c>
      <c r="U32" s="409"/>
      <c r="V32" s="409"/>
      <c r="W32" s="409"/>
      <c r="X32" s="409"/>
      <c r="Y32" s="410"/>
      <c r="Z32" s="424"/>
      <c r="AA32" s="424"/>
      <c r="AB32" s="425"/>
      <c r="AC32" s="423"/>
      <c r="AD32" s="424"/>
      <c r="AE32" s="425"/>
      <c r="AF32" s="304" t="str">
        <f t="shared" si="3"/>
        <v>-</v>
      </c>
      <c r="AG32" s="305"/>
      <c r="AH32" s="306"/>
      <c r="AI32" s="424"/>
      <c r="AJ32" s="424"/>
      <c r="AK32" s="425"/>
      <c r="AL32" s="423"/>
      <c r="AM32" s="424"/>
      <c r="AN32" s="425"/>
      <c r="AO32" s="304" t="str">
        <f t="shared" si="4"/>
        <v>-</v>
      </c>
      <c r="AP32" s="305"/>
      <c r="AQ32" s="306"/>
      <c r="AR32" s="424"/>
      <c r="AS32" s="424"/>
      <c r="AT32" s="425"/>
      <c r="AU32" s="423"/>
      <c r="AV32" s="424"/>
      <c r="AW32" s="425"/>
      <c r="AX32" s="304" t="str">
        <f t="shared" si="5"/>
        <v>-</v>
      </c>
      <c r="AY32" s="305"/>
      <c r="AZ32" s="306"/>
    </row>
    <row r="33" spans="1:52" ht="12.95" customHeight="1">
      <c r="A33" s="15"/>
      <c r="B33" s="233" t="s">
        <v>8</v>
      </c>
      <c r="C33" s="234"/>
      <c r="D33" s="234"/>
      <c r="E33" s="234"/>
      <c r="F33" s="234"/>
      <c r="G33" s="308"/>
      <c r="H33" s="136"/>
      <c r="I33" s="131"/>
      <c r="J33" s="132"/>
      <c r="K33" s="140"/>
      <c r="L33" s="131"/>
      <c r="M33" s="132"/>
      <c r="N33" s="293" t="str">
        <f t="shared" si="2"/>
        <v>-</v>
      </c>
      <c r="O33" s="294"/>
      <c r="P33" s="295"/>
      <c r="Q33" s="9"/>
      <c r="S33" s="23"/>
      <c r="T33" s="428" t="s">
        <v>35</v>
      </c>
      <c r="U33" s="429"/>
      <c r="V33" s="429"/>
      <c r="W33" s="429"/>
      <c r="X33" s="429"/>
      <c r="Y33" s="430"/>
      <c r="Z33" s="431"/>
      <c r="AA33" s="431"/>
      <c r="AB33" s="432"/>
      <c r="AC33" s="436"/>
      <c r="AD33" s="431"/>
      <c r="AE33" s="432"/>
      <c r="AF33" s="293" t="str">
        <f t="shared" si="3"/>
        <v>-</v>
      </c>
      <c r="AG33" s="294"/>
      <c r="AH33" s="295"/>
      <c r="AI33" s="431"/>
      <c r="AJ33" s="431"/>
      <c r="AK33" s="432"/>
      <c r="AL33" s="436"/>
      <c r="AM33" s="431"/>
      <c r="AN33" s="432"/>
      <c r="AO33" s="293" t="str">
        <f t="shared" si="4"/>
        <v>-</v>
      </c>
      <c r="AP33" s="294"/>
      <c r="AQ33" s="295"/>
      <c r="AR33" s="431"/>
      <c r="AS33" s="431"/>
      <c r="AT33" s="432"/>
      <c r="AU33" s="436"/>
      <c r="AV33" s="431"/>
      <c r="AW33" s="432"/>
      <c r="AX33" s="293" t="str">
        <f t="shared" si="5"/>
        <v>-</v>
      </c>
      <c r="AY33" s="294"/>
      <c r="AZ33" s="295"/>
    </row>
    <row r="34" spans="1:52" ht="12.95" customHeight="1">
      <c r="A34" s="331" t="s">
        <v>140</v>
      </c>
      <c r="B34" s="332"/>
      <c r="C34" s="332"/>
      <c r="D34" s="332"/>
      <c r="E34" s="332"/>
      <c r="F34" s="332"/>
      <c r="G34" s="333"/>
      <c r="H34" s="123"/>
      <c r="I34" s="118"/>
      <c r="J34" s="119"/>
      <c r="K34" s="207"/>
      <c r="L34" s="118"/>
      <c r="M34" s="119"/>
      <c r="N34" s="334" t="str">
        <f t="shared" si="2"/>
        <v>-</v>
      </c>
      <c r="O34" s="335"/>
      <c r="P34" s="336"/>
      <c r="S34" s="331" t="s">
        <v>36</v>
      </c>
      <c r="T34" s="332"/>
      <c r="U34" s="332"/>
      <c r="V34" s="332"/>
      <c r="W34" s="332"/>
      <c r="X34" s="332"/>
      <c r="Y34" s="333"/>
      <c r="Z34" s="433"/>
      <c r="AA34" s="433"/>
      <c r="AB34" s="434"/>
      <c r="AC34" s="435"/>
      <c r="AD34" s="433"/>
      <c r="AE34" s="434"/>
      <c r="AF34" s="420" t="str">
        <f t="shared" si="3"/>
        <v>-</v>
      </c>
      <c r="AG34" s="421"/>
      <c r="AH34" s="422"/>
      <c r="AI34" s="433"/>
      <c r="AJ34" s="433"/>
      <c r="AK34" s="434"/>
      <c r="AL34" s="435"/>
      <c r="AM34" s="433"/>
      <c r="AN34" s="434"/>
      <c r="AO34" s="420" t="str">
        <f t="shared" si="4"/>
        <v>-</v>
      </c>
      <c r="AP34" s="421"/>
      <c r="AQ34" s="422"/>
      <c r="AR34" s="433"/>
      <c r="AS34" s="433"/>
      <c r="AT34" s="434"/>
      <c r="AU34" s="435"/>
      <c r="AV34" s="433"/>
      <c r="AW34" s="434"/>
      <c r="AX34" s="420" t="str">
        <f t="shared" si="5"/>
        <v>-</v>
      </c>
      <c r="AY34" s="421"/>
      <c r="AZ34" s="422"/>
    </row>
    <row r="35" spans="1:52" ht="12.95" customHeight="1">
      <c r="A35" s="337" t="s">
        <v>18</v>
      </c>
      <c r="B35" s="338"/>
      <c r="C35" s="338"/>
      <c r="D35" s="338"/>
      <c r="E35" s="338"/>
      <c r="F35" s="338"/>
      <c r="G35" s="339"/>
      <c r="H35" s="340"/>
      <c r="I35" s="341"/>
      <c r="J35" s="342"/>
      <c r="K35" s="343"/>
      <c r="L35" s="341"/>
      <c r="M35" s="342"/>
      <c r="N35" s="334" t="str">
        <f t="shared" si="2"/>
        <v>-</v>
      </c>
      <c r="O35" s="335"/>
      <c r="P35" s="336"/>
      <c r="S35" s="65"/>
      <c r="T35" s="369" t="s">
        <v>37</v>
      </c>
      <c r="U35" s="290"/>
      <c r="V35" s="290"/>
      <c r="W35" s="290"/>
      <c r="X35" s="290"/>
      <c r="Y35" s="291"/>
      <c r="Z35" s="417"/>
      <c r="AA35" s="417"/>
      <c r="AB35" s="418"/>
      <c r="AC35" s="419"/>
      <c r="AD35" s="417"/>
      <c r="AE35" s="418"/>
      <c r="AF35" s="293" t="str">
        <f t="shared" si="3"/>
        <v>-</v>
      </c>
      <c r="AG35" s="294"/>
      <c r="AH35" s="295"/>
      <c r="AI35" s="417"/>
      <c r="AJ35" s="417"/>
      <c r="AK35" s="418"/>
      <c r="AL35" s="419"/>
      <c r="AM35" s="417"/>
      <c r="AN35" s="418"/>
      <c r="AO35" s="293" t="str">
        <f t="shared" si="4"/>
        <v>-</v>
      </c>
      <c r="AP35" s="294"/>
      <c r="AQ35" s="295"/>
      <c r="AR35" s="417"/>
      <c r="AS35" s="417"/>
      <c r="AT35" s="418"/>
      <c r="AU35" s="419"/>
      <c r="AV35" s="417"/>
      <c r="AW35" s="418"/>
      <c r="AX35" s="293" t="str">
        <f t="shared" si="5"/>
        <v>-</v>
      </c>
      <c r="AY35" s="294"/>
      <c r="AZ35" s="295"/>
    </row>
    <row r="36" spans="1:52" ht="12.95" customHeight="1">
      <c r="S36" s="337" t="s">
        <v>136</v>
      </c>
      <c r="T36" s="338"/>
      <c r="U36" s="338"/>
      <c r="V36" s="338"/>
      <c r="W36" s="338"/>
      <c r="X36" s="338"/>
      <c r="Y36" s="21" t="s">
        <v>77</v>
      </c>
      <c r="Z36" s="426"/>
      <c r="AA36" s="426"/>
      <c r="AB36" s="427"/>
      <c r="AC36" s="426"/>
      <c r="AD36" s="426"/>
      <c r="AE36" s="427"/>
      <c r="AF36" s="334" t="str">
        <f t="shared" si="3"/>
        <v>-</v>
      </c>
      <c r="AG36" s="335"/>
      <c r="AH36" s="336"/>
      <c r="AI36" s="426"/>
      <c r="AJ36" s="426"/>
      <c r="AK36" s="427"/>
      <c r="AL36" s="426"/>
      <c r="AM36" s="426"/>
      <c r="AN36" s="427"/>
      <c r="AO36" s="334" t="str">
        <f t="shared" ref="AO36" si="6">IF(AI36="-", "-", IF(AL36="-", "-", IF(ABS(AL36)=0, "-", ROUND(100*(AI36-AL36)/ABS(AL36),1))))</f>
        <v>-</v>
      </c>
      <c r="AP36" s="335"/>
      <c r="AQ36" s="336"/>
      <c r="AR36" s="426"/>
      <c r="AS36" s="426"/>
      <c r="AT36" s="427"/>
      <c r="AU36" s="426"/>
      <c r="AV36" s="426"/>
      <c r="AW36" s="427"/>
      <c r="AX36" s="334" t="str">
        <f t="shared" si="5"/>
        <v>-</v>
      </c>
      <c r="AY36" s="335"/>
      <c r="AZ36" s="336"/>
    </row>
    <row r="37" spans="1:52" ht="12.95" customHeight="1">
      <c r="S37" s="66"/>
      <c r="T37" s="66"/>
      <c r="U37" s="66"/>
      <c r="V37" s="66"/>
      <c r="W37" s="66"/>
      <c r="X37" s="66"/>
      <c r="Y37" s="35"/>
      <c r="Z37" s="44"/>
      <c r="AA37" s="44"/>
      <c r="AB37" s="44"/>
      <c r="AC37" s="44"/>
      <c r="AD37" s="44"/>
      <c r="AE37" s="44"/>
      <c r="AF37" s="43"/>
      <c r="AG37" s="43"/>
      <c r="AH37" s="43"/>
      <c r="AI37" s="44"/>
      <c r="AJ37" s="44"/>
      <c r="AK37" s="44"/>
      <c r="AL37" s="44"/>
      <c r="AM37" s="44"/>
      <c r="AN37" s="44"/>
      <c r="AO37" s="43"/>
      <c r="AP37" s="43"/>
      <c r="AQ37" s="43"/>
      <c r="AR37" s="44"/>
      <c r="AS37" s="44"/>
      <c r="AT37" s="44"/>
      <c r="AU37" s="44"/>
      <c r="AV37" s="44"/>
      <c r="AW37" s="44"/>
      <c r="AX37" s="43"/>
      <c r="AY37" s="43"/>
      <c r="AZ37" s="43"/>
    </row>
    <row r="38" spans="1:52" ht="12.95" customHeight="1">
      <c r="A38" s="6" t="s">
        <v>87</v>
      </c>
      <c r="B38" s="2"/>
      <c r="C38" s="2"/>
      <c r="D38" s="2"/>
      <c r="E38" s="2"/>
      <c r="F38" s="2"/>
      <c r="G38" s="2"/>
    </row>
    <row r="39" spans="1:52" ht="12.95" customHeight="1">
      <c r="A39" s="325"/>
      <c r="B39" s="326"/>
      <c r="C39" s="326"/>
      <c r="D39" s="326"/>
      <c r="E39" s="326"/>
      <c r="F39" s="326"/>
      <c r="G39" s="327"/>
      <c r="H39" s="314" t="s">
        <v>59</v>
      </c>
      <c r="I39" s="314"/>
      <c r="J39" s="314"/>
      <c r="K39" s="314"/>
      <c r="L39" s="314"/>
      <c r="M39" s="314"/>
      <c r="N39" s="314"/>
      <c r="O39" s="314"/>
      <c r="P39" s="315"/>
      <c r="Q39" s="313" t="s">
        <v>60</v>
      </c>
      <c r="R39" s="314"/>
      <c r="S39" s="314"/>
      <c r="T39" s="314"/>
      <c r="U39" s="314"/>
      <c r="V39" s="314"/>
      <c r="W39" s="314"/>
      <c r="X39" s="314"/>
      <c r="Y39" s="315"/>
      <c r="Z39" s="313" t="s">
        <v>70</v>
      </c>
      <c r="AA39" s="314"/>
      <c r="AB39" s="314"/>
      <c r="AC39" s="314"/>
      <c r="AD39" s="314"/>
      <c r="AE39" s="314"/>
      <c r="AF39" s="314"/>
      <c r="AG39" s="314"/>
      <c r="AH39" s="315"/>
    </row>
    <row r="40" spans="1:52" ht="12.95" customHeight="1">
      <c r="A40" s="328"/>
      <c r="B40" s="329"/>
      <c r="C40" s="329"/>
      <c r="D40" s="329"/>
      <c r="E40" s="329"/>
      <c r="F40" s="329"/>
      <c r="G40" s="330"/>
      <c r="H40" s="323">
        <f>H5</f>
        <v>0</v>
      </c>
      <c r="I40" s="319"/>
      <c r="J40" s="319"/>
      <c r="K40" s="324">
        <f>K5</f>
        <v>-1</v>
      </c>
      <c r="L40" s="324"/>
      <c r="M40" s="324"/>
      <c r="N40" s="316" t="s">
        <v>2</v>
      </c>
      <c r="O40" s="316"/>
      <c r="P40" s="317"/>
      <c r="Q40" s="318">
        <f>H5</f>
        <v>0</v>
      </c>
      <c r="R40" s="319"/>
      <c r="S40" s="319"/>
      <c r="T40" s="324">
        <f>K5</f>
        <v>-1</v>
      </c>
      <c r="U40" s="324"/>
      <c r="V40" s="324"/>
      <c r="W40" s="316" t="s">
        <v>2</v>
      </c>
      <c r="X40" s="316"/>
      <c r="Y40" s="317"/>
      <c r="Z40" s="318">
        <f>H5</f>
        <v>0</v>
      </c>
      <c r="AA40" s="319"/>
      <c r="AB40" s="319"/>
      <c r="AC40" s="324">
        <f>K5</f>
        <v>-1</v>
      </c>
      <c r="AD40" s="324"/>
      <c r="AE40" s="324"/>
      <c r="AF40" s="316" t="s">
        <v>2</v>
      </c>
      <c r="AG40" s="316"/>
      <c r="AH40" s="317"/>
    </row>
    <row r="41" spans="1:52" ht="12.95" customHeight="1">
      <c r="A41" s="320" t="s">
        <v>12</v>
      </c>
      <c r="B41" s="321"/>
      <c r="C41" s="321"/>
      <c r="D41" s="321"/>
      <c r="E41" s="321"/>
      <c r="F41" s="321"/>
      <c r="G41" s="322"/>
      <c r="H41" s="211"/>
      <c r="I41" s="284"/>
      <c r="J41" s="284"/>
      <c r="K41" s="284"/>
      <c r="L41" s="284"/>
      <c r="M41" s="284"/>
      <c r="N41" s="285" t="str">
        <f>IF(H41="-", "-", IF(K41="-", "-", IF(ABS(K41)=0, "-", ROUND(100*(H41-K41)/ABS(K41),1))))</f>
        <v>-</v>
      </c>
      <c r="O41" s="286"/>
      <c r="P41" s="287"/>
      <c r="Q41" s="299"/>
      <c r="R41" s="300"/>
      <c r="S41" s="300"/>
      <c r="T41" s="300"/>
      <c r="U41" s="300"/>
      <c r="V41" s="300"/>
      <c r="W41" s="285" t="str">
        <f>IF(Q41="-", "-", IF(T41="-", "-", IF(ABS(T41)=0, "-", ROUND(100*(Q41-T41)/ABS(T41),1))))</f>
        <v>-</v>
      </c>
      <c r="X41" s="286"/>
      <c r="Y41" s="287"/>
      <c r="Z41" s="299"/>
      <c r="AA41" s="300"/>
      <c r="AB41" s="300"/>
      <c r="AC41" s="300"/>
      <c r="AD41" s="300"/>
      <c r="AE41" s="300"/>
      <c r="AF41" s="285" t="str">
        <f>IF(Z41="-", "-", IF(AC41="-", "-", IF(ABS(AC41)=0, "-", ROUND(100*(Z41-AC41)/ABS(AC41),1))))</f>
        <v>-</v>
      </c>
      <c r="AG41" s="286"/>
      <c r="AH41" s="287"/>
    </row>
    <row r="42" spans="1:52" ht="12.95" customHeight="1">
      <c r="A42" s="307" t="s">
        <v>13</v>
      </c>
      <c r="B42" s="234"/>
      <c r="C42" s="234"/>
      <c r="D42" s="234"/>
      <c r="E42" s="234"/>
      <c r="F42" s="234"/>
      <c r="G42" s="308"/>
      <c r="H42" s="132"/>
      <c r="I42" s="288"/>
      <c r="J42" s="288"/>
      <c r="K42" s="288"/>
      <c r="L42" s="288"/>
      <c r="M42" s="288"/>
      <c r="N42" s="304" t="str">
        <f>IF(H42="-", "-", IF(K42="-", "-", IF(ABS(K42)=0, "-", ROUND(100*(H42-K42)/ABS(K42),1))))</f>
        <v>-</v>
      </c>
      <c r="O42" s="305"/>
      <c r="P42" s="306"/>
      <c r="Q42" s="309"/>
      <c r="R42" s="310"/>
      <c r="S42" s="310"/>
      <c r="T42" s="310"/>
      <c r="U42" s="310"/>
      <c r="V42" s="310"/>
      <c r="W42" s="304" t="str">
        <f>IF(Q42="-", "-", IF(T42="-", "-", IF(ABS(T42)=0, "-", ROUND(100*(Q42-T42)/ABS(T42),1))))</f>
        <v>-</v>
      </c>
      <c r="X42" s="305"/>
      <c r="Y42" s="306"/>
      <c r="Z42" s="309"/>
      <c r="AA42" s="310"/>
      <c r="AB42" s="310"/>
      <c r="AC42" s="310"/>
      <c r="AD42" s="310"/>
      <c r="AE42" s="310"/>
      <c r="AF42" s="304" t="str">
        <f>IF(Z42="-", "-", IF(AC42="-", "-", IF(ABS(AC42)=0, "-", ROUND(100*(Z42-AC42)/ABS(AC42),1))))</f>
        <v>-</v>
      </c>
      <c r="AG42" s="305"/>
      <c r="AH42" s="306"/>
    </row>
    <row r="43" spans="1:52" ht="12.95" customHeight="1">
      <c r="A43" s="307" t="s">
        <v>14</v>
      </c>
      <c r="B43" s="234"/>
      <c r="C43" s="234"/>
      <c r="D43" s="234"/>
      <c r="E43" s="234"/>
      <c r="F43" s="234"/>
      <c r="G43" s="308"/>
      <c r="H43" s="132"/>
      <c r="I43" s="288"/>
      <c r="J43" s="288"/>
      <c r="K43" s="288"/>
      <c r="L43" s="288"/>
      <c r="M43" s="288"/>
      <c r="N43" s="304" t="str">
        <f>IF(H43="-", "-", IF(K43="-", "-", IF(ABS(K43)=0, "-", ROUND(100*(H43-K43)/ABS(K43),1))))</f>
        <v>-</v>
      </c>
      <c r="O43" s="305"/>
      <c r="P43" s="306"/>
      <c r="Q43" s="309"/>
      <c r="R43" s="310"/>
      <c r="S43" s="310"/>
      <c r="T43" s="310"/>
      <c r="U43" s="310"/>
      <c r="V43" s="310"/>
      <c r="W43" s="304" t="str">
        <f>IF(Q43="-", "-", IF(T43="-", "-", IF(ABS(T43)=0, "-", ROUND(100*(Q43-T43)/ABS(T43),1))))</f>
        <v>-</v>
      </c>
      <c r="X43" s="305"/>
      <c r="Y43" s="306"/>
      <c r="Z43" s="309"/>
      <c r="AA43" s="310"/>
      <c r="AB43" s="310"/>
      <c r="AC43" s="310"/>
      <c r="AD43" s="310"/>
      <c r="AE43" s="310"/>
      <c r="AF43" s="304" t="str">
        <f>IF(Z43="-", "-", IF(AC43="-", "-", IF(ABS(AC43)=0, "-", ROUND(100*(Z43-AC43)/ABS(AC43),1))))</f>
        <v>-</v>
      </c>
      <c r="AG43" s="305"/>
      <c r="AH43" s="306"/>
    </row>
    <row r="44" spans="1:52" ht="12.95" customHeight="1">
      <c r="A44" s="289" t="s">
        <v>15</v>
      </c>
      <c r="B44" s="290"/>
      <c r="C44" s="290"/>
      <c r="D44" s="290"/>
      <c r="E44" s="290"/>
      <c r="F44" s="290"/>
      <c r="G44" s="291"/>
      <c r="H44" s="149"/>
      <c r="I44" s="292"/>
      <c r="J44" s="292"/>
      <c r="K44" s="292"/>
      <c r="L44" s="292"/>
      <c r="M44" s="292"/>
      <c r="N44" s="293" t="str">
        <f>IF(H44="-", "-", IF(K44="-", "-", IF(ABS(K44)=0, "-", ROUND(100*(H44-K44)/ABS(K44),1))))</f>
        <v>-</v>
      </c>
      <c r="O44" s="294"/>
      <c r="P44" s="295"/>
      <c r="Q44" s="311"/>
      <c r="R44" s="312"/>
      <c r="S44" s="312"/>
      <c r="T44" s="312"/>
      <c r="U44" s="312"/>
      <c r="V44" s="312"/>
      <c r="W44" s="293" t="str">
        <f>IF(Q44="-", "-", IF(T44="-", "-", IF(ABS(T44)=0, "-", ROUND(100*(Q44-T44)/ABS(T44),1))))</f>
        <v>-</v>
      </c>
      <c r="X44" s="294"/>
      <c r="Y44" s="295"/>
      <c r="Z44" s="296"/>
      <c r="AA44" s="297"/>
      <c r="AB44" s="297"/>
      <c r="AC44" s="298"/>
      <c r="AD44" s="297"/>
      <c r="AE44" s="297"/>
      <c r="AF44" s="301"/>
      <c r="AG44" s="302"/>
      <c r="AH44" s="303"/>
    </row>
    <row r="45" spans="1:52" ht="12.95" customHeight="1">
      <c r="S45" s="66"/>
      <c r="T45" s="66"/>
      <c r="U45" s="66"/>
      <c r="V45" s="66"/>
      <c r="W45" s="66"/>
      <c r="X45" s="66"/>
      <c r="Y45" s="66"/>
      <c r="Z45" s="14"/>
      <c r="AA45" s="14"/>
      <c r="AB45" s="14"/>
      <c r="AC45" s="14"/>
      <c r="AD45" s="14"/>
      <c r="AE45" s="14"/>
      <c r="AF45" s="45"/>
      <c r="AG45" s="45"/>
      <c r="AH45" s="45"/>
    </row>
    <row r="46" spans="1:52" ht="12.95" customHeight="1">
      <c r="S46" s="66"/>
      <c r="T46" s="66"/>
      <c r="U46" s="66"/>
      <c r="V46" s="66"/>
      <c r="W46" s="66"/>
      <c r="X46" s="66"/>
      <c r="Y46" s="66"/>
      <c r="Z46" s="14"/>
      <c r="AA46" s="14"/>
      <c r="AB46" s="14"/>
      <c r="AC46" s="14"/>
      <c r="AD46" s="14"/>
      <c r="AE46" s="14"/>
      <c r="AF46" s="45"/>
      <c r="AG46" s="45"/>
      <c r="AH46" s="45"/>
    </row>
    <row r="47" spans="1:52" ht="12.95" customHeight="1">
      <c r="S47" s="66"/>
      <c r="T47" s="66"/>
      <c r="U47" s="66"/>
      <c r="V47" s="66"/>
      <c r="W47" s="66"/>
      <c r="X47" s="66"/>
      <c r="Y47" s="66"/>
      <c r="Z47" s="14"/>
      <c r="AA47" s="14"/>
      <c r="AB47" s="14"/>
      <c r="AC47" s="14"/>
      <c r="AD47" s="14"/>
      <c r="AE47" s="14"/>
      <c r="AF47" s="45"/>
      <c r="AG47" s="45"/>
      <c r="AH47" s="45"/>
    </row>
    <row r="48" spans="1:52" ht="12.95" customHeight="1">
      <c r="S48" s="66"/>
      <c r="T48" s="66"/>
      <c r="U48" s="66"/>
      <c r="V48" s="66"/>
      <c r="W48" s="66"/>
      <c r="X48" s="66"/>
      <c r="Y48" s="66"/>
      <c r="Z48" s="14"/>
      <c r="AA48" s="14"/>
      <c r="AB48" s="14"/>
      <c r="AC48" s="14"/>
      <c r="AD48" s="14"/>
      <c r="AE48" s="14"/>
      <c r="AF48" s="45"/>
      <c r="AG48" s="45"/>
      <c r="AH48" s="45"/>
    </row>
    <row r="49" spans="1:34" ht="12.95" customHeight="1">
      <c r="S49" s="66"/>
      <c r="T49" s="66"/>
      <c r="U49" s="66"/>
      <c r="V49" s="66"/>
      <c r="W49" s="66"/>
      <c r="X49" s="66"/>
      <c r="Y49" s="66"/>
      <c r="Z49" s="14"/>
      <c r="AA49" s="14"/>
      <c r="AB49" s="14"/>
      <c r="AC49" s="14"/>
      <c r="AD49" s="14"/>
      <c r="AE49" s="14"/>
      <c r="AF49" s="45"/>
      <c r="AG49" s="45"/>
      <c r="AH49" s="45"/>
    </row>
    <row r="50" spans="1:34" ht="12.95" customHeight="1">
      <c r="S50" s="66"/>
      <c r="T50" s="66"/>
      <c r="U50" s="66"/>
      <c r="V50" s="66"/>
      <c r="W50" s="66"/>
      <c r="X50" s="66"/>
      <c r="Y50" s="66"/>
      <c r="Z50" s="14"/>
      <c r="AA50" s="14"/>
      <c r="AB50" s="14"/>
      <c r="AC50" s="14"/>
      <c r="AD50" s="14"/>
      <c r="AE50" s="14"/>
      <c r="AF50" s="45"/>
      <c r="AG50" s="45"/>
      <c r="AH50" s="45"/>
    </row>
    <row r="51" spans="1:34" ht="12.95" customHeight="1">
      <c r="S51" s="66"/>
      <c r="T51" s="66"/>
      <c r="U51" s="66"/>
      <c r="V51" s="66"/>
      <c r="W51" s="66"/>
      <c r="X51" s="66"/>
      <c r="Y51" s="66"/>
      <c r="Z51" s="14"/>
      <c r="AA51" s="14"/>
      <c r="AB51" s="14"/>
      <c r="AC51" s="14"/>
      <c r="AD51" s="14"/>
      <c r="AE51" s="14"/>
      <c r="AF51" s="45"/>
      <c r="AG51" s="45"/>
      <c r="AH51" s="45"/>
    </row>
    <row r="52" spans="1:34" ht="12.95" customHeight="1">
      <c r="S52" s="66"/>
      <c r="T52" s="66"/>
      <c r="U52" s="66"/>
      <c r="V52" s="66"/>
      <c r="W52" s="66"/>
      <c r="X52" s="66"/>
      <c r="Y52" s="66"/>
      <c r="Z52" s="14"/>
      <c r="AA52" s="14"/>
      <c r="AB52" s="14"/>
      <c r="AC52" s="14"/>
      <c r="AD52" s="14"/>
      <c r="AE52" s="14"/>
      <c r="AF52" s="45"/>
      <c r="AG52" s="45"/>
      <c r="AH52" s="45"/>
    </row>
    <row r="53" spans="1:34" ht="12.95" customHeight="1">
      <c r="A53" s="2"/>
      <c r="B53" s="2"/>
      <c r="C53" s="2"/>
      <c r="D53" s="2"/>
      <c r="E53" s="2"/>
      <c r="F53" s="2"/>
      <c r="G53" s="2"/>
    </row>
    <row r="54" spans="1:34" ht="12.95" customHeight="1">
      <c r="A54" s="2"/>
      <c r="B54" s="2"/>
      <c r="C54" s="2"/>
      <c r="D54" s="2"/>
      <c r="E54" s="2"/>
      <c r="F54" s="2"/>
      <c r="G54" s="2"/>
    </row>
    <row r="55" spans="1:34" ht="12.95" customHeight="1">
      <c r="A55" s="2"/>
      <c r="B55" s="2"/>
      <c r="C55" s="2"/>
      <c r="D55" s="2"/>
      <c r="E55" s="2"/>
      <c r="F55" s="2"/>
      <c r="G55" s="2"/>
    </row>
    <row r="56" spans="1:34" ht="12.95" customHeight="1">
      <c r="A56" s="2"/>
      <c r="B56" s="2"/>
      <c r="C56" s="2"/>
      <c r="D56" s="2"/>
      <c r="E56" s="2"/>
      <c r="F56" s="2"/>
      <c r="G56" s="2"/>
    </row>
    <row r="57" spans="1:34" ht="12.95" customHeight="1">
      <c r="A57" s="2"/>
      <c r="B57" s="2"/>
      <c r="C57" s="2"/>
      <c r="D57" s="2"/>
      <c r="E57" s="2"/>
      <c r="F57" s="2"/>
      <c r="G57" s="2"/>
    </row>
    <row r="58" spans="1:34" ht="12.95" customHeight="1">
      <c r="A58" s="2"/>
      <c r="B58" s="2"/>
      <c r="C58" s="2"/>
      <c r="D58" s="2"/>
      <c r="E58" s="2"/>
      <c r="F58" s="2"/>
      <c r="G58" s="2"/>
    </row>
    <row r="59" spans="1:34" ht="12.95" customHeight="1">
      <c r="A59" s="2"/>
      <c r="B59" s="2"/>
      <c r="C59" s="2"/>
      <c r="D59" s="2"/>
      <c r="E59" s="2"/>
      <c r="F59" s="2"/>
      <c r="G59" s="2"/>
    </row>
    <row r="60" spans="1:34" ht="12.95" customHeight="1">
      <c r="A60" s="2"/>
      <c r="B60" s="2"/>
      <c r="C60" s="2"/>
      <c r="D60" s="2"/>
      <c r="E60" s="2"/>
      <c r="F60" s="2"/>
      <c r="G60" s="2"/>
    </row>
    <row r="61" spans="1:34" ht="12.95" customHeight="1">
      <c r="A61" s="2"/>
      <c r="B61" s="2"/>
      <c r="C61" s="2"/>
      <c r="D61" s="2"/>
      <c r="E61" s="2"/>
      <c r="F61" s="2"/>
      <c r="G61" s="2"/>
    </row>
    <row r="62" spans="1:34" ht="12.95" customHeight="1">
      <c r="A62" s="2"/>
      <c r="B62" s="2"/>
      <c r="C62" s="2"/>
      <c r="D62" s="2"/>
      <c r="E62" s="2"/>
      <c r="F62" s="2"/>
      <c r="G62" s="2"/>
    </row>
    <row r="63" spans="1:34" ht="12.95" customHeight="1">
      <c r="A63" s="2"/>
      <c r="B63" s="2"/>
      <c r="C63" s="2"/>
      <c r="D63" s="2"/>
      <c r="E63" s="2"/>
      <c r="F63" s="2"/>
      <c r="G63" s="2"/>
    </row>
    <row r="64" spans="1:34" ht="14.1" customHeight="1">
      <c r="A64" s="2"/>
      <c r="B64" s="2"/>
      <c r="C64" s="2"/>
      <c r="D64" s="2"/>
      <c r="E64" s="2"/>
      <c r="F64" s="2"/>
      <c r="G64" s="2"/>
    </row>
    <row r="65" spans="1:31" ht="14.1" customHeight="1">
      <c r="A65" s="4"/>
      <c r="B65" s="4"/>
      <c r="C65" s="4"/>
      <c r="D65" s="4"/>
      <c r="E65" s="4"/>
      <c r="F65" s="4"/>
      <c r="G65" s="66"/>
      <c r="H65" s="12"/>
      <c r="I65" s="12"/>
      <c r="J65" s="12"/>
      <c r="K65" s="12"/>
      <c r="L65" s="12"/>
      <c r="M65" s="12"/>
      <c r="N65" s="13"/>
      <c r="O65" s="13"/>
      <c r="P65" s="13"/>
    </row>
    <row r="66" spans="1:31" ht="14.1" customHeight="1"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/>
    </row>
    <row r="79" spans="1:31" ht="14.1" customHeight="1">
      <c r="A79" s="2"/>
      <c r="B79" s="2"/>
      <c r="C79" s="2"/>
      <c r="D79" s="2"/>
      <c r="E79" s="2"/>
      <c r="F79" s="2"/>
      <c r="G79" s="2"/>
    </row>
    <row r="80" spans="1:31" ht="14.1" customHeight="1">
      <c r="A80" s="2"/>
      <c r="B80" s="2"/>
      <c r="C80" s="2"/>
      <c r="D80" s="2"/>
      <c r="E80" s="2"/>
      <c r="F80" s="2"/>
      <c r="G80" s="2"/>
    </row>
    <row r="81" spans="1:7" ht="14.1" customHeight="1">
      <c r="A81" s="2"/>
      <c r="B81" s="2"/>
      <c r="C81" s="2"/>
      <c r="D81" s="2"/>
      <c r="E81" s="2"/>
      <c r="F81" s="2"/>
      <c r="G81" s="2"/>
    </row>
    <row r="82" spans="1:7" ht="14.1" customHeight="1">
      <c r="A82" s="2"/>
      <c r="B82" s="2"/>
      <c r="C82" s="2"/>
      <c r="D82" s="2"/>
      <c r="E82" s="2"/>
      <c r="F82" s="2"/>
      <c r="G82" s="2"/>
    </row>
    <row r="83" spans="1:7" ht="14.1" customHeight="1">
      <c r="A83" s="2"/>
      <c r="B83" s="2"/>
      <c r="C83" s="2"/>
      <c r="D83" s="2"/>
      <c r="E83" s="2"/>
      <c r="F83" s="2"/>
      <c r="G83" s="2"/>
    </row>
    <row r="84" spans="1:7" ht="14.1" customHeight="1">
      <c r="A84" s="2"/>
      <c r="B84" s="2"/>
      <c r="C84" s="2"/>
      <c r="D84" s="2"/>
      <c r="E84" s="2"/>
      <c r="F84" s="2"/>
      <c r="G84" s="2"/>
    </row>
    <row r="85" spans="1:7" ht="14.1" customHeight="1">
      <c r="A85" s="2"/>
      <c r="B85" s="2"/>
      <c r="C85" s="2"/>
      <c r="D85" s="2"/>
      <c r="E85" s="2"/>
      <c r="F85" s="2"/>
      <c r="G85" s="2"/>
    </row>
    <row r="86" spans="1:7" ht="14.1" customHeight="1">
      <c r="A86" s="2"/>
      <c r="B86" s="2"/>
      <c r="C86" s="2"/>
      <c r="D86" s="2"/>
      <c r="E86" s="2"/>
      <c r="F86" s="2"/>
      <c r="G86" s="2"/>
    </row>
    <row r="87" spans="1:7" ht="14.1" customHeight="1">
      <c r="A87" s="2"/>
      <c r="B87" s="2"/>
      <c r="C87" s="2"/>
      <c r="D87" s="2"/>
      <c r="E87" s="2"/>
      <c r="F87" s="2"/>
      <c r="G87" s="2"/>
    </row>
    <row r="88" spans="1:7" ht="14.1" customHeight="1">
      <c r="A88" s="2"/>
      <c r="B88" s="2"/>
      <c r="C88" s="2"/>
      <c r="D88" s="2"/>
      <c r="E88" s="2"/>
      <c r="F88" s="2"/>
      <c r="G88" s="2"/>
    </row>
    <row r="89" spans="1:7" ht="14.1" customHeight="1">
      <c r="A89" s="2"/>
      <c r="B89" s="2"/>
      <c r="C89" s="2"/>
      <c r="D89" s="2"/>
      <c r="E89" s="2"/>
      <c r="F89" s="2"/>
      <c r="G89" s="2"/>
    </row>
    <row r="90" spans="1:7" ht="14.1" customHeight="1">
      <c r="A90" s="2"/>
      <c r="B90" s="2"/>
      <c r="C90" s="2"/>
      <c r="D90" s="2"/>
      <c r="E90" s="2"/>
      <c r="F90" s="2"/>
      <c r="G90" s="2"/>
    </row>
    <row r="91" spans="1:7" ht="14.1" customHeight="1">
      <c r="A91" s="2"/>
      <c r="B91" s="2"/>
      <c r="C91" s="2"/>
      <c r="D91" s="2"/>
      <c r="E91" s="2"/>
      <c r="F91" s="2"/>
      <c r="G91" s="2"/>
    </row>
    <row r="92" spans="1:7" ht="14.1" customHeight="1">
      <c r="A92" s="2"/>
      <c r="B92" s="2"/>
      <c r="C92" s="2"/>
      <c r="D92" s="2"/>
      <c r="E92" s="2"/>
      <c r="F92" s="2"/>
      <c r="G92" s="2"/>
    </row>
    <row r="93" spans="1:7" ht="14.1" customHeight="1">
      <c r="A93" s="2"/>
      <c r="B93" s="2"/>
      <c r="C93" s="2"/>
      <c r="D93" s="2"/>
      <c r="E93" s="2"/>
      <c r="F93" s="2"/>
      <c r="G93" s="2"/>
    </row>
    <row r="94" spans="1:7" ht="14.1" customHeight="1">
      <c r="A94" s="2"/>
      <c r="B94" s="2"/>
      <c r="C94" s="2"/>
      <c r="D94" s="2"/>
      <c r="E94" s="2"/>
      <c r="F94" s="2"/>
      <c r="G94" s="2"/>
    </row>
  </sheetData>
  <mergeCells count="326">
    <mergeCell ref="Z35:AB35"/>
    <mergeCell ref="AC35:AE35"/>
    <mergeCell ref="Z36:AB36"/>
    <mergeCell ref="AC36:AE36"/>
    <mergeCell ref="AI30:AK30"/>
    <mergeCell ref="AL30:AN30"/>
    <mergeCell ref="AI31:AK31"/>
    <mergeCell ref="AL31:AN31"/>
    <mergeCell ref="AI32:AK32"/>
    <mergeCell ref="AL32:AN32"/>
    <mergeCell ref="AI33:AK33"/>
    <mergeCell ref="AL33:AN33"/>
    <mergeCell ref="AI34:AK34"/>
    <mergeCell ref="AL34:AN34"/>
    <mergeCell ref="AI35:AK35"/>
    <mergeCell ref="AL35:AN35"/>
    <mergeCell ref="AI36:AK36"/>
    <mergeCell ref="AL36:AN36"/>
    <mergeCell ref="Z30:AB30"/>
    <mergeCell ref="AC30:AE30"/>
    <mergeCell ref="Z31:AB31"/>
    <mergeCell ref="AC31:AE31"/>
    <mergeCell ref="Z32:AB32"/>
    <mergeCell ref="AC32:AE32"/>
    <mergeCell ref="AO1:AZ1"/>
    <mergeCell ref="AO2:AZ2"/>
    <mergeCell ref="A1:AN2"/>
    <mergeCell ref="S5:Y6"/>
    <mergeCell ref="S20:Y21"/>
    <mergeCell ref="S11:Y13"/>
    <mergeCell ref="S14:X14"/>
    <mergeCell ref="S15:X15"/>
    <mergeCell ref="S16:X16"/>
    <mergeCell ref="S17:X17"/>
    <mergeCell ref="AI12:AK13"/>
    <mergeCell ref="AL12:AN13"/>
    <mergeCell ref="Z12:AB13"/>
    <mergeCell ref="AO12:AQ13"/>
    <mergeCell ref="AI14:AK14"/>
    <mergeCell ref="AL14:AN14"/>
    <mergeCell ref="Z11:AH11"/>
    <mergeCell ref="AI11:AQ11"/>
    <mergeCell ref="Z15:AB15"/>
    <mergeCell ref="AC15:AE15"/>
    <mergeCell ref="AF15:AH15"/>
    <mergeCell ref="AI15:AK15"/>
    <mergeCell ref="AL15:AN15"/>
    <mergeCell ref="AO15:AQ15"/>
    <mergeCell ref="AC12:AE13"/>
    <mergeCell ref="AF12:AH13"/>
    <mergeCell ref="AX32:AZ32"/>
    <mergeCell ref="AO36:AQ36"/>
    <mergeCell ref="AO32:AQ32"/>
    <mergeCell ref="AR32:AT32"/>
    <mergeCell ref="AO31:AQ31"/>
    <mergeCell ref="AR31:AT31"/>
    <mergeCell ref="AO30:AQ30"/>
    <mergeCell ref="AR30:AT30"/>
    <mergeCell ref="AI27:AQ27"/>
    <mergeCell ref="AR27:AZ27"/>
    <mergeCell ref="AI28:AK28"/>
    <mergeCell ref="AL28:AN28"/>
    <mergeCell ref="AO28:AQ29"/>
    <mergeCell ref="AR28:AT28"/>
    <mergeCell ref="AX28:AZ29"/>
    <mergeCell ref="AL29:AN29"/>
    <mergeCell ref="AU31:AW31"/>
    <mergeCell ref="AX31:AZ31"/>
    <mergeCell ref="AU30:AW30"/>
    <mergeCell ref="AX30:AZ30"/>
    <mergeCell ref="AI29:AK29"/>
    <mergeCell ref="AU28:AW28"/>
    <mergeCell ref="S34:Y34"/>
    <mergeCell ref="AF34:AH34"/>
    <mergeCell ref="T33:Y33"/>
    <mergeCell ref="AF33:AH33"/>
    <mergeCell ref="AO33:AQ33"/>
    <mergeCell ref="AR33:AT33"/>
    <mergeCell ref="AO34:AQ34"/>
    <mergeCell ref="AR34:AT34"/>
    <mergeCell ref="AU34:AW34"/>
    <mergeCell ref="AU33:AW33"/>
    <mergeCell ref="Z33:AB33"/>
    <mergeCell ref="AC33:AE33"/>
    <mergeCell ref="Z34:AB34"/>
    <mergeCell ref="AC34:AE34"/>
    <mergeCell ref="AX36:AZ36"/>
    <mergeCell ref="AO35:AQ35"/>
    <mergeCell ref="AR35:AT35"/>
    <mergeCell ref="AU35:AW35"/>
    <mergeCell ref="AX35:AZ35"/>
    <mergeCell ref="AF36:AH36"/>
    <mergeCell ref="AR29:AT29"/>
    <mergeCell ref="AU29:AW29"/>
    <mergeCell ref="AX33:AZ33"/>
    <mergeCell ref="AX34:AZ34"/>
    <mergeCell ref="AU32:AW32"/>
    <mergeCell ref="AR36:AT36"/>
    <mergeCell ref="AU36:AW36"/>
    <mergeCell ref="S36:X36"/>
    <mergeCell ref="AC23:AE23"/>
    <mergeCell ref="AF23:AH23"/>
    <mergeCell ref="AF24:AH24"/>
    <mergeCell ref="S23:Y23"/>
    <mergeCell ref="Z23:AB23"/>
    <mergeCell ref="AC24:AE24"/>
    <mergeCell ref="T35:Y35"/>
    <mergeCell ref="AF35:AH35"/>
    <mergeCell ref="AF30:AH30"/>
    <mergeCell ref="AF31:AH31"/>
    <mergeCell ref="Z29:AB29"/>
    <mergeCell ref="AC29:AE29"/>
    <mergeCell ref="Z27:AH27"/>
    <mergeCell ref="Z28:AB28"/>
    <mergeCell ref="AC28:AE28"/>
    <mergeCell ref="AF28:AH29"/>
    <mergeCell ref="S27:Y29"/>
    <mergeCell ref="AF32:AH32"/>
    <mergeCell ref="S24:Y24"/>
    <mergeCell ref="Z24:AB24"/>
    <mergeCell ref="T32:Y32"/>
    <mergeCell ref="T31:Y31"/>
    <mergeCell ref="S30:Y30"/>
    <mergeCell ref="Z21:AB21"/>
    <mergeCell ref="AC21:AE21"/>
    <mergeCell ref="Z20:AB20"/>
    <mergeCell ref="AC20:AE20"/>
    <mergeCell ref="AF20:AH21"/>
    <mergeCell ref="AC22:AE22"/>
    <mergeCell ref="AF22:AH22"/>
    <mergeCell ref="S22:Y22"/>
    <mergeCell ref="Z22:AB22"/>
    <mergeCell ref="AI16:AK16"/>
    <mergeCell ref="Z14:AB14"/>
    <mergeCell ref="AC16:AE16"/>
    <mergeCell ref="AF16:AH16"/>
    <mergeCell ref="AL16:AN16"/>
    <mergeCell ref="AO16:AQ16"/>
    <mergeCell ref="AI17:AK17"/>
    <mergeCell ref="AL17:AN17"/>
    <mergeCell ref="AO17:AQ17"/>
    <mergeCell ref="Z17:AB17"/>
    <mergeCell ref="AC17:AE17"/>
    <mergeCell ref="AF17:AH17"/>
    <mergeCell ref="Z16:AB16"/>
    <mergeCell ref="AO14:AQ14"/>
    <mergeCell ref="AC14:AE14"/>
    <mergeCell ref="AF14:AH14"/>
    <mergeCell ref="AC5:AE5"/>
    <mergeCell ref="AF5:AH6"/>
    <mergeCell ref="AC8:AE8"/>
    <mergeCell ref="AC7:AE7"/>
    <mergeCell ref="AF7:AH7"/>
    <mergeCell ref="AF8:AH8"/>
    <mergeCell ref="S7:Y7"/>
    <mergeCell ref="Z7:AB7"/>
    <mergeCell ref="Z6:AB6"/>
    <mergeCell ref="AC6:AE6"/>
    <mergeCell ref="S8:Y8"/>
    <mergeCell ref="Z8:AB8"/>
    <mergeCell ref="Z5:AB5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B8:G8"/>
    <mergeCell ref="H8:J8"/>
    <mergeCell ref="K8:M8"/>
    <mergeCell ref="N8:P8"/>
    <mergeCell ref="B9:G9"/>
    <mergeCell ref="H9:J9"/>
    <mergeCell ref="K9:M9"/>
    <mergeCell ref="N9:P9"/>
    <mergeCell ref="B10:G10"/>
    <mergeCell ref="H10:J10"/>
    <mergeCell ref="K10:M10"/>
    <mergeCell ref="N10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A20:G20"/>
    <mergeCell ref="H20:J20"/>
    <mergeCell ref="K20:M20"/>
    <mergeCell ref="N20:P20"/>
    <mergeCell ref="A21:G21"/>
    <mergeCell ref="H21:J21"/>
    <mergeCell ref="K21:M21"/>
    <mergeCell ref="N21:P21"/>
    <mergeCell ref="A24:G25"/>
    <mergeCell ref="H24:J24"/>
    <mergeCell ref="K24:M24"/>
    <mergeCell ref="N24:P25"/>
    <mergeCell ref="H25:J25"/>
    <mergeCell ref="K25:M25"/>
    <mergeCell ref="A26:G26"/>
    <mergeCell ref="H26:J26"/>
    <mergeCell ref="K26:M26"/>
    <mergeCell ref="N26:P26"/>
    <mergeCell ref="B27:G27"/>
    <mergeCell ref="H27:J27"/>
    <mergeCell ref="K27:M27"/>
    <mergeCell ref="N27:P27"/>
    <mergeCell ref="B28:G28"/>
    <mergeCell ref="H28:J28"/>
    <mergeCell ref="K28:M28"/>
    <mergeCell ref="N28:P28"/>
    <mergeCell ref="C29:G29"/>
    <mergeCell ref="C30:G30"/>
    <mergeCell ref="B31:G31"/>
    <mergeCell ref="H31:J31"/>
    <mergeCell ref="K31:M31"/>
    <mergeCell ref="N31:P31"/>
    <mergeCell ref="B32:G32"/>
    <mergeCell ref="H32:J32"/>
    <mergeCell ref="K32:M32"/>
    <mergeCell ref="N32:P32"/>
    <mergeCell ref="H29:J29"/>
    <mergeCell ref="H30:J30"/>
    <mergeCell ref="K29:M29"/>
    <mergeCell ref="K30:M30"/>
    <mergeCell ref="N29:P29"/>
    <mergeCell ref="N30:P30"/>
    <mergeCell ref="B33:G33"/>
    <mergeCell ref="H33:J33"/>
    <mergeCell ref="K33:M33"/>
    <mergeCell ref="N33:P33"/>
    <mergeCell ref="A34:G34"/>
    <mergeCell ref="H34:J34"/>
    <mergeCell ref="K34:M34"/>
    <mergeCell ref="N34:P34"/>
    <mergeCell ref="A35:G35"/>
    <mergeCell ref="H35:J35"/>
    <mergeCell ref="K35:M35"/>
    <mergeCell ref="N35:P35"/>
    <mergeCell ref="Q39:Y39"/>
    <mergeCell ref="Z39:AH39"/>
    <mergeCell ref="W40:Y40"/>
    <mergeCell ref="Z40:AB40"/>
    <mergeCell ref="AF40:AH40"/>
    <mergeCell ref="Q42:S42"/>
    <mergeCell ref="T42:V42"/>
    <mergeCell ref="A41:G41"/>
    <mergeCell ref="H41:J41"/>
    <mergeCell ref="H40:J40"/>
    <mergeCell ref="K40:M40"/>
    <mergeCell ref="N40:P40"/>
    <mergeCell ref="Q40:S40"/>
    <mergeCell ref="T40:V40"/>
    <mergeCell ref="AC40:AE40"/>
    <mergeCell ref="A39:G40"/>
    <mergeCell ref="H39:P39"/>
    <mergeCell ref="Q41:S41"/>
    <mergeCell ref="T41:V41"/>
    <mergeCell ref="A42:G42"/>
    <mergeCell ref="AF41:AH41"/>
    <mergeCell ref="W41:Y41"/>
    <mergeCell ref="W42:Y42"/>
    <mergeCell ref="AF42:AH42"/>
    <mergeCell ref="AF44:AH44"/>
    <mergeCell ref="AF43:AH43"/>
    <mergeCell ref="W43:Y43"/>
    <mergeCell ref="W44:Y44"/>
    <mergeCell ref="H43:J43"/>
    <mergeCell ref="K43:M43"/>
    <mergeCell ref="N43:P43"/>
    <mergeCell ref="A43:G43"/>
    <mergeCell ref="K42:M42"/>
    <mergeCell ref="N42:P42"/>
    <mergeCell ref="Q43:S43"/>
    <mergeCell ref="T43:V43"/>
    <mergeCell ref="Q44:S44"/>
    <mergeCell ref="T44:V44"/>
    <mergeCell ref="Z42:AB42"/>
    <mergeCell ref="AC42:AE42"/>
    <mergeCell ref="Z43:AB43"/>
    <mergeCell ref="AC43:AE43"/>
    <mergeCell ref="K41:M41"/>
    <mergeCell ref="N41:P41"/>
    <mergeCell ref="H42:J42"/>
    <mergeCell ref="A44:G44"/>
    <mergeCell ref="H44:J44"/>
    <mergeCell ref="K44:M44"/>
    <mergeCell ref="N44:P44"/>
    <mergeCell ref="Z44:AB44"/>
    <mergeCell ref="AC44:AE44"/>
    <mergeCell ref="Z41:AB41"/>
    <mergeCell ref="AC41:AE41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4"/>
  <sheetViews>
    <sheetView showGridLines="0" view="pageBreakPreview" zoomScaleNormal="115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4" ht="12.6" customHeight="1">
      <c r="A1" s="246" t="str">
        <f>IF(H6="年","9999",H6)&amp;"年　農業経営統計調査　育成牛・肥育牛生産費統計　個別結果検討表　№３"</f>
        <v>0年　農業経営統計調査　育成牛・肥育牛生産費統計　個別結果検討表　№３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91" t="s">
        <v>0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1"/>
      <c r="BB1" s="1"/>
    </row>
    <row r="2" spans="1:54" ht="12.6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451" t="str">
        <f>IF(№１!AO2="","",№１!AO2)</f>
        <v/>
      </c>
      <c r="AP2" s="451"/>
      <c r="AQ2" s="451"/>
      <c r="AR2" s="451"/>
      <c r="AS2" s="451"/>
      <c r="AT2" s="451"/>
      <c r="AU2" s="451"/>
      <c r="AV2" s="451"/>
      <c r="AW2" s="451"/>
      <c r="AX2" s="451"/>
      <c r="AY2" s="451"/>
      <c r="AZ2" s="451"/>
    </row>
    <row r="3" spans="1:54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4" ht="15.6" customHeight="1">
      <c r="A4" s="5" t="s">
        <v>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3"/>
      <c r="R4" s="3"/>
      <c r="AB4" s="6" t="s">
        <v>85</v>
      </c>
    </row>
    <row r="5" spans="1:54" ht="15.6" customHeight="1">
      <c r="A5" s="325"/>
      <c r="B5" s="326"/>
      <c r="C5" s="326"/>
      <c r="D5" s="326"/>
      <c r="E5" s="326"/>
      <c r="F5" s="326"/>
      <c r="G5" s="327"/>
      <c r="H5" s="480" t="s">
        <v>39</v>
      </c>
      <c r="I5" s="480"/>
      <c r="J5" s="480"/>
      <c r="K5" s="480"/>
      <c r="L5" s="480"/>
      <c r="M5" s="480"/>
      <c r="N5" s="480"/>
      <c r="O5" s="480"/>
      <c r="P5" s="481"/>
      <c r="Q5" s="482" t="s">
        <v>38</v>
      </c>
      <c r="R5" s="480"/>
      <c r="S5" s="480"/>
      <c r="T5" s="480"/>
      <c r="U5" s="480"/>
      <c r="V5" s="480"/>
      <c r="W5" s="480"/>
      <c r="X5" s="480"/>
      <c r="Y5" s="481"/>
      <c r="AB5" s="467"/>
      <c r="AC5" s="468"/>
      <c r="AD5" s="468"/>
      <c r="AE5" s="468"/>
      <c r="AF5" s="468"/>
      <c r="AG5" s="468"/>
      <c r="AH5" s="469"/>
      <c r="AI5" s="475">
        <f>H6</f>
        <v>0</v>
      </c>
      <c r="AJ5" s="476"/>
      <c r="AK5" s="476"/>
      <c r="AL5" s="477">
        <f>K6</f>
        <v>-1</v>
      </c>
      <c r="AM5" s="477"/>
      <c r="AN5" s="477"/>
      <c r="AO5" s="478" t="s">
        <v>88</v>
      </c>
      <c r="AP5" s="478"/>
      <c r="AQ5" s="479"/>
      <c r="AR5" s="46"/>
      <c r="AS5" s="47"/>
      <c r="AT5" s="47"/>
      <c r="AU5" s="46"/>
      <c r="AV5" s="47"/>
      <c r="AW5" s="47"/>
      <c r="AX5" s="48"/>
      <c r="AY5" s="48"/>
      <c r="AZ5" s="48"/>
    </row>
    <row r="6" spans="1:54" ht="15.6" customHeight="1">
      <c r="A6" s="328"/>
      <c r="B6" s="329"/>
      <c r="C6" s="329"/>
      <c r="D6" s="329"/>
      <c r="E6" s="329"/>
      <c r="F6" s="329"/>
      <c r="G6" s="330"/>
      <c r="H6" s="323">
        <f>IF(№１!H5="【個】[000101]","年",№１!H5)</f>
        <v>0</v>
      </c>
      <c r="I6" s="319"/>
      <c r="J6" s="319"/>
      <c r="K6" s="324">
        <f>IF(H6="年","年",H6-1)</f>
        <v>-1</v>
      </c>
      <c r="L6" s="324"/>
      <c r="M6" s="324"/>
      <c r="N6" s="316" t="s">
        <v>40</v>
      </c>
      <c r="O6" s="316"/>
      <c r="P6" s="317"/>
      <c r="Q6" s="318">
        <f>H6</f>
        <v>0</v>
      </c>
      <c r="R6" s="319"/>
      <c r="S6" s="319"/>
      <c r="T6" s="324">
        <f>K6</f>
        <v>-1</v>
      </c>
      <c r="U6" s="324"/>
      <c r="V6" s="324"/>
      <c r="W6" s="316" t="s">
        <v>40</v>
      </c>
      <c r="X6" s="316"/>
      <c r="Y6" s="317"/>
      <c r="AB6" s="465" t="s">
        <v>93</v>
      </c>
      <c r="AC6" s="466"/>
      <c r="AD6" s="466"/>
      <c r="AE6" s="466"/>
      <c r="AF6" s="466"/>
      <c r="AG6" s="466"/>
      <c r="AH6" s="26" t="s">
        <v>77</v>
      </c>
      <c r="AI6" s="299"/>
      <c r="AJ6" s="300"/>
      <c r="AK6" s="300"/>
      <c r="AL6" s="300"/>
      <c r="AM6" s="300"/>
      <c r="AN6" s="300"/>
      <c r="AO6" s="349" t="str">
        <f>IF(AI6="-", "-", IF(AL6="-", "-", IF(ABS(AL6)=0, "-", ROUND(100*(AI6-AL6)/ABS(AL6),1))))</f>
        <v>-</v>
      </c>
      <c r="AP6" s="350"/>
      <c r="AQ6" s="351"/>
      <c r="AR6" s="46"/>
      <c r="AS6" s="47"/>
      <c r="AT6" s="47"/>
      <c r="AU6" s="46"/>
      <c r="AV6" s="47"/>
      <c r="AW6" s="47"/>
      <c r="AX6" s="48"/>
      <c r="AY6" s="48"/>
      <c r="AZ6" s="48"/>
    </row>
    <row r="7" spans="1:54" ht="15.6" customHeight="1">
      <c r="A7" s="320" t="s">
        <v>41</v>
      </c>
      <c r="B7" s="321"/>
      <c r="C7" s="321"/>
      <c r="D7" s="321"/>
      <c r="E7" s="321"/>
      <c r="F7" s="321"/>
      <c r="G7" s="322"/>
      <c r="H7" s="210"/>
      <c r="I7" s="210"/>
      <c r="J7" s="211"/>
      <c r="K7" s="348"/>
      <c r="L7" s="210"/>
      <c r="M7" s="211"/>
      <c r="N7" s="349" t="str">
        <f>IF(H7="-", "-", IF(K7="-", "-", IF(ABS(K7)=0, "-", ROUND(100*(H7-K7)/ABS(K7),1))))</f>
        <v>-</v>
      </c>
      <c r="O7" s="350"/>
      <c r="P7" s="351"/>
      <c r="Q7" s="538"/>
      <c r="R7" s="539"/>
      <c r="S7" s="539"/>
      <c r="T7" s="539"/>
      <c r="U7" s="539"/>
      <c r="V7" s="539"/>
      <c r="W7" s="349" t="str">
        <f>IF(Q7="-", "-", IF(T7="-", "-", IF(ABS(T7)=0, "-", ROUND(100*(Q7-T7)/ABS(T7),1))))</f>
        <v>-</v>
      </c>
      <c r="X7" s="350"/>
      <c r="Y7" s="351"/>
      <c r="AB7" s="289" t="s">
        <v>94</v>
      </c>
      <c r="AC7" s="290"/>
      <c r="AD7" s="290"/>
      <c r="AE7" s="290"/>
      <c r="AF7" s="290"/>
      <c r="AG7" s="290"/>
      <c r="AH7" s="21" t="s">
        <v>77</v>
      </c>
      <c r="AI7" s="311"/>
      <c r="AJ7" s="312"/>
      <c r="AK7" s="312"/>
      <c r="AL7" s="312"/>
      <c r="AM7" s="312"/>
      <c r="AN7" s="312"/>
      <c r="AO7" s="293" t="str">
        <f>IF(AI7="-", "-", IF(AL7="-", "-", IF(ABS(AL7)=0, "-", ROUND(100*(AI7-AL7)/ABS(AL7),1))))</f>
        <v>-</v>
      </c>
      <c r="AP7" s="294"/>
      <c r="AQ7" s="295"/>
      <c r="AR7" s="46"/>
      <c r="AS7" s="47"/>
      <c r="AT7" s="47"/>
      <c r="AU7" s="46"/>
      <c r="AV7" s="47"/>
      <c r="AW7" s="47"/>
      <c r="AX7" s="48"/>
      <c r="AY7" s="48"/>
      <c r="AZ7" s="48"/>
    </row>
    <row r="8" spans="1:54" ht="15.6" customHeight="1">
      <c r="A8" s="289" t="s">
        <v>42</v>
      </c>
      <c r="B8" s="290"/>
      <c r="C8" s="290"/>
      <c r="D8" s="290"/>
      <c r="E8" s="290"/>
      <c r="F8" s="290"/>
      <c r="G8" s="291"/>
      <c r="H8" s="148"/>
      <c r="I8" s="148"/>
      <c r="J8" s="149"/>
      <c r="K8" s="159"/>
      <c r="L8" s="148"/>
      <c r="M8" s="149"/>
      <c r="N8" s="293" t="str">
        <f>IF(H8="-", "-", IF(K8="-", "-", IF(ABS(K8)=0, "-", ROUND(100*(H8-K8)/ABS(K8),1))))</f>
        <v>-</v>
      </c>
      <c r="O8" s="294"/>
      <c r="P8" s="295"/>
      <c r="Q8" s="540"/>
      <c r="R8" s="541"/>
      <c r="S8" s="541"/>
      <c r="T8" s="541"/>
      <c r="U8" s="541"/>
      <c r="V8" s="541"/>
      <c r="W8" s="293" t="str">
        <f>IF(Q8="-", "-", IF(T8="-", "-", IF(ABS(T8)=0, "-", ROUND(100*(Q8-T8)/ABS(T8),1))))</f>
        <v>-</v>
      </c>
      <c r="X8" s="294"/>
      <c r="Y8" s="295"/>
      <c r="AR8" s="46"/>
      <c r="AS8" s="47"/>
      <c r="AT8" s="47"/>
      <c r="AU8" s="46"/>
      <c r="AV8" s="47"/>
      <c r="AW8" s="47"/>
      <c r="AX8" s="48"/>
      <c r="AY8" s="48"/>
      <c r="AZ8" s="48"/>
    </row>
    <row r="9" spans="1:54" ht="15.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"/>
      <c r="Q9" s="3"/>
      <c r="R9" s="3"/>
      <c r="AB9" s="2" t="s">
        <v>152</v>
      </c>
      <c r="AC9" s="66"/>
      <c r="AD9" s="66"/>
      <c r="AE9" s="66"/>
      <c r="AF9" s="66"/>
      <c r="AG9" s="66"/>
      <c r="AH9" s="66"/>
      <c r="AI9" s="66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</row>
    <row r="10" spans="1:54" ht="15.6" customHeight="1">
      <c r="A10" s="11" t="s">
        <v>84</v>
      </c>
      <c r="H10" s="9"/>
      <c r="X10" s="3"/>
      <c r="Y10" s="3"/>
      <c r="AB10" s="325"/>
      <c r="AC10" s="326"/>
      <c r="AD10" s="326"/>
      <c r="AE10" s="326"/>
      <c r="AF10" s="326"/>
      <c r="AG10" s="326"/>
      <c r="AH10" s="327"/>
      <c r="AI10" s="480" t="s">
        <v>47</v>
      </c>
      <c r="AJ10" s="480"/>
      <c r="AK10" s="480"/>
      <c r="AL10" s="480"/>
      <c r="AM10" s="480"/>
      <c r="AN10" s="480"/>
      <c r="AO10" s="480"/>
      <c r="AP10" s="480"/>
      <c r="AQ10" s="481"/>
      <c r="AR10" s="482" t="s">
        <v>48</v>
      </c>
      <c r="AS10" s="480"/>
      <c r="AT10" s="480"/>
      <c r="AU10" s="480"/>
      <c r="AV10" s="480"/>
      <c r="AW10" s="480"/>
      <c r="AX10" s="480"/>
      <c r="AY10" s="480"/>
      <c r="AZ10" s="481"/>
    </row>
    <row r="11" spans="1:54" ht="15.6" customHeight="1">
      <c r="A11" s="325"/>
      <c r="B11" s="326"/>
      <c r="C11" s="326"/>
      <c r="D11" s="326"/>
      <c r="E11" s="326"/>
      <c r="F11" s="326"/>
      <c r="G11" s="327"/>
      <c r="H11" s="480" t="s">
        <v>39</v>
      </c>
      <c r="I11" s="480"/>
      <c r="J11" s="480"/>
      <c r="K11" s="480"/>
      <c r="L11" s="480"/>
      <c r="M11" s="480"/>
      <c r="N11" s="480"/>
      <c r="O11" s="480"/>
      <c r="P11" s="481"/>
      <c r="Q11" s="482" t="s">
        <v>38</v>
      </c>
      <c r="R11" s="480"/>
      <c r="S11" s="480"/>
      <c r="T11" s="480"/>
      <c r="U11" s="480"/>
      <c r="V11" s="480"/>
      <c r="W11" s="480"/>
      <c r="X11" s="480"/>
      <c r="Y11" s="481"/>
      <c r="AB11" s="328"/>
      <c r="AC11" s="329"/>
      <c r="AD11" s="329"/>
      <c r="AE11" s="329"/>
      <c r="AF11" s="329"/>
      <c r="AG11" s="329"/>
      <c r="AH11" s="330"/>
      <c r="AI11" s="323">
        <f>H6</f>
        <v>0</v>
      </c>
      <c r="AJ11" s="319"/>
      <c r="AK11" s="319"/>
      <c r="AL11" s="324">
        <f>K6</f>
        <v>-1</v>
      </c>
      <c r="AM11" s="324"/>
      <c r="AN11" s="324"/>
      <c r="AO11" s="490" t="s">
        <v>2</v>
      </c>
      <c r="AP11" s="491"/>
      <c r="AQ11" s="492"/>
      <c r="AR11" s="318">
        <f>H6</f>
        <v>0</v>
      </c>
      <c r="AS11" s="319"/>
      <c r="AT11" s="319"/>
      <c r="AU11" s="324">
        <f>K6</f>
        <v>-1</v>
      </c>
      <c r="AV11" s="324"/>
      <c r="AW11" s="324"/>
      <c r="AX11" s="490" t="s">
        <v>2</v>
      </c>
      <c r="AY11" s="491"/>
      <c r="AZ11" s="492"/>
    </row>
    <row r="12" spans="1:54" ht="15.6" customHeight="1">
      <c r="A12" s="328"/>
      <c r="B12" s="329"/>
      <c r="C12" s="329"/>
      <c r="D12" s="329"/>
      <c r="E12" s="329"/>
      <c r="F12" s="329"/>
      <c r="G12" s="330"/>
      <c r="H12" s="534">
        <f>H6</f>
        <v>0</v>
      </c>
      <c r="I12" s="534"/>
      <c r="J12" s="323"/>
      <c r="K12" s="535">
        <f>K6</f>
        <v>-1</v>
      </c>
      <c r="L12" s="536"/>
      <c r="M12" s="537"/>
      <c r="N12" s="316" t="s">
        <v>40</v>
      </c>
      <c r="O12" s="316"/>
      <c r="P12" s="317"/>
      <c r="Q12" s="318">
        <f>H6</f>
        <v>0</v>
      </c>
      <c r="R12" s="319"/>
      <c r="S12" s="319"/>
      <c r="T12" s="324">
        <f>K6</f>
        <v>-1</v>
      </c>
      <c r="U12" s="324"/>
      <c r="V12" s="324"/>
      <c r="W12" s="316" t="s">
        <v>40</v>
      </c>
      <c r="X12" s="316"/>
      <c r="Y12" s="317"/>
      <c r="AB12" s="495" t="s">
        <v>50</v>
      </c>
      <c r="AC12" s="489" t="s">
        <v>51</v>
      </c>
      <c r="AD12" s="321"/>
      <c r="AE12" s="321"/>
      <c r="AF12" s="321"/>
      <c r="AG12" s="321"/>
      <c r="AH12" s="322"/>
      <c r="AI12" s="123"/>
      <c r="AJ12" s="118"/>
      <c r="AK12" s="119"/>
      <c r="AL12" s="118"/>
      <c r="AM12" s="118"/>
      <c r="AN12" s="119"/>
      <c r="AO12" s="349" t="str">
        <f t="shared" ref="AO12:AO21" si="0">IF(AI12="-", "-", IF(AL12="-", "-", IF(ABS(AL12)=0, "-", ROUND(100*(AI12-AL12)/ABS(AL12),1))))</f>
        <v>-</v>
      </c>
      <c r="AP12" s="350"/>
      <c r="AQ12" s="351"/>
      <c r="AR12" s="483"/>
      <c r="AS12" s="284"/>
      <c r="AT12" s="284"/>
      <c r="AU12" s="284"/>
      <c r="AV12" s="284"/>
      <c r="AW12" s="284"/>
      <c r="AX12" s="349" t="str">
        <f t="shared" ref="AX12:AX21" si="1">IF(AR12="-", "-", IF(AU12="-", "-", IF(ABS(AU12)=0, "-", ROUND(100*(AR12-AU12)/ABS(AU12),1))))</f>
        <v>-</v>
      </c>
      <c r="AY12" s="350"/>
      <c r="AZ12" s="351"/>
    </row>
    <row r="13" spans="1:54" ht="15.6" customHeight="1">
      <c r="A13" s="345" t="s">
        <v>43</v>
      </c>
      <c r="B13" s="346"/>
      <c r="C13" s="346"/>
      <c r="D13" s="346"/>
      <c r="E13" s="346"/>
      <c r="F13" s="346"/>
      <c r="G13" s="347"/>
      <c r="H13" s="532"/>
      <c r="I13" s="532"/>
      <c r="J13" s="513"/>
      <c r="K13" s="533"/>
      <c r="L13" s="532"/>
      <c r="M13" s="513"/>
      <c r="N13" s="349" t="str">
        <f t="shared" ref="N13:N25" si="2">IF(H13="-", "-", IF(K13="-", "-", IF(ABS(K13)=0, "-", ROUND(100*(H13-K13)/ABS(K13),1))))</f>
        <v>-</v>
      </c>
      <c r="O13" s="350"/>
      <c r="P13" s="351"/>
      <c r="Q13" s="484"/>
      <c r="R13" s="485"/>
      <c r="S13" s="485"/>
      <c r="T13" s="486"/>
      <c r="U13" s="485"/>
      <c r="V13" s="485"/>
      <c r="W13" s="487"/>
      <c r="X13" s="487"/>
      <c r="Y13" s="488"/>
      <c r="AB13" s="495"/>
      <c r="AC13" s="233" t="s">
        <v>146</v>
      </c>
      <c r="AD13" s="234"/>
      <c r="AE13" s="234"/>
      <c r="AF13" s="234"/>
      <c r="AG13" s="234"/>
      <c r="AH13" s="308"/>
      <c r="AI13" s="136"/>
      <c r="AJ13" s="131"/>
      <c r="AK13" s="132"/>
      <c r="AL13" s="131"/>
      <c r="AM13" s="131"/>
      <c r="AN13" s="132"/>
      <c r="AO13" s="304" t="str">
        <f t="shared" si="0"/>
        <v>-</v>
      </c>
      <c r="AP13" s="305"/>
      <c r="AQ13" s="306"/>
      <c r="AR13" s="473"/>
      <c r="AS13" s="288"/>
      <c r="AT13" s="288"/>
      <c r="AU13" s="288"/>
      <c r="AV13" s="288"/>
      <c r="AW13" s="288"/>
      <c r="AX13" s="304" t="str">
        <f t="shared" si="1"/>
        <v>-</v>
      </c>
      <c r="AY13" s="305"/>
      <c r="AZ13" s="306"/>
    </row>
    <row r="14" spans="1:54" ht="15.6" customHeight="1">
      <c r="A14" s="24"/>
      <c r="B14" s="233" t="s">
        <v>44</v>
      </c>
      <c r="C14" s="234"/>
      <c r="D14" s="234"/>
      <c r="E14" s="234"/>
      <c r="F14" s="234"/>
      <c r="G14" s="308"/>
      <c r="H14" s="515"/>
      <c r="I14" s="515"/>
      <c r="J14" s="516"/>
      <c r="K14" s="517"/>
      <c r="L14" s="515"/>
      <c r="M14" s="516"/>
      <c r="N14" s="304" t="str">
        <f t="shared" si="2"/>
        <v>-</v>
      </c>
      <c r="O14" s="305"/>
      <c r="P14" s="306"/>
      <c r="Q14" s="164"/>
      <c r="R14" s="165"/>
      <c r="S14" s="166"/>
      <c r="T14" s="167"/>
      <c r="U14" s="165"/>
      <c r="V14" s="166"/>
      <c r="W14" s="493" t="str">
        <f t="shared" ref="W14" si="3">IF(Q14="-", "-", IF(T14="-", "-", IF(ABS(T14)=0, "-", ROUND(100*(Q14-T14)/ABS(T14),1))))</f>
        <v>-</v>
      </c>
      <c r="X14" s="493"/>
      <c r="Y14" s="494"/>
      <c r="AB14" s="495"/>
      <c r="AC14" s="233" t="s">
        <v>147</v>
      </c>
      <c r="AD14" s="234"/>
      <c r="AE14" s="234"/>
      <c r="AF14" s="234"/>
      <c r="AG14" s="234"/>
      <c r="AH14" s="308"/>
      <c r="AI14" s="136"/>
      <c r="AJ14" s="131"/>
      <c r="AK14" s="132"/>
      <c r="AL14" s="131"/>
      <c r="AM14" s="131"/>
      <c r="AN14" s="132"/>
      <c r="AO14" s="304" t="str">
        <f t="shared" si="0"/>
        <v>-</v>
      </c>
      <c r="AP14" s="305"/>
      <c r="AQ14" s="306"/>
      <c r="AR14" s="473"/>
      <c r="AS14" s="288"/>
      <c r="AT14" s="288"/>
      <c r="AU14" s="288"/>
      <c r="AV14" s="288"/>
      <c r="AW14" s="288"/>
      <c r="AX14" s="304" t="str">
        <f t="shared" si="1"/>
        <v>-</v>
      </c>
      <c r="AY14" s="305"/>
      <c r="AZ14" s="306"/>
    </row>
    <row r="15" spans="1:54" ht="15.6" customHeight="1">
      <c r="A15" s="24"/>
      <c r="B15" s="233" t="s">
        <v>64</v>
      </c>
      <c r="C15" s="234"/>
      <c r="D15" s="234"/>
      <c r="E15" s="234"/>
      <c r="F15" s="234"/>
      <c r="G15" s="308"/>
      <c r="H15" s="515"/>
      <c r="I15" s="515"/>
      <c r="J15" s="516"/>
      <c r="K15" s="517"/>
      <c r="L15" s="515"/>
      <c r="M15" s="516"/>
      <c r="N15" s="304" t="str">
        <f t="shared" si="2"/>
        <v>-</v>
      </c>
      <c r="O15" s="305"/>
      <c r="P15" s="306"/>
      <c r="Q15" s="164"/>
      <c r="R15" s="165"/>
      <c r="S15" s="166"/>
      <c r="T15" s="167"/>
      <c r="U15" s="165"/>
      <c r="V15" s="166"/>
      <c r="W15" s="304" t="str">
        <f t="shared" ref="W15" si="4">IF(Q15="-", "-", IF(T15="-", "-", IF(ABS(T15)=0, "-", ROUND(100*(Q15-T15)/ABS(T15),1))))</f>
        <v>-</v>
      </c>
      <c r="X15" s="305"/>
      <c r="Y15" s="306"/>
      <c r="AB15" s="495"/>
      <c r="AC15" s="233" t="s">
        <v>55</v>
      </c>
      <c r="AD15" s="234"/>
      <c r="AE15" s="234"/>
      <c r="AF15" s="234"/>
      <c r="AG15" s="234"/>
      <c r="AH15" s="308"/>
      <c r="AI15" s="136"/>
      <c r="AJ15" s="131"/>
      <c r="AK15" s="132"/>
      <c r="AL15" s="131"/>
      <c r="AM15" s="131"/>
      <c r="AN15" s="132"/>
      <c r="AO15" s="304" t="str">
        <f t="shared" si="0"/>
        <v>-</v>
      </c>
      <c r="AP15" s="305"/>
      <c r="AQ15" s="306"/>
      <c r="AR15" s="473"/>
      <c r="AS15" s="288"/>
      <c r="AT15" s="288"/>
      <c r="AU15" s="288"/>
      <c r="AV15" s="288"/>
      <c r="AW15" s="288"/>
      <c r="AX15" s="304" t="str">
        <f t="shared" si="1"/>
        <v>-</v>
      </c>
      <c r="AY15" s="305"/>
      <c r="AZ15" s="306"/>
    </row>
    <row r="16" spans="1:54" ht="15.6" customHeight="1">
      <c r="A16" s="307" t="s">
        <v>65</v>
      </c>
      <c r="B16" s="234"/>
      <c r="C16" s="234"/>
      <c r="D16" s="234"/>
      <c r="E16" s="234"/>
      <c r="F16" s="234"/>
      <c r="G16" s="308"/>
      <c r="H16" s="515"/>
      <c r="I16" s="515"/>
      <c r="J16" s="516"/>
      <c r="K16" s="517"/>
      <c r="L16" s="515"/>
      <c r="M16" s="516"/>
      <c r="N16" s="304" t="str">
        <f t="shared" si="2"/>
        <v>-</v>
      </c>
      <c r="O16" s="305"/>
      <c r="P16" s="306"/>
      <c r="Q16" s="502"/>
      <c r="R16" s="503"/>
      <c r="S16" s="503"/>
      <c r="T16" s="504"/>
      <c r="U16" s="503"/>
      <c r="V16" s="503"/>
      <c r="W16" s="497"/>
      <c r="X16" s="498"/>
      <c r="Y16" s="499"/>
      <c r="AB16" s="496"/>
      <c r="AC16" s="369" t="s">
        <v>57</v>
      </c>
      <c r="AD16" s="290"/>
      <c r="AE16" s="290"/>
      <c r="AF16" s="290"/>
      <c r="AG16" s="290"/>
      <c r="AH16" s="291"/>
      <c r="AI16" s="195"/>
      <c r="AJ16" s="148"/>
      <c r="AK16" s="149"/>
      <c r="AL16" s="148"/>
      <c r="AM16" s="148"/>
      <c r="AN16" s="149"/>
      <c r="AO16" s="293" t="str">
        <f t="shared" si="0"/>
        <v>-</v>
      </c>
      <c r="AP16" s="294"/>
      <c r="AQ16" s="295"/>
      <c r="AR16" s="474"/>
      <c r="AS16" s="292"/>
      <c r="AT16" s="292"/>
      <c r="AU16" s="292"/>
      <c r="AV16" s="292"/>
      <c r="AW16" s="292"/>
      <c r="AX16" s="293" t="str">
        <f t="shared" si="1"/>
        <v>-</v>
      </c>
      <c r="AY16" s="294"/>
      <c r="AZ16" s="295"/>
    </row>
    <row r="17" spans="1:52" ht="15.6" customHeight="1">
      <c r="A17" s="307" t="s">
        <v>45</v>
      </c>
      <c r="B17" s="234"/>
      <c r="C17" s="234"/>
      <c r="D17" s="234"/>
      <c r="E17" s="234"/>
      <c r="F17" s="234"/>
      <c r="G17" s="308"/>
      <c r="H17" s="515"/>
      <c r="I17" s="515"/>
      <c r="J17" s="516"/>
      <c r="K17" s="517"/>
      <c r="L17" s="515"/>
      <c r="M17" s="516"/>
      <c r="N17" s="304" t="str">
        <f t="shared" si="2"/>
        <v>-</v>
      </c>
      <c r="O17" s="305"/>
      <c r="P17" s="306"/>
      <c r="Q17" s="502"/>
      <c r="R17" s="503"/>
      <c r="S17" s="503"/>
      <c r="T17" s="504"/>
      <c r="U17" s="503"/>
      <c r="V17" s="503"/>
      <c r="W17" s="497"/>
      <c r="X17" s="498"/>
      <c r="Y17" s="499"/>
      <c r="AB17" s="531" t="s">
        <v>58</v>
      </c>
      <c r="AC17" s="506" t="s">
        <v>51</v>
      </c>
      <c r="AD17" s="466"/>
      <c r="AE17" s="466"/>
      <c r="AF17" s="466"/>
      <c r="AG17" s="466"/>
      <c r="AH17" s="507"/>
      <c r="AI17" s="123"/>
      <c r="AJ17" s="118"/>
      <c r="AK17" s="119"/>
      <c r="AL17" s="118"/>
      <c r="AM17" s="118"/>
      <c r="AN17" s="119"/>
      <c r="AO17" s="420" t="str">
        <f t="shared" si="0"/>
        <v>-</v>
      </c>
      <c r="AP17" s="421"/>
      <c r="AQ17" s="422"/>
      <c r="AR17" s="505"/>
      <c r="AS17" s="126"/>
      <c r="AT17" s="126"/>
      <c r="AU17" s="126"/>
      <c r="AV17" s="126"/>
      <c r="AW17" s="126"/>
      <c r="AX17" s="420" t="str">
        <f t="shared" si="1"/>
        <v>-</v>
      </c>
      <c r="AY17" s="421"/>
      <c r="AZ17" s="422"/>
    </row>
    <row r="18" spans="1:52" ht="15.6" customHeight="1">
      <c r="A18" s="307" t="s">
        <v>46</v>
      </c>
      <c r="B18" s="234"/>
      <c r="C18" s="234"/>
      <c r="D18" s="234"/>
      <c r="E18" s="234"/>
      <c r="F18" s="234"/>
      <c r="G18" s="308"/>
      <c r="H18" s="515"/>
      <c r="I18" s="515"/>
      <c r="J18" s="516"/>
      <c r="K18" s="517"/>
      <c r="L18" s="515"/>
      <c r="M18" s="516"/>
      <c r="N18" s="304" t="str">
        <f t="shared" si="2"/>
        <v>-</v>
      </c>
      <c r="O18" s="305"/>
      <c r="P18" s="306"/>
      <c r="Q18" s="500"/>
      <c r="R18" s="501"/>
      <c r="S18" s="501"/>
      <c r="T18" s="501"/>
      <c r="U18" s="501"/>
      <c r="V18" s="501"/>
      <c r="W18" s="304" t="str">
        <f t="shared" ref="W18:W25" si="5">IF(Q18="-", "-", IF(T18="-", "-", IF(ABS(T18)=0, "-", ROUND(100*(Q18-T18)/ABS(T18),1))))</f>
        <v>-</v>
      </c>
      <c r="X18" s="305"/>
      <c r="Y18" s="306"/>
      <c r="AB18" s="495"/>
      <c r="AC18" s="233" t="s">
        <v>146</v>
      </c>
      <c r="AD18" s="234"/>
      <c r="AE18" s="234"/>
      <c r="AF18" s="234"/>
      <c r="AG18" s="234"/>
      <c r="AH18" s="308"/>
      <c r="AI18" s="136"/>
      <c r="AJ18" s="131"/>
      <c r="AK18" s="132"/>
      <c r="AL18" s="131"/>
      <c r="AM18" s="131"/>
      <c r="AN18" s="132"/>
      <c r="AO18" s="304" t="str">
        <f t="shared" si="0"/>
        <v>-</v>
      </c>
      <c r="AP18" s="305"/>
      <c r="AQ18" s="306"/>
      <c r="AR18" s="473"/>
      <c r="AS18" s="288"/>
      <c r="AT18" s="288"/>
      <c r="AU18" s="288"/>
      <c r="AV18" s="288"/>
      <c r="AW18" s="288"/>
      <c r="AX18" s="304" t="str">
        <f t="shared" si="1"/>
        <v>-</v>
      </c>
      <c r="AY18" s="305"/>
      <c r="AZ18" s="306"/>
    </row>
    <row r="19" spans="1:52" ht="15.6" customHeight="1">
      <c r="A19" s="307" t="s">
        <v>66</v>
      </c>
      <c r="B19" s="234"/>
      <c r="C19" s="234"/>
      <c r="D19" s="234"/>
      <c r="E19" s="234"/>
      <c r="F19" s="234"/>
      <c r="G19" s="308"/>
      <c r="H19" s="515"/>
      <c r="I19" s="515"/>
      <c r="J19" s="516"/>
      <c r="K19" s="517"/>
      <c r="L19" s="515"/>
      <c r="M19" s="516"/>
      <c r="N19" s="304" t="str">
        <f t="shared" si="2"/>
        <v>-</v>
      </c>
      <c r="O19" s="305"/>
      <c r="P19" s="306"/>
      <c r="Q19" s="500"/>
      <c r="R19" s="501"/>
      <c r="S19" s="501"/>
      <c r="T19" s="501"/>
      <c r="U19" s="501"/>
      <c r="V19" s="501"/>
      <c r="W19" s="304" t="str">
        <f t="shared" si="5"/>
        <v>-</v>
      </c>
      <c r="X19" s="305"/>
      <c r="Y19" s="306"/>
      <c r="AB19" s="495"/>
      <c r="AC19" s="233" t="s">
        <v>147</v>
      </c>
      <c r="AD19" s="234"/>
      <c r="AE19" s="234"/>
      <c r="AF19" s="234"/>
      <c r="AG19" s="234"/>
      <c r="AH19" s="308"/>
      <c r="AI19" s="136"/>
      <c r="AJ19" s="131"/>
      <c r="AK19" s="132"/>
      <c r="AL19" s="131"/>
      <c r="AM19" s="131"/>
      <c r="AN19" s="132"/>
      <c r="AO19" s="304" t="str">
        <f t="shared" si="0"/>
        <v>-</v>
      </c>
      <c r="AP19" s="305"/>
      <c r="AQ19" s="306"/>
      <c r="AR19" s="473"/>
      <c r="AS19" s="288"/>
      <c r="AT19" s="288"/>
      <c r="AU19" s="288"/>
      <c r="AV19" s="288"/>
      <c r="AW19" s="288"/>
      <c r="AX19" s="304" t="str">
        <f t="shared" si="1"/>
        <v>-</v>
      </c>
      <c r="AY19" s="305"/>
      <c r="AZ19" s="306"/>
    </row>
    <row r="20" spans="1:52" ht="15.6" customHeight="1">
      <c r="A20" s="289" t="s">
        <v>49</v>
      </c>
      <c r="B20" s="290"/>
      <c r="C20" s="290"/>
      <c r="D20" s="290"/>
      <c r="E20" s="290"/>
      <c r="F20" s="290"/>
      <c r="G20" s="291"/>
      <c r="H20" s="544"/>
      <c r="I20" s="544"/>
      <c r="J20" s="528"/>
      <c r="K20" s="545"/>
      <c r="L20" s="544"/>
      <c r="M20" s="528"/>
      <c r="N20" s="293" t="str">
        <f t="shared" si="2"/>
        <v>-</v>
      </c>
      <c r="O20" s="294"/>
      <c r="P20" s="295"/>
      <c r="Q20" s="508"/>
      <c r="R20" s="509"/>
      <c r="S20" s="509"/>
      <c r="T20" s="509"/>
      <c r="U20" s="509"/>
      <c r="V20" s="509"/>
      <c r="W20" s="293" t="str">
        <f t="shared" si="5"/>
        <v>-</v>
      </c>
      <c r="X20" s="294"/>
      <c r="Y20" s="295"/>
      <c r="AB20" s="495"/>
      <c r="AC20" s="233" t="s">
        <v>55</v>
      </c>
      <c r="AD20" s="234"/>
      <c r="AE20" s="234"/>
      <c r="AF20" s="234"/>
      <c r="AG20" s="234"/>
      <c r="AH20" s="308"/>
      <c r="AI20" s="136"/>
      <c r="AJ20" s="131"/>
      <c r="AK20" s="132"/>
      <c r="AL20" s="131"/>
      <c r="AM20" s="131"/>
      <c r="AN20" s="132"/>
      <c r="AO20" s="304" t="str">
        <f t="shared" si="0"/>
        <v>-</v>
      </c>
      <c r="AP20" s="305"/>
      <c r="AQ20" s="306"/>
      <c r="AR20" s="473"/>
      <c r="AS20" s="288"/>
      <c r="AT20" s="288"/>
      <c r="AU20" s="288"/>
      <c r="AV20" s="288"/>
      <c r="AW20" s="288"/>
      <c r="AX20" s="304" t="str">
        <f t="shared" si="1"/>
        <v>-</v>
      </c>
      <c r="AY20" s="305"/>
      <c r="AZ20" s="306"/>
    </row>
    <row r="21" spans="1:52" ht="15.6" customHeight="1">
      <c r="A21" s="465" t="s">
        <v>52</v>
      </c>
      <c r="B21" s="466"/>
      <c r="C21" s="466"/>
      <c r="D21" s="466"/>
      <c r="E21" s="466"/>
      <c r="F21" s="466"/>
      <c r="G21" s="507"/>
      <c r="H21" s="515"/>
      <c r="I21" s="515"/>
      <c r="J21" s="516"/>
      <c r="K21" s="517"/>
      <c r="L21" s="515"/>
      <c r="M21" s="516"/>
      <c r="N21" s="420" t="str">
        <f t="shared" si="2"/>
        <v>-</v>
      </c>
      <c r="O21" s="421"/>
      <c r="P21" s="422"/>
      <c r="Q21" s="524"/>
      <c r="R21" s="424"/>
      <c r="S21" s="425"/>
      <c r="T21" s="423"/>
      <c r="U21" s="424"/>
      <c r="V21" s="425"/>
      <c r="W21" s="420" t="str">
        <f t="shared" si="5"/>
        <v>-</v>
      </c>
      <c r="X21" s="421"/>
      <c r="Y21" s="422"/>
      <c r="AB21" s="496"/>
      <c r="AC21" s="369" t="s">
        <v>57</v>
      </c>
      <c r="AD21" s="290"/>
      <c r="AE21" s="290"/>
      <c r="AF21" s="290"/>
      <c r="AG21" s="290"/>
      <c r="AH21" s="291"/>
      <c r="AI21" s="195"/>
      <c r="AJ21" s="148"/>
      <c r="AK21" s="149"/>
      <c r="AL21" s="148"/>
      <c r="AM21" s="148"/>
      <c r="AN21" s="149"/>
      <c r="AO21" s="293" t="str">
        <f t="shared" si="0"/>
        <v>-</v>
      </c>
      <c r="AP21" s="294"/>
      <c r="AQ21" s="295"/>
      <c r="AR21" s="474"/>
      <c r="AS21" s="292"/>
      <c r="AT21" s="292"/>
      <c r="AU21" s="292"/>
      <c r="AV21" s="292"/>
      <c r="AW21" s="292"/>
      <c r="AX21" s="293" t="str">
        <f t="shared" si="1"/>
        <v>-</v>
      </c>
      <c r="AY21" s="294"/>
      <c r="AZ21" s="295"/>
    </row>
    <row r="22" spans="1:52" ht="15.6" customHeight="1">
      <c r="A22" s="307" t="s">
        <v>53</v>
      </c>
      <c r="B22" s="234"/>
      <c r="C22" s="234"/>
      <c r="D22" s="234"/>
      <c r="E22" s="234"/>
      <c r="F22" s="234"/>
      <c r="G22" s="308"/>
      <c r="H22" s="515"/>
      <c r="I22" s="515"/>
      <c r="J22" s="516"/>
      <c r="K22" s="517"/>
      <c r="L22" s="515"/>
      <c r="M22" s="516"/>
      <c r="N22" s="304" t="str">
        <f t="shared" si="2"/>
        <v>-</v>
      </c>
      <c r="O22" s="305"/>
      <c r="P22" s="306"/>
      <c r="Q22" s="525"/>
      <c r="R22" s="417"/>
      <c r="S22" s="418"/>
      <c r="T22" s="419"/>
      <c r="U22" s="417"/>
      <c r="V22" s="418"/>
      <c r="W22" s="304" t="str">
        <f t="shared" si="5"/>
        <v>-</v>
      </c>
      <c r="X22" s="305"/>
      <c r="Y22" s="306"/>
    </row>
    <row r="23" spans="1:52" ht="15.6" customHeight="1">
      <c r="A23" s="307" t="s">
        <v>54</v>
      </c>
      <c r="B23" s="234"/>
      <c r="C23" s="234"/>
      <c r="D23" s="234"/>
      <c r="E23" s="234"/>
      <c r="F23" s="234"/>
      <c r="G23" s="308"/>
      <c r="H23" s="515"/>
      <c r="I23" s="515"/>
      <c r="J23" s="516"/>
      <c r="K23" s="517"/>
      <c r="L23" s="515"/>
      <c r="M23" s="516"/>
      <c r="N23" s="304" t="str">
        <f t="shared" si="2"/>
        <v>-</v>
      </c>
      <c r="O23" s="305"/>
      <c r="P23" s="306"/>
      <c r="Q23" s="463"/>
      <c r="R23" s="464"/>
      <c r="S23" s="464"/>
      <c r="T23" s="464"/>
      <c r="U23" s="464"/>
      <c r="V23" s="464"/>
      <c r="W23" s="304" t="str">
        <f t="shared" si="5"/>
        <v>-</v>
      </c>
      <c r="X23" s="305"/>
      <c r="Y23" s="306"/>
      <c r="AB23" s="6" t="s">
        <v>148</v>
      </c>
      <c r="AC23" s="6"/>
    </row>
    <row r="24" spans="1:52" ht="15.6" customHeight="1">
      <c r="A24" s="307" t="s">
        <v>56</v>
      </c>
      <c r="B24" s="234"/>
      <c r="C24" s="234"/>
      <c r="D24" s="234"/>
      <c r="E24" s="234"/>
      <c r="F24" s="234"/>
      <c r="G24" s="308"/>
      <c r="H24" s="515"/>
      <c r="I24" s="515"/>
      <c r="J24" s="516"/>
      <c r="K24" s="517"/>
      <c r="L24" s="515"/>
      <c r="M24" s="516"/>
      <c r="N24" s="304" t="str">
        <f t="shared" si="2"/>
        <v>-</v>
      </c>
      <c r="O24" s="305"/>
      <c r="P24" s="306"/>
      <c r="Q24" s="463"/>
      <c r="R24" s="464"/>
      <c r="S24" s="464"/>
      <c r="T24" s="464"/>
      <c r="U24" s="464"/>
      <c r="V24" s="464"/>
      <c r="W24" s="304" t="str">
        <f t="shared" si="5"/>
        <v>-</v>
      </c>
      <c r="X24" s="305"/>
      <c r="Y24" s="306"/>
      <c r="AB24" s="325"/>
      <c r="AC24" s="326"/>
      <c r="AD24" s="326"/>
      <c r="AE24" s="326"/>
      <c r="AF24" s="326"/>
      <c r="AG24" s="326"/>
      <c r="AH24" s="327"/>
      <c r="AI24" s="353">
        <f>H6</f>
        <v>0</v>
      </c>
      <c r="AJ24" s="354"/>
      <c r="AK24" s="355"/>
      <c r="AL24" s="356">
        <f>K6</f>
        <v>-1</v>
      </c>
      <c r="AM24" s="357"/>
      <c r="AN24" s="358"/>
      <c r="AO24" s="359" t="s">
        <v>145</v>
      </c>
      <c r="AP24" s="360"/>
      <c r="AQ24" s="361"/>
    </row>
    <row r="25" spans="1:52" ht="15.6" customHeight="1">
      <c r="A25" s="510" t="s">
        <v>61</v>
      </c>
      <c r="B25" s="511"/>
      <c r="C25" s="511"/>
      <c r="D25" s="511"/>
      <c r="E25" s="511"/>
      <c r="F25" s="511"/>
      <c r="G25" s="512"/>
      <c r="H25" s="518"/>
      <c r="I25" s="518"/>
      <c r="J25" s="519"/>
      <c r="K25" s="520"/>
      <c r="L25" s="518"/>
      <c r="M25" s="519"/>
      <c r="N25" s="521" t="str">
        <f t="shared" si="2"/>
        <v>-</v>
      </c>
      <c r="O25" s="522"/>
      <c r="P25" s="523"/>
      <c r="Q25" s="526"/>
      <c r="R25" s="527"/>
      <c r="S25" s="527"/>
      <c r="T25" s="527"/>
      <c r="U25" s="527"/>
      <c r="V25" s="527"/>
      <c r="W25" s="304" t="str">
        <f t="shared" si="5"/>
        <v>-</v>
      </c>
      <c r="X25" s="305"/>
      <c r="Y25" s="306"/>
      <c r="AB25" s="337" t="s">
        <v>19</v>
      </c>
      <c r="AC25" s="338"/>
      <c r="AD25" s="338"/>
      <c r="AE25" s="338"/>
      <c r="AF25" s="338"/>
      <c r="AG25" s="338"/>
      <c r="AH25" s="49" t="s">
        <v>77</v>
      </c>
      <c r="AI25" s="340"/>
      <c r="AJ25" s="341"/>
      <c r="AK25" s="342"/>
      <c r="AL25" s="343"/>
      <c r="AM25" s="341"/>
      <c r="AN25" s="342"/>
      <c r="AO25" s="334" t="str">
        <f>IF(AI25="-", "-", IF(AL25="-", "-", IF(ABS(AL25)=0, "-", ROUND(100*(AI25-AL25)/ABS(AL25),1))))</f>
        <v>-</v>
      </c>
      <c r="AP25" s="335"/>
      <c r="AQ25" s="336"/>
    </row>
    <row r="26" spans="1:52" ht="15.6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2"/>
      <c r="R26" s="61"/>
      <c r="S26" s="61"/>
      <c r="T26" s="62"/>
      <c r="U26" s="61"/>
      <c r="V26" s="61"/>
      <c r="W26" s="63"/>
      <c r="X26" s="63"/>
      <c r="Y26" s="63"/>
    </row>
    <row r="27" spans="1:52" ht="15.6" customHeight="1">
      <c r="A27" s="11" t="s">
        <v>73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46"/>
      <c r="R27" s="47"/>
      <c r="S27" s="6" t="s">
        <v>150</v>
      </c>
    </row>
    <row r="28" spans="1:52" ht="15.6" customHeight="1">
      <c r="A28" s="325"/>
      <c r="B28" s="326"/>
      <c r="C28" s="326"/>
      <c r="D28" s="326"/>
      <c r="E28" s="326"/>
      <c r="F28" s="326"/>
      <c r="G28" s="327"/>
      <c r="H28" s="480" t="s">
        <v>149</v>
      </c>
      <c r="I28" s="480"/>
      <c r="J28" s="480"/>
      <c r="K28" s="480"/>
      <c r="L28" s="480"/>
      <c r="M28" s="480"/>
      <c r="N28" s="480"/>
      <c r="O28" s="480"/>
      <c r="P28" s="481"/>
      <c r="S28" s="467"/>
      <c r="T28" s="468"/>
      <c r="U28" s="468"/>
      <c r="V28" s="468"/>
      <c r="W28" s="468"/>
      <c r="X28" s="468"/>
      <c r="Y28" s="469"/>
      <c r="Z28" s="353">
        <f>H6</f>
        <v>0</v>
      </c>
      <c r="AA28" s="354"/>
      <c r="AB28" s="355"/>
      <c r="AC28" s="356">
        <f>K6</f>
        <v>-1</v>
      </c>
      <c r="AD28" s="357"/>
      <c r="AE28" s="358"/>
      <c r="AF28" s="470" t="s">
        <v>2</v>
      </c>
      <c r="AG28" s="471"/>
      <c r="AH28" s="472"/>
      <c r="AK28" s="11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10"/>
      <c r="AZ28" s="10"/>
    </row>
    <row r="29" spans="1:52" ht="15.6" customHeight="1">
      <c r="A29" s="328"/>
      <c r="B29" s="329"/>
      <c r="C29" s="329"/>
      <c r="D29" s="329"/>
      <c r="E29" s="329"/>
      <c r="F29" s="329"/>
      <c r="G29" s="330"/>
      <c r="H29" s="323">
        <f>H6</f>
        <v>0</v>
      </c>
      <c r="I29" s="319"/>
      <c r="J29" s="319"/>
      <c r="K29" s="324">
        <f>K6</f>
        <v>-1</v>
      </c>
      <c r="L29" s="324"/>
      <c r="M29" s="324"/>
      <c r="N29" s="316" t="s">
        <v>2</v>
      </c>
      <c r="O29" s="316"/>
      <c r="P29" s="317"/>
      <c r="S29" s="465" t="s">
        <v>91</v>
      </c>
      <c r="T29" s="466"/>
      <c r="U29" s="466"/>
      <c r="V29" s="466"/>
      <c r="W29" s="466"/>
      <c r="X29" s="466"/>
      <c r="Y29" s="26" t="s">
        <v>77</v>
      </c>
      <c r="Z29" s="123"/>
      <c r="AA29" s="118"/>
      <c r="AB29" s="119"/>
      <c r="AC29" s="207"/>
      <c r="AD29" s="118"/>
      <c r="AE29" s="119"/>
      <c r="AF29" s="420" t="str">
        <f>IF(Z29="-", "-", IF(AC29="-", "-", IF(ABS(AC29)=0, "-", ROUND(100*(Z29-AC29)/ABS(AC29),1))))</f>
        <v>-</v>
      </c>
      <c r="AG29" s="421"/>
      <c r="AH29" s="422"/>
      <c r="AK29" s="4"/>
      <c r="AL29" s="4"/>
      <c r="AM29" s="4"/>
      <c r="AN29" s="4"/>
      <c r="AO29" s="4"/>
      <c r="AP29" s="4"/>
      <c r="AQ29" s="4"/>
      <c r="AR29" s="53"/>
      <c r="AS29" s="54"/>
      <c r="AT29" s="54"/>
      <c r="AU29" s="55"/>
      <c r="AV29" s="55"/>
      <c r="AW29" s="55"/>
      <c r="AX29" s="35"/>
      <c r="AY29" s="35"/>
      <c r="AZ29" s="35"/>
    </row>
    <row r="30" spans="1:52" ht="15.6" customHeight="1">
      <c r="A30" s="320" t="s">
        <v>54</v>
      </c>
      <c r="B30" s="321"/>
      <c r="C30" s="321"/>
      <c r="D30" s="321"/>
      <c r="E30" s="321"/>
      <c r="F30" s="321"/>
      <c r="G30" s="322"/>
      <c r="H30" s="513"/>
      <c r="I30" s="514"/>
      <c r="J30" s="514"/>
      <c r="K30" s="514"/>
      <c r="L30" s="514"/>
      <c r="M30" s="514"/>
      <c r="N30" s="371" t="str">
        <f t="shared" ref="N30:N35" si="6">IF(H30="-", "-", IF(K30="-", "-", IF(ABS(K30)=0, "-", ROUND(100*(H30-K30)/ABS(K30),1))))</f>
        <v>-</v>
      </c>
      <c r="O30" s="371"/>
      <c r="P30" s="372"/>
      <c r="S30" s="307" t="s">
        <v>10</v>
      </c>
      <c r="T30" s="234"/>
      <c r="U30" s="234"/>
      <c r="V30" s="234"/>
      <c r="W30" s="234"/>
      <c r="X30" s="234"/>
      <c r="Y30" s="20" t="s">
        <v>77</v>
      </c>
      <c r="Z30" s="136"/>
      <c r="AA30" s="131"/>
      <c r="AB30" s="132"/>
      <c r="AC30" s="140"/>
      <c r="AD30" s="131"/>
      <c r="AE30" s="132"/>
      <c r="AF30" s="304" t="str">
        <f>IF(Z30="-", "-", IF(AC30="-", "-", IF(ABS(AC30)=0, "-", ROUND(100*(Z30-AC30)/ABS(AC30),1))))</f>
        <v>-</v>
      </c>
      <c r="AG30" s="305"/>
      <c r="AH30" s="306"/>
      <c r="AK30" s="5"/>
      <c r="AL30" s="5"/>
      <c r="AM30" s="5"/>
      <c r="AN30" s="5"/>
      <c r="AO30" s="5"/>
      <c r="AP30" s="5"/>
      <c r="AQ30" s="35"/>
      <c r="AR30" s="56"/>
      <c r="AS30" s="56"/>
      <c r="AT30" s="56"/>
      <c r="AU30" s="56"/>
      <c r="AV30" s="56"/>
      <c r="AW30" s="56"/>
      <c r="AX30" s="57"/>
      <c r="AY30" s="57"/>
      <c r="AZ30" s="57"/>
    </row>
    <row r="31" spans="1:52" ht="15.6" customHeight="1">
      <c r="A31" s="307" t="s">
        <v>56</v>
      </c>
      <c r="B31" s="234"/>
      <c r="C31" s="234"/>
      <c r="D31" s="234"/>
      <c r="E31" s="234"/>
      <c r="F31" s="234"/>
      <c r="G31" s="308"/>
      <c r="H31" s="516"/>
      <c r="I31" s="530"/>
      <c r="J31" s="530"/>
      <c r="K31" s="530"/>
      <c r="L31" s="530"/>
      <c r="M31" s="530"/>
      <c r="N31" s="304" t="str">
        <f t="shared" si="6"/>
        <v>-</v>
      </c>
      <c r="O31" s="305"/>
      <c r="P31" s="306"/>
      <c r="S31" s="307" t="s">
        <v>92</v>
      </c>
      <c r="T31" s="234"/>
      <c r="U31" s="234"/>
      <c r="V31" s="234"/>
      <c r="W31" s="234"/>
      <c r="X31" s="234"/>
      <c r="Y31" s="20" t="s">
        <v>77</v>
      </c>
      <c r="Z31" s="136"/>
      <c r="AA31" s="131"/>
      <c r="AB31" s="132"/>
      <c r="AC31" s="140"/>
      <c r="AD31" s="131"/>
      <c r="AE31" s="132"/>
      <c r="AF31" s="304" t="str">
        <f t="shared" ref="AF31:AF34" si="7">IF(Z31="-", "-", IF(AC31="-", "-", IF(ABS(AC31)=0, "-", ROUND(100*(Z31-AC31)/ABS(AC31),1))))</f>
        <v>-</v>
      </c>
      <c r="AG31" s="305"/>
      <c r="AH31" s="306"/>
      <c r="AK31" s="58"/>
      <c r="AL31" s="58"/>
      <c r="AM31" s="58"/>
      <c r="AN31" s="58"/>
      <c r="AO31" s="58"/>
      <c r="AP31" s="58"/>
      <c r="AQ31" s="35"/>
      <c r="AR31" s="56"/>
      <c r="AS31" s="56"/>
      <c r="AT31" s="56"/>
      <c r="AU31" s="56"/>
      <c r="AV31" s="56"/>
      <c r="AW31" s="56"/>
      <c r="AX31" s="57"/>
      <c r="AY31" s="57"/>
      <c r="AZ31" s="57"/>
    </row>
    <row r="32" spans="1:52" ht="15.6" customHeight="1">
      <c r="A32" s="510" t="s">
        <v>61</v>
      </c>
      <c r="B32" s="511"/>
      <c r="C32" s="511"/>
      <c r="D32" s="511"/>
      <c r="E32" s="511"/>
      <c r="F32" s="511"/>
      <c r="G32" s="512"/>
      <c r="H32" s="513"/>
      <c r="I32" s="514"/>
      <c r="J32" s="514"/>
      <c r="K32" s="514"/>
      <c r="L32" s="514"/>
      <c r="M32" s="514"/>
      <c r="N32" s="304" t="str">
        <f t="shared" si="6"/>
        <v>-</v>
      </c>
      <c r="O32" s="305"/>
      <c r="P32" s="306"/>
      <c r="S32" s="307" t="s">
        <v>12</v>
      </c>
      <c r="T32" s="234"/>
      <c r="U32" s="234"/>
      <c r="V32" s="234"/>
      <c r="W32" s="234"/>
      <c r="X32" s="234"/>
      <c r="Y32" s="20" t="s">
        <v>77</v>
      </c>
      <c r="Z32" s="136"/>
      <c r="AA32" s="131"/>
      <c r="AB32" s="132"/>
      <c r="AC32" s="140"/>
      <c r="AD32" s="131"/>
      <c r="AE32" s="132"/>
      <c r="AF32" s="304" t="str">
        <f t="shared" si="7"/>
        <v>-</v>
      </c>
      <c r="AG32" s="305"/>
      <c r="AH32" s="306"/>
      <c r="AK32" s="5"/>
      <c r="AL32" s="5"/>
      <c r="AM32" s="5"/>
      <c r="AN32" s="5"/>
      <c r="AO32" s="5"/>
      <c r="AP32" s="5"/>
      <c r="AQ32" s="35"/>
      <c r="AR32" s="56"/>
      <c r="AS32" s="56"/>
      <c r="AT32" s="56"/>
      <c r="AU32" s="56"/>
      <c r="AV32" s="56"/>
      <c r="AW32" s="56"/>
      <c r="AX32" s="57"/>
      <c r="AY32" s="57"/>
      <c r="AZ32" s="57"/>
    </row>
    <row r="33" spans="1:64" ht="15.6" customHeight="1">
      <c r="A33" s="65"/>
      <c r="B33" s="233" t="s">
        <v>67</v>
      </c>
      <c r="C33" s="234"/>
      <c r="D33" s="234"/>
      <c r="E33" s="234"/>
      <c r="F33" s="234"/>
      <c r="G33" s="308"/>
      <c r="H33" s="516"/>
      <c r="I33" s="530"/>
      <c r="J33" s="530"/>
      <c r="K33" s="530"/>
      <c r="L33" s="530"/>
      <c r="M33" s="530"/>
      <c r="N33" s="304" t="str">
        <f t="shared" si="6"/>
        <v>-</v>
      </c>
      <c r="O33" s="305"/>
      <c r="P33" s="306"/>
      <c r="S33" s="307" t="s">
        <v>13</v>
      </c>
      <c r="T33" s="234"/>
      <c r="U33" s="234"/>
      <c r="V33" s="234"/>
      <c r="W33" s="234"/>
      <c r="X33" s="234"/>
      <c r="Y33" s="20" t="s">
        <v>77</v>
      </c>
      <c r="Z33" s="136"/>
      <c r="AA33" s="131"/>
      <c r="AB33" s="132"/>
      <c r="AC33" s="140"/>
      <c r="AD33" s="131"/>
      <c r="AE33" s="132"/>
      <c r="AF33" s="304" t="str">
        <f t="shared" si="7"/>
        <v>-</v>
      </c>
      <c r="AG33" s="305"/>
      <c r="AH33" s="306"/>
      <c r="AK33" s="59"/>
      <c r="AL33" s="59"/>
      <c r="AM33" s="59"/>
      <c r="AN33" s="59"/>
      <c r="AO33" s="59"/>
      <c r="AP33" s="59"/>
      <c r="AQ33" s="59"/>
      <c r="AR33" s="56"/>
      <c r="AS33" s="56"/>
      <c r="AT33" s="56"/>
      <c r="AU33" s="56"/>
      <c r="AV33" s="56"/>
      <c r="AW33" s="56"/>
      <c r="AX33" s="60"/>
      <c r="AY33" s="60"/>
      <c r="AZ33" s="60"/>
    </row>
    <row r="34" spans="1:64" ht="15.6" customHeight="1">
      <c r="A34" s="65"/>
      <c r="B34" s="233" t="s">
        <v>68</v>
      </c>
      <c r="C34" s="234"/>
      <c r="D34" s="234"/>
      <c r="E34" s="234"/>
      <c r="F34" s="234"/>
      <c r="G34" s="308"/>
      <c r="H34" s="516"/>
      <c r="I34" s="530"/>
      <c r="J34" s="530"/>
      <c r="K34" s="530"/>
      <c r="L34" s="530"/>
      <c r="M34" s="530"/>
      <c r="N34" s="304" t="str">
        <f t="shared" si="6"/>
        <v>-</v>
      </c>
      <c r="O34" s="305"/>
      <c r="P34" s="306"/>
      <c r="S34" s="289" t="s">
        <v>14</v>
      </c>
      <c r="T34" s="290"/>
      <c r="U34" s="290"/>
      <c r="V34" s="290"/>
      <c r="W34" s="290"/>
      <c r="X34" s="290"/>
      <c r="Y34" s="21" t="s">
        <v>77</v>
      </c>
      <c r="Z34" s="195"/>
      <c r="AA34" s="148"/>
      <c r="AB34" s="149"/>
      <c r="AC34" s="159"/>
      <c r="AD34" s="148"/>
      <c r="AE34" s="149"/>
      <c r="AF34" s="293" t="str">
        <f t="shared" si="7"/>
        <v>-</v>
      </c>
      <c r="AG34" s="294"/>
      <c r="AH34" s="295"/>
    </row>
    <row r="35" spans="1:64" ht="15.6" customHeight="1">
      <c r="A35" s="25"/>
      <c r="B35" s="369" t="s">
        <v>69</v>
      </c>
      <c r="C35" s="290"/>
      <c r="D35" s="290"/>
      <c r="E35" s="290"/>
      <c r="F35" s="290"/>
      <c r="G35" s="291"/>
      <c r="H35" s="528"/>
      <c r="I35" s="529"/>
      <c r="J35" s="529"/>
      <c r="K35" s="529"/>
      <c r="L35" s="529"/>
      <c r="M35" s="529"/>
      <c r="N35" s="293" t="str">
        <f t="shared" si="6"/>
        <v>-</v>
      </c>
      <c r="O35" s="294"/>
      <c r="P35" s="295"/>
    </row>
    <row r="36" spans="1:64" ht="15.6" customHeight="1">
      <c r="A36" s="337" t="s">
        <v>143</v>
      </c>
      <c r="B36" s="338"/>
      <c r="C36" s="338"/>
      <c r="D36" s="338"/>
      <c r="E36" s="338"/>
      <c r="F36" s="50" t="s">
        <v>144</v>
      </c>
      <c r="G36" s="51"/>
      <c r="H36" s="542"/>
      <c r="I36" s="543"/>
      <c r="J36" s="543"/>
      <c r="K36" s="543"/>
      <c r="L36" s="543"/>
      <c r="M36" s="543"/>
      <c r="N36" s="334" t="str">
        <f>IF(H36="-", "-", IF(K36="-", "-", IF(ABS(K36)=0, "-", ROUND(100*(H36-K36)/ABS(K36),1))))</f>
        <v>-</v>
      </c>
      <c r="O36" s="335"/>
      <c r="P36" s="336"/>
    </row>
    <row r="37" spans="1:64" ht="15.6" customHeight="1"/>
    <row r="38" spans="1:64" ht="15.6" customHeight="1">
      <c r="BA38" s="9"/>
      <c r="BB38" s="9"/>
      <c r="BC38" s="9"/>
      <c r="BD38" s="9"/>
      <c r="BE38" s="9"/>
      <c r="BF38" s="9"/>
      <c r="BG38" s="9"/>
    </row>
    <row r="39" spans="1:64" ht="12.95" customHeight="1">
      <c r="BK39" s="43"/>
      <c r="BL39" s="43"/>
    </row>
    <row r="40" spans="1:64" ht="12.95" customHeight="1"/>
    <row r="41" spans="1:64" ht="12.95" customHeight="1"/>
    <row r="42" spans="1:64" ht="12.95" customHeight="1"/>
    <row r="43" spans="1:64" ht="12.95" customHeight="1"/>
    <row r="44" spans="1:64" ht="12.95" customHeight="1"/>
  </sheetData>
  <mergeCells count="288">
    <mergeCell ref="H36:J36"/>
    <mergeCell ref="K36:M36"/>
    <mergeCell ref="H17:J17"/>
    <mergeCell ref="K17:M17"/>
    <mergeCell ref="H18:J18"/>
    <mergeCell ref="K18:M18"/>
    <mergeCell ref="H19:J19"/>
    <mergeCell ref="K19:M19"/>
    <mergeCell ref="H20:J20"/>
    <mergeCell ref="K20:M20"/>
    <mergeCell ref="H21:J21"/>
    <mergeCell ref="K21:M21"/>
    <mergeCell ref="H28:P28"/>
    <mergeCell ref="H29:J29"/>
    <mergeCell ref="K29:M29"/>
    <mergeCell ref="N29:P29"/>
    <mergeCell ref="N36:P36"/>
    <mergeCell ref="N30:P30"/>
    <mergeCell ref="AI7:AK7"/>
    <mergeCell ref="AL7:AN7"/>
    <mergeCell ref="H13:J13"/>
    <mergeCell ref="K13:M13"/>
    <mergeCell ref="H14:J14"/>
    <mergeCell ref="K14:M14"/>
    <mergeCell ref="H15:J15"/>
    <mergeCell ref="K15:M15"/>
    <mergeCell ref="H16:J16"/>
    <mergeCell ref="K16:M16"/>
    <mergeCell ref="AI15:AK15"/>
    <mergeCell ref="AI16:AK16"/>
    <mergeCell ref="W8:Y8"/>
    <mergeCell ref="W7:Y7"/>
    <mergeCell ref="H12:J12"/>
    <mergeCell ref="K12:M12"/>
    <mergeCell ref="N14:P14"/>
    <mergeCell ref="Q7:S7"/>
    <mergeCell ref="T7:V7"/>
    <mergeCell ref="Q8:S8"/>
    <mergeCell ref="T8:V8"/>
    <mergeCell ref="AI19:AK19"/>
    <mergeCell ref="AI20:AK20"/>
    <mergeCell ref="AI21:AK21"/>
    <mergeCell ref="AL12:AN12"/>
    <mergeCell ref="AL13:AN13"/>
    <mergeCell ref="AL14:AN14"/>
    <mergeCell ref="AL15:AN15"/>
    <mergeCell ref="AL16:AN16"/>
    <mergeCell ref="AL17:AN17"/>
    <mergeCell ref="AL18:AN18"/>
    <mergeCell ref="AL19:AN19"/>
    <mergeCell ref="AL20:AN20"/>
    <mergeCell ref="AL21:AN21"/>
    <mergeCell ref="A1:AN2"/>
    <mergeCell ref="AO1:AZ1"/>
    <mergeCell ref="AO2:AZ2"/>
    <mergeCell ref="A11:G12"/>
    <mergeCell ref="A28:G29"/>
    <mergeCell ref="A5:G6"/>
    <mergeCell ref="AB10:AH11"/>
    <mergeCell ref="AB5:AH5"/>
    <mergeCell ref="AU20:AW20"/>
    <mergeCell ref="AX20:AZ20"/>
    <mergeCell ref="AC21:AH21"/>
    <mergeCell ref="AO21:AQ21"/>
    <mergeCell ref="A23:G23"/>
    <mergeCell ref="A21:G21"/>
    <mergeCell ref="AC20:AH20"/>
    <mergeCell ref="AO20:AQ20"/>
    <mergeCell ref="AB17:AB21"/>
    <mergeCell ref="N23:P23"/>
    <mergeCell ref="Q23:S23"/>
    <mergeCell ref="T23:V23"/>
    <mergeCell ref="W23:Y23"/>
    <mergeCell ref="AI17:AK17"/>
    <mergeCell ref="AC19:AH19"/>
    <mergeCell ref="AC16:AH16"/>
    <mergeCell ref="B35:G35"/>
    <mergeCell ref="H35:J35"/>
    <mergeCell ref="K35:M35"/>
    <mergeCell ref="N35:P35"/>
    <mergeCell ref="B34:G34"/>
    <mergeCell ref="N34:P34"/>
    <mergeCell ref="A31:G31"/>
    <mergeCell ref="H31:J31"/>
    <mergeCell ref="K31:M31"/>
    <mergeCell ref="N31:P31"/>
    <mergeCell ref="B33:G33"/>
    <mergeCell ref="N33:P33"/>
    <mergeCell ref="A32:G32"/>
    <mergeCell ref="H32:J32"/>
    <mergeCell ref="K32:M32"/>
    <mergeCell ref="N32:P32"/>
    <mergeCell ref="H33:J33"/>
    <mergeCell ref="K33:M33"/>
    <mergeCell ref="H34:J34"/>
    <mergeCell ref="K34:M34"/>
    <mergeCell ref="A24:G24"/>
    <mergeCell ref="N24:P24"/>
    <mergeCell ref="H24:J24"/>
    <mergeCell ref="K24:M24"/>
    <mergeCell ref="H25:J25"/>
    <mergeCell ref="K25:M25"/>
    <mergeCell ref="N25:P25"/>
    <mergeCell ref="W25:Y25"/>
    <mergeCell ref="A18:G18"/>
    <mergeCell ref="W20:Y20"/>
    <mergeCell ref="T21:V21"/>
    <mergeCell ref="N21:P21"/>
    <mergeCell ref="Q21:S21"/>
    <mergeCell ref="W21:Y21"/>
    <mergeCell ref="H22:J22"/>
    <mergeCell ref="K22:M22"/>
    <mergeCell ref="H23:J23"/>
    <mergeCell ref="K23:M23"/>
    <mergeCell ref="Q22:S22"/>
    <mergeCell ref="T22:V22"/>
    <mergeCell ref="Q25:S25"/>
    <mergeCell ref="T25:V25"/>
    <mergeCell ref="A36:E36"/>
    <mergeCell ref="AU17:AW17"/>
    <mergeCell ref="AC17:AH17"/>
    <mergeCell ref="A20:G20"/>
    <mergeCell ref="N20:P20"/>
    <mergeCell ref="Q20:S20"/>
    <mergeCell ref="T20:V20"/>
    <mergeCell ref="W19:Y19"/>
    <mergeCell ref="A19:G19"/>
    <mergeCell ref="N19:P19"/>
    <mergeCell ref="Q19:S19"/>
    <mergeCell ref="T19:V19"/>
    <mergeCell ref="A25:G25"/>
    <mergeCell ref="A22:G22"/>
    <mergeCell ref="N22:P22"/>
    <mergeCell ref="W22:Y22"/>
    <mergeCell ref="AO19:AQ19"/>
    <mergeCell ref="A17:G17"/>
    <mergeCell ref="N17:P17"/>
    <mergeCell ref="Q17:S17"/>
    <mergeCell ref="AF34:AH34"/>
    <mergeCell ref="A30:G30"/>
    <mergeCell ref="H30:J30"/>
    <mergeCell ref="K30:M30"/>
    <mergeCell ref="B15:G15"/>
    <mergeCell ref="N15:P15"/>
    <mergeCell ref="Q15:S15"/>
    <mergeCell ref="T15:V15"/>
    <mergeCell ref="AO15:AQ15"/>
    <mergeCell ref="AC15:AH15"/>
    <mergeCell ref="AR16:AT16"/>
    <mergeCell ref="N18:P18"/>
    <mergeCell ref="Q18:S18"/>
    <mergeCell ref="T18:V18"/>
    <mergeCell ref="Q16:S16"/>
    <mergeCell ref="T16:V16"/>
    <mergeCell ref="W17:Y17"/>
    <mergeCell ref="W15:Y15"/>
    <mergeCell ref="AR17:AT17"/>
    <mergeCell ref="AO18:AQ18"/>
    <mergeCell ref="AR18:AT18"/>
    <mergeCell ref="AC18:AH18"/>
    <mergeCell ref="T17:V17"/>
    <mergeCell ref="A16:G16"/>
    <mergeCell ref="AI18:AK18"/>
    <mergeCell ref="AO17:AQ17"/>
    <mergeCell ref="AO16:AQ16"/>
    <mergeCell ref="W18:Y18"/>
    <mergeCell ref="B14:G14"/>
    <mergeCell ref="AU12:AW12"/>
    <mergeCell ref="AX12:AZ12"/>
    <mergeCell ref="AC12:AH12"/>
    <mergeCell ref="AO12:AQ12"/>
    <mergeCell ref="AL11:AN11"/>
    <mergeCell ref="AO11:AQ11"/>
    <mergeCell ref="AR11:AT11"/>
    <mergeCell ref="AU11:AW11"/>
    <mergeCell ref="AX11:AZ11"/>
    <mergeCell ref="AI12:AK12"/>
    <mergeCell ref="AI13:AK13"/>
    <mergeCell ref="AI14:AK14"/>
    <mergeCell ref="Q14:S14"/>
    <mergeCell ref="T14:V14"/>
    <mergeCell ref="AC14:AH14"/>
    <mergeCell ref="AO14:AQ14"/>
    <mergeCell ref="AO13:AQ13"/>
    <mergeCell ref="W14:Y14"/>
    <mergeCell ref="H11:P11"/>
    <mergeCell ref="Q11:Y11"/>
    <mergeCell ref="AB12:AB16"/>
    <mergeCell ref="W16:Y16"/>
    <mergeCell ref="N16:P16"/>
    <mergeCell ref="A7:G7"/>
    <mergeCell ref="H7:J7"/>
    <mergeCell ref="K7:M7"/>
    <mergeCell ref="AR12:AT12"/>
    <mergeCell ref="AR10:AZ10"/>
    <mergeCell ref="A13:G13"/>
    <mergeCell ref="N13:P13"/>
    <mergeCell ref="Q13:S13"/>
    <mergeCell ref="T13:V13"/>
    <mergeCell ref="A8:G8"/>
    <mergeCell ref="H8:J8"/>
    <mergeCell ref="AI10:AQ10"/>
    <mergeCell ref="AO7:AQ7"/>
    <mergeCell ref="AB7:AG7"/>
    <mergeCell ref="W12:Y12"/>
    <mergeCell ref="K8:M8"/>
    <mergeCell ref="N8:P8"/>
    <mergeCell ref="W13:Y13"/>
    <mergeCell ref="N12:P12"/>
    <mergeCell ref="Q12:S12"/>
    <mergeCell ref="T12:V12"/>
    <mergeCell ref="AI11:AK11"/>
    <mergeCell ref="AC13:AH13"/>
    <mergeCell ref="N7:P7"/>
    <mergeCell ref="AI5:AK5"/>
    <mergeCell ref="AL5:AN5"/>
    <mergeCell ref="AO5:AQ5"/>
    <mergeCell ref="AO6:AQ6"/>
    <mergeCell ref="Q6:S6"/>
    <mergeCell ref="T6:V6"/>
    <mergeCell ref="W6:Y6"/>
    <mergeCell ref="N6:P6"/>
    <mergeCell ref="H5:P5"/>
    <mergeCell ref="Q5:Y5"/>
    <mergeCell ref="H6:J6"/>
    <mergeCell ref="K6:M6"/>
    <mergeCell ref="AI6:AK6"/>
    <mergeCell ref="AL6:AN6"/>
    <mergeCell ref="AB6:AG6"/>
    <mergeCell ref="AX16:AZ16"/>
    <mergeCell ref="AU18:AW18"/>
    <mergeCell ref="AX18:AZ18"/>
    <mergeCell ref="AX17:AZ17"/>
    <mergeCell ref="AR21:AT21"/>
    <mergeCell ref="AU21:AW21"/>
    <mergeCell ref="AX21:AZ21"/>
    <mergeCell ref="AR20:AT20"/>
    <mergeCell ref="AU19:AW19"/>
    <mergeCell ref="AX19:AZ19"/>
    <mergeCell ref="AR19:AT19"/>
    <mergeCell ref="AU16:AW16"/>
    <mergeCell ref="AX15:AZ15"/>
    <mergeCell ref="AX13:AZ13"/>
    <mergeCell ref="AU13:AW13"/>
    <mergeCell ref="AX14:AZ14"/>
    <mergeCell ref="AR14:AT14"/>
    <mergeCell ref="AU14:AW14"/>
    <mergeCell ref="AR13:AT13"/>
    <mergeCell ref="AU15:AW15"/>
    <mergeCell ref="AR15:AT15"/>
    <mergeCell ref="AF32:AH32"/>
    <mergeCell ref="S33:X33"/>
    <mergeCell ref="AF33:AH33"/>
    <mergeCell ref="S29:X29"/>
    <mergeCell ref="AF29:AH29"/>
    <mergeCell ref="S28:Y28"/>
    <mergeCell ref="Z28:AB28"/>
    <mergeCell ref="AC28:AE28"/>
    <mergeCell ref="AF28:AH28"/>
    <mergeCell ref="S30:X30"/>
    <mergeCell ref="AF30:AH30"/>
    <mergeCell ref="Z31:AB31"/>
    <mergeCell ref="Z32:AB32"/>
    <mergeCell ref="Z33:AB33"/>
    <mergeCell ref="Z34:AB34"/>
    <mergeCell ref="AC32:AE32"/>
    <mergeCell ref="AC33:AE33"/>
    <mergeCell ref="AC34:AE34"/>
    <mergeCell ref="S34:X34"/>
    <mergeCell ref="AO24:AQ24"/>
    <mergeCell ref="AB25:AG25"/>
    <mergeCell ref="AO25:AQ25"/>
    <mergeCell ref="AB24:AH24"/>
    <mergeCell ref="AI25:AK25"/>
    <mergeCell ref="AL25:AN25"/>
    <mergeCell ref="Z29:AB29"/>
    <mergeCell ref="Z30:AB30"/>
    <mergeCell ref="S31:X31"/>
    <mergeCell ref="AF31:AH31"/>
    <mergeCell ref="AI24:AK24"/>
    <mergeCell ref="AL24:AN24"/>
    <mergeCell ref="W24:Y24"/>
    <mergeCell ref="AC29:AE29"/>
    <mergeCell ref="AC30:AE30"/>
    <mergeCell ref="AC31:AE31"/>
    <mergeCell ref="Q24:S24"/>
    <mergeCell ref="T24:V24"/>
    <mergeCell ref="S32:X32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2019-12-12T12:43:33Z</cp:lastPrinted>
  <dcterms:created xsi:type="dcterms:W3CDTF">2018-08-21T10:12:17Z</dcterms:created>
  <dcterms:modified xsi:type="dcterms:W3CDTF">2020-01-27T04:56:05Z</dcterms:modified>
</cp:coreProperties>
</file>