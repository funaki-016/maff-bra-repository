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A_R5\Excel\"/>
    </mc:Choice>
  </mc:AlternateContent>
  <xr:revisionPtr revIDLastSave="0" documentId="13_ncr:1_{99E744FE-B87E-47CD-93BF-1E1B94DAF841}" xr6:coauthVersionLast="47" xr6:coauthVersionMax="47" xr10:uidLastSave="{00000000-0000-0000-0000-000000000000}"/>
  <bookViews>
    <workbookView xWindow="29145" yWindow="345" windowWidth="28005" windowHeight="15345" tabRatio="502" xr2:uid="{E97AB3EB-8391-42B8-A7C4-2DA1289F9E14}"/>
  </bookViews>
  <sheets>
    <sheet name="営農法人" sheetId="2" r:id="rId1"/>
  </sheets>
  <definedNames>
    <definedName name="_xlnm._FilterDatabase" localSheetId="0" hidden="1">営農法人!$C$8:$AG$316</definedName>
    <definedName name="_xlnm.Print_Area" localSheetId="0">営農法人!$A$1:$R$416</definedName>
    <definedName name="_xlnm.Print_Titles" localSheetId="0">営農法人!$1:$8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" i="2" l="1"/>
  <c r="L83" i="2"/>
  <c r="K83" i="2"/>
  <c r="M82" i="2"/>
  <c r="L82" i="2"/>
  <c r="K82" i="2"/>
  <c r="M81" i="2"/>
  <c r="L81" i="2"/>
  <c r="K81" i="2"/>
  <c r="M80" i="2"/>
  <c r="L80" i="2"/>
  <c r="K80" i="2"/>
  <c r="J8" i="2"/>
  <c r="I8" i="2"/>
  <c r="C1" i="2"/>
  <c r="L416" i="2" l="1"/>
  <c r="K416" i="2"/>
  <c r="L415" i="2"/>
  <c r="K415" i="2"/>
  <c r="L414" i="2"/>
  <c r="K414" i="2"/>
  <c r="L413" i="2"/>
  <c r="K413" i="2"/>
  <c r="L412" i="2"/>
  <c r="K412" i="2"/>
  <c r="L411" i="2"/>
  <c r="K411" i="2"/>
  <c r="L410" i="2"/>
  <c r="K410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L403" i="2"/>
  <c r="K403" i="2"/>
  <c r="L402" i="2"/>
  <c r="K402" i="2"/>
  <c r="L401" i="2"/>
  <c r="K401" i="2"/>
  <c r="L400" i="2"/>
  <c r="K400" i="2"/>
  <c r="L399" i="2"/>
  <c r="K399" i="2"/>
  <c r="L398" i="2"/>
  <c r="K398" i="2"/>
  <c r="L397" i="2"/>
  <c r="K397" i="2"/>
  <c r="L396" i="2"/>
  <c r="K396" i="2"/>
  <c r="L395" i="2"/>
  <c r="K395" i="2"/>
  <c r="L394" i="2"/>
  <c r="K394" i="2"/>
  <c r="L393" i="2"/>
  <c r="K393" i="2"/>
  <c r="L392" i="2"/>
  <c r="K392" i="2"/>
  <c r="L391" i="2"/>
  <c r="K391" i="2"/>
  <c r="L390" i="2"/>
  <c r="K390" i="2"/>
  <c r="L389" i="2"/>
  <c r="K389" i="2"/>
  <c r="L388" i="2"/>
  <c r="K388" i="2"/>
  <c r="L387" i="2"/>
  <c r="K387" i="2"/>
  <c r="L386" i="2"/>
  <c r="K386" i="2"/>
  <c r="L385" i="2"/>
  <c r="K385" i="2"/>
  <c r="L384" i="2"/>
  <c r="K384" i="2"/>
  <c r="L383" i="2"/>
  <c r="K383" i="2"/>
  <c r="L382" i="2"/>
  <c r="K382" i="2"/>
  <c r="L381" i="2"/>
  <c r="K381" i="2"/>
  <c r="L380" i="2"/>
  <c r="K380" i="2"/>
  <c r="L379" i="2"/>
  <c r="K379" i="2"/>
  <c r="L378" i="2"/>
  <c r="K378" i="2"/>
  <c r="L377" i="2"/>
  <c r="K377" i="2"/>
  <c r="L376" i="2"/>
  <c r="K376" i="2"/>
  <c r="L375" i="2"/>
  <c r="K375" i="2"/>
  <c r="L374" i="2"/>
  <c r="K374" i="2"/>
  <c r="L373" i="2"/>
  <c r="K373" i="2"/>
  <c r="L372" i="2"/>
  <c r="K372" i="2"/>
  <c r="L371" i="2"/>
  <c r="K371" i="2"/>
  <c r="L370" i="2"/>
  <c r="K370" i="2"/>
  <c r="L369" i="2"/>
  <c r="K369" i="2"/>
  <c r="L368" i="2"/>
  <c r="K368" i="2"/>
  <c r="L367" i="2"/>
  <c r="K367" i="2"/>
  <c r="L366" i="2"/>
  <c r="K366" i="2"/>
  <c r="L365" i="2"/>
  <c r="K365" i="2"/>
  <c r="L364" i="2"/>
  <c r="K364" i="2"/>
  <c r="L363" i="2"/>
  <c r="K363" i="2"/>
  <c r="L362" i="2"/>
  <c r="K362" i="2"/>
  <c r="L361" i="2"/>
  <c r="K361" i="2"/>
  <c r="L360" i="2"/>
  <c r="K360" i="2"/>
  <c r="L359" i="2"/>
  <c r="K359" i="2"/>
  <c r="L358" i="2"/>
  <c r="K358" i="2"/>
  <c r="L357" i="2"/>
  <c r="K357" i="2"/>
  <c r="L356" i="2"/>
  <c r="K356" i="2"/>
  <c r="L355" i="2"/>
  <c r="K355" i="2"/>
  <c r="L354" i="2"/>
  <c r="K354" i="2"/>
  <c r="L353" i="2"/>
  <c r="K353" i="2"/>
  <c r="L352" i="2"/>
  <c r="K352" i="2"/>
  <c r="L351" i="2"/>
  <c r="K351" i="2"/>
  <c r="L350" i="2"/>
  <c r="K350" i="2"/>
  <c r="L349" i="2"/>
  <c r="K349" i="2"/>
  <c r="L348" i="2"/>
  <c r="K348" i="2"/>
  <c r="L347" i="2"/>
  <c r="K347" i="2"/>
  <c r="L346" i="2"/>
  <c r="K346" i="2"/>
  <c r="L345" i="2"/>
  <c r="K345" i="2"/>
  <c r="L344" i="2"/>
  <c r="K344" i="2"/>
  <c r="L343" i="2"/>
  <c r="K343" i="2"/>
  <c r="L342" i="2"/>
  <c r="K342" i="2"/>
  <c r="L341" i="2"/>
  <c r="K341" i="2"/>
  <c r="L340" i="2"/>
  <c r="K340" i="2"/>
  <c r="L339" i="2"/>
  <c r="K339" i="2"/>
  <c r="L338" i="2"/>
  <c r="K338" i="2"/>
  <c r="L337" i="2"/>
  <c r="K337" i="2"/>
  <c r="L336" i="2"/>
  <c r="K336" i="2"/>
  <c r="L335" i="2"/>
  <c r="K335" i="2"/>
  <c r="L334" i="2"/>
  <c r="K334" i="2"/>
  <c r="L333" i="2"/>
  <c r="K333" i="2"/>
  <c r="L332" i="2"/>
  <c r="K332" i="2"/>
  <c r="L331" i="2"/>
  <c r="K331" i="2"/>
  <c r="L330" i="2"/>
  <c r="K330" i="2"/>
  <c r="L329" i="2"/>
  <c r="K329" i="2"/>
  <c r="L328" i="2"/>
  <c r="K328" i="2"/>
  <c r="L327" i="2"/>
  <c r="K327" i="2"/>
  <c r="L326" i="2"/>
  <c r="K326" i="2"/>
  <c r="L325" i="2"/>
  <c r="K325" i="2"/>
  <c r="L324" i="2"/>
  <c r="K324" i="2"/>
  <c r="L323" i="2"/>
  <c r="K323" i="2"/>
  <c r="L322" i="2"/>
  <c r="K322" i="2"/>
  <c r="L321" i="2"/>
  <c r="K321" i="2"/>
  <c r="L320" i="2"/>
  <c r="K320" i="2"/>
  <c r="L319" i="2"/>
  <c r="K319" i="2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L308" i="2"/>
  <c r="K308" i="2"/>
  <c r="L307" i="2"/>
  <c r="K307" i="2"/>
  <c r="L306" i="2"/>
  <c r="K306" i="2"/>
  <c r="L305" i="2"/>
  <c r="K305" i="2"/>
  <c r="L304" i="2"/>
  <c r="K304" i="2"/>
  <c r="L303" i="2"/>
  <c r="K303" i="2"/>
  <c r="L302" i="2"/>
  <c r="K302" i="2"/>
  <c r="L301" i="2"/>
  <c r="K301" i="2"/>
  <c r="L300" i="2"/>
  <c r="K300" i="2"/>
  <c r="L299" i="2"/>
  <c r="K299" i="2"/>
  <c r="L298" i="2"/>
  <c r="K298" i="2"/>
  <c r="L297" i="2"/>
  <c r="K297" i="2"/>
  <c r="L296" i="2"/>
  <c r="K296" i="2"/>
  <c r="L295" i="2"/>
  <c r="K295" i="2"/>
  <c r="L294" i="2"/>
  <c r="K294" i="2"/>
  <c r="L293" i="2"/>
  <c r="K293" i="2"/>
  <c r="L292" i="2"/>
  <c r="K292" i="2"/>
  <c r="L291" i="2"/>
  <c r="K291" i="2"/>
  <c r="L290" i="2"/>
  <c r="L289" i="2"/>
  <c r="K289" i="2"/>
  <c r="L288" i="2"/>
  <c r="K288" i="2"/>
  <c r="L287" i="2"/>
  <c r="K287" i="2"/>
  <c r="L286" i="2"/>
  <c r="K286" i="2"/>
  <c r="L284" i="2"/>
  <c r="K284" i="2"/>
  <c r="L283" i="2"/>
  <c r="K283" i="2"/>
  <c r="L282" i="2"/>
  <c r="K282" i="2"/>
  <c r="L281" i="2"/>
  <c r="K281" i="2"/>
  <c r="K280" i="2"/>
  <c r="L279" i="2"/>
  <c r="K279" i="2"/>
  <c r="L278" i="2"/>
  <c r="K278" i="2"/>
  <c r="L277" i="2"/>
  <c r="K277" i="2"/>
  <c r="L276" i="2"/>
  <c r="K276" i="2"/>
  <c r="L275" i="2"/>
  <c r="K275" i="2"/>
  <c r="L274" i="2"/>
  <c r="K274" i="2"/>
  <c r="L273" i="2"/>
  <c r="K273" i="2"/>
  <c r="L272" i="2"/>
  <c r="K272" i="2"/>
  <c r="L271" i="2"/>
  <c r="K271" i="2"/>
  <c r="L270" i="2"/>
  <c r="K270" i="2"/>
  <c r="L269" i="2"/>
  <c r="K269" i="2"/>
  <c r="L268" i="2"/>
  <c r="K268" i="2"/>
  <c r="L267" i="2"/>
  <c r="K267" i="2"/>
  <c r="L266" i="2"/>
  <c r="K266" i="2"/>
  <c r="L265" i="2"/>
  <c r="K265" i="2"/>
  <c r="L264" i="2"/>
  <c r="K264" i="2"/>
  <c r="L263" i="2"/>
  <c r="K263" i="2"/>
  <c r="L262" i="2"/>
  <c r="K262" i="2"/>
  <c r="L261" i="2"/>
  <c r="K261" i="2"/>
  <c r="L260" i="2"/>
  <c r="K260" i="2"/>
  <c r="L259" i="2"/>
  <c r="K259" i="2"/>
  <c r="L258" i="2"/>
  <c r="K258" i="2"/>
  <c r="L257" i="2"/>
  <c r="K257" i="2"/>
  <c r="L256" i="2"/>
  <c r="K256" i="2"/>
  <c r="L255" i="2"/>
  <c r="K255" i="2"/>
  <c r="L254" i="2"/>
  <c r="K254" i="2"/>
  <c r="L253" i="2"/>
  <c r="K253" i="2"/>
  <c r="L252" i="2"/>
  <c r="K252" i="2"/>
  <c r="L251" i="2"/>
  <c r="K251" i="2"/>
  <c r="L250" i="2"/>
  <c r="K250" i="2"/>
  <c r="L249" i="2"/>
  <c r="K249" i="2"/>
  <c r="L248" i="2"/>
  <c r="K248" i="2"/>
  <c r="L247" i="2"/>
  <c r="K247" i="2"/>
  <c r="L246" i="2"/>
  <c r="K246" i="2"/>
  <c r="L244" i="2"/>
  <c r="K244" i="2"/>
  <c r="L242" i="2"/>
  <c r="K242" i="2"/>
  <c r="L241" i="2"/>
  <c r="K241" i="2"/>
  <c r="L238" i="2"/>
  <c r="K238" i="2"/>
  <c r="L237" i="2"/>
  <c r="K237" i="2"/>
  <c r="L236" i="2"/>
  <c r="K236" i="2"/>
  <c r="L235" i="2"/>
  <c r="K235" i="2"/>
  <c r="L230" i="2"/>
  <c r="K230" i="2"/>
  <c r="L229" i="2"/>
  <c r="K229" i="2"/>
  <c r="L227" i="2"/>
  <c r="K227" i="2"/>
  <c r="L225" i="2"/>
  <c r="K225" i="2"/>
  <c r="L224" i="2"/>
  <c r="K224" i="2"/>
  <c r="L222" i="2"/>
  <c r="K222" i="2"/>
  <c r="L219" i="2"/>
  <c r="K219" i="2"/>
  <c r="L218" i="2"/>
  <c r="K218" i="2"/>
  <c r="L216" i="2"/>
  <c r="K216" i="2"/>
  <c r="K215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K197" i="2"/>
  <c r="L195" i="2"/>
  <c r="K195" i="2"/>
  <c r="L192" i="2"/>
  <c r="K192" i="2"/>
  <c r="K191" i="2"/>
  <c r="L189" i="2"/>
  <c r="K189" i="2"/>
  <c r="L186" i="2"/>
  <c r="K186" i="2"/>
  <c r="L183" i="2"/>
  <c r="K183" i="2"/>
  <c r="L180" i="2"/>
  <c r="K180" i="2"/>
  <c r="K179" i="2"/>
  <c r="L177" i="2"/>
  <c r="K177" i="2"/>
  <c r="L176" i="2"/>
  <c r="K176" i="2"/>
  <c r="L169" i="2"/>
  <c r="L166" i="2"/>
  <c r="K166" i="2"/>
  <c r="L165" i="2"/>
  <c r="K165" i="2"/>
  <c r="L164" i="2"/>
  <c r="K164" i="2"/>
  <c r="L163" i="2"/>
  <c r="K163" i="2"/>
  <c r="K159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M114" i="2"/>
  <c r="L114" i="2"/>
  <c r="K114" i="2"/>
  <c r="M113" i="2"/>
  <c r="L113" i="2"/>
  <c r="K113" i="2"/>
  <c r="M112" i="2"/>
  <c r="L112" i="2"/>
  <c r="K112" i="2"/>
  <c r="M111" i="2"/>
  <c r="L111" i="2"/>
  <c r="K111" i="2"/>
  <c r="M110" i="2"/>
  <c r="L110" i="2"/>
  <c r="K110" i="2"/>
  <c r="M109" i="2"/>
  <c r="L109" i="2"/>
  <c r="K109" i="2"/>
  <c r="M108" i="2"/>
  <c r="L108" i="2"/>
  <c r="K108" i="2"/>
  <c r="M107" i="2"/>
  <c r="L107" i="2"/>
  <c r="K107" i="2"/>
  <c r="M106" i="2"/>
  <c r="L106" i="2"/>
  <c r="K106" i="2"/>
  <c r="M105" i="2"/>
  <c r="L105" i="2"/>
  <c r="K105" i="2"/>
  <c r="M104" i="2"/>
  <c r="L104" i="2"/>
  <c r="K104" i="2"/>
  <c r="M103" i="2"/>
  <c r="L103" i="2"/>
  <c r="K103" i="2"/>
  <c r="M102" i="2"/>
  <c r="L102" i="2"/>
  <c r="K102" i="2"/>
  <c r="M101" i="2"/>
  <c r="L101" i="2"/>
  <c r="K101" i="2"/>
  <c r="M100" i="2"/>
  <c r="L100" i="2"/>
  <c r="K100" i="2"/>
  <c r="M99" i="2"/>
  <c r="L99" i="2"/>
  <c r="K99" i="2"/>
  <c r="M98" i="2"/>
  <c r="L98" i="2"/>
  <c r="K98" i="2"/>
  <c r="M97" i="2"/>
  <c r="L97" i="2"/>
  <c r="K97" i="2"/>
  <c r="M96" i="2"/>
  <c r="L96" i="2"/>
  <c r="K96" i="2"/>
  <c r="M95" i="2"/>
  <c r="L95" i="2"/>
  <c r="K95" i="2"/>
  <c r="M94" i="2"/>
  <c r="L94" i="2"/>
  <c r="K94" i="2"/>
  <c r="M93" i="2"/>
  <c r="L93" i="2"/>
  <c r="K93" i="2"/>
  <c r="M92" i="2"/>
  <c r="L92" i="2"/>
  <c r="K92" i="2"/>
  <c r="M91" i="2"/>
  <c r="L91" i="2"/>
  <c r="K91" i="2"/>
  <c r="M90" i="2"/>
  <c r="L90" i="2"/>
  <c r="K90" i="2"/>
  <c r="M89" i="2"/>
  <c r="L89" i="2"/>
  <c r="K89" i="2"/>
  <c r="M88" i="2"/>
  <c r="L88" i="2"/>
  <c r="K88" i="2"/>
  <c r="M87" i="2"/>
  <c r="L87" i="2"/>
  <c r="K87" i="2"/>
  <c r="M86" i="2"/>
  <c r="L86" i="2"/>
  <c r="K86" i="2"/>
  <c r="M85" i="2"/>
  <c r="L85" i="2"/>
  <c r="K85" i="2"/>
  <c r="M84" i="2"/>
  <c r="L84" i="2"/>
  <c r="K84" i="2"/>
  <c r="M79" i="2"/>
  <c r="L79" i="2"/>
  <c r="K79" i="2"/>
  <c r="M78" i="2"/>
  <c r="L78" i="2"/>
  <c r="K78" i="2"/>
  <c r="M77" i="2"/>
  <c r="L77" i="2"/>
  <c r="K77" i="2"/>
  <c r="M76" i="2"/>
  <c r="L76" i="2"/>
  <c r="K76" i="2"/>
  <c r="M75" i="2"/>
  <c r="L75" i="2"/>
  <c r="K75" i="2"/>
  <c r="M74" i="2"/>
  <c r="L74" i="2"/>
  <c r="K74" i="2"/>
  <c r="M73" i="2"/>
  <c r="L73" i="2"/>
  <c r="K73" i="2"/>
  <c r="M72" i="2"/>
  <c r="L72" i="2"/>
  <c r="K72" i="2"/>
  <c r="M71" i="2"/>
  <c r="L71" i="2"/>
  <c r="K71" i="2"/>
  <c r="M70" i="2"/>
  <c r="L70" i="2"/>
  <c r="K70" i="2"/>
  <c r="M69" i="2"/>
  <c r="L69" i="2"/>
  <c r="K69" i="2"/>
  <c r="M68" i="2"/>
  <c r="L68" i="2"/>
  <c r="K68" i="2"/>
  <c r="M67" i="2"/>
  <c r="L67" i="2"/>
  <c r="K67" i="2"/>
  <c r="M66" i="2"/>
  <c r="L66" i="2"/>
  <c r="K66" i="2"/>
  <c r="M65" i="2"/>
  <c r="L65" i="2"/>
  <c r="K65" i="2"/>
  <c r="M64" i="2"/>
  <c r="L64" i="2"/>
  <c r="K64" i="2"/>
  <c r="M63" i="2"/>
  <c r="L63" i="2"/>
  <c r="K6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L9" i="2"/>
  <c r="T8" i="2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K171" i="2" l="1"/>
  <c r="K285" i="2"/>
  <c r="K184" i="2"/>
  <c r="M42" i="2"/>
  <c r="K172" i="2"/>
  <c r="L196" i="2"/>
  <c r="L214" i="2"/>
  <c r="L233" i="2"/>
  <c r="L239" i="2"/>
  <c r="L243" i="2"/>
  <c r="K245" i="2"/>
  <c r="K169" i="2"/>
  <c r="K42" i="2"/>
  <c r="L170" i="2"/>
  <c r="L178" i="2"/>
  <c r="L159" i="2"/>
  <c r="L172" i="2"/>
  <c r="L174" i="2"/>
  <c r="L184" i="2"/>
  <c r="L190" i="2"/>
  <c r="K196" i="2"/>
  <c r="L223" i="2"/>
  <c r="K228" i="2"/>
  <c r="L232" i="2"/>
  <c r="L234" i="2"/>
  <c r="L240" i="2"/>
  <c r="K173" i="2"/>
  <c r="L175" i="2"/>
  <c r="K185" i="2"/>
  <c r="L160" i="2"/>
  <c r="L162" i="2"/>
  <c r="K170" i="2"/>
  <c r="L173" i="2"/>
  <c r="K174" i="2"/>
  <c r="K178" i="2"/>
  <c r="L182" i="2"/>
  <c r="L185" i="2"/>
  <c r="L187" i="2"/>
  <c r="K190" i="2"/>
  <c r="L194" i="2"/>
  <c r="L197" i="2"/>
  <c r="K214" i="2"/>
  <c r="L220" i="2"/>
  <c r="K223" i="2"/>
  <c r="K232" i="2"/>
  <c r="K234" i="2"/>
  <c r="K240" i="2"/>
  <c r="L245" i="2"/>
  <c r="L280" i="2"/>
  <c r="K290" i="2"/>
  <c r="K231" i="2"/>
  <c r="L42" i="2"/>
  <c r="L161" i="2"/>
  <c r="K175" i="2"/>
  <c r="L171" i="2"/>
  <c r="L179" i="2"/>
  <c r="L181" i="2"/>
  <c r="L188" i="2"/>
  <c r="L191" i="2"/>
  <c r="L193" i="2"/>
  <c r="L215" i="2"/>
  <c r="L217" i="2"/>
  <c r="L221" i="2"/>
  <c r="L226" i="2"/>
  <c r="L228" i="2"/>
  <c r="K233" i="2"/>
  <c r="K239" i="2"/>
  <c r="K243" i="2"/>
  <c r="L285" i="2"/>
  <c r="L231" i="2"/>
  <c r="K167" i="2"/>
  <c r="K160" i="2"/>
  <c r="K161" i="2"/>
  <c r="K162" i="2"/>
  <c r="L167" i="2"/>
  <c r="K181" i="2"/>
  <c r="K182" i="2"/>
  <c r="K187" i="2"/>
  <c r="K188" i="2"/>
  <c r="K193" i="2"/>
  <c r="K194" i="2"/>
  <c r="K217" i="2"/>
  <c r="K220" i="2"/>
  <c r="K221" i="2"/>
  <c r="K226" i="2"/>
  <c r="K168" i="2" l="1"/>
  <c r="K158" i="2"/>
  <c r="L158" i="2"/>
  <c r="L168" i="2"/>
</calcChain>
</file>

<file path=xl/sharedStrings.xml><?xml version="1.0" encoding="utf-8"?>
<sst xmlns="http://schemas.openxmlformats.org/spreadsheetml/2006/main" count="620" uniqueCount="284">
  <si>
    <t>集計番号</t>
    <rPh sb="0" eb="2">
      <t>シュウケイ</t>
    </rPh>
    <rPh sb="2" eb="4">
      <t>バンゴウ</t>
    </rPh>
    <phoneticPr fontId="4"/>
  </si>
  <si>
    <t>集計名称</t>
    <rPh sb="0" eb="2">
      <t>シュウケイ</t>
    </rPh>
    <rPh sb="2" eb="4">
      <t>メイショウ</t>
    </rPh>
    <phoneticPr fontId="4"/>
  </si>
  <si>
    <t>集計経営体数</t>
    <phoneticPr fontId="4"/>
  </si>
  <si>
    <t>集計倍率</t>
    <phoneticPr fontId="4"/>
  </si>
  <si>
    <t>調査年</t>
    <rPh sb="0" eb="2">
      <t>チョウサ</t>
    </rPh>
    <rPh sb="2" eb="3">
      <t>ネン</t>
    </rPh>
    <phoneticPr fontId="4"/>
  </si>
  <si>
    <t>地域</t>
    <rPh sb="0" eb="2">
      <t>チイキ</t>
    </rPh>
    <phoneticPr fontId="4"/>
  </si>
  <si>
    <t>規模区分</t>
    <rPh sb="0" eb="2">
      <t>キボ</t>
    </rPh>
    <rPh sb="2" eb="4">
      <t>クブン</t>
    </rPh>
    <phoneticPr fontId="4"/>
  </si>
  <si>
    <t>本年</t>
    <rPh sb="0" eb="2">
      <t>ホンネン</t>
    </rPh>
    <phoneticPr fontId="4"/>
  </si>
  <si>
    <t>前年</t>
    <rPh sb="0" eb="2">
      <t>ゼンネン</t>
    </rPh>
    <phoneticPr fontId="4"/>
  </si>
  <si>
    <t>平均種類</t>
    <rPh sb="0" eb="2">
      <t>ヘイキン</t>
    </rPh>
    <rPh sb="2" eb="4">
      <t>シュルイ</t>
    </rPh>
    <phoneticPr fontId="4"/>
  </si>
  <si>
    <t>基本・詳細</t>
    <rPh sb="0" eb="2">
      <t>キホン</t>
    </rPh>
    <rPh sb="3" eb="5">
      <t>ショウサイ</t>
    </rPh>
    <phoneticPr fontId="4"/>
  </si>
  <si>
    <t>営農類型別表示行</t>
    <rPh sb="0" eb="2">
      <t>エイノウ</t>
    </rPh>
    <rPh sb="2" eb="4">
      <t>ルイケイ</t>
    </rPh>
    <rPh sb="4" eb="5">
      <t>ベツ</t>
    </rPh>
    <rPh sb="5" eb="7">
      <t>ヒョウジ</t>
    </rPh>
    <rPh sb="7" eb="8">
      <t>ギョウ</t>
    </rPh>
    <phoneticPr fontId="4"/>
  </si>
  <si>
    <t>区　　分</t>
    <rPh sb="0" eb="1">
      <t>ク</t>
    </rPh>
    <rPh sb="3" eb="4">
      <t>ブン</t>
    </rPh>
    <phoneticPr fontId="2"/>
  </si>
  <si>
    <t>単位</t>
    <rPh sb="0" eb="2">
      <t>タンイ</t>
    </rPh>
    <phoneticPr fontId="2"/>
  </si>
  <si>
    <t>対前年
増減率(%)</t>
    <rPh sb="0" eb="1">
      <t>タイ</t>
    </rPh>
    <rPh sb="1" eb="3">
      <t>ゼンネン</t>
    </rPh>
    <phoneticPr fontId="2"/>
  </si>
  <si>
    <t>寄与率</t>
    <rPh sb="0" eb="3">
      <t>キヨリツ</t>
    </rPh>
    <phoneticPr fontId="2"/>
  </si>
  <si>
    <t>主な増減要因</t>
    <rPh sb="0" eb="1">
      <t>オモ</t>
    </rPh>
    <rPh sb="2" eb="4">
      <t>ゾウゲン</t>
    </rPh>
    <rPh sb="4" eb="6">
      <t>ヨウイン</t>
    </rPh>
    <phoneticPr fontId="2"/>
  </si>
  <si>
    <t>集計経営体数</t>
    <rPh sb="0" eb="2">
      <t>シュウケイ</t>
    </rPh>
    <rPh sb="2" eb="4">
      <t>ケイエイ</t>
    </rPh>
    <rPh sb="4" eb="6">
      <t>タイスウ</t>
    </rPh>
    <phoneticPr fontId="2"/>
  </si>
  <si>
    <t>経営体</t>
    <rPh sb="0" eb="3">
      <t>ケイエイタイ</t>
    </rPh>
    <phoneticPr fontId="2"/>
  </si>
  <si>
    <t>農業粗収益①</t>
    <rPh sb="0" eb="2">
      <t>ノウギョウ</t>
    </rPh>
    <rPh sb="2" eb="5">
      <t>ソシュウエキ</t>
    </rPh>
    <phoneticPr fontId="2"/>
  </si>
  <si>
    <t>千円</t>
    <rPh sb="0" eb="2">
      <t>センエン</t>
    </rPh>
    <phoneticPr fontId="2"/>
  </si>
  <si>
    <t>作物収入</t>
    <rPh sb="0" eb="2">
      <t>サクモツ</t>
    </rPh>
    <rPh sb="2" eb="4">
      <t>シュウニュウ</t>
    </rPh>
    <phoneticPr fontId="2"/>
  </si>
  <si>
    <t>稲作収入</t>
    <rPh sb="0" eb="2">
      <t>イナサク</t>
    </rPh>
    <rPh sb="2" eb="4">
      <t>シュウニュウ</t>
    </rPh>
    <phoneticPr fontId="2"/>
  </si>
  <si>
    <t>麦類収入</t>
    <rPh sb="0" eb="2">
      <t>ムギルイ</t>
    </rPh>
    <rPh sb="2" eb="4">
      <t>シュウニュウ</t>
    </rPh>
    <phoneticPr fontId="2"/>
  </si>
  <si>
    <t>豆類収入</t>
    <rPh sb="0" eb="2">
      <t>マメルイ</t>
    </rPh>
    <rPh sb="2" eb="4">
      <t>シュウニュウ</t>
    </rPh>
    <phoneticPr fontId="2"/>
  </si>
  <si>
    <t>かんしょ収入</t>
    <rPh sb="4" eb="6">
      <t>シュウニュウ</t>
    </rPh>
    <phoneticPr fontId="2"/>
  </si>
  <si>
    <t>ばれいしょ収入</t>
    <rPh sb="5" eb="7">
      <t>シュウニュウ</t>
    </rPh>
    <phoneticPr fontId="2"/>
  </si>
  <si>
    <t>工芸農作物収入</t>
    <rPh sb="0" eb="2">
      <t>コウゲイ</t>
    </rPh>
    <rPh sb="2" eb="5">
      <t>ノウサクモツ</t>
    </rPh>
    <rPh sb="5" eb="7">
      <t>シュウニュウ</t>
    </rPh>
    <phoneticPr fontId="2"/>
  </si>
  <si>
    <t>てんさい</t>
    <phoneticPr fontId="2"/>
  </si>
  <si>
    <t>さとうきび</t>
    <phoneticPr fontId="2"/>
  </si>
  <si>
    <t>茶</t>
    <rPh sb="0" eb="1">
      <t>チャ</t>
    </rPh>
    <phoneticPr fontId="2"/>
  </si>
  <si>
    <t>野菜収入</t>
    <rPh sb="0" eb="2">
      <t>ヤサイ</t>
    </rPh>
    <rPh sb="2" eb="4">
      <t>シュウニュウ</t>
    </rPh>
    <phoneticPr fontId="2"/>
  </si>
  <si>
    <t>露地野菜</t>
    <rPh sb="0" eb="2">
      <t>ロジ</t>
    </rPh>
    <rPh sb="2" eb="4">
      <t>ヤサイ</t>
    </rPh>
    <phoneticPr fontId="2"/>
  </si>
  <si>
    <t>施設野菜</t>
    <rPh sb="0" eb="2">
      <t>シセツ</t>
    </rPh>
    <rPh sb="2" eb="4">
      <t>ヤサイ</t>
    </rPh>
    <phoneticPr fontId="2"/>
  </si>
  <si>
    <t>果樹収入</t>
    <rPh sb="0" eb="2">
      <t>カジュ</t>
    </rPh>
    <rPh sb="2" eb="4">
      <t>シュウニュウ</t>
    </rPh>
    <phoneticPr fontId="2"/>
  </si>
  <si>
    <t>花き収入</t>
    <rPh sb="0" eb="1">
      <t>カ</t>
    </rPh>
    <rPh sb="2" eb="4">
      <t>シュウニュウ</t>
    </rPh>
    <phoneticPr fontId="2"/>
  </si>
  <si>
    <t>露地花き収入</t>
    <rPh sb="4" eb="6">
      <t>シュウニュウ</t>
    </rPh>
    <phoneticPr fontId="2"/>
  </si>
  <si>
    <t>露地切り花</t>
    <rPh sb="0" eb="2">
      <t>ロジ</t>
    </rPh>
    <rPh sb="2" eb="3">
      <t>キ</t>
    </rPh>
    <rPh sb="4" eb="5">
      <t>バナ</t>
    </rPh>
    <phoneticPr fontId="2"/>
  </si>
  <si>
    <t>施設花き収入</t>
    <rPh sb="0" eb="2">
      <t>シセツ</t>
    </rPh>
    <rPh sb="4" eb="6">
      <t>シュウニュウ</t>
    </rPh>
    <phoneticPr fontId="2"/>
  </si>
  <si>
    <t>施設切り花</t>
    <rPh sb="0" eb="2">
      <t>シセツ</t>
    </rPh>
    <rPh sb="2" eb="3">
      <t>キ</t>
    </rPh>
    <rPh sb="4" eb="5">
      <t>バナ</t>
    </rPh>
    <phoneticPr fontId="2"/>
  </si>
  <si>
    <t>施設鉢物</t>
    <rPh sb="0" eb="2">
      <t>シセツ</t>
    </rPh>
    <rPh sb="2" eb="4">
      <t>ハチモノ</t>
    </rPh>
    <phoneticPr fontId="2"/>
  </si>
  <si>
    <t>畜産収入</t>
    <rPh sb="0" eb="2">
      <t>チクサン</t>
    </rPh>
    <rPh sb="2" eb="4">
      <t>シュウニュウ</t>
    </rPh>
    <phoneticPr fontId="2"/>
  </si>
  <si>
    <t>酪農収入</t>
    <rPh sb="0" eb="2">
      <t>ラクノウ</t>
    </rPh>
    <rPh sb="2" eb="4">
      <t>シュウニュウ</t>
    </rPh>
    <phoneticPr fontId="2"/>
  </si>
  <si>
    <t>生乳</t>
    <rPh sb="0" eb="2">
      <t>セイニュウ</t>
    </rPh>
    <phoneticPr fontId="2"/>
  </si>
  <si>
    <t>繁殖牛収入</t>
    <rPh sb="0" eb="2">
      <t>ハンショク</t>
    </rPh>
    <rPh sb="2" eb="3">
      <t>ギュウ</t>
    </rPh>
    <rPh sb="3" eb="5">
      <t>シュウニュウ</t>
    </rPh>
    <phoneticPr fontId="2"/>
  </si>
  <si>
    <t>肥育牛収入</t>
    <rPh sb="0" eb="3">
      <t>ヒイクギュウ</t>
    </rPh>
    <rPh sb="3" eb="5">
      <t>シュウニュウ</t>
    </rPh>
    <phoneticPr fontId="2"/>
  </si>
  <si>
    <t>肉専用種</t>
    <rPh sb="0" eb="1">
      <t>ニク</t>
    </rPh>
    <rPh sb="1" eb="4">
      <t>センヨウシュ</t>
    </rPh>
    <phoneticPr fontId="2"/>
  </si>
  <si>
    <t>乳用種＋交雑種</t>
    <rPh sb="0" eb="3">
      <t>ニュウヨウシュ</t>
    </rPh>
    <rPh sb="4" eb="7">
      <t>コウザツシュ</t>
    </rPh>
    <phoneticPr fontId="2"/>
  </si>
  <si>
    <t>乳用種</t>
    <rPh sb="0" eb="2">
      <t>ニュウヨウ</t>
    </rPh>
    <rPh sb="2" eb="3">
      <t>シュ</t>
    </rPh>
    <phoneticPr fontId="2"/>
  </si>
  <si>
    <t>交雑種</t>
    <rPh sb="0" eb="3">
      <t>コウザツシュ</t>
    </rPh>
    <phoneticPr fontId="2"/>
  </si>
  <si>
    <t>養豚収入</t>
    <rPh sb="0" eb="2">
      <t>ヨウトン</t>
    </rPh>
    <rPh sb="2" eb="4">
      <t>シュウニュウ</t>
    </rPh>
    <phoneticPr fontId="2"/>
  </si>
  <si>
    <t>肉豚</t>
    <rPh sb="0" eb="1">
      <t>ニク</t>
    </rPh>
    <rPh sb="1" eb="2">
      <t>ブタ</t>
    </rPh>
    <phoneticPr fontId="2"/>
  </si>
  <si>
    <t>子豚</t>
    <rPh sb="0" eb="2">
      <t>コブタ</t>
    </rPh>
    <phoneticPr fontId="2"/>
  </si>
  <si>
    <t>採卵養鶏収入</t>
    <rPh sb="0" eb="2">
      <t>サイラン</t>
    </rPh>
    <rPh sb="2" eb="4">
      <t>ヨウケイ</t>
    </rPh>
    <rPh sb="4" eb="6">
      <t>シュウニュウ</t>
    </rPh>
    <phoneticPr fontId="2"/>
  </si>
  <si>
    <t>ブロイラー養鶏収入</t>
    <rPh sb="5" eb="7">
      <t>ヨウケイ</t>
    </rPh>
    <rPh sb="7" eb="9">
      <t>シュウニュウ</t>
    </rPh>
    <phoneticPr fontId="2"/>
  </si>
  <si>
    <t>受託収入</t>
    <rPh sb="0" eb="2">
      <t>ジュタク</t>
    </rPh>
    <rPh sb="2" eb="4">
      <t>シュウニュウ</t>
    </rPh>
    <phoneticPr fontId="2"/>
  </si>
  <si>
    <t>共済・補助金等受取金</t>
    <rPh sb="0" eb="2">
      <t>キョウサイ</t>
    </rPh>
    <rPh sb="3" eb="6">
      <t>ホジョキン</t>
    </rPh>
    <rPh sb="6" eb="7">
      <t>トウ</t>
    </rPh>
    <rPh sb="7" eb="9">
      <t>ウケトリ</t>
    </rPh>
    <rPh sb="9" eb="10">
      <t>キン</t>
    </rPh>
    <phoneticPr fontId="2"/>
  </si>
  <si>
    <t>雇人費</t>
    <rPh sb="0" eb="1">
      <t>ヤト</t>
    </rPh>
    <rPh sb="1" eb="2">
      <t>ニン</t>
    </rPh>
    <rPh sb="2" eb="3">
      <t>ヒ</t>
    </rPh>
    <phoneticPr fontId="2"/>
  </si>
  <si>
    <t>種苗費</t>
    <rPh sb="0" eb="2">
      <t>シュビョウ</t>
    </rPh>
    <rPh sb="2" eb="3">
      <t>ヒ</t>
    </rPh>
    <phoneticPr fontId="2"/>
  </si>
  <si>
    <t>素畜費</t>
    <rPh sb="0" eb="1">
      <t>モト</t>
    </rPh>
    <rPh sb="1" eb="3">
      <t>チクヒ</t>
    </rPh>
    <phoneticPr fontId="2"/>
  </si>
  <si>
    <t>肥料費</t>
    <rPh sb="0" eb="3">
      <t>ヒリョウヒ</t>
    </rPh>
    <phoneticPr fontId="2"/>
  </si>
  <si>
    <t>飼料費</t>
    <rPh sb="0" eb="3">
      <t>シリョウヒ</t>
    </rPh>
    <phoneticPr fontId="2"/>
  </si>
  <si>
    <t>農薬衛生費</t>
    <rPh sb="0" eb="2">
      <t>ノウヤク</t>
    </rPh>
    <rPh sb="2" eb="5">
      <t>エイセイヒ</t>
    </rPh>
    <phoneticPr fontId="2"/>
  </si>
  <si>
    <t>諸材料費</t>
    <rPh sb="0" eb="1">
      <t>ショ</t>
    </rPh>
    <rPh sb="1" eb="4">
      <t>ザイリョウヒ</t>
    </rPh>
    <phoneticPr fontId="2"/>
  </si>
  <si>
    <t>動力光熱費</t>
    <rPh sb="0" eb="2">
      <t>ドウリョク</t>
    </rPh>
    <rPh sb="2" eb="5">
      <t>コウネツヒ</t>
    </rPh>
    <phoneticPr fontId="2"/>
  </si>
  <si>
    <t>修繕費</t>
    <rPh sb="0" eb="3">
      <t>シュウゼンヒ</t>
    </rPh>
    <phoneticPr fontId="2"/>
  </si>
  <si>
    <t>農具費</t>
    <rPh sb="0" eb="2">
      <t>ノウグ</t>
    </rPh>
    <rPh sb="2" eb="3">
      <t>ヒ</t>
    </rPh>
    <phoneticPr fontId="2"/>
  </si>
  <si>
    <t>地代・賃借料</t>
    <rPh sb="0" eb="2">
      <t>チダイ</t>
    </rPh>
    <rPh sb="3" eb="6">
      <t>チンシャクリョウ</t>
    </rPh>
    <phoneticPr fontId="2"/>
  </si>
  <si>
    <t>荷造運賃手数料</t>
    <rPh sb="0" eb="2">
      <t>ニヅク</t>
    </rPh>
    <rPh sb="2" eb="4">
      <t>ウンチン</t>
    </rPh>
    <rPh sb="4" eb="7">
      <t>テスウリョウ</t>
    </rPh>
    <phoneticPr fontId="2"/>
  </si>
  <si>
    <t>減価償却費</t>
    <rPh sb="0" eb="2">
      <t>ゲンカ</t>
    </rPh>
    <rPh sb="2" eb="5">
      <t>ショウキャクヒ</t>
    </rPh>
    <phoneticPr fontId="2"/>
  </si>
  <si>
    <t>経営概況</t>
    <rPh sb="0" eb="2">
      <t>ケイエイ</t>
    </rPh>
    <rPh sb="2" eb="4">
      <t>ガイキョウ</t>
    </rPh>
    <phoneticPr fontId="2"/>
  </si>
  <si>
    <t>農業従事者</t>
    <rPh sb="0" eb="2">
      <t>ノウギョウ</t>
    </rPh>
    <rPh sb="2" eb="5">
      <t>ジュウジシャ</t>
    </rPh>
    <phoneticPr fontId="2"/>
  </si>
  <si>
    <t>人</t>
    <rPh sb="0" eb="1">
      <t>ニン</t>
    </rPh>
    <phoneticPr fontId="2"/>
  </si>
  <si>
    <t>経営耕地面積</t>
    <rPh sb="0" eb="2">
      <t>ケイエイ</t>
    </rPh>
    <rPh sb="2" eb="4">
      <t>コウチ</t>
    </rPh>
    <rPh sb="4" eb="6">
      <t>メンセキ</t>
    </rPh>
    <phoneticPr fontId="2"/>
  </si>
  <si>
    <t>ａ</t>
    <phoneticPr fontId="2"/>
  </si>
  <si>
    <t>水田作作付延べ面積</t>
    <rPh sb="0" eb="2">
      <t>スイデン</t>
    </rPh>
    <rPh sb="2" eb="3">
      <t>サク</t>
    </rPh>
    <rPh sb="3" eb="5">
      <t>サクツケ</t>
    </rPh>
    <rPh sb="5" eb="6">
      <t>ノ</t>
    </rPh>
    <rPh sb="7" eb="9">
      <t>メンセキ</t>
    </rPh>
    <phoneticPr fontId="2"/>
  </si>
  <si>
    <t>作付面積</t>
    <rPh sb="0" eb="2">
      <t>サクツケ</t>
    </rPh>
    <rPh sb="2" eb="4">
      <t>メンセキ</t>
    </rPh>
    <phoneticPr fontId="2"/>
  </si>
  <si>
    <t>ａ</t>
  </si>
  <si>
    <t>10a当たり収量</t>
    <rPh sb="3" eb="4">
      <t>ア</t>
    </rPh>
    <rPh sb="6" eb="8">
      <t>シュウリョウ</t>
    </rPh>
    <phoneticPr fontId="2"/>
  </si>
  <si>
    <t>㎏</t>
    <phoneticPr fontId="2"/>
  </si>
  <si>
    <t>円</t>
    <rPh sb="0" eb="1">
      <t>エン</t>
    </rPh>
    <phoneticPr fontId="2"/>
  </si>
  <si>
    <t>畑作作付延べ面積</t>
    <rPh sb="0" eb="2">
      <t>ハタサク</t>
    </rPh>
    <rPh sb="2" eb="4">
      <t>サクツケ</t>
    </rPh>
    <rPh sb="4" eb="5">
      <t>ノ</t>
    </rPh>
    <rPh sb="6" eb="8">
      <t>メンセキ</t>
    </rPh>
    <phoneticPr fontId="2"/>
  </si>
  <si>
    <t>露地野菜
作付延べ面積</t>
    <rPh sb="0" eb="2">
      <t>ロジ</t>
    </rPh>
    <rPh sb="2" eb="4">
      <t>ヤサイ</t>
    </rPh>
    <rPh sb="5" eb="7">
      <t>サクツケ</t>
    </rPh>
    <rPh sb="7" eb="8">
      <t>ノ</t>
    </rPh>
    <rPh sb="9" eb="11">
      <t>メンセキ</t>
    </rPh>
    <phoneticPr fontId="2"/>
  </si>
  <si>
    <t>施設野菜
作付延べ面積</t>
    <rPh sb="0" eb="2">
      <t>シセツ</t>
    </rPh>
    <rPh sb="2" eb="4">
      <t>ヤサイ</t>
    </rPh>
    <rPh sb="5" eb="7">
      <t>サクツケ</t>
    </rPh>
    <rPh sb="7" eb="8">
      <t>ノ</t>
    </rPh>
    <rPh sb="9" eb="11">
      <t>メンセキ</t>
    </rPh>
    <phoneticPr fontId="2"/>
  </si>
  <si>
    <t>㎡</t>
    <phoneticPr fontId="2"/>
  </si>
  <si>
    <t>果樹植栽面積</t>
    <rPh sb="0" eb="2">
      <t>カジュ</t>
    </rPh>
    <rPh sb="2" eb="4">
      <t>ショクサイ</t>
    </rPh>
    <rPh sb="4" eb="6">
      <t>メンセキ</t>
    </rPh>
    <phoneticPr fontId="2"/>
  </si>
  <si>
    <t>露地花き
作付延べ面積</t>
    <rPh sb="0" eb="2">
      <t>ロジ</t>
    </rPh>
    <rPh sb="2" eb="3">
      <t>カ</t>
    </rPh>
    <rPh sb="5" eb="7">
      <t>サクツケ</t>
    </rPh>
    <rPh sb="7" eb="8">
      <t>ノ</t>
    </rPh>
    <rPh sb="9" eb="11">
      <t>メンセキ</t>
    </rPh>
    <phoneticPr fontId="2"/>
  </si>
  <si>
    <t>施設花き
作付延べ面積</t>
    <rPh sb="0" eb="2">
      <t>シセツ</t>
    </rPh>
    <rPh sb="2" eb="3">
      <t>カ</t>
    </rPh>
    <rPh sb="5" eb="7">
      <t>サクツケ</t>
    </rPh>
    <rPh sb="7" eb="8">
      <t>ノ</t>
    </rPh>
    <rPh sb="9" eb="11">
      <t>メンセキ</t>
    </rPh>
    <phoneticPr fontId="2"/>
  </si>
  <si>
    <t>月平均
搾乳牛飼養頭数</t>
    <rPh sb="0" eb="3">
      <t>ツキヘイキン</t>
    </rPh>
    <rPh sb="4" eb="6">
      <t>サクニュウ</t>
    </rPh>
    <rPh sb="6" eb="7">
      <t>ギュウ</t>
    </rPh>
    <rPh sb="7" eb="9">
      <t>シヨウ</t>
    </rPh>
    <rPh sb="9" eb="11">
      <t>トウスウ</t>
    </rPh>
    <phoneticPr fontId="2"/>
  </si>
  <si>
    <t>頭</t>
    <rPh sb="0" eb="1">
      <t>トウ</t>
    </rPh>
    <phoneticPr fontId="2"/>
  </si>
  <si>
    <t>酪農</t>
    <rPh sb="0" eb="2">
      <t>ラクノウ</t>
    </rPh>
    <phoneticPr fontId="2"/>
  </si>
  <si>
    <t>生乳生産量</t>
    <rPh sb="0" eb="2">
      <t>セイニュウ</t>
    </rPh>
    <rPh sb="2" eb="5">
      <t>セイサンリョウ</t>
    </rPh>
    <phoneticPr fontId="2"/>
  </si>
  <si>
    <t>㎏</t>
  </si>
  <si>
    <t>搾乳牛１頭
当たり乳量</t>
    <rPh sb="0" eb="2">
      <t>サクニュウ</t>
    </rPh>
    <rPh sb="2" eb="3">
      <t>ギュウ</t>
    </rPh>
    <rPh sb="4" eb="5">
      <t>トウ</t>
    </rPh>
    <rPh sb="6" eb="7">
      <t>ア</t>
    </rPh>
    <rPh sb="9" eb="11">
      <t>ニュウリョウ</t>
    </rPh>
    <phoneticPr fontId="2"/>
  </si>
  <si>
    <t>１kg当たり
生乳単価</t>
    <rPh sb="7" eb="9">
      <t>セイニュウ</t>
    </rPh>
    <rPh sb="9" eb="11">
      <t>タンカ</t>
    </rPh>
    <phoneticPr fontId="2"/>
  </si>
  <si>
    <t>自家生産和牛
販売頭数</t>
    <rPh sb="0" eb="2">
      <t>ジカ</t>
    </rPh>
    <rPh sb="2" eb="4">
      <t>セイサン</t>
    </rPh>
    <rPh sb="4" eb="6">
      <t>ワギュウ</t>
    </rPh>
    <rPh sb="7" eb="9">
      <t>ハンバイ</t>
    </rPh>
    <rPh sb="9" eb="11">
      <t>トウスウ</t>
    </rPh>
    <phoneticPr fontId="2"/>
  </si>
  <si>
    <t>自家生産和牛単価</t>
    <rPh sb="0" eb="2">
      <t>ジカ</t>
    </rPh>
    <rPh sb="2" eb="4">
      <t>セイサン</t>
    </rPh>
    <rPh sb="4" eb="6">
      <t>ワギュウ</t>
    </rPh>
    <rPh sb="6" eb="8">
      <t>タンカ</t>
    </rPh>
    <phoneticPr fontId="2"/>
  </si>
  <si>
    <t>月平均
肥育牛飼養頭数</t>
    <rPh sb="0" eb="3">
      <t>ツキヘイキン</t>
    </rPh>
    <rPh sb="4" eb="7">
      <t>ヒイクギュウ</t>
    </rPh>
    <rPh sb="7" eb="9">
      <t>シヨウ</t>
    </rPh>
    <rPh sb="9" eb="11">
      <t>トウスウ</t>
    </rPh>
    <phoneticPr fontId="2"/>
  </si>
  <si>
    <t>乳用種＋交雑種</t>
    <phoneticPr fontId="2"/>
  </si>
  <si>
    <t>肥育牛販売頭数</t>
    <rPh sb="0" eb="3">
      <t>ヒイクギュウ</t>
    </rPh>
    <rPh sb="3" eb="5">
      <t>ハンバイ</t>
    </rPh>
    <rPh sb="5" eb="7">
      <t>トウスウ</t>
    </rPh>
    <phoneticPr fontId="2"/>
  </si>
  <si>
    <t>肥育牛単価</t>
    <rPh sb="0" eb="3">
      <t>ヒイクギュウ</t>
    </rPh>
    <rPh sb="3" eb="5">
      <t>タンカ</t>
    </rPh>
    <phoneticPr fontId="2"/>
  </si>
  <si>
    <t>月平均
肥育豚飼養頭数</t>
    <rPh sb="0" eb="3">
      <t>ツキヘイキン</t>
    </rPh>
    <rPh sb="4" eb="6">
      <t>ヒイク</t>
    </rPh>
    <rPh sb="6" eb="7">
      <t>トン</t>
    </rPh>
    <rPh sb="7" eb="9">
      <t>シヨウ</t>
    </rPh>
    <rPh sb="9" eb="11">
      <t>トウスウ</t>
    </rPh>
    <phoneticPr fontId="2"/>
  </si>
  <si>
    <t>肉豚販売頭数</t>
    <rPh sb="0" eb="1">
      <t>ニク</t>
    </rPh>
    <rPh sb="1" eb="2">
      <t>ブタ</t>
    </rPh>
    <rPh sb="2" eb="4">
      <t>ハンバイ</t>
    </rPh>
    <rPh sb="4" eb="6">
      <t>トウスウ</t>
    </rPh>
    <phoneticPr fontId="2"/>
  </si>
  <si>
    <t>子豚販売頭数</t>
    <rPh sb="0" eb="2">
      <t>コブタ</t>
    </rPh>
    <rPh sb="2" eb="4">
      <t>ハンバイ</t>
    </rPh>
    <rPh sb="4" eb="6">
      <t>トウスウ</t>
    </rPh>
    <phoneticPr fontId="2"/>
  </si>
  <si>
    <t>肉豚単価</t>
    <rPh sb="0" eb="1">
      <t>ニク</t>
    </rPh>
    <rPh sb="1" eb="2">
      <t>ブタ</t>
    </rPh>
    <rPh sb="2" eb="4">
      <t>タンカ</t>
    </rPh>
    <phoneticPr fontId="2"/>
  </si>
  <si>
    <t>採卵養鶏</t>
    <rPh sb="0" eb="2">
      <t>サイラン</t>
    </rPh>
    <rPh sb="2" eb="4">
      <t>ヨウケイ</t>
    </rPh>
    <phoneticPr fontId="2"/>
  </si>
  <si>
    <t>月平均
採卵鶏飼養羽数</t>
    <rPh sb="0" eb="3">
      <t>ツキヘイキン</t>
    </rPh>
    <rPh sb="4" eb="7">
      <t>サイランケイ</t>
    </rPh>
    <rPh sb="7" eb="9">
      <t>シヨウ</t>
    </rPh>
    <rPh sb="9" eb="10">
      <t>ハネ</t>
    </rPh>
    <rPh sb="10" eb="11">
      <t>スウ</t>
    </rPh>
    <phoneticPr fontId="2"/>
  </si>
  <si>
    <t>羽</t>
    <rPh sb="0" eb="1">
      <t>ハ</t>
    </rPh>
    <phoneticPr fontId="2"/>
  </si>
  <si>
    <t>鶏卵生産量</t>
    <rPh sb="0" eb="2">
      <t>ケイラン</t>
    </rPh>
    <rPh sb="2" eb="5">
      <t>セイサンリョウ</t>
    </rPh>
    <phoneticPr fontId="2"/>
  </si>
  <si>
    <t>１㎏当たり
鶏卵単価</t>
    <rPh sb="2" eb="3">
      <t>ア</t>
    </rPh>
    <rPh sb="6" eb="8">
      <t>ケイラン</t>
    </rPh>
    <rPh sb="8" eb="10">
      <t>タンカ</t>
    </rPh>
    <phoneticPr fontId="2"/>
  </si>
  <si>
    <t>ブロイラー
養鶏</t>
    <rPh sb="6" eb="8">
      <t>ヨウケイ</t>
    </rPh>
    <phoneticPr fontId="2"/>
  </si>
  <si>
    <t>ブロイラー販売羽数</t>
    <rPh sb="5" eb="7">
      <t>ハンバイ</t>
    </rPh>
    <rPh sb="7" eb="8">
      <t>ハネ</t>
    </rPh>
    <rPh sb="8" eb="9">
      <t>スウ</t>
    </rPh>
    <phoneticPr fontId="2"/>
  </si>
  <si>
    <t>１羽当たり
ブロイラー単価</t>
    <rPh sb="1" eb="2">
      <t>ハ</t>
    </rPh>
    <rPh sb="2" eb="3">
      <t>ア</t>
    </rPh>
    <rPh sb="11" eb="13">
      <t>タンカ</t>
    </rPh>
    <phoneticPr fontId="2"/>
  </si>
  <si>
    <t>農業労働時間</t>
    <rPh sb="0" eb="2">
      <t>ノウギョウ</t>
    </rPh>
    <rPh sb="2" eb="4">
      <t>ロウドウ</t>
    </rPh>
    <rPh sb="4" eb="6">
      <t>ジカン</t>
    </rPh>
    <phoneticPr fontId="2"/>
  </si>
  <si>
    <t>時間</t>
    <rPh sb="0" eb="2">
      <t>ジカン</t>
    </rPh>
    <phoneticPr fontId="2"/>
  </si>
  <si>
    <t>有給役員</t>
    <rPh sb="0" eb="2">
      <t>ユウキュウ</t>
    </rPh>
    <rPh sb="2" eb="4">
      <t>ヤクイン</t>
    </rPh>
    <phoneticPr fontId="2"/>
  </si>
  <si>
    <t>雇用者</t>
    <rPh sb="0" eb="2">
      <t>コヨウ</t>
    </rPh>
    <rPh sb="2" eb="3">
      <t>シャ</t>
    </rPh>
    <phoneticPr fontId="2"/>
  </si>
  <si>
    <t>主食用米</t>
    <rPh sb="0" eb="3">
      <t>シュショクヨウ</t>
    </rPh>
    <rPh sb="3" eb="4">
      <t>マイ</t>
    </rPh>
    <phoneticPr fontId="2"/>
  </si>
  <si>
    <t>主食用米（田）</t>
    <rPh sb="0" eb="3">
      <t>シュショクヨウ</t>
    </rPh>
    <rPh sb="3" eb="4">
      <t>マイ</t>
    </rPh>
    <rPh sb="5" eb="6">
      <t>デン</t>
    </rPh>
    <phoneticPr fontId="2"/>
  </si>
  <si>
    <t>加工用米</t>
    <rPh sb="0" eb="3">
      <t>カコウヨウ</t>
    </rPh>
    <rPh sb="3" eb="4">
      <t>マイ</t>
    </rPh>
    <phoneticPr fontId="2"/>
  </si>
  <si>
    <t>加工用米（田）</t>
    <rPh sb="0" eb="3">
      <t>カコウヨウ</t>
    </rPh>
    <rPh sb="3" eb="4">
      <t>マイ</t>
    </rPh>
    <rPh sb="5" eb="6">
      <t>タ</t>
    </rPh>
    <phoneticPr fontId="2"/>
  </si>
  <si>
    <t>麦類作付面積</t>
    <rPh sb="0" eb="1">
      <t>ムギ</t>
    </rPh>
    <rPh sb="1" eb="2">
      <t>ルイ</t>
    </rPh>
    <rPh sb="2" eb="4">
      <t>サクツケ</t>
    </rPh>
    <rPh sb="4" eb="6">
      <t>メンセキ</t>
    </rPh>
    <phoneticPr fontId="2"/>
  </si>
  <si>
    <t>いも類作付面積</t>
    <rPh sb="2" eb="3">
      <t>ルイ</t>
    </rPh>
    <rPh sb="3" eb="5">
      <t>サクツケ</t>
    </rPh>
    <rPh sb="5" eb="7">
      <t>メンセキ</t>
    </rPh>
    <phoneticPr fontId="2"/>
  </si>
  <si>
    <t>工芸農作物作付面積</t>
    <rPh sb="0" eb="2">
      <t>コウゲイ</t>
    </rPh>
    <rPh sb="2" eb="5">
      <t>ノウサクモツ</t>
    </rPh>
    <rPh sb="5" eb="7">
      <t>サクツケ</t>
    </rPh>
    <rPh sb="7" eb="9">
      <t>メンセキ</t>
    </rPh>
    <phoneticPr fontId="2"/>
  </si>
  <si>
    <t>麦類作付面積（田）</t>
    <rPh sb="0" eb="1">
      <t>ムギ</t>
    </rPh>
    <rPh sb="1" eb="2">
      <t>ルイ</t>
    </rPh>
    <rPh sb="2" eb="4">
      <t>サクツケ</t>
    </rPh>
    <rPh sb="4" eb="6">
      <t>メンセキ</t>
    </rPh>
    <rPh sb="7" eb="8">
      <t>デン</t>
    </rPh>
    <phoneticPr fontId="2"/>
  </si>
  <si>
    <t>豆類作付面積（田）</t>
    <rPh sb="0" eb="2">
      <t>マメルイ</t>
    </rPh>
    <rPh sb="2" eb="4">
      <t>サクツケ</t>
    </rPh>
    <rPh sb="4" eb="6">
      <t>メンセキ</t>
    </rPh>
    <rPh sb="7" eb="8">
      <t>デン</t>
    </rPh>
    <phoneticPr fontId="2"/>
  </si>
  <si>
    <t>雑穀作付面積（田）</t>
    <rPh sb="0" eb="2">
      <t>ザッコク</t>
    </rPh>
    <rPh sb="2" eb="4">
      <t>サクツケ</t>
    </rPh>
    <rPh sb="4" eb="6">
      <t>メンセキ</t>
    </rPh>
    <rPh sb="7" eb="8">
      <t>デン</t>
    </rPh>
    <phoneticPr fontId="2"/>
  </si>
  <si>
    <t>いも類作付面積（田）</t>
    <rPh sb="2" eb="3">
      <t>ルイ</t>
    </rPh>
    <rPh sb="3" eb="5">
      <t>サクツケ</t>
    </rPh>
    <rPh sb="5" eb="7">
      <t>メンセキ</t>
    </rPh>
    <rPh sb="8" eb="9">
      <t>デン</t>
    </rPh>
    <phoneticPr fontId="2"/>
  </si>
  <si>
    <t>工芸農作物作付面積（田）</t>
    <rPh sb="0" eb="2">
      <t>コウゲイ</t>
    </rPh>
    <rPh sb="2" eb="5">
      <t>ノウサクモツ</t>
    </rPh>
    <rPh sb="5" eb="7">
      <t>サクツケ</t>
    </rPh>
    <rPh sb="7" eb="9">
      <t>メンセキ</t>
    </rPh>
    <rPh sb="10" eb="11">
      <t>デン</t>
    </rPh>
    <phoneticPr fontId="2"/>
  </si>
  <si>
    <t>陸稲作付面積（主食用米（畑））</t>
    <rPh sb="0" eb="2">
      <t>リクトウ</t>
    </rPh>
    <rPh sb="2" eb="4">
      <t>サクツケ</t>
    </rPh>
    <rPh sb="4" eb="6">
      <t>メンセキ</t>
    </rPh>
    <rPh sb="7" eb="10">
      <t>シュショクヨウ</t>
    </rPh>
    <rPh sb="10" eb="11">
      <t>マイ</t>
    </rPh>
    <rPh sb="12" eb="13">
      <t>ハタ</t>
    </rPh>
    <phoneticPr fontId="2"/>
  </si>
  <si>
    <t>加工用米（畑）</t>
    <rPh sb="0" eb="3">
      <t>カコウヨウ</t>
    </rPh>
    <rPh sb="3" eb="4">
      <t>マイ</t>
    </rPh>
    <rPh sb="5" eb="6">
      <t>ハタ</t>
    </rPh>
    <phoneticPr fontId="2"/>
  </si>
  <si>
    <t>麦類作付面積（畑）</t>
    <rPh sb="0" eb="1">
      <t>ムギ</t>
    </rPh>
    <rPh sb="1" eb="2">
      <t>ルイ</t>
    </rPh>
    <rPh sb="2" eb="4">
      <t>サクツケ</t>
    </rPh>
    <rPh sb="4" eb="6">
      <t>メンセキ</t>
    </rPh>
    <rPh sb="7" eb="8">
      <t>ハタ</t>
    </rPh>
    <phoneticPr fontId="2"/>
  </si>
  <si>
    <t>いも類作付面積（畑）</t>
    <rPh sb="2" eb="3">
      <t>ルイ</t>
    </rPh>
    <rPh sb="3" eb="5">
      <t>サクツケ</t>
    </rPh>
    <rPh sb="5" eb="7">
      <t>メンセキ</t>
    </rPh>
    <rPh sb="8" eb="9">
      <t>ハタ</t>
    </rPh>
    <phoneticPr fontId="2"/>
  </si>
  <si>
    <t>工芸農作物作付面積（畑）</t>
    <rPh sb="0" eb="2">
      <t>コウゲイ</t>
    </rPh>
    <rPh sb="2" eb="5">
      <t>ノウサクモツ</t>
    </rPh>
    <rPh sb="5" eb="7">
      <t>サクツケ</t>
    </rPh>
    <rPh sb="7" eb="9">
      <t>メンセキ</t>
    </rPh>
    <rPh sb="10" eb="11">
      <t>ハタ</t>
    </rPh>
    <phoneticPr fontId="2"/>
  </si>
  <si>
    <t>茶植栽面積</t>
    <rPh sb="0" eb="1">
      <t>チャ</t>
    </rPh>
    <rPh sb="1" eb="3">
      <t>ショクサイ</t>
    </rPh>
    <rPh sb="3" eb="5">
      <t>メンセキ</t>
    </rPh>
    <phoneticPr fontId="2"/>
  </si>
  <si>
    <t>てんさい（田）</t>
    <rPh sb="5" eb="6">
      <t>デン</t>
    </rPh>
    <phoneticPr fontId="2"/>
  </si>
  <si>
    <t>さとうきび（田）</t>
    <rPh sb="6" eb="7">
      <t>デン</t>
    </rPh>
    <phoneticPr fontId="2"/>
  </si>
  <si>
    <t>その他工芸（田）</t>
    <rPh sb="2" eb="5">
      <t>タコウゲイ</t>
    </rPh>
    <rPh sb="6" eb="7">
      <t>デン</t>
    </rPh>
    <phoneticPr fontId="2"/>
  </si>
  <si>
    <t>対前年
増減差</t>
    <rPh sb="0" eb="1">
      <t>タイ</t>
    </rPh>
    <rPh sb="1" eb="3">
      <t>ゼンネン</t>
    </rPh>
    <rPh sb="6" eb="7">
      <t>サ</t>
    </rPh>
    <phoneticPr fontId="2"/>
  </si>
  <si>
    <t>雑穀収入</t>
    <rPh sb="0" eb="2">
      <t>ザッコク</t>
    </rPh>
    <rPh sb="2" eb="4">
      <t>シュウニュウ</t>
    </rPh>
    <phoneticPr fontId="2"/>
  </si>
  <si>
    <t>露地鉢物</t>
    <rPh sb="0" eb="2">
      <t>ロジ</t>
    </rPh>
    <rPh sb="2" eb="4">
      <t>ハチモノ</t>
    </rPh>
    <phoneticPr fontId="2"/>
  </si>
  <si>
    <t>飼料作物収入</t>
    <rPh sb="0" eb="2">
      <t>シリョウ</t>
    </rPh>
    <rPh sb="2" eb="4">
      <t>サクモツ</t>
    </rPh>
    <rPh sb="4" eb="6">
      <t>シュウニュウ</t>
    </rPh>
    <phoneticPr fontId="2"/>
  </si>
  <si>
    <t>その他の作物収入</t>
    <rPh sb="2" eb="3">
      <t>タ</t>
    </rPh>
    <rPh sb="4" eb="6">
      <t>サクモツ</t>
    </rPh>
    <rPh sb="6" eb="8">
      <t>シュウニュウ</t>
    </rPh>
    <phoneticPr fontId="2"/>
  </si>
  <si>
    <t>自家生産乳牛等</t>
    <rPh sb="0" eb="2">
      <t>ジカ</t>
    </rPh>
    <rPh sb="2" eb="4">
      <t>セイサン</t>
    </rPh>
    <rPh sb="4" eb="6">
      <t>ニュウギュウ</t>
    </rPh>
    <rPh sb="6" eb="7">
      <t>トウ</t>
    </rPh>
    <phoneticPr fontId="2"/>
  </si>
  <si>
    <t>その他畜産物収入</t>
    <rPh sb="2" eb="3">
      <t>タ</t>
    </rPh>
    <rPh sb="3" eb="6">
      <t>チクサンブツ</t>
    </rPh>
    <rPh sb="6" eb="8">
      <t>シュウニュウ</t>
    </rPh>
    <phoneticPr fontId="2"/>
  </si>
  <si>
    <t>農産物棚卸高
（期末－期首）</t>
    <rPh sb="0" eb="3">
      <t>ノウサンブツ</t>
    </rPh>
    <rPh sb="3" eb="6">
      <t>タナオロシダカ</t>
    </rPh>
    <rPh sb="8" eb="10">
      <t>キマツ</t>
    </rPh>
    <rPh sb="11" eb="13">
      <t>キシュ</t>
    </rPh>
    <phoneticPr fontId="2"/>
  </si>
  <si>
    <t>家計・事業消費</t>
    <rPh sb="0" eb="2">
      <t>カケイ</t>
    </rPh>
    <rPh sb="3" eb="5">
      <t>ジギョウ</t>
    </rPh>
    <rPh sb="5" eb="7">
      <t>ショウヒ</t>
    </rPh>
    <phoneticPr fontId="2"/>
  </si>
  <si>
    <t>農業経営費②</t>
    <rPh sb="0" eb="2">
      <t>ノウギョウ</t>
    </rPh>
    <rPh sb="2" eb="5">
      <t>ケイエイヒ</t>
    </rPh>
    <phoneticPr fontId="2"/>
  </si>
  <si>
    <t>作業用衣料費</t>
    <rPh sb="0" eb="3">
      <t>サギョウヨウ</t>
    </rPh>
    <rPh sb="3" eb="6">
      <t>イリョウヒ</t>
    </rPh>
    <phoneticPr fontId="2"/>
  </si>
  <si>
    <t>土地改良費</t>
    <rPh sb="0" eb="5">
      <t>トチカイリョウヒ</t>
    </rPh>
    <phoneticPr fontId="4"/>
  </si>
  <si>
    <t>租税公課</t>
    <rPh sb="0" eb="4">
      <t>ソゼイコウカ</t>
    </rPh>
    <phoneticPr fontId="4"/>
  </si>
  <si>
    <t>利子割引料</t>
    <rPh sb="0" eb="5">
      <t>リシワリビキリョウ</t>
    </rPh>
    <phoneticPr fontId="4"/>
  </si>
  <si>
    <t>農業雑支出</t>
    <rPh sb="0" eb="5">
      <t>ノウギョウザツシシュツ</t>
    </rPh>
    <phoneticPr fontId="4"/>
  </si>
  <si>
    <t>共済等掛金</t>
    <rPh sb="0" eb="2">
      <t>キョウサイ</t>
    </rPh>
    <rPh sb="2" eb="3">
      <t>トウ</t>
    </rPh>
    <rPh sb="3" eb="4">
      <t>カ</t>
    </rPh>
    <rPh sb="4" eb="5">
      <t>キン</t>
    </rPh>
    <phoneticPr fontId="4"/>
  </si>
  <si>
    <t>棚卸高（農産物以外）増減</t>
    <rPh sb="0" eb="2">
      <t>タナオロシ</t>
    </rPh>
    <rPh sb="2" eb="3">
      <t>ダカ</t>
    </rPh>
    <rPh sb="4" eb="7">
      <t>ノウサンブツ</t>
    </rPh>
    <rPh sb="7" eb="9">
      <t>イガイ</t>
    </rPh>
    <rPh sb="10" eb="12">
      <t>ゾウゲン</t>
    </rPh>
    <phoneticPr fontId="4"/>
  </si>
  <si>
    <t>期首材料棚卸高</t>
    <rPh sb="0" eb="4">
      <t>キシュザイリョウ</t>
    </rPh>
    <rPh sb="4" eb="7">
      <t>タナオロシダカ</t>
    </rPh>
    <phoneticPr fontId="4"/>
  </si>
  <si>
    <t>期末材料棚卸高</t>
    <rPh sb="0" eb="4">
      <t>キマツザイリョウ</t>
    </rPh>
    <rPh sb="4" eb="7">
      <t>タナオロシダカ</t>
    </rPh>
    <phoneticPr fontId="4"/>
  </si>
  <si>
    <t>仕掛品棚卸高増減</t>
    <rPh sb="0" eb="2">
      <t>シカカリ</t>
    </rPh>
    <rPh sb="2" eb="3">
      <t>ヒン</t>
    </rPh>
    <rPh sb="3" eb="5">
      <t>タナオロシ</t>
    </rPh>
    <rPh sb="5" eb="6">
      <t>ダカ</t>
    </rPh>
    <rPh sb="6" eb="8">
      <t>ゾウゲン</t>
    </rPh>
    <phoneticPr fontId="4"/>
  </si>
  <si>
    <t>牛馬等育成費用</t>
    <rPh sb="0" eb="2">
      <t>ギュウバ</t>
    </rPh>
    <rPh sb="2" eb="3">
      <t>トウ</t>
    </rPh>
    <rPh sb="3" eb="5">
      <t>イクセイ</t>
    </rPh>
    <rPh sb="5" eb="7">
      <t>ヒヨウ</t>
    </rPh>
    <phoneticPr fontId="4"/>
  </si>
  <si>
    <t>農業所得　③＝①－②</t>
    <rPh sb="0" eb="2">
      <t>ノウギョウ</t>
    </rPh>
    <rPh sb="2" eb="4">
      <t>ショトク</t>
    </rPh>
    <phoneticPr fontId="2"/>
  </si>
  <si>
    <t>事業収入</t>
    <rPh sb="0" eb="2">
      <t>ジギョウ</t>
    </rPh>
    <rPh sb="2" eb="4">
      <t>シュウニュウ</t>
    </rPh>
    <phoneticPr fontId="2"/>
  </si>
  <si>
    <t>農業収入</t>
    <rPh sb="0" eb="4">
      <t>ノウギョウシュウニュウ</t>
    </rPh>
    <phoneticPr fontId="2"/>
  </si>
  <si>
    <t>農業生産関連事業収入</t>
    <rPh sb="0" eb="10">
      <t>ノウギョウセイサンカンレンジギョウシュウニュウ</t>
    </rPh>
    <phoneticPr fontId="2"/>
  </si>
  <si>
    <t>農外事業収入</t>
    <rPh sb="0" eb="4">
      <t>ノウガイジギョウ</t>
    </rPh>
    <rPh sb="4" eb="6">
      <t>シュウニュウ</t>
    </rPh>
    <phoneticPr fontId="2"/>
  </si>
  <si>
    <t>事業支出</t>
    <rPh sb="0" eb="2">
      <t>ジギョウ</t>
    </rPh>
    <rPh sb="2" eb="4">
      <t>シシュツ</t>
    </rPh>
    <phoneticPr fontId="2"/>
  </si>
  <si>
    <t>農業支出</t>
    <phoneticPr fontId="2"/>
  </si>
  <si>
    <t>農業生産関連事業支出</t>
    <phoneticPr fontId="2"/>
  </si>
  <si>
    <t>農外事業支出</t>
    <rPh sb="0" eb="4">
      <t>ノウガイジギョウ</t>
    </rPh>
    <phoneticPr fontId="2"/>
  </si>
  <si>
    <t>事　　　業</t>
    <rPh sb="0" eb="1">
      <t>コト</t>
    </rPh>
    <rPh sb="4" eb="5">
      <t>ギョウ</t>
    </rPh>
    <phoneticPr fontId="4"/>
  </si>
  <si>
    <t>売上原価</t>
    <rPh sb="0" eb="4">
      <t>ウリアゲゲンカ</t>
    </rPh>
    <phoneticPr fontId="4"/>
  </si>
  <si>
    <t>期首棚卸高</t>
    <rPh sb="0" eb="2">
      <t>キシュ</t>
    </rPh>
    <rPh sb="2" eb="5">
      <t>タナオロシダカ</t>
    </rPh>
    <phoneticPr fontId="4"/>
  </si>
  <si>
    <t>商品仕入高</t>
    <rPh sb="0" eb="5">
      <t>ショウヒンシイレダカ</t>
    </rPh>
    <phoneticPr fontId="4"/>
  </si>
  <si>
    <t>製造原価</t>
    <rPh sb="0" eb="4">
      <t>セイゾウゲンカ</t>
    </rPh>
    <phoneticPr fontId="4"/>
  </si>
  <si>
    <t>生物売却原価</t>
    <rPh sb="0" eb="6">
      <t>セイブツバイキャクゲンカ</t>
    </rPh>
    <phoneticPr fontId="4"/>
  </si>
  <si>
    <t>期末棚卸高</t>
    <rPh sb="0" eb="2">
      <t>キマツ</t>
    </rPh>
    <rPh sb="2" eb="5">
      <t>タナオロシダカ</t>
    </rPh>
    <phoneticPr fontId="4"/>
  </si>
  <si>
    <t>販売費及び一般管理費</t>
    <rPh sb="0" eb="3">
      <t>ハンバイヒ</t>
    </rPh>
    <rPh sb="3" eb="4">
      <t>オヨ</t>
    </rPh>
    <rPh sb="5" eb="10">
      <t>イッパンカンリヒ</t>
    </rPh>
    <phoneticPr fontId="4"/>
  </si>
  <si>
    <t>農　　　業</t>
    <rPh sb="0" eb="1">
      <t>ノウ</t>
    </rPh>
    <rPh sb="4" eb="5">
      <t>ギョウ</t>
    </rPh>
    <phoneticPr fontId="4"/>
  </si>
  <si>
    <t>売上総利益（事業）</t>
    <rPh sb="0" eb="5">
      <t>ウリアゲソウリエキ</t>
    </rPh>
    <rPh sb="6" eb="8">
      <t>ジギョウ</t>
    </rPh>
    <phoneticPr fontId="2"/>
  </si>
  <si>
    <t>売上総利益（農業）</t>
    <rPh sb="0" eb="5">
      <t>ウリアゲソウリエキ</t>
    </rPh>
    <rPh sb="6" eb="8">
      <t>ノウギョウ</t>
    </rPh>
    <phoneticPr fontId="4"/>
  </si>
  <si>
    <t>営業利益（事業）</t>
    <rPh sb="0" eb="2">
      <t>エイギョウ</t>
    </rPh>
    <rPh sb="2" eb="4">
      <t>リエキ</t>
    </rPh>
    <rPh sb="5" eb="7">
      <t>ジギョウ</t>
    </rPh>
    <phoneticPr fontId="2"/>
  </si>
  <si>
    <t>営業利益（農業）</t>
    <rPh sb="0" eb="4">
      <t>エイギョウリエキ</t>
    </rPh>
    <rPh sb="5" eb="7">
      <t>ノウギョウ</t>
    </rPh>
    <phoneticPr fontId="4"/>
  </si>
  <si>
    <t>営業外収益</t>
    <rPh sb="0" eb="5">
      <t>エイギョウガイシュウエキ</t>
    </rPh>
    <phoneticPr fontId="2"/>
  </si>
  <si>
    <t>営業外費用</t>
    <rPh sb="0" eb="5">
      <t>エイギョウガイヒヨウ</t>
    </rPh>
    <phoneticPr fontId="2"/>
  </si>
  <si>
    <t>経常利益</t>
    <rPh sb="0" eb="4">
      <t>ケイジョウリエキ</t>
    </rPh>
    <phoneticPr fontId="2"/>
  </si>
  <si>
    <t>特別利益</t>
    <rPh sb="0" eb="4">
      <t>トクベツリエキ</t>
    </rPh>
    <phoneticPr fontId="2"/>
  </si>
  <si>
    <t>特別損失</t>
    <rPh sb="0" eb="4">
      <t>トクベツソンシツ</t>
    </rPh>
    <phoneticPr fontId="2"/>
  </si>
  <si>
    <t>税引前当期純利益</t>
    <rPh sb="0" eb="3">
      <t>ゼイビキマエ</t>
    </rPh>
    <rPh sb="3" eb="8">
      <t>トウキジュンリエキ</t>
    </rPh>
    <phoneticPr fontId="2"/>
  </si>
  <si>
    <t>法人税等引当金</t>
    <rPh sb="0" eb="3">
      <t>ホウジンゼイ</t>
    </rPh>
    <rPh sb="3" eb="4">
      <t>トウ</t>
    </rPh>
    <rPh sb="4" eb="7">
      <t>ヒキアテキン</t>
    </rPh>
    <phoneticPr fontId="2"/>
  </si>
  <si>
    <t>当期純利益</t>
    <rPh sb="0" eb="5">
      <t>トウキジュンリエキ</t>
    </rPh>
    <phoneticPr fontId="2"/>
  </si>
  <si>
    <t>有給役員</t>
    <phoneticPr fontId="2"/>
  </si>
  <si>
    <t>借入地</t>
    <rPh sb="0" eb="3">
      <t>カリイレチ</t>
    </rPh>
    <phoneticPr fontId="4"/>
  </si>
  <si>
    <t>稲作(水稲)</t>
    <rPh sb="0" eb="2">
      <t>イナサク</t>
    </rPh>
    <rPh sb="3" eb="5">
      <t>スイトウ</t>
    </rPh>
    <phoneticPr fontId="2"/>
  </si>
  <si>
    <t>60kg当たり価格
（主食用米）</t>
  </si>
  <si>
    <t>水稲作付面積</t>
    <rPh sb="0" eb="6">
      <t>スイトウサクツケメンセキ</t>
    </rPh>
    <phoneticPr fontId="2"/>
  </si>
  <si>
    <t>小麦</t>
    <rPh sb="0" eb="2">
      <t>コムギ</t>
    </rPh>
    <phoneticPr fontId="2"/>
  </si>
  <si>
    <t>60kg当たり価格</t>
  </si>
  <si>
    <t>大豆</t>
    <rPh sb="0" eb="2">
      <t>ダイズ</t>
    </rPh>
    <phoneticPr fontId="2"/>
  </si>
  <si>
    <t>かんしょ</t>
    <phoneticPr fontId="2"/>
  </si>
  <si>
    <t>100kg当たり価格</t>
    <phoneticPr fontId="2"/>
  </si>
  <si>
    <t>ばれいしょ</t>
    <phoneticPr fontId="2"/>
  </si>
  <si>
    <t>1t当たり価格</t>
    <phoneticPr fontId="2"/>
  </si>
  <si>
    <t>植栽面積</t>
    <rPh sb="0" eb="4">
      <t>ショクサイメンセキ</t>
    </rPh>
    <phoneticPr fontId="2"/>
  </si>
  <si>
    <t>露地切り花</t>
    <rPh sb="2" eb="3">
      <t>キ</t>
    </rPh>
    <rPh sb="4" eb="5">
      <t>バナ</t>
    </rPh>
    <phoneticPr fontId="2"/>
  </si>
  <si>
    <t>露地鉢物</t>
    <rPh sb="2" eb="4">
      <t>ハチモノ</t>
    </rPh>
    <phoneticPr fontId="2"/>
  </si>
  <si>
    <t>施設切り花</t>
    <rPh sb="2" eb="3">
      <t>キ</t>
    </rPh>
    <rPh sb="4" eb="5">
      <t>バナ</t>
    </rPh>
    <phoneticPr fontId="2"/>
  </si>
  <si>
    <t>施設鉢物</t>
    <rPh sb="2" eb="4">
      <t>ハチモノ</t>
    </rPh>
    <phoneticPr fontId="2"/>
  </si>
  <si>
    <t>飼料作物
作付延べ面積</t>
    <rPh sb="0" eb="4">
      <t>シリョウサクモツ</t>
    </rPh>
    <rPh sb="5" eb="7">
      <t>サクツケ</t>
    </rPh>
    <rPh sb="7" eb="8">
      <t>ノ</t>
    </rPh>
    <rPh sb="9" eb="11">
      <t>メンセキ</t>
    </rPh>
    <phoneticPr fontId="2"/>
  </si>
  <si>
    <t>飼料用米面積</t>
    <rPh sb="0" eb="4">
      <t>シリョウヨウマイ</t>
    </rPh>
    <rPh sb="4" eb="6">
      <t>メンセキ</t>
    </rPh>
    <phoneticPr fontId="2"/>
  </si>
  <si>
    <t>飼料用米生産量</t>
    <rPh sb="0" eb="4">
      <t>シリョウヨウマイ</t>
    </rPh>
    <rPh sb="4" eb="7">
      <t>セイサンリョウ</t>
    </rPh>
    <phoneticPr fontId="2"/>
  </si>
  <si>
    <t>kg</t>
    <phoneticPr fontId="2"/>
  </si>
  <si>
    <t>自家生産乳牛等
販売頭数</t>
    <rPh sb="0" eb="7">
      <t>ジカセイサンニュウギュウトウ</t>
    </rPh>
    <rPh sb="8" eb="12">
      <t>ハンバイトウスウ</t>
    </rPh>
    <phoneticPr fontId="2"/>
  </si>
  <si>
    <t>頭</t>
    <rPh sb="0" eb="1">
      <t>アタマ</t>
    </rPh>
    <phoneticPr fontId="2"/>
  </si>
  <si>
    <t>自家生産乳牛等
１頭当たり単価</t>
    <rPh sb="0" eb="7">
      <t>ジカセイサンニュウギュウトウ</t>
    </rPh>
    <rPh sb="9" eb="10">
      <t>トウ</t>
    </rPh>
    <rPh sb="10" eb="11">
      <t>ア</t>
    </rPh>
    <rPh sb="13" eb="15">
      <t>タンカ</t>
    </rPh>
    <phoneticPr fontId="2"/>
  </si>
  <si>
    <t>肉専用種単価</t>
    <rPh sb="0" eb="4">
      <t>ニクセンヨウシュ</t>
    </rPh>
    <rPh sb="4" eb="6">
      <t>タンカ</t>
    </rPh>
    <phoneticPr fontId="4"/>
  </si>
  <si>
    <t>乳用種単価</t>
    <rPh sb="0" eb="3">
      <t>ニュウヨウシュ</t>
    </rPh>
    <rPh sb="3" eb="5">
      <t>タンカ</t>
    </rPh>
    <phoneticPr fontId="4"/>
  </si>
  <si>
    <t>交雑種単価</t>
    <rPh sb="0" eb="3">
      <t>コウザツシュ</t>
    </rPh>
    <rPh sb="3" eb="5">
      <t>タンカ</t>
    </rPh>
    <phoneticPr fontId="4"/>
  </si>
  <si>
    <t>子豚単価</t>
    <rPh sb="0" eb="1">
      <t>コ</t>
    </rPh>
    <rPh sb="1" eb="2">
      <t>ブタ</t>
    </rPh>
    <rPh sb="2" eb="4">
      <t>タンカ</t>
    </rPh>
    <phoneticPr fontId="2"/>
  </si>
  <si>
    <t>貸借対照表</t>
    <rPh sb="0" eb="5">
      <t>タイシャクタイショウヒョウ</t>
    </rPh>
    <phoneticPr fontId="4"/>
  </si>
  <si>
    <t>資産</t>
    <rPh sb="0" eb="2">
      <t>シサン</t>
    </rPh>
    <phoneticPr fontId="4"/>
  </si>
  <si>
    <t>流動資産</t>
    <rPh sb="0" eb="4">
      <t>リュウドウシサン</t>
    </rPh>
    <phoneticPr fontId="2"/>
  </si>
  <si>
    <t>固定資産（事業）</t>
    <rPh sb="0" eb="4">
      <t>コテイシサン</t>
    </rPh>
    <rPh sb="5" eb="7">
      <t>ジギョウ</t>
    </rPh>
    <phoneticPr fontId="2"/>
  </si>
  <si>
    <t>有形固定資産（事業）</t>
    <rPh sb="0" eb="6">
      <t>ユウケイコテイシサン</t>
    </rPh>
    <rPh sb="7" eb="9">
      <t>ジギョウ</t>
    </rPh>
    <phoneticPr fontId="4"/>
  </si>
  <si>
    <t>負債</t>
    <rPh sb="0" eb="2">
      <t>フサイ</t>
    </rPh>
    <phoneticPr fontId="2"/>
  </si>
  <si>
    <t>流動負債</t>
    <rPh sb="0" eb="2">
      <t>リュウドウ</t>
    </rPh>
    <rPh sb="2" eb="4">
      <t>フサイ</t>
    </rPh>
    <phoneticPr fontId="2"/>
  </si>
  <si>
    <t>固定負債</t>
    <rPh sb="0" eb="2">
      <t>コテイ</t>
    </rPh>
    <rPh sb="2" eb="4">
      <t>フサイ</t>
    </rPh>
    <phoneticPr fontId="2"/>
  </si>
  <si>
    <t>純資産</t>
    <rPh sb="0" eb="3">
      <t>ジュンシサン</t>
    </rPh>
    <phoneticPr fontId="4"/>
  </si>
  <si>
    <t>農業固定資産額</t>
    <rPh sb="0" eb="6">
      <t>ノウギョウコテイシサン</t>
    </rPh>
    <rPh sb="6" eb="7">
      <t>ガク</t>
    </rPh>
    <phoneticPr fontId="4"/>
  </si>
  <si>
    <t>農業有形固定資産額</t>
    <rPh sb="0" eb="2">
      <t>ノウギョウ</t>
    </rPh>
    <rPh sb="2" eb="4">
      <t>ユウケイ</t>
    </rPh>
    <rPh sb="4" eb="6">
      <t>コテイ</t>
    </rPh>
    <rPh sb="6" eb="8">
      <t>シサン</t>
    </rPh>
    <rPh sb="8" eb="9">
      <t>ガク</t>
    </rPh>
    <phoneticPr fontId="4"/>
  </si>
  <si>
    <t>農業負債</t>
    <rPh sb="0" eb="4">
      <t>ノウギョウフサイ</t>
    </rPh>
    <phoneticPr fontId="4"/>
  </si>
  <si>
    <t>分析指標（事業）</t>
    <rPh sb="5" eb="7">
      <t>ジギョウ</t>
    </rPh>
    <phoneticPr fontId="2"/>
  </si>
  <si>
    <t>付加価値額</t>
    <rPh sb="0" eb="2">
      <t>フカ</t>
    </rPh>
    <rPh sb="2" eb="5">
      <t>カチガク</t>
    </rPh>
    <phoneticPr fontId="2"/>
  </si>
  <si>
    <t>売上高付加価値率</t>
    <rPh sb="0" eb="3">
      <t>ウリアゲダカ</t>
    </rPh>
    <rPh sb="3" eb="8">
      <t>フカカチリツ</t>
    </rPh>
    <phoneticPr fontId="2"/>
  </si>
  <si>
    <t>％</t>
    <phoneticPr fontId="2"/>
  </si>
  <si>
    <t>事業従事者１人当たり
付加価値額</t>
    <rPh sb="0" eb="2">
      <t>ジギョウ</t>
    </rPh>
    <rPh sb="2" eb="5">
      <t>ジュウジシャ</t>
    </rPh>
    <rPh sb="6" eb="7">
      <t>ニン</t>
    </rPh>
    <rPh sb="7" eb="8">
      <t>ア</t>
    </rPh>
    <rPh sb="11" eb="13">
      <t>フカ</t>
    </rPh>
    <rPh sb="13" eb="16">
      <t>カチガク</t>
    </rPh>
    <phoneticPr fontId="2"/>
  </si>
  <si>
    <t>総資本回転率</t>
    <rPh sb="0" eb="3">
      <t>ソウシホン</t>
    </rPh>
    <rPh sb="3" eb="6">
      <t>カイテンリツ</t>
    </rPh>
    <phoneticPr fontId="2"/>
  </si>
  <si>
    <t>回</t>
    <rPh sb="0" eb="1">
      <t>カイ</t>
    </rPh>
    <phoneticPr fontId="2"/>
  </si>
  <si>
    <t>自己資本比率</t>
    <rPh sb="0" eb="4">
      <t>ジコシホン</t>
    </rPh>
    <rPh sb="4" eb="6">
      <t>ヒリツ</t>
    </rPh>
    <phoneticPr fontId="2"/>
  </si>
  <si>
    <t>分析指標（農業）</t>
    <rPh sb="5" eb="7">
      <t>ノウギョウ</t>
    </rPh>
    <phoneticPr fontId="2"/>
  </si>
  <si>
    <t>農業所得率</t>
    <rPh sb="0" eb="5">
      <t>ノウギョウショトクリツ</t>
    </rPh>
    <phoneticPr fontId="2"/>
  </si>
  <si>
    <t>付加価値額</t>
    <rPh sb="0" eb="5">
      <t>フカカチガク</t>
    </rPh>
    <phoneticPr fontId="2"/>
  </si>
  <si>
    <t>付加価値率</t>
    <rPh sb="0" eb="5">
      <t>フカカチリツ</t>
    </rPh>
    <phoneticPr fontId="2"/>
  </si>
  <si>
    <t>農業従事者１人当たり
付加価値額</t>
    <rPh sb="0" eb="2">
      <t>ノウギョウ</t>
    </rPh>
    <rPh sb="2" eb="5">
      <t>ジュウジシャ</t>
    </rPh>
    <rPh sb="6" eb="7">
      <t>ニン</t>
    </rPh>
    <rPh sb="7" eb="8">
      <t>ア</t>
    </rPh>
    <rPh sb="11" eb="13">
      <t>フカ</t>
    </rPh>
    <rPh sb="13" eb="16">
      <t>カチガク</t>
    </rPh>
    <phoneticPr fontId="2"/>
  </si>
  <si>
    <t>新規需要米等</t>
    <rPh sb="0" eb="5">
      <t>シンキジュヨウマイ</t>
    </rPh>
    <rPh sb="5" eb="6">
      <t>トウ</t>
    </rPh>
    <phoneticPr fontId="2"/>
  </si>
  <si>
    <t>稲作の生産量</t>
    <rPh sb="0" eb="2">
      <t>イナサク</t>
    </rPh>
    <rPh sb="3" eb="6">
      <t>セイサンリョウ</t>
    </rPh>
    <phoneticPr fontId="4"/>
  </si>
  <si>
    <t>水稲</t>
    <phoneticPr fontId="2"/>
  </si>
  <si>
    <t>新規需要米等</t>
    <rPh sb="0" eb="2">
      <t>シンキ</t>
    </rPh>
    <rPh sb="2" eb="5">
      <t>ジュヨウマイ</t>
    </rPh>
    <rPh sb="5" eb="6">
      <t>トウ</t>
    </rPh>
    <phoneticPr fontId="2"/>
  </si>
  <si>
    <t>陸稲</t>
    <rPh sb="0" eb="2">
      <t>リクトウ</t>
    </rPh>
    <phoneticPr fontId="2"/>
  </si>
  <si>
    <t>稲作の販売数量</t>
    <rPh sb="0" eb="2">
      <t>イナサク</t>
    </rPh>
    <rPh sb="3" eb="7">
      <t>ハンバイスウリョウ</t>
    </rPh>
    <phoneticPr fontId="4"/>
  </si>
  <si>
    <t>稲作の収入金額</t>
    <rPh sb="0" eb="2">
      <t>イナサク</t>
    </rPh>
    <rPh sb="3" eb="7">
      <t>シュウニュウキンガク</t>
    </rPh>
    <phoneticPr fontId="4"/>
  </si>
  <si>
    <t>千円</t>
    <rPh sb="0" eb="2">
      <t>センエン</t>
    </rPh>
    <phoneticPr fontId="4"/>
  </si>
  <si>
    <t>稲わら</t>
    <rPh sb="0" eb="1">
      <t>イナ</t>
    </rPh>
    <phoneticPr fontId="2"/>
  </si>
  <si>
    <t>小麦生産量</t>
    <rPh sb="0" eb="2">
      <t>コムギ</t>
    </rPh>
    <rPh sb="2" eb="5">
      <t>セイサンリョウ</t>
    </rPh>
    <phoneticPr fontId="2"/>
  </si>
  <si>
    <t>小麦販売数量</t>
    <rPh sb="0" eb="2">
      <t>コムギ</t>
    </rPh>
    <rPh sb="2" eb="6">
      <t>ハンバイスウリョウ</t>
    </rPh>
    <phoneticPr fontId="2"/>
  </si>
  <si>
    <t>小麦販売金額</t>
    <rPh sb="0" eb="2">
      <t>コムギ</t>
    </rPh>
    <rPh sb="2" eb="6">
      <t>ハンバイキンガク</t>
    </rPh>
    <phoneticPr fontId="2"/>
  </si>
  <si>
    <t>大豆生産量</t>
    <rPh sb="2" eb="5">
      <t>セイサンリョウ</t>
    </rPh>
    <phoneticPr fontId="2"/>
  </si>
  <si>
    <t>大豆販売数量</t>
    <rPh sb="2" eb="6">
      <t>ハンバイスウリョウ</t>
    </rPh>
    <phoneticPr fontId="2"/>
  </si>
  <si>
    <t>大豆販売金額</t>
    <rPh sb="2" eb="6">
      <t>ハンバイキンガク</t>
    </rPh>
    <phoneticPr fontId="2"/>
  </si>
  <si>
    <t>かんしょ生産量</t>
    <rPh sb="4" eb="7">
      <t>セイサンリョウ</t>
    </rPh>
    <phoneticPr fontId="2"/>
  </si>
  <si>
    <t>かんしょ販売数量</t>
    <rPh sb="4" eb="8">
      <t>ハンバイスウリョウ</t>
    </rPh>
    <phoneticPr fontId="2"/>
  </si>
  <si>
    <t>かんしょ販売金額</t>
    <rPh sb="4" eb="8">
      <t>ハンバイキンガク</t>
    </rPh>
    <phoneticPr fontId="2"/>
  </si>
  <si>
    <t>ばれいしょ生産量</t>
    <rPh sb="5" eb="8">
      <t>セイサンリョウ</t>
    </rPh>
    <phoneticPr fontId="2"/>
  </si>
  <si>
    <t>ばれいしょ販売数量</t>
    <rPh sb="5" eb="9">
      <t>ハンバイスウリョウ</t>
    </rPh>
    <phoneticPr fontId="2"/>
  </si>
  <si>
    <t>ばれいしょ販売金額</t>
    <rPh sb="5" eb="9">
      <t>ハンバイキンガク</t>
    </rPh>
    <phoneticPr fontId="2"/>
  </si>
  <si>
    <t>てんさい生産量</t>
    <rPh sb="4" eb="7">
      <t>セイサンリョウ</t>
    </rPh>
    <phoneticPr fontId="2"/>
  </si>
  <si>
    <t>てんさい販売数量</t>
    <rPh sb="4" eb="8">
      <t>ハンバイスウリョウ</t>
    </rPh>
    <phoneticPr fontId="2"/>
  </si>
  <si>
    <t>てんさい販売金額</t>
    <rPh sb="4" eb="8">
      <t>ハンバイキンガク</t>
    </rPh>
    <phoneticPr fontId="2"/>
  </si>
  <si>
    <t>さとうきび生産量</t>
    <rPh sb="5" eb="8">
      <t>セイサンリョウ</t>
    </rPh>
    <phoneticPr fontId="2"/>
  </si>
  <si>
    <t>さとうきび販売数量</t>
    <rPh sb="5" eb="9">
      <t>ハンバイスウリョウ</t>
    </rPh>
    <phoneticPr fontId="2"/>
  </si>
  <si>
    <t>さとうきび販売金額</t>
    <rPh sb="5" eb="9">
      <t>ハンバイキンガク</t>
    </rPh>
    <phoneticPr fontId="2"/>
  </si>
  <si>
    <t>荒茶生産量</t>
    <rPh sb="0" eb="2">
      <t>アラチャ</t>
    </rPh>
    <rPh sb="2" eb="5">
      <t>セイサンリョウ</t>
    </rPh>
    <phoneticPr fontId="2"/>
  </si>
  <si>
    <t>茶販売数量</t>
    <rPh sb="1" eb="5">
      <t>ハンバイスウリョウ</t>
    </rPh>
    <phoneticPr fontId="2"/>
  </si>
  <si>
    <t>茶販売金額</t>
    <rPh sb="1" eb="5">
      <t>ハンバイキンガク</t>
    </rPh>
    <phoneticPr fontId="2"/>
  </si>
  <si>
    <t>(個別）計算用</t>
    <phoneticPr fontId="4"/>
  </si>
  <si>
    <t>雑穀作付面積（畑）</t>
    <rPh sb="0" eb="2">
      <t>ザッコク</t>
    </rPh>
    <rPh sb="2" eb="4">
      <t>サクツケ</t>
    </rPh>
    <rPh sb="4" eb="6">
      <t>メンセキ</t>
    </rPh>
    <rPh sb="7" eb="8">
      <t>ハタ</t>
    </rPh>
    <phoneticPr fontId="2"/>
  </si>
  <si>
    <t>豆類作付面積（畑）</t>
    <rPh sb="0" eb="2">
      <t>マメルイ</t>
    </rPh>
    <rPh sb="2" eb="4">
      <t>サクツケ</t>
    </rPh>
    <rPh sb="4" eb="6">
      <t>メンセキ</t>
    </rPh>
    <rPh sb="7" eb="8">
      <t>ハタ</t>
    </rPh>
    <phoneticPr fontId="2"/>
  </si>
  <si>
    <t>10kg当たり価格</t>
    <phoneticPr fontId="2"/>
  </si>
  <si>
    <t>月平均
繁殖雌牛飼養頭数</t>
    <rPh sb="0" eb="3">
      <t>ツキヘイキン</t>
    </rPh>
    <rPh sb="4" eb="6">
      <t>ハンショク</t>
    </rPh>
    <rPh sb="6" eb="7">
      <t>メス</t>
    </rPh>
    <rPh sb="7" eb="8">
      <t>ギュウ</t>
    </rPh>
    <rPh sb="8" eb="10">
      <t>シヨウ</t>
    </rPh>
    <rPh sb="10" eb="12">
      <t>トウスウ</t>
    </rPh>
    <phoneticPr fontId="2"/>
  </si>
  <si>
    <t>月平均
繁殖雌豚飼養頭数</t>
    <rPh sb="0" eb="3">
      <t>ツキヘイキン</t>
    </rPh>
    <rPh sb="4" eb="6">
      <t>ハンショク</t>
    </rPh>
    <rPh sb="6" eb="7">
      <t>メス</t>
    </rPh>
    <rPh sb="7" eb="8">
      <t>ブタ</t>
    </rPh>
    <rPh sb="8" eb="10">
      <t>シヨウ</t>
    </rPh>
    <rPh sb="10" eb="12">
      <t>トウスウ</t>
    </rPh>
    <phoneticPr fontId="2"/>
  </si>
  <si>
    <t>千円</t>
    <rPh sb="0" eb="1">
      <t>セン</t>
    </rPh>
    <rPh sb="1" eb="2">
      <t>エン</t>
    </rPh>
    <phoneticPr fontId="2"/>
  </si>
  <si>
    <t>雑穀作付面積</t>
    <rPh sb="0" eb="2">
      <t>ザッコク</t>
    </rPh>
    <rPh sb="2" eb="4">
      <t>サクツケ</t>
    </rPh>
    <rPh sb="4" eb="6">
      <t>メンセキ</t>
    </rPh>
    <phoneticPr fontId="2"/>
  </si>
  <si>
    <t>豆類作付面積</t>
    <rPh sb="0" eb="2">
      <t>マメルイ</t>
    </rPh>
    <rPh sb="2" eb="4">
      <t>サクツケ</t>
    </rPh>
    <rPh sb="4" eb="6">
      <t>メンセキ</t>
    </rPh>
    <phoneticPr fontId="2"/>
  </si>
  <si>
    <t>ＷＣＳ用稲
作付延べ面積</t>
    <rPh sb="3" eb="4">
      <t>ヨウ</t>
    </rPh>
    <rPh sb="4" eb="5">
      <t>イネ</t>
    </rPh>
    <rPh sb="6" eb="9">
      <t>サクツケノ</t>
    </rPh>
    <rPh sb="10" eb="12">
      <t>メンセキ</t>
    </rPh>
    <phoneticPr fontId="2"/>
  </si>
  <si>
    <t>その他飼料作物
作付延べ面積</t>
    <rPh sb="2" eb="3">
      <t>タ</t>
    </rPh>
    <rPh sb="3" eb="7">
      <t>シリョウサクモツ</t>
    </rPh>
    <rPh sb="8" eb="11">
      <t>サクツケノ</t>
    </rPh>
    <rPh sb="12" eb="14">
      <t>メンセキ</t>
    </rPh>
    <phoneticPr fontId="2"/>
  </si>
  <si>
    <t>農業従事者１人当たり
農業所得</t>
    <rPh sb="0" eb="2">
      <t>ノウギョウ</t>
    </rPh>
    <rPh sb="2" eb="5">
      <t>ジュウジシャ</t>
    </rPh>
    <rPh sb="6" eb="7">
      <t>ニン</t>
    </rPh>
    <rPh sb="7" eb="8">
      <t>ア</t>
    </rPh>
    <rPh sb="11" eb="15">
      <t>ノウギョウショトク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</si>
</sst>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;&quot;▲ &quot;\ 0.0"/>
    <numFmt numFmtId="177" formatCode="0.0;&quot;▲&quot;?0.0"/>
    <numFmt numFmtId="178" formatCode="#,##0;&quot;▲ &quot;#,##0"/>
    <numFmt numFmtId="179" formatCode="#,##0.0;&quot;▲ &quot;#,##0.0"/>
    <numFmt numFmtId="180" formatCode="#,##0.00;&quot;▲ &quot;#,##0.00"/>
  </numFmts>
  <fonts count="21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b/>
      <sz val="2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name val="ＭＳ Ｐゴシック"/>
      <family val="3"/>
      <charset val="128"/>
    </font>
    <font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游ゴシック"/>
      <family val="2"/>
      <scheme val="minor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strike/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auto="1"/>
      </patternFill>
    </fill>
  </fills>
  <borders count="15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auto="1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31">
    <xf numFmtId="0" fontId="0" fillId="0" borderId="0" xfId="0"/>
    <xf numFmtId="0" fontId="3" fillId="0" borderId="0" xfId="1" applyFont="1" applyAlignment="1">
      <alignment horizontal="distributed" vertical="center"/>
    </xf>
    <xf numFmtId="177" fontId="5" fillId="2" borderId="32" xfId="1" applyNumberFormat="1" applyFont="1" applyFill="1" applyBorder="1" applyAlignment="1">
      <alignment horizontal="right" vertical="center" shrinkToFit="1"/>
    </xf>
    <xf numFmtId="0" fontId="6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1" fillId="0" borderId="12" xfId="1" applyFont="1" applyBorder="1" applyAlignment="1">
      <alignment vertical="center" shrinkToFit="1"/>
    </xf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0" fillId="0" borderId="0" xfId="1" applyFont="1" applyAlignment="1">
      <alignment vertical="center"/>
    </xf>
    <xf numFmtId="0" fontId="15" fillId="0" borderId="26" xfId="1" applyFont="1" applyBorder="1" applyAlignment="1">
      <alignment horizontal="center" vertical="center" shrinkToFit="1"/>
    </xf>
    <xf numFmtId="0" fontId="15" fillId="2" borderId="29" xfId="1" applyFont="1" applyFill="1" applyBorder="1" applyAlignment="1">
      <alignment horizontal="center" vertical="center" shrinkToFit="1"/>
    </xf>
    <xf numFmtId="178" fontId="5" fillId="2" borderId="32" xfId="1" applyNumberFormat="1" applyFont="1" applyFill="1" applyBorder="1" applyAlignment="1">
      <alignment horizontal="right" vertical="center" shrinkToFit="1"/>
    </xf>
    <xf numFmtId="0" fontId="11" fillId="0" borderId="35" xfId="1" applyFont="1" applyBorder="1" applyAlignment="1">
      <alignment horizontal="distributed" vertical="center"/>
    </xf>
    <xf numFmtId="0" fontId="11" fillId="0" borderId="18" xfId="1" applyFont="1" applyBorder="1" applyAlignment="1">
      <alignment vertical="center"/>
    </xf>
    <xf numFmtId="0" fontId="11" fillId="0" borderId="53" xfId="1" applyFont="1" applyBorder="1" applyAlignment="1">
      <alignment horizontal="distributed" vertical="center"/>
    </xf>
    <xf numFmtId="0" fontId="11" fillId="0" borderId="104" xfId="1" applyFont="1" applyBorder="1" applyAlignment="1">
      <alignment horizontal="distributed" vertical="center"/>
    </xf>
    <xf numFmtId="0" fontId="15" fillId="2" borderId="66" xfId="1" applyFont="1" applyFill="1" applyBorder="1" applyAlignment="1">
      <alignment horizontal="center" vertical="center" shrinkToFit="1"/>
    </xf>
    <xf numFmtId="177" fontId="5" fillId="2" borderId="107" xfId="1" applyNumberFormat="1" applyFont="1" applyFill="1" applyBorder="1" applyAlignment="1">
      <alignment horizontal="right" vertical="center" shrinkToFit="1"/>
    </xf>
    <xf numFmtId="0" fontId="11" fillId="0" borderId="18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7" xfId="1" applyFont="1" applyBorder="1" applyAlignment="1">
      <alignment horizontal="left" vertical="center" shrinkToFit="1"/>
    </xf>
    <xf numFmtId="0" fontId="11" fillId="0" borderId="10" xfId="1" applyFont="1" applyBorder="1" applyAlignment="1">
      <alignment horizontal="right" vertical="center" shrinkToFit="1"/>
    </xf>
    <xf numFmtId="0" fontId="11" fillId="0" borderId="11" xfId="1" applyFont="1" applyBorder="1" applyAlignment="1">
      <alignment horizontal="left" vertical="center" shrinkToFit="1"/>
    </xf>
    <xf numFmtId="0" fontId="11" fillId="0" borderId="12" xfId="1" applyFont="1" applyBorder="1" applyAlignment="1">
      <alignment horizontal="right" vertical="center" shrinkToFit="1"/>
    </xf>
    <xf numFmtId="0" fontId="19" fillId="0" borderId="15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1" fillId="0" borderId="10" xfId="1" applyFont="1" applyBorder="1" applyAlignment="1">
      <alignment horizontal="left" vertical="center" shrinkToFit="1"/>
    </xf>
    <xf numFmtId="0" fontId="19" fillId="0" borderId="11" xfId="1" applyFont="1" applyBorder="1" applyAlignment="1">
      <alignment horizontal="left" vertical="center" shrinkToFit="1"/>
    </xf>
    <xf numFmtId="178" fontId="5" fillId="2" borderId="107" xfId="1" applyNumberFormat="1" applyFont="1" applyFill="1" applyBorder="1" applyAlignment="1">
      <alignment horizontal="right" vertical="center" shrinkToFit="1"/>
    </xf>
    <xf numFmtId="0" fontId="15" fillId="0" borderId="136" xfId="1" applyFont="1" applyBorder="1" applyAlignment="1">
      <alignment horizontal="center" vertical="center" shrinkToFit="1"/>
    </xf>
    <xf numFmtId="177" fontId="5" fillId="0" borderId="114" xfId="1" applyNumberFormat="1" applyFont="1" applyBorder="1" applyAlignment="1">
      <alignment horizontal="right" vertical="center" shrinkToFit="1"/>
    </xf>
    <xf numFmtId="178" fontId="5" fillId="0" borderId="114" xfId="1" applyNumberFormat="1" applyFont="1" applyBorder="1" applyAlignment="1">
      <alignment horizontal="right" vertical="center" shrinkToFit="1"/>
    </xf>
    <xf numFmtId="0" fontId="15" fillId="0" borderId="52" xfId="1" applyFont="1" applyBorder="1" applyAlignment="1">
      <alignment horizontal="center" vertical="center" shrinkToFit="1"/>
    </xf>
    <xf numFmtId="177" fontId="5" fillId="0" borderId="40" xfId="1" applyNumberFormat="1" applyFont="1" applyBorder="1" applyAlignment="1">
      <alignment horizontal="right" vertical="center" shrinkToFit="1"/>
    </xf>
    <xf numFmtId="178" fontId="5" fillId="0" borderId="40" xfId="1" applyNumberFormat="1" applyFont="1" applyBorder="1" applyAlignment="1">
      <alignment horizontal="right" vertical="center" shrinkToFit="1"/>
    </xf>
    <xf numFmtId="0" fontId="15" fillId="0" borderId="145" xfId="1" applyFont="1" applyBorder="1" applyAlignment="1">
      <alignment horizontal="center" vertical="center" shrinkToFit="1"/>
    </xf>
    <xf numFmtId="177" fontId="5" fillId="0" borderId="92" xfId="1" applyNumberFormat="1" applyFont="1" applyBorder="1" applyAlignment="1">
      <alignment horizontal="right" vertical="center" shrinkToFit="1"/>
    </xf>
    <xf numFmtId="178" fontId="5" fillId="0" borderId="92" xfId="1" applyNumberFormat="1" applyFont="1" applyBorder="1" applyAlignment="1">
      <alignment horizontal="right" vertical="center" shrinkToFit="1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9" fillId="0" borderId="18" xfId="1" applyFont="1" applyBorder="1" applyAlignment="1">
      <alignment vertical="center"/>
    </xf>
    <xf numFmtId="0" fontId="11" fillId="0" borderId="18" xfId="1" applyFont="1" applyBorder="1" applyAlignment="1">
      <alignment vertical="center" textRotation="255"/>
    </xf>
    <xf numFmtId="0" fontId="18" fillId="0" borderId="18" xfId="1" applyFont="1" applyBorder="1" applyAlignment="1">
      <alignment vertical="center" textRotation="255"/>
    </xf>
    <xf numFmtId="0" fontId="18" fillId="0" borderId="0" xfId="1" applyFont="1" applyAlignment="1">
      <alignment vertical="center" textRotation="255"/>
    </xf>
    <xf numFmtId="0" fontId="11" fillId="0" borderId="50" xfId="1" applyFont="1" applyBorder="1" applyAlignment="1">
      <alignment horizontal="distributed" vertical="center"/>
    </xf>
    <xf numFmtId="0" fontId="15" fillId="0" borderId="76" xfId="1" applyFont="1" applyBorder="1" applyAlignment="1">
      <alignment horizontal="center" vertical="center" shrinkToFit="1"/>
    </xf>
    <xf numFmtId="0" fontId="11" fillId="0" borderId="53" xfId="1" applyFont="1" applyBorder="1" applyAlignment="1">
      <alignment vertical="center"/>
    </xf>
    <xf numFmtId="0" fontId="11" fillId="0" borderId="49" xfId="1" applyFont="1" applyBorder="1" applyAlignment="1">
      <alignment horizontal="distributed" vertical="center"/>
    </xf>
    <xf numFmtId="0" fontId="11" fillId="0" borderId="37" xfId="1" applyFont="1" applyBorder="1" applyAlignment="1">
      <alignment horizontal="distributed" vertical="center"/>
    </xf>
    <xf numFmtId="178" fontId="5" fillId="0" borderId="39" xfId="1" applyNumberFormat="1" applyFont="1" applyBorder="1" applyAlignment="1">
      <alignment horizontal="right" vertical="center"/>
    </xf>
    <xf numFmtId="178" fontId="5" fillId="0" borderId="34" xfId="1" applyNumberFormat="1" applyFont="1" applyBorder="1" applyAlignment="1">
      <alignment horizontal="right" vertical="center"/>
    </xf>
    <xf numFmtId="0" fontId="11" fillId="0" borderId="35" xfId="1" applyFont="1" applyBorder="1" applyAlignment="1">
      <alignment vertical="center"/>
    </xf>
    <xf numFmtId="0" fontId="15" fillId="0" borderId="38" xfId="1" applyFont="1" applyBorder="1" applyAlignment="1">
      <alignment horizontal="center" vertical="center" shrinkToFit="1"/>
    </xf>
    <xf numFmtId="0" fontId="15" fillId="0" borderId="108" xfId="1" applyFont="1" applyBorder="1" applyAlignment="1">
      <alignment horizontal="center" vertical="center" shrinkToFit="1"/>
    </xf>
    <xf numFmtId="178" fontId="5" fillId="0" borderId="115" xfId="1" applyNumberFormat="1" applyFont="1" applyBorder="1" applyAlignment="1">
      <alignment horizontal="right" vertical="center"/>
    </xf>
    <xf numFmtId="178" fontId="5" fillId="0" borderId="62" xfId="1" applyNumberFormat="1" applyFont="1" applyBorder="1" applyAlignment="1">
      <alignment horizontal="right" vertical="center"/>
    </xf>
    <xf numFmtId="177" fontId="5" fillId="0" borderId="71" xfId="1" applyNumberFormat="1" applyFont="1" applyBorder="1" applyAlignment="1">
      <alignment horizontal="right" vertical="center" shrinkToFit="1"/>
    </xf>
    <xf numFmtId="178" fontId="5" fillId="0" borderId="71" xfId="1" applyNumberFormat="1" applyFont="1" applyBorder="1" applyAlignment="1">
      <alignment horizontal="right" vertical="center" shrinkToFit="1"/>
    </xf>
    <xf numFmtId="0" fontId="15" fillId="0" borderId="118" xfId="1" applyFont="1" applyBorder="1" applyAlignment="1">
      <alignment horizontal="center" vertical="center" shrinkToFit="1"/>
    </xf>
    <xf numFmtId="178" fontId="5" fillId="0" borderId="93" xfId="1" applyNumberFormat="1" applyFont="1" applyBorder="1" applyAlignment="1">
      <alignment horizontal="right" vertical="center"/>
    </xf>
    <xf numFmtId="178" fontId="5" fillId="0" borderId="64" xfId="1" applyNumberFormat="1" applyFont="1" applyBorder="1" applyAlignment="1">
      <alignment horizontal="right" vertical="center"/>
    </xf>
    <xf numFmtId="177" fontId="5" fillId="0" borderId="67" xfId="1" applyNumberFormat="1" applyFont="1" applyBorder="1" applyAlignment="1">
      <alignment horizontal="right" vertical="center" shrinkToFit="1"/>
    </xf>
    <xf numFmtId="178" fontId="5" fillId="0" borderId="57" xfId="1" applyNumberFormat="1" applyFont="1" applyBorder="1" applyAlignment="1">
      <alignment horizontal="right" vertical="center" shrinkToFit="1"/>
    </xf>
    <xf numFmtId="0" fontId="11" fillId="0" borderId="43" xfId="1" applyFont="1" applyBorder="1" applyAlignment="1">
      <alignment horizontal="distributed" vertical="center"/>
    </xf>
    <xf numFmtId="0" fontId="15" fillId="0" borderId="55" xfId="1" applyFont="1" applyBorder="1" applyAlignment="1">
      <alignment horizontal="center" vertical="center" shrinkToFit="1"/>
    </xf>
    <xf numFmtId="178" fontId="5" fillId="0" borderId="56" xfId="1" applyNumberFormat="1" applyFont="1" applyBorder="1" applyAlignment="1">
      <alignment horizontal="right" vertical="center"/>
    </xf>
    <xf numFmtId="178" fontId="5" fillId="0" borderId="54" xfId="1" applyNumberFormat="1" applyFont="1" applyBorder="1" applyAlignment="1">
      <alignment horizontal="right" vertical="center"/>
    </xf>
    <xf numFmtId="177" fontId="5" fillId="0" borderId="57" xfId="1" applyNumberFormat="1" applyFont="1" applyBorder="1" applyAlignment="1">
      <alignment horizontal="right" vertical="center" shrinkToFit="1"/>
    </xf>
    <xf numFmtId="0" fontId="11" fillId="0" borderId="58" xfId="1" applyFont="1" applyBorder="1" applyAlignment="1">
      <alignment horizontal="distributed" vertical="center"/>
    </xf>
    <xf numFmtId="0" fontId="15" fillId="0" borderId="78" xfId="1" applyFont="1" applyBorder="1" applyAlignment="1">
      <alignment horizontal="center" vertical="center" shrinkToFit="1"/>
    </xf>
    <xf numFmtId="177" fontId="5" fillId="0" borderId="80" xfId="1" applyNumberFormat="1" applyFont="1" applyBorder="1" applyAlignment="1">
      <alignment horizontal="right" vertical="center" shrinkToFit="1"/>
    </xf>
    <xf numFmtId="178" fontId="5" fillId="0" borderId="80" xfId="1" applyNumberFormat="1" applyFont="1" applyBorder="1" applyAlignment="1">
      <alignment horizontal="right" vertical="center" shrinkToFit="1"/>
    </xf>
    <xf numFmtId="0" fontId="15" fillId="0" borderId="82" xfId="1" applyFont="1" applyBorder="1" applyAlignment="1">
      <alignment horizontal="center" vertical="center" shrinkToFit="1"/>
    </xf>
    <xf numFmtId="0" fontId="15" fillId="0" borderId="29" xfId="1" applyFont="1" applyBorder="1" applyAlignment="1">
      <alignment vertical="center" wrapText="1" shrinkToFit="1"/>
    </xf>
    <xf numFmtId="180" fontId="5" fillId="0" borderId="39" xfId="1" applyNumberFormat="1" applyFont="1" applyBorder="1" applyAlignment="1">
      <alignment horizontal="right" vertical="center"/>
    </xf>
    <xf numFmtId="180" fontId="5" fillId="0" borderId="34" xfId="1" applyNumberFormat="1" applyFont="1" applyBorder="1" applyAlignment="1">
      <alignment horizontal="right" vertical="center"/>
    </xf>
    <xf numFmtId="0" fontId="11" fillId="0" borderId="87" xfId="1" applyFont="1" applyBorder="1" applyAlignment="1">
      <alignment horizontal="distributed" vertical="center"/>
    </xf>
    <xf numFmtId="0" fontId="11" fillId="0" borderId="88" xfId="1" applyFont="1" applyBorder="1" applyAlignment="1">
      <alignment horizontal="distributed" vertical="center"/>
    </xf>
    <xf numFmtId="0" fontId="15" fillId="0" borderId="90" xfId="1" applyFont="1" applyBorder="1" applyAlignment="1">
      <alignment horizontal="center" vertical="center" shrinkToFit="1"/>
    </xf>
    <xf numFmtId="0" fontId="11" fillId="0" borderId="81" xfId="1" applyFont="1" applyBorder="1" applyAlignment="1">
      <alignment horizontal="distributed" vertical="center"/>
    </xf>
    <xf numFmtId="0" fontId="15" fillId="0" borderId="83" xfId="1" applyFont="1" applyBorder="1" applyAlignment="1">
      <alignment horizontal="center" vertical="center" shrinkToFit="1"/>
    </xf>
    <xf numFmtId="179" fontId="5" fillId="0" borderId="102" xfId="1" applyNumberFormat="1" applyFont="1" applyBorder="1" applyAlignment="1">
      <alignment horizontal="right" vertical="center"/>
    </xf>
    <xf numFmtId="179" fontId="5" fillId="0" borderId="34" xfId="1" applyNumberFormat="1" applyFont="1" applyBorder="1" applyAlignment="1">
      <alignment horizontal="right" vertical="center"/>
    </xf>
    <xf numFmtId="0" fontId="15" fillId="0" borderId="86" xfId="1" applyFont="1" applyBorder="1" applyAlignment="1">
      <alignment vertical="center" textRotation="255"/>
    </xf>
    <xf numFmtId="0" fontId="15" fillId="0" borderId="86" xfId="1" applyFont="1" applyBorder="1" applyAlignment="1">
      <alignment vertical="center"/>
    </xf>
    <xf numFmtId="179" fontId="5" fillId="0" borderId="39" xfId="1" applyNumberFormat="1" applyFont="1" applyBorder="1" applyAlignment="1">
      <alignment horizontal="right" vertical="center"/>
    </xf>
    <xf numFmtId="0" fontId="15" fillId="0" borderId="91" xfId="1" applyFont="1" applyBorder="1" applyAlignment="1">
      <alignment horizontal="center" vertical="center" shrinkToFit="1"/>
    </xf>
    <xf numFmtId="179" fontId="5" fillId="0" borderId="31" xfId="1" applyNumberFormat="1" applyFont="1" applyBorder="1" applyAlignment="1">
      <alignment horizontal="right" vertical="center"/>
    </xf>
    <xf numFmtId="179" fontId="5" fillId="0" borderId="0" xfId="1" applyNumberFormat="1" applyFont="1" applyAlignment="1">
      <alignment horizontal="right" vertical="center"/>
    </xf>
    <xf numFmtId="177" fontId="5" fillId="0" borderId="32" xfId="1" applyNumberFormat="1" applyFont="1" applyBorder="1" applyAlignment="1">
      <alignment horizontal="right" vertical="center" shrinkToFit="1"/>
    </xf>
    <xf numFmtId="178" fontId="5" fillId="0" borderId="32" xfId="1" applyNumberFormat="1" applyFont="1" applyBorder="1" applyAlignment="1">
      <alignment horizontal="right" vertical="center" shrinkToFit="1"/>
    </xf>
    <xf numFmtId="0" fontId="15" fillId="0" borderId="81" xfId="1" applyFont="1" applyBorder="1" applyAlignment="1">
      <alignment vertical="center"/>
    </xf>
    <xf numFmtId="179" fontId="5" fillId="0" borderId="56" xfId="1" applyNumberFormat="1" applyFont="1" applyBorder="1" applyAlignment="1">
      <alignment horizontal="right" vertical="center"/>
    </xf>
    <xf numFmtId="179" fontId="5" fillId="0" borderId="54" xfId="1" applyNumberFormat="1" applyFont="1" applyBorder="1" applyAlignment="1">
      <alignment horizontal="right" vertical="center"/>
    </xf>
    <xf numFmtId="0" fontId="11" fillId="0" borderId="86" xfId="1" applyFont="1" applyBorder="1" applyAlignment="1">
      <alignment horizontal="distributed" vertical="center"/>
    </xf>
    <xf numFmtId="0" fontId="11" fillId="0" borderId="51" xfId="1" applyFont="1" applyBorder="1" applyAlignment="1">
      <alignment horizontal="distributed" vertical="center"/>
    </xf>
    <xf numFmtId="0" fontId="15" fillId="0" borderId="29" xfId="1" applyFont="1" applyBorder="1" applyAlignment="1">
      <alignment horizontal="center" vertical="center" shrinkToFit="1"/>
    </xf>
    <xf numFmtId="0" fontId="15" fillId="0" borderId="29" xfId="1" applyFont="1" applyBorder="1" applyAlignment="1">
      <alignment horizontal="distributed" vertical="center" wrapText="1" shrinkToFit="1"/>
    </xf>
    <xf numFmtId="0" fontId="15" fillId="0" borderId="82" xfId="1" applyFont="1" applyBorder="1" applyAlignment="1">
      <alignment horizontal="distributed" vertical="center" wrapText="1" shrinkToFit="1"/>
    </xf>
    <xf numFmtId="0" fontId="15" fillId="0" borderId="29" xfId="1" applyFont="1" applyBorder="1" applyAlignment="1">
      <alignment horizontal="distributed" vertical="center"/>
    </xf>
    <xf numFmtId="179" fontId="5" fillId="0" borderId="94" xfId="1" applyNumberFormat="1" applyFont="1" applyBorder="1" applyAlignment="1">
      <alignment horizontal="right" vertical="center"/>
    </xf>
    <xf numFmtId="178" fontId="5" fillId="0" borderId="94" xfId="1" applyNumberFormat="1" applyFont="1" applyBorder="1" applyAlignment="1">
      <alignment horizontal="right" vertical="center"/>
    </xf>
    <xf numFmtId="0" fontId="9" fillId="0" borderId="41" xfId="1" applyFont="1" applyBorder="1" applyAlignment="1">
      <alignment vertical="center"/>
    </xf>
    <xf numFmtId="0" fontId="15" fillId="0" borderId="82" xfId="1" applyFont="1" applyBorder="1" applyAlignment="1">
      <alignment horizontal="distributed" vertical="center"/>
    </xf>
    <xf numFmtId="0" fontId="15" fillId="0" borderId="127" xfId="1" applyFont="1" applyBorder="1" applyAlignment="1">
      <alignment horizontal="center" vertical="center" shrinkToFit="1"/>
    </xf>
    <xf numFmtId="0" fontId="11" fillId="0" borderId="29" xfId="1" applyFont="1" applyBorder="1" applyAlignment="1">
      <alignment horizontal="distributed" vertical="center"/>
    </xf>
    <xf numFmtId="0" fontId="11" fillId="0" borderId="48" xfId="1" applyFont="1" applyBorder="1" applyAlignment="1">
      <alignment horizontal="distributed" vertical="center" shrinkToFit="1"/>
    </xf>
    <xf numFmtId="0" fontId="15" fillId="0" borderId="129" xfId="1" applyFont="1" applyBorder="1" applyAlignment="1">
      <alignment horizontal="center" vertical="center" shrinkToFit="1"/>
    </xf>
    <xf numFmtId="178" fontId="5" fillId="0" borderId="130" xfId="1" applyNumberFormat="1" applyFont="1" applyBorder="1" applyAlignment="1">
      <alignment horizontal="right" vertical="center"/>
    </xf>
    <xf numFmtId="178" fontId="5" fillId="0" borderId="42" xfId="1" applyNumberFormat="1" applyFont="1" applyBorder="1" applyAlignment="1">
      <alignment horizontal="right" vertical="center"/>
    </xf>
    <xf numFmtId="177" fontId="5" fillId="0" borderId="131" xfId="1" applyNumberFormat="1" applyFont="1" applyBorder="1" applyAlignment="1">
      <alignment horizontal="right" vertical="center" shrinkToFit="1"/>
    </xf>
    <xf numFmtId="178" fontId="5" fillId="0" borderId="131" xfId="1" applyNumberFormat="1" applyFont="1" applyBorder="1" applyAlignment="1">
      <alignment horizontal="right" vertical="center" shrinkToFit="1"/>
    </xf>
    <xf numFmtId="178" fontId="5" fillId="0" borderId="31" xfId="1" applyNumberFormat="1" applyFont="1" applyBorder="1" applyAlignment="1">
      <alignment horizontal="right" vertical="center"/>
    </xf>
    <xf numFmtId="178" fontId="5" fillId="0" borderId="0" xfId="1" applyNumberFormat="1" applyFont="1" applyAlignment="1">
      <alignment horizontal="right" vertical="center"/>
    </xf>
    <xf numFmtId="0" fontId="11" fillId="0" borderId="82" xfId="1" applyFont="1" applyBorder="1" applyAlignment="1">
      <alignment horizontal="distributed" vertical="center"/>
    </xf>
    <xf numFmtId="0" fontId="15" fillId="0" borderId="132" xfId="1" applyFont="1" applyBorder="1" applyAlignment="1">
      <alignment horizontal="center" vertical="center" shrinkToFit="1"/>
    </xf>
    <xf numFmtId="178" fontId="5" fillId="0" borderId="133" xfId="1" applyNumberFormat="1" applyFont="1" applyBorder="1" applyAlignment="1">
      <alignment horizontal="right" vertical="center"/>
    </xf>
    <xf numFmtId="178" fontId="5" fillId="0" borderId="120" xfId="1" applyNumberFormat="1" applyFont="1" applyBorder="1" applyAlignment="1">
      <alignment horizontal="right" vertical="center"/>
    </xf>
    <xf numFmtId="178" fontId="5" fillId="0" borderId="137" xfId="1" applyNumberFormat="1" applyFont="1" applyBorder="1" applyAlignment="1">
      <alignment horizontal="right" vertical="center"/>
    </xf>
    <xf numFmtId="178" fontId="5" fillId="0" borderId="135" xfId="1" applyNumberFormat="1" applyFont="1" applyBorder="1" applyAlignment="1">
      <alignment horizontal="right" vertical="center"/>
    </xf>
    <xf numFmtId="0" fontId="15" fillId="0" borderId="142" xfId="1" applyFont="1" applyBorder="1" applyAlignment="1">
      <alignment horizontal="center" vertical="center" shrinkToFit="1"/>
    </xf>
    <xf numFmtId="179" fontId="5" fillId="0" borderId="143" xfId="1" applyNumberFormat="1" applyFont="1" applyBorder="1" applyAlignment="1">
      <alignment horizontal="right" vertical="center"/>
    </xf>
    <xf numFmtId="179" fontId="5" fillId="0" borderId="140" xfId="1" applyNumberFormat="1" applyFont="1" applyBorder="1" applyAlignment="1">
      <alignment horizontal="right" vertical="center"/>
    </xf>
    <xf numFmtId="177" fontId="5" fillId="0" borderId="144" xfId="1" applyNumberFormat="1" applyFont="1" applyBorder="1" applyAlignment="1">
      <alignment horizontal="right" vertical="center" shrinkToFit="1"/>
    </xf>
    <xf numFmtId="0" fontId="11" fillId="0" borderId="48" xfId="1" applyFont="1" applyBorder="1" applyAlignment="1">
      <alignment vertical="center"/>
    </xf>
    <xf numFmtId="178" fontId="5" fillId="0" borderId="101" xfId="1" applyNumberFormat="1" applyFont="1" applyBorder="1" applyAlignment="1">
      <alignment horizontal="right" vertical="center"/>
    </xf>
    <xf numFmtId="0" fontId="11" fillId="0" borderId="41" xfId="1" applyFont="1" applyBorder="1" applyAlignment="1">
      <alignment vertical="center"/>
    </xf>
    <xf numFmtId="0" fontId="11" fillId="0" borderId="59" xfId="1" applyFont="1" applyBorder="1" applyAlignment="1">
      <alignment horizontal="distributed" vertical="center"/>
    </xf>
    <xf numFmtId="178" fontId="5" fillId="0" borderId="109" xfId="1" applyNumberFormat="1" applyFont="1" applyBorder="1" applyAlignment="1">
      <alignment horizontal="right" vertical="center"/>
    </xf>
    <xf numFmtId="178" fontId="5" fillId="0" borderId="110" xfId="1" applyNumberFormat="1" applyFont="1" applyBorder="1" applyAlignment="1">
      <alignment horizontal="right" vertical="center"/>
    </xf>
    <xf numFmtId="0" fontId="11" fillId="0" borderId="41" xfId="1" applyFont="1" applyBorder="1" applyAlignment="1">
      <alignment horizontal="distributed" vertical="center"/>
    </xf>
    <xf numFmtId="0" fontId="11" fillId="0" borderId="43" xfId="1" applyFont="1" applyBorder="1" applyAlignment="1">
      <alignment horizontal="center" vertical="center"/>
    </xf>
    <xf numFmtId="0" fontId="11" fillId="0" borderId="43" xfId="1" applyFont="1" applyBorder="1" applyAlignment="1">
      <alignment vertical="center"/>
    </xf>
    <xf numFmtId="0" fontId="11" fillId="0" borderId="41" xfId="1" applyFont="1" applyBorder="1" applyAlignment="1">
      <alignment horizontal="center" vertical="center"/>
    </xf>
    <xf numFmtId="0" fontId="11" fillId="0" borderId="48" xfId="1" applyFont="1" applyBorder="1" applyAlignment="1">
      <alignment horizontal="center" vertical="center"/>
    </xf>
    <xf numFmtId="0" fontId="11" fillId="0" borderId="41" xfId="1" applyFont="1" applyBorder="1" applyAlignment="1">
      <alignment horizontal="distributed" vertical="center" wrapText="1"/>
    </xf>
    <xf numFmtId="178" fontId="5" fillId="0" borderId="102" xfId="1" applyNumberFormat="1" applyFont="1" applyBorder="1" applyAlignment="1">
      <alignment horizontal="right" vertical="center"/>
    </xf>
    <xf numFmtId="0" fontId="11" fillId="0" borderId="48" xfId="1" applyFont="1" applyBorder="1" applyAlignment="1">
      <alignment horizontal="distributed" vertical="center" wrapText="1"/>
    </xf>
    <xf numFmtId="0" fontId="11" fillId="0" borderId="41" xfId="1" applyFont="1" applyBorder="1" applyAlignment="1">
      <alignment horizontal="center" vertical="center" shrinkToFit="1"/>
    </xf>
    <xf numFmtId="0" fontId="11" fillId="0" borderId="44" xfId="1" applyFont="1" applyBorder="1" applyAlignment="1">
      <alignment horizontal="center" vertical="center" shrinkToFit="1"/>
    </xf>
    <xf numFmtId="0" fontId="11" fillId="0" borderId="48" xfId="1" applyFont="1" applyBorder="1" applyAlignment="1">
      <alignment horizontal="center" vertical="center" shrinkToFit="1"/>
    </xf>
    <xf numFmtId="0" fontId="15" fillId="0" borderId="17" xfId="1" applyFont="1" applyBorder="1" applyAlignment="1">
      <alignment horizontal="center" vertical="center" shrinkToFit="1"/>
    </xf>
    <xf numFmtId="178" fontId="5" fillId="0" borderId="16" xfId="1" applyNumberFormat="1" applyFont="1" applyBorder="1" applyAlignment="1">
      <alignment horizontal="right" vertical="center"/>
    </xf>
    <xf numFmtId="178" fontId="5" fillId="0" borderId="60" xfId="1" applyNumberFormat="1" applyFont="1" applyBorder="1" applyAlignment="1">
      <alignment horizontal="right" vertical="center"/>
    </xf>
    <xf numFmtId="177" fontId="5" fillId="0" borderId="96" xfId="1" applyNumberFormat="1" applyFont="1" applyBorder="1" applyAlignment="1">
      <alignment horizontal="right" vertical="center" shrinkToFit="1"/>
    </xf>
    <xf numFmtId="178" fontId="5" fillId="0" borderId="96" xfId="1" applyNumberFormat="1" applyFont="1" applyBorder="1" applyAlignment="1">
      <alignment horizontal="right" vertical="center" shrinkToFit="1"/>
    </xf>
    <xf numFmtId="178" fontId="5" fillId="0" borderId="100" xfId="1" applyNumberFormat="1" applyFont="1" applyBorder="1" applyAlignment="1">
      <alignment horizontal="right" vertical="center"/>
    </xf>
    <xf numFmtId="178" fontId="5" fillId="0" borderId="27" xfId="1" applyNumberFormat="1" applyFont="1" applyBorder="1" applyAlignment="1">
      <alignment horizontal="right" vertical="center"/>
    </xf>
    <xf numFmtId="178" fontId="5" fillId="0" borderId="28" xfId="1" applyNumberFormat="1" applyFont="1" applyBorder="1" applyAlignment="1">
      <alignment horizontal="right" vertical="center" shrinkToFit="1"/>
    </xf>
    <xf numFmtId="177" fontId="3" fillId="0" borderId="28" xfId="1" applyNumberFormat="1" applyFont="1" applyBorder="1" applyAlignment="1">
      <alignment horizontal="right" vertical="center" shrinkToFit="1"/>
    </xf>
    <xf numFmtId="177" fontId="3" fillId="2" borderId="32" xfId="1" applyNumberFormat="1" applyFont="1" applyFill="1" applyBorder="1" applyAlignment="1">
      <alignment horizontal="right" vertical="center" shrinkToFit="1"/>
    </xf>
    <xf numFmtId="177" fontId="3" fillId="0" borderId="40" xfId="1" applyNumberFormat="1" applyFont="1" applyBorder="1" applyAlignment="1">
      <alignment horizontal="right" vertical="center" shrinkToFit="1"/>
    </xf>
    <xf numFmtId="177" fontId="3" fillId="0" borderId="57" xfId="1" applyNumberFormat="1" applyFont="1" applyBorder="1" applyAlignment="1">
      <alignment horizontal="right" vertical="center" shrinkToFit="1"/>
    </xf>
    <xf numFmtId="177" fontId="3" fillId="0" borderId="96" xfId="1" applyNumberFormat="1" applyFont="1" applyBorder="1" applyAlignment="1">
      <alignment horizontal="right" vertical="center" shrinkToFit="1"/>
    </xf>
    <xf numFmtId="177" fontId="3" fillId="2" borderId="67" xfId="1" applyNumberFormat="1" applyFont="1" applyFill="1" applyBorder="1" applyAlignment="1">
      <alignment horizontal="right" vertical="center" shrinkToFit="1"/>
    </xf>
    <xf numFmtId="177" fontId="3" fillId="0" borderId="71" xfId="1" applyNumberFormat="1" applyFont="1" applyBorder="1" applyAlignment="1">
      <alignment horizontal="right" vertical="center" shrinkToFit="1"/>
    </xf>
    <xf numFmtId="177" fontId="3" fillId="0" borderId="114" xfId="1" applyNumberFormat="1" applyFont="1" applyBorder="1" applyAlignment="1">
      <alignment horizontal="right" vertical="center" shrinkToFit="1"/>
    </xf>
    <xf numFmtId="177" fontId="3" fillId="0" borderId="80" xfId="1" applyNumberFormat="1" applyFont="1" applyBorder="1" applyAlignment="1">
      <alignment horizontal="right" vertical="center" shrinkToFit="1"/>
    </xf>
    <xf numFmtId="177" fontId="3" fillId="0" borderId="32" xfId="1" applyNumberFormat="1" applyFont="1" applyBorder="1" applyAlignment="1">
      <alignment horizontal="right" vertical="center" shrinkToFit="1"/>
    </xf>
    <xf numFmtId="177" fontId="3" fillId="0" borderId="92" xfId="1" applyNumberFormat="1" applyFont="1" applyBorder="1" applyAlignment="1">
      <alignment horizontal="right" vertical="center" shrinkToFit="1"/>
    </xf>
    <xf numFmtId="177" fontId="3" fillId="0" borderId="131" xfId="1" applyNumberFormat="1" applyFont="1" applyBorder="1" applyAlignment="1">
      <alignment horizontal="right" vertical="center" shrinkToFit="1"/>
    </xf>
    <xf numFmtId="177" fontId="3" fillId="0" borderId="144" xfId="1" applyNumberFormat="1" applyFont="1" applyBorder="1" applyAlignment="1">
      <alignment horizontal="right" vertical="center" shrinkToFit="1"/>
    </xf>
    <xf numFmtId="177" fontId="5" fillId="0" borderId="28" xfId="1" applyNumberFormat="1" applyFont="1" applyBorder="1" applyAlignment="1">
      <alignment horizontal="right" vertical="center" shrinkToFit="1"/>
    </xf>
    <xf numFmtId="0" fontId="5" fillId="0" borderId="137" xfId="1" applyFont="1" applyBorder="1" applyAlignment="1">
      <alignment horizontal="right" vertical="center"/>
    </xf>
    <xf numFmtId="0" fontId="5" fillId="0" borderId="135" xfId="1" applyFont="1" applyBorder="1" applyAlignment="1">
      <alignment horizontal="right" vertical="center"/>
    </xf>
    <xf numFmtId="0" fontId="5" fillId="0" borderId="39" xfId="1" applyFont="1" applyBorder="1" applyAlignment="1">
      <alignment horizontal="right" vertical="center"/>
    </xf>
    <xf numFmtId="0" fontId="5" fillId="0" borderId="34" xfId="1" applyFont="1" applyBorder="1" applyAlignment="1">
      <alignment horizontal="right" vertical="center"/>
    </xf>
    <xf numFmtId="0" fontId="5" fillId="0" borderId="95" xfId="1" applyFont="1" applyBorder="1" applyAlignment="1">
      <alignment horizontal="right" vertical="center"/>
    </xf>
    <xf numFmtId="0" fontId="5" fillId="0" borderId="75" xfId="1" applyFont="1" applyBorder="1" applyAlignment="1">
      <alignment horizontal="right" vertical="center"/>
    </xf>
    <xf numFmtId="0" fontId="5" fillId="0" borderId="114" xfId="1" applyFont="1" applyBorder="1" applyAlignment="1">
      <alignment horizontal="right" vertical="center" shrinkToFit="1"/>
    </xf>
    <xf numFmtId="0" fontId="5" fillId="0" borderId="40" xfId="1" applyFont="1" applyBorder="1" applyAlignment="1">
      <alignment horizontal="right" vertical="center" shrinkToFit="1"/>
    </xf>
    <xf numFmtId="0" fontId="5" fillId="0" borderId="92" xfId="1" applyFont="1" applyBorder="1" applyAlignment="1">
      <alignment horizontal="right" vertical="center" shrinkToFit="1"/>
    </xf>
    <xf numFmtId="178" fontId="5" fillId="2" borderId="30" xfId="1" applyNumberFormat="1" applyFont="1" applyFill="1" applyBorder="1" applyAlignment="1">
      <alignment horizontal="right" vertical="center"/>
    </xf>
    <xf numFmtId="178" fontId="5" fillId="2" borderId="31" xfId="1" applyNumberFormat="1" applyFont="1" applyFill="1" applyBorder="1" applyAlignment="1">
      <alignment horizontal="right" vertical="center"/>
    </xf>
    <xf numFmtId="178" fontId="5" fillId="0" borderId="30" xfId="1" applyNumberFormat="1" applyFont="1" applyBorder="1" applyAlignment="1">
      <alignment horizontal="right" vertical="center"/>
    </xf>
    <xf numFmtId="178" fontId="5" fillId="0" borderId="37" xfId="1" applyNumberFormat="1" applyFont="1" applyBorder="1" applyAlignment="1">
      <alignment horizontal="right" vertical="center"/>
    </xf>
    <xf numFmtId="178" fontId="5" fillId="2" borderId="105" xfId="1" applyNumberFormat="1" applyFont="1" applyFill="1" applyBorder="1" applyAlignment="1">
      <alignment horizontal="right" vertical="center"/>
    </xf>
    <xf numFmtId="178" fontId="5" fillId="2" borderId="106" xfId="1" applyNumberFormat="1" applyFont="1" applyFill="1" applyBorder="1" applyAlignment="1">
      <alignment horizontal="right" vertical="center"/>
    </xf>
    <xf numFmtId="178" fontId="5" fillId="2" borderId="51" xfId="1" applyNumberFormat="1" applyFont="1" applyFill="1" applyBorder="1" applyAlignment="1">
      <alignment horizontal="right" vertical="center"/>
    </xf>
    <xf numFmtId="178" fontId="5" fillId="0" borderId="112" xfId="1" applyNumberFormat="1" applyFont="1" applyBorder="1" applyAlignment="1">
      <alignment horizontal="right" vertical="center"/>
    </xf>
    <xf numFmtId="178" fontId="5" fillId="0" borderId="113" xfId="1" applyNumberFormat="1" applyFont="1" applyBorder="1" applyAlignment="1">
      <alignment horizontal="right" vertical="center"/>
    </xf>
    <xf numFmtId="178" fontId="5" fillId="0" borderId="79" xfId="1" applyNumberFormat="1" applyFont="1" applyBorder="1" applyAlignment="1">
      <alignment horizontal="right" vertical="center"/>
    </xf>
    <xf numFmtId="178" fontId="5" fillId="0" borderId="119" xfId="1" applyNumberFormat="1" applyFont="1" applyBorder="1" applyAlignment="1">
      <alignment horizontal="right" vertical="center"/>
    </xf>
    <xf numFmtId="178" fontId="5" fillId="0" borderId="128" xfId="1" applyNumberFormat="1" applyFont="1" applyBorder="1" applyAlignment="1">
      <alignment horizontal="right" vertical="center"/>
    </xf>
    <xf numFmtId="178" fontId="5" fillId="0" borderId="77" xfId="1" applyNumberFormat="1" applyFont="1" applyBorder="1" applyAlignment="1">
      <alignment horizontal="right" vertical="center"/>
    </xf>
    <xf numFmtId="180" fontId="5" fillId="0" borderId="121" xfId="1" applyNumberFormat="1" applyFont="1" applyBorder="1" applyAlignment="1">
      <alignment horizontal="right" vertical="center"/>
    </xf>
    <xf numFmtId="180" fontId="5" fillId="0" borderId="50" xfId="1" applyNumberFormat="1" applyFont="1" applyBorder="1" applyAlignment="1">
      <alignment horizontal="right" vertical="center"/>
    </xf>
    <xf numFmtId="180" fontId="5" fillId="0" borderId="57" xfId="1" applyNumberFormat="1" applyFont="1" applyBorder="1" applyAlignment="1">
      <alignment horizontal="right" vertical="center" shrinkToFit="1"/>
    </xf>
    <xf numFmtId="180" fontId="5" fillId="0" borderId="40" xfId="1" applyNumberFormat="1" applyFont="1" applyBorder="1" applyAlignment="1">
      <alignment horizontal="right" vertical="center" shrinkToFit="1"/>
    </xf>
    <xf numFmtId="1" fontId="5" fillId="0" borderId="40" xfId="1" applyNumberFormat="1" applyFont="1" applyBorder="1" applyAlignment="1">
      <alignment horizontal="right" vertical="center" shrinkToFit="1"/>
    </xf>
    <xf numFmtId="1" fontId="5" fillId="0" borderId="71" xfId="1" applyNumberFormat="1" applyFont="1" applyBorder="1" applyAlignment="1">
      <alignment horizontal="right" vertical="center" shrinkToFit="1"/>
    </xf>
    <xf numFmtId="179" fontId="5" fillId="0" borderId="37" xfId="1" applyNumberFormat="1" applyFont="1" applyBorder="1" applyAlignment="1">
      <alignment horizontal="right" vertical="center"/>
    </xf>
    <xf numFmtId="179" fontId="5" fillId="0" borderId="40" xfId="1" applyNumberFormat="1" applyFont="1" applyBorder="1" applyAlignment="1">
      <alignment horizontal="right" vertical="center" shrinkToFit="1"/>
    </xf>
    <xf numFmtId="179" fontId="5" fillId="0" borderId="30" xfId="1" applyNumberFormat="1" applyFont="1" applyBorder="1" applyAlignment="1">
      <alignment horizontal="right" vertical="center"/>
    </xf>
    <xf numFmtId="179" fontId="5" fillId="0" borderId="51" xfId="1" applyNumberFormat="1" applyFont="1" applyBorder="1" applyAlignment="1">
      <alignment horizontal="right" vertical="center"/>
    </xf>
    <xf numFmtId="179" fontId="5" fillId="0" borderId="32" xfId="1" applyNumberFormat="1" applyFont="1" applyBorder="1" applyAlignment="1">
      <alignment horizontal="right" vertical="center" shrinkToFit="1"/>
    </xf>
    <xf numFmtId="179" fontId="5" fillId="0" borderId="57" xfId="1" applyNumberFormat="1" applyFont="1" applyBorder="1" applyAlignment="1">
      <alignment horizontal="right" vertical="center" shrinkToFit="1"/>
    </xf>
    <xf numFmtId="179" fontId="5" fillId="0" borderId="144" xfId="1" applyNumberFormat="1" applyFont="1" applyBorder="1" applyAlignment="1">
      <alignment horizontal="right" vertical="center" shrinkToFit="1"/>
    </xf>
    <xf numFmtId="0" fontId="15" fillId="0" borderId="25" xfId="1" applyFont="1" applyBorder="1" applyAlignment="1">
      <alignment horizontal="center" vertical="center"/>
    </xf>
    <xf numFmtId="0" fontId="15" fillId="0" borderId="146" xfId="1" applyFont="1" applyBorder="1" applyAlignment="1">
      <alignment horizontal="center" vertical="center" shrinkToFit="1"/>
    </xf>
    <xf numFmtId="0" fontId="15" fillId="0" borderId="100" xfId="1" applyFont="1" applyBorder="1" applyAlignment="1">
      <alignment horizontal="center" vertical="center"/>
    </xf>
    <xf numFmtId="176" fontId="15" fillId="0" borderId="28" xfId="1" applyNumberFormat="1" applyFont="1" applyBorder="1" applyAlignment="1">
      <alignment horizontal="center" vertical="center" wrapText="1"/>
    </xf>
    <xf numFmtId="176" fontId="15" fillId="0" borderId="28" xfId="1" applyNumberFormat="1" applyFont="1" applyBorder="1" applyAlignment="1">
      <alignment horizontal="center" vertical="center"/>
    </xf>
    <xf numFmtId="178" fontId="5" fillId="0" borderId="121" xfId="1" applyNumberFormat="1" applyFont="1" applyBorder="1" applyAlignment="1">
      <alignment horizontal="right" vertical="center"/>
    </xf>
    <xf numFmtId="178" fontId="5" fillId="0" borderId="50" xfId="1" applyNumberFormat="1" applyFont="1" applyBorder="1" applyAlignment="1">
      <alignment horizontal="right" vertical="center"/>
    </xf>
    <xf numFmtId="0" fontId="9" fillId="0" borderId="48" xfId="1" applyFont="1" applyBorder="1" applyAlignment="1">
      <alignment vertical="center"/>
    </xf>
    <xf numFmtId="179" fontId="5" fillId="0" borderId="115" xfId="1" applyNumberFormat="1" applyFont="1" applyBorder="1" applyAlignment="1">
      <alignment horizontal="right" vertical="center"/>
    </xf>
    <xf numFmtId="179" fontId="5" fillId="0" borderId="62" xfId="1" applyNumberFormat="1" applyFont="1" applyBorder="1" applyAlignment="1">
      <alignment horizontal="right" vertical="center"/>
    </xf>
    <xf numFmtId="179" fontId="5" fillId="0" borderId="71" xfId="1" applyNumberFormat="1" applyFont="1" applyBorder="1" applyAlignment="1">
      <alignment horizontal="right" vertical="center" shrinkToFit="1"/>
    </xf>
    <xf numFmtId="0" fontId="18" fillId="0" borderId="0" xfId="1" applyFont="1" applyAlignment="1">
      <alignment horizontal="distributed" vertical="center" wrapText="1" shrinkToFit="1"/>
    </xf>
    <xf numFmtId="0" fontId="18" fillId="0" borderId="46" xfId="1" applyFont="1" applyBorder="1" applyAlignment="1">
      <alignment horizontal="distributed" vertical="center" wrapText="1" shrinkToFit="1"/>
    </xf>
    <xf numFmtId="0" fontId="18" fillId="0" borderId="44" xfId="1" applyFont="1" applyBorder="1" applyAlignment="1">
      <alignment horizontal="distributed" vertical="center" wrapText="1" shrinkToFit="1"/>
    </xf>
    <xf numFmtId="178" fontId="5" fillId="0" borderId="69" xfId="1" applyNumberFormat="1" applyFont="1" applyBorder="1" applyAlignment="1">
      <alignment horizontal="right" vertical="center"/>
    </xf>
    <xf numFmtId="2" fontId="11" fillId="0" borderId="8" xfId="1" applyNumberFormat="1" applyFont="1" applyBorder="1" applyAlignment="1">
      <alignment horizontal="right" vertical="center" shrinkToFit="1"/>
    </xf>
    <xf numFmtId="2" fontId="11" fillId="0" borderId="13" xfId="1" applyNumberFormat="1" applyFont="1" applyBorder="1" applyAlignment="1">
      <alignment horizontal="right" vertical="center" shrinkToFit="1"/>
    </xf>
    <xf numFmtId="180" fontId="5" fillId="0" borderId="56" xfId="1" applyNumberFormat="1" applyFont="1" applyBorder="1" applyAlignment="1">
      <alignment horizontal="right" vertical="center"/>
    </xf>
    <xf numFmtId="180" fontId="5" fillId="0" borderId="54" xfId="1" applyNumberFormat="1" applyFont="1" applyBorder="1" applyAlignment="1">
      <alignment horizontal="right" vertical="center"/>
    </xf>
    <xf numFmtId="179" fontId="5" fillId="0" borderId="133" xfId="1" applyNumberFormat="1" applyFont="1" applyBorder="1" applyAlignment="1">
      <alignment horizontal="right" vertical="center"/>
    </xf>
    <xf numFmtId="179" fontId="5" fillId="0" borderId="120" xfId="1" applyNumberFormat="1" applyFont="1" applyBorder="1" applyAlignment="1">
      <alignment horizontal="right" vertical="center"/>
    </xf>
    <xf numFmtId="179" fontId="5" fillId="0" borderId="137" xfId="1" applyNumberFormat="1" applyFont="1" applyBorder="1" applyAlignment="1">
      <alignment horizontal="right" vertical="center"/>
    </xf>
    <xf numFmtId="179" fontId="5" fillId="0" borderId="135" xfId="1" applyNumberFormat="1" applyFont="1" applyBorder="1" applyAlignment="1">
      <alignment horizontal="right" vertical="center"/>
    </xf>
    <xf numFmtId="0" fontId="10" fillId="0" borderId="0" xfId="1" applyFont="1"/>
    <xf numFmtId="0" fontId="9" fillId="0" borderId="0" xfId="1" applyFont="1"/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top"/>
    </xf>
    <xf numFmtId="0" fontId="10" fillId="0" borderId="0" xfId="0" applyFont="1"/>
    <xf numFmtId="0" fontId="20" fillId="0" borderId="0" xfId="0" applyFont="1"/>
    <xf numFmtId="0" fontId="11" fillId="0" borderId="34" xfId="1" applyFont="1" applyBorder="1" applyAlignment="1">
      <alignment horizontal="distributed" vertical="center"/>
    </xf>
    <xf numFmtId="0" fontId="11" fillId="0" borderId="37" xfId="1" applyFont="1" applyBorder="1" applyAlignment="1">
      <alignment horizontal="distributed" vertical="center"/>
    </xf>
    <xf numFmtId="0" fontId="3" fillId="0" borderId="102" xfId="1" applyFont="1" applyBorder="1" applyAlignment="1">
      <alignment horizontal="left" vertical="center" wrapText="1"/>
    </xf>
    <xf numFmtId="0" fontId="3" fillId="0" borderId="39" xfId="1" applyFont="1" applyBorder="1" applyAlignment="1">
      <alignment horizontal="left" vertical="center" wrapText="1"/>
    </xf>
    <xf numFmtId="0" fontId="3" fillId="0" borderId="52" xfId="1" applyFont="1" applyBorder="1" applyAlignment="1">
      <alignment horizontal="left" vertical="center" wrapText="1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1" xfId="1" applyFont="1" applyBorder="1" applyAlignment="1">
      <alignment horizontal="left" vertical="center" shrinkToFit="1"/>
    </xf>
    <xf numFmtId="0" fontId="11" fillId="0" borderId="13" xfId="1" applyFont="1" applyBorder="1" applyAlignment="1">
      <alignment horizontal="right" vertical="center" shrinkToFit="1"/>
    </xf>
    <xf numFmtId="0" fontId="11" fillId="0" borderId="73" xfId="1" applyFont="1" applyBorder="1" applyAlignment="1">
      <alignment horizontal="right" vertical="center" shrinkToFit="1"/>
    </xf>
    <xf numFmtId="0" fontId="11" fillId="0" borderId="14" xfId="1" applyFont="1" applyBorder="1" applyAlignment="1">
      <alignment horizontal="right" vertical="center" shrinkToFit="1"/>
    </xf>
    <xf numFmtId="0" fontId="15" fillId="0" borderId="23" xfId="1" applyFont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0" fontId="15" fillId="0" borderId="99" xfId="1" applyFont="1" applyBorder="1" applyAlignment="1">
      <alignment horizontal="center" vertical="center"/>
    </xf>
    <xf numFmtId="0" fontId="11" fillId="0" borderId="23" xfId="1" applyFont="1" applyBorder="1" applyAlignment="1">
      <alignment horizontal="distributed" vertical="center"/>
    </xf>
    <xf numFmtId="0" fontId="11" fillId="0" borderId="24" xfId="1" applyFont="1" applyBorder="1" applyAlignment="1">
      <alignment horizontal="distributed" vertical="center"/>
    </xf>
    <xf numFmtId="0" fontId="11" fillId="0" borderId="25" xfId="1" applyFont="1" applyBorder="1" applyAlignment="1">
      <alignment horizontal="distributed" vertical="center"/>
    </xf>
    <xf numFmtId="0" fontId="3" fillId="0" borderId="100" xfId="1" applyFont="1" applyBorder="1" applyAlignment="1">
      <alignment horizontal="left" vertical="center" wrapText="1"/>
    </xf>
    <xf numFmtId="0" fontId="3" fillId="0" borderId="27" xfId="1" applyFont="1" applyBorder="1" applyAlignment="1">
      <alignment horizontal="left" vertical="center" wrapText="1"/>
    </xf>
    <xf numFmtId="0" fontId="3" fillId="0" borderId="146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1" fillId="0" borderId="97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left" vertical="center" shrinkToFit="1"/>
    </xf>
    <xf numFmtId="0" fontId="11" fillId="0" borderId="8" xfId="1" applyFont="1" applyBorder="1" applyAlignment="1">
      <alignment horizontal="right" vertical="center" shrinkToFit="1"/>
    </xf>
    <xf numFmtId="0" fontId="11" fillId="0" borderId="98" xfId="1" applyFont="1" applyBorder="1" applyAlignment="1">
      <alignment horizontal="right" vertical="center" shrinkToFit="1"/>
    </xf>
    <xf numFmtId="0" fontId="11" fillId="0" borderId="9" xfId="1" applyFont="1" applyBorder="1" applyAlignment="1">
      <alignment horizontal="right" vertical="center" shrinkToFit="1"/>
    </xf>
    <xf numFmtId="0" fontId="11" fillId="2" borderId="19" xfId="1" applyFont="1" applyFill="1" applyBorder="1" applyAlignment="1">
      <alignment horizontal="distributed" vertical="center"/>
    </xf>
    <xf numFmtId="0" fontId="11" fillId="2" borderId="20" xfId="1" applyFont="1" applyFill="1" applyBorder="1" applyAlignment="1">
      <alignment horizontal="distributed" vertical="center"/>
    </xf>
    <xf numFmtId="0" fontId="11" fillId="2" borderId="21" xfId="1" applyFont="1" applyFill="1" applyBorder="1" applyAlignment="1">
      <alignment horizontal="distributed" vertical="center"/>
    </xf>
    <xf numFmtId="0" fontId="3" fillId="0" borderId="121" xfId="1" applyFont="1" applyBorder="1" applyAlignment="1">
      <alignment horizontal="left" vertical="center" wrapText="1"/>
    </xf>
    <xf numFmtId="0" fontId="3" fillId="0" borderId="56" xfId="1" applyFont="1" applyBorder="1" applyAlignment="1">
      <alignment horizontal="left" vertical="center" wrapText="1"/>
    </xf>
    <xf numFmtId="0" fontId="3" fillId="0" borderId="55" xfId="1" applyFont="1" applyBorder="1" applyAlignment="1">
      <alignment horizontal="left" vertical="center" wrapText="1"/>
    </xf>
    <xf numFmtId="0" fontId="11" fillId="0" borderId="36" xfId="1" applyFont="1" applyBorder="1" applyAlignment="1">
      <alignment horizontal="distributed" vertical="center"/>
    </xf>
    <xf numFmtId="0" fontId="11" fillId="0" borderId="43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/>
    </xf>
    <xf numFmtId="0" fontId="11" fillId="0" borderId="46" xfId="1" applyFont="1" applyBorder="1" applyAlignment="1">
      <alignment horizontal="center" vertical="center"/>
    </xf>
    <xf numFmtId="0" fontId="11" fillId="0" borderId="42" xfId="1" applyFont="1" applyBorder="1" applyAlignment="1">
      <alignment horizontal="distributed" vertical="center"/>
    </xf>
    <xf numFmtId="0" fontId="11" fillId="0" borderId="47" xfId="1" applyFont="1" applyBorder="1" applyAlignment="1">
      <alignment horizontal="distributed" vertical="center"/>
    </xf>
    <xf numFmtId="0" fontId="11" fillId="0" borderId="49" xfId="1" applyFont="1" applyBorder="1" applyAlignment="1">
      <alignment horizontal="distributed" vertical="center" wrapText="1"/>
    </xf>
    <xf numFmtId="0" fontId="1" fillId="0" borderId="37" xfId="1" applyBorder="1" applyAlignment="1">
      <alignment horizontal="distributed" vertical="center" wrapText="1"/>
    </xf>
    <xf numFmtId="0" fontId="11" fillId="0" borderId="49" xfId="1" applyFont="1" applyBorder="1" applyAlignment="1">
      <alignment horizontal="distributed" vertical="center"/>
    </xf>
    <xf numFmtId="0" fontId="1" fillId="0" borderId="37" xfId="1" applyBorder="1" applyAlignment="1">
      <alignment horizontal="distributed" vertical="center"/>
    </xf>
    <xf numFmtId="0" fontId="15" fillId="0" borderId="34" xfId="1" applyFont="1" applyBorder="1" applyAlignment="1">
      <alignment horizontal="distributed" vertical="center"/>
    </xf>
    <xf numFmtId="0" fontId="15" fillId="0" borderId="37" xfId="1" applyFont="1" applyBorder="1" applyAlignment="1">
      <alignment horizontal="distributed" vertical="center"/>
    </xf>
    <xf numFmtId="0" fontId="11" fillId="0" borderId="36" xfId="1" applyFont="1" applyBorder="1" applyAlignment="1">
      <alignment horizontal="distributed" vertical="center" wrapText="1"/>
    </xf>
    <xf numFmtId="0" fontId="11" fillId="0" borderId="37" xfId="1" applyFont="1" applyBorder="1" applyAlignment="1">
      <alignment horizontal="distributed" vertical="center" wrapText="1"/>
    </xf>
    <xf numFmtId="0" fontId="15" fillId="0" borderId="36" xfId="1" applyFont="1" applyBorder="1" applyAlignment="1">
      <alignment horizontal="distributed" vertical="center" wrapText="1"/>
    </xf>
    <xf numFmtId="0" fontId="15" fillId="0" borderId="42" xfId="1" applyFont="1" applyBorder="1" applyAlignment="1">
      <alignment horizontal="distributed" vertical="center"/>
    </xf>
    <xf numFmtId="0" fontId="15" fillId="0" borderId="47" xfId="1" applyFont="1" applyBorder="1" applyAlignment="1">
      <alignment horizontal="distributed" vertical="center"/>
    </xf>
    <xf numFmtId="0" fontId="15" fillId="0" borderId="36" xfId="1" applyFont="1" applyBorder="1" applyAlignment="1">
      <alignment horizontal="distributed" vertical="center"/>
    </xf>
    <xf numFmtId="0" fontId="15" fillId="0" borderId="49" xfId="1" applyFont="1" applyBorder="1" applyAlignment="1">
      <alignment horizontal="distributed" vertical="center" wrapText="1"/>
    </xf>
    <xf numFmtId="0" fontId="3" fillId="0" borderId="102" xfId="1" applyFont="1" applyBorder="1" applyAlignment="1">
      <alignment horizontal="left" vertical="center" wrapText="1" shrinkToFit="1"/>
    </xf>
    <xf numFmtId="0" fontId="3" fillId="0" borderId="39" xfId="1" applyFont="1" applyBorder="1" applyAlignment="1">
      <alignment horizontal="left" vertical="center" wrapText="1" shrinkToFit="1"/>
    </xf>
    <xf numFmtId="0" fontId="3" fillId="0" borderId="52" xfId="1" applyFont="1" applyBorder="1" applyAlignment="1">
      <alignment horizontal="left" vertical="center" wrapText="1" shrinkToFit="1"/>
    </xf>
    <xf numFmtId="0" fontId="11" fillId="0" borderId="36" xfId="1" applyFont="1" applyBorder="1" applyAlignment="1">
      <alignment horizontal="distributed" vertical="center" shrinkToFit="1"/>
    </xf>
    <xf numFmtId="0" fontId="11" fillId="0" borderId="42" xfId="1" applyFont="1" applyBorder="1" applyAlignment="1">
      <alignment horizontal="distributed" vertical="center" shrinkToFit="1"/>
    </xf>
    <xf numFmtId="0" fontId="11" fillId="0" borderId="47" xfId="1" applyFont="1" applyBorder="1" applyAlignment="1">
      <alignment horizontal="distributed" vertical="center" shrinkToFit="1"/>
    </xf>
    <xf numFmtId="0" fontId="15" fillId="0" borderId="49" xfId="1" applyFont="1" applyBorder="1" applyAlignment="1">
      <alignment horizontal="distributed" vertical="center"/>
    </xf>
    <xf numFmtId="0" fontId="15" fillId="0" borderId="45" xfId="1" applyFont="1" applyBorder="1" applyAlignment="1">
      <alignment horizontal="distributed" vertical="center" wrapText="1"/>
    </xf>
    <xf numFmtId="0" fontId="15" fillId="0" borderId="54" xfId="1" applyFont="1" applyBorder="1" applyAlignment="1">
      <alignment horizontal="distributed" vertical="center" wrapText="1"/>
    </xf>
    <xf numFmtId="0" fontId="15" fillId="0" borderId="50" xfId="1" applyFont="1" applyBorder="1" applyAlignment="1">
      <alignment horizontal="distributed" vertical="center" wrapText="1"/>
    </xf>
    <xf numFmtId="0" fontId="15" fillId="0" borderId="34" xfId="1" applyFont="1" applyBorder="1" applyAlignment="1">
      <alignment horizontal="distributed" vertical="center" wrapText="1"/>
    </xf>
    <xf numFmtId="0" fontId="15" fillId="0" borderId="37" xfId="1" applyFont="1" applyBorder="1" applyAlignment="1">
      <alignment horizontal="distributed" vertical="center" wrapText="1"/>
    </xf>
    <xf numFmtId="0" fontId="14" fillId="0" borderId="68" xfId="1" applyFont="1" applyBorder="1" applyAlignment="1">
      <alignment horizontal="distributed" vertical="center" wrapText="1" shrinkToFit="1"/>
    </xf>
    <xf numFmtId="0" fontId="14" fillId="0" borderId="62" xfId="1" applyFont="1" applyBorder="1" applyAlignment="1">
      <alignment horizontal="distributed" vertical="center" shrinkToFit="1"/>
    </xf>
    <xf numFmtId="0" fontId="14" fillId="0" borderId="69" xfId="1" applyFont="1" applyBorder="1" applyAlignment="1">
      <alignment horizontal="distributed" vertical="center" shrinkToFit="1"/>
    </xf>
    <xf numFmtId="0" fontId="11" fillId="0" borderId="8" xfId="1" applyFont="1" applyBorder="1" applyAlignment="1">
      <alignment horizontal="distributed" vertical="center" shrinkToFit="1"/>
    </xf>
    <xf numFmtId="0" fontId="11" fillId="0" borderId="98" xfId="1" applyFont="1" applyBorder="1" applyAlignment="1">
      <alignment horizontal="distributed" vertical="center" shrinkToFit="1"/>
    </xf>
    <xf numFmtId="0" fontId="11" fillId="0" borderId="9" xfId="1" applyFont="1" applyBorder="1" applyAlignment="1">
      <alignment horizontal="distributed" vertical="center" shrinkToFit="1"/>
    </xf>
    <xf numFmtId="0" fontId="3" fillId="0" borderId="6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147" xfId="1" applyFont="1" applyBorder="1" applyAlignment="1">
      <alignment horizontal="left" vertical="center" wrapText="1"/>
    </xf>
    <xf numFmtId="0" fontId="11" fillId="2" borderId="63" xfId="1" applyFont="1" applyFill="1" applyBorder="1" applyAlignment="1">
      <alignment horizontal="distributed" vertical="center"/>
    </xf>
    <xf numFmtId="0" fontId="11" fillId="2" borderId="64" xfId="1" applyFont="1" applyFill="1" applyBorder="1" applyAlignment="1">
      <alignment horizontal="distributed" vertical="center"/>
    </xf>
    <xf numFmtId="0" fontId="11" fillId="2" borderId="65" xfId="1" applyFont="1" applyFill="1" applyBorder="1" applyAlignment="1">
      <alignment horizontal="distributed" vertical="center"/>
    </xf>
    <xf numFmtId="0" fontId="3" fillId="0" borderId="111" xfId="1" applyFont="1" applyBorder="1" applyAlignment="1">
      <alignment horizontal="left" vertical="center" wrapText="1"/>
    </xf>
    <xf numFmtId="0" fontId="3" fillId="0" borderId="62" xfId="1" applyFont="1" applyBorder="1" applyAlignment="1">
      <alignment horizontal="left" vertical="center" wrapText="1"/>
    </xf>
    <xf numFmtId="0" fontId="3" fillId="0" borderId="110" xfId="1" applyFont="1" applyBorder="1" applyAlignment="1">
      <alignment horizontal="left" vertical="center" wrapText="1"/>
    </xf>
    <xf numFmtId="0" fontId="1" fillId="0" borderId="34" xfId="1" applyBorder="1" applyAlignment="1">
      <alignment horizontal="distributed" vertical="center"/>
    </xf>
    <xf numFmtId="0" fontId="11" fillId="0" borderId="43" xfId="1" applyFont="1" applyBorder="1" applyAlignment="1">
      <alignment horizontal="distributed" vertical="center"/>
    </xf>
    <xf numFmtId="0" fontId="11" fillId="0" borderId="54" xfId="1" applyFont="1" applyBorder="1" applyAlignment="1">
      <alignment horizontal="distributed" vertical="center"/>
    </xf>
    <xf numFmtId="0" fontId="11" fillId="0" borderId="50" xfId="1" applyFont="1" applyBorder="1" applyAlignment="1">
      <alignment horizontal="distributed" vertical="center"/>
    </xf>
    <xf numFmtId="0" fontId="11" fillId="0" borderId="34" xfId="1" applyFont="1" applyBorder="1" applyAlignment="1">
      <alignment horizontal="distributed" vertical="center" wrapText="1"/>
    </xf>
    <xf numFmtId="0" fontId="11" fillId="0" borderId="103" xfId="1" applyFont="1" applyBorder="1" applyAlignment="1">
      <alignment horizontal="distributed" vertical="center"/>
    </xf>
    <xf numFmtId="0" fontId="11" fillId="0" borderId="35" xfId="1" applyFont="1" applyBorder="1" applyAlignment="1">
      <alignment horizontal="distributed" vertical="center"/>
    </xf>
    <xf numFmtId="0" fontId="11" fillId="0" borderId="68" xfId="1" applyFont="1" applyBorder="1" applyAlignment="1">
      <alignment horizontal="distributed" vertical="center"/>
    </xf>
    <xf numFmtId="0" fontId="11" fillId="0" borderId="62" xfId="1" applyFont="1" applyBorder="1" applyAlignment="1">
      <alignment horizontal="distributed" vertical="center"/>
    </xf>
    <xf numFmtId="0" fontId="11" fillId="0" borderId="69" xfId="1" applyFont="1" applyBorder="1" applyAlignment="1">
      <alignment horizontal="distributed" vertical="center"/>
    </xf>
    <xf numFmtId="0" fontId="3" fillId="0" borderId="109" xfId="1" applyFont="1" applyBorder="1" applyAlignment="1">
      <alignment horizontal="left" vertical="center" wrapText="1" shrinkToFit="1"/>
    </xf>
    <xf numFmtId="0" fontId="3" fillId="0" borderId="115" xfId="1" applyFont="1" applyBorder="1" applyAlignment="1">
      <alignment horizontal="left" vertical="center" wrapText="1" shrinkToFit="1"/>
    </xf>
    <xf numFmtId="0" fontId="3" fillId="0" borderId="108" xfId="1" applyFont="1" applyBorder="1" applyAlignment="1">
      <alignment horizontal="left" vertical="center" wrapText="1" shrinkToFit="1"/>
    </xf>
    <xf numFmtId="0" fontId="11" fillId="3" borderId="72" xfId="1" applyFont="1" applyFill="1" applyBorder="1" applyAlignment="1">
      <alignment horizontal="distributed" vertical="center"/>
    </xf>
    <xf numFmtId="0" fontId="11" fillId="3" borderId="73" xfId="1" applyFont="1" applyFill="1" applyBorder="1" applyAlignment="1">
      <alignment horizontal="distributed" vertical="center"/>
    </xf>
    <xf numFmtId="0" fontId="11" fillId="3" borderId="14" xfId="1" applyFont="1" applyFill="1" applyBorder="1" applyAlignment="1">
      <alignment horizontal="distributed" vertical="center"/>
    </xf>
    <xf numFmtId="0" fontId="3" fillId="0" borderId="128" xfId="1" applyFont="1" applyBorder="1" applyAlignment="1">
      <alignment horizontal="left" vertical="center" wrapText="1"/>
    </xf>
    <xf numFmtId="0" fontId="3" fillId="0" borderId="95" xfId="1" applyFont="1" applyBorder="1" applyAlignment="1">
      <alignment horizontal="left" vertical="center" wrapText="1"/>
    </xf>
    <xf numFmtId="0" fontId="3" fillId="0" borderId="145" xfId="1" applyFont="1" applyBorder="1" applyAlignment="1">
      <alignment horizontal="left" vertical="center" wrapText="1"/>
    </xf>
    <xf numFmtId="0" fontId="17" fillId="0" borderId="37" xfId="0" applyFont="1" applyBorder="1" applyAlignment="1">
      <alignment horizontal="distributed" vertical="center"/>
    </xf>
    <xf numFmtId="0" fontId="11" fillId="0" borderId="66" xfId="1" applyFont="1" applyBorder="1" applyAlignment="1">
      <alignment vertical="center" textRotation="255"/>
    </xf>
    <xf numFmtId="0" fontId="17" fillId="0" borderId="29" xfId="0" applyFont="1" applyBorder="1" applyAlignment="1">
      <alignment vertical="center" textRotation="255"/>
    </xf>
    <xf numFmtId="0" fontId="17" fillId="0" borderId="82" xfId="0" applyFont="1" applyBorder="1" applyAlignment="1">
      <alignment vertical="center" textRotation="255"/>
    </xf>
    <xf numFmtId="0" fontId="11" fillId="0" borderId="116" xfId="1" applyFont="1" applyBorder="1" applyAlignment="1">
      <alignment horizontal="distributed" vertical="center"/>
    </xf>
    <xf numFmtId="0" fontId="17" fillId="0" borderId="117" xfId="0" applyFont="1" applyBorder="1" applyAlignment="1">
      <alignment horizontal="distributed" vertical="center"/>
    </xf>
    <xf numFmtId="0" fontId="17" fillId="0" borderId="106" xfId="0" applyFont="1" applyBorder="1" applyAlignment="1">
      <alignment horizontal="distributed" vertical="center"/>
    </xf>
    <xf numFmtId="0" fontId="3" fillId="0" borderId="149" xfId="1" applyFont="1" applyBorder="1" applyAlignment="1">
      <alignment horizontal="left" vertical="center" wrapText="1"/>
    </xf>
    <xf numFmtId="0" fontId="17" fillId="0" borderId="64" xfId="0" applyFont="1" applyBorder="1" applyAlignment="1">
      <alignment horizontal="left" vertical="center" wrapText="1"/>
    </xf>
    <xf numFmtId="0" fontId="17" fillId="0" borderId="150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distributed" vertical="center"/>
    </xf>
    <xf numFmtId="0" fontId="17" fillId="0" borderId="62" xfId="0" applyFont="1" applyBorder="1" applyAlignment="1">
      <alignment horizontal="distributed" vertical="center"/>
    </xf>
    <xf numFmtId="0" fontId="17" fillId="0" borderId="69" xfId="0" applyFont="1" applyBorder="1" applyAlignment="1">
      <alignment horizontal="distributed" vertical="center"/>
    </xf>
    <xf numFmtId="0" fontId="11" fillId="0" borderId="87" xfId="1" applyFont="1" applyBorder="1" applyAlignment="1">
      <alignment vertical="center" textRotation="255"/>
    </xf>
    <xf numFmtId="0" fontId="17" fillId="0" borderId="88" xfId="0" applyFont="1" applyBorder="1" applyAlignment="1">
      <alignment vertical="center" textRotation="255"/>
    </xf>
    <xf numFmtId="0" fontId="17" fillId="0" borderId="42" xfId="0" applyFont="1" applyBorder="1" applyAlignment="1">
      <alignment horizontal="distributed" vertical="center"/>
    </xf>
    <xf numFmtId="0" fontId="17" fillId="0" borderId="47" xfId="0" applyFont="1" applyBorder="1" applyAlignment="1">
      <alignment horizontal="distributed" vertical="center"/>
    </xf>
    <xf numFmtId="0" fontId="3" fillId="0" borderId="33" xfId="1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17" fillId="0" borderId="94" xfId="0" applyFont="1" applyBorder="1" applyAlignment="1">
      <alignment horizontal="left" vertical="center" wrapText="1"/>
    </xf>
    <xf numFmtId="0" fontId="11" fillId="0" borderId="74" xfId="1" applyFont="1" applyBorder="1" applyAlignment="1">
      <alignment horizontal="distributed" vertical="center"/>
    </xf>
    <xf numFmtId="0" fontId="11" fillId="0" borderId="75" xfId="1" applyFont="1" applyBorder="1" applyAlignment="1">
      <alignment horizontal="distributed" vertical="center"/>
    </xf>
    <xf numFmtId="0" fontId="11" fillId="0" borderId="77" xfId="1" applyFont="1" applyBorder="1" applyAlignment="1">
      <alignment horizontal="distributed" vertical="center"/>
    </xf>
    <xf numFmtId="0" fontId="3" fillId="0" borderId="79" xfId="1" applyFont="1" applyBorder="1" applyAlignment="1">
      <alignment horizontal="left" vertical="center" wrapText="1"/>
    </xf>
    <xf numFmtId="0" fontId="3" fillId="0" borderId="133" xfId="1" applyFont="1" applyBorder="1" applyAlignment="1">
      <alignment horizontal="left" vertical="center" wrapText="1"/>
    </xf>
    <xf numFmtId="0" fontId="3" fillId="0" borderId="132" xfId="1" applyFont="1" applyBorder="1" applyAlignment="1">
      <alignment horizontal="left" vertical="center" wrapText="1"/>
    </xf>
    <xf numFmtId="0" fontId="11" fillId="0" borderId="89" xfId="1" applyFont="1" applyBorder="1" applyAlignment="1">
      <alignment horizontal="distributed" vertical="center" shrinkToFit="1"/>
    </xf>
    <xf numFmtId="0" fontId="11" fillId="0" borderId="60" xfId="1" applyFont="1" applyBorder="1" applyAlignment="1">
      <alignment horizontal="distributed" vertical="center" shrinkToFit="1"/>
    </xf>
    <xf numFmtId="0" fontId="11" fillId="0" borderId="61" xfId="1" applyFont="1" applyBorder="1" applyAlignment="1">
      <alignment horizontal="distributed" vertical="center" shrinkToFit="1"/>
    </xf>
    <xf numFmtId="0" fontId="3" fillId="0" borderId="109" xfId="1" applyFont="1" applyBorder="1" applyAlignment="1">
      <alignment horizontal="left" vertical="center" wrapText="1"/>
    </xf>
    <xf numFmtId="0" fontId="3" fillId="0" borderId="115" xfId="1" applyFont="1" applyBorder="1" applyAlignment="1">
      <alignment horizontal="left" vertical="center" wrapText="1"/>
    </xf>
    <xf numFmtId="0" fontId="3" fillId="0" borderId="108" xfId="1" applyFont="1" applyBorder="1" applyAlignment="1">
      <alignment horizontal="left" vertical="center" wrapText="1"/>
    </xf>
    <xf numFmtId="0" fontId="11" fillId="0" borderId="85" xfId="1" applyFont="1" applyBorder="1" applyAlignment="1">
      <alignment horizontal="distributed" vertical="center"/>
    </xf>
    <xf numFmtId="0" fontId="15" fillId="0" borderId="22" xfId="1" applyFont="1" applyBorder="1" applyAlignment="1">
      <alignment horizontal="center" vertical="center" textRotation="255"/>
    </xf>
    <xf numFmtId="0" fontId="17" fillId="0" borderId="30" xfId="0" applyFont="1" applyBorder="1" applyAlignment="1">
      <alignment horizontal="center" vertical="center" textRotation="255"/>
    </xf>
    <xf numFmtId="0" fontId="17" fillId="0" borderId="79" xfId="0" applyFont="1" applyBorder="1" applyAlignment="1">
      <alignment horizontal="center" vertical="center" textRotation="255"/>
    </xf>
    <xf numFmtId="0" fontId="11" fillId="0" borderId="86" xfId="1" applyFont="1" applyBorder="1" applyAlignment="1">
      <alignment horizontal="distributed" vertical="center" shrinkToFit="1"/>
    </xf>
    <xf numFmtId="0" fontId="11" fillId="0" borderId="54" xfId="1" applyFont="1" applyBorder="1" applyAlignment="1">
      <alignment horizontal="distributed" vertical="center" shrinkToFit="1"/>
    </xf>
    <xf numFmtId="0" fontId="11" fillId="0" borderId="50" xfId="1" applyFont="1" applyBorder="1" applyAlignment="1">
      <alignment horizontal="distributed" vertical="center" shrinkToFit="1"/>
    </xf>
    <xf numFmtId="177" fontId="15" fillId="0" borderId="34" xfId="1" applyNumberFormat="1" applyFont="1" applyBorder="1" applyAlignment="1">
      <alignment horizontal="distributed" vertical="center" wrapText="1" shrinkToFit="1"/>
    </xf>
    <xf numFmtId="0" fontId="15" fillId="0" borderId="34" xfId="1" applyFont="1" applyBorder="1" applyAlignment="1">
      <alignment horizontal="distributed" vertical="center" wrapText="1" shrinkToFit="1"/>
    </xf>
    <xf numFmtId="0" fontId="15" fillId="0" borderId="37" xfId="1" applyFont="1" applyBorder="1" applyAlignment="1">
      <alignment horizontal="distributed" vertical="center" wrapText="1" shrinkToFit="1"/>
    </xf>
    <xf numFmtId="0" fontId="11" fillId="0" borderId="83" xfId="1" applyFont="1" applyBorder="1" applyAlignment="1">
      <alignment horizontal="distributed" vertical="center"/>
    </xf>
    <xf numFmtId="0" fontId="11" fillId="0" borderId="49" xfId="1" applyFont="1" applyBorder="1" applyAlignment="1">
      <alignment horizontal="distributed" vertical="center" shrinkToFit="1"/>
    </xf>
    <xf numFmtId="0" fontId="11" fillId="0" borderId="34" xfId="1" applyFont="1" applyBorder="1" applyAlignment="1">
      <alignment horizontal="distributed" vertical="center" shrinkToFit="1"/>
    </xf>
    <xf numFmtId="0" fontId="11" fillId="0" borderId="37" xfId="1" applyFont="1" applyBorder="1" applyAlignment="1">
      <alignment horizontal="distributed" vertical="center" shrinkToFit="1"/>
    </xf>
    <xf numFmtId="0" fontId="15" fillId="0" borderId="122" xfId="1" applyFont="1" applyBorder="1" applyAlignment="1">
      <alignment vertical="center" textRotation="255"/>
    </xf>
    <xf numFmtId="0" fontId="17" fillId="0" borderId="41" xfId="0" applyFont="1" applyBorder="1" applyAlignment="1">
      <alignment vertical="center" textRotation="255"/>
    </xf>
    <xf numFmtId="0" fontId="17" fillId="0" borderId="48" xfId="0" applyFont="1" applyBorder="1" applyAlignment="1">
      <alignment vertical="center" textRotation="255"/>
    </xf>
    <xf numFmtId="0" fontId="11" fillId="0" borderId="86" xfId="1" applyFont="1" applyBorder="1" applyAlignment="1">
      <alignment horizontal="distributed" vertical="center"/>
    </xf>
    <xf numFmtId="0" fontId="11" fillId="0" borderId="0" xfId="1" applyFont="1" applyAlignment="1">
      <alignment horizontal="distributed" vertical="center"/>
    </xf>
    <xf numFmtId="0" fontId="11" fillId="0" borderId="51" xfId="1" applyFont="1" applyBorder="1" applyAlignment="1">
      <alignment horizontal="distributed" vertical="center"/>
    </xf>
    <xf numFmtId="0" fontId="3" fillId="0" borderId="30" xfId="1" applyFont="1" applyBorder="1" applyAlignment="1">
      <alignment horizontal="left" vertical="center" wrapText="1"/>
    </xf>
    <xf numFmtId="0" fontId="3" fillId="0" borderId="31" xfId="1" applyFont="1" applyBorder="1" applyAlignment="1">
      <alignment horizontal="left" vertical="center" wrapText="1"/>
    </xf>
    <xf numFmtId="0" fontId="3" fillId="0" borderId="91" xfId="1" applyFont="1" applyBorder="1" applyAlignment="1">
      <alignment horizontal="left" vertical="center" wrapText="1"/>
    </xf>
    <xf numFmtId="0" fontId="15" fillId="0" borderId="49" xfId="1" applyFont="1" applyBorder="1" applyAlignment="1">
      <alignment horizontal="distributed" vertical="center" wrapText="1" shrinkToFit="1"/>
    </xf>
    <xf numFmtId="0" fontId="17" fillId="0" borderId="34" xfId="0" applyFont="1" applyBorder="1" applyAlignment="1">
      <alignment horizontal="distributed" vertical="center" wrapText="1" shrinkToFit="1"/>
    </xf>
    <xf numFmtId="0" fontId="17" fillId="0" borderId="37" xfId="0" applyFont="1" applyBorder="1" applyAlignment="1">
      <alignment horizontal="distributed" vertical="center" wrapText="1" shrinkToFit="1"/>
    </xf>
    <xf numFmtId="0" fontId="15" fillId="0" borderId="45" xfId="1" applyFont="1" applyBorder="1" applyAlignment="1">
      <alignment horizontal="distributed" vertical="center"/>
    </xf>
    <xf numFmtId="0" fontId="17" fillId="0" borderId="54" xfId="0" applyFont="1" applyBorder="1" applyAlignment="1">
      <alignment horizontal="distributed" vertical="center"/>
    </xf>
    <xf numFmtId="0" fontId="17" fillId="0" borderId="50" xfId="0" applyFont="1" applyBorder="1" applyAlignment="1">
      <alignment horizontal="distributed" vertical="center"/>
    </xf>
    <xf numFmtId="0" fontId="3" fillId="0" borderId="121" xfId="1" applyFont="1" applyBorder="1" applyAlignment="1">
      <alignment horizontal="left" vertical="center" wrapText="1" shrinkToFit="1"/>
    </xf>
    <xf numFmtId="0" fontId="3" fillId="0" borderId="56" xfId="1" applyFont="1" applyBorder="1" applyAlignment="1">
      <alignment horizontal="left" vertical="center" wrapText="1" shrinkToFit="1"/>
    </xf>
    <xf numFmtId="0" fontId="3" fillId="0" borderId="55" xfId="1" applyFont="1" applyBorder="1" applyAlignment="1">
      <alignment horizontal="left" vertical="center" wrapText="1" shrinkToFit="1"/>
    </xf>
    <xf numFmtId="0" fontId="15" fillId="0" borderId="43" xfId="1" applyFont="1" applyBorder="1" applyAlignment="1">
      <alignment horizontal="distributed" vertical="center"/>
    </xf>
    <xf numFmtId="0" fontId="17" fillId="0" borderId="0" xfId="0" applyFont="1" applyAlignment="1">
      <alignment horizontal="distributed" vertical="center"/>
    </xf>
    <xf numFmtId="0" fontId="17" fillId="0" borderId="51" xfId="0" applyFont="1" applyBorder="1" applyAlignment="1">
      <alignment horizontal="distributed" vertical="center"/>
    </xf>
    <xf numFmtId="0" fontId="3" fillId="0" borderId="30" xfId="1" applyFont="1" applyBorder="1" applyAlignment="1">
      <alignment horizontal="left" vertical="center" wrapText="1" shrinkToFit="1"/>
    </xf>
    <xf numFmtId="0" fontId="3" fillId="0" borderId="31" xfId="1" applyFont="1" applyBorder="1" applyAlignment="1">
      <alignment horizontal="left" vertical="center" wrapText="1" shrinkToFit="1"/>
    </xf>
    <xf numFmtId="0" fontId="3" fillId="0" borderId="91" xfId="1" applyFont="1" applyBorder="1" applyAlignment="1">
      <alignment horizontal="left" vertical="center" wrapText="1" shrinkToFit="1"/>
    </xf>
    <xf numFmtId="0" fontId="15" fillId="0" borderId="29" xfId="1" applyFont="1" applyBorder="1" applyAlignment="1">
      <alignment horizontal="center" vertical="center" textRotation="255"/>
    </xf>
    <xf numFmtId="0" fontId="15" fillId="0" borderId="82" xfId="1" applyFont="1" applyBorder="1" applyAlignment="1">
      <alignment horizontal="center" vertical="center" textRotation="255"/>
    </xf>
    <xf numFmtId="0" fontId="15" fillId="0" borderId="48" xfId="1" applyFont="1" applyBorder="1" applyAlignment="1">
      <alignment horizontal="distributed" vertical="center"/>
    </xf>
    <xf numFmtId="0" fontId="15" fillId="0" borderId="123" xfId="1" applyFont="1" applyBorder="1" applyAlignment="1">
      <alignment horizontal="distributed" vertical="center"/>
    </xf>
    <xf numFmtId="0" fontId="15" fillId="0" borderId="124" xfId="1" applyFont="1" applyBorder="1" applyAlignment="1">
      <alignment horizontal="distributed" vertical="center"/>
    </xf>
    <xf numFmtId="0" fontId="15" fillId="0" borderId="84" xfId="1" applyFont="1" applyBorder="1" applyAlignment="1">
      <alignment horizontal="distributed" vertical="center"/>
    </xf>
    <xf numFmtId="0" fontId="3" fillId="0" borderId="102" xfId="1" quotePrefix="1" applyFont="1" applyBorder="1" applyAlignment="1">
      <alignment horizontal="left" vertical="center" wrapText="1"/>
    </xf>
    <xf numFmtId="0" fontId="3" fillId="0" borderId="39" xfId="1" quotePrefix="1" applyFont="1" applyBorder="1" applyAlignment="1">
      <alignment horizontal="left" vertical="center" wrapText="1"/>
    </xf>
    <xf numFmtId="0" fontId="3" fillId="0" borderId="52" xfId="1" quotePrefix="1" applyFont="1" applyBorder="1" applyAlignment="1">
      <alignment horizontal="left" vertical="center" wrapText="1"/>
    </xf>
    <xf numFmtId="0" fontId="15" fillId="0" borderId="45" xfId="1" applyFont="1" applyBorder="1" applyAlignment="1">
      <alignment horizontal="distributed" vertical="center" wrapText="1" shrinkToFit="1"/>
    </xf>
    <xf numFmtId="0" fontId="17" fillId="0" borderId="54" xfId="0" applyFont="1" applyBorder="1" applyAlignment="1">
      <alignment horizontal="distributed" vertical="center" wrapText="1" shrinkToFit="1"/>
    </xf>
    <xf numFmtId="0" fontId="17" fillId="0" borderId="50" xfId="0" applyFont="1" applyBorder="1" applyAlignment="1">
      <alignment horizontal="distributed" vertical="center" wrapText="1" shrinkToFit="1"/>
    </xf>
    <xf numFmtId="0" fontId="15" fillId="0" borderId="87" xfId="1" applyFont="1" applyBorder="1" applyAlignment="1">
      <alignment horizontal="center" vertical="center" textRotation="255"/>
    </xf>
    <xf numFmtId="0" fontId="10" fillId="0" borderId="49" xfId="1" applyFont="1" applyBorder="1" applyAlignment="1">
      <alignment horizontal="distributed" vertical="center" wrapText="1"/>
    </xf>
    <xf numFmtId="0" fontId="10" fillId="0" borderId="34" xfId="1" applyFont="1" applyBorder="1" applyAlignment="1">
      <alignment horizontal="distributed" vertical="center"/>
    </xf>
    <xf numFmtId="0" fontId="10" fillId="0" borderId="37" xfId="1" applyFont="1" applyBorder="1" applyAlignment="1">
      <alignment horizontal="distributed" vertical="center"/>
    </xf>
    <xf numFmtId="0" fontId="15" fillId="0" borderId="83" xfId="1" applyFont="1" applyBorder="1" applyAlignment="1">
      <alignment horizontal="distributed" vertical="center" wrapText="1"/>
    </xf>
    <xf numFmtId="0" fontId="11" fillId="0" borderId="85" xfId="1" applyFont="1" applyBorder="1" applyAlignment="1">
      <alignment horizontal="distributed" vertical="center" wrapText="1"/>
    </xf>
    <xf numFmtId="0" fontId="11" fillId="0" borderId="83" xfId="1" applyFont="1" applyBorder="1" applyAlignment="1">
      <alignment horizontal="distributed" vertical="center" wrapText="1"/>
    </xf>
    <xf numFmtId="0" fontId="11" fillId="0" borderId="124" xfId="1" applyFont="1" applyBorder="1" applyAlignment="1">
      <alignment horizontal="distributed" vertical="center"/>
    </xf>
    <xf numFmtId="0" fontId="11" fillId="0" borderId="84" xfId="1" applyFont="1" applyBorder="1" applyAlignment="1">
      <alignment horizontal="distributed" vertical="center"/>
    </xf>
    <xf numFmtId="0" fontId="15" fillId="0" borderId="124" xfId="1" applyFont="1" applyBorder="1" applyAlignment="1">
      <alignment horizontal="distributed" vertical="center" wrapText="1"/>
    </xf>
    <xf numFmtId="0" fontId="15" fillId="0" borderId="84" xfId="1" applyFont="1" applyBorder="1" applyAlignment="1">
      <alignment horizontal="distributed" vertical="center" wrapText="1"/>
    </xf>
    <xf numFmtId="0" fontId="1" fillId="0" borderId="49" xfId="1" applyBorder="1" applyAlignment="1">
      <alignment horizontal="distributed" vertical="center"/>
    </xf>
    <xf numFmtId="0" fontId="15" fillId="0" borderId="85" xfId="1" applyFont="1" applyBorder="1" applyAlignment="1">
      <alignment horizontal="distributed" vertical="center" wrapText="1"/>
    </xf>
    <xf numFmtId="0" fontId="1" fillId="0" borderId="36" xfId="1" applyBorder="1" applyAlignment="1">
      <alignment horizontal="distributed" vertical="center"/>
    </xf>
    <xf numFmtId="0" fontId="16" fillId="0" borderId="85" xfId="1" applyFont="1" applyBorder="1" applyAlignment="1">
      <alignment horizontal="center" vertical="distributed" textRotation="255" wrapText="1"/>
    </xf>
    <xf numFmtId="0" fontId="16" fillId="0" borderId="42" xfId="1" applyFont="1" applyBorder="1" applyAlignment="1">
      <alignment horizontal="center" vertical="distributed" textRotation="255" wrapText="1"/>
    </xf>
    <xf numFmtId="0" fontId="16" fillId="0" borderId="125" xfId="1" applyFont="1" applyBorder="1" applyAlignment="1">
      <alignment horizontal="center" vertical="distributed" textRotation="255" wrapText="1"/>
    </xf>
    <xf numFmtId="0" fontId="16" fillId="0" borderId="120" xfId="1" applyFont="1" applyBorder="1" applyAlignment="1">
      <alignment horizontal="center" vertical="distributed" textRotation="255" wrapText="1"/>
    </xf>
    <xf numFmtId="0" fontId="10" fillId="0" borderId="49" xfId="1" applyFont="1" applyBorder="1" applyAlignment="1">
      <alignment horizontal="distributed" vertical="center"/>
    </xf>
    <xf numFmtId="0" fontId="15" fillId="0" borderId="126" xfId="1" applyFont="1" applyBorder="1" applyAlignment="1">
      <alignment horizontal="distributed" vertical="center" wrapText="1"/>
    </xf>
    <xf numFmtId="0" fontId="15" fillId="0" borderId="77" xfId="1" applyFont="1" applyBorder="1" applyAlignment="1">
      <alignment horizontal="distributed" vertical="center"/>
    </xf>
    <xf numFmtId="0" fontId="15" fillId="0" borderId="85" xfId="1" applyFont="1" applyBorder="1" applyAlignment="1">
      <alignment horizontal="center" vertical="center" textRotation="255" wrapText="1"/>
    </xf>
    <xf numFmtId="0" fontId="15" fillId="0" borderId="42" xfId="1" applyFont="1" applyBorder="1" applyAlignment="1">
      <alignment horizontal="center" vertical="center" textRotation="255" wrapText="1"/>
    </xf>
    <xf numFmtId="0" fontId="15" fillId="0" borderId="86" xfId="1" applyFont="1" applyBorder="1" applyAlignment="1">
      <alignment horizontal="center" vertical="center" textRotation="255" wrapText="1"/>
    </xf>
    <xf numFmtId="0" fontId="15" fillId="0" borderId="0" xfId="1" applyFont="1" applyAlignment="1">
      <alignment horizontal="center" vertical="center" textRotation="255" wrapText="1"/>
    </xf>
    <xf numFmtId="0" fontId="15" fillId="0" borderId="81" xfId="1" applyFont="1" applyBorder="1" applyAlignment="1">
      <alignment horizontal="center" vertical="center" textRotation="255" wrapText="1"/>
    </xf>
    <xf numFmtId="0" fontId="15" fillId="0" borderId="54" xfId="1" applyFont="1" applyBorder="1" applyAlignment="1">
      <alignment horizontal="center" vertical="center" textRotation="255" wrapText="1"/>
    </xf>
    <xf numFmtId="0" fontId="11" fillId="0" borderId="125" xfId="1" applyFont="1" applyBorder="1" applyAlignment="1">
      <alignment horizontal="distributed" vertical="center"/>
    </xf>
    <xf numFmtId="0" fontId="11" fillId="0" borderId="120" xfId="1" applyFont="1" applyBorder="1" applyAlignment="1">
      <alignment horizontal="distributed" vertical="center"/>
    </xf>
    <xf numFmtId="0" fontId="11" fillId="0" borderId="119" xfId="1" applyFont="1" applyBorder="1" applyAlignment="1">
      <alignment horizontal="distributed" vertical="center"/>
    </xf>
    <xf numFmtId="0" fontId="3" fillId="0" borderId="79" xfId="1" applyFont="1" applyBorder="1" applyAlignment="1">
      <alignment horizontal="left" vertical="center" wrapText="1" shrinkToFit="1"/>
    </xf>
    <xf numFmtId="0" fontId="3" fillId="0" borderId="133" xfId="1" applyFont="1" applyBorder="1" applyAlignment="1">
      <alignment horizontal="left" vertical="center" wrapText="1" shrinkToFit="1"/>
    </xf>
    <xf numFmtId="0" fontId="3" fillId="0" borderId="132" xfId="1" applyFont="1" applyBorder="1" applyAlignment="1">
      <alignment horizontal="left" vertical="center" wrapText="1" shrinkToFit="1"/>
    </xf>
    <xf numFmtId="0" fontId="11" fillId="0" borderId="70" xfId="1" applyFont="1" applyBorder="1" applyAlignment="1">
      <alignment horizontal="distributed" vertical="center"/>
    </xf>
    <xf numFmtId="0" fontId="17" fillId="0" borderId="62" xfId="0" applyFont="1" applyBorder="1" applyAlignment="1">
      <alignment horizontal="left" vertical="center" wrapText="1"/>
    </xf>
    <xf numFmtId="0" fontId="17" fillId="0" borderId="110" xfId="0" applyFont="1" applyBorder="1" applyAlignment="1">
      <alignment horizontal="left" vertical="center" wrapText="1"/>
    </xf>
    <xf numFmtId="0" fontId="11" fillId="0" borderId="30" xfId="1" applyFont="1" applyBorder="1" applyAlignment="1">
      <alignment horizontal="center" vertical="center" textRotation="255"/>
    </xf>
    <xf numFmtId="0" fontId="11" fillId="0" borderId="79" xfId="1" applyFont="1" applyBorder="1" applyAlignment="1">
      <alignment horizontal="center" vertical="center" textRotation="255"/>
    </xf>
    <xf numFmtId="0" fontId="11" fillId="0" borderId="49" xfId="1" applyFont="1" applyBorder="1" applyAlignment="1">
      <alignment horizontal="center" vertical="center" shrinkToFit="1"/>
    </xf>
    <xf numFmtId="0" fontId="17" fillId="0" borderId="37" xfId="0" applyFont="1" applyBorder="1" applyAlignment="1">
      <alignment horizontal="center" vertical="center" shrinkToFit="1"/>
    </xf>
    <xf numFmtId="0" fontId="15" fillId="0" borderId="81" xfId="1" applyFont="1" applyBorder="1" applyAlignment="1">
      <alignment horizontal="distributed" vertical="center" wrapText="1" shrinkToFit="1"/>
    </xf>
    <xf numFmtId="0" fontId="15" fillId="0" borderId="54" xfId="1" applyFont="1" applyBorder="1" applyAlignment="1">
      <alignment horizontal="distributed" vertical="center" shrinkToFit="1"/>
    </xf>
    <xf numFmtId="0" fontId="15" fillId="0" borderId="50" xfId="1" applyFont="1" applyBorder="1" applyAlignment="1">
      <alignment horizontal="distributed" vertical="center" shrinkToFit="1"/>
    </xf>
    <xf numFmtId="0" fontId="15" fillId="0" borderId="125" xfId="1" applyFont="1" applyBorder="1" applyAlignment="1">
      <alignment horizontal="distributed" vertical="center" wrapText="1" shrinkToFit="1"/>
    </xf>
    <xf numFmtId="0" fontId="15" fillId="0" borderId="120" xfId="1" applyFont="1" applyBorder="1" applyAlignment="1">
      <alignment horizontal="distributed" vertical="center" shrinkToFit="1"/>
    </xf>
    <xf numFmtId="0" fontId="15" fillId="0" borderId="119" xfId="1" applyFont="1" applyBorder="1" applyAlignment="1">
      <alignment horizontal="distributed" vertical="center" shrinkToFit="1"/>
    </xf>
    <xf numFmtId="0" fontId="18" fillId="0" borderId="22" xfId="1" applyFont="1" applyBorder="1" applyAlignment="1">
      <alignment horizontal="center" vertical="center" textRotation="255"/>
    </xf>
    <xf numFmtId="0" fontId="18" fillId="0" borderId="30" xfId="1" applyFont="1" applyBorder="1" applyAlignment="1">
      <alignment horizontal="center" vertical="center" textRotation="255"/>
    </xf>
    <xf numFmtId="0" fontId="18" fillId="0" borderId="79" xfId="1" applyFont="1" applyBorder="1" applyAlignment="1">
      <alignment horizontal="center" vertical="center" textRotation="255"/>
    </xf>
    <xf numFmtId="0" fontId="11" fillId="0" borderId="134" xfId="1" applyFont="1" applyBorder="1" applyAlignment="1">
      <alignment horizontal="distributed" vertical="center" wrapText="1" shrinkToFit="1"/>
    </xf>
    <xf numFmtId="0" fontId="11" fillId="0" borderId="135" xfId="1" applyFont="1" applyBorder="1" applyAlignment="1">
      <alignment horizontal="distributed" vertical="center" shrinkToFit="1"/>
    </xf>
    <xf numFmtId="0" fontId="11" fillId="0" borderId="113" xfId="1" applyFont="1" applyBorder="1" applyAlignment="1">
      <alignment horizontal="distributed" vertical="center" shrinkToFit="1"/>
    </xf>
    <xf numFmtId="0" fontId="3" fillId="0" borderId="112" xfId="1" applyFont="1" applyBorder="1" applyAlignment="1">
      <alignment horizontal="left" vertical="center" wrapText="1" shrinkToFit="1"/>
    </xf>
    <xf numFmtId="0" fontId="3" fillId="0" borderId="137" xfId="1" applyFont="1" applyBorder="1" applyAlignment="1">
      <alignment horizontal="left" vertical="center" wrapText="1" shrinkToFit="1"/>
    </xf>
    <xf numFmtId="0" fontId="3" fillId="0" borderId="136" xfId="1" applyFont="1" applyBorder="1" applyAlignment="1">
      <alignment horizontal="left" vertical="center" wrapText="1" shrinkToFit="1"/>
    </xf>
    <xf numFmtId="0" fontId="11" fillId="0" borderId="81" xfId="1" applyFont="1" applyBorder="1" applyAlignment="1">
      <alignment horizontal="distributed" vertical="center" wrapText="1" shrinkToFit="1"/>
    </xf>
    <xf numFmtId="0" fontId="15" fillId="0" borderId="83" xfId="1" applyFont="1" applyBorder="1" applyAlignment="1">
      <alignment horizontal="distributed" vertical="center" wrapText="1" shrinkToFit="1"/>
    </xf>
    <xf numFmtId="0" fontId="15" fillId="0" borderId="139" xfId="1" applyFont="1" applyBorder="1" applyAlignment="1">
      <alignment horizontal="distributed" vertical="center" wrapText="1" shrinkToFit="1"/>
    </xf>
    <xf numFmtId="0" fontId="15" fillId="0" borderId="140" xfId="1" applyFont="1" applyBorder="1" applyAlignment="1">
      <alignment horizontal="distributed" vertical="center" wrapText="1" shrinkToFit="1"/>
    </xf>
    <xf numFmtId="0" fontId="15" fillId="0" borderId="141" xfId="1" applyFont="1" applyBorder="1" applyAlignment="1">
      <alignment horizontal="distributed" vertical="center" wrapText="1" shrinkToFit="1"/>
    </xf>
    <xf numFmtId="0" fontId="3" fillId="0" borderId="148" xfId="1" applyFont="1" applyBorder="1" applyAlignment="1">
      <alignment horizontal="left" vertical="center" wrapText="1" shrinkToFit="1"/>
    </xf>
    <xf numFmtId="0" fontId="3" fillId="0" borderId="143" xfId="1" applyFont="1" applyBorder="1" applyAlignment="1">
      <alignment horizontal="left" vertical="center" wrapText="1" shrinkToFit="1"/>
    </xf>
    <xf numFmtId="0" fontId="3" fillId="0" borderId="142" xfId="1" applyFont="1" applyBorder="1" applyAlignment="1">
      <alignment horizontal="left" vertical="center" wrapText="1" shrinkToFit="1"/>
    </xf>
    <xf numFmtId="0" fontId="18" fillId="0" borderId="66" xfId="1" applyFont="1" applyBorder="1" applyAlignment="1">
      <alignment horizontal="distributed" vertical="center" textRotation="255" wrapText="1" shrinkToFit="1"/>
    </xf>
    <xf numFmtId="0" fontId="17" fillId="0" borderId="29" xfId="0" applyFont="1" applyBorder="1" applyAlignment="1">
      <alignment horizontal="distributed" vertical="center" textRotation="255" wrapText="1" shrinkToFit="1"/>
    </xf>
    <xf numFmtId="0" fontId="18" fillId="0" borderId="0" xfId="1" applyFont="1" applyAlignment="1">
      <alignment horizontal="distributed" vertical="center" wrapText="1" shrinkToFit="1"/>
    </xf>
    <xf numFmtId="0" fontId="17" fillId="0" borderId="0" xfId="0" applyFont="1" applyAlignment="1">
      <alignment horizontal="distributed" vertical="center" shrinkToFit="1"/>
    </xf>
    <xf numFmtId="0" fontId="17" fillId="0" borderId="51" xfId="0" applyFont="1" applyBorder="1" applyAlignment="1">
      <alignment horizontal="distributed" vertical="center" shrinkToFit="1"/>
    </xf>
    <xf numFmtId="0" fontId="18" fillId="0" borderId="49" xfId="1" applyFont="1" applyBorder="1" applyAlignment="1">
      <alignment horizontal="distributed" vertical="center" wrapText="1" shrinkToFit="1"/>
    </xf>
    <xf numFmtId="0" fontId="17" fillId="0" borderId="37" xfId="0" applyFont="1" applyBorder="1" applyAlignment="1">
      <alignment horizontal="distributed" vertical="center" shrinkToFit="1"/>
    </xf>
    <xf numFmtId="0" fontId="18" fillId="0" borderId="54" xfId="1" applyFont="1" applyBorder="1" applyAlignment="1">
      <alignment horizontal="distributed" vertical="center" wrapText="1" shrinkToFit="1"/>
    </xf>
    <xf numFmtId="0" fontId="17" fillId="0" borderId="54" xfId="0" applyFont="1" applyBorder="1" applyAlignment="1">
      <alignment horizontal="distributed" vertical="center" shrinkToFit="1"/>
    </xf>
    <xf numFmtId="0" fontId="17" fillId="0" borderId="50" xfId="0" applyFont="1" applyBorder="1" applyAlignment="1">
      <alignment horizontal="distributed" vertical="center" shrinkToFit="1"/>
    </xf>
    <xf numFmtId="0" fontId="15" fillId="0" borderId="70" xfId="1" applyFont="1" applyBorder="1" applyAlignment="1">
      <alignment horizontal="distributed" vertical="center" wrapText="1" shrinkToFit="1"/>
    </xf>
    <xf numFmtId="0" fontId="15" fillId="0" borderId="62" xfId="1" applyFont="1" applyBorder="1" applyAlignment="1">
      <alignment horizontal="distributed" vertical="center" wrapText="1" shrinkToFit="1"/>
    </xf>
    <xf numFmtId="0" fontId="15" fillId="0" borderId="69" xfId="1" applyFont="1" applyBorder="1" applyAlignment="1">
      <alignment horizontal="distributed" vertical="center" wrapText="1" shrinkToFit="1"/>
    </xf>
    <xf numFmtId="0" fontId="18" fillId="0" borderId="87" xfId="1" applyFont="1" applyBorder="1" applyAlignment="1">
      <alignment horizontal="distributed" vertical="center" textRotation="255" wrapText="1" shrinkToFit="1"/>
    </xf>
    <xf numFmtId="0" fontId="17" fillId="0" borderId="82" xfId="0" applyFont="1" applyBorder="1" applyAlignment="1">
      <alignment horizontal="distributed" vertical="center" textRotation="255" wrapText="1" shrinkToFit="1"/>
    </xf>
    <xf numFmtId="0" fontId="18" fillId="0" borderId="42" xfId="1" applyFont="1" applyBorder="1" applyAlignment="1">
      <alignment horizontal="distributed" vertical="center" wrapText="1" shrinkToFit="1"/>
    </xf>
    <xf numFmtId="0" fontId="17" fillId="0" borderId="42" xfId="0" applyFont="1" applyBorder="1" applyAlignment="1">
      <alignment horizontal="distributed" vertical="center" shrinkToFit="1"/>
    </xf>
    <xf numFmtId="0" fontId="17" fillId="0" borderId="47" xfId="0" applyFont="1" applyBorder="1" applyAlignment="1">
      <alignment horizontal="distributed" vertical="center" shrinkToFit="1"/>
    </xf>
    <xf numFmtId="0" fontId="3" fillId="0" borderId="151" xfId="1" applyFont="1" applyBorder="1" applyAlignment="1">
      <alignment horizontal="left" vertical="center" wrapText="1" shrinkToFit="1"/>
    </xf>
    <xf numFmtId="0" fontId="3" fillId="0" borderId="130" xfId="1" applyFont="1" applyBorder="1" applyAlignment="1">
      <alignment horizontal="left" vertical="center" wrapText="1" shrinkToFit="1"/>
    </xf>
    <xf numFmtId="0" fontId="3" fillId="0" borderId="129" xfId="1" applyFont="1" applyBorder="1" applyAlignment="1">
      <alignment horizontal="left" vertical="center" wrapText="1" shrinkToFit="1"/>
    </xf>
    <xf numFmtId="0" fontId="3" fillId="0" borderId="33" xfId="1" applyFont="1" applyBorder="1" applyAlignment="1">
      <alignment horizontal="left" vertical="center" wrapText="1" shrinkToFit="1"/>
    </xf>
    <xf numFmtId="0" fontId="3" fillId="0" borderId="34" xfId="1" applyFont="1" applyBorder="1" applyAlignment="1">
      <alignment horizontal="left" vertical="center" wrapText="1" shrinkToFit="1"/>
    </xf>
    <xf numFmtId="0" fontId="3" fillId="0" borderId="94" xfId="1" applyFont="1" applyBorder="1" applyAlignment="1">
      <alignment horizontal="left" vertical="center" wrapText="1" shrinkToFit="1"/>
    </xf>
    <xf numFmtId="0" fontId="18" fillId="0" borderId="83" xfId="1" applyFont="1" applyBorder="1" applyAlignment="1">
      <alignment horizontal="distributed" vertical="center" wrapText="1" shrinkToFit="1"/>
    </xf>
    <xf numFmtId="0" fontId="18" fillId="0" borderId="34" xfId="1" applyFont="1" applyBorder="1" applyAlignment="1">
      <alignment horizontal="distributed" vertical="center" shrinkToFit="1"/>
    </xf>
    <xf numFmtId="0" fontId="18" fillId="0" borderId="37" xfId="1" applyFont="1" applyBorder="1" applyAlignment="1">
      <alignment horizontal="distributed" vertical="center" shrinkToFit="1"/>
    </xf>
    <xf numFmtId="0" fontId="17" fillId="0" borderId="34" xfId="0" applyFont="1" applyBorder="1" applyAlignment="1">
      <alignment horizontal="left" vertical="center" wrapText="1" shrinkToFit="1"/>
    </xf>
    <xf numFmtId="0" fontId="17" fillId="0" borderId="94" xfId="0" applyFont="1" applyBorder="1" applyAlignment="1">
      <alignment horizontal="left" vertical="center" wrapText="1" shrinkToFit="1"/>
    </xf>
    <xf numFmtId="0" fontId="18" fillId="0" borderId="34" xfId="1" applyFont="1" applyBorder="1" applyAlignment="1">
      <alignment horizontal="distributed" vertical="center" wrapText="1" shrinkToFit="1"/>
    </xf>
    <xf numFmtId="0" fontId="17" fillId="0" borderId="34" xfId="0" applyFont="1" applyBorder="1" applyAlignment="1">
      <alignment horizontal="distributed" vertical="center" shrinkToFit="1"/>
    </xf>
    <xf numFmtId="0" fontId="18" fillId="0" borderId="86" xfId="1" applyFont="1" applyBorder="1" applyAlignment="1">
      <alignment horizontal="distributed" vertical="center" wrapText="1" shrinkToFit="1"/>
    </xf>
    <xf numFmtId="0" fontId="18" fillId="0" borderId="0" xfId="1" applyFont="1" applyAlignment="1">
      <alignment horizontal="distributed" vertical="center" shrinkToFit="1"/>
    </xf>
    <xf numFmtId="0" fontId="18" fillId="0" borderId="51" xfId="1" applyFont="1" applyBorder="1" applyAlignment="1">
      <alignment horizontal="distributed" vertical="center" shrinkToFit="1"/>
    </xf>
    <xf numFmtId="0" fontId="18" fillId="0" borderId="29" xfId="1" applyFont="1" applyBorder="1" applyAlignment="1">
      <alignment horizontal="distributed" vertical="center" textRotation="255" wrapText="1" shrinkToFit="1"/>
    </xf>
    <xf numFmtId="0" fontId="15" fillId="0" borderId="33" xfId="1" applyFont="1" applyBorder="1" applyAlignment="1">
      <alignment horizontal="distributed" vertical="center" wrapText="1" shrinkToFit="1"/>
    </xf>
    <xf numFmtId="0" fontId="15" fillId="0" borderId="138" xfId="1" applyFont="1" applyBorder="1" applyAlignment="1">
      <alignment horizontal="distributed" vertical="center" wrapText="1" shrinkToFit="1"/>
    </xf>
    <xf numFmtId="0" fontId="15" fillId="0" borderId="135" xfId="1" applyFont="1" applyBorder="1" applyAlignment="1">
      <alignment horizontal="distributed" vertical="center" wrapText="1" shrinkToFit="1"/>
    </xf>
    <xf numFmtId="0" fontId="15" fillId="0" borderId="113" xfId="1" applyFont="1" applyBorder="1" applyAlignment="1">
      <alignment horizontal="distributed" vertical="center" wrapText="1" shrinkToFit="1"/>
    </xf>
    <xf numFmtId="0" fontId="15" fillId="0" borderId="74" xfId="1" applyFont="1" applyBorder="1" applyAlignment="1">
      <alignment horizontal="distributed" vertical="center" wrapText="1" shrinkToFit="1"/>
    </xf>
    <xf numFmtId="0" fontId="15" fillId="0" borderId="75" xfId="1" applyFont="1" applyBorder="1" applyAlignment="1">
      <alignment horizontal="distributed" vertical="center" wrapText="1" shrinkToFit="1"/>
    </xf>
    <xf numFmtId="0" fontId="15" fillId="0" borderId="77" xfId="1" applyFont="1" applyBorder="1" applyAlignment="1">
      <alignment horizontal="distributed" vertical="center" wrapText="1" shrinkToFit="1"/>
    </xf>
    <xf numFmtId="0" fontId="3" fillId="0" borderId="128" xfId="1" applyFont="1" applyBorder="1" applyAlignment="1">
      <alignment horizontal="left" vertical="center" wrapText="1" shrinkToFit="1"/>
    </xf>
    <xf numFmtId="0" fontId="3" fillId="0" borderId="95" xfId="1" applyFont="1" applyBorder="1" applyAlignment="1">
      <alignment horizontal="left" vertical="center" wrapText="1" shrinkToFit="1"/>
    </xf>
    <xf numFmtId="0" fontId="3" fillId="0" borderId="145" xfId="1" applyFont="1" applyBorder="1" applyAlignment="1">
      <alignment horizontal="left" vertical="center" wrapText="1" shrinkToFit="1"/>
    </xf>
    <xf numFmtId="0" fontId="10" fillId="0" borderId="0" xfId="0" applyFont="1" applyAlignment="1"/>
    <xf numFmtId="0" fontId="20" fillId="0" borderId="0" xfId="0" applyFont="1" applyAlignment="1"/>
  </cellXfs>
  <cellStyles count="2">
    <cellStyle name="標準" xfId="0" builtinId="0"/>
    <cellStyle name="標準 2" xfId="1" xr:uid="{133E73BC-043F-47FC-9BF0-65546AEA7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C994-7FA0-45B9-9E19-C75F2F4DCF3E}">
  <dimension ref="A1:AH417"/>
  <sheetViews>
    <sheetView showGridLines="0" tabSelected="1" view="pageBreakPreview" zoomScaleNormal="100" zoomScaleSheetLayoutView="100" workbookViewId="0">
      <pane ySplit="8" topLeftCell="A9" activePane="bottomLeft" state="frozen"/>
      <selection pane="bottomLeft" activeCell="A9" sqref="A9"/>
    </sheetView>
  </sheetViews>
  <sheetFormatPr defaultColWidth="8.125" defaultRowHeight="12" x14ac:dyDescent="0.15"/>
  <cols>
    <col min="1" max="6" width="2.75" style="46" customWidth="1"/>
    <col min="7" max="7" width="16.75" style="46" customWidth="1"/>
    <col min="8" max="8" width="4.75" style="46" customWidth="1"/>
    <col min="9" max="10" width="12.75" style="46" customWidth="1"/>
    <col min="11" max="13" width="8.75" style="46" customWidth="1"/>
    <col min="14" max="17" width="16.75" style="46" customWidth="1"/>
    <col min="18" max="18" width="2.75" style="46" customWidth="1"/>
    <col min="19" max="33" width="2.75" style="229" customWidth="1"/>
    <col min="34" max="16384" width="8.125" style="230"/>
  </cols>
  <sheetData>
    <row r="1" spans="2:33" ht="30" customHeight="1" x14ac:dyDescent="0.15">
      <c r="B1" s="4"/>
      <c r="C1" s="5" t="str">
        <f>O4&amp;"年営農類型別経営統計（法人経営体）　集計結果検討表"</f>
        <v>年営農類型別経営統計（法人経営体）　集計結果検討表</v>
      </c>
      <c r="D1" s="1"/>
      <c r="E1" s="1"/>
      <c r="F1" s="1"/>
      <c r="G1" s="1"/>
      <c r="H1" s="1"/>
    </row>
    <row r="2" spans="2:33" ht="18" customHeight="1" thickBot="1" x14ac:dyDescent="0.2">
      <c r="B2" s="4"/>
      <c r="D2" s="1"/>
      <c r="E2" s="1"/>
      <c r="F2" s="1"/>
      <c r="G2" s="1"/>
      <c r="H2" s="1"/>
    </row>
    <row r="3" spans="2:33" ht="24" customHeight="1" x14ac:dyDescent="0.15">
      <c r="B3" s="5"/>
      <c r="C3" s="256"/>
      <c r="D3" s="257"/>
      <c r="E3" s="257"/>
      <c r="F3" s="257"/>
      <c r="G3" s="7" t="s">
        <v>0</v>
      </c>
      <c r="H3" s="257" t="s">
        <v>1</v>
      </c>
      <c r="I3" s="257"/>
      <c r="J3" s="257"/>
      <c r="K3" s="258" t="s">
        <v>2</v>
      </c>
      <c r="L3" s="259"/>
      <c r="M3" s="260"/>
      <c r="N3" s="8" t="s">
        <v>3</v>
      </c>
      <c r="O3" s="6" t="s">
        <v>4</v>
      </c>
      <c r="P3" s="7" t="s">
        <v>5</v>
      </c>
      <c r="Q3" s="27" t="s">
        <v>6</v>
      </c>
      <c r="S3" s="231"/>
      <c r="T3" s="231"/>
    </row>
    <row r="4" spans="2:33" ht="24" customHeight="1" thickBot="1" x14ac:dyDescent="0.2">
      <c r="B4" s="11"/>
      <c r="C4" s="261" t="s">
        <v>7</v>
      </c>
      <c r="D4" s="262"/>
      <c r="E4" s="262"/>
      <c r="F4" s="262"/>
      <c r="G4" s="28"/>
      <c r="H4" s="263"/>
      <c r="I4" s="263"/>
      <c r="J4" s="263"/>
      <c r="K4" s="264"/>
      <c r="L4" s="265"/>
      <c r="M4" s="266"/>
      <c r="N4" s="221"/>
      <c r="O4" s="29"/>
      <c r="P4" s="30"/>
      <c r="Q4" s="31"/>
      <c r="S4" s="231"/>
      <c r="T4" s="231"/>
    </row>
    <row r="5" spans="2:33" ht="24" customHeight="1" thickBot="1" x14ac:dyDescent="0.2">
      <c r="B5" s="11"/>
      <c r="C5" s="240" t="s">
        <v>8</v>
      </c>
      <c r="D5" s="241"/>
      <c r="E5" s="241"/>
      <c r="F5" s="241"/>
      <c r="G5" s="30"/>
      <c r="H5" s="242"/>
      <c r="I5" s="242"/>
      <c r="J5" s="242"/>
      <c r="K5" s="243"/>
      <c r="L5" s="244"/>
      <c r="M5" s="245"/>
      <c r="N5" s="222"/>
      <c r="O5" s="32" t="s">
        <v>9</v>
      </c>
      <c r="P5" s="33" t="s">
        <v>10</v>
      </c>
      <c r="Q5" s="9"/>
      <c r="S5" s="231"/>
      <c r="T5" s="231"/>
    </row>
    <row r="6" spans="2:33" ht="24" customHeight="1" thickBot="1" x14ac:dyDescent="0.2">
      <c r="B6" s="11"/>
      <c r="C6" s="10"/>
      <c r="D6" s="10"/>
      <c r="E6" s="11"/>
      <c r="F6" s="11"/>
      <c r="G6" s="11"/>
      <c r="H6" s="11"/>
      <c r="I6" s="11"/>
      <c r="J6" s="11"/>
      <c r="K6" s="11"/>
      <c r="L6" s="11"/>
      <c r="M6" s="11"/>
      <c r="N6" s="12"/>
      <c r="O6" s="34"/>
      <c r="P6" s="35"/>
      <c r="Q6" s="13"/>
      <c r="S6" s="231"/>
      <c r="T6" s="231"/>
    </row>
    <row r="7" spans="2:33" ht="18" customHeight="1" thickBot="1" x14ac:dyDescent="0.2">
      <c r="C7" s="14"/>
      <c r="D7" s="15"/>
      <c r="E7" s="15"/>
      <c r="F7" s="15"/>
      <c r="G7" s="15"/>
      <c r="H7" s="15"/>
      <c r="N7" s="47"/>
      <c r="O7" s="47"/>
      <c r="P7" s="47"/>
      <c r="Q7" s="47"/>
      <c r="S7" s="16" t="s">
        <v>11</v>
      </c>
      <c r="T7" s="231"/>
    </row>
    <row r="8" spans="2:33" ht="31.9" customHeight="1" thickBot="1" x14ac:dyDescent="0.2">
      <c r="B8" s="48"/>
      <c r="C8" s="246" t="s">
        <v>12</v>
      </c>
      <c r="D8" s="247"/>
      <c r="E8" s="247"/>
      <c r="F8" s="247"/>
      <c r="G8" s="248"/>
      <c r="H8" s="207" t="s">
        <v>13</v>
      </c>
      <c r="I8" s="208" t="str">
        <f>O4-1&amp;"年"</f>
        <v>-1年</v>
      </c>
      <c r="J8" s="206" t="str">
        <f>O4&amp;"年"</f>
        <v>年</v>
      </c>
      <c r="K8" s="209" t="s">
        <v>14</v>
      </c>
      <c r="L8" s="209" t="s">
        <v>138</v>
      </c>
      <c r="M8" s="210" t="s">
        <v>15</v>
      </c>
      <c r="N8" s="246" t="s">
        <v>16</v>
      </c>
      <c r="O8" s="247"/>
      <c r="P8" s="247"/>
      <c r="Q8" s="249"/>
      <c r="S8" s="232">
        <v>0</v>
      </c>
      <c r="T8" s="232">
        <f>S8+1</f>
        <v>1</v>
      </c>
      <c r="U8" s="232">
        <f t="shared" ref="U8:AG8" si="0">T8+1</f>
        <v>2</v>
      </c>
      <c r="V8" s="232">
        <f t="shared" si="0"/>
        <v>3</v>
      </c>
      <c r="W8" s="232">
        <f t="shared" si="0"/>
        <v>4</v>
      </c>
      <c r="X8" s="232">
        <f t="shared" si="0"/>
        <v>5</v>
      </c>
      <c r="Y8" s="232">
        <f t="shared" si="0"/>
        <v>6</v>
      </c>
      <c r="Z8" s="232">
        <f t="shared" si="0"/>
        <v>7</v>
      </c>
      <c r="AA8" s="232">
        <f t="shared" si="0"/>
        <v>8</v>
      </c>
      <c r="AB8" s="232">
        <f t="shared" si="0"/>
        <v>9</v>
      </c>
      <c r="AC8" s="232">
        <f t="shared" si="0"/>
        <v>10</v>
      </c>
      <c r="AD8" s="232">
        <f t="shared" si="0"/>
        <v>11</v>
      </c>
      <c r="AE8" s="232">
        <f t="shared" si="0"/>
        <v>12</v>
      </c>
      <c r="AF8" s="232">
        <f t="shared" si="0"/>
        <v>13</v>
      </c>
      <c r="AG8" s="232">
        <f t="shared" si="0"/>
        <v>14</v>
      </c>
    </row>
    <row r="9" spans="2:33" ht="23.25" customHeight="1" thickBot="1" x14ac:dyDescent="0.2">
      <c r="B9" s="48"/>
      <c r="C9" s="250" t="s">
        <v>17</v>
      </c>
      <c r="D9" s="251"/>
      <c r="E9" s="251"/>
      <c r="F9" s="251"/>
      <c r="G9" s="252"/>
      <c r="H9" s="17" t="s">
        <v>18</v>
      </c>
      <c r="I9" s="154"/>
      <c r="J9" s="155"/>
      <c r="K9" s="170"/>
      <c r="L9" s="156">
        <f>IFERROR(J9-I9,"-")</f>
        <v>0</v>
      </c>
      <c r="M9" s="157"/>
      <c r="N9" s="253"/>
      <c r="O9" s="254"/>
      <c r="P9" s="254"/>
      <c r="Q9" s="255"/>
      <c r="S9" s="233">
        <v>1</v>
      </c>
      <c r="T9" s="233">
        <v>1</v>
      </c>
      <c r="U9" s="233">
        <v>1</v>
      </c>
      <c r="V9" s="233">
        <v>1</v>
      </c>
      <c r="W9" s="233">
        <v>1</v>
      </c>
      <c r="X9" s="233">
        <v>1</v>
      </c>
      <c r="Y9" s="233">
        <v>1</v>
      </c>
      <c r="Z9" s="233">
        <v>1</v>
      </c>
      <c r="AA9" s="233">
        <v>1</v>
      </c>
      <c r="AB9" s="233">
        <v>1</v>
      </c>
      <c r="AC9" s="233">
        <v>1</v>
      </c>
      <c r="AD9" s="233">
        <v>1</v>
      </c>
      <c r="AE9" s="233">
        <v>1</v>
      </c>
      <c r="AF9" s="233">
        <v>1</v>
      </c>
      <c r="AG9" s="233">
        <v>1</v>
      </c>
    </row>
    <row r="10" spans="2:33" ht="23.25" customHeight="1" x14ac:dyDescent="0.15">
      <c r="B10" s="48"/>
      <c r="C10" s="267" t="s">
        <v>19</v>
      </c>
      <c r="D10" s="268"/>
      <c r="E10" s="268"/>
      <c r="F10" s="268"/>
      <c r="G10" s="269"/>
      <c r="H10" s="18" t="s">
        <v>20</v>
      </c>
      <c r="I10" s="180"/>
      <c r="J10" s="181"/>
      <c r="K10" s="2" t="str">
        <f t="shared" ref="K10" si="1">IFERROR(J10/I10*100-100,"-")</f>
        <v>-</v>
      </c>
      <c r="L10" s="19">
        <f t="shared" ref="L10:L70" si="2">IFERROR(J10-I10,"-")</f>
        <v>0</v>
      </c>
      <c r="M10" s="158" t="str">
        <f t="shared" ref="M10:M70" si="3">IFERROR(ROUND((J10-I10)/($J$10-$I$10)*100,1),"-")</f>
        <v>-</v>
      </c>
      <c r="N10" s="270"/>
      <c r="O10" s="271"/>
      <c r="P10" s="271"/>
      <c r="Q10" s="272"/>
      <c r="S10" s="233">
        <v>1</v>
      </c>
      <c r="T10" s="233">
        <v>1</v>
      </c>
      <c r="U10" s="233">
        <v>1</v>
      </c>
      <c r="V10" s="233">
        <v>1</v>
      </c>
      <c r="W10" s="233">
        <v>1</v>
      </c>
      <c r="X10" s="233">
        <v>1</v>
      </c>
      <c r="Y10" s="233">
        <v>1</v>
      </c>
      <c r="Z10" s="233">
        <v>1</v>
      </c>
      <c r="AA10" s="233">
        <v>1</v>
      </c>
      <c r="AB10" s="233">
        <v>1</v>
      </c>
      <c r="AC10" s="233">
        <v>1</v>
      </c>
      <c r="AD10" s="233">
        <v>1</v>
      </c>
      <c r="AE10" s="233">
        <v>1</v>
      </c>
      <c r="AF10" s="233">
        <v>1</v>
      </c>
      <c r="AG10" s="233">
        <v>1</v>
      </c>
    </row>
    <row r="11" spans="2:33" ht="23.25" customHeight="1" x14ac:dyDescent="0.15">
      <c r="B11" s="48"/>
      <c r="C11" s="20"/>
      <c r="D11" s="273" t="s">
        <v>21</v>
      </c>
      <c r="E11" s="235"/>
      <c r="F11" s="235"/>
      <c r="G11" s="236"/>
      <c r="H11" s="60" t="s">
        <v>20</v>
      </c>
      <c r="I11" s="144"/>
      <c r="J11" s="57"/>
      <c r="K11" s="41" t="str">
        <f t="shared" ref="K11:K92" si="4">IFERROR(IF(I11&lt;0,IMSUB(J11,I11)/(1-I11)*100,IMSUB(J11,I11)/I11*100),"-")</f>
        <v>-</v>
      </c>
      <c r="L11" s="42">
        <f t="shared" si="2"/>
        <v>0</v>
      </c>
      <c r="M11" s="159" t="str">
        <f t="shared" si="3"/>
        <v>-</v>
      </c>
      <c r="N11" s="237"/>
      <c r="O11" s="238"/>
      <c r="P11" s="238"/>
      <c r="Q11" s="239"/>
      <c r="S11" s="233">
        <v>1</v>
      </c>
      <c r="T11" s="233">
        <v>1</v>
      </c>
      <c r="U11" s="233">
        <v>1</v>
      </c>
      <c r="V11" s="233">
        <v>1</v>
      </c>
      <c r="W11" s="233">
        <v>1</v>
      </c>
      <c r="X11" s="233">
        <v>1</v>
      </c>
      <c r="Y11" s="233">
        <v>1</v>
      </c>
      <c r="Z11" s="529">
        <v>1</v>
      </c>
      <c r="AA11" s="529"/>
      <c r="AB11" s="529"/>
      <c r="AC11" s="529"/>
      <c r="AD11" s="529"/>
      <c r="AE11" s="529"/>
      <c r="AF11" s="233"/>
      <c r="AG11" s="233">
        <v>1</v>
      </c>
    </row>
    <row r="12" spans="2:33" ht="23.25" customHeight="1" x14ac:dyDescent="0.15">
      <c r="B12" s="48"/>
      <c r="C12" s="20"/>
      <c r="D12" s="138"/>
      <c r="E12" s="235" t="s">
        <v>22</v>
      </c>
      <c r="F12" s="235"/>
      <c r="G12" s="236"/>
      <c r="H12" s="60" t="s">
        <v>20</v>
      </c>
      <c r="I12" s="144"/>
      <c r="J12" s="57"/>
      <c r="K12" s="41" t="str">
        <f t="shared" si="4"/>
        <v>-</v>
      </c>
      <c r="L12" s="42">
        <f t="shared" si="2"/>
        <v>0</v>
      </c>
      <c r="M12" s="159" t="str">
        <f t="shared" si="3"/>
        <v>-</v>
      </c>
      <c r="N12" s="237"/>
      <c r="O12" s="238"/>
      <c r="P12" s="238"/>
      <c r="Q12" s="239"/>
      <c r="S12" s="233">
        <v>1</v>
      </c>
      <c r="T12" s="233">
        <v>1</v>
      </c>
      <c r="U12" s="529">
        <v>1</v>
      </c>
      <c r="V12" s="529"/>
      <c r="W12" s="529"/>
      <c r="X12" s="529"/>
      <c r="Y12" s="529"/>
      <c r="Z12" s="529"/>
      <c r="AA12" s="529"/>
      <c r="AB12" s="529"/>
      <c r="AC12" s="529"/>
      <c r="AD12" s="529"/>
      <c r="AE12" s="529"/>
      <c r="AF12" s="529"/>
      <c r="AG12" s="233"/>
    </row>
    <row r="13" spans="2:33" ht="23.25" customHeight="1" x14ac:dyDescent="0.15">
      <c r="B13" s="48"/>
      <c r="C13" s="20"/>
      <c r="D13" s="138"/>
      <c r="E13" s="235" t="s">
        <v>23</v>
      </c>
      <c r="F13" s="235"/>
      <c r="G13" s="236"/>
      <c r="H13" s="60" t="s">
        <v>20</v>
      </c>
      <c r="I13" s="144"/>
      <c r="J13" s="57"/>
      <c r="K13" s="41" t="str">
        <f t="shared" si="4"/>
        <v>-</v>
      </c>
      <c r="L13" s="42">
        <f t="shared" si="2"/>
        <v>0</v>
      </c>
      <c r="M13" s="159" t="str">
        <f t="shared" si="3"/>
        <v>-</v>
      </c>
      <c r="N13" s="237"/>
      <c r="O13" s="238"/>
      <c r="P13" s="238"/>
      <c r="Q13" s="239"/>
      <c r="S13" s="233">
        <v>1</v>
      </c>
      <c r="T13" s="233">
        <v>1</v>
      </c>
      <c r="U13" s="529">
        <v>1</v>
      </c>
      <c r="V13" s="529"/>
      <c r="W13" s="529"/>
      <c r="X13" s="529"/>
      <c r="Y13" s="529"/>
      <c r="Z13" s="529"/>
      <c r="AA13" s="529"/>
      <c r="AB13" s="529"/>
      <c r="AC13" s="529"/>
      <c r="AD13" s="529"/>
      <c r="AE13" s="529"/>
      <c r="AF13" s="529"/>
      <c r="AG13" s="233"/>
    </row>
    <row r="14" spans="2:33" ht="23.25" customHeight="1" x14ac:dyDescent="0.15">
      <c r="B14" s="48"/>
      <c r="C14" s="20"/>
      <c r="D14" s="138"/>
      <c r="E14" s="235" t="s">
        <v>139</v>
      </c>
      <c r="F14" s="235"/>
      <c r="G14" s="236"/>
      <c r="H14" s="60" t="s">
        <v>20</v>
      </c>
      <c r="I14" s="144"/>
      <c r="J14" s="57"/>
      <c r="K14" s="41" t="str">
        <f t="shared" si="4"/>
        <v>-</v>
      </c>
      <c r="L14" s="42">
        <f t="shared" si="2"/>
        <v>0</v>
      </c>
      <c r="M14" s="159" t="str">
        <f t="shared" si="3"/>
        <v>-</v>
      </c>
      <c r="N14" s="237"/>
      <c r="O14" s="238"/>
      <c r="P14" s="238"/>
      <c r="Q14" s="239"/>
      <c r="S14" s="233">
        <v>1</v>
      </c>
      <c r="T14" s="233">
        <v>1</v>
      </c>
      <c r="U14" s="529">
        <v>1</v>
      </c>
      <c r="V14" s="529"/>
      <c r="W14" s="529"/>
      <c r="X14" s="529"/>
      <c r="Y14" s="529"/>
      <c r="Z14" s="529"/>
      <c r="AA14" s="529"/>
      <c r="AB14" s="529"/>
      <c r="AC14" s="529"/>
      <c r="AD14" s="529"/>
      <c r="AE14" s="529"/>
      <c r="AF14" s="529"/>
      <c r="AG14" s="233"/>
    </row>
    <row r="15" spans="2:33" ht="23.25" customHeight="1" x14ac:dyDescent="0.15">
      <c r="B15" s="48"/>
      <c r="C15" s="20"/>
      <c r="D15" s="138"/>
      <c r="E15" s="235" t="s">
        <v>24</v>
      </c>
      <c r="F15" s="235"/>
      <c r="G15" s="236"/>
      <c r="H15" s="60" t="s">
        <v>20</v>
      </c>
      <c r="I15" s="144"/>
      <c r="J15" s="57"/>
      <c r="K15" s="41" t="str">
        <f t="shared" si="4"/>
        <v>-</v>
      </c>
      <c r="L15" s="42">
        <f t="shared" si="2"/>
        <v>0</v>
      </c>
      <c r="M15" s="159" t="str">
        <f t="shared" si="3"/>
        <v>-</v>
      </c>
      <c r="N15" s="237"/>
      <c r="O15" s="238"/>
      <c r="P15" s="238"/>
      <c r="Q15" s="239"/>
      <c r="S15" s="233">
        <v>1</v>
      </c>
      <c r="T15" s="233">
        <v>1</v>
      </c>
      <c r="U15" s="529">
        <v>1</v>
      </c>
      <c r="V15" s="529"/>
      <c r="W15" s="529"/>
      <c r="X15" s="529"/>
      <c r="Y15" s="529"/>
      <c r="Z15" s="529"/>
      <c r="AA15" s="529"/>
      <c r="AB15" s="529"/>
      <c r="AC15" s="529"/>
      <c r="AD15" s="529"/>
      <c r="AE15" s="529"/>
      <c r="AF15" s="529"/>
      <c r="AG15" s="233"/>
    </row>
    <row r="16" spans="2:33" ht="23.25" customHeight="1" x14ac:dyDescent="0.15">
      <c r="B16" s="48"/>
      <c r="C16" s="20"/>
      <c r="D16" s="138"/>
      <c r="E16" s="235" t="s">
        <v>25</v>
      </c>
      <c r="F16" s="235"/>
      <c r="G16" s="236"/>
      <c r="H16" s="60" t="s">
        <v>20</v>
      </c>
      <c r="I16" s="144"/>
      <c r="J16" s="57"/>
      <c r="K16" s="41" t="str">
        <f t="shared" si="4"/>
        <v>-</v>
      </c>
      <c r="L16" s="42">
        <f t="shared" si="2"/>
        <v>0</v>
      </c>
      <c r="M16" s="159" t="str">
        <f t="shared" si="3"/>
        <v>-</v>
      </c>
      <c r="N16" s="237"/>
      <c r="O16" s="238"/>
      <c r="P16" s="238"/>
      <c r="Q16" s="239"/>
      <c r="S16" s="233">
        <v>1</v>
      </c>
      <c r="T16" s="233">
        <v>1</v>
      </c>
      <c r="U16" s="529">
        <v>1</v>
      </c>
      <c r="V16" s="529"/>
      <c r="W16" s="529"/>
      <c r="X16" s="529"/>
      <c r="Y16" s="529"/>
      <c r="Z16" s="529"/>
      <c r="AA16" s="529"/>
      <c r="AB16" s="529"/>
      <c r="AC16" s="529"/>
      <c r="AD16" s="529"/>
      <c r="AE16" s="529"/>
      <c r="AF16" s="529"/>
      <c r="AG16" s="233"/>
    </row>
    <row r="17" spans="2:33" ht="23.25" customHeight="1" x14ac:dyDescent="0.15">
      <c r="B17" s="48"/>
      <c r="C17" s="20"/>
      <c r="D17" s="138"/>
      <c r="E17" s="235" t="s">
        <v>26</v>
      </c>
      <c r="F17" s="235"/>
      <c r="G17" s="236"/>
      <c r="H17" s="60" t="s">
        <v>20</v>
      </c>
      <c r="I17" s="144"/>
      <c r="J17" s="57"/>
      <c r="K17" s="41" t="str">
        <f t="shared" si="4"/>
        <v>-</v>
      </c>
      <c r="L17" s="42">
        <f t="shared" si="2"/>
        <v>0</v>
      </c>
      <c r="M17" s="159" t="str">
        <f t="shared" si="3"/>
        <v>-</v>
      </c>
      <c r="N17" s="237"/>
      <c r="O17" s="238"/>
      <c r="P17" s="238"/>
      <c r="Q17" s="239"/>
      <c r="S17" s="233">
        <v>1</v>
      </c>
      <c r="T17" s="233">
        <v>1</v>
      </c>
      <c r="U17" s="529">
        <v>1</v>
      </c>
      <c r="V17" s="529"/>
      <c r="W17" s="529"/>
      <c r="X17" s="529"/>
      <c r="Y17" s="529"/>
      <c r="Z17" s="529"/>
      <c r="AA17" s="529"/>
      <c r="AB17" s="529"/>
      <c r="AC17" s="529"/>
      <c r="AD17" s="529"/>
      <c r="AE17" s="529"/>
      <c r="AF17" s="529"/>
      <c r="AG17" s="233"/>
    </row>
    <row r="18" spans="2:33" ht="23.25" customHeight="1" x14ac:dyDescent="0.15">
      <c r="B18" s="48"/>
      <c r="C18" s="20"/>
      <c r="D18" s="138"/>
      <c r="E18" s="278" t="s">
        <v>27</v>
      </c>
      <c r="F18" s="278"/>
      <c r="G18" s="236"/>
      <c r="H18" s="60" t="s">
        <v>20</v>
      </c>
      <c r="I18" s="144"/>
      <c r="J18" s="57"/>
      <c r="K18" s="41" t="str">
        <f t="shared" si="4"/>
        <v>-</v>
      </c>
      <c r="L18" s="42">
        <f t="shared" si="2"/>
        <v>0</v>
      </c>
      <c r="M18" s="159" t="str">
        <f t="shared" si="3"/>
        <v>-</v>
      </c>
      <c r="N18" s="237"/>
      <c r="O18" s="238"/>
      <c r="P18" s="238"/>
      <c r="Q18" s="239"/>
      <c r="S18" s="529">
        <v>1</v>
      </c>
      <c r="T18" s="529"/>
      <c r="U18" s="529">
        <v>1</v>
      </c>
      <c r="V18" s="529"/>
      <c r="W18" s="529"/>
      <c r="X18" s="529"/>
      <c r="Y18" s="529"/>
      <c r="Z18" s="529"/>
      <c r="AA18" s="529"/>
      <c r="AB18" s="529"/>
      <c r="AC18" s="529"/>
      <c r="AD18" s="529"/>
      <c r="AE18" s="529"/>
      <c r="AF18" s="529"/>
      <c r="AG18" s="233"/>
    </row>
    <row r="19" spans="2:33" ht="23.25" customHeight="1" x14ac:dyDescent="0.15">
      <c r="B19" s="48"/>
      <c r="C19" s="20"/>
      <c r="D19" s="138"/>
      <c r="E19" s="274"/>
      <c r="F19" s="275"/>
      <c r="G19" s="56" t="s">
        <v>28</v>
      </c>
      <c r="H19" s="60" t="s">
        <v>20</v>
      </c>
      <c r="I19" s="144"/>
      <c r="J19" s="57"/>
      <c r="K19" s="41" t="str">
        <f t="shared" si="4"/>
        <v>-</v>
      </c>
      <c r="L19" s="42">
        <f t="shared" si="2"/>
        <v>0</v>
      </c>
      <c r="M19" s="159" t="str">
        <f t="shared" si="3"/>
        <v>-</v>
      </c>
      <c r="N19" s="237"/>
      <c r="O19" s="238"/>
      <c r="P19" s="238"/>
      <c r="Q19" s="239"/>
      <c r="S19" s="529"/>
      <c r="T19" s="529"/>
      <c r="U19" s="529">
        <v>1</v>
      </c>
      <c r="V19" s="529"/>
      <c r="W19" s="529"/>
      <c r="X19" s="529"/>
      <c r="Y19" s="529"/>
      <c r="Z19" s="529"/>
      <c r="AA19" s="529"/>
      <c r="AB19" s="529"/>
      <c r="AC19" s="529"/>
      <c r="AD19" s="529"/>
      <c r="AE19" s="529"/>
      <c r="AF19" s="529"/>
      <c r="AG19" s="233"/>
    </row>
    <row r="20" spans="2:33" ht="23.25" customHeight="1" x14ac:dyDescent="0.15">
      <c r="B20" s="48"/>
      <c r="C20" s="20"/>
      <c r="D20" s="138"/>
      <c r="E20" s="274"/>
      <c r="F20" s="275"/>
      <c r="G20" s="56" t="s">
        <v>29</v>
      </c>
      <c r="H20" s="60" t="s">
        <v>20</v>
      </c>
      <c r="I20" s="144"/>
      <c r="J20" s="57"/>
      <c r="K20" s="41" t="str">
        <f t="shared" si="4"/>
        <v>-</v>
      </c>
      <c r="L20" s="42">
        <f t="shared" si="2"/>
        <v>0</v>
      </c>
      <c r="M20" s="159" t="str">
        <f t="shared" si="3"/>
        <v>-</v>
      </c>
      <c r="N20" s="237"/>
      <c r="O20" s="238"/>
      <c r="P20" s="238"/>
      <c r="Q20" s="239"/>
      <c r="S20" s="529"/>
      <c r="T20" s="529"/>
      <c r="U20" s="529">
        <v>1</v>
      </c>
      <c r="V20" s="529"/>
      <c r="W20" s="529"/>
      <c r="X20" s="529"/>
      <c r="Y20" s="529"/>
      <c r="Z20" s="529"/>
      <c r="AA20" s="529"/>
      <c r="AB20" s="529"/>
      <c r="AC20" s="529"/>
      <c r="AD20" s="529"/>
      <c r="AE20" s="529"/>
      <c r="AF20" s="529"/>
      <c r="AG20" s="233"/>
    </row>
    <row r="21" spans="2:33" ht="23.25" customHeight="1" x14ac:dyDescent="0.15">
      <c r="B21" s="48"/>
      <c r="C21" s="20"/>
      <c r="D21" s="71"/>
      <c r="E21" s="276"/>
      <c r="F21" s="277"/>
      <c r="G21" s="56" t="s">
        <v>30</v>
      </c>
      <c r="H21" s="60" t="s">
        <v>20</v>
      </c>
      <c r="I21" s="144"/>
      <c r="J21" s="57"/>
      <c r="K21" s="41" t="str">
        <f t="shared" si="4"/>
        <v>-</v>
      </c>
      <c r="L21" s="42">
        <f t="shared" si="2"/>
        <v>0</v>
      </c>
      <c r="M21" s="159" t="str">
        <f t="shared" si="3"/>
        <v>-</v>
      </c>
      <c r="N21" s="237"/>
      <c r="O21" s="238"/>
      <c r="P21" s="238"/>
      <c r="Q21" s="239"/>
      <c r="S21" s="529"/>
      <c r="T21" s="529"/>
      <c r="U21" s="529">
        <v>1</v>
      </c>
      <c r="V21" s="529"/>
      <c r="W21" s="529"/>
      <c r="X21" s="529"/>
      <c r="Y21" s="529"/>
      <c r="Z21" s="529"/>
      <c r="AA21" s="529"/>
      <c r="AB21" s="529"/>
      <c r="AC21" s="529"/>
      <c r="AD21" s="529"/>
      <c r="AE21" s="529"/>
      <c r="AF21" s="529"/>
      <c r="AG21" s="233"/>
    </row>
    <row r="22" spans="2:33" ht="23.25" customHeight="1" x14ac:dyDescent="0.15">
      <c r="B22" s="48"/>
      <c r="C22" s="20"/>
      <c r="D22" s="138"/>
      <c r="E22" s="278" t="s">
        <v>31</v>
      </c>
      <c r="F22" s="278"/>
      <c r="G22" s="236"/>
      <c r="H22" s="60" t="s">
        <v>20</v>
      </c>
      <c r="I22" s="144"/>
      <c r="J22" s="57"/>
      <c r="K22" s="41" t="str">
        <f t="shared" si="4"/>
        <v>-</v>
      </c>
      <c r="L22" s="42">
        <f t="shared" si="2"/>
        <v>0</v>
      </c>
      <c r="M22" s="159" t="str">
        <f t="shared" si="3"/>
        <v>-</v>
      </c>
      <c r="N22" s="237"/>
      <c r="O22" s="238"/>
      <c r="P22" s="238"/>
      <c r="Q22" s="239"/>
      <c r="S22" s="233">
        <v>1</v>
      </c>
      <c r="T22" s="233">
        <v>1</v>
      </c>
      <c r="U22" s="233">
        <v>1</v>
      </c>
      <c r="V22" s="233">
        <v>1</v>
      </c>
      <c r="W22" s="529">
        <v>1</v>
      </c>
      <c r="X22" s="529"/>
      <c r="Y22" s="529"/>
      <c r="Z22" s="529"/>
      <c r="AA22" s="529"/>
      <c r="AB22" s="529"/>
      <c r="AC22" s="529"/>
      <c r="AD22" s="529"/>
      <c r="AE22" s="529"/>
      <c r="AF22" s="529"/>
      <c r="AG22" s="529"/>
    </row>
    <row r="23" spans="2:33" ht="23.25" customHeight="1" x14ac:dyDescent="0.15">
      <c r="B23" s="48"/>
      <c r="C23" s="20"/>
      <c r="D23" s="138"/>
      <c r="E23" s="274"/>
      <c r="F23" s="275"/>
      <c r="G23" s="56" t="s">
        <v>32</v>
      </c>
      <c r="H23" s="60" t="s">
        <v>20</v>
      </c>
      <c r="I23" s="144"/>
      <c r="J23" s="57"/>
      <c r="K23" s="41" t="str">
        <f t="shared" si="4"/>
        <v>-</v>
      </c>
      <c r="L23" s="42">
        <f t="shared" si="2"/>
        <v>0</v>
      </c>
      <c r="M23" s="159" t="str">
        <f t="shared" si="3"/>
        <v>-</v>
      </c>
      <c r="N23" s="237"/>
      <c r="O23" s="238"/>
      <c r="P23" s="238"/>
      <c r="Q23" s="239"/>
      <c r="S23" s="530"/>
      <c r="T23" s="530"/>
      <c r="U23" s="530"/>
      <c r="V23" s="233">
        <v>1</v>
      </c>
      <c r="W23" s="529">
        <v>1</v>
      </c>
      <c r="X23" s="529"/>
      <c r="Y23" s="529"/>
      <c r="Z23" s="529"/>
      <c r="AA23" s="529"/>
      <c r="AB23" s="529"/>
      <c r="AC23" s="529"/>
      <c r="AD23" s="529"/>
      <c r="AE23" s="529"/>
      <c r="AF23" s="529"/>
      <c r="AG23" s="529"/>
    </row>
    <row r="24" spans="2:33" ht="23.25" customHeight="1" x14ac:dyDescent="0.15">
      <c r="B24" s="48"/>
      <c r="C24" s="20"/>
      <c r="D24" s="138"/>
      <c r="E24" s="274"/>
      <c r="F24" s="275"/>
      <c r="G24" s="56" t="s">
        <v>33</v>
      </c>
      <c r="H24" s="60" t="s">
        <v>20</v>
      </c>
      <c r="I24" s="144"/>
      <c r="J24" s="57"/>
      <c r="K24" s="41" t="str">
        <f t="shared" si="4"/>
        <v>-</v>
      </c>
      <c r="L24" s="42">
        <f t="shared" si="2"/>
        <v>0</v>
      </c>
      <c r="M24" s="159" t="str">
        <f t="shared" si="3"/>
        <v>-</v>
      </c>
      <c r="N24" s="237"/>
      <c r="O24" s="238"/>
      <c r="P24" s="238"/>
      <c r="Q24" s="239"/>
      <c r="S24" s="530"/>
      <c r="T24" s="530"/>
      <c r="U24" s="530"/>
      <c r="V24" s="233">
        <v>1</v>
      </c>
      <c r="W24" s="529">
        <v>1</v>
      </c>
      <c r="X24" s="529"/>
      <c r="Y24" s="529"/>
      <c r="Z24" s="529"/>
      <c r="AA24" s="529"/>
      <c r="AB24" s="529"/>
      <c r="AC24" s="529"/>
      <c r="AD24" s="529"/>
      <c r="AE24" s="529"/>
      <c r="AF24" s="529"/>
      <c r="AG24" s="529"/>
    </row>
    <row r="25" spans="2:33" ht="23.25" customHeight="1" x14ac:dyDescent="0.15">
      <c r="B25" s="48"/>
      <c r="C25" s="20"/>
      <c r="D25" s="138"/>
      <c r="E25" s="235" t="s">
        <v>34</v>
      </c>
      <c r="F25" s="235"/>
      <c r="G25" s="236"/>
      <c r="H25" s="60" t="s">
        <v>20</v>
      </c>
      <c r="I25" s="144"/>
      <c r="J25" s="57"/>
      <c r="K25" s="41" t="str">
        <f t="shared" si="4"/>
        <v>-</v>
      </c>
      <c r="L25" s="42">
        <f t="shared" si="2"/>
        <v>0</v>
      </c>
      <c r="M25" s="159" t="str">
        <f t="shared" si="3"/>
        <v>-</v>
      </c>
      <c r="N25" s="237"/>
      <c r="O25" s="238"/>
      <c r="P25" s="238"/>
      <c r="Q25" s="239"/>
      <c r="S25" s="529">
        <v>1</v>
      </c>
      <c r="T25" s="529"/>
      <c r="U25" s="529"/>
      <c r="V25" s="529"/>
      <c r="W25" s="529"/>
      <c r="X25" s="529">
        <v>1</v>
      </c>
      <c r="Y25" s="529"/>
      <c r="Z25" s="529"/>
      <c r="AA25" s="529"/>
      <c r="AB25" s="529"/>
      <c r="AC25" s="529"/>
      <c r="AD25" s="529"/>
      <c r="AE25" s="529"/>
      <c r="AF25" s="529"/>
      <c r="AG25" s="233"/>
    </row>
    <row r="26" spans="2:33" ht="23.25" customHeight="1" x14ac:dyDescent="0.15">
      <c r="B26" s="48"/>
      <c r="C26" s="20"/>
      <c r="D26" s="138"/>
      <c r="E26" s="278" t="s">
        <v>35</v>
      </c>
      <c r="F26" s="235"/>
      <c r="G26" s="236"/>
      <c r="H26" s="60" t="s">
        <v>20</v>
      </c>
      <c r="I26" s="144"/>
      <c r="J26" s="57"/>
      <c r="K26" s="41" t="str">
        <f t="shared" si="4"/>
        <v>-</v>
      </c>
      <c r="L26" s="42">
        <f t="shared" si="2"/>
        <v>0</v>
      </c>
      <c r="M26" s="159" t="str">
        <f t="shared" si="3"/>
        <v>-</v>
      </c>
      <c r="N26" s="237"/>
      <c r="O26" s="238"/>
      <c r="P26" s="238"/>
      <c r="Q26" s="239"/>
      <c r="S26" s="529">
        <v>1</v>
      </c>
      <c r="T26" s="529"/>
      <c r="U26" s="529"/>
      <c r="V26" s="529"/>
      <c r="W26" s="529"/>
      <c r="X26" s="529"/>
      <c r="Y26" s="233">
        <v>1</v>
      </c>
      <c r="Z26" s="529">
        <v>1</v>
      </c>
      <c r="AA26" s="529"/>
      <c r="AB26" s="529"/>
      <c r="AC26" s="529"/>
      <c r="AD26" s="529"/>
      <c r="AE26" s="529"/>
      <c r="AF26" s="529"/>
      <c r="AG26" s="529"/>
    </row>
    <row r="27" spans="2:33" ht="23.25" customHeight="1" x14ac:dyDescent="0.15">
      <c r="B27" s="48"/>
      <c r="C27" s="20"/>
      <c r="D27" s="138"/>
      <c r="E27" s="134"/>
      <c r="F27" s="273" t="s">
        <v>36</v>
      </c>
      <c r="G27" s="279"/>
      <c r="H27" s="60" t="s">
        <v>20</v>
      </c>
      <c r="I27" s="144"/>
      <c r="J27" s="57"/>
      <c r="K27" s="41" t="str">
        <f t="shared" si="4"/>
        <v>-</v>
      </c>
      <c r="L27" s="42">
        <f t="shared" si="2"/>
        <v>0</v>
      </c>
      <c r="M27" s="159" t="str">
        <f t="shared" si="3"/>
        <v>-</v>
      </c>
      <c r="N27" s="237"/>
      <c r="O27" s="238"/>
      <c r="P27" s="238"/>
      <c r="Q27" s="239"/>
      <c r="S27" s="530"/>
      <c r="T27" s="530"/>
      <c r="U27" s="530"/>
      <c r="V27" s="529"/>
      <c r="W27" s="529"/>
      <c r="X27" s="529"/>
      <c r="Y27" s="233">
        <v>1</v>
      </c>
      <c r="Z27" s="529">
        <v>1</v>
      </c>
      <c r="AA27" s="529"/>
      <c r="AB27" s="529"/>
      <c r="AC27" s="529"/>
      <c r="AD27" s="529"/>
      <c r="AE27" s="529"/>
      <c r="AF27" s="529"/>
      <c r="AG27" s="529"/>
    </row>
    <row r="28" spans="2:33" ht="23.25" customHeight="1" x14ac:dyDescent="0.15">
      <c r="B28" s="48"/>
      <c r="C28" s="20"/>
      <c r="D28" s="138"/>
      <c r="E28" s="140"/>
      <c r="F28" s="134"/>
      <c r="G28" s="56" t="s">
        <v>37</v>
      </c>
      <c r="H28" s="60" t="s">
        <v>20</v>
      </c>
      <c r="I28" s="144"/>
      <c r="J28" s="57"/>
      <c r="K28" s="41" t="str">
        <f t="shared" si="4"/>
        <v>-</v>
      </c>
      <c r="L28" s="42">
        <f t="shared" si="2"/>
        <v>0</v>
      </c>
      <c r="M28" s="159" t="str">
        <f t="shared" si="3"/>
        <v>-</v>
      </c>
      <c r="N28" s="237"/>
      <c r="O28" s="238"/>
      <c r="P28" s="238"/>
      <c r="Q28" s="239"/>
      <c r="S28" s="529"/>
      <c r="T28" s="529"/>
      <c r="U28" s="529"/>
      <c r="V28" s="529"/>
      <c r="W28" s="529"/>
      <c r="X28" s="529"/>
      <c r="Y28" s="233">
        <v>1</v>
      </c>
      <c r="Z28" s="529">
        <v>1</v>
      </c>
      <c r="AA28" s="529"/>
      <c r="AB28" s="529"/>
      <c r="AC28" s="529"/>
      <c r="AD28" s="529"/>
      <c r="AE28" s="529"/>
      <c r="AF28" s="529"/>
      <c r="AG28" s="529"/>
    </row>
    <row r="29" spans="2:33" ht="23.25" customHeight="1" x14ac:dyDescent="0.15">
      <c r="B29" s="48"/>
      <c r="C29" s="20"/>
      <c r="D29" s="138"/>
      <c r="E29" s="140"/>
      <c r="F29" s="132"/>
      <c r="G29" s="56" t="s">
        <v>140</v>
      </c>
      <c r="H29" s="60" t="s">
        <v>20</v>
      </c>
      <c r="I29" s="144"/>
      <c r="J29" s="57"/>
      <c r="K29" s="41" t="str">
        <f t="shared" si="4"/>
        <v>-</v>
      </c>
      <c r="L29" s="42">
        <f t="shared" si="2"/>
        <v>0</v>
      </c>
      <c r="M29" s="159" t="str">
        <f t="shared" si="3"/>
        <v>-</v>
      </c>
      <c r="N29" s="237"/>
      <c r="O29" s="238"/>
      <c r="P29" s="238"/>
      <c r="Q29" s="239"/>
      <c r="S29" s="529"/>
      <c r="T29" s="529"/>
      <c r="U29" s="529"/>
      <c r="V29" s="529"/>
      <c r="W29" s="529"/>
      <c r="X29" s="529"/>
      <c r="Y29" s="233">
        <v>1</v>
      </c>
      <c r="Z29" s="529">
        <v>1</v>
      </c>
      <c r="AA29" s="529"/>
      <c r="AB29" s="529"/>
      <c r="AC29" s="529"/>
      <c r="AD29" s="529"/>
      <c r="AE29" s="529"/>
      <c r="AF29" s="529"/>
      <c r="AG29" s="529"/>
    </row>
    <row r="30" spans="2:33" ht="23.25" customHeight="1" x14ac:dyDescent="0.15">
      <c r="B30" s="48"/>
      <c r="C30" s="20"/>
      <c r="D30" s="138"/>
      <c r="E30" s="140"/>
      <c r="F30" s="273" t="s">
        <v>38</v>
      </c>
      <c r="G30" s="236"/>
      <c r="H30" s="60" t="s">
        <v>20</v>
      </c>
      <c r="I30" s="144"/>
      <c r="J30" s="57"/>
      <c r="K30" s="41" t="str">
        <f t="shared" si="4"/>
        <v>-</v>
      </c>
      <c r="L30" s="42">
        <f t="shared" si="2"/>
        <v>0</v>
      </c>
      <c r="M30" s="159" t="str">
        <f t="shared" si="3"/>
        <v>-</v>
      </c>
      <c r="N30" s="237"/>
      <c r="O30" s="238"/>
      <c r="P30" s="238"/>
      <c r="Q30" s="239"/>
      <c r="S30" s="530"/>
      <c r="T30" s="530"/>
      <c r="U30" s="530"/>
      <c r="V30" s="529"/>
      <c r="W30" s="529"/>
      <c r="X30" s="529"/>
      <c r="Y30" s="233">
        <v>1</v>
      </c>
      <c r="Z30" s="529">
        <v>1</v>
      </c>
      <c r="AA30" s="529"/>
      <c r="AB30" s="529"/>
      <c r="AC30" s="529"/>
      <c r="AD30" s="529"/>
      <c r="AE30" s="529"/>
      <c r="AF30" s="529"/>
      <c r="AG30" s="529"/>
    </row>
    <row r="31" spans="2:33" ht="23.25" customHeight="1" x14ac:dyDescent="0.15">
      <c r="B31" s="48"/>
      <c r="C31" s="20"/>
      <c r="D31" s="138"/>
      <c r="E31" s="139"/>
      <c r="F31" s="141"/>
      <c r="G31" s="52" t="s">
        <v>39</v>
      </c>
      <c r="H31" s="60" t="s">
        <v>20</v>
      </c>
      <c r="I31" s="144"/>
      <c r="J31" s="57"/>
      <c r="K31" s="41" t="str">
        <f t="shared" si="4"/>
        <v>-</v>
      </c>
      <c r="L31" s="42">
        <f t="shared" si="2"/>
        <v>0</v>
      </c>
      <c r="M31" s="159" t="str">
        <f t="shared" si="3"/>
        <v>-</v>
      </c>
      <c r="N31" s="237"/>
      <c r="O31" s="238"/>
      <c r="P31" s="238"/>
      <c r="Q31" s="239"/>
      <c r="S31" s="529"/>
      <c r="T31" s="529"/>
      <c r="U31" s="529"/>
      <c r="V31" s="529"/>
      <c r="W31" s="529"/>
      <c r="X31" s="529"/>
      <c r="Y31" s="233">
        <v>1</v>
      </c>
      <c r="Z31" s="529">
        <v>1</v>
      </c>
      <c r="AA31" s="529"/>
      <c r="AB31" s="529"/>
      <c r="AC31" s="529"/>
      <c r="AD31" s="529"/>
      <c r="AE31" s="529"/>
      <c r="AF31" s="529"/>
      <c r="AG31" s="529"/>
    </row>
    <row r="32" spans="2:33" ht="23.25" customHeight="1" x14ac:dyDescent="0.15">
      <c r="B32" s="48"/>
      <c r="C32" s="20"/>
      <c r="D32" s="138"/>
      <c r="E32" s="142"/>
      <c r="F32" s="142"/>
      <c r="G32" s="103" t="s">
        <v>40</v>
      </c>
      <c r="H32" s="60" t="s">
        <v>20</v>
      </c>
      <c r="I32" s="182"/>
      <c r="J32" s="120"/>
      <c r="K32" s="97" t="str">
        <f t="shared" si="4"/>
        <v>-</v>
      </c>
      <c r="L32" s="98">
        <f t="shared" si="2"/>
        <v>0</v>
      </c>
      <c r="M32" s="159" t="str">
        <f t="shared" si="3"/>
        <v>-</v>
      </c>
      <c r="N32" s="237"/>
      <c r="O32" s="238"/>
      <c r="P32" s="238"/>
      <c r="Q32" s="239"/>
      <c r="S32" s="529"/>
      <c r="T32" s="529"/>
      <c r="U32" s="529"/>
      <c r="V32" s="529"/>
      <c r="W32" s="529"/>
      <c r="X32" s="529"/>
      <c r="Y32" s="233">
        <v>1</v>
      </c>
      <c r="Z32" s="529">
        <v>1</v>
      </c>
      <c r="AA32" s="529"/>
      <c r="AB32" s="529"/>
      <c r="AC32" s="529"/>
      <c r="AD32" s="529"/>
      <c r="AE32" s="529"/>
      <c r="AF32" s="529"/>
      <c r="AG32" s="529"/>
    </row>
    <row r="33" spans="2:34" ht="23.25" customHeight="1" x14ac:dyDescent="0.15">
      <c r="B33" s="21"/>
      <c r="C33" s="20"/>
      <c r="D33" s="138"/>
      <c r="E33" s="235" t="s">
        <v>141</v>
      </c>
      <c r="F33" s="235"/>
      <c r="G33" s="236"/>
      <c r="H33" s="40" t="s">
        <v>20</v>
      </c>
      <c r="I33" s="57"/>
      <c r="J33" s="58"/>
      <c r="K33" s="41" t="str">
        <f t="shared" si="4"/>
        <v>-</v>
      </c>
      <c r="L33" s="42">
        <f t="shared" si="2"/>
        <v>0</v>
      </c>
      <c r="M33" s="159" t="str">
        <f t="shared" si="3"/>
        <v>-</v>
      </c>
      <c r="N33" s="237"/>
      <c r="O33" s="238"/>
      <c r="P33" s="238"/>
      <c r="Q33" s="239"/>
      <c r="R33" s="3"/>
      <c r="S33" s="233">
        <v>1</v>
      </c>
      <c r="T33" s="529">
        <v>1</v>
      </c>
      <c r="U33" s="529"/>
      <c r="V33" s="529"/>
      <c r="W33" s="529"/>
      <c r="X33" s="529"/>
      <c r="Y33" s="529"/>
      <c r="Z33" s="233"/>
      <c r="AA33" s="233">
        <v>1</v>
      </c>
      <c r="AB33" s="529">
        <v>1</v>
      </c>
      <c r="AC33" s="529"/>
      <c r="AD33" s="529"/>
      <c r="AE33" s="529"/>
      <c r="AF33" s="529"/>
      <c r="AG33" s="529"/>
      <c r="AH33" s="229"/>
    </row>
    <row r="34" spans="2:34" ht="23.25" customHeight="1" x14ac:dyDescent="0.15">
      <c r="B34" s="21"/>
      <c r="C34" s="20"/>
      <c r="D34" s="138"/>
      <c r="E34" s="235" t="s">
        <v>142</v>
      </c>
      <c r="F34" s="235"/>
      <c r="G34" s="236"/>
      <c r="H34" s="40" t="s">
        <v>20</v>
      </c>
      <c r="I34" s="57"/>
      <c r="J34" s="58"/>
      <c r="K34" s="41" t="str">
        <f t="shared" si="4"/>
        <v>-</v>
      </c>
      <c r="L34" s="42">
        <f t="shared" si="2"/>
        <v>0</v>
      </c>
      <c r="M34" s="159" t="str">
        <f t="shared" si="3"/>
        <v>-</v>
      </c>
      <c r="N34" s="237"/>
      <c r="O34" s="238"/>
      <c r="P34" s="238"/>
      <c r="Q34" s="239"/>
      <c r="R34" s="3"/>
      <c r="S34" s="529">
        <v>1</v>
      </c>
      <c r="T34" s="529"/>
      <c r="U34" s="529"/>
      <c r="V34" s="529"/>
      <c r="W34" s="529"/>
      <c r="X34" s="529"/>
      <c r="Y34" s="529"/>
      <c r="Z34" s="529"/>
      <c r="AA34" s="529"/>
      <c r="AB34" s="529"/>
      <c r="AC34" s="529"/>
      <c r="AD34" s="529"/>
      <c r="AE34" s="529"/>
      <c r="AF34" s="529"/>
      <c r="AG34" s="233">
        <v>1</v>
      </c>
      <c r="AH34" s="229"/>
    </row>
    <row r="35" spans="2:34" ht="23.25" customHeight="1" x14ac:dyDescent="0.15">
      <c r="B35" s="48"/>
      <c r="C35" s="20"/>
      <c r="D35" s="273" t="s">
        <v>41</v>
      </c>
      <c r="E35" s="235"/>
      <c r="F35" s="235"/>
      <c r="G35" s="236"/>
      <c r="H35" s="60" t="s">
        <v>20</v>
      </c>
      <c r="I35" s="144"/>
      <c r="J35" s="57"/>
      <c r="K35" s="41" t="str">
        <f t="shared" si="4"/>
        <v>-</v>
      </c>
      <c r="L35" s="42">
        <f t="shared" si="2"/>
        <v>0</v>
      </c>
      <c r="M35" s="159" t="str">
        <f t="shared" si="3"/>
        <v>-</v>
      </c>
      <c r="N35" s="237"/>
      <c r="O35" s="238"/>
      <c r="P35" s="238"/>
      <c r="Q35" s="239"/>
      <c r="S35" s="529">
        <v>1</v>
      </c>
      <c r="T35" s="529"/>
      <c r="U35" s="529"/>
      <c r="V35" s="529"/>
      <c r="W35" s="529"/>
      <c r="X35" s="529"/>
      <c r="Y35" s="529"/>
      <c r="Z35" s="529"/>
      <c r="AA35" s="233">
        <v>1</v>
      </c>
      <c r="AB35" s="233">
        <v>1</v>
      </c>
      <c r="AC35" s="233">
        <v>1</v>
      </c>
      <c r="AD35" s="233">
        <v>1</v>
      </c>
      <c r="AE35" s="233">
        <v>1</v>
      </c>
      <c r="AF35" s="233">
        <v>1</v>
      </c>
      <c r="AG35" s="233">
        <v>1</v>
      </c>
    </row>
    <row r="36" spans="2:34" ht="23.25" customHeight="1" x14ac:dyDescent="0.15">
      <c r="B36" s="48"/>
      <c r="C36" s="20"/>
      <c r="D36" s="138"/>
      <c r="E36" s="278" t="s">
        <v>42</v>
      </c>
      <c r="F36" s="235"/>
      <c r="G36" s="236"/>
      <c r="H36" s="60" t="s">
        <v>20</v>
      </c>
      <c r="I36" s="144"/>
      <c r="J36" s="57"/>
      <c r="K36" s="41" t="str">
        <f t="shared" si="4"/>
        <v>-</v>
      </c>
      <c r="L36" s="42">
        <f t="shared" si="2"/>
        <v>0</v>
      </c>
      <c r="M36" s="159" t="str">
        <f t="shared" si="3"/>
        <v>-</v>
      </c>
      <c r="N36" s="237"/>
      <c r="O36" s="238"/>
      <c r="P36" s="238"/>
      <c r="Q36" s="239"/>
      <c r="S36" s="529">
        <v>1</v>
      </c>
      <c r="T36" s="529"/>
      <c r="U36" s="529"/>
      <c r="V36" s="529"/>
      <c r="W36" s="529"/>
      <c r="X36" s="529"/>
      <c r="Y36" s="529"/>
      <c r="Z36" s="529"/>
      <c r="AA36" s="529">
        <v>1</v>
      </c>
      <c r="AB36" s="529"/>
      <c r="AC36" s="529"/>
      <c r="AD36" s="529"/>
      <c r="AE36" s="529"/>
      <c r="AF36" s="529"/>
      <c r="AG36" s="233"/>
    </row>
    <row r="37" spans="2:34" ht="23.25" customHeight="1" x14ac:dyDescent="0.15">
      <c r="B37" s="48"/>
      <c r="C37" s="20"/>
      <c r="D37" s="138"/>
      <c r="E37" s="134"/>
      <c r="F37" s="282" t="s">
        <v>43</v>
      </c>
      <c r="G37" s="236"/>
      <c r="H37" s="60" t="s">
        <v>20</v>
      </c>
      <c r="I37" s="144"/>
      <c r="J37" s="57"/>
      <c r="K37" s="41" t="str">
        <f t="shared" si="4"/>
        <v>-</v>
      </c>
      <c r="L37" s="42">
        <f t="shared" si="2"/>
        <v>0</v>
      </c>
      <c r="M37" s="159" t="str">
        <f t="shared" si="3"/>
        <v>-</v>
      </c>
      <c r="N37" s="237"/>
      <c r="O37" s="238"/>
      <c r="P37" s="238"/>
      <c r="Q37" s="239"/>
      <c r="S37" s="529"/>
      <c r="T37" s="529"/>
      <c r="U37" s="529"/>
      <c r="V37" s="529"/>
      <c r="W37" s="529"/>
      <c r="X37" s="529"/>
      <c r="Y37" s="529"/>
      <c r="Z37" s="529"/>
      <c r="AA37" s="529">
        <v>1</v>
      </c>
      <c r="AB37" s="529"/>
      <c r="AC37" s="529"/>
      <c r="AD37" s="529"/>
      <c r="AE37" s="529"/>
      <c r="AF37" s="529"/>
      <c r="AG37" s="233"/>
    </row>
    <row r="38" spans="2:34" ht="23.25" customHeight="1" x14ac:dyDescent="0.15">
      <c r="B38" s="48"/>
      <c r="C38" s="20"/>
      <c r="D38" s="138"/>
      <c r="E38" s="132"/>
      <c r="F38" s="282" t="s">
        <v>143</v>
      </c>
      <c r="G38" s="283"/>
      <c r="H38" s="60" t="s">
        <v>20</v>
      </c>
      <c r="I38" s="144"/>
      <c r="J38" s="57"/>
      <c r="K38" s="41" t="str">
        <f t="shared" si="4"/>
        <v>-</v>
      </c>
      <c r="L38" s="42">
        <f t="shared" si="2"/>
        <v>0</v>
      </c>
      <c r="M38" s="159" t="str">
        <f t="shared" si="3"/>
        <v>-</v>
      </c>
      <c r="N38" s="237"/>
      <c r="O38" s="238"/>
      <c r="P38" s="238"/>
      <c r="Q38" s="239"/>
      <c r="S38" s="529"/>
      <c r="T38" s="529"/>
      <c r="U38" s="529"/>
      <c r="V38" s="529"/>
      <c r="W38" s="529"/>
      <c r="X38" s="529"/>
      <c r="Y38" s="529"/>
      <c r="Z38" s="529"/>
      <c r="AA38" s="529">
        <v>1</v>
      </c>
      <c r="AB38" s="529"/>
      <c r="AC38" s="529"/>
      <c r="AD38" s="529"/>
      <c r="AE38" s="529"/>
      <c r="AF38" s="529"/>
      <c r="AG38" s="233"/>
    </row>
    <row r="39" spans="2:34" ht="23.25" customHeight="1" x14ac:dyDescent="0.15">
      <c r="B39" s="48"/>
      <c r="C39" s="20"/>
      <c r="D39" s="138"/>
      <c r="E39" s="235" t="s">
        <v>44</v>
      </c>
      <c r="F39" s="235"/>
      <c r="G39" s="236"/>
      <c r="H39" s="60" t="s">
        <v>20</v>
      </c>
      <c r="I39" s="144"/>
      <c r="J39" s="57"/>
      <c r="K39" s="41" t="str">
        <f t="shared" si="4"/>
        <v>-</v>
      </c>
      <c r="L39" s="42">
        <f t="shared" si="2"/>
        <v>0</v>
      </c>
      <c r="M39" s="159" t="str">
        <f t="shared" si="3"/>
        <v>-</v>
      </c>
      <c r="N39" s="237"/>
      <c r="O39" s="238"/>
      <c r="P39" s="238"/>
      <c r="Q39" s="239"/>
      <c r="S39" s="529">
        <v>1</v>
      </c>
      <c r="T39" s="529"/>
      <c r="U39" s="529"/>
      <c r="V39" s="529"/>
      <c r="W39" s="529"/>
      <c r="X39" s="529"/>
      <c r="Y39" s="529"/>
      <c r="Z39" s="529"/>
      <c r="AA39" s="529"/>
      <c r="AB39" s="529">
        <v>1</v>
      </c>
      <c r="AC39" s="529"/>
      <c r="AD39" s="529"/>
      <c r="AE39" s="529"/>
      <c r="AF39" s="529"/>
      <c r="AG39" s="529"/>
    </row>
    <row r="40" spans="2:34" ht="23.25" customHeight="1" x14ac:dyDescent="0.15">
      <c r="B40" s="48"/>
      <c r="C40" s="20"/>
      <c r="D40" s="138"/>
      <c r="E40" s="278" t="s">
        <v>45</v>
      </c>
      <c r="F40" s="235"/>
      <c r="G40" s="236"/>
      <c r="H40" s="60" t="s">
        <v>20</v>
      </c>
      <c r="I40" s="144"/>
      <c r="J40" s="57"/>
      <c r="K40" s="41" t="str">
        <f t="shared" si="4"/>
        <v>-</v>
      </c>
      <c r="L40" s="42">
        <f t="shared" si="2"/>
        <v>0</v>
      </c>
      <c r="M40" s="159" t="str">
        <f t="shared" si="3"/>
        <v>-</v>
      </c>
      <c r="N40" s="237"/>
      <c r="O40" s="238"/>
      <c r="P40" s="238"/>
      <c r="Q40" s="239"/>
      <c r="S40" s="529">
        <v>1</v>
      </c>
      <c r="T40" s="529"/>
      <c r="U40" s="529"/>
      <c r="V40" s="529"/>
      <c r="W40" s="529"/>
      <c r="X40" s="529"/>
      <c r="Y40" s="529"/>
      <c r="Z40" s="529"/>
      <c r="AA40" s="529"/>
      <c r="AB40" s="233"/>
      <c r="AC40" s="529">
        <v>1</v>
      </c>
      <c r="AD40" s="529"/>
      <c r="AE40" s="529"/>
      <c r="AF40" s="529"/>
      <c r="AG40" s="529"/>
    </row>
    <row r="41" spans="2:34" ht="23.25" customHeight="1" x14ac:dyDescent="0.15">
      <c r="B41" s="48"/>
      <c r="C41" s="20"/>
      <c r="D41" s="71"/>
      <c r="E41" s="143"/>
      <c r="F41" s="280" t="s">
        <v>46</v>
      </c>
      <c r="G41" s="281"/>
      <c r="H41" s="40" t="s">
        <v>20</v>
      </c>
      <c r="I41" s="144"/>
      <c r="J41" s="57"/>
      <c r="K41" s="41" t="str">
        <f t="shared" si="4"/>
        <v>-</v>
      </c>
      <c r="L41" s="42">
        <f t="shared" si="2"/>
        <v>0</v>
      </c>
      <c r="M41" s="159" t="str">
        <f t="shared" si="3"/>
        <v>-</v>
      </c>
      <c r="N41" s="237"/>
      <c r="O41" s="238"/>
      <c r="P41" s="238"/>
      <c r="Q41" s="239"/>
      <c r="S41" s="529"/>
      <c r="T41" s="529"/>
      <c r="U41" s="529"/>
      <c r="V41" s="529"/>
      <c r="W41" s="529"/>
      <c r="X41" s="529"/>
      <c r="Y41" s="529"/>
      <c r="Z41" s="529"/>
      <c r="AA41" s="529"/>
      <c r="AB41" s="233"/>
      <c r="AC41" s="529">
        <v>1</v>
      </c>
      <c r="AD41" s="529"/>
      <c r="AE41" s="529"/>
      <c r="AF41" s="529"/>
      <c r="AG41" s="529"/>
    </row>
    <row r="42" spans="2:34" ht="23.25" customHeight="1" x14ac:dyDescent="0.15">
      <c r="B42" s="48"/>
      <c r="C42" s="20"/>
      <c r="D42" s="71"/>
      <c r="E42" s="143"/>
      <c r="F42" s="286" t="s">
        <v>47</v>
      </c>
      <c r="G42" s="287"/>
      <c r="H42" s="40" t="s">
        <v>20</v>
      </c>
      <c r="I42" s="144"/>
      <c r="J42" s="58"/>
      <c r="K42" s="41" t="str">
        <f t="shared" si="4"/>
        <v>-</v>
      </c>
      <c r="L42" s="42">
        <f t="shared" si="2"/>
        <v>0</v>
      </c>
      <c r="M42" s="159" t="str">
        <f t="shared" si="3"/>
        <v>-</v>
      </c>
      <c r="N42" s="237"/>
      <c r="O42" s="238"/>
      <c r="P42" s="238"/>
      <c r="Q42" s="239"/>
      <c r="S42" s="529"/>
      <c r="T42" s="529"/>
      <c r="U42" s="529"/>
      <c r="V42" s="529"/>
      <c r="W42" s="529"/>
      <c r="X42" s="529"/>
      <c r="Y42" s="529"/>
      <c r="Z42" s="529"/>
      <c r="AA42" s="529"/>
      <c r="AB42" s="233"/>
      <c r="AC42" s="530"/>
      <c r="AD42" s="530"/>
      <c r="AE42" s="530"/>
      <c r="AF42" s="529"/>
      <c r="AG42" s="529"/>
    </row>
    <row r="43" spans="2:34" ht="23.25" customHeight="1" x14ac:dyDescent="0.15">
      <c r="B43" s="48"/>
      <c r="C43" s="20"/>
      <c r="D43" s="71"/>
      <c r="E43" s="143"/>
      <c r="F43" s="110"/>
      <c r="G43" s="55" t="s">
        <v>48</v>
      </c>
      <c r="H43" s="40" t="s">
        <v>20</v>
      </c>
      <c r="I43" s="144"/>
      <c r="J43" s="57"/>
      <c r="K43" s="41" t="str">
        <f t="shared" si="4"/>
        <v>-</v>
      </c>
      <c r="L43" s="42">
        <f t="shared" si="2"/>
        <v>0</v>
      </c>
      <c r="M43" s="159" t="str">
        <f t="shared" si="3"/>
        <v>-</v>
      </c>
      <c r="N43" s="237"/>
      <c r="O43" s="238"/>
      <c r="P43" s="238"/>
      <c r="Q43" s="239"/>
      <c r="S43" s="529"/>
      <c r="T43" s="529"/>
      <c r="U43" s="529"/>
      <c r="V43" s="529"/>
      <c r="W43" s="529"/>
      <c r="X43" s="529"/>
      <c r="Y43" s="529"/>
      <c r="Z43" s="529"/>
      <c r="AA43" s="529"/>
      <c r="AB43" s="233"/>
      <c r="AC43" s="529">
        <v>1</v>
      </c>
      <c r="AD43" s="529"/>
      <c r="AE43" s="529"/>
      <c r="AF43" s="529"/>
      <c r="AG43" s="529"/>
    </row>
    <row r="44" spans="2:34" ht="23.25" customHeight="1" x14ac:dyDescent="0.15">
      <c r="B44" s="48"/>
      <c r="C44" s="20"/>
      <c r="D44" s="71"/>
      <c r="E44" s="145"/>
      <c r="G44" s="55" t="s">
        <v>49</v>
      </c>
      <c r="H44" s="104" t="s">
        <v>20</v>
      </c>
      <c r="I44" s="144"/>
      <c r="J44" s="57"/>
      <c r="K44" s="41" t="str">
        <f t="shared" si="4"/>
        <v>-</v>
      </c>
      <c r="L44" s="42">
        <f t="shared" si="2"/>
        <v>0</v>
      </c>
      <c r="M44" s="159" t="str">
        <f t="shared" si="3"/>
        <v>-</v>
      </c>
      <c r="N44" s="237"/>
      <c r="O44" s="238"/>
      <c r="P44" s="238"/>
      <c r="Q44" s="239"/>
      <c r="S44" s="529"/>
      <c r="T44" s="529"/>
      <c r="U44" s="529"/>
      <c r="V44" s="529"/>
      <c r="W44" s="529"/>
      <c r="X44" s="529"/>
      <c r="Y44" s="529"/>
      <c r="Z44" s="529"/>
      <c r="AA44" s="529"/>
      <c r="AB44" s="233"/>
      <c r="AC44" s="529">
        <v>1</v>
      </c>
      <c r="AD44" s="529"/>
      <c r="AE44" s="529"/>
      <c r="AF44" s="529"/>
      <c r="AG44" s="529"/>
    </row>
    <row r="45" spans="2:34" ht="23.25" customHeight="1" x14ac:dyDescent="0.15">
      <c r="B45" s="48"/>
      <c r="C45" s="20"/>
      <c r="D45" s="138"/>
      <c r="E45" s="278" t="s">
        <v>50</v>
      </c>
      <c r="F45" s="235"/>
      <c r="G45" s="236"/>
      <c r="H45" s="60" t="s">
        <v>20</v>
      </c>
      <c r="I45" s="144"/>
      <c r="J45" s="57"/>
      <c r="K45" s="41" t="str">
        <f t="shared" si="4"/>
        <v>-</v>
      </c>
      <c r="L45" s="42">
        <f t="shared" si="2"/>
        <v>0</v>
      </c>
      <c r="M45" s="159" t="str">
        <f t="shared" si="3"/>
        <v>-</v>
      </c>
      <c r="N45" s="237"/>
      <c r="O45" s="238"/>
      <c r="P45" s="238"/>
      <c r="Q45" s="239"/>
      <c r="S45" s="529">
        <v>1</v>
      </c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>
        <v>1</v>
      </c>
      <c r="AE45" s="529"/>
      <c r="AF45" s="529"/>
      <c r="AG45" s="233"/>
    </row>
    <row r="46" spans="2:34" ht="23.25" customHeight="1" x14ac:dyDescent="0.15">
      <c r="B46" s="48"/>
      <c r="C46" s="20"/>
      <c r="D46" s="71"/>
      <c r="E46" s="143"/>
      <c r="F46" s="280" t="s">
        <v>51</v>
      </c>
      <c r="G46" s="281"/>
      <c r="H46" s="40" t="s">
        <v>20</v>
      </c>
      <c r="I46" s="144"/>
      <c r="J46" s="57"/>
      <c r="K46" s="41" t="str">
        <f t="shared" si="4"/>
        <v>-</v>
      </c>
      <c r="L46" s="42">
        <f t="shared" si="2"/>
        <v>0</v>
      </c>
      <c r="M46" s="159" t="str">
        <f t="shared" si="3"/>
        <v>-</v>
      </c>
      <c r="N46" s="237"/>
      <c r="O46" s="238"/>
      <c r="P46" s="238"/>
      <c r="Q46" s="23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/>
      <c r="AD46" s="529">
        <v>1</v>
      </c>
      <c r="AE46" s="529"/>
      <c r="AF46" s="529"/>
      <c r="AG46" s="233"/>
    </row>
    <row r="47" spans="2:34" ht="23.25" customHeight="1" x14ac:dyDescent="0.15">
      <c r="B47" s="48"/>
      <c r="C47" s="20"/>
      <c r="D47" s="71"/>
      <c r="E47" s="143"/>
      <c r="F47" s="280" t="s">
        <v>52</v>
      </c>
      <c r="G47" s="281"/>
      <c r="H47" s="104" t="s">
        <v>20</v>
      </c>
      <c r="I47" s="144"/>
      <c r="J47" s="57"/>
      <c r="K47" s="41" t="str">
        <f t="shared" si="4"/>
        <v>-</v>
      </c>
      <c r="L47" s="42">
        <f t="shared" si="2"/>
        <v>0</v>
      </c>
      <c r="M47" s="159" t="str">
        <f t="shared" si="3"/>
        <v>-</v>
      </c>
      <c r="N47" s="237"/>
      <c r="O47" s="238"/>
      <c r="P47" s="238"/>
      <c r="Q47" s="239"/>
      <c r="S47" s="529"/>
      <c r="T47" s="529"/>
      <c r="U47" s="529"/>
      <c r="V47" s="529"/>
      <c r="W47" s="529"/>
      <c r="X47" s="529"/>
      <c r="Y47" s="529"/>
      <c r="Z47" s="529"/>
      <c r="AA47" s="529"/>
      <c r="AB47" s="529"/>
      <c r="AC47" s="529"/>
      <c r="AD47" s="529">
        <v>1</v>
      </c>
      <c r="AE47" s="529"/>
      <c r="AF47" s="529"/>
      <c r="AG47" s="233"/>
    </row>
    <row r="48" spans="2:34" ht="23.25" customHeight="1" x14ac:dyDescent="0.15">
      <c r="B48" s="48"/>
      <c r="C48" s="20"/>
      <c r="D48" s="138"/>
      <c r="E48" s="235" t="s">
        <v>53</v>
      </c>
      <c r="F48" s="235"/>
      <c r="G48" s="236"/>
      <c r="H48" s="60" t="s">
        <v>20</v>
      </c>
      <c r="I48" s="144"/>
      <c r="J48" s="57"/>
      <c r="K48" s="41" t="str">
        <f t="shared" si="4"/>
        <v>-</v>
      </c>
      <c r="L48" s="42">
        <f t="shared" si="2"/>
        <v>0</v>
      </c>
      <c r="M48" s="159" t="str">
        <f t="shared" si="3"/>
        <v>-</v>
      </c>
      <c r="N48" s="237"/>
      <c r="O48" s="238"/>
      <c r="P48" s="238"/>
      <c r="Q48" s="239"/>
      <c r="S48" s="529">
        <v>1</v>
      </c>
      <c r="T48" s="529"/>
      <c r="U48" s="529"/>
      <c r="V48" s="529"/>
      <c r="W48" s="529"/>
      <c r="X48" s="529"/>
      <c r="Y48" s="529"/>
      <c r="Z48" s="529"/>
      <c r="AA48" s="529"/>
      <c r="AB48" s="529"/>
      <c r="AC48" s="529"/>
      <c r="AD48" s="529"/>
      <c r="AE48" s="529">
        <v>1</v>
      </c>
      <c r="AF48" s="529"/>
      <c r="AG48" s="529"/>
    </row>
    <row r="49" spans="1:34" ht="23.25" customHeight="1" x14ac:dyDescent="0.15">
      <c r="B49" s="48"/>
      <c r="C49" s="20"/>
      <c r="D49" s="138"/>
      <c r="E49" s="284" t="s">
        <v>54</v>
      </c>
      <c r="F49" s="284"/>
      <c r="G49" s="285"/>
      <c r="H49" s="60" t="s">
        <v>20</v>
      </c>
      <c r="I49" s="144"/>
      <c r="J49" s="57"/>
      <c r="K49" s="41" t="str">
        <f t="shared" si="4"/>
        <v>-</v>
      </c>
      <c r="L49" s="42">
        <f t="shared" si="2"/>
        <v>0</v>
      </c>
      <c r="M49" s="159" t="str">
        <f t="shared" si="3"/>
        <v>-</v>
      </c>
      <c r="N49" s="237"/>
      <c r="O49" s="238"/>
      <c r="P49" s="238"/>
      <c r="Q49" s="239"/>
      <c r="S49" s="529">
        <v>1</v>
      </c>
      <c r="T49" s="529"/>
      <c r="U49" s="529"/>
      <c r="V49" s="529"/>
      <c r="W49" s="529"/>
      <c r="X49" s="529"/>
      <c r="Y49" s="529"/>
      <c r="Z49" s="529"/>
      <c r="AA49" s="529"/>
      <c r="AB49" s="529"/>
      <c r="AC49" s="529"/>
      <c r="AD49" s="529"/>
      <c r="AE49" s="233"/>
      <c r="AF49" s="529">
        <v>1</v>
      </c>
      <c r="AG49" s="529"/>
    </row>
    <row r="50" spans="1:34" ht="23.25" customHeight="1" x14ac:dyDescent="0.15">
      <c r="B50" s="21"/>
      <c r="C50" s="20"/>
      <c r="D50" s="138"/>
      <c r="E50" s="284" t="s">
        <v>144</v>
      </c>
      <c r="F50" s="284"/>
      <c r="G50" s="285"/>
      <c r="H50" s="40" t="s">
        <v>20</v>
      </c>
      <c r="I50" s="57"/>
      <c r="J50" s="58"/>
      <c r="K50" s="41" t="str">
        <f t="shared" si="4"/>
        <v>-</v>
      </c>
      <c r="L50" s="42">
        <f t="shared" si="2"/>
        <v>0</v>
      </c>
      <c r="M50" s="159" t="str">
        <f t="shared" si="3"/>
        <v>-</v>
      </c>
      <c r="N50" s="237"/>
      <c r="O50" s="238"/>
      <c r="P50" s="238"/>
      <c r="Q50" s="239"/>
      <c r="R50" s="3"/>
      <c r="S50" s="529">
        <v>1</v>
      </c>
      <c r="T50" s="529"/>
      <c r="U50" s="529"/>
      <c r="V50" s="529"/>
      <c r="W50" s="529"/>
      <c r="X50" s="529"/>
      <c r="Y50" s="529"/>
      <c r="Z50" s="529"/>
      <c r="AA50" s="233">
        <v>1</v>
      </c>
      <c r="AB50" s="233">
        <v>1</v>
      </c>
      <c r="AC50" s="233">
        <v>1</v>
      </c>
      <c r="AD50" s="233">
        <v>1</v>
      </c>
      <c r="AE50" s="233">
        <v>1</v>
      </c>
      <c r="AF50" s="233">
        <v>1</v>
      </c>
      <c r="AG50" s="233">
        <v>1</v>
      </c>
      <c r="AH50" s="229"/>
    </row>
    <row r="51" spans="1:34" ht="23.25" customHeight="1" x14ac:dyDescent="0.15">
      <c r="B51" s="48"/>
      <c r="C51" s="20"/>
      <c r="D51" s="273" t="s">
        <v>55</v>
      </c>
      <c r="E51" s="235"/>
      <c r="F51" s="235"/>
      <c r="G51" s="236"/>
      <c r="H51" s="60" t="s">
        <v>20</v>
      </c>
      <c r="I51" s="144"/>
      <c r="J51" s="57"/>
      <c r="K51" s="41" t="str">
        <f t="shared" si="4"/>
        <v>-</v>
      </c>
      <c r="L51" s="42">
        <f t="shared" si="2"/>
        <v>0</v>
      </c>
      <c r="M51" s="159" t="str">
        <f t="shared" si="3"/>
        <v>-</v>
      </c>
      <c r="N51" s="237"/>
      <c r="O51" s="238"/>
      <c r="P51" s="238"/>
      <c r="Q51" s="239"/>
      <c r="S51" s="233">
        <v>1</v>
      </c>
      <c r="T51" s="529">
        <v>1</v>
      </c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233"/>
      <c r="AG51" s="233">
        <v>1</v>
      </c>
    </row>
    <row r="52" spans="1:34" ht="23.25" customHeight="1" x14ac:dyDescent="0.15">
      <c r="B52" s="48"/>
      <c r="C52" s="20"/>
      <c r="D52" s="296" t="s">
        <v>56</v>
      </c>
      <c r="E52" s="297"/>
      <c r="F52" s="297"/>
      <c r="G52" s="298"/>
      <c r="H52" s="104" t="s">
        <v>20</v>
      </c>
      <c r="I52" s="182"/>
      <c r="J52" s="120"/>
      <c r="K52" s="97" t="str">
        <f t="shared" si="4"/>
        <v>-</v>
      </c>
      <c r="L52" s="98">
        <f t="shared" si="2"/>
        <v>0</v>
      </c>
      <c r="M52" s="159" t="str">
        <f t="shared" si="3"/>
        <v>-</v>
      </c>
      <c r="N52" s="237"/>
      <c r="O52" s="238"/>
      <c r="P52" s="238"/>
      <c r="Q52" s="239"/>
      <c r="S52" s="233">
        <v>1</v>
      </c>
      <c r="T52" s="233">
        <v>1</v>
      </c>
      <c r="U52" s="233">
        <v>1</v>
      </c>
      <c r="V52" s="233">
        <v>1</v>
      </c>
      <c r="W52" s="233">
        <v>1</v>
      </c>
      <c r="X52" s="233">
        <v>1</v>
      </c>
      <c r="Y52" s="233">
        <v>1</v>
      </c>
      <c r="Z52" s="233">
        <v>1</v>
      </c>
      <c r="AA52" s="233">
        <v>1</v>
      </c>
      <c r="AB52" s="233">
        <v>1</v>
      </c>
      <c r="AC52" s="233">
        <v>1</v>
      </c>
      <c r="AD52" s="233">
        <v>1</v>
      </c>
      <c r="AE52" s="233">
        <v>1</v>
      </c>
      <c r="AF52" s="233">
        <v>1</v>
      </c>
      <c r="AG52" s="233">
        <v>1</v>
      </c>
    </row>
    <row r="53" spans="1:34" ht="23.25" customHeight="1" x14ac:dyDescent="0.15">
      <c r="B53" s="48"/>
      <c r="C53" s="20"/>
      <c r="D53" s="146"/>
      <c r="E53" s="299"/>
      <c r="F53" s="284"/>
      <c r="G53" s="285"/>
      <c r="H53" s="60" t="s">
        <v>20</v>
      </c>
      <c r="I53" s="144"/>
      <c r="J53" s="57"/>
      <c r="K53" s="41" t="str">
        <f t="shared" si="4"/>
        <v>-</v>
      </c>
      <c r="L53" s="42">
        <f t="shared" si="2"/>
        <v>0</v>
      </c>
      <c r="M53" s="159" t="str">
        <f t="shared" si="3"/>
        <v>-</v>
      </c>
      <c r="N53" s="237"/>
      <c r="O53" s="238"/>
      <c r="P53" s="238"/>
      <c r="Q53" s="239"/>
      <c r="S53" s="233">
        <v>1</v>
      </c>
      <c r="T53" s="233">
        <v>1</v>
      </c>
      <c r="U53" s="233">
        <v>1</v>
      </c>
      <c r="V53" s="233">
        <v>1</v>
      </c>
      <c r="W53" s="233">
        <v>1</v>
      </c>
      <c r="X53" s="233">
        <v>1</v>
      </c>
      <c r="Y53" s="233">
        <v>1</v>
      </c>
      <c r="Z53" s="233">
        <v>1</v>
      </c>
      <c r="AA53" s="233">
        <v>1</v>
      </c>
      <c r="AB53" s="233">
        <v>1</v>
      </c>
      <c r="AC53" s="233">
        <v>1</v>
      </c>
      <c r="AD53" s="233">
        <v>1</v>
      </c>
      <c r="AE53" s="233">
        <v>1</v>
      </c>
      <c r="AF53" s="233">
        <v>1</v>
      </c>
      <c r="AG53" s="233">
        <v>1</v>
      </c>
    </row>
    <row r="54" spans="1:34" ht="23.25" customHeight="1" x14ac:dyDescent="0.15">
      <c r="B54" s="48"/>
      <c r="C54" s="20"/>
      <c r="D54" s="146"/>
      <c r="E54" s="299"/>
      <c r="F54" s="284"/>
      <c r="G54" s="285"/>
      <c r="H54" s="60" t="s">
        <v>20</v>
      </c>
      <c r="I54" s="144"/>
      <c r="J54" s="57"/>
      <c r="K54" s="41" t="str">
        <f t="shared" si="4"/>
        <v>-</v>
      </c>
      <c r="L54" s="42">
        <f t="shared" si="2"/>
        <v>0</v>
      </c>
      <c r="M54" s="159" t="str">
        <f t="shared" si="3"/>
        <v>-</v>
      </c>
      <c r="N54" s="237"/>
      <c r="O54" s="238"/>
      <c r="P54" s="238"/>
      <c r="Q54" s="239"/>
      <c r="S54" s="233">
        <v>1</v>
      </c>
      <c r="T54" s="233">
        <v>1</v>
      </c>
      <c r="U54" s="233">
        <v>1</v>
      </c>
      <c r="V54" s="233">
        <v>1</v>
      </c>
      <c r="W54" s="233">
        <v>1</v>
      </c>
      <c r="X54" s="233">
        <v>1</v>
      </c>
      <c r="Y54" s="233">
        <v>1</v>
      </c>
      <c r="Z54" s="233">
        <v>1</v>
      </c>
      <c r="AA54" s="233">
        <v>1</v>
      </c>
      <c r="AB54" s="233">
        <v>1</v>
      </c>
      <c r="AC54" s="233">
        <v>1</v>
      </c>
      <c r="AD54" s="233">
        <v>1</v>
      </c>
      <c r="AE54" s="233">
        <v>1</v>
      </c>
      <c r="AF54" s="233">
        <v>1</v>
      </c>
      <c r="AG54" s="233">
        <v>1</v>
      </c>
    </row>
    <row r="55" spans="1:34" ht="23.25" customHeight="1" x14ac:dyDescent="0.15">
      <c r="B55" s="21"/>
      <c r="C55" s="20"/>
      <c r="D55" s="146"/>
      <c r="E55" s="291"/>
      <c r="F55" s="289"/>
      <c r="G55" s="290"/>
      <c r="H55" s="40" t="s">
        <v>20</v>
      </c>
      <c r="I55" s="73"/>
      <c r="J55" s="74"/>
      <c r="K55" s="41" t="str">
        <f t="shared" si="4"/>
        <v>-</v>
      </c>
      <c r="L55" s="42">
        <f t="shared" si="2"/>
        <v>0</v>
      </c>
      <c r="M55" s="159" t="str">
        <f t="shared" si="3"/>
        <v>-</v>
      </c>
      <c r="N55" s="293"/>
      <c r="O55" s="294"/>
      <c r="P55" s="294"/>
      <c r="Q55" s="295"/>
      <c r="R55" s="3"/>
      <c r="S55" s="529">
        <v>1</v>
      </c>
      <c r="T55" s="529"/>
      <c r="U55" s="529"/>
      <c r="V55" s="529"/>
      <c r="W55" s="529"/>
      <c r="X55" s="529"/>
      <c r="Y55" s="529"/>
      <c r="Z55" s="529"/>
      <c r="AA55" s="529"/>
      <c r="AB55" s="529"/>
      <c r="AC55" s="529"/>
      <c r="AD55" s="529"/>
      <c r="AE55" s="529"/>
      <c r="AF55" s="529"/>
      <c r="AG55" s="529"/>
      <c r="AH55" s="229"/>
    </row>
    <row r="56" spans="1:34" ht="23.25" customHeight="1" x14ac:dyDescent="0.15">
      <c r="B56" s="21"/>
      <c r="C56" s="20"/>
      <c r="D56" s="146"/>
      <c r="E56" s="291"/>
      <c r="F56" s="289"/>
      <c r="G56" s="290"/>
      <c r="H56" s="40" t="s">
        <v>20</v>
      </c>
      <c r="I56" s="73"/>
      <c r="J56" s="74"/>
      <c r="K56" s="41" t="str">
        <f t="shared" si="4"/>
        <v>-</v>
      </c>
      <c r="L56" s="42">
        <f t="shared" si="2"/>
        <v>0</v>
      </c>
      <c r="M56" s="159" t="str">
        <f t="shared" si="3"/>
        <v>-</v>
      </c>
      <c r="N56" s="293"/>
      <c r="O56" s="294"/>
      <c r="P56" s="294"/>
      <c r="Q56" s="295"/>
      <c r="R56" s="3"/>
      <c r="S56" s="529">
        <v>1</v>
      </c>
      <c r="T56" s="529"/>
      <c r="U56" s="529"/>
      <c r="V56" s="529"/>
      <c r="W56" s="529"/>
      <c r="X56" s="529"/>
      <c r="Y56" s="529"/>
      <c r="Z56" s="529"/>
      <c r="AA56" s="529"/>
      <c r="AB56" s="529"/>
      <c r="AC56" s="529"/>
      <c r="AD56" s="529"/>
      <c r="AE56" s="529"/>
      <c r="AF56" s="529"/>
      <c r="AG56" s="529"/>
      <c r="AH56" s="229"/>
    </row>
    <row r="57" spans="1:34" ht="23.25" customHeight="1" x14ac:dyDescent="0.15">
      <c r="B57" s="21"/>
      <c r="C57" s="20"/>
      <c r="D57" s="146"/>
      <c r="E57" s="291"/>
      <c r="F57" s="289"/>
      <c r="G57" s="290"/>
      <c r="H57" s="40" t="s">
        <v>20</v>
      </c>
      <c r="I57" s="73"/>
      <c r="J57" s="74"/>
      <c r="K57" s="41" t="str">
        <f t="shared" si="4"/>
        <v>-</v>
      </c>
      <c r="L57" s="42">
        <f t="shared" si="2"/>
        <v>0</v>
      </c>
      <c r="M57" s="159" t="str">
        <f t="shared" si="3"/>
        <v>-</v>
      </c>
      <c r="N57" s="293"/>
      <c r="O57" s="294"/>
      <c r="P57" s="294"/>
      <c r="Q57" s="295"/>
      <c r="R57" s="3"/>
      <c r="S57" s="529">
        <v>1</v>
      </c>
      <c r="T57" s="529"/>
      <c r="U57" s="529"/>
      <c r="V57" s="529"/>
      <c r="W57" s="529"/>
      <c r="X57" s="529"/>
      <c r="Y57" s="529"/>
      <c r="Z57" s="529"/>
      <c r="AA57" s="529"/>
      <c r="AB57" s="529"/>
      <c r="AC57" s="529"/>
      <c r="AD57" s="529"/>
      <c r="AE57" s="529"/>
      <c r="AF57" s="529"/>
      <c r="AG57" s="529"/>
      <c r="AH57" s="229"/>
    </row>
    <row r="58" spans="1:34" ht="23.25" customHeight="1" x14ac:dyDescent="0.15">
      <c r="B58" s="48"/>
      <c r="C58" s="20"/>
      <c r="D58" s="146"/>
      <c r="E58" s="291"/>
      <c r="F58" s="289"/>
      <c r="G58" s="290"/>
      <c r="H58" s="60" t="s">
        <v>20</v>
      </c>
      <c r="I58" s="144"/>
      <c r="J58" s="57"/>
      <c r="K58" s="41" t="str">
        <f t="shared" si="4"/>
        <v>-</v>
      </c>
      <c r="L58" s="42">
        <f t="shared" si="2"/>
        <v>0</v>
      </c>
      <c r="M58" s="159" t="str">
        <f t="shared" si="3"/>
        <v>-</v>
      </c>
      <c r="N58" s="237"/>
      <c r="O58" s="238"/>
      <c r="P58" s="238"/>
      <c r="Q58" s="239"/>
      <c r="S58" s="233">
        <v>1</v>
      </c>
      <c r="T58" s="233">
        <v>1</v>
      </c>
      <c r="U58" s="529">
        <v>1</v>
      </c>
      <c r="V58" s="529"/>
      <c r="W58" s="529"/>
      <c r="X58" s="529"/>
      <c r="Y58" s="529"/>
      <c r="Z58" s="529"/>
      <c r="AA58" s="529"/>
      <c r="AB58" s="529"/>
      <c r="AC58" s="529"/>
      <c r="AD58" s="529"/>
      <c r="AE58" s="529"/>
      <c r="AF58" s="529"/>
      <c r="AG58" s="233"/>
    </row>
    <row r="59" spans="1:34" ht="23.25" customHeight="1" x14ac:dyDescent="0.15">
      <c r="B59" s="48"/>
      <c r="C59" s="20"/>
      <c r="D59" s="146"/>
      <c r="E59" s="291"/>
      <c r="F59" s="289"/>
      <c r="G59" s="290"/>
      <c r="H59" s="60" t="s">
        <v>20</v>
      </c>
      <c r="I59" s="144"/>
      <c r="J59" s="57"/>
      <c r="K59" s="41" t="str">
        <f t="shared" si="4"/>
        <v>-</v>
      </c>
      <c r="L59" s="42">
        <f t="shared" si="2"/>
        <v>0</v>
      </c>
      <c r="M59" s="159" t="str">
        <f t="shared" si="3"/>
        <v>-</v>
      </c>
      <c r="N59" s="237"/>
      <c r="O59" s="238"/>
      <c r="P59" s="238"/>
      <c r="Q59" s="239"/>
      <c r="S59" s="233">
        <v>1</v>
      </c>
      <c r="T59" s="233">
        <v>1</v>
      </c>
      <c r="U59" s="529">
        <v>1</v>
      </c>
      <c r="V59" s="529"/>
      <c r="W59" s="529"/>
      <c r="X59" s="529"/>
      <c r="Y59" s="529"/>
      <c r="Z59" s="529"/>
      <c r="AA59" s="529"/>
      <c r="AB59" s="529"/>
      <c r="AC59" s="529"/>
      <c r="AD59" s="529"/>
      <c r="AE59" s="529"/>
      <c r="AF59" s="529"/>
      <c r="AG59" s="233"/>
    </row>
    <row r="60" spans="1:34" ht="23.25" customHeight="1" x14ac:dyDescent="0.15">
      <c r="B60" s="48"/>
      <c r="C60" s="20"/>
      <c r="D60" s="146"/>
      <c r="E60" s="292"/>
      <c r="F60" s="284"/>
      <c r="G60" s="285"/>
      <c r="H60" s="104" t="s">
        <v>20</v>
      </c>
      <c r="I60" s="182"/>
      <c r="J60" s="120"/>
      <c r="K60" s="97" t="str">
        <f t="shared" si="4"/>
        <v>-</v>
      </c>
      <c r="L60" s="98">
        <f t="shared" si="2"/>
        <v>0</v>
      </c>
      <c r="M60" s="160" t="str">
        <f t="shared" si="3"/>
        <v>-</v>
      </c>
      <c r="N60" s="237"/>
      <c r="O60" s="238"/>
      <c r="P60" s="238"/>
      <c r="Q60" s="239"/>
      <c r="S60" s="233">
        <v>1</v>
      </c>
      <c r="T60" s="233">
        <v>1</v>
      </c>
      <c r="U60" s="529">
        <v>1</v>
      </c>
      <c r="V60" s="529"/>
      <c r="W60" s="529"/>
      <c r="X60" s="529"/>
      <c r="Y60" s="529"/>
      <c r="Z60" s="529"/>
      <c r="AA60" s="529"/>
      <c r="AB60" s="529"/>
      <c r="AC60" s="529"/>
      <c r="AD60" s="529"/>
      <c r="AE60" s="529"/>
      <c r="AF60" s="529"/>
      <c r="AG60" s="233"/>
    </row>
    <row r="61" spans="1:34" ht="23.25" customHeight="1" x14ac:dyDescent="0.15">
      <c r="B61" s="48"/>
      <c r="C61" s="20"/>
      <c r="D61" s="146"/>
      <c r="E61" s="288"/>
      <c r="F61" s="289"/>
      <c r="G61" s="290"/>
      <c r="H61" s="60" t="s">
        <v>20</v>
      </c>
      <c r="I61" s="144"/>
      <c r="J61" s="57"/>
      <c r="K61" s="41" t="str">
        <f t="shared" si="4"/>
        <v>-</v>
      </c>
      <c r="L61" s="42">
        <f t="shared" si="2"/>
        <v>0</v>
      </c>
      <c r="M61" s="159" t="str">
        <f t="shared" si="3"/>
        <v>-</v>
      </c>
      <c r="N61" s="237"/>
      <c r="O61" s="238"/>
      <c r="P61" s="238"/>
      <c r="Q61" s="239"/>
      <c r="S61" s="529">
        <v>1</v>
      </c>
      <c r="T61" s="529"/>
      <c r="U61" s="529">
        <v>1</v>
      </c>
      <c r="V61" s="529"/>
      <c r="W61" s="529"/>
      <c r="X61" s="529"/>
      <c r="Y61" s="529"/>
      <c r="Z61" s="529"/>
      <c r="AA61" s="529"/>
      <c r="AB61" s="529"/>
      <c r="AC61" s="529"/>
      <c r="AD61" s="529"/>
      <c r="AE61" s="529"/>
      <c r="AF61" s="529"/>
      <c r="AG61" s="233"/>
    </row>
    <row r="62" spans="1:34" ht="23.25" customHeight="1" x14ac:dyDescent="0.15">
      <c r="B62" s="48"/>
      <c r="C62" s="20"/>
      <c r="D62" s="146"/>
      <c r="E62" s="288"/>
      <c r="F62" s="289"/>
      <c r="G62" s="290"/>
      <c r="H62" s="104" t="s">
        <v>20</v>
      </c>
      <c r="I62" s="144"/>
      <c r="J62" s="183"/>
      <c r="K62" s="97" t="str">
        <f t="shared" si="4"/>
        <v>-</v>
      </c>
      <c r="L62" s="98">
        <f t="shared" si="2"/>
        <v>0</v>
      </c>
      <c r="M62" s="159" t="str">
        <f t="shared" si="3"/>
        <v>-</v>
      </c>
      <c r="N62" s="237"/>
      <c r="O62" s="238"/>
      <c r="P62" s="238"/>
      <c r="Q62" s="239"/>
      <c r="S62" s="233">
        <v>1</v>
      </c>
      <c r="T62" s="233">
        <v>1</v>
      </c>
      <c r="U62" s="529">
        <v>1</v>
      </c>
      <c r="V62" s="529"/>
      <c r="W62" s="529"/>
      <c r="X62" s="529"/>
      <c r="Y62" s="529"/>
      <c r="Z62" s="529"/>
      <c r="AA62" s="529"/>
      <c r="AB62" s="529"/>
      <c r="AC62" s="529"/>
      <c r="AD62" s="529"/>
      <c r="AE62" s="529"/>
      <c r="AF62" s="529"/>
      <c r="AG62" s="233"/>
    </row>
    <row r="63" spans="1:34" s="229" customFormat="1" ht="23.25" customHeight="1" x14ac:dyDescent="0.15">
      <c r="A63" s="16"/>
      <c r="B63" s="48"/>
      <c r="C63" s="20"/>
      <c r="D63" s="146"/>
      <c r="E63" s="288"/>
      <c r="F63" s="289"/>
      <c r="G63" s="290"/>
      <c r="H63" s="60" t="s">
        <v>20</v>
      </c>
      <c r="I63" s="144"/>
      <c r="J63" s="183"/>
      <c r="K63" s="41" t="str">
        <f t="shared" si="4"/>
        <v>-</v>
      </c>
      <c r="L63" s="42">
        <f t="shared" si="2"/>
        <v>0</v>
      </c>
      <c r="M63" s="159" t="str">
        <f t="shared" si="3"/>
        <v>-</v>
      </c>
      <c r="N63" s="237"/>
      <c r="O63" s="238"/>
      <c r="P63" s="238"/>
      <c r="Q63" s="239"/>
      <c r="R63" s="46"/>
      <c r="S63" s="529"/>
      <c r="T63" s="529"/>
      <c r="U63" s="529"/>
      <c r="V63" s="233"/>
      <c r="W63" s="530"/>
      <c r="X63" s="530"/>
      <c r="Y63" s="530"/>
      <c r="Z63" s="530"/>
      <c r="AA63" s="530"/>
      <c r="AB63" s="530"/>
      <c r="AC63" s="529"/>
      <c r="AD63" s="529"/>
      <c r="AE63" s="529"/>
      <c r="AF63" s="529"/>
      <c r="AG63" s="529"/>
      <c r="AH63" s="230"/>
    </row>
    <row r="64" spans="1:34" s="229" customFormat="1" ht="23.25" customHeight="1" x14ac:dyDescent="0.15">
      <c r="A64" s="16"/>
      <c r="B64" s="48"/>
      <c r="C64" s="20"/>
      <c r="D64" s="146"/>
      <c r="E64" s="288"/>
      <c r="F64" s="289"/>
      <c r="G64" s="290"/>
      <c r="H64" s="60" t="s">
        <v>20</v>
      </c>
      <c r="I64" s="144"/>
      <c r="J64" s="183"/>
      <c r="K64" s="41" t="str">
        <f t="shared" si="4"/>
        <v>-</v>
      </c>
      <c r="L64" s="42">
        <f t="shared" si="2"/>
        <v>0</v>
      </c>
      <c r="M64" s="159" t="str">
        <f t="shared" si="3"/>
        <v>-</v>
      </c>
      <c r="N64" s="237"/>
      <c r="O64" s="238"/>
      <c r="P64" s="238"/>
      <c r="Q64" s="239"/>
      <c r="R64" s="46"/>
      <c r="S64" s="529">
        <v>1</v>
      </c>
      <c r="T64" s="529"/>
      <c r="U64" s="529"/>
      <c r="V64" s="234"/>
      <c r="W64" s="529">
        <v>1</v>
      </c>
      <c r="X64" s="529"/>
      <c r="Y64" s="529"/>
      <c r="Z64" s="529">
        <v>1</v>
      </c>
      <c r="AA64" s="529"/>
      <c r="AB64" s="529"/>
      <c r="AC64" s="529"/>
      <c r="AD64" s="529"/>
      <c r="AE64" s="529"/>
      <c r="AF64" s="529"/>
      <c r="AG64" s="529"/>
      <c r="AH64" s="230"/>
    </row>
    <row r="65" spans="1:34" s="229" customFormat="1" ht="23.25" customHeight="1" x14ac:dyDescent="0.15">
      <c r="A65" s="16"/>
      <c r="B65" s="48"/>
      <c r="C65" s="20"/>
      <c r="D65" s="146"/>
      <c r="E65" s="288"/>
      <c r="F65" s="289"/>
      <c r="G65" s="290"/>
      <c r="H65" s="104" t="s">
        <v>20</v>
      </c>
      <c r="I65" s="144"/>
      <c r="J65" s="183"/>
      <c r="K65" s="97" t="str">
        <f t="shared" si="4"/>
        <v>-</v>
      </c>
      <c r="L65" s="98">
        <f t="shared" si="2"/>
        <v>0</v>
      </c>
      <c r="M65" s="159" t="str">
        <f t="shared" si="3"/>
        <v>-</v>
      </c>
      <c r="N65" s="237"/>
      <c r="O65" s="238"/>
      <c r="P65" s="238"/>
      <c r="Q65" s="239"/>
      <c r="R65" s="46"/>
      <c r="S65" s="529"/>
      <c r="T65" s="529"/>
      <c r="U65" s="233">
        <v>1</v>
      </c>
      <c r="V65" s="234"/>
      <c r="W65" s="530"/>
      <c r="X65" s="530"/>
      <c r="Y65" s="530"/>
      <c r="Z65" s="529"/>
      <c r="AA65" s="529"/>
      <c r="AB65" s="529"/>
      <c r="AC65" s="529"/>
      <c r="AD65" s="529"/>
      <c r="AE65" s="529"/>
      <c r="AF65" s="529"/>
      <c r="AG65" s="529"/>
      <c r="AH65" s="230"/>
    </row>
    <row r="66" spans="1:34" s="229" customFormat="1" ht="23.25" customHeight="1" x14ac:dyDescent="0.15">
      <c r="A66" s="16"/>
      <c r="B66" s="48"/>
      <c r="C66" s="20"/>
      <c r="D66" s="146"/>
      <c r="E66" s="288"/>
      <c r="F66" s="289"/>
      <c r="G66" s="290"/>
      <c r="H66" s="60" t="s">
        <v>20</v>
      </c>
      <c r="I66" s="144"/>
      <c r="J66" s="183"/>
      <c r="K66" s="41" t="str">
        <f t="shared" si="4"/>
        <v>-</v>
      </c>
      <c r="L66" s="42">
        <f t="shared" si="2"/>
        <v>0</v>
      </c>
      <c r="M66" s="159" t="str">
        <f t="shared" si="3"/>
        <v>-</v>
      </c>
      <c r="N66" s="237"/>
      <c r="O66" s="238"/>
      <c r="P66" s="238"/>
      <c r="Q66" s="239"/>
      <c r="R66" s="46"/>
      <c r="S66" s="529">
        <v>1</v>
      </c>
      <c r="T66" s="529"/>
      <c r="U66" s="529"/>
      <c r="V66" s="233">
        <v>1</v>
      </c>
      <c r="W66" s="233">
        <v>1</v>
      </c>
      <c r="X66" s="530"/>
      <c r="Y66" s="530"/>
      <c r="Z66" s="530"/>
      <c r="AA66" s="529"/>
      <c r="AB66" s="529"/>
      <c r="AC66" s="529"/>
      <c r="AD66" s="529"/>
      <c r="AE66" s="529"/>
      <c r="AF66" s="529"/>
      <c r="AG66" s="233"/>
      <c r="AH66" s="230"/>
    </row>
    <row r="67" spans="1:34" s="229" customFormat="1" ht="23.25" customHeight="1" x14ac:dyDescent="0.15">
      <c r="A67" s="16"/>
      <c r="B67" s="48"/>
      <c r="C67" s="20"/>
      <c r="D67" s="146"/>
      <c r="E67" s="288"/>
      <c r="F67" s="289"/>
      <c r="G67" s="290"/>
      <c r="H67" s="60" t="s">
        <v>20</v>
      </c>
      <c r="I67" s="144"/>
      <c r="J67" s="183"/>
      <c r="K67" s="41" t="str">
        <f t="shared" si="4"/>
        <v>-</v>
      </c>
      <c r="L67" s="42">
        <f t="shared" si="2"/>
        <v>0</v>
      </c>
      <c r="M67" s="159" t="str">
        <f t="shared" si="3"/>
        <v>-</v>
      </c>
      <c r="N67" s="237"/>
      <c r="O67" s="238"/>
      <c r="P67" s="238"/>
      <c r="Q67" s="239"/>
      <c r="R67" s="46"/>
      <c r="S67" s="529"/>
      <c r="T67" s="529"/>
      <c r="U67" s="529"/>
      <c r="V67" s="233">
        <v>1</v>
      </c>
      <c r="W67" s="233">
        <v>1</v>
      </c>
      <c r="X67" s="530"/>
      <c r="Y67" s="530"/>
      <c r="Z67" s="530"/>
      <c r="AA67" s="529"/>
      <c r="AB67" s="529"/>
      <c r="AC67" s="529"/>
      <c r="AD67" s="529"/>
      <c r="AE67" s="529"/>
      <c r="AF67" s="529"/>
      <c r="AG67" s="233"/>
      <c r="AH67" s="230"/>
    </row>
    <row r="68" spans="1:34" s="229" customFormat="1" ht="23.25" customHeight="1" x14ac:dyDescent="0.15">
      <c r="A68" s="16"/>
      <c r="B68" s="48"/>
      <c r="C68" s="20"/>
      <c r="D68" s="146"/>
      <c r="E68" s="288"/>
      <c r="F68" s="289"/>
      <c r="G68" s="290"/>
      <c r="H68" s="104" t="s">
        <v>20</v>
      </c>
      <c r="I68" s="144"/>
      <c r="J68" s="183"/>
      <c r="K68" s="97" t="str">
        <f t="shared" si="4"/>
        <v>-</v>
      </c>
      <c r="L68" s="98">
        <f t="shared" si="2"/>
        <v>0</v>
      </c>
      <c r="M68" s="159" t="str">
        <f t="shared" si="3"/>
        <v>-</v>
      </c>
      <c r="N68" s="237"/>
      <c r="O68" s="238"/>
      <c r="P68" s="238"/>
      <c r="Q68" s="239"/>
      <c r="R68" s="46"/>
      <c r="S68" s="529"/>
      <c r="T68" s="529"/>
      <c r="U68" s="529"/>
      <c r="V68" s="529"/>
      <c r="W68" s="529"/>
      <c r="X68" s="529">
        <v>1</v>
      </c>
      <c r="Y68" s="529"/>
      <c r="Z68" s="529"/>
      <c r="AA68" s="529"/>
      <c r="AB68" s="529"/>
      <c r="AC68" s="529"/>
      <c r="AD68" s="529"/>
      <c r="AE68" s="529"/>
      <c r="AF68" s="529"/>
      <c r="AG68" s="233"/>
      <c r="AH68" s="230"/>
    </row>
    <row r="69" spans="1:34" s="229" customFormat="1" ht="23.25" customHeight="1" x14ac:dyDescent="0.15">
      <c r="A69" s="16"/>
      <c r="B69" s="48"/>
      <c r="C69" s="20"/>
      <c r="D69" s="146"/>
      <c r="E69" s="291"/>
      <c r="F69" s="289"/>
      <c r="G69" s="290"/>
      <c r="H69" s="60" t="s">
        <v>20</v>
      </c>
      <c r="I69" s="144"/>
      <c r="J69" s="183"/>
      <c r="K69" s="41" t="str">
        <f t="shared" si="4"/>
        <v>-</v>
      </c>
      <c r="L69" s="42">
        <f t="shared" si="2"/>
        <v>0</v>
      </c>
      <c r="M69" s="159" t="str">
        <f t="shared" si="3"/>
        <v>-</v>
      </c>
      <c r="N69" s="237"/>
      <c r="O69" s="238"/>
      <c r="P69" s="238"/>
      <c r="Q69" s="239"/>
      <c r="R69" s="46"/>
      <c r="S69" s="530"/>
      <c r="T69" s="530"/>
      <c r="U69" s="530"/>
      <c r="V69" s="529"/>
      <c r="W69" s="529"/>
      <c r="X69" s="529">
        <v>1</v>
      </c>
      <c r="Y69" s="529"/>
      <c r="Z69" s="529"/>
      <c r="AA69" s="234"/>
      <c r="AB69" s="234"/>
      <c r="AC69" s="234"/>
      <c r="AD69" s="234"/>
      <c r="AE69" s="234"/>
      <c r="AF69" s="530"/>
      <c r="AG69" s="530"/>
      <c r="AH69" s="230"/>
    </row>
    <row r="70" spans="1:34" s="229" customFormat="1" ht="23.25" customHeight="1" x14ac:dyDescent="0.15">
      <c r="A70" s="16"/>
      <c r="B70" s="48"/>
      <c r="C70" s="20"/>
      <c r="D70" s="146"/>
      <c r="E70" s="288"/>
      <c r="F70" s="289"/>
      <c r="G70" s="290"/>
      <c r="H70" s="104" t="s">
        <v>20</v>
      </c>
      <c r="I70" s="144"/>
      <c r="J70" s="183"/>
      <c r="K70" s="97" t="str">
        <f t="shared" si="4"/>
        <v>-</v>
      </c>
      <c r="L70" s="98">
        <f t="shared" si="2"/>
        <v>0</v>
      </c>
      <c r="M70" s="159" t="str">
        <f t="shared" si="3"/>
        <v>-</v>
      </c>
      <c r="N70" s="237"/>
      <c r="O70" s="238"/>
      <c r="P70" s="238"/>
      <c r="Q70" s="239"/>
      <c r="R70" s="46"/>
      <c r="S70" s="529"/>
      <c r="T70" s="529"/>
      <c r="U70" s="529"/>
      <c r="V70" s="529"/>
      <c r="W70" s="529"/>
      <c r="X70" s="529">
        <v>1</v>
      </c>
      <c r="Y70" s="529"/>
      <c r="Z70" s="529"/>
      <c r="AA70" s="530"/>
      <c r="AB70" s="530"/>
      <c r="AC70" s="530"/>
      <c r="AD70" s="529"/>
      <c r="AE70" s="529"/>
      <c r="AF70" s="529"/>
      <c r="AG70" s="233"/>
      <c r="AH70" s="230"/>
    </row>
    <row r="71" spans="1:34" s="229" customFormat="1" ht="23.25" customHeight="1" x14ac:dyDescent="0.15">
      <c r="A71" s="16"/>
      <c r="B71" s="48"/>
      <c r="C71" s="20"/>
      <c r="D71" s="146"/>
      <c r="E71" s="291"/>
      <c r="F71" s="289"/>
      <c r="G71" s="290"/>
      <c r="H71" s="60" t="s">
        <v>20</v>
      </c>
      <c r="I71" s="144"/>
      <c r="J71" s="183"/>
      <c r="K71" s="41" t="str">
        <f t="shared" si="4"/>
        <v>-</v>
      </c>
      <c r="L71" s="42">
        <f t="shared" ref="L71:L137" si="5">IFERROR(J71-I71,"-")</f>
        <v>0</v>
      </c>
      <c r="M71" s="159" t="str">
        <f t="shared" ref="M71:M89" si="6">IFERROR(ROUND((J71-I71)/($J$10-$I$10)*100,1),"-")</f>
        <v>-</v>
      </c>
      <c r="N71" s="237"/>
      <c r="O71" s="238"/>
      <c r="P71" s="238"/>
      <c r="Q71" s="239"/>
      <c r="R71" s="46"/>
      <c r="S71" s="529">
        <v>1</v>
      </c>
      <c r="T71" s="529"/>
      <c r="U71" s="529"/>
      <c r="V71" s="529"/>
      <c r="W71" s="529"/>
      <c r="X71" s="529"/>
      <c r="Y71" s="529"/>
      <c r="Z71" s="529"/>
      <c r="AA71" s="233">
        <v>1</v>
      </c>
      <c r="AB71" s="233">
        <v>1</v>
      </c>
      <c r="AC71" s="233">
        <v>1</v>
      </c>
      <c r="AD71" s="233">
        <v>1</v>
      </c>
      <c r="AE71" s="233">
        <v>1</v>
      </c>
      <c r="AF71" s="529">
        <v>1</v>
      </c>
      <c r="AG71" s="529"/>
      <c r="AH71" s="230"/>
    </row>
    <row r="72" spans="1:34" s="229" customFormat="1" ht="23.25" customHeight="1" x14ac:dyDescent="0.15">
      <c r="A72" s="16"/>
      <c r="B72" s="48"/>
      <c r="C72" s="20"/>
      <c r="D72" s="146"/>
      <c r="E72" s="288"/>
      <c r="F72" s="289"/>
      <c r="G72" s="290"/>
      <c r="H72" s="60" t="s">
        <v>20</v>
      </c>
      <c r="I72" s="144"/>
      <c r="J72" s="183"/>
      <c r="K72" s="41" t="str">
        <f t="shared" si="4"/>
        <v>-</v>
      </c>
      <c r="L72" s="42">
        <f t="shared" si="5"/>
        <v>0</v>
      </c>
      <c r="M72" s="159" t="str">
        <f t="shared" si="6"/>
        <v>-</v>
      </c>
      <c r="N72" s="237"/>
      <c r="O72" s="238"/>
      <c r="P72" s="238"/>
      <c r="Q72" s="239"/>
      <c r="R72" s="46"/>
      <c r="S72" s="529">
        <v>1</v>
      </c>
      <c r="T72" s="529"/>
      <c r="U72" s="529"/>
      <c r="V72" s="529"/>
      <c r="W72" s="529"/>
      <c r="X72" s="529"/>
      <c r="Y72" s="529"/>
      <c r="Z72" s="529"/>
      <c r="AA72" s="233">
        <v>1</v>
      </c>
      <c r="AB72" s="233">
        <v>1</v>
      </c>
      <c r="AC72" s="233">
        <v>1</v>
      </c>
      <c r="AD72" s="233">
        <v>1</v>
      </c>
      <c r="AE72" s="233">
        <v>1</v>
      </c>
      <c r="AF72" s="529">
        <v>1</v>
      </c>
      <c r="AG72" s="529"/>
      <c r="AH72" s="230"/>
    </row>
    <row r="73" spans="1:34" s="229" customFormat="1" ht="23.25" customHeight="1" x14ac:dyDescent="0.15">
      <c r="A73" s="16"/>
      <c r="B73" s="48"/>
      <c r="C73" s="20"/>
      <c r="D73" s="146"/>
      <c r="E73" s="288"/>
      <c r="F73" s="289"/>
      <c r="G73" s="290"/>
      <c r="H73" s="104" t="s">
        <v>20</v>
      </c>
      <c r="I73" s="144"/>
      <c r="J73" s="183"/>
      <c r="K73" s="97" t="str">
        <f t="shared" si="4"/>
        <v>-</v>
      </c>
      <c r="L73" s="98">
        <f t="shared" si="5"/>
        <v>0</v>
      </c>
      <c r="M73" s="159" t="str">
        <f t="shared" si="6"/>
        <v>-</v>
      </c>
      <c r="N73" s="237"/>
      <c r="O73" s="238"/>
      <c r="P73" s="238"/>
      <c r="Q73" s="239"/>
      <c r="R73" s="46"/>
      <c r="S73" s="529"/>
      <c r="T73" s="529"/>
      <c r="U73" s="529"/>
      <c r="V73" s="529"/>
      <c r="W73" s="529"/>
      <c r="X73" s="529"/>
      <c r="Y73" s="529"/>
      <c r="Z73" s="529"/>
      <c r="AA73" s="233">
        <v>1</v>
      </c>
      <c r="AB73" s="234"/>
      <c r="AC73" s="530"/>
      <c r="AD73" s="530"/>
      <c r="AE73" s="530"/>
      <c r="AF73" s="529"/>
      <c r="AG73" s="529"/>
      <c r="AH73" s="230"/>
    </row>
    <row r="74" spans="1:34" s="229" customFormat="1" ht="23.25" customHeight="1" x14ac:dyDescent="0.15">
      <c r="A74" s="16"/>
      <c r="B74" s="48"/>
      <c r="C74" s="20"/>
      <c r="D74" s="146"/>
      <c r="E74" s="288"/>
      <c r="F74" s="289"/>
      <c r="G74" s="290"/>
      <c r="H74" s="60" t="s">
        <v>20</v>
      </c>
      <c r="I74" s="144"/>
      <c r="J74" s="183"/>
      <c r="K74" s="41" t="str">
        <f t="shared" si="4"/>
        <v>-</v>
      </c>
      <c r="L74" s="42">
        <f t="shared" si="5"/>
        <v>0</v>
      </c>
      <c r="M74" s="159" t="str">
        <f t="shared" si="6"/>
        <v>-</v>
      </c>
      <c r="N74" s="237"/>
      <c r="O74" s="238"/>
      <c r="P74" s="238"/>
      <c r="Q74" s="239"/>
      <c r="R74" s="46"/>
      <c r="S74" s="529">
        <v>1</v>
      </c>
      <c r="T74" s="529"/>
      <c r="U74" s="529"/>
      <c r="V74" s="529"/>
      <c r="W74" s="529"/>
      <c r="X74" s="529"/>
      <c r="Y74" s="529"/>
      <c r="Z74" s="529"/>
      <c r="AA74" s="529"/>
      <c r="AB74" s="233">
        <v>1</v>
      </c>
      <c r="AC74" s="233">
        <v>1</v>
      </c>
      <c r="AD74" s="530"/>
      <c r="AE74" s="530"/>
      <c r="AF74" s="530"/>
      <c r="AG74" s="233"/>
      <c r="AH74" s="230"/>
    </row>
    <row r="75" spans="1:34" s="229" customFormat="1" ht="23.25" customHeight="1" x14ac:dyDescent="0.15">
      <c r="A75" s="16"/>
      <c r="B75" s="48"/>
      <c r="C75" s="20"/>
      <c r="D75" s="146"/>
      <c r="E75" s="292"/>
      <c r="F75" s="284"/>
      <c r="G75" s="285"/>
      <c r="H75" s="60" t="s">
        <v>20</v>
      </c>
      <c r="I75" s="144"/>
      <c r="J75" s="183"/>
      <c r="K75" s="41" t="str">
        <f t="shared" si="4"/>
        <v>-</v>
      </c>
      <c r="L75" s="42">
        <f t="shared" si="5"/>
        <v>0</v>
      </c>
      <c r="M75" s="159" t="str">
        <f t="shared" si="6"/>
        <v>-</v>
      </c>
      <c r="N75" s="237"/>
      <c r="O75" s="238"/>
      <c r="P75" s="238"/>
      <c r="Q75" s="239"/>
      <c r="R75" s="46"/>
      <c r="S75" s="529"/>
      <c r="T75" s="529"/>
      <c r="U75" s="529"/>
      <c r="V75" s="529"/>
      <c r="W75" s="529"/>
      <c r="X75" s="529"/>
      <c r="Y75" s="529"/>
      <c r="Z75" s="529"/>
      <c r="AA75" s="233">
        <v>1</v>
      </c>
      <c r="AB75" s="233">
        <v>1</v>
      </c>
      <c r="AC75" s="529">
        <v>1</v>
      </c>
      <c r="AD75" s="529"/>
      <c r="AE75" s="530"/>
      <c r="AF75" s="530"/>
      <c r="AG75" s="530"/>
      <c r="AH75" s="230"/>
    </row>
    <row r="76" spans="1:34" s="229" customFormat="1" ht="23.25" customHeight="1" x14ac:dyDescent="0.15">
      <c r="A76" s="16"/>
      <c r="B76" s="21"/>
      <c r="C76" s="22"/>
      <c r="D76" s="147"/>
      <c r="E76" s="300"/>
      <c r="F76" s="301"/>
      <c r="G76" s="302"/>
      <c r="H76" s="72" t="s">
        <v>20</v>
      </c>
      <c r="I76" s="73"/>
      <c r="J76" s="74"/>
      <c r="K76" s="75" t="str">
        <f t="shared" si="4"/>
        <v>-</v>
      </c>
      <c r="L76" s="70">
        <f t="shared" si="5"/>
        <v>0</v>
      </c>
      <c r="M76" s="160" t="str">
        <f t="shared" si="6"/>
        <v>-</v>
      </c>
      <c r="N76" s="270"/>
      <c r="O76" s="271"/>
      <c r="P76" s="271"/>
      <c r="Q76" s="272"/>
      <c r="R76" s="3"/>
      <c r="S76" s="233">
        <v>1</v>
      </c>
      <c r="T76" s="234"/>
      <c r="U76" s="234"/>
      <c r="V76" s="234"/>
      <c r="W76" s="234"/>
      <c r="X76" s="234"/>
      <c r="Y76" s="234"/>
      <c r="Z76" s="234"/>
      <c r="AA76" s="234"/>
      <c r="AB76" s="233">
        <v>1</v>
      </c>
      <c r="AC76" s="233">
        <v>1</v>
      </c>
      <c r="AD76" s="234"/>
      <c r="AE76" s="234"/>
      <c r="AF76" s="530"/>
      <c r="AG76" s="530"/>
      <c r="AH76" s="230"/>
    </row>
    <row r="77" spans="1:34" ht="23.25" customHeight="1" x14ac:dyDescent="0.15">
      <c r="B77" s="21"/>
      <c r="C77" s="22"/>
      <c r="D77" s="147"/>
      <c r="E77" s="292"/>
      <c r="F77" s="303"/>
      <c r="G77" s="304"/>
      <c r="H77" s="40" t="s">
        <v>20</v>
      </c>
      <c r="I77" s="57"/>
      <c r="J77" s="58"/>
      <c r="K77" s="41" t="str">
        <f t="shared" si="4"/>
        <v>-</v>
      </c>
      <c r="L77" s="42">
        <f t="shared" si="5"/>
        <v>0</v>
      </c>
      <c r="M77" s="159" t="str">
        <f t="shared" si="6"/>
        <v>-</v>
      </c>
      <c r="N77" s="237"/>
      <c r="O77" s="238"/>
      <c r="P77" s="238"/>
      <c r="Q77" s="239"/>
      <c r="R77" s="3"/>
      <c r="S77" s="234"/>
      <c r="T77" s="234"/>
      <c r="U77" s="234"/>
      <c r="V77" s="234"/>
      <c r="W77" s="234"/>
      <c r="X77" s="234"/>
      <c r="Y77" s="234"/>
      <c r="Z77" s="234"/>
      <c r="AA77" s="234"/>
      <c r="AB77" s="233">
        <v>1</v>
      </c>
      <c r="AC77" s="233">
        <v>1</v>
      </c>
      <c r="AD77" s="234"/>
      <c r="AE77" s="234"/>
      <c r="AF77" s="530"/>
      <c r="AG77" s="530"/>
    </row>
    <row r="78" spans="1:34" ht="23.25" customHeight="1" x14ac:dyDescent="0.15">
      <c r="B78" s="21"/>
      <c r="C78" s="22"/>
      <c r="D78" s="147"/>
      <c r="E78" s="300"/>
      <c r="F78" s="301"/>
      <c r="G78" s="302"/>
      <c r="H78" s="72" t="s">
        <v>20</v>
      </c>
      <c r="I78" s="73"/>
      <c r="J78" s="74"/>
      <c r="K78" s="75" t="str">
        <f t="shared" si="4"/>
        <v>-</v>
      </c>
      <c r="L78" s="70">
        <f t="shared" si="5"/>
        <v>0</v>
      </c>
      <c r="M78" s="160" t="str">
        <f t="shared" si="6"/>
        <v>-</v>
      </c>
      <c r="N78" s="270"/>
      <c r="O78" s="271"/>
      <c r="P78" s="271"/>
      <c r="Q78" s="272"/>
      <c r="R78" s="3"/>
      <c r="S78" s="529">
        <v>1</v>
      </c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>
        <v>1</v>
      </c>
      <c r="AE78" s="529"/>
      <c r="AF78" s="529"/>
      <c r="AG78" s="233"/>
      <c r="AH78" s="229"/>
    </row>
    <row r="79" spans="1:34" ht="23.25" customHeight="1" x14ac:dyDescent="0.15">
      <c r="B79" s="21"/>
      <c r="C79" s="22"/>
      <c r="D79" s="147"/>
      <c r="E79" s="300"/>
      <c r="F79" s="301"/>
      <c r="G79" s="302"/>
      <c r="H79" s="72" t="s">
        <v>20</v>
      </c>
      <c r="I79" s="73"/>
      <c r="J79" s="74"/>
      <c r="K79" s="75" t="str">
        <f t="shared" si="4"/>
        <v>-</v>
      </c>
      <c r="L79" s="70">
        <f t="shared" si="5"/>
        <v>0</v>
      </c>
      <c r="M79" s="160" t="str">
        <f t="shared" si="6"/>
        <v>-</v>
      </c>
      <c r="N79" s="237"/>
      <c r="O79" s="238"/>
      <c r="P79" s="238"/>
      <c r="Q79" s="239"/>
      <c r="R79" s="3"/>
      <c r="S79" s="529">
        <v>1</v>
      </c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>
        <v>1</v>
      </c>
      <c r="AF79" s="529"/>
      <c r="AG79" s="529"/>
      <c r="AH79" s="229"/>
    </row>
    <row r="80" spans="1:34" ht="23.25" customHeight="1" x14ac:dyDescent="0.15">
      <c r="B80" s="21"/>
      <c r="C80" s="22"/>
      <c r="D80" s="147"/>
      <c r="E80" s="300"/>
      <c r="F80" s="301"/>
      <c r="G80" s="302"/>
      <c r="H80" s="72" t="s">
        <v>20</v>
      </c>
      <c r="I80" s="73"/>
      <c r="J80" s="74"/>
      <c r="K80" s="75" t="str">
        <f t="shared" ref="K80:K83" si="7">IFERROR(IF(I80&lt;0,IMSUB(J80,I80)/(1-I80)*100,IMSUB(J80,I80)/I80*100),"-")</f>
        <v>-</v>
      </c>
      <c r="L80" s="70">
        <f t="shared" ref="L80:L83" si="8">IFERROR(J80-I80,"-")</f>
        <v>0</v>
      </c>
      <c r="M80" s="160" t="str">
        <f t="shared" ref="M80:M83" si="9">IFERROR(ROUND((J80-I80)/($J$10-$I$10)*100,1),"-")</f>
        <v>-</v>
      </c>
      <c r="N80" s="237"/>
      <c r="O80" s="238"/>
      <c r="P80" s="238"/>
      <c r="Q80" s="239"/>
      <c r="R80" s="3"/>
      <c r="S80" s="233">
        <v>1</v>
      </c>
      <c r="T80" s="233">
        <v>1</v>
      </c>
      <c r="U80" s="233">
        <v>1</v>
      </c>
      <c r="V80" s="233">
        <v>1</v>
      </c>
      <c r="W80" s="233">
        <v>1</v>
      </c>
      <c r="X80" s="233">
        <v>1</v>
      </c>
      <c r="Y80" s="233">
        <v>1</v>
      </c>
      <c r="Z80" s="233">
        <v>1</v>
      </c>
      <c r="AA80" s="233">
        <v>1</v>
      </c>
      <c r="AB80" s="233">
        <v>1</v>
      </c>
      <c r="AC80" s="233">
        <v>1</v>
      </c>
      <c r="AD80" s="233">
        <v>1</v>
      </c>
      <c r="AE80" s="233">
        <v>1</v>
      </c>
      <c r="AF80" s="233">
        <v>1</v>
      </c>
      <c r="AG80" s="233">
        <v>1</v>
      </c>
      <c r="AH80" s="229"/>
    </row>
    <row r="81" spans="2:34" ht="23.25" customHeight="1" x14ac:dyDescent="0.15">
      <c r="B81" s="21"/>
      <c r="C81" s="22"/>
      <c r="D81" s="147"/>
      <c r="E81" s="300"/>
      <c r="F81" s="301"/>
      <c r="G81" s="302"/>
      <c r="H81" s="72" t="s">
        <v>20</v>
      </c>
      <c r="I81" s="73"/>
      <c r="J81" s="74"/>
      <c r="K81" s="75" t="str">
        <f t="shared" si="7"/>
        <v>-</v>
      </c>
      <c r="L81" s="70">
        <f t="shared" si="8"/>
        <v>0</v>
      </c>
      <c r="M81" s="160" t="str">
        <f t="shared" si="9"/>
        <v>-</v>
      </c>
      <c r="N81" s="237"/>
      <c r="O81" s="238"/>
      <c r="P81" s="238"/>
      <c r="Q81" s="239"/>
      <c r="R81" s="3"/>
      <c r="S81" s="233">
        <v>1</v>
      </c>
      <c r="T81" s="233">
        <v>1</v>
      </c>
      <c r="U81" s="233">
        <v>1</v>
      </c>
      <c r="V81" s="233">
        <v>1</v>
      </c>
      <c r="W81" s="233">
        <v>1</v>
      </c>
      <c r="X81" s="233">
        <v>1</v>
      </c>
      <c r="Y81" s="233">
        <v>1</v>
      </c>
      <c r="Z81" s="529">
        <v>1</v>
      </c>
      <c r="AA81" s="529"/>
      <c r="AB81" s="529"/>
      <c r="AC81" s="529"/>
      <c r="AD81" s="529"/>
      <c r="AE81" s="529"/>
      <c r="AF81" s="529"/>
      <c r="AG81" s="529"/>
      <c r="AH81" s="229"/>
    </row>
    <row r="82" spans="2:34" ht="23.25" customHeight="1" x14ac:dyDescent="0.15">
      <c r="B82" s="21"/>
      <c r="C82" s="22"/>
      <c r="D82" s="147"/>
      <c r="E82" s="300"/>
      <c r="F82" s="301"/>
      <c r="G82" s="302"/>
      <c r="H82" s="72" t="s">
        <v>20</v>
      </c>
      <c r="I82" s="73"/>
      <c r="J82" s="74"/>
      <c r="K82" s="75" t="str">
        <f t="shared" si="7"/>
        <v>-</v>
      </c>
      <c r="L82" s="70">
        <f t="shared" si="8"/>
        <v>0</v>
      </c>
      <c r="M82" s="160" t="str">
        <f t="shared" si="9"/>
        <v>-</v>
      </c>
      <c r="N82" s="237"/>
      <c r="O82" s="238"/>
      <c r="P82" s="238"/>
      <c r="Q82" s="239"/>
      <c r="R82" s="3"/>
      <c r="S82" s="233">
        <v>1</v>
      </c>
      <c r="T82" s="233">
        <v>1</v>
      </c>
      <c r="U82" s="233">
        <v>1</v>
      </c>
      <c r="V82" s="233">
        <v>1</v>
      </c>
      <c r="W82" s="233">
        <v>1</v>
      </c>
      <c r="X82" s="233">
        <v>1</v>
      </c>
      <c r="Y82" s="233">
        <v>1</v>
      </c>
      <c r="Z82" s="529">
        <v>1</v>
      </c>
      <c r="AA82" s="529"/>
      <c r="AB82" s="529"/>
      <c r="AC82" s="529"/>
      <c r="AD82" s="529"/>
      <c r="AE82" s="529"/>
      <c r="AF82" s="529"/>
      <c r="AG82" s="529"/>
      <c r="AH82" s="229"/>
    </row>
    <row r="83" spans="2:34" ht="23.25" customHeight="1" x14ac:dyDescent="0.15">
      <c r="B83" s="21"/>
      <c r="C83" s="22"/>
      <c r="D83" s="147"/>
      <c r="E83" s="300"/>
      <c r="F83" s="301"/>
      <c r="G83" s="302"/>
      <c r="H83" s="72" t="s">
        <v>20</v>
      </c>
      <c r="I83" s="73"/>
      <c r="J83" s="74"/>
      <c r="K83" s="75" t="str">
        <f t="shared" si="7"/>
        <v>-</v>
      </c>
      <c r="L83" s="70">
        <f t="shared" si="8"/>
        <v>0</v>
      </c>
      <c r="M83" s="160" t="str">
        <f t="shared" si="9"/>
        <v>-</v>
      </c>
      <c r="N83" s="237"/>
      <c r="O83" s="238"/>
      <c r="P83" s="238"/>
      <c r="Q83" s="239"/>
      <c r="R83" s="3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229"/>
    </row>
    <row r="84" spans="2:34" ht="23.25" customHeight="1" x14ac:dyDescent="0.15">
      <c r="B84" s="21"/>
      <c r="C84" s="22"/>
      <c r="D84" s="147"/>
      <c r="E84" s="300"/>
      <c r="F84" s="301"/>
      <c r="G84" s="302"/>
      <c r="H84" s="72" t="s">
        <v>20</v>
      </c>
      <c r="I84" s="73"/>
      <c r="J84" s="74"/>
      <c r="K84" s="75" t="str">
        <f t="shared" si="4"/>
        <v>-</v>
      </c>
      <c r="L84" s="70">
        <f t="shared" si="5"/>
        <v>0</v>
      </c>
      <c r="M84" s="160" t="str">
        <f t="shared" si="6"/>
        <v>-</v>
      </c>
      <c r="N84" s="237"/>
      <c r="O84" s="238"/>
      <c r="P84" s="238"/>
      <c r="Q84" s="239"/>
      <c r="R84" s="3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229"/>
    </row>
    <row r="85" spans="2:34" ht="23.25" customHeight="1" x14ac:dyDescent="0.15">
      <c r="B85" s="21"/>
      <c r="C85" s="22"/>
      <c r="D85" s="147"/>
      <c r="E85" s="300"/>
      <c r="F85" s="301"/>
      <c r="G85" s="302"/>
      <c r="H85" s="72" t="s">
        <v>20</v>
      </c>
      <c r="I85" s="73"/>
      <c r="J85" s="74"/>
      <c r="K85" s="75" t="str">
        <f t="shared" si="4"/>
        <v>-</v>
      </c>
      <c r="L85" s="70">
        <f t="shared" si="5"/>
        <v>0</v>
      </c>
      <c r="M85" s="160" t="str">
        <f t="shared" si="6"/>
        <v>-</v>
      </c>
      <c r="N85" s="237"/>
      <c r="O85" s="238"/>
      <c r="P85" s="238"/>
      <c r="Q85" s="239"/>
      <c r="R85" s="3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229"/>
    </row>
    <row r="86" spans="2:34" ht="23.25" customHeight="1" x14ac:dyDescent="0.15">
      <c r="B86" s="21"/>
      <c r="C86" s="22"/>
      <c r="D86" s="147"/>
      <c r="E86" s="300"/>
      <c r="F86" s="301"/>
      <c r="G86" s="302"/>
      <c r="H86" s="72" t="s">
        <v>20</v>
      </c>
      <c r="I86" s="73"/>
      <c r="J86" s="74"/>
      <c r="K86" s="75" t="str">
        <f t="shared" si="4"/>
        <v>-</v>
      </c>
      <c r="L86" s="70">
        <f t="shared" si="5"/>
        <v>0</v>
      </c>
      <c r="M86" s="160" t="str">
        <f t="shared" si="6"/>
        <v>-</v>
      </c>
      <c r="N86" s="237"/>
      <c r="O86" s="238"/>
      <c r="P86" s="238"/>
      <c r="Q86" s="239"/>
      <c r="R86" s="3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229"/>
    </row>
    <row r="87" spans="2:34" ht="23.25" customHeight="1" x14ac:dyDescent="0.15">
      <c r="B87" s="21"/>
      <c r="C87" s="22"/>
      <c r="D87" s="148"/>
      <c r="E87" s="300"/>
      <c r="F87" s="301"/>
      <c r="G87" s="302"/>
      <c r="H87" s="72" t="s">
        <v>20</v>
      </c>
      <c r="I87" s="73"/>
      <c r="J87" s="74"/>
      <c r="K87" s="75" t="str">
        <f t="shared" si="4"/>
        <v>-</v>
      </c>
      <c r="L87" s="70">
        <f t="shared" si="5"/>
        <v>0</v>
      </c>
      <c r="M87" s="160" t="str">
        <f t="shared" si="6"/>
        <v>-</v>
      </c>
      <c r="N87" s="237"/>
      <c r="O87" s="238"/>
      <c r="P87" s="238"/>
      <c r="Q87" s="239"/>
      <c r="R87" s="3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229"/>
    </row>
    <row r="88" spans="2:34" ht="23.25" customHeight="1" x14ac:dyDescent="0.15">
      <c r="B88" s="21"/>
      <c r="C88" s="22"/>
      <c r="D88" s="305" t="s">
        <v>145</v>
      </c>
      <c r="E88" s="306"/>
      <c r="F88" s="306"/>
      <c r="G88" s="307"/>
      <c r="H88" s="149" t="s">
        <v>20</v>
      </c>
      <c r="I88" s="150"/>
      <c r="J88" s="151"/>
      <c r="K88" s="152" t="str">
        <f t="shared" si="4"/>
        <v>-</v>
      </c>
      <c r="L88" s="153">
        <f t="shared" si="5"/>
        <v>0</v>
      </c>
      <c r="M88" s="161" t="str">
        <f t="shared" si="6"/>
        <v>-</v>
      </c>
      <c r="N88" s="317"/>
      <c r="O88" s="318"/>
      <c r="P88" s="318"/>
      <c r="Q88" s="319"/>
      <c r="R88" s="3"/>
      <c r="S88" s="233">
        <v>1</v>
      </c>
      <c r="T88" s="233">
        <v>1</v>
      </c>
      <c r="U88" s="233">
        <v>1</v>
      </c>
      <c r="V88" s="233">
        <v>1</v>
      </c>
      <c r="W88" s="233">
        <v>1</v>
      </c>
      <c r="X88" s="233">
        <v>1</v>
      </c>
      <c r="Y88" s="233">
        <v>1</v>
      </c>
      <c r="Z88" s="233">
        <v>1</v>
      </c>
      <c r="AA88" s="233">
        <v>1</v>
      </c>
      <c r="AB88" s="233">
        <v>1</v>
      </c>
      <c r="AC88" s="233">
        <v>1</v>
      </c>
      <c r="AD88" s="233">
        <v>1</v>
      </c>
      <c r="AE88" s="233">
        <v>1</v>
      </c>
      <c r="AF88" s="233">
        <v>1</v>
      </c>
      <c r="AG88" s="233">
        <v>1</v>
      </c>
      <c r="AH88" s="229"/>
    </row>
    <row r="89" spans="2:34" ht="23.25" customHeight="1" x14ac:dyDescent="0.15">
      <c r="B89" s="21"/>
      <c r="C89" s="23"/>
      <c r="D89" s="308" t="s">
        <v>146</v>
      </c>
      <c r="E89" s="309"/>
      <c r="F89" s="309"/>
      <c r="G89" s="310"/>
      <c r="H89" s="72" t="s">
        <v>20</v>
      </c>
      <c r="I89" s="73"/>
      <c r="J89" s="74"/>
      <c r="K89" s="75" t="str">
        <f t="shared" si="4"/>
        <v>-</v>
      </c>
      <c r="L89" s="70">
        <f t="shared" si="5"/>
        <v>0</v>
      </c>
      <c r="M89" s="160" t="str">
        <f t="shared" si="6"/>
        <v>-</v>
      </c>
      <c r="N89" s="311"/>
      <c r="O89" s="312"/>
      <c r="P89" s="312"/>
      <c r="Q89" s="313"/>
      <c r="R89" s="3"/>
      <c r="S89" s="233">
        <v>1</v>
      </c>
      <c r="T89" s="233">
        <v>1</v>
      </c>
      <c r="U89" s="233">
        <v>1</v>
      </c>
      <c r="V89" s="233">
        <v>1</v>
      </c>
      <c r="W89" s="233">
        <v>1</v>
      </c>
      <c r="X89" s="529">
        <v>1</v>
      </c>
      <c r="Y89" s="529"/>
      <c r="Z89" s="529"/>
      <c r="AA89" s="529">
        <v>1</v>
      </c>
      <c r="AB89" s="529"/>
      <c r="AC89" s="529"/>
      <c r="AD89" s="529"/>
      <c r="AE89" s="529"/>
      <c r="AF89" s="529"/>
      <c r="AG89" s="233">
        <v>1</v>
      </c>
      <c r="AH89" s="229"/>
    </row>
    <row r="90" spans="2:34" ht="23.25" customHeight="1" x14ac:dyDescent="0.15">
      <c r="B90" s="48"/>
      <c r="C90" s="314" t="s">
        <v>147</v>
      </c>
      <c r="D90" s="315"/>
      <c r="E90" s="315"/>
      <c r="F90" s="315"/>
      <c r="G90" s="316"/>
      <c r="H90" s="24" t="s">
        <v>20</v>
      </c>
      <c r="I90" s="184"/>
      <c r="J90" s="185"/>
      <c r="K90" s="25" t="str">
        <f t="shared" ref="K90" si="10">IFERROR(J90/I90*100-100,"-")</f>
        <v>-</v>
      </c>
      <c r="L90" s="36">
        <f t="shared" si="5"/>
        <v>0</v>
      </c>
      <c r="M90" s="162" t="str">
        <f>IFERROR(ROUND((J90-I90)/($J$90-$I$90)*100,1),"-")</f>
        <v>-</v>
      </c>
      <c r="N90" s="270"/>
      <c r="O90" s="271"/>
      <c r="P90" s="271"/>
      <c r="Q90" s="272"/>
      <c r="S90" s="233">
        <v>1</v>
      </c>
      <c r="T90" s="233">
        <v>1</v>
      </c>
      <c r="U90" s="233">
        <v>1</v>
      </c>
      <c r="V90" s="233">
        <v>1</v>
      </c>
      <c r="W90" s="233">
        <v>1</v>
      </c>
      <c r="X90" s="233">
        <v>1</v>
      </c>
      <c r="Y90" s="233">
        <v>1</v>
      </c>
      <c r="Z90" s="233">
        <v>1</v>
      </c>
      <c r="AA90" s="233">
        <v>1</v>
      </c>
      <c r="AB90" s="233">
        <v>1</v>
      </c>
      <c r="AC90" s="233">
        <v>1</v>
      </c>
      <c r="AD90" s="233">
        <v>1</v>
      </c>
      <c r="AE90" s="233">
        <v>1</v>
      </c>
      <c r="AF90" s="233">
        <v>1</v>
      </c>
      <c r="AG90" s="233">
        <v>1</v>
      </c>
    </row>
    <row r="91" spans="2:34" ht="23.25" customHeight="1" x14ac:dyDescent="0.15">
      <c r="B91" s="48"/>
      <c r="C91" s="20"/>
      <c r="D91" s="282" t="s">
        <v>57</v>
      </c>
      <c r="E91" s="235"/>
      <c r="F91" s="235"/>
      <c r="G91" s="236"/>
      <c r="H91" s="60" t="s">
        <v>20</v>
      </c>
      <c r="I91" s="144"/>
      <c r="J91" s="183"/>
      <c r="K91" s="41" t="str">
        <f t="shared" si="4"/>
        <v>-</v>
      </c>
      <c r="L91" s="42">
        <f t="shared" si="5"/>
        <v>0</v>
      </c>
      <c r="M91" s="159" t="str">
        <f t="shared" ref="M91:M109" si="11">IFERROR(ROUND((J91-I91)/($J$90-$I$90)*100,1),"-")</f>
        <v>-</v>
      </c>
      <c r="N91" s="237"/>
      <c r="O91" s="238"/>
      <c r="P91" s="238"/>
      <c r="Q91" s="239"/>
      <c r="S91" s="233">
        <v>1</v>
      </c>
      <c r="T91" s="233">
        <v>1</v>
      </c>
      <c r="U91" s="233">
        <v>1</v>
      </c>
      <c r="V91" s="233">
        <v>1</v>
      </c>
      <c r="W91" s="233">
        <v>1</v>
      </c>
      <c r="X91" s="233">
        <v>1</v>
      </c>
      <c r="Y91" s="233">
        <v>1</v>
      </c>
      <c r="Z91" s="233">
        <v>1</v>
      </c>
      <c r="AA91" s="233">
        <v>1</v>
      </c>
      <c r="AB91" s="233">
        <v>1</v>
      </c>
      <c r="AC91" s="233">
        <v>1</v>
      </c>
      <c r="AD91" s="233">
        <v>1</v>
      </c>
      <c r="AE91" s="233">
        <v>1</v>
      </c>
      <c r="AF91" s="233">
        <v>1</v>
      </c>
      <c r="AG91" s="233">
        <v>1</v>
      </c>
    </row>
    <row r="92" spans="2:34" ht="23.25" customHeight="1" x14ac:dyDescent="0.15">
      <c r="B92" s="48"/>
      <c r="C92" s="20"/>
      <c r="D92" s="282" t="s">
        <v>58</v>
      </c>
      <c r="E92" s="235"/>
      <c r="F92" s="235"/>
      <c r="G92" s="236"/>
      <c r="H92" s="60" t="s">
        <v>20</v>
      </c>
      <c r="I92" s="144"/>
      <c r="J92" s="183"/>
      <c r="K92" s="41" t="str">
        <f t="shared" si="4"/>
        <v>-</v>
      </c>
      <c r="L92" s="42">
        <f t="shared" si="5"/>
        <v>0</v>
      </c>
      <c r="M92" s="159" t="str">
        <f t="shared" si="11"/>
        <v>-</v>
      </c>
      <c r="N92" s="237"/>
      <c r="O92" s="238"/>
      <c r="P92" s="238"/>
      <c r="Q92" s="239"/>
      <c r="S92" s="233">
        <v>1</v>
      </c>
      <c r="T92" s="233">
        <v>1</v>
      </c>
      <c r="U92" s="233">
        <v>1</v>
      </c>
      <c r="V92" s="233">
        <v>1</v>
      </c>
      <c r="W92" s="233">
        <v>1</v>
      </c>
      <c r="X92" s="233">
        <v>1</v>
      </c>
      <c r="Y92" s="233">
        <v>1</v>
      </c>
      <c r="Z92" s="529">
        <v>1</v>
      </c>
      <c r="AA92" s="529"/>
      <c r="AB92" s="529"/>
      <c r="AC92" s="529"/>
      <c r="AD92" s="529"/>
      <c r="AE92" s="529"/>
      <c r="AF92" s="233"/>
      <c r="AG92" s="233">
        <v>1</v>
      </c>
    </row>
    <row r="93" spans="2:34" ht="23.25" customHeight="1" x14ac:dyDescent="0.15">
      <c r="B93" s="48"/>
      <c r="C93" s="20"/>
      <c r="D93" s="282" t="s">
        <v>59</v>
      </c>
      <c r="E93" s="235"/>
      <c r="F93" s="235"/>
      <c r="G93" s="236"/>
      <c r="H93" s="60" t="s">
        <v>20</v>
      </c>
      <c r="I93" s="144"/>
      <c r="J93" s="183"/>
      <c r="K93" s="41" t="str">
        <f t="shared" ref="K93:K159" si="12">IFERROR(IF(I93&lt;0,IMSUB(J93,I93)/(1-I93)*100,IMSUB(J93,I93)/I93*100),"-")</f>
        <v>-</v>
      </c>
      <c r="L93" s="42">
        <f t="shared" si="5"/>
        <v>0</v>
      </c>
      <c r="M93" s="159" t="str">
        <f t="shared" si="11"/>
        <v>-</v>
      </c>
      <c r="N93" s="237"/>
      <c r="O93" s="238"/>
      <c r="P93" s="238"/>
      <c r="Q93" s="239"/>
      <c r="S93" s="529">
        <v>1</v>
      </c>
      <c r="T93" s="529"/>
      <c r="U93" s="529"/>
      <c r="V93" s="529"/>
      <c r="W93" s="529"/>
      <c r="X93" s="529"/>
      <c r="Y93" s="529"/>
      <c r="Z93" s="529"/>
      <c r="AA93" s="233">
        <v>1</v>
      </c>
      <c r="AB93" s="233">
        <v>1</v>
      </c>
      <c r="AC93" s="233">
        <v>1</v>
      </c>
      <c r="AD93" s="233">
        <v>1</v>
      </c>
      <c r="AE93" s="233">
        <v>1</v>
      </c>
      <c r="AF93" s="233">
        <v>1</v>
      </c>
      <c r="AG93" s="233">
        <v>1</v>
      </c>
    </row>
    <row r="94" spans="2:34" ht="23.25" customHeight="1" x14ac:dyDescent="0.15">
      <c r="B94" s="48"/>
      <c r="C94" s="20"/>
      <c r="D94" s="282" t="s">
        <v>60</v>
      </c>
      <c r="E94" s="235"/>
      <c r="F94" s="235"/>
      <c r="G94" s="236"/>
      <c r="H94" s="60" t="s">
        <v>20</v>
      </c>
      <c r="I94" s="144"/>
      <c r="J94" s="183"/>
      <c r="K94" s="41" t="str">
        <f t="shared" si="12"/>
        <v>-</v>
      </c>
      <c r="L94" s="42">
        <f t="shared" si="5"/>
        <v>0</v>
      </c>
      <c r="M94" s="159" t="str">
        <f t="shared" si="11"/>
        <v>-</v>
      </c>
      <c r="N94" s="237"/>
      <c r="O94" s="238"/>
      <c r="P94" s="238"/>
      <c r="Q94" s="239"/>
      <c r="S94" s="233">
        <v>1</v>
      </c>
      <c r="T94" s="233">
        <v>1</v>
      </c>
      <c r="U94" s="233">
        <v>1</v>
      </c>
      <c r="V94" s="233">
        <v>1</v>
      </c>
      <c r="W94" s="233">
        <v>1</v>
      </c>
      <c r="X94" s="233">
        <v>1</v>
      </c>
      <c r="Y94" s="233">
        <v>1</v>
      </c>
      <c r="Z94" s="529">
        <v>1</v>
      </c>
      <c r="AA94" s="529"/>
      <c r="AB94" s="529"/>
      <c r="AC94" s="529"/>
      <c r="AD94" s="529"/>
      <c r="AE94" s="529"/>
      <c r="AF94" s="233"/>
      <c r="AG94" s="233">
        <v>1</v>
      </c>
    </row>
    <row r="95" spans="2:34" ht="23.25" customHeight="1" x14ac:dyDescent="0.15">
      <c r="B95" s="48"/>
      <c r="C95" s="20"/>
      <c r="D95" s="282" t="s">
        <v>61</v>
      </c>
      <c r="E95" s="235"/>
      <c r="F95" s="235"/>
      <c r="G95" s="236"/>
      <c r="H95" s="60" t="s">
        <v>20</v>
      </c>
      <c r="I95" s="144"/>
      <c r="J95" s="183"/>
      <c r="K95" s="41" t="str">
        <f t="shared" si="12"/>
        <v>-</v>
      </c>
      <c r="L95" s="42">
        <f t="shared" si="5"/>
        <v>0</v>
      </c>
      <c r="M95" s="159" t="str">
        <f t="shared" si="11"/>
        <v>-</v>
      </c>
      <c r="N95" s="237"/>
      <c r="O95" s="238"/>
      <c r="P95" s="238"/>
      <c r="Q95" s="239"/>
      <c r="S95" s="529">
        <v>1</v>
      </c>
      <c r="T95" s="529"/>
      <c r="U95" s="529"/>
      <c r="V95" s="529"/>
      <c r="W95" s="529"/>
      <c r="X95" s="529"/>
      <c r="Y95" s="529"/>
      <c r="Z95" s="529"/>
      <c r="AA95" s="233">
        <v>1</v>
      </c>
      <c r="AB95" s="233">
        <v>1</v>
      </c>
      <c r="AC95" s="233">
        <v>1</v>
      </c>
      <c r="AD95" s="233">
        <v>1</v>
      </c>
      <c r="AE95" s="233">
        <v>1</v>
      </c>
      <c r="AF95" s="233">
        <v>1</v>
      </c>
      <c r="AG95" s="233">
        <v>1</v>
      </c>
    </row>
    <row r="96" spans="2:34" ht="23.25" customHeight="1" x14ac:dyDescent="0.15">
      <c r="B96" s="48"/>
      <c r="C96" s="20"/>
      <c r="D96" s="282" t="s">
        <v>62</v>
      </c>
      <c r="E96" s="235"/>
      <c r="F96" s="235"/>
      <c r="G96" s="236"/>
      <c r="H96" s="60" t="s">
        <v>20</v>
      </c>
      <c r="I96" s="144"/>
      <c r="J96" s="183"/>
      <c r="K96" s="41" t="str">
        <f t="shared" si="12"/>
        <v>-</v>
      </c>
      <c r="L96" s="42">
        <f t="shared" si="5"/>
        <v>0</v>
      </c>
      <c r="M96" s="159" t="str">
        <f t="shared" si="11"/>
        <v>-</v>
      </c>
      <c r="N96" s="237"/>
      <c r="O96" s="238"/>
      <c r="P96" s="238"/>
      <c r="Q96" s="239"/>
      <c r="S96" s="233">
        <v>1</v>
      </c>
      <c r="T96" s="233">
        <v>1</v>
      </c>
      <c r="U96" s="233">
        <v>1</v>
      </c>
      <c r="V96" s="233">
        <v>1</v>
      </c>
      <c r="W96" s="233">
        <v>1</v>
      </c>
      <c r="X96" s="233">
        <v>1</v>
      </c>
      <c r="Y96" s="233">
        <v>1</v>
      </c>
      <c r="Z96" s="233">
        <v>1</v>
      </c>
      <c r="AA96" s="233">
        <v>1</v>
      </c>
      <c r="AB96" s="233">
        <v>1</v>
      </c>
      <c r="AC96" s="233">
        <v>1</v>
      </c>
      <c r="AD96" s="233">
        <v>1</v>
      </c>
      <c r="AE96" s="233">
        <v>1</v>
      </c>
      <c r="AF96" s="233">
        <v>1</v>
      </c>
      <c r="AG96" s="233">
        <v>1</v>
      </c>
    </row>
    <row r="97" spans="2:34" ht="23.25" customHeight="1" x14ac:dyDescent="0.15">
      <c r="B97" s="48"/>
      <c r="C97" s="20"/>
      <c r="D97" s="282" t="s">
        <v>63</v>
      </c>
      <c r="E97" s="320"/>
      <c r="F97" s="320"/>
      <c r="G97" s="283"/>
      <c r="H97" s="60" t="s">
        <v>20</v>
      </c>
      <c r="I97" s="144"/>
      <c r="J97" s="183"/>
      <c r="K97" s="41" t="str">
        <f t="shared" si="12"/>
        <v>-</v>
      </c>
      <c r="L97" s="42">
        <f t="shared" si="5"/>
        <v>0</v>
      </c>
      <c r="M97" s="159" t="str">
        <f t="shared" si="11"/>
        <v>-</v>
      </c>
      <c r="N97" s="237"/>
      <c r="O97" s="238"/>
      <c r="P97" s="238"/>
      <c r="Q97" s="239"/>
      <c r="S97" s="233">
        <v>1</v>
      </c>
      <c r="T97" s="233">
        <v>1</v>
      </c>
      <c r="U97" s="233">
        <v>1</v>
      </c>
      <c r="V97" s="233">
        <v>1</v>
      </c>
      <c r="W97" s="233">
        <v>1</v>
      </c>
      <c r="X97" s="233">
        <v>1</v>
      </c>
      <c r="Y97" s="233">
        <v>1</v>
      </c>
      <c r="Z97" s="233">
        <v>1</v>
      </c>
      <c r="AA97" s="233">
        <v>1</v>
      </c>
      <c r="AB97" s="233">
        <v>1</v>
      </c>
      <c r="AC97" s="233">
        <v>1</v>
      </c>
      <c r="AD97" s="233">
        <v>1</v>
      </c>
      <c r="AE97" s="233">
        <v>1</v>
      </c>
      <c r="AF97" s="233">
        <v>1</v>
      </c>
      <c r="AG97" s="233">
        <v>1</v>
      </c>
    </row>
    <row r="98" spans="2:34" ht="23.25" customHeight="1" x14ac:dyDescent="0.15">
      <c r="B98" s="48"/>
      <c r="C98" s="20"/>
      <c r="D98" s="282" t="s">
        <v>64</v>
      </c>
      <c r="E98" s="235"/>
      <c r="F98" s="235"/>
      <c r="G98" s="236"/>
      <c r="H98" s="60" t="s">
        <v>20</v>
      </c>
      <c r="I98" s="144"/>
      <c r="J98" s="183"/>
      <c r="K98" s="41" t="str">
        <f t="shared" si="12"/>
        <v>-</v>
      </c>
      <c r="L98" s="42">
        <f t="shared" si="5"/>
        <v>0</v>
      </c>
      <c r="M98" s="159" t="str">
        <f t="shared" si="11"/>
        <v>-</v>
      </c>
      <c r="N98" s="237"/>
      <c r="O98" s="238"/>
      <c r="P98" s="238"/>
      <c r="Q98" s="239"/>
      <c r="S98" s="233">
        <v>1</v>
      </c>
      <c r="T98" s="233">
        <v>1</v>
      </c>
      <c r="U98" s="233">
        <v>1</v>
      </c>
      <c r="V98" s="233">
        <v>1</v>
      </c>
      <c r="W98" s="233">
        <v>1</v>
      </c>
      <c r="X98" s="233">
        <v>1</v>
      </c>
      <c r="Y98" s="233">
        <v>1</v>
      </c>
      <c r="Z98" s="233">
        <v>1</v>
      </c>
      <c r="AA98" s="233">
        <v>1</v>
      </c>
      <c r="AB98" s="233">
        <v>1</v>
      </c>
      <c r="AC98" s="233">
        <v>1</v>
      </c>
      <c r="AD98" s="233">
        <v>1</v>
      </c>
      <c r="AE98" s="233">
        <v>1</v>
      </c>
      <c r="AF98" s="233">
        <v>1</v>
      </c>
      <c r="AG98" s="233">
        <v>1</v>
      </c>
    </row>
    <row r="99" spans="2:34" ht="23.25" customHeight="1" x14ac:dyDescent="0.15">
      <c r="B99" s="48"/>
      <c r="C99" s="20"/>
      <c r="D99" s="282" t="s">
        <v>65</v>
      </c>
      <c r="E99" s="235"/>
      <c r="F99" s="235"/>
      <c r="G99" s="236"/>
      <c r="H99" s="60" t="s">
        <v>20</v>
      </c>
      <c r="I99" s="144"/>
      <c r="J99" s="183"/>
      <c r="K99" s="41" t="str">
        <f t="shared" si="12"/>
        <v>-</v>
      </c>
      <c r="L99" s="42">
        <f t="shared" si="5"/>
        <v>0</v>
      </c>
      <c r="M99" s="159" t="str">
        <f t="shared" si="11"/>
        <v>-</v>
      </c>
      <c r="N99" s="237"/>
      <c r="O99" s="238"/>
      <c r="P99" s="238"/>
      <c r="Q99" s="239"/>
      <c r="S99" s="233">
        <v>1</v>
      </c>
      <c r="T99" s="233">
        <v>1</v>
      </c>
      <c r="U99" s="233">
        <v>1</v>
      </c>
      <c r="V99" s="233">
        <v>1</v>
      </c>
      <c r="W99" s="233">
        <v>1</v>
      </c>
      <c r="X99" s="233">
        <v>1</v>
      </c>
      <c r="Y99" s="233">
        <v>1</v>
      </c>
      <c r="Z99" s="233">
        <v>1</v>
      </c>
      <c r="AA99" s="233">
        <v>1</v>
      </c>
      <c r="AB99" s="233">
        <v>1</v>
      </c>
      <c r="AC99" s="233">
        <v>1</v>
      </c>
      <c r="AD99" s="233">
        <v>1</v>
      </c>
      <c r="AE99" s="233">
        <v>1</v>
      </c>
      <c r="AF99" s="233">
        <v>1</v>
      </c>
      <c r="AG99" s="233">
        <v>1</v>
      </c>
    </row>
    <row r="100" spans="2:34" ht="23.25" customHeight="1" x14ac:dyDescent="0.15">
      <c r="B100" s="48"/>
      <c r="C100" s="59"/>
      <c r="D100" s="282" t="s">
        <v>66</v>
      </c>
      <c r="E100" s="235"/>
      <c r="F100" s="235"/>
      <c r="G100" s="236"/>
      <c r="H100" s="60" t="s">
        <v>20</v>
      </c>
      <c r="I100" s="144"/>
      <c r="J100" s="183"/>
      <c r="K100" s="41" t="str">
        <f t="shared" si="12"/>
        <v>-</v>
      </c>
      <c r="L100" s="42">
        <f t="shared" si="5"/>
        <v>0</v>
      </c>
      <c r="M100" s="159" t="str">
        <f t="shared" si="11"/>
        <v>-</v>
      </c>
      <c r="N100" s="237"/>
      <c r="O100" s="238"/>
      <c r="P100" s="238"/>
      <c r="Q100" s="239"/>
      <c r="S100" s="233">
        <v>1</v>
      </c>
      <c r="T100" s="233">
        <v>1</v>
      </c>
      <c r="U100" s="233">
        <v>1</v>
      </c>
      <c r="V100" s="233">
        <v>1</v>
      </c>
      <c r="W100" s="233">
        <v>1</v>
      </c>
      <c r="X100" s="233">
        <v>1</v>
      </c>
      <c r="Y100" s="233">
        <v>1</v>
      </c>
      <c r="Z100" s="233">
        <v>1</v>
      </c>
      <c r="AA100" s="233">
        <v>1</v>
      </c>
      <c r="AB100" s="233">
        <v>1</v>
      </c>
      <c r="AC100" s="233">
        <v>1</v>
      </c>
      <c r="AD100" s="233">
        <v>1</v>
      </c>
      <c r="AE100" s="233">
        <v>1</v>
      </c>
      <c r="AF100" s="233">
        <v>1</v>
      </c>
      <c r="AG100" s="233">
        <v>1</v>
      </c>
    </row>
    <row r="101" spans="2:34" ht="23.25" customHeight="1" x14ac:dyDescent="0.15">
      <c r="B101" s="26"/>
      <c r="C101" s="59"/>
      <c r="D101" s="282" t="s">
        <v>148</v>
      </c>
      <c r="E101" s="235"/>
      <c r="F101" s="235"/>
      <c r="G101" s="236"/>
      <c r="H101" s="40" t="s">
        <v>20</v>
      </c>
      <c r="I101" s="57"/>
      <c r="J101" s="109"/>
      <c r="K101" s="41" t="str">
        <f t="shared" si="12"/>
        <v>-</v>
      </c>
      <c r="L101" s="42">
        <f t="shared" si="5"/>
        <v>0</v>
      </c>
      <c r="M101" s="159" t="str">
        <f t="shared" si="11"/>
        <v>-</v>
      </c>
      <c r="N101" s="237"/>
      <c r="O101" s="238"/>
      <c r="P101" s="238"/>
      <c r="Q101" s="239"/>
      <c r="R101" s="3"/>
      <c r="S101" s="529">
        <v>1</v>
      </c>
      <c r="T101" s="529"/>
      <c r="U101" s="529"/>
      <c r="V101" s="529"/>
      <c r="W101" s="529"/>
      <c r="X101" s="529"/>
      <c r="Y101" s="529"/>
      <c r="Z101" s="529"/>
      <c r="AA101" s="529"/>
      <c r="AB101" s="529"/>
      <c r="AC101" s="529"/>
      <c r="AD101" s="529"/>
      <c r="AE101" s="529"/>
      <c r="AF101" s="529"/>
      <c r="AG101" s="233">
        <v>1</v>
      </c>
      <c r="AH101" s="229"/>
    </row>
    <row r="102" spans="2:34" ht="23.25" customHeight="1" x14ac:dyDescent="0.15">
      <c r="B102" s="48"/>
      <c r="C102" s="20"/>
      <c r="D102" s="282" t="s">
        <v>67</v>
      </c>
      <c r="E102" s="235"/>
      <c r="F102" s="235"/>
      <c r="G102" s="236"/>
      <c r="H102" s="60" t="s">
        <v>20</v>
      </c>
      <c r="I102" s="144"/>
      <c r="J102" s="183"/>
      <c r="K102" s="41" t="str">
        <f t="shared" si="12"/>
        <v>-</v>
      </c>
      <c r="L102" s="42">
        <f t="shared" si="5"/>
        <v>0</v>
      </c>
      <c r="M102" s="159" t="str">
        <f t="shared" si="11"/>
        <v>-</v>
      </c>
      <c r="N102" s="237"/>
      <c r="O102" s="238"/>
      <c r="P102" s="238"/>
      <c r="Q102" s="239"/>
      <c r="S102" s="233">
        <v>1</v>
      </c>
      <c r="T102" s="233">
        <v>1</v>
      </c>
      <c r="U102" s="233">
        <v>1</v>
      </c>
      <c r="V102" s="233">
        <v>1</v>
      </c>
      <c r="W102" s="233">
        <v>1</v>
      </c>
      <c r="X102" s="233">
        <v>1</v>
      </c>
      <c r="Y102" s="233">
        <v>1</v>
      </c>
      <c r="Z102" s="233">
        <v>1</v>
      </c>
      <c r="AA102" s="233">
        <v>1</v>
      </c>
      <c r="AB102" s="233">
        <v>1</v>
      </c>
      <c r="AC102" s="233">
        <v>1</v>
      </c>
      <c r="AD102" s="233">
        <v>1</v>
      </c>
      <c r="AE102" s="233">
        <v>1</v>
      </c>
      <c r="AF102" s="233">
        <v>1</v>
      </c>
      <c r="AG102" s="233">
        <v>1</v>
      </c>
    </row>
    <row r="103" spans="2:34" ht="23.25" customHeight="1" x14ac:dyDescent="0.15">
      <c r="B103" s="26"/>
      <c r="C103" s="59"/>
      <c r="D103" s="282" t="s">
        <v>149</v>
      </c>
      <c r="E103" s="235"/>
      <c r="F103" s="235"/>
      <c r="G103" s="236"/>
      <c r="H103" s="40" t="s">
        <v>20</v>
      </c>
      <c r="I103" s="57"/>
      <c r="J103" s="109"/>
      <c r="K103" s="41" t="str">
        <f t="shared" si="12"/>
        <v>-</v>
      </c>
      <c r="L103" s="42">
        <f t="shared" si="5"/>
        <v>0</v>
      </c>
      <c r="M103" s="159" t="str">
        <f t="shared" si="11"/>
        <v>-</v>
      </c>
      <c r="N103" s="237"/>
      <c r="O103" s="238"/>
      <c r="P103" s="238"/>
      <c r="Q103" s="239"/>
      <c r="R103" s="3"/>
      <c r="S103" s="233">
        <v>1</v>
      </c>
      <c r="T103" s="233">
        <v>1</v>
      </c>
      <c r="U103" s="233">
        <v>1</v>
      </c>
      <c r="V103" s="233">
        <v>1</v>
      </c>
      <c r="W103" s="233">
        <v>1</v>
      </c>
      <c r="X103" s="233">
        <v>1</v>
      </c>
      <c r="Y103" s="233">
        <v>1</v>
      </c>
      <c r="Z103" s="529">
        <v>1</v>
      </c>
      <c r="AA103" s="529"/>
      <c r="AB103" s="529"/>
      <c r="AC103" s="529"/>
      <c r="AD103" s="529"/>
      <c r="AE103" s="529"/>
      <c r="AF103" s="233"/>
      <c r="AG103" s="233">
        <v>1</v>
      </c>
      <c r="AH103" s="229"/>
    </row>
    <row r="104" spans="2:34" ht="23.25" customHeight="1" x14ac:dyDescent="0.15">
      <c r="B104" s="26"/>
      <c r="C104" s="59"/>
      <c r="D104" s="282" t="s">
        <v>150</v>
      </c>
      <c r="E104" s="235"/>
      <c r="F104" s="235"/>
      <c r="G104" s="236"/>
      <c r="H104" s="40" t="s">
        <v>20</v>
      </c>
      <c r="I104" s="57"/>
      <c r="J104" s="109"/>
      <c r="K104" s="41" t="str">
        <f t="shared" si="12"/>
        <v>-</v>
      </c>
      <c r="L104" s="42">
        <f t="shared" si="5"/>
        <v>0</v>
      </c>
      <c r="M104" s="159" t="str">
        <f t="shared" si="11"/>
        <v>-</v>
      </c>
      <c r="N104" s="237"/>
      <c r="O104" s="238"/>
      <c r="P104" s="238"/>
      <c r="Q104" s="239"/>
      <c r="R104" s="3"/>
      <c r="S104" s="233">
        <v>1</v>
      </c>
      <c r="T104" s="233">
        <v>1</v>
      </c>
      <c r="U104" s="233">
        <v>1</v>
      </c>
      <c r="V104" s="233">
        <v>1</v>
      </c>
      <c r="W104" s="233">
        <v>1</v>
      </c>
      <c r="X104" s="233">
        <v>1</v>
      </c>
      <c r="Y104" s="233">
        <v>1</v>
      </c>
      <c r="Z104" s="233">
        <v>1</v>
      </c>
      <c r="AA104" s="233">
        <v>1</v>
      </c>
      <c r="AB104" s="233">
        <v>1</v>
      </c>
      <c r="AC104" s="233">
        <v>1</v>
      </c>
      <c r="AD104" s="233">
        <v>1</v>
      </c>
      <c r="AE104" s="233">
        <v>1</v>
      </c>
      <c r="AF104" s="233">
        <v>1</v>
      </c>
      <c r="AG104" s="233">
        <v>1</v>
      </c>
      <c r="AH104" s="229"/>
    </row>
    <row r="105" spans="2:34" ht="23.25" customHeight="1" x14ac:dyDescent="0.15">
      <c r="B105" s="26"/>
      <c r="C105" s="59"/>
      <c r="D105" s="282" t="s">
        <v>151</v>
      </c>
      <c r="E105" s="235"/>
      <c r="F105" s="235"/>
      <c r="G105" s="236"/>
      <c r="H105" s="40" t="s">
        <v>20</v>
      </c>
      <c r="I105" s="57"/>
      <c r="J105" s="109"/>
      <c r="K105" s="41" t="str">
        <f t="shared" si="12"/>
        <v>-</v>
      </c>
      <c r="L105" s="42">
        <f t="shared" si="5"/>
        <v>0</v>
      </c>
      <c r="M105" s="159" t="str">
        <f t="shared" si="11"/>
        <v>-</v>
      </c>
      <c r="N105" s="237"/>
      <c r="O105" s="238"/>
      <c r="P105" s="238"/>
      <c r="Q105" s="239"/>
      <c r="R105" s="3"/>
      <c r="S105" s="529">
        <v>1</v>
      </c>
      <c r="T105" s="529"/>
      <c r="U105" s="529"/>
      <c r="V105" s="529"/>
      <c r="W105" s="529"/>
      <c r="X105" s="529"/>
      <c r="Y105" s="529"/>
      <c r="Z105" s="529"/>
      <c r="AA105" s="529"/>
      <c r="AB105" s="529"/>
      <c r="AC105" s="529"/>
      <c r="AD105" s="529"/>
      <c r="AE105" s="529"/>
      <c r="AF105" s="529"/>
      <c r="AG105" s="233">
        <v>1</v>
      </c>
      <c r="AH105" s="229"/>
    </row>
    <row r="106" spans="2:34" ht="23.25" customHeight="1" x14ac:dyDescent="0.15">
      <c r="B106" s="48"/>
      <c r="C106" s="20"/>
      <c r="D106" s="286" t="s">
        <v>68</v>
      </c>
      <c r="E106" s="324"/>
      <c r="F106" s="324"/>
      <c r="G106" s="287"/>
      <c r="H106" s="60" t="s">
        <v>20</v>
      </c>
      <c r="I106" s="144"/>
      <c r="J106" s="183"/>
      <c r="K106" s="41" t="str">
        <f t="shared" si="12"/>
        <v>-</v>
      </c>
      <c r="L106" s="42">
        <f t="shared" si="5"/>
        <v>0</v>
      </c>
      <c r="M106" s="159" t="str">
        <f t="shared" si="11"/>
        <v>-</v>
      </c>
      <c r="N106" s="237"/>
      <c r="O106" s="238"/>
      <c r="P106" s="238"/>
      <c r="Q106" s="239"/>
      <c r="S106" s="233">
        <v>1</v>
      </c>
      <c r="T106" s="233">
        <v>1</v>
      </c>
      <c r="U106" s="233">
        <v>1</v>
      </c>
      <c r="V106" s="233">
        <v>1</v>
      </c>
      <c r="W106" s="233">
        <v>1</v>
      </c>
      <c r="X106" s="233">
        <v>1</v>
      </c>
      <c r="Y106" s="233">
        <v>1</v>
      </c>
      <c r="Z106" s="233">
        <v>1</v>
      </c>
      <c r="AA106" s="233">
        <v>1</v>
      </c>
      <c r="AB106" s="233">
        <v>1</v>
      </c>
      <c r="AC106" s="233">
        <v>1</v>
      </c>
      <c r="AD106" s="233">
        <v>1</v>
      </c>
      <c r="AE106" s="233">
        <v>1</v>
      </c>
      <c r="AF106" s="233">
        <v>1</v>
      </c>
      <c r="AG106" s="233">
        <v>1</v>
      </c>
    </row>
    <row r="107" spans="2:34" ht="23.25" customHeight="1" x14ac:dyDescent="0.15">
      <c r="B107" s="26"/>
      <c r="C107" s="59"/>
      <c r="D107" s="273" t="s">
        <v>152</v>
      </c>
      <c r="E107" s="235"/>
      <c r="F107" s="235"/>
      <c r="G107" s="236"/>
      <c r="H107" s="40" t="s">
        <v>20</v>
      </c>
      <c r="I107" s="57"/>
      <c r="J107" s="109"/>
      <c r="K107" s="41" t="str">
        <f t="shared" si="12"/>
        <v>-</v>
      </c>
      <c r="L107" s="42">
        <f t="shared" si="5"/>
        <v>0</v>
      </c>
      <c r="M107" s="159" t="str">
        <f t="shared" si="11"/>
        <v>-</v>
      </c>
      <c r="N107" s="237"/>
      <c r="O107" s="238"/>
      <c r="P107" s="238"/>
      <c r="Q107" s="239"/>
      <c r="R107" s="3"/>
      <c r="S107" s="233">
        <v>1</v>
      </c>
      <c r="T107" s="233">
        <v>1</v>
      </c>
      <c r="U107" s="233">
        <v>1</v>
      </c>
      <c r="V107" s="233">
        <v>1</v>
      </c>
      <c r="W107" s="233">
        <v>1</v>
      </c>
      <c r="X107" s="233">
        <v>1</v>
      </c>
      <c r="Y107" s="233">
        <v>1</v>
      </c>
      <c r="Z107" s="233">
        <v>1</v>
      </c>
      <c r="AA107" s="233">
        <v>1</v>
      </c>
      <c r="AB107" s="233">
        <v>1</v>
      </c>
      <c r="AC107" s="233">
        <v>1</v>
      </c>
      <c r="AD107" s="233">
        <v>1</v>
      </c>
      <c r="AE107" s="233">
        <v>1</v>
      </c>
      <c r="AF107" s="233">
        <v>1</v>
      </c>
      <c r="AG107" s="233">
        <v>1</v>
      </c>
      <c r="AH107" s="229"/>
    </row>
    <row r="108" spans="2:34" ht="23.25" customHeight="1" x14ac:dyDescent="0.15">
      <c r="B108" s="26"/>
      <c r="C108" s="59"/>
      <c r="D108" s="132"/>
      <c r="E108" s="235" t="s">
        <v>153</v>
      </c>
      <c r="F108" s="235"/>
      <c r="G108" s="236"/>
      <c r="H108" s="40" t="s">
        <v>20</v>
      </c>
      <c r="I108" s="57"/>
      <c r="J108" s="109"/>
      <c r="K108" s="41" t="str">
        <f t="shared" si="12"/>
        <v>-</v>
      </c>
      <c r="L108" s="42">
        <f t="shared" si="5"/>
        <v>0</v>
      </c>
      <c r="M108" s="159" t="str">
        <f t="shared" si="11"/>
        <v>-</v>
      </c>
      <c r="N108" s="237"/>
      <c r="O108" s="238"/>
      <c r="P108" s="238"/>
      <c r="Q108" s="239"/>
      <c r="R108" s="3"/>
      <c r="S108" s="529"/>
      <c r="T108" s="529"/>
      <c r="U108" s="529"/>
      <c r="V108" s="529"/>
      <c r="W108" s="529"/>
      <c r="X108" s="529"/>
      <c r="Y108" s="529"/>
      <c r="Z108" s="529"/>
      <c r="AA108" s="529"/>
      <c r="AB108" s="529"/>
      <c r="AC108" s="529"/>
      <c r="AD108" s="529"/>
      <c r="AE108" s="529"/>
      <c r="AF108" s="529"/>
      <c r="AG108" s="529"/>
      <c r="AH108" s="229"/>
    </row>
    <row r="109" spans="2:34" ht="23.25" customHeight="1" x14ac:dyDescent="0.15">
      <c r="B109" s="48"/>
      <c r="C109" s="22"/>
      <c r="D109" s="282" t="s">
        <v>69</v>
      </c>
      <c r="E109" s="235"/>
      <c r="F109" s="235"/>
      <c r="G109" s="236"/>
      <c r="H109" s="88" t="s">
        <v>20</v>
      </c>
      <c r="I109" s="144"/>
      <c r="J109" s="183"/>
      <c r="K109" s="41" t="str">
        <f t="shared" si="12"/>
        <v>-</v>
      </c>
      <c r="L109" s="42">
        <f t="shared" si="5"/>
        <v>0</v>
      </c>
      <c r="M109" s="159" t="str">
        <f t="shared" si="11"/>
        <v>-</v>
      </c>
      <c r="N109" s="237"/>
      <c r="O109" s="238"/>
      <c r="P109" s="238"/>
      <c r="Q109" s="239"/>
      <c r="S109" s="233">
        <v>1</v>
      </c>
      <c r="T109" s="233">
        <v>1</v>
      </c>
      <c r="U109" s="233">
        <v>1</v>
      </c>
      <c r="V109" s="233">
        <v>1</v>
      </c>
      <c r="W109" s="233">
        <v>1</v>
      </c>
      <c r="X109" s="233">
        <v>1</v>
      </c>
      <c r="Y109" s="233">
        <v>1</v>
      </c>
      <c r="Z109" s="233">
        <v>1</v>
      </c>
      <c r="AA109" s="233">
        <v>1</v>
      </c>
      <c r="AB109" s="233">
        <v>1</v>
      </c>
      <c r="AC109" s="233">
        <v>1</v>
      </c>
      <c r="AD109" s="233">
        <v>1</v>
      </c>
      <c r="AE109" s="233">
        <v>1</v>
      </c>
      <c r="AF109" s="233">
        <v>1</v>
      </c>
      <c r="AG109" s="233">
        <v>1</v>
      </c>
    </row>
    <row r="110" spans="2:34" ht="23.25" customHeight="1" x14ac:dyDescent="0.15">
      <c r="B110" s="26"/>
      <c r="C110" s="59"/>
      <c r="D110" s="321" t="s">
        <v>154</v>
      </c>
      <c r="E110" s="322"/>
      <c r="F110" s="322"/>
      <c r="G110" s="323"/>
      <c r="H110" s="72" t="s">
        <v>20</v>
      </c>
      <c r="I110" s="73"/>
      <c r="J110" s="133"/>
      <c r="K110" s="75" t="str">
        <f t="shared" si="12"/>
        <v>-</v>
      </c>
      <c r="L110" s="70">
        <f t="shared" si="5"/>
        <v>0</v>
      </c>
      <c r="M110" s="160" t="str">
        <f>IFERROR(ROUND((J110-I110)/($J$90-$I$90)*100,1),"-")</f>
        <v>-</v>
      </c>
      <c r="N110" s="237"/>
      <c r="O110" s="238"/>
      <c r="P110" s="238"/>
      <c r="Q110" s="239"/>
      <c r="R110" s="3"/>
      <c r="S110" s="233">
        <v>1</v>
      </c>
      <c r="T110" s="233">
        <v>1</v>
      </c>
      <c r="U110" s="233">
        <v>1</v>
      </c>
      <c r="V110" s="233">
        <v>1</v>
      </c>
      <c r="W110" s="233">
        <v>1</v>
      </c>
      <c r="X110" s="233">
        <v>1</v>
      </c>
      <c r="Y110" s="233">
        <v>1</v>
      </c>
      <c r="Z110" s="233">
        <v>1</v>
      </c>
      <c r="AA110" s="233">
        <v>1</v>
      </c>
      <c r="AB110" s="233">
        <v>1</v>
      </c>
      <c r="AC110" s="233">
        <v>1</v>
      </c>
      <c r="AD110" s="233">
        <v>1</v>
      </c>
      <c r="AE110" s="233">
        <v>1</v>
      </c>
      <c r="AF110" s="233">
        <v>1</v>
      </c>
      <c r="AG110" s="233">
        <v>1</v>
      </c>
      <c r="AH110" s="229"/>
    </row>
    <row r="111" spans="2:34" ht="23.25" customHeight="1" x14ac:dyDescent="0.15">
      <c r="B111" s="26"/>
      <c r="C111" s="59"/>
      <c r="D111" s="134"/>
      <c r="E111" s="235" t="s">
        <v>155</v>
      </c>
      <c r="F111" s="235"/>
      <c r="G111" s="236"/>
      <c r="H111" s="40" t="s">
        <v>20</v>
      </c>
      <c r="I111" s="57"/>
      <c r="J111" s="109"/>
      <c r="K111" s="41" t="str">
        <f t="shared" si="12"/>
        <v>-</v>
      </c>
      <c r="L111" s="42">
        <f t="shared" si="5"/>
        <v>0</v>
      </c>
      <c r="M111" s="159" t="str">
        <f t="shared" ref="M111:M114" si="13">IFERROR(ROUND((J111-I111)/($J$90-$I$90)*100,1),"-")</f>
        <v>-</v>
      </c>
      <c r="N111" s="237"/>
      <c r="O111" s="238"/>
      <c r="P111" s="238"/>
      <c r="Q111" s="239"/>
      <c r="R111" s="3"/>
      <c r="S111" s="529"/>
      <c r="T111" s="529"/>
      <c r="U111" s="529"/>
      <c r="V111" s="529"/>
      <c r="W111" s="529"/>
      <c r="X111" s="529"/>
      <c r="Y111" s="529"/>
      <c r="Z111" s="529"/>
      <c r="AA111" s="529"/>
      <c r="AB111" s="529"/>
      <c r="AC111" s="529"/>
      <c r="AD111" s="529"/>
      <c r="AE111" s="529"/>
      <c r="AF111" s="529"/>
      <c r="AG111" s="529"/>
      <c r="AH111" s="229"/>
    </row>
    <row r="112" spans="2:34" ht="23.25" customHeight="1" x14ac:dyDescent="0.15">
      <c r="B112" s="26"/>
      <c r="C112" s="59"/>
      <c r="D112" s="134"/>
      <c r="E112" s="235" t="s">
        <v>156</v>
      </c>
      <c r="F112" s="235"/>
      <c r="G112" s="236"/>
      <c r="H112" s="40" t="s">
        <v>20</v>
      </c>
      <c r="I112" s="57"/>
      <c r="J112" s="109"/>
      <c r="K112" s="41" t="str">
        <f t="shared" si="12"/>
        <v>-</v>
      </c>
      <c r="L112" s="42">
        <f t="shared" si="5"/>
        <v>0</v>
      </c>
      <c r="M112" s="159" t="str">
        <f t="shared" si="13"/>
        <v>-</v>
      </c>
      <c r="N112" s="237"/>
      <c r="O112" s="238"/>
      <c r="P112" s="238"/>
      <c r="Q112" s="239"/>
      <c r="R112" s="3"/>
      <c r="S112" s="529"/>
      <c r="T112" s="529"/>
      <c r="U112" s="529"/>
      <c r="V112" s="529"/>
      <c r="W112" s="529"/>
      <c r="X112" s="529"/>
      <c r="Y112" s="529"/>
      <c r="Z112" s="529"/>
      <c r="AA112" s="529"/>
      <c r="AB112" s="529"/>
      <c r="AC112" s="529"/>
      <c r="AD112" s="529"/>
      <c r="AE112" s="529"/>
      <c r="AF112" s="529"/>
      <c r="AG112" s="529"/>
      <c r="AH112" s="229"/>
    </row>
    <row r="113" spans="2:34" ht="23.25" customHeight="1" x14ac:dyDescent="0.15">
      <c r="B113" s="26"/>
      <c r="C113" s="59"/>
      <c r="D113" s="132"/>
      <c r="E113" s="235" t="s">
        <v>157</v>
      </c>
      <c r="F113" s="235"/>
      <c r="G113" s="236"/>
      <c r="H113" s="40" t="s">
        <v>20</v>
      </c>
      <c r="I113" s="57"/>
      <c r="J113" s="109"/>
      <c r="K113" s="41" t="str">
        <f t="shared" si="12"/>
        <v>-</v>
      </c>
      <c r="L113" s="42">
        <f t="shared" si="5"/>
        <v>0</v>
      </c>
      <c r="M113" s="159" t="str">
        <f t="shared" si="13"/>
        <v>-</v>
      </c>
      <c r="N113" s="237"/>
      <c r="O113" s="238"/>
      <c r="P113" s="238"/>
      <c r="Q113" s="239"/>
      <c r="R113" s="3"/>
      <c r="S113" s="529"/>
      <c r="T113" s="529"/>
      <c r="U113" s="529"/>
      <c r="V113" s="529"/>
      <c r="W113" s="529"/>
      <c r="X113" s="529"/>
      <c r="Y113" s="529"/>
      <c r="Z113" s="529"/>
      <c r="AA113" s="529"/>
      <c r="AB113" s="529"/>
      <c r="AC113" s="529"/>
      <c r="AD113" s="529"/>
      <c r="AE113" s="529"/>
      <c r="AF113" s="529"/>
      <c r="AG113" s="529"/>
      <c r="AH113" s="229"/>
    </row>
    <row r="114" spans="2:34" ht="23.25" customHeight="1" x14ac:dyDescent="0.15">
      <c r="B114" s="26"/>
      <c r="C114" s="135"/>
      <c r="D114" s="327" t="s">
        <v>158</v>
      </c>
      <c r="E114" s="328"/>
      <c r="F114" s="328"/>
      <c r="G114" s="329"/>
      <c r="H114" s="61" t="s">
        <v>20</v>
      </c>
      <c r="I114" s="136"/>
      <c r="J114" s="137"/>
      <c r="K114" s="64" t="str">
        <f t="shared" si="12"/>
        <v>-</v>
      </c>
      <c r="L114" s="65">
        <f t="shared" si="5"/>
        <v>0</v>
      </c>
      <c r="M114" s="163" t="str">
        <f t="shared" si="13"/>
        <v>-</v>
      </c>
      <c r="N114" s="330"/>
      <c r="O114" s="331"/>
      <c r="P114" s="331"/>
      <c r="Q114" s="332"/>
      <c r="R114" s="3"/>
      <c r="S114" s="529"/>
      <c r="T114" s="529"/>
      <c r="U114" s="529"/>
      <c r="V114" s="529"/>
      <c r="W114" s="529"/>
      <c r="X114" s="529"/>
      <c r="Y114" s="529"/>
      <c r="Z114" s="529"/>
      <c r="AA114" s="233">
        <v>1</v>
      </c>
      <c r="AB114" s="529">
        <v>1</v>
      </c>
      <c r="AC114" s="529"/>
      <c r="AD114" s="529"/>
      <c r="AE114" s="529"/>
      <c r="AF114" s="529"/>
      <c r="AG114" s="233">
        <v>1</v>
      </c>
      <c r="AH114" s="229"/>
    </row>
    <row r="115" spans="2:34" ht="23.25" customHeight="1" thickBot="1" x14ac:dyDescent="0.2">
      <c r="B115" s="48"/>
      <c r="C115" s="333" t="s">
        <v>159</v>
      </c>
      <c r="D115" s="334"/>
      <c r="E115" s="334"/>
      <c r="F115" s="334"/>
      <c r="G115" s="335"/>
      <c r="H115" s="18" t="s">
        <v>20</v>
      </c>
      <c r="I115" s="180"/>
      <c r="J115" s="186"/>
      <c r="K115" s="2" t="str">
        <f t="shared" si="12"/>
        <v>-</v>
      </c>
      <c r="L115" s="19">
        <f t="shared" si="5"/>
        <v>0</v>
      </c>
      <c r="M115" s="158"/>
      <c r="N115" s="336"/>
      <c r="O115" s="337"/>
      <c r="P115" s="337"/>
      <c r="Q115" s="338"/>
      <c r="S115" s="233">
        <v>1</v>
      </c>
      <c r="T115" s="233">
        <v>1</v>
      </c>
      <c r="U115" s="233">
        <v>1</v>
      </c>
      <c r="V115" s="233">
        <v>1</v>
      </c>
      <c r="W115" s="233">
        <v>1</v>
      </c>
      <c r="X115" s="233">
        <v>1</v>
      </c>
      <c r="Y115" s="233">
        <v>1</v>
      </c>
      <c r="Z115" s="233">
        <v>1</v>
      </c>
      <c r="AA115" s="233">
        <v>1</v>
      </c>
      <c r="AB115" s="233">
        <v>1</v>
      </c>
      <c r="AC115" s="233">
        <v>1</v>
      </c>
      <c r="AD115" s="233">
        <v>1</v>
      </c>
      <c r="AE115" s="233">
        <v>1</v>
      </c>
      <c r="AF115" s="233">
        <v>1</v>
      </c>
      <c r="AG115" s="233">
        <v>1</v>
      </c>
    </row>
    <row r="116" spans="2:34" ht="23.25" customHeight="1" x14ac:dyDescent="0.15">
      <c r="B116" s="48"/>
      <c r="C116" s="326" t="s">
        <v>160</v>
      </c>
      <c r="D116" s="322"/>
      <c r="E116" s="322"/>
      <c r="F116" s="322"/>
      <c r="G116" s="323"/>
      <c r="H116" s="53" t="s">
        <v>20</v>
      </c>
      <c r="I116" s="187"/>
      <c r="J116" s="188"/>
      <c r="K116" s="38" t="str">
        <f t="shared" si="12"/>
        <v>-</v>
      </c>
      <c r="L116" s="39">
        <f t="shared" si="5"/>
        <v>0</v>
      </c>
      <c r="M116" s="164"/>
      <c r="N116" s="270"/>
      <c r="O116" s="271"/>
      <c r="P116" s="271"/>
      <c r="Q116" s="272"/>
      <c r="S116" s="233">
        <v>1</v>
      </c>
      <c r="T116" s="233">
        <v>1</v>
      </c>
      <c r="U116" s="233">
        <v>1</v>
      </c>
      <c r="V116" s="233">
        <v>1</v>
      </c>
      <c r="W116" s="233">
        <v>1</v>
      </c>
      <c r="X116" s="233">
        <v>1</v>
      </c>
      <c r="Y116" s="233">
        <v>1</v>
      </c>
      <c r="Z116" s="233">
        <v>1</v>
      </c>
      <c r="AA116" s="233">
        <v>1</v>
      </c>
      <c r="AB116" s="233">
        <v>1</v>
      </c>
      <c r="AC116" s="233">
        <v>1</v>
      </c>
      <c r="AD116" s="233">
        <v>1</v>
      </c>
      <c r="AE116" s="233">
        <v>1</v>
      </c>
      <c r="AF116" s="233">
        <v>1</v>
      </c>
      <c r="AG116" s="233">
        <v>1</v>
      </c>
    </row>
    <row r="117" spans="2:34" ht="23.25" customHeight="1" x14ac:dyDescent="0.15">
      <c r="B117" s="26"/>
      <c r="C117" s="54"/>
      <c r="D117" s="282" t="s">
        <v>161</v>
      </c>
      <c r="E117" s="235"/>
      <c r="F117" s="235"/>
      <c r="G117" s="236"/>
      <c r="H117" s="40" t="s">
        <v>20</v>
      </c>
      <c r="I117" s="57"/>
      <c r="J117" s="58"/>
      <c r="K117" s="41" t="str">
        <f t="shared" si="12"/>
        <v>-</v>
      </c>
      <c r="L117" s="42">
        <f t="shared" si="5"/>
        <v>0</v>
      </c>
      <c r="M117" s="159"/>
      <c r="N117" s="293"/>
      <c r="O117" s="294"/>
      <c r="P117" s="294"/>
      <c r="Q117" s="295"/>
      <c r="R117" s="3"/>
      <c r="S117" s="233">
        <v>1</v>
      </c>
      <c r="T117" s="233">
        <v>1</v>
      </c>
      <c r="U117" s="233">
        <v>1</v>
      </c>
      <c r="V117" s="233">
        <v>1</v>
      </c>
      <c r="W117" s="233">
        <v>1</v>
      </c>
      <c r="X117" s="233">
        <v>1</v>
      </c>
      <c r="Y117" s="233">
        <v>1</v>
      </c>
      <c r="Z117" s="233">
        <v>1</v>
      </c>
      <c r="AA117" s="233">
        <v>1</v>
      </c>
      <c r="AB117" s="233">
        <v>1</v>
      </c>
      <c r="AC117" s="233">
        <v>1</v>
      </c>
      <c r="AD117" s="233">
        <v>1</v>
      </c>
      <c r="AE117" s="233">
        <v>1</v>
      </c>
      <c r="AF117" s="233">
        <v>1</v>
      </c>
      <c r="AG117" s="233">
        <v>1</v>
      </c>
      <c r="AH117" s="229"/>
    </row>
    <row r="118" spans="2:34" ht="23.25" customHeight="1" x14ac:dyDescent="0.15">
      <c r="B118" s="26"/>
      <c r="C118" s="59"/>
      <c r="D118" s="282" t="s">
        <v>162</v>
      </c>
      <c r="E118" s="235"/>
      <c r="F118" s="235"/>
      <c r="G118" s="236"/>
      <c r="H118" s="40" t="s">
        <v>20</v>
      </c>
      <c r="I118" s="57"/>
      <c r="J118" s="58"/>
      <c r="K118" s="41" t="str">
        <f t="shared" si="12"/>
        <v>-</v>
      </c>
      <c r="L118" s="42">
        <f t="shared" si="5"/>
        <v>0</v>
      </c>
      <c r="M118" s="159"/>
      <c r="N118" s="293"/>
      <c r="O118" s="294"/>
      <c r="P118" s="294"/>
      <c r="Q118" s="295"/>
      <c r="R118" s="3"/>
      <c r="S118" s="233">
        <v>1</v>
      </c>
      <c r="T118" s="233">
        <v>1</v>
      </c>
      <c r="U118" s="233">
        <v>1</v>
      </c>
      <c r="V118" s="233">
        <v>1</v>
      </c>
      <c r="W118" s="233">
        <v>1</v>
      </c>
      <c r="X118" s="233">
        <v>1</v>
      </c>
      <c r="Y118" s="233">
        <v>1</v>
      </c>
      <c r="Z118" s="233">
        <v>1</v>
      </c>
      <c r="AA118" s="233">
        <v>1</v>
      </c>
      <c r="AB118" s="233">
        <v>1</v>
      </c>
      <c r="AC118" s="233">
        <v>1</v>
      </c>
      <c r="AD118" s="233">
        <v>1</v>
      </c>
      <c r="AE118" s="233">
        <v>1</v>
      </c>
      <c r="AF118" s="233">
        <v>1</v>
      </c>
      <c r="AG118" s="233">
        <v>1</v>
      </c>
      <c r="AH118" s="229"/>
    </row>
    <row r="119" spans="2:34" ht="23.25" customHeight="1" x14ac:dyDescent="0.15">
      <c r="B119" s="26"/>
      <c r="C119" s="59"/>
      <c r="D119" s="282" t="s">
        <v>163</v>
      </c>
      <c r="E119" s="235"/>
      <c r="F119" s="235"/>
      <c r="G119" s="236"/>
      <c r="H119" s="40" t="s">
        <v>20</v>
      </c>
      <c r="I119" s="57"/>
      <c r="J119" s="58"/>
      <c r="K119" s="41" t="str">
        <f t="shared" si="12"/>
        <v>-</v>
      </c>
      <c r="L119" s="42">
        <f t="shared" si="5"/>
        <v>0</v>
      </c>
      <c r="M119" s="159"/>
      <c r="N119" s="293"/>
      <c r="O119" s="294"/>
      <c r="P119" s="294"/>
      <c r="Q119" s="295"/>
      <c r="R119" s="3"/>
      <c r="S119" s="233">
        <v>1</v>
      </c>
      <c r="T119" s="233">
        <v>1</v>
      </c>
      <c r="U119" s="233">
        <v>1</v>
      </c>
      <c r="V119" s="233">
        <v>1</v>
      </c>
      <c r="W119" s="233">
        <v>1</v>
      </c>
      <c r="X119" s="233">
        <v>1</v>
      </c>
      <c r="Y119" s="233">
        <v>1</v>
      </c>
      <c r="Z119" s="233">
        <v>1</v>
      </c>
      <c r="AA119" s="233">
        <v>1</v>
      </c>
      <c r="AB119" s="233">
        <v>1</v>
      </c>
      <c r="AC119" s="233">
        <v>1</v>
      </c>
      <c r="AD119" s="233">
        <v>1</v>
      </c>
      <c r="AE119" s="233">
        <v>1</v>
      </c>
      <c r="AF119" s="233">
        <v>1</v>
      </c>
      <c r="AG119" s="233">
        <v>1</v>
      </c>
      <c r="AH119" s="229"/>
    </row>
    <row r="120" spans="2:34" ht="23.25" customHeight="1" x14ac:dyDescent="0.15">
      <c r="B120" s="48"/>
      <c r="C120" s="325" t="s">
        <v>164</v>
      </c>
      <c r="D120" s="235"/>
      <c r="E120" s="235"/>
      <c r="F120" s="235"/>
      <c r="G120" s="236"/>
      <c r="H120" s="60" t="s">
        <v>20</v>
      </c>
      <c r="I120" s="144"/>
      <c r="J120" s="183"/>
      <c r="K120" s="41" t="str">
        <f t="shared" si="12"/>
        <v>-</v>
      </c>
      <c r="L120" s="42">
        <f t="shared" si="5"/>
        <v>0</v>
      </c>
      <c r="M120" s="159"/>
      <c r="N120" s="237"/>
      <c r="O120" s="238"/>
      <c r="P120" s="238"/>
      <c r="Q120" s="239"/>
      <c r="S120" s="233">
        <v>1</v>
      </c>
      <c r="T120" s="233">
        <v>1</v>
      </c>
      <c r="U120" s="233">
        <v>1</v>
      </c>
      <c r="V120" s="233">
        <v>1</v>
      </c>
      <c r="W120" s="233">
        <v>1</v>
      </c>
      <c r="X120" s="233">
        <v>1</v>
      </c>
      <c r="Y120" s="233">
        <v>1</v>
      </c>
      <c r="Z120" s="233">
        <v>1</v>
      </c>
      <c r="AA120" s="233">
        <v>1</v>
      </c>
      <c r="AB120" s="233">
        <v>1</v>
      </c>
      <c r="AC120" s="233">
        <v>1</v>
      </c>
      <c r="AD120" s="233">
        <v>1</v>
      </c>
      <c r="AE120" s="233">
        <v>1</v>
      </c>
      <c r="AF120" s="233">
        <v>1</v>
      </c>
      <c r="AG120" s="233">
        <v>1</v>
      </c>
    </row>
    <row r="121" spans="2:34" ht="23.25" customHeight="1" x14ac:dyDescent="0.15">
      <c r="B121" s="26"/>
      <c r="C121" s="54"/>
      <c r="D121" s="282" t="s">
        <v>165</v>
      </c>
      <c r="E121" s="235"/>
      <c r="F121" s="235"/>
      <c r="G121" s="236"/>
      <c r="H121" s="40" t="s">
        <v>20</v>
      </c>
      <c r="I121" s="57"/>
      <c r="J121" s="58"/>
      <c r="K121" s="41" t="str">
        <f t="shared" si="12"/>
        <v>-</v>
      </c>
      <c r="L121" s="42">
        <f t="shared" si="5"/>
        <v>0</v>
      </c>
      <c r="M121" s="159"/>
      <c r="N121" s="293"/>
      <c r="O121" s="294"/>
      <c r="P121" s="294"/>
      <c r="Q121" s="295"/>
      <c r="R121" s="3"/>
      <c r="S121" s="233">
        <v>1</v>
      </c>
      <c r="T121" s="233">
        <v>1</v>
      </c>
      <c r="U121" s="233">
        <v>1</v>
      </c>
      <c r="V121" s="233">
        <v>1</v>
      </c>
      <c r="W121" s="233">
        <v>1</v>
      </c>
      <c r="X121" s="233">
        <v>1</v>
      </c>
      <c r="Y121" s="233">
        <v>1</v>
      </c>
      <c r="Z121" s="233">
        <v>1</v>
      </c>
      <c r="AA121" s="233">
        <v>1</v>
      </c>
      <c r="AB121" s="233">
        <v>1</v>
      </c>
      <c r="AC121" s="233">
        <v>1</v>
      </c>
      <c r="AD121" s="233">
        <v>1</v>
      </c>
      <c r="AE121" s="233">
        <v>1</v>
      </c>
      <c r="AF121" s="233">
        <v>1</v>
      </c>
      <c r="AG121" s="233">
        <v>1</v>
      </c>
      <c r="AH121" s="229"/>
    </row>
    <row r="122" spans="2:34" ht="23.25" customHeight="1" x14ac:dyDescent="0.15">
      <c r="B122" s="26"/>
      <c r="C122" s="59"/>
      <c r="D122" s="282" t="s">
        <v>166</v>
      </c>
      <c r="E122" s="235"/>
      <c r="F122" s="235"/>
      <c r="G122" s="236"/>
      <c r="H122" s="40" t="s">
        <v>20</v>
      </c>
      <c r="I122" s="57"/>
      <c r="J122" s="58"/>
      <c r="K122" s="41" t="str">
        <f t="shared" si="12"/>
        <v>-</v>
      </c>
      <c r="L122" s="42">
        <f t="shared" si="5"/>
        <v>0</v>
      </c>
      <c r="M122" s="159"/>
      <c r="N122" s="293"/>
      <c r="O122" s="294"/>
      <c r="P122" s="294"/>
      <c r="Q122" s="295"/>
      <c r="R122" s="3"/>
      <c r="S122" s="233">
        <v>1</v>
      </c>
      <c r="T122" s="233">
        <v>1</v>
      </c>
      <c r="U122" s="233">
        <v>1</v>
      </c>
      <c r="V122" s="233">
        <v>1</v>
      </c>
      <c r="W122" s="233">
        <v>1</v>
      </c>
      <c r="X122" s="233">
        <v>1</v>
      </c>
      <c r="Y122" s="233">
        <v>1</v>
      </c>
      <c r="Z122" s="233">
        <v>1</v>
      </c>
      <c r="AA122" s="233">
        <v>1</v>
      </c>
      <c r="AB122" s="233">
        <v>1</v>
      </c>
      <c r="AC122" s="233">
        <v>1</v>
      </c>
      <c r="AD122" s="233">
        <v>1</v>
      </c>
      <c r="AE122" s="233">
        <v>1</v>
      </c>
      <c r="AF122" s="233">
        <v>1</v>
      </c>
      <c r="AG122" s="233">
        <v>1</v>
      </c>
      <c r="AH122" s="229"/>
    </row>
    <row r="123" spans="2:34" ht="23.25" customHeight="1" x14ac:dyDescent="0.15">
      <c r="B123" s="26"/>
      <c r="C123" s="59"/>
      <c r="D123" s="327" t="s">
        <v>167</v>
      </c>
      <c r="E123" s="328"/>
      <c r="F123" s="328"/>
      <c r="G123" s="329"/>
      <c r="H123" s="61" t="s">
        <v>20</v>
      </c>
      <c r="I123" s="62"/>
      <c r="J123" s="63"/>
      <c r="K123" s="64" t="str">
        <f t="shared" si="12"/>
        <v>-</v>
      </c>
      <c r="L123" s="65">
        <f t="shared" si="5"/>
        <v>0</v>
      </c>
      <c r="M123" s="163"/>
      <c r="N123" s="330"/>
      <c r="O123" s="331"/>
      <c r="P123" s="331"/>
      <c r="Q123" s="332"/>
      <c r="R123" s="3"/>
      <c r="S123" s="233">
        <v>1</v>
      </c>
      <c r="T123" s="233">
        <v>1</v>
      </c>
      <c r="U123" s="233">
        <v>1</v>
      </c>
      <c r="V123" s="233">
        <v>1</v>
      </c>
      <c r="W123" s="233">
        <v>1</v>
      </c>
      <c r="X123" s="233">
        <v>1</v>
      </c>
      <c r="Y123" s="233">
        <v>1</v>
      </c>
      <c r="Z123" s="233">
        <v>1</v>
      </c>
      <c r="AA123" s="233">
        <v>1</v>
      </c>
      <c r="AB123" s="233">
        <v>1</v>
      </c>
      <c r="AC123" s="233">
        <v>1</v>
      </c>
      <c r="AD123" s="233">
        <v>1</v>
      </c>
      <c r="AE123" s="233">
        <v>1</v>
      </c>
      <c r="AF123" s="233">
        <v>1</v>
      </c>
      <c r="AG123" s="233">
        <v>1</v>
      </c>
      <c r="AH123" s="229"/>
    </row>
    <row r="124" spans="2:34" ht="23.25" customHeight="1" x14ac:dyDescent="0.15">
      <c r="B124" s="26"/>
      <c r="C124" s="59"/>
      <c r="D124" s="340" t="s">
        <v>168</v>
      </c>
      <c r="E124" s="343" t="s">
        <v>169</v>
      </c>
      <c r="F124" s="344"/>
      <c r="G124" s="345"/>
      <c r="H124" s="66" t="s">
        <v>20</v>
      </c>
      <c r="I124" s="67"/>
      <c r="J124" s="68"/>
      <c r="K124" s="69" t="str">
        <f t="shared" si="12"/>
        <v>-</v>
      </c>
      <c r="L124" s="70">
        <f t="shared" si="5"/>
        <v>0</v>
      </c>
      <c r="M124" s="160"/>
      <c r="N124" s="346"/>
      <c r="O124" s="347"/>
      <c r="P124" s="347"/>
      <c r="Q124" s="348"/>
      <c r="R124" s="3"/>
      <c r="S124" s="529"/>
      <c r="T124" s="529"/>
      <c r="U124" s="529"/>
      <c r="V124" s="529"/>
      <c r="W124" s="529"/>
      <c r="X124" s="529"/>
      <c r="Y124" s="529"/>
      <c r="Z124" s="529"/>
      <c r="AA124" s="529"/>
      <c r="AB124" s="529"/>
      <c r="AC124" s="529"/>
      <c r="AD124" s="529"/>
      <c r="AE124" s="529"/>
      <c r="AF124" s="529"/>
      <c r="AG124" s="529"/>
      <c r="AH124" s="229"/>
    </row>
    <row r="125" spans="2:34" ht="23.25" customHeight="1" x14ac:dyDescent="0.15">
      <c r="B125" s="26"/>
      <c r="C125" s="59"/>
      <c r="D125" s="341"/>
      <c r="E125" s="71"/>
      <c r="F125" s="282" t="s">
        <v>170</v>
      </c>
      <c r="G125" s="339"/>
      <c r="H125" s="40" t="s">
        <v>20</v>
      </c>
      <c r="I125" s="57"/>
      <c r="J125" s="58"/>
      <c r="K125" s="41" t="str">
        <f t="shared" si="12"/>
        <v>-</v>
      </c>
      <c r="L125" s="42">
        <f t="shared" si="5"/>
        <v>0</v>
      </c>
      <c r="M125" s="159"/>
      <c r="N125" s="293"/>
      <c r="O125" s="294"/>
      <c r="P125" s="294"/>
      <c r="Q125" s="295"/>
      <c r="R125" s="3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229"/>
    </row>
    <row r="126" spans="2:34" ht="23.25" customHeight="1" x14ac:dyDescent="0.15">
      <c r="B126" s="26"/>
      <c r="C126" s="59"/>
      <c r="D126" s="341"/>
      <c r="E126" s="71"/>
      <c r="F126" s="282" t="s">
        <v>171</v>
      </c>
      <c r="G126" s="339"/>
      <c r="H126" s="40" t="s">
        <v>20</v>
      </c>
      <c r="I126" s="57"/>
      <c r="J126" s="58"/>
      <c r="K126" s="41" t="str">
        <f t="shared" si="12"/>
        <v>-</v>
      </c>
      <c r="L126" s="42">
        <f t="shared" si="5"/>
        <v>0</v>
      </c>
      <c r="M126" s="159"/>
      <c r="N126" s="293"/>
      <c r="O126" s="294"/>
      <c r="P126" s="294"/>
      <c r="Q126" s="295"/>
      <c r="R126" s="3"/>
      <c r="S126" s="529"/>
      <c r="T126" s="529"/>
      <c r="U126" s="529"/>
      <c r="V126" s="529"/>
      <c r="W126" s="529"/>
      <c r="X126" s="529"/>
      <c r="Y126" s="529"/>
      <c r="Z126" s="529"/>
      <c r="AA126" s="529"/>
      <c r="AB126" s="529"/>
      <c r="AC126" s="529"/>
      <c r="AD126" s="529"/>
      <c r="AE126" s="529"/>
      <c r="AF126" s="529"/>
      <c r="AG126" s="529"/>
      <c r="AH126" s="229"/>
    </row>
    <row r="127" spans="2:34" ht="23.25" customHeight="1" x14ac:dyDescent="0.15">
      <c r="B127" s="26"/>
      <c r="C127" s="59"/>
      <c r="D127" s="341"/>
      <c r="E127" s="71"/>
      <c r="F127" s="282" t="s">
        <v>172</v>
      </c>
      <c r="G127" s="339"/>
      <c r="H127" s="40" t="s">
        <v>20</v>
      </c>
      <c r="I127" s="57"/>
      <c r="J127" s="58"/>
      <c r="K127" s="41" t="str">
        <f t="shared" si="12"/>
        <v>-</v>
      </c>
      <c r="L127" s="42">
        <f t="shared" si="5"/>
        <v>0</v>
      </c>
      <c r="M127" s="159"/>
      <c r="N127" s="293"/>
      <c r="O127" s="294"/>
      <c r="P127" s="294"/>
      <c r="Q127" s="295"/>
      <c r="R127" s="3"/>
      <c r="S127" s="529"/>
      <c r="T127" s="529"/>
      <c r="U127" s="529"/>
      <c r="V127" s="529"/>
      <c r="W127" s="529"/>
      <c r="X127" s="529"/>
      <c r="Y127" s="529"/>
      <c r="Z127" s="529"/>
      <c r="AA127" s="529"/>
      <c r="AB127" s="529"/>
      <c r="AC127" s="529"/>
      <c r="AD127" s="529"/>
      <c r="AE127" s="529"/>
      <c r="AF127" s="529"/>
      <c r="AG127" s="529"/>
      <c r="AH127" s="229"/>
    </row>
    <row r="128" spans="2:34" ht="23.25" customHeight="1" x14ac:dyDescent="0.15">
      <c r="B128" s="26"/>
      <c r="C128" s="59"/>
      <c r="D128" s="341"/>
      <c r="E128" s="71"/>
      <c r="F128" s="282" t="s">
        <v>173</v>
      </c>
      <c r="G128" s="339"/>
      <c r="H128" s="40" t="s">
        <v>20</v>
      </c>
      <c r="I128" s="57"/>
      <c r="J128" s="58"/>
      <c r="K128" s="41" t="str">
        <f t="shared" si="12"/>
        <v>-</v>
      </c>
      <c r="L128" s="42">
        <f t="shared" si="5"/>
        <v>0</v>
      </c>
      <c r="M128" s="159"/>
      <c r="N128" s="293"/>
      <c r="O128" s="294"/>
      <c r="P128" s="294"/>
      <c r="Q128" s="295"/>
      <c r="R128" s="3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229"/>
    </row>
    <row r="129" spans="2:34" ht="23.25" customHeight="1" x14ac:dyDescent="0.15">
      <c r="B129" s="26"/>
      <c r="C129" s="59"/>
      <c r="D129" s="341"/>
      <c r="E129" s="71"/>
      <c r="F129" s="282" t="s">
        <v>174</v>
      </c>
      <c r="G129" s="339"/>
      <c r="H129" s="40" t="s">
        <v>20</v>
      </c>
      <c r="I129" s="57"/>
      <c r="J129" s="58"/>
      <c r="K129" s="41" t="str">
        <f t="shared" si="12"/>
        <v>-</v>
      </c>
      <c r="L129" s="42">
        <f t="shared" si="5"/>
        <v>0</v>
      </c>
      <c r="M129" s="159"/>
      <c r="N129" s="293"/>
      <c r="O129" s="294"/>
      <c r="P129" s="294"/>
      <c r="Q129" s="295"/>
      <c r="R129" s="3"/>
      <c r="S129" s="529"/>
      <c r="T129" s="529"/>
      <c r="U129" s="529"/>
      <c r="V129" s="529"/>
      <c r="W129" s="529"/>
      <c r="X129" s="529"/>
      <c r="Y129" s="529"/>
      <c r="Z129" s="529"/>
      <c r="AA129" s="529"/>
      <c r="AB129" s="529"/>
      <c r="AC129" s="529"/>
      <c r="AD129" s="529"/>
      <c r="AE129" s="529"/>
      <c r="AF129" s="529"/>
      <c r="AG129" s="529"/>
      <c r="AH129" s="229"/>
    </row>
    <row r="130" spans="2:34" ht="23.25" customHeight="1" x14ac:dyDescent="0.15">
      <c r="B130" s="26"/>
      <c r="C130" s="59"/>
      <c r="D130" s="342"/>
      <c r="E130" s="282" t="s">
        <v>175</v>
      </c>
      <c r="F130" s="349"/>
      <c r="G130" s="339"/>
      <c r="H130" s="40" t="s">
        <v>20</v>
      </c>
      <c r="I130" s="57"/>
      <c r="J130" s="58"/>
      <c r="K130" s="41" t="str">
        <f t="shared" si="12"/>
        <v>-</v>
      </c>
      <c r="L130" s="42">
        <f t="shared" si="5"/>
        <v>0</v>
      </c>
      <c r="M130" s="159"/>
      <c r="N130" s="293"/>
      <c r="O130" s="294"/>
      <c r="P130" s="294"/>
      <c r="Q130" s="295"/>
      <c r="R130" s="3"/>
      <c r="S130" s="529"/>
      <c r="T130" s="529"/>
      <c r="U130" s="529"/>
      <c r="V130" s="529"/>
      <c r="W130" s="529"/>
      <c r="X130" s="529"/>
      <c r="Y130" s="529"/>
      <c r="Z130" s="529"/>
      <c r="AA130" s="529"/>
      <c r="AB130" s="529"/>
      <c r="AC130" s="529"/>
      <c r="AD130" s="529"/>
      <c r="AE130" s="529"/>
      <c r="AF130" s="529"/>
      <c r="AG130" s="529"/>
      <c r="AH130" s="229"/>
    </row>
    <row r="131" spans="2:34" ht="23.25" customHeight="1" x14ac:dyDescent="0.15">
      <c r="B131" s="26"/>
      <c r="C131" s="59"/>
      <c r="D131" s="352" t="s">
        <v>176</v>
      </c>
      <c r="E131" s="273" t="s">
        <v>169</v>
      </c>
      <c r="F131" s="354"/>
      <c r="G131" s="355"/>
      <c r="H131" s="40" t="s">
        <v>20</v>
      </c>
      <c r="I131" s="57"/>
      <c r="J131" s="58"/>
      <c r="K131" s="41" t="str">
        <f t="shared" si="12"/>
        <v>-</v>
      </c>
      <c r="L131" s="42">
        <f t="shared" si="5"/>
        <v>0</v>
      </c>
      <c r="M131" s="159"/>
      <c r="N131" s="356"/>
      <c r="O131" s="357"/>
      <c r="P131" s="357"/>
      <c r="Q131" s="358"/>
      <c r="R131" s="3"/>
      <c r="S131" s="529"/>
      <c r="T131" s="529"/>
      <c r="U131" s="529"/>
      <c r="V131" s="529"/>
      <c r="W131" s="529"/>
      <c r="X131" s="529"/>
      <c r="Y131" s="529"/>
      <c r="Z131" s="529"/>
      <c r="AA131" s="529"/>
      <c r="AB131" s="529"/>
      <c r="AC131" s="529"/>
      <c r="AD131" s="529"/>
      <c r="AE131" s="529"/>
      <c r="AF131" s="529"/>
      <c r="AG131" s="529"/>
      <c r="AH131" s="229"/>
    </row>
    <row r="132" spans="2:34" ht="23.25" customHeight="1" x14ac:dyDescent="0.15">
      <c r="B132" s="26"/>
      <c r="C132" s="59"/>
      <c r="D132" s="341"/>
      <c r="E132" s="71"/>
      <c r="F132" s="282" t="s">
        <v>170</v>
      </c>
      <c r="G132" s="339"/>
      <c r="H132" s="40" t="s">
        <v>20</v>
      </c>
      <c r="I132" s="73"/>
      <c r="J132" s="74"/>
      <c r="K132" s="41" t="str">
        <f t="shared" si="12"/>
        <v>-</v>
      </c>
      <c r="L132" s="42">
        <f t="shared" si="5"/>
        <v>0</v>
      </c>
      <c r="M132" s="159"/>
      <c r="N132" s="293"/>
      <c r="O132" s="294"/>
      <c r="P132" s="294"/>
      <c r="Q132" s="295"/>
      <c r="R132" s="3"/>
      <c r="S132" s="529"/>
      <c r="T132" s="529"/>
      <c r="U132" s="529"/>
      <c r="V132" s="529"/>
      <c r="W132" s="529"/>
      <c r="X132" s="529"/>
      <c r="Y132" s="529"/>
      <c r="Z132" s="529"/>
      <c r="AA132" s="529"/>
      <c r="AB132" s="529"/>
      <c r="AC132" s="529"/>
      <c r="AD132" s="529"/>
      <c r="AE132" s="529"/>
      <c r="AF132" s="529"/>
      <c r="AG132" s="529"/>
      <c r="AH132" s="229"/>
    </row>
    <row r="133" spans="2:34" ht="23.25" customHeight="1" x14ac:dyDescent="0.15">
      <c r="B133" s="26"/>
      <c r="C133" s="59"/>
      <c r="D133" s="341"/>
      <c r="E133" s="71"/>
      <c r="F133" s="282" t="s">
        <v>171</v>
      </c>
      <c r="G133" s="339"/>
      <c r="H133" s="40" t="s">
        <v>20</v>
      </c>
      <c r="I133" s="73"/>
      <c r="J133" s="74"/>
      <c r="K133" s="41" t="str">
        <f t="shared" si="12"/>
        <v>-</v>
      </c>
      <c r="L133" s="42">
        <f t="shared" si="5"/>
        <v>0</v>
      </c>
      <c r="M133" s="159"/>
      <c r="N133" s="293"/>
      <c r="O133" s="294"/>
      <c r="P133" s="294"/>
      <c r="Q133" s="295"/>
      <c r="R133" s="3"/>
      <c r="S133" s="529"/>
      <c r="T133" s="529"/>
      <c r="U133" s="529"/>
      <c r="V133" s="529"/>
      <c r="W133" s="529"/>
      <c r="X133" s="529"/>
      <c r="Y133" s="529"/>
      <c r="Z133" s="529"/>
      <c r="AA133" s="529"/>
      <c r="AB133" s="529"/>
      <c r="AC133" s="529"/>
      <c r="AD133" s="529"/>
      <c r="AE133" s="529"/>
      <c r="AF133" s="529"/>
      <c r="AG133" s="529"/>
      <c r="AH133" s="229"/>
    </row>
    <row r="134" spans="2:34" ht="23.25" customHeight="1" x14ac:dyDescent="0.15">
      <c r="B134" s="26"/>
      <c r="C134" s="59"/>
      <c r="D134" s="341"/>
      <c r="E134" s="71"/>
      <c r="F134" s="282" t="s">
        <v>172</v>
      </c>
      <c r="G134" s="339"/>
      <c r="H134" s="40" t="s">
        <v>20</v>
      </c>
      <c r="I134" s="73"/>
      <c r="J134" s="74"/>
      <c r="K134" s="41" t="str">
        <f t="shared" si="12"/>
        <v>-</v>
      </c>
      <c r="L134" s="42">
        <f t="shared" si="5"/>
        <v>0</v>
      </c>
      <c r="M134" s="159"/>
      <c r="N134" s="293"/>
      <c r="O134" s="294"/>
      <c r="P134" s="294"/>
      <c r="Q134" s="295"/>
      <c r="R134" s="3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229"/>
    </row>
    <row r="135" spans="2:34" ht="23.25" customHeight="1" x14ac:dyDescent="0.15">
      <c r="B135" s="26"/>
      <c r="C135" s="59"/>
      <c r="D135" s="341"/>
      <c r="E135" s="71"/>
      <c r="F135" s="282" t="s">
        <v>173</v>
      </c>
      <c r="G135" s="339"/>
      <c r="H135" s="40" t="s">
        <v>20</v>
      </c>
      <c r="I135" s="73"/>
      <c r="J135" s="74"/>
      <c r="K135" s="41" t="str">
        <f t="shared" si="12"/>
        <v>-</v>
      </c>
      <c r="L135" s="42">
        <f t="shared" si="5"/>
        <v>0</v>
      </c>
      <c r="M135" s="159"/>
      <c r="N135" s="293"/>
      <c r="O135" s="294"/>
      <c r="P135" s="294"/>
      <c r="Q135" s="295"/>
      <c r="R135" s="3"/>
      <c r="S135" s="529"/>
      <c r="T135" s="529"/>
      <c r="U135" s="529"/>
      <c r="V135" s="529"/>
      <c r="W135" s="529"/>
      <c r="X135" s="529"/>
      <c r="Y135" s="529"/>
      <c r="Z135" s="529"/>
      <c r="AA135" s="529"/>
      <c r="AB135" s="529"/>
      <c r="AC135" s="529"/>
      <c r="AD135" s="529"/>
      <c r="AE135" s="529"/>
      <c r="AF135" s="529"/>
      <c r="AG135" s="529"/>
      <c r="AH135" s="229"/>
    </row>
    <row r="136" spans="2:34" ht="23.25" customHeight="1" x14ac:dyDescent="0.15">
      <c r="B136" s="26"/>
      <c r="C136" s="59"/>
      <c r="D136" s="341"/>
      <c r="E136" s="71"/>
      <c r="F136" s="282" t="s">
        <v>174</v>
      </c>
      <c r="G136" s="339"/>
      <c r="H136" s="40" t="s">
        <v>20</v>
      </c>
      <c r="I136" s="73"/>
      <c r="J136" s="74"/>
      <c r="K136" s="41" t="str">
        <f t="shared" si="12"/>
        <v>-</v>
      </c>
      <c r="L136" s="42">
        <f t="shared" si="5"/>
        <v>0</v>
      </c>
      <c r="M136" s="159"/>
      <c r="N136" s="293"/>
      <c r="O136" s="294"/>
      <c r="P136" s="294"/>
      <c r="Q136" s="295"/>
      <c r="R136" s="3"/>
      <c r="S136" s="529"/>
      <c r="T136" s="529"/>
      <c r="U136" s="529"/>
      <c r="V136" s="529"/>
      <c r="W136" s="529"/>
      <c r="X136" s="529"/>
      <c r="Y136" s="529"/>
      <c r="Z136" s="529"/>
      <c r="AA136" s="529"/>
      <c r="AB136" s="529"/>
      <c r="AC136" s="529"/>
      <c r="AD136" s="529"/>
      <c r="AE136" s="529"/>
      <c r="AF136" s="529"/>
      <c r="AG136" s="529"/>
      <c r="AH136" s="229"/>
    </row>
    <row r="137" spans="2:34" ht="23.25" customHeight="1" x14ac:dyDescent="0.15">
      <c r="B137" s="26"/>
      <c r="C137" s="59"/>
      <c r="D137" s="353"/>
      <c r="E137" s="327" t="s">
        <v>175</v>
      </c>
      <c r="F137" s="350"/>
      <c r="G137" s="351"/>
      <c r="H137" s="61" t="s">
        <v>20</v>
      </c>
      <c r="I137" s="150"/>
      <c r="J137" s="151"/>
      <c r="K137" s="64" t="str">
        <f t="shared" si="12"/>
        <v>-</v>
      </c>
      <c r="L137" s="65">
        <f t="shared" si="5"/>
        <v>0</v>
      </c>
      <c r="M137" s="163"/>
      <c r="N137" s="330"/>
      <c r="O137" s="331"/>
      <c r="P137" s="331"/>
      <c r="Q137" s="332"/>
      <c r="R137" s="3"/>
      <c r="S137" s="529"/>
      <c r="T137" s="529"/>
      <c r="U137" s="529"/>
      <c r="V137" s="529"/>
      <c r="W137" s="529"/>
      <c r="X137" s="529"/>
      <c r="Y137" s="529"/>
      <c r="Z137" s="529"/>
      <c r="AA137" s="529"/>
      <c r="AB137" s="529"/>
      <c r="AC137" s="529"/>
      <c r="AD137" s="529"/>
      <c r="AE137" s="529"/>
      <c r="AF137" s="529"/>
      <c r="AG137" s="529"/>
      <c r="AH137" s="229"/>
    </row>
    <row r="138" spans="2:34" ht="23.25" customHeight="1" x14ac:dyDescent="0.15">
      <c r="B138" s="48"/>
      <c r="C138" s="325" t="s">
        <v>177</v>
      </c>
      <c r="D138" s="322"/>
      <c r="E138" s="322"/>
      <c r="F138" s="322"/>
      <c r="G138" s="323"/>
      <c r="H138" s="80" t="s">
        <v>20</v>
      </c>
      <c r="I138" s="211"/>
      <c r="J138" s="212"/>
      <c r="K138" s="75" t="str">
        <f t="shared" si="12"/>
        <v>-</v>
      </c>
      <c r="L138" s="70">
        <f t="shared" ref="L138:L204" si="14">IFERROR(J138-I138,"-")</f>
        <v>0</v>
      </c>
      <c r="M138" s="160"/>
      <c r="N138" s="270"/>
      <c r="O138" s="271"/>
      <c r="P138" s="271"/>
      <c r="Q138" s="272"/>
      <c r="S138" s="233">
        <v>1</v>
      </c>
      <c r="T138" s="233">
        <v>1</v>
      </c>
      <c r="U138" s="233">
        <v>1</v>
      </c>
      <c r="V138" s="233">
        <v>1</v>
      </c>
      <c r="W138" s="233">
        <v>1</v>
      </c>
      <c r="X138" s="233">
        <v>1</v>
      </c>
      <c r="Y138" s="233">
        <v>1</v>
      </c>
      <c r="Z138" s="233">
        <v>1</v>
      </c>
      <c r="AA138" s="233">
        <v>1</v>
      </c>
      <c r="AB138" s="233">
        <v>1</v>
      </c>
      <c r="AC138" s="233">
        <v>1</v>
      </c>
      <c r="AD138" s="233">
        <v>1</v>
      </c>
      <c r="AE138" s="233">
        <v>1</v>
      </c>
      <c r="AF138" s="233">
        <v>1</v>
      </c>
      <c r="AG138" s="233">
        <v>1</v>
      </c>
    </row>
    <row r="139" spans="2:34" ht="23.25" customHeight="1" x14ac:dyDescent="0.15">
      <c r="B139" s="48"/>
      <c r="C139" s="76"/>
      <c r="D139" s="282" t="s">
        <v>178</v>
      </c>
      <c r="E139" s="349"/>
      <c r="F139" s="349"/>
      <c r="G139" s="339"/>
      <c r="H139" s="60" t="s">
        <v>20</v>
      </c>
      <c r="I139" s="144"/>
      <c r="J139" s="183"/>
      <c r="K139" s="41" t="str">
        <f t="shared" si="12"/>
        <v>-</v>
      </c>
      <c r="L139" s="42">
        <f t="shared" si="14"/>
        <v>0</v>
      </c>
      <c r="M139" s="159"/>
      <c r="N139" s="237"/>
      <c r="O139" s="238"/>
      <c r="P139" s="238"/>
      <c r="Q139" s="239"/>
      <c r="S139" s="233">
        <v>1</v>
      </c>
      <c r="T139" s="233">
        <v>1</v>
      </c>
      <c r="U139" s="233">
        <v>1</v>
      </c>
      <c r="V139" s="233">
        <v>1</v>
      </c>
      <c r="W139" s="233">
        <v>1</v>
      </c>
      <c r="X139" s="233">
        <v>1</v>
      </c>
      <c r="Y139" s="233">
        <v>1</v>
      </c>
      <c r="Z139" s="233">
        <v>1</v>
      </c>
      <c r="AA139" s="233">
        <v>1</v>
      </c>
      <c r="AB139" s="233">
        <v>1</v>
      </c>
      <c r="AC139" s="233">
        <v>1</v>
      </c>
      <c r="AD139" s="233">
        <v>1</v>
      </c>
      <c r="AE139" s="233">
        <v>1</v>
      </c>
      <c r="AF139" s="233">
        <v>1</v>
      </c>
      <c r="AG139" s="233">
        <v>1</v>
      </c>
    </row>
    <row r="140" spans="2:34" ht="23.25" customHeight="1" x14ac:dyDescent="0.15">
      <c r="B140" s="48"/>
      <c r="C140" s="325" t="s">
        <v>179</v>
      </c>
      <c r="D140" s="235"/>
      <c r="E140" s="235"/>
      <c r="F140" s="235"/>
      <c r="G140" s="236"/>
      <c r="H140" s="60" t="s">
        <v>20</v>
      </c>
      <c r="I140" s="144"/>
      <c r="J140" s="183"/>
      <c r="K140" s="41" t="str">
        <f t="shared" si="12"/>
        <v>-</v>
      </c>
      <c r="L140" s="42">
        <f t="shared" si="14"/>
        <v>0</v>
      </c>
      <c r="M140" s="159"/>
      <c r="N140" s="237"/>
      <c r="O140" s="238"/>
      <c r="P140" s="238"/>
      <c r="Q140" s="239"/>
      <c r="S140" s="233">
        <v>1</v>
      </c>
      <c r="T140" s="233">
        <v>1</v>
      </c>
      <c r="U140" s="233">
        <v>1</v>
      </c>
      <c r="V140" s="233">
        <v>1</v>
      </c>
      <c r="W140" s="233">
        <v>1</v>
      </c>
      <c r="X140" s="233">
        <v>1</v>
      </c>
      <c r="Y140" s="233">
        <v>1</v>
      </c>
      <c r="Z140" s="233">
        <v>1</v>
      </c>
      <c r="AA140" s="233">
        <v>1</v>
      </c>
      <c r="AB140" s="233">
        <v>1</v>
      </c>
      <c r="AC140" s="233">
        <v>1</v>
      </c>
      <c r="AD140" s="233">
        <v>1</v>
      </c>
      <c r="AE140" s="233">
        <v>1</v>
      </c>
      <c r="AF140" s="233">
        <v>1</v>
      </c>
      <c r="AG140" s="233">
        <v>1</v>
      </c>
    </row>
    <row r="141" spans="2:34" ht="23.25" customHeight="1" x14ac:dyDescent="0.15">
      <c r="B141" s="48"/>
      <c r="C141" s="76"/>
      <c r="D141" s="282" t="s">
        <v>180</v>
      </c>
      <c r="E141" s="349"/>
      <c r="F141" s="349"/>
      <c r="G141" s="339"/>
      <c r="H141" s="60" t="s">
        <v>20</v>
      </c>
      <c r="I141" s="144"/>
      <c r="J141" s="183"/>
      <c r="K141" s="41" t="str">
        <f t="shared" si="12"/>
        <v>-</v>
      </c>
      <c r="L141" s="42">
        <f t="shared" si="14"/>
        <v>0</v>
      </c>
      <c r="M141" s="159"/>
      <c r="N141" s="237"/>
      <c r="O141" s="238"/>
      <c r="P141" s="238"/>
      <c r="Q141" s="239"/>
      <c r="S141" s="233">
        <v>1</v>
      </c>
      <c r="T141" s="233">
        <v>1</v>
      </c>
      <c r="U141" s="233">
        <v>1</v>
      </c>
      <c r="V141" s="233">
        <v>1</v>
      </c>
      <c r="W141" s="233">
        <v>1</v>
      </c>
      <c r="X141" s="233">
        <v>1</v>
      </c>
      <c r="Y141" s="233">
        <v>1</v>
      </c>
      <c r="Z141" s="233">
        <v>1</v>
      </c>
      <c r="AA141" s="233">
        <v>1</v>
      </c>
      <c r="AB141" s="233">
        <v>1</v>
      </c>
      <c r="AC141" s="233">
        <v>1</v>
      </c>
      <c r="AD141" s="233">
        <v>1</v>
      </c>
      <c r="AE141" s="233">
        <v>1</v>
      </c>
      <c r="AF141" s="233">
        <v>1</v>
      </c>
      <c r="AG141" s="233">
        <v>1</v>
      </c>
    </row>
    <row r="142" spans="2:34" ht="23.25" customHeight="1" x14ac:dyDescent="0.15">
      <c r="B142" s="48"/>
      <c r="C142" s="325" t="s">
        <v>181</v>
      </c>
      <c r="D142" s="235"/>
      <c r="E142" s="235"/>
      <c r="F142" s="235"/>
      <c r="G142" s="236"/>
      <c r="H142" s="60" t="s">
        <v>20</v>
      </c>
      <c r="I142" s="144"/>
      <c r="J142" s="183"/>
      <c r="K142" s="41" t="str">
        <f t="shared" si="12"/>
        <v>-</v>
      </c>
      <c r="L142" s="42">
        <f t="shared" si="14"/>
        <v>0</v>
      </c>
      <c r="M142" s="159"/>
      <c r="N142" s="237"/>
      <c r="O142" s="238"/>
      <c r="P142" s="238"/>
      <c r="Q142" s="239"/>
      <c r="S142" s="233">
        <v>1</v>
      </c>
      <c r="T142" s="233">
        <v>1</v>
      </c>
      <c r="U142" s="233">
        <v>1</v>
      </c>
      <c r="V142" s="233">
        <v>1</v>
      </c>
      <c r="W142" s="233">
        <v>1</v>
      </c>
      <c r="X142" s="233">
        <v>1</v>
      </c>
      <c r="Y142" s="233">
        <v>1</v>
      </c>
      <c r="Z142" s="233">
        <v>1</v>
      </c>
      <c r="AA142" s="233">
        <v>1</v>
      </c>
      <c r="AB142" s="233">
        <v>1</v>
      </c>
      <c r="AC142" s="233">
        <v>1</v>
      </c>
      <c r="AD142" s="233">
        <v>1</v>
      </c>
      <c r="AE142" s="233">
        <v>1</v>
      </c>
      <c r="AF142" s="233">
        <v>1</v>
      </c>
      <c r="AG142" s="233">
        <v>1</v>
      </c>
    </row>
    <row r="143" spans="2:34" ht="23.25" customHeight="1" x14ac:dyDescent="0.15">
      <c r="B143" s="48"/>
      <c r="C143" s="325" t="s">
        <v>182</v>
      </c>
      <c r="D143" s="235"/>
      <c r="E143" s="235"/>
      <c r="F143" s="235"/>
      <c r="G143" s="236"/>
      <c r="H143" s="60" t="s">
        <v>20</v>
      </c>
      <c r="I143" s="144"/>
      <c r="J143" s="183"/>
      <c r="K143" s="41" t="str">
        <f t="shared" si="12"/>
        <v>-</v>
      </c>
      <c r="L143" s="42">
        <f t="shared" si="14"/>
        <v>0</v>
      </c>
      <c r="M143" s="159"/>
      <c r="N143" s="237"/>
      <c r="O143" s="238"/>
      <c r="P143" s="238"/>
      <c r="Q143" s="239"/>
      <c r="S143" s="233">
        <v>1</v>
      </c>
      <c r="T143" s="233">
        <v>1</v>
      </c>
      <c r="U143" s="233">
        <v>1</v>
      </c>
      <c r="V143" s="233">
        <v>1</v>
      </c>
      <c r="W143" s="233">
        <v>1</v>
      </c>
      <c r="X143" s="233">
        <v>1</v>
      </c>
      <c r="Y143" s="233">
        <v>1</v>
      </c>
      <c r="Z143" s="233">
        <v>1</v>
      </c>
      <c r="AA143" s="233">
        <v>1</v>
      </c>
      <c r="AB143" s="233">
        <v>1</v>
      </c>
      <c r="AC143" s="233">
        <v>1</v>
      </c>
      <c r="AD143" s="233">
        <v>1</v>
      </c>
      <c r="AE143" s="233">
        <v>1</v>
      </c>
      <c r="AF143" s="233">
        <v>1</v>
      </c>
      <c r="AG143" s="233">
        <v>1</v>
      </c>
    </row>
    <row r="144" spans="2:34" ht="23.25" customHeight="1" x14ac:dyDescent="0.15">
      <c r="B144" s="48"/>
      <c r="C144" s="325" t="s">
        <v>183</v>
      </c>
      <c r="D144" s="235"/>
      <c r="E144" s="235"/>
      <c r="F144" s="235"/>
      <c r="G144" s="236"/>
      <c r="H144" s="60" t="s">
        <v>20</v>
      </c>
      <c r="I144" s="144"/>
      <c r="J144" s="183"/>
      <c r="K144" s="41" t="str">
        <f t="shared" si="12"/>
        <v>-</v>
      </c>
      <c r="L144" s="42">
        <f t="shared" si="14"/>
        <v>0</v>
      </c>
      <c r="M144" s="159"/>
      <c r="N144" s="237"/>
      <c r="O144" s="238"/>
      <c r="P144" s="238"/>
      <c r="Q144" s="239"/>
      <c r="S144" s="233">
        <v>1</v>
      </c>
      <c r="T144" s="233">
        <v>1</v>
      </c>
      <c r="U144" s="233">
        <v>1</v>
      </c>
      <c r="V144" s="233">
        <v>1</v>
      </c>
      <c r="W144" s="233">
        <v>1</v>
      </c>
      <c r="X144" s="233">
        <v>1</v>
      </c>
      <c r="Y144" s="233">
        <v>1</v>
      </c>
      <c r="Z144" s="233">
        <v>1</v>
      </c>
      <c r="AA144" s="233">
        <v>1</v>
      </c>
      <c r="AB144" s="233">
        <v>1</v>
      </c>
      <c r="AC144" s="233">
        <v>1</v>
      </c>
      <c r="AD144" s="233">
        <v>1</v>
      </c>
      <c r="AE144" s="233">
        <v>1</v>
      </c>
      <c r="AF144" s="233">
        <v>1</v>
      </c>
      <c r="AG144" s="233">
        <v>1</v>
      </c>
    </row>
    <row r="145" spans="2:34" ht="23.25" customHeight="1" x14ac:dyDescent="0.15">
      <c r="B145" s="48"/>
      <c r="C145" s="325" t="s">
        <v>184</v>
      </c>
      <c r="D145" s="235"/>
      <c r="E145" s="235"/>
      <c r="F145" s="235"/>
      <c r="G145" s="236"/>
      <c r="H145" s="60" t="s">
        <v>20</v>
      </c>
      <c r="I145" s="144"/>
      <c r="J145" s="183"/>
      <c r="K145" s="41" t="str">
        <f t="shared" si="12"/>
        <v>-</v>
      </c>
      <c r="L145" s="42">
        <f t="shared" si="14"/>
        <v>0</v>
      </c>
      <c r="M145" s="159"/>
      <c r="N145" s="237"/>
      <c r="O145" s="238"/>
      <c r="P145" s="238"/>
      <c r="Q145" s="239"/>
      <c r="S145" s="233">
        <v>1</v>
      </c>
      <c r="T145" s="233">
        <v>1</v>
      </c>
      <c r="U145" s="233">
        <v>1</v>
      </c>
      <c r="V145" s="233">
        <v>1</v>
      </c>
      <c r="W145" s="233">
        <v>1</v>
      </c>
      <c r="X145" s="233">
        <v>1</v>
      </c>
      <c r="Y145" s="233">
        <v>1</v>
      </c>
      <c r="Z145" s="233">
        <v>1</v>
      </c>
      <c r="AA145" s="233">
        <v>1</v>
      </c>
      <c r="AB145" s="233">
        <v>1</v>
      </c>
      <c r="AC145" s="233">
        <v>1</v>
      </c>
      <c r="AD145" s="233">
        <v>1</v>
      </c>
      <c r="AE145" s="233">
        <v>1</v>
      </c>
      <c r="AF145" s="233">
        <v>1</v>
      </c>
      <c r="AG145" s="233">
        <v>1</v>
      </c>
    </row>
    <row r="146" spans="2:34" ht="23.25" customHeight="1" x14ac:dyDescent="0.15">
      <c r="B146" s="48"/>
      <c r="C146" s="325" t="s">
        <v>185</v>
      </c>
      <c r="D146" s="235"/>
      <c r="E146" s="235"/>
      <c r="F146" s="235"/>
      <c r="G146" s="236"/>
      <c r="H146" s="60" t="s">
        <v>20</v>
      </c>
      <c r="I146" s="144"/>
      <c r="J146" s="183"/>
      <c r="K146" s="41" t="str">
        <f t="shared" si="12"/>
        <v>-</v>
      </c>
      <c r="L146" s="42">
        <f t="shared" si="14"/>
        <v>0</v>
      </c>
      <c r="M146" s="159"/>
      <c r="N146" s="237"/>
      <c r="O146" s="238"/>
      <c r="P146" s="238"/>
      <c r="Q146" s="239"/>
      <c r="S146" s="233">
        <v>1</v>
      </c>
      <c r="T146" s="233">
        <v>1</v>
      </c>
      <c r="U146" s="233">
        <v>1</v>
      </c>
      <c r="V146" s="233">
        <v>1</v>
      </c>
      <c r="W146" s="233">
        <v>1</v>
      </c>
      <c r="X146" s="233">
        <v>1</v>
      </c>
      <c r="Y146" s="233">
        <v>1</v>
      </c>
      <c r="Z146" s="233">
        <v>1</v>
      </c>
      <c r="AA146" s="233">
        <v>1</v>
      </c>
      <c r="AB146" s="233">
        <v>1</v>
      </c>
      <c r="AC146" s="233">
        <v>1</v>
      </c>
      <c r="AD146" s="233">
        <v>1</v>
      </c>
      <c r="AE146" s="233">
        <v>1</v>
      </c>
      <c r="AF146" s="233">
        <v>1</v>
      </c>
      <c r="AG146" s="233">
        <v>1</v>
      </c>
    </row>
    <row r="147" spans="2:34" ht="23.25" customHeight="1" x14ac:dyDescent="0.15">
      <c r="B147" s="48"/>
      <c r="C147" s="325" t="s">
        <v>186</v>
      </c>
      <c r="D147" s="235"/>
      <c r="E147" s="235"/>
      <c r="F147" s="235"/>
      <c r="G147" s="236"/>
      <c r="H147" s="60" t="s">
        <v>20</v>
      </c>
      <c r="I147" s="144"/>
      <c r="J147" s="183"/>
      <c r="K147" s="41" t="str">
        <f t="shared" si="12"/>
        <v>-</v>
      </c>
      <c r="L147" s="42">
        <f t="shared" si="14"/>
        <v>0</v>
      </c>
      <c r="M147" s="159"/>
      <c r="N147" s="237"/>
      <c r="O147" s="238"/>
      <c r="P147" s="238"/>
      <c r="Q147" s="239"/>
      <c r="S147" s="233">
        <v>1</v>
      </c>
      <c r="T147" s="233">
        <v>1</v>
      </c>
      <c r="U147" s="233">
        <v>1</v>
      </c>
      <c r="V147" s="233">
        <v>1</v>
      </c>
      <c r="W147" s="233">
        <v>1</v>
      </c>
      <c r="X147" s="233">
        <v>1</v>
      </c>
      <c r="Y147" s="233">
        <v>1</v>
      </c>
      <c r="Z147" s="233">
        <v>1</v>
      </c>
      <c r="AA147" s="233">
        <v>1</v>
      </c>
      <c r="AB147" s="233">
        <v>1</v>
      </c>
      <c r="AC147" s="233">
        <v>1</v>
      </c>
      <c r="AD147" s="233">
        <v>1</v>
      </c>
      <c r="AE147" s="233">
        <v>1</v>
      </c>
      <c r="AF147" s="233">
        <v>1</v>
      </c>
      <c r="AG147" s="233">
        <v>1</v>
      </c>
    </row>
    <row r="148" spans="2:34" ht="23.25" customHeight="1" x14ac:dyDescent="0.15">
      <c r="B148" s="48"/>
      <c r="C148" s="325" t="s">
        <v>187</v>
      </c>
      <c r="D148" s="235"/>
      <c r="E148" s="235"/>
      <c r="F148" s="235"/>
      <c r="G148" s="236"/>
      <c r="H148" s="60" t="s">
        <v>20</v>
      </c>
      <c r="I148" s="144"/>
      <c r="J148" s="183"/>
      <c r="K148" s="41" t="str">
        <f t="shared" si="12"/>
        <v>-</v>
      </c>
      <c r="L148" s="42">
        <f t="shared" si="14"/>
        <v>0</v>
      </c>
      <c r="M148" s="159"/>
      <c r="N148" s="237"/>
      <c r="O148" s="238"/>
      <c r="P148" s="238"/>
      <c r="Q148" s="239"/>
      <c r="S148" s="233">
        <v>1</v>
      </c>
      <c r="T148" s="233">
        <v>1</v>
      </c>
      <c r="U148" s="233">
        <v>1</v>
      </c>
      <c r="V148" s="233">
        <v>1</v>
      </c>
      <c r="W148" s="233">
        <v>1</v>
      </c>
      <c r="X148" s="233">
        <v>1</v>
      </c>
      <c r="Y148" s="233">
        <v>1</v>
      </c>
      <c r="Z148" s="233">
        <v>1</v>
      </c>
      <c r="AA148" s="233">
        <v>1</v>
      </c>
      <c r="AB148" s="233">
        <v>1</v>
      </c>
      <c r="AC148" s="233">
        <v>1</v>
      </c>
      <c r="AD148" s="233">
        <v>1</v>
      </c>
      <c r="AE148" s="233">
        <v>1</v>
      </c>
      <c r="AF148" s="233">
        <v>1</v>
      </c>
      <c r="AG148" s="233">
        <v>1</v>
      </c>
    </row>
    <row r="149" spans="2:34" ht="23.25" customHeight="1" thickBot="1" x14ac:dyDescent="0.2">
      <c r="B149" s="48"/>
      <c r="C149" s="359" t="s">
        <v>188</v>
      </c>
      <c r="D149" s="360"/>
      <c r="E149" s="360"/>
      <c r="F149" s="360"/>
      <c r="G149" s="361"/>
      <c r="H149" s="77" t="s">
        <v>20</v>
      </c>
      <c r="I149" s="189"/>
      <c r="J149" s="190"/>
      <c r="K149" s="78" t="str">
        <f t="shared" si="12"/>
        <v>-</v>
      </c>
      <c r="L149" s="79">
        <f t="shared" si="14"/>
        <v>0</v>
      </c>
      <c r="M149" s="165"/>
      <c r="N149" s="362"/>
      <c r="O149" s="363"/>
      <c r="P149" s="363"/>
      <c r="Q149" s="364"/>
      <c r="S149" s="233">
        <v>1</v>
      </c>
      <c r="T149" s="233">
        <v>1</v>
      </c>
      <c r="U149" s="233">
        <v>1</v>
      </c>
      <c r="V149" s="233">
        <v>1</v>
      </c>
      <c r="W149" s="233">
        <v>1</v>
      </c>
      <c r="X149" s="233">
        <v>1</v>
      </c>
      <c r="Y149" s="233">
        <v>1</v>
      </c>
      <c r="Z149" s="233">
        <v>1</v>
      </c>
      <c r="AA149" s="233">
        <v>1</v>
      </c>
      <c r="AB149" s="233">
        <v>1</v>
      </c>
      <c r="AC149" s="233">
        <v>1</v>
      </c>
      <c r="AD149" s="233">
        <v>1</v>
      </c>
      <c r="AE149" s="233">
        <v>1</v>
      </c>
      <c r="AF149" s="233">
        <v>1</v>
      </c>
      <c r="AG149" s="233">
        <v>1</v>
      </c>
    </row>
    <row r="150" spans="2:34" ht="23.25" customHeight="1" x14ac:dyDescent="0.15">
      <c r="B150" s="48"/>
      <c r="C150" s="372" t="s">
        <v>70</v>
      </c>
      <c r="D150" s="375" t="s">
        <v>71</v>
      </c>
      <c r="E150" s="376"/>
      <c r="F150" s="376"/>
      <c r="G150" s="377"/>
      <c r="H150" s="80" t="s">
        <v>72</v>
      </c>
      <c r="I150" s="193"/>
      <c r="J150" s="194"/>
      <c r="K150" s="75" t="str">
        <f t="shared" si="12"/>
        <v>-</v>
      </c>
      <c r="L150" s="195">
        <f t="shared" si="14"/>
        <v>0</v>
      </c>
      <c r="M150" s="160"/>
      <c r="N150" s="270"/>
      <c r="O150" s="271"/>
      <c r="P150" s="271"/>
      <c r="Q150" s="272"/>
      <c r="S150" s="233">
        <v>1</v>
      </c>
      <c r="T150" s="233">
        <v>1</v>
      </c>
      <c r="U150" s="233">
        <v>1</v>
      </c>
      <c r="V150" s="233">
        <v>1</v>
      </c>
      <c r="W150" s="233">
        <v>1</v>
      </c>
      <c r="X150" s="233">
        <v>1</v>
      </c>
      <c r="Y150" s="233">
        <v>1</v>
      </c>
      <c r="Z150" s="233">
        <v>1</v>
      </c>
      <c r="AA150" s="233">
        <v>1</v>
      </c>
      <c r="AB150" s="233">
        <v>1</v>
      </c>
      <c r="AC150" s="233">
        <v>1</v>
      </c>
      <c r="AD150" s="233">
        <v>1</v>
      </c>
      <c r="AE150" s="233">
        <v>1</v>
      </c>
      <c r="AF150" s="233">
        <v>1</v>
      </c>
      <c r="AG150" s="233">
        <v>1</v>
      </c>
    </row>
    <row r="151" spans="2:34" ht="23.25" customHeight="1" x14ac:dyDescent="0.15">
      <c r="B151" s="49"/>
      <c r="C151" s="373"/>
      <c r="D151" s="81"/>
      <c r="E151" s="378" t="s">
        <v>189</v>
      </c>
      <c r="F151" s="379"/>
      <c r="G151" s="380"/>
      <c r="H151" s="40" t="s">
        <v>72</v>
      </c>
      <c r="I151" s="82"/>
      <c r="J151" s="83"/>
      <c r="K151" s="41" t="str">
        <f t="shared" si="12"/>
        <v>-</v>
      </c>
      <c r="L151" s="196">
        <f t="shared" si="14"/>
        <v>0</v>
      </c>
      <c r="M151" s="159"/>
      <c r="N151" s="293"/>
      <c r="O151" s="294"/>
      <c r="P151" s="294"/>
      <c r="Q151" s="295"/>
      <c r="R151" s="3"/>
      <c r="S151" s="233">
        <v>1</v>
      </c>
      <c r="T151" s="233">
        <v>1</v>
      </c>
      <c r="U151" s="233">
        <v>1</v>
      </c>
      <c r="V151" s="233">
        <v>1</v>
      </c>
      <c r="W151" s="233">
        <v>1</v>
      </c>
      <c r="X151" s="233">
        <v>1</v>
      </c>
      <c r="Y151" s="233">
        <v>1</v>
      </c>
      <c r="Z151" s="233">
        <v>1</v>
      </c>
      <c r="AA151" s="233">
        <v>1</v>
      </c>
      <c r="AB151" s="233">
        <v>1</v>
      </c>
      <c r="AC151" s="233">
        <v>1</v>
      </c>
      <c r="AD151" s="233">
        <v>1</v>
      </c>
      <c r="AE151" s="233">
        <v>1</v>
      </c>
      <c r="AF151" s="233">
        <v>1</v>
      </c>
      <c r="AG151" s="233">
        <v>1</v>
      </c>
      <c r="AH151" s="229"/>
    </row>
    <row r="152" spans="2:34" ht="23.25" customHeight="1" x14ac:dyDescent="0.15">
      <c r="B152" s="49"/>
      <c r="C152" s="373"/>
      <c r="D152" s="81"/>
      <c r="E152" s="379" t="s">
        <v>116</v>
      </c>
      <c r="F152" s="379"/>
      <c r="G152" s="380"/>
      <c r="H152" s="40" t="s">
        <v>72</v>
      </c>
      <c r="I152" s="82"/>
      <c r="J152" s="83"/>
      <c r="K152" s="41" t="str">
        <f t="shared" si="12"/>
        <v>-</v>
      </c>
      <c r="L152" s="196">
        <f t="shared" si="14"/>
        <v>0</v>
      </c>
      <c r="M152" s="159"/>
      <c r="N152" s="293"/>
      <c r="O152" s="294"/>
      <c r="P152" s="294"/>
      <c r="Q152" s="295"/>
      <c r="R152" s="3"/>
      <c r="S152" s="233">
        <v>1</v>
      </c>
      <c r="T152" s="233">
        <v>1</v>
      </c>
      <c r="U152" s="233">
        <v>1</v>
      </c>
      <c r="V152" s="233">
        <v>1</v>
      </c>
      <c r="W152" s="233">
        <v>1</v>
      </c>
      <c r="X152" s="233">
        <v>1</v>
      </c>
      <c r="Y152" s="233">
        <v>1</v>
      </c>
      <c r="Z152" s="233">
        <v>1</v>
      </c>
      <c r="AA152" s="233">
        <v>1</v>
      </c>
      <c r="AB152" s="233">
        <v>1</v>
      </c>
      <c r="AC152" s="233">
        <v>1</v>
      </c>
      <c r="AD152" s="233">
        <v>1</v>
      </c>
      <c r="AE152" s="233">
        <v>1</v>
      </c>
      <c r="AF152" s="233">
        <v>1</v>
      </c>
      <c r="AG152" s="233">
        <v>1</v>
      </c>
      <c r="AH152" s="229"/>
    </row>
    <row r="153" spans="2:34" ht="23.25" customHeight="1" x14ac:dyDescent="0.15">
      <c r="B153" s="48"/>
      <c r="C153" s="373"/>
      <c r="D153" s="381" t="s">
        <v>113</v>
      </c>
      <c r="E153" s="235"/>
      <c r="F153" s="235"/>
      <c r="G153" s="236"/>
      <c r="H153" s="60" t="s">
        <v>114</v>
      </c>
      <c r="I153" s="144"/>
      <c r="J153" s="183"/>
      <c r="K153" s="41" t="str">
        <f t="shared" si="12"/>
        <v>-</v>
      </c>
      <c r="L153" s="197">
        <f t="shared" si="14"/>
        <v>0</v>
      </c>
      <c r="M153" s="159"/>
      <c r="N153" s="237"/>
      <c r="O153" s="238"/>
      <c r="P153" s="238"/>
      <c r="Q153" s="239"/>
      <c r="S153" s="233">
        <v>1</v>
      </c>
      <c r="T153" s="233">
        <v>1</v>
      </c>
      <c r="U153" s="233">
        <v>1</v>
      </c>
      <c r="V153" s="233">
        <v>1</v>
      </c>
      <c r="W153" s="233">
        <v>1</v>
      </c>
      <c r="X153" s="233">
        <v>1</v>
      </c>
      <c r="Y153" s="233">
        <v>1</v>
      </c>
      <c r="Z153" s="233">
        <v>1</v>
      </c>
      <c r="AA153" s="233">
        <v>1</v>
      </c>
      <c r="AB153" s="233">
        <v>1</v>
      </c>
      <c r="AC153" s="233">
        <v>1</v>
      </c>
      <c r="AD153" s="233">
        <v>1</v>
      </c>
      <c r="AE153" s="233">
        <v>1</v>
      </c>
      <c r="AF153" s="233">
        <v>1</v>
      </c>
      <c r="AG153" s="233">
        <v>1</v>
      </c>
    </row>
    <row r="154" spans="2:34" ht="23.25" customHeight="1" x14ac:dyDescent="0.15">
      <c r="B154" s="48"/>
      <c r="C154" s="373"/>
      <c r="D154" s="84"/>
      <c r="E154" s="382" t="s">
        <v>115</v>
      </c>
      <c r="F154" s="383"/>
      <c r="G154" s="384"/>
      <c r="H154" s="60" t="s">
        <v>114</v>
      </c>
      <c r="I154" s="144"/>
      <c r="J154" s="183"/>
      <c r="K154" s="41" t="str">
        <f t="shared" si="12"/>
        <v>-</v>
      </c>
      <c r="L154" s="197">
        <f t="shared" si="14"/>
        <v>0</v>
      </c>
      <c r="M154" s="159"/>
      <c r="N154" s="237"/>
      <c r="O154" s="238"/>
      <c r="P154" s="238"/>
      <c r="Q154" s="239"/>
      <c r="S154" s="233">
        <v>1</v>
      </c>
      <c r="T154" s="233">
        <v>1</v>
      </c>
      <c r="U154" s="233">
        <v>1</v>
      </c>
      <c r="V154" s="233">
        <v>1</v>
      </c>
      <c r="W154" s="233">
        <v>1</v>
      </c>
      <c r="X154" s="233">
        <v>1</v>
      </c>
      <c r="Y154" s="233">
        <v>1</v>
      </c>
      <c r="Z154" s="233">
        <v>1</v>
      </c>
      <c r="AA154" s="233">
        <v>1</v>
      </c>
      <c r="AB154" s="233">
        <v>1</v>
      </c>
      <c r="AC154" s="233">
        <v>1</v>
      </c>
      <c r="AD154" s="233">
        <v>1</v>
      </c>
      <c r="AE154" s="233">
        <v>1</v>
      </c>
      <c r="AF154" s="233">
        <v>1</v>
      </c>
      <c r="AG154" s="233">
        <v>1</v>
      </c>
    </row>
    <row r="155" spans="2:34" ht="23.25" customHeight="1" x14ac:dyDescent="0.15">
      <c r="B155" s="48"/>
      <c r="C155" s="373"/>
      <c r="D155" s="85"/>
      <c r="E155" s="365" t="s">
        <v>116</v>
      </c>
      <c r="F155" s="366"/>
      <c r="G155" s="367"/>
      <c r="H155" s="86" t="s">
        <v>114</v>
      </c>
      <c r="I155" s="136"/>
      <c r="J155" s="220"/>
      <c r="K155" s="64" t="str">
        <f t="shared" si="12"/>
        <v>-</v>
      </c>
      <c r="L155" s="198">
        <f t="shared" si="14"/>
        <v>0</v>
      </c>
      <c r="M155" s="163"/>
      <c r="N155" s="368"/>
      <c r="O155" s="369"/>
      <c r="P155" s="369"/>
      <c r="Q155" s="370"/>
      <c r="S155" s="233">
        <v>1</v>
      </c>
      <c r="T155" s="233">
        <v>1</v>
      </c>
      <c r="U155" s="233">
        <v>1</v>
      </c>
      <c r="V155" s="233">
        <v>1</v>
      </c>
      <c r="W155" s="233">
        <v>1</v>
      </c>
      <c r="X155" s="233">
        <v>1</v>
      </c>
      <c r="Y155" s="233">
        <v>1</v>
      </c>
      <c r="Z155" s="233">
        <v>1</v>
      </c>
      <c r="AA155" s="233">
        <v>1</v>
      </c>
      <c r="AB155" s="233">
        <v>1</v>
      </c>
      <c r="AC155" s="233">
        <v>1</v>
      </c>
      <c r="AD155" s="233">
        <v>1</v>
      </c>
      <c r="AE155" s="233">
        <v>1</v>
      </c>
      <c r="AF155" s="233">
        <v>1</v>
      </c>
      <c r="AG155" s="233">
        <v>1</v>
      </c>
    </row>
    <row r="156" spans="2:34" ht="23.25" customHeight="1" x14ac:dyDescent="0.15">
      <c r="B156" s="48"/>
      <c r="C156" s="373"/>
      <c r="D156" s="371" t="s">
        <v>73</v>
      </c>
      <c r="E156" s="235"/>
      <c r="F156" s="235"/>
      <c r="G156" s="236"/>
      <c r="H156" s="60" t="s">
        <v>74</v>
      </c>
      <c r="I156" s="89"/>
      <c r="J156" s="199"/>
      <c r="K156" s="41" t="str">
        <f t="shared" si="12"/>
        <v>-</v>
      </c>
      <c r="L156" s="200">
        <f t="shared" si="14"/>
        <v>0</v>
      </c>
      <c r="M156" s="159"/>
      <c r="N156" s="237"/>
      <c r="O156" s="238"/>
      <c r="P156" s="238"/>
      <c r="Q156" s="239"/>
      <c r="S156" s="233">
        <v>1</v>
      </c>
      <c r="T156" s="233">
        <v>1</v>
      </c>
      <c r="U156" s="233">
        <v>1</v>
      </c>
      <c r="V156" s="233">
        <v>1</v>
      </c>
      <c r="W156" s="233">
        <v>1</v>
      </c>
      <c r="X156" s="233">
        <v>1</v>
      </c>
      <c r="Y156" s="233">
        <v>1</v>
      </c>
      <c r="Z156" s="233">
        <v>1</v>
      </c>
      <c r="AA156" s="233">
        <v>1</v>
      </c>
      <c r="AB156" s="233">
        <v>1</v>
      </c>
      <c r="AC156" s="233">
        <v>1</v>
      </c>
      <c r="AD156" s="233">
        <v>1</v>
      </c>
      <c r="AE156" s="233">
        <v>1</v>
      </c>
      <c r="AF156" s="233">
        <v>1</v>
      </c>
      <c r="AG156" s="233">
        <v>1</v>
      </c>
    </row>
    <row r="157" spans="2:34" ht="23.25" customHeight="1" x14ac:dyDescent="0.15">
      <c r="B157" s="48"/>
      <c r="C157" s="373"/>
      <c r="D157" s="87"/>
      <c r="E157" s="282" t="s">
        <v>190</v>
      </c>
      <c r="F157" s="349"/>
      <c r="G157" s="339"/>
      <c r="H157" s="60" t="s">
        <v>74</v>
      </c>
      <c r="I157" s="89"/>
      <c r="J157" s="199"/>
      <c r="K157" s="41" t="str">
        <f t="shared" si="12"/>
        <v>-</v>
      </c>
      <c r="L157" s="200">
        <f t="shared" si="14"/>
        <v>0</v>
      </c>
      <c r="M157" s="159"/>
      <c r="N157" s="237"/>
      <c r="O157" s="238"/>
      <c r="P157" s="238"/>
      <c r="Q157" s="239"/>
      <c r="S157" s="529">
        <v>1</v>
      </c>
      <c r="T157" s="529"/>
      <c r="U157" s="529"/>
      <c r="V157" s="529"/>
      <c r="W157" s="529"/>
      <c r="X157" s="529"/>
      <c r="Y157" s="529"/>
      <c r="Z157" s="529"/>
      <c r="AA157" s="529"/>
      <c r="AB157" s="529"/>
      <c r="AC157" s="529"/>
      <c r="AD157" s="529"/>
      <c r="AE157" s="529"/>
      <c r="AF157" s="529"/>
      <c r="AG157" s="233">
        <v>1</v>
      </c>
    </row>
    <row r="158" spans="2:34" ht="23.25" customHeight="1" x14ac:dyDescent="0.15">
      <c r="B158" s="48"/>
      <c r="C158" s="373"/>
      <c r="D158" s="371" t="s">
        <v>75</v>
      </c>
      <c r="E158" s="235"/>
      <c r="F158" s="235"/>
      <c r="G158" s="236"/>
      <c r="H158" s="88" t="s">
        <v>74</v>
      </c>
      <c r="I158" s="89"/>
      <c r="J158" s="90"/>
      <c r="K158" s="41" t="str">
        <f t="shared" si="12"/>
        <v>-</v>
      </c>
      <c r="L158" s="200">
        <f t="shared" si="14"/>
        <v>0</v>
      </c>
      <c r="M158" s="159"/>
      <c r="N158" s="237"/>
      <c r="O158" s="238"/>
      <c r="P158" s="238"/>
      <c r="Q158" s="239"/>
      <c r="S158" s="233"/>
      <c r="T158" s="529">
        <v>1</v>
      </c>
      <c r="U158" s="529"/>
      <c r="V158" s="529"/>
      <c r="W158" s="529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</row>
    <row r="159" spans="2:34" ht="23.25" customHeight="1" x14ac:dyDescent="0.15">
      <c r="B159" s="48"/>
      <c r="C159" s="373"/>
      <c r="D159" s="91"/>
      <c r="E159" s="385" t="s">
        <v>191</v>
      </c>
      <c r="F159" s="299" t="s">
        <v>76</v>
      </c>
      <c r="G159" s="339"/>
      <c r="H159" s="60" t="s">
        <v>77</v>
      </c>
      <c r="I159" s="89"/>
      <c r="J159" s="199"/>
      <c r="K159" s="41" t="str">
        <f t="shared" si="12"/>
        <v>-</v>
      </c>
      <c r="L159" s="200">
        <f t="shared" si="14"/>
        <v>0</v>
      </c>
      <c r="M159" s="159"/>
      <c r="N159" s="237"/>
      <c r="O159" s="238"/>
      <c r="P159" s="238"/>
      <c r="Q159" s="239"/>
      <c r="S159" s="233"/>
      <c r="T159" s="529">
        <v>1</v>
      </c>
      <c r="U159" s="529"/>
      <c r="V159" s="529"/>
      <c r="W159" s="529"/>
      <c r="X159" s="529"/>
      <c r="Y159" s="529"/>
      <c r="Z159" s="529"/>
      <c r="AA159" s="529"/>
      <c r="AB159" s="529"/>
      <c r="AC159" s="529"/>
      <c r="AD159" s="529"/>
      <c r="AE159" s="529"/>
      <c r="AF159" s="529"/>
      <c r="AG159" s="529"/>
    </row>
    <row r="160" spans="2:34" ht="23.25" customHeight="1" x14ac:dyDescent="0.15">
      <c r="B160" s="48"/>
      <c r="C160" s="373"/>
      <c r="D160" s="91"/>
      <c r="E160" s="386"/>
      <c r="F160" s="299" t="s">
        <v>78</v>
      </c>
      <c r="G160" s="339"/>
      <c r="H160" s="60" t="s">
        <v>79</v>
      </c>
      <c r="I160" s="144"/>
      <c r="J160" s="183"/>
      <c r="K160" s="41" t="str">
        <f t="shared" ref="K160:K225" si="15">IFERROR(IF(I160&lt;0,IMSUB(J160,I160)/(1-I160)*100,IMSUB(J160,I160)/I160*100),"-")</f>
        <v>-</v>
      </c>
      <c r="L160" s="42">
        <f t="shared" si="14"/>
        <v>0</v>
      </c>
      <c r="M160" s="159"/>
      <c r="N160" s="237"/>
      <c r="O160" s="238"/>
      <c r="P160" s="238"/>
      <c r="Q160" s="239"/>
      <c r="S160" s="233"/>
      <c r="T160" s="529">
        <v>1</v>
      </c>
      <c r="U160" s="529"/>
      <c r="V160" s="529"/>
      <c r="W160" s="529"/>
      <c r="X160" s="529"/>
      <c r="Y160" s="529"/>
      <c r="Z160" s="529"/>
      <c r="AA160" s="529"/>
      <c r="AB160" s="529"/>
      <c r="AC160" s="529"/>
      <c r="AD160" s="529"/>
      <c r="AE160" s="529"/>
      <c r="AF160" s="529"/>
      <c r="AG160" s="529"/>
    </row>
    <row r="161" spans="1:34" s="229" customFormat="1" ht="23.25" customHeight="1" x14ac:dyDescent="0.15">
      <c r="A161" s="16"/>
      <c r="B161" s="48"/>
      <c r="C161" s="373"/>
      <c r="D161" s="91"/>
      <c r="E161" s="387"/>
      <c r="F161" s="299" t="s">
        <v>192</v>
      </c>
      <c r="G161" s="339"/>
      <c r="H161" s="60" t="s">
        <v>80</v>
      </c>
      <c r="I161" s="144"/>
      <c r="J161" s="183"/>
      <c r="K161" s="41" t="str">
        <f t="shared" si="15"/>
        <v>-</v>
      </c>
      <c r="L161" s="42">
        <f t="shared" si="14"/>
        <v>0</v>
      </c>
      <c r="M161" s="159"/>
      <c r="N161" s="237"/>
      <c r="O161" s="238"/>
      <c r="P161" s="238"/>
      <c r="Q161" s="239"/>
      <c r="R161" s="46"/>
      <c r="S161" s="233"/>
      <c r="T161" s="529">
        <v>1</v>
      </c>
      <c r="U161" s="529"/>
      <c r="V161" s="529"/>
      <c r="W161" s="529"/>
      <c r="X161" s="529"/>
      <c r="Y161" s="529"/>
      <c r="Z161" s="529"/>
      <c r="AA161" s="529"/>
      <c r="AB161" s="529"/>
      <c r="AC161" s="529"/>
      <c r="AD161" s="529"/>
      <c r="AE161" s="529"/>
      <c r="AF161" s="529"/>
      <c r="AG161" s="529"/>
      <c r="AH161" s="230"/>
    </row>
    <row r="162" spans="1:34" s="229" customFormat="1" ht="23.25" customHeight="1" x14ac:dyDescent="0.15">
      <c r="A162" s="16"/>
      <c r="B162" s="50"/>
      <c r="C162" s="373"/>
      <c r="D162" s="92"/>
      <c r="E162" s="299" t="s">
        <v>193</v>
      </c>
      <c r="F162" s="349"/>
      <c r="G162" s="339"/>
      <c r="H162" s="40" t="s">
        <v>77</v>
      </c>
      <c r="I162" s="93"/>
      <c r="J162" s="90"/>
      <c r="K162" s="41" t="str">
        <f t="shared" si="15"/>
        <v>-</v>
      </c>
      <c r="L162" s="200">
        <f t="shared" si="14"/>
        <v>0</v>
      </c>
      <c r="M162" s="159"/>
      <c r="N162" s="293"/>
      <c r="O162" s="294"/>
      <c r="P162" s="294"/>
      <c r="Q162" s="295"/>
      <c r="R162" s="3"/>
      <c r="S162" s="233"/>
      <c r="T162" s="529">
        <v>1</v>
      </c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230"/>
    </row>
    <row r="163" spans="1:34" s="229" customFormat="1" ht="23.25" customHeight="1" x14ac:dyDescent="0.15">
      <c r="A163" s="16"/>
      <c r="B163" s="50"/>
      <c r="C163" s="373"/>
      <c r="D163" s="92"/>
      <c r="E163" s="403" t="s">
        <v>124</v>
      </c>
      <c r="F163" s="404"/>
      <c r="G163" s="405"/>
      <c r="H163" s="94" t="s">
        <v>77</v>
      </c>
      <c r="I163" s="95"/>
      <c r="J163" s="96"/>
      <c r="K163" s="97" t="str">
        <f t="shared" si="15"/>
        <v>-</v>
      </c>
      <c r="L163" s="203">
        <f t="shared" si="14"/>
        <v>0</v>
      </c>
      <c r="M163" s="166"/>
      <c r="N163" s="406"/>
      <c r="O163" s="407"/>
      <c r="P163" s="407"/>
      <c r="Q163" s="408"/>
      <c r="R163" s="3"/>
      <c r="S163" s="233"/>
      <c r="T163" s="529">
        <v>1</v>
      </c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230"/>
    </row>
    <row r="164" spans="1:34" s="229" customFormat="1" ht="23.25" customHeight="1" x14ac:dyDescent="0.15">
      <c r="A164" s="16"/>
      <c r="B164" s="50"/>
      <c r="C164" s="373"/>
      <c r="D164" s="92"/>
      <c r="E164" s="299" t="s">
        <v>126</v>
      </c>
      <c r="F164" s="349"/>
      <c r="G164" s="339"/>
      <c r="H164" s="40" t="s">
        <v>77</v>
      </c>
      <c r="I164" s="93"/>
      <c r="J164" s="90"/>
      <c r="K164" s="41" t="str">
        <f t="shared" si="15"/>
        <v>-</v>
      </c>
      <c r="L164" s="200">
        <f t="shared" si="14"/>
        <v>0</v>
      </c>
      <c r="M164" s="159"/>
      <c r="N164" s="293"/>
      <c r="O164" s="294"/>
      <c r="P164" s="294"/>
      <c r="Q164" s="295"/>
      <c r="R164" s="3"/>
      <c r="S164" s="233"/>
      <c r="T164" s="529">
        <v>1</v>
      </c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230"/>
    </row>
    <row r="165" spans="1:34" s="229" customFormat="1" ht="23.25" customHeight="1" x14ac:dyDescent="0.15">
      <c r="A165" s="16"/>
      <c r="B165" s="50"/>
      <c r="C165" s="373"/>
      <c r="D165" s="92"/>
      <c r="E165" s="299" t="s">
        <v>125</v>
      </c>
      <c r="F165" s="349"/>
      <c r="G165" s="339"/>
      <c r="H165" s="40" t="s">
        <v>77</v>
      </c>
      <c r="I165" s="93"/>
      <c r="J165" s="90"/>
      <c r="K165" s="41" t="str">
        <f t="shared" si="15"/>
        <v>-</v>
      </c>
      <c r="L165" s="200">
        <f t="shared" si="14"/>
        <v>0</v>
      </c>
      <c r="M165" s="159"/>
      <c r="N165" s="293"/>
      <c r="O165" s="294"/>
      <c r="P165" s="294"/>
      <c r="Q165" s="295"/>
      <c r="R165" s="3"/>
      <c r="S165" s="233"/>
      <c r="T165" s="529">
        <v>1</v>
      </c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230"/>
    </row>
    <row r="166" spans="1:34" s="229" customFormat="1" ht="23.25" customHeight="1" x14ac:dyDescent="0.15">
      <c r="A166" s="16"/>
      <c r="B166" s="50"/>
      <c r="C166" s="373"/>
      <c r="D166" s="92"/>
      <c r="E166" s="299" t="s">
        <v>127</v>
      </c>
      <c r="F166" s="349"/>
      <c r="G166" s="339"/>
      <c r="H166" s="40" t="s">
        <v>77</v>
      </c>
      <c r="I166" s="93"/>
      <c r="J166" s="90"/>
      <c r="K166" s="41" t="str">
        <f t="shared" si="15"/>
        <v>-</v>
      </c>
      <c r="L166" s="200">
        <f t="shared" si="14"/>
        <v>0</v>
      </c>
      <c r="M166" s="159"/>
      <c r="N166" s="293"/>
      <c r="O166" s="294"/>
      <c r="P166" s="294"/>
      <c r="Q166" s="295"/>
      <c r="R166" s="3"/>
      <c r="S166" s="233"/>
      <c r="T166" s="529">
        <v>1</v>
      </c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230"/>
    </row>
    <row r="167" spans="1:34" s="229" customFormat="1" ht="23.25" customHeight="1" x14ac:dyDescent="0.15">
      <c r="A167" s="16"/>
      <c r="B167" s="50"/>
      <c r="C167" s="373"/>
      <c r="D167" s="99"/>
      <c r="E167" s="397" t="s">
        <v>128</v>
      </c>
      <c r="F167" s="398"/>
      <c r="G167" s="399"/>
      <c r="H167" s="72" t="s">
        <v>77</v>
      </c>
      <c r="I167" s="100"/>
      <c r="J167" s="101"/>
      <c r="K167" s="75" t="str">
        <f t="shared" si="15"/>
        <v>-</v>
      </c>
      <c r="L167" s="204">
        <f t="shared" si="14"/>
        <v>0</v>
      </c>
      <c r="M167" s="160"/>
      <c r="N167" s="400"/>
      <c r="O167" s="401"/>
      <c r="P167" s="401"/>
      <c r="Q167" s="402"/>
      <c r="R167" s="3"/>
      <c r="S167" s="233"/>
      <c r="T167" s="529">
        <v>1</v>
      </c>
      <c r="U167" s="529"/>
      <c r="V167" s="529"/>
      <c r="W167" s="529"/>
      <c r="X167" s="529"/>
      <c r="Y167" s="529"/>
      <c r="Z167" s="529"/>
      <c r="AA167" s="529"/>
      <c r="AB167" s="529"/>
      <c r="AC167" s="529"/>
      <c r="AD167" s="529"/>
      <c r="AE167" s="529"/>
      <c r="AF167" s="529"/>
      <c r="AG167" s="529"/>
      <c r="AH167" s="230"/>
    </row>
    <row r="168" spans="1:34" s="229" customFormat="1" ht="23.25" customHeight="1" x14ac:dyDescent="0.15">
      <c r="A168" s="16"/>
      <c r="B168" s="48"/>
      <c r="C168" s="373"/>
      <c r="D168" s="388" t="s">
        <v>81</v>
      </c>
      <c r="E168" s="389"/>
      <c r="F168" s="389"/>
      <c r="G168" s="390"/>
      <c r="H168" s="104" t="s">
        <v>74</v>
      </c>
      <c r="I168" s="201"/>
      <c r="J168" s="202"/>
      <c r="K168" s="97" t="str">
        <f t="shared" si="15"/>
        <v>-</v>
      </c>
      <c r="L168" s="203">
        <f t="shared" si="14"/>
        <v>0</v>
      </c>
      <c r="M168" s="166"/>
      <c r="N168" s="391"/>
      <c r="O168" s="392"/>
      <c r="P168" s="392"/>
      <c r="Q168" s="393"/>
      <c r="R168" s="46"/>
      <c r="S168" s="529"/>
      <c r="T168" s="529"/>
      <c r="U168" s="529">
        <v>1</v>
      </c>
      <c r="V168" s="529"/>
      <c r="W168" s="529"/>
      <c r="X168" s="529"/>
      <c r="Y168" s="529"/>
      <c r="Z168" s="529"/>
      <c r="AA168" s="529"/>
      <c r="AB168" s="529"/>
      <c r="AC168" s="529"/>
      <c r="AD168" s="529"/>
      <c r="AE168" s="529"/>
      <c r="AF168" s="529"/>
      <c r="AG168" s="233"/>
      <c r="AH168" s="230"/>
    </row>
    <row r="169" spans="1:34" s="229" customFormat="1" ht="23.25" customHeight="1" x14ac:dyDescent="0.15">
      <c r="A169" s="16"/>
      <c r="B169" s="50"/>
      <c r="C169" s="373"/>
      <c r="D169" s="105"/>
      <c r="E169" s="394" t="s">
        <v>129</v>
      </c>
      <c r="F169" s="395"/>
      <c r="G169" s="396"/>
      <c r="H169" s="40" t="s">
        <v>77</v>
      </c>
      <c r="I169" s="93"/>
      <c r="J169" s="90"/>
      <c r="K169" s="41" t="str">
        <f t="shared" si="15"/>
        <v>-</v>
      </c>
      <c r="L169" s="200">
        <f t="shared" si="14"/>
        <v>0</v>
      </c>
      <c r="M169" s="159"/>
      <c r="N169" s="293"/>
      <c r="O169" s="294"/>
      <c r="P169" s="294"/>
      <c r="Q169" s="295"/>
      <c r="R169" s="3"/>
      <c r="S169" s="529"/>
      <c r="T169" s="529"/>
      <c r="U169" s="529">
        <v>1</v>
      </c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233"/>
      <c r="AH169" s="230"/>
    </row>
    <row r="170" spans="1:34" s="229" customFormat="1" ht="23.25" customHeight="1" x14ac:dyDescent="0.15">
      <c r="A170" s="16"/>
      <c r="B170" s="50"/>
      <c r="C170" s="373"/>
      <c r="D170" s="105"/>
      <c r="E170" s="394" t="s">
        <v>130</v>
      </c>
      <c r="F170" s="395"/>
      <c r="G170" s="396"/>
      <c r="H170" s="40" t="s">
        <v>77</v>
      </c>
      <c r="I170" s="93"/>
      <c r="J170" s="90"/>
      <c r="K170" s="41" t="str">
        <f t="shared" si="15"/>
        <v>-</v>
      </c>
      <c r="L170" s="200">
        <f t="shared" si="14"/>
        <v>0</v>
      </c>
      <c r="M170" s="159"/>
      <c r="N170" s="293"/>
      <c r="O170" s="294"/>
      <c r="P170" s="294"/>
      <c r="Q170" s="295"/>
      <c r="R170" s="3"/>
      <c r="S170" s="529"/>
      <c r="T170" s="529"/>
      <c r="U170" s="529">
        <v>1</v>
      </c>
      <c r="V170" s="529"/>
      <c r="W170" s="529"/>
      <c r="X170" s="529"/>
      <c r="Y170" s="529"/>
      <c r="Z170" s="529"/>
      <c r="AA170" s="529"/>
      <c r="AB170" s="529"/>
      <c r="AC170" s="529"/>
      <c r="AD170" s="529"/>
      <c r="AE170" s="529"/>
      <c r="AF170" s="529"/>
      <c r="AG170" s="233"/>
      <c r="AH170" s="230"/>
    </row>
    <row r="171" spans="1:34" s="229" customFormat="1" ht="23.25" customHeight="1" x14ac:dyDescent="0.15">
      <c r="A171" s="16"/>
      <c r="B171" s="50"/>
      <c r="C171" s="373"/>
      <c r="D171" s="105"/>
      <c r="E171" s="394" t="s">
        <v>131</v>
      </c>
      <c r="F171" s="395"/>
      <c r="G171" s="396"/>
      <c r="H171" s="40" t="s">
        <v>77</v>
      </c>
      <c r="I171" s="93"/>
      <c r="J171" s="90"/>
      <c r="K171" s="41" t="str">
        <f t="shared" si="15"/>
        <v>-</v>
      </c>
      <c r="L171" s="200">
        <f t="shared" si="14"/>
        <v>0</v>
      </c>
      <c r="M171" s="159"/>
      <c r="N171" s="293"/>
      <c r="O171" s="294"/>
      <c r="P171" s="294"/>
      <c r="Q171" s="295"/>
      <c r="R171" s="3"/>
      <c r="S171" s="529"/>
      <c r="T171" s="529"/>
      <c r="U171" s="529">
        <v>1</v>
      </c>
      <c r="V171" s="529"/>
      <c r="W171" s="529"/>
      <c r="X171" s="529"/>
      <c r="Y171" s="529"/>
      <c r="Z171" s="529"/>
      <c r="AA171" s="529"/>
      <c r="AB171" s="529"/>
      <c r="AC171" s="529"/>
      <c r="AD171" s="529"/>
      <c r="AE171" s="529"/>
      <c r="AF171" s="529"/>
      <c r="AG171" s="233"/>
      <c r="AH171" s="230"/>
    </row>
    <row r="172" spans="1:34" s="229" customFormat="1" ht="23.25" customHeight="1" x14ac:dyDescent="0.15">
      <c r="A172" s="16"/>
      <c r="B172" s="50"/>
      <c r="C172" s="373"/>
      <c r="D172" s="105"/>
      <c r="E172" s="394" t="s">
        <v>273</v>
      </c>
      <c r="F172" s="395"/>
      <c r="G172" s="396"/>
      <c r="H172" s="40" t="s">
        <v>77</v>
      </c>
      <c r="I172" s="93"/>
      <c r="J172" s="90"/>
      <c r="K172" s="41" t="str">
        <f t="shared" si="15"/>
        <v>-</v>
      </c>
      <c r="L172" s="200">
        <f t="shared" si="14"/>
        <v>0</v>
      </c>
      <c r="M172" s="159"/>
      <c r="N172" s="293"/>
      <c r="O172" s="294"/>
      <c r="P172" s="294"/>
      <c r="Q172" s="295"/>
      <c r="R172" s="3"/>
      <c r="S172" s="529"/>
      <c r="T172" s="529"/>
      <c r="U172" s="529">
        <v>1</v>
      </c>
      <c r="V172" s="529"/>
      <c r="W172" s="529"/>
      <c r="X172" s="529"/>
      <c r="Y172" s="529"/>
      <c r="Z172" s="529"/>
      <c r="AA172" s="529"/>
      <c r="AB172" s="529"/>
      <c r="AC172" s="529"/>
      <c r="AD172" s="529"/>
      <c r="AE172" s="529"/>
      <c r="AF172" s="529"/>
      <c r="AG172" s="233"/>
      <c r="AH172" s="230"/>
    </row>
    <row r="173" spans="1:34" s="229" customFormat="1" ht="23.25" customHeight="1" x14ac:dyDescent="0.15">
      <c r="A173" s="16"/>
      <c r="B173" s="50"/>
      <c r="C173" s="373"/>
      <c r="D173" s="105"/>
      <c r="E173" s="394" t="s">
        <v>274</v>
      </c>
      <c r="F173" s="395"/>
      <c r="G173" s="396"/>
      <c r="H173" s="40" t="s">
        <v>77</v>
      </c>
      <c r="I173" s="93"/>
      <c r="J173" s="90"/>
      <c r="K173" s="41" t="str">
        <f t="shared" si="15"/>
        <v>-</v>
      </c>
      <c r="L173" s="200">
        <f t="shared" si="14"/>
        <v>0</v>
      </c>
      <c r="M173" s="159"/>
      <c r="N173" s="293"/>
      <c r="O173" s="294"/>
      <c r="P173" s="294"/>
      <c r="Q173" s="295"/>
      <c r="R173" s="3"/>
      <c r="S173" s="529"/>
      <c r="T173" s="529"/>
      <c r="U173" s="529">
        <v>1</v>
      </c>
      <c r="V173" s="529"/>
      <c r="W173" s="529"/>
      <c r="X173" s="529"/>
      <c r="Y173" s="529"/>
      <c r="Z173" s="529"/>
      <c r="AA173" s="529"/>
      <c r="AB173" s="529"/>
      <c r="AC173" s="529"/>
      <c r="AD173" s="529"/>
      <c r="AE173" s="529"/>
      <c r="AF173" s="529"/>
      <c r="AG173" s="233"/>
      <c r="AH173" s="230"/>
    </row>
    <row r="174" spans="1:34" s="229" customFormat="1" ht="23.25" customHeight="1" x14ac:dyDescent="0.15">
      <c r="A174" s="16"/>
      <c r="B174" s="50"/>
      <c r="C174" s="373"/>
      <c r="D174" s="105"/>
      <c r="E174" s="394" t="s">
        <v>132</v>
      </c>
      <c r="F174" s="395"/>
      <c r="G174" s="396"/>
      <c r="H174" s="40" t="s">
        <v>77</v>
      </c>
      <c r="I174" s="93"/>
      <c r="J174" s="90"/>
      <c r="K174" s="41" t="str">
        <f t="shared" si="15"/>
        <v>-</v>
      </c>
      <c r="L174" s="200">
        <f t="shared" si="14"/>
        <v>0</v>
      </c>
      <c r="M174" s="159"/>
      <c r="N174" s="293"/>
      <c r="O174" s="294"/>
      <c r="P174" s="294"/>
      <c r="Q174" s="295"/>
      <c r="R174" s="3"/>
      <c r="S174" s="529"/>
      <c r="T174" s="529"/>
      <c r="U174" s="529">
        <v>1</v>
      </c>
      <c r="V174" s="529"/>
      <c r="W174" s="529"/>
      <c r="X174" s="529"/>
      <c r="Y174" s="529"/>
      <c r="Z174" s="529"/>
      <c r="AA174" s="529"/>
      <c r="AB174" s="529"/>
      <c r="AC174" s="529"/>
      <c r="AD174" s="529"/>
      <c r="AE174" s="529"/>
      <c r="AF174" s="529"/>
      <c r="AG174" s="233"/>
      <c r="AH174" s="230"/>
    </row>
    <row r="175" spans="1:34" s="229" customFormat="1" ht="23.25" customHeight="1" x14ac:dyDescent="0.15">
      <c r="A175" s="16"/>
      <c r="B175" s="50"/>
      <c r="C175" s="373"/>
      <c r="D175" s="105"/>
      <c r="E175" s="394" t="s">
        <v>133</v>
      </c>
      <c r="F175" s="395"/>
      <c r="G175" s="396"/>
      <c r="H175" s="40" t="s">
        <v>77</v>
      </c>
      <c r="I175" s="93"/>
      <c r="J175" s="90"/>
      <c r="K175" s="41" t="str">
        <f t="shared" si="15"/>
        <v>-</v>
      </c>
      <c r="L175" s="200">
        <f t="shared" si="14"/>
        <v>0</v>
      </c>
      <c r="M175" s="159"/>
      <c r="N175" s="293"/>
      <c r="O175" s="294"/>
      <c r="P175" s="294"/>
      <c r="Q175" s="295"/>
      <c r="R175" s="3"/>
      <c r="S175" s="529"/>
      <c r="T175" s="529"/>
      <c r="U175" s="529">
        <v>1</v>
      </c>
      <c r="V175" s="529"/>
      <c r="W175" s="529"/>
      <c r="X175" s="529"/>
      <c r="Y175" s="529"/>
      <c r="Z175" s="529"/>
      <c r="AA175" s="529"/>
      <c r="AB175" s="529"/>
      <c r="AC175" s="529"/>
      <c r="AD175" s="529"/>
      <c r="AE175" s="529"/>
      <c r="AF175" s="529"/>
      <c r="AG175" s="233"/>
      <c r="AH175" s="230"/>
    </row>
    <row r="176" spans="1:34" s="229" customFormat="1" ht="23.25" customHeight="1" x14ac:dyDescent="0.15">
      <c r="A176" s="16"/>
      <c r="B176" s="50"/>
      <c r="C176" s="373"/>
      <c r="D176" s="106"/>
      <c r="E176" s="418" t="s">
        <v>134</v>
      </c>
      <c r="F176" s="419"/>
      <c r="G176" s="420"/>
      <c r="H176" s="72" t="s">
        <v>77</v>
      </c>
      <c r="I176" s="100"/>
      <c r="J176" s="101"/>
      <c r="K176" s="75" t="str">
        <f t="shared" si="15"/>
        <v>-</v>
      </c>
      <c r="L176" s="204">
        <f t="shared" si="14"/>
        <v>0</v>
      </c>
      <c r="M176" s="160"/>
      <c r="N176" s="400"/>
      <c r="O176" s="401"/>
      <c r="P176" s="401"/>
      <c r="Q176" s="402"/>
      <c r="R176" s="3"/>
      <c r="S176" s="529"/>
      <c r="T176" s="529"/>
      <c r="U176" s="529">
        <v>1</v>
      </c>
      <c r="V176" s="529"/>
      <c r="W176" s="529"/>
      <c r="X176" s="529"/>
      <c r="Y176" s="529"/>
      <c r="Z176" s="529"/>
      <c r="AA176" s="529"/>
      <c r="AB176" s="529"/>
      <c r="AC176" s="529"/>
      <c r="AD176" s="529"/>
      <c r="AE176" s="529"/>
      <c r="AF176" s="529"/>
      <c r="AG176" s="233"/>
      <c r="AH176" s="230"/>
    </row>
    <row r="177" spans="2:34" ht="23.25" customHeight="1" x14ac:dyDescent="0.15">
      <c r="B177" s="49"/>
      <c r="C177" s="373"/>
      <c r="D177" s="409" t="s">
        <v>194</v>
      </c>
      <c r="E177" s="411" t="s">
        <v>76</v>
      </c>
      <c r="F177" s="411"/>
      <c r="G177" s="412"/>
      <c r="H177" s="72" t="s">
        <v>77</v>
      </c>
      <c r="I177" s="100"/>
      <c r="J177" s="101"/>
      <c r="K177" s="75" t="str">
        <f t="shared" si="15"/>
        <v>-</v>
      </c>
      <c r="L177" s="204">
        <f t="shared" si="14"/>
        <v>0</v>
      </c>
      <c r="M177" s="160"/>
      <c r="N177" s="400"/>
      <c r="O177" s="401"/>
      <c r="P177" s="401"/>
      <c r="Q177" s="402"/>
      <c r="R177" s="3"/>
      <c r="S177" s="233"/>
      <c r="T177" s="233">
        <v>1</v>
      </c>
      <c r="U177" s="529">
        <v>1</v>
      </c>
      <c r="V177" s="529"/>
      <c r="W177" s="529"/>
      <c r="X177" s="529"/>
      <c r="Y177" s="529"/>
      <c r="Z177" s="529"/>
      <c r="AA177" s="529"/>
      <c r="AB177" s="529"/>
      <c r="AC177" s="529"/>
      <c r="AD177" s="529"/>
      <c r="AE177" s="529"/>
      <c r="AF177" s="529"/>
      <c r="AG177" s="233"/>
      <c r="AH177" s="229"/>
    </row>
    <row r="178" spans="2:34" ht="23.25" customHeight="1" x14ac:dyDescent="0.15">
      <c r="B178" s="49"/>
      <c r="C178" s="373"/>
      <c r="D178" s="409"/>
      <c r="E178" s="413" t="s">
        <v>78</v>
      </c>
      <c r="F178" s="413"/>
      <c r="G178" s="414"/>
      <c r="H178" s="40" t="s">
        <v>79</v>
      </c>
      <c r="I178" s="57"/>
      <c r="J178" s="58"/>
      <c r="K178" s="41" t="str">
        <f t="shared" si="15"/>
        <v>-</v>
      </c>
      <c r="L178" s="42">
        <f t="shared" si="14"/>
        <v>0</v>
      </c>
      <c r="M178" s="159"/>
      <c r="N178" s="415"/>
      <c r="O178" s="416"/>
      <c r="P178" s="416"/>
      <c r="Q178" s="417"/>
      <c r="R178" s="3"/>
      <c r="S178" s="233"/>
      <c r="T178" s="233">
        <v>1</v>
      </c>
      <c r="U178" s="529">
        <v>1</v>
      </c>
      <c r="V178" s="529"/>
      <c r="W178" s="529"/>
      <c r="X178" s="529"/>
      <c r="Y178" s="529"/>
      <c r="Z178" s="529"/>
      <c r="AA178" s="529"/>
      <c r="AB178" s="529"/>
      <c r="AC178" s="529"/>
      <c r="AD178" s="529"/>
      <c r="AE178" s="529"/>
      <c r="AF178" s="529"/>
      <c r="AG178" s="233"/>
      <c r="AH178" s="229"/>
    </row>
    <row r="179" spans="2:34" ht="23.25" customHeight="1" x14ac:dyDescent="0.15">
      <c r="B179" s="49"/>
      <c r="C179" s="373"/>
      <c r="D179" s="410"/>
      <c r="E179" s="413" t="s">
        <v>195</v>
      </c>
      <c r="F179" s="413"/>
      <c r="G179" s="414"/>
      <c r="H179" s="40" t="s">
        <v>80</v>
      </c>
      <c r="I179" s="57"/>
      <c r="J179" s="58"/>
      <c r="K179" s="41" t="str">
        <f t="shared" si="15"/>
        <v>-</v>
      </c>
      <c r="L179" s="42">
        <f t="shared" si="14"/>
        <v>0</v>
      </c>
      <c r="M179" s="159"/>
      <c r="N179" s="415"/>
      <c r="O179" s="416"/>
      <c r="P179" s="416"/>
      <c r="Q179" s="417"/>
      <c r="R179" s="3"/>
      <c r="S179" s="233"/>
      <c r="T179" s="233">
        <v>1</v>
      </c>
      <c r="U179" s="529">
        <v>1</v>
      </c>
      <c r="V179" s="529"/>
      <c r="W179" s="529"/>
      <c r="X179" s="529"/>
      <c r="Y179" s="529"/>
      <c r="Z179" s="529"/>
      <c r="AA179" s="529"/>
      <c r="AB179" s="529"/>
      <c r="AC179" s="529"/>
      <c r="AD179" s="529"/>
      <c r="AE179" s="529"/>
      <c r="AF179" s="529"/>
      <c r="AG179" s="233"/>
      <c r="AH179" s="229"/>
    </row>
    <row r="180" spans="2:34" ht="23.25" customHeight="1" x14ac:dyDescent="0.15">
      <c r="B180" s="49"/>
      <c r="C180" s="373"/>
      <c r="D180" s="421" t="s">
        <v>196</v>
      </c>
      <c r="E180" s="413" t="s">
        <v>76</v>
      </c>
      <c r="F180" s="413"/>
      <c r="G180" s="414"/>
      <c r="H180" s="40" t="s">
        <v>77</v>
      </c>
      <c r="I180" s="93"/>
      <c r="J180" s="90"/>
      <c r="K180" s="41" t="str">
        <f t="shared" si="15"/>
        <v>-</v>
      </c>
      <c r="L180" s="200">
        <f t="shared" si="14"/>
        <v>0</v>
      </c>
      <c r="M180" s="159"/>
      <c r="N180" s="293"/>
      <c r="O180" s="294"/>
      <c r="P180" s="294"/>
      <c r="Q180" s="295"/>
      <c r="R180" s="3"/>
      <c r="S180" s="233"/>
      <c r="T180" s="233">
        <v>1</v>
      </c>
      <c r="U180" s="529">
        <v>1</v>
      </c>
      <c r="V180" s="529"/>
      <c r="W180" s="529"/>
      <c r="X180" s="529"/>
      <c r="Y180" s="529"/>
      <c r="Z180" s="529"/>
      <c r="AA180" s="529"/>
      <c r="AB180" s="529"/>
      <c r="AC180" s="529"/>
      <c r="AD180" s="529"/>
      <c r="AE180" s="529"/>
      <c r="AF180" s="529"/>
      <c r="AG180" s="233"/>
      <c r="AH180" s="229"/>
    </row>
    <row r="181" spans="2:34" ht="23.25" customHeight="1" x14ac:dyDescent="0.15">
      <c r="B181" s="49"/>
      <c r="C181" s="373"/>
      <c r="D181" s="409"/>
      <c r="E181" s="413" t="s">
        <v>78</v>
      </c>
      <c r="F181" s="413"/>
      <c r="G181" s="414"/>
      <c r="H181" s="40" t="s">
        <v>79</v>
      </c>
      <c r="I181" s="57"/>
      <c r="J181" s="58"/>
      <c r="K181" s="41" t="str">
        <f t="shared" si="15"/>
        <v>-</v>
      </c>
      <c r="L181" s="42">
        <f t="shared" si="14"/>
        <v>0</v>
      </c>
      <c r="M181" s="159"/>
      <c r="N181" s="415"/>
      <c r="O181" s="416"/>
      <c r="P181" s="416"/>
      <c r="Q181" s="417"/>
      <c r="R181" s="3"/>
      <c r="S181" s="233"/>
      <c r="T181" s="233">
        <v>1</v>
      </c>
      <c r="U181" s="529">
        <v>1</v>
      </c>
      <c r="V181" s="529"/>
      <c r="W181" s="529"/>
      <c r="X181" s="529"/>
      <c r="Y181" s="529"/>
      <c r="Z181" s="529"/>
      <c r="AA181" s="529"/>
      <c r="AB181" s="529"/>
      <c r="AC181" s="529"/>
      <c r="AD181" s="529"/>
      <c r="AE181" s="529"/>
      <c r="AF181" s="529"/>
      <c r="AG181" s="233"/>
      <c r="AH181" s="229"/>
    </row>
    <row r="182" spans="2:34" ht="23.25" customHeight="1" x14ac:dyDescent="0.15">
      <c r="B182" s="49"/>
      <c r="C182" s="373"/>
      <c r="D182" s="410"/>
      <c r="E182" s="413" t="s">
        <v>195</v>
      </c>
      <c r="F182" s="413"/>
      <c r="G182" s="414"/>
      <c r="H182" s="40" t="s">
        <v>80</v>
      </c>
      <c r="I182" s="57"/>
      <c r="J182" s="58"/>
      <c r="K182" s="41" t="str">
        <f t="shared" si="15"/>
        <v>-</v>
      </c>
      <c r="L182" s="42">
        <f t="shared" si="14"/>
        <v>0</v>
      </c>
      <c r="M182" s="159"/>
      <c r="N182" s="415"/>
      <c r="O182" s="416"/>
      <c r="P182" s="416"/>
      <c r="Q182" s="417"/>
      <c r="R182" s="3"/>
      <c r="S182" s="233"/>
      <c r="T182" s="233">
        <v>1</v>
      </c>
      <c r="U182" s="529">
        <v>1</v>
      </c>
      <c r="V182" s="529"/>
      <c r="W182" s="529"/>
      <c r="X182" s="529"/>
      <c r="Y182" s="529"/>
      <c r="Z182" s="529"/>
      <c r="AA182" s="529"/>
      <c r="AB182" s="529"/>
      <c r="AC182" s="529"/>
      <c r="AD182" s="529"/>
      <c r="AE182" s="529"/>
      <c r="AF182" s="529"/>
      <c r="AG182" s="233"/>
      <c r="AH182" s="229"/>
    </row>
    <row r="183" spans="2:34" ht="23.25" customHeight="1" x14ac:dyDescent="0.15">
      <c r="B183" s="49"/>
      <c r="C183" s="373"/>
      <c r="D183" s="421" t="s">
        <v>197</v>
      </c>
      <c r="E183" s="413" t="s">
        <v>76</v>
      </c>
      <c r="F183" s="413"/>
      <c r="G183" s="414"/>
      <c r="H183" s="40" t="s">
        <v>77</v>
      </c>
      <c r="I183" s="93"/>
      <c r="J183" s="90"/>
      <c r="K183" s="41" t="str">
        <f t="shared" si="15"/>
        <v>-</v>
      </c>
      <c r="L183" s="200">
        <f t="shared" si="14"/>
        <v>0</v>
      </c>
      <c r="M183" s="159"/>
      <c r="N183" s="293"/>
      <c r="O183" s="294"/>
      <c r="P183" s="294"/>
      <c r="Q183" s="295"/>
      <c r="R183" s="3"/>
      <c r="S183" s="529"/>
      <c r="T183" s="529"/>
      <c r="U183" s="529">
        <v>1</v>
      </c>
      <c r="V183" s="529"/>
      <c r="W183" s="529"/>
      <c r="X183" s="529"/>
      <c r="Y183" s="529"/>
      <c r="Z183" s="529"/>
      <c r="AA183" s="529"/>
      <c r="AB183" s="529"/>
      <c r="AC183" s="529"/>
      <c r="AD183" s="529"/>
      <c r="AE183" s="529"/>
      <c r="AF183" s="529"/>
      <c r="AG183" s="233"/>
      <c r="AH183" s="229"/>
    </row>
    <row r="184" spans="2:34" ht="23.25" customHeight="1" x14ac:dyDescent="0.15">
      <c r="B184" s="49"/>
      <c r="C184" s="373"/>
      <c r="D184" s="409"/>
      <c r="E184" s="413" t="s">
        <v>78</v>
      </c>
      <c r="F184" s="413"/>
      <c r="G184" s="414"/>
      <c r="H184" s="40" t="s">
        <v>79</v>
      </c>
      <c r="I184" s="57"/>
      <c r="J184" s="58"/>
      <c r="K184" s="41" t="str">
        <f t="shared" si="15"/>
        <v>-</v>
      </c>
      <c r="L184" s="42">
        <f t="shared" si="14"/>
        <v>0</v>
      </c>
      <c r="M184" s="159"/>
      <c r="N184" s="415"/>
      <c r="O184" s="416"/>
      <c r="P184" s="416"/>
      <c r="Q184" s="417"/>
      <c r="R184" s="3"/>
      <c r="S184" s="529"/>
      <c r="T184" s="529"/>
      <c r="U184" s="529">
        <v>1</v>
      </c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233"/>
      <c r="AH184" s="229"/>
    </row>
    <row r="185" spans="2:34" ht="23.25" customHeight="1" x14ac:dyDescent="0.15">
      <c r="B185" s="49"/>
      <c r="C185" s="373"/>
      <c r="D185" s="410"/>
      <c r="E185" s="413" t="s">
        <v>198</v>
      </c>
      <c r="F185" s="413"/>
      <c r="G185" s="414"/>
      <c r="H185" s="40" t="s">
        <v>80</v>
      </c>
      <c r="I185" s="57"/>
      <c r="J185" s="58"/>
      <c r="K185" s="41" t="str">
        <f t="shared" si="15"/>
        <v>-</v>
      </c>
      <c r="L185" s="42">
        <f t="shared" si="14"/>
        <v>0</v>
      </c>
      <c r="M185" s="159"/>
      <c r="N185" s="415"/>
      <c r="O185" s="416"/>
      <c r="P185" s="416"/>
      <c r="Q185" s="417"/>
      <c r="R185" s="3"/>
      <c r="S185" s="529"/>
      <c r="T185" s="529"/>
      <c r="U185" s="529">
        <v>1</v>
      </c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233"/>
      <c r="AH185" s="229"/>
    </row>
    <row r="186" spans="2:34" ht="23.25" customHeight="1" x14ac:dyDescent="0.15">
      <c r="B186" s="49"/>
      <c r="C186" s="373"/>
      <c r="D186" s="421" t="s">
        <v>199</v>
      </c>
      <c r="E186" s="413" t="s">
        <v>76</v>
      </c>
      <c r="F186" s="413"/>
      <c r="G186" s="414"/>
      <c r="H186" s="40" t="s">
        <v>77</v>
      </c>
      <c r="I186" s="93"/>
      <c r="J186" s="90"/>
      <c r="K186" s="41" t="str">
        <f t="shared" si="15"/>
        <v>-</v>
      </c>
      <c r="L186" s="200">
        <f t="shared" si="14"/>
        <v>0</v>
      </c>
      <c r="M186" s="159"/>
      <c r="N186" s="293"/>
      <c r="O186" s="294"/>
      <c r="P186" s="294"/>
      <c r="Q186" s="295"/>
      <c r="R186" s="3"/>
      <c r="S186" s="529"/>
      <c r="T186" s="529"/>
      <c r="U186" s="529">
        <v>1</v>
      </c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233"/>
      <c r="AH186" s="229"/>
    </row>
    <row r="187" spans="2:34" ht="23.25" customHeight="1" x14ac:dyDescent="0.15">
      <c r="B187" s="49"/>
      <c r="C187" s="373"/>
      <c r="D187" s="409"/>
      <c r="E187" s="413" t="s">
        <v>78</v>
      </c>
      <c r="F187" s="413"/>
      <c r="G187" s="414"/>
      <c r="H187" s="40" t="s">
        <v>79</v>
      </c>
      <c r="I187" s="57"/>
      <c r="J187" s="58"/>
      <c r="K187" s="41" t="str">
        <f t="shared" si="15"/>
        <v>-</v>
      </c>
      <c r="L187" s="42">
        <f t="shared" si="14"/>
        <v>0</v>
      </c>
      <c r="M187" s="159"/>
      <c r="N187" s="415"/>
      <c r="O187" s="416"/>
      <c r="P187" s="416"/>
      <c r="Q187" s="417"/>
      <c r="R187" s="3"/>
      <c r="S187" s="529"/>
      <c r="T187" s="529"/>
      <c r="U187" s="529">
        <v>1</v>
      </c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233"/>
      <c r="AH187" s="229"/>
    </row>
    <row r="188" spans="2:34" ht="23.25" customHeight="1" x14ac:dyDescent="0.15">
      <c r="B188" s="49"/>
      <c r="C188" s="373"/>
      <c r="D188" s="410"/>
      <c r="E188" s="413" t="s">
        <v>198</v>
      </c>
      <c r="F188" s="413"/>
      <c r="G188" s="414"/>
      <c r="H188" s="40" t="s">
        <v>80</v>
      </c>
      <c r="I188" s="57"/>
      <c r="J188" s="58"/>
      <c r="K188" s="41" t="str">
        <f t="shared" si="15"/>
        <v>-</v>
      </c>
      <c r="L188" s="42">
        <f t="shared" si="14"/>
        <v>0</v>
      </c>
      <c r="M188" s="159"/>
      <c r="N188" s="415"/>
      <c r="O188" s="416"/>
      <c r="P188" s="416"/>
      <c r="Q188" s="417"/>
      <c r="R188" s="3"/>
      <c r="S188" s="529"/>
      <c r="T188" s="529"/>
      <c r="U188" s="529">
        <v>1</v>
      </c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233"/>
      <c r="AH188" s="229"/>
    </row>
    <row r="189" spans="2:34" ht="23.25" customHeight="1" x14ac:dyDescent="0.15">
      <c r="B189" s="49"/>
      <c r="C189" s="373"/>
      <c r="D189" s="421" t="s">
        <v>28</v>
      </c>
      <c r="E189" s="413" t="s">
        <v>76</v>
      </c>
      <c r="F189" s="413"/>
      <c r="G189" s="414"/>
      <c r="H189" s="40" t="s">
        <v>77</v>
      </c>
      <c r="I189" s="93"/>
      <c r="J189" s="90"/>
      <c r="K189" s="41" t="str">
        <f t="shared" si="15"/>
        <v>-</v>
      </c>
      <c r="L189" s="200">
        <f t="shared" si="14"/>
        <v>0</v>
      </c>
      <c r="M189" s="159"/>
      <c r="N189" s="293"/>
      <c r="O189" s="294"/>
      <c r="P189" s="294"/>
      <c r="Q189" s="295"/>
      <c r="R189" s="3"/>
      <c r="S189" s="529"/>
      <c r="T189" s="529"/>
      <c r="U189" s="529">
        <v>1</v>
      </c>
      <c r="V189" s="529"/>
      <c r="W189" s="529"/>
      <c r="X189" s="529"/>
      <c r="Y189" s="529"/>
      <c r="Z189" s="529"/>
      <c r="AA189" s="529"/>
      <c r="AB189" s="529"/>
      <c r="AC189" s="529"/>
      <c r="AD189" s="529"/>
      <c r="AE189" s="529"/>
      <c r="AF189" s="529"/>
      <c r="AG189" s="233"/>
      <c r="AH189" s="229"/>
    </row>
    <row r="190" spans="2:34" ht="23.25" customHeight="1" x14ac:dyDescent="0.15">
      <c r="B190" s="49"/>
      <c r="C190" s="373"/>
      <c r="D190" s="409"/>
      <c r="E190" s="413" t="s">
        <v>78</v>
      </c>
      <c r="F190" s="413"/>
      <c r="G190" s="414"/>
      <c r="H190" s="40" t="s">
        <v>79</v>
      </c>
      <c r="I190" s="57"/>
      <c r="J190" s="58"/>
      <c r="K190" s="41" t="str">
        <f t="shared" si="15"/>
        <v>-</v>
      </c>
      <c r="L190" s="42">
        <f t="shared" si="14"/>
        <v>0</v>
      </c>
      <c r="M190" s="159"/>
      <c r="N190" s="415"/>
      <c r="O190" s="416"/>
      <c r="P190" s="416"/>
      <c r="Q190" s="417"/>
      <c r="R190" s="3"/>
      <c r="S190" s="529"/>
      <c r="T190" s="529"/>
      <c r="U190" s="529">
        <v>1</v>
      </c>
      <c r="V190" s="529"/>
      <c r="W190" s="529"/>
      <c r="X190" s="529"/>
      <c r="Y190" s="529"/>
      <c r="Z190" s="529"/>
      <c r="AA190" s="529"/>
      <c r="AB190" s="529"/>
      <c r="AC190" s="529"/>
      <c r="AD190" s="529"/>
      <c r="AE190" s="529"/>
      <c r="AF190" s="529"/>
      <c r="AG190" s="233"/>
      <c r="AH190" s="229"/>
    </row>
    <row r="191" spans="2:34" ht="23.25" customHeight="1" x14ac:dyDescent="0.15">
      <c r="B191" s="49"/>
      <c r="C191" s="373"/>
      <c r="D191" s="410"/>
      <c r="E191" s="413" t="s">
        <v>200</v>
      </c>
      <c r="F191" s="413"/>
      <c r="G191" s="414"/>
      <c r="H191" s="40" t="s">
        <v>80</v>
      </c>
      <c r="I191" s="57"/>
      <c r="J191" s="58"/>
      <c r="K191" s="41" t="str">
        <f t="shared" si="15"/>
        <v>-</v>
      </c>
      <c r="L191" s="42">
        <f t="shared" si="14"/>
        <v>0</v>
      </c>
      <c r="M191" s="159"/>
      <c r="N191" s="415"/>
      <c r="O191" s="416"/>
      <c r="P191" s="416"/>
      <c r="Q191" s="417"/>
      <c r="R191" s="3"/>
      <c r="S191" s="529"/>
      <c r="T191" s="529"/>
      <c r="U191" s="529">
        <v>1</v>
      </c>
      <c r="V191" s="529"/>
      <c r="W191" s="529"/>
      <c r="X191" s="529"/>
      <c r="Y191" s="529"/>
      <c r="Z191" s="529"/>
      <c r="AA191" s="529"/>
      <c r="AB191" s="529"/>
      <c r="AC191" s="529"/>
      <c r="AD191" s="529"/>
      <c r="AE191" s="529"/>
      <c r="AF191" s="529"/>
      <c r="AG191" s="233"/>
      <c r="AH191" s="229"/>
    </row>
    <row r="192" spans="2:34" ht="23.25" customHeight="1" x14ac:dyDescent="0.15">
      <c r="B192" s="49"/>
      <c r="C192" s="373"/>
      <c r="D192" s="421" t="s">
        <v>29</v>
      </c>
      <c r="E192" s="413" t="s">
        <v>76</v>
      </c>
      <c r="F192" s="413"/>
      <c r="G192" s="414"/>
      <c r="H192" s="40" t="s">
        <v>77</v>
      </c>
      <c r="I192" s="93"/>
      <c r="J192" s="90"/>
      <c r="K192" s="41" t="str">
        <f t="shared" si="15"/>
        <v>-</v>
      </c>
      <c r="L192" s="200">
        <f t="shared" si="14"/>
        <v>0</v>
      </c>
      <c r="M192" s="159"/>
      <c r="N192" s="293"/>
      <c r="O192" s="294"/>
      <c r="P192" s="294"/>
      <c r="Q192" s="295"/>
      <c r="R192" s="3"/>
      <c r="S192" s="529"/>
      <c r="T192" s="529"/>
      <c r="U192" s="529">
        <v>1</v>
      </c>
      <c r="V192" s="529"/>
      <c r="W192" s="529"/>
      <c r="X192" s="529"/>
      <c r="Y192" s="529"/>
      <c r="Z192" s="529"/>
      <c r="AA192" s="529"/>
      <c r="AB192" s="529"/>
      <c r="AC192" s="529"/>
      <c r="AD192" s="529"/>
      <c r="AE192" s="529"/>
      <c r="AF192" s="529"/>
      <c r="AG192" s="233"/>
      <c r="AH192" s="229"/>
    </row>
    <row r="193" spans="2:34" ht="23.25" customHeight="1" x14ac:dyDescent="0.15">
      <c r="B193" s="49"/>
      <c r="C193" s="373"/>
      <c r="D193" s="409"/>
      <c r="E193" s="413" t="s">
        <v>78</v>
      </c>
      <c r="F193" s="413"/>
      <c r="G193" s="414"/>
      <c r="H193" s="40" t="s">
        <v>79</v>
      </c>
      <c r="I193" s="57"/>
      <c r="J193" s="58"/>
      <c r="K193" s="41" t="str">
        <f t="shared" si="15"/>
        <v>-</v>
      </c>
      <c r="L193" s="42">
        <f t="shared" si="14"/>
        <v>0</v>
      </c>
      <c r="M193" s="159"/>
      <c r="N193" s="415"/>
      <c r="O193" s="416"/>
      <c r="P193" s="416"/>
      <c r="Q193" s="417"/>
      <c r="R193" s="3"/>
      <c r="S193" s="529"/>
      <c r="T193" s="529"/>
      <c r="U193" s="529">
        <v>1</v>
      </c>
      <c r="V193" s="529"/>
      <c r="W193" s="529"/>
      <c r="X193" s="529"/>
      <c r="Y193" s="529"/>
      <c r="Z193" s="529"/>
      <c r="AA193" s="529"/>
      <c r="AB193" s="529"/>
      <c r="AC193" s="529"/>
      <c r="AD193" s="529"/>
      <c r="AE193" s="529"/>
      <c r="AF193" s="529"/>
      <c r="AG193" s="233"/>
      <c r="AH193" s="229"/>
    </row>
    <row r="194" spans="2:34" ht="23.25" customHeight="1" x14ac:dyDescent="0.15">
      <c r="B194" s="49"/>
      <c r="C194" s="373"/>
      <c r="D194" s="410"/>
      <c r="E194" s="413" t="s">
        <v>200</v>
      </c>
      <c r="F194" s="413"/>
      <c r="G194" s="414"/>
      <c r="H194" s="40" t="s">
        <v>80</v>
      </c>
      <c r="I194" s="57"/>
      <c r="J194" s="58"/>
      <c r="K194" s="41" t="str">
        <f t="shared" si="15"/>
        <v>-</v>
      </c>
      <c r="L194" s="42">
        <f t="shared" si="14"/>
        <v>0</v>
      </c>
      <c r="M194" s="159"/>
      <c r="N194" s="415"/>
      <c r="O194" s="416"/>
      <c r="P194" s="416"/>
      <c r="Q194" s="417"/>
      <c r="R194" s="3"/>
      <c r="S194" s="529"/>
      <c r="T194" s="529"/>
      <c r="U194" s="529">
        <v>1</v>
      </c>
      <c r="V194" s="529"/>
      <c r="W194" s="529"/>
      <c r="X194" s="529"/>
      <c r="Y194" s="529"/>
      <c r="Z194" s="529"/>
      <c r="AA194" s="529"/>
      <c r="AB194" s="529"/>
      <c r="AC194" s="529"/>
      <c r="AD194" s="529"/>
      <c r="AE194" s="529"/>
      <c r="AF194" s="529"/>
      <c r="AG194" s="233"/>
      <c r="AH194" s="229"/>
    </row>
    <row r="195" spans="2:34" ht="23.25" customHeight="1" x14ac:dyDescent="0.15">
      <c r="B195" s="49"/>
      <c r="C195" s="373"/>
      <c r="D195" s="421" t="s">
        <v>30</v>
      </c>
      <c r="E195" s="413" t="s">
        <v>201</v>
      </c>
      <c r="F195" s="413"/>
      <c r="G195" s="414"/>
      <c r="H195" s="40" t="s">
        <v>77</v>
      </c>
      <c r="I195" s="93"/>
      <c r="J195" s="90"/>
      <c r="K195" s="41" t="str">
        <f t="shared" si="15"/>
        <v>-</v>
      </c>
      <c r="L195" s="200">
        <f t="shared" si="14"/>
        <v>0</v>
      </c>
      <c r="M195" s="159"/>
      <c r="N195" s="293"/>
      <c r="O195" s="294"/>
      <c r="P195" s="294"/>
      <c r="Q195" s="295"/>
      <c r="R195" s="3"/>
      <c r="S195" s="529"/>
      <c r="T195" s="529"/>
      <c r="U195" s="529">
        <v>1</v>
      </c>
      <c r="V195" s="529"/>
      <c r="W195" s="529"/>
      <c r="X195" s="529"/>
      <c r="Y195" s="529"/>
      <c r="Z195" s="529"/>
      <c r="AA195" s="529"/>
      <c r="AB195" s="529"/>
      <c r="AC195" s="529"/>
      <c r="AD195" s="529"/>
      <c r="AE195" s="529"/>
      <c r="AF195" s="529"/>
      <c r="AG195" s="233"/>
      <c r="AH195" s="229"/>
    </row>
    <row r="196" spans="2:34" ht="23.25" customHeight="1" x14ac:dyDescent="0.15">
      <c r="B196" s="49"/>
      <c r="C196" s="373"/>
      <c r="D196" s="409"/>
      <c r="E196" s="413" t="s">
        <v>78</v>
      </c>
      <c r="F196" s="413"/>
      <c r="G196" s="414"/>
      <c r="H196" s="40" t="s">
        <v>79</v>
      </c>
      <c r="I196" s="57"/>
      <c r="J196" s="58"/>
      <c r="K196" s="41" t="str">
        <f t="shared" si="15"/>
        <v>-</v>
      </c>
      <c r="L196" s="42">
        <f t="shared" si="14"/>
        <v>0</v>
      </c>
      <c r="M196" s="159"/>
      <c r="N196" s="415"/>
      <c r="O196" s="416"/>
      <c r="P196" s="416"/>
      <c r="Q196" s="417"/>
      <c r="R196" s="3"/>
      <c r="S196" s="529"/>
      <c r="T196" s="529"/>
      <c r="U196" s="529">
        <v>1</v>
      </c>
      <c r="V196" s="529"/>
      <c r="W196" s="529"/>
      <c r="X196" s="529"/>
      <c r="Y196" s="529"/>
      <c r="Z196" s="529"/>
      <c r="AA196" s="529"/>
      <c r="AB196" s="529"/>
      <c r="AC196" s="529"/>
      <c r="AD196" s="529"/>
      <c r="AE196" s="529"/>
      <c r="AF196" s="529"/>
      <c r="AG196" s="233"/>
      <c r="AH196" s="229"/>
    </row>
    <row r="197" spans="2:34" ht="23.25" customHeight="1" x14ac:dyDescent="0.15">
      <c r="B197" s="49"/>
      <c r="C197" s="373"/>
      <c r="D197" s="410"/>
      <c r="E197" s="413" t="s">
        <v>275</v>
      </c>
      <c r="F197" s="413"/>
      <c r="G197" s="414"/>
      <c r="H197" s="40" t="s">
        <v>80</v>
      </c>
      <c r="I197" s="57"/>
      <c r="J197" s="58"/>
      <c r="K197" s="41" t="str">
        <f t="shared" si="15"/>
        <v>-</v>
      </c>
      <c r="L197" s="42">
        <f t="shared" si="14"/>
        <v>0</v>
      </c>
      <c r="M197" s="159"/>
      <c r="N197" s="415"/>
      <c r="O197" s="416"/>
      <c r="P197" s="416"/>
      <c r="Q197" s="417"/>
      <c r="R197" s="3"/>
      <c r="S197" s="529"/>
      <c r="T197" s="529"/>
      <c r="U197" s="529">
        <v>1</v>
      </c>
      <c r="V197" s="529"/>
      <c r="W197" s="529"/>
      <c r="X197" s="529"/>
      <c r="Y197" s="529"/>
      <c r="Z197" s="529"/>
      <c r="AA197" s="529"/>
      <c r="AB197" s="529"/>
      <c r="AC197" s="529"/>
      <c r="AD197" s="529"/>
      <c r="AE197" s="529"/>
      <c r="AF197" s="529"/>
      <c r="AG197" s="233"/>
      <c r="AH197" s="229"/>
    </row>
    <row r="198" spans="2:34" ht="23.25" customHeight="1" x14ac:dyDescent="0.15">
      <c r="B198" s="48"/>
      <c r="C198" s="373"/>
      <c r="D198" s="427" t="s">
        <v>82</v>
      </c>
      <c r="E198" s="235"/>
      <c r="F198" s="235"/>
      <c r="G198" s="236"/>
      <c r="H198" s="60" t="s">
        <v>74</v>
      </c>
      <c r="I198" s="89"/>
      <c r="J198" s="199"/>
      <c r="K198" s="41" t="str">
        <f t="shared" si="15"/>
        <v>-</v>
      </c>
      <c r="L198" s="200">
        <f t="shared" si="14"/>
        <v>0</v>
      </c>
      <c r="M198" s="159"/>
      <c r="N198" s="237"/>
      <c r="O198" s="238"/>
      <c r="P198" s="238"/>
      <c r="Q198" s="239"/>
      <c r="S198" s="233"/>
      <c r="T198" s="529">
        <v>1</v>
      </c>
      <c r="U198" s="529"/>
      <c r="V198" s="233">
        <v>1</v>
      </c>
      <c r="W198" s="529">
        <v>1</v>
      </c>
      <c r="X198" s="529"/>
      <c r="Y198" s="529"/>
      <c r="Z198" s="529"/>
      <c r="AA198" s="529"/>
      <c r="AB198" s="529"/>
      <c r="AC198" s="529"/>
      <c r="AD198" s="529"/>
      <c r="AE198" s="529"/>
      <c r="AF198" s="529"/>
      <c r="AG198" s="529"/>
    </row>
    <row r="199" spans="2:34" ht="23.25" customHeight="1" x14ac:dyDescent="0.15">
      <c r="B199" s="48"/>
      <c r="C199" s="373"/>
      <c r="D199" s="427" t="s">
        <v>83</v>
      </c>
      <c r="E199" s="235"/>
      <c r="F199" s="235"/>
      <c r="G199" s="236"/>
      <c r="H199" s="60" t="s">
        <v>84</v>
      </c>
      <c r="I199" s="89"/>
      <c r="J199" s="199"/>
      <c r="K199" s="41" t="str">
        <f t="shared" si="15"/>
        <v>-</v>
      </c>
      <c r="L199" s="200">
        <f t="shared" si="14"/>
        <v>0</v>
      </c>
      <c r="M199" s="159"/>
      <c r="N199" s="237"/>
      <c r="O199" s="238"/>
      <c r="P199" s="238"/>
      <c r="Q199" s="239"/>
      <c r="S199" s="529"/>
      <c r="T199" s="529"/>
      <c r="U199" s="529"/>
      <c r="V199" s="233">
        <v>1</v>
      </c>
      <c r="W199" s="529">
        <v>1</v>
      </c>
      <c r="X199" s="529"/>
      <c r="Y199" s="529"/>
      <c r="Z199" s="529"/>
      <c r="AA199" s="529"/>
      <c r="AB199" s="529"/>
      <c r="AC199" s="529"/>
      <c r="AD199" s="529"/>
      <c r="AE199" s="529"/>
      <c r="AF199" s="529"/>
      <c r="AG199" s="529"/>
    </row>
    <row r="200" spans="2:34" ht="23.25" customHeight="1" x14ac:dyDescent="0.15">
      <c r="B200" s="48"/>
      <c r="C200" s="373"/>
      <c r="D200" s="427" t="s">
        <v>85</v>
      </c>
      <c r="E200" s="235"/>
      <c r="F200" s="235"/>
      <c r="G200" s="236"/>
      <c r="H200" s="60" t="s">
        <v>74</v>
      </c>
      <c r="I200" s="89"/>
      <c r="J200" s="199"/>
      <c r="K200" s="41" t="str">
        <f t="shared" si="15"/>
        <v>-</v>
      </c>
      <c r="L200" s="200">
        <f t="shared" si="14"/>
        <v>0</v>
      </c>
      <c r="M200" s="159"/>
      <c r="N200" s="237"/>
      <c r="O200" s="238"/>
      <c r="P200" s="238"/>
      <c r="Q200" s="239"/>
      <c r="S200" s="529"/>
      <c r="T200" s="529"/>
      <c r="U200" s="529"/>
      <c r="V200" s="529"/>
      <c r="W200" s="529"/>
      <c r="X200" s="529">
        <v>1</v>
      </c>
      <c r="Y200" s="529"/>
      <c r="Z200" s="529"/>
      <c r="AA200" s="529"/>
      <c r="AB200" s="529"/>
      <c r="AC200" s="529"/>
      <c r="AD200" s="529"/>
      <c r="AE200" s="529"/>
      <c r="AF200" s="529"/>
      <c r="AG200" s="233"/>
    </row>
    <row r="201" spans="2:34" ht="23.25" customHeight="1" x14ac:dyDescent="0.15">
      <c r="B201" s="48"/>
      <c r="C201" s="373"/>
      <c r="D201" s="426" t="s">
        <v>86</v>
      </c>
      <c r="E201" s="235"/>
      <c r="F201" s="235"/>
      <c r="G201" s="236"/>
      <c r="H201" s="60" t="s">
        <v>74</v>
      </c>
      <c r="I201" s="89"/>
      <c r="J201" s="199"/>
      <c r="K201" s="41" t="str">
        <f t="shared" si="15"/>
        <v>-</v>
      </c>
      <c r="L201" s="200">
        <f t="shared" si="14"/>
        <v>0</v>
      </c>
      <c r="M201" s="159"/>
      <c r="N201" s="237"/>
      <c r="O201" s="238"/>
      <c r="P201" s="238"/>
      <c r="Q201" s="239"/>
      <c r="S201" s="529"/>
      <c r="T201" s="529"/>
      <c r="U201" s="529"/>
      <c r="V201" s="529"/>
      <c r="W201" s="529"/>
      <c r="X201" s="529"/>
      <c r="Y201" s="233">
        <v>1</v>
      </c>
      <c r="Z201" s="529">
        <v>1</v>
      </c>
      <c r="AA201" s="529"/>
      <c r="AB201" s="529"/>
      <c r="AC201" s="529"/>
      <c r="AD201" s="529"/>
      <c r="AE201" s="529"/>
      <c r="AF201" s="529"/>
      <c r="AG201" s="529"/>
    </row>
    <row r="202" spans="2:34" ht="23.25" customHeight="1" x14ac:dyDescent="0.15">
      <c r="B202" s="49"/>
      <c r="C202" s="373"/>
      <c r="D202" s="107"/>
      <c r="E202" s="422" t="s">
        <v>202</v>
      </c>
      <c r="F202" s="423"/>
      <c r="G202" s="424"/>
      <c r="H202" s="40" t="s">
        <v>74</v>
      </c>
      <c r="I202" s="93"/>
      <c r="J202" s="90"/>
      <c r="K202" s="41" t="str">
        <f t="shared" si="15"/>
        <v>-</v>
      </c>
      <c r="L202" s="200">
        <f t="shared" si="14"/>
        <v>0</v>
      </c>
      <c r="M202" s="159"/>
      <c r="N202" s="356"/>
      <c r="O202" s="357"/>
      <c r="P202" s="357"/>
      <c r="Q202" s="358"/>
      <c r="R202" s="3"/>
      <c r="S202" s="529"/>
      <c r="T202" s="529"/>
      <c r="U202" s="529"/>
      <c r="V202" s="529"/>
      <c r="W202" s="529"/>
      <c r="X202" s="529"/>
      <c r="Y202" s="529">
        <v>1</v>
      </c>
      <c r="Z202" s="529"/>
      <c r="AA202" s="529"/>
      <c r="AB202" s="529"/>
      <c r="AC202" s="529"/>
      <c r="AD202" s="529"/>
      <c r="AE202" s="529"/>
      <c r="AF202" s="529"/>
      <c r="AG202" s="529"/>
      <c r="AH202" s="229"/>
    </row>
    <row r="203" spans="2:34" ht="23.25" customHeight="1" x14ac:dyDescent="0.15">
      <c r="B203" s="49"/>
      <c r="C203" s="373"/>
      <c r="D203" s="107"/>
      <c r="E203" s="422" t="s">
        <v>203</v>
      </c>
      <c r="F203" s="423"/>
      <c r="G203" s="424"/>
      <c r="H203" s="40" t="s">
        <v>74</v>
      </c>
      <c r="I203" s="93"/>
      <c r="J203" s="90"/>
      <c r="K203" s="41" t="str">
        <f t="shared" si="15"/>
        <v>-</v>
      </c>
      <c r="L203" s="200">
        <f t="shared" si="14"/>
        <v>0</v>
      </c>
      <c r="M203" s="159"/>
      <c r="N203" s="356"/>
      <c r="O203" s="357"/>
      <c r="P203" s="357"/>
      <c r="Q203" s="358"/>
      <c r="R203" s="3"/>
      <c r="S203" s="529"/>
      <c r="T203" s="529"/>
      <c r="U203" s="529"/>
      <c r="V203" s="529"/>
      <c r="W203" s="529"/>
      <c r="X203" s="529"/>
      <c r="Y203" s="529">
        <v>1</v>
      </c>
      <c r="Z203" s="529"/>
      <c r="AA203" s="529"/>
      <c r="AB203" s="529"/>
      <c r="AC203" s="529"/>
      <c r="AD203" s="529"/>
      <c r="AE203" s="529"/>
      <c r="AF203" s="529"/>
      <c r="AG203" s="529"/>
      <c r="AH203" s="229"/>
    </row>
    <row r="204" spans="2:34" ht="23.25" customHeight="1" x14ac:dyDescent="0.15">
      <c r="B204" s="48"/>
      <c r="C204" s="373"/>
      <c r="D204" s="426" t="s">
        <v>87</v>
      </c>
      <c r="E204" s="235"/>
      <c r="F204" s="235"/>
      <c r="G204" s="236"/>
      <c r="H204" s="60" t="s">
        <v>84</v>
      </c>
      <c r="I204" s="89"/>
      <c r="J204" s="199"/>
      <c r="K204" s="41" t="str">
        <f t="shared" si="15"/>
        <v>-</v>
      </c>
      <c r="L204" s="200">
        <f t="shared" si="14"/>
        <v>0</v>
      </c>
      <c r="M204" s="159"/>
      <c r="N204" s="237"/>
      <c r="O204" s="238"/>
      <c r="P204" s="238"/>
      <c r="Q204" s="239"/>
      <c r="S204" s="529"/>
      <c r="T204" s="529"/>
      <c r="U204" s="529"/>
      <c r="V204" s="529"/>
      <c r="W204" s="529"/>
      <c r="X204" s="529"/>
      <c r="Y204" s="233">
        <v>1</v>
      </c>
      <c r="Z204" s="529">
        <v>1</v>
      </c>
      <c r="AA204" s="529"/>
      <c r="AB204" s="529"/>
      <c r="AC204" s="529"/>
      <c r="AD204" s="529"/>
      <c r="AE204" s="529"/>
      <c r="AF204" s="529"/>
      <c r="AG204" s="529"/>
    </row>
    <row r="205" spans="2:34" ht="23.25" customHeight="1" x14ac:dyDescent="0.15">
      <c r="B205" s="49"/>
      <c r="C205" s="373"/>
      <c r="D205" s="107"/>
      <c r="E205" s="422" t="s">
        <v>204</v>
      </c>
      <c r="F205" s="423"/>
      <c r="G205" s="424"/>
      <c r="H205" s="40" t="s">
        <v>84</v>
      </c>
      <c r="I205" s="93"/>
      <c r="J205" s="90"/>
      <c r="K205" s="41" t="str">
        <f t="shared" si="15"/>
        <v>-</v>
      </c>
      <c r="L205" s="200">
        <f t="shared" ref="L205:L266" si="16">IFERROR(J205-I205,"-")</f>
        <v>0</v>
      </c>
      <c r="M205" s="159"/>
      <c r="N205" s="356"/>
      <c r="O205" s="357"/>
      <c r="P205" s="357"/>
      <c r="Q205" s="358"/>
      <c r="R205" s="3"/>
      <c r="S205" s="529"/>
      <c r="T205" s="529"/>
      <c r="U205" s="529"/>
      <c r="V205" s="529"/>
      <c r="W205" s="529"/>
      <c r="X205" s="529"/>
      <c r="Y205" s="233"/>
      <c r="Z205" s="529">
        <v>1</v>
      </c>
      <c r="AA205" s="529"/>
      <c r="AB205" s="529"/>
      <c r="AC205" s="529"/>
      <c r="AD205" s="529"/>
      <c r="AE205" s="529"/>
      <c r="AF205" s="529"/>
      <c r="AG205" s="529"/>
      <c r="AH205" s="229"/>
    </row>
    <row r="206" spans="2:34" ht="23.25" customHeight="1" x14ac:dyDescent="0.15">
      <c r="B206" s="49"/>
      <c r="C206" s="373"/>
      <c r="D206" s="107"/>
      <c r="E206" s="422" t="s">
        <v>205</v>
      </c>
      <c r="F206" s="423"/>
      <c r="G206" s="424"/>
      <c r="H206" s="40" t="s">
        <v>84</v>
      </c>
      <c r="I206" s="93"/>
      <c r="J206" s="90"/>
      <c r="K206" s="41" t="str">
        <f t="shared" si="15"/>
        <v>-</v>
      </c>
      <c r="L206" s="200">
        <f t="shared" si="16"/>
        <v>0</v>
      </c>
      <c r="M206" s="159"/>
      <c r="N206" s="356"/>
      <c r="O206" s="357"/>
      <c r="P206" s="357"/>
      <c r="Q206" s="358"/>
      <c r="R206" s="3"/>
      <c r="S206" s="529"/>
      <c r="T206" s="529"/>
      <c r="U206" s="529"/>
      <c r="V206" s="529"/>
      <c r="W206" s="529"/>
      <c r="X206" s="529"/>
      <c r="Y206" s="233"/>
      <c r="Z206" s="529">
        <v>1</v>
      </c>
      <c r="AA206" s="529"/>
      <c r="AB206" s="529"/>
      <c r="AC206" s="529"/>
      <c r="AD206" s="529"/>
      <c r="AE206" s="529"/>
      <c r="AF206" s="529"/>
      <c r="AG206" s="529"/>
      <c r="AH206" s="229"/>
    </row>
    <row r="207" spans="2:34" ht="23.25" customHeight="1" x14ac:dyDescent="0.15">
      <c r="B207" s="49"/>
      <c r="C207" s="373"/>
      <c r="D207" s="425" t="s">
        <v>206</v>
      </c>
      <c r="E207" s="284"/>
      <c r="F207" s="284"/>
      <c r="G207" s="285"/>
      <c r="H207" s="40" t="s">
        <v>74</v>
      </c>
      <c r="I207" s="93"/>
      <c r="J207" s="108"/>
      <c r="K207" s="41" t="str">
        <f t="shared" si="15"/>
        <v>-</v>
      </c>
      <c r="L207" s="200">
        <f t="shared" si="16"/>
        <v>0</v>
      </c>
      <c r="M207" s="159"/>
      <c r="N207" s="237"/>
      <c r="O207" s="238"/>
      <c r="P207" s="238"/>
      <c r="Q207" s="239"/>
      <c r="R207" s="3"/>
      <c r="S207" s="233"/>
      <c r="T207" s="529">
        <v>1</v>
      </c>
      <c r="U207" s="529"/>
      <c r="V207" s="529"/>
      <c r="W207" s="529"/>
      <c r="X207" s="529"/>
      <c r="Y207" s="529"/>
      <c r="Z207" s="233"/>
      <c r="AA207" s="233">
        <v>1</v>
      </c>
      <c r="AB207" s="233">
        <v>1</v>
      </c>
      <c r="AC207" s="529">
        <v>1</v>
      </c>
      <c r="AD207" s="529"/>
      <c r="AE207" s="529"/>
      <c r="AF207" s="529"/>
      <c r="AG207" s="529"/>
      <c r="AH207" s="229"/>
    </row>
    <row r="208" spans="2:34" ht="23.25" customHeight="1" x14ac:dyDescent="0.15">
      <c r="B208" s="49"/>
      <c r="C208" s="373"/>
      <c r="D208" s="425" t="s">
        <v>207</v>
      </c>
      <c r="E208" s="303"/>
      <c r="F208" s="303"/>
      <c r="G208" s="304"/>
      <c r="H208" s="40" t="s">
        <v>74</v>
      </c>
      <c r="I208" s="93"/>
      <c r="J208" s="108"/>
      <c r="K208" s="41" t="str">
        <f t="shared" si="15"/>
        <v>-</v>
      </c>
      <c r="L208" s="200">
        <f t="shared" si="16"/>
        <v>0</v>
      </c>
      <c r="M208" s="159"/>
      <c r="N208" s="237"/>
      <c r="O208" s="238"/>
      <c r="P208" s="238"/>
      <c r="Q208" s="239"/>
      <c r="R208" s="3"/>
      <c r="S208" s="233"/>
      <c r="T208" s="529">
        <v>1</v>
      </c>
      <c r="U208" s="529"/>
      <c r="V208" s="529"/>
      <c r="W208" s="529"/>
      <c r="X208" s="529"/>
      <c r="Y208" s="529"/>
      <c r="Z208" s="233"/>
      <c r="AA208" s="233">
        <v>1</v>
      </c>
      <c r="AB208" s="233">
        <v>1</v>
      </c>
      <c r="AC208" s="529">
        <v>1</v>
      </c>
      <c r="AD208" s="529"/>
      <c r="AE208" s="529"/>
      <c r="AF208" s="529"/>
      <c r="AG208" s="529"/>
      <c r="AH208" s="229"/>
    </row>
    <row r="209" spans="2:34" ht="23.25" customHeight="1" x14ac:dyDescent="0.15">
      <c r="B209" s="49"/>
      <c r="C209" s="373"/>
      <c r="D209" s="425" t="s">
        <v>208</v>
      </c>
      <c r="E209" s="303"/>
      <c r="F209" s="303"/>
      <c r="G209" s="304"/>
      <c r="H209" s="40" t="s">
        <v>209</v>
      </c>
      <c r="I209" s="57"/>
      <c r="J209" s="109"/>
      <c r="K209" s="41" t="str">
        <f t="shared" si="15"/>
        <v>-</v>
      </c>
      <c r="L209" s="42">
        <f t="shared" si="16"/>
        <v>0</v>
      </c>
      <c r="M209" s="159"/>
      <c r="N209" s="237"/>
      <c r="O209" s="238"/>
      <c r="P209" s="238"/>
      <c r="Q209" s="239"/>
      <c r="R209" s="3"/>
      <c r="S209" s="233"/>
      <c r="T209" s="529">
        <v>1</v>
      </c>
      <c r="U209" s="529"/>
      <c r="V209" s="529"/>
      <c r="W209" s="529"/>
      <c r="X209" s="529"/>
      <c r="Y209" s="529"/>
      <c r="Z209" s="233"/>
      <c r="AA209" s="233">
        <v>1</v>
      </c>
      <c r="AB209" s="233">
        <v>1</v>
      </c>
      <c r="AC209" s="529">
        <v>1</v>
      </c>
      <c r="AD209" s="529"/>
      <c r="AE209" s="529"/>
      <c r="AF209" s="529"/>
      <c r="AG209" s="529"/>
      <c r="AH209" s="229"/>
    </row>
    <row r="210" spans="2:34" ht="23.25" customHeight="1" x14ac:dyDescent="0.15">
      <c r="B210" s="49"/>
      <c r="C210" s="373"/>
      <c r="D210" s="425" t="s">
        <v>281</v>
      </c>
      <c r="E210" s="303"/>
      <c r="F210" s="303"/>
      <c r="G210" s="304"/>
      <c r="H210" s="40" t="s">
        <v>74</v>
      </c>
      <c r="I210" s="93"/>
      <c r="J210" s="108"/>
      <c r="K210" s="41" t="str">
        <f t="shared" si="15"/>
        <v>-</v>
      </c>
      <c r="L210" s="200">
        <f t="shared" si="16"/>
        <v>0</v>
      </c>
      <c r="M210" s="159"/>
      <c r="N210" s="237"/>
      <c r="O210" s="238"/>
      <c r="P210" s="238"/>
      <c r="Q210" s="239"/>
      <c r="R210" s="3"/>
      <c r="S210" s="233"/>
      <c r="T210" s="529">
        <v>1</v>
      </c>
      <c r="U210" s="529"/>
      <c r="V210" s="529"/>
      <c r="W210" s="529"/>
      <c r="X210" s="529"/>
      <c r="Y210" s="529"/>
      <c r="Z210" s="233"/>
      <c r="AA210" s="233">
        <v>1</v>
      </c>
      <c r="AB210" s="233">
        <v>1</v>
      </c>
      <c r="AC210" s="529">
        <v>1</v>
      </c>
      <c r="AD210" s="529"/>
      <c r="AE210" s="529"/>
      <c r="AF210" s="529"/>
      <c r="AG210" s="529"/>
      <c r="AH210" s="229"/>
    </row>
    <row r="211" spans="2:34" ht="23.25" customHeight="1" x14ac:dyDescent="0.15">
      <c r="B211" s="49"/>
      <c r="C211" s="373"/>
      <c r="D211" s="425" t="s">
        <v>282</v>
      </c>
      <c r="E211" s="303"/>
      <c r="F211" s="303"/>
      <c r="G211" s="304"/>
      <c r="H211" s="40" t="s">
        <v>74</v>
      </c>
      <c r="I211" s="93"/>
      <c r="J211" s="108"/>
      <c r="K211" s="41" t="str">
        <f t="shared" si="15"/>
        <v>-</v>
      </c>
      <c r="L211" s="200">
        <f t="shared" si="16"/>
        <v>0</v>
      </c>
      <c r="M211" s="159"/>
      <c r="N211" s="237"/>
      <c r="O211" s="238"/>
      <c r="P211" s="238"/>
      <c r="Q211" s="239"/>
      <c r="R211" s="3"/>
      <c r="S211" s="233"/>
      <c r="T211" s="529">
        <v>1</v>
      </c>
      <c r="U211" s="529"/>
      <c r="V211" s="529"/>
      <c r="W211" s="529"/>
      <c r="X211" s="529"/>
      <c r="Y211" s="529"/>
      <c r="Z211" s="233"/>
      <c r="AA211" s="233">
        <v>1</v>
      </c>
      <c r="AB211" s="233">
        <v>1</v>
      </c>
      <c r="AC211" s="529">
        <v>1</v>
      </c>
      <c r="AD211" s="529"/>
      <c r="AE211" s="529"/>
      <c r="AF211" s="529"/>
      <c r="AG211" s="529"/>
      <c r="AH211" s="229"/>
    </row>
    <row r="212" spans="2:34" ht="23.25" customHeight="1" x14ac:dyDescent="0.15">
      <c r="B212" s="48"/>
      <c r="C212" s="373"/>
      <c r="D212" s="427" t="s">
        <v>88</v>
      </c>
      <c r="E212" s="235"/>
      <c r="F212" s="235"/>
      <c r="G212" s="236"/>
      <c r="H212" s="60" t="s">
        <v>89</v>
      </c>
      <c r="I212" s="89"/>
      <c r="J212" s="199"/>
      <c r="K212" s="41" t="str">
        <f t="shared" si="15"/>
        <v>-</v>
      </c>
      <c r="L212" s="200">
        <f t="shared" si="16"/>
        <v>0</v>
      </c>
      <c r="M212" s="159"/>
      <c r="N212" s="237"/>
      <c r="O212" s="238"/>
      <c r="P212" s="238"/>
      <c r="Q212" s="239"/>
      <c r="S212" s="529"/>
      <c r="T212" s="529"/>
      <c r="U212" s="529"/>
      <c r="V212" s="529"/>
      <c r="W212" s="529"/>
      <c r="X212" s="529"/>
      <c r="Y212" s="529"/>
      <c r="Z212" s="529"/>
      <c r="AA212" s="529">
        <v>1</v>
      </c>
      <c r="AB212" s="529"/>
      <c r="AC212" s="529"/>
      <c r="AD212" s="529"/>
      <c r="AE212" s="529"/>
      <c r="AF212" s="529"/>
      <c r="AG212" s="233"/>
    </row>
    <row r="213" spans="2:34" ht="23.25" customHeight="1" x14ac:dyDescent="0.15">
      <c r="B213" s="48"/>
      <c r="C213" s="373"/>
      <c r="D213" s="421" t="s">
        <v>90</v>
      </c>
      <c r="E213" s="428" t="s">
        <v>91</v>
      </c>
      <c r="F213" s="428"/>
      <c r="G213" s="429"/>
      <c r="H213" s="60" t="s">
        <v>92</v>
      </c>
      <c r="I213" s="144"/>
      <c r="J213" s="183"/>
      <c r="K213" s="41" t="str">
        <f t="shared" si="15"/>
        <v>-</v>
      </c>
      <c r="L213" s="42">
        <f t="shared" si="16"/>
        <v>0</v>
      </c>
      <c r="M213" s="159"/>
      <c r="N213" s="237"/>
      <c r="O213" s="238"/>
      <c r="P213" s="238"/>
      <c r="Q213" s="239"/>
      <c r="S213" s="529"/>
      <c r="T213" s="529"/>
      <c r="U213" s="529"/>
      <c r="V213" s="529"/>
      <c r="W213" s="529"/>
      <c r="X213" s="529"/>
      <c r="Y213" s="529"/>
      <c r="Z213" s="529"/>
      <c r="AA213" s="529">
        <v>1</v>
      </c>
      <c r="AB213" s="529"/>
      <c r="AC213" s="529"/>
      <c r="AD213" s="529"/>
      <c r="AE213" s="529"/>
      <c r="AF213" s="529"/>
      <c r="AG213" s="233"/>
    </row>
    <row r="214" spans="2:34" ht="23.25" customHeight="1" x14ac:dyDescent="0.15">
      <c r="B214" s="48"/>
      <c r="C214" s="373"/>
      <c r="D214" s="409"/>
      <c r="E214" s="430" t="s">
        <v>93</v>
      </c>
      <c r="F214" s="430"/>
      <c r="G214" s="431"/>
      <c r="H214" s="60" t="s">
        <v>79</v>
      </c>
      <c r="I214" s="144"/>
      <c r="J214" s="183"/>
      <c r="K214" s="41" t="str">
        <f t="shared" si="15"/>
        <v>-</v>
      </c>
      <c r="L214" s="42">
        <f t="shared" si="16"/>
        <v>0</v>
      </c>
      <c r="M214" s="159"/>
      <c r="N214" s="237"/>
      <c r="O214" s="238"/>
      <c r="P214" s="238"/>
      <c r="Q214" s="239"/>
      <c r="S214" s="529"/>
      <c r="T214" s="529"/>
      <c r="U214" s="529"/>
      <c r="V214" s="529"/>
      <c r="W214" s="529"/>
      <c r="X214" s="529"/>
      <c r="Y214" s="529"/>
      <c r="Z214" s="529"/>
      <c r="AA214" s="529">
        <v>1</v>
      </c>
      <c r="AB214" s="529"/>
      <c r="AC214" s="529"/>
      <c r="AD214" s="529"/>
      <c r="AE214" s="529"/>
      <c r="AF214" s="529"/>
      <c r="AG214" s="233"/>
    </row>
    <row r="215" spans="2:34" ht="23.25" customHeight="1" x14ac:dyDescent="0.15">
      <c r="B215" s="48"/>
      <c r="C215" s="373"/>
      <c r="D215" s="409"/>
      <c r="E215" s="430" t="s">
        <v>94</v>
      </c>
      <c r="F215" s="430"/>
      <c r="G215" s="431"/>
      <c r="H215" s="60" t="s">
        <v>80</v>
      </c>
      <c r="I215" s="144"/>
      <c r="J215" s="183"/>
      <c r="K215" s="41" t="str">
        <f t="shared" si="15"/>
        <v>-</v>
      </c>
      <c r="L215" s="42">
        <f t="shared" si="16"/>
        <v>0</v>
      </c>
      <c r="M215" s="159"/>
      <c r="N215" s="237"/>
      <c r="O215" s="238"/>
      <c r="P215" s="238"/>
      <c r="Q215" s="239"/>
      <c r="S215" s="529"/>
      <c r="T215" s="529"/>
      <c r="U215" s="529"/>
      <c r="V215" s="529"/>
      <c r="W215" s="529"/>
      <c r="X215" s="529"/>
      <c r="Y215" s="529"/>
      <c r="Z215" s="529"/>
      <c r="AA215" s="529">
        <v>1</v>
      </c>
      <c r="AB215" s="529"/>
      <c r="AC215" s="529"/>
      <c r="AD215" s="529"/>
      <c r="AE215" s="529"/>
      <c r="AF215" s="529"/>
      <c r="AG215" s="233"/>
    </row>
    <row r="216" spans="2:34" ht="23.25" customHeight="1" x14ac:dyDescent="0.15">
      <c r="B216" s="48"/>
      <c r="C216" s="373"/>
      <c r="D216" s="409"/>
      <c r="E216" s="430" t="s">
        <v>210</v>
      </c>
      <c r="F216" s="430"/>
      <c r="G216" s="431"/>
      <c r="H216" s="60" t="s">
        <v>211</v>
      </c>
      <c r="I216" s="89"/>
      <c r="J216" s="199"/>
      <c r="K216" s="41" t="str">
        <f t="shared" si="15"/>
        <v>-</v>
      </c>
      <c r="L216" s="200">
        <f t="shared" si="16"/>
        <v>0</v>
      </c>
      <c r="M216" s="159"/>
      <c r="N216" s="237"/>
      <c r="O216" s="238"/>
      <c r="P216" s="238"/>
      <c r="Q216" s="239"/>
      <c r="S216" s="529"/>
      <c r="T216" s="529"/>
      <c r="U216" s="529"/>
      <c r="V216" s="529"/>
      <c r="W216" s="529"/>
      <c r="X216" s="529"/>
      <c r="Y216" s="529"/>
      <c r="Z216" s="529"/>
      <c r="AA216" s="529">
        <v>1</v>
      </c>
      <c r="AB216" s="529"/>
      <c r="AC216" s="529"/>
      <c r="AD216" s="529"/>
      <c r="AE216" s="529"/>
      <c r="AF216" s="529"/>
      <c r="AG216" s="233"/>
    </row>
    <row r="217" spans="2:34" ht="23.25" customHeight="1" x14ac:dyDescent="0.15">
      <c r="B217" s="48"/>
      <c r="C217" s="373"/>
      <c r="D217" s="410"/>
      <c r="E217" s="430" t="s">
        <v>212</v>
      </c>
      <c r="F217" s="430"/>
      <c r="G217" s="431"/>
      <c r="H217" s="60" t="s">
        <v>80</v>
      </c>
      <c r="I217" s="144"/>
      <c r="J217" s="183"/>
      <c r="K217" s="41" t="str">
        <f t="shared" si="15"/>
        <v>-</v>
      </c>
      <c r="L217" s="42">
        <f t="shared" si="16"/>
        <v>0</v>
      </c>
      <c r="M217" s="159"/>
      <c r="N217" s="237"/>
      <c r="O217" s="238"/>
      <c r="P217" s="238"/>
      <c r="Q217" s="239"/>
      <c r="S217" s="529"/>
      <c r="T217" s="529"/>
      <c r="U217" s="529"/>
      <c r="V217" s="529"/>
      <c r="W217" s="529"/>
      <c r="X217" s="529"/>
      <c r="Y217" s="529"/>
      <c r="Z217" s="529"/>
      <c r="AA217" s="529">
        <v>1</v>
      </c>
      <c r="AB217" s="529"/>
      <c r="AC217" s="529"/>
      <c r="AD217" s="529"/>
      <c r="AE217" s="529"/>
      <c r="AF217" s="529"/>
      <c r="AG217" s="233"/>
    </row>
    <row r="218" spans="2:34" ht="23.25" customHeight="1" x14ac:dyDescent="0.15">
      <c r="B218" s="48"/>
      <c r="C218" s="373"/>
      <c r="D218" s="425" t="s">
        <v>276</v>
      </c>
      <c r="E218" s="284"/>
      <c r="F218" s="284"/>
      <c r="G218" s="285"/>
      <c r="H218" s="60" t="s">
        <v>89</v>
      </c>
      <c r="I218" s="89"/>
      <c r="J218" s="199"/>
      <c r="K218" s="41" t="str">
        <f t="shared" si="15"/>
        <v>-</v>
      </c>
      <c r="L218" s="200">
        <f t="shared" si="16"/>
        <v>0</v>
      </c>
      <c r="M218" s="159"/>
      <c r="N218" s="237"/>
      <c r="O218" s="238"/>
      <c r="P218" s="238"/>
      <c r="Q218" s="239"/>
      <c r="S218" s="529"/>
      <c r="T218" s="529"/>
      <c r="U218" s="529"/>
      <c r="V218" s="529"/>
      <c r="W218" s="529"/>
      <c r="X218" s="529"/>
      <c r="Y218" s="529"/>
      <c r="Z218" s="529"/>
      <c r="AA218" s="529"/>
      <c r="AB218" s="233">
        <v>1</v>
      </c>
      <c r="AC218" s="529">
        <v>1</v>
      </c>
      <c r="AD218" s="529"/>
      <c r="AE218" s="529"/>
      <c r="AF218" s="529"/>
      <c r="AG218" s="529"/>
    </row>
    <row r="219" spans="2:34" ht="23.25" customHeight="1" x14ac:dyDescent="0.15">
      <c r="B219" s="48"/>
      <c r="C219" s="373"/>
      <c r="D219" s="425" t="s">
        <v>95</v>
      </c>
      <c r="E219" s="423"/>
      <c r="F219" s="423"/>
      <c r="G219" s="424"/>
      <c r="H219" s="60" t="s">
        <v>89</v>
      </c>
      <c r="I219" s="89"/>
      <c r="J219" s="199"/>
      <c r="K219" s="41" t="str">
        <f t="shared" si="15"/>
        <v>-</v>
      </c>
      <c r="L219" s="200">
        <f t="shared" si="16"/>
        <v>0</v>
      </c>
      <c r="M219" s="159"/>
      <c r="N219" s="237"/>
      <c r="O219" s="238"/>
      <c r="P219" s="238"/>
      <c r="Q219" s="239"/>
      <c r="S219" s="529"/>
      <c r="T219" s="529"/>
      <c r="U219" s="529"/>
      <c r="V219" s="529"/>
      <c r="W219" s="529"/>
      <c r="X219" s="529"/>
      <c r="Y219" s="529"/>
      <c r="Z219" s="529"/>
      <c r="AA219" s="529"/>
      <c r="AB219" s="233">
        <v>1</v>
      </c>
      <c r="AC219" s="529">
        <v>1</v>
      </c>
      <c r="AD219" s="529"/>
      <c r="AE219" s="529"/>
      <c r="AF219" s="529"/>
      <c r="AG219" s="529"/>
    </row>
    <row r="220" spans="2:34" ht="23.25" customHeight="1" x14ac:dyDescent="0.15">
      <c r="B220" s="48"/>
      <c r="C220" s="373"/>
      <c r="D220" s="381" t="s">
        <v>96</v>
      </c>
      <c r="E220" s="320"/>
      <c r="F220" s="320"/>
      <c r="G220" s="283"/>
      <c r="H220" s="60" t="s">
        <v>80</v>
      </c>
      <c r="I220" s="144"/>
      <c r="J220" s="183"/>
      <c r="K220" s="41" t="str">
        <f t="shared" si="15"/>
        <v>-</v>
      </c>
      <c r="L220" s="42">
        <f t="shared" si="16"/>
        <v>0</v>
      </c>
      <c r="M220" s="159"/>
      <c r="N220" s="237"/>
      <c r="O220" s="238"/>
      <c r="P220" s="238"/>
      <c r="Q220" s="239"/>
      <c r="S220" s="529"/>
      <c r="T220" s="529"/>
      <c r="U220" s="529"/>
      <c r="V220" s="529"/>
      <c r="W220" s="529"/>
      <c r="X220" s="529"/>
      <c r="Y220" s="529"/>
      <c r="Z220" s="529"/>
      <c r="AA220" s="529"/>
      <c r="AB220" s="233">
        <v>1</v>
      </c>
      <c r="AC220" s="529">
        <v>1</v>
      </c>
      <c r="AD220" s="529"/>
      <c r="AE220" s="529"/>
      <c r="AF220" s="529"/>
      <c r="AG220" s="529"/>
    </row>
    <row r="221" spans="2:34" ht="23.25" customHeight="1" x14ac:dyDescent="0.15">
      <c r="B221" s="48"/>
      <c r="C221" s="373"/>
      <c r="D221" s="433" t="s">
        <v>97</v>
      </c>
      <c r="E221" s="423"/>
      <c r="F221" s="423"/>
      <c r="G221" s="424"/>
      <c r="H221" s="60" t="s">
        <v>89</v>
      </c>
      <c r="I221" s="89"/>
      <c r="J221" s="199"/>
      <c r="K221" s="41" t="str">
        <f t="shared" si="15"/>
        <v>-</v>
      </c>
      <c r="L221" s="200">
        <f t="shared" si="16"/>
        <v>0</v>
      </c>
      <c r="M221" s="159"/>
      <c r="N221" s="237"/>
      <c r="O221" s="238"/>
      <c r="P221" s="238"/>
      <c r="Q221" s="239"/>
      <c r="S221" s="529"/>
      <c r="T221" s="529"/>
      <c r="U221" s="529"/>
      <c r="V221" s="529"/>
      <c r="W221" s="529"/>
      <c r="X221" s="529"/>
      <c r="Y221" s="529"/>
      <c r="Z221" s="529"/>
      <c r="AA221" s="529"/>
      <c r="AB221" s="233">
        <v>1</v>
      </c>
      <c r="AC221" s="529">
        <v>1</v>
      </c>
      <c r="AD221" s="529"/>
      <c r="AE221" s="529"/>
      <c r="AF221" s="529"/>
      <c r="AG221" s="529"/>
    </row>
    <row r="222" spans="2:34" ht="23.25" customHeight="1" x14ac:dyDescent="0.15">
      <c r="B222" s="48"/>
      <c r="C222" s="373"/>
      <c r="D222" s="107"/>
      <c r="E222" s="432" t="s">
        <v>46</v>
      </c>
      <c r="F222" s="320"/>
      <c r="G222" s="283"/>
      <c r="H222" s="60" t="s">
        <v>89</v>
      </c>
      <c r="I222" s="89"/>
      <c r="J222" s="199"/>
      <c r="K222" s="41" t="str">
        <f t="shared" si="15"/>
        <v>-</v>
      </c>
      <c r="L222" s="200">
        <f t="shared" si="16"/>
        <v>0</v>
      </c>
      <c r="M222" s="159"/>
      <c r="N222" s="237"/>
      <c r="O222" s="238"/>
      <c r="P222" s="238"/>
      <c r="Q222" s="239"/>
      <c r="S222" s="529"/>
      <c r="T222" s="529"/>
      <c r="U222" s="529"/>
      <c r="V222" s="529"/>
      <c r="W222" s="529"/>
      <c r="X222" s="529"/>
      <c r="Y222" s="529"/>
      <c r="Z222" s="529"/>
      <c r="AA222" s="529"/>
      <c r="AB222" s="233"/>
      <c r="AC222" s="529">
        <v>1</v>
      </c>
      <c r="AD222" s="529"/>
      <c r="AE222" s="529"/>
      <c r="AF222" s="529"/>
      <c r="AG222" s="529"/>
    </row>
    <row r="223" spans="2:34" ht="23.25" customHeight="1" x14ac:dyDescent="0.15">
      <c r="B223" s="48"/>
      <c r="C223" s="373"/>
      <c r="D223" s="107"/>
      <c r="E223" s="434" t="s">
        <v>98</v>
      </c>
      <c r="F223" s="320"/>
      <c r="G223" s="283"/>
      <c r="H223" s="60" t="s">
        <v>89</v>
      </c>
      <c r="I223" s="89"/>
      <c r="J223" s="199"/>
      <c r="K223" s="41" t="str">
        <f t="shared" si="15"/>
        <v>-</v>
      </c>
      <c r="L223" s="200">
        <f t="shared" si="16"/>
        <v>0</v>
      </c>
      <c r="M223" s="159"/>
      <c r="N223" s="237"/>
      <c r="O223" s="238"/>
      <c r="P223" s="238"/>
      <c r="Q223" s="239"/>
      <c r="S223" s="529"/>
      <c r="T223" s="529"/>
      <c r="U223" s="529"/>
      <c r="V223" s="529"/>
      <c r="W223" s="529"/>
      <c r="X223" s="529"/>
      <c r="Y223" s="529"/>
      <c r="Z223" s="529"/>
      <c r="AA223" s="529"/>
      <c r="AB223" s="233"/>
      <c r="AC223" s="530"/>
      <c r="AD223" s="530"/>
      <c r="AE223" s="530"/>
      <c r="AF223" s="529"/>
      <c r="AG223" s="529"/>
    </row>
    <row r="224" spans="2:34" ht="23.25" customHeight="1" x14ac:dyDescent="0.15">
      <c r="B224" s="48"/>
      <c r="C224" s="373"/>
      <c r="D224" s="107"/>
      <c r="E224" s="110"/>
      <c r="F224" s="432" t="s">
        <v>48</v>
      </c>
      <c r="G224" s="283"/>
      <c r="H224" s="60" t="s">
        <v>89</v>
      </c>
      <c r="I224" s="89"/>
      <c r="J224" s="199"/>
      <c r="K224" s="41" t="str">
        <f t="shared" si="15"/>
        <v>-</v>
      </c>
      <c r="L224" s="200">
        <f t="shared" si="16"/>
        <v>0</v>
      </c>
      <c r="M224" s="159"/>
      <c r="N224" s="237"/>
      <c r="O224" s="238"/>
      <c r="P224" s="238"/>
      <c r="Q224" s="239"/>
      <c r="S224" s="529"/>
      <c r="T224" s="529"/>
      <c r="U224" s="529"/>
      <c r="V224" s="529"/>
      <c r="W224" s="529"/>
      <c r="X224" s="529"/>
      <c r="Y224" s="529"/>
      <c r="Z224" s="529"/>
      <c r="AA224" s="529"/>
      <c r="AB224" s="233"/>
      <c r="AC224" s="529">
        <v>1</v>
      </c>
      <c r="AD224" s="529"/>
      <c r="AE224" s="529"/>
      <c r="AF224" s="529"/>
      <c r="AG224" s="529"/>
    </row>
    <row r="225" spans="1:34" s="229" customFormat="1" ht="23.25" customHeight="1" x14ac:dyDescent="0.15">
      <c r="A225" s="16"/>
      <c r="B225" s="48"/>
      <c r="C225" s="373"/>
      <c r="D225" s="111"/>
      <c r="E225" s="46"/>
      <c r="F225" s="432" t="s">
        <v>49</v>
      </c>
      <c r="G225" s="283"/>
      <c r="H225" s="60" t="s">
        <v>89</v>
      </c>
      <c r="I225" s="89"/>
      <c r="J225" s="199"/>
      <c r="K225" s="41" t="str">
        <f t="shared" si="15"/>
        <v>-</v>
      </c>
      <c r="L225" s="200">
        <f t="shared" si="16"/>
        <v>0</v>
      </c>
      <c r="M225" s="159"/>
      <c r="N225" s="237"/>
      <c r="O225" s="238"/>
      <c r="P225" s="238"/>
      <c r="Q225" s="239"/>
      <c r="R225" s="46"/>
      <c r="S225" s="529"/>
      <c r="T225" s="529"/>
      <c r="U225" s="529"/>
      <c r="V225" s="529"/>
      <c r="W225" s="529"/>
      <c r="X225" s="529"/>
      <c r="Y225" s="529"/>
      <c r="Z225" s="529"/>
      <c r="AA225" s="529"/>
      <c r="AB225" s="233"/>
      <c r="AC225" s="529">
        <v>1</v>
      </c>
      <c r="AD225" s="529"/>
      <c r="AE225" s="529"/>
      <c r="AF225" s="529"/>
      <c r="AG225" s="529"/>
      <c r="AH225" s="230"/>
    </row>
    <row r="226" spans="1:34" s="229" customFormat="1" ht="23.25" customHeight="1" x14ac:dyDescent="0.15">
      <c r="A226" s="16"/>
      <c r="B226" s="48"/>
      <c r="C226" s="373"/>
      <c r="D226" s="371" t="s">
        <v>99</v>
      </c>
      <c r="E226" s="320"/>
      <c r="F226" s="320"/>
      <c r="G226" s="283"/>
      <c r="H226" s="60" t="s">
        <v>89</v>
      </c>
      <c r="I226" s="89"/>
      <c r="J226" s="199"/>
      <c r="K226" s="41" t="str">
        <f t="shared" ref="K226:K279" si="17">IFERROR(IF(I226&lt;0,IMSUB(J226,I226)/(1-I226)*100,IMSUB(J226,I226)/I226*100),"-")</f>
        <v>-</v>
      </c>
      <c r="L226" s="200">
        <f t="shared" si="16"/>
        <v>0</v>
      </c>
      <c r="M226" s="159"/>
      <c r="N226" s="237"/>
      <c r="O226" s="238"/>
      <c r="P226" s="238"/>
      <c r="Q226" s="239"/>
      <c r="R226" s="46"/>
      <c r="S226" s="529"/>
      <c r="T226" s="529"/>
      <c r="U226" s="529"/>
      <c r="V226" s="529"/>
      <c r="W226" s="529"/>
      <c r="X226" s="529"/>
      <c r="Y226" s="529"/>
      <c r="Z226" s="529"/>
      <c r="AA226" s="529"/>
      <c r="AB226" s="233"/>
      <c r="AC226" s="529">
        <v>1</v>
      </c>
      <c r="AD226" s="529"/>
      <c r="AE226" s="529"/>
      <c r="AF226" s="529"/>
      <c r="AG226" s="529"/>
      <c r="AH226" s="230"/>
    </row>
    <row r="227" spans="1:34" s="229" customFormat="1" ht="23.25" customHeight="1" x14ac:dyDescent="0.15">
      <c r="A227" s="16"/>
      <c r="B227" s="48"/>
      <c r="C227" s="373"/>
      <c r="D227" s="107"/>
      <c r="E227" s="432" t="s">
        <v>46</v>
      </c>
      <c r="F227" s="320"/>
      <c r="G227" s="283"/>
      <c r="H227" s="104" t="s">
        <v>89</v>
      </c>
      <c r="I227" s="89"/>
      <c r="J227" s="199"/>
      <c r="K227" s="97" t="str">
        <f t="shared" si="17"/>
        <v>-</v>
      </c>
      <c r="L227" s="203">
        <f t="shared" si="16"/>
        <v>0</v>
      </c>
      <c r="M227" s="166"/>
      <c r="N227" s="237"/>
      <c r="O227" s="238"/>
      <c r="P227" s="238"/>
      <c r="Q227" s="239"/>
      <c r="R227" s="46"/>
      <c r="S227" s="529"/>
      <c r="T227" s="529"/>
      <c r="U227" s="529"/>
      <c r="V227" s="529"/>
      <c r="W227" s="529"/>
      <c r="X227" s="529"/>
      <c r="Y227" s="529"/>
      <c r="Z227" s="529"/>
      <c r="AA227" s="529"/>
      <c r="AB227" s="233"/>
      <c r="AC227" s="529">
        <v>1</v>
      </c>
      <c r="AD227" s="529"/>
      <c r="AE227" s="529"/>
      <c r="AF227" s="529"/>
      <c r="AG227" s="529"/>
      <c r="AH227" s="230"/>
    </row>
    <row r="228" spans="1:34" s="229" customFormat="1" ht="23.25" customHeight="1" x14ac:dyDescent="0.15">
      <c r="A228" s="16"/>
      <c r="B228" s="48"/>
      <c r="C228" s="373"/>
      <c r="D228" s="107"/>
      <c r="E228" s="434" t="s">
        <v>98</v>
      </c>
      <c r="F228" s="320"/>
      <c r="G228" s="283"/>
      <c r="H228" s="40" t="s">
        <v>89</v>
      </c>
      <c r="I228" s="89"/>
      <c r="J228" s="199"/>
      <c r="K228" s="41" t="str">
        <f t="shared" si="17"/>
        <v>-</v>
      </c>
      <c r="L228" s="200">
        <f t="shared" si="16"/>
        <v>0</v>
      </c>
      <c r="M228" s="159"/>
      <c r="N228" s="237"/>
      <c r="O228" s="238"/>
      <c r="P228" s="238"/>
      <c r="Q228" s="239"/>
      <c r="R228" s="46"/>
      <c r="S228" s="529"/>
      <c r="T228" s="529"/>
      <c r="U228" s="529"/>
      <c r="V228" s="529"/>
      <c r="W228" s="529"/>
      <c r="X228" s="529"/>
      <c r="Y228" s="529"/>
      <c r="Z228" s="529"/>
      <c r="AA228" s="529"/>
      <c r="AB228" s="233"/>
      <c r="AC228" s="530"/>
      <c r="AD228" s="530"/>
      <c r="AE228" s="530"/>
      <c r="AF228" s="529"/>
      <c r="AG228" s="529"/>
      <c r="AH228" s="230"/>
    </row>
    <row r="229" spans="1:34" s="229" customFormat="1" ht="23.25" customHeight="1" x14ac:dyDescent="0.15">
      <c r="A229" s="16"/>
      <c r="B229" s="48"/>
      <c r="C229" s="373"/>
      <c r="D229" s="107"/>
      <c r="E229" s="110"/>
      <c r="F229" s="320" t="s">
        <v>48</v>
      </c>
      <c r="G229" s="283"/>
      <c r="H229" s="40" t="s">
        <v>89</v>
      </c>
      <c r="I229" s="89"/>
      <c r="J229" s="199"/>
      <c r="K229" s="41" t="str">
        <f t="shared" si="17"/>
        <v>-</v>
      </c>
      <c r="L229" s="200">
        <f t="shared" si="16"/>
        <v>0</v>
      </c>
      <c r="M229" s="159"/>
      <c r="N229" s="237"/>
      <c r="O229" s="238"/>
      <c r="P229" s="238"/>
      <c r="Q229" s="239"/>
      <c r="R229" s="46"/>
      <c r="S229" s="529"/>
      <c r="T229" s="529"/>
      <c r="U229" s="529"/>
      <c r="V229" s="529"/>
      <c r="W229" s="529"/>
      <c r="X229" s="529"/>
      <c r="Y229" s="529"/>
      <c r="Z229" s="529"/>
      <c r="AA229" s="529"/>
      <c r="AB229" s="233"/>
      <c r="AC229" s="529">
        <v>1</v>
      </c>
      <c r="AD229" s="529"/>
      <c r="AE229" s="529"/>
      <c r="AF229" s="529"/>
      <c r="AG229" s="529"/>
      <c r="AH229" s="230"/>
    </row>
    <row r="230" spans="1:34" s="229" customFormat="1" ht="23.25" customHeight="1" x14ac:dyDescent="0.15">
      <c r="A230" s="16"/>
      <c r="B230" s="48"/>
      <c r="C230" s="373"/>
      <c r="D230" s="111"/>
      <c r="E230" s="213"/>
      <c r="F230" s="320" t="s">
        <v>49</v>
      </c>
      <c r="G230" s="283"/>
      <c r="H230" s="104" t="s">
        <v>89</v>
      </c>
      <c r="I230" s="89"/>
      <c r="J230" s="199"/>
      <c r="K230" s="97" t="str">
        <f t="shared" si="17"/>
        <v>-</v>
      </c>
      <c r="L230" s="203">
        <f t="shared" si="16"/>
        <v>0</v>
      </c>
      <c r="M230" s="166"/>
      <c r="N230" s="237"/>
      <c r="O230" s="238"/>
      <c r="P230" s="238"/>
      <c r="Q230" s="239"/>
      <c r="R230" s="46"/>
      <c r="S230" s="529"/>
      <c r="T230" s="529"/>
      <c r="U230" s="529"/>
      <c r="V230" s="529"/>
      <c r="W230" s="529"/>
      <c r="X230" s="529"/>
      <c r="Y230" s="529"/>
      <c r="Z230" s="529"/>
      <c r="AA230" s="529"/>
      <c r="AB230" s="233"/>
      <c r="AC230" s="529">
        <v>1</v>
      </c>
      <c r="AD230" s="529"/>
      <c r="AE230" s="529"/>
      <c r="AF230" s="529"/>
      <c r="AG230" s="529"/>
      <c r="AH230" s="230"/>
    </row>
    <row r="231" spans="1:34" s="229" customFormat="1" ht="23.25" customHeight="1" x14ac:dyDescent="0.15">
      <c r="A231" s="16"/>
      <c r="B231" s="48"/>
      <c r="C231" s="373"/>
      <c r="D231" s="371" t="s">
        <v>100</v>
      </c>
      <c r="E231" s="320"/>
      <c r="F231" s="320"/>
      <c r="G231" s="283"/>
      <c r="H231" s="60" t="s">
        <v>80</v>
      </c>
      <c r="I231" s="144"/>
      <c r="J231" s="183"/>
      <c r="K231" s="41" t="str">
        <f t="shared" si="17"/>
        <v>-</v>
      </c>
      <c r="L231" s="42">
        <f t="shared" si="16"/>
        <v>0</v>
      </c>
      <c r="M231" s="159"/>
      <c r="N231" s="237"/>
      <c r="O231" s="238"/>
      <c r="P231" s="238"/>
      <c r="Q231" s="239"/>
      <c r="R231" s="46"/>
      <c r="S231" s="529"/>
      <c r="T231" s="529"/>
      <c r="U231" s="529"/>
      <c r="V231" s="529"/>
      <c r="W231" s="529"/>
      <c r="X231" s="529"/>
      <c r="Y231" s="529"/>
      <c r="Z231" s="529"/>
      <c r="AA231" s="529"/>
      <c r="AB231" s="233"/>
      <c r="AC231" s="529">
        <v>1</v>
      </c>
      <c r="AD231" s="529"/>
      <c r="AE231" s="529"/>
      <c r="AF231" s="529"/>
      <c r="AG231" s="529"/>
      <c r="AH231" s="230"/>
    </row>
    <row r="232" spans="1:34" s="229" customFormat="1" ht="23.25" customHeight="1" x14ac:dyDescent="0.15">
      <c r="A232" s="16"/>
      <c r="B232" s="48"/>
      <c r="C232" s="373"/>
      <c r="D232" s="102"/>
      <c r="E232" s="432" t="s">
        <v>213</v>
      </c>
      <c r="F232" s="349"/>
      <c r="G232" s="339"/>
      <c r="H232" s="60" t="s">
        <v>80</v>
      </c>
      <c r="I232" s="144"/>
      <c r="J232" s="183"/>
      <c r="K232" s="41" t="str">
        <f t="shared" si="17"/>
        <v>-</v>
      </c>
      <c r="L232" s="42">
        <f t="shared" si="16"/>
        <v>0</v>
      </c>
      <c r="M232" s="159"/>
      <c r="N232" s="237"/>
      <c r="O232" s="238"/>
      <c r="P232" s="238"/>
      <c r="Q232" s="239"/>
      <c r="R232" s="46"/>
      <c r="S232" s="529"/>
      <c r="T232" s="529"/>
      <c r="U232" s="529"/>
      <c r="V232" s="529"/>
      <c r="W232" s="529"/>
      <c r="X232" s="529"/>
      <c r="Y232" s="529"/>
      <c r="Z232" s="529"/>
      <c r="AA232" s="529"/>
      <c r="AB232" s="233"/>
      <c r="AC232" s="529">
        <v>1</v>
      </c>
      <c r="AD232" s="529"/>
      <c r="AE232" s="529"/>
      <c r="AF232" s="529"/>
      <c r="AG232" s="529"/>
      <c r="AH232" s="230"/>
    </row>
    <row r="233" spans="1:34" s="229" customFormat="1" ht="23.25" customHeight="1" x14ac:dyDescent="0.15">
      <c r="A233" s="16"/>
      <c r="B233" s="48"/>
      <c r="C233" s="373"/>
      <c r="D233" s="102"/>
      <c r="E233" s="432" t="s">
        <v>214</v>
      </c>
      <c r="F233" s="349"/>
      <c r="G233" s="339"/>
      <c r="H233" s="60" t="s">
        <v>80</v>
      </c>
      <c r="I233" s="144"/>
      <c r="J233" s="183"/>
      <c r="K233" s="41" t="str">
        <f t="shared" si="17"/>
        <v>-</v>
      </c>
      <c r="L233" s="42">
        <f t="shared" si="16"/>
        <v>0</v>
      </c>
      <c r="M233" s="159"/>
      <c r="N233" s="237"/>
      <c r="O233" s="238"/>
      <c r="P233" s="238"/>
      <c r="Q233" s="239"/>
      <c r="R233" s="46"/>
      <c r="S233" s="529"/>
      <c r="T233" s="529"/>
      <c r="U233" s="529"/>
      <c r="V233" s="529"/>
      <c r="W233" s="529"/>
      <c r="X233" s="529"/>
      <c r="Y233" s="529"/>
      <c r="Z233" s="529"/>
      <c r="AA233" s="529"/>
      <c r="AB233" s="233"/>
      <c r="AC233" s="529">
        <v>1</v>
      </c>
      <c r="AD233" s="529"/>
      <c r="AE233" s="529"/>
      <c r="AF233" s="529"/>
      <c r="AG233" s="529"/>
      <c r="AH233" s="230"/>
    </row>
    <row r="234" spans="1:34" s="229" customFormat="1" ht="23.25" customHeight="1" x14ac:dyDescent="0.15">
      <c r="A234" s="16"/>
      <c r="B234" s="48"/>
      <c r="C234" s="373"/>
      <c r="D234" s="87"/>
      <c r="E234" s="432" t="s">
        <v>215</v>
      </c>
      <c r="F234" s="349"/>
      <c r="G234" s="339"/>
      <c r="H234" s="60" t="s">
        <v>80</v>
      </c>
      <c r="I234" s="144"/>
      <c r="J234" s="183"/>
      <c r="K234" s="41" t="str">
        <f t="shared" si="17"/>
        <v>-</v>
      </c>
      <c r="L234" s="42">
        <f t="shared" si="16"/>
        <v>0</v>
      </c>
      <c r="M234" s="159"/>
      <c r="N234" s="237"/>
      <c r="O234" s="238"/>
      <c r="P234" s="238"/>
      <c r="Q234" s="239"/>
      <c r="R234" s="46"/>
      <c r="S234" s="529"/>
      <c r="T234" s="529"/>
      <c r="U234" s="529"/>
      <c r="V234" s="529"/>
      <c r="W234" s="529"/>
      <c r="X234" s="529"/>
      <c r="Y234" s="529"/>
      <c r="Z234" s="529"/>
      <c r="AA234" s="529"/>
      <c r="AB234" s="233"/>
      <c r="AC234" s="529">
        <v>1</v>
      </c>
      <c r="AD234" s="529"/>
      <c r="AE234" s="529"/>
      <c r="AF234" s="529"/>
      <c r="AG234" s="529"/>
      <c r="AH234" s="230"/>
    </row>
    <row r="235" spans="1:34" s="229" customFormat="1" ht="23.25" customHeight="1" x14ac:dyDescent="0.15">
      <c r="A235" s="16"/>
      <c r="B235" s="48"/>
      <c r="C235" s="373"/>
      <c r="D235" s="433" t="s">
        <v>277</v>
      </c>
      <c r="E235" s="320"/>
      <c r="F235" s="320"/>
      <c r="G235" s="283"/>
      <c r="H235" s="60" t="s">
        <v>89</v>
      </c>
      <c r="I235" s="89"/>
      <c r="J235" s="199"/>
      <c r="K235" s="41" t="str">
        <f t="shared" si="17"/>
        <v>-</v>
      </c>
      <c r="L235" s="200">
        <f t="shared" si="16"/>
        <v>0</v>
      </c>
      <c r="M235" s="159"/>
      <c r="N235" s="237"/>
      <c r="O235" s="238"/>
      <c r="P235" s="238"/>
      <c r="Q235" s="239"/>
      <c r="R235" s="46"/>
      <c r="S235" s="529"/>
      <c r="T235" s="529"/>
      <c r="U235" s="529"/>
      <c r="V235" s="529"/>
      <c r="W235" s="529"/>
      <c r="X235" s="529"/>
      <c r="Y235" s="529"/>
      <c r="Z235" s="529"/>
      <c r="AA235" s="529"/>
      <c r="AB235" s="529"/>
      <c r="AC235" s="529"/>
      <c r="AD235" s="529">
        <v>1</v>
      </c>
      <c r="AE235" s="529"/>
      <c r="AF235" s="529"/>
      <c r="AG235" s="233"/>
      <c r="AH235" s="230"/>
    </row>
    <row r="236" spans="1:34" s="229" customFormat="1" ht="23.25" customHeight="1" x14ac:dyDescent="0.15">
      <c r="A236" s="16"/>
      <c r="B236" s="48"/>
      <c r="C236" s="373"/>
      <c r="D236" s="433" t="s">
        <v>101</v>
      </c>
      <c r="E236" s="320"/>
      <c r="F236" s="320"/>
      <c r="G236" s="283"/>
      <c r="H236" s="60" t="s">
        <v>89</v>
      </c>
      <c r="I236" s="89"/>
      <c r="J236" s="199"/>
      <c r="K236" s="41" t="str">
        <f t="shared" si="17"/>
        <v>-</v>
      </c>
      <c r="L236" s="200">
        <f t="shared" si="16"/>
        <v>0</v>
      </c>
      <c r="M236" s="159"/>
      <c r="N236" s="237"/>
      <c r="O236" s="238"/>
      <c r="P236" s="238"/>
      <c r="Q236" s="239"/>
      <c r="R236" s="46"/>
      <c r="S236" s="529"/>
      <c r="T236" s="529"/>
      <c r="U236" s="529"/>
      <c r="V236" s="529"/>
      <c r="W236" s="529"/>
      <c r="X236" s="529"/>
      <c r="Y236" s="529"/>
      <c r="Z236" s="529"/>
      <c r="AA236" s="529"/>
      <c r="AB236" s="529"/>
      <c r="AC236" s="529"/>
      <c r="AD236" s="529">
        <v>1</v>
      </c>
      <c r="AE236" s="529"/>
      <c r="AF236" s="529"/>
      <c r="AG236" s="233"/>
      <c r="AH236" s="230"/>
    </row>
    <row r="237" spans="1:34" s="229" customFormat="1" ht="23.25" customHeight="1" x14ac:dyDescent="0.15">
      <c r="A237" s="16"/>
      <c r="B237" s="48"/>
      <c r="C237" s="373"/>
      <c r="D237" s="371" t="s">
        <v>102</v>
      </c>
      <c r="E237" s="320"/>
      <c r="F237" s="320"/>
      <c r="G237" s="283"/>
      <c r="H237" s="60" t="s">
        <v>89</v>
      </c>
      <c r="I237" s="89"/>
      <c r="J237" s="199"/>
      <c r="K237" s="41" t="str">
        <f t="shared" si="17"/>
        <v>-</v>
      </c>
      <c r="L237" s="200">
        <f t="shared" si="16"/>
        <v>0</v>
      </c>
      <c r="M237" s="159"/>
      <c r="N237" s="237"/>
      <c r="O237" s="238"/>
      <c r="P237" s="238"/>
      <c r="Q237" s="239"/>
      <c r="R237" s="46"/>
      <c r="S237" s="529"/>
      <c r="T237" s="529"/>
      <c r="U237" s="529"/>
      <c r="V237" s="529"/>
      <c r="W237" s="529"/>
      <c r="X237" s="529"/>
      <c r="Y237" s="529"/>
      <c r="Z237" s="529"/>
      <c r="AA237" s="529"/>
      <c r="AB237" s="529"/>
      <c r="AC237" s="529"/>
      <c r="AD237" s="529">
        <v>1</v>
      </c>
      <c r="AE237" s="529"/>
      <c r="AF237" s="529"/>
      <c r="AG237" s="233"/>
      <c r="AH237" s="230"/>
    </row>
    <row r="238" spans="1:34" s="229" customFormat="1" ht="23.25" customHeight="1" x14ac:dyDescent="0.15">
      <c r="A238" s="16"/>
      <c r="B238" s="48"/>
      <c r="C238" s="373"/>
      <c r="D238" s="371" t="s">
        <v>103</v>
      </c>
      <c r="E238" s="320"/>
      <c r="F238" s="320"/>
      <c r="G238" s="283"/>
      <c r="H238" s="60" t="s">
        <v>89</v>
      </c>
      <c r="I238" s="89"/>
      <c r="J238" s="199"/>
      <c r="K238" s="41" t="str">
        <f t="shared" si="17"/>
        <v>-</v>
      </c>
      <c r="L238" s="200">
        <f t="shared" si="16"/>
        <v>0</v>
      </c>
      <c r="M238" s="159"/>
      <c r="N238" s="237"/>
      <c r="O238" s="238"/>
      <c r="P238" s="238"/>
      <c r="Q238" s="239"/>
      <c r="R238" s="46"/>
      <c r="S238" s="529"/>
      <c r="T238" s="529"/>
      <c r="U238" s="529"/>
      <c r="V238" s="529"/>
      <c r="W238" s="529"/>
      <c r="X238" s="529"/>
      <c r="Y238" s="529"/>
      <c r="Z238" s="529"/>
      <c r="AA238" s="529"/>
      <c r="AB238" s="529"/>
      <c r="AC238" s="529"/>
      <c r="AD238" s="529">
        <v>1</v>
      </c>
      <c r="AE238" s="529"/>
      <c r="AF238" s="529"/>
      <c r="AG238" s="233"/>
      <c r="AH238" s="230"/>
    </row>
    <row r="239" spans="1:34" s="229" customFormat="1" ht="23.25" customHeight="1" x14ac:dyDescent="0.15">
      <c r="A239" s="16"/>
      <c r="B239" s="48"/>
      <c r="C239" s="373"/>
      <c r="D239" s="381" t="s">
        <v>104</v>
      </c>
      <c r="E239" s="320"/>
      <c r="F239" s="320"/>
      <c r="G239" s="283"/>
      <c r="H239" s="60" t="s">
        <v>80</v>
      </c>
      <c r="I239" s="144"/>
      <c r="J239" s="183"/>
      <c r="K239" s="41" t="str">
        <f t="shared" si="17"/>
        <v>-</v>
      </c>
      <c r="L239" s="42">
        <f t="shared" si="16"/>
        <v>0</v>
      </c>
      <c r="M239" s="159"/>
      <c r="N239" s="237"/>
      <c r="O239" s="238"/>
      <c r="P239" s="238"/>
      <c r="Q239" s="239"/>
      <c r="R239" s="46"/>
      <c r="S239" s="529"/>
      <c r="T239" s="529"/>
      <c r="U239" s="529"/>
      <c r="V239" s="529"/>
      <c r="W239" s="529"/>
      <c r="X239" s="529"/>
      <c r="Y239" s="529"/>
      <c r="Z239" s="529"/>
      <c r="AA239" s="529"/>
      <c r="AB239" s="529"/>
      <c r="AC239" s="529"/>
      <c r="AD239" s="529">
        <v>1</v>
      </c>
      <c r="AE239" s="529"/>
      <c r="AF239" s="529"/>
      <c r="AG239" s="233"/>
      <c r="AH239" s="230"/>
    </row>
    <row r="240" spans="1:34" s="229" customFormat="1" ht="23.25" customHeight="1" x14ac:dyDescent="0.15">
      <c r="A240" s="16"/>
      <c r="B240" s="48"/>
      <c r="C240" s="373"/>
      <c r="D240" s="381" t="s">
        <v>216</v>
      </c>
      <c r="E240" s="320"/>
      <c r="F240" s="320"/>
      <c r="G240" s="283"/>
      <c r="H240" s="60" t="s">
        <v>80</v>
      </c>
      <c r="I240" s="144"/>
      <c r="J240" s="183"/>
      <c r="K240" s="41" t="str">
        <f t="shared" si="17"/>
        <v>-</v>
      </c>
      <c r="L240" s="42">
        <f t="shared" si="16"/>
        <v>0</v>
      </c>
      <c r="M240" s="159"/>
      <c r="N240" s="237"/>
      <c r="O240" s="238"/>
      <c r="P240" s="238"/>
      <c r="Q240" s="239"/>
      <c r="R240" s="46"/>
      <c r="S240" s="529"/>
      <c r="T240" s="529"/>
      <c r="U240" s="529"/>
      <c r="V240" s="529"/>
      <c r="W240" s="529"/>
      <c r="X240" s="529"/>
      <c r="Y240" s="529"/>
      <c r="Z240" s="529"/>
      <c r="AA240" s="529"/>
      <c r="AB240" s="529"/>
      <c r="AC240" s="529"/>
      <c r="AD240" s="529">
        <v>1</v>
      </c>
      <c r="AE240" s="529"/>
      <c r="AF240" s="529"/>
      <c r="AG240" s="233"/>
      <c r="AH240" s="230"/>
    </row>
    <row r="241" spans="2:34" ht="23.25" customHeight="1" x14ac:dyDescent="0.15">
      <c r="B241" s="48"/>
      <c r="C241" s="373"/>
      <c r="D241" s="442" t="s">
        <v>105</v>
      </c>
      <c r="E241" s="443"/>
      <c r="F241" s="439" t="s">
        <v>106</v>
      </c>
      <c r="G241" s="424"/>
      <c r="H241" s="60" t="s">
        <v>107</v>
      </c>
      <c r="I241" s="144"/>
      <c r="J241" s="183"/>
      <c r="K241" s="41" t="str">
        <f t="shared" si="17"/>
        <v>-</v>
      </c>
      <c r="L241" s="42">
        <f t="shared" si="16"/>
        <v>0</v>
      </c>
      <c r="M241" s="159"/>
      <c r="N241" s="237"/>
      <c r="O241" s="238"/>
      <c r="P241" s="238"/>
      <c r="Q241" s="239"/>
      <c r="S241" s="529"/>
      <c r="T241" s="529"/>
      <c r="U241" s="529"/>
      <c r="V241" s="529"/>
      <c r="W241" s="529"/>
      <c r="X241" s="529"/>
      <c r="Y241" s="529"/>
      <c r="Z241" s="529"/>
      <c r="AA241" s="529"/>
      <c r="AB241" s="529"/>
      <c r="AC241" s="529"/>
      <c r="AD241" s="529"/>
      <c r="AE241" s="529">
        <v>1</v>
      </c>
      <c r="AF241" s="529"/>
      <c r="AG241" s="529"/>
    </row>
    <row r="242" spans="2:34" ht="23.25" customHeight="1" x14ac:dyDescent="0.15">
      <c r="B242" s="48"/>
      <c r="C242" s="373"/>
      <c r="D242" s="444"/>
      <c r="E242" s="445"/>
      <c r="F242" s="282" t="s">
        <v>108</v>
      </c>
      <c r="G242" s="236"/>
      <c r="H242" s="60" t="s">
        <v>79</v>
      </c>
      <c r="I242" s="144"/>
      <c r="J242" s="183"/>
      <c r="K242" s="41" t="str">
        <f t="shared" si="17"/>
        <v>-</v>
      </c>
      <c r="L242" s="42">
        <f t="shared" si="16"/>
        <v>0</v>
      </c>
      <c r="M242" s="159"/>
      <c r="N242" s="237"/>
      <c r="O242" s="238"/>
      <c r="P242" s="238"/>
      <c r="Q242" s="239"/>
      <c r="S242" s="529"/>
      <c r="T242" s="529"/>
      <c r="U242" s="529"/>
      <c r="V242" s="529"/>
      <c r="W242" s="529"/>
      <c r="X242" s="529"/>
      <c r="Y242" s="529"/>
      <c r="Z242" s="529"/>
      <c r="AA242" s="529"/>
      <c r="AB242" s="529"/>
      <c r="AC242" s="529"/>
      <c r="AD242" s="529"/>
      <c r="AE242" s="529">
        <v>1</v>
      </c>
      <c r="AF242" s="529"/>
      <c r="AG242" s="529"/>
    </row>
    <row r="243" spans="2:34" ht="23.25" customHeight="1" x14ac:dyDescent="0.15">
      <c r="B243" s="48"/>
      <c r="C243" s="373"/>
      <c r="D243" s="446"/>
      <c r="E243" s="447"/>
      <c r="F243" s="292" t="s">
        <v>109</v>
      </c>
      <c r="G243" s="285"/>
      <c r="H243" s="60" t="s">
        <v>80</v>
      </c>
      <c r="I243" s="144"/>
      <c r="J243" s="183"/>
      <c r="K243" s="41" t="str">
        <f t="shared" si="17"/>
        <v>-</v>
      </c>
      <c r="L243" s="42">
        <f t="shared" si="16"/>
        <v>0</v>
      </c>
      <c r="M243" s="159"/>
      <c r="N243" s="237"/>
      <c r="O243" s="238"/>
      <c r="P243" s="238"/>
      <c r="Q243" s="239"/>
      <c r="S243" s="529"/>
      <c r="T243" s="529"/>
      <c r="U243" s="529"/>
      <c r="V243" s="529"/>
      <c r="W243" s="529"/>
      <c r="X243" s="529"/>
      <c r="Y243" s="529"/>
      <c r="Z243" s="529"/>
      <c r="AA243" s="529"/>
      <c r="AB243" s="529"/>
      <c r="AC243" s="529"/>
      <c r="AD243" s="529"/>
      <c r="AE243" s="529">
        <v>1</v>
      </c>
      <c r="AF243" s="529"/>
      <c r="AG243" s="529"/>
    </row>
    <row r="244" spans="2:34" ht="23.25" customHeight="1" x14ac:dyDescent="0.15">
      <c r="B244" s="48"/>
      <c r="C244" s="373"/>
      <c r="D244" s="435" t="s">
        <v>110</v>
      </c>
      <c r="E244" s="436"/>
      <c r="F244" s="439" t="s">
        <v>111</v>
      </c>
      <c r="G244" s="424"/>
      <c r="H244" s="60" t="s">
        <v>107</v>
      </c>
      <c r="I244" s="144"/>
      <c r="J244" s="183"/>
      <c r="K244" s="41" t="str">
        <f t="shared" si="17"/>
        <v>-</v>
      </c>
      <c r="L244" s="42">
        <f t="shared" si="16"/>
        <v>0</v>
      </c>
      <c r="M244" s="159"/>
      <c r="N244" s="237"/>
      <c r="O244" s="238"/>
      <c r="P244" s="238"/>
      <c r="Q244" s="239"/>
      <c r="S244" s="529"/>
      <c r="T244" s="529"/>
      <c r="U244" s="529"/>
      <c r="V244" s="529"/>
      <c r="W244" s="529"/>
      <c r="X244" s="529"/>
      <c r="Y244" s="529"/>
      <c r="Z244" s="529"/>
      <c r="AA244" s="529"/>
      <c r="AB244" s="529"/>
      <c r="AC244" s="529"/>
      <c r="AD244" s="529"/>
      <c r="AE244" s="233"/>
      <c r="AF244" s="529">
        <v>1</v>
      </c>
      <c r="AG244" s="529"/>
    </row>
    <row r="245" spans="2:34" ht="23.25" customHeight="1" thickBot="1" x14ac:dyDescent="0.2">
      <c r="B245" s="48"/>
      <c r="C245" s="374"/>
      <c r="D245" s="437"/>
      <c r="E245" s="438"/>
      <c r="F245" s="440" t="s">
        <v>112</v>
      </c>
      <c r="G245" s="441"/>
      <c r="H245" s="112" t="s">
        <v>80</v>
      </c>
      <c r="I245" s="191"/>
      <c r="J245" s="192"/>
      <c r="K245" s="44" t="str">
        <f t="shared" si="17"/>
        <v>-</v>
      </c>
      <c r="L245" s="45">
        <f t="shared" si="16"/>
        <v>0</v>
      </c>
      <c r="M245" s="167"/>
      <c r="N245" s="336"/>
      <c r="O245" s="337"/>
      <c r="P245" s="337"/>
      <c r="Q245" s="338"/>
      <c r="S245" s="529"/>
      <c r="T245" s="529"/>
      <c r="U245" s="529"/>
      <c r="V245" s="529"/>
      <c r="W245" s="529"/>
      <c r="X245" s="529"/>
      <c r="Y245" s="529"/>
      <c r="Z245" s="529"/>
      <c r="AA245" s="529"/>
      <c r="AB245" s="529"/>
      <c r="AC245" s="529"/>
      <c r="AD245" s="529"/>
      <c r="AE245" s="233"/>
      <c r="AF245" s="529">
        <v>1</v>
      </c>
      <c r="AG245" s="529"/>
    </row>
    <row r="246" spans="2:34" ht="23.25" customHeight="1" x14ac:dyDescent="0.15">
      <c r="B246" s="26"/>
      <c r="C246" s="457" t="s">
        <v>217</v>
      </c>
      <c r="D246" s="389" t="s">
        <v>218</v>
      </c>
      <c r="E246" s="322"/>
      <c r="F246" s="322"/>
      <c r="G246" s="323"/>
      <c r="H246" s="72" t="s">
        <v>20</v>
      </c>
      <c r="I246" s="73"/>
      <c r="J246" s="74"/>
      <c r="K246" s="75" t="str">
        <f t="shared" si="17"/>
        <v>-</v>
      </c>
      <c r="L246" s="70">
        <f t="shared" si="16"/>
        <v>0</v>
      </c>
      <c r="M246" s="160"/>
      <c r="N246" s="400"/>
      <c r="O246" s="401"/>
      <c r="P246" s="401"/>
      <c r="Q246" s="402"/>
      <c r="R246" s="3"/>
      <c r="S246" s="233">
        <v>1</v>
      </c>
      <c r="T246" s="233">
        <v>1</v>
      </c>
      <c r="U246" s="233">
        <v>1</v>
      </c>
      <c r="V246" s="233">
        <v>1</v>
      </c>
      <c r="W246" s="233">
        <v>1</v>
      </c>
      <c r="X246" s="233">
        <v>1</v>
      </c>
      <c r="Y246" s="233">
        <v>1</v>
      </c>
      <c r="Z246" s="233">
        <v>1</v>
      </c>
      <c r="AA246" s="233">
        <v>1</v>
      </c>
      <c r="AB246" s="233">
        <v>1</v>
      </c>
      <c r="AC246" s="233">
        <v>1</v>
      </c>
      <c r="AD246" s="233">
        <v>1</v>
      </c>
      <c r="AE246" s="233">
        <v>1</v>
      </c>
      <c r="AF246" s="233">
        <v>1</v>
      </c>
      <c r="AG246" s="233">
        <v>1</v>
      </c>
      <c r="AH246" s="229"/>
    </row>
    <row r="247" spans="2:34" ht="23.25" customHeight="1" x14ac:dyDescent="0.15">
      <c r="B247" s="26"/>
      <c r="C247" s="457"/>
      <c r="D247" s="113"/>
      <c r="E247" s="382" t="s">
        <v>219</v>
      </c>
      <c r="F247" s="383"/>
      <c r="G247" s="384"/>
      <c r="H247" s="40" t="s">
        <v>20</v>
      </c>
      <c r="I247" s="57"/>
      <c r="J247" s="58"/>
      <c r="K247" s="41" t="str">
        <f t="shared" si="17"/>
        <v>-</v>
      </c>
      <c r="L247" s="42">
        <f t="shared" si="16"/>
        <v>0</v>
      </c>
      <c r="M247" s="159"/>
      <c r="N247" s="293"/>
      <c r="O247" s="294"/>
      <c r="P247" s="294"/>
      <c r="Q247" s="295"/>
      <c r="R247" s="3"/>
      <c r="S247" s="233">
        <v>1</v>
      </c>
      <c r="T247" s="233">
        <v>1</v>
      </c>
      <c r="U247" s="233">
        <v>1</v>
      </c>
      <c r="V247" s="233">
        <v>1</v>
      </c>
      <c r="W247" s="233">
        <v>1</v>
      </c>
      <c r="X247" s="233">
        <v>1</v>
      </c>
      <c r="Y247" s="233">
        <v>1</v>
      </c>
      <c r="Z247" s="233">
        <v>1</v>
      </c>
      <c r="AA247" s="233">
        <v>1</v>
      </c>
      <c r="AB247" s="233">
        <v>1</v>
      </c>
      <c r="AC247" s="233">
        <v>1</v>
      </c>
      <c r="AD247" s="233">
        <v>1</v>
      </c>
      <c r="AE247" s="233">
        <v>1</v>
      </c>
      <c r="AF247" s="233">
        <v>1</v>
      </c>
      <c r="AG247" s="233">
        <v>1</v>
      </c>
      <c r="AH247" s="229"/>
    </row>
    <row r="248" spans="2:34" ht="23.25" customHeight="1" x14ac:dyDescent="0.15">
      <c r="B248" s="26"/>
      <c r="C248" s="457"/>
      <c r="D248" s="113"/>
      <c r="E248" s="296" t="s">
        <v>220</v>
      </c>
      <c r="F248" s="383"/>
      <c r="G248" s="384"/>
      <c r="H248" s="40" t="s">
        <v>20</v>
      </c>
      <c r="I248" s="57"/>
      <c r="J248" s="58"/>
      <c r="K248" s="41" t="str">
        <f t="shared" si="17"/>
        <v>-</v>
      </c>
      <c r="L248" s="42">
        <f t="shared" si="16"/>
        <v>0</v>
      </c>
      <c r="M248" s="159"/>
      <c r="N248" s="293"/>
      <c r="O248" s="294"/>
      <c r="P248" s="294"/>
      <c r="Q248" s="295"/>
      <c r="R248" s="3"/>
      <c r="S248" s="233">
        <v>1</v>
      </c>
      <c r="T248" s="233">
        <v>1</v>
      </c>
      <c r="U248" s="233">
        <v>1</v>
      </c>
      <c r="V248" s="233">
        <v>1</v>
      </c>
      <c r="W248" s="233">
        <v>1</v>
      </c>
      <c r="X248" s="233">
        <v>1</v>
      </c>
      <c r="Y248" s="233">
        <v>1</v>
      </c>
      <c r="Z248" s="233">
        <v>1</v>
      </c>
      <c r="AA248" s="233">
        <v>1</v>
      </c>
      <c r="AB248" s="233">
        <v>1</v>
      </c>
      <c r="AC248" s="233">
        <v>1</v>
      </c>
      <c r="AD248" s="233">
        <v>1</v>
      </c>
      <c r="AE248" s="233">
        <v>1</v>
      </c>
      <c r="AF248" s="233">
        <v>1</v>
      </c>
      <c r="AG248" s="233">
        <v>1</v>
      </c>
      <c r="AH248" s="229"/>
    </row>
    <row r="249" spans="2:34" ht="23.25" customHeight="1" x14ac:dyDescent="0.15">
      <c r="B249" s="26"/>
      <c r="C249" s="457"/>
      <c r="D249" s="102"/>
      <c r="E249" s="114"/>
      <c r="F249" s="459" t="s">
        <v>221</v>
      </c>
      <c r="G249" s="460"/>
      <c r="H249" s="40" t="s">
        <v>20</v>
      </c>
      <c r="I249" s="57"/>
      <c r="J249" s="58"/>
      <c r="K249" s="41" t="str">
        <f t="shared" si="17"/>
        <v>-</v>
      </c>
      <c r="L249" s="42">
        <f t="shared" si="16"/>
        <v>0</v>
      </c>
      <c r="M249" s="159"/>
      <c r="N249" s="356"/>
      <c r="O249" s="357"/>
      <c r="P249" s="357"/>
      <c r="Q249" s="358"/>
      <c r="R249" s="3"/>
      <c r="S249" s="529"/>
      <c r="T249" s="529"/>
      <c r="U249" s="529"/>
      <c r="V249" s="529"/>
      <c r="W249" s="529"/>
      <c r="X249" s="529"/>
      <c r="Y249" s="529"/>
      <c r="Z249" s="529"/>
      <c r="AA249" s="529"/>
      <c r="AB249" s="529"/>
      <c r="AC249" s="529"/>
      <c r="AD249" s="529"/>
      <c r="AE249" s="529"/>
      <c r="AF249" s="529"/>
      <c r="AG249" s="529"/>
      <c r="AH249" s="229"/>
    </row>
    <row r="250" spans="2:34" ht="23.25" customHeight="1" x14ac:dyDescent="0.15">
      <c r="B250" s="26"/>
      <c r="C250" s="457"/>
      <c r="D250" s="278" t="s">
        <v>222</v>
      </c>
      <c r="E250" s="235"/>
      <c r="F250" s="235"/>
      <c r="G250" s="236"/>
      <c r="H250" s="40" t="s">
        <v>20</v>
      </c>
      <c r="I250" s="57"/>
      <c r="J250" s="58"/>
      <c r="K250" s="41" t="str">
        <f t="shared" si="17"/>
        <v>-</v>
      </c>
      <c r="L250" s="42">
        <f t="shared" si="16"/>
        <v>0</v>
      </c>
      <c r="M250" s="159"/>
      <c r="N250" s="293"/>
      <c r="O250" s="294"/>
      <c r="P250" s="294"/>
      <c r="Q250" s="295"/>
      <c r="R250" s="3"/>
      <c r="S250" s="233">
        <v>1</v>
      </c>
      <c r="T250" s="233">
        <v>1</v>
      </c>
      <c r="U250" s="233">
        <v>1</v>
      </c>
      <c r="V250" s="233">
        <v>1</v>
      </c>
      <c r="W250" s="233">
        <v>1</v>
      </c>
      <c r="X250" s="233">
        <v>1</v>
      </c>
      <c r="Y250" s="233">
        <v>1</v>
      </c>
      <c r="Z250" s="233">
        <v>1</v>
      </c>
      <c r="AA250" s="233">
        <v>1</v>
      </c>
      <c r="AB250" s="233">
        <v>1</v>
      </c>
      <c r="AC250" s="233">
        <v>1</v>
      </c>
      <c r="AD250" s="233">
        <v>1</v>
      </c>
      <c r="AE250" s="233">
        <v>1</v>
      </c>
      <c r="AF250" s="233">
        <v>1</v>
      </c>
      <c r="AG250" s="233">
        <v>1</v>
      </c>
      <c r="AH250" s="229"/>
    </row>
    <row r="251" spans="2:34" ht="23.25" customHeight="1" x14ac:dyDescent="0.15">
      <c r="B251" s="26"/>
      <c r="C251" s="457"/>
      <c r="D251" s="113"/>
      <c r="E251" s="382" t="s">
        <v>223</v>
      </c>
      <c r="F251" s="383"/>
      <c r="G251" s="384"/>
      <c r="H251" s="40" t="s">
        <v>20</v>
      </c>
      <c r="I251" s="57"/>
      <c r="J251" s="58"/>
      <c r="K251" s="41" t="str">
        <f t="shared" si="17"/>
        <v>-</v>
      </c>
      <c r="L251" s="42">
        <f t="shared" si="16"/>
        <v>0</v>
      </c>
      <c r="M251" s="159"/>
      <c r="N251" s="293"/>
      <c r="O251" s="294"/>
      <c r="P251" s="294"/>
      <c r="Q251" s="295"/>
      <c r="R251" s="3"/>
      <c r="S251" s="233">
        <v>1</v>
      </c>
      <c r="T251" s="233">
        <v>1</v>
      </c>
      <c r="U251" s="233">
        <v>1</v>
      </c>
      <c r="V251" s="233">
        <v>1</v>
      </c>
      <c r="W251" s="233">
        <v>1</v>
      </c>
      <c r="X251" s="233">
        <v>1</v>
      </c>
      <c r="Y251" s="233">
        <v>1</v>
      </c>
      <c r="Z251" s="233">
        <v>1</v>
      </c>
      <c r="AA251" s="233">
        <v>1</v>
      </c>
      <c r="AB251" s="233">
        <v>1</v>
      </c>
      <c r="AC251" s="233">
        <v>1</v>
      </c>
      <c r="AD251" s="233">
        <v>1</v>
      </c>
      <c r="AE251" s="233">
        <v>1</v>
      </c>
      <c r="AF251" s="233">
        <v>1</v>
      </c>
      <c r="AG251" s="233">
        <v>1</v>
      </c>
      <c r="AH251" s="229"/>
    </row>
    <row r="252" spans="2:34" ht="23.25" customHeight="1" x14ac:dyDescent="0.15">
      <c r="B252" s="26"/>
      <c r="C252" s="457"/>
      <c r="D252" s="113"/>
      <c r="E252" s="296" t="s">
        <v>224</v>
      </c>
      <c r="F252" s="297"/>
      <c r="G252" s="298"/>
      <c r="H252" s="115" t="s">
        <v>20</v>
      </c>
      <c r="I252" s="116"/>
      <c r="J252" s="117"/>
      <c r="K252" s="118" t="str">
        <f t="shared" si="17"/>
        <v>-</v>
      </c>
      <c r="L252" s="119">
        <f t="shared" si="16"/>
        <v>0</v>
      </c>
      <c r="M252" s="168"/>
      <c r="N252" s="293"/>
      <c r="O252" s="294"/>
      <c r="P252" s="294"/>
      <c r="Q252" s="295"/>
      <c r="R252" s="3"/>
      <c r="S252" s="233">
        <v>1</v>
      </c>
      <c r="T252" s="233">
        <v>1</v>
      </c>
      <c r="U252" s="233">
        <v>1</v>
      </c>
      <c r="V252" s="233">
        <v>1</v>
      </c>
      <c r="W252" s="233">
        <v>1</v>
      </c>
      <c r="X252" s="233">
        <v>1</v>
      </c>
      <c r="Y252" s="233">
        <v>1</v>
      </c>
      <c r="Z252" s="233">
        <v>1</v>
      </c>
      <c r="AA252" s="233">
        <v>1</v>
      </c>
      <c r="AB252" s="233">
        <v>1</v>
      </c>
      <c r="AC252" s="233">
        <v>1</v>
      </c>
      <c r="AD252" s="233">
        <v>1</v>
      </c>
      <c r="AE252" s="233">
        <v>1</v>
      </c>
      <c r="AF252" s="233">
        <v>1</v>
      </c>
      <c r="AG252" s="233">
        <v>1</v>
      </c>
      <c r="AH252" s="229"/>
    </row>
    <row r="253" spans="2:34" ht="23.25" customHeight="1" x14ac:dyDescent="0.15">
      <c r="B253" s="26"/>
      <c r="C253" s="457"/>
      <c r="D253" s="454" t="s">
        <v>225</v>
      </c>
      <c r="E253" s="328"/>
      <c r="F253" s="328"/>
      <c r="G253" s="329"/>
      <c r="H253" s="61" t="s">
        <v>20</v>
      </c>
      <c r="I253" s="62"/>
      <c r="J253" s="63"/>
      <c r="K253" s="64" t="str">
        <f t="shared" si="17"/>
        <v>-</v>
      </c>
      <c r="L253" s="65">
        <f t="shared" si="16"/>
        <v>0</v>
      </c>
      <c r="M253" s="163"/>
      <c r="N253" s="317"/>
      <c r="O253" s="455"/>
      <c r="P253" s="455"/>
      <c r="Q253" s="456"/>
      <c r="R253" s="3"/>
      <c r="S253" s="233">
        <v>1</v>
      </c>
      <c r="T253" s="233">
        <v>1</v>
      </c>
      <c r="U253" s="233">
        <v>1</v>
      </c>
      <c r="V253" s="233">
        <v>1</v>
      </c>
      <c r="W253" s="233">
        <v>1</v>
      </c>
      <c r="X253" s="233">
        <v>1</v>
      </c>
      <c r="Y253" s="233">
        <v>1</v>
      </c>
      <c r="Z253" s="233">
        <v>1</v>
      </c>
      <c r="AA253" s="233">
        <v>1</v>
      </c>
      <c r="AB253" s="233">
        <v>1</v>
      </c>
      <c r="AC253" s="233">
        <v>1</v>
      </c>
      <c r="AD253" s="233">
        <v>1</v>
      </c>
      <c r="AE253" s="233">
        <v>1</v>
      </c>
      <c r="AF253" s="233">
        <v>1</v>
      </c>
      <c r="AG253" s="233">
        <v>1</v>
      </c>
      <c r="AH253" s="229"/>
    </row>
    <row r="254" spans="2:34" ht="23.25" customHeight="1" x14ac:dyDescent="0.15">
      <c r="B254" s="26"/>
      <c r="C254" s="457"/>
      <c r="D254" s="388" t="s">
        <v>226</v>
      </c>
      <c r="E254" s="389"/>
      <c r="F254" s="389"/>
      <c r="G254" s="390"/>
      <c r="H254" s="94" t="s">
        <v>20</v>
      </c>
      <c r="I254" s="120"/>
      <c r="J254" s="121"/>
      <c r="K254" s="97" t="str">
        <f t="shared" si="17"/>
        <v>-</v>
      </c>
      <c r="L254" s="98">
        <f t="shared" si="16"/>
        <v>0</v>
      </c>
      <c r="M254" s="166"/>
      <c r="N254" s="406"/>
      <c r="O254" s="407"/>
      <c r="P254" s="407"/>
      <c r="Q254" s="408"/>
      <c r="R254" s="3"/>
      <c r="S254" s="233">
        <v>1</v>
      </c>
      <c r="T254" s="233">
        <v>1</v>
      </c>
      <c r="U254" s="233">
        <v>1</v>
      </c>
      <c r="V254" s="233">
        <v>1</v>
      </c>
      <c r="W254" s="233">
        <v>1</v>
      </c>
      <c r="X254" s="233">
        <v>1</v>
      </c>
      <c r="Y254" s="233">
        <v>1</v>
      </c>
      <c r="Z254" s="233">
        <v>1</v>
      </c>
      <c r="AA254" s="233">
        <v>1</v>
      </c>
      <c r="AB254" s="233">
        <v>1</v>
      </c>
      <c r="AC254" s="233">
        <v>1</v>
      </c>
      <c r="AD254" s="233">
        <v>1</v>
      </c>
      <c r="AE254" s="233">
        <v>1</v>
      </c>
      <c r="AF254" s="233">
        <v>1</v>
      </c>
      <c r="AG254" s="233">
        <v>1</v>
      </c>
      <c r="AH254" s="229"/>
    </row>
    <row r="255" spans="2:34" ht="23.25" customHeight="1" x14ac:dyDescent="0.15">
      <c r="B255" s="26"/>
      <c r="C255" s="457"/>
      <c r="D255" s="122"/>
      <c r="E255" s="235" t="s">
        <v>227</v>
      </c>
      <c r="F255" s="349"/>
      <c r="G255" s="339"/>
      <c r="H255" s="40" t="s">
        <v>20</v>
      </c>
      <c r="I255" s="57"/>
      <c r="J255" s="58"/>
      <c r="K255" s="41" t="str">
        <f t="shared" si="17"/>
        <v>-</v>
      </c>
      <c r="L255" s="42">
        <f t="shared" si="16"/>
        <v>0</v>
      </c>
      <c r="M255" s="159"/>
      <c r="N255" s="356"/>
      <c r="O255" s="357"/>
      <c r="P255" s="357"/>
      <c r="Q255" s="358"/>
      <c r="R255" s="3"/>
      <c r="S255" s="529"/>
      <c r="T255" s="529"/>
      <c r="U255" s="529"/>
      <c r="V255" s="529"/>
      <c r="W255" s="529"/>
      <c r="X255" s="529"/>
      <c r="Y255" s="529"/>
      <c r="Z255" s="529"/>
      <c r="AA255" s="529"/>
      <c r="AB255" s="529"/>
      <c r="AC255" s="529"/>
      <c r="AD255" s="529"/>
      <c r="AE255" s="529"/>
      <c r="AF255" s="529"/>
      <c r="AG255" s="529"/>
      <c r="AH255" s="229"/>
    </row>
    <row r="256" spans="2:34" ht="23.25" customHeight="1" thickBot="1" x14ac:dyDescent="0.2">
      <c r="B256" s="26"/>
      <c r="C256" s="458"/>
      <c r="D256" s="448" t="s">
        <v>228</v>
      </c>
      <c r="E256" s="449"/>
      <c r="F256" s="449"/>
      <c r="G256" s="450"/>
      <c r="H256" s="123" t="s">
        <v>20</v>
      </c>
      <c r="I256" s="124"/>
      <c r="J256" s="125"/>
      <c r="K256" s="78" t="str">
        <f t="shared" si="17"/>
        <v>-</v>
      </c>
      <c r="L256" s="79">
        <f t="shared" si="16"/>
        <v>0</v>
      </c>
      <c r="M256" s="165"/>
      <c r="N256" s="451"/>
      <c r="O256" s="452"/>
      <c r="P256" s="452"/>
      <c r="Q256" s="453"/>
      <c r="R256" s="3"/>
      <c r="S256" s="233">
        <v>1</v>
      </c>
      <c r="T256" s="233">
        <v>1</v>
      </c>
      <c r="U256" s="233">
        <v>1</v>
      </c>
      <c r="V256" s="233">
        <v>1</v>
      </c>
      <c r="W256" s="233">
        <v>1</v>
      </c>
      <c r="X256" s="233">
        <v>1</v>
      </c>
      <c r="Y256" s="233">
        <v>1</v>
      </c>
      <c r="Z256" s="233">
        <v>1</v>
      </c>
      <c r="AA256" s="233">
        <v>1</v>
      </c>
      <c r="AB256" s="233">
        <v>1</v>
      </c>
      <c r="AC256" s="233">
        <v>1</v>
      </c>
      <c r="AD256" s="233">
        <v>1</v>
      </c>
      <c r="AE256" s="233">
        <v>1</v>
      </c>
      <c r="AF256" s="233">
        <v>1</v>
      </c>
      <c r="AG256" s="233">
        <v>1</v>
      </c>
      <c r="AH256" s="229"/>
    </row>
    <row r="257" spans="1:34" ht="23.25" customHeight="1" x14ac:dyDescent="0.15">
      <c r="B257" s="50"/>
      <c r="C257" s="467" t="s">
        <v>229</v>
      </c>
      <c r="D257" s="470" t="s">
        <v>230</v>
      </c>
      <c r="E257" s="471"/>
      <c r="F257" s="471"/>
      <c r="G257" s="472"/>
      <c r="H257" s="37" t="s">
        <v>278</v>
      </c>
      <c r="I257" s="126"/>
      <c r="J257" s="127"/>
      <c r="K257" s="38" t="str">
        <f t="shared" si="17"/>
        <v>-</v>
      </c>
      <c r="L257" s="39">
        <f t="shared" si="16"/>
        <v>0</v>
      </c>
      <c r="M257" s="164"/>
      <c r="N257" s="473"/>
      <c r="O257" s="474"/>
      <c r="P257" s="474"/>
      <c r="Q257" s="475"/>
      <c r="R257" s="3"/>
      <c r="S257" s="233">
        <v>1</v>
      </c>
      <c r="T257" s="233">
        <v>1</v>
      </c>
      <c r="U257" s="233">
        <v>1</v>
      </c>
      <c r="V257" s="233">
        <v>1</v>
      </c>
      <c r="W257" s="233">
        <v>1</v>
      </c>
      <c r="X257" s="233">
        <v>1</v>
      </c>
      <c r="Y257" s="233">
        <v>1</v>
      </c>
      <c r="Z257" s="233">
        <v>1</v>
      </c>
      <c r="AA257" s="233">
        <v>1</v>
      </c>
      <c r="AB257" s="233">
        <v>1</v>
      </c>
      <c r="AC257" s="233">
        <v>1</v>
      </c>
      <c r="AD257" s="233">
        <v>1</v>
      </c>
      <c r="AE257" s="233">
        <v>1</v>
      </c>
      <c r="AF257" s="233">
        <v>1</v>
      </c>
      <c r="AG257" s="233">
        <v>1</v>
      </c>
      <c r="AH257" s="229"/>
    </row>
    <row r="258" spans="1:34" ht="23.25" customHeight="1" x14ac:dyDescent="0.15">
      <c r="B258" s="49"/>
      <c r="C258" s="468"/>
      <c r="D258" s="476" t="s">
        <v>231</v>
      </c>
      <c r="E258" s="376"/>
      <c r="F258" s="376"/>
      <c r="G258" s="377"/>
      <c r="H258" s="72" t="s">
        <v>232</v>
      </c>
      <c r="I258" s="100"/>
      <c r="J258" s="101"/>
      <c r="K258" s="75" t="str">
        <f t="shared" si="17"/>
        <v>-</v>
      </c>
      <c r="L258" s="70">
        <f t="shared" si="16"/>
        <v>0</v>
      </c>
      <c r="M258" s="160"/>
      <c r="N258" s="400"/>
      <c r="O258" s="401"/>
      <c r="P258" s="401"/>
      <c r="Q258" s="402"/>
      <c r="R258" s="3"/>
      <c r="S258" s="233">
        <v>1</v>
      </c>
      <c r="T258" s="233">
        <v>1</v>
      </c>
      <c r="U258" s="233">
        <v>1</v>
      </c>
      <c r="V258" s="233">
        <v>1</v>
      </c>
      <c r="W258" s="233">
        <v>1</v>
      </c>
      <c r="X258" s="233">
        <v>1</v>
      </c>
      <c r="Y258" s="233">
        <v>1</v>
      </c>
      <c r="Z258" s="233">
        <v>1</v>
      </c>
      <c r="AA258" s="233">
        <v>1</v>
      </c>
      <c r="AB258" s="233">
        <v>1</v>
      </c>
      <c r="AC258" s="233">
        <v>1</v>
      </c>
      <c r="AD258" s="233">
        <v>1</v>
      </c>
      <c r="AE258" s="233">
        <v>1</v>
      </c>
      <c r="AF258" s="233">
        <v>1</v>
      </c>
      <c r="AG258" s="233">
        <v>1</v>
      </c>
      <c r="AH258" s="229"/>
    </row>
    <row r="259" spans="1:34" ht="23.25" customHeight="1" x14ac:dyDescent="0.15">
      <c r="B259" s="49"/>
      <c r="C259" s="468"/>
      <c r="D259" s="461" t="s">
        <v>233</v>
      </c>
      <c r="E259" s="462"/>
      <c r="F259" s="462"/>
      <c r="G259" s="463"/>
      <c r="H259" s="72" t="s">
        <v>278</v>
      </c>
      <c r="I259" s="73"/>
      <c r="J259" s="74"/>
      <c r="K259" s="75" t="str">
        <f t="shared" si="17"/>
        <v>-</v>
      </c>
      <c r="L259" s="70">
        <f t="shared" si="16"/>
        <v>0</v>
      </c>
      <c r="M259" s="160"/>
      <c r="N259" s="400"/>
      <c r="O259" s="401"/>
      <c r="P259" s="401"/>
      <c r="Q259" s="402"/>
      <c r="R259" s="3"/>
      <c r="S259" s="233">
        <v>1</v>
      </c>
      <c r="T259" s="233">
        <v>1</v>
      </c>
      <c r="U259" s="233">
        <v>1</v>
      </c>
      <c r="V259" s="233">
        <v>1</v>
      </c>
      <c r="W259" s="233">
        <v>1</v>
      </c>
      <c r="X259" s="233">
        <v>1</v>
      </c>
      <c r="Y259" s="233">
        <v>1</v>
      </c>
      <c r="Z259" s="233">
        <v>1</v>
      </c>
      <c r="AA259" s="233">
        <v>1</v>
      </c>
      <c r="AB259" s="233">
        <v>1</v>
      </c>
      <c r="AC259" s="233">
        <v>1</v>
      </c>
      <c r="AD259" s="233">
        <v>1</v>
      </c>
      <c r="AE259" s="233">
        <v>1</v>
      </c>
      <c r="AF259" s="233">
        <v>1</v>
      </c>
      <c r="AG259" s="233">
        <v>1</v>
      </c>
      <c r="AH259" s="229"/>
    </row>
    <row r="260" spans="1:34" ht="23.25" customHeight="1" x14ac:dyDescent="0.15">
      <c r="B260" s="49"/>
      <c r="C260" s="468"/>
      <c r="D260" s="461" t="s">
        <v>234</v>
      </c>
      <c r="E260" s="462"/>
      <c r="F260" s="462"/>
      <c r="G260" s="463"/>
      <c r="H260" s="72" t="s">
        <v>235</v>
      </c>
      <c r="I260" s="223"/>
      <c r="J260" s="224"/>
      <c r="K260" s="75" t="str">
        <f t="shared" si="17"/>
        <v>-</v>
      </c>
      <c r="L260" s="70">
        <f t="shared" si="16"/>
        <v>0</v>
      </c>
      <c r="M260" s="160"/>
      <c r="N260" s="400"/>
      <c r="O260" s="401"/>
      <c r="P260" s="401"/>
      <c r="Q260" s="402"/>
      <c r="R260" s="3"/>
      <c r="S260" s="233">
        <v>1</v>
      </c>
      <c r="T260" s="233">
        <v>1</v>
      </c>
      <c r="U260" s="233">
        <v>1</v>
      </c>
      <c r="V260" s="233">
        <v>1</v>
      </c>
      <c r="W260" s="233">
        <v>1</v>
      </c>
      <c r="X260" s="233">
        <v>1</v>
      </c>
      <c r="Y260" s="233">
        <v>1</v>
      </c>
      <c r="Z260" s="233">
        <v>1</v>
      </c>
      <c r="AA260" s="233">
        <v>1</v>
      </c>
      <c r="AB260" s="233">
        <v>1</v>
      </c>
      <c r="AC260" s="233">
        <v>1</v>
      </c>
      <c r="AD260" s="233">
        <v>1</v>
      </c>
      <c r="AE260" s="233">
        <v>1</v>
      </c>
      <c r="AF260" s="233">
        <v>1</v>
      </c>
      <c r="AG260" s="233">
        <v>1</v>
      </c>
      <c r="AH260" s="229"/>
    </row>
    <row r="261" spans="1:34" ht="23.25" customHeight="1" thickBot="1" x14ac:dyDescent="0.2">
      <c r="B261" s="48"/>
      <c r="C261" s="469"/>
      <c r="D261" s="464" t="s">
        <v>236</v>
      </c>
      <c r="E261" s="465"/>
      <c r="F261" s="465"/>
      <c r="G261" s="466"/>
      <c r="H261" s="123" t="s">
        <v>232</v>
      </c>
      <c r="I261" s="225"/>
      <c r="J261" s="226"/>
      <c r="K261" s="78" t="str">
        <f t="shared" si="17"/>
        <v>-</v>
      </c>
      <c r="L261" s="79">
        <f t="shared" si="16"/>
        <v>0</v>
      </c>
      <c r="M261" s="165"/>
      <c r="N261" s="451"/>
      <c r="O261" s="452"/>
      <c r="P261" s="452"/>
      <c r="Q261" s="453"/>
      <c r="R261" s="3"/>
      <c r="S261" s="233">
        <v>1</v>
      </c>
      <c r="T261" s="233">
        <v>1</v>
      </c>
      <c r="U261" s="233">
        <v>1</v>
      </c>
      <c r="V261" s="233">
        <v>1</v>
      </c>
      <c r="W261" s="233">
        <v>1</v>
      </c>
      <c r="X261" s="233">
        <v>1</v>
      </c>
      <c r="Y261" s="233">
        <v>1</v>
      </c>
      <c r="Z261" s="233">
        <v>1</v>
      </c>
      <c r="AA261" s="233">
        <v>1</v>
      </c>
      <c r="AB261" s="233">
        <v>1</v>
      </c>
      <c r="AC261" s="233">
        <v>1</v>
      </c>
      <c r="AD261" s="233">
        <v>1</v>
      </c>
      <c r="AE261" s="233">
        <v>1</v>
      </c>
      <c r="AF261" s="233">
        <v>1</v>
      </c>
      <c r="AG261" s="233">
        <v>1</v>
      </c>
      <c r="AH261" s="229"/>
    </row>
    <row r="262" spans="1:34" ht="23.25" customHeight="1" x14ac:dyDescent="0.15">
      <c r="B262" s="50"/>
      <c r="C262" s="467" t="s">
        <v>237</v>
      </c>
      <c r="D262" s="470" t="s">
        <v>238</v>
      </c>
      <c r="E262" s="471"/>
      <c r="F262" s="471"/>
      <c r="G262" s="472"/>
      <c r="H262" s="37" t="s">
        <v>232</v>
      </c>
      <c r="I262" s="227"/>
      <c r="J262" s="228"/>
      <c r="K262" s="38" t="str">
        <f t="shared" si="17"/>
        <v>-</v>
      </c>
      <c r="L262" s="39">
        <f t="shared" si="16"/>
        <v>0</v>
      </c>
      <c r="M262" s="164"/>
      <c r="N262" s="473"/>
      <c r="O262" s="474"/>
      <c r="P262" s="474"/>
      <c r="Q262" s="475"/>
      <c r="R262" s="3"/>
      <c r="S262" s="233">
        <v>1</v>
      </c>
      <c r="T262" s="233">
        <v>1</v>
      </c>
      <c r="U262" s="233">
        <v>1</v>
      </c>
      <c r="V262" s="233">
        <v>1</v>
      </c>
      <c r="W262" s="233">
        <v>1</v>
      </c>
      <c r="X262" s="233">
        <v>1</v>
      </c>
      <c r="Y262" s="233">
        <v>1</v>
      </c>
      <c r="Z262" s="233">
        <v>1</v>
      </c>
      <c r="AA262" s="233">
        <v>1</v>
      </c>
      <c r="AB262" s="233">
        <v>1</v>
      </c>
      <c r="AC262" s="233">
        <v>1</v>
      </c>
      <c r="AD262" s="233">
        <v>1</v>
      </c>
      <c r="AE262" s="233">
        <v>1</v>
      </c>
      <c r="AF262" s="233">
        <v>1</v>
      </c>
      <c r="AG262" s="233">
        <v>1</v>
      </c>
      <c r="AH262" s="229"/>
    </row>
    <row r="263" spans="1:34" ht="23.25" customHeight="1" x14ac:dyDescent="0.15">
      <c r="B263" s="49"/>
      <c r="C263" s="468"/>
      <c r="D263" s="476" t="s">
        <v>239</v>
      </c>
      <c r="E263" s="376"/>
      <c r="F263" s="376"/>
      <c r="G263" s="377"/>
      <c r="H263" s="72" t="s">
        <v>278</v>
      </c>
      <c r="I263" s="73"/>
      <c r="J263" s="74"/>
      <c r="K263" s="75" t="str">
        <f t="shared" si="17"/>
        <v>-</v>
      </c>
      <c r="L263" s="70">
        <f t="shared" si="16"/>
        <v>0</v>
      </c>
      <c r="M263" s="160"/>
      <c r="N263" s="400"/>
      <c r="O263" s="401"/>
      <c r="P263" s="401"/>
      <c r="Q263" s="402"/>
      <c r="R263" s="3"/>
      <c r="S263" s="233">
        <v>1</v>
      </c>
      <c r="T263" s="233">
        <v>1</v>
      </c>
      <c r="U263" s="233">
        <v>1</v>
      </c>
      <c r="V263" s="233">
        <v>1</v>
      </c>
      <c r="W263" s="233">
        <v>1</v>
      </c>
      <c r="X263" s="233">
        <v>1</v>
      </c>
      <c r="Y263" s="233">
        <v>1</v>
      </c>
      <c r="Z263" s="233">
        <v>1</v>
      </c>
      <c r="AA263" s="233">
        <v>1</v>
      </c>
      <c r="AB263" s="233">
        <v>1</v>
      </c>
      <c r="AC263" s="233">
        <v>1</v>
      </c>
      <c r="AD263" s="233">
        <v>1</v>
      </c>
      <c r="AE263" s="233">
        <v>1</v>
      </c>
      <c r="AF263" s="233">
        <v>1</v>
      </c>
      <c r="AG263" s="233">
        <v>1</v>
      </c>
      <c r="AH263" s="229"/>
    </row>
    <row r="264" spans="1:34" ht="23.25" customHeight="1" x14ac:dyDescent="0.15">
      <c r="B264" s="49"/>
      <c r="C264" s="468"/>
      <c r="D264" s="476" t="s">
        <v>240</v>
      </c>
      <c r="E264" s="376"/>
      <c r="F264" s="376"/>
      <c r="G264" s="377"/>
      <c r="H264" s="72" t="s">
        <v>232</v>
      </c>
      <c r="I264" s="100"/>
      <c r="J264" s="101"/>
      <c r="K264" s="75" t="str">
        <f t="shared" si="17"/>
        <v>-</v>
      </c>
      <c r="L264" s="70">
        <f t="shared" si="16"/>
        <v>0</v>
      </c>
      <c r="M264" s="160"/>
      <c r="N264" s="400"/>
      <c r="O264" s="401"/>
      <c r="P264" s="401"/>
      <c r="Q264" s="402"/>
      <c r="R264" s="3"/>
      <c r="S264" s="233">
        <v>1</v>
      </c>
      <c r="T264" s="233">
        <v>1</v>
      </c>
      <c r="U264" s="233">
        <v>1</v>
      </c>
      <c r="V264" s="233">
        <v>1</v>
      </c>
      <c r="W264" s="233">
        <v>1</v>
      </c>
      <c r="X264" s="233">
        <v>1</v>
      </c>
      <c r="Y264" s="233">
        <v>1</v>
      </c>
      <c r="Z264" s="233">
        <v>1</v>
      </c>
      <c r="AA264" s="233">
        <v>1</v>
      </c>
      <c r="AB264" s="233">
        <v>1</v>
      </c>
      <c r="AC264" s="233">
        <v>1</v>
      </c>
      <c r="AD264" s="233">
        <v>1</v>
      </c>
      <c r="AE264" s="233">
        <v>1</v>
      </c>
      <c r="AF264" s="233">
        <v>1</v>
      </c>
      <c r="AG264" s="233">
        <v>1</v>
      </c>
      <c r="AH264" s="229"/>
    </row>
    <row r="265" spans="1:34" ht="23.25" customHeight="1" x14ac:dyDescent="0.15">
      <c r="B265" s="49"/>
      <c r="C265" s="468"/>
      <c r="D265" s="461" t="s">
        <v>241</v>
      </c>
      <c r="E265" s="462"/>
      <c r="F265" s="462"/>
      <c r="G265" s="463"/>
      <c r="H265" s="72" t="s">
        <v>278</v>
      </c>
      <c r="I265" s="73"/>
      <c r="J265" s="74"/>
      <c r="K265" s="75" t="str">
        <f t="shared" si="17"/>
        <v>-</v>
      </c>
      <c r="L265" s="70">
        <f t="shared" si="16"/>
        <v>0</v>
      </c>
      <c r="M265" s="160"/>
      <c r="N265" s="400"/>
      <c r="O265" s="401"/>
      <c r="P265" s="401"/>
      <c r="Q265" s="402"/>
      <c r="R265" s="3"/>
      <c r="S265" s="233">
        <v>1</v>
      </c>
      <c r="T265" s="233">
        <v>1</v>
      </c>
      <c r="U265" s="233">
        <v>1</v>
      </c>
      <c r="V265" s="233">
        <v>1</v>
      </c>
      <c r="W265" s="233">
        <v>1</v>
      </c>
      <c r="X265" s="233">
        <v>1</v>
      </c>
      <c r="Y265" s="233">
        <v>1</v>
      </c>
      <c r="Z265" s="233">
        <v>1</v>
      </c>
      <c r="AA265" s="233">
        <v>1</v>
      </c>
      <c r="AB265" s="233">
        <v>1</v>
      </c>
      <c r="AC265" s="233">
        <v>1</v>
      </c>
      <c r="AD265" s="233">
        <v>1</v>
      </c>
      <c r="AE265" s="233">
        <v>1</v>
      </c>
      <c r="AF265" s="233">
        <v>1</v>
      </c>
      <c r="AG265" s="233">
        <v>1</v>
      </c>
      <c r="AH265" s="229"/>
    </row>
    <row r="266" spans="1:34" ht="23.25" customHeight="1" thickBot="1" x14ac:dyDescent="0.2">
      <c r="B266" s="49"/>
      <c r="C266" s="469"/>
      <c r="D266" s="464" t="s">
        <v>283</v>
      </c>
      <c r="E266" s="465"/>
      <c r="F266" s="465"/>
      <c r="G266" s="466"/>
      <c r="H266" s="123" t="s">
        <v>278</v>
      </c>
      <c r="I266" s="124"/>
      <c r="J266" s="125"/>
      <c r="K266" s="78" t="str">
        <f t="shared" si="17"/>
        <v>-</v>
      </c>
      <c r="L266" s="79">
        <f t="shared" si="16"/>
        <v>0</v>
      </c>
      <c r="M266" s="165"/>
      <c r="N266" s="451"/>
      <c r="O266" s="452"/>
      <c r="P266" s="452"/>
      <c r="Q266" s="453"/>
      <c r="R266" s="3"/>
      <c r="S266" s="233">
        <v>1</v>
      </c>
      <c r="T266" s="233">
        <v>1</v>
      </c>
      <c r="U266" s="233">
        <v>1</v>
      </c>
      <c r="V266" s="233">
        <v>1</v>
      </c>
      <c r="W266" s="233">
        <v>1</v>
      </c>
      <c r="X266" s="233">
        <v>1</v>
      </c>
      <c r="Y266" s="233">
        <v>1</v>
      </c>
      <c r="Z266" s="233">
        <v>1</v>
      </c>
      <c r="AA266" s="233">
        <v>1</v>
      </c>
      <c r="AB266" s="233">
        <v>1</v>
      </c>
      <c r="AC266" s="233">
        <v>1</v>
      </c>
      <c r="AD266" s="233">
        <v>1</v>
      </c>
      <c r="AE266" s="233">
        <v>1</v>
      </c>
      <c r="AF266" s="233">
        <v>1</v>
      </c>
      <c r="AG266" s="233">
        <v>1</v>
      </c>
      <c r="AH266" s="229"/>
    </row>
    <row r="267" spans="1:34" s="229" customFormat="1" ht="23.25" customHeight="1" x14ac:dyDescent="0.15">
      <c r="A267" s="16"/>
      <c r="B267" s="50"/>
      <c r="C267" s="468" t="s">
        <v>272</v>
      </c>
      <c r="D267" s="478" t="s">
        <v>117</v>
      </c>
      <c r="E267" s="479"/>
      <c r="F267" s="479"/>
      <c r="G267" s="480"/>
      <c r="H267" s="128" t="s">
        <v>77</v>
      </c>
      <c r="I267" s="129"/>
      <c r="J267" s="130"/>
      <c r="K267" s="131" t="str">
        <f t="shared" si="17"/>
        <v>-</v>
      </c>
      <c r="L267" s="205">
        <f t="shared" ref="L267:L308" si="18">IFERROR(J267-I267,"-")</f>
        <v>0</v>
      </c>
      <c r="M267" s="169"/>
      <c r="N267" s="481"/>
      <c r="O267" s="482"/>
      <c r="P267" s="482"/>
      <c r="Q267" s="483"/>
      <c r="R267" s="3"/>
      <c r="S267" s="233"/>
      <c r="T267" s="529">
        <v>1</v>
      </c>
      <c r="U267" s="529"/>
      <c r="V267" s="529"/>
      <c r="W267" s="529"/>
      <c r="X267" s="529"/>
      <c r="Y267" s="529"/>
      <c r="Z267" s="529"/>
      <c r="AA267" s="529"/>
      <c r="AB267" s="529"/>
      <c r="AC267" s="529"/>
      <c r="AD267" s="529"/>
      <c r="AE267" s="529"/>
      <c r="AF267" s="529"/>
      <c r="AG267" s="529"/>
      <c r="AH267" s="230"/>
    </row>
    <row r="268" spans="1:34" s="229" customFormat="1" ht="23.25" customHeight="1" x14ac:dyDescent="0.15">
      <c r="A268" s="16"/>
      <c r="B268" s="50"/>
      <c r="C268" s="468"/>
      <c r="D268" s="477" t="s">
        <v>118</v>
      </c>
      <c r="E268" s="379"/>
      <c r="F268" s="379"/>
      <c r="G268" s="380"/>
      <c r="H268" s="40" t="s">
        <v>77</v>
      </c>
      <c r="I268" s="93"/>
      <c r="J268" s="90"/>
      <c r="K268" s="41" t="str">
        <f t="shared" si="17"/>
        <v>-</v>
      </c>
      <c r="L268" s="200">
        <f t="shared" si="18"/>
        <v>0</v>
      </c>
      <c r="M268" s="159"/>
      <c r="N268" s="293"/>
      <c r="O268" s="294"/>
      <c r="P268" s="294"/>
      <c r="Q268" s="295"/>
      <c r="R268" s="3"/>
      <c r="S268" s="233"/>
      <c r="T268" s="529">
        <v>1</v>
      </c>
      <c r="U268" s="529"/>
      <c r="V268" s="529"/>
      <c r="W268" s="529"/>
      <c r="X268" s="529"/>
      <c r="Y268" s="529"/>
      <c r="Z268" s="529"/>
      <c r="AA268" s="529"/>
      <c r="AB268" s="529"/>
      <c r="AC268" s="529"/>
      <c r="AD268" s="529"/>
      <c r="AE268" s="529"/>
      <c r="AF268" s="529"/>
      <c r="AG268" s="529"/>
      <c r="AH268" s="230"/>
    </row>
    <row r="269" spans="1:34" s="229" customFormat="1" ht="23.25" customHeight="1" x14ac:dyDescent="0.15">
      <c r="A269" s="16"/>
      <c r="B269" s="50"/>
      <c r="C269" s="468"/>
      <c r="D269" s="477" t="s">
        <v>119</v>
      </c>
      <c r="E269" s="379"/>
      <c r="F269" s="379"/>
      <c r="G269" s="380"/>
      <c r="H269" s="40" t="s">
        <v>77</v>
      </c>
      <c r="I269" s="93"/>
      <c r="J269" s="90"/>
      <c r="K269" s="41" t="str">
        <f t="shared" si="17"/>
        <v>-</v>
      </c>
      <c r="L269" s="200">
        <f t="shared" si="18"/>
        <v>0</v>
      </c>
      <c r="M269" s="159"/>
      <c r="N269" s="293"/>
      <c r="O269" s="294"/>
      <c r="P269" s="294"/>
      <c r="Q269" s="295"/>
      <c r="R269" s="3"/>
      <c r="S269" s="233"/>
      <c r="T269" s="529">
        <v>1</v>
      </c>
      <c r="U269" s="529"/>
      <c r="V269" s="529"/>
      <c r="W269" s="529"/>
      <c r="X269" s="529"/>
      <c r="Y269" s="529"/>
      <c r="Z269" s="529"/>
      <c r="AA269" s="529"/>
      <c r="AB269" s="529"/>
      <c r="AC269" s="529"/>
      <c r="AD269" s="529"/>
      <c r="AE269" s="529"/>
      <c r="AF269" s="529"/>
      <c r="AG269" s="529"/>
      <c r="AH269" s="230"/>
    </row>
    <row r="270" spans="1:34" s="229" customFormat="1" ht="23.25" customHeight="1" x14ac:dyDescent="0.15">
      <c r="A270" s="16"/>
      <c r="B270" s="50"/>
      <c r="C270" s="468"/>
      <c r="D270" s="477" t="s">
        <v>120</v>
      </c>
      <c r="E270" s="379"/>
      <c r="F270" s="379"/>
      <c r="G270" s="380"/>
      <c r="H270" s="40" t="s">
        <v>77</v>
      </c>
      <c r="I270" s="93"/>
      <c r="J270" s="90"/>
      <c r="K270" s="41" t="str">
        <f t="shared" si="17"/>
        <v>-</v>
      </c>
      <c r="L270" s="200">
        <f t="shared" si="18"/>
        <v>0</v>
      </c>
      <c r="M270" s="159"/>
      <c r="N270" s="356"/>
      <c r="O270" s="357"/>
      <c r="P270" s="357"/>
      <c r="Q270" s="358"/>
      <c r="R270" s="3"/>
      <c r="S270" s="233"/>
      <c r="T270" s="529">
        <v>1</v>
      </c>
      <c r="U270" s="529"/>
      <c r="V270" s="529"/>
      <c r="W270" s="529"/>
      <c r="X270" s="529"/>
      <c r="Y270" s="529"/>
      <c r="Z270" s="529"/>
      <c r="AA270" s="529"/>
      <c r="AB270" s="529"/>
      <c r="AC270" s="529"/>
      <c r="AD270" s="529"/>
      <c r="AE270" s="529"/>
      <c r="AF270" s="529"/>
      <c r="AG270" s="529"/>
      <c r="AH270" s="230"/>
    </row>
    <row r="271" spans="1:34" s="229" customFormat="1" ht="23.25" customHeight="1" x14ac:dyDescent="0.15">
      <c r="A271" s="16"/>
      <c r="B271" s="50"/>
      <c r="C271" s="468"/>
      <c r="D271" s="477" t="s">
        <v>242</v>
      </c>
      <c r="E271" s="379"/>
      <c r="F271" s="379"/>
      <c r="G271" s="380"/>
      <c r="H271" s="40" t="s">
        <v>77</v>
      </c>
      <c r="I271" s="93"/>
      <c r="J271" s="90"/>
      <c r="K271" s="41" t="str">
        <f t="shared" si="17"/>
        <v>-</v>
      </c>
      <c r="L271" s="200">
        <f t="shared" si="18"/>
        <v>0</v>
      </c>
      <c r="M271" s="159"/>
      <c r="N271" s="356"/>
      <c r="O271" s="357"/>
      <c r="P271" s="357"/>
      <c r="Q271" s="358"/>
      <c r="R271" s="3"/>
      <c r="S271" s="233"/>
      <c r="T271" s="529">
        <v>1</v>
      </c>
      <c r="U271" s="529"/>
      <c r="V271" s="529"/>
      <c r="W271" s="529"/>
      <c r="X271" s="529"/>
      <c r="Y271" s="529"/>
      <c r="Z271" s="529"/>
      <c r="AA271" s="529"/>
      <c r="AB271" s="529"/>
      <c r="AC271" s="529"/>
      <c r="AD271" s="529"/>
      <c r="AE271" s="529"/>
      <c r="AF271" s="529"/>
      <c r="AG271" s="529"/>
      <c r="AH271" s="230"/>
    </row>
    <row r="272" spans="1:34" s="229" customFormat="1" ht="23.25" customHeight="1" x14ac:dyDescent="0.15">
      <c r="A272" s="16"/>
      <c r="B272" s="50"/>
      <c r="C272" s="468"/>
      <c r="D272" s="477" t="s">
        <v>121</v>
      </c>
      <c r="E272" s="379"/>
      <c r="F272" s="379"/>
      <c r="G272" s="380"/>
      <c r="H272" s="40" t="s">
        <v>77</v>
      </c>
      <c r="I272" s="93"/>
      <c r="J272" s="90"/>
      <c r="K272" s="41" t="str">
        <f t="shared" si="17"/>
        <v>-</v>
      </c>
      <c r="L272" s="200">
        <f t="shared" si="18"/>
        <v>0</v>
      </c>
      <c r="M272" s="159"/>
      <c r="N272" s="293"/>
      <c r="O272" s="294"/>
      <c r="P272" s="294"/>
      <c r="Q272" s="295"/>
      <c r="R272" s="3"/>
      <c r="S272" s="529"/>
      <c r="T272" s="529"/>
      <c r="U272" s="529">
        <v>1</v>
      </c>
      <c r="V272" s="529"/>
      <c r="W272" s="529"/>
      <c r="X272" s="529"/>
      <c r="Y272" s="529"/>
      <c r="Z272" s="529"/>
      <c r="AA272" s="529"/>
      <c r="AB272" s="529"/>
      <c r="AC272" s="529"/>
      <c r="AD272" s="529"/>
      <c r="AE272" s="529"/>
      <c r="AF272" s="529"/>
      <c r="AG272" s="233"/>
      <c r="AH272" s="230"/>
    </row>
    <row r="273" spans="1:34" s="229" customFormat="1" ht="23.25" customHeight="1" x14ac:dyDescent="0.15">
      <c r="A273" s="16"/>
      <c r="B273" s="50"/>
      <c r="C273" s="468"/>
      <c r="D273" s="477" t="s">
        <v>279</v>
      </c>
      <c r="E273" s="379"/>
      <c r="F273" s="379"/>
      <c r="G273" s="380"/>
      <c r="H273" s="40" t="s">
        <v>77</v>
      </c>
      <c r="I273" s="93"/>
      <c r="J273" s="90"/>
      <c r="K273" s="41" t="str">
        <f t="shared" si="17"/>
        <v>-</v>
      </c>
      <c r="L273" s="200">
        <f t="shared" si="18"/>
        <v>0</v>
      </c>
      <c r="M273" s="159"/>
      <c r="N273" s="293"/>
      <c r="O273" s="294"/>
      <c r="P273" s="294"/>
      <c r="Q273" s="295"/>
      <c r="R273" s="3"/>
      <c r="S273" s="529"/>
      <c r="T273" s="529"/>
      <c r="U273" s="529">
        <v>1</v>
      </c>
      <c r="V273" s="529"/>
      <c r="W273" s="529"/>
      <c r="X273" s="529"/>
      <c r="Y273" s="529"/>
      <c r="Z273" s="529"/>
      <c r="AA273" s="529"/>
      <c r="AB273" s="529"/>
      <c r="AC273" s="529"/>
      <c r="AD273" s="529"/>
      <c r="AE273" s="529"/>
      <c r="AF273" s="529"/>
      <c r="AG273" s="233"/>
      <c r="AH273" s="230"/>
    </row>
    <row r="274" spans="1:34" s="229" customFormat="1" ht="23.25" customHeight="1" x14ac:dyDescent="0.15">
      <c r="A274" s="16"/>
      <c r="B274" s="50"/>
      <c r="C274" s="468"/>
      <c r="D274" s="477" t="s">
        <v>280</v>
      </c>
      <c r="E274" s="379"/>
      <c r="F274" s="379"/>
      <c r="G274" s="380"/>
      <c r="H274" s="40" t="s">
        <v>77</v>
      </c>
      <c r="I274" s="93"/>
      <c r="J274" s="90"/>
      <c r="K274" s="41" t="str">
        <f t="shared" si="17"/>
        <v>-</v>
      </c>
      <c r="L274" s="200">
        <f t="shared" si="18"/>
        <v>0</v>
      </c>
      <c r="M274" s="159"/>
      <c r="N274" s="293"/>
      <c r="O274" s="294"/>
      <c r="P274" s="294"/>
      <c r="Q274" s="295"/>
      <c r="R274" s="3"/>
      <c r="S274" s="529"/>
      <c r="T274" s="529"/>
      <c r="U274" s="529">
        <v>1</v>
      </c>
      <c r="V274" s="529"/>
      <c r="W274" s="529"/>
      <c r="X274" s="529"/>
      <c r="Y274" s="529"/>
      <c r="Z274" s="529"/>
      <c r="AA274" s="529"/>
      <c r="AB274" s="529"/>
      <c r="AC274" s="529"/>
      <c r="AD274" s="529"/>
      <c r="AE274" s="529"/>
      <c r="AF274" s="529"/>
      <c r="AG274" s="233"/>
      <c r="AH274" s="230"/>
    </row>
    <row r="275" spans="1:34" s="229" customFormat="1" ht="23.25" customHeight="1" x14ac:dyDescent="0.15">
      <c r="A275" s="16"/>
      <c r="B275" s="50"/>
      <c r="C275" s="468"/>
      <c r="D275" s="477" t="s">
        <v>122</v>
      </c>
      <c r="E275" s="379"/>
      <c r="F275" s="379"/>
      <c r="G275" s="380"/>
      <c r="H275" s="40" t="s">
        <v>77</v>
      </c>
      <c r="I275" s="93"/>
      <c r="J275" s="90"/>
      <c r="K275" s="41" t="str">
        <f t="shared" si="17"/>
        <v>-</v>
      </c>
      <c r="L275" s="200">
        <f t="shared" si="18"/>
        <v>0</v>
      </c>
      <c r="M275" s="159"/>
      <c r="N275" s="293"/>
      <c r="O275" s="294"/>
      <c r="P275" s="294"/>
      <c r="Q275" s="295"/>
      <c r="R275" s="3"/>
      <c r="S275" s="529"/>
      <c r="T275" s="529"/>
      <c r="U275" s="529">
        <v>1</v>
      </c>
      <c r="V275" s="529"/>
      <c r="W275" s="529"/>
      <c r="X275" s="529"/>
      <c r="Y275" s="529"/>
      <c r="Z275" s="529"/>
      <c r="AA275" s="529"/>
      <c r="AB275" s="529"/>
      <c r="AC275" s="529"/>
      <c r="AD275" s="529"/>
      <c r="AE275" s="529"/>
      <c r="AF275" s="529"/>
      <c r="AG275" s="233"/>
      <c r="AH275" s="230"/>
    </row>
    <row r="276" spans="1:34" s="229" customFormat="1" ht="23.25" customHeight="1" x14ac:dyDescent="0.15">
      <c r="A276" s="16"/>
      <c r="B276" s="50"/>
      <c r="C276" s="468"/>
      <c r="D276" s="477" t="s">
        <v>123</v>
      </c>
      <c r="E276" s="379"/>
      <c r="F276" s="379"/>
      <c r="G276" s="380"/>
      <c r="H276" s="40" t="s">
        <v>77</v>
      </c>
      <c r="I276" s="93"/>
      <c r="J276" s="90"/>
      <c r="K276" s="41" t="str">
        <f t="shared" si="17"/>
        <v>-</v>
      </c>
      <c r="L276" s="200">
        <f t="shared" si="18"/>
        <v>0</v>
      </c>
      <c r="M276" s="159"/>
      <c r="N276" s="293"/>
      <c r="O276" s="294"/>
      <c r="P276" s="294"/>
      <c r="Q276" s="295"/>
      <c r="R276" s="3"/>
      <c r="S276" s="529"/>
      <c r="T276" s="529"/>
      <c r="U276" s="529">
        <v>1</v>
      </c>
      <c r="V276" s="529"/>
      <c r="W276" s="529"/>
      <c r="X276" s="529"/>
      <c r="Y276" s="529"/>
      <c r="Z276" s="529"/>
      <c r="AA276" s="529"/>
      <c r="AB276" s="529"/>
      <c r="AC276" s="529"/>
      <c r="AD276" s="529"/>
      <c r="AE276" s="529"/>
      <c r="AF276" s="529"/>
      <c r="AG276" s="233"/>
      <c r="AH276" s="230"/>
    </row>
    <row r="277" spans="1:34" s="229" customFormat="1" ht="23.25" customHeight="1" x14ac:dyDescent="0.15">
      <c r="A277" s="16"/>
      <c r="B277" s="51"/>
      <c r="C277" s="468"/>
      <c r="D277" s="477" t="s">
        <v>135</v>
      </c>
      <c r="E277" s="379"/>
      <c r="F277" s="379"/>
      <c r="G277" s="380"/>
      <c r="H277" s="40" t="s">
        <v>77</v>
      </c>
      <c r="I277" s="93"/>
      <c r="J277" s="90"/>
      <c r="K277" s="41" t="str">
        <f t="shared" si="17"/>
        <v>-</v>
      </c>
      <c r="L277" s="200">
        <f t="shared" si="18"/>
        <v>0</v>
      </c>
      <c r="M277" s="159"/>
      <c r="N277" s="293"/>
      <c r="O277" s="294"/>
      <c r="P277" s="294"/>
      <c r="Q277" s="295"/>
      <c r="R277" s="46"/>
      <c r="S277" s="529"/>
      <c r="T277" s="529"/>
      <c r="U277" s="529"/>
      <c r="V277" s="529"/>
      <c r="W277" s="529"/>
      <c r="X277" s="529"/>
      <c r="Y277" s="529"/>
      <c r="Z277" s="529"/>
      <c r="AA277" s="529"/>
      <c r="AB277" s="529"/>
      <c r="AC277" s="529"/>
      <c r="AD277" s="529"/>
      <c r="AE277" s="529"/>
      <c r="AF277" s="529"/>
      <c r="AG277" s="529"/>
      <c r="AH277" s="230"/>
    </row>
    <row r="278" spans="1:34" s="229" customFormat="1" ht="23.25" customHeight="1" x14ac:dyDescent="0.15">
      <c r="A278" s="16"/>
      <c r="B278" s="51"/>
      <c r="C278" s="468"/>
      <c r="D278" s="477" t="s">
        <v>136</v>
      </c>
      <c r="E278" s="379"/>
      <c r="F278" s="379"/>
      <c r="G278" s="380"/>
      <c r="H278" s="40" t="s">
        <v>77</v>
      </c>
      <c r="I278" s="93"/>
      <c r="J278" s="90"/>
      <c r="K278" s="41" t="str">
        <f t="shared" si="17"/>
        <v>-</v>
      </c>
      <c r="L278" s="200">
        <f t="shared" si="18"/>
        <v>0</v>
      </c>
      <c r="M278" s="159"/>
      <c r="N278" s="293"/>
      <c r="O278" s="294"/>
      <c r="P278" s="294"/>
      <c r="Q278" s="295"/>
      <c r="R278" s="46"/>
      <c r="S278" s="529"/>
      <c r="T278" s="529"/>
      <c r="U278" s="529"/>
      <c r="V278" s="529"/>
      <c r="W278" s="529"/>
      <c r="X278" s="529"/>
      <c r="Y278" s="529"/>
      <c r="Z278" s="529"/>
      <c r="AA278" s="529"/>
      <c r="AB278" s="529"/>
      <c r="AC278" s="529"/>
      <c r="AD278" s="529"/>
      <c r="AE278" s="529"/>
      <c r="AF278" s="529"/>
      <c r="AG278" s="529"/>
      <c r="AH278" s="230"/>
    </row>
    <row r="279" spans="1:34" s="229" customFormat="1" ht="23.25" customHeight="1" x14ac:dyDescent="0.15">
      <c r="A279" s="16"/>
      <c r="B279" s="51"/>
      <c r="C279" s="468"/>
      <c r="D279" s="494" t="s">
        <v>137</v>
      </c>
      <c r="E279" s="495"/>
      <c r="F279" s="495"/>
      <c r="G279" s="496"/>
      <c r="H279" s="61" t="s">
        <v>77</v>
      </c>
      <c r="I279" s="214"/>
      <c r="J279" s="215"/>
      <c r="K279" s="64" t="str">
        <f t="shared" si="17"/>
        <v>-</v>
      </c>
      <c r="L279" s="216">
        <f t="shared" si="18"/>
        <v>0</v>
      </c>
      <c r="M279" s="163"/>
      <c r="N279" s="330"/>
      <c r="O279" s="331"/>
      <c r="P279" s="331"/>
      <c r="Q279" s="332"/>
      <c r="R279" s="46"/>
      <c r="S279" s="529"/>
      <c r="T279" s="529"/>
      <c r="U279" s="529"/>
      <c r="V279" s="529"/>
      <c r="W279" s="529"/>
      <c r="X279" s="529"/>
      <c r="Y279" s="529"/>
      <c r="Z279" s="529"/>
      <c r="AA279" s="529"/>
      <c r="AB279" s="529"/>
      <c r="AC279" s="529"/>
      <c r="AD279" s="529"/>
      <c r="AE279" s="529"/>
      <c r="AF279" s="529"/>
      <c r="AG279" s="529"/>
      <c r="AH279" s="230"/>
    </row>
    <row r="280" spans="1:34" s="229" customFormat="1" ht="23.25" customHeight="1" x14ac:dyDescent="0.15">
      <c r="A280" s="16"/>
      <c r="B280" s="50"/>
      <c r="C280" s="468"/>
      <c r="D280" s="484" t="s">
        <v>243</v>
      </c>
      <c r="E280" s="486" t="s">
        <v>244</v>
      </c>
      <c r="F280" s="487"/>
      <c r="G280" s="488"/>
      <c r="H280" s="94" t="s">
        <v>92</v>
      </c>
      <c r="I280" s="120"/>
      <c r="J280" s="121"/>
      <c r="K280" s="97" t="str">
        <f t="shared" ref="K280:K316" si="19">IFERROR(IF(I280&lt;0,IMSUB(J280,I280)/(1-I280)*100,IMSUB(J280,I280)/I280*100),"-")</f>
        <v>-</v>
      </c>
      <c r="L280" s="98">
        <f t="shared" si="18"/>
        <v>0</v>
      </c>
      <c r="M280" s="166"/>
      <c r="N280" s="406"/>
      <c r="O280" s="407"/>
      <c r="P280" s="407"/>
      <c r="Q280" s="408"/>
      <c r="R280" s="3"/>
      <c r="S280" s="529"/>
      <c r="T280" s="529"/>
      <c r="U280" s="529"/>
      <c r="V280" s="529"/>
      <c r="W280" s="529"/>
      <c r="X280" s="529"/>
      <c r="Y280" s="529"/>
      <c r="Z280" s="529"/>
      <c r="AA280" s="529"/>
      <c r="AB280" s="529"/>
      <c r="AC280" s="529"/>
      <c r="AD280" s="529"/>
      <c r="AE280" s="529"/>
      <c r="AF280" s="529"/>
      <c r="AG280" s="529"/>
      <c r="AH280" s="230"/>
    </row>
    <row r="281" spans="1:34" s="229" customFormat="1" ht="23.25" customHeight="1" x14ac:dyDescent="0.15">
      <c r="A281" s="16"/>
      <c r="B281" s="50"/>
      <c r="C281" s="468"/>
      <c r="D281" s="485"/>
      <c r="E281" s="217"/>
      <c r="F281" s="489" t="s">
        <v>117</v>
      </c>
      <c r="G281" s="490"/>
      <c r="H281" s="40" t="s">
        <v>92</v>
      </c>
      <c r="I281" s="57"/>
      <c r="J281" s="58"/>
      <c r="K281" s="41" t="str">
        <f t="shared" si="19"/>
        <v>-</v>
      </c>
      <c r="L281" s="42">
        <f t="shared" si="18"/>
        <v>0</v>
      </c>
      <c r="M281" s="159"/>
      <c r="N281" s="293"/>
      <c r="O281" s="294"/>
      <c r="P281" s="294"/>
      <c r="Q281" s="295"/>
      <c r="R281" s="3"/>
      <c r="S281" s="529"/>
      <c r="T281" s="529"/>
      <c r="U281" s="529"/>
      <c r="V281" s="529"/>
      <c r="W281" s="529"/>
      <c r="X281" s="529"/>
      <c r="Y281" s="529"/>
      <c r="Z281" s="529"/>
      <c r="AA281" s="529"/>
      <c r="AB281" s="529"/>
      <c r="AC281" s="529"/>
      <c r="AD281" s="529"/>
      <c r="AE281" s="529"/>
      <c r="AF281" s="529"/>
      <c r="AG281" s="529"/>
      <c r="AH281" s="230"/>
    </row>
    <row r="282" spans="1:34" s="229" customFormat="1" ht="23.25" customHeight="1" x14ac:dyDescent="0.15">
      <c r="A282" s="16"/>
      <c r="B282" s="50"/>
      <c r="C282" s="468"/>
      <c r="D282" s="485"/>
      <c r="E282" s="217"/>
      <c r="F282" s="489" t="s">
        <v>119</v>
      </c>
      <c r="G282" s="490"/>
      <c r="H282" s="40" t="s">
        <v>92</v>
      </c>
      <c r="I282" s="57"/>
      <c r="J282" s="58"/>
      <c r="K282" s="41" t="str">
        <f t="shared" si="19"/>
        <v>-</v>
      </c>
      <c r="L282" s="42">
        <f t="shared" si="18"/>
        <v>0</v>
      </c>
      <c r="M282" s="159"/>
      <c r="N282" s="293"/>
      <c r="O282" s="294"/>
      <c r="P282" s="294"/>
      <c r="Q282" s="295"/>
      <c r="R282" s="3"/>
      <c r="S282" s="529"/>
      <c r="T282" s="529"/>
      <c r="U282" s="529"/>
      <c r="V282" s="529"/>
      <c r="W282" s="529"/>
      <c r="X282" s="529"/>
      <c r="Y282" s="529"/>
      <c r="Z282" s="529"/>
      <c r="AA282" s="529"/>
      <c r="AB282" s="529"/>
      <c r="AC282" s="529"/>
      <c r="AD282" s="529"/>
      <c r="AE282" s="529"/>
      <c r="AF282" s="529"/>
      <c r="AG282" s="529"/>
      <c r="AH282" s="230"/>
    </row>
    <row r="283" spans="1:34" s="229" customFormat="1" ht="23.25" customHeight="1" x14ac:dyDescent="0.15">
      <c r="A283" s="16"/>
      <c r="B283" s="50"/>
      <c r="C283" s="468"/>
      <c r="D283" s="485"/>
      <c r="E283" s="218"/>
      <c r="F283" s="489" t="s">
        <v>245</v>
      </c>
      <c r="G283" s="490"/>
      <c r="H283" s="40" t="s">
        <v>92</v>
      </c>
      <c r="I283" s="57"/>
      <c r="J283" s="58"/>
      <c r="K283" s="41" t="str">
        <f t="shared" si="19"/>
        <v>-</v>
      </c>
      <c r="L283" s="42">
        <f t="shared" si="18"/>
        <v>0</v>
      </c>
      <c r="M283" s="159"/>
      <c r="N283" s="293"/>
      <c r="O283" s="294"/>
      <c r="P283" s="294"/>
      <c r="Q283" s="295"/>
      <c r="R283" s="3"/>
      <c r="S283" s="529"/>
      <c r="T283" s="529"/>
      <c r="U283" s="529"/>
      <c r="V283" s="529"/>
      <c r="W283" s="529"/>
      <c r="X283" s="529"/>
      <c r="Y283" s="529"/>
      <c r="Z283" s="529"/>
      <c r="AA283" s="529"/>
      <c r="AB283" s="529"/>
      <c r="AC283" s="529"/>
      <c r="AD283" s="529"/>
      <c r="AE283" s="529"/>
      <c r="AF283" s="529"/>
      <c r="AG283" s="529"/>
      <c r="AH283" s="230"/>
    </row>
    <row r="284" spans="1:34" s="229" customFormat="1" ht="23.25" customHeight="1" x14ac:dyDescent="0.15">
      <c r="A284" s="16"/>
      <c r="B284" s="50"/>
      <c r="C284" s="468"/>
      <c r="D284" s="485"/>
      <c r="E284" s="491" t="s">
        <v>246</v>
      </c>
      <c r="F284" s="492"/>
      <c r="G284" s="493"/>
      <c r="H284" s="72" t="s">
        <v>92</v>
      </c>
      <c r="I284" s="73"/>
      <c r="J284" s="74"/>
      <c r="K284" s="75" t="str">
        <f t="shared" si="19"/>
        <v>-</v>
      </c>
      <c r="L284" s="70">
        <f t="shared" si="18"/>
        <v>0</v>
      </c>
      <c r="M284" s="160"/>
      <c r="N284" s="400"/>
      <c r="O284" s="401"/>
      <c r="P284" s="401"/>
      <c r="Q284" s="402"/>
      <c r="R284" s="3"/>
      <c r="S284" s="529"/>
      <c r="T284" s="529"/>
      <c r="U284" s="529"/>
      <c r="V284" s="529"/>
      <c r="W284" s="529"/>
      <c r="X284" s="529"/>
      <c r="Y284" s="529"/>
      <c r="Z284" s="529"/>
      <c r="AA284" s="529"/>
      <c r="AB284" s="529"/>
      <c r="AC284" s="529"/>
      <c r="AD284" s="529"/>
      <c r="AE284" s="529"/>
      <c r="AF284" s="529"/>
      <c r="AG284" s="529"/>
      <c r="AH284" s="230"/>
    </row>
    <row r="285" spans="1:34" s="229" customFormat="1" ht="23.25" customHeight="1" x14ac:dyDescent="0.15">
      <c r="A285" s="16"/>
      <c r="B285" s="50"/>
      <c r="C285" s="468"/>
      <c r="D285" s="497" t="s">
        <v>247</v>
      </c>
      <c r="E285" s="499" t="s">
        <v>244</v>
      </c>
      <c r="F285" s="500"/>
      <c r="G285" s="501"/>
      <c r="H285" s="115" t="s">
        <v>92</v>
      </c>
      <c r="I285" s="116"/>
      <c r="J285" s="117"/>
      <c r="K285" s="118" t="str">
        <f t="shared" si="19"/>
        <v>-</v>
      </c>
      <c r="L285" s="119">
        <f t="shared" si="18"/>
        <v>0</v>
      </c>
      <c r="M285" s="168"/>
      <c r="N285" s="502"/>
      <c r="O285" s="503"/>
      <c r="P285" s="503"/>
      <c r="Q285" s="504"/>
      <c r="R285" s="3"/>
      <c r="S285" s="529"/>
      <c r="T285" s="529"/>
      <c r="U285" s="529"/>
      <c r="V285" s="529"/>
      <c r="W285" s="529"/>
      <c r="X285" s="529"/>
      <c r="Y285" s="529"/>
      <c r="Z285" s="529"/>
      <c r="AA285" s="529"/>
      <c r="AB285" s="529"/>
      <c r="AC285" s="529"/>
      <c r="AD285" s="529"/>
      <c r="AE285" s="529"/>
      <c r="AF285" s="529"/>
      <c r="AG285" s="529"/>
      <c r="AH285" s="230"/>
    </row>
    <row r="286" spans="1:34" s="229" customFormat="1" ht="23.25" customHeight="1" x14ac:dyDescent="0.15">
      <c r="A286" s="16"/>
      <c r="B286" s="50"/>
      <c r="C286" s="468"/>
      <c r="D286" s="485"/>
      <c r="E286" s="219"/>
      <c r="F286" s="489" t="s">
        <v>117</v>
      </c>
      <c r="G286" s="490"/>
      <c r="H286" s="40" t="s">
        <v>92</v>
      </c>
      <c r="I286" s="57"/>
      <c r="J286" s="58"/>
      <c r="K286" s="41" t="str">
        <f t="shared" si="19"/>
        <v>-</v>
      </c>
      <c r="L286" s="42">
        <f t="shared" si="18"/>
        <v>0</v>
      </c>
      <c r="M286" s="159"/>
      <c r="N286" s="293"/>
      <c r="O286" s="294"/>
      <c r="P286" s="294"/>
      <c r="Q286" s="295"/>
      <c r="R286" s="3"/>
      <c r="S286" s="529"/>
      <c r="T286" s="529"/>
      <c r="U286" s="529"/>
      <c r="V286" s="529"/>
      <c r="W286" s="529"/>
      <c r="X286" s="529"/>
      <c r="Y286" s="529"/>
      <c r="Z286" s="529"/>
      <c r="AA286" s="529"/>
      <c r="AB286" s="529"/>
      <c r="AC286" s="529"/>
      <c r="AD286" s="529"/>
      <c r="AE286" s="529"/>
      <c r="AF286" s="529"/>
      <c r="AG286" s="529"/>
      <c r="AH286" s="230"/>
    </row>
    <row r="287" spans="1:34" s="229" customFormat="1" ht="23.25" customHeight="1" x14ac:dyDescent="0.15">
      <c r="A287" s="16"/>
      <c r="B287" s="50"/>
      <c r="C287" s="468"/>
      <c r="D287" s="485"/>
      <c r="E287" s="217"/>
      <c r="F287" s="489" t="s">
        <v>119</v>
      </c>
      <c r="G287" s="490"/>
      <c r="H287" s="40" t="s">
        <v>92</v>
      </c>
      <c r="I287" s="57"/>
      <c r="J287" s="58"/>
      <c r="K287" s="41" t="str">
        <f t="shared" si="19"/>
        <v>-</v>
      </c>
      <c r="L287" s="42">
        <f t="shared" si="18"/>
        <v>0</v>
      </c>
      <c r="M287" s="159"/>
      <c r="N287" s="293"/>
      <c r="O287" s="294"/>
      <c r="P287" s="294"/>
      <c r="Q287" s="295"/>
      <c r="R287" s="3"/>
      <c r="S287" s="529"/>
      <c r="T287" s="529"/>
      <c r="U287" s="529"/>
      <c r="V287" s="529"/>
      <c r="W287" s="529"/>
      <c r="X287" s="529"/>
      <c r="Y287" s="529"/>
      <c r="Z287" s="529"/>
      <c r="AA287" s="529"/>
      <c r="AB287" s="529"/>
      <c r="AC287" s="529"/>
      <c r="AD287" s="529"/>
      <c r="AE287" s="529"/>
      <c r="AF287" s="529"/>
      <c r="AG287" s="529"/>
      <c r="AH287" s="230"/>
    </row>
    <row r="288" spans="1:34" s="229" customFormat="1" ht="23.25" customHeight="1" x14ac:dyDescent="0.15">
      <c r="A288" s="16"/>
      <c r="B288" s="50"/>
      <c r="C288" s="468"/>
      <c r="D288" s="485"/>
      <c r="E288" s="218"/>
      <c r="F288" s="489" t="s">
        <v>245</v>
      </c>
      <c r="G288" s="490"/>
      <c r="H288" s="40" t="s">
        <v>92</v>
      </c>
      <c r="I288" s="57"/>
      <c r="J288" s="58"/>
      <c r="K288" s="41" t="str">
        <f t="shared" si="19"/>
        <v>-</v>
      </c>
      <c r="L288" s="42">
        <f t="shared" si="18"/>
        <v>0</v>
      </c>
      <c r="M288" s="159"/>
      <c r="N288" s="293"/>
      <c r="O288" s="294"/>
      <c r="P288" s="294"/>
      <c r="Q288" s="295"/>
      <c r="R288" s="3"/>
      <c r="S288" s="529"/>
      <c r="T288" s="529"/>
      <c r="U288" s="529"/>
      <c r="V288" s="529"/>
      <c r="W288" s="529"/>
      <c r="X288" s="529"/>
      <c r="Y288" s="529"/>
      <c r="Z288" s="529"/>
      <c r="AA288" s="529"/>
      <c r="AB288" s="529"/>
      <c r="AC288" s="529"/>
      <c r="AD288" s="529"/>
      <c r="AE288" s="529"/>
      <c r="AF288" s="529"/>
      <c r="AG288" s="529"/>
      <c r="AH288" s="230"/>
    </row>
    <row r="289" spans="1:34" s="229" customFormat="1" ht="23.25" customHeight="1" x14ac:dyDescent="0.15">
      <c r="A289" s="16"/>
      <c r="B289" s="50"/>
      <c r="C289" s="468"/>
      <c r="D289" s="498"/>
      <c r="E289" s="491" t="s">
        <v>246</v>
      </c>
      <c r="F289" s="492"/>
      <c r="G289" s="493"/>
      <c r="H289" s="72" t="s">
        <v>92</v>
      </c>
      <c r="I289" s="73"/>
      <c r="J289" s="74"/>
      <c r="K289" s="75" t="str">
        <f t="shared" si="19"/>
        <v>-</v>
      </c>
      <c r="L289" s="70">
        <f t="shared" si="18"/>
        <v>0</v>
      </c>
      <c r="M289" s="160"/>
      <c r="N289" s="400"/>
      <c r="O289" s="401"/>
      <c r="P289" s="401"/>
      <c r="Q289" s="402"/>
      <c r="R289" s="3"/>
      <c r="S289" s="529"/>
      <c r="T289" s="529"/>
      <c r="U289" s="529"/>
      <c r="V289" s="529"/>
      <c r="W289" s="529"/>
      <c r="X289" s="529"/>
      <c r="Y289" s="529"/>
      <c r="Z289" s="529"/>
      <c r="AA289" s="529"/>
      <c r="AB289" s="529"/>
      <c r="AC289" s="529"/>
      <c r="AD289" s="529"/>
      <c r="AE289" s="529"/>
      <c r="AF289" s="529"/>
      <c r="AG289" s="529"/>
      <c r="AH289" s="230"/>
    </row>
    <row r="290" spans="1:34" s="229" customFormat="1" ht="23.25" customHeight="1" x14ac:dyDescent="0.15">
      <c r="A290" s="16"/>
      <c r="B290" s="50"/>
      <c r="C290" s="468"/>
      <c r="D290" s="518" t="s">
        <v>248</v>
      </c>
      <c r="E290" s="486" t="s">
        <v>244</v>
      </c>
      <c r="F290" s="487"/>
      <c r="G290" s="488"/>
      <c r="H290" s="94" t="s">
        <v>249</v>
      </c>
      <c r="I290" s="120"/>
      <c r="J290" s="121"/>
      <c r="K290" s="97" t="str">
        <f t="shared" si="19"/>
        <v>-</v>
      </c>
      <c r="L290" s="98">
        <f t="shared" si="18"/>
        <v>0</v>
      </c>
      <c r="M290" s="166"/>
      <c r="N290" s="406"/>
      <c r="O290" s="407"/>
      <c r="P290" s="407"/>
      <c r="Q290" s="408"/>
      <c r="R290" s="3"/>
      <c r="S290" s="529"/>
      <c r="T290" s="529"/>
      <c r="U290" s="529"/>
      <c r="V290" s="529"/>
      <c r="W290" s="529"/>
      <c r="X290" s="529"/>
      <c r="Y290" s="529"/>
      <c r="Z290" s="529"/>
      <c r="AA290" s="529"/>
      <c r="AB290" s="529"/>
      <c r="AC290" s="529"/>
      <c r="AD290" s="529"/>
      <c r="AE290" s="529"/>
      <c r="AF290" s="529"/>
      <c r="AG290" s="529"/>
      <c r="AH290" s="230"/>
    </row>
    <row r="291" spans="1:34" ht="23.25" customHeight="1" x14ac:dyDescent="0.15">
      <c r="B291" s="50"/>
      <c r="C291" s="468"/>
      <c r="D291" s="485"/>
      <c r="E291" s="219"/>
      <c r="F291" s="489" t="s">
        <v>117</v>
      </c>
      <c r="G291" s="490"/>
      <c r="H291" s="40" t="s">
        <v>249</v>
      </c>
      <c r="I291" s="57"/>
      <c r="J291" s="58"/>
      <c r="K291" s="41" t="str">
        <f t="shared" si="19"/>
        <v>-</v>
      </c>
      <c r="L291" s="42">
        <f t="shared" si="18"/>
        <v>0</v>
      </c>
      <c r="M291" s="159"/>
      <c r="N291" s="293"/>
      <c r="O291" s="294"/>
      <c r="P291" s="294"/>
      <c r="Q291" s="295"/>
      <c r="R291" s="3"/>
      <c r="S291" s="233"/>
      <c r="T291" s="529">
        <v>1</v>
      </c>
      <c r="U291" s="529"/>
      <c r="V291" s="529"/>
      <c r="W291" s="529"/>
      <c r="X291" s="529"/>
      <c r="Y291" s="529"/>
      <c r="Z291" s="529"/>
      <c r="AA291" s="529"/>
      <c r="AB291" s="529"/>
      <c r="AC291" s="529"/>
      <c r="AD291" s="529"/>
      <c r="AE291" s="529"/>
      <c r="AF291" s="529"/>
      <c r="AG291" s="529"/>
    </row>
    <row r="292" spans="1:34" ht="23.25" customHeight="1" x14ac:dyDescent="0.15">
      <c r="B292" s="50"/>
      <c r="C292" s="468"/>
      <c r="D292" s="485"/>
      <c r="E292" s="217"/>
      <c r="F292" s="489" t="s">
        <v>119</v>
      </c>
      <c r="G292" s="490"/>
      <c r="H292" s="40" t="s">
        <v>249</v>
      </c>
      <c r="I292" s="57"/>
      <c r="J292" s="58"/>
      <c r="K292" s="41" t="str">
        <f t="shared" si="19"/>
        <v>-</v>
      </c>
      <c r="L292" s="42">
        <f t="shared" si="18"/>
        <v>0</v>
      </c>
      <c r="M292" s="159"/>
      <c r="N292" s="293"/>
      <c r="O292" s="294"/>
      <c r="P292" s="294"/>
      <c r="Q292" s="295"/>
      <c r="R292" s="3"/>
      <c r="S292" s="529"/>
      <c r="T292" s="529"/>
      <c r="U292" s="529"/>
      <c r="V292" s="529"/>
      <c r="W292" s="529"/>
      <c r="X292" s="529"/>
      <c r="Y292" s="529"/>
      <c r="Z292" s="529"/>
      <c r="AA292" s="529"/>
      <c r="AB292" s="529"/>
      <c r="AC292" s="529"/>
      <c r="AD292" s="529"/>
      <c r="AE292" s="529"/>
      <c r="AF292" s="529"/>
      <c r="AG292" s="529"/>
    </row>
    <row r="293" spans="1:34" ht="23.25" customHeight="1" x14ac:dyDescent="0.15">
      <c r="B293" s="50"/>
      <c r="C293" s="468"/>
      <c r="D293" s="485"/>
      <c r="E293" s="218"/>
      <c r="F293" s="489" t="s">
        <v>245</v>
      </c>
      <c r="G293" s="490"/>
      <c r="H293" s="40" t="s">
        <v>249</v>
      </c>
      <c r="I293" s="57"/>
      <c r="J293" s="58"/>
      <c r="K293" s="41" t="str">
        <f t="shared" si="19"/>
        <v>-</v>
      </c>
      <c r="L293" s="42">
        <f t="shared" si="18"/>
        <v>0</v>
      </c>
      <c r="M293" s="159"/>
      <c r="N293" s="293"/>
      <c r="O293" s="294"/>
      <c r="P293" s="294"/>
      <c r="Q293" s="295"/>
      <c r="R293" s="3"/>
      <c r="S293" s="529"/>
      <c r="T293" s="529"/>
      <c r="U293" s="529"/>
      <c r="V293" s="529"/>
      <c r="W293" s="529"/>
      <c r="X293" s="529"/>
      <c r="Y293" s="529"/>
      <c r="Z293" s="529"/>
      <c r="AA293" s="529"/>
      <c r="AB293" s="529"/>
      <c r="AC293" s="529"/>
      <c r="AD293" s="529"/>
      <c r="AE293" s="529"/>
      <c r="AF293" s="529"/>
      <c r="AG293" s="529"/>
    </row>
    <row r="294" spans="1:34" ht="23.25" customHeight="1" x14ac:dyDescent="0.15">
      <c r="B294" s="50"/>
      <c r="C294" s="468"/>
      <c r="D294" s="485"/>
      <c r="E294" s="513" t="s">
        <v>246</v>
      </c>
      <c r="F294" s="514"/>
      <c r="G294" s="490"/>
      <c r="H294" s="40" t="s">
        <v>249</v>
      </c>
      <c r="I294" s="57"/>
      <c r="J294" s="58"/>
      <c r="K294" s="41" t="str">
        <f t="shared" si="19"/>
        <v>-</v>
      </c>
      <c r="L294" s="42">
        <f t="shared" si="18"/>
        <v>0</v>
      </c>
      <c r="M294" s="159"/>
      <c r="N294" s="293"/>
      <c r="O294" s="294"/>
      <c r="P294" s="294"/>
      <c r="Q294" s="295"/>
      <c r="R294" s="3"/>
      <c r="S294" s="529"/>
      <c r="T294" s="529"/>
      <c r="U294" s="529"/>
      <c r="V294" s="529"/>
      <c r="W294" s="529"/>
      <c r="X294" s="529"/>
      <c r="Y294" s="529"/>
      <c r="Z294" s="529"/>
      <c r="AA294" s="529"/>
      <c r="AB294" s="529"/>
      <c r="AC294" s="529"/>
      <c r="AD294" s="529"/>
      <c r="AE294" s="529"/>
      <c r="AF294" s="529"/>
      <c r="AG294" s="529"/>
    </row>
    <row r="295" spans="1:34" ht="23.25" customHeight="1" x14ac:dyDescent="0.15">
      <c r="B295" s="50"/>
      <c r="C295" s="468"/>
      <c r="D295" s="498"/>
      <c r="E295" s="513" t="s">
        <v>250</v>
      </c>
      <c r="F295" s="514"/>
      <c r="G295" s="490"/>
      <c r="H295" s="40" t="s">
        <v>249</v>
      </c>
      <c r="I295" s="57"/>
      <c r="J295" s="58"/>
      <c r="K295" s="41" t="str">
        <f t="shared" si="19"/>
        <v>-</v>
      </c>
      <c r="L295" s="42">
        <f t="shared" si="18"/>
        <v>0</v>
      </c>
      <c r="M295" s="159"/>
      <c r="N295" s="293"/>
      <c r="O295" s="294"/>
      <c r="P295" s="294"/>
      <c r="Q295" s="295"/>
      <c r="R295" s="3"/>
      <c r="S295" s="529"/>
      <c r="T295" s="529"/>
      <c r="U295" s="529"/>
      <c r="V295" s="529"/>
      <c r="W295" s="529"/>
      <c r="X295" s="529"/>
      <c r="Y295" s="529"/>
      <c r="Z295" s="529"/>
      <c r="AA295" s="529"/>
      <c r="AB295" s="529"/>
      <c r="AC295" s="529"/>
      <c r="AD295" s="529"/>
      <c r="AE295" s="529"/>
      <c r="AF295" s="529"/>
      <c r="AG295" s="529"/>
    </row>
    <row r="296" spans="1:34" ht="23.25" customHeight="1" x14ac:dyDescent="0.15">
      <c r="B296" s="50"/>
      <c r="C296" s="468"/>
      <c r="D296" s="515" t="s">
        <v>251</v>
      </c>
      <c r="E296" s="516"/>
      <c r="F296" s="516"/>
      <c r="G296" s="517"/>
      <c r="H296" s="94" t="s">
        <v>92</v>
      </c>
      <c r="I296" s="120"/>
      <c r="J296" s="121"/>
      <c r="K296" s="97" t="str">
        <f t="shared" si="19"/>
        <v>-</v>
      </c>
      <c r="L296" s="98">
        <f t="shared" si="18"/>
        <v>0</v>
      </c>
      <c r="M296" s="166"/>
      <c r="N296" s="505"/>
      <c r="O296" s="506"/>
      <c r="P296" s="506"/>
      <c r="Q296" s="507"/>
      <c r="R296" s="3"/>
      <c r="S296" s="529"/>
      <c r="T296" s="529"/>
      <c r="U296" s="529"/>
      <c r="V296" s="529"/>
      <c r="W296" s="529"/>
      <c r="X296" s="529"/>
      <c r="Y296" s="529"/>
      <c r="Z296" s="529"/>
      <c r="AA296" s="529"/>
      <c r="AB296" s="529"/>
      <c r="AC296" s="529"/>
      <c r="AD296" s="529"/>
      <c r="AE296" s="529"/>
      <c r="AF296" s="529"/>
      <c r="AG296" s="529"/>
      <c r="AH296" s="229"/>
    </row>
    <row r="297" spans="1:34" ht="23.25" customHeight="1" x14ac:dyDescent="0.15">
      <c r="B297" s="50"/>
      <c r="C297" s="468"/>
      <c r="D297" s="508" t="s">
        <v>252</v>
      </c>
      <c r="E297" s="509"/>
      <c r="F297" s="509"/>
      <c r="G297" s="510"/>
      <c r="H297" s="40" t="s">
        <v>92</v>
      </c>
      <c r="I297" s="57"/>
      <c r="J297" s="58"/>
      <c r="K297" s="41" t="str">
        <f t="shared" si="19"/>
        <v>-</v>
      </c>
      <c r="L297" s="42">
        <f t="shared" si="18"/>
        <v>0</v>
      </c>
      <c r="M297" s="159"/>
      <c r="N297" s="505"/>
      <c r="O297" s="511"/>
      <c r="P297" s="511"/>
      <c r="Q297" s="512"/>
      <c r="R297" s="3"/>
      <c r="S297" s="529"/>
      <c r="T297" s="529"/>
      <c r="U297" s="529"/>
      <c r="V297" s="529"/>
      <c r="W297" s="529"/>
      <c r="X297" s="529"/>
      <c r="Y297" s="529"/>
      <c r="Z297" s="529"/>
      <c r="AA297" s="529"/>
      <c r="AB297" s="529"/>
      <c r="AC297" s="529"/>
      <c r="AD297" s="529"/>
      <c r="AE297" s="529"/>
      <c r="AF297" s="529"/>
      <c r="AG297" s="529"/>
      <c r="AH297" s="229"/>
    </row>
    <row r="298" spans="1:34" ht="23.25" customHeight="1" x14ac:dyDescent="0.15">
      <c r="B298" s="50"/>
      <c r="C298" s="468"/>
      <c r="D298" s="508" t="s">
        <v>253</v>
      </c>
      <c r="E298" s="509"/>
      <c r="F298" s="509"/>
      <c r="G298" s="510"/>
      <c r="H298" s="40" t="s">
        <v>20</v>
      </c>
      <c r="I298" s="57"/>
      <c r="J298" s="58"/>
      <c r="K298" s="41" t="str">
        <f t="shared" si="19"/>
        <v>-</v>
      </c>
      <c r="L298" s="42">
        <f t="shared" si="18"/>
        <v>0</v>
      </c>
      <c r="M298" s="159"/>
      <c r="N298" s="505"/>
      <c r="O298" s="511"/>
      <c r="P298" s="511"/>
      <c r="Q298" s="512"/>
      <c r="R298" s="3"/>
      <c r="S298" s="529"/>
      <c r="T298" s="529"/>
      <c r="U298" s="529"/>
      <c r="V298" s="529"/>
      <c r="W298" s="529"/>
      <c r="X298" s="529"/>
      <c r="Y298" s="529"/>
      <c r="Z298" s="529"/>
      <c r="AA298" s="529"/>
      <c r="AB298" s="529"/>
      <c r="AC298" s="529"/>
      <c r="AD298" s="529"/>
      <c r="AE298" s="529"/>
      <c r="AF298" s="529"/>
      <c r="AG298" s="529"/>
      <c r="AH298" s="229"/>
    </row>
    <row r="299" spans="1:34" ht="23.25" customHeight="1" x14ac:dyDescent="0.15">
      <c r="B299" s="50"/>
      <c r="C299" s="468"/>
      <c r="D299" s="508" t="s">
        <v>254</v>
      </c>
      <c r="E299" s="509"/>
      <c r="F299" s="509"/>
      <c r="G299" s="510"/>
      <c r="H299" s="40" t="s">
        <v>92</v>
      </c>
      <c r="I299" s="57"/>
      <c r="J299" s="58"/>
      <c r="K299" s="41" t="str">
        <f t="shared" si="19"/>
        <v>-</v>
      </c>
      <c r="L299" s="42">
        <f t="shared" si="18"/>
        <v>0</v>
      </c>
      <c r="M299" s="159"/>
      <c r="N299" s="505"/>
      <c r="O299" s="511"/>
      <c r="P299" s="511"/>
      <c r="Q299" s="512"/>
      <c r="R299" s="3"/>
      <c r="S299" s="529"/>
      <c r="T299" s="529"/>
      <c r="U299" s="529"/>
      <c r="V299" s="529"/>
      <c r="W299" s="529"/>
      <c r="X299" s="529"/>
      <c r="Y299" s="529"/>
      <c r="Z299" s="529"/>
      <c r="AA299" s="529"/>
      <c r="AB299" s="529"/>
      <c r="AC299" s="529"/>
      <c r="AD299" s="529"/>
      <c r="AE299" s="529"/>
      <c r="AF299" s="529"/>
      <c r="AG299" s="529"/>
      <c r="AH299" s="229"/>
    </row>
    <row r="300" spans="1:34" ht="23.25" customHeight="1" x14ac:dyDescent="0.15">
      <c r="B300" s="50"/>
      <c r="C300" s="468"/>
      <c r="D300" s="508" t="s">
        <v>255</v>
      </c>
      <c r="E300" s="509"/>
      <c r="F300" s="509"/>
      <c r="G300" s="510"/>
      <c r="H300" s="40" t="s">
        <v>92</v>
      </c>
      <c r="I300" s="57"/>
      <c r="J300" s="58"/>
      <c r="K300" s="41" t="str">
        <f t="shared" si="19"/>
        <v>-</v>
      </c>
      <c r="L300" s="42">
        <f t="shared" si="18"/>
        <v>0</v>
      </c>
      <c r="M300" s="159"/>
      <c r="N300" s="505"/>
      <c r="O300" s="511"/>
      <c r="P300" s="511"/>
      <c r="Q300" s="512"/>
      <c r="R300" s="3"/>
      <c r="S300" s="529"/>
      <c r="T300" s="529"/>
      <c r="U300" s="529"/>
      <c r="V300" s="529"/>
      <c r="W300" s="529"/>
      <c r="X300" s="529"/>
      <c r="Y300" s="529"/>
      <c r="Z300" s="529"/>
      <c r="AA300" s="529"/>
      <c r="AB300" s="529"/>
      <c r="AC300" s="529"/>
      <c r="AD300" s="529"/>
      <c r="AE300" s="529"/>
      <c r="AF300" s="529"/>
      <c r="AG300" s="529"/>
      <c r="AH300" s="229"/>
    </row>
    <row r="301" spans="1:34" ht="23.25" customHeight="1" x14ac:dyDescent="0.15">
      <c r="B301" s="50"/>
      <c r="C301" s="468"/>
      <c r="D301" s="508" t="s">
        <v>256</v>
      </c>
      <c r="E301" s="509"/>
      <c r="F301" s="509"/>
      <c r="G301" s="510"/>
      <c r="H301" s="40" t="s">
        <v>20</v>
      </c>
      <c r="I301" s="57"/>
      <c r="J301" s="58"/>
      <c r="K301" s="41" t="str">
        <f t="shared" si="19"/>
        <v>-</v>
      </c>
      <c r="L301" s="42">
        <f t="shared" si="18"/>
        <v>0</v>
      </c>
      <c r="M301" s="159"/>
      <c r="N301" s="505"/>
      <c r="O301" s="511"/>
      <c r="P301" s="511"/>
      <c r="Q301" s="512"/>
      <c r="R301" s="3"/>
      <c r="S301" s="529"/>
      <c r="T301" s="529"/>
      <c r="U301" s="529"/>
      <c r="V301" s="529"/>
      <c r="W301" s="529"/>
      <c r="X301" s="529"/>
      <c r="Y301" s="529"/>
      <c r="Z301" s="529"/>
      <c r="AA301" s="529"/>
      <c r="AB301" s="529"/>
      <c r="AC301" s="529"/>
      <c r="AD301" s="529"/>
      <c r="AE301" s="529"/>
      <c r="AF301" s="529"/>
      <c r="AG301" s="529"/>
      <c r="AH301" s="229"/>
    </row>
    <row r="302" spans="1:34" ht="23.25" customHeight="1" x14ac:dyDescent="0.15">
      <c r="B302" s="50"/>
      <c r="C302" s="468"/>
      <c r="D302" s="508" t="s">
        <v>257</v>
      </c>
      <c r="E302" s="509"/>
      <c r="F302" s="509"/>
      <c r="G302" s="510"/>
      <c r="H302" s="40" t="s">
        <v>92</v>
      </c>
      <c r="I302" s="57"/>
      <c r="J302" s="58"/>
      <c r="K302" s="41" t="str">
        <f t="shared" si="19"/>
        <v>-</v>
      </c>
      <c r="L302" s="42">
        <f t="shared" si="18"/>
        <v>0</v>
      </c>
      <c r="M302" s="159"/>
      <c r="N302" s="505"/>
      <c r="O302" s="511"/>
      <c r="P302" s="511"/>
      <c r="Q302" s="512"/>
      <c r="R302" s="3"/>
      <c r="S302" s="529"/>
      <c r="T302" s="529"/>
      <c r="U302" s="529"/>
      <c r="V302" s="529"/>
      <c r="W302" s="529"/>
      <c r="X302" s="529"/>
      <c r="Y302" s="529"/>
      <c r="Z302" s="529"/>
      <c r="AA302" s="529"/>
      <c r="AB302" s="529"/>
      <c r="AC302" s="529"/>
      <c r="AD302" s="529"/>
      <c r="AE302" s="529"/>
      <c r="AF302" s="529"/>
      <c r="AG302" s="529"/>
      <c r="AH302" s="229"/>
    </row>
    <row r="303" spans="1:34" ht="23.25" customHeight="1" x14ac:dyDescent="0.15">
      <c r="B303" s="50"/>
      <c r="C303" s="468"/>
      <c r="D303" s="508" t="s">
        <v>258</v>
      </c>
      <c r="E303" s="509"/>
      <c r="F303" s="509"/>
      <c r="G303" s="510"/>
      <c r="H303" s="40" t="s">
        <v>92</v>
      </c>
      <c r="I303" s="57"/>
      <c r="J303" s="58"/>
      <c r="K303" s="41" t="str">
        <f t="shared" si="19"/>
        <v>-</v>
      </c>
      <c r="L303" s="42">
        <f t="shared" si="18"/>
        <v>0</v>
      </c>
      <c r="M303" s="159"/>
      <c r="N303" s="505"/>
      <c r="O303" s="511"/>
      <c r="P303" s="511"/>
      <c r="Q303" s="512"/>
      <c r="R303" s="3"/>
      <c r="S303" s="529"/>
      <c r="T303" s="529"/>
      <c r="U303" s="529"/>
      <c r="V303" s="529"/>
      <c r="W303" s="529"/>
      <c r="X303" s="529"/>
      <c r="Y303" s="529"/>
      <c r="Z303" s="529"/>
      <c r="AA303" s="529"/>
      <c r="AB303" s="529"/>
      <c r="AC303" s="529"/>
      <c r="AD303" s="529"/>
      <c r="AE303" s="529"/>
      <c r="AF303" s="529"/>
      <c r="AG303" s="529"/>
      <c r="AH303" s="229"/>
    </row>
    <row r="304" spans="1:34" ht="23.25" customHeight="1" x14ac:dyDescent="0.15">
      <c r="B304" s="50"/>
      <c r="C304" s="468"/>
      <c r="D304" s="508" t="s">
        <v>259</v>
      </c>
      <c r="E304" s="509"/>
      <c r="F304" s="509"/>
      <c r="G304" s="510"/>
      <c r="H304" s="40" t="s">
        <v>20</v>
      </c>
      <c r="I304" s="57"/>
      <c r="J304" s="58"/>
      <c r="K304" s="41" t="str">
        <f t="shared" si="19"/>
        <v>-</v>
      </c>
      <c r="L304" s="42">
        <f t="shared" si="18"/>
        <v>0</v>
      </c>
      <c r="M304" s="159"/>
      <c r="N304" s="505"/>
      <c r="O304" s="511"/>
      <c r="P304" s="511"/>
      <c r="Q304" s="512"/>
      <c r="R304" s="3"/>
      <c r="S304" s="529"/>
      <c r="T304" s="529"/>
      <c r="U304" s="529"/>
      <c r="V304" s="529"/>
      <c r="W304" s="529"/>
      <c r="X304" s="529"/>
      <c r="Y304" s="529"/>
      <c r="Z304" s="529"/>
      <c r="AA304" s="529"/>
      <c r="AB304" s="529"/>
      <c r="AC304" s="529"/>
      <c r="AD304" s="529"/>
      <c r="AE304" s="529"/>
      <c r="AF304" s="529"/>
      <c r="AG304" s="529"/>
      <c r="AH304" s="229"/>
    </row>
    <row r="305" spans="2:34" ht="23.25" customHeight="1" x14ac:dyDescent="0.15">
      <c r="B305" s="50"/>
      <c r="C305" s="468"/>
      <c r="D305" s="508" t="s">
        <v>260</v>
      </c>
      <c r="E305" s="509"/>
      <c r="F305" s="509"/>
      <c r="G305" s="510"/>
      <c r="H305" s="40" t="s">
        <v>92</v>
      </c>
      <c r="I305" s="57"/>
      <c r="J305" s="58"/>
      <c r="K305" s="41" t="str">
        <f t="shared" si="19"/>
        <v>-</v>
      </c>
      <c r="L305" s="42">
        <f t="shared" si="18"/>
        <v>0</v>
      </c>
      <c r="M305" s="159"/>
      <c r="N305" s="505"/>
      <c r="O305" s="511"/>
      <c r="P305" s="511"/>
      <c r="Q305" s="512"/>
      <c r="R305" s="3"/>
      <c r="S305" s="529"/>
      <c r="T305" s="529"/>
      <c r="U305" s="529"/>
      <c r="V305" s="529"/>
      <c r="W305" s="529"/>
      <c r="X305" s="529"/>
      <c r="Y305" s="529"/>
      <c r="Z305" s="529"/>
      <c r="AA305" s="529"/>
      <c r="AB305" s="529"/>
      <c r="AC305" s="529"/>
      <c r="AD305" s="529"/>
      <c r="AE305" s="529"/>
      <c r="AF305" s="529"/>
      <c r="AG305" s="529"/>
      <c r="AH305" s="229"/>
    </row>
    <row r="306" spans="2:34" ht="23.25" customHeight="1" x14ac:dyDescent="0.15">
      <c r="B306" s="50"/>
      <c r="C306" s="468"/>
      <c r="D306" s="508" t="s">
        <v>261</v>
      </c>
      <c r="E306" s="509"/>
      <c r="F306" s="509"/>
      <c r="G306" s="510"/>
      <c r="H306" s="40" t="s">
        <v>92</v>
      </c>
      <c r="I306" s="57"/>
      <c r="J306" s="58"/>
      <c r="K306" s="41" t="str">
        <f t="shared" si="19"/>
        <v>-</v>
      </c>
      <c r="L306" s="42">
        <f t="shared" si="18"/>
        <v>0</v>
      </c>
      <c r="M306" s="159"/>
      <c r="N306" s="505"/>
      <c r="O306" s="511"/>
      <c r="P306" s="511"/>
      <c r="Q306" s="512"/>
      <c r="R306" s="3"/>
      <c r="S306" s="529"/>
      <c r="T306" s="529"/>
      <c r="U306" s="529"/>
      <c r="V306" s="529"/>
      <c r="W306" s="529"/>
      <c r="X306" s="529"/>
      <c r="Y306" s="529"/>
      <c r="Z306" s="529"/>
      <c r="AA306" s="529"/>
      <c r="AB306" s="529"/>
      <c r="AC306" s="529"/>
      <c r="AD306" s="529"/>
      <c r="AE306" s="529"/>
      <c r="AF306" s="529"/>
      <c r="AG306" s="529"/>
      <c r="AH306" s="229"/>
    </row>
    <row r="307" spans="2:34" ht="23.25" customHeight="1" x14ac:dyDescent="0.15">
      <c r="B307" s="50"/>
      <c r="C307" s="468"/>
      <c r="D307" s="508" t="s">
        <v>262</v>
      </c>
      <c r="E307" s="509"/>
      <c r="F307" s="509"/>
      <c r="G307" s="510"/>
      <c r="H307" s="40" t="s">
        <v>20</v>
      </c>
      <c r="I307" s="57"/>
      <c r="J307" s="58"/>
      <c r="K307" s="41" t="str">
        <f t="shared" si="19"/>
        <v>-</v>
      </c>
      <c r="L307" s="42">
        <f t="shared" si="18"/>
        <v>0</v>
      </c>
      <c r="M307" s="159"/>
      <c r="N307" s="505"/>
      <c r="O307" s="511"/>
      <c r="P307" s="511"/>
      <c r="Q307" s="512"/>
      <c r="R307" s="3"/>
      <c r="S307" s="529"/>
      <c r="T307" s="529"/>
      <c r="U307" s="529"/>
      <c r="V307" s="529"/>
      <c r="W307" s="529"/>
      <c r="X307" s="529"/>
      <c r="Y307" s="529"/>
      <c r="Z307" s="529"/>
      <c r="AA307" s="529"/>
      <c r="AB307" s="529"/>
      <c r="AC307" s="529"/>
      <c r="AD307" s="529"/>
      <c r="AE307" s="529"/>
      <c r="AF307" s="529"/>
      <c r="AG307" s="529"/>
      <c r="AH307" s="229"/>
    </row>
    <row r="308" spans="2:34" ht="23.25" customHeight="1" x14ac:dyDescent="0.15">
      <c r="B308" s="50"/>
      <c r="C308" s="468"/>
      <c r="D308" s="508" t="s">
        <v>263</v>
      </c>
      <c r="E308" s="509"/>
      <c r="F308" s="509"/>
      <c r="G308" s="510"/>
      <c r="H308" s="40" t="s">
        <v>92</v>
      </c>
      <c r="I308" s="57"/>
      <c r="J308" s="58"/>
      <c r="K308" s="41" t="str">
        <f t="shared" si="19"/>
        <v>-</v>
      </c>
      <c r="L308" s="42">
        <f t="shared" si="18"/>
        <v>0</v>
      </c>
      <c r="M308" s="159"/>
      <c r="N308" s="505"/>
      <c r="O308" s="511"/>
      <c r="P308" s="511"/>
      <c r="Q308" s="512"/>
      <c r="R308" s="3"/>
      <c r="S308" s="529"/>
      <c r="T308" s="529"/>
      <c r="U308" s="529"/>
      <c r="V308" s="529"/>
      <c r="W308" s="529"/>
      <c r="X308" s="529"/>
      <c r="Y308" s="529"/>
      <c r="Z308" s="529"/>
      <c r="AA308" s="529"/>
      <c r="AB308" s="529"/>
      <c r="AC308" s="529"/>
      <c r="AD308" s="529"/>
      <c r="AE308" s="529"/>
      <c r="AF308" s="529"/>
      <c r="AG308" s="529"/>
      <c r="AH308" s="229"/>
    </row>
    <row r="309" spans="2:34" ht="23.25" customHeight="1" x14ac:dyDescent="0.15">
      <c r="B309" s="50"/>
      <c r="C309" s="468"/>
      <c r="D309" s="508" t="s">
        <v>264</v>
      </c>
      <c r="E309" s="509"/>
      <c r="F309" s="509"/>
      <c r="G309" s="510"/>
      <c r="H309" s="40" t="s">
        <v>92</v>
      </c>
      <c r="I309" s="57"/>
      <c r="J309" s="58"/>
      <c r="K309" s="41" t="str">
        <f t="shared" si="19"/>
        <v>-</v>
      </c>
      <c r="L309" s="42">
        <f t="shared" ref="L309:L358" si="20">IFERROR(J309-I309,"-")</f>
        <v>0</v>
      </c>
      <c r="M309" s="159"/>
      <c r="N309" s="505"/>
      <c r="O309" s="511"/>
      <c r="P309" s="511"/>
      <c r="Q309" s="512"/>
      <c r="R309" s="3"/>
      <c r="S309" s="529"/>
      <c r="T309" s="529"/>
      <c r="U309" s="529"/>
      <c r="V309" s="529"/>
      <c r="W309" s="529"/>
      <c r="X309" s="529"/>
      <c r="Y309" s="529"/>
      <c r="Z309" s="529"/>
      <c r="AA309" s="529"/>
      <c r="AB309" s="529"/>
      <c r="AC309" s="529"/>
      <c r="AD309" s="529"/>
      <c r="AE309" s="529"/>
      <c r="AF309" s="529"/>
      <c r="AG309" s="529"/>
      <c r="AH309" s="229"/>
    </row>
    <row r="310" spans="2:34" ht="23.25" customHeight="1" x14ac:dyDescent="0.15">
      <c r="B310" s="50"/>
      <c r="C310" s="468"/>
      <c r="D310" s="508" t="s">
        <v>265</v>
      </c>
      <c r="E310" s="509"/>
      <c r="F310" s="509"/>
      <c r="G310" s="510"/>
      <c r="H310" s="40" t="s">
        <v>20</v>
      </c>
      <c r="I310" s="57"/>
      <c r="J310" s="58"/>
      <c r="K310" s="41" t="str">
        <f t="shared" si="19"/>
        <v>-</v>
      </c>
      <c r="L310" s="42">
        <f t="shared" si="20"/>
        <v>0</v>
      </c>
      <c r="M310" s="159"/>
      <c r="N310" s="505"/>
      <c r="O310" s="511"/>
      <c r="P310" s="511"/>
      <c r="Q310" s="512"/>
      <c r="R310" s="3"/>
      <c r="S310" s="529"/>
      <c r="T310" s="529"/>
      <c r="U310" s="529"/>
      <c r="V310" s="529"/>
      <c r="W310" s="529"/>
      <c r="X310" s="529"/>
      <c r="Y310" s="529"/>
      <c r="Z310" s="529"/>
      <c r="AA310" s="529"/>
      <c r="AB310" s="529"/>
      <c r="AC310" s="529"/>
      <c r="AD310" s="529"/>
      <c r="AE310" s="529"/>
      <c r="AF310" s="529"/>
      <c r="AG310" s="529"/>
      <c r="AH310" s="229"/>
    </row>
    <row r="311" spans="2:34" ht="23.25" customHeight="1" x14ac:dyDescent="0.15">
      <c r="B311" s="50"/>
      <c r="C311" s="468"/>
      <c r="D311" s="508" t="s">
        <v>266</v>
      </c>
      <c r="E311" s="509"/>
      <c r="F311" s="509"/>
      <c r="G311" s="510"/>
      <c r="H311" s="40" t="s">
        <v>92</v>
      </c>
      <c r="I311" s="57"/>
      <c r="J311" s="58"/>
      <c r="K311" s="41" t="str">
        <f t="shared" si="19"/>
        <v>-</v>
      </c>
      <c r="L311" s="42">
        <f t="shared" si="20"/>
        <v>0</v>
      </c>
      <c r="M311" s="159"/>
      <c r="N311" s="505"/>
      <c r="O311" s="511"/>
      <c r="P311" s="511"/>
      <c r="Q311" s="512"/>
      <c r="R311" s="3"/>
      <c r="S311" s="529"/>
      <c r="T311" s="529"/>
      <c r="U311" s="529"/>
      <c r="V311" s="529"/>
      <c r="W311" s="529"/>
      <c r="X311" s="529"/>
      <c r="Y311" s="529"/>
      <c r="Z311" s="529"/>
      <c r="AA311" s="529"/>
      <c r="AB311" s="529"/>
      <c r="AC311" s="529"/>
      <c r="AD311" s="529"/>
      <c r="AE311" s="529"/>
      <c r="AF311" s="529"/>
      <c r="AG311" s="529"/>
      <c r="AH311" s="229"/>
    </row>
    <row r="312" spans="2:34" ht="23.25" customHeight="1" x14ac:dyDescent="0.15">
      <c r="B312" s="50"/>
      <c r="C312" s="468"/>
      <c r="D312" s="508" t="s">
        <v>267</v>
      </c>
      <c r="E312" s="509"/>
      <c r="F312" s="509"/>
      <c r="G312" s="510"/>
      <c r="H312" s="40" t="s">
        <v>92</v>
      </c>
      <c r="I312" s="57"/>
      <c r="J312" s="58"/>
      <c r="K312" s="41" t="str">
        <f t="shared" si="19"/>
        <v>-</v>
      </c>
      <c r="L312" s="42">
        <f t="shared" si="20"/>
        <v>0</v>
      </c>
      <c r="M312" s="159"/>
      <c r="N312" s="505"/>
      <c r="O312" s="511"/>
      <c r="P312" s="511"/>
      <c r="Q312" s="512"/>
      <c r="R312" s="3"/>
      <c r="S312" s="529"/>
      <c r="T312" s="529"/>
      <c r="U312" s="529"/>
      <c r="V312" s="529"/>
      <c r="W312" s="529"/>
      <c r="X312" s="529"/>
      <c r="Y312" s="529"/>
      <c r="Z312" s="529"/>
      <c r="AA312" s="529"/>
      <c r="AB312" s="529"/>
      <c r="AC312" s="529"/>
      <c r="AD312" s="529"/>
      <c r="AE312" s="529"/>
      <c r="AF312" s="529"/>
      <c r="AG312" s="529"/>
      <c r="AH312" s="229"/>
    </row>
    <row r="313" spans="2:34" ht="23.25" customHeight="1" x14ac:dyDescent="0.15">
      <c r="B313" s="50"/>
      <c r="C313" s="468"/>
      <c r="D313" s="508" t="s">
        <v>268</v>
      </c>
      <c r="E313" s="509"/>
      <c r="F313" s="509"/>
      <c r="G313" s="510"/>
      <c r="H313" s="40" t="s">
        <v>20</v>
      </c>
      <c r="I313" s="57"/>
      <c r="J313" s="58"/>
      <c r="K313" s="41" t="str">
        <f t="shared" si="19"/>
        <v>-</v>
      </c>
      <c r="L313" s="42">
        <f t="shared" si="20"/>
        <v>0</v>
      </c>
      <c r="M313" s="159"/>
      <c r="N313" s="505"/>
      <c r="O313" s="511"/>
      <c r="P313" s="511"/>
      <c r="Q313" s="512"/>
      <c r="R313" s="3"/>
      <c r="S313" s="529"/>
      <c r="T313" s="529"/>
      <c r="U313" s="529"/>
      <c r="V313" s="529"/>
      <c r="W313" s="529"/>
      <c r="X313" s="529"/>
      <c r="Y313" s="529"/>
      <c r="Z313" s="529"/>
      <c r="AA313" s="529"/>
      <c r="AB313" s="529"/>
      <c r="AC313" s="529"/>
      <c r="AD313" s="529"/>
      <c r="AE313" s="529"/>
      <c r="AF313" s="529"/>
      <c r="AG313" s="529"/>
      <c r="AH313" s="229"/>
    </row>
    <row r="314" spans="2:34" ht="23.25" customHeight="1" x14ac:dyDescent="0.15">
      <c r="B314" s="50"/>
      <c r="C314" s="468"/>
      <c r="D314" s="508" t="s">
        <v>269</v>
      </c>
      <c r="E314" s="509"/>
      <c r="F314" s="509"/>
      <c r="G314" s="510"/>
      <c r="H314" s="40" t="s">
        <v>92</v>
      </c>
      <c r="I314" s="57"/>
      <c r="J314" s="58"/>
      <c r="K314" s="41" t="str">
        <f t="shared" si="19"/>
        <v>-</v>
      </c>
      <c r="L314" s="42">
        <f t="shared" si="20"/>
        <v>0</v>
      </c>
      <c r="M314" s="159"/>
      <c r="N314" s="505"/>
      <c r="O314" s="511"/>
      <c r="P314" s="511"/>
      <c r="Q314" s="512"/>
      <c r="R314" s="3"/>
      <c r="S314" s="529"/>
      <c r="T314" s="529"/>
      <c r="U314" s="529"/>
      <c r="V314" s="529"/>
      <c r="W314" s="529"/>
      <c r="X314" s="529"/>
      <c r="Y314" s="529"/>
      <c r="Z314" s="529"/>
      <c r="AA314" s="529"/>
      <c r="AB314" s="529"/>
      <c r="AC314" s="529"/>
      <c r="AD314" s="529"/>
      <c r="AE314" s="529"/>
      <c r="AF314" s="529"/>
      <c r="AG314" s="529"/>
      <c r="AH314" s="229"/>
    </row>
    <row r="315" spans="2:34" ht="23.25" customHeight="1" x14ac:dyDescent="0.15">
      <c r="B315" s="50"/>
      <c r="C315" s="468"/>
      <c r="D315" s="508" t="s">
        <v>270</v>
      </c>
      <c r="E315" s="509"/>
      <c r="F315" s="509"/>
      <c r="G315" s="510"/>
      <c r="H315" s="40" t="s">
        <v>92</v>
      </c>
      <c r="I315" s="57"/>
      <c r="J315" s="58"/>
      <c r="K315" s="41" t="str">
        <f t="shared" si="19"/>
        <v>-</v>
      </c>
      <c r="L315" s="42">
        <f t="shared" si="20"/>
        <v>0</v>
      </c>
      <c r="M315" s="159"/>
      <c r="N315" s="505"/>
      <c r="O315" s="511"/>
      <c r="P315" s="511"/>
      <c r="Q315" s="512"/>
      <c r="R315" s="3"/>
      <c r="S315" s="529"/>
      <c r="T315" s="529"/>
      <c r="U315" s="529"/>
      <c r="V315" s="529"/>
      <c r="W315" s="529"/>
      <c r="X315" s="529"/>
      <c r="Y315" s="529"/>
      <c r="Z315" s="529"/>
      <c r="AA315" s="529"/>
      <c r="AB315" s="529"/>
      <c r="AC315" s="529"/>
      <c r="AD315" s="529"/>
      <c r="AE315" s="529"/>
      <c r="AF315" s="529"/>
      <c r="AG315" s="529"/>
      <c r="AH315" s="229"/>
    </row>
    <row r="316" spans="2:34" ht="23.25" customHeight="1" thickBot="1" x14ac:dyDescent="0.2">
      <c r="B316" s="50"/>
      <c r="C316" s="468"/>
      <c r="D316" s="508" t="s">
        <v>271</v>
      </c>
      <c r="E316" s="509"/>
      <c r="F316" s="509"/>
      <c r="G316" s="510"/>
      <c r="H316" s="40" t="s">
        <v>20</v>
      </c>
      <c r="I316" s="57"/>
      <c r="J316" s="58"/>
      <c r="K316" s="41" t="str">
        <f t="shared" si="19"/>
        <v>-</v>
      </c>
      <c r="L316" s="42">
        <f t="shared" si="20"/>
        <v>0</v>
      </c>
      <c r="M316" s="159"/>
      <c r="N316" s="505"/>
      <c r="O316" s="511"/>
      <c r="P316" s="511"/>
      <c r="Q316" s="512"/>
      <c r="R316" s="3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529"/>
      <c r="AF316" s="529"/>
      <c r="AG316" s="529"/>
      <c r="AH316" s="229"/>
    </row>
    <row r="317" spans="2:34" ht="23.25" customHeight="1" x14ac:dyDescent="0.15">
      <c r="B317" s="50"/>
      <c r="C317" s="520"/>
      <c r="D317" s="521"/>
      <c r="E317" s="521"/>
      <c r="F317" s="521"/>
      <c r="G317" s="522"/>
      <c r="H317" s="37"/>
      <c r="I317" s="171"/>
      <c r="J317" s="172"/>
      <c r="K317" s="38" t="str">
        <f t="shared" ref="K317:K377" si="21">IFERROR(IF(I317&lt;0,IMSUB(J317,I317)/(1-I317)*100,IMSUB(J317,I317)/I317*100),"-")</f>
        <v>-</v>
      </c>
      <c r="L317" s="177">
        <f t="shared" si="20"/>
        <v>0</v>
      </c>
      <c r="M317" s="164"/>
      <c r="N317" s="473"/>
      <c r="O317" s="474"/>
      <c r="P317" s="474"/>
      <c r="Q317" s="475"/>
      <c r="R317" s="3"/>
      <c r="S317" s="233"/>
      <c r="T317" s="233">
        <v>1</v>
      </c>
      <c r="U317" s="233">
        <v>1</v>
      </c>
      <c r="V317" s="233">
        <v>1</v>
      </c>
      <c r="W317" s="233">
        <v>1</v>
      </c>
      <c r="X317" s="233">
        <v>1</v>
      </c>
      <c r="Y317" s="233">
        <v>1</v>
      </c>
      <c r="Z317" s="233">
        <v>1</v>
      </c>
      <c r="AA317" s="233">
        <v>1</v>
      </c>
      <c r="AB317" s="233">
        <v>1</v>
      </c>
      <c r="AC317" s="233">
        <v>1</v>
      </c>
      <c r="AD317" s="233">
        <v>1</v>
      </c>
      <c r="AE317" s="233">
        <v>1</v>
      </c>
      <c r="AF317" s="233">
        <v>1</v>
      </c>
      <c r="AG317" s="233">
        <v>1</v>
      </c>
      <c r="AH317" s="229"/>
    </row>
    <row r="318" spans="2:34" ht="23.25" customHeight="1" x14ac:dyDescent="0.15">
      <c r="B318" s="50"/>
      <c r="C318" s="519"/>
      <c r="D318" s="379"/>
      <c r="E318" s="379"/>
      <c r="F318" s="379"/>
      <c r="G318" s="380"/>
      <c r="H318" s="40"/>
      <c r="I318" s="173"/>
      <c r="J318" s="174"/>
      <c r="K318" s="41" t="str">
        <f t="shared" si="21"/>
        <v>-</v>
      </c>
      <c r="L318" s="178">
        <f t="shared" si="20"/>
        <v>0</v>
      </c>
      <c r="M318" s="159"/>
      <c r="N318" s="293"/>
      <c r="O318" s="294"/>
      <c r="P318" s="294"/>
      <c r="Q318" s="295"/>
      <c r="R318" s="3"/>
      <c r="S318" s="529"/>
      <c r="T318" s="529"/>
      <c r="U318" s="529"/>
      <c r="V318" s="529"/>
      <c r="W318" s="529"/>
      <c r="X318" s="529"/>
      <c r="Y318" s="529"/>
      <c r="Z318" s="529"/>
      <c r="AA318" s="529"/>
      <c r="AB318" s="529"/>
      <c r="AC318" s="529"/>
      <c r="AD318" s="529"/>
      <c r="AE318" s="529"/>
      <c r="AF318" s="529"/>
      <c r="AG318" s="529"/>
      <c r="AH318" s="229"/>
    </row>
    <row r="319" spans="2:34" ht="23.25" customHeight="1" x14ac:dyDescent="0.15">
      <c r="B319" s="50"/>
      <c r="C319" s="519"/>
      <c r="D319" s="379"/>
      <c r="E319" s="379"/>
      <c r="F319" s="379"/>
      <c r="G319" s="380"/>
      <c r="H319" s="40"/>
      <c r="I319" s="173"/>
      <c r="J319" s="174"/>
      <c r="K319" s="41" t="str">
        <f t="shared" si="21"/>
        <v>-</v>
      </c>
      <c r="L319" s="178">
        <f t="shared" si="20"/>
        <v>0</v>
      </c>
      <c r="M319" s="159"/>
      <c r="N319" s="293"/>
      <c r="O319" s="294"/>
      <c r="P319" s="294"/>
      <c r="Q319" s="295"/>
      <c r="R319" s="3"/>
      <c r="S319" s="529"/>
      <c r="T319" s="529"/>
      <c r="U319" s="529"/>
      <c r="V319" s="529"/>
      <c r="W319" s="529"/>
      <c r="X319" s="529"/>
      <c r="Y319" s="529"/>
      <c r="Z319" s="529"/>
      <c r="AA319" s="529"/>
      <c r="AB319" s="529"/>
      <c r="AC319" s="529"/>
      <c r="AD319" s="529"/>
      <c r="AE319" s="529"/>
      <c r="AF319" s="529"/>
      <c r="AG319" s="529"/>
      <c r="AH319" s="229"/>
    </row>
    <row r="320" spans="2:34" ht="23.25" customHeight="1" x14ac:dyDescent="0.15">
      <c r="B320" s="50"/>
      <c r="C320" s="519"/>
      <c r="D320" s="379"/>
      <c r="E320" s="379"/>
      <c r="F320" s="379"/>
      <c r="G320" s="380"/>
      <c r="H320" s="40"/>
      <c r="I320" s="173"/>
      <c r="J320" s="174"/>
      <c r="K320" s="41" t="str">
        <f t="shared" si="21"/>
        <v>-</v>
      </c>
      <c r="L320" s="178">
        <f t="shared" si="20"/>
        <v>0</v>
      </c>
      <c r="M320" s="159"/>
      <c r="N320" s="293"/>
      <c r="O320" s="294"/>
      <c r="P320" s="294"/>
      <c r="Q320" s="295"/>
      <c r="R320" s="3"/>
      <c r="S320" s="529"/>
      <c r="T320" s="529"/>
      <c r="U320" s="529"/>
      <c r="V320" s="529"/>
      <c r="W320" s="529"/>
      <c r="X320" s="529"/>
      <c r="Y320" s="529"/>
      <c r="Z320" s="529"/>
      <c r="AA320" s="529"/>
      <c r="AB320" s="529"/>
      <c r="AC320" s="529"/>
      <c r="AD320" s="529"/>
      <c r="AE320" s="529"/>
      <c r="AF320" s="529"/>
      <c r="AG320" s="529"/>
      <c r="AH320" s="229"/>
    </row>
    <row r="321" spans="2:34" ht="23.25" customHeight="1" x14ac:dyDescent="0.15">
      <c r="B321" s="50"/>
      <c r="C321" s="519"/>
      <c r="D321" s="379"/>
      <c r="E321" s="379"/>
      <c r="F321" s="379"/>
      <c r="G321" s="380"/>
      <c r="H321" s="40"/>
      <c r="I321" s="173"/>
      <c r="J321" s="174"/>
      <c r="K321" s="41" t="str">
        <f t="shared" si="21"/>
        <v>-</v>
      </c>
      <c r="L321" s="178">
        <f t="shared" si="20"/>
        <v>0</v>
      </c>
      <c r="M321" s="159"/>
      <c r="N321" s="293"/>
      <c r="O321" s="294"/>
      <c r="P321" s="294"/>
      <c r="Q321" s="295"/>
      <c r="R321" s="3"/>
      <c r="S321" s="529"/>
      <c r="T321" s="529"/>
      <c r="U321" s="529"/>
      <c r="V321" s="529"/>
      <c r="W321" s="529"/>
      <c r="X321" s="529"/>
      <c r="Y321" s="529"/>
      <c r="Z321" s="529"/>
      <c r="AA321" s="529"/>
      <c r="AB321" s="529"/>
      <c r="AC321" s="529"/>
      <c r="AD321" s="529"/>
      <c r="AE321" s="529"/>
      <c r="AF321" s="529"/>
      <c r="AG321" s="529"/>
      <c r="AH321" s="229"/>
    </row>
    <row r="322" spans="2:34" ht="23.25" customHeight="1" x14ac:dyDescent="0.15">
      <c r="B322" s="50"/>
      <c r="C322" s="519"/>
      <c r="D322" s="379"/>
      <c r="E322" s="379"/>
      <c r="F322" s="379"/>
      <c r="G322" s="380"/>
      <c r="H322" s="40"/>
      <c r="I322" s="173"/>
      <c r="J322" s="174"/>
      <c r="K322" s="41" t="str">
        <f t="shared" si="21"/>
        <v>-</v>
      </c>
      <c r="L322" s="178">
        <f t="shared" si="20"/>
        <v>0</v>
      </c>
      <c r="M322" s="159"/>
      <c r="N322" s="293"/>
      <c r="O322" s="294"/>
      <c r="P322" s="294"/>
      <c r="Q322" s="295"/>
      <c r="R322" s="3"/>
      <c r="S322" s="529"/>
      <c r="T322" s="529"/>
      <c r="U322" s="529"/>
      <c r="V322" s="529"/>
      <c r="W322" s="529"/>
      <c r="X322" s="529"/>
      <c r="Y322" s="529"/>
      <c r="Z322" s="529"/>
      <c r="AA322" s="529"/>
      <c r="AB322" s="529"/>
      <c r="AC322" s="529"/>
      <c r="AD322" s="529"/>
      <c r="AE322" s="529"/>
      <c r="AF322" s="529"/>
      <c r="AG322" s="529"/>
      <c r="AH322" s="229"/>
    </row>
    <row r="323" spans="2:34" ht="23.25" customHeight="1" x14ac:dyDescent="0.15">
      <c r="B323" s="50"/>
      <c r="C323" s="519"/>
      <c r="D323" s="379"/>
      <c r="E323" s="379"/>
      <c r="F323" s="379"/>
      <c r="G323" s="380"/>
      <c r="H323" s="40"/>
      <c r="I323" s="173"/>
      <c r="J323" s="174"/>
      <c r="K323" s="41" t="str">
        <f t="shared" si="21"/>
        <v>-</v>
      </c>
      <c r="L323" s="178">
        <f t="shared" si="20"/>
        <v>0</v>
      </c>
      <c r="M323" s="159"/>
      <c r="N323" s="293"/>
      <c r="O323" s="294"/>
      <c r="P323" s="294"/>
      <c r="Q323" s="295"/>
      <c r="R323" s="3"/>
      <c r="S323" s="529"/>
      <c r="T323" s="529"/>
      <c r="U323" s="529"/>
      <c r="V323" s="529"/>
      <c r="W323" s="529"/>
      <c r="X323" s="529"/>
      <c r="Y323" s="529"/>
      <c r="Z323" s="529"/>
      <c r="AA323" s="529"/>
      <c r="AB323" s="529"/>
      <c r="AC323" s="529"/>
      <c r="AD323" s="529"/>
      <c r="AE323" s="529"/>
      <c r="AF323" s="529"/>
      <c r="AG323" s="529"/>
      <c r="AH323" s="229"/>
    </row>
    <row r="324" spans="2:34" ht="23.25" customHeight="1" x14ac:dyDescent="0.15">
      <c r="B324" s="50"/>
      <c r="C324" s="519"/>
      <c r="D324" s="379"/>
      <c r="E324" s="379"/>
      <c r="F324" s="379"/>
      <c r="G324" s="380"/>
      <c r="H324" s="40"/>
      <c r="I324" s="173"/>
      <c r="J324" s="174"/>
      <c r="K324" s="41" t="str">
        <f t="shared" si="21"/>
        <v>-</v>
      </c>
      <c r="L324" s="178">
        <f t="shared" si="20"/>
        <v>0</v>
      </c>
      <c r="M324" s="159"/>
      <c r="N324" s="293"/>
      <c r="O324" s="294"/>
      <c r="P324" s="294"/>
      <c r="Q324" s="295"/>
      <c r="R324" s="3"/>
      <c r="S324" s="529"/>
      <c r="T324" s="529"/>
      <c r="U324" s="529"/>
      <c r="V324" s="529"/>
      <c r="W324" s="529"/>
      <c r="X324" s="529"/>
      <c r="Y324" s="529"/>
      <c r="Z324" s="529"/>
      <c r="AA324" s="529"/>
      <c r="AB324" s="529"/>
      <c r="AC324" s="529"/>
      <c r="AD324" s="529"/>
      <c r="AE324" s="529"/>
      <c r="AF324" s="529"/>
      <c r="AG324" s="529"/>
      <c r="AH324" s="229"/>
    </row>
    <row r="325" spans="2:34" ht="23.25" customHeight="1" x14ac:dyDescent="0.15">
      <c r="B325" s="50"/>
      <c r="C325" s="519"/>
      <c r="D325" s="379"/>
      <c r="E325" s="379"/>
      <c r="F325" s="379"/>
      <c r="G325" s="380"/>
      <c r="H325" s="40"/>
      <c r="I325" s="173"/>
      <c r="J325" s="174"/>
      <c r="K325" s="41" t="str">
        <f t="shared" si="21"/>
        <v>-</v>
      </c>
      <c r="L325" s="178">
        <f t="shared" si="20"/>
        <v>0</v>
      </c>
      <c r="M325" s="159"/>
      <c r="N325" s="293"/>
      <c r="O325" s="294"/>
      <c r="P325" s="294"/>
      <c r="Q325" s="295"/>
      <c r="R325" s="3"/>
      <c r="S325" s="529"/>
      <c r="T325" s="529"/>
      <c r="U325" s="529"/>
      <c r="V325" s="529"/>
      <c r="W325" s="529"/>
      <c r="X325" s="529"/>
      <c r="Y325" s="529"/>
      <c r="Z325" s="529"/>
      <c r="AA325" s="529"/>
      <c r="AB325" s="529"/>
      <c r="AC325" s="529"/>
      <c r="AD325" s="529"/>
      <c r="AE325" s="529"/>
      <c r="AF325" s="529"/>
      <c r="AG325" s="529"/>
      <c r="AH325" s="229"/>
    </row>
    <row r="326" spans="2:34" ht="23.25" customHeight="1" x14ac:dyDescent="0.15">
      <c r="B326" s="50"/>
      <c r="C326" s="519"/>
      <c r="D326" s="379"/>
      <c r="E326" s="379"/>
      <c r="F326" s="379"/>
      <c r="G326" s="380"/>
      <c r="H326" s="40"/>
      <c r="I326" s="173"/>
      <c r="J326" s="174"/>
      <c r="K326" s="41" t="str">
        <f t="shared" si="21"/>
        <v>-</v>
      </c>
      <c r="L326" s="178">
        <f t="shared" si="20"/>
        <v>0</v>
      </c>
      <c r="M326" s="159"/>
      <c r="N326" s="293"/>
      <c r="O326" s="294"/>
      <c r="P326" s="294"/>
      <c r="Q326" s="295"/>
      <c r="R326" s="3"/>
      <c r="S326" s="529"/>
      <c r="T326" s="529"/>
      <c r="U326" s="529"/>
      <c r="V326" s="529"/>
      <c r="W326" s="529"/>
      <c r="X326" s="529"/>
      <c r="Y326" s="529"/>
      <c r="Z326" s="529"/>
      <c r="AA326" s="529"/>
      <c r="AB326" s="529"/>
      <c r="AC326" s="529"/>
      <c r="AD326" s="529"/>
      <c r="AE326" s="529"/>
      <c r="AF326" s="529"/>
      <c r="AG326" s="529"/>
      <c r="AH326" s="229"/>
    </row>
    <row r="327" spans="2:34" ht="23.25" customHeight="1" x14ac:dyDescent="0.15">
      <c r="B327" s="50"/>
      <c r="C327" s="519"/>
      <c r="D327" s="379"/>
      <c r="E327" s="379"/>
      <c r="F327" s="379"/>
      <c r="G327" s="380"/>
      <c r="H327" s="40"/>
      <c r="I327" s="173"/>
      <c r="J327" s="174"/>
      <c r="K327" s="41" t="str">
        <f t="shared" si="21"/>
        <v>-</v>
      </c>
      <c r="L327" s="178">
        <f t="shared" si="20"/>
        <v>0</v>
      </c>
      <c r="M327" s="159"/>
      <c r="N327" s="293"/>
      <c r="O327" s="294"/>
      <c r="P327" s="294"/>
      <c r="Q327" s="295"/>
      <c r="R327" s="3"/>
      <c r="S327" s="529"/>
      <c r="T327" s="529"/>
      <c r="U327" s="529"/>
      <c r="V327" s="529"/>
      <c r="W327" s="529"/>
      <c r="X327" s="529"/>
      <c r="Y327" s="529"/>
      <c r="Z327" s="529"/>
      <c r="AA327" s="529"/>
      <c r="AB327" s="529"/>
      <c r="AC327" s="529"/>
      <c r="AD327" s="529"/>
      <c r="AE327" s="529"/>
      <c r="AF327" s="529"/>
      <c r="AG327" s="529"/>
      <c r="AH327" s="229"/>
    </row>
    <row r="328" spans="2:34" ht="23.25" customHeight="1" x14ac:dyDescent="0.15">
      <c r="B328" s="50"/>
      <c r="C328" s="519"/>
      <c r="D328" s="379"/>
      <c r="E328" s="379"/>
      <c r="F328" s="379"/>
      <c r="G328" s="380"/>
      <c r="H328" s="40"/>
      <c r="I328" s="173"/>
      <c r="J328" s="174"/>
      <c r="K328" s="41" t="str">
        <f t="shared" si="21"/>
        <v>-</v>
      </c>
      <c r="L328" s="178">
        <f t="shared" si="20"/>
        <v>0</v>
      </c>
      <c r="M328" s="159"/>
      <c r="N328" s="293"/>
      <c r="O328" s="294"/>
      <c r="P328" s="294"/>
      <c r="Q328" s="295"/>
      <c r="R328" s="3"/>
      <c r="S328" s="529"/>
      <c r="T328" s="529"/>
      <c r="U328" s="529"/>
      <c r="V328" s="529"/>
      <c r="W328" s="529"/>
      <c r="X328" s="529"/>
      <c r="Y328" s="529"/>
      <c r="Z328" s="529"/>
      <c r="AA328" s="529"/>
      <c r="AB328" s="529"/>
      <c r="AC328" s="529"/>
      <c r="AD328" s="529"/>
      <c r="AE328" s="529"/>
      <c r="AF328" s="529"/>
      <c r="AG328" s="529"/>
      <c r="AH328" s="229"/>
    </row>
    <row r="329" spans="2:34" ht="23.25" customHeight="1" x14ac:dyDescent="0.15">
      <c r="B329" s="50"/>
      <c r="C329" s="519"/>
      <c r="D329" s="379"/>
      <c r="E329" s="379"/>
      <c r="F329" s="379"/>
      <c r="G329" s="380"/>
      <c r="H329" s="40"/>
      <c r="I329" s="173"/>
      <c r="J329" s="174"/>
      <c r="K329" s="41" t="str">
        <f t="shared" si="21"/>
        <v>-</v>
      </c>
      <c r="L329" s="178">
        <f t="shared" si="20"/>
        <v>0</v>
      </c>
      <c r="M329" s="159"/>
      <c r="N329" s="293"/>
      <c r="O329" s="294"/>
      <c r="P329" s="294"/>
      <c r="Q329" s="295"/>
      <c r="R329" s="3"/>
      <c r="S329" s="529"/>
      <c r="T329" s="529"/>
      <c r="U329" s="529"/>
      <c r="V329" s="529"/>
      <c r="W329" s="529"/>
      <c r="X329" s="529"/>
      <c r="Y329" s="529"/>
      <c r="Z329" s="529"/>
      <c r="AA329" s="529"/>
      <c r="AB329" s="529"/>
      <c r="AC329" s="529"/>
      <c r="AD329" s="529"/>
      <c r="AE329" s="529"/>
      <c r="AF329" s="529"/>
      <c r="AG329" s="529"/>
      <c r="AH329" s="229"/>
    </row>
    <row r="330" spans="2:34" ht="23.25" customHeight="1" x14ac:dyDescent="0.15">
      <c r="B330" s="50"/>
      <c r="C330" s="519"/>
      <c r="D330" s="379"/>
      <c r="E330" s="379"/>
      <c r="F330" s="379"/>
      <c r="G330" s="380"/>
      <c r="H330" s="40"/>
      <c r="I330" s="173"/>
      <c r="J330" s="174"/>
      <c r="K330" s="41" t="str">
        <f t="shared" si="21"/>
        <v>-</v>
      </c>
      <c r="L330" s="178">
        <f t="shared" si="20"/>
        <v>0</v>
      </c>
      <c r="M330" s="159"/>
      <c r="N330" s="293"/>
      <c r="O330" s="294"/>
      <c r="P330" s="294"/>
      <c r="Q330" s="295"/>
      <c r="R330" s="3"/>
      <c r="S330" s="529"/>
      <c r="T330" s="529"/>
      <c r="U330" s="529"/>
      <c r="V330" s="529"/>
      <c r="W330" s="529"/>
      <c r="X330" s="529"/>
      <c r="Y330" s="529"/>
      <c r="Z330" s="529"/>
      <c r="AA330" s="529"/>
      <c r="AB330" s="529"/>
      <c r="AC330" s="529"/>
      <c r="AD330" s="529"/>
      <c r="AE330" s="529"/>
      <c r="AF330" s="529"/>
      <c r="AG330" s="529"/>
      <c r="AH330" s="229"/>
    </row>
    <row r="331" spans="2:34" ht="23.25" customHeight="1" x14ac:dyDescent="0.15">
      <c r="B331" s="50"/>
      <c r="C331" s="519"/>
      <c r="D331" s="379"/>
      <c r="E331" s="379"/>
      <c r="F331" s="379"/>
      <c r="G331" s="380"/>
      <c r="H331" s="40"/>
      <c r="I331" s="173"/>
      <c r="J331" s="174"/>
      <c r="K331" s="41" t="str">
        <f t="shared" si="21"/>
        <v>-</v>
      </c>
      <c r="L331" s="178">
        <f t="shared" si="20"/>
        <v>0</v>
      </c>
      <c r="M331" s="159"/>
      <c r="N331" s="293"/>
      <c r="O331" s="294"/>
      <c r="P331" s="294"/>
      <c r="Q331" s="295"/>
      <c r="R331" s="3"/>
      <c r="S331" s="529"/>
      <c r="T331" s="529"/>
      <c r="U331" s="529"/>
      <c r="V331" s="529"/>
      <c r="W331" s="529"/>
      <c r="X331" s="529"/>
      <c r="Y331" s="529"/>
      <c r="Z331" s="529"/>
      <c r="AA331" s="529"/>
      <c r="AB331" s="529"/>
      <c r="AC331" s="529"/>
      <c r="AD331" s="529"/>
      <c r="AE331" s="529"/>
      <c r="AF331" s="529"/>
      <c r="AG331" s="529"/>
      <c r="AH331" s="229"/>
    </row>
    <row r="332" spans="2:34" ht="23.25" customHeight="1" x14ac:dyDescent="0.15">
      <c r="B332" s="50"/>
      <c r="C332" s="519"/>
      <c r="D332" s="379"/>
      <c r="E332" s="379"/>
      <c r="F332" s="379"/>
      <c r="G332" s="380"/>
      <c r="H332" s="40"/>
      <c r="I332" s="173"/>
      <c r="J332" s="174"/>
      <c r="K332" s="41" t="str">
        <f t="shared" si="21"/>
        <v>-</v>
      </c>
      <c r="L332" s="178">
        <f t="shared" si="20"/>
        <v>0</v>
      </c>
      <c r="M332" s="159"/>
      <c r="N332" s="293"/>
      <c r="O332" s="294"/>
      <c r="P332" s="294"/>
      <c r="Q332" s="295"/>
      <c r="R332" s="3"/>
      <c r="S332" s="529"/>
      <c r="T332" s="529"/>
      <c r="U332" s="529"/>
      <c r="V332" s="529"/>
      <c r="W332" s="529"/>
      <c r="X332" s="529"/>
      <c r="Y332" s="529"/>
      <c r="Z332" s="529"/>
      <c r="AA332" s="529"/>
      <c r="AB332" s="529"/>
      <c r="AC332" s="529"/>
      <c r="AD332" s="529"/>
      <c r="AE332" s="529"/>
      <c r="AF332" s="529"/>
      <c r="AG332" s="529"/>
      <c r="AH332" s="229"/>
    </row>
    <row r="333" spans="2:34" ht="23.25" customHeight="1" x14ac:dyDescent="0.15">
      <c r="B333" s="50"/>
      <c r="C333" s="519"/>
      <c r="D333" s="379"/>
      <c r="E333" s="379"/>
      <c r="F333" s="379"/>
      <c r="G333" s="380"/>
      <c r="H333" s="40"/>
      <c r="I333" s="173"/>
      <c r="J333" s="174"/>
      <c r="K333" s="41" t="str">
        <f t="shared" si="21"/>
        <v>-</v>
      </c>
      <c r="L333" s="178">
        <f t="shared" si="20"/>
        <v>0</v>
      </c>
      <c r="M333" s="159"/>
      <c r="N333" s="293"/>
      <c r="O333" s="294"/>
      <c r="P333" s="294"/>
      <c r="Q333" s="295"/>
      <c r="R333" s="3"/>
      <c r="S333" s="529"/>
      <c r="T333" s="529"/>
      <c r="U333" s="529"/>
      <c r="V333" s="529"/>
      <c r="W333" s="529"/>
      <c r="X333" s="529"/>
      <c r="Y333" s="529"/>
      <c r="Z333" s="529"/>
      <c r="AA333" s="529"/>
      <c r="AB333" s="529"/>
      <c r="AC333" s="529"/>
      <c r="AD333" s="529"/>
      <c r="AE333" s="529"/>
      <c r="AF333" s="529"/>
      <c r="AG333" s="529"/>
      <c r="AH333" s="229"/>
    </row>
    <row r="334" spans="2:34" ht="23.25" customHeight="1" x14ac:dyDescent="0.15">
      <c r="B334" s="50"/>
      <c r="C334" s="519"/>
      <c r="D334" s="379"/>
      <c r="E334" s="379"/>
      <c r="F334" s="379"/>
      <c r="G334" s="380"/>
      <c r="H334" s="40"/>
      <c r="I334" s="173"/>
      <c r="J334" s="174"/>
      <c r="K334" s="41" t="str">
        <f t="shared" si="21"/>
        <v>-</v>
      </c>
      <c r="L334" s="178">
        <f t="shared" si="20"/>
        <v>0</v>
      </c>
      <c r="M334" s="159"/>
      <c r="N334" s="293"/>
      <c r="O334" s="294"/>
      <c r="P334" s="294"/>
      <c r="Q334" s="295"/>
      <c r="R334" s="3"/>
      <c r="S334" s="529"/>
      <c r="T334" s="529"/>
      <c r="U334" s="529"/>
      <c r="V334" s="529"/>
      <c r="W334" s="529"/>
      <c r="X334" s="529"/>
      <c r="Y334" s="529"/>
      <c r="Z334" s="529"/>
      <c r="AA334" s="529"/>
      <c r="AB334" s="529"/>
      <c r="AC334" s="529"/>
      <c r="AD334" s="529"/>
      <c r="AE334" s="529"/>
      <c r="AF334" s="529"/>
      <c r="AG334" s="529"/>
      <c r="AH334" s="229"/>
    </row>
    <row r="335" spans="2:34" ht="23.25" customHeight="1" x14ac:dyDescent="0.15">
      <c r="B335" s="50"/>
      <c r="C335" s="519"/>
      <c r="D335" s="379"/>
      <c r="E335" s="379"/>
      <c r="F335" s="379"/>
      <c r="G335" s="380"/>
      <c r="H335" s="40"/>
      <c r="I335" s="173"/>
      <c r="J335" s="174"/>
      <c r="K335" s="41" t="str">
        <f t="shared" si="21"/>
        <v>-</v>
      </c>
      <c r="L335" s="178">
        <f t="shared" si="20"/>
        <v>0</v>
      </c>
      <c r="M335" s="159"/>
      <c r="N335" s="293"/>
      <c r="O335" s="294"/>
      <c r="P335" s="294"/>
      <c r="Q335" s="295"/>
      <c r="R335" s="3"/>
      <c r="S335" s="529"/>
      <c r="T335" s="529"/>
      <c r="U335" s="529"/>
      <c r="V335" s="529"/>
      <c r="W335" s="529"/>
      <c r="X335" s="529"/>
      <c r="Y335" s="529"/>
      <c r="Z335" s="529"/>
      <c r="AA335" s="529"/>
      <c r="AB335" s="529"/>
      <c r="AC335" s="529"/>
      <c r="AD335" s="529"/>
      <c r="AE335" s="529"/>
      <c r="AF335" s="529"/>
      <c r="AG335" s="529"/>
      <c r="AH335" s="229"/>
    </row>
    <row r="336" spans="2:34" ht="23.25" customHeight="1" x14ac:dyDescent="0.15">
      <c r="B336" s="50"/>
      <c r="C336" s="519"/>
      <c r="D336" s="379"/>
      <c r="E336" s="379"/>
      <c r="F336" s="379"/>
      <c r="G336" s="380"/>
      <c r="H336" s="40"/>
      <c r="I336" s="173"/>
      <c r="J336" s="174"/>
      <c r="K336" s="41" t="str">
        <f t="shared" si="21"/>
        <v>-</v>
      </c>
      <c r="L336" s="178">
        <f t="shared" si="20"/>
        <v>0</v>
      </c>
      <c r="M336" s="159"/>
      <c r="N336" s="293"/>
      <c r="O336" s="294"/>
      <c r="P336" s="294"/>
      <c r="Q336" s="295"/>
      <c r="R336" s="3"/>
      <c r="S336" s="529"/>
      <c r="T336" s="529"/>
      <c r="U336" s="529"/>
      <c r="V336" s="529"/>
      <c r="W336" s="529"/>
      <c r="X336" s="529"/>
      <c r="Y336" s="529"/>
      <c r="Z336" s="529"/>
      <c r="AA336" s="529"/>
      <c r="AB336" s="529"/>
      <c r="AC336" s="529"/>
      <c r="AD336" s="529"/>
      <c r="AE336" s="529"/>
      <c r="AF336" s="529"/>
      <c r="AG336" s="529"/>
      <c r="AH336" s="229"/>
    </row>
    <row r="337" spans="2:34" ht="23.25" customHeight="1" x14ac:dyDescent="0.15">
      <c r="B337" s="50"/>
      <c r="C337" s="519"/>
      <c r="D337" s="379"/>
      <c r="E337" s="379"/>
      <c r="F337" s="379"/>
      <c r="G337" s="380"/>
      <c r="H337" s="40"/>
      <c r="I337" s="173"/>
      <c r="J337" s="174"/>
      <c r="K337" s="41" t="str">
        <f t="shared" si="21"/>
        <v>-</v>
      </c>
      <c r="L337" s="178">
        <f t="shared" si="20"/>
        <v>0</v>
      </c>
      <c r="M337" s="159"/>
      <c r="N337" s="293"/>
      <c r="O337" s="294"/>
      <c r="P337" s="294"/>
      <c r="Q337" s="295"/>
      <c r="R337" s="3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229"/>
    </row>
    <row r="338" spans="2:34" ht="23.25" customHeight="1" x14ac:dyDescent="0.15">
      <c r="B338" s="50"/>
      <c r="C338" s="519"/>
      <c r="D338" s="379"/>
      <c r="E338" s="379"/>
      <c r="F338" s="379"/>
      <c r="G338" s="380"/>
      <c r="H338" s="40"/>
      <c r="I338" s="173"/>
      <c r="J338" s="174"/>
      <c r="K338" s="41" t="str">
        <f t="shared" si="21"/>
        <v>-</v>
      </c>
      <c r="L338" s="178">
        <f t="shared" si="20"/>
        <v>0</v>
      </c>
      <c r="M338" s="159"/>
      <c r="N338" s="293"/>
      <c r="O338" s="294"/>
      <c r="P338" s="294"/>
      <c r="Q338" s="295"/>
      <c r="R338" s="3"/>
      <c r="S338" s="529"/>
      <c r="T338" s="529"/>
      <c r="U338" s="529"/>
      <c r="V338" s="529"/>
      <c r="W338" s="529"/>
      <c r="X338" s="529"/>
      <c r="Y338" s="529"/>
      <c r="Z338" s="529"/>
      <c r="AA338" s="529"/>
      <c r="AB338" s="529"/>
      <c r="AC338" s="529"/>
      <c r="AD338" s="529"/>
      <c r="AE338" s="529"/>
      <c r="AF338" s="529"/>
      <c r="AG338" s="529"/>
      <c r="AH338" s="229"/>
    </row>
    <row r="339" spans="2:34" ht="23.25" customHeight="1" x14ac:dyDescent="0.15">
      <c r="B339" s="50"/>
      <c r="C339" s="519"/>
      <c r="D339" s="379"/>
      <c r="E339" s="379"/>
      <c r="F339" s="379"/>
      <c r="G339" s="380"/>
      <c r="H339" s="40"/>
      <c r="I339" s="173"/>
      <c r="J339" s="174"/>
      <c r="K339" s="41" t="str">
        <f t="shared" si="21"/>
        <v>-</v>
      </c>
      <c r="L339" s="178">
        <f t="shared" si="20"/>
        <v>0</v>
      </c>
      <c r="M339" s="159"/>
      <c r="N339" s="293"/>
      <c r="O339" s="294"/>
      <c r="P339" s="294"/>
      <c r="Q339" s="295"/>
      <c r="R339" s="3"/>
      <c r="S339" s="529"/>
      <c r="T339" s="529"/>
      <c r="U339" s="529"/>
      <c r="V339" s="529"/>
      <c r="W339" s="529"/>
      <c r="X339" s="529"/>
      <c r="Y339" s="529"/>
      <c r="Z339" s="529"/>
      <c r="AA339" s="529"/>
      <c r="AB339" s="529"/>
      <c r="AC339" s="529"/>
      <c r="AD339" s="529"/>
      <c r="AE339" s="529"/>
      <c r="AF339" s="529"/>
      <c r="AG339" s="529"/>
      <c r="AH339" s="229"/>
    </row>
    <row r="340" spans="2:34" ht="23.25" customHeight="1" x14ac:dyDescent="0.15">
      <c r="B340" s="50"/>
      <c r="C340" s="519"/>
      <c r="D340" s="379"/>
      <c r="E340" s="379"/>
      <c r="F340" s="379"/>
      <c r="G340" s="380"/>
      <c r="H340" s="40"/>
      <c r="I340" s="173"/>
      <c r="J340" s="174"/>
      <c r="K340" s="41" t="str">
        <f t="shared" si="21"/>
        <v>-</v>
      </c>
      <c r="L340" s="178">
        <f t="shared" si="20"/>
        <v>0</v>
      </c>
      <c r="M340" s="159"/>
      <c r="N340" s="293"/>
      <c r="O340" s="294"/>
      <c r="P340" s="294"/>
      <c r="Q340" s="295"/>
      <c r="R340" s="3"/>
      <c r="S340" s="529"/>
      <c r="T340" s="529"/>
      <c r="U340" s="529"/>
      <c r="V340" s="529"/>
      <c r="W340" s="529"/>
      <c r="X340" s="529"/>
      <c r="Y340" s="529"/>
      <c r="Z340" s="529"/>
      <c r="AA340" s="529"/>
      <c r="AB340" s="529"/>
      <c r="AC340" s="529"/>
      <c r="AD340" s="529"/>
      <c r="AE340" s="529"/>
      <c r="AF340" s="529"/>
      <c r="AG340" s="529"/>
      <c r="AH340" s="229"/>
    </row>
    <row r="341" spans="2:34" ht="23.25" customHeight="1" x14ac:dyDescent="0.15">
      <c r="B341" s="50"/>
      <c r="C341" s="519"/>
      <c r="D341" s="379"/>
      <c r="E341" s="379"/>
      <c r="F341" s="379"/>
      <c r="G341" s="380"/>
      <c r="H341" s="40"/>
      <c r="I341" s="173"/>
      <c r="J341" s="174"/>
      <c r="K341" s="41" t="str">
        <f t="shared" si="21"/>
        <v>-</v>
      </c>
      <c r="L341" s="178">
        <f t="shared" si="20"/>
        <v>0</v>
      </c>
      <c r="M341" s="159"/>
      <c r="N341" s="293"/>
      <c r="O341" s="294"/>
      <c r="P341" s="294"/>
      <c r="Q341" s="295"/>
      <c r="R341" s="3"/>
      <c r="S341" s="529"/>
      <c r="T341" s="529"/>
      <c r="U341" s="529"/>
      <c r="V341" s="529"/>
      <c r="W341" s="529"/>
      <c r="X341" s="529"/>
      <c r="Y341" s="529"/>
      <c r="Z341" s="529"/>
      <c r="AA341" s="529"/>
      <c r="AB341" s="529"/>
      <c r="AC341" s="529"/>
      <c r="AD341" s="529"/>
      <c r="AE341" s="529"/>
      <c r="AF341" s="529"/>
      <c r="AG341" s="529"/>
      <c r="AH341" s="229"/>
    </row>
    <row r="342" spans="2:34" ht="23.25" customHeight="1" x14ac:dyDescent="0.15">
      <c r="B342" s="50"/>
      <c r="C342" s="519"/>
      <c r="D342" s="379"/>
      <c r="E342" s="379"/>
      <c r="F342" s="379"/>
      <c r="G342" s="380"/>
      <c r="H342" s="40"/>
      <c r="I342" s="173"/>
      <c r="J342" s="174"/>
      <c r="K342" s="41" t="str">
        <f t="shared" si="21"/>
        <v>-</v>
      </c>
      <c r="L342" s="178">
        <f t="shared" si="20"/>
        <v>0</v>
      </c>
      <c r="M342" s="159"/>
      <c r="N342" s="293"/>
      <c r="O342" s="294"/>
      <c r="P342" s="294"/>
      <c r="Q342" s="295"/>
      <c r="R342" s="3"/>
      <c r="S342" s="529"/>
      <c r="T342" s="529"/>
      <c r="U342" s="529"/>
      <c r="V342" s="529"/>
      <c r="W342" s="529"/>
      <c r="X342" s="529"/>
      <c r="Y342" s="529"/>
      <c r="Z342" s="529"/>
      <c r="AA342" s="529"/>
      <c r="AB342" s="529"/>
      <c r="AC342" s="529"/>
      <c r="AD342" s="529"/>
      <c r="AE342" s="529"/>
      <c r="AF342" s="529"/>
      <c r="AG342" s="529"/>
      <c r="AH342" s="229"/>
    </row>
    <row r="343" spans="2:34" ht="23.25" customHeight="1" x14ac:dyDescent="0.15">
      <c r="B343" s="50"/>
      <c r="C343" s="519"/>
      <c r="D343" s="379"/>
      <c r="E343" s="379"/>
      <c r="F343" s="379"/>
      <c r="G343" s="380"/>
      <c r="H343" s="40"/>
      <c r="I343" s="173"/>
      <c r="J343" s="174"/>
      <c r="K343" s="41" t="str">
        <f t="shared" si="21"/>
        <v>-</v>
      </c>
      <c r="L343" s="178">
        <f t="shared" si="20"/>
        <v>0</v>
      </c>
      <c r="M343" s="159"/>
      <c r="N343" s="293"/>
      <c r="O343" s="294"/>
      <c r="P343" s="294"/>
      <c r="Q343" s="295"/>
      <c r="R343" s="3"/>
      <c r="S343" s="529"/>
      <c r="T343" s="529"/>
      <c r="U343" s="529"/>
      <c r="V343" s="529"/>
      <c r="W343" s="529"/>
      <c r="X343" s="529"/>
      <c r="Y343" s="529"/>
      <c r="Z343" s="529"/>
      <c r="AA343" s="529"/>
      <c r="AB343" s="529"/>
      <c r="AC343" s="529"/>
      <c r="AD343" s="529"/>
      <c r="AE343" s="529"/>
      <c r="AF343" s="529"/>
      <c r="AG343" s="529"/>
      <c r="AH343" s="229"/>
    </row>
    <row r="344" spans="2:34" ht="23.25" customHeight="1" x14ac:dyDescent="0.15">
      <c r="B344" s="50"/>
      <c r="C344" s="519"/>
      <c r="D344" s="379"/>
      <c r="E344" s="379"/>
      <c r="F344" s="379"/>
      <c r="G344" s="380"/>
      <c r="H344" s="40"/>
      <c r="I344" s="173"/>
      <c r="J344" s="174"/>
      <c r="K344" s="41" t="str">
        <f t="shared" si="21"/>
        <v>-</v>
      </c>
      <c r="L344" s="178">
        <f t="shared" si="20"/>
        <v>0</v>
      </c>
      <c r="M344" s="159"/>
      <c r="N344" s="293"/>
      <c r="O344" s="294"/>
      <c r="P344" s="294"/>
      <c r="Q344" s="295"/>
      <c r="R344" s="3"/>
      <c r="S344" s="529"/>
      <c r="T344" s="529"/>
      <c r="U344" s="529"/>
      <c r="V344" s="529"/>
      <c r="W344" s="529"/>
      <c r="X344" s="529"/>
      <c r="Y344" s="529"/>
      <c r="Z344" s="529"/>
      <c r="AA344" s="529"/>
      <c r="AB344" s="529"/>
      <c r="AC344" s="529"/>
      <c r="AD344" s="529"/>
      <c r="AE344" s="529"/>
      <c r="AF344" s="529"/>
      <c r="AG344" s="529"/>
      <c r="AH344" s="229"/>
    </row>
    <row r="345" spans="2:34" ht="23.25" customHeight="1" x14ac:dyDescent="0.15">
      <c r="B345" s="50"/>
      <c r="C345" s="519"/>
      <c r="D345" s="379"/>
      <c r="E345" s="379"/>
      <c r="F345" s="379"/>
      <c r="G345" s="380"/>
      <c r="H345" s="40"/>
      <c r="I345" s="173"/>
      <c r="J345" s="174"/>
      <c r="K345" s="41" t="str">
        <f t="shared" si="21"/>
        <v>-</v>
      </c>
      <c r="L345" s="178">
        <f t="shared" si="20"/>
        <v>0</v>
      </c>
      <c r="M345" s="159"/>
      <c r="N345" s="293"/>
      <c r="O345" s="294"/>
      <c r="P345" s="294"/>
      <c r="Q345" s="295"/>
      <c r="R345" s="3"/>
      <c r="S345" s="529"/>
      <c r="T345" s="529"/>
      <c r="U345" s="529"/>
      <c r="V345" s="529"/>
      <c r="W345" s="529"/>
      <c r="X345" s="529"/>
      <c r="Y345" s="529"/>
      <c r="Z345" s="529"/>
      <c r="AA345" s="529"/>
      <c r="AB345" s="529"/>
      <c r="AC345" s="529"/>
      <c r="AD345" s="529"/>
      <c r="AE345" s="529"/>
      <c r="AF345" s="529"/>
      <c r="AG345" s="529"/>
      <c r="AH345" s="229"/>
    </row>
    <row r="346" spans="2:34" ht="23.25" customHeight="1" x14ac:dyDescent="0.15">
      <c r="B346" s="50"/>
      <c r="C346" s="519"/>
      <c r="D346" s="379"/>
      <c r="E346" s="379"/>
      <c r="F346" s="379"/>
      <c r="G346" s="380"/>
      <c r="H346" s="40"/>
      <c r="I346" s="173"/>
      <c r="J346" s="174"/>
      <c r="K346" s="41" t="str">
        <f t="shared" si="21"/>
        <v>-</v>
      </c>
      <c r="L346" s="178">
        <f t="shared" si="20"/>
        <v>0</v>
      </c>
      <c r="M346" s="159"/>
      <c r="N346" s="293"/>
      <c r="O346" s="294"/>
      <c r="P346" s="294"/>
      <c r="Q346" s="295"/>
      <c r="R346" s="3"/>
      <c r="S346" s="529"/>
      <c r="T346" s="529"/>
      <c r="U346" s="529"/>
      <c r="V346" s="529"/>
      <c r="W346" s="529"/>
      <c r="X346" s="529"/>
      <c r="Y346" s="529"/>
      <c r="Z346" s="529"/>
      <c r="AA346" s="529"/>
      <c r="AB346" s="529"/>
      <c r="AC346" s="529"/>
      <c r="AD346" s="529"/>
      <c r="AE346" s="529"/>
      <c r="AF346" s="529"/>
      <c r="AG346" s="529"/>
      <c r="AH346" s="229"/>
    </row>
    <row r="347" spans="2:34" ht="23.25" customHeight="1" x14ac:dyDescent="0.15">
      <c r="B347" s="50"/>
      <c r="C347" s="519"/>
      <c r="D347" s="379"/>
      <c r="E347" s="379"/>
      <c r="F347" s="379"/>
      <c r="G347" s="380"/>
      <c r="H347" s="40"/>
      <c r="I347" s="173"/>
      <c r="J347" s="174"/>
      <c r="K347" s="41" t="str">
        <f t="shared" si="21"/>
        <v>-</v>
      </c>
      <c r="L347" s="178">
        <f t="shared" si="20"/>
        <v>0</v>
      </c>
      <c r="M347" s="159"/>
      <c r="N347" s="293"/>
      <c r="O347" s="294"/>
      <c r="P347" s="294"/>
      <c r="Q347" s="295"/>
      <c r="R347" s="3"/>
      <c r="S347" s="529"/>
      <c r="T347" s="529"/>
      <c r="U347" s="529"/>
      <c r="V347" s="529"/>
      <c r="W347" s="529"/>
      <c r="X347" s="529"/>
      <c r="Y347" s="529"/>
      <c r="Z347" s="529"/>
      <c r="AA347" s="529"/>
      <c r="AB347" s="529"/>
      <c r="AC347" s="529"/>
      <c r="AD347" s="529"/>
      <c r="AE347" s="529"/>
      <c r="AF347" s="529"/>
      <c r="AG347" s="529"/>
      <c r="AH347" s="229"/>
    </row>
    <row r="348" spans="2:34" ht="23.25" customHeight="1" x14ac:dyDescent="0.15">
      <c r="B348" s="50"/>
      <c r="C348" s="519"/>
      <c r="D348" s="379"/>
      <c r="E348" s="379"/>
      <c r="F348" s="379"/>
      <c r="G348" s="380"/>
      <c r="H348" s="40"/>
      <c r="I348" s="173"/>
      <c r="J348" s="174"/>
      <c r="K348" s="41" t="str">
        <f t="shared" si="21"/>
        <v>-</v>
      </c>
      <c r="L348" s="178">
        <f t="shared" si="20"/>
        <v>0</v>
      </c>
      <c r="M348" s="159"/>
      <c r="N348" s="293"/>
      <c r="O348" s="294"/>
      <c r="P348" s="294"/>
      <c r="Q348" s="295"/>
      <c r="R348" s="3"/>
      <c r="S348" s="529"/>
      <c r="T348" s="529"/>
      <c r="U348" s="529"/>
      <c r="V348" s="529"/>
      <c r="W348" s="529"/>
      <c r="X348" s="529"/>
      <c r="Y348" s="529"/>
      <c r="Z348" s="529"/>
      <c r="AA348" s="529"/>
      <c r="AB348" s="529"/>
      <c r="AC348" s="529"/>
      <c r="AD348" s="529"/>
      <c r="AE348" s="529"/>
      <c r="AF348" s="529"/>
      <c r="AG348" s="529"/>
      <c r="AH348" s="229"/>
    </row>
    <row r="349" spans="2:34" ht="23.25" customHeight="1" x14ac:dyDescent="0.15">
      <c r="B349" s="50"/>
      <c r="C349" s="519"/>
      <c r="D349" s="379"/>
      <c r="E349" s="379"/>
      <c r="F349" s="379"/>
      <c r="G349" s="380"/>
      <c r="H349" s="40"/>
      <c r="I349" s="173"/>
      <c r="J349" s="174"/>
      <c r="K349" s="41" t="str">
        <f t="shared" si="21"/>
        <v>-</v>
      </c>
      <c r="L349" s="178">
        <f t="shared" si="20"/>
        <v>0</v>
      </c>
      <c r="M349" s="159"/>
      <c r="N349" s="293"/>
      <c r="O349" s="294"/>
      <c r="P349" s="294"/>
      <c r="Q349" s="295"/>
      <c r="R349" s="3"/>
      <c r="S349" s="529"/>
      <c r="T349" s="529"/>
      <c r="U349" s="529"/>
      <c r="V349" s="529"/>
      <c r="W349" s="529"/>
      <c r="X349" s="529"/>
      <c r="Y349" s="529"/>
      <c r="Z349" s="529"/>
      <c r="AA349" s="529"/>
      <c r="AB349" s="529"/>
      <c r="AC349" s="529"/>
      <c r="AD349" s="529"/>
      <c r="AE349" s="529"/>
      <c r="AF349" s="529"/>
      <c r="AG349" s="529"/>
      <c r="AH349" s="229"/>
    </row>
    <row r="350" spans="2:34" ht="23.25" customHeight="1" x14ac:dyDescent="0.15">
      <c r="B350" s="50"/>
      <c r="C350" s="519"/>
      <c r="D350" s="379"/>
      <c r="E350" s="379"/>
      <c r="F350" s="379"/>
      <c r="G350" s="380"/>
      <c r="H350" s="40"/>
      <c r="I350" s="173"/>
      <c r="J350" s="174"/>
      <c r="K350" s="41" t="str">
        <f t="shared" si="21"/>
        <v>-</v>
      </c>
      <c r="L350" s="178">
        <f t="shared" si="20"/>
        <v>0</v>
      </c>
      <c r="M350" s="159"/>
      <c r="N350" s="293"/>
      <c r="O350" s="294"/>
      <c r="P350" s="294"/>
      <c r="Q350" s="295"/>
      <c r="R350" s="3"/>
      <c r="S350" s="529"/>
      <c r="T350" s="529"/>
      <c r="U350" s="529"/>
      <c r="V350" s="529"/>
      <c r="W350" s="529"/>
      <c r="X350" s="529"/>
      <c r="Y350" s="529"/>
      <c r="Z350" s="529"/>
      <c r="AA350" s="529"/>
      <c r="AB350" s="529"/>
      <c r="AC350" s="529"/>
      <c r="AD350" s="529"/>
      <c r="AE350" s="529"/>
      <c r="AF350" s="529"/>
      <c r="AG350" s="529"/>
      <c r="AH350" s="229"/>
    </row>
    <row r="351" spans="2:34" ht="23.25" customHeight="1" x14ac:dyDescent="0.15">
      <c r="B351" s="50"/>
      <c r="C351" s="519"/>
      <c r="D351" s="379"/>
      <c r="E351" s="379"/>
      <c r="F351" s="379"/>
      <c r="G351" s="380"/>
      <c r="H351" s="40"/>
      <c r="I351" s="173"/>
      <c r="J351" s="174"/>
      <c r="K351" s="41" t="str">
        <f t="shared" si="21"/>
        <v>-</v>
      </c>
      <c r="L351" s="178">
        <f t="shared" si="20"/>
        <v>0</v>
      </c>
      <c r="M351" s="159"/>
      <c r="N351" s="293"/>
      <c r="O351" s="294"/>
      <c r="P351" s="294"/>
      <c r="Q351" s="295"/>
      <c r="R351" s="3"/>
      <c r="S351" s="529"/>
      <c r="T351" s="529"/>
      <c r="U351" s="529"/>
      <c r="V351" s="529"/>
      <c r="W351" s="529"/>
      <c r="X351" s="529"/>
      <c r="Y351" s="529"/>
      <c r="Z351" s="529"/>
      <c r="AA351" s="529"/>
      <c r="AB351" s="529"/>
      <c r="AC351" s="529"/>
      <c r="AD351" s="529"/>
      <c r="AE351" s="529"/>
      <c r="AF351" s="529"/>
      <c r="AG351" s="529"/>
      <c r="AH351" s="229"/>
    </row>
    <row r="352" spans="2:34" ht="23.25" customHeight="1" x14ac:dyDescent="0.15">
      <c r="B352" s="50"/>
      <c r="C352" s="519"/>
      <c r="D352" s="379"/>
      <c r="E352" s="379"/>
      <c r="F352" s="379"/>
      <c r="G352" s="380"/>
      <c r="H352" s="40"/>
      <c r="I352" s="173"/>
      <c r="J352" s="174"/>
      <c r="K352" s="41" t="str">
        <f t="shared" si="21"/>
        <v>-</v>
      </c>
      <c r="L352" s="178">
        <f t="shared" si="20"/>
        <v>0</v>
      </c>
      <c r="M352" s="159"/>
      <c r="N352" s="293"/>
      <c r="O352" s="294"/>
      <c r="P352" s="294"/>
      <c r="Q352" s="295"/>
      <c r="R352" s="3"/>
      <c r="S352" s="529"/>
      <c r="T352" s="529"/>
      <c r="U352" s="529"/>
      <c r="V352" s="529"/>
      <c r="W352" s="529"/>
      <c r="X352" s="529"/>
      <c r="Y352" s="529"/>
      <c r="Z352" s="529"/>
      <c r="AA352" s="529"/>
      <c r="AB352" s="529"/>
      <c r="AC352" s="529"/>
      <c r="AD352" s="529"/>
      <c r="AE352" s="529"/>
      <c r="AF352" s="529"/>
      <c r="AG352" s="529"/>
      <c r="AH352" s="229"/>
    </row>
    <row r="353" spans="2:34" ht="23.25" customHeight="1" x14ac:dyDescent="0.15">
      <c r="B353" s="50"/>
      <c r="C353" s="519"/>
      <c r="D353" s="379"/>
      <c r="E353" s="379"/>
      <c r="F353" s="379"/>
      <c r="G353" s="380"/>
      <c r="H353" s="40"/>
      <c r="I353" s="173"/>
      <c r="J353" s="174"/>
      <c r="K353" s="41" t="str">
        <f t="shared" si="21"/>
        <v>-</v>
      </c>
      <c r="L353" s="178">
        <f t="shared" si="20"/>
        <v>0</v>
      </c>
      <c r="M353" s="159"/>
      <c r="N353" s="293"/>
      <c r="O353" s="294"/>
      <c r="P353" s="294"/>
      <c r="Q353" s="295"/>
      <c r="R353" s="3"/>
      <c r="S353" s="529"/>
      <c r="T353" s="529"/>
      <c r="U353" s="529"/>
      <c r="V353" s="529"/>
      <c r="W353" s="529"/>
      <c r="X353" s="529"/>
      <c r="Y353" s="529"/>
      <c r="Z353" s="529"/>
      <c r="AA353" s="529"/>
      <c r="AB353" s="529"/>
      <c r="AC353" s="529"/>
      <c r="AD353" s="529"/>
      <c r="AE353" s="529"/>
      <c r="AF353" s="529"/>
      <c r="AG353" s="529"/>
      <c r="AH353" s="229"/>
    </row>
    <row r="354" spans="2:34" ht="23.25" customHeight="1" x14ac:dyDescent="0.15">
      <c r="B354" s="50"/>
      <c r="C354" s="519"/>
      <c r="D354" s="379"/>
      <c r="E354" s="379"/>
      <c r="F354" s="379"/>
      <c r="G354" s="380"/>
      <c r="H354" s="40"/>
      <c r="I354" s="173"/>
      <c r="J354" s="174"/>
      <c r="K354" s="41" t="str">
        <f t="shared" si="21"/>
        <v>-</v>
      </c>
      <c r="L354" s="178">
        <f t="shared" si="20"/>
        <v>0</v>
      </c>
      <c r="M354" s="159"/>
      <c r="N354" s="293"/>
      <c r="O354" s="294"/>
      <c r="P354" s="294"/>
      <c r="Q354" s="295"/>
      <c r="R354" s="3"/>
      <c r="S354" s="529"/>
      <c r="T354" s="529"/>
      <c r="U354" s="529"/>
      <c r="V354" s="529"/>
      <c r="W354" s="529"/>
      <c r="X354" s="529"/>
      <c r="Y354" s="529"/>
      <c r="Z354" s="529"/>
      <c r="AA354" s="529"/>
      <c r="AB354" s="529"/>
      <c r="AC354" s="529"/>
      <c r="AD354" s="529"/>
      <c r="AE354" s="529"/>
      <c r="AF354" s="529"/>
      <c r="AG354" s="529"/>
      <c r="AH354" s="229"/>
    </row>
    <row r="355" spans="2:34" ht="23.25" customHeight="1" x14ac:dyDescent="0.15">
      <c r="B355" s="50"/>
      <c r="C355" s="519"/>
      <c r="D355" s="379"/>
      <c r="E355" s="379"/>
      <c r="F355" s="379"/>
      <c r="G355" s="380"/>
      <c r="H355" s="40"/>
      <c r="I355" s="173"/>
      <c r="J355" s="174"/>
      <c r="K355" s="41" t="str">
        <f t="shared" si="21"/>
        <v>-</v>
      </c>
      <c r="L355" s="178">
        <f t="shared" si="20"/>
        <v>0</v>
      </c>
      <c r="M355" s="159"/>
      <c r="N355" s="293"/>
      <c r="O355" s="294"/>
      <c r="P355" s="294"/>
      <c r="Q355" s="295"/>
      <c r="R355" s="3"/>
      <c r="S355" s="529"/>
      <c r="T355" s="529"/>
      <c r="U355" s="529"/>
      <c r="V355" s="529"/>
      <c r="W355" s="529"/>
      <c r="X355" s="529"/>
      <c r="Y355" s="529"/>
      <c r="Z355" s="529"/>
      <c r="AA355" s="529"/>
      <c r="AB355" s="529"/>
      <c r="AC355" s="529"/>
      <c r="AD355" s="529"/>
      <c r="AE355" s="529"/>
      <c r="AF355" s="529"/>
      <c r="AG355" s="529"/>
      <c r="AH355" s="229"/>
    </row>
    <row r="356" spans="2:34" ht="23.25" customHeight="1" x14ac:dyDescent="0.15">
      <c r="B356" s="50"/>
      <c r="C356" s="519"/>
      <c r="D356" s="379"/>
      <c r="E356" s="379"/>
      <c r="F356" s="379"/>
      <c r="G356" s="380"/>
      <c r="H356" s="40"/>
      <c r="I356" s="173"/>
      <c r="J356" s="174"/>
      <c r="K356" s="41" t="str">
        <f t="shared" si="21"/>
        <v>-</v>
      </c>
      <c r="L356" s="178">
        <f t="shared" si="20"/>
        <v>0</v>
      </c>
      <c r="M356" s="159"/>
      <c r="N356" s="293"/>
      <c r="O356" s="294"/>
      <c r="P356" s="294"/>
      <c r="Q356" s="295"/>
      <c r="R356" s="3"/>
      <c r="S356" s="529"/>
      <c r="T356" s="529"/>
      <c r="U356" s="529"/>
      <c r="V356" s="529"/>
      <c r="W356" s="529"/>
      <c r="X356" s="529"/>
      <c r="Y356" s="529"/>
      <c r="Z356" s="529"/>
      <c r="AA356" s="529"/>
      <c r="AB356" s="529"/>
      <c r="AC356" s="529"/>
      <c r="AD356" s="529"/>
      <c r="AE356" s="529"/>
      <c r="AF356" s="529"/>
      <c r="AG356" s="529"/>
      <c r="AH356" s="229"/>
    </row>
    <row r="357" spans="2:34" ht="23.25" customHeight="1" x14ac:dyDescent="0.15">
      <c r="B357" s="50"/>
      <c r="C357" s="519"/>
      <c r="D357" s="379"/>
      <c r="E357" s="379"/>
      <c r="F357" s="379"/>
      <c r="G357" s="380"/>
      <c r="H357" s="40"/>
      <c r="I357" s="173"/>
      <c r="J357" s="174"/>
      <c r="K357" s="41" t="str">
        <f t="shared" si="21"/>
        <v>-</v>
      </c>
      <c r="L357" s="178">
        <f t="shared" si="20"/>
        <v>0</v>
      </c>
      <c r="M357" s="159"/>
      <c r="N357" s="293"/>
      <c r="O357" s="294"/>
      <c r="P357" s="294"/>
      <c r="Q357" s="295"/>
      <c r="R357" s="3"/>
      <c r="S357" s="529"/>
      <c r="T357" s="529"/>
      <c r="U357" s="529"/>
      <c r="V357" s="529"/>
      <c r="W357" s="529"/>
      <c r="X357" s="529"/>
      <c r="Y357" s="529"/>
      <c r="Z357" s="529"/>
      <c r="AA357" s="529"/>
      <c r="AB357" s="529"/>
      <c r="AC357" s="529"/>
      <c r="AD357" s="529"/>
      <c r="AE357" s="529"/>
      <c r="AF357" s="529"/>
      <c r="AG357" s="529"/>
      <c r="AH357" s="229"/>
    </row>
    <row r="358" spans="2:34" ht="23.25" customHeight="1" x14ac:dyDescent="0.15">
      <c r="B358" s="50"/>
      <c r="C358" s="519"/>
      <c r="D358" s="379"/>
      <c r="E358" s="379"/>
      <c r="F358" s="379"/>
      <c r="G358" s="380"/>
      <c r="H358" s="40"/>
      <c r="I358" s="173"/>
      <c r="J358" s="174"/>
      <c r="K358" s="41" t="str">
        <f t="shared" si="21"/>
        <v>-</v>
      </c>
      <c r="L358" s="178">
        <f t="shared" si="20"/>
        <v>0</v>
      </c>
      <c r="M358" s="159"/>
      <c r="N358" s="293"/>
      <c r="O358" s="294"/>
      <c r="P358" s="294"/>
      <c r="Q358" s="295"/>
      <c r="R358" s="3"/>
      <c r="S358" s="529"/>
      <c r="T358" s="529"/>
      <c r="U358" s="529"/>
      <c r="V358" s="529"/>
      <c r="W358" s="529"/>
      <c r="X358" s="529"/>
      <c r="Y358" s="529"/>
      <c r="Z358" s="529"/>
      <c r="AA358" s="529"/>
      <c r="AB358" s="529"/>
      <c r="AC358" s="529"/>
      <c r="AD358" s="529"/>
      <c r="AE358" s="529"/>
      <c r="AF358" s="529"/>
      <c r="AG358" s="529"/>
      <c r="AH358" s="229"/>
    </row>
    <row r="359" spans="2:34" ht="23.25" customHeight="1" x14ac:dyDescent="0.15">
      <c r="B359" s="50"/>
      <c r="C359" s="519"/>
      <c r="D359" s="379"/>
      <c r="E359" s="379"/>
      <c r="F359" s="379"/>
      <c r="G359" s="380"/>
      <c r="H359" s="40"/>
      <c r="I359" s="173"/>
      <c r="J359" s="174"/>
      <c r="K359" s="41" t="str">
        <f t="shared" si="21"/>
        <v>-</v>
      </c>
      <c r="L359" s="178">
        <f t="shared" ref="L359:L416" si="22">IFERROR(J359-I359,"-")</f>
        <v>0</v>
      </c>
      <c r="M359" s="159"/>
      <c r="N359" s="293"/>
      <c r="O359" s="294"/>
      <c r="P359" s="294"/>
      <c r="Q359" s="295"/>
      <c r="R359" s="3"/>
      <c r="S359" s="529"/>
      <c r="T359" s="529"/>
      <c r="U359" s="529"/>
      <c r="V359" s="529"/>
      <c r="W359" s="529"/>
      <c r="X359" s="529"/>
      <c r="Y359" s="529"/>
      <c r="Z359" s="529"/>
      <c r="AA359" s="529"/>
      <c r="AB359" s="529"/>
      <c r="AC359" s="529"/>
      <c r="AD359" s="529"/>
      <c r="AE359" s="529"/>
      <c r="AF359" s="529"/>
      <c r="AG359" s="529"/>
      <c r="AH359" s="229"/>
    </row>
    <row r="360" spans="2:34" ht="23.25" customHeight="1" x14ac:dyDescent="0.15">
      <c r="B360" s="50"/>
      <c r="C360" s="519"/>
      <c r="D360" s="379"/>
      <c r="E360" s="379"/>
      <c r="F360" s="379"/>
      <c r="G360" s="380"/>
      <c r="H360" s="40"/>
      <c r="I360" s="173"/>
      <c r="J360" s="174"/>
      <c r="K360" s="41" t="str">
        <f t="shared" si="21"/>
        <v>-</v>
      </c>
      <c r="L360" s="178">
        <f t="shared" si="22"/>
        <v>0</v>
      </c>
      <c r="M360" s="159"/>
      <c r="N360" s="293"/>
      <c r="O360" s="294"/>
      <c r="P360" s="294"/>
      <c r="Q360" s="295"/>
      <c r="R360" s="3"/>
      <c r="S360" s="529"/>
      <c r="T360" s="529"/>
      <c r="U360" s="529"/>
      <c r="V360" s="529"/>
      <c r="W360" s="529"/>
      <c r="X360" s="529"/>
      <c r="Y360" s="529"/>
      <c r="Z360" s="529"/>
      <c r="AA360" s="529"/>
      <c r="AB360" s="529"/>
      <c r="AC360" s="529"/>
      <c r="AD360" s="529"/>
      <c r="AE360" s="529"/>
      <c r="AF360" s="529"/>
      <c r="AG360" s="529"/>
      <c r="AH360" s="229"/>
    </row>
    <row r="361" spans="2:34" ht="23.25" customHeight="1" x14ac:dyDescent="0.15">
      <c r="B361" s="50"/>
      <c r="C361" s="519"/>
      <c r="D361" s="379"/>
      <c r="E361" s="379"/>
      <c r="F361" s="379"/>
      <c r="G361" s="380"/>
      <c r="H361" s="40"/>
      <c r="I361" s="173"/>
      <c r="J361" s="174"/>
      <c r="K361" s="41" t="str">
        <f t="shared" si="21"/>
        <v>-</v>
      </c>
      <c r="L361" s="178">
        <f t="shared" si="22"/>
        <v>0</v>
      </c>
      <c r="M361" s="159"/>
      <c r="N361" s="293"/>
      <c r="O361" s="294"/>
      <c r="P361" s="294"/>
      <c r="Q361" s="295"/>
      <c r="R361" s="3"/>
      <c r="S361" s="529"/>
      <c r="T361" s="529"/>
      <c r="U361" s="529"/>
      <c r="V361" s="529"/>
      <c r="W361" s="529"/>
      <c r="X361" s="529"/>
      <c r="Y361" s="529"/>
      <c r="Z361" s="529"/>
      <c r="AA361" s="529"/>
      <c r="AB361" s="529"/>
      <c r="AC361" s="529"/>
      <c r="AD361" s="529"/>
      <c r="AE361" s="529"/>
      <c r="AF361" s="529"/>
      <c r="AG361" s="529"/>
      <c r="AH361" s="229"/>
    </row>
    <row r="362" spans="2:34" ht="23.25" customHeight="1" x14ac:dyDescent="0.15">
      <c r="B362" s="50"/>
      <c r="C362" s="519"/>
      <c r="D362" s="379"/>
      <c r="E362" s="379"/>
      <c r="F362" s="379"/>
      <c r="G362" s="380"/>
      <c r="H362" s="40"/>
      <c r="I362" s="173"/>
      <c r="J362" s="174"/>
      <c r="K362" s="41" t="str">
        <f t="shared" si="21"/>
        <v>-</v>
      </c>
      <c r="L362" s="178">
        <f t="shared" si="22"/>
        <v>0</v>
      </c>
      <c r="M362" s="159"/>
      <c r="N362" s="293"/>
      <c r="O362" s="294"/>
      <c r="P362" s="294"/>
      <c r="Q362" s="295"/>
      <c r="R362" s="3"/>
      <c r="S362" s="529"/>
      <c r="T362" s="529"/>
      <c r="U362" s="529"/>
      <c r="V362" s="529"/>
      <c r="W362" s="529"/>
      <c r="X362" s="529"/>
      <c r="Y362" s="529"/>
      <c r="Z362" s="529"/>
      <c r="AA362" s="529"/>
      <c r="AB362" s="529"/>
      <c r="AC362" s="529"/>
      <c r="AD362" s="529"/>
      <c r="AE362" s="529"/>
      <c r="AF362" s="529"/>
      <c r="AG362" s="529"/>
      <c r="AH362" s="229"/>
    </row>
    <row r="363" spans="2:34" ht="23.25" customHeight="1" x14ac:dyDescent="0.15">
      <c r="B363" s="50"/>
      <c r="C363" s="519"/>
      <c r="D363" s="379"/>
      <c r="E363" s="379"/>
      <c r="F363" s="379"/>
      <c r="G363" s="380"/>
      <c r="H363" s="40"/>
      <c r="I363" s="173"/>
      <c r="J363" s="174"/>
      <c r="K363" s="41" t="str">
        <f t="shared" si="21"/>
        <v>-</v>
      </c>
      <c r="L363" s="178">
        <f t="shared" si="22"/>
        <v>0</v>
      </c>
      <c r="M363" s="159"/>
      <c r="N363" s="293"/>
      <c r="O363" s="294"/>
      <c r="P363" s="294"/>
      <c r="Q363" s="295"/>
      <c r="R363" s="3"/>
      <c r="S363" s="529"/>
      <c r="T363" s="529"/>
      <c r="U363" s="529"/>
      <c r="V363" s="529"/>
      <c r="W363" s="529"/>
      <c r="X363" s="529"/>
      <c r="Y363" s="529"/>
      <c r="Z363" s="529"/>
      <c r="AA363" s="529"/>
      <c r="AB363" s="529"/>
      <c r="AC363" s="529"/>
      <c r="AD363" s="529"/>
      <c r="AE363" s="529"/>
      <c r="AF363" s="529"/>
      <c r="AG363" s="529"/>
      <c r="AH363" s="229"/>
    </row>
    <row r="364" spans="2:34" ht="23.25" customHeight="1" x14ac:dyDescent="0.15">
      <c r="B364" s="50"/>
      <c r="C364" s="519"/>
      <c r="D364" s="379"/>
      <c r="E364" s="379"/>
      <c r="F364" s="379"/>
      <c r="G364" s="380"/>
      <c r="H364" s="40"/>
      <c r="I364" s="173"/>
      <c r="J364" s="174"/>
      <c r="K364" s="41" t="str">
        <f t="shared" si="21"/>
        <v>-</v>
      </c>
      <c r="L364" s="178">
        <f t="shared" si="22"/>
        <v>0</v>
      </c>
      <c r="M364" s="159"/>
      <c r="N364" s="293"/>
      <c r="O364" s="294"/>
      <c r="P364" s="294"/>
      <c r="Q364" s="295"/>
      <c r="R364" s="3"/>
      <c r="S364" s="529"/>
      <c r="T364" s="529"/>
      <c r="U364" s="529"/>
      <c r="V364" s="529"/>
      <c r="W364" s="529"/>
      <c r="X364" s="529"/>
      <c r="Y364" s="529"/>
      <c r="Z364" s="529"/>
      <c r="AA364" s="529"/>
      <c r="AB364" s="529"/>
      <c r="AC364" s="529"/>
      <c r="AD364" s="529"/>
      <c r="AE364" s="529"/>
      <c r="AF364" s="529"/>
      <c r="AG364" s="529"/>
      <c r="AH364" s="229"/>
    </row>
    <row r="365" spans="2:34" ht="23.25" customHeight="1" x14ac:dyDescent="0.15">
      <c r="B365" s="50"/>
      <c r="C365" s="519"/>
      <c r="D365" s="379"/>
      <c r="E365" s="379"/>
      <c r="F365" s="379"/>
      <c r="G365" s="380"/>
      <c r="H365" s="40"/>
      <c r="I365" s="173"/>
      <c r="J365" s="174"/>
      <c r="K365" s="41" t="str">
        <f t="shared" si="21"/>
        <v>-</v>
      </c>
      <c r="L365" s="178">
        <f t="shared" si="22"/>
        <v>0</v>
      </c>
      <c r="M365" s="159"/>
      <c r="N365" s="293"/>
      <c r="O365" s="294"/>
      <c r="P365" s="294"/>
      <c r="Q365" s="295"/>
      <c r="R365" s="3"/>
      <c r="S365" s="529"/>
      <c r="T365" s="529"/>
      <c r="U365" s="529"/>
      <c r="V365" s="529"/>
      <c r="W365" s="529"/>
      <c r="X365" s="529"/>
      <c r="Y365" s="529"/>
      <c r="Z365" s="529"/>
      <c r="AA365" s="529"/>
      <c r="AB365" s="529"/>
      <c r="AC365" s="529"/>
      <c r="AD365" s="529"/>
      <c r="AE365" s="529"/>
      <c r="AF365" s="529"/>
      <c r="AG365" s="529"/>
      <c r="AH365" s="229"/>
    </row>
    <row r="366" spans="2:34" ht="23.25" customHeight="1" x14ac:dyDescent="0.15">
      <c r="B366" s="50"/>
      <c r="C366" s="519"/>
      <c r="D366" s="379"/>
      <c r="E366" s="379"/>
      <c r="F366" s="379"/>
      <c r="G366" s="380"/>
      <c r="H366" s="40"/>
      <c r="I366" s="173"/>
      <c r="J366" s="174"/>
      <c r="K366" s="41" t="str">
        <f t="shared" si="21"/>
        <v>-</v>
      </c>
      <c r="L366" s="178">
        <f t="shared" si="22"/>
        <v>0</v>
      </c>
      <c r="M366" s="159"/>
      <c r="N366" s="293"/>
      <c r="O366" s="294"/>
      <c r="P366" s="294"/>
      <c r="Q366" s="295"/>
      <c r="R366" s="3"/>
      <c r="S366" s="529"/>
      <c r="T366" s="529"/>
      <c r="U366" s="529"/>
      <c r="V366" s="529"/>
      <c r="W366" s="529"/>
      <c r="X366" s="529"/>
      <c r="Y366" s="529"/>
      <c r="Z366" s="529"/>
      <c r="AA366" s="529"/>
      <c r="AB366" s="529"/>
      <c r="AC366" s="529"/>
      <c r="AD366" s="529"/>
      <c r="AE366" s="529"/>
      <c r="AF366" s="529"/>
      <c r="AG366" s="529"/>
      <c r="AH366" s="229"/>
    </row>
    <row r="367" spans="2:34" ht="23.25" customHeight="1" x14ac:dyDescent="0.15">
      <c r="B367" s="50"/>
      <c r="C367" s="519"/>
      <c r="D367" s="379"/>
      <c r="E367" s="379"/>
      <c r="F367" s="379"/>
      <c r="G367" s="380"/>
      <c r="H367" s="40"/>
      <c r="I367" s="173"/>
      <c r="J367" s="174"/>
      <c r="K367" s="41" t="str">
        <f t="shared" si="21"/>
        <v>-</v>
      </c>
      <c r="L367" s="178">
        <f t="shared" si="22"/>
        <v>0</v>
      </c>
      <c r="M367" s="159"/>
      <c r="N367" s="293"/>
      <c r="O367" s="294"/>
      <c r="P367" s="294"/>
      <c r="Q367" s="295"/>
      <c r="R367" s="3"/>
      <c r="S367" s="529"/>
      <c r="T367" s="529"/>
      <c r="U367" s="529"/>
      <c r="V367" s="529"/>
      <c r="W367" s="529"/>
      <c r="X367" s="529"/>
      <c r="Y367" s="529"/>
      <c r="Z367" s="529"/>
      <c r="AA367" s="529"/>
      <c r="AB367" s="529"/>
      <c r="AC367" s="529"/>
      <c r="AD367" s="529"/>
      <c r="AE367" s="529"/>
      <c r="AF367" s="529"/>
      <c r="AG367" s="529"/>
      <c r="AH367" s="229"/>
    </row>
    <row r="368" spans="2:34" ht="23.25" customHeight="1" x14ac:dyDescent="0.15">
      <c r="B368" s="50"/>
      <c r="C368" s="519"/>
      <c r="D368" s="379"/>
      <c r="E368" s="379"/>
      <c r="F368" s="379"/>
      <c r="G368" s="380"/>
      <c r="H368" s="40"/>
      <c r="I368" s="173"/>
      <c r="J368" s="174"/>
      <c r="K368" s="41" t="str">
        <f t="shared" si="21"/>
        <v>-</v>
      </c>
      <c r="L368" s="178">
        <f t="shared" si="22"/>
        <v>0</v>
      </c>
      <c r="M368" s="159"/>
      <c r="N368" s="293"/>
      <c r="O368" s="294"/>
      <c r="P368" s="294"/>
      <c r="Q368" s="295"/>
      <c r="R368" s="3"/>
      <c r="S368" s="529"/>
      <c r="T368" s="529"/>
      <c r="U368" s="529"/>
      <c r="V368" s="529"/>
      <c r="W368" s="529"/>
      <c r="X368" s="529"/>
      <c r="Y368" s="529"/>
      <c r="Z368" s="529"/>
      <c r="AA368" s="529"/>
      <c r="AB368" s="529"/>
      <c r="AC368" s="529"/>
      <c r="AD368" s="529"/>
      <c r="AE368" s="529"/>
      <c r="AF368" s="529"/>
      <c r="AG368" s="529"/>
      <c r="AH368" s="229"/>
    </row>
    <row r="369" spans="2:34" ht="23.25" customHeight="1" x14ac:dyDescent="0.15">
      <c r="B369" s="50"/>
      <c r="C369" s="519"/>
      <c r="D369" s="379"/>
      <c r="E369" s="379"/>
      <c r="F369" s="379"/>
      <c r="G369" s="380"/>
      <c r="H369" s="40"/>
      <c r="I369" s="173"/>
      <c r="J369" s="174"/>
      <c r="K369" s="41" t="str">
        <f t="shared" si="21"/>
        <v>-</v>
      </c>
      <c r="L369" s="178">
        <f t="shared" si="22"/>
        <v>0</v>
      </c>
      <c r="M369" s="159"/>
      <c r="N369" s="293"/>
      <c r="O369" s="294"/>
      <c r="P369" s="294"/>
      <c r="Q369" s="295"/>
      <c r="R369" s="3"/>
      <c r="S369" s="529"/>
      <c r="T369" s="529"/>
      <c r="U369" s="529"/>
      <c r="V369" s="529"/>
      <c r="W369" s="529"/>
      <c r="X369" s="529"/>
      <c r="Y369" s="529"/>
      <c r="Z369" s="529"/>
      <c r="AA369" s="529"/>
      <c r="AB369" s="529"/>
      <c r="AC369" s="529"/>
      <c r="AD369" s="529"/>
      <c r="AE369" s="529"/>
      <c r="AF369" s="529"/>
      <c r="AG369" s="529"/>
      <c r="AH369" s="229"/>
    </row>
    <row r="370" spans="2:34" ht="23.25" customHeight="1" x14ac:dyDescent="0.15">
      <c r="B370" s="50"/>
      <c r="C370" s="519"/>
      <c r="D370" s="379"/>
      <c r="E370" s="379"/>
      <c r="F370" s="379"/>
      <c r="G370" s="380"/>
      <c r="H370" s="40"/>
      <c r="I370" s="173"/>
      <c r="J370" s="174"/>
      <c r="K370" s="41" t="str">
        <f t="shared" si="21"/>
        <v>-</v>
      </c>
      <c r="L370" s="178">
        <f t="shared" si="22"/>
        <v>0</v>
      </c>
      <c r="M370" s="159"/>
      <c r="N370" s="293"/>
      <c r="O370" s="294"/>
      <c r="P370" s="294"/>
      <c r="Q370" s="295"/>
      <c r="R370" s="3"/>
      <c r="S370" s="529"/>
      <c r="T370" s="529"/>
      <c r="U370" s="529"/>
      <c r="V370" s="529"/>
      <c r="W370" s="529"/>
      <c r="X370" s="529"/>
      <c r="Y370" s="529"/>
      <c r="Z370" s="529"/>
      <c r="AA370" s="529"/>
      <c r="AB370" s="529"/>
      <c r="AC370" s="529"/>
      <c r="AD370" s="529"/>
      <c r="AE370" s="529"/>
      <c r="AF370" s="529"/>
      <c r="AG370" s="529"/>
      <c r="AH370" s="229"/>
    </row>
    <row r="371" spans="2:34" ht="23.25" customHeight="1" x14ac:dyDescent="0.15">
      <c r="B371" s="50"/>
      <c r="C371" s="519"/>
      <c r="D371" s="379"/>
      <c r="E371" s="379"/>
      <c r="F371" s="379"/>
      <c r="G371" s="380"/>
      <c r="H371" s="40"/>
      <c r="I371" s="173"/>
      <c r="J371" s="174"/>
      <c r="K371" s="41" t="str">
        <f t="shared" si="21"/>
        <v>-</v>
      </c>
      <c r="L371" s="178">
        <f t="shared" si="22"/>
        <v>0</v>
      </c>
      <c r="M371" s="159"/>
      <c r="N371" s="293"/>
      <c r="O371" s="294"/>
      <c r="P371" s="294"/>
      <c r="Q371" s="295"/>
      <c r="R371" s="3"/>
      <c r="S371" s="529"/>
      <c r="T371" s="529"/>
      <c r="U371" s="529"/>
      <c r="V371" s="529"/>
      <c r="W371" s="529"/>
      <c r="X371" s="529"/>
      <c r="Y371" s="529"/>
      <c r="Z371" s="529"/>
      <c r="AA371" s="529"/>
      <c r="AB371" s="529"/>
      <c r="AC371" s="529"/>
      <c r="AD371" s="529"/>
      <c r="AE371" s="529"/>
      <c r="AF371" s="529"/>
      <c r="AG371" s="529"/>
      <c r="AH371" s="229"/>
    </row>
    <row r="372" spans="2:34" ht="23.25" customHeight="1" x14ac:dyDescent="0.15">
      <c r="B372" s="50"/>
      <c r="C372" s="519"/>
      <c r="D372" s="379"/>
      <c r="E372" s="379"/>
      <c r="F372" s="379"/>
      <c r="G372" s="380"/>
      <c r="H372" s="40"/>
      <c r="I372" s="173"/>
      <c r="J372" s="174"/>
      <c r="K372" s="41" t="str">
        <f t="shared" si="21"/>
        <v>-</v>
      </c>
      <c r="L372" s="178">
        <f t="shared" si="22"/>
        <v>0</v>
      </c>
      <c r="M372" s="159"/>
      <c r="N372" s="293"/>
      <c r="O372" s="294"/>
      <c r="P372" s="294"/>
      <c r="Q372" s="295"/>
      <c r="R372" s="3"/>
      <c r="S372" s="529"/>
      <c r="T372" s="529"/>
      <c r="U372" s="529"/>
      <c r="V372" s="529"/>
      <c r="W372" s="529"/>
      <c r="X372" s="529"/>
      <c r="Y372" s="529"/>
      <c r="Z372" s="529"/>
      <c r="AA372" s="529"/>
      <c r="AB372" s="529"/>
      <c r="AC372" s="529"/>
      <c r="AD372" s="529"/>
      <c r="AE372" s="529"/>
      <c r="AF372" s="529"/>
      <c r="AG372" s="529"/>
      <c r="AH372" s="229"/>
    </row>
    <row r="373" spans="2:34" ht="23.25" customHeight="1" x14ac:dyDescent="0.15">
      <c r="B373" s="50"/>
      <c r="C373" s="519"/>
      <c r="D373" s="379"/>
      <c r="E373" s="379"/>
      <c r="F373" s="379"/>
      <c r="G373" s="380"/>
      <c r="H373" s="40"/>
      <c r="I373" s="173"/>
      <c r="J373" s="174"/>
      <c r="K373" s="41" t="str">
        <f t="shared" si="21"/>
        <v>-</v>
      </c>
      <c r="L373" s="178">
        <f t="shared" si="22"/>
        <v>0</v>
      </c>
      <c r="M373" s="159"/>
      <c r="N373" s="293"/>
      <c r="O373" s="294"/>
      <c r="P373" s="294"/>
      <c r="Q373" s="295"/>
      <c r="R373" s="3"/>
      <c r="S373" s="529"/>
      <c r="T373" s="529"/>
      <c r="U373" s="529"/>
      <c r="V373" s="529"/>
      <c r="W373" s="529"/>
      <c r="X373" s="529"/>
      <c r="Y373" s="529"/>
      <c r="Z373" s="529"/>
      <c r="AA373" s="529"/>
      <c r="AB373" s="529"/>
      <c r="AC373" s="529"/>
      <c r="AD373" s="529"/>
      <c r="AE373" s="529"/>
      <c r="AF373" s="529"/>
      <c r="AG373" s="529"/>
      <c r="AH373" s="229"/>
    </row>
    <row r="374" spans="2:34" ht="23.25" customHeight="1" x14ac:dyDescent="0.15">
      <c r="B374" s="50"/>
      <c r="C374" s="519"/>
      <c r="D374" s="379"/>
      <c r="E374" s="379"/>
      <c r="F374" s="379"/>
      <c r="G374" s="380"/>
      <c r="H374" s="40"/>
      <c r="I374" s="173"/>
      <c r="J374" s="174"/>
      <c r="K374" s="41" t="str">
        <f t="shared" si="21"/>
        <v>-</v>
      </c>
      <c r="L374" s="178">
        <f t="shared" si="22"/>
        <v>0</v>
      </c>
      <c r="M374" s="159"/>
      <c r="N374" s="293"/>
      <c r="O374" s="294"/>
      <c r="P374" s="294"/>
      <c r="Q374" s="295"/>
      <c r="R374" s="3"/>
      <c r="S374" s="529"/>
      <c r="T374" s="529"/>
      <c r="U374" s="529"/>
      <c r="V374" s="529"/>
      <c r="W374" s="529"/>
      <c r="X374" s="529"/>
      <c r="Y374" s="529"/>
      <c r="Z374" s="529"/>
      <c r="AA374" s="529"/>
      <c r="AB374" s="529"/>
      <c r="AC374" s="529"/>
      <c r="AD374" s="529"/>
      <c r="AE374" s="529"/>
      <c r="AF374" s="529"/>
      <c r="AG374" s="529"/>
      <c r="AH374" s="229"/>
    </row>
    <row r="375" spans="2:34" ht="23.25" customHeight="1" x14ac:dyDescent="0.15">
      <c r="B375" s="50"/>
      <c r="C375" s="519"/>
      <c r="D375" s="379"/>
      <c r="E375" s="379"/>
      <c r="F375" s="379"/>
      <c r="G375" s="380"/>
      <c r="H375" s="40"/>
      <c r="I375" s="173"/>
      <c r="J375" s="174"/>
      <c r="K375" s="41" t="str">
        <f t="shared" si="21"/>
        <v>-</v>
      </c>
      <c r="L375" s="178">
        <f t="shared" si="22"/>
        <v>0</v>
      </c>
      <c r="M375" s="159"/>
      <c r="N375" s="293"/>
      <c r="O375" s="294"/>
      <c r="P375" s="294"/>
      <c r="Q375" s="295"/>
      <c r="R375" s="3"/>
      <c r="S375" s="529"/>
      <c r="T375" s="529"/>
      <c r="U375" s="529"/>
      <c r="V375" s="529"/>
      <c r="W375" s="529"/>
      <c r="X375" s="529"/>
      <c r="Y375" s="529"/>
      <c r="Z375" s="529"/>
      <c r="AA375" s="529"/>
      <c r="AB375" s="529"/>
      <c r="AC375" s="529"/>
      <c r="AD375" s="529"/>
      <c r="AE375" s="529"/>
      <c r="AF375" s="529"/>
      <c r="AG375" s="529"/>
      <c r="AH375" s="229"/>
    </row>
    <row r="376" spans="2:34" ht="23.25" customHeight="1" x14ac:dyDescent="0.15">
      <c r="B376" s="50"/>
      <c r="C376" s="519"/>
      <c r="D376" s="379"/>
      <c r="E376" s="379"/>
      <c r="F376" s="379"/>
      <c r="G376" s="380"/>
      <c r="H376" s="40"/>
      <c r="I376" s="173"/>
      <c r="J376" s="174"/>
      <c r="K376" s="41" t="str">
        <f t="shared" si="21"/>
        <v>-</v>
      </c>
      <c r="L376" s="178">
        <f t="shared" si="22"/>
        <v>0</v>
      </c>
      <c r="M376" s="159"/>
      <c r="N376" s="293"/>
      <c r="O376" s="294"/>
      <c r="P376" s="294"/>
      <c r="Q376" s="295"/>
      <c r="R376" s="3"/>
      <c r="S376" s="529"/>
      <c r="T376" s="529"/>
      <c r="U376" s="529"/>
      <c r="V376" s="529"/>
      <c r="W376" s="529"/>
      <c r="X376" s="529"/>
      <c r="Y376" s="529"/>
      <c r="Z376" s="529"/>
      <c r="AA376" s="529"/>
      <c r="AB376" s="529"/>
      <c r="AC376" s="529"/>
      <c r="AD376" s="529"/>
      <c r="AE376" s="529"/>
      <c r="AF376" s="529"/>
      <c r="AG376" s="529"/>
      <c r="AH376" s="229"/>
    </row>
    <row r="377" spans="2:34" ht="23.25" customHeight="1" x14ac:dyDescent="0.15">
      <c r="B377" s="50"/>
      <c r="C377" s="519"/>
      <c r="D377" s="379"/>
      <c r="E377" s="379"/>
      <c r="F377" s="379"/>
      <c r="G377" s="380"/>
      <c r="H377" s="40"/>
      <c r="I377" s="173"/>
      <c r="J377" s="174"/>
      <c r="K377" s="41" t="str">
        <f t="shared" si="21"/>
        <v>-</v>
      </c>
      <c r="L377" s="178">
        <f t="shared" si="22"/>
        <v>0</v>
      </c>
      <c r="M377" s="159"/>
      <c r="N377" s="293"/>
      <c r="O377" s="294"/>
      <c r="P377" s="294"/>
      <c r="Q377" s="295"/>
      <c r="R377" s="3"/>
      <c r="S377" s="529"/>
      <c r="T377" s="529"/>
      <c r="U377" s="529"/>
      <c r="V377" s="529"/>
      <c r="W377" s="529"/>
      <c r="X377" s="529"/>
      <c r="Y377" s="529"/>
      <c r="Z377" s="529"/>
      <c r="AA377" s="529"/>
      <c r="AB377" s="529"/>
      <c r="AC377" s="529"/>
      <c r="AD377" s="529"/>
      <c r="AE377" s="529"/>
      <c r="AF377" s="529"/>
      <c r="AG377" s="529"/>
      <c r="AH377" s="229"/>
    </row>
    <row r="378" spans="2:34" ht="23.25" customHeight="1" x14ac:dyDescent="0.15">
      <c r="B378" s="50"/>
      <c r="C378" s="519"/>
      <c r="D378" s="379"/>
      <c r="E378" s="379"/>
      <c r="F378" s="379"/>
      <c r="G378" s="380"/>
      <c r="H378" s="40"/>
      <c r="I378" s="173"/>
      <c r="J378" s="174"/>
      <c r="K378" s="41" t="str">
        <f t="shared" ref="K378:K416" si="23">IFERROR(IF(I378&lt;0,IMSUB(J378,I378)/(1-I378)*100,IMSUB(J378,I378)/I378*100),"-")</f>
        <v>-</v>
      </c>
      <c r="L378" s="178">
        <f t="shared" si="22"/>
        <v>0</v>
      </c>
      <c r="M378" s="159"/>
      <c r="N378" s="293"/>
      <c r="O378" s="294"/>
      <c r="P378" s="294"/>
      <c r="Q378" s="295"/>
      <c r="R378" s="3"/>
      <c r="S378" s="529"/>
      <c r="T378" s="529"/>
      <c r="U378" s="529"/>
      <c r="V378" s="529"/>
      <c r="W378" s="529"/>
      <c r="X378" s="529"/>
      <c r="Y378" s="529"/>
      <c r="Z378" s="529"/>
      <c r="AA378" s="529"/>
      <c r="AB378" s="529"/>
      <c r="AC378" s="529"/>
      <c r="AD378" s="529"/>
      <c r="AE378" s="529"/>
      <c r="AF378" s="529"/>
      <c r="AG378" s="529"/>
      <c r="AH378" s="229"/>
    </row>
    <row r="379" spans="2:34" ht="23.25" customHeight="1" x14ac:dyDescent="0.15">
      <c r="B379" s="50"/>
      <c r="C379" s="519"/>
      <c r="D379" s="379"/>
      <c r="E379" s="379"/>
      <c r="F379" s="379"/>
      <c r="G379" s="380"/>
      <c r="H379" s="40"/>
      <c r="I379" s="173"/>
      <c r="J379" s="174"/>
      <c r="K379" s="41" t="str">
        <f t="shared" si="23"/>
        <v>-</v>
      </c>
      <c r="L379" s="178">
        <f t="shared" si="22"/>
        <v>0</v>
      </c>
      <c r="M379" s="159"/>
      <c r="N379" s="293"/>
      <c r="O379" s="294"/>
      <c r="P379" s="294"/>
      <c r="Q379" s="295"/>
      <c r="R379" s="3"/>
      <c r="S379" s="529"/>
      <c r="T379" s="529"/>
      <c r="U379" s="529"/>
      <c r="V379" s="529"/>
      <c r="W379" s="529"/>
      <c r="X379" s="529"/>
      <c r="Y379" s="529"/>
      <c r="Z379" s="529"/>
      <c r="AA379" s="529"/>
      <c r="AB379" s="529"/>
      <c r="AC379" s="529"/>
      <c r="AD379" s="529"/>
      <c r="AE379" s="529"/>
      <c r="AF379" s="529"/>
      <c r="AG379" s="529"/>
      <c r="AH379" s="229"/>
    </row>
    <row r="380" spans="2:34" ht="23.25" customHeight="1" x14ac:dyDescent="0.15">
      <c r="B380" s="50"/>
      <c r="C380" s="519"/>
      <c r="D380" s="379"/>
      <c r="E380" s="379"/>
      <c r="F380" s="379"/>
      <c r="G380" s="380"/>
      <c r="H380" s="40"/>
      <c r="I380" s="173"/>
      <c r="J380" s="174"/>
      <c r="K380" s="41" t="str">
        <f t="shared" si="23"/>
        <v>-</v>
      </c>
      <c r="L380" s="178">
        <f t="shared" si="22"/>
        <v>0</v>
      </c>
      <c r="M380" s="159"/>
      <c r="N380" s="293"/>
      <c r="O380" s="294"/>
      <c r="P380" s="294"/>
      <c r="Q380" s="295"/>
      <c r="R380" s="3"/>
      <c r="S380" s="529"/>
      <c r="T380" s="529"/>
      <c r="U380" s="529"/>
      <c r="V380" s="529"/>
      <c r="W380" s="529"/>
      <c r="X380" s="529"/>
      <c r="Y380" s="529"/>
      <c r="Z380" s="529"/>
      <c r="AA380" s="529"/>
      <c r="AB380" s="529"/>
      <c r="AC380" s="529"/>
      <c r="AD380" s="529"/>
      <c r="AE380" s="529"/>
      <c r="AF380" s="529"/>
      <c r="AG380" s="529"/>
      <c r="AH380" s="229"/>
    </row>
    <row r="381" spans="2:34" ht="23.25" customHeight="1" x14ac:dyDescent="0.15">
      <c r="B381" s="50"/>
      <c r="C381" s="519"/>
      <c r="D381" s="379"/>
      <c r="E381" s="379"/>
      <c r="F381" s="379"/>
      <c r="G381" s="380"/>
      <c r="H381" s="40"/>
      <c r="I381" s="173"/>
      <c r="J381" s="174"/>
      <c r="K381" s="41" t="str">
        <f t="shared" si="23"/>
        <v>-</v>
      </c>
      <c r="L381" s="178">
        <f t="shared" si="22"/>
        <v>0</v>
      </c>
      <c r="M381" s="159"/>
      <c r="N381" s="293"/>
      <c r="O381" s="294"/>
      <c r="P381" s="294"/>
      <c r="Q381" s="295"/>
      <c r="R381" s="3"/>
      <c r="S381" s="529"/>
      <c r="T381" s="529"/>
      <c r="U381" s="529"/>
      <c r="V381" s="529"/>
      <c r="W381" s="529"/>
      <c r="X381" s="529"/>
      <c r="Y381" s="529"/>
      <c r="Z381" s="529"/>
      <c r="AA381" s="529"/>
      <c r="AB381" s="529"/>
      <c r="AC381" s="529"/>
      <c r="AD381" s="529"/>
      <c r="AE381" s="529"/>
      <c r="AF381" s="529"/>
      <c r="AG381" s="529"/>
      <c r="AH381" s="229"/>
    </row>
    <row r="382" spans="2:34" ht="23.25" customHeight="1" x14ac:dyDescent="0.15">
      <c r="B382" s="50"/>
      <c r="C382" s="519"/>
      <c r="D382" s="379"/>
      <c r="E382" s="379"/>
      <c r="F382" s="379"/>
      <c r="G382" s="380"/>
      <c r="H382" s="40"/>
      <c r="I382" s="173"/>
      <c r="J382" s="174"/>
      <c r="K382" s="41" t="str">
        <f t="shared" si="23"/>
        <v>-</v>
      </c>
      <c r="L382" s="178">
        <f t="shared" si="22"/>
        <v>0</v>
      </c>
      <c r="M382" s="159"/>
      <c r="N382" s="293"/>
      <c r="O382" s="294"/>
      <c r="P382" s="294"/>
      <c r="Q382" s="295"/>
      <c r="R382" s="3"/>
      <c r="S382" s="529"/>
      <c r="T382" s="529"/>
      <c r="U382" s="529"/>
      <c r="V382" s="529"/>
      <c r="W382" s="529"/>
      <c r="X382" s="529"/>
      <c r="Y382" s="529"/>
      <c r="Z382" s="529"/>
      <c r="AA382" s="529"/>
      <c r="AB382" s="529"/>
      <c r="AC382" s="529"/>
      <c r="AD382" s="529"/>
      <c r="AE382" s="529"/>
      <c r="AF382" s="529"/>
      <c r="AG382" s="529"/>
      <c r="AH382" s="229"/>
    </row>
    <row r="383" spans="2:34" ht="23.25" customHeight="1" x14ac:dyDescent="0.15">
      <c r="B383" s="50"/>
      <c r="C383" s="519"/>
      <c r="D383" s="379"/>
      <c r="E383" s="379"/>
      <c r="F383" s="379"/>
      <c r="G383" s="380"/>
      <c r="H383" s="40"/>
      <c r="I383" s="173"/>
      <c r="J383" s="174"/>
      <c r="K383" s="41" t="str">
        <f t="shared" si="23"/>
        <v>-</v>
      </c>
      <c r="L383" s="178">
        <f t="shared" si="22"/>
        <v>0</v>
      </c>
      <c r="M383" s="159"/>
      <c r="N383" s="293"/>
      <c r="O383" s="294"/>
      <c r="P383" s="294"/>
      <c r="Q383" s="295"/>
      <c r="R383" s="3"/>
      <c r="S383" s="529"/>
      <c r="T383" s="529"/>
      <c r="U383" s="529"/>
      <c r="V383" s="529"/>
      <c r="W383" s="529"/>
      <c r="X383" s="529"/>
      <c r="Y383" s="529"/>
      <c r="Z383" s="529"/>
      <c r="AA383" s="529"/>
      <c r="AB383" s="529"/>
      <c r="AC383" s="529"/>
      <c r="AD383" s="529"/>
      <c r="AE383" s="529"/>
      <c r="AF383" s="529"/>
      <c r="AG383" s="529"/>
      <c r="AH383" s="229"/>
    </row>
    <row r="384" spans="2:34" ht="23.25" customHeight="1" x14ac:dyDescent="0.15">
      <c r="B384" s="50"/>
      <c r="C384" s="519"/>
      <c r="D384" s="379"/>
      <c r="E384" s="379"/>
      <c r="F384" s="379"/>
      <c r="G384" s="380"/>
      <c r="H384" s="40"/>
      <c r="I384" s="173"/>
      <c r="J384" s="174"/>
      <c r="K384" s="41" t="str">
        <f t="shared" si="23"/>
        <v>-</v>
      </c>
      <c r="L384" s="178">
        <f t="shared" si="22"/>
        <v>0</v>
      </c>
      <c r="M384" s="159"/>
      <c r="N384" s="293"/>
      <c r="O384" s="294"/>
      <c r="P384" s="294"/>
      <c r="Q384" s="295"/>
      <c r="R384" s="3"/>
      <c r="S384" s="529"/>
      <c r="T384" s="529"/>
      <c r="U384" s="529"/>
      <c r="V384" s="529"/>
      <c r="W384" s="529"/>
      <c r="X384" s="529"/>
      <c r="Y384" s="529"/>
      <c r="Z384" s="529"/>
      <c r="AA384" s="529"/>
      <c r="AB384" s="529"/>
      <c r="AC384" s="529"/>
      <c r="AD384" s="529"/>
      <c r="AE384" s="529"/>
      <c r="AF384" s="529"/>
      <c r="AG384" s="529"/>
      <c r="AH384" s="229"/>
    </row>
    <row r="385" spans="2:34" ht="23.25" customHeight="1" x14ac:dyDescent="0.15">
      <c r="B385" s="50"/>
      <c r="C385" s="519"/>
      <c r="D385" s="379"/>
      <c r="E385" s="379"/>
      <c r="F385" s="379"/>
      <c r="G385" s="380"/>
      <c r="H385" s="40"/>
      <c r="I385" s="173"/>
      <c r="J385" s="174"/>
      <c r="K385" s="41" t="str">
        <f t="shared" si="23"/>
        <v>-</v>
      </c>
      <c r="L385" s="178">
        <f t="shared" si="22"/>
        <v>0</v>
      </c>
      <c r="M385" s="159"/>
      <c r="N385" s="293"/>
      <c r="O385" s="294"/>
      <c r="P385" s="294"/>
      <c r="Q385" s="295"/>
      <c r="R385" s="3"/>
      <c r="S385" s="529"/>
      <c r="T385" s="529"/>
      <c r="U385" s="529"/>
      <c r="V385" s="529"/>
      <c r="W385" s="529"/>
      <c r="X385" s="529"/>
      <c r="Y385" s="529"/>
      <c r="Z385" s="529"/>
      <c r="AA385" s="529"/>
      <c r="AB385" s="529"/>
      <c r="AC385" s="529"/>
      <c r="AD385" s="529"/>
      <c r="AE385" s="529"/>
      <c r="AF385" s="529"/>
      <c r="AG385" s="529"/>
      <c r="AH385" s="229"/>
    </row>
    <row r="386" spans="2:34" ht="23.25" customHeight="1" x14ac:dyDescent="0.15">
      <c r="B386" s="50"/>
      <c r="C386" s="519"/>
      <c r="D386" s="379"/>
      <c r="E386" s="379"/>
      <c r="F386" s="379"/>
      <c r="G386" s="380"/>
      <c r="H386" s="40"/>
      <c r="I386" s="173"/>
      <c r="J386" s="174"/>
      <c r="K386" s="41" t="str">
        <f t="shared" si="23"/>
        <v>-</v>
      </c>
      <c r="L386" s="178">
        <f t="shared" si="22"/>
        <v>0</v>
      </c>
      <c r="M386" s="159"/>
      <c r="N386" s="293"/>
      <c r="O386" s="294"/>
      <c r="P386" s="294"/>
      <c r="Q386" s="295"/>
      <c r="R386" s="3"/>
      <c r="S386" s="529"/>
      <c r="T386" s="529"/>
      <c r="U386" s="529"/>
      <c r="V386" s="529"/>
      <c r="W386" s="529"/>
      <c r="X386" s="529"/>
      <c r="Y386" s="529"/>
      <c r="Z386" s="529"/>
      <c r="AA386" s="529"/>
      <c r="AB386" s="529"/>
      <c r="AC386" s="529"/>
      <c r="AD386" s="529"/>
      <c r="AE386" s="529"/>
      <c r="AF386" s="529"/>
      <c r="AG386" s="529"/>
      <c r="AH386" s="229"/>
    </row>
    <row r="387" spans="2:34" ht="23.25" customHeight="1" x14ac:dyDescent="0.15">
      <c r="B387" s="50"/>
      <c r="C387" s="519"/>
      <c r="D387" s="379"/>
      <c r="E387" s="379"/>
      <c r="F387" s="379"/>
      <c r="G387" s="380"/>
      <c r="H387" s="40"/>
      <c r="I387" s="173"/>
      <c r="J387" s="174"/>
      <c r="K387" s="41" t="str">
        <f t="shared" si="23"/>
        <v>-</v>
      </c>
      <c r="L387" s="178">
        <f t="shared" si="22"/>
        <v>0</v>
      </c>
      <c r="M387" s="159"/>
      <c r="N387" s="293"/>
      <c r="O387" s="294"/>
      <c r="P387" s="294"/>
      <c r="Q387" s="295"/>
      <c r="R387" s="3"/>
      <c r="S387" s="529"/>
      <c r="T387" s="529"/>
      <c r="U387" s="529"/>
      <c r="V387" s="529"/>
      <c r="W387" s="529"/>
      <c r="X387" s="529"/>
      <c r="Y387" s="529"/>
      <c r="Z387" s="529"/>
      <c r="AA387" s="529"/>
      <c r="AB387" s="529"/>
      <c r="AC387" s="529"/>
      <c r="AD387" s="529"/>
      <c r="AE387" s="529"/>
      <c r="AF387" s="529"/>
      <c r="AG387" s="529"/>
      <c r="AH387" s="229"/>
    </row>
    <row r="388" spans="2:34" ht="23.25" customHeight="1" x14ac:dyDescent="0.15">
      <c r="B388" s="50"/>
      <c r="C388" s="519"/>
      <c r="D388" s="379"/>
      <c r="E388" s="379"/>
      <c r="F388" s="379"/>
      <c r="G388" s="380"/>
      <c r="H388" s="40"/>
      <c r="I388" s="173"/>
      <c r="J388" s="174"/>
      <c r="K388" s="41" t="str">
        <f t="shared" si="23"/>
        <v>-</v>
      </c>
      <c r="L388" s="178">
        <f t="shared" si="22"/>
        <v>0</v>
      </c>
      <c r="M388" s="159"/>
      <c r="N388" s="293"/>
      <c r="O388" s="294"/>
      <c r="P388" s="294"/>
      <c r="Q388" s="295"/>
      <c r="R388" s="3"/>
      <c r="S388" s="529"/>
      <c r="T388" s="529"/>
      <c r="U388" s="529"/>
      <c r="V388" s="529"/>
      <c r="W388" s="529"/>
      <c r="X388" s="529"/>
      <c r="Y388" s="529"/>
      <c r="Z388" s="529"/>
      <c r="AA388" s="529"/>
      <c r="AB388" s="529"/>
      <c r="AC388" s="529"/>
      <c r="AD388" s="529"/>
      <c r="AE388" s="529"/>
      <c r="AF388" s="529"/>
      <c r="AG388" s="529"/>
      <c r="AH388" s="229"/>
    </row>
    <row r="389" spans="2:34" ht="23.25" customHeight="1" x14ac:dyDescent="0.15">
      <c r="B389" s="50"/>
      <c r="C389" s="519"/>
      <c r="D389" s="379"/>
      <c r="E389" s="379"/>
      <c r="F389" s="379"/>
      <c r="G389" s="380"/>
      <c r="H389" s="40"/>
      <c r="I389" s="173"/>
      <c r="J389" s="174"/>
      <c r="K389" s="41" t="str">
        <f t="shared" si="23"/>
        <v>-</v>
      </c>
      <c r="L389" s="178">
        <f t="shared" si="22"/>
        <v>0</v>
      </c>
      <c r="M389" s="159"/>
      <c r="N389" s="293"/>
      <c r="O389" s="294"/>
      <c r="P389" s="294"/>
      <c r="Q389" s="295"/>
      <c r="R389" s="3"/>
      <c r="S389" s="529"/>
      <c r="T389" s="529"/>
      <c r="U389" s="529"/>
      <c r="V389" s="529"/>
      <c r="W389" s="529"/>
      <c r="X389" s="529"/>
      <c r="Y389" s="529"/>
      <c r="Z389" s="529"/>
      <c r="AA389" s="529"/>
      <c r="AB389" s="529"/>
      <c r="AC389" s="529"/>
      <c r="AD389" s="529"/>
      <c r="AE389" s="529"/>
      <c r="AF389" s="529"/>
      <c r="AG389" s="529"/>
      <c r="AH389" s="229"/>
    </row>
    <row r="390" spans="2:34" ht="23.25" customHeight="1" x14ac:dyDescent="0.15">
      <c r="B390" s="50"/>
      <c r="C390" s="519"/>
      <c r="D390" s="379"/>
      <c r="E390" s="379"/>
      <c r="F390" s="379"/>
      <c r="G390" s="380"/>
      <c r="H390" s="40"/>
      <c r="I390" s="173"/>
      <c r="J390" s="174"/>
      <c r="K390" s="41" t="str">
        <f t="shared" si="23"/>
        <v>-</v>
      </c>
      <c r="L390" s="178">
        <f t="shared" si="22"/>
        <v>0</v>
      </c>
      <c r="M390" s="159"/>
      <c r="N390" s="293"/>
      <c r="O390" s="294"/>
      <c r="P390" s="294"/>
      <c r="Q390" s="295"/>
      <c r="R390" s="3"/>
      <c r="S390" s="529"/>
      <c r="T390" s="529"/>
      <c r="U390" s="529"/>
      <c r="V390" s="529"/>
      <c r="W390" s="529"/>
      <c r="X390" s="529"/>
      <c r="Y390" s="529"/>
      <c r="Z390" s="529"/>
      <c r="AA390" s="529"/>
      <c r="AB390" s="529"/>
      <c r="AC390" s="529"/>
      <c r="AD390" s="529"/>
      <c r="AE390" s="529"/>
      <c r="AF390" s="529"/>
      <c r="AG390" s="529"/>
      <c r="AH390" s="229"/>
    </row>
    <row r="391" spans="2:34" ht="23.25" customHeight="1" x14ac:dyDescent="0.15">
      <c r="B391" s="50"/>
      <c r="C391" s="519"/>
      <c r="D391" s="379"/>
      <c r="E391" s="379"/>
      <c r="F391" s="379"/>
      <c r="G391" s="380"/>
      <c r="H391" s="40"/>
      <c r="I391" s="173"/>
      <c r="J391" s="174"/>
      <c r="K391" s="41" t="str">
        <f t="shared" si="23"/>
        <v>-</v>
      </c>
      <c r="L391" s="178">
        <f t="shared" si="22"/>
        <v>0</v>
      </c>
      <c r="M391" s="159"/>
      <c r="N391" s="293"/>
      <c r="O391" s="294"/>
      <c r="P391" s="294"/>
      <c r="Q391" s="295"/>
      <c r="R391" s="3"/>
      <c r="S391" s="529"/>
      <c r="T391" s="529"/>
      <c r="U391" s="529"/>
      <c r="V391" s="529"/>
      <c r="W391" s="529"/>
      <c r="X391" s="529"/>
      <c r="Y391" s="529"/>
      <c r="Z391" s="529"/>
      <c r="AA391" s="529"/>
      <c r="AB391" s="529"/>
      <c r="AC391" s="529"/>
      <c r="AD391" s="529"/>
      <c r="AE391" s="529"/>
      <c r="AF391" s="529"/>
      <c r="AG391" s="529"/>
      <c r="AH391" s="229"/>
    </row>
    <row r="392" spans="2:34" ht="23.25" customHeight="1" x14ac:dyDescent="0.15">
      <c r="B392" s="50"/>
      <c r="C392" s="519"/>
      <c r="D392" s="379"/>
      <c r="E392" s="379"/>
      <c r="F392" s="379"/>
      <c r="G392" s="380"/>
      <c r="H392" s="40"/>
      <c r="I392" s="173"/>
      <c r="J392" s="174"/>
      <c r="K392" s="41" t="str">
        <f t="shared" si="23"/>
        <v>-</v>
      </c>
      <c r="L392" s="178">
        <f t="shared" si="22"/>
        <v>0</v>
      </c>
      <c r="M392" s="159"/>
      <c r="N392" s="293"/>
      <c r="O392" s="294"/>
      <c r="P392" s="294"/>
      <c r="Q392" s="295"/>
      <c r="R392" s="3"/>
      <c r="S392" s="529"/>
      <c r="T392" s="529"/>
      <c r="U392" s="529"/>
      <c r="V392" s="529"/>
      <c r="W392" s="529"/>
      <c r="X392" s="529"/>
      <c r="Y392" s="529"/>
      <c r="Z392" s="529"/>
      <c r="AA392" s="529"/>
      <c r="AB392" s="529"/>
      <c r="AC392" s="529"/>
      <c r="AD392" s="529"/>
      <c r="AE392" s="529"/>
      <c r="AF392" s="529"/>
      <c r="AG392" s="529"/>
      <c r="AH392" s="229"/>
    </row>
    <row r="393" spans="2:34" ht="23.25" customHeight="1" x14ac:dyDescent="0.15">
      <c r="B393" s="50"/>
      <c r="C393" s="519"/>
      <c r="D393" s="379"/>
      <c r="E393" s="379"/>
      <c r="F393" s="379"/>
      <c r="G393" s="380"/>
      <c r="H393" s="40"/>
      <c r="I393" s="173"/>
      <c r="J393" s="174"/>
      <c r="K393" s="41" t="str">
        <f t="shared" si="23"/>
        <v>-</v>
      </c>
      <c r="L393" s="178">
        <f t="shared" si="22"/>
        <v>0</v>
      </c>
      <c r="M393" s="159"/>
      <c r="N393" s="293"/>
      <c r="O393" s="294"/>
      <c r="P393" s="294"/>
      <c r="Q393" s="295"/>
      <c r="R393" s="3"/>
      <c r="S393" s="529"/>
      <c r="T393" s="529"/>
      <c r="U393" s="529"/>
      <c r="V393" s="529"/>
      <c r="W393" s="529"/>
      <c r="X393" s="529"/>
      <c r="Y393" s="529"/>
      <c r="Z393" s="529"/>
      <c r="AA393" s="529"/>
      <c r="AB393" s="529"/>
      <c r="AC393" s="529"/>
      <c r="AD393" s="529"/>
      <c r="AE393" s="529"/>
      <c r="AF393" s="529"/>
      <c r="AG393" s="529"/>
      <c r="AH393" s="229"/>
    </row>
    <row r="394" spans="2:34" ht="23.25" customHeight="1" x14ac:dyDescent="0.15">
      <c r="B394" s="50"/>
      <c r="C394" s="519"/>
      <c r="D394" s="379"/>
      <c r="E394" s="379"/>
      <c r="F394" s="379"/>
      <c r="G394" s="380"/>
      <c r="H394" s="40"/>
      <c r="I394" s="173"/>
      <c r="J394" s="174"/>
      <c r="K394" s="41" t="str">
        <f t="shared" si="23"/>
        <v>-</v>
      </c>
      <c r="L394" s="178">
        <f t="shared" si="22"/>
        <v>0</v>
      </c>
      <c r="M394" s="159"/>
      <c r="N394" s="293"/>
      <c r="O394" s="294"/>
      <c r="P394" s="294"/>
      <c r="Q394" s="295"/>
      <c r="R394" s="3"/>
      <c r="S394" s="529"/>
      <c r="T394" s="529"/>
      <c r="U394" s="529"/>
      <c r="V394" s="529"/>
      <c r="W394" s="529"/>
      <c r="X394" s="529"/>
      <c r="Y394" s="529"/>
      <c r="Z394" s="529"/>
      <c r="AA394" s="529"/>
      <c r="AB394" s="529"/>
      <c r="AC394" s="529"/>
      <c r="AD394" s="529"/>
      <c r="AE394" s="529"/>
      <c r="AF394" s="529"/>
      <c r="AG394" s="529"/>
      <c r="AH394" s="229"/>
    </row>
    <row r="395" spans="2:34" ht="23.25" customHeight="1" x14ac:dyDescent="0.15">
      <c r="B395" s="50"/>
      <c r="C395" s="519"/>
      <c r="D395" s="379"/>
      <c r="E395" s="379"/>
      <c r="F395" s="379"/>
      <c r="G395" s="380"/>
      <c r="H395" s="40"/>
      <c r="I395" s="173"/>
      <c r="J395" s="174"/>
      <c r="K395" s="41" t="str">
        <f t="shared" si="23"/>
        <v>-</v>
      </c>
      <c r="L395" s="178">
        <f t="shared" si="22"/>
        <v>0</v>
      </c>
      <c r="M395" s="159"/>
      <c r="N395" s="293"/>
      <c r="O395" s="294"/>
      <c r="P395" s="294"/>
      <c r="Q395" s="295"/>
      <c r="R395" s="3"/>
      <c r="S395" s="529"/>
      <c r="T395" s="529"/>
      <c r="U395" s="529"/>
      <c r="V395" s="529"/>
      <c r="W395" s="529"/>
      <c r="X395" s="529"/>
      <c r="Y395" s="529"/>
      <c r="Z395" s="529"/>
      <c r="AA395" s="529"/>
      <c r="AB395" s="529"/>
      <c r="AC395" s="529"/>
      <c r="AD395" s="529"/>
      <c r="AE395" s="529"/>
      <c r="AF395" s="529"/>
      <c r="AG395" s="529"/>
      <c r="AH395" s="229"/>
    </row>
    <row r="396" spans="2:34" ht="23.25" customHeight="1" x14ac:dyDescent="0.15">
      <c r="B396" s="50"/>
      <c r="C396" s="519"/>
      <c r="D396" s="379"/>
      <c r="E396" s="379"/>
      <c r="F396" s="379"/>
      <c r="G396" s="380"/>
      <c r="H396" s="40"/>
      <c r="I396" s="173"/>
      <c r="J396" s="174"/>
      <c r="K396" s="41" t="str">
        <f t="shared" si="23"/>
        <v>-</v>
      </c>
      <c r="L396" s="178">
        <f t="shared" si="22"/>
        <v>0</v>
      </c>
      <c r="M396" s="159"/>
      <c r="N396" s="293"/>
      <c r="O396" s="294"/>
      <c r="P396" s="294"/>
      <c r="Q396" s="295"/>
      <c r="R396" s="3"/>
      <c r="S396" s="529"/>
      <c r="T396" s="529"/>
      <c r="U396" s="529"/>
      <c r="V396" s="529"/>
      <c r="W396" s="529"/>
      <c r="X396" s="529"/>
      <c r="Y396" s="529"/>
      <c r="Z396" s="529"/>
      <c r="AA396" s="529"/>
      <c r="AB396" s="529"/>
      <c r="AC396" s="529"/>
      <c r="AD396" s="529"/>
      <c r="AE396" s="529"/>
      <c r="AF396" s="529"/>
      <c r="AG396" s="529"/>
      <c r="AH396" s="229"/>
    </row>
    <row r="397" spans="2:34" ht="23.25" customHeight="1" x14ac:dyDescent="0.15">
      <c r="B397" s="50"/>
      <c r="C397" s="519"/>
      <c r="D397" s="379"/>
      <c r="E397" s="379"/>
      <c r="F397" s="379"/>
      <c r="G397" s="380"/>
      <c r="H397" s="40"/>
      <c r="I397" s="173"/>
      <c r="J397" s="174"/>
      <c r="K397" s="41" t="str">
        <f t="shared" si="23"/>
        <v>-</v>
      </c>
      <c r="L397" s="178">
        <f t="shared" si="22"/>
        <v>0</v>
      </c>
      <c r="M397" s="159"/>
      <c r="N397" s="293"/>
      <c r="O397" s="294"/>
      <c r="P397" s="294"/>
      <c r="Q397" s="295"/>
      <c r="R397" s="3"/>
      <c r="S397" s="529"/>
      <c r="T397" s="529"/>
      <c r="U397" s="529"/>
      <c r="V397" s="529"/>
      <c r="W397" s="529"/>
      <c r="X397" s="529"/>
      <c r="Y397" s="529"/>
      <c r="Z397" s="529"/>
      <c r="AA397" s="529"/>
      <c r="AB397" s="529"/>
      <c r="AC397" s="529"/>
      <c r="AD397" s="529"/>
      <c r="AE397" s="529"/>
      <c r="AF397" s="529"/>
      <c r="AG397" s="529"/>
      <c r="AH397" s="229"/>
    </row>
    <row r="398" spans="2:34" ht="23.25" customHeight="1" x14ac:dyDescent="0.15">
      <c r="B398" s="50"/>
      <c r="C398" s="519"/>
      <c r="D398" s="379"/>
      <c r="E398" s="379"/>
      <c r="F398" s="379"/>
      <c r="G398" s="380"/>
      <c r="H398" s="40"/>
      <c r="I398" s="173"/>
      <c r="J398" s="174"/>
      <c r="K398" s="41" t="str">
        <f t="shared" si="23"/>
        <v>-</v>
      </c>
      <c r="L398" s="178">
        <f t="shared" si="22"/>
        <v>0</v>
      </c>
      <c r="M398" s="159"/>
      <c r="N398" s="293"/>
      <c r="O398" s="294"/>
      <c r="P398" s="294"/>
      <c r="Q398" s="295"/>
      <c r="R398" s="3"/>
      <c r="S398" s="529"/>
      <c r="T398" s="529"/>
      <c r="U398" s="529"/>
      <c r="V398" s="529"/>
      <c r="W398" s="529"/>
      <c r="X398" s="529"/>
      <c r="Y398" s="529"/>
      <c r="Z398" s="529"/>
      <c r="AA398" s="529"/>
      <c r="AB398" s="529"/>
      <c r="AC398" s="529"/>
      <c r="AD398" s="529"/>
      <c r="AE398" s="529"/>
      <c r="AF398" s="529"/>
      <c r="AG398" s="529"/>
      <c r="AH398" s="229"/>
    </row>
    <row r="399" spans="2:34" ht="23.25" customHeight="1" x14ac:dyDescent="0.15">
      <c r="B399" s="50"/>
      <c r="C399" s="519"/>
      <c r="D399" s="379"/>
      <c r="E399" s="379"/>
      <c r="F399" s="379"/>
      <c r="G399" s="380"/>
      <c r="H399" s="40"/>
      <c r="I399" s="173"/>
      <c r="J399" s="174"/>
      <c r="K399" s="41" t="str">
        <f t="shared" si="23"/>
        <v>-</v>
      </c>
      <c r="L399" s="178">
        <f t="shared" si="22"/>
        <v>0</v>
      </c>
      <c r="M399" s="159"/>
      <c r="N399" s="293"/>
      <c r="O399" s="294"/>
      <c r="P399" s="294"/>
      <c r="Q399" s="295"/>
      <c r="R399" s="3"/>
      <c r="S399" s="529"/>
      <c r="T399" s="529"/>
      <c r="U399" s="529"/>
      <c r="V399" s="529"/>
      <c r="W399" s="529"/>
      <c r="X399" s="529"/>
      <c r="Y399" s="529"/>
      <c r="Z399" s="529"/>
      <c r="AA399" s="529"/>
      <c r="AB399" s="529"/>
      <c r="AC399" s="529"/>
      <c r="AD399" s="529"/>
      <c r="AE399" s="529"/>
      <c r="AF399" s="529"/>
      <c r="AG399" s="529"/>
      <c r="AH399" s="229"/>
    </row>
    <row r="400" spans="2:34" ht="23.25" customHeight="1" x14ac:dyDescent="0.15">
      <c r="B400" s="50"/>
      <c r="C400" s="519"/>
      <c r="D400" s="379"/>
      <c r="E400" s="379"/>
      <c r="F400" s="379"/>
      <c r="G400" s="380"/>
      <c r="H400" s="40"/>
      <c r="I400" s="173"/>
      <c r="J400" s="174"/>
      <c r="K400" s="41" t="str">
        <f t="shared" si="23"/>
        <v>-</v>
      </c>
      <c r="L400" s="178">
        <f t="shared" si="22"/>
        <v>0</v>
      </c>
      <c r="M400" s="159"/>
      <c r="N400" s="293"/>
      <c r="O400" s="294"/>
      <c r="P400" s="294"/>
      <c r="Q400" s="295"/>
      <c r="R400" s="3"/>
      <c r="S400" s="529"/>
      <c r="T400" s="529"/>
      <c r="U400" s="529"/>
      <c r="V400" s="529"/>
      <c r="W400" s="529"/>
      <c r="X400" s="529"/>
      <c r="Y400" s="529"/>
      <c r="Z400" s="529"/>
      <c r="AA400" s="529"/>
      <c r="AB400" s="529"/>
      <c r="AC400" s="529"/>
      <c r="AD400" s="529"/>
      <c r="AE400" s="529"/>
      <c r="AF400" s="529"/>
      <c r="AG400" s="529"/>
      <c r="AH400" s="229"/>
    </row>
    <row r="401" spans="2:34" ht="23.25" customHeight="1" x14ac:dyDescent="0.15">
      <c r="B401" s="50"/>
      <c r="C401" s="519"/>
      <c r="D401" s="379"/>
      <c r="E401" s="379"/>
      <c r="F401" s="379"/>
      <c r="G401" s="380"/>
      <c r="H401" s="40"/>
      <c r="I401" s="173"/>
      <c r="J401" s="174"/>
      <c r="K401" s="41" t="str">
        <f t="shared" si="23"/>
        <v>-</v>
      </c>
      <c r="L401" s="178">
        <f t="shared" si="22"/>
        <v>0</v>
      </c>
      <c r="M401" s="159"/>
      <c r="N401" s="293"/>
      <c r="O401" s="294"/>
      <c r="P401" s="294"/>
      <c r="Q401" s="295"/>
      <c r="R401" s="3"/>
      <c r="S401" s="529"/>
      <c r="T401" s="529"/>
      <c r="U401" s="529"/>
      <c r="V401" s="529"/>
      <c r="W401" s="529"/>
      <c r="X401" s="529"/>
      <c r="Y401" s="529"/>
      <c r="Z401" s="529"/>
      <c r="AA401" s="529"/>
      <c r="AB401" s="529"/>
      <c r="AC401" s="529"/>
      <c r="AD401" s="529"/>
      <c r="AE401" s="529"/>
      <c r="AF401" s="529"/>
      <c r="AG401" s="529"/>
      <c r="AH401" s="229"/>
    </row>
    <row r="402" spans="2:34" ht="23.25" customHeight="1" x14ac:dyDescent="0.15">
      <c r="B402" s="50"/>
      <c r="C402" s="519"/>
      <c r="D402" s="379"/>
      <c r="E402" s="379"/>
      <c r="F402" s="379"/>
      <c r="G402" s="380"/>
      <c r="H402" s="40"/>
      <c r="I402" s="173"/>
      <c r="J402" s="174"/>
      <c r="K402" s="41" t="str">
        <f t="shared" si="23"/>
        <v>-</v>
      </c>
      <c r="L402" s="178">
        <f t="shared" si="22"/>
        <v>0</v>
      </c>
      <c r="M402" s="159"/>
      <c r="N402" s="293"/>
      <c r="O402" s="294"/>
      <c r="P402" s="294"/>
      <c r="Q402" s="295"/>
      <c r="R402" s="3"/>
      <c r="S402" s="529"/>
      <c r="T402" s="529"/>
      <c r="U402" s="529"/>
      <c r="V402" s="529"/>
      <c r="W402" s="529"/>
      <c r="X402" s="529"/>
      <c r="Y402" s="529"/>
      <c r="Z402" s="529"/>
      <c r="AA402" s="529"/>
      <c r="AB402" s="529"/>
      <c r="AC402" s="529"/>
      <c r="AD402" s="529"/>
      <c r="AE402" s="529"/>
      <c r="AF402" s="529"/>
      <c r="AG402" s="529"/>
      <c r="AH402" s="229"/>
    </row>
    <row r="403" spans="2:34" ht="23.25" customHeight="1" x14ac:dyDescent="0.15">
      <c r="B403" s="50"/>
      <c r="C403" s="519"/>
      <c r="D403" s="379"/>
      <c r="E403" s="379"/>
      <c r="F403" s="379"/>
      <c r="G403" s="380"/>
      <c r="H403" s="40"/>
      <c r="I403" s="173"/>
      <c r="J403" s="174"/>
      <c r="K403" s="41" t="str">
        <f t="shared" si="23"/>
        <v>-</v>
      </c>
      <c r="L403" s="178">
        <f t="shared" si="22"/>
        <v>0</v>
      </c>
      <c r="M403" s="159"/>
      <c r="N403" s="293"/>
      <c r="O403" s="294"/>
      <c r="P403" s="294"/>
      <c r="Q403" s="295"/>
      <c r="R403" s="3"/>
      <c r="S403" s="529"/>
      <c r="T403" s="529"/>
      <c r="U403" s="529"/>
      <c r="V403" s="529"/>
      <c r="W403" s="529"/>
      <c r="X403" s="529"/>
      <c r="Y403" s="529"/>
      <c r="Z403" s="529"/>
      <c r="AA403" s="529"/>
      <c r="AB403" s="529"/>
      <c r="AC403" s="529"/>
      <c r="AD403" s="529"/>
      <c r="AE403" s="529"/>
      <c r="AF403" s="529"/>
      <c r="AG403" s="529"/>
      <c r="AH403" s="229"/>
    </row>
    <row r="404" spans="2:34" ht="23.25" customHeight="1" x14ac:dyDescent="0.15">
      <c r="B404" s="50"/>
      <c r="C404" s="519"/>
      <c r="D404" s="379"/>
      <c r="E404" s="379"/>
      <c r="F404" s="379"/>
      <c r="G404" s="380"/>
      <c r="H404" s="40"/>
      <c r="I404" s="173"/>
      <c r="J404" s="174"/>
      <c r="K404" s="41" t="str">
        <f t="shared" si="23"/>
        <v>-</v>
      </c>
      <c r="L404" s="178">
        <f t="shared" si="22"/>
        <v>0</v>
      </c>
      <c r="M404" s="159"/>
      <c r="N404" s="293"/>
      <c r="O404" s="294"/>
      <c r="P404" s="294"/>
      <c r="Q404" s="295"/>
      <c r="R404" s="3"/>
      <c r="S404" s="529"/>
      <c r="T404" s="529"/>
      <c r="U404" s="529"/>
      <c r="V404" s="529"/>
      <c r="W404" s="529"/>
      <c r="X404" s="529"/>
      <c r="Y404" s="529"/>
      <c r="Z404" s="529"/>
      <c r="AA404" s="529"/>
      <c r="AB404" s="529"/>
      <c r="AC404" s="529"/>
      <c r="AD404" s="529"/>
      <c r="AE404" s="529"/>
      <c r="AF404" s="529"/>
      <c r="AG404" s="529"/>
      <c r="AH404" s="229"/>
    </row>
    <row r="405" spans="2:34" ht="23.25" customHeight="1" x14ac:dyDescent="0.15">
      <c r="B405" s="50"/>
      <c r="C405" s="519"/>
      <c r="D405" s="379"/>
      <c r="E405" s="379"/>
      <c r="F405" s="379"/>
      <c r="G405" s="380"/>
      <c r="H405" s="40"/>
      <c r="I405" s="173"/>
      <c r="J405" s="174"/>
      <c r="K405" s="41" t="str">
        <f t="shared" si="23"/>
        <v>-</v>
      </c>
      <c r="L405" s="178">
        <f t="shared" si="22"/>
        <v>0</v>
      </c>
      <c r="M405" s="159"/>
      <c r="N405" s="293"/>
      <c r="O405" s="294"/>
      <c r="P405" s="294"/>
      <c r="Q405" s="295"/>
      <c r="R405" s="3"/>
      <c r="S405" s="529"/>
      <c r="T405" s="529"/>
      <c r="U405" s="529"/>
      <c r="V405" s="529"/>
      <c r="W405" s="529"/>
      <c r="X405" s="529"/>
      <c r="Y405" s="529"/>
      <c r="Z405" s="529"/>
      <c r="AA405" s="529"/>
      <c r="AB405" s="529"/>
      <c r="AC405" s="529"/>
      <c r="AD405" s="529"/>
      <c r="AE405" s="529"/>
      <c r="AF405" s="529"/>
      <c r="AG405" s="529"/>
      <c r="AH405" s="229"/>
    </row>
    <row r="406" spans="2:34" ht="23.25" customHeight="1" x14ac:dyDescent="0.15">
      <c r="B406" s="50"/>
      <c r="C406" s="519"/>
      <c r="D406" s="379"/>
      <c r="E406" s="379"/>
      <c r="F406" s="379"/>
      <c r="G406" s="380"/>
      <c r="H406" s="40"/>
      <c r="I406" s="173"/>
      <c r="J406" s="174"/>
      <c r="K406" s="41" t="str">
        <f t="shared" si="23"/>
        <v>-</v>
      </c>
      <c r="L406" s="178">
        <f t="shared" si="22"/>
        <v>0</v>
      </c>
      <c r="M406" s="159"/>
      <c r="N406" s="293"/>
      <c r="O406" s="294"/>
      <c r="P406" s="294"/>
      <c r="Q406" s="295"/>
      <c r="R406" s="3"/>
      <c r="S406" s="529"/>
      <c r="T406" s="529"/>
      <c r="U406" s="529"/>
      <c r="V406" s="529"/>
      <c r="W406" s="529"/>
      <c r="X406" s="529"/>
      <c r="Y406" s="529"/>
      <c r="Z406" s="529"/>
      <c r="AA406" s="529"/>
      <c r="AB406" s="529"/>
      <c r="AC406" s="529"/>
      <c r="AD406" s="529"/>
      <c r="AE406" s="529"/>
      <c r="AF406" s="529"/>
      <c r="AG406" s="529"/>
      <c r="AH406" s="229"/>
    </row>
    <row r="407" spans="2:34" ht="23.25" customHeight="1" x14ac:dyDescent="0.15">
      <c r="B407" s="50"/>
      <c r="C407" s="519"/>
      <c r="D407" s="379"/>
      <c r="E407" s="379"/>
      <c r="F407" s="379"/>
      <c r="G407" s="380"/>
      <c r="H407" s="40"/>
      <c r="I407" s="173"/>
      <c r="J407" s="174"/>
      <c r="K407" s="41" t="str">
        <f t="shared" si="23"/>
        <v>-</v>
      </c>
      <c r="L407" s="178">
        <f t="shared" si="22"/>
        <v>0</v>
      </c>
      <c r="M407" s="159"/>
      <c r="N407" s="293"/>
      <c r="O407" s="294"/>
      <c r="P407" s="294"/>
      <c r="Q407" s="295"/>
      <c r="R407" s="3"/>
      <c r="S407" s="529"/>
      <c r="T407" s="529"/>
      <c r="U407" s="529"/>
      <c r="V407" s="529"/>
      <c r="W407" s="529"/>
      <c r="X407" s="529"/>
      <c r="Y407" s="529"/>
      <c r="Z407" s="529"/>
      <c r="AA407" s="529"/>
      <c r="AB407" s="529"/>
      <c r="AC407" s="529"/>
      <c r="AD407" s="529"/>
      <c r="AE407" s="529"/>
      <c r="AF407" s="529"/>
      <c r="AG407" s="529"/>
      <c r="AH407" s="229"/>
    </row>
    <row r="408" spans="2:34" ht="23.25" customHeight="1" x14ac:dyDescent="0.15">
      <c r="B408" s="50"/>
      <c r="C408" s="519"/>
      <c r="D408" s="379"/>
      <c r="E408" s="379"/>
      <c r="F408" s="379"/>
      <c r="G408" s="380"/>
      <c r="H408" s="40"/>
      <c r="I408" s="173"/>
      <c r="J408" s="174"/>
      <c r="K408" s="41" t="str">
        <f t="shared" si="23"/>
        <v>-</v>
      </c>
      <c r="L408" s="178">
        <f t="shared" si="22"/>
        <v>0</v>
      </c>
      <c r="M408" s="159"/>
      <c r="N408" s="293"/>
      <c r="O408" s="294"/>
      <c r="P408" s="294"/>
      <c r="Q408" s="295"/>
      <c r="R408" s="3"/>
      <c r="S408" s="529"/>
      <c r="T408" s="529"/>
      <c r="U408" s="529"/>
      <c r="V408" s="529"/>
      <c r="W408" s="529"/>
      <c r="X408" s="529"/>
      <c r="Y408" s="529"/>
      <c r="Z408" s="529"/>
      <c r="AA408" s="529"/>
      <c r="AB408" s="529"/>
      <c r="AC408" s="529"/>
      <c r="AD408" s="529"/>
      <c r="AE408" s="529"/>
      <c r="AF408" s="529"/>
      <c r="AG408" s="529"/>
      <c r="AH408" s="229"/>
    </row>
    <row r="409" spans="2:34" ht="23.25" customHeight="1" x14ac:dyDescent="0.15">
      <c r="B409" s="50"/>
      <c r="C409" s="519"/>
      <c r="D409" s="379"/>
      <c r="E409" s="379"/>
      <c r="F409" s="379"/>
      <c r="G409" s="380"/>
      <c r="H409" s="40"/>
      <c r="I409" s="173"/>
      <c r="J409" s="174"/>
      <c r="K409" s="41" t="str">
        <f t="shared" si="23"/>
        <v>-</v>
      </c>
      <c r="L409" s="178">
        <f t="shared" si="22"/>
        <v>0</v>
      </c>
      <c r="M409" s="159"/>
      <c r="N409" s="293"/>
      <c r="O409" s="294"/>
      <c r="P409" s="294"/>
      <c r="Q409" s="295"/>
      <c r="R409" s="3"/>
      <c r="S409" s="529"/>
      <c r="T409" s="529"/>
      <c r="U409" s="529"/>
      <c r="V409" s="529"/>
      <c r="W409" s="529"/>
      <c r="X409" s="529"/>
      <c r="Y409" s="529"/>
      <c r="Z409" s="529"/>
      <c r="AA409" s="529"/>
      <c r="AB409" s="529"/>
      <c r="AC409" s="529"/>
      <c r="AD409" s="529"/>
      <c r="AE409" s="529"/>
      <c r="AF409" s="529"/>
      <c r="AG409" s="529"/>
      <c r="AH409" s="229"/>
    </row>
    <row r="410" spans="2:34" ht="23.25" customHeight="1" x14ac:dyDescent="0.15">
      <c r="B410" s="50"/>
      <c r="C410" s="519"/>
      <c r="D410" s="379"/>
      <c r="E410" s="379"/>
      <c r="F410" s="379"/>
      <c r="G410" s="380"/>
      <c r="H410" s="40"/>
      <c r="I410" s="173"/>
      <c r="J410" s="174"/>
      <c r="K410" s="41" t="str">
        <f t="shared" si="23"/>
        <v>-</v>
      </c>
      <c r="L410" s="178">
        <f t="shared" si="22"/>
        <v>0</v>
      </c>
      <c r="M410" s="159"/>
      <c r="N410" s="293"/>
      <c r="O410" s="294"/>
      <c r="P410" s="294"/>
      <c r="Q410" s="295"/>
      <c r="R410" s="3"/>
      <c r="S410" s="529"/>
      <c r="T410" s="529"/>
      <c r="U410" s="529"/>
      <c r="V410" s="529"/>
      <c r="W410" s="529"/>
      <c r="X410" s="529"/>
      <c r="Y410" s="529"/>
      <c r="Z410" s="529"/>
      <c r="AA410" s="529"/>
      <c r="AB410" s="529"/>
      <c r="AC410" s="529"/>
      <c r="AD410" s="529"/>
      <c r="AE410" s="529"/>
      <c r="AF410" s="529"/>
      <c r="AG410" s="529"/>
      <c r="AH410" s="229"/>
    </row>
    <row r="411" spans="2:34" ht="23.25" customHeight="1" x14ac:dyDescent="0.15">
      <c r="B411" s="50"/>
      <c r="C411" s="519"/>
      <c r="D411" s="379"/>
      <c r="E411" s="379"/>
      <c r="F411" s="379"/>
      <c r="G411" s="380"/>
      <c r="H411" s="40"/>
      <c r="I411" s="173"/>
      <c r="J411" s="174"/>
      <c r="K411" s="41" t="str">
        <f t="shared" si="23"/>
        <v>-</v>
      </c>
      <c r="L411" s="178">
        <f t="shared" si="22"/>
        <v>0</v>
      </c>
      <c r="M411" s="159"/>
      <c r="N411" s="293"/>
      <c r="O411" s="294"/>
      <c r="P411" s="294"/>
      <c r="Q411" s="295"/>
      <c r="R411" s="3"/>
      <c r="S411" s="529"/>
      <c r="T411" s="529"/>
      <c r="U411" s="529"/>
      <c r="V411" s="529"/>
      <c r="W411" s="529"/>
      <c r="X411" s="529"/>
      <c r="Y411" s="529"/>
      <c r="Z411" s="529"/>
      <c r="AA411" s="529"/>
      <c r="AB411" s="529"/>
      <c r="AC411" s="529"/>
      <c r="AD411" s="529"/>
      <c r="AE411" s="529"/>
      <c r="AF411" s="529"/>
      <c r="AG411" s="529"/>
      <c r="AH411" s="229"/>
    </row>
    <row r="412" spans="2:34" ht="23.25" customHeight="1" x14ac:dyDescent="0.15">
      <c r="B412" s="50"/>
      <c r="C412" s="519"/>
      <c r="D412" s="379"/>
      <c r="E412" s="379"/>
      <c r="F412" s="379"/>
      <c r="G412" s="380"/>
      <c r="H412" s="40"/>
      <c r="I412" s="173"/>
      <c r="J412" s="174"/>
      <c r="K412" s="41" t="str">
        <f t="shared" si="23"/>
        <v>-</v>
      </c>
      <c r="L412" s="178">
        <f t="shared" si="22"/>
        <v>0</v>
      </c>
      <c r="M412" s="159"/>
      <c r="N412" s="293"/>
      <c r="O412" s="294"/>
      <c r="P412" s="294"/>
      <c r="Q412" s="295"/>
      <c r="R412" s="3"/>
      <c r="S412" s="529"/>
      <c r="T412" s="529"/>
      <c r="U412" s="529"/>
      <c r="V412" s="529"/>
      <c r="W412" s="529"/>
      <c r="X412" s="529"/>
      <c r="Y412" s="529"/>
      <c r="Z412" s="529"/>
      <c r="AA412" s="529"/>
      <c r="AB412" s="529"/>
      <c r="AC412" s="529"/>
      <c r="AD412" s="529"/>
      <c r="AE412" s="529"/>
      <c r="AF412" s="529"/>
      <c r="AG412" s="529"/>
      <c r="AH412" s="229"/>
    </row>
    <row r="413" spans="2:34" ht="23.25" customHeight="1" x14ac:dyDescent="0.15">
      <c r="B413" s="50"/>
      <c r="C413" s="519"/>
      <c r="D413" s="379"/>
      <c r="E413" s="379"/>
      <c r="F413" s="379"/>
      <c r="G413" s="380"/>
      <c r="H413" s="40"/>
      <c r="I413" s="173"/>
      <c r="J413" s="174"/>
      <c r="K413" s="41" t="str">
        <f t="shared" si="23"/>
        <v>-</v>
      </c>
      <c r="L413" s="178">
        <f t="shared" si="22"/>
        <v>0</v>
      </c>
      <c r="M413" s="159"/>
      <c r="N413" s="293"/>
      <c r="O413" s="294"/>
      <c r="P413" s="294"/>
      <c r="Q413" s="295"/>
      <c r="R413" s="3"/>
      <c r="S413" s="529"/>
      <c r="T413" s="529"/>
      <c r="U413" s="529"/>
      <c r="V413" s="529"/>
      <c r="W413" s="529"/>
      <c r="X413" s="529"/>
      <c r="Y413" s="529"/>
      <c r="Z413" s="529"/>
      <c r="AA413" s="529"/>
      <c r="AB413" s="529"/>
      <c r="AC413" s="529"/>
      <c r="AD413" s="529"/>
      <c r="AE413" s="529"/>
      <c r="AF413" s="529"/>
      <c r="AG413" s="529"/>
      <c r="AH413" s="229"/>
    </row>
    <row r="414" spans="2:34" ht="23.25" customHeight="1" x14ac:dyDescent="0.15">
      <c r="B414" s="50"/>
      <c r="C414" s="519"/>
      <c r="D414" s="379"/>
      <c r="E414" s="379"/>
      <c r="F414" s="379"/>
      <c r="G414" s="380"/>
      <c r="H414" s="40"/>
      <c r="I414" s="173"/>
      <c r="J414" s="174"/>
      <c r="K414" s="41" t="str">
        <f t="shared" si="23"/>
        <v>-</v>
      </c>
      <c r="L414" s="178">
        <f t="shared" si="22"/>
        <v>0</v>
      </c>
      <c r="M414" s="159"/>
      <c r="N414" s="293"/>
      <c r="O414" s="294"/>
      <c r="P414" s="294"/>
      <c r="Q414" s="295"/>
      <c r="R414" s="3"/>
      <c r="S414" s="529"/>
      <c r="T414" s="529"/>
      <c r="U414" s="529"/>
      <c r="V414" s="529"/>
      <c r="W414" s="529"/>
      <c r="X414" s="529"/>
      <c r="Y414" s="529"/>
      <c r="Z414" s="529"/>
      <c r="AA414" s="529"/>
      <c r="AB414" s="529"/>
      <c r="AC414" s="529"/>
      <c r="AD414" s="529"/>
      <c r="AE414" s="529"/>
      <c r="AF414" s="529"/>
      <c r="AG414" s="529"/>
      <c r="AH414" s="229"/>
    </row>
    <row r="415" spans="2:34" ht="23.25" customHeight="1" x14ac:dyDescent="0.15">
      <c r="B415" s="50"/>
      <c r="C415" s="519"/>
      <c r="D415" s="379"/>
      <c r="E415" s="379"/>
      <c r="F415" s="379"/>
      <c r="G415" s="380"/>
      <c r="H415" s="40"/>
      <c r="I415" s="173"/>
      <c r="J415" s="174"/>
      <c r="K415" s="41" t="str">
        <f t="shared" si="23"/>
        <v>-</v>
      </c>
      <c r="L415" s="178">
        <f t="shared" si="22"/>
        <v>0</v>
      </c>
      <c r="M415" s="159"/>
      <c r="N415" s="293"/>
      <c r="O415" s="294"/>
      <c r="P415" s="294"/>
      <c r="Q415" s="295"/>
      <c r="R415" s="3"/>
      <c r="S415" s="529"/>
      <c r="T415" s="529"/>
      <c r="U415" s="529"/>
      <c r="V415" s="529"/>
      <c r="W415" s="529"/>
      <c r="X415" s="529"/>
      <c r="Y415" s="529"/>
      <c r="Z415" s="529"/>
      <c r="AA415" s="529"/>
      <c r="AB415" s="529"/>
      <c r="AC415" s="529"/>
      <c r="AD415" s="529"/>
      <c r="AE415" s="529"/>
      <c r="AF415" s="529"/>
      <c r="AG415" s="529"/>
      <c r="AH415" s="229"/>
    </row>
    <row r="416" spans="2:34" ht="23.25" customHeight="1" thickBot="1" x14ac:dyDescent="0.2">
      <c r="B416" s="50"/>
      <c r="C416" s="523"/>
      <c r="D416" s="524"/>
      <c r="E416" s="524"/>
      <c r="F416" s="524"/>
      <c r="G416" s="525"/>
      <c r="H416" s="43"/>
      <c r="I416" s="175"/>
      <c r="J416" s="176"/>
      <c r="K416" s="44" t="str">
        <f t="shared" si="23"/>
        <v>-</v>
      </c>
      <c r="L416" s="179">
        <f t="shared" si="22"/>
        <v>0</v>
      </c>
      <c r="M416" s="167"/>
      <c r="N416" s="526"/>
      <c r="O416" s="527"/>
      <c r="P416" s="527"/>
      <c r="Q416" s="528"/>
      <c r="R416" s="3"/>
      <c r="S416" s="529"/>
      <c r="T416" s="529"/>
      <c r="U416" s="529"/>
      <c r="V416" s="529"/>
      <c r="W416" s="529"/>
      <c r="X416" s="529"/>
      <c r="Y416" s="529"/>
      <c r="Z416" s="529"/>
      <c r="AA416" s="529"/>
      <c r="AB416" s="529"/>
      <c r="AC416" s="529"/>
      <c r="AD416" s="529"/>
      <c r="AE416" s="529"/>
      <c r="AF416" s="529"/>
      <c r="AG416" s="529"/>
      <c r="AH416" s="229"/>
    </row>
    <row r="417" ht="15" customHeight="1" x14ac:dyDescent="0.15"/>
  </sheetData>
  <autoFilter ref="C8:AG316" xr:uid="{3916D2E9-0874-4217-BC7B-370AB3633CD6}">
    <filterColumn colId="0" showButton="0"/>
    <filterColumn colId="1" showButton="0"/>
    <filterColumn colId="2" showButton="0"/>
    <filterColumn colId="3" showButton="0"/>
    <filterColumn colId="11" showButton="0"/>
    <filterColumn colId="12" showButton="0"/>
    <filterColumn colId="13" showButton="0"/>
  </autoFilter>
  <mergeCells count="842">
    <mergeCell ref="C416:G416"/>
    <mergeCell ref="N416:Q416"/>
    <mergeCell ref="C404:G404"/>
    <mergeCell ref="N404:Q404"/>
    <mergeCell ref="C405:G405"/>
    <mergeCell ref="N405:Q405"/>
    <mergeCell ref="C406:G406"/>
    <mergeCell ref="N406:Q406"/>
    <mergeCell ref="C401:G401"/>
    <mergeCell ref="N401:Q401"/>
    <mergeCell ref="C402:G402"/>
    <mergeCell ref="N402:Q402"/>
    <mergeCell ref="C403:G403"/>
    <mergeCell ref="N403:Q403"/>
    <mergeCell ref="C398:G398"/>
    <mergeCell ref="N398:Q398"/>
    <mergeCell ref="C399:G399"/>
    <mergeCell ref="C413:G413"/>
    <mergeCell ref="N413:Q413"/>
    <mergeCell ref="C414:G414"/>
    <mergeCell ref="N414:Q414"/>
    <mergeCell ref="C415:G415"/>
    <mergeCell ref="N415:Q415"/>
    <mergeCell ref="C410:G410"/>
    <mergeCell ref="N410:Q410"/>
    <mergeCell ref="C411:G411"/>
    <mergeCell ref="N411:Q411"/>
    <mergeCell ref="C412:G412"/>
    <mergeCell ref="N412:Q412"/>
    <mergeCell ref="C407:G407"/>
    <mergeCell ref="N407:Q407"/>
    <mergeCell ref="C408:G408"/>
    <mergeCell ref="N408:Q408"/>
    <mergeCell ref="C409:G409"/>
    <mergeCell ref="N409:Q409"/>
    <mergeCell ref="N309:Q309"/>
    <mergeCell ref="N310:Q310"/>
    <mergeCell ref="N311:Q311"/>
    <mergeCell ref="N312:Q312"/>
    <mergeCell ref="N313:Q313"/>
    <mergeCell ref="N314:Q314"/>
    <mergeCell ref="N303:Q303"/>
    <mergeCell ref="N304:Q304"/>
    <mergeCell ref="N399:Q399"/>
    <mergeCell ref="C400:G400"/>
    <mergeCell ref="N400:Q400"/>
    <mergeCell ref="C395:G395"/>
    <mergeCell ref="N395:Q395"/>
    <mergeCell ref="C396:G396"/>
    <mergeCell ref="N396:Q396"/>
    <mergeCell ref="C397:G397"/>
    <mergeCell ref="N397:Q397"/>
    <mergeCell ref="C392:G392"/>
    <mergeCell ref="N392:Q392"/>
    <mergeCell ref="C393:G393"/>
    <mergeCell ref="N393:Q393"/>
    <mergeCell ref="C394:G394"/>
    <mergeCell ref="N394:Q394"/>
    <mergeCell ref="C389:G389"/>
    <mergeCell ref="N389:Q389"/>
    <mergeCell ref="C390:G390"/>
    <mergeCell ref="N390:Q390"/>
    <mergeCell ref="C391:G391"/>
    <mergeCell ref="N391:Q391"/>
    <mergeCell ref="C386:G386"/>
    <mergeCell ref="N386:Q386"/>
    <mergeCell ref="C387:G387"/>
    <mergeCell ref="N387:Q387"/>
    <mergeCell ref="C388:G388"/>
    <mergeCell ref="N388:Q388"/>
    <mergeCell ref="C383:G383"/>
    <mergeCell ref="N383:Q383"/>
    <mergeCell ref="C384:G384"/>
    <mergeCell ref="N384:Q384"/>
    <mergeCell ref="C385:G385"/>
    <mergeCell ref="N385:Q385"/>
    <mergeCell ref="C380:G380"/>
    <mergeCell ref="N380:Q380"/>
    <mergeCell ref="C381:G381"/>
    <mergeCell ref="N381:Q381"/>
    <mergeCell ref="C382:G382"/>
    <mergeCell ref="N382:Q382"/>
    <mergeCell ref="C377:G377"/>
    <mergeCell ref="N377:Q377"/>
    <mergeCell ref="C378:G378"/>
    <mergeCell ref="N378:Q378"/>
    <mergeCell ref="C379:G379"/>
    <mergeCell ref="N379:Q379"/>
    <mergeCell ref="C374:G374"/>
    <mergeCell ref="N374:Q374"/>
    <mergeCell ref="C375:G375"/>
    <mergeCell ref="N375:Q375"/>
    <mergeCell ref="C376:G376"/>
    <mergeCell ref="N376:Q376"/>
    <mergeCell ref="C371:G371"/>
    <mergeCell ref="N371:Q371"/>
    <mergeCell ref="C372:G372"/>
    <mergeCell ref="N372:Q372"/>
    <mergeCell ref="C373:G373"/>
    <mergeCell ref="N373:Q373"/>
    <mergeCell ref="C368:G368"/>
    <mergeCell ref="N368:Q368"/>
    <mergeCell ref="C369:G369"/>
    <mergeCell ref="N369:Q369"/>
    <mergeCell ref="C370:G370"/>
    <mergeCell ref="N370:Q370"/>
    <mergeCell ref="C365:G365"/>
    <mergeCell ref="N365:Q365"/>
    <mergeCell ref="C366:G366"/>
    <mergeCell ref="N366:Q366"/>
    <mergeCell ref="C367:G367"/>
    <mergeCell ref="N367:Q367"/>
    <mergeCell ref="C362:G362"/>
    <mergeCell ref="N362:Q362"/>
    <mergeCell ref="C363:G363"/>
    <mergeCell ref="N363:Q363"/>
    <mergeCell ref="C364:G364"/>
    <mergeCell ref="N364:Q364"/>
    <mergeCell ref="C359:G359"/>
    <mergeCell ref="N359:Q359"/>
    <mergeCell ref="C360:G360"/>
    <mergeCell ref="N360:Q360"/>
    <mergeCell ref="C361:G361"/>
    <mergeCell ref="N361:Q361"/>
    <mergeCell ref="C356:G356"/>
    <mergeCell ref="N356:Q356"/>
    <mergeCell ref="C357:G357"/>
    <mergeCell ref="N357:Q357"/>
    <mergeCell ref="C358:G358"/>
    <mergeCell ref="N358:Q358"/>
    <mergeCell ref="C353:G353"/>
    <mergeCell ref="N353:Q353"/>
    <mergeCell ref="C354:G354"/>
    <mergeCell ref="N354:Q354"/>
    <mergeCell ref="C355:G355"/>
    <mergeCell ref="N355:Q355"/>
    <mergeCell ref="C350:G350"/>
    <mergeCell ref="N350:Q350"/>
    <mergeCell ref="C351:G351"/>
    <mergeCell ref="N351:Q351"/>
    <mergeCell ref="C352:G352"/>
    <mergeCell ref="N352:Q352"/>
    <mergeCell ref="C347:G347"/>
    <mergeCell ref="N347:Q347"/>
    <mergeCell ref="C348:G348"/>
    <mergeCell ref="N348:Q348"/>
    <mergeCell ref="C349:G349"/>
    <mergeCell ref="N349:Q349"/>
    <mergeCell ref="C344:G344"/>
    <mergeCell ref="N344:Q344"/>
    <mergeCell ref="C345:G345"/>
    <mergeCell ref="N345:Q345"/>
    <mergeCell ref="C346:G346"/>
    <mergeCell ref="N346:Q346"/>
    <mergeCell ref="C341:G341"/>
    <mergeCell ref="N341:Q341"/>
    <mergeCell ref="C342:G342"/>
    <mergeCell ref="N342:Q342"/>
    <mergeCell ref="C343:G343"/>
    <mergeCell ref="N343:Q343"/>
    <mergeCell ref="C338:G338"/>
    <mergeCell ref="N338:Q338"/>
    <mergeCell ref="C339:G339"/>
    <mergeCell ref="N339:Q339"/>
    <mergeCell ref="C340:G340"/>
    <mergeCell ref="N340:Q340"/>
    <mergeCell ref="C335:G335"/>
    <mergeCell ref="N335:Q335"/>
    <mergeCell ref="C336:G336"/>
    <mergeCell ref="N336:Q336"/>
    <mergeCell ref="C337:G337"/>
    <mergeCell ref="N337:Q337"/>
    <mergeCell ref="C332:G332"/>
    <mergeCell ref="N332:Q332"/>
    <mergeCell ref="C333:G333"/>
    <mergeCell ref="N333:Q333"/>
    <mergeCell ref="C334:G334"/>
    <mergeCell ref="N334:Q334"/>
    <mergeCell ref="C329:G329"/>
    <mergeCell ref="N329:Q329"/>
    <mergeCell ref="C330:G330"/>
    <mergeCell ref="N330:Q330"/>
    <mergeCell ref="C331:G331"/>
    <mergeCell ref="N331:Q331"/>
    <mergeCell ref="C326:G326"/>
    <mergeCell ref="N326:Q326"/>
    <mergeCell ref="C327:G327"/>
    <mergeCell ref="N327:Q327"/>
    <mergeCell ref="C328:G328"/>
    <mergeCell ref="N328:Q328"/>
    <mergeCell ref="C323:G323"/>
    <mergeCell ref="N323:Q323"/>
    <mergeCell ref="C324:G324"/>
    <mergeCell ref="N324:Q324"/>
    <mergeCell ref="C325:G325"/>
    <mergeCell ref="N325:Q325"/>
    <mergeCell ref="C320:G320"/>
    <mergeCell ref="N320:Q320"/>
    <mergeCell ref="C321:G321"/>
    <mergeCell ref="N321:Q321"/>
    <mergeCell ref="C322:G322"/>
    <mergeCell ref="N322:Q322"/>
    <mergeCell ref="C317:G317"/>
    <mergeCell ref="N317:Q317"/>
    <mergeCell ref="C318:G318"/>
    <mergeCell ref="N318:Q318"/>
    <mergeCell ref="C319:G319"/>
    <mergeCell ref="N319:Q319"/>
    <mergeCell ref="D315:G315"/>
    <mergeCell ref="D316:G316"/>
    <mergeCell ref="N315:Q315"/>
    <mergeCell ref="N316:Q316"/>
    <mergeCell ref="D309:G309"/>
    <mergeCell ref="D310:G310"/>
    <mergeCell ref="D311:G311"/>
    <mergeCell ref="D312:G312"/>
    <mergeCell ref="D313:G313"/>
    <mergeCell ref="D314:G314"/>
    <mergeCell ref="D304:G304"/>
    <mergeCell ref="D305:G305"/>
    <mergeCell ref="D306:G306"/>
    <mergeCell ref="D307:G307"/>
    <mergeCell ref="D308:G308"/>
    <mergeCell ref="D297:G297"/>
    <mergeCell ref="D298:G298"/>
    <mergeCell ref="D299:G299"/>
    <mergeCell ref="D300:G300"/>
    <mergeCell ref="D301:G301"/>
    <mergeCell ref="D302:G302"/>
    <mergeCell ref="N305:Q305"/>
    <mergeCell ref="N306:Q306"/>
    <mergeCell ref="N307:Q307"/>
    <mergeCell ref="N308:Q308"/>
    <mergeCell ref="N275:Q275"/>
    <mergeCell ref="D276:G276"/>
    <mergeCell ref="N276:Q276"/>
    <mergeCell ref="D277:G277"/>
    <mergeCell ref="N277:Q277"/>
    <mergeCell ref="E294:G294"/>
    <mergeCell ref="N294:Q294"/>
    <mergeCell ref="E295:G295"/>
    <mergeCell ref="N295:Q295"/>
    <mergeCell ref="D296:G296"/>
    <mergeCell ref="E289:G289"/>
    <mergeCell ref="N289:Q289"/>
    <mergeCell ref="D290:D295"/>
    <mergeCell ref="E290:G290"/>
    <mergeCell ref="N290:Q290"/>
    <mergeCell ref="F291:G291"/>
    <mergeCell ref="N297:Q297"/>
    <mergeCell ref="N285:Q285"/>
    <mergeCell ref="F286:G286"/>
    <mergeCell ref="N286:Q286"/>
    <mergeCell ref="F287:G287"/>
    <mergeCell ref="N287:Q287"/>
    <mergeCell ref="F288:G288"/>
    <mergeCell ref="N288:Q288"/>
    <mergeCell ref="N296:Q296"/>
    <mergeCell ref="N293:Q293"/>
    <mergeCell ref="N284:Q284"/>
    <mergeCell ref="D272:G272"/>
    <mergeCell ref="N272:Q272"/>
    <mergeCell ref="D273:G273"/>
    <mergeCell ref="N273:Q273"/>
    <mergeCell ref="D274:G274"/>
    <mergeCell ref="N274:Q274"/>
    <mergeCell ref="D303:G303"/>
    <mergeCell ref="N298:Q298"/>
    <mergeCell ref="N299:Q299"/>
    <mergeCell ref="N300:Q300"/>
    <mergeCell ref="N301:Q301"/>
    <mergeCell ref="N302:Q302"/>
    <mergeCell ref="D268:G268"/>
    <mergeCell ref="N268:Q268"/>
    <mergeCell ref="D269:G269"/>
    <mergeCell ref="N269:Q269"/>
    <mergeCell ref="D270:G270"/>
    <mergeCell ref="D271:G271"/>
    <mergeCell ref="N270:Q270"/>
    <mergeCell ref="N271:Q271"/>
    <mergeCell ref="D267:G267"/>
    <mergeCell ref="N267:Q267"/>
    <mergeCell ref="C267:C316"/>
    <mergeCell ref="D280:D284"/>
    <mergeCell ref="E280:G280"/>
    <mergeCell ref="N280:Q280"/>
    <mergeCell ref="F281:G281"/>
    <mergeCell ref="N281:Q281"/>
    <mergeCell ref="F282:G282"/>
    <mergeCell ref="N282:Q282"/>
    <mergeCell ref="F283:G283"/>
    <mergeCell ref="N283:Q283"/>
    <mergeCell ref="E284:G284"/>
    <mergeCell ref="D278:G278"/>
    <mergeCell ref="N278:Q278"/>
    <mergeCell ref="D279:G279"/>
    <mergeCell ref="N279:Q279"/>
    <mergeCell ref="D275:G275"/>
    <mergeCell ref="N291:Q291"/>
    <mergeCell ref="F292:G292"/>
    <mergeCell ref="N292:Q292"/>
    <mergeCell ref="F293:G293"/>
    <mergeCell ref="D285:D289"/>
    <mergeCell ref="E285:G285"/>
    <mergeCell ref="D265:G265"/>
    <mergeCell ref="N265:Q265"/>
    <mergeCell ref="D266:G266"/>
    <mergeCell ref="N266:Q266"/>
    <mergeCell ref="N260:Q260"/>
    <mergeCell ref="D261:G261"/>
    <mergeCell ref="N261:Q261"/>
    <mergeCell ref="C262:C266"/>
    <mergeCell ref="D262:G262"/>
    <mergeCell ref="N262:Q262"/>
    <mergeCell ref="D263:G263"/>
    <mergeCell ref="N263:Q263"/>
    <mergeCell ref="D264:G264"/>
    <mergeCell ref="N264:Q264"/>
    <mergeCell ref="C257:C261"/>
    <mergeCell ref="D257:G257"/>
    <mergeCell ref="N257:Q257"/>
    <mergeCell ref="D258:G258"/>
    <mergeCell ref="N258:Q258"/>
    <mergeCell ref="D259:G259"/>
    <mergeCell ref="N259:Q259"/>
    <mergeCell ref="D260:G260"/>
    <mergeCell ref="E255:G255"/>
    <mergeCell ref="D256:G256"/>
    <mergeCell ref="N256:Q256"/>
    <mergeCell ref="E251:G251"/>
    <mergeCell ref="N251:Q251"/>
    <mergeCell ref="E252:G252"/>
    <mergeCell ref="N252:Q252"/>
    <mergeCell ref="D253:G253"/>
    <mergeCell ref="D254:G254"/>
    <mergeCell ref="N254:Q254"/>
    <mergeCell ref="N253:Q253"/>
    <mergeCell ref="N255:Q255"/>
    <mergeCell ref="C246:C256"/>
    <mergeCell ref="D246:G246"/>
    <mergeCell ref="N246:Q246"/>
    <mergeCell ref="E247:G247"/>
    <mergeCell ref="N247:Q247"/>
    <mergeCell ref="E248:G248"/>
    <mergeCell ref="N248:Q248"/>
    <mergeCell ref="F249:G249"/>
    <mergeCell ref="D250:G250"/>
    <mergeCell ref="N250:Q250"/>
    <mergeCell ref="N249:Q249"/>
    <mergeCell ref="N243:Q243"/>
    <mergeCell ref="D244:E245"/>
    <mergeCell ref="F244:G244"/>
    <mergeCell ref="N244:Q244"/>
    <mergeCell ref="F245:G245"/>
    <mergeCell ref="N245:Q245"/>
    <mergeCell ref="D239:G239"/>
    <mergeCell ref="N239:Q239"/>
    <mergeCell ref="D240:G240"/>
    <mergeCell ref="N240:Q240"/>
    <mergeCell ref="D241:E243"/>
    <mergeCell ref="F241:G241"/>
    <mergeCell ref="N241:Q241"/>
    <mergeCell ref="F242:G242"/>
    <mergeCell ref="N242:Q242"/>
    <mergeCell ref="F243:G243"/>
    <mergeCell ref="D236:G236"/>
    <mergeCell ref="N236:Q236"/>
    <mergeCell ref="D237:G237"/>
    <mergeCell ref="N237:Q237"/>
    <mergeCell ref="D238:G238"/>
    <mergeCell ref="N238:Q238"/>
    <mergeCell ref="E233:G233"/>
    <mergeCell ref="N233:Q233"/>
    <mergeCell ref="E234:G234"/>
    <mergeCell ref="N234:Q234"/>
    <mergeCell ref="D235:G235"/>
    <mergeCell ref="N235:Q235"/>
    <mergeCell ref="F230:G230"/>
    <mergeCell ref="N230:Q230"/>
    <mergeCell ref="D231:G231"/>
    <mergeCell ref="N231:Q231"/>
    <mergeCell ref="E232:G232"/>
    <mergeCell ref="N232:Q232"/>
    <mergeCell ref="E227:G227"/>
    <mergeCell ref="N227:Q227"/>
    <mergeCell ref="E228:G228"/>
    <mergeCell ref="N228:Q228"/>
    <mergeCell ref="F229:G229"/>
    <mergeCell ref="N229:Q229"/>
    <mergeCell ref="F224:G224"/>
    <mergeCell ref="N224:Q224"/>
    <mergeCell ref="F225:G225"/>
    <mergeCell ref="N225:Q225"/>
    <mergeCell ref="D226:G226"/>
    <mergeCell ref="N226:Q226"/>
    <mergeCell ref="D221:G221"/>
    <mergeCell ref="N221:Q221"/>
    <mergeCell ref="E222:G222"/>
    <mergeCell ref="N222:Q222"/>
    <mergeCell ref="E223:G223"/>
    <mergeCell ref="N223:Q223"/>
    <mergeCell ref="D218:G218"/>
    <mergeCell ref="N218:Q218"/>
    <mergeCell ref="D219:G219"/>
    <mergeCell ref="N219:Q219"/>
    <mergeCell ref="D220:G220"/>
    <mergeCell ref="N220:Q220"/>
    <mergeCell ref="D212:G212"/>
    <mergeCell ref="N212:Q212"/>
    <mergeCell ref="N213:Q213"/>
    <mergeCell ref="N214:Q214"/>
    <mergeCell ref="N215:Q215"/>
    <mergeCell ref="N216:Q216"/>
    <mergeCell ref="N217:Q217"/>
    <mergeCell ref="D213:D217"/>
    <mergeCell ref="E213:G213"/>
    <mergeCell ref="E214:G214"/>
    <mergeCell ref="E215:G215"/>
    <mergeCell ref="E216:G216"/>
    <mergeCell ref="E217:G217"/>
    <mergeCell ref="D209:G209"/>
    <mergeCell ref="N209:Q209"/>
    <mergeCell ref="D210:G210"/>
    <mergeCell ref="N210:Q210"/>
    <mergeCell ref="D211:G211"/>
    <mergeCell ref="N211:Q211"/>
    <mergeCell ref="E205:G205"/>
    <mergeCell ref="E206:G206"/>
    <mergeCell ref="D207:G207"/>
    <mergeCell ref="N207:Q207"/>
    <mergeCell ref="D208:G208"/>
    <mergeCell ref="N208:Q208"/>
    <mergeCell ref="N205:Q205"/>
    <mergeCell ref="N206:Q206"/>
    <mergeCell ref="D201:G201"/>
    <mergeCell ref="N201:Q201"/>
    <mergeCell ref="E202:G202"/>
    <mergeCell ref="E203:G203"/>
    <mergeCell ref="D204:G204"/>
    <mergeCell ref="N204:Q204"/>
    <mergeCell ref="D198:G198"/>
    <mergeCell ref="N198:Q198"/>
    <mergeCell ref="D199:G199"/>
    <mergeCell ref="N199:Q199"/>
    <mergeCell ref="D200:G200"/>
    <mergeCell ref="N200:Q200"/>
    <mergeCell ref="N202:Q202"/>
    <mergeCell ref="N203:Q203"/>
    <mergeCell ref="D195:D197"/>
    <mergeCell ref="E195:G195"/>
    <mergeCell ref="N195:Q195"/>
    <mergeCell ref="E196:G196"/>
    <mergeCell ref="N196:Q196"/>
    <mergeCell ref="E197:G197"/>
    <mergeCell ref="N197:Q197"/>
    <mergeCell ref="D192:D194"/>
    <mergeCell ref="E192:G192"/>
    <mergeCell ref="N192:Q192"/>
    <mergeCell ref="E193:G193"/>
    <mergeCell ref="N193:Q193"/>
    <mergeCell ref="E194:G194"/>
    <mergeCell ref="N194:Q194"/>
    <mergeCell ref="D189:D191"/>
    <mergeCell ref="E189:G189"/>
    <mergeCell ref="N189:Q189"/>
    <mergeCell ref="E190:G190"/>
    <mergeCell ref="N190:Q190"/>
    <mergeCell ref="E191:G191"/>
    <mergeCell ref="N191:Q191"/>
    <mergeCell ref="D186:D188"/>
    <mergeCell ref="E186:G186"/>
    <mergeCell ref="N186:Q186"/>
    <mergeCell ref="E187:G187"/>
    <mergeCell ref="N187:Q187"/>
    <mergeCell ref="E188:G188"/>
    <mergeCell ref="N188:Q188"/>
    <mergeCell ref="D183:D185"/>
    <mergeCell ref="E183:G183"/>
    <mergeCell ref="N183:Q183"/>
    <mergeCell ref="E184:G184"/>
    <mergeCell ref="N184:Q184"/>
    <mergeCell ref="E185:G185"/>
    <mergeCell ref="N185:Q185"/>
    <mergeCell ref="D180:D182"/>
    <mergeCell ref="E180:G180"/>
    <mergeCell ref="N180:Q180"/>
    <mergeCell ref="E181:G181"/>
    <mergeCell ref="N181:Q181"/>
    <mergeCell ref="E182:G182"/>
    <mergeCell ref="N182:Q182"/>
    <mergeCell ref="E165:G165"/>
    <mergeCell ref="N165:Q165"/>
    <mergeCell ref="E166:G166"/>
    <mergeCell ref="N166:Q166"/>
    <mergeCell ref="E167:G167"/>
    <mergeCell ref="N167:Q167"/>
    <mergeCell ref="E162:G162"/>
    <mergeCell ref="N162:Q162"/>
    <mergeCell ref="E163:G163"/>
    <mergeCell ref="N163:Q163"/>
    <mergeCell ref="E164:G164"/>
    <mergeCell ref="N164:Q164"/>
    <mergeCell ref="D177:D179"/>
    <mergeCell ref="E177:G177"/>
    <mergeCell ref="N177:Q177"/>
    <mergeCell ref="E178:G178"/>
    <mergeCell ref="N178:Q178"/>
    <mergeCell ref="E179:G179"/>
    <mergeCell ref="N179:Q179"/>
    <mergeCell ref="E174:G174"/>
    <mergeCell ref="N174:Q174"/>
    <mergeCell ref="E175:G175"/>
    <mergeCell ref="N175:Q175"/>
    <mergeCell ref="E176:G176"/>
    <mergeCell ref="N176:Q176"/>
    <mergeCell ref="E171:G171"/>
    <mergeCell ref="N171:Q171"/>
    <mergeCell ref="E172:G172"/>
    <mergeCell ref="N172:Q172"/>
    <mergeCell ref="E173:G173"/>
    <mergeCell ref="N173:Q173"/>
    <mergeCell ref="N154:Q154"/>
    <mergeCell ref="E155:G155"/>
    <mergeCell ref="N155:Q155"/>
    <mergeCell ref="D156:G156"/>
    <mergeCell ref="N156:Q156"/>
    <mergeCell ref="E157:G157"/>
    <mergeCell ref="N157:Q157"/>
    <mergeCell ref="C150:C245"/>
    <mergeCell ref="D150:G150"/>
    <mergeCell ref="N150:Q150"/>
    <mergeCell ref="E151:G151"/>
    <mergeCell ref="N151:Q151"/>
    <mergeCell ref="E152:G152"/>
    <mergeCell ref="N152:Q152"/>
    <mergeCell ref="D153:G153"/>
    <mergeCell ref="N153:Q153"/>
    <mergeCell ref="E154:G154"/>
    <mergeCell ref="D158:G158"/>
    <mergeCell ref="N158:Q158"/>
    <mergeCell ref="E159:E161"/>
    <mergeCell ref="F159:G159"/>
    <mergeCell ref="N159:Q159"/>
    <mergeCell ref="F160:G160"/>
    <mergeCell ref="N160:Q160"/>
    <mergeCell ref="D168:G168"/>
    <mergeCell ref="N168:Q168"/>
    <mergeCell ref="E169:G169"/>
    <mergeCell ref="N169:Q169"/>
    <mergeCell ref="E170:G170"/>
    <mergeCell ref="N170:Q170"/>
    <mergeCell ref="F161:G161"/>
    <mergeCell ref="N161:Q161"/>
    <mergeCell ref="C147:G147"/>
    <mergeCell ref="N147:Q147"/>
    <mergeCell ref="C148:G148"/>
    <mergeCell ref="N148:Q148"/>
    <mergeCell ref="C149:G149"/>
    <mergeCell ref="N149:Q149"/>
    <mergeCell ref="C144:G144"/>
    <mergeCell ref="N144:Q144"/>
    <mergeCell ref="C145:G145"/>
    <mergeCell ref="N145:Q145"/>
    <mergeCell ref="C146:G146"/>
    <mergeCell ref="N146:Q146"/>
    <mergeCell ref="D141:G141"/>
    <mergeCell ref="N141:Q141"/>
    <mergeCell ref="C142:G142"/>
    <mergeCell ref="N142:Q142"/>
    <mergeCell ref="C143:G143"/>
    <mergeCell ref="N143:Q143"/>
    <mergeCell ref="C138:G138"/>
    <mergeCell ref="N138:Q138"/>
    <mergeCell ref="D139:G139"/>
    <mergeCell ref="N139:Q139"/>
    <mergeCell ref="C140:G140"/>
    <mergeCell ref="N140:Q140"/>
    <mergeCell ref="F135:G135"/>
    <mergeCell ref="N135:Q135"/>
    <mergeCell ref="F136:G136"/>
    <mergeCell ref="N136:Q136"/>
    <mergeCell ref="E137:G137"/>
    <mergeCell ref="N137:Q137"/>
    <mergeCell ref="E130:G130"/>
    <mergeCell ref="N130:Q130"/>
    <mergeCell ref="D131:D137"/>
    <mergeCell ref="E131:G131"/>
    <mergeCell ref="F132:G132"/>
    <mergeCell ref="N132:Q132"/>
    <mergeCell ref="F133:G133"/>
    <mergeCell ref="N133:Q133"/>
    <mergeCell ref="F134:G134"/>
    <mergeCell ref="N134:Q134"/>
    <mergeCell ref="N131:Q131"/>
    <mergeCell ref="F127:G127"/>
    <mergeCell ref="N127:Q127"/>
    <mergeCell ref="F128:G128"/>
    <mergeCell ref="N128:Q128"/>
    <mergeCell ref="F129:G129"/>
    <mergeCell ref="N129:Q129"/>
    <mergeCell ref="D122:G122"/>
    <mergeCell ref="N122:Q122"/>
    <mergeCell ref="D123:G123"/>
    <mergeCell ref="N123:Q123"/>
    <mergeCell ref="D124:D130"/>
    <mergeCell ref="E124:G124"/>
    <mergeCell ref="F125:G125"/>
    <mergeCell ref="N125:Q125"/>
    <mergeCell ref="F126:G126"/>
    <mergeCell ref="N126:Q126"/>
    <mergeCell ref="N124:Q124"/>
    <mergeCell ref="D119:G119"/>
    <mergeCell ref="N119:Q119"/>
    <mergeCell ref="C120:G120"/>
    <mergeCell ref="N120:Q120"/>
    <mergeCell ref="D121:G121"/>
    <mergeCell ref="N121:Q121"/>
    <mergeCell ref="C116:G116"/>
    <mergeCell ref="N116:Q116"/>
    <mergeCell ref="D117:G117"/>
    <mergeCell ref="N117:Q117"/>
    <mergeCell ref="D118:G118"/>
    <mergeCell ref="N118:Q118"/>
    <mergeCell ref="E113:G113"/>
    <mergeCell ref="N113:Q113"/>
    <mergeCell ref="D114:G114"/>
    <mergeCell ref="N114:Q114"/>
    <mergeCell ref="C115:G115"/>
    <mergeCell ref="N115:Q115"/>
    <mergeCell ref="D110:G110"/>
    <mergeCell ref="N110:Q110"/>
    <mergeCell ref="E111:G111"/>
    <mergeCell ref="N111:Q111"/>
    <mergeCell ref="E112:G112"/>
    <mergeCell ref="N112:Q112"/>
    <mergeCell ref="D107:G107"/>
    <mergeCell ref="N107:Q107"/>
    <mergeCell ref="E108:G108"/>
    <mergeCell ref="N108:Q108"/>
    <mergeCell ref="D109:G109"/>
    <mergeCell ref="N109:Q109"/>
    <mergeCell ref="D104:G104"/>
    <mergeCell ref="N104:Q104"/>
    <mergeCell ref="D105:G105"/>
    <mergeCell ref="N105:Q105"/>
    <mergeCell ref="D106:G106"/>
    <mergeCell ref="N106:Q106"/>
    <mergeCell ref="D101:G101"/>
    <mergeCell ref="N101:Q101"/>
    <mergeCell ref="D102:G102"/>
    <mergeCell ref="N102:Q102"/>
    <mergeCell ref="D103:G103"/>
    <mergeCell ref="N103:Q103"/>
    <mergeCell ref="D98:G98"/>
    <mergeCell ref="N98:Q98"/>
    <mergeCell ref="D99:G99"/>
    <mergeCell ref="N99:Q99"/>
    <mergeCell ref="D100:G100"/>
    <mergeCell ref="N100:Q100"/>
    <mergeCell ref="D95:G95"/>
    <mergeCell ref="N95:Q95"/>
    <mergeCell ref="D96:G96"/>
    <mergeCell ref="N96:Q96"/>
    <mergeCell ref="D97:G97"/>
    <mergeCell ref="N97:Q97"/>
    <mergeCell ref="D92:G92"/>
    <mergeCell ref="N92:Q92"/>
    <mergeCell ref="D93:G93"/>
    <mergeCell ref="N93:Q93"/>
    <mergeCell ref="D94:G94"/>
    <mergeCell ref="N94:Q94"/>
    <mergeCell ref="D88:G88"/>
    <mergeCell ref="D89:G89"/>
    <mergeCell ref="N89:Q89"/>
    <mergeCell ref="C90:G90"/>
    <mergeCell ref="N90:Q90"/>
    <mergeCell ref="D91:G91"/>
    <mergeCell ref="N91:Q91"/>
    <mergeCell ref="N88:Q88"/>
    <mergeCell ref="E85:G85"/>
    <mergeCell ref="N85:Q85"/>
    <mergeCell ref="E86:G86"/>
    <mergeCell ref="N86:Q86"/>
    <mergeCell ref="E87:G87"/>
    <mergeCell ref="N87:Q87"/>
    <mergeCell ref="E78:G78"/>
    <mergeCell ref="N78:Q78"/>
    <mergeCell ref="E79:G79"/>
    <mergeCell ref="N79:Q79"/>
    <mergeCell ref="E84:G84"/>
    <mergeCell ref="N84:Q84"/>
    <mergeCell ref="E75:G75"/>
    <mergeCell ref="N75:Q75"/>
    <mergeCell ref="E76:G76"/>
    <mergeCell ref="N76:Q76"/>
    <mergeCell ref="E77:G77"/>
    <mergeCell ref="N77:Q77"/>
    <mergeCell ref="E72:G72"/>
    <mergeCell ref="N72:Q72"/>
    <mergeCell ref="E73:G73"/>
    <mergeCell ref="N73:Q73"/>
    <mergeCell ref="E74:G74"/>
    <mergeCell ref="N74:Q74"/>
    <mergeCell ref="E80:G80"/>
    <mergeCell ref="N80:Q80"/>
    <mergeCell ref="E81:G81"/>
    <mergeCell ref="N81:Q81"/>
    <mergeCell ref="E82:G82"/>
    <mergeCell ref="N82:Q82"/>
    <mergeCell ref="E83:G83"/>
    <mergeCell ref="N83:Q83"/>
    <mergeCell ref="E70:G70"/>
    <mergeCell ref="N70:Q70"/>
    <mergeCell ref="E71:G71"/>
    <mergeCell ref="N71:Q71"/>
    <mergeCell ref="E68:G68"/>
    <mergeCell ref="N68:Q68"/>
    <mergeCell ref="E69:G69"/>
    <mergeCell ref="N69:Q69"/>
    <mergeCell ref="E65:G65"/>
    <mergeCell ref="N65:Q65"/>
    <mergeCell ref="E66:G66"/>
    <mergeCell ref="N66:Q66"/>
    <mergeCell ref="E67:G67"/>
    <mergeCell ref="N67:Q67"/>
    <mergeCell ref="E62:G62"/>
    <mergeCell ref="N62:Q62"/>
    <mergeCell ref="E63:G63"/>
    <mergeCell ref="N63:Q63"/>
    <mergeCell ref="E64:G64"/>
    <mergeCell ref="N64:Q64"/>
    <mergeCell ref="E61:G61"/>
    <mergeCell ref="N61:Q61"/>
    <mergeCell ref="E58:G58"/>
    <mergeCell ref="N58:Q58"/>
    <mergeCell ref="E59:G59"/>
    <mergeCell ref="N59:Q59"/>
    <mergeCell ref="E60:G60"/>
    <mergeCell ref="N60:Q60"/>
    <mergeCell ref="E55:G55"/>
    <mergeCell ref="N55:Q55"/>
    <mergeCell ref="E56:G56"/>
    <mergeCell ref="N56:Q56"/>
    <mergeCell ref="E57:G57"/>
    <mergeCell ref="N57:Q57"/>
    <mergeCell ref="D52:G52"/>
    <mergeCell ref="N52:Q52"/>
    <mergeCell ref="E53:G53"/>
    <mergeCell ref="N53:Q53"/>
    <mergeCell ref="E54:G54"/>
    <mergeCell ref="N54:Q54"/>
    <mergeCell ref="E49:G49"/>
    <mergeCell ref="N49:Q49"/>
    <mergeCell ref="E50:G50"/>
    <mergeCell ref="N50:Q50"/>
    <mergeCell ref="D51:G51"/>
    <mergeCell ref="N51:Q51"/>
    <mergeCell ref="F46:G46"/>
    <mergeCell ref="N46:Q46"/>
    <mergeCell ref="F47:G47"/>
    <mergeCell ref="N47:Q47"/>
    <mergeCell ref="E48:G48"/>
    <mergeCell ref="N48:Q48"/>
    <mergeCell ref="F42:G42"/>
    <mergeCell ref="N42:Q42"/>
    <mergeCell ref="N43:Q43"/>
    <mergeCell ref="N44:Q44"/>
    <mergeCell ref="E45:G45"/>
    <mergeCell ref="N45:Q45"/>
    <mergeCell ref="E39:G39"/>
    <mergeCell ref="N39:Q39"/>
    <mergeCell ref="E40:G40"/>
    <mergeCell ref="N40:Q40"/>
    <mergeCell ref="F41:G41"/>
    <mergeCell ref="N41:Q41"/>
    <mergeCell ref="E36:G36"/>
    <mergeCell ref="N36:Q36"/>
    <mergeCell ref="F37:G37"/>
    <mergeCell ref="N37:Q37"/>
    <mergeCell ref="F38:G38"/>
    <mergeCell ref="N38:Q38"/>
    <mergeCell ref="E33:G33"/>
    <mergeCell ref="N33:Q33"/>
    <mergeCell ref="E34:G34"/>
    <mergeCell ref="N34:Q34"/>
    <mergeCell ref="D35:G35"/>
    <mergeCell ref="N35:Q35"/>
    <mergeCell ref="N28:Q28"/>
    <mergeCell ref="N29:Q29"/>
    <mergeCell ref="F30:G30"/>
    <mergeCell ref="N30:Q30"/>
    <mergeCell ref="N31:Q31"/>
    <mergeCell ref="N32:Q32"/>
    <mergeCell ref="E25:G25"/>
    <mergeCell ref="N25:Q25"/>
    <mergeCell ref="E26:G26"/>
    <mergeCell ref="N26:Q26"/>
    <mergeCell ref="F27:G27"/>
    <mergeCell ref="N27:Q27"/>
    <mergeCell ref="E22:G22"/>
    <mergeCell ref="N22:Q22"/>
    <mergeCell ref="E23:F23"/>
    <mergeCell ref="N23:Q23"/>
    <mergeCell ref="E24:F24"/>
    <mergeCell ref="N24:Q24"/>
    <mergeCell ref="E19:F19"/>
    <mergeCell ref="N19:Q19"/>
    <mergeCell ref="E20:F20"/>
    <mergeCell ref="N20:Q20"/>
    <mergeCell ref="E21:F21"/>
    <mergeCell ref="N21:Q21"/>
    <mergeCell ref="E16:G16"/>
    <mergeCell ref="N16:Q16"/>
    <mergeCell ref="E17:G17"/>
    <mergeCell ref="N17:Q17"/>
    <mergeCell ref="E18:G18"/>
    <mergeCell ref="N18:Q18"/>
    <mergeCell ref="E13:G13"/>
    <mergeCell ref="N13:Q13"/>
    <mergeCell ref="E14:G14"/>
    <mergeCell ref="N14:Q14"/>
    <mergeCell ref="E15:G15"/>
    <mergeCell ref="N15:Q15"/>
    <mergeCell ref="E12:G12"/>
    <mergeCell ref="N12:Q12"/>
    <mergeCell ref="C5:F5"/>
    <mergeCell ref="H5:J5"/>
    <mergeCell ref="K5:M5"/>
    <mergeCell ref="C8:G8"/>
    <mergeCell ref="N8:Q8"/>
    <mergeCell ref="C9:G9"/>
    <mergeCell ref="N9:Q9"/>
    <mergeCell ref="C3:F3"/>
    <mergeCell ref="H3:J3"/>
    <mergeCell ref="K3:M3"/>
    <mergeCell ref="C4:F4"/>
    <mergeCell ref="H4:J4"/>
    <mergeCell ref="K4:M4"/>
    <mergeCell ref="C10:G10"/>
    <mergeCell ref="N10:Q10"/>
    <mergeCell ref="D11:G11"/>
    <mergeCell ref="N11:Q11"/>
  </mergeCells>
  <phoneticPr fontId="4"/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営農法人</vt:lpstr>
      <vt:lpstr>営農法人!Print_Area</vt:lpstr>
      <vt:lpstr>営農法人!Print_Titles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 </cp:lastModifiedBy>
  <dcterms:created xsi:type="dcterms:W3CDTF">2022-11-25T00:55:38Z</dcterms:created>
  <dcterms:modified xsi:type="dcterms:W3CDTF">2024-03-11T01:50:01Z</dcterms:modified>
</cp:coreProperties>
</file>