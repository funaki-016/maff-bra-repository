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15255" yWindow="1095" windowWidth="23250" windowHeight="12570" tabRatio="843"/>
  </bookViews>
  <sheets>
    <sheet name="No4" sheetId="28" r:id="rId1"/>
    <sheet name="No5" sheetId="29" r:id="rId2"/>
    <sheet name="No6" sheetId="30" r:id="rId3"/>
  </sheets>
  <definedNames>
    <definedName name="_xlnm.Print_Area" localSheetId="0">'No4'!$A$1:$BQ$59</definedName>
    <definedName name="_xlnm.Print_Area" localSheetId="1">'No5'!$A$1:$BY$55</definedName>
    <definedName name="_xlnm.Print_Area" localSheetId="2">'No6'!$A$1:$CD$58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T4" i="30" l="1"/>
  <c r="BO4" i="29"/>
  <c r="B1" i="30" l="1"/>
  <c r="B1" i="29"/>
  <c r="B1" i="28"/>
</calcChain>
</file>

<file path=xl/sharedStrings.xml><?xml version="1.0" encoding="utf-8"?>
<sst xmlns="http://schemas.openxmlformats.org/spreadsheetml/2006/main" count="725" uniqueCount="424">
  <si>
    <t>家畜飼養管理</t>
    <rPh sb="0" eb="2">
      <t>カチク</t>
    </rPh>
    <rPh sb="2" eb="4">
      <t>シヨウ</t>
    </rPh>
    <rPh sb="4" eb="6">
      <t>カンリ</t>
    </rPh>
    <phoneticPr fontId="8"/>
  </si>
  <si>
    <t>処理加工用</t>
    <rPh sb="0" eb="2">
      <t>ショリ</t>
    </rPh>
    <rPh sb="2" eb="5">
      <t>カコウヨウ</t>
    </rPh>
    <phoneticPr fontId="8"/>
  </si>
  <si>
    <t>その他調製</t>
    <rPh sb="2" eb="3">
      <t>タ</t>
    </rPh>
    <phoneticPr fontId="8"/>
  </si>
  <si>
    <t>果樹野菜花き調製</t>
    <rPh sb="0" eb="2">
      <t>カジュ</t>
    </rPh>
    <rPh sb="2" eb="4">
      <t>ヤサイ</t>
    </rPh>
    <rPh sb="4" eb="5">
      <t>カ</t>
    </rPh>
    <rPh sb="6" eb="8">
      <t>チョウセイ</t>
    </rPh>
    <phoneticPr fontId="8"/>
  </si>
  <si>
    <t>飼料作物調製</t>
    <rPh sb="0" eb="2">
      <t>シリョウ</t>
    </rPh>
    <rPh sb="2" eb="4">
      <t>サクモツ</t>
    </rPh>
    <phoneticPr fontId="8"/>
  </si>
  <si>
    <t>穀類収穫調製</t>
    <rPh sb="0" eb="2">
      <t>コクルイ</t>
    </rPh>
    <rPh sb="2" eb="4">
      <t>シュウカク</t>
    </rPh>
    <rPh sb="4" eb="6">
      <t>チョウセイ</t>
    </rPh>
    <phoneticPr fontId="8"/>
  </si>
  <si>
    <t>防除用機具</t>
    <rPh sb="0" eb="2">
      <t>ボウジョ</t>
    </rPh>
    <rPh sb="2" eb="3">
      <t>ヨウ</t>
    </rPh>
    <rPh sb="3" eb="5">
      <t>キグ</t>
    </rPh>
    <phoneticPr fontId="8"/>
  </si>
  <si>
    <t>栽培管理用</t>
    <rPh sb="0" eb="2">
      <t>サイバイ</t>
    </rPh>
    <rPh sb="2" eb="5">
      <t>カンリヨウ</t>
    </rPh>
    <phoneticPr fontId="8"/>
  </si>
  <si>
    <t>耕土造成改良</t>
    <rPh sb="0" eb="2">
      <t>コウド</t>
    </rPh>
    <rPh sb="2" eb="4">
      <t>ゾウセイ</t>
    </rPh>
    <rPh sb="4" eb="6">
      <t>カイリョウ</t>
    </rPh>
    <phoneticPr fontId="8"/>
  </si>
  <si>
    <t>耕運整地用</t>
    <rPh sb="0" eb="2">
      <t>コウウン</t>
    </rPh>
    <rPh sb="2" eb="4">
      <t>セイチ</t>
    </rPh>
    <rPh sb="4" eb="5">
      <t>ヨウ</t>
    </rPh>
    <phoneticPr fontId="8"/>
  </si>
  <si>
    <t>乗用トラクター</t>
    <rPh sb="0" eb="2">
      <t>ジョウヨウ</t>
    </rPh>
    <phoneticPr fontId="8"/>
  </si>
  <si>
    <t>トラック</t>
    <phoneticPr fontId="8"/>
  </si>
  <si>
    <t>乗用車</t>
    <rPh sb="0" eb="3">
      <t>ジョウヨウシャ</t>
    </rPh>
    <phoneticPr fontId="8"/>
  </si>
  <si>
    <t>畜舎・鶏舎</t>
    <rPh sb="0" eb="2">
      <t>チクシャ</t>
    </rPh>
    <rPh sb="3" eb="5">
      <t>ケイシャ</t>
    </rPh>
    <phoneticPr fontId="8"/>
  </si>
  <si>
    <t>加温ハウス</t>
    <rPh sb="0" eb="2">
      <t>カオン</t>
    </rPh>
    <phoneticPr fontId="8"/>
  </si>
  <si>
    <t>納屋・倉庫</t>
    <rPh sb="0" eb="2">
      <t>ナヤ</t>
    </rPh>
    <rPh sb="3" eb="5">
      <t>ソウコ</t>
    </rPh>
    <phoneticPr fontId="8"/>
  </si>
  <si>
    <t>短期借入金</t>
    <rPh sb="0" eb="2">
      <t>タンキ</t>
    </rPh>
    <rPh sb="2" eb="5">
      <t>カリイレキン</t>
    </rPh>
    <phoneticPr fontId="11"/>
  </si>
  <si>
    <t>％</t>
    <phoneticPr fontId="11"/>
  </si>
  <si>
    <t>農業及び関連事業付加価値率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カチリツ</t>
    </rPh>
    <phoneticPr fontId="11"/>
  </si>
  <si>
    <t>長期借入金</t>
    <rPh sb="0" eb="2">
      <t>チョウキ</t>
    </rPh>
    <rPh sb="2" eb="5">
      <t>カリイレキン</t>
    </rPh>
    <phoneticPr fontId="11"/>
  </si>
  <si>
    <t>農業及び関連事業付加価値額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カチガク</t>
    </rPh>
    <phoneticPr fontId="11"/>
  </si>
  <si>
    <t>〃</t>
    <phoneticPr fontId="8"/>
  </si>
  <si>
    <t>期中借入額</t>
    <rPh sb="0" eb="2">
      <t>キチュウ</t>
    </rPh>
    <rPh sb="2" eb="5">
      <t>カリイレガク</t>
    </rPh>
    <phoneticPr fontId="11"/>
  </si>
  <si>
    <t>農業及び関連事業所得率</t>
    <rPh sb="0" eb="2">
      <t>ノウギョウ</t>
    </rPh>
    <rPh sb="2" eb="3">
      <t>オヨ</t>
    </rPh>
    <rPh sb="4" eb="6">
      <t>カンレン</t>
    </rPh>
    <rPh sb="6" eb="8">
      <t>ジギョウ</t>
    </rPh>
    <rPh sb="8" eb="11">
      <t>ショトクリツ</t>
    </rPh>
    <phoneticPr fontId="11"/>
  </si>
  <si>
    <t>植物・牛馬</t>
    <rPh sb="0" eb="2">
      <t>ショクブツ</t>
    </rPh>
    <rPh sb="3" eb="5">
      <t>ギュウバ</t>
    </rPh>
    <phoneticPr fontId="11"/>
  </si>
  <si>
    <t>分析指標(農業及び農業生産関連事業)</t>
    <rPh sb="0" eb="2">
      <t>ブンセキ</t>
    </rPh>
    <rPh sb="2" eb="4">
      <t>シヒョウ</t>
    </rPh>
    <rPh sb="5" eb="7">
      <t>ノウギョウ</t>
    </rPh>
    <rPh sb="7" eb="8">
      <t>オヨ</t>
    </rPh>
    <rPh sb="9" eb="11">
      <t>ノウギョウ</t>
    </rPh>
    <rPh sb="11" eb="13">
      <t>セイサン</t>
    </rPh>
    <rPh sb="13" eb="15">
      <t>カンレン</t>
    </rPh>
    <rPh sb="15" eb="17">
      <t>ジギョウ</t>
    </rPh>
    <phoneticPr fontId="11"/>
  </si>
  <si>
    <t>自動車・農機具</t>
    <rPh sb="0" eb="3">
      <t>ジドウシャ</t>
    </rPh>
    <rPh sb="4" eb="7">
      <t>ノウキグ</t>
    </rPh>
    <phoneticPr fontId="11"/>
  </si>
  <si>
    <t>〃</t>
    <phoneticPr fontId="11"/>
  </si>
  <si>
    <t>関連事業従事者1人当付加価値額</t>
    <rPh sb="0" eb="2">
      <t>カンレン</t>
    </rPh>
    <rPh sb="2" eb="4">
      <t>ジギョウ</t>
    </rPh>
    <rPh sb="4" eb="7">
      <t>ジュウジシャ</t>
    </rPh>
    <rPh sb="8" eb="9">
      <t>ニン</t>
    </rPh>
    <rPh sb="9" eb="10">
      <t>トウ</t>
    </rPh>
    <rPh sb="10" eb="12">
      <t>フカ</t>
    </rPh>
    <rPh sb="12" eb="14">
      <t>カチ</t>
    </rPh>
    <rPh sb="14" eb="15">
      <t>ガク</t>
    </rPh>
    <phoneticPr fontId="11"/>
  </si>
  <si>
    <t>建物・構築物</t>
    <rPh sb="0" eb="2">
      <t>タテモノ</t>
    </rPh>
    <rPh sb="3" eb="6">
      <t>コウチクブツ</t>
    </rPh>
    <phoneticPr fontId="11"/>
  </si>
  <si>
    <t>経常利益</t>
    <rPh sb="0" eb="2">
      <t>ケイジョウ</t>
    </rPh>
    <rPh sb="2" eb="4">
      <t>リエキ</t>
    </rPh>
    <phoneticPr fontId="11"/>
  </si>
  <si>
    <t>関連事業1時間当付加価値額</t>
    <rPh sb="0" eb="2">
      <t>カンレン</t>
    </rPh>
    <rPh sb="2" eb="4">
      <t>ジギョウ</t>
    </rPh>
    <rPh sb="5" eb="7">
      <t>ジカン</t>
    </rPh>
    <rPh sb="7" eb="8">
      <t>トウ</t>
    </rPh>
    <rPh sb="8" eb="10">
      <t>フカ</t>
    </rPh>
    <rPh sb="10" eb="12">
      <t>カチ</t>
    </rPh>
    <rPh sb="12" eb="13">
      <t>ガク</t>
    </rPh>
    <phoneticPr fontId="11"/>
  </si>
  <si>
    <t>土地</t>
    <rPh sb="0" eb="2">
      <t>トチ</t>
    </rPh>
    <phoneticPr fontId="11"/>
  </si>
  <si>
    <t>付加価値率</t>
    <rPh sb="0" eb="2">
      <t>フカ</t>
    </rPh>
    <rPh sb="2" eb="5">
      <t>カチリツ</t>
    </rPh>
    <phoneticPr fontId="11"/>
  </si>
  <si>
    <t>期中投資額</t>
    <rPh sb="0" eb="2">
      <t>キチュウ</t>
    </rPh>
    <rPh sb="2" eb="5">
      <t>トウシガク</t>
    </rPh>
    <phoneticPr fontId="11"/>
  </si>
  <si>
    <t>計</t>
    <rPh sb="0" eb="1">
      <t>ケイ</t>
    </rPh>
    <phoneticPr fontId="11"/>
  </si>
  <si>
    <t>付加価値額</t>
    <rPh sb="0" eb="2">
      <t>フカ</t>
    </rPh>
    <rPh sb="2" eb="5">
      <t>カチガク</t>
    </rPh>
    <phoneticPr fontId="11"/>
  </si>
  <si>
    <t>生産性</t>
    <rPh sb="0" eb="3">
      <t>セイサンセイ</t>
    </rPh>
    <phoneticPr fontId="11"/>
  </si>
  <si>
    <t>農　業</t>
    <rPh sb="0" eb="1">
      <t>ノウ</t>
    </rPh>
    <rPh sb="2" eb="3">
      <t>ギョウ</t>
    </rPh>
    <phoneticPr fontId="11"/>
  </si>
  <si>
    <t>区　分</t>
    <rPh sb="0" eb="1">
      <t>ク</t>
    </rPh>
    <rPh sb="2" eb="3">
      <t>ブン</t>
    </rPh>
    <phoneticPr fontId="11"/>
  </si>
  <si>
    <t>営業外費用</t>
    <rPh sb="0" eb="3">
      <t>エイギョウガイ</t>
    </rPh>
    <rPh sb="3" eb="5">
      <t>ヒヨウ</t>
    </rPh>
    <phoneticPr fontId="11"/>
  </si>
  <si>
    <t>時間</t>
    <rPh sb="0" eb="2">
      <t>ジカン</t>
    </rPh>
    <phoneticPr fontId="11"/>
  </si>
  <si>
    <t>関連事業従事者1人当関連事業労働時間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ロウドウ</t>
    </rPh>
    <rPh sb="16" eb="18">
      <t>ジカン</t>
    </rPh>
    <phoneticPr fontId="11"/>
  </si>
  <si>
    <t>区　分</t>
    <rPh sb="0" eb="1">
      <t>ク</t>
    </rPh>
    <rPh sb="2" eb="3">
      <t>ブン</t>
    </rPh>
    <phoneticPr fontId="8"/>
  </si>
  <si>
    <t>営業外収益</t>
    <rPh sb="0" eb="2">
      <t>エイギョウ</t>
    </rPh>
    <rPh sb="2" eb="3">
      <t>ガイ</t>
    </rPh>
    <rPh sb="3" eb="5">
      <t>シュウエキ</t>
    </rPh>
    <phoneticPr fontId="11"/>
  </si>
  <si>
    <t>関連事業従事者1人当関連事業所得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ショトク</t>
    </rPh>
    <phoneticPr fontId="11"/>
  </si>
  <si>
    <t>営業利益</t>
    <rPh sb="0" eb="2">
      <t>エイギョウ</t>
    </rPh>
    <rPh sb="2" eb="4">
      <t>リエキ</t>
    </rPh>
    <phoneticPr fontId="11"/>
  </si>
  <si>
    <t>関連事業1時間当関連事業所得</t>
    <rPh sb="0" eb="4">
      <t>カンレンジギョウ</t>
    </rPh>
    <rPh sb="5" eb="7">
      <t>ジカン</t>
    </rPh>
    <rPh sb="7" eb="8">
      <t>ア</t>
    </rPh>
    <rPh sb="8" eb="10">
      <t>カンレン</t>
    </rPh>
    <rPh sb="10" eb="12">
      <t>ジギョウ</t>
    </rPh>
    <rPh sb="12" eb="14">
      <t>ショトク</t>
    </rPh>
    <phoneticPr fontId="11"/>
  </si>
  <si>
    <t>貸付地（耕地）</t>
    <rPh sb="0" eb="3">
      <t>カシツケチ</t>
    </rPh>
    <rPh sb="4" eb="6">
      <t>コウチ</t>
    </rPh>
    <phoneticPr fontId="11"/>
  </si>
  <si>
    <t>関連事業所得率</t>
    <rPh sb="0" eb="4">
      <t>カンレンジギョウ</t>
    </rPh>
    <rPh sb="4" eb="7">
      <t>ショトクリツ</t>
    </rPh>
    <phoneticPr fontId="11"/>
  </si>
  <si>
    <t>収益性</t>
    <rPh sb="0" eb="3">
      <t>シュウエキセイ</t>
    </rPh>
    <phoneticPr fontId="11"/>
  </si>
  <si>
    <t>50馬力以上</t>
    <rPh sb="2" eb="4">
      <t>バリキ</t>
    </rPh>
    <rPh sb="4" eb="6">
      <t>イジョウ</t>
    </rPh>
    <phoneticPr fontId="8"/>
  </si>
  <si>
    <t>採草放牧地</t>
    <rPh sb="0" eb="2">
      <t>サイソウ</t>
    </rPh>
    <rPh sb="2" eb="5">
      <t>ホウボクチ</t>
    </rPh>
    <phoneticPr fontId="11"/>
  </si>
  <si>
    <t>分析指標（農業生産関連事業）</t>
    <rPh sb="5" eb="7">
      <t>ノウギョウ</t>
    </rPh>
    <rPh sb="7" eb="9">
      <t>セイサン</t>
    </rPh>
    <rPh sb="9" eb="11">
      <t>カンレン</t>
    </rPh>
    <rPh sb="11" eb="13">
      <t>ジギョウ</t>
    </rPh>
    <phoneticPr fontId="11"/>
  </si>
  <si>
    <t>牧草地</t>
    <rPh sb="0" eb="3">
      <t>ボクソウチ</t>
    </rPh>
    <phoneticPr fontId="11"/>
  </si>
  <si>
    <t>農業所得</t>
    <rPh sb="0" eb="2">
      <t>ノウギョウ</t>
    </rPh>
    <rPh sb="2" eb="4">
      <t>ショトク</t>
    </rPh>
    <phoneticPr fontId="11"/>
  </si>
  <si>
    <t>樹園地</t>
    <rPh sb="0" eb="1">
      <t>ジュ</t>
    </rPh>
    <rPh sb="1" eb="3">
      <t>エンチ</t>
    </rPh>
    <phoneticPr fontId="11"/>
  </si>
  <si>
    <t>農業経営費</t>
    <rPh sb="0" eb="2">
      <t>ノウギョウ</t>
    </rPh>
    <rPh sb="2" eb="5">
      <t>ケイエイヒ</t>
    </rPh>
    <phoneticPr fontId="11"/>
  </si>
  <si>
    <t>台</t>
    <rPh sb="0" eb="1">
      <t>ダイ</t>
    </rPh>
    <phoneticPr fontId="8"/>
  </si>
  <si>
    <t>普通畑</t>
    <rPh sb="0" eb="2">
      <t>フツウ</t>
    </rPh>
    <rPh sb="2" eb="3">
      <t>ハタケ</t>
    </rPh>
    <phoneticPr fontId="11"/>
  </si>
  <si>
    <t>農業粗収益</t>
    <rPh sb="0" eb="2">
      <t>ノウギョウ</t>
    </rPh>
    <rPh sb="2" eb="3">
      <t>ソ</t>
    </rPh>
    <rPh sb="3" eb="5">
      <t>シュウエキ</t>
    </rPh>
    <phoneticPr fontId="11"/>
  </si>
  <si>
    <t>営農類型
規模当たり</t>
    <rPh sb="0" eb="2">
      <t>エイノウ</t>
    </rPh>
    <rPh sb="2" eb="4">
      <t>ルイケイ</t>
    </rPh>
    <rPh sb="5" eb="7">
      <t>キボ</t>
    </rPh>
    <phoneticPr fontId="11"/>
  </si>
  <si>
    <t>田</t>
    <rPh sb="0" eb="1">
      <t>タ</t>
    </rPh>
    <phoneticPr fontId="11"/>
  </si>
  <si>
    <t>回</t>
    <rPh sb="0" eb="1">
      <t>カイ</t>
    </rPh>
    <phoneticPr fontId="11"/>
  </si>
  <si>
    <t>農業固定資産回転率</t>
    <rPh sb="0" eb="2">
      <t>ノウギョウ</t>
    </rPh>
    <rPh sb="2" eb="6">
      <t>コテイシサン</t>
    </rPh>
    <rPh sb="6" eb="9">
      <t>カイテンリツ</t>
    </rPh>
    <phoneticPr fontId="11"/>
  </si>
  <si>
    <t>パイプハウス</t>
    <phoneticPr fontId="8"/>
  </si>
  <si>
    <t>経営耕地面積計</t>
    <rPh sb="0" eb="2">
      <t>ケイエイ</t>
    </rPh>
    <rPh sb="2" eb="4">
      <t>コウチ</t>
    </rPh>
    <rPh sb="4" eb="6">
      <t>メンセキ</t>
    </rPh>
    <rPh sb="6" eb="7">
      <t>ケイ</t>
    </rPh>
    <phoneticPr fontId="11"/>
  </si>
  <si>
    <t>農業固定資産装備率</t>
    <rPh sb="0" eb="2">
      <t>ノウギョウ</t>
    </rPh>
    <rPh sb="2" eb="6">
      <t>コテイシサン</t>
    </rPh>
    <rPh sb="6" eb="9">
      <t>ソウビリツ</t>
    </rPh>
    <phoneticPr fontId="11"/>
  </si>
  <si>
    <t>借入地</t>
    <rPh sb="0" eb="2">
      <t>カリイレ</t>
    </rPh>
    <rPh sb="2" eb="3">
      <t>チ</t>
    </rPh>
    <phoneticPr fontId="11"/>
  </si>
  <si>
    <t>自作地</t>
    <rPh sb="0" eb="3">
      <t>ジサクチ</t>
    </rPh>
    <phoneticPr fontId="11"/>
  </si>
  <si>
    <t>㎡</t>
    <phoneticPr fontId="8"/>
  </si>
  <si>
    <t>区    分</t>
    <rPh sb="0" eb="1">
      <t>ク</t>
    </rPh>
    <rPh sb="5" eb="6">
      <t>ブン</t>
    </rPh>
    <phoneticPr fontId="11"/>
  </si>
  <si>
    <t>事業支出</t>
    <rPh sb="0" eb="2">
      <t>ジギョウ</t>
    </rPh>
    <rPh sb="2" eb="4">
      <t>シシュツ</t>
    </rPh>
    <phoneticPr fontId="11"/>
  </si>
  <si>
    <t>面積・台数</t>
    <rPh sb="0" eb="2">
      <t>メンセキ</t>
    </rPh>
    <rPh sb="3" eb="5">
      <t>ダイスウ</t>
    </rPh>
    <phoneticPr fontId="11"/>
  </si>
  <si>
    <t>人</t>
    <rPh sb="0" eb="1">
      <t>ニン</t>
    </rPh>
    <phoneticPr fontId="11"/>
  </si>
  <si>
    <t>利用者数</t>
    <rPh sb="0" eb="3">
      <t>リヨウシャ</t>
    </rPh>
    <rPh sb="3" eb="4">
      <t>スウ</t>
    </rPh>
    <phoneticPr fontId="11"/>
  </si>
  <si>
    <t>利用者数</t>
    <rPh sb="0" eb="3">
      <t>リヨウシャ</t>
    </rPh>
    <rPh sb="3" eb="4">
      <t>カズ</t>
    </rPh>
    <phoneticPr fontId="11"/>
  </si>
  <si>
    <t>日</t>
    <rPh sb="0" eb="1">
      <t>ニチ</t>
    </rPh>
    <phoneticPr fontId="11"/>
  </si>
  <si>
    <t>営業日数</t>
    <rPh sb="0" eb="2">
      <t>エイギョウ</t>
    </rPh>
    <rPh sb="2" eb="4">
      <t>ニッスウ</t>
    </rPh>
    <phoneticPr fontId="11"/>
  </si>
  <si>
    <t>観光
農園</t>
    <rPh sb="0" eb="2">
      <t>カンコウ</t>
    </rPh>
    <rPh sb="3" eb="5">
      <t>ノウエン</t>
    </rPh>
    <phoneticPr fontId="11"/>
  </si>
  <si>
    <t>営業日数</t>
    <rPh sb="0" eb="3">
      <t>エイギョウビ</t>
    </rPh>
    <rPh sb="3" eb="4">
      <t>スウ</t>
    </rPh>
    <phoneticPr fontId="11"/>
  </si>
  <si>
    <t>農家
レスト
ラン</t>
    <rPh sb="0" eb="2">
      <t>ノウカ</t>
    </rPh>
    <phoneticPr fontId="11"/>
  </si>
  <si>
    <t>関連事業従事者数</t>
    <rPh sb="0" eb="2">
      <t>カンレン</t>
    </rPh>
    <rPh sb="2" eb="4">
      <t>ジギョウ</t>
    </rPh>
    <rPh sb="4" eb="7">
      <t>ジュウジシャ</t>
    </rPh>
    <rPh sb="7" eb="8">
      <t>スウ</t>
    </rPh>
    <phoneticPr fontId="11"/>
  </si>
  <si>
    <t>宿泊者数</t>
    <rPh sb="0" eb="3">
      <t>シュクハクシャ</t>
    </rPh>
    <rPh sb="3" eb="4">
      <t>スウ</t>
    </rPh>
    <phoneticPr fontId="11"/>
  </si>
  <si>
    <t>農業従事者
1人当たり</t>
    <rPh sb="0" eb="2">
      <t>ノウギョウ</t>
    </rPh>
    <rPh sb="2" eb="5">
      <t>ジュウジシャ</t>
    </rPh>
    <rPh sb="7" eb="8">
      <t>ニン</t>
    </rPh>
    <rPh sb="8" eb="9">
      <t>ア</t>
    </rPh>
    <phoneticPr fontId="11"/>
  </si>
  <si>
    <t>農業従事者数</t>
    <rPh sb="0" eb="2">
      <t>ノウギョウ</t>
    </rPh>
    <rPh sb="2" eb="5">
      <t>ジュウジシャ</t>
    </rPh>
    <rPh sb="5" eb="6">
      <t>スウ</t>
    </rPh>
    <phoneticPr fontId="11"/>
  </si>
  <si>
    <t>農家
民宿</t>
    <rPh sb="0" eb="2">
      <t>ノウカ</t>
    </rPh>
    <rPh sb="3" eb="5">
      <t>ミンシュク</t>
    </rPh>
    <phoneticPr fontId="11"/>
  </si>
  <si>
    <t>稼働日数</t>
    <rPh sb="0" eb="2">
      <t>カドウ</t>
    </rPh>
    <rPh sb="2" eb="4">
      <t>ニッスウ</t>
    </rPh>
    <phoneticPr fontId="11"/>
  </si>
  <si>
    <t>農産
加工</t>
    <rPh sb="0" eb="2">
      <t>ノウサン</t>
    </rPh>
    <rPh sb="3" eb="5">
      <t>カコウ</t>
    </rPh>
    <phoneticPr fontId="11"/>
  </si>
  <si>
    <t>農業粗収益付加価値率</t>
    <rPh sb="0" eb="2">
      <t>ノウギョウ</t>
    </rPh>
    <rPh sb="2" eb="3">
      <t>ソ</t>
    </rPh>
    <rPh sb="3" eb="5">
      <t>シュウエキ</t>
    </rPh>
    <rPh sb="5" eb="7">
      <t>フカ</t>
    </rPh>
    <rPh sb="7" eb="10">
      <t>カチリツ</t>
    </rPh>
    <phoneticPr fontId="11"/>
  </si>
  <si>
    <t>生　　産　　性</t>
    <rPh sb="0" eb="1">
      <t>ショウ</t>
    </rPh>
    <rPh sb="3" eb="4">
      <t>サン</t>
    </rPh>
    <rPh sb="6" eb="7">
      <t>セイ</t>
    </rPh>
    <phoneticPr fontId="11"/>
  </si>
  <si>
    <t>３　従事者数（人）</t>
    <rPh sb="2" eb="5">
      <t>ジュウジシャ</t>
    </rPh>
    <rPh sb="5" eb="6">
      <t>スウ</t>
    </rPh>
    <rPh sb="7" eb="8">
      <t>ニン</t>
    </rPh>
    <phoneticPr fontId="11"/>
  </si>
  <si>
    <t>臨時雇用者</t>
    <rPh sb="0" eb="2">
      <t>リンジ</t>
    </rPh>
    <rPh sb="2" eb="5">
      <t>コヨウシャ</t>
    </rPh>
    <phoneticPr fontId="11"/>
  </si>
  <si>
    <t>農業所得率</t>
    <rPh sb="0" eb="2">
      <t>ノウギョウ</t>
    </rPh>
    <rPh sb="2" eb="5">
      <t>ショトクリツ</t>
    </rPh>
    <phoneticPr fontId="11"/>
  </si>
  <si>
    <t>関連事業労働時間</t>
    <rPh sb="0" eb="2">
      <t>カンレン</t>
    </rPh>
    <rPh sb="2" eb="4">
      <t>ジギョウ</t>
    </rPh>
    <rPh sb="4" eb="6">
      <t>ロウドウ</t>
    </rPh>
    <rPh sb="6" eb="8">
      <t>ジカン</t>
    </rPh>
    <phoneticPr fontId="11"/>
  </si>
  <si>
    <t>その他</t>
    <rPh sb="2" eb="3">
      <t>タ</t>
    </rPh>
    <phoneticPr fontId="11"/>
  </si>
  <si>
    <t>農業依存度</t>
    <rPh sb="0" eb="2">
      <t>ノウギョウ</t>
    </rPh>
    <rPh sb="2" eb="5">
      <t>イゾンド</t>
    </rPh>
    <phoneticPr fontId="11"/>
  </si>
  <si>
    <t>農業労働時間</t>
    <rPh sb="0" eb="2">
      <t>ノウギョウ</t>
    </rPh>
    <rPh sb="2" eb="4">
      <t>ロウドウ</t>
    </rPh>
    <rPh sb="4" eb="6">
      <t>ジカン</t>
    </rPh>
    <phoneticPr fontId="11"/>
  </si>
  <si>
    <t>減価償却費</t>
    <rPh sb="0" eb="2">
      <t>ゲンカ</t>
    </rPh>
    <rPh sb="2" eb="5">
      <t>ショウキャクヒ</t>
    </rPh>
    <phoneticPr fontId="11"/>
  </si>
  <si>
    <t>分析指標(農業)</t>
    <rPh sb="0" eb="2">
      <t>ブンセキ</t>
    </rPh>
    <rPh sb="2" eb="4">
      <t>シヒョウ</t>
    </rPh>
    <rPh sb="5" eb="7">
      <t>ノウギョウ</t>
    </rPh>
    <phoneticPr fontId="11"/>
  </si>
  <si>
    <t>常用雇用者</t>
    <rPh sb="0" eb="2">
      <t>ジョウヨウ</t>
    </rPh>
    <rPh sb="2" eb="5">
      <t>コヨウシャ</t>
    </rPh>
    <phoneticPr fontId="11"/>
  </si>
  <si>
    <t>流動比率</t>
    <rPh sb="0" eb="2">
      <t>リュウドウ</t>
    </rPh>
    <rPh sb="2" eb="4">
      <t>ヒリツ</t>
    </rPh>
    <phoneticPr fontId="11"/>
  </si>
  <si>
    <t>２　労働時間（時間）</t>
    <rPh sb="2" eb="4">
      <t>ロウドウ</t>
    </rPh>
    <rPh sb="4" eb="6">
      <t>ジカン</t>
    </rPh>
    <rPh sb="7" eb="9">
      <t>ジカン</t>
    </rPh>
    <phoneticPr fontId="11"/>
  </si>
  <si>
    <t>雇用者</t>
    <rPh sb="0" eb="3">
      <t>コヨウシャ</t>
    </rPh>
    <phoneticPr fontId="11"/>
  </si>
  <si>
    <t>自己資本比率</t>
    <rPh sb="0" eb="2">
      <t>ジコ</t>
    </rPh>
    <rPh sb="2" eb="4">
      <t>シホン</t>
    </rPh>
    <rPh sb="4" eb="6">
      <t>ヒリツ</t>
    </rPh>
    <phoneticPr fontId="11"/>
  </si>
  <si>
    <t>安全性</t>
    <rPh sb="0" eb="2">
      <t>アンゼン</t>
    </rPh>
    <rPh sb="2" eb="3">
      <t>セイ</t>
    </rPh>
    <phoneticPr fontId="11"/>
  </si>
  <si>
    <t>関連事業支出</t>
    <rPh sb="0" eb="2">
      <t>カンレン</t>
    </rPh>
    <rPh sb="2" eb="4">
      <t>ジギョウ</t>
    </rPh>
    <rPh sb="4" eb="6">
      <t>シシュツ</t>
    </rPh>
    <phoneticPr fontId="11"/>
  </si>
  <si>
    <t>総資本回転率</t>
    <rPh sb="0" eb="3">
      <t>ソウシホン</t>
    </rPh>
    <rPh sb="3" eb="6">
      <t>カイテンリツ</t>
    </rPh>
    <phoneticPr fontId="11"/>
  </si>
  <si>
    <t>効率性</t>
    <rPh sb="0" eb="3">
      <t>コウリツセイ</t>
    </rPh>
    <phoneticPr fontId="11"/>
  </si>
  <si>
    <t>関連事業収入</t>
    <rPh sb="0" eb="2">
      <t>カンレン</t>
    </rPh>
    <rPh sb="2" eb="4">
      <t>ジギョウ</t>
    </rPh>
    <rPh sb="4" eb="6">
      <t>シュウニュウ</t>
    </rPh>
    <phoneticPr fontId="11"/>
  </si>
  <si>
    <t>事業従事者1人当売上高</t>
    <rPh sb="0" eb="2">
      <t>ジギョウ</t>
    </rPh>
    <rPh sb="2" eb="5">
      <t>ジュウジシャ</t>
    </rPh>
    <rPh sb="6" eb="7">
      <t>ニン</t>
    </rPh>
    <rPh sb="8" eb="11">
      <t>ウリアゲダカ</t>
    </rPh>
    <phoneticPr fontId="11"/>
  </si>
  <si>
    <t>関連事業所得</t>
    <rPh sb="0" eb="2">
      <t>カンレン</t>
    </rPh>
    <rPh sb="2" eb="4">
      <t>ジギョウ</t>
    </rPh>
    <rPh sb="4" eb="6">
      <t>ショトク</t>
    </rPh>
    <phoneticPr fontId="11"/>
  </si>
  <si>
    <t>外注費</t>
    <rPh sb="0" eb="3">
      <t>ガイチュウヒ</t>
    </rPh>
    <phoneticPr fontId="11"/>
  </si>
  <si>
    <t>事業従事者1人当付加価値額</t>
    <rPh sb="0" eb="2">
      <t>ジギョウ</t>
    </rPh>
    <rPh sb="2" eb="5">
      <t>ジュウジシャ</t>
    </rPh>
    <rPh sb="6" eb="7">
      <t>ニン</t>
    </rPh>
    <rPh sb="8" eb="10">
      <t>フカ</t>
    </rPh>
    <rPh sb="10" eb="13">
      <t>カチガク</t>
    </rPh>
    <phoneticPr fontId="11"/>
  </si>
  <si>
    <t>農業生産関連事業収支の概要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シュウシ</t>
    </rPh>
    <rPh sb="11" eb="13">
      <t>ガイヨウ</t>
    </rPh>
    <phoneticPr fontId="11"/>
  </si>
  <si>
    <t>共済等掛金</t>
    <rPh sb="0" eb="2">
      <t>キョウサイ</t>
    </rPh>
    <rPh sb="2" eb="3">
      <t>トウ</t>
    </rPh>
    <rPh sb="3" eb="5">
      <t>カケキン</t>
    </rPh>
    <phoneticPr fontId="11"/>
  </si>
  <si>
    <t>自家農畜産物</t>
    <rPh sb="0" eb="2">
      <t>ジカ</t>
    </rPh>
    <rPh sb="2" eb="6">
      <t>ノウチクサンブツ</t>
    </rPh>
    <phoneticPr fontId="11"/>
  </si>
  <si>
    <t>純資産計</t>
    <rPh sb="0" eb="3">
      <t>ジュンシサン</t>
    </rPh>
    <rPh sb="3" eb="4">
      <t>ケイ</t>
    </rPh>
    <phoneticPr fontId="11"/>
  </si>
  <si>
    <t>固定資産</t>
    <rPh sb="0" eb="4">
      <t>コテイシサン</t>
    </rPh>
    <phoneticPr fontId="11"/>
  </si>
  <si>
    <t>材料費</t>
    <rPh sb="0" eb="3">
      <t>ザイリョウヒ</t>
    </rPh>
    <phoneticPr fontId="11"/>
  </si>
  <si>
    <t>売上高付加価値率</t>
    <rPh sb="0" eb="3">
      <t>ウリアゲダカ</t>
    </rPh>
    <rPh sb="3" eb="5">
      <t>フカ</t>
    </rPh>
    <rPh sb="5" eb="8">
      <t>カチリツ</t>
    </rPh>
    <phoneticPr fontId="11"/>
  </si>
  <si>
    <t>共済･補助金等</t>
    <rPh sb="0" eb="2">
      <t>キョウサイ</t>
    </rPh>
    <rPh sb="3" eb="6">
      <t>ホジョキン</t>
    </rPh>
    <rPh sb="6" eb="7">
      <t>トウ</t>
    </rPh>
    <phoneticPr fontId="11"/>
  </si>
  <si>
    <t>商品仕入</t>
    <rPh sb="0" eb="2">
      <t>ショウヒン</t>
    </rPh>
    <rPh sb="2" eb="4">
      <t>シイ</t>
    </rPh>
    <phoneticPr fontId="11"/>
  </si>
  <si>
    <t>農産物</t>
    <rPh sb="0" eb="3">
      <t>ノウサンブツ</t>
    </rPh>
    <phoneticPr fontId="11"/>
  </si>
  <si>
    <t>生 産 性</t>
    <rPh sb="0" eb="1">
      <t>ショウ</t>
    </rPh>
    <rPh sb="2" eb="3">
      <t>サン</t>
    </rPh>
    <rPh sb="4" eb="5">
      <t>セイ</t>
    </rPh>
    <phoneticPr fontId="11"/>
  </si>
  <si>
    <t>農業粗収益</t>
    <rPh sb="0" eb="2">
      <t>ノウギョウ</t>
    </rPh>
    <rPh sb="2" eb="5">
      <t>ソシュウエキ</t>
    </rPh>
    <phoneticPr fontId="11"/>
  </si>
  <si>
    <t>棚卸資産</t>
    <rPh sb="0" eb="2">
      <t>タナオロシ</t>
    </rPh>
    <rPh sb="2" eb="4">
      <t>シサン</t>
    </rPh>
    <phoneticPr fontId="11"/>
  </si>
  <si>
    <t>関連事業支出</t>
    <phoneticPr fontId="11"/>
  </si>
  <si>
    <t>固定負債</t>
    <rPh sb="0" eb="2">
      <t>コテイ</t>
    </rPh>
    <rPh sb="2" eb="4">
      <t>フサイ</t>
    </rPh>
    <phoneticPr fontId="11"/>
  </si>
  <si>
    <t>農業経営収支の概要</t>
    <rPh sb="0" eb="2">
      <t>ノウギョウ</t>
    </rPh>
    <rPh sb="2" eb="4">
      <t>ケイエイ</t>
    </rPh>
    <rPh sb="4" eb="6">
      <t>シュウシ</t>
    </rPh>
    <rPh sb="7" eb="9">
      <t>ガイヨウ</t>
    </rPh>
    <phoneticPr fontId="11"/>
  </si>
  <si>
    <t>売上高費用比率</t>
    <rPh sb="0" eb="3">
      <t>ウリアゲダカ</t>
    </rPh>
    <rPh sb="3" eb="5">
      <t>ヒヨウ</t>
    </rPh>
    <rPh sb="5" eb="7">
      <t>ヒリツ</t>
    </rPh>
    <phoneticPr fontId="11"/>
  </si>
  <si>
    <t>農家レストラン</t>
    <rPh sb="0" eb="2">
      <t>ノウカ</t>
    </rPh>
    <phoneticPr fontId="11"/>
  </si>
  <si>
    <t>現金・預金等</t>
    <rPh sb="0" eb="2">
      <t>ゲンキン</t>
    </rPh>
    <rPh sb="3" eb="5">
      <t>ヨキン</t>
    </rPh>
    <rPh sb="5" eb="6">
      <t>トウ</t>
    </rPh>
    <phoneticPr fontId="11"/>
  </si>
  <si>
    <t>農家民宿</t>
    <rPh sb="0" eb="2">
      <t>ノウカ</t>
    </rPh>
    <rPh sb="2" eb="4">
      <t>ミンシュク</t>
    </rPh>
    <phoneticPr fontId="11"/>
  </si>
  <si>
    <t>買掛未払金</t>
    <rPh sb="0" eb="2">
      <t>カイカケ</t>
    </rPh>
    <rPh sb="2" eb="4">
      <t>ミバライ</t>
    </rPh>
    <rPh sb="4" eb="5">
      <t>キン</t>
    </rPh>
    <phoneticPr fontId="11"/>
  </si>
  <si>
    <t>当座資産</t>
    <rPh sb="0" eb="2">
      <t>トウザ</t>
    </rPh>
    <rPh sb="2" eb="4">
      <t>シサン</t>
    </rPh>
    <phoneticPr fontId="11"/>
  </si>
  <si>
    <t>貸し農園</t>
    <rPh sb="0" eb="1">
      <t>カ</t>
    </rPh>
    <rPh sb="2" eb="4">
      <t>ノウエン</t>
    </rPh>
    <phoneticPr fontId="11"/>
  </si>
  <si>
    <t>流動負債</t>
    <rPh sb="0" eb="2">
      <t>リュウドウ</t>
    </rPh>
    <rPh sb="2" eb="4">
      <t>フサイ</t>
    </rPh>
    <phoneticPr fontId="11"/>
  </si>
  <si>
    <t>流動資産</t>
    <rPh sb="0" eb="2">
      <t>リュウドウ</t>
    </rPh>
    <rPh sb="2" eb="4">
      <t>シサン</t>
    </rPh>
    <phoneticPr fontId="11"/>
  </si>
  <si>
    <t>売上高経常利益率</t>
    <rPh sb="0" eb="3">
      <t>ウリアゲダカ</t>
    </rPh>
    <rPh sb="3" eb="5">
      <t>ケイジョウ</t>
    </rPh>
    <rPh sb="5" eb="8">
      <t>リエキリツ</t>
    </rPh>
    <phoneticPr fontId="11"/>
  </si>
  <si>
    <t>観光農園</t>
    <rPh sb="0" eb="2">
      <t>カンコウ</t>
    </rPh>
    <rPh sb="2" eb="4">
      <t>ノウエン</t>
    </rPh>
    <phoneticPr fontId="11"/>
  </si>
  <si>
    <t>負債計</t>
    <rPh sb="0" eb="2">
      <t>フサイ</t>
    </rPh>
    <rPh sb="2" eb="3">
      <t>ケイ</t>
    </rPh>
    <phoneticPr fontId="11"/>
  </si>
  <si>
    <t>資産計</t>
    <rPh sb="0" eb="2">
      <t>シサン</t>
    </rPh>
    <rPh sb="2" eb="3">
      <t>ケイ</t>
    </rPh>
    <phoneticPr fontId="11"/>
  </si>
  <si>
    <t>売上高営業利益率</t>
    <rPh sb="0" eb="1">
      <t>ウ</t>
    </rPh>
    <rPh sb="1" eb="2">
      <t>ア</t>
    </rPh>
    <rPh sb="2" eb="3">
      <t>タカ</t>
    </rPh>
    <rPh sb="3" eb="5">
      <t>エイギョウ</t>
    </rPh>
    <rPh sb="5" eb="8">
      <t>リエキリツ</t>
    </rPh>
    <phoneticPr fontId="11"/>
  </si>
  <si>
    <t>農産加工</t>
    <rPh sb="0" eb="2">
      <t>ノウサン</t>
    </rPh>
    <rPh sb="2" eb="4">
      <t>カコウ</t>
    </rPh>
    <phoneticPr fontId="11"/>
  </si>
  <si>
    <t>総資本経常利益率</t>
    <rPh sb="0" eb="3">
      <t>ソウシホン</t>
    </rPh>
    <rPh sb="3" eb="5">
      <t>ケイジョウ</t>
    </rPh>
    <rPh sb="5" eb="8">
      <t>リエキリツ</t>
    </rPh>
    <phoneticPr fontId="11"/>
  </si>
  <si>
    <t>収　益　性</t>
    <rPh sb="0" eb="1">
      <t>オサム</t>
    </rPh>
    <rPh sb="2" eb="3">
      <t>エキ</t>
    </rPh>
    <rPh sb="4" eb="5">
      <t>セイ</t>
    </rPh>
    <phoneticPr fontId="11"/>
  </si>
  <si>
    <t>事業収入</t>
    <rPh sb="0" eb="2">
      <t>ジギョウ</t>
    </rPh>
    <rPh sb="2" eb="4">
      <t>シュウニュウ</t>
    </rPh>
    <phoneticPr fontId="11"/>
  </si>
  <si>
    <t>分析指標(事業)</t>
    <rPh sb="0" eb="2">
      <t>ブンセキ</t>
    </rPh>
    <rPh sb="2" eb="4">
      <t>シヒョウ</t>
    </rPh>
    <rPh sb="5" eb="7">
      <t>ジギョウ</t>
    </rPh>
    <phoneticPr fontId="11"/>
  </si>
  <si>
    <t>事業収支の概要</t>
    <rPh sb="0" eb="2">
      <t>ジギョウ</t>
    </rPh>
    <rPh sb="2" eb="4">
      <t>シュウシ</t>
    </rPh>
    <rPh sb="5" eb="7">
      <t>ガイヨウ</t>
    </rPh>
    <phoneticPr fontId="11"/>
  </si>
  <si>
    <t>集計倍率</t>
    <rPh sb="0" eb="2">
      <t>シュウケイ</t>
    </rPh>
    <rPh sb="2" eb="4">
      <t>バイリツ</t>
    </rPh>
    <phoneticPr fontId="11"/>
  </si>
  <si>
    <t>麦類</t>
    <rPh sb="0" eb="2">
      <t>ムギルイ</t>
    </rPh>
    <phoneticPr fontId="11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</si>
  <si>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11"/>
  </si>
  <si>
    <t>農業雑支出</t>
    <rPh sb="0" eb="2">
      <t>ノウギョウ</t>
    </rPh>
    <rPh sb="2" eb="3">
      <t>ザツ</t>
    </rPh>
    <rPh sb="3" eb="5">
      <t>シシュツ</t>
    </rPh>
    <phoneticPr fontId="11"/>
  </si>
  <si>
    <t>荷造運賃手数料</t>
    <rPh sb="0" eb="2">
      <t>ニヅク</t>
    </rPh>
    <rPh sb="2" eb="4">
      <t>ウンチン</t>
    </rPh>
    <rPh sb="4" eb="7">
      <t>テスウリョウ</t>
    </rPh>
    <phoneticPr fontId="11"/>
  </si>
  <si>
    <t>羽</t>
    <rPh sb="0" eb="1">
      <t>ハ</t>
    </rPh>
    <phoneticPr fontId="11"/>
  </si>
  <si>
    <t>〃</t>
  </si>
  <si>
    <t xml:space="preserve"> うち田</t>
    <rPh sb="3" eb="4">
      <t>タ</t>
    </rPh>
    <phoneticPr fontId="11"/>
  </si>
  <si>
    <t>他の方法</t>
    <rPh sb="0" eb="1">
      <t>ホカ</t>
    </rPh>
    <rPh sb="2" eb="4">
      <t>ホウホウ</t>
    </rPh>
    <phoneticPr fontId="11"/>
  </si>
  <si>
    <t>利子割引料</t>
    <rPh sb="0" eb="2">
      <t>リシ</t>
    </rPh>
    <rPh sb="2" eb="5">
      <t>ワリビキリョウ</t>
    </rPh>
    <phoneticPr fontId="11"/>
  </si>
  <si>
    <t>kg</t>
    <phoneticPr fontId="11"/>
  </si>
  <si>
    <t>鶏卵生産量</t>
    <rPh sb="0" eb="2">
      <t>ケイラン</t>
    </rPh>
    <rPh sb="2" eb="5">
      <t>セイサンリョウ</t>
    </rPh>
    <phoneticPr fontId="11"/>
  </si>
  <si>
    <t>いも類計</t>
    <rPh sb="2" eb="3">
      <t>ルイ</t>
    </rPh>
    <rPh sb="3" eb="4">
      <t>ケイ</t>
    </rPh>
    <phoneticPr fontId="11"/>
  </si>
  <si>
    <t>インターネット</t>
    <phoneticPr fontId="11"/>
  </si>
  <si>
    <t>租税公課</t>
    <rPh sb="0" eb="2">
      <t>ソゼイ</t>
    </rPh>
    <rPh sb="2" eb="4">
      <t>コウカ</t>
    </rPh>
    <phoneticPr fontId="11"/>
  </si>
  <si>
    <t>月平均採卵鶏羽数</t>
    <rPh sb="0" eb="3">
      <t>ツキヘイキン</t>
    </rPh>
    <rPh sb="3" eb="6">
      <t>サイランケイ</t>
    </rPh>
    <rPh sb="6" eb="8">
      <t>ハスウ</t>
    </rPh>
    <phoneticPr fontId="11"/>
  </si>
  <si>
    <t>養鶏</t>
    <rPh sb="0" eb="2">
      <t>ヨウケイ</t>
    </rPh>
    <phoneticPr fontId="11"/>
  </si>
  <si>
    <t>その他の直売所</t>
    <rPh sb="2" eb="3">
      <t>タ</t>
    </rPh>
    <rPh sb="4" eb="7">
      <t>チョクバイジョ</t>
    </rPh>
    <phoneticPr fontId="11"/>
  </si>
  <si>
    <t>土地改良費</t>
    <rPh sb="0" eb="2">
      <t>トチ</t>
    </rPh>
    <rPh sb="2" eb="5">
      <t>カイリョウヒ</t>
    </rPh>
    <phoneticPr fontId="11"/>
  </si>
  <si>
    <t>その他の作物</t>
    <rPh sb="2" eb="3">
      <t>タ</t>
    </rPh>
    <rPh sb="4" eb="6">
      <t>サクモツ</t>
    </rPh>
    <phoneticPr fontId="11"/>
  </si>
  <si>
    <t>肥育豚</t>
    <rPh sb="0" eb="2">
      <t>ヒイク</t>
    </rPh>
    <rPh sb="2" eb="3">
      <t>ブタ</t>
    </rPh>
    <phoneticPr fontId="11"/>
  </si>
  <si>
    <t>ばれいしょ計</t>
    <rPh sb="5" eb="6">
      <t>ケイ</t>
    </rPh>
    <phoneticPr fontId="11"/>
  </si>
  <si>
    <t>自営直売所</t>
    <rPh sb="0" eb="2">
      <t>ジエイ</t>
    </rPh>
    <rPh sb="2" eb="5">
      <t>チョクバイジョ</t>
    </rPh>
    <phoneticPr fontId="11"/>
  </si>
  <si>
    <t>地代・賃借料</t>
    <rPh sb="0" eb="2">
      <t>チダイ</t>
    </rPh>
    <rPh sb="3" eb="6">
      <t>チンシャクリョウ</t>
    </rPh>
    <phoneticPr fontId="11"/>
  </si>
  <si>
    <t>飼料作物計</t>
    <rPh sb="0" eb="2">
      <t>シリョウ</t>
    </rPh>
    <rPh sb="2" eb="4">
      <t>サクモツ</t>
    </rPh>
    <rPh sb="4" eb="5">
      <t>ケイ</t>
    </rPh>
    <phoneticPr fontId="11"/>
  </si>
  <si>
    <t>頭</t>
    <rPh sb="0" eb="1">
      <t>トウ</t>
    </rPh>
    <phoneticPr fontId="11"/>
  </si>
  <si>
    <t>繁殖雌豚</t>
    <rPh sb="0" eb="2">
      <t>ハンショク</t>
    </rPh>
    <rPh sb="2" eb="3">
      <t>メス</t>
    </rPh>
    <rPh sb="3" eb="4">
      <t>ブタ</t>
    </rPh>
    <phoneticPr fontId="11"/>
  </si>
  <si>
    <t>養豚</t>
    <rPh sb="0" eb="2">
      <t>ヨウトン</t>
    </rPh>
    <phoneticPr fontId="11"/>
  </si>
  <si>
    <t>　うち田</t>
    <rPh sb="3" eb="4">
      <t>タ</t>
    </rPh>
    <phoneticPr fontId="11"/>
  </si>
  <si>
    <t>作業用衣料費</t>
    <rPh sb="0" eb="3">
      <t>サギョウヨウ</t>
    </rPh>
    <rPh sb="3" eb="6">
      <t>イリョウヒ</t>
    </rPh>
    <phoneticPr fontId="11"/>
  </si>
  <si>
    <t>交雑種</t>
    <rPh sb="0" eb="2">
      <t>コウザツ</t>
    </rPh>
    <rPh sb="2" eb="3">
      <t>タネ</t>
    </rPh>
    <phoneticPr fontId="11"/>
  </si>
  <si>
    <t>a</t>
  </si>
  <si>
    <t>かんしょ計</t>
    <rPh sb="4" eb="5">
      <t>ケイ</t>
    </rPh>
    <phoneticPr fontId="11"/>
  </si>
  <si>
    <t>作付面積</t>
    <rPh sb="0" eb="2">
      <t>サクツケ</t>
    </rPh>
    <rPh sb="2" eb="4">
      <t>メンセキ</t>
    </rPh>
    <phoneticPr fontId="11"/>
  </si>
  <si>
    <t>食品製造業･外食産業</t>
    <rPh sb="0" eb="2">
      <t>ショクヒン</t>
    </rPh>
    <rPh sb="2" eb="5">
      <t>セイゾウギョウ</t>
    </rPh>
    <rPh sb="6" eb="8">
      <t>ガイショク</t>
    </rPh>
    <rPh sb="8" eb="10">
      <t>サンギョウ</t>
    </rPh>
    <phoneticPr fontId="11"/>
  </si>
  <si>
    <t>農具費</t>
    <rPh sb="0" eb="2">
      <t>ノウグ</t>
    </rPh>
    <rPh sb="2" eb="3">
      <t>ヒ</t>
    </rPh>
    <phoneticPr fontId="11"/>
  </si>
  <si>
    <t>WCS用稲</t>
    <rPh sb="3" eb="4">
      <t>ヨウ</t>
    </rPh>
    <rPh sb="4" eb="5">
      <t>イネ</t>
    </rPh>
    <phoneticPr fontId="11"/>
  </si>
  <si>
    <t>乳用種</t>
    <rPh sb="0" eb="1">
      <t>ニュウ</t>
    </rPh>
    <rPh sb="1" eb="2">
      <t>ヨウ</t>
    </rPh>
    <rPh sb="2" eb="3">
      <t>タネ</t>
    </rPh>
    <phoneticPr fontId="11"/>
  </si>
  <si>
    <t>豆類計</t>
    <rPh sb="0" eb="2">
      <t>マメルイ</t>
    </rPh>
    <rPh sb="2" eb="3">
      <t>ケイ</t>
    </rPh>
    <phoneticPr fontId="11"/>
  </si>
  <si>
    <t>小売業者</t>
    <rPh sb="0" eb="2">
      <t>コウ</t>
    </rPh>
    <rPh sb="2" eb="4">
      <t>ギョウシャ</t>
    </rPh>
    <phoneticPr fontId="11"/>
  </si>
  <si>
    <t>修繕費</t>
    <rPh sb="0" eb="3">
      <t>シュウゼンヒ</t>
    </rPh>
    <phoneticPr fontId="11"/>
  </si>
  <si>
    <t>飼料用米</t>
    <rPh sb="0" eb="3">
      <t>シリョウヨウ</t>
    </rPh>
    <rPh sb="3" eb="4">
      <t>マイ</t>
    </rPh>
    <phoneticPr fontId="11"/>
  </si>
  <si>
    <t>飼料
作物</t>
    <rPh sb="0" eb="2">
      <t>シリョウ</t>
    </rPh>
    <rPh sb="3" eb="5">
      <t>サクモツ</t>
    </rPh>
    <phoneticPr fontId="11"/>
  </si>
  <si>
    <t>肉専用種</t>
    <rPh sb="0" eb="3">
      <t>ニクセンヨウ</t>
    </rPh>
    <rPh sb="3" eb="4">
      <t>シュ</t>
    </rPh>
    <phoneticPr fontId="11"/>
  </si>
  <si>
    <t>大豆以外</t>
    <rPh sb="0" eb="2">
      <t>ダイズ</t>
    </rPh>
    <rPh sb="2" eb="4">
      <t>イガイ</t>
    </rPh>
    <phoneticPr fontId="11"/>
  </si>
  <si>
    <t>直接販売計</t>
    <rPh sb="0" eb="2">
      <t>チョクセツ</t>
    </rPh>
    <rPh sb="2" eb="4">
      <t>ハンバイ</t>
    </rPh>
    <rPh sb="4" eb="5">
      <t>ケイ</t>
    </rPh>
    <phoneticPr fontId="11"/>
  </si>
  <si>
    <t>動力光熱費</t>
    <rPh sb="0" eb="2">
      <t>ドウリョク</t>
    </rPh>
    <rPh sb="2" eb="5">
      <t>コウネツヒ</t>
    </rPh>
    <phoneticPr fontId="11"/>
  </si>
  <si>
    <t>花き計</t>
    <rPh sb="0" eb="1">
      <t>ハナ</t>
    </rPh>
    <rPh sb="2" eb="3">
      <t>ケイ</t>
    </rPh>
    <phoneticPr fontId="11"/>
  </si>
  <si>
    <t>頭</t>
    <rPh sb="0" eb="1">
      <t>アタマ</t>
    </rPh>
    <phoneticPr fontId="11"/>
  </si>
  <si>
    <t>繁殖雌牛月平均頭数</t>
    <rPh sb="0" eb="2">
      <t>ハンショク</t>
    </rPh>
    <rPh sb="2" eb="3">
      <t>メス</t>
    </rPh>
    <rPh sb="3" eb="4">
      <t>ウシ</t>
    </rPh>
    <rPh sb="4" eb="7">
      <t>ツキヘイキン</t>
    </rPh>
    <rPh sb="7" eb="9">
      <t>トウスウ</t>
    </rPh>
    <phoneticPr fontId="11"/>
  </si>
  <si>
    <t>肉用牛</t>
    <rPh sb="0" eb="3">
      <t>ニクヨウギュウ</t>
    </rPh>
    <phoneticPr fontId="11"/>
  </si>
  <si>
    <t>大豆</t>
    <rPh sb="0" eb="2">
      <t>ダイズ</t>
    </rPh>
    <phoneticPr fontId="11"/>
  </si>
  <si>
    <t>生産量</t>
    <rPh sb="0" eb="3">
      <t>セイサンリョウ</t>
    </rPh>
    <phoneticPr fontId="11"/>
  </si>
  <si>
    <t>諸材料費</t>
    <rPh sb="0" eb="1">
      <t>ショ</t>
    </rPh>
    <rPh sb="1" eb="4">
      <t>ザイリョウヒ</t>
    </rPh>
    <phoneticPr fontId="11"/>
  </si>
  <si>
    <t>施設花き計</t>
    <rPh sb="0" eb="2">
      <t>シセツ</t>
    </rPh>
    <rPh sb="2" eb="3">
      <t>ハナ</t>
    </rPh>
    <rPh sb="4" eb="5">
      <t>ケイ</t>
    </rPh>
    <phoneticPr fontId="11"/>
  </si>
  <si>
    <t>生乳生産量</t>
    <rPh sb="0" eb="2">
      <t>セイニュウ</t>
    </rPh>
    <rPh sb="2" eb="5">
      <t>セイサンリョウ</t>
    </rPh>
    <phoneticPr fontId="11"/>
  </si>
  <si>
    <t>農薬衛生費</t>
    <rPh sb="0" eb="2">
      <t>ノウヤク</t>
    </rPh>
    <rPh sb="2" eb="5">
      <t>エイセイヒ</t>
    </rPh>
    <phoneticPr fontId="11"/>
  </si>
  <si>
    <t>鉢物</t>
    <rPh sb="0" eb="2">
      <t>ハチモノ</t>
    </rPh>
    <phoneticPr fontId="11"/>
  </si>
  <si>
    <t>酪農</t>
    <rPh sb="0" eb="2">
      <t>ラクノウ</t>
    </rPh>
    <phoneticPr fontId="11"/>
  </si>
  <si>
    <t>飼料費</t>
    <rPh sb="0" eb="3">
      <t>シリョウヒ</t>
    </rPh>
    <phoneticPr fontId="11"/>
  </si>
  <si>
    <t>切り花</t>
    <rPh sb="0" eb="1">
      <t>キ</t>
    </rPh>
    <rPh sb="2" eb="3">
      <t>バナ</t>
    </rPh>
    <phoneticPr fontId="11"/>
  </si>
  <si>
    <t>施設
花き</t>
    <rPh sb="0" eb="2">
      <t>シセツ</t>
    </rPh>
    <rPh sb="3" eb="4">
      <t>カ</t>
    </rPh>
    <phoneticPr fontId="11"/>
  </si>
  <si>
    <t>肥料費</t>
    <rPh sb="0" eb="3">
      <t>ヒリョウヒ</t>
    </rPh>
    <phoneticPr fontId="11"/>
  </si>
  <si>
    <t>露地花き計</t>
    <rPh sb="0" eb="2">
      <t>ロジ</t>
    </rPh>
    <rPh sb="2" eb="3">
      <t>ハナ</t>
    </rPh>
    <rPh sb="4" eb="5">
      <t>ケイ</t>
    </rPh>
    <phoneticPr fontId="11"/>
  </si>
  <si>
    <t>大豆以外計</t>
    <rPh sb="0" eb="2">
      <t>ダイズ</t>
    </rPh>
    <rPh sb="2" eb="4">
      <t>イガイ</t>
    </rPh>
    <rPh sb="4" eb="5">
      <t>ケイ</t>
    </rPh>
    <phoneticPr fontId="11"/>
  </si>
  <si>
    <t>素畜費</t>
    <rPh sb="0" eb="1">
      <t>モト</t>
    </rPh>
    <rPh sb="1" eb="3">
      <t>チクヒ</t>
    </rPh>
    <phoneticPr fontId="11"/>
  </si>
  <si>
    <t>飼料用米生産量</t>
    <rPh sb="0" eb="3">
      <t>シリョウヨウ</t>
    </rPh>
    <rPh sb="3" eb="4">
      <t>マイ</t>
    </rPh>
    <rPh sb="4" eb="7">
      <t>セイサンリョウ</t>
    </rPh>
    <phoneticPr fontId="11"/>
  </si>
  <si>
    <t>種苗費</t>
    <rPh sb="0" eb="2">
      <t>シュビョウ</t>
    </rPh>
    <rPh sb="2" eb="3">
      <t>ヒ</t>
    </rPh>
    <phoneticPr fontId="11"/>
  </si>
  <si>
    <t>露地
花き</t>
    <rPh sb="0" eb="2">
      <t>ロジ</t>
    </rPh>
    <rPh sb="3" eb="4">
      <t>カ</t>
    </rPh>
    <phoneticPr fontId="11"/>
  </si>
  <si>
    <t>花き</t>
    <rPh sb="0" eb="1">
      <t>ハナ</t>
    </rPh>
    <phoneticPr fontId="11"/>
  </si>
  <si>
    <t>大豆計</t>
    <rPh sb="0" eb="2">
      <t>ダイズ</t>
    </rPh>
    <rPh sb="2" eb="3">
      <t>ケイ</t>
    </rPh>
    <phoneticPr fontId="11"/>
  </si>
  <si>
    <t>豆　類</t>
    <rPh sb="0" eb="1">
      <t>マメ</t>
    </rPh>
    <rPh sb="2" eb="3">
      <t>タグイ</t>
    </rPh>
    <phoneticPr fontId="11"/>
  </si>
  <si>
    <t>雇人費</t>
    <rPh sb="0" eb="2">
      <t>コジン</t>
    </rPh>
    <rPh sb="2" eb="3">
      <t>ヒ</t>
    </rPh>
    <phoneticPr fontId="11"/>
  </si>
  <si>
    <t>果樹</t>
    <rPh sb="0" eb="2">
      <t>カジュ</t>
    </rPh>
    <phoneticPr fontId="11"/>
  </si>
  <si>
    <t>雑穀計</t>
    <rPh sb="0" eb="2">
      <t>ザッコク</t>
    </rPh>
    <rPh sb="2" eb="3">
      <t>ケイ</t>
    </rPh>
    <phoneticPr fontId="11"/>
  </si>
  <si>
    <t>野菜計</t>
    <rPh sb="0" eb="2">
      <t>ヤサイ</t>
    </rPh>
    <rPh sb="2" eb="3">
      <t>ケイ</t>
    </rPh>
    <phoneticPr fontId="11"/>
  </si>
  <si>
    <t>そば</t>
    <phoneticPr fontId="11"/>
  </si>
  <si>
    <t>施設野菜</t>
    <rPh sb="0" eb="2">
      <t>シセツ</t>
    </rPh>
    <rPh sb="2" eb="4">
      <t>ヤサイ</t>
    </rPh>
    <phoneticPr fontId="11"/>
  </si>
  <si>
    <t>WCS用米</t>
    <rPh sb="3" eb="4">
      <t>ヨウ</t>
    </rPh>
    <rPh sb="4" eb="5">
      <t>コメ</t>
    </rPh>
    <phoneticPr fontId="11"/>
  </si>
  <si>
    <t>露地野菜</t>
    <rPh sb="0" eb="2">
      <t>ロジ</t>
    </rPh>
    <rPh sb="2" eb="4">
      <t>ヤサイ</t>
    </rPh>
    <phoneticPr fontId="11"/>
  </si>
  <si>
    <t>野菜</t>
    <rPh sb="0" eb="2">
      <t>ヤサイ</t>
    </rPh>
    <phoneticPr fontId="11"/>
  </si>
  <si>
    <t>a</t>
    <phoneticPr fontId="11"/>
  </si>
  <si>
    <t>飼料作物</t>
    <rPh sb="0" eb="2">
      <t>シリョウ</t>
    </rPh>
    <rPh sb="2" eb="4">
      <t>サクモツ</t>
    </rPh>
    <phoneticPr fontId="11"/>
  </si>
  <si>
    <t>工芸農作物計</t>
    <rPh sb="0" eb="2">
      <t>コウゲイ</t>
    </rPh>
    <rPh sb="2" eb="5">
      <t>ノウサクモツ</t>
    </rPh>
    <rPh sb="5" eb="6">
      <t>ケイ</t>
    </rPh>
    <phoneticPr fontId="11"/>
  </si>
  <si>
    <t>施設計</t>
    <rPh sb="0" eb="2">
      <t>シセツ</t>
    </rPh>
    <rPh sb="2" eb="3">
      <t>ケイ</t>
    </rPh>
    <phoneticPr fontId="11"/>
  </si>
  <si>
    <t>そば計</t>
    <rPh sb="2" eb="3">
      <t>ケイ</t>
    </rPh>
    <phoneticPr fontId="11"/>
  </si>
  <si>
    <t>雑　穀</t>
    <rPh sb="0" eb="1">
      <t>ザツ</t>
    </rPh>
    <rPh sb="2" eb="3">
      <t>コク</t>
    </rPh>
    <phoneticPr fontId="11"/>
  </si>
  <si>
    <t>茶</t>
    <rPh sb="0" eb="1">
      <t>チャ</t>
    </rPh>
    <phoneticPr fontId="11"/>
  </si>
  <si>
    <t>㎡</t>
    <phoneticPr fontId="11"/>
  </si>
  <si>
    <t>施設鉢物</t>
    <rPh sb="0" eb="2">
      <t>シセツ</t>
    </rPh>
    <rPh sb="2" eb="4">
      <t>ハチモノ</t>
    </rPh>
    <phoneticPr fontId="11"/>
  </si>
  <si>
    <t>麦類計</t>
    <rPh sb="0" eb="1">
      <t>ムギ</t>
    </rPh>
    <rPh sb="1" eb="2">
      <t>ルイ</t>
    </rPh>
    <rPh sb="2" eb="3">
      <t>ケイ</t>
    </rPh>
    <phoneticPr fontId="11"/>
  </si>
  <si>
    <t>家事･事業消費等</t>
    <phoneticPr fontId="5"/>
  </si>
  <si>
    <t>さとうきび</t>
    <phoneticPr fontId="11"/>
  </si>
  <si>
    <t>施設切り花</t>
    <rPh sb="0" eb="2">
      <t>シセツ</t>
    </rPh>
    <rPh sb="2" eb="3">
      <t>キ</t>
    </rPh>
    <rPh sb="4" eb="5">
      <t>ハナ</t>
    </rPh>
    <phoneticPr fontId="11"/>
  </si>
  <si>
    <t>その他麦</t>
    <rPh sb="2" eb="3">
      <t>タ</t>
    </rPh>
    <rPh sb="3" eb="4">
      <t>ムギ</t>
    </rPh>
    <phoneticPr fontId="11"/>
  </si>
  <si>
    <t>合　　　計</t>
    <rPh sb="0" eb="1">
      <t>ゴウ</t>
    </rPh>
    <rPh sb="4" eb="5">
      <t>ケイ</t>
    </rPh>
    <phoneticPr fontId="11"/>
  </si>
  <si>
    <t>てんさい</t>
    <phoneticPr fontId="11"/>
  </si>
  <si>
    <t>工芸農作物</t>
    <rPh sb="0" eb="2">
      <t>コウゲイ</t>
    </rPh>
    <rPh sb="2" eb="5">
      <t>ノウサクモツ</t>
    </rPh>
    <phoneticPr fontId="11"/>
  </si>
  <si>
    <t>露地計</t>
    <rPh sb="0" eb="2">
      <t>ロジ</t>
    </rPh>
    <rPh sb="2" eb="3">
      <t>ケイ</t>
    </rPh>
    <phoneticPr fontId="11"/>
  </si>
  <si>
    <t>はだか麦</t>
    <rPh sb="3" eb="4">
      <t>ムギ</t>
    </rPh>
    <phoneticPr fontId="11"/>
  </si>
  <si>
    <t>農産物在庫増減</t>
    <rPh sb="0" eb="3">
      <t>ノウサンブツ</t>
    </rPh>
    <rPh sb="3" eb="5">
      <t>ザイコ</t>
    </rPh>
    <rPh sb="5" eb="7">
      <t>ゾウゲン</t>
    </rPh>
    <phoneticPr fontId="11"/>
  </si>
  <si>
    <t>露地鉢物</t>
    <rPh sb="0" eb="2">
      <t>ロジ</t>
    </rPh>
    <rPh sb="2" eb="4">
      <t>ハチモノ</t>
    </rPh>
    <phoneticPr fontId="11"/>
  </si>
  <si>
    <t>六条大麦</t>
    <rPh sb="0" eb="2">
      <t>ロクジョウ</t>
    </rPh>
    <rPh sb="2" eb="4">
      <t>オオムギ</t>
    </rPh>
    <phoneticPr fontId="11"/>
  </si>
  <si>
    <t>共済・補助金等</t>
    <rPh sb="0" eb="2">
      <t>キョウサイ</t>
    </rPh>
    <rPh sb="3" eb="6">
      <t>ホジョキン</t>
    </rPh>
    <rPh sb="6" eb="7">
      <t>トウ</t>
    </rPh>
    <phoneticPr fontId="11"/>
  </si>
  <si>
    <t>ばれいしょ</t>
    <phoneticPr fontId="11"/>
  </si>
  <si>
    <t>露地切り花</t>
    <rPh sb="0" eb="2">
      <t>ロジ</t>
    </rPh>
    <rPh sb="2" eb="3">
      <t>キ</t>
    </rPh>
    <rPh sb="4" eb="5">
      <t>ハナ</t>
    </rPh>
    <phoneticPr fontId="11"/>
  </si>
  <si>
    <t>花　き</t>
    <rPh sb="0" eb="1">
      <t>ハナ</t>
    </rPh>
    <phoneticPr fontId="11"/>
  </si>
  <si>
    <t>二条大麦</t>
    <rPh sb="0" eb="2">
      <t>ニジョウ</t>
    </rPh>
    <rPh sb="2" eb="4">
      <t>オオムギ</t>
    </rPh>
    <phoneticPr fontId="11"/>
  </si>
  <si>
    <t>農業雑収入</t>
    <rPh sb="0" eb="2">
      <t>ノウギョウ</t>
    </rPh>
    <rPh sb="2" eb="3">
      <t>ザツ</t>
    </rPh>
    <rPh sb="3" eb="5">
      <t>シュウニュウ</t>
    </rPh>
    <phoneticPr fontId="11"/>
  </si>
  <si>
    <t>かんしょ</t>
    <phoneticPr fontId="11"/>
  </si>
  <si>
    <t>いも類</t>
    <rPh sb="2" eb="3">
      <t>ルイ</t>
    </rPh>
    <phoneticPr fontId="11"/>
  </si>
  <si>
    <t>結果樹面積</t>
    <rPh sb="0" eb="2">
      <t>ケッカ</t>
    </rPh>
    <rPh sb="2" eb="3">
      <t>ジュ</t>
    </rPh>
    <rPh sb="3" eb="5">
      <t>メンセキ</t>
    </rPh>
    <phoneticPr fontId="11"/>
  </si>
  <si>
    <t>小麦</t>
    <rPh sb="0" eb="2">
      <t>コムギ</t>
    </rPh>
    <phoneticPr fontId="11"/>
  </si>
  <si>
    <t>植栽面積</t>
    <rPh sb="0" eb="2">
      <t>ショクサイ</t>
    </rPh>
    <rPh sb="2" eb="4">
      <t>メンセキ</t>
    </rPh>
    <phoneticPr fontId="11"/>
  </si>
  <si>
    <t>その他
畜産物</t>
    <rPh sb="2" eb="3">
      <t>タ</t>
    </rPh>
    <rPh sb="4" eb="7">
      <t>チクサンブツ</t>
    </rPh>
    <phoneticPr fontId="11"/>
  </si>
  <si>
    <t>豆類</t>
    <rPh sb="0" eb="1">
      <t>マメ</t>
    </rPh>
    <rPh sb="1" eb="2">
      <t>ルイ</t>
    </rPh>
    <phoneticPr fontId="11"/>
  </si>
  <si>
    <t>作付
面積</t>
    <rPh sb="0" eb="2">
      <t>サクツケ</t>
    </rPh>
    <rPh sb="3" eb="5">
      <t>メンセキ</t>
    </rPh>
    <phoneticPr fontId="11"/>
  </si>
  <si>
    <t>ブロイラー養鶏</t>
    <rPh sb="5" eb="7">
      <t>ヨウケイ</t>
    </rPh>
    <phoneticPr fontId="11"/>
  </si>
  <si>
    <t>茶(荒茶)</t>
    <rPh sb="0" eb="1">
      <t>チャ</t>
    </rPh>
    <rPh sb="2" eb="4">
      <t>アラチャ</t>
    </rPh>
    <phoneticPr fontId="11"/>
  </si>
  <si>
    <t>鶏卵</t>
    <rPh sb="0" eb="2">
      <t>ケイラン</t>
    </rPh>
    <phoneticPr fontId="11"/>
  </si>
  <si>
    <t>はだか麦計</t>
    <rPh sb="3" eb="4">
      <t>ムギ</t>
    </rPh>
    <rPh sb="4" eb="5">
      <t>ケイ</t>
    </rPh>
    <phoneticPr fontId="11"/>
  </si>
  <si>
    <t>養豚計</t>
    <rPh sb="0" eb="2">
      <t>ヨウトン</t>
    </rPh>
    <rPh sb="2" eb="3">
      <t>ケイ</t>
    </rPh>
    <phoneticPr fontId="11"/>
  </si>
  <si>
    <t>雑穀</t>
    <rPh sb="0" eb="2">
      <t>ザッコク</t>
    </rPh>
    <phoneticPr fontId="11"/>
  </si>
  <si>
    <t>kg</t>
  </si>
  <si>
    <t>子豚</t>
    <rPh sb="0" eb="2">
      <t>コブタ</t>
    </rPh>
    <phoneticPr fontId="11"/>
  </si>
  <si>
    <t>麦類計</t>
    <rPh sb="0" eb="2">
      <t>ムギルイ</t>
    </rPh>
    <rPh sb="2" eb="3">
      <t>ケイ</t>
    </rPh>
    <phoneticPr fontId="11"/>
  </si>
  <si>
    <t>茶成園面積</t>
    <rPh sb="0" eb="1">
      <t>チャ</t>
    </rPh>
    <rPh sb="1" eb="2">
      <t>シゲル</t>
    </rPh>
    <rPh sb="2" eb="3">
      <t>エン</t>
    </rPh>
    <rPh sb="3" eb="5">
      <t>メンセキ</t>
    </rPh>
    <phoneticPr fontId="11"/>
  </si>
  <si>
    <t>六条大麦計</t>
    <rPh sb="0" eb="2">
      <t>ロクジョウ</t>
    </rPh>
    <rPh sb="2" eb="4">
      <t>オオムギ</t>
    </rPh>
    <rPh sb="4" eb="5">
      <t>ケイ</t>
    </rPh>
    <phoneticPr fontId="11"/>
  </si>
  <si>
    <t>肉豚</t>
    <rPh sb="0" eb="1">
      <t>ニク</t>
    </rPh>
    <rPh sb="1" eb="2">
      <t>ブタ</t>
    </rPh>
    <phoneticPr fontId="11"/>
  </si>
  <si>
    <t>茶植栽面積</t>
    <rPh sb="0" eb="1">
      <t>チャ</t>
    </rPh>
    <rPh sb="1" eb="3">
      <t>ショクサイ</t>
    </rPh>
    <rPh sb="3" eb="5">
      <t>メンセキ</t>
    </rPh>
    <phoneticPr fontId="11"/>
  </si>
  <si>
    <t>肥育牛計</t>
    <rPh sb="0" eb="3">
      <t>ヒイクギュウ</t>
    </rPh>
    <rPh sb="3" eb="4">
      <t>ケイ</t>
    </rPh>
    <phoneticPr fontId="11"/>
  </si>
  <si>
    <t>二条大麦計</t>
    <rPh sb="0" eb="2">
      <t>ニジョウ</t>
    </rPh>
    <rPh sb="2" eb="4">
      <t>オオムギ</t>
    </rPh>
    <rPh sb="4" eb="5">
      <t>ケイ</t>
    </rPh>
    <phoneticPr fontId="11"/>
  </si>
  <si>
    <t>小麦計</t>
    <rPh sb="0" eb="2">
      <t>コムギ</t>
    </rPh>
    <rPh sb="2" eb="3">
      <t>ケイ</t>
    </rPh>
    <phoneticPr fontId="11"/>
  </si>
  <si>
    <t>作　付　面　積</t>
    <rPh sb="0" eb="1">
      <t>サク</t>
    </rPh>
    <rPh sb="2" eb="3">
      <t>ヅケ</t>
    </rPh>
    <rPh sb="4" eb="5">
      <t>メン</t>
    </rPh>
    <rPh sb="6" eb="7">
      <t>セキ</t>
    </rPh>
    <phoneticPr fontId="11"/>
  </si>
  <si>
    <t>麦　　　　　　　　類</t>
    <phoneticPr fontId="11"/>
  </si>
  <si>
    <t>肉専用種</t>
    <rPh sb="0" eb="3">
      <t>ニクセンヨウ</t>
    </rPh>
    <rPh sb="3" eb="4">
      <t>タネ</t>
    </rPh>
    <phoneticPr fontId="11"/>
  </si>
  <si>
    <t>加工用米</t>
    <rPh sb="0" eb="3">
      <t>カコウヨウ</t>
    </rPh>
    <rPh sb="3" eb="4">
      <t>マイ</t>
    </rPh>
    <phoneticPr fontId="11"/>
  </si>
  <si>
    <t>繁殖牛(自家生産和牛等)</t>
    <rPh sb="0" eb="2">
      <t>ハンショク</t>
    </rPh>
    <rPh sb="2" eb="3">
      <t>ギュウ</t>
    </rPh>
    <rPh sb="4" eb="6">
      <t>ジカ</t>
    </rPh>
    <rPh sb="6" eb="8">
      <t>セイサン</t>
    </rPh>
    <rPh sb="8" eb="10">
      <t>ワギュウ</t>
    </rPh>
    <rPh sb="10" eb="11">
      <t>トウ</t>
    </rPh>
    <phoneticPr fontId="11"/>
  </si>
  <si>
    <t>稲作計</t>
    <rPh sb="0" eb="2">
      <t>イナサク</t>
    </rPh>
    <rPh sb="2" eb="3">
      <t>ケイ</t>
    </rPh>
    <phoneticPr fontId="11"/>
  </si>
  <si>
    <t>さとうきび計</t>
    <rPh sb="5" eb="6">
      <t>ケイ</t>
    </rPh>
    <phoneticPr fontId="11"/>
  </si>
  <si>
    <t>主食用米</t>
    <rPh sb="0" eb="1">
      <t>シュ</t>
    </rPh>
    <rPh sb="1" eb="4">
      <t>ショクヨウマイ</t>
    </rPh>
    <phoneticPr fontId="11"/>
  </si>
  <si>
    <t>酪農計</t>
    <rPh sb="0" eb="2">
      <t>ラクノウ</t>
    </rPh>
    <rPh sb="2" eb="3">
      <t>ケイ</t>
    </rPh>
    <phoneticPr fontId="11"/>
  </si>
  <si>
    <t>稲わら等</t>
    <rPh sb="0" eb="1">
      <t>イナ</t>
    </rPh>
    <rPh sb="3" eb="4">
      <t>トウ</t>
    </rPh>
    <phoneticPr fontId="11"/>
  </si>
  <si>
    <t>自家生産乳牛等</t>
    <rPh sb="0" eb="2">
      <t>ジカ</t>
    </rPh>
    <rPh sb="2" eb="4">
      <t>セイサン</t>
    </rPh>
    <rPh sb="4" eb="6">
      <t>ニュウギュウ</t>
    </rPh>
    <rPh sb="6" eb="7">
      <t>トウ</t>
    </rPh>
    <phoneticPr fontId="11"/>
  </si>
  <si>
    <t>てんさい計</t>
    <rPh sb="4" eb="5">
      <t>ケイ</t>
    </rPh>
    <phoneticPr fontId="11"/>
  </si>
  <si>
    <t>作付面積
(茶除く)</t>
    <rPh sb="0" eb="2">
      <t>サクツケ</t>
    </rPh>
    <rPh sb="2" eb="4">
      <t>メンセキ</t>
    </rPh>
    <rPh sb="6" eb="7">
      <t>チャ</t>
    </rPh>
    <rPh sb="7" eb="8">
      <t>ノゾ</t>
    </rPh>
    <phoneticPr fontId="11"/>
  </si>
  <si>
    <t>工 芸 農 作 物</t>
    <rPh sb="0" eb="1">
      <t>コウ</t>
    </rPh>
    <rPh sb="2" eb="3">
      <t>ゲイ</t>
    </rPh>
    <rPh sb="4" eb="5">
      <t>ノウ</t>
    </rPh>
    <rPh sb="6" eb="7">
      <t>サク</t>
    </rPh>
    <rPh sb="8" eb="9">
      <t>ブツ</t>
    </rPh>
    <phoneticPr fontId="11"/>
  </si>
  <si>
    <t>生乳</t>
    <rPh sb="0" eb="2">
      <t>セイニュウ</t>
    </rPh>
    <phoneticPr fontId="11"/>
  </si>
  <si>
    <t>主食用米</t>
    <rPh sb="0" eb="3">
      <t>シュショクヨウ</t>
    </rPh>
    <rPh sb="3" eb="4">
      <t>マイ</t>
    </rPh>
    <phoneticPr fontId="11"/>
  </si>
  <si>
    <t>食用
米</t>
    <rPh sb="0" eb="2">
      <t>ショクヨウ</t>
    </rPh>
    <rPh sb="3" eb="4">
      <t>マイ</t>
    </rPh>
    <phoneticPr fontId="11"/>
  </si>
  <si>
    <t>稲作</t>
    <rPh sb="0" eb="2">
      <t>イナサク</t>
    </rPh>
    <phoneticPr fontId="11"/>
  </si>
  <si>
    <t>加工用米計</t>
    <rPh sb="0" eb="3">
      <t>カコウヨウ</t>
    </rPh>
    <rPh sb="3" eb="4">
      <t>マイ</t>
    </rPh>
    <rPh sb="4" eb="5">
      <t>ケイ</t>
    </rPh>
    <phoneticPr fontId="11"/>
  </si>
  <si>
    <t>畜産収入計</t>
    <rPh sb="0" eb="2">
      <t>チクサン</t>
    </rPh>
    <rPh sb="2" eb="4">
      <t>シュウニュウ</t>
    </rPh>
    <rPh sb="4" eb="5">
      <t>ケイ</t>
    </rPh>
    <phoneticPr fontId="11"/>
  </si>
  <si>
    <t>作物収入計</t>
    <rPh sb="0" eb="2">
      <t>サクモツ</t>
    </rPh>
    <rPh sb="2" eb="4">
      <t>シュウニュウ</t>
    </rPh>
    <rPh sb="4" eb="5">
      <t>ケイ</t>
    </rPh>
    <phoneticPr fontId="11"/>
  </si>
  <si>
    <t>積立金等</t>
    <rPh sb="0" eb="3">
      <t>ツミタテキン</t>
    </rPh>
    <rPh sb="3" eb="4">
      <t>トウ</t>
    </rPh>
    <phoneticPr fontId="11"/>
  </si>
  <si>
    <t>受取金等</t>
    <rPh sb="0" eb="3">
      <t>ウケトリキン</t>
    </rPh>
    <rPh sb="3" eb="4">
      <t>トウ</t>
    </rPh>
    <phoneticPr fontId="11"/>
  </si>
  <si>
    <t>区　　分</t>
    <rPh sb="0" eb="1">
      <t>ク</t>
    </rPh>
    <rPh sb="3" eb="4">
      <t>ブン</t>
    </rPh>
    <phoneticPr fontId="11"/>
  </si>
  <si>
    <t>販売数量（頭・羽）</t>
    <rPh sb="0" eb="2">
      <t>ハンバイ</t>
    </rPh>
    <rPh sb="2" eb="4">
      <t>スウリョウ</t>
    </rPh>
    <rPh sb="5" eb="6">
      <t>トウ</t>
    </rPh>
    <rPh sb="7" eb="8">
      <t>ハ</t>
    </rPh>
    <phoneticPr fontId="11"/>
  </si>
  <si>
    <t>販売数量（kg）</t>
    <rPh sb="0" eb="2">
      <t>ハンバイ</t>
    </rPh>
    <rPh sb="2" eb="4">
      <t>スウリョウ</t>
    </rPh>
    <phoneticPr fontId="11"/>
  </si>
  <si>
    <t>主食用米計</t>
    <rPh sb="0" eb="1">
      <t>シュ</t>
    </rPh>
    <rPh sb="1" eb="4">
      <t>ショクヨウマイ</t>
    </rPh>
    <rPh sb="4" eb="5">
      <t>ケイ</t>
    </rPh>
    <phoneticPr fontId="11"/>
  </si>
  <si>
    <t>稲　　作</t>
    <rPh sb="0" eb="1">
      <t>イネ</t>
    </rPh>
    <rPh sb="3" eb="4">
      <t>サク</t>
    </rPh>
    <phoneticPr fontId="11"/>
  </si>
  <si>
    <t>１　主要農畜産物の生産概況</t>
    <phoneticPr fontId="11"/>
  </si>
  <si>
    <t>70歳以上</t>
    <rPh sb="2" eb="3">
      <t>サイ</t>
    </rPh>
    <rPh sb="3" eb="5">
      <t>イジョウ</t>
    </rPh>
    <phoneticPr fontId="11"/>
  </si>
  <si>
    <t>65～69</t>
  </si>
  <si>
    <t>60～64</t>
  </si>
  <si>
    <t>50～59</t>
  </si>
  <si>
    <t>45～49</t>
  </si>
  <si>
    <t>65～69</t>
    <phoneticPr fontId="11"/>
  </si>
  <si>
    <t>35～44</t>
  </si>
  <si>
    <t>60～64</t>
    <phoneticPr fontId="11"/>
  </si>
  <si>
    <t>35歳未満</t>
    <rPh sb="2" eb="3">
      <t>サイ</t>
    </rPh>
    <rPh sb="3" eb="5">
      <t>ミマン</t>
    </rPh>
    <phoneticPr fontId="11"/>
  </si>
  <si>
    <t>50～59</t>
    <phoneticPr fontId="11"/>
  </si>
  <si>
    <t>45～49</t>
    <phoneticPr fontId="11"/>
  </si>
  <si>
    <t>35～44</t>
    <phoneticPr fontId="11"/>
  </si>
  <si>
    <t>150日以上</t>
    <rPh sb="3" eb="4">
      <t>ニチ</t>
    </rPh>
    <rPh sb="4" eb="6">
      <t>イジョウ</t>
    </rPh>
    <phoneticPr fontId="11"/>
  </si>
  <si>
    <t>女</t>
    <rPh sb="0" eb="1">
      <t>オンナ</t>
    </rPh>
    <phoneticPr fontId="11"/>
  </si>
  <si>
    <t>男</t>
    <rPh sb="0" eb="1">
      <t>オトコ</t>
    </rPh>
    <phoneticPr fontId="11"/>
  </si>
  <si>
    <t>７か月以上雇用</t>
    <rPh sb="2" eb="3">
      <t>ゲツ</t>
    </rPh>
    <rPh sb="3" eb="5">
      <t>イジョウ</t>
    </rPh>
    <rPh sb="5" eb="7">
      <t>コヨウ</t>
    </rPh>
    <phoneticPr fontId="11"/>
  </si>
  <si>
    <t>経営主以外</t>
    <rPh sb="0" eb="2">
      <t>ケイエイ</t>
    </rPh>
    <rPh sb="2" eb="3">
      <t>ヌシ</t>
    </rPh>
    <rPh sb="3" eb="5">
      <t>イガイ</t>
    </rPh>
    <phoneticPr fontId="11"/>
  </si>
  <si>
    <t>60日以上</t>
    <rPh sb="2" eb="3">
      <t>ニチ</t>
    </rPh>
    <rPh sb="3" eb="5">
      <t>イジョウ</t>
    </rPh>
    <phoneticPr fontId="11"/>
  </si>
  <si>
    <t>経営主</t>
    <rPh sb="0" eb="2">
      <t>ケイエイ</t>
    </rPh>
    <rPh sb="2" eb="3">
      <t>ヌシ</t>
    </rPh>
    <phoneticPr fontId="11"/>
  </si>
  <si>
    <t>7ヶ月以上雇用</t>
    <rPh sb="2" eb="5">
      <t>ゲツイジョウ</t>
    </rPh>
    <rPh sb="5" eb="7">
      <t>コヨウ</t>
    </rPh>
    <phoneticPr fontId="11"/>
  </si>
  <si>
    <t>男</t>
    <rPh sb="0" eb="1">
      <t>オトコ</t>
    </rPh>
    <phoneticPr fontId="8"/>
  </si>
  <si>
    <t>関連事業労働計</t>
    <rPh sb="0" eb="2">
      <t>カンレン</t>
    </rPh>
    <rPh sb="2" eb="4">
      <t>ジギョウ</t>
    </rPh>
    <rPh sb="4" eb="6">
      <t>ロウドウ</t>
    </rPh>
    <rPh sb="6" eb="7">
      <t>ケイ</t>
    </rPh>
    <phoneticPr fontId="11"/>
  </si>
  <si>
    <t>農業労働計</t>
    <rPh sb="0" eb="2">
      <t>ノウギョウ</t>
    </rPh>
    <rPh sb="2" eb="4">
      <t>ロウドウ</t>
    </rPh>
    <rPh sb="4" eb="5">
      <t>ケイ</t>
    </rPh>
    <phoneticPr fontId="11"/>
  </si>
  <si>
    <t>２　年齢別農業従事者数（人）</t>
    <rPh sb="2" eb="4">
      <t>ネンレイ</t>
    </rPh>
    <rPh sb="4" eb="5">
      <t>ベツ</t>
    </rPh>
    <rPh sb="5" eb="7">
      <t>ノウギョウ</t>
    </rPh>
    <rPh sb="7" eb="9">
      <t>ジュウジ</t>
    </rPh>
    <rPh sb="9" eb="10">
      <t>シャ</t>
    </rPh>
    <rPh sb="10" eb="11">
      <t>カズ</t>
    </rPh>
    <rPh sb="12" eb="13">
      <t>ニン</t>
    </rPh>
    <phoneticPr fontId="11"/>
  </si>
  <si>
    <t>うち農作業受託労働計</t>
    <rPh sb="2" eb="5">
      <t>ノウサギョウ</t>
    </rPh>
    <rPh sb="5" eb="7">
      <t>ジュタク</t>
    </rPh>
    <rPh sb="7" eb="9">
      <t>ロウドウ</t>
    </rPh>
    <rPh sb="9" eb="10">
      <t>ケイ</t>
    </rPh>
    <phoneticPr fontId="11"/>
  </si>
  <si>
    <t>うち農業従事者計</t>
    <rPh sb="2" eb="4">
      <t>ノウギョウ</t>
    </rPh>
    <rPh sb="4" eb="7">
      <t>ジュウジシャ</t>
    </rPh>
    <rPh sb="7" eb="8">
      <t>ケイ</t>
    </rPh>
    <phoneticPr fontId="11"/>
  </si>
  <si>
    <t>日本人研修生</t>
    <rPh sb="0" eb="3">
      <t>ニホンジン</t>
    </rPh>
    <rPh sb="3" eb="6">
      <t>ケンシュウセイ</t>
    </rPh>
    <phoneticPr fontId="11"/>
  </si>
  <si>
    <t>外国人技能実習生</t>
    <rPh sb="0" eb="3">
      <t>ガイコクジン</t>
    </rPh>
    <rPh sb="3" eb="5">
      <t>ギノウ</t>
    </rPh>
    <rPh sb="5" eb="8">
      <t>ジッシュウセイ</t>
    </rPh>
    <phoneticPr fontId="11"/>
  </si>
  <si>
    <t>うち関連事業従事者計</t>
    <rPh sb="2" eb="4">
      <t>カンレン</t>
    </rPh>
    <rPh sb="4" eb="6">
      <t>ジギョウ</t>
    </rPh>
    <rPh sb="6" eb="9">
      <t>ジュウジシャ</t>
    </rPh>
    <rPh sb="9" eb="10">
      <t>ケイ</t>
    </rPh>
    <phoneticPr fontId="11"/>
  </si>
  <si>
    <t>事業従事者計</t>
    <rPh sb="0" eb="2">
      <t>ジギョウ</t>
    </rPh>
    <rPh sb="2" eb="5">
      <t>ジュウジシャ</t>
    </rPh>
    <rPh sb="5" eb="6">
      <t>ケイ</t>
    </rPh>
    <phoneticPr fontId="11"/>
  </si>
  <si>
    <t>農業研修生計</t>
    <rPh sb="0" eb="2">
      <t>ノウギョウ</t>
    </rPh>
    <rPh sb="2" eb="5">
      <t>ケンシュウセイ</t>
    </rPh>
    <rPh sb="5" eb="6">
      <t>ケイ</t>
    </rPh>
    <phoneticPr fontId="11"/>
  </si>
  <si>
    <t>平均年齢(歳)</t>
    <rPh sb="0" eb="2">
      <t>ヘイキン</t>
    </rPh>
    <rPh sb="2" eb="4">
      <t>ネンレイ</t>
    </rPh>
    <rPh sb="5" eb="6">
      <t>サイ</t>
    </rPh>
    <phoneticPr fontId="11"/>
  </si>
  <si>
    <t>区　　分</t>
    <rPh sb="0" eb="1">
      <t>ク</t>
    </rPh>
    <rPh sb="3" eb="4">
      <t>ブン</t>
    </rPh>
    <phoneticPr fontId="5"/>
  </si>
  <si>
    <t>１　事業従事者数（人）</t>
    <rPh sb="2" eb="4">
      <t>ジギョウ</t>
    </rPh>
    <rPh sb="4" eb="7">
      <t>ジュウジシャ</t>
    </rPh>
    <rPh sb="7" eb="8">
      <t>スウ</t>
    </rPh>
    <rPh sb="9" eb="10">
      <t>ヒト</t>
    </rPh>
    <phoneticPr fontId="11"/>
  </si>
  <si>
    <t>営農類型規模</t>
    <rPh sb="0" eb="2">
      <t>エイノウ</t>
    </rPh>
    <rPh sb="2" eb="4">
      <t>ルイケイ</t>
    </rPh>
    <rPh sb="4" eb="6">
      <t>キボ</t>
    </rPh>
    <phoneticPr fontId="11"/>
  </si>
  <si>
    <t>４　営農類型規模（ａ､㎡､頭､羽）</t>
    <rPh sb="2" eb="4">
      <t>エイノウ</t>
    </rPh>
    <rPh sb="4" eb="6">
      <t>ルイケイ</t>
    </rPh>
    <rPh sb="6" eb="8">
      <t>キボ</t>
    </rPh>
    <rPh sb="13" eb="14">
      <t>トウ</t>
    </rPh>
    <rPh sb="15" eb="16">
      <t>ハ</t>
    </rPh>
    <phoneticPr fontId="11"/>
  </si>
  <si>
    <t>11　主要固定資産の状況</t>
    <rPh sb="3" eb="5">
      <t>シュヨウ</t>
    </rPh>
    <rPh sb="5" eb="9">
      <t>コテイシサン</t>
    </rPh>
    <rPh sb="10" eb="12">
      <t>ジョウキョウ</t>
    </rPh>
    <phoneticPr fontId="8"/>
  </si>
  <si>
    <t>棚卸高(農産物以外)</t>
    <rPh sb="0" eb="2">
      <t>タナオロシ</t>
    </rPh>
    <rPh sb="2" eb="3">
      <t>ダカ</t>
    </rPh>
    <rPh sb="4" eb="7">
      <t>ノウサンブツ</t>
    </rPh>
    <rPh sb="7" eb="9">
      <t>イガイ</t>
    </rPh>
    <phoneticPr fontId="11"/>
  </si>
  <si>
    <t>有給役員・家族農業労働
１時間当たり</t>
    <rPh sb="0" eb="2">
      <t>ユウキュウ</t>
    </rPh>
    <rPh sb="2" eb="4">
      <t>ヤクイン</t>
    </rPh>
    <rPh sb="5" eb="7">
      <t>カゾク</t>
    </rPh>
    <rPh sb="7" eb="9">
      <t>ノウギョウ</t>
    </rPh>
    <rPh sb="9" eb="11">
      <t>ロウドウ</t>
    </rPh>
    <rPh sb="13" eb="15">
      <t>ジカン</t>
    </rPh>
    <rPh sb="15" eb="16">
      <t>ア</t>
    </rPh>
    <phoneticPr fontId="11"/>
  </si>
  <si>
    <t>農業共済掛金</t>
    <rPh sb="0" eb="2">
      <t>ノウギョウ</t>
    </rPh>
    <rPh sb="2" eb="4">
      <t>キョウサイ</t>
    </rPh>
    <rPh sb="4" eb="6">
      <t>カケキン</t>
    </rPh>
    <phoneticPr fontId="11"/>
  </si>
  <si>
    <t>農業生産関連事業の概要</t>
    <rPh sb="0" eb="2">
      <t>ノウギョウ</t>
    </rPh>
    <rPh sb="2" eb="4">
      <t>セイサン</t>
    </rPh>
    <rPh sb="4" eb="8">
      <t>カンレンジギョウ</t>
    </rPh>
    <rPh sb="9" eb="11">
      <t>ガイヨウ</t>
    </rPh>
    <phoneticPr fontId="11"/>
  </si>
  <si>
    <t>８　経営耕地面積等（ａ）</t>
    <rPh sb="2" eb="4">
      <t>ケイエイ</t>
    </rPh>
    <rPh sb="4" eb="6">
      <t>コウチ</t>
    </rPh>
    <rPh sb="6" eb="8">
      <t>メンセキ</t>
    </rPh>
    <rPh sb="8" eb="9">
      <t>トウ</t>
    </rPh>
    <phoneticPr fontId="11"/>
  </si>
  <si>
    <t>果樹・牛馬等</t>
    <rPh sb="0" eb="2">
      <t>カジュ</t>
    </rPh>
    <rPh sb="3" eb="5">
      <t>ギュウバ</t>
    </rPh>
    <rPh sb="5" eb="6">
      <t>トウ</t>
    </rPh>
    <phoneticPr fontId="11"/>
  </si>
  <si>
    <t>農外事業</t>
    <rPh sb="0" eb="1">
      <t>ノウ</t>
    </rPh>
    <rPh sb="1" eb="2">
      <t>ガイ</t>
    </rPh>
    <rPh sb="2" eb="4">
      <t>ジギョウ</t>
    </rPh>
    <phoneticPr fontId="11"/>
  </si>
  <si>
    <t>農業生産関連事業</t>
    <rPh sb="0" eb="2">
      <t>ノウギョウ</t>
    </rPh>
    <rPh sb="2" eb="4">
      <t>セイサン</t>
    </rPh>
    <rPh sb="4" eb="6">
      <t>カンレン</t>
    </rPh>
    <rPh sb="6" eb="8">
      <t>ジギョウ</t>
    </rPh>
    <phoneticPr fontId="11"/>
  </si>
  <si>
    <t>農業固定資産額計</t>
    <rPh sb="0" eb="2">
      <t>ノウギョウ</t>
    </rPh>
    <rPh sb="2" eb="4">
      <t>コテイ</t>
    </rPh>
    <rPh sb="4" eb="6">
      <t>シサン</t>
    </rPh>
    <rPh sb="6" eb="7">
      <t>ガク</t>
    </rPh>
    <rPh sb="7" eb="8">
      <t>ケイ</t>
    </rPh>
    <phoneticPr fontId="11"/>
  </si>
  <si>
    <t>農業</t>
    <rPh sb="0" eb="2">
      <t>ノウギョウ</t>
    </rPh>
    <phoneticPr fontId="11"/>
  </si>
  <si>
    <t>農外事業支出</t>
    <rPh sb="0" eb="1">
      <t>ノウ</t>
    </rPh>
    <rPh sb="1" eb="2">
      <t>ガイ</t>
    </rPh>
    <rPh sb="2" eb="4">
      <t>ジギョウ</t>
    </rPh>
    <phoneticPr fontId="11"/>
  </si>
  <si>
    <t>農業生産関連事業支出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シシュツ</t>
    </rPh>
    <phoneticPr fontId="11"/>
  </si>
  <si>
    <t>農業支出</t>
    <rPh sb="0" eb="2">
      <t>ノウギョウ</t>
    </rPh>
    <rPh sb="2" eb="4">
      <t>シシュツ</t>
    </rPh>
    <phoneticPr fontId="11"/>
  </si>
  <si>
    <t>売掛金</t>
    <rPh sb="0" eb="3">
      <t>ウリカケキン</t>
    </rPh>
    <phoneticPr fontId="11"/>
  </si>
  <si>
    <t>農外事業収入</t>
    <rPh sb="0" eb="1">
      <t>ノウ</t>
    </rPh>
    <rPh sb="1" eb="2">
      <t>ガイ</t>
    </rPh>
    <rPh sb="2" eb="4">
      <t>ジギョウ</t>
    </rPh>
    <rPh sb="4" eb="6">
      <t>シュウニュウ</t>
    </rPh>
    <phoneticPr fontId="11"/>
  </si>
  <si>
    <t>農業生産関連事業収入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シュウニュウ</t>
    </rPh>
    <phoneticPr fontId="11"/>
  </si>
  <si>
    <t>農業収入</t>
    <rPh sb="0" eb="2">
      <t>ノウギョウ</t>
    </rPh>
    <rPh sb="2" eb="4">
      <t>シュウニュウ</t>
    </rPh>
    <phoneticPr fontId="11"/>
  </si>
  <si>
    <t>負債・資本</t>
    <rPh sb="0" eb="2">
      <t>フサイ</t>
    </rPh>
    <rPh sb="3" eb="5">
      <t>シホン</t>
    </rPh>
    <phoneticPr fontId="11"/>
  </si>
  <si>
    <t>資　産　</t>
    <rPh sb="0" eb="1">
      <t>シ</t>
    </rPh>
    <rPh sb="2" eb="3">
      <t>サン</t>
    </rPh>
    <phoneticPr fontId="11"/>
  </si>
  <si>
    <t>５　分析指標</t>
    <rPh sb="2" eb="4">
      <t>ブンセキ</t>
    </rPh>
    <rPh sb="4" eb="6">
      <t>シヒョウ</t>
    </rPh>
    <phoneticPr fontId="8"/>
  </si>
  <si>
    <t>いも類計</t>
    <rPh sb="2" eb="3">
      <t>タグイ</t>
    </rPh>
    <rPh sb="3" eb="4">
      <t>ケイ</t>
    </rPh>
    <phoneticPr fontId="11"/>
  </si>
  <si>
    <t>ブロイラー販売羽数</t>
    <rPh sb="5" eb="7">
      <t>ハンバイ</t>
    </rPh>
    <rPh sb="7" eb="9">
      <t>ハスウ</t>
    </rPh>
    <phoneticPr fontId="11"/>
  </si>
  <si>
    <t>その他の飼料作物</t>
    <rPh sb="2" eb="3">
      <t>タ</t>
    </rPh>
    <rPh sb="4" eb="6">
      <t>シリョウ</t>
    </rPh>
    <rPh sb="6" eb="8">
      <t>サクモツ</t>
    </rPh>
    <phoneticPr fontId="11"/>
  </si>
  <si>
    <t>月平均
頭数</t>
    <rPh sb="0" eb="3">
      <t>ツキヘイキン</t>
    </rPh>
    <rPh sb="4" eb="6">
      <t>トウスウ</t>
    </rPh>
    <phoneticPr fontId="11"/>
  </si>
  <si>
    <t>い　も　類</t>
    <rPh sb="4" eb="5">
      <t>タグイ</t>
    </rPh>
    <phoneticPr fontId="11"/>
  </si>
  <si>
    <t>交雑種</t>
    <rPh sb="0" eb="2">
      <t>コウザツ</t>
    </rPh>
    <rPh sb="2" eb="3">
      <t>シュ</t>
    </rPh>
    <phoneticPr fontId="11"/>
  </si>
  <si>
    <t>肉専用＋交雑種</t>
    <rPh sb="0" eb="1">
      <t>ニク</t>
    </rPh>
    <rPh sb="1" eb="2">
      <t>アツム</t>
    </rPh>
    <rPh sb="2" eb="3">
      <t>ヨウ</t>
    </rPh>
    <rPh sb="4" eb="6">
      <t>コウザツ</t>
    </rPh>
    <rPh sb="6" eb="7">
      <t>シュ</t>
    </rPh>
    <phoneticPr fontId="11"/>
  </si>
  <si>
    <t>肥育牛
月平均
頭　数</t>
    <rPh sb="0" eb="3">
      <t>ヒイクギュウ</t>
    </rPh>
    <rPh sb="4" eb="5">
      <t>ツキ</t>
    </rPh>
    <rPh sb="5" eb="7">
      <t>ヘイキン</t>
    </rPh>
    <rPh sb="8" eb="9">
      <t>アタマ</t>
    </rPh>
    <rPh sb="10" eb="11">
      <t>カズ</t>
    </rPh>
    <phoneticPr fontId="11"/>
  </si>
  <si>
    <t>うち田</t>
    <rPh sb="2" eb="3">
      <t>タ</t>
    </rPh>
    <phoneticPr fontId="11"/>
  </si>
  <si>
    <t>その他作物作付面積計</t>
    <rPh sb="2" eb="3">
      <t>タ</t>
    </rPh>
    <rPh sb="3" eb="5">
      <t>サクモツ</t>
    </rPh>
    <rPh sb="5" eb="7">
      <t>サクツケ</t>
    </rPh>
    <rPh sb="7" eb="9">
      <t>メンセキ</t>
    </rPh>
    <rPh sb="9" eb="10">
      <t>ケイ</t>
    </rPh>
    <phoneticPr fontId="11"/>
  </si>
  <si>
    <t>消費者直接販売計</t>
    <rPh sb="0" eb="3">
      <t>ショウヒシャ</t>
    </rPh>
    <rPh sb="3" eb="5">
      <t>チョクセツ</t>
    </rPh>
    <rPh sb="5" eb="7">
      <t>ハンバイ</t>
    </rPh>
    <rPh sb="7" eb="8">
      <t>ケイ</t>
    </rPh>
    <phoneticPr fontId="11"/>
  </si>
  <si>
    <t>農作業受託収入</t>
    <rPh sb="0" eb="3">
      <t>ノウサギョウ</t>
    </rPh>
    <rPh sb="3" eb="5">
      <t>ジュタク</t>
    </rPh>
    <rPh sb="5" eb="7">
      <t>シュウニュウ</t>
    </rPh>
    <phoneticPr fontId="11"/>
  </si>
  <si>
    <t>　うち小豆</t>
    <rPh sb="3" eb="5">
      <t>ショウズ</t>
    </rPh>
    <phoneticPr fontId="11"/>
  </si>
  <si>
    <t>大豆以外の豆類</t>
    <rPh sb="0" eb="2">
      <t>ダイズ</t>
    </rPh>
    <rPh sb="2" eb="4">
      <t>イガイ</t>
    </rPh>
    <rPh sb="5" eb="7">
      <t>マメルイ</t>
    </rPh>
    <phoneticPr fontId="11"/>
  </si>
  <si>
    <t>その他麦計</t>
    <rPh sb="2" eb="3">
      <t>タ</t>
    </rPh>
    <rPh sb="3" eb="4">
      <t>ムギ</t>
    </rPh>
    <rPh sb="4" eb="5">
      <t>ケイ</t>
    </rPh>
    <phoneticPr fontId="11"/>
  </si>
  <si>
    <t>その他の雑穀</t>
    <rPh sb="2" eb="3">
      <t>タ</t>
    </rPh>
    <rPh sb="4" eb="6">
      <t>ザッコク</t>
    </rPh>
    <phoneticPr fontId="11"/>
  </si>
  <si>
    <t>その他の麦</t>
    <rPh sb="2" eb="3">
      <t>タ</t>
    </rPh>
    <rPh sb="4" eb="5">
      <t>ムギ</t>
    </rPh>
    <phoneticPr fontId="11"/>
  </si>
  <si>
    <t>肉専用＋交雑種</t>
    <rPh sb="0" eb="1">
      <t>ニク</t>
    </rPh>
    <rPh sb="1" eb="2">
      <t>アツム</t>
    </rPh>
    <rPh sb="2" eb="3">
      <t>ヨウ</t>
    </rPh>
    <rPh sb="4" eb="7">
      <t>コウザツシュ</t>
    </rPh>
    <phoneticPr fontId="11"/>
  </si>
  <si>
    <t>肥育牛</t>
    <rPh sb="0" eb="2">
      <t>ヒイク</t>
    </rPh>
    <rPh sb="2" eb="3">
      <t>ウシ</t>
    </rPh>
    <phoneticPr fontId="11"/>
  </si>
  <si>
    <t>その他工芸計</t>
    <rPh sb="2" eb="3">
      <t>タ</t>
    </rPh>
    <rPh sb="3" eb="5">
      <t>コウゲイ</t>
    </rPh>
    <rPh sb="5" eb="6">
      <t>ケイ</t>
    </rPh>
    <phoneticPr fontId="11"/>
  </si>
  <si>
    <t>合計</t>
    <rPh sb="0" eb="2">
      <t>ゴウケイ</t>
    </rPh>
    <phoneticPr fontId="11"/>
  </si>
  <si>
    <t>２　販売数量・販売金額</t>
    <rPh sb="2" eb="4">
      <t>ハンバイ</t>
    </rPh>
    <rPh sb="4" eb="6">
      <t>スウリョウ</t>
    </rPh>
    <rPh sb="7" eb="9">
      <t>ハンバイ</t>
    </rPh>
    <rPh sb="9" eb="11">
      <t>キンガク</t>
    </rPh>
    <phoneticPr fontId="11"/>
  </si>
  <si>
    <t>人数</t>
    <rPh sb="0" eb="2">
      <t>ニンズウ</t>
    </rPh>
    <phoneticPr fontId="11"/>
  </si>
  <si>
    <t>５　経営主の平均年齢、研修生の数</t>
    <rPh sb="2" eb="4">
      <t>ケイエイ</t>
    </rPh>
    <rPh sb="4" eb="5">
      <t>ヌシ</t>
    </rPh>
    <rPh sb="6" eb="8">
      <t>ヘイキン</t>
    </rPh>
    <rPh sb="8" eb="10">
      <t>ネンレイ</t>
    </rPh>
    <phoneticPr fontId="11"/>
  </si>
  <si>
    <t>有給役員･家族</t>
    <rPh sb="0" eb="2">
      <t>ユウキュウ</t>
    </rPh>
    <rPh sb="2" eb="4">
      <t>ヤクイン</t>
    </rPh>
    <rPh sb="5" eb="7">
      <t>カゾク</t>
    </rPh>
    <phoneticPr fontId="11"/>
  </si>
  <si>
    <t>４　年齢別農業労働時間（時間）</t>
    <rPh sb="2" eb="4">
      <t>ネンレイ</t>
    </rPh>
    <rPh sb="4" eb="5">
      <t>ベツ</t>
    </rPh>
    <rPh sb="5" eb="7">
      <t>ノウギョウ</t>
    </rPh>
    <rPh sb="7" eb="9">
      <t>ロウドウ</t>
    </rPh>
    <rPh sb="9" eb="11">
      <t>ジカン</t>
    </rPh>
    <rPh sb="12" eb="14">
      <t>ジカン</t>
    </rPh>
    <phoneticPr fontId="11"/>
  </si>
  <si>
    <t>３　投下労働時間（時間）</t>
    <rPh sb="2" eb="4">
      <t>トウカ</t>
    </rPh>
    <rPh sb="4" eb="6">
      <t>ロウドウ</t>
    </rPh>
    <rPh sb="6" eb="8">
      <t>ジカン</t>
    </rPh>
    <rPh sb="9" eb="11">
      <t>ジカン</t>
    </rPh>
    <phoneticPr fontId="11"/>
  </si>
  <si>
    <t>集計名称</t>
    <rPh sb="0" eb="2">
      <t>シュウケイ</t>
    </rPh>
    <rPh sb="2" eb="4">
      <t>メイショウ</t>
    </rPh>
    <phoneticPr fontId="11"/>
  </si>
  <si>
    <t>○　指標部</t>
    <rPh sb="2" eb="4">
      <t>シヒョウ</t>
    </rPh>
    <rPh sb="4" eb="5">
      <t>ブ</t>
    </rPh>
    <phoneticPr fontId="8"/>
  </si>
  <si>
    <t>集計戸数</t>
    <rPh sb="0" eb="2">
      <t>シュウケイ</t>
    </rPh>
    <rPh sb="2" eb="4">
      <t>コスウ</t>
    </rPh>
    <phoneticPr fontId="11"/>
  </si>
  <si>
    <t>月平均搾乳牛頭数</t>
    <rPh sb="0" eb="3">
      <t>ツキヘイキン</t>
    </rPh>
    <rPh sb="6" eb="8">
      <t>トウスウ</t>
    </rPh>
    <phoneticPr fontId="11"/>
  </si>
  <si>
    <t>a</t>
    <phoneticPr fontId="1"/>
  </si>
  <si>
    <t>１　収支総括（千円）</t>
    <rPh sb="2" eb="4">
      <t>シュウシ</t>
    </rPh>
    <rPh sb="4" eb="6">
      <t>ソウカツ</t>
    </rPh>
    <rPh sb="7" eb="8">
      <t>セン</t>
    </rPh>
    <rPh sb="8" eb="9">
      <t>エン</t>
    </rPh>
    <phoneticPr fontId="8"/>
  </si>
  <si>
    <t>千円</t>
    <rPh sb="0" eb="1">
      <t>セン</t>
    </rPh>
    <rPh sb="1" eb="2">
      <t>エン</t>
    </rPh>
    <phoneticPr fontId="11"/>
  </si>
  <si>
    <t>６　貸借対照表（千円）</t>
    <rPh sb="2" eb="4">
      <t>タイシャク</t>
    </rPh>
    <rPh sb="4" eb="7">
      <t>タイショウヒョウ</t>
    </rPh>
    <rPh sb="8" eb="9">
      <t>セン</t>
    </rPh>
    <rPh sb="9" eb="10">
      <t>エン</t>
    </rPh>
    <phoneticPr fontId="11"/>
  </si>
  <si>
    <t>９　投資と資金（千円）</t>
    <rPh sb="2" eb="4">
      <t>トウシ</t>
    </rPh>
    <rPh sb="5" eb="7">
      <t>シキン</t>
    </rPh>
    <rPh sb="8" eb="9">
      <t>セン</t>
    </rPh>
    <rPh sb="9" eb="10">
      <t>エン</t>
    </rPh>
    <phoneticPr fontId="11"/>
  </si>
  <si>
    <t>７　農業経営費（千円）</t>
    <rPh sb="2" eb="4">
      <t>ノウギョウ</t>
    </rPh>
    <rPh sb="4" eb="7">
      <t>ケイエイヒ</t>
    </rPh>
    <rPh sb="8" eb="9">
      <t>セン</t>
    </rPh>
    <rPh sb="9" eb="10">
      <t>エン</t>
    </rPh>
    <phoneticPr fontId="11"/>
  </si>
  <si>
    <t>10　農業生産関連事業（千円）</t>
    <rPh sb="3" eb="5">
      <t>ノウギョウ</t>
    </rPh>
    <rPh sb="5" eb="7">
      <t>セイサン</t>
    </rPh>
    <rPh sb="7" eb="9">
      <t>カンレン</t>
    </rPh>
    <rPh sb="9" eb="11">
      <t>ジギョウ</t>
    </rPh>
    <rPh sb="12" eb="13">
      <t>セン</t>
    </rPh>
    <rPh sb="13" eb="14">
      <t>エン</t>
    </rPh>
    <phoneticPr fontId="11"/>
  </si>
  <si>
    <t>販売金額（千円）</t>
    <rPh sb="0" eb="2">
      <t>ハンバイ</t>
    </rPh>
    <rPh sb="2" eb="3">
      <t>キン</t>
    </rPh>
    <rPh sb="3" eb="4">
      <t>ガク</t>
    </rPh>
    <rPh sb="5" eb="6">
      <t>セン</t>
    </rPh>
    <rPh sb="6" eb="7">
      <t>エン</t>
    </rPh>
    <phoneticPr fontId="11"/>
  </si>
  <si>
    <t>４　直接販売収入（千円）</t>
    <rPh sb="2" eb="4">
      <t>チョクセツ</t>
    </rPh>
    <rPh sb="4" eb="6">
      <t>ハンバイ</t>
    </rPh>
    <rPh sb="6" eb="8">
      <t>シュウニュウ</t>
    </rPh>
    <rPh sb="9" eb="10">
      <t>セン</t>
    </rPh>
    <rPh sb="10" eb="11">
      <t>エン</t>
    </rPh>
    <phoneticPr fontId="11"/>
  </si>
  <si>
    <t>３　制度受取金・積立金等（千円）</t>
    <rPh sb="2" eb="4">
      <t>セイド</t>
    </rPh>
    <rPh sb="4" eb="7">
      <t>ウケトリキン</t>
    </rPh>
    <rPh sb="8" eb="11">
      <t>ツミタテキン</t>
    </rPh>
    <rPh sb="11" eb="12">
      <t>トウ</t>
    </rPh>
    <rPh sb="13" eb="14">
      <t>セン</t>
    </rPh>
    <rPh sb="14" eb="15">
      <t>エン</t>
    </rPh>
    <phoneticPr fontId="11"/>
  </si>
  <si>
    <t>調査年</t>
    <rPh sb="0" eb="2">
      <t>チョウサ</t>
    </rPh>
    <rPh sb="2" eb="3">
      <t>ネン</t>
    </rPh>
    <phoneticPr fontId="11"/>
  </si>
  <si>
    <t>集計名称</t>
    <rPh sb="0" eb="2">
      <t>シュウケイ</t>
    </rPh>
    <rPh sb="2" eb="4">
      <t>メイショウ</t>
    </rPh>
    <phoneticPr fontId="5"/>
  </si>
  <si>
    <t>集計パターン</t>
    <rPh sb="0" eb="2">
      <t>シュウケイ</t>
    </rPh>
    <phoneticPr fontId="1"/>
  </si>
  <si>
    <t>集計パターン１</t>
    <rPh sb="0" eb="2">
      <t>シュウケイ</t>
    </rPh>
    <phoneticPr fontId="1"/>
  </si>
  <si>
    <t>集計パターン２</t>
    <rPh sb="0" eb="2">
      <t>シュウケイ</t>
    </rPh>
    <phoneticPr fontId="1"/>
  </si>
  <si>
    <t>集計パターン３</t>
    <rPh sb="0" eb="2">
      <t>シュウケイ</t>
    </rPh>
    <phoneticPr fontId="5"/>
  </si>
  <si>
    <t>集計パターン４</t>
    <rPh sb="0" eb="2">
      <t>シュウケイ</t>
    </rPh>
    <phoneticPr fontId="5"/>
  </si>
  <si>
    <t>地域</t>
    <rPh sb="0" eb="2">
      <t>チイキ</t>
    </rPh>
    <phoneticPr fontId="11"/>
  </si>
  <si>
    <t>規模区分</t>
    <rPh sb="0" eb="2">
      <t>キボ</t>
    </rPh>
    <rPh sb="2" eb="4">
      <t>クブン</t>
    </rPh>
    <phoneticPr fontId="11"/>
  </si>
  <si>
    <t>抽出条件</t>
    <rPh sb="0" eb="2">
      <t>チュウシュツ</t>
    </rPh>
    <rPh sb="2" eb="4">
      <t>ジョウケン</t>
    </rPh>
    <phoneticPr fontId="5"/>
  </si>
  <si>
    <t>円</t>
    <rPh sb="0" eb="1">
      <t>エン</t>
    </rPh>
    <phoneticPr fontId="11"/>
  </si>
  <si>
    <t>売上原価（千円）</t>
    <rPh sb="0" eb="2">
      <t>ウリアゲ</t>
    </rPh>
    <rPh sb="2" eb="4">
      <t>ゲンカ</t>
    </rPh>
    <rPh sb="5" eb="6">
      <t>セン</t>
    </rPh>
    <rPh sb="6" eb="7">
      <t>エン</t>
    </rPh>
    <phoneticPr fontId="5"/>
  </si>
  <si>
    <t>きゅう肥
(ふん尿)</t>
    <rPh sb="3" eb="4">
      <t>ヒ</t>
    </rPh>
    <rPh sb="8" eb="9">
      <t>ニョウ</t>
    </rPh>
    <phoneticPr fontId="11"/>
  </si>
  <si>
    <t>その他の工芸農作物</t>
    <rPh sb="2" eb="3">
      <t>タ</t>
    </rPh>
    <rPh sb="4" eb="6">
      <t>コウゲイ</t>
    </rPh>
    <rPh sb="6" eb="9">
      <t>ノウサクモツ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</si>
</sst>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000"/>
    <numFmt numFmtId="177" formatCode="000000"/>
    <numFmt numFmtId="178" formatCode="#0"/>
    <numFmt numFmtId="179" formatCode="#,##0_ "/>
  </numFmts>
  <fonts count="29" x14ac:knownFonts="1">
    <font>
      <sz val="10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5"/>
      <name val="ＭＳ 明朝"/>
      <family val="1"/>
      <charset val="128"/>
    </font>
    <font>
      <sz val="4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6"/>
      <color theme="0" tint="-0.49998474074526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3"/>
      <name val="ＭＳ 明朝"/>
      <family val="1"/>
      <charset val="128"/>
    </font>
    <font>
      <b/>
      <sz val="10"/>
      <name val="ＭＳ ゴシック"/>
      <family val="3"/>
      <charset val="128"/>
    </font>
    <font>
      <sz val="10"/>
      <name val="HGｺﾞｼｯｸE"/>
      <family val="3"/>
      <charset val="128"/>
    </font>
    <font>
      <b/>
      <sz val="6"/>
      <name val="ＭＳ 明朝"/>
      <family val="1"/>
      <charset val="128"/>
    </font>
    <font>
      <sz val="6"/>
      <name val="HGｺﾞｼｯｸE"/>
      <family val="3"/>
      <charset val="128"/>
    </font>
    <font>
      <b/>
      <sz val="6"/>
      <name val="ＭＳ ゴシック"/>
      <family val="3"/>
      <charset val="128"/>
    </font>
    <font>
      <sz val="8"/>
      <color theme="1"/>
      <name val="ＭＳ 明朝"/>
      <family val="1"/>
      <charset val="128"/>
    </font>
    <font>
      <b/>
      <sz val="6"/>
      <color theme="1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hair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/>
      <right style="thin">
        <color indexed="64"/>
      </right>
      <top style="hair">
        <color theme="1"/>
      </top>
      <bottom style="medium">
        <color indexed="64"/>
      </bottom>
      <diagonal/>
    </border>
    <border>
      <left style="hair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hair">
        <color theme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hair">
        <color theme="1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thin">
        <color auto="1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/>
      <top style="hair">
        <color theme="1"/>
      </top>
      <bottom style="thin">
        <color indexed="64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auto="1"/>
      </top>
      <bottom style="hair">
        <color theme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/>
      <right/>
      <top style="hair">
        <color indexed="64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/>
      <top style="hair">
        <color theme="1"/>
      </top>
      <bottom style="thin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1"/>
      </left>
      <right/>
      <top style="hair">
        <color theme="1"/>
      </top>
      <bottom style="medium">
        <color indexed="64"/>
      </bottom>
      <diagonal/>
    </border>
    <border>
      <left/>
      <right style="thin">
        <color theme="1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/>
      <top style="hair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auto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theme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auto="1"/>
      </diagonal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 diagonalDown="1">
      <left/>
      <right/>
      <top style="thin">
        <color indexed="64"/>
      </top>
      <bottom style="thin">
        <color indexed="64"/>
      </bottom>
      <diagonal style="hair">
        <color auto="1"/>
      </diagonal>
    </border>
    <border>
      <left style="thin">
        <color auto="1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/>
      <right/>
      <top/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 style="thin">
        <color indexed="64"/>
      </left>
      <right/>
      <top style="hair">
        <color theme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medium">
        <color theme="1"/>
      </bottom>
      <diagonal/>
    </border>
    <border>
      <left/>
      <right/>
      <top style="hair">
        <color indexed="64"/>
      </top>
      <bottom style="medium">
        <color theme="1"/>
      </bottom>
      <diagonal/>
    </border>
    <border>
      <left style="thin">
        <color indexed="64"/>
      </left>
      <right/>
      <top style="hair">
        <color indexed="64"/>
      </top>
      <bottom style="medium">
        <color theme="1"/>
      </bottom>
      <diagonal/>
    </border>
    <border>
      <left/>
      <right style="thin">
        <color indexed="64"/>
      </right>
      <top style="hair">
        <color indexed="64"/>
      </top>
      <bottom style="medium">
        <color theme="1"/>
      </bottom>
      <diagonal/>
    </border>
    <border>
      <left style="medium">
        <color theme="1"/>
      </left>
      <right/>
      <top style="hair">
        <color indexed="64"/>
      </top>
      <bottom style="medium">
        <color theme="1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theme="1"/>
      </right>
      <top style="thin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 style="hair">
        <color auto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medium">
        <color auto="1"/>
      </top>
      <bottom style="thin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 style="hair">
        <color auto="1"/>
      </right>
      <top/>
      <bottom style="medium">
        <color indexed="64"/>
      </bottom>
      <diagonal/>
    </border>
    <border>
      <left style="medium">
        <color theme="1"/>
      </left>
      <right style="hair">
        <color auto="1"/>
      </right>
      <top/>
      <bottom/>
      <diagonal/>
    </border>
    <border>
      <left style="medium">
        <color theme="1"/>
      </left>
      <right style="hair">
        <color auto="1"/>
      </right>
      <top style="thin">
        <color auto="1"/>
      </top>
      <bottom/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hair">
        <color theme="1"/>
      </right>
      <top/>
      <bottom/>
      <diagonal/>
    </border>
    <border>
      <left style="medium">
        <color theme="1"/>
      </left>
      <right style="hair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theme="1"/>
      </bottom>
      <diagonal/>
    </border>
    <border>
      <left style="thin">
        <color theme="1"/>
      </left>
      <right/>
      <top style="thin">
        <color auto="1"/>
      </top>
      <bottom style="hair">
        <color theme="1"/>
      </bottom>
      <diagonal/>
    </border>
    <border>
      <left/>
      <right style="thin">
        <color theme="1"/>
      </right>
      <top style="thin">
        <color auto="1"/>
      </top>
      <bottom style="hair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theme="1"/>
      </top>
      <bottom/>
      <diagonal/>
    </border>
    <border>
      <left style="medium">
        <color theme="1"/>
      </left>
      <right/>
      <top/>
      <bottom style="thin">
        <color auto="1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hair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theme="1"/>
      </bottom>
      <diagonal/>
    </border>
    <border>
      <left/>
      <right/>
      <top style="hair">
        <color auto="1"/>
      </top>
      <bottom style="hair">
        <color theme="1"/>
      </bottom>
      <diagonal/>
    </border>
    <border>
      <left style="thin">
        <color auto="1"/>
      </left>
      <right/>
      <top style="hair">
        <color auto="1"/>
      </top>
      <bottom style="hair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theme="1"/>
      </bottom>
      <diagonal/>
    </border>
    <border>
      <left/>
      <right style="hair">
        <color auto="1"/>
      </right>
      <top style="hair">
        <color auto="1"/>
      </top>
      <bottom style="medium">
        <color theme="1"/>
      </bottom>
      <diagonal/>
    </border>
    <border>
      <left style="hair">
        <color auto="1"/>
      </left>
      <right/>
      <top style="hair">
        <color auto="1"/>
      </top>
      <bottom style="medium">
        <color theme="1"/>
      </bottom>
      <diagonal/>
    </border>
    <border>
      <left/>
      <right style="hair">
        <color auto="1"/>
      </right>
      <top/>
      <bottom style="medium">
        <color theme="1"/>
      </bottom>
      <diagonal/>
    </border>
    <border>
      <left style="hair">
        <color auto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theme="1"/>
      </left>
      <right/>
      <top style="thin">
        <color auto="1"/>
      </top>
      <bottom style="medium">
        <color theme="1"/>
      </bottom>
      <diagonal/>
    </border>
    <border diagonalDown="1">
      <left/>
      <right style="thin">
        <color theme="1"/>
      </right>
      <top style="thin">
        <color auto="1"/>
      </top>
      <bottom style="medium">
        <color theme="1"/>
      </bottom>
      <diagonal style="hair">
        <color auto="1"/>
      </diagonal>
    </border>
    <border diagonalDown="1">
      <left/>
      <right/>
      <top style="thin">
        <color auto="1"/>
      </top>
      <bottom style="medium">
        <color theme="1"/>
      </bottom>
      <diagonal style="hair">
        <color auto="1"/>
      </diagonal>
    </border>
    <border diagonalDown="1">
      <left style="thin">
        <color theme="1"/>
      </left>
      <right/>
      <top style="thin">
        <color auto="1"/>
      </top>
      <bottom style="medium">
        <color theme="1"/>
      </bottom>
      <diagonal style="hair">
        <color auto="1"/>
      </diagonal>
    </border>
    <border>
      <left style="thin">
        <color theme="1"/>
      </left>
      <right/>
      <top style="hair">
        <color indexed="64"/>
      </top>
      <bottom style="thin">
        <color indexed="64"/>
      </bottom>
      <diagonal/>
    </border>
    <border diagonalDown="1">
      <left/>
      <right style="thin">
        <color theme="1"/>
      </right>
      <top style="hair">
        <color indexed="64"/>
      </top>
      <bottom style="thin">
        <color indexed="64"/>
      </bottom>
      <diagonal style="hair">
        <color auto="1"/>
      </diagonal>
    </border>
    <border diagonalDown="1">
      <left style="thin">
        <color theme="1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theme="1"/>
      </right>
      <top style="hair">
        <color indexed="64"/>
      </top>
      <bottom style="hair">
        <color auto="1"/>
      </bottom>
      <diagonal style="hair">
        <color auto="1"/>
      </diagonal>
    </border>
    <border diagonalDown="1">
      <left style="thin">
        <color theme="1"/>
      </left>
      <right/>
      <top style="hair">
        <color indexed="64"/>
      </top>
      <bottom style="hair">
        <color auto="1"/>
      </bottom>
      <diagonal style="hair">
        <color auto="1"/>
      </diagonal>
    </border>
    <border>
      <left style="thin">
        <color theme="1"/>
      </left>
      <right/>
      <top style="thin">
        <color auto="1"/>
      </top>
      <bottom style="hair">
        <color auto="1"/>
      </bottom>
      <diagonal/>
    </border>
    <border diagonalDown="1">
      <left/>
      <right style="thin">
        <color theme="1"/>
      </right>
      <top/>
      <bottom style="hair">
        <color auto="1"/>
      </bottom>
      <diagonal style="hair">
        <color auto="1"/>
      </diagonal>
    </border>
    <border diagonalDown="1">
      <left style="thin">
        <color theme="1"/>
      </left>
      <right/>
      <top/>
      <bottom style="hair">
        <color auto="1"/>
      </bottom>
      <diagonal style="hair">
        <color auto="1"/>
      </diagonal>
    </border>
    <border diagonalDown="1">
      <left/>
      <right style="thin">
        <color theme="1"/>
      </right>
      <top style="hair">
        <color indexed="64"/>
      </top>
      <bottom/>
      <diagonal style="hair">
        <color auto="1"/>
      </diagonal>
    </border>
    <border diagonalDown="1">
      <left/>
      <right/>
      <top style="hair">
        <color indexed="64"/>
      </top>
      <bottom/>
      <diagonal style="hair">
        <color auto="1"/>
      </diagonal>
    </border>
    <border diagonalDown="1">
      <left style="thin">
        <color theme="1"/>
      </left>
      <right/>
      <top style="hair">
        <color indexed="64"/>
      </top>
      <bottom/>
      <diagonal style="hair">
        <color auto="1"/>
      </diagonal>
    </border>
    <border diagonalDown="1">
      <left/>
      <right style="thin">
        <color theme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theme="1"/>
      </left>
      <right/>
      <top style="thin">
        <color auto="1"/>
      </top>
      <bottom style="hair">
        <color auto="1"/>
      </bottom>
      <diagonal style="hair">
        <color auto="1"/>
      </diagonal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theme="1"/>
      </bottom>
      <diagonal/>
    </border>
    <border>
      <left style="thin">
        <color theme="1"/>
      </left>
      <right/>
      <top style="hair">
        <color auto="1"/>
      </top>
      <bottom style="medium">
        <color theme="1"/>
      </bottom>
      <diagonal/>
    </border>
    <border diagonalDown="1">
      <left/>
      <right style="thin">
        <color theme="1"/>
      </right>
      <top style="hair">
        <color indexed="64"/>
      </top>
      <bottom style="medium">
        <color theme="1"/>
      </bottom>
      <diagonal style="hair">
        <color indexed="64"/>
      </diagonal>
    </border>
    <border diagonalDown="1">
      <left/>
      <right/>
      <top style="hair">
        <color auto="1"/>
      </top>
      <bottom style="medium">
        <color theme="1"/>
      </bottom>
      <diagonal style="hair">
        <color auto="1"/>
      </diagonal>
    </border>
    <border diagonalDown="1">
      <left style="thin">
        <color theme="1"/>
      </left>
      <right/>
      <top style="hair">
        <color auto="1"/>
      </top>
      <bottom style="medium">
        <color theme="1"/>
      </bottom>
      <diagonal style="hair">
        <color auto="1"/>
      </diagonal>
    </border>
    <border diagonalDown="1">
      <left/>
      <right style="thin">
        <color theme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thin">
        <color theme="1"/>
      </left>
      <right/>
      <top style="thin">
        <color indexed="64"/>
      </top>
      <bottom style="thin">
        <color indexed="64"/>
      </bottom>
      <diagonal style="hair">
        <color auto="1"/>
      </diagonal>
    </border>
    <border>
      <left style="thin">
        <color indexed="64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theme="1"/>
      </bottom>
      <diagonal/>
    </border>
    <border>
      <left/>
      <right style="thin">
        <color indexed="64"/>
      </right>
      <top style="thin">
        <color auto="1"/>
      </top>
      <bottom style="medium">
        <color theme="1"/>
      </bottom>
      <diagonal/>
    </border>
  </borders>
  <cellStyleXfs count="7">
    <xf numFmtId="0" fontId="0" fillId="0" borderId="0">
      <alignment vertical="center"/>
    </xf>
    <xf numFmtId="0" fontId="9" fillId="0" borderId="0"/>
    <xf numFmtId="0" fontId="4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38" fontId="9" fillId="0" borderId="0" applyFont="0" applyFill="0" applyBorder="0" applyAlignment="0" applyProtection="0">
      <alignment vertical="center"/>
    </xf>
  </cellStyleXfs>
  <cellXfs count="979">
    <xf numFmtId="0" fontId="0" fillId="0" borderId="0" xfId="0">
      <alignment vertical="center"/>
    </xf>
    <xf numFmtId="0" fontId="7" fillId="0" borderId="0" xfId="1" applyFont="1" applyFill="1" applyBorder="1" applyAlignment="1">
      <alignment vertical="center"/>
    </xf>
    <xf numFmtId="0" fontId="7" fillId="0" borderId="25" xfId="1" applyFont="1" applyFill="1" applyBorder="1" applyAlignment="1">
      <alignment horizontal="distributed" vertical="center"/>
    </xf>
    <xf numFmtId="0" fontId="7" fillId="0" borderId="61" xfId="1" applyFont="1" applyFill="1" applyBorder="1" applyAlignment="1">
      <alignment horizontal="distributed" vertical="center"/>
    </xf>
    <xf numFmtId="0" fontId="7" fillId="0" borderId="101" xfId="1" applyNumberFormat="1" applyFont="1" applyFill="1" applyBorder="1" applyAlignment="1">
      <alignment horizontal="center" vertical="center" shrinkToFit="1"/>
    </xf>
    <xf numFmtId="0" fontId="7" fillId="0" borderId="107" xfId="1" applyNumberFormat="1" applyFont="1" applyFill="1" applyBorder="1" applyAlignment="1">
      <alignment horizontal="center" vertical="center" shrinkToFit="1"/>
    </xf>
    <xf numFmtId="0" fontId="7" fillId="0" borderId="110" xfId="1" applyNumberFormat="1" applyFont="1" applyFill="1" applyBorder="1" applyAlignment="1">
      <alignment horizontal="center" vertical="center" shrinkToFit="1"/>
    </xf>
    <xf numFmtId="0" fontId="7" fillId="0" borderId="25" xfId="1" applyFont="1" applyFill="1" applyBorder="1" applyAlignment="1">
      <alignment vertical="center"/>
    </xf>
    <xf numFmtId="0" fontId="8" fillId="0" borderId="0" xfId="1" applyNumberFormat="1" applyFont="1" applyFill="1" applyBorder="1" applyAlignment="1">
      <alignment vertical="center"/>
    </xf>
    <xf numFmtId="0" fontId="7" fillId="0" borderId="0" xfId="1" applyFont="1" applyFill="1" applyBorder="1" applyAlignment="1">
      <alignment horizontal="distributed" vertical="center"/>
    </xf>
    <xf numFmtId="0" fontId="7" fillId="0" borderId="114" xfId="1" applyNumberFormat="1" applyFont="1" applyFill="1" applyBorder="1" applyAlignment="1">
      <alignment horizontal="left" vertical="center"/>
    </xf>
    <xf numFmtId="0" fontId="7" fillId="0" borderId="11" xfId="1" applyNumberFormat="1" applyFont="1" applyFill="1" applyBorder="1" applyAlignment="1">
      <alignment horizontal="center" vertical="center"/>
    </xf>
    <xf numFmtId="0" fontId="7" fillId="0" borderId="98" xfId="1" applyNumberFormat="1" applyFont="1" applyFill="1" applyBorder="1" applyAlignment="1">
      <alignment horizontal="left" vertical="center"/>
    </xf>
    <xf numFmtId="0" fontId="7" fillId="0" borderId="61" xfId="1" applyFont="1" applyFill="1" applyBorder="1" applyAlignment="1">
      <alignment vertical="center"/>
    </xf>
    <xf numFmtId="0" fontId="7" fillId="0" borderId="120" xfId="1" applyNumberFormat="1" applyFont="1" applyFill="1" applyBorder="1" applyAlignment="1">
      <alignment vertical="center" textRotation="255" shrinkToFit="1"/>
    </xf>
    <xf numFmtId="0" fontId="7" fillId="0" borderId="125" xfId="1" applyNumberFormat="1" applyFont="1" applyFill="1" applyBorder="1" applyAlignment="1">
      <alignment horizontal="left" vertical="center"/>
    </xf>
    <xf numFmtId="0" fontId="3" fillId="0" borderId="120" xfId="1" applyNumberFormat="1" applyFont="1" applyFill="1" applyBorder="1" applyAlignment="1">
      <alignment vertical="center" textRotation="255" shrinkToFit="1"/>
    </xf>
    <xf numFmtId="0" fontId="7" fillId="0" borderId="25" xfId="1" applyNumberFormat="1" applyFont="1" applyFill="1" applyBorder="1" applyAlignment="1">
      <alignment vertical="distributed"/>
    </xf>
    <xf numFmtId="0" fontId="7" fillId="0" borderId="98" xfId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vertical="center"/>
    </xf>
    <xf numFmtId="0" fontId="7" fillId="0" borderId="10" xfId="1" applyNumberFormat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0" fontId="14" fillId="0" borderId="0" xfId="1" applyFont="1" applyFill="1" applyAlignment="1">
      <alignment vertical="center"/>
    </xf>
    <xf numFmtId="0" fontId="15" fillId="0" borderId="0" xfId="1" applyFont="1" applyFill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6" fillId="0" borderId="10" xfId="1" applyFont="1" applyFill="1" applyBorder="1" applyAlignment="1">
      <alignment vertical="center"/>
    </xf>
    <xf numFmtId="0" fontId="14" fillId="0" borderId="0" xfId="1" applyFont="1" applyFill="1" applyBorder="1" applyAlignment="1">
      <alignment vertical="center"/>
    </xf>
    <xf numFmtId="0" fontId="14" fillId="0" borderId="115" xfId="1" applyFont="1" applyFill="1" applyBorder="1" applyAlignment="1">
      <alignment horizontal="distributed" vertical="center"/>
    </xf>
    <xf numFmtId="0" fontId="14" fillId="0" borderId="121" xfId="1" applyFont="1" applyFill="1" applyBorder="1" applyAlignment="1">
      <alignment vertical="center"/>
    </xf>
    <xf numFmtId="0" fontId="14" fillId="0" borderId="4" xfId="1" applyFont="1" applyFill="1" applyBorder="1" applyAlignment="1">
      <alignment vertical="center"/>
    </xf>
    <xf numFmtId="0" fontId="14" fillId="0" borderId="41" xfId="1" applyFont="1" applyFill="1" applyBorder="1" applyAlignment="1">
      <alignment vertical="center"/>
    </xf>
    <xf numFmtId="0" fontId="14" fillId="0" borderId="11" xfId="1" applyFont="1" applyFill="1" applyBorder="1" applyAlignment="1">
      <alignment vertical="center" textRotation="255"/>
    </xf>
    <xf numFmtId="0" fontId="14" fillId="0" borderId="9" xfId="1" applyFont="1" applyFill="1" applyBorder="1" applyAlignment="1">
      <alignment vertical="center"/>
    </xf>
    <xf numFmtId="0" fontId="7" fillId="0" borderId="22" xfId="1" applyNumberFormat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vertical="center"/>
    </xf>
    <xf numFmtId="0" fontId="14" fillId="0" borderId="25" xfId="1" applyFont="1" applyFill="1" applyBorder="1" applyAlignment="1">
      <alignment vertical="center" textRotation="255"/>
    </xf>
    <xf numFmtId="0" fontId="14" fillId="0" borderId="29" xfId="1" applyFont="1" applyFill="1" applyBorder="1" applyAlignment="1">
      <alignment vertical="center"/>
    </xf>
    <xf numFmtId="0" fontId="7" fillId="0" borderId="32" xfId="1" applyNumberFormat="1" applyFont="1" applyFill="1" applyBorder="1" applyAlignment="1">
      <alignment horizontal="center" vertical="center"/>
    </xf>
    <xf numFmtId="0" fontId="14" fillId="0" borderId="98" xfId="1" applyFont="1" applyFill="1" applyBorder="1" applyAlignment="1">
      <alignment vertical="center"/>
    </xf>
    <xf numFmtId="0" fontId="7" fillId="0" borderId="55" xfId="1" applyNumberFormat="1" applyFont="1" applyFill="1" applyBorder="1" applyAlignment="1">
      <alignment horizontal="center" vertical="center" shrinkToFit="1"/>
    </xf>
    <xf numFmtId="0" fontId="7" fillId="0" borderId="48" xfId="1" applyNumberFormat="1" applyFont="1" applyFill="1" applyBorder="1" applyAlignment="1">
      <alignment horizontal="center" vertical="center" shrinkToFit="1"/>
    </xf>
    <xf numFmtId="0" fontId="7" fillId="0" borderId="119" xfId="1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vertical="center" wrapText="1"/>
    </xf>
    <xf numFmtId="0" fontId="7" fillId="0" borderId="48" xfId="1" applyNumberFormat="1" applyFont="1" applyFill="1" applyBorder="1" applyAlignment="1">
      <alignment horizontal="center" vertical="center"/>
    </xf>
    <xf numFmtId="0" fontId="7" fillId="0" borderId="40" xfId="1" applyNumberFormat="1" applyFont="1" applyFill="1" applyBorder="1" applyAlignment="1">
      <alignment horizontal="center" vertical="center" shrinkToFit="1"/>
    </xf>
    <xf numFmtId="0" fontId="7" fillId="0" borderId="98" xfId="1" applyNumberFormat="1" applyFont="1" applyFill="1" applyBorder="1" applyAlignment="1">
      <alignment horizontal="center" vertical="center" shrinkToFit="1"/>
    </xf>
    <xf numFmtId="0" fontId="21" fillId="0" borderId="0" xfId="1" applyNumberFormat="1" applyFont="1" applyFill="1" applyBorder="1" applyAlignment="1">
      <alignment vertical="center"/>
    </xf>
    <xf numFmtId="0" fontId="7" fillId="0" borderId="4" xfId="1" applyNumberFormat="1" applyFont="1" applyFill="1" applyBorder="1" applyAlignment="1">
      <alignment vertical="center"/>
    </xf>
    <xf numFmtId="0" fontId="7" fillId="0" borderId="3" xfId="1" applyNumberFormat="1" applyFont="1" applyFill="1" applyBorder="1" applyAlignment="1">
      <alignment vertical="center"/>
    </xf>
    <xf numFmtId="0" fontId="7" fillId="0" borderId="74" xfId="1" applyNumberFormat="1" applyFont="1" applyFill="1" applyBorder="1" applyAlignment="1">
      <alignment vertical="center"/>
    </xf>
    <xf numFmtId="0" fontId="7" fillId="0" borderId="54" xfId="1" applyNumberFormat="1" applyFont="1" applyFill="1" applyBorder="1" applyAlignment="1">
      <alignment vertical="center"/>
    </xf>
    <xf numFmtId="0" fontId="7" fillId="0" borderId="11" xfId="1" applyNumberFormat="1" applyFont="1" applyFill="1" applyBorder="1" applyAlignment="1">
      <alignment horizontal="left" vertical="center"/>
    </xf>
    <xf numFmtId="0" fontId="7" fillId="0" borderId="60" xfId="1" applyNumberFormat="1" applyFont="1" applyFill="1" applyBorder="1" applyAlignment="1">
      <alignment vertical="center"/>
    </xf>
    <xf numFmtId="0" fontId="7" fillId="0" borderId="25" xfId="1" applyNumberFormat="1" applyFont="1" applyFill="1" applyBorder="1" applyAlignment="1">
      <alignment horizontal="left" vertical="center"/>
    </xf>
    <xf numFmtId="0" fontId="7" fillId="0" borderId="42" xfId="1" applyNumberFormat="1" applyFont="1" applyFill="1" applyBorder="1" applyAlignment="1">
      <alignment vertical="center"/>
    </xf>
    <xf numFmtId="0" fontId="7" fillId="0" borderId="43" xfId="1" applyNumberFormat="1" applyFont="1" applyFill="1" applyBorder="1" applyAlignment="1">
      <alignment vertical="center"/>
    </xf>
    <xf numFmtId="0" fontId="10" fillId="0" borderId="0" xfId="1" applyFont="1" applyFill="1" applyBorder="1" applyAlignment="1">
      <alignment vertical="center" shrinkToFit="1"/>
    </xf>
    <xf numFmtId="176" fontId="22" fillId="0" borderId="0" xfId="1" applyNumberFormat="1" applyFont="1" applyFill="1" applyBorder="1" applyAlignment="1">
      <alignment horizontal="center" vertical="center"/>
    </xf>
    <xf numFmtId="0" fontId="7" fillId="0" borderId="54" xfId="1" applyNumberFormat="1" applyFont="1" applyFill="1" applyBorder="1" applyAlignment="1">
      <alignment horizontal="center" vertical="center"/>
    </xf>
    <xf numFmtId="0" fontId="7" fillId="0" borderId="115" xfId="1" applyNumberFormat="1" applyFont="1" applyFill="1" applyBorder="1" applyAlignment="1">
      <alignment horizontal="left" vertical="center"/>
    </xf>
    <xf numFmtId="176" fontId="24" fillId="0" borderId="34" xfId="1" applyNumberFormat="1" applyFont="1" applyFill="1" applyBorder="1" applyAlignment="1">
      <alignment horizontal="center" vertical="center"/>
    </xf>
    <xf numFmtId="0" fontId="7" fillId="0" borderId="34" xfId="1" applyNumberFormat="1" applyFont="1" applyFill="1" applyBorder="1" applyAlignment="1">
      <alignment vertical="center"/>
    </xf>
    <xf numFmtId="0" fontId="7" fillId="0" borderId="34" xfId="1" applyNumberFormat="1" applyFont="1" applyFill="1" applyBorder="1" applyAlignment="1">
      <alignment horizontal="center" vertical="center"/>
    </xf>
    <xf numFmtId="0" fontId="7" fillId="0" borderId="34" xfId="1" applyNumberFormat="1" applyFont="1" applyFill="1" applyBorder="1" applyAlignment="1">
      <alignment horizontal="distributed" vertical="center"/>
    </xf>
    <xf numFmtId="0" fontId="7" fillId="0" borderId="34" xfId="1" applyNumberFormat="1" applyFont="1" applyFill="1" applyBorder="1" applyAlignment="1">
      <alignment horizontal="left" vertical="center"/>
    </xf>
    <xf numFmtId="0" fontId="8" fillId="0" borderId="35" xfId="1" applyNumberFormat="1" applyFont="1" applyFill="1" applyBorder="1" applyAlignment="1">
      <alignment vertical="center"/>
    </xf>
    <xf numFmtId="0" fontId="7" fillId="0" borderId="33" xfId="1" applyNumberFormat="1" applyFont="1" applyFill="1" applyBorder="1" applyAlignment="1">
      <alignment horizontal="center" vertical="center"/>
    </xf>
    <xf numFmtId="0" fontId="8" fillId="0" borderId="10" xfId="1" applyNumberFormat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vertical="center" shrinkToFit="1"/>
    </xf>
    <xf numFmtId="0" fontId="6" fillId="0" borderId="0" xfId="1" applyNumberFormat="1" applyFont="1" applyFill="1" applyBorder="1" applyAlignment="1">
      <alignment horizontal="left" vertical="center"/>
    </xf>
    <xf numFmtId="0" fontId="16" fillId="0" borderId="0" xfId="1" applyFont="1" applyFill="1" applyAlignment="1">
      <alignment vertical="center"/>
    </xf>
    <xf numFmtId="0" fontId="16" fillId="0" borderId="0" xfId="1" applyFont="1" applyFill="1" applyAlignment="1">
      <alignment horizontal="left" vertical="center"/>
    </xf>
    <xf numFmtId="0" fontId="16" fillId="0" borderId="0" xfId="1" applyFont="1" applyFill="1" applyBorder="1" applyAlignment="1">
      <alignment vertical="center"/>
    </xf>
    <xf numFmtId="0" fontId="16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vertical="center"/>
    </xf>
    <xf numFmtId="0" fontId="15" fillId="0" borderId="9" xfId="1" applyFont="1" applyFill="1" applyBorder="1" applyAlignment="1">
      <alignment horizontal="center" vertical="center"/>
    </xf>
    <xf numFmtId="0" fontId="15" fillId="0" borderId="10" xfId="1" applyFont="1" applyFill="1" applyBorder="1" applyAlignment="1">
      <alignment horizontal="center" vertical="center"/>
    </xf>
    <xf numFmtId="0" fontId="14" fillId="0" borderId="10" xfId="1" applyFont="1" applyFill="1" applyBorder="1" applyAlignment="1">
      <alignment horizontal="center" vertical="center" shrinkToFit="1"/>
    </xf>
    <xf numFmtId="0" fontId="16" fillId="0" borderId="10" xfId="1" applyFont="1" applyFill="1" applyBorder="1" applyAlignment="1">
      <alignment horizontal="left" vertical="center"/>
    </xf>
    <xf numFmtId="0" fontId="16" fillId="0" borderId="11" xfId="1" applyFont="1" applyFill="1" applyBorder="1" applyAlignment="1">
      <alignment vertical="center"/>
    </xf>
    <xf numFmtId="0" fontId="15" fillId="0" borderId="29" xfId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 shrinkToFit="1"/>
    </xf>
    <xf numFmtId="0" fontId="16" fillId="0" borderId="25" xfId="1" applyFont="1" applyFill="1" applyBorder="1" applyAlignment="1">
      <alignment vertical="center"/>
    </xf>
    <xf numFmtId="0" fontId="7" fillId="0" borderId="36" xfId="1" applyNumberFormat="1" applyFont="1" applyFill="1" applyBorder="1" applyAlignment="1">
      <alignment horizontal="center" vertical="center"/>
    </xf>
    <xf numFmtId="0" fontId="7" fillId="0" borderId="44" xfId="1" applyNumberFormat="1" applyFont="1" applyFill="1" applyBorder="1" applyAlignment="1">
      <alignment horizontal="center" vertical="center"/>
    </xf>
    <xf numFmtId="0" fontId="14" fillId="0" borderId="150" xfId="1" applyFont="1" applyFill="1" applyBorder="1" applyAlignment="1">
      <alignment horizontal="center" vertical="center" shrinkToFit="1"/>
    </xf>
    <xf numFmtId="0" fontId="16" fillId="0" borderId="29" xfId="1" applyFont="1" applyFill="1" applyBorder="1" applyAlignment="1">
      <alignment vertical="center"/>
    </xf>
    <xf numFmtId="0" fontId="14" fillId="0" borderId="30" xfId="1" applyFont="1" applyFill="1" applyBorder="1" applyAlignment="1">
      <alignment horizontal="center" vertical="center" shrinkToFit="1"/>
    </xf>
    <xf numFmtId="0" fontId="14" fillId="0" borderId="2" xfId="1" applyFont="1" applyFill="1" applyBorder="1" applyAlignment="1">
      <alignment horizontal="center" vertical="center" shrinkToFit="1"/>
    </xf>
    <xf numFmtId="0" fontId="14" fillId="0" borderId="51" xfId="1" applyFont="1" applyFill="1" applyBorder="1" applyAlignment="1">
      <alignment horizontal="center" vertical="center" shrinkToFit="1"/>
    </xf>
    <xf numFmtId="0" fontId="14" fillId="0" borderId="57" xfId="1" applyFont="1" applyFill="1" applyBorder="1" applyAlignment="1">
      <alignment horizontal="center" vertical="center" shrinkToFit="1"/>
    </xf>
    <xf numFmtId="0" fontId="16" fillId="0" borderId="10" xfId="1" applyFont="1" applyFill="1" applyBorder="1" applyAlignment="1">
      <alignment horizontal="distributed" vertical="center"/>
    </xf>
    <xf numFmtId="0" fontId="16" fillId="0" borderId="60" xfId="1" applyFont="1" applyFill="1" applyBorder="1" applyAlignment="1">
      <alignment horizontal="distributed" vertical="center"/>
    </xf>
    <xf numFmtId="0" fontId="14" fillId="0" borderId="70" xfId="1" applyFont="1" applyFill="1" applyBorder="1" applyAlignment="1">
      <alignment horizontal="center" vertical="center" shrinkToFit="1"/>
    </xf>
    <xf numFmtId="0" fontId="14" fillId="0" borderId="79" xfId="1" applyFont="1" applyFill="1" applyBorder="1" applyAlignment="1">
      <alignment horizontal="center" vertical="center" shrinkToFit="1"/>
    </xf>
    <xf numFmtId="0" fontId="7" fillId="0" borderId="62" xfId="1" applyNumberFormat="1" applyFont="1" applyFill="1" applyBorder="1" applyAlignment="1">
      <alignment horizontal="distributed" vertical="center" shrinkToFit="1"/>
    </xf>
    <xf numFmtId="0" fontId="16" fillId="0" borderId="3" xfId="1" applyFont="1" applyFill="1" applyBorder="1" applyAlignment="1">
      <alignment horizontal="distributed" vertical="center"/>
    </xf>
    <xf numFmtId="0" fontId="16" fillId="0" borderId="0" xfId="1" applyFont="1" applyFill="1" applyBorder="1" applyAlignment="1">
      <alignment horizontal="distributed" vertical="center"/>
    </xf>
    <xf numFmtId="0" fontId="7" fillId="0" borderId="92" xfId="1" applyNumberFormat="1" applyFont="1" applyFill="1" applyBorder="1" applyAlignment="1">
      <alignment horizontal="distributed" vertical="center"/>
    </xf>
    <xf numFmtId="0" fontId="7" fillId="0" borderId="95" xfId="1" applyNumberFormat="1" applyFont="1" applyFill="1" applyBorder="1" applyAlignment="1">
      <alignment horizontal="center" vertical="center"/>
    </xf>
    <xf numFmtId="0" fontId="14" fillId="0" borderId="15" xfId="1" applyFont="1" applyFill="1" applyBorder="1" applyAlignment="1">
      <alignment horizontal="center" vertical="center" shrinkToFit="1"/>
    </xf>
    <xf numFmtId="0" fontId="7" fillId="0" borderId="99" xfId="1" applyNumberFormat="1" applyFont="1" applyFill="1" applyBorder="1" applyAlignment="1">
      <alignment horizontal="distributed" vertical="center"/>
    </xf>
    <xf numFmtId="0" fontId="19" fillId="0" borderId="33" xfId="1" applyFont="1" applyFill="1" applyBorder="1" applyAlignment="1">
      <alignment horizontal="left" vertical="center"/>
    </xf>
    <xf numFmtId="0" fontId="19" fillId="0" borderId="34" xfId="1" applyFont="1" applyFill="1" applyBorder="1" applyAlignment="1">
      <alignment horizontal="left" vertical="center"/>
    </xf>
    <xf numFmtId="0" fontId="16" fillId="0" borderId="8" xfId="1" applyFont="1" applyFill="1" applyBorder="1" applyAlignment="1">
      <alignment vertical="center"/>
    </xf>
    <xf numFmtId="0" fontId="14" fillId="0" borderId="11" xfId="1" applyFont="1" applyFill="1" applyBorder="1" applyAlignment="1">
      <alignment horizontal="distributed" vertical="center"/>
    </xf>
    <xf numFmtId="0" fontId="14" fillId="0" borderId="0" xfId="2" applyFont="1" applyFill="1" applyBorder="1" applyAlignment="1">
      <alignment vertical="center" textRotation="255"/>
    </xf>
    <xf numFmtId="0" fontId="14" fillId="0" borderId="67" xfId="1" applyFont="1" applyFill="1" applyBorder="1" applyAlignment="1">
      <alignment horizontal="distributed" vertical="center"/>
    </xf>
    <xf numFmtId="0" fontId="16" fillId="0" borderId="118" xfId="1" applyFont="1" applyFill="1" applyBorder="1" applyAlignment="1">
      <alignment vertical="center"/>
    </xf>
    <xf numFmtId="0" fontId="7" fillId="0" borderId="172" xfId="1" applyNumberFormat="1" applyFont="1" applyFill="1" applyBorder="1" applyAlignment="1">
      <alignment horizontal="center" vertical="center" shrinkToFit="1"/>
    </xf>
    <xf numFmtId="0" fontId="16" fillId="0" borderId="33" xfId="1" applyFont="1" applyFill="1" applyBorder="1" applyAlignment="1">
      <alignment vertical="center"/>
    </xf>
    <xf numFmtId="0" fontId="16" fillId="0" borderId="34" xfId="1" applyFont="1" applyFill="1" applyBorder="1" applyAlignment="1">
      <alignment vertical="center"/>
    </xf>
    <xf numFmtId="0" fontId="19" fillId="0" borderId="34" xfId="1" applyFont="1" applyFill="1" applyBorder="1" applyAlignment="1">
      <alignment vertical="center"/>
    </xf>
    <xf numFmtId="0" fontId="14" fillId="0" borderId="24" xfId="1" applyFont="1" applyFill="1" applyBorder="1" applyAlignment="1">
      <alignment horizontal="center" vertical="center" shrinkToFit="1"/>
    </xf>
    <xf numFmtId="0" fontId="19" fillId="0" borderId="0" xfId="1" applyFont="1" applyFill="1" applyBorder="1" applyAlignment="1">
      <alignment vertical="center"/>
    </xf>
    <xf numFmtId="0" fontId="14" fillId="0" borderId="47" xfId="1" applyFont="1" applyFill="1" applyBorder="1" applyAlignment="1">
      <alignment horizontal="center" vertical="center" shrinkToFit="1"/>
    </xf>
    <xf numFmtId="0" fontId="14" fillId="0" borderId="114" xfId="1" applyFont="1" applyFill="1" applyBorder="1" applyAlignment="1">
      <alignment horizontal="distributed" vertical="center"/>
    </xf>
    <xf numFmtId="0" fontId="14" fillId="0" borderId="20" xfId="1" applyFont="1" applyFill="1" applyBorder="1" applyAlignment="1">
      <alignment horizontal="center" vertical="center" shrinkToFit="1"/>
    </xf>
    <xf numFmtId="0" fontId="26" fillId="0" borderId="126" xfId="1" applyFont="1" applyFill="1" applyBorder="1" applyAlignment="1">
      <alignment vertical="center"/>
    </xf>
    <xf numFmtId="0" fontId="16" fillId="0" borderId="98" xfId="1" applyFont="1" applyFill="1" applyBorder="1" applyAlignment="1">
      <alignment horizontal="distributed" vertical="center"/>
    </xf>
    <xf numFmtId="0" fontId="14" fillId="0" borderId="7" xfId="1" applyFont="1" applyFill="1" applyBorder="1" applyAlignment="1">
      <alignment horizontal="center" vertical="center" shrinkToFit="1"/>
    </xf>
    <xf numFmtId="0" fontId="14" fillId="0" borderId="61" xfId="1" applyFont="1" applyFill="1" applyBorder="1" applyAlignment="1">
      <alignment vertical="center"/>
    </xf>
    <xf numFmtId="0" fontId="7" fillId="0" borderId="67" xfId="1" applyFont="1" applyFill="1" applyBorder="1" applyAlignment="1">
      <alignment vertical="center"/>
    </xf>
    <xf numFmtId="0" fontId="14" fillId="0" borderId="86" xfId="1" applyFont="1" applyFill="1" applyBorder="1" applyAlignment="1">
      <alignment horizontal="center" vertical="center" shrinkToFit="1"/>
    </xf>
    <xf numFmtId="0" fontId="19" fillId="0" borderId="100" xfId="1" applyFont="1" applyFill="1" applyBorder="1" applyAlignment="1">
      <alignment horizontal="left" vertical="center"/>
    </xf>
    <xf numFmtId="0" fontId="19" fillId="0" borderId="3" xfId="1" applyFont="1" applyFill="1" applyBorder="1" applyAlignment="1">
      <alignment horizontal="left" vertical="center"/>
    </xf>
    <xf numFmtId="0" fontId="19" fillId="0" borderId="49" xfId="1" applyFont="1" applyFill="1" applyBorder="1" applyAlignment="1">
      <alignment horizontal="left" vertical="center"/>
    </xf>
    <xf numFmtId="0" fontId="4" fillId="0" borderId="0" xfId="1" applyNumberFormat="1" applyFont="1" applyFill="1" applyBorder="1" applyAlignment="1">
      <alignment horizontal="left" vertical="center"/>
    </xf>
    <xf numFmtId="0" fontId="6" fillId="0" borderId="0" xfId="1" applyNumberFormat="1" applyFont="1" applyFill="1" applyBorder="1" applyAlignment="1">
      <alignment vertical="center"/>
    </xf>
    <xf numFmtId="0" fontId="14" fillId="0" borderId="168" xfId="1" applyFont="1" applyFill="1" applyBorder="1" applyAlignment="1">
      <alignment vertical="center"/>
    </xf>
    <xf numFmtId="0" fontId="7" fillId="0" borderId="191" xfId="2" applyNumberFormat="1" applyFont="1" applyFill="1" applyBorder="1" applyAlignment="1">
      <alignment horizontal="center" vertical="center"/>
    </xf>
    <xf numFmtId="0" fontId="14" fillId="0" borderId="169" xfId="1" applyFont="1" applyFill="1" applyBorder="1" applyAlignment="1">
      <alignment vertical="center"/>
    </xf>
    <xf numFmtId="0" fontId="7" fillId="0" borderId="32" xfId="2" applyNumberFormat="1" applyFont="1" applyFill="1" applyBorder="1" applyAlignment="1">
      <alignment horizontal="center" vertical="center"/>
    </xf>
    <xf numFmtId="0" fontId="14" fillId="0" borderId="198" xfId="1" applyFont="1" applyFill="1" applyBorder="1" applyAlignment="1">
      <alignment vertical="center"/>
    </xf>
    <xf numFmtId="0" fontId="14" fillId="0" borderId="26" xfId="1" applyFont="1" applyFill="1" applyBorder="1" applyAlignment="1">
      <alignment vertical="center"/>
    </xf>
    <xf numFmtId="0" fontId="7" fillId="0" borderId="119" xfId="2" applyNumberFormat="1" applyFont="1" applyFill="1" applyBorder="1" applyAlignment="1">
      <alignment horizontal="center" vertical="center"/>
    </xf>
    <xf numFmtId="0" fontId="7" fillId="0" borderId="95" xfId="2" applyNumberFormat="1" applyFont="1" applyFill="1" applyBorder="1" applyAlignment="1">
      <alignment horizontal="center" vertical="center"/>
    </xf>
    <xf numFmtId="0" fontId="7" fillId="0" borderId="115" xfId="1" applyNumberFormat="1" applyFont="1" applyFill="1" applyBorder="1" applyAlignment="1">
      <alignment vertical="center" shrinkToFit="1"/>
    </xf>
    <xf numFmtId="0" fontId="7" fillId="0" borderId="61" xfId="1" applyNumberFormat="1" applyFont="1" applyFill="1" applyBorder="1" applyAlignment="1">
      <alignment vertical="center" shrinkToFit="1"/>
    </xf>
    <xf numFmtId="0" fontId="14" fillId="0" borderId="139" xfId="2" applyFont="1" applyFill="1" applyBorder="1" applyAlignment="1">
      <alignment vertical="center" shrinkToFit="1"/>
    </xf>
    <xf numFmtId="0" fontId="14" fillId="0" borderId="226" xfId="2" applyFont="1" applyFill="1" applyBorder="1" applyAlignment="1">
      <alignment horizontal="distributed" vertical="center"/>
    </xf>
    <xf numFmtId="0" fontId="7" fillId="0" borderId="55" xfId="1" applyNumberFormat="1" applyFont="1" applyFill="1" applyBorder="1" applyAlignment="1">
      <alignment vertical="center"/>
    </xf>
    <xf numFmtId="0" fontId="7" fillId="0" borderId="61" xfId="1" applyNumberFormat="1" applyFont="1" applyFill="1" applyBorder="1" applyAlignment="1">
      <alignment vertical="center" wrapText="1"/>
    </xf>
    <xf numFmtId="0" fontId="7" fillId="0" borderId="136" xfId="1" applyNumberFormat="1" applyFont="1" applyFill="1" applyBorder="1" applyAlignment="1">
      <alignment horizontal="center" vertical="center"/>
    </xf>
    <xf numFmtId="0" fontId="16" fillId="0" borderId="9" xfId="1" applyFont="1" applyFill="1" applyBorder="1" applyAlignment="1">
      <alignment vertical="center"/>
    </xf>
    <xf numFmtId="177" fontId="14" fillId="0" borderId="10" xfId="2" applyNumberFormat="1" applyFont="1" applyFill="1" applyBorder="1" applyAlignment="1">
      <alignment vertical="center"/>
    </xf>
    <xf numFmtId="0" fontId="14" fillId="0" borderId="10" xfId="2" applyFont="1" applyFill="1" applyBorder="1" applyAlignment="1">
      <alignment vertical="center"/>
    </xf>
    <xf numFmtId="177" fontId="14" fillId="0" borderId="0" xfId="2" applyNumberFormat="1" applyFont="1" applyFill="1" applyBorder="1" applyAlignment="1">
      <alignment vertical="center"/>
    </xf>
    <xf numFmtId="0" fontId="14" fillId="0" borderId="0" xfId="2" applyFont="1" applyFill="1" applyBorder="1" applyAlignment="1">
      <alignment vertical="center" shrinkToFit="1"/>
    </xf>
    <xf numFmtId="0" fontId="14" fillId="0" borderId="0" xfId="2" applyFont="1" applyFill="1" applyBorder="1" applyAlignment="1">
      <alignment horizontal="distributed" vertical="center" shrinkToFit="1"/>
    </xf>
    <xf numFmtId="0" fontId="14" fillId="0" borderId="0" xfId="2" applyFont="1" applyFill="1" applyBorder="1" applyAlignment="1">
      <alignment horizontal="distributed" vertical="center"/>
    </xf>
    <xf numFmtId="0" fontId="14" fillId="0" borderId="0" xfId="1" applyFont="1" applyFill="1" applyBorder="1" applyAlignment="1">
      <alignment vertical="center" shrinkToFit="1"/>
    </xf>
    <xf numFmtId="0" fontId="14" fillId="0" borderId="0" xfId="1" applyFont="1" applyFill="1" applyBorder="1" applyAlignment="1">
      <alignment vertical="distributed" textRotation="255" justifyLastLine="1"/>
    </xf>
    <xf numFmtId="0" fontId="7" fillId="0" borderId="25" xfId="1" applyNumberFormat="1" applyFont="1" applyFill="1" applyBorder="1" applyAlignment="1">
      <alignment vertical="center"/>
    </xf>
    <xf numFmtId="178" fontId="12" fillId="0" borderId="0" xfId="1" applyNumberFormat="1" applyFont="1" applyFill="1" applyBorder="1" applyAlignment="1">
      <alignment horizontal="distributed" vertical="center"/>
    </xf>
    <xf numFmtId="0" fontId="14" fillId="0" borderId="0" xfId="1" applyFont="1" applyFill="1" applyBorder="1" applyAlignment="1">
      <alignment vertical="center" wrapText="1" shrinkToFit="1"/>
    </xf>
    <xf numFmtId="178" fontId="13" fillId="0" borderId="0" xfId="1" applyNumberFormat="1" applyFont="1" applyFill="1" applyBorder="1" applyAlignment="1">
      <alignment vertical="center"/>
    </xf>
    <xf numFmtId="178" fontId="7" fillId="0" borderId="0" xfId="1" applyNumberFormat="1" applyFont="1" applyFill="1" applyBorder="1" applyAlignment="1">
      <alignment vertical="center"/>
    </xf>
    <xf numFmtId="0" fontId="14" fillId="0" borderId="0" xfId="2" applyFont="1" applyFill="1" applyBorder="1" applyAlignment="1">
      <alignment vertical="center"/>
    </xf>
    <xf numFmtId="0" fontId="14" fillId="0" borderId="0" xfId="1" applyFont="1" applyFill="1" applyBorder="1" applyAlignment="1">
      <alignment vertical="center" textRotation="255" shrinkToFit="1"/>
    </xf>
    <xf numFmtId="178" fontId="20" fillId="0" borderId="0" xfId="1" applyNumberFormat="1" applyFont="1" applyFill="1" applyBorder="1" applyAlignment="1">
      <alignment vertical="center"/>
    </xf>
    <xf numFmtId="178" fontId="7" fillId="0" borderId="0" xfId="1" applyNumberFormat="1" applyFont="1" applyFill="1" applyBorder="1" applyAlignment="1">
      <alignment vertical="center" shrinkToFit="1"/>
    </xf>
    <xf numFmtId="0" fontId="14" fillId="0" borderId="0" xfId="1" applyFont="1" applyFill="1" applyBorder="1" applyAlignment="1">
      <alignment vertical="center" justifyLastLine="1"/>
    </xf>
    <xf numFmtId="0" fontId="14" fillId="0" borderId="29" xfId="1" applyFont="1" applyFill="1" applyBorder="1" applyAlignment="1">
      <alignment vertical="center" shrinkToFit="1"/>
    </xf>
    <xf numFmtId="49" fontId="7" fillId="0" borderId="0" xfId="2" applyNumberFormat="1" applyFont="1" applyFill="1" applyBorder="1" applyAlignment="1">
      <alignment vertical="center"/>
    </xf>
    <xf numFmtId="0" fontId="12" fillId="0" borderId="0" xfId="2" applyNumberFormat="1" applyFont="1" applyFill="1" applyBorder="1" applyAlignment="1">
      <alignment vertical="center" wrapText="1"/>
    </xf>
    <xf numFmtId="0" fontId="7" fillId="0" borderId="0" xfId="2" applyFont="1" applyFill="1" applyBorder="1" applyAlignment="1">
      <alignment vertical="center"/>
    </xf>
    <xf numFmtId="0" fontId="7" fillId="0" borderId="0" xfId="2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left" vertical="center"/>
    </xf>
    <xf numFmtId="0" fontId="7" fillId="0" borderId="0" xfId="2" applyNumberFormat="1" applyFont="1" applyFill="1" applyBorder="1" applyAlignment="1">
      <alignment vertical="center"/>
    </xf>
    <xf numFmtId="0" fontId="27" fillId="0" borderId="0" xfId="1" applyFont="1" applyFill="1" applyBorder="1" applyAlignment="1">
      <alignment vertical="center"/>
    </xf>
    <xf numFmtId="0" fontId="17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vertical="center" wrapText="1"/>
    </xf>
    <xf numFmtId="0" fontId="7" fillId="0" borderId="0" xfId="2" applyFont="1" applyFill="1" applyBorder="1" applyAlignment="1">
      <alignment vertical="center" justifyLastLine="1"/>
    </xf>
    <xf numFmtId="0" fontId="25" fillId="0" borderId="0" xfId="2" applyNumberFormat="1" applyFont="1" applyFill="1" applyBorder="1" applyAlignment="1">
      <alignment vertical="center"/>
    </xf>
    <xf numFmtId="0" fontId="8" fillId="0" borderId="0" xfId="2" applyNumberFormat="1" applyFont="1" applyFill="1" applyBorder="1" applyAlignment="1">
      <alignment vertical="center"/>
    </xf>
    <xf numFmtId="0" fontId="15" fillId="0" borderId="29" xfId="1" applyFont="1" applyFill="1" applyBorder="1" applyAlignment="1">
      <alignment vertical="center"/>
    </xf>
    <xf numFmtId="0" fontId="15" fillId="0" borderId="25" xfId="1" applyFont="1" applyFill="1" applyBorder="1" applyAlignment="1">
      <alignment vertical="center"/>
    </xf>
    <xf numFmtId="0" fontId="14" fillId="0" borderId="0" xfId="2" applyFont="1" applyFill="1" applyBorder="1" applyAlignment="1">
      <alignment vertical="center" wrapText="1" shrinkToFit="1"/>
    </xf>
    <xf numFmtId="0" fontId="7" fillId="0" borderId="11" xfId="1" applyNumberFormat="1" applyFont="1" applyFill="1" applyBorder="1" applyAlignment="1">
      <alignment vertical="center"/>
    </xf>
    <xf numFmtId="0" fontId="7" fillId="0" borderId="20" xfId="1" applyNumberFormat="1" applyFont="1" applyFill="1" applyBorder="1" applyAlignment="1">
      <alignment horizontal="left" vertical="center"/>
    </xf>
    <xf numFmtId="0" fontId="7" fillId="0" borderId="88" xfId="1" applyNumberFormat="1" applyFont="1" applyFill="1" applyBorder="1" applyAlignment="1">
      <alignment horizontal="left" vertical="center"/>
    </xf>
    <xf numFmtId="0" fontId="14" fillId="0" borderId="29" xfId="1" applyFont="1" applyFill="1" applyBorder="1" applyAlignment="1">
      <alignment vertical="center" justifyLastLine="1"/>
    </xf>
    <xf numFmtId="0" fontId="14" fillId="0" borderId="0" xfId="2" applyFont="1" applyFill="1" applyBorder="1" applyAlignment="1">
      <alignment vertical="center" justifyLastLine="1"/>
    </xf>
    <xf numFmtId="0" fontId="7" fillId="0" borderId="100" xfId="2" applyFont="1" applyFill="1" applyBorder="1" applyAlignment="1">
      <alignment vertical="center"/>
    </xf>
    <xf numFmtId="0" fontId="7" fillId="0" borderId="3" xfId="2" applyFont="1" applyFill="1" applyBorder="1" applyAlignment="1">
      <alignment vertical="center"/>
    </xf>
    <xf numFmtId="0" fontId="7" fillId="0" borderId="3" xfId="2" applyFont="1" applyFill="1" applyBorder="1" applyAlignment="1">
      <alignment vertical="center" justifyLastLine="1"/>
    </xf>
    <xf numFmtId="0" fontId="25" fillId="0" borderId="3" xfId="2" applyNumberFormat="1" applyFont="1" applyFill="1" applyBorder="1" applyAlignment="1">
      <alignment vertical="center"/>
    </xf>
    <xf numFmtId="0" fontId="25" fillId="0" borderId="34" xfId="2" applyNumberFormat="1" applyFont="1" applyFill="1" applyBorder="1" applyAlignment="1">
      <alignment vertical="center"/>
    </xf>
    <xf numFmtId="0" fontId="7" fillId="0" borderId="35" xfId="2" applyFont="1" applyFill="1" applyBorder="1" applyAlignment="1">
      <alignment vertical="center"/>
    </xf>
    <xf numFmtId="0" fontId="8" fillId="0" borderId="33" xfId="2" applyNumberFormat="1" applyFont="1" applyFill="1" applyBorder="1" applyAlignment="1">
      <alignment vertical="center"/>
    </xf>
    <xf numFmtId="0" fontId="14" fillId="0" borderId="100" xfId="1" applyFont="1" applyFill="1" applyBorder="1" applyAlignment="1">
      <alignment vertical="center"/>
    </xf>
    <xf numFmtId="0" fontId="14" fillId="0" borderId="3" xfId="1" applyFont="1" applyFill="1" applyBorder="1" applyAlignment="1">
      <alignment vertical="center"/>
    </xf>
    <xf numFmtId="0" fontId="14" fillId="0" borderId="34" xfId="1" applyFont="1" applyFill="1" applyBorder="1" applyAlignment="1">
      <alignment vertical="center"/>
    </xf>
    <xf numFmtId="0" fontId="19" fillId="0" borderId="35" xfId="1" applyFont="1" applyFill="1" applyBorder="1" applyAlignment="1">
      <alignment vertical="center"/>
    </xf>
    <xf numFmtId="0" fontId="14" fillId="0" borderId="33" xfId="1" applyFont="1" applyFill="1" applyBorder="1" applyAlignment="1">
      <alignment vertical="center"/>
    </xf>
    <xf numFmtId="0" fontId="23" fillId="0" borderId="34" xfId="1" applyNumberFormat="1" applyFont="1" applyFill="1" applyBorder="1" applyAlignment="1">
      <alignment vertical="center"/>
    </xf>
    <xf numFmtId="0" fontId="7" fillId="0" borderId="34" xfId="1" applyNumberFormat="1" applyFont="1" applyFill="1" applyBorder="1" applyAlignment="1">
      <alignment vertical="center" wrapText="1"/>
    </xf>
    <xf numFmtId="0" fontId="7" fillId="0" borderId="34" xfId="1" applyNumberFormat="1" applyFont="1" applyFill="1" applyBorder="1" applyAlignment="1">
      <alignment horizontal="distributed" vertical="center" wrapText="1"/>
    </xf>
    <xf numFmtId="0" fontId="6" fillId="0" borderId="0" xfId="1" applyNumberFormat="1" applyFont="1" applyFill="1" applyBorder="1" applyAlignment="1">
      <alignment horizontal="center" vertical="center"/>
    </xf>
    <xf numFmtId="0" fontId="19" fillId="0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10" fillId="0" borderId="0" xfId="1" applyFont="1" applyFill="1" applyAlignment="1">
      <alignment vertical="center"/>
    </xf>
    <xf numFmtId="0" fontId="8" fillId="0" borderId="10" xfId="1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0" fontId="19" fillId="0" borderId="8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distributed" vertical="center"/>
    </xf>
    <xf numFmtId="0" fontId="14" fillId="0" borderId="10" xfId="1" applyFont="1" applyFill="1" applyBorder="1" applyAlignment="1">
      <alignment horizontal="distributed" vertical="center"/>
    </xf>
    <xf numFmtId="0" fontId="7" fillId="0" borderId="3" xfId="1" applyNumberFormat="1" applyFont="1" applyFill="1" applyBorder="1" applyAlignment="1">
      <alignment horizontal="center" vertical="center"/>
    </xf>
    <xf numFmtId="0" fontId="7" fillId="0" borderId="49" xfId="1" applyNumberFormat="1" applyFont="1" applyFill="1" applyBorder="1" applyAlignment="1">
      <alignment horizontal="center" vertical="center"/>
    </xf>
    <xf numFmtId="0" fontId="14" fillId="0" borderId="25" xfId="1" applyFont="1" applyFill="1" applyBorder="1" applyAlignment="1">
      <alignment horizontal="distributed" vertical="center"/>
    </xf>
    <xf numFmtId="0" fontId="14" fillId="0" borderId="98" xfId="1" applyFont="1" applyFill="1" applyBorder="1" applyAlignment="1">
      <alignment horizontal="distributed" vertical="center"/>
    </xf>
    <xf numFmtId="0" fontId="7" fillId="0" borderId="98" xfId="1" applyFont="1" applyFill="1" applyBorder="1" applyAlignment="1">
      <alignment horizontal="distributed" vertical="center"/>
    </xf>
    <xf numFmtId="0" fontId="15" fillId="0" borderId="0" xfId="1" applyFont="1" applyFill="1" applyBorder="1" applyAlignment="1">
      <alignment horizontal="center" vertical="center"/>
    </xf>
    <xf numFmtId="0" fontId="7" fillId="0" borderId="40" xfId="2" applyNumberFormat="1" applyFont="1" applyFill="1" applyBorder="1" applyAlignment="1">
      <alignment horizontal="center" vertical="center"/>
    </xf>
    <xf numFmtId="0" fontId="7" fillId="0" borderId="98" xfId="2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distributed" vertical="center"/>
    </xf>
    <xf numFmtId="0" fontId="7" fillId="0" borderId="40" xfId="1" applyNumberFormat="1" applyFont="1" applyFill="1" applyBorder="1" applyAlignment="1">
      <alignment horizontal="center" vertical="center"/>
    </xf>
    <xf numFmtId="0" fontId="7" fillId="0" borderId="125" xfId="1" applyNumberFormat="1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distributed" vertical="center"/>
    </xf>
    <xf numFmtId="0" fontId="7" fillId="0" borderId="0" xfId="1" applyNumberFormat="1" applyFont="1" applyFill="1" applyBorder="1" applyAlignment="1">
      <alignment horizontal="center" vertical="center" shrinkToFit="1"/>
    </xf>
    <xf numFmtId="0" fontId="7" fillId="0" borderId="60" xfId="1" applyNumberFormat="1" applyFont="1" applyFill="1" applyBorder="1" applyAlignment="1">
      <alignment horizontal="center" vertical="center"/>
    </xf>
    <xf numFmtId="0" fontId="7" fillId="0" borderId="55" xfId="1" applyNumberFormat="1" applyFont="1" applyFill="1" applyBorder="1" applyAlignment="1">
      <alignment horizontal="center" vertical="center"/>
    </xf>
    <xf numFmtId="0" fontId="7" fillId="0" borderId="25" xfId="1" applyNumberFormat="1" applyFont="1" applyFill="1" applyBorder="1" applyAlignment="1">
      <alignment horizontal="distributed" vertical="center"/>
    </xf>
    <xf numFmtId="0" fontId="7" fillId="0" borderId="25" xfId="1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center" vertical="center"/>
    </xf>
    <xf numFmtId="0" fontId="14" fillId="0" borderId="25" xfId="1" applyFont="1" applyFill="1" applyBorder="1" applyAlignment="1">
      <alignment horizontal="distributed" vertical="center"/>
    </xf>
    <xf numFmtId="0" fontId="19" fillId="0" borderId="10" xfId="1" applyFont="1" applyFill="1" applyBorder="1" applyAlignment="1">
      <alignment vertical="center"/>
    </xf>
    <xf numFmtId="0" fontId="19" fillId="0" borderId="9" xfId="1" applyFont="1" applyFill="1" applyBorder="1" applyAlignment="1">
      <alignment vertical="center"/>
    </xf>
    <xf numFmtId="39" fontId="7" fillId="0" borderId="130" xfId="1" applyNumberFormat="1" applyFont="1" applyFill="1" applyBorder="1" applyAlignment="1">
      <alignment horizontal="center" vertical="center"/>
    </xf>
    <xf numFmtId="39" fontId="7" fillId="0" borderId="106" xfId="1" applyNumberFormat="1" applyFont="1" applyFill="1" applyBorder="1" applyAlignment="1">
      <alignment horizontal="center" vertical="center"/>
    </xf>
    <xf numFmtId="39" fontId="7" fillId="0" borderId="129" xfId="1" applyNumberFormat="1" applyFont="1" applyFill="1" applyBorder="1" applyAlignment="1">
      <alignment horizontal="center" vertical="center"/>
    </xf>
    <xf numFmtId="179" fontId="7" fillId="0" borderId="128" xfId="1" applyNumberFormat="1" applyFont="1" applyFill="1" applyBorder="1" applyAlignment="1">
      <alignment horizontal="center" vertical="center"/>
    </xf>
    <xf numFmtId="179" fontId="7" fillId="0" borderId="106" xfId="1" applyNumberFormat="1" applyFont="1" applyFill="1" applyBorder="1" applyAlignment="1">
      <alignment horizontal="center" vertical="center"/>
    </xf>
    <xf numFmtId="179" fontId="7" fillId="0" borderId="129" xfId="1" applyNumberFormat="1" applyFont="1" applyFill="1" applyBorder="1" applyAlignment="1">
      <alignment horizontal="center" vertical="center"/>
    </xf>
    <xf numFmtId="49" fontId="7" fillId="0" borderId="238" xfId="1" applyNumberFormat="1" applyFont="1" applyFill="1" applyBorder="1" applyAlignment="1">
      <alignment horizontal="center" vertical="center"/>
    </xf>
    <xf numFmtId="49" fontId="7" fillId="0" borderId="200" xfId="1" applyNumberFormat="1" applyFont="1" applyFill="1" applyBorder="1" applyAlignment="1">
      <alignment horizontal="center" vertical="center"/>
    </xf>
    <xf numFmtId="49" fontId="7" fillId="0" borderId="239" xfId="1" applyNumberFormat="1" applyFont="1" applyFill="1" applyBorder="1" applyAlignment="1">
      <alignment horizontal="center" vertical="center"/>
    </xf>
    <xf numFmtId="49" fontId="7" fillId="0" borderId="128" xfId="1" applyNumberFormat="1" applyFont="1" applyFill="1" applyBorder="1" applyAlignment="1">
      <alignment horizontal="center" vertical="center"/>
    </xf>
    <xf numFmtId="49" fontId="7" fillId="0" borderId="106" xfId="1" applyNumberFormat="1" applyFont="1" applyFill="1" applyBorder="1" applyAlignment="1">
      <alignment horizontal="center" vertical="center"/>
    </xf>
    <xf numFmtId="49" fontId="7" fillId="0" borderId="129" xfId="1" applyNumberFormat="1" applyFont="1" applyFill="1" applyBorder="1" applyAlignment="1">
      <alignment horizontal="center" vertical="center"/>
    </xf>
    <xf numFmtId="49" fontId="7" fillId="0" borderId="105" xfId="1" applyNumberFormat="1" applyFont="1" applyFill="1" applyBorder="1" applyAlignment="1">
      <alignment horizontal="center" vertical="center"/>
    </xf>
    <xf numFmtId="49" fontId="7" fillId="0" borderId="7" xfId="1" applyNumberFormat="1" applyFont="1" applyFill="1" applyBorder="1" applyAlignment="1">
      <alignment horizontal="center" vertical="center"/>
    </xf>
    <xf numFmtId="49" fontId="7" fillId="0" borderId="4" xfId="1" applyNumberFormat="1" applyFont="1" applyFill="1" applyBorder="1" applyAlignment="1">
      <alignment horizontal="center" vertical="center"/>
    </xf>
    <xf numFmtId="49" fontId="7" fillId="0" borderId="5" xfId="1" applyNumberFormat="1" applyFont="1" applyFill="1" applyBorder="1" applyAlignment="1">
      <alignment horizontal="center" vertical="center"/>
    </xf>
    <xf numFmtId="49" fontId="7" fillId="0" borderId="121" xfId="1" applyNumberFormat="1" applyFont="1" applyFill="1" applyBorder="1" applyAlignment="1">
      <alignment horizontal="center" vertical="center"/>
    </xf>
    <xf numFmtId="0" fontId="7" fillId="0" borderId="19" xfId="1" applyNumberFormat="1" applyFont="1" applyFill="1" applyBorder="1" applyAlignment="1">
      <alignment horizontal="distributed" vertical="center" shrinkToFit="1"/>
    </xf>
    <xf numFmtId="0" fontId="7" fillId="0" borderId="18" xfId="1" applyNumberFormat="1" applyFont="1" applyFill="1" applyBorder="1" applyAlignment="1">
      <alignment horizontal="distributed" vertical="center" shrinkToFit="1"/>
    </xf>
    <xf numFmtId="0" fontId="7" fillId="0" borderId="45" xfId="1" applyNumberFormat="1" applyFont="1" applyFill="1" applyBorder="1" applyAlignment="1">
      <alignment horizontal="distributed" vertical="center" shrinkToFit="1"/>
    </xf>
    <xf numFmtId="49" fontId="14" fillId="0" borderId="30" xfId="1" applyNumberFormat="1" applyFont="1" applyFill="1" applyBorder="1" applyAlignment="1">
      <alignment horizontal="right" vertical="center" shrinkToFit="1"/>
    </xf>
    <xf numFmtId="49" fontId="14" fillId="0" borderId="18" xfId="1" applyNumberFormat="1" applyFont="1" applyFill="1" applyBorder="1" applyAlignment="1">
      <alignment horizontal="right" vertical="center" shrinkToFit="1"/>
    </xf>
    <xf numFmtId="49" fontId="14" fillId="0" borderId="17" xfId="1" applyNumberFormat="1" applyFont="1" applyFill="1" applyBorder="1" applyAlignment="1">
      <alignment horizontal="right" vertical="center" shrinkToFit="1"/>
    </xf>
    <xf numFmtId="0" fontId="14" fillId="0" borderId="152" xfId="1" applyFont="1" applyFill="1" applyBorder="1" applyAlignment="1">
      <alignment horizontal="distributed" vertical="center"/>
    </xf>
    <xf numFmtId="0" fontId="14" fillId="0" borderId="149" xfId="1" applyFont="1" applyFill="1" applyBorder="1" applyAlignment="1">
      <alignment horizontal="distributed" vertical="center"/>
    </xf>
    <xf numFmtId="0" fontId="14" fillId="0" borderId="151" xfId="1" applyFont="1" applyFill="1" applyBorder="1" applyAlignment="1">
      <alignment horizontal="distributed" vertical="center"/>
    </xf>
    <xf numFmtId="49" fontId="14" fillId="0" borderId="150" xfId="1" applyNumberFormat="1" applyFont="1" applyFill="1" applyBorder="1" applyAlignment="1">
      <alignment horizontal="right" vertical="center" shrinkToFit="1"/>
    </xf>
    <xf numFmtId="49" fontId="14" fillId="0" borderId="149" xfId="1" applyNumberFormat="1" applyFont="1" applyFill="1" applyBorder="1" applyAlignment="1">
      <alignment horizontal="right" vertical="center" shrinkToFit="1"/>
    </xf>
    <xf numFmtId="49" fontId="14" fillId="0" borderId="148" xfId="1" applyNumberFormat="1" applyFont="1" applyFill="1" applyBorder="1" applyAlignment="1">
      <alignment horizontal="right" vertical="center" shrinkToFit="1"/>
    </xf>
    <xf numFmtId="0" fontId="15" fillId="0" borderId="8" xfId="1" applyFont="1" applyFill="1" applyBorder="1" applyAlignment="1">
      <alignment horizontal="center" vertical="center"/>
    </xf>
    <xf numFmtId="0" fontId="7" fillId="0" borderId="28" xfId="1" applyNumberFormat="1" applyFont="1" applyFill="1" applyBorder="1" applyAlignment="1">
      <alignment horizontal="distributed" vertical="center" shrinkToFit="1"/>
    </xf>
    <xf numFmtId="0" fontId="7" fillId="0" borderId="14" xfId="1" applyNumberFormat="1" applyFont="1" applyFill="1" applyBorder="1" applyAlignment="1">
      <alignment horizontal="distributed" vertical="center" shrinkToFit="1"/>
    </xf>
    <xf numFmtId="0" fontId="7" fillId="0" borderId="37" xfId="1" applyNumberFormat="1" applyFont="1" applyFill="1" applyBorder="1" applyAlignment="1">
      <alignment horizontal="distributed" vertical="center" shrinkToFit="1"/>
    </xf>
    <xf numFmtId="49" fontId="14" fillId="0" borderId="15" xfId="1" applyNumberFormat="1" applyFont="1" applyFill="1" applyBorder="1" applyAlignment="1">
      <alignment horizontal="right" vertical="center" shrinkToFit="1"/>
    </xf>
    <xf numFmtId="49" fontId="14" fillId="0" borderId="14" xfId="1" applyNumberFormat="1" applyFont="1" applyFill="1" applyBorder="1" applyAlignment="1">
      <alignment horizontal="right" vertical="center" shrinkToFit="1"/>
    </xf>
    <xf numFmtId="49" fontId="14" fillId="0" borderId="13" xfId="1" applyNumberFormat="1" applyFont="1" applyFill="1" applyBorder="1" applyAlignment="1">
      <alignment horizontal="right" vertical="center" shrinkToFit="1"/>
    </xf>
    <xf numFmtId="0" fontId="14" fillId="0" borderId="158" xfId="1" applyFont="1" applyFill="1" applyBorder="1" applyAlignment="1">
      <alignment horizontal="distributed" vertical="center" justifyLastLine="1"/>
    </xf>
    <xf numFmtId="0" fontId="14" fillId="0" borderId="34" xfId="1" applyFont="1" applyFill="1" applyBorder="1" applyAlignment="1">
      <alignment horizontal="distributed" vertical="center" justifyLastLine="1"/>
    </xf>
    <xf numFmtId="0" fontId="14" fillId="0" borderId="3" xfId="1" applyFont="1" applyFill="1" applyBorder="1" applyAlignment="1">
      <alignment horizontal="distributed" vertical="center" justifyLastLine="1"/>
    </xf>
    <xf numFmtId="0" fontId="14" fillId="0" borderId="157" xfId="1" applyFont="1" applyFill="1" applyBorder="1" applyAlignment="1">
      <alignment horizontal="distributed" vertical="center" justifyLastLine="1"/>
    </xf>
    <xf numFmtId="0" fontId="14" fillId="0" borderId="154" xfId="1" applyFont="1" applyFill="1" applyBorder="1" applyAlignment="1">
      <alignment horizontal="distributed" vertical="center"/>
    </xf>
    <xf numFmtId="0" fontId="14" fillId="0" borderId="18" xfId="1" applyFont="1" applyFill="1" applyBorder="1" applyAlignment="1">
      <alignment horizontal="distributed" vertical="center"/>
    </xf>
    <xf numFmtId="0" fontId="14" fillId="0" borderId="31" xfId="1" applyFont="1" applyFill="1" applyBorder="1" applyAlignment="1">
      <alignment horizontal="distributed" vertical="center"/>
    </xf>
    <xf numFmtId="49" fontId="14" fillId="0" borderId="153" xfId="1" applyNumberFormat="1" applyFont="1" applyFill="1" applyBorder="1" applyAlignment="1">
      <alignment horizontal="right" vertical="center" shrinkToFit="1"/>
    </xf>
    <xf numFmtId="0" fontId="14" fillId="0" borderId="156" xfId="1" applyFont="1" applyFill="1" applyBorder="1" applyAlignment="1">
      <alignment horizontal="distributed" vertical="center"/>
    </xf>
    <xf numFmtId="0" fontId="14" fillId="0" borderId="43" xfId="1" applyFont="1" applyFill="1" applyBorder="1" applyAlignment="1">
      <alignment horizontal="distributed" vertical="center"/>
    </xf>
    <xf numFmtId="0" fontId="14" fillId="0" borderId="42" xfId="1" applyFont="1" applyFill="1" applyBorder="1" applyAlignment="1">
      <alignment horizontal="distributed" vertical="center"/>
    </xf>
    <xf numFmtId="49" fontId="14" fillId="0" borderId="86" xfId="1" applyNumberFormat="1" applyFont="1" applyFill="1" applyBorder="1" applyAlignment="1">
      <alignment horizontal="right" vertical="center" shrinkToFit="1"/>
    </xf>
    <xf numFmtId="49" fontId="14" fillId="0" borderId="43" xfId="1" applyNumberFormat="1" applyFont="1" applyFill="1" applyBorder="1" applyAlignment="1">
      <alignment horizontal="right" vertical="center" shrinkToFit="1"/>
    </xf>
    <xf numFmtId="49" fontId="14" fillId="0" borderId="155" xfId="1" applyNumberFormat="1" applyFont="1" applyFill="1" applyBorder="1" applyAlignment="1">
      <alignment horizontal="right" vertical="center" shrinkToFit="1"/>
    </xf>
    <xf numFmtId="0" fontId="12" fillId="0" borderId="19" xfId="1" applyNumberFormat="1" applyFont="1" applyFill="1" applyBorder="1" applyAlignment="1">
      <alignment horizontal="center" vertical="center" shrinkToFit="1"/>
    </xf>
    <xf numFmtId="0" fontId="12" fillId="0" borderId="18" xfId="1" applyNumberFormat="1" applyFont="1" applyFill="1" applyBorder="1" applyAlignment="1">
      <alignment horizontal="center" vertical="center" shrinkToFit="1"/>
    </xf>
    <xf numFmtId="0" fontId="12" fillId="0" borderId="45" xfId="1" applyNumberFormat="1" applyFont="1" applyFill="1" applyBorder="1" applyAlignment="1">
      <alignment horizontal="center" vertical="center" shrinkToFit="1"/>
    </xf>
    <xf numFmtId="0" fontId="7" fillId="0" borderId="162" xfId="1" applyNumberFormat="1" applyFont="1" applyFill="1" applyBorder="1" applyAlignment="1">
      <alignment horizontal="center" vertical="center" textRotation="255" shrinkToFit="1"/>
    </xf>
    <xf numFmtId="0" fontId="7" fillId="0" borderId="161" xfId="1" applyNumberFormat="1" applyFont="1" applyFill="1" applyBorder="1" applyAlignment="1">
      <alignment horizontal="center" vertical="center" textRotation="255" shrinkToFit="1"/>
    </xf>
    <xf numFmtId="0" fontId="7" fillId="0" borderId="160" xfId="1" applyNumberFormat="1" applyFont="1" applyFill="1" applyBorder="1" applyAlignment="1">
      <alignment horizontal="center" vertical="center" textRotation="255" shrinkToFit="1"/>
    </xf>
    <xf numFmtId="0" fontId="7" fillId="0" borderId="72" xfId="1" applyNumberFormat="1" applyFont="1" applyFill="1" applyBorder="1" applyAlignment="1">
      <alignment horizontal="distributed" vertical="center" shrinkToFit="1"/>
    </xf>
    <xf numFmtId="0" fontId="7" fillId="0" borderId="69" xfId="1" applyNumberFormat="1" applyFont="1" applyFill="1" applyBorder="1" applyAlignment="1">
      <alignment horizontal="distributed" vertical="center" shrinkToFit="1"/>
    </xf>
    <xf numFmtId="0" fontId="7" fillId="0" borderId="71" xfId="1" applyNumberFormat="1" applyFont="1" applyFill="1" applyBorder="1" applyAlignment="1">
      <alignment horizontal="distributed" vertical="center" shrinkToFit="1"/>
    </xf>
    <xf numFmtId="0" fontId="14" fillId="0" borderId="32" xfId="1" applyFont="1" applyFill="1" applyBorder="1" applyAlignment="1">
      <alignment horizontal="distributed" vertical="center"/>
    </xf>
    <xf numFmtId="49" fontId="14" fillId="0" borderId="31" xfId="1" applyNumberFormat="1" applyFont="1" applyFill="1" applyBorder="1" applyAlignment="1">
      <alignment horizontal="right" vertical="center" shrinkToFit="1"/>
    </xf>
    <xf numFmtId="0" fontId="12" fillId="0" borderId="59" xfId="1" applyNumberFormat="1" applyFont="1" applyFill="1" applyBorder="1" applyAlignment="1">
      <alignment horizontal="distributed" vertical="center" shrinkToFit="1"/>
    </xf>
    <xf numFmtId="0" fontId="12" fillId="0" borderId="56" xfId="1" applyNumberFormat="1" applyFont="1" applyFill="1" applyBorder="1" applyAlignment="1">
      <alignment horizontal="distributed" vertical="center" shrinkToFit="1"/>
    </xf>
    <xf numFmtId="0" fontId="12" fillId="0" borderId="58" xfId="1" applyNumberFormat="1" applyFont="1" applyFill="1" applyBorder="1" applyAlignment="1">
      <alignment horizontal="distributed" vertical="center" shrinkToFit="1"/>
    </xf>
    <xf numFmtId="0" fontId="12" fillId="0" borderId="53" xfId="1" applyNumberFormat="1" applyFont="1" applyFill="1" applyBorder="1" applyAlignment="1">
      <alignment horizontal="center" vertical="center" shrinkToFit="1"/>
    </xf>
    <xf numFmtId="0" fontId="12" fillId="0" borderId="50" xfId="1" applyNumberFormat="1" applyFont="1" applyFill="1" applyBorder="1" applyAlignment="1">
      <alignment horizontal="center" vertical="center" shrinkToFit="1"/>
    </xf>
    <xf numFmtId="0" fontId="12" fillId="0" borderId="52" xfId="1" applyNumberFormat="1" applyFont="1" applyFill="1" applyBorder="1" applyAlignment="1">
      <alignment horizontal="center" vertical="center" shrinkToFit="1"/>
    </xf>
    <xf numFmtId="49" fontId="14" fillId="0" borderId="159" xfId="1" applyNumberFormat="1" applyFont="1" applyFill="1" applyBorder="1" applyAlignment="1">
      <alignment horizontal="right" vertical="center" shrinkToFit="1"/>
    </xf>
    <xf numFmtId="0" fontId="14" fillId="0" borderId="235" xfId="1" applyFont="1" applyFill="1" applyBorder="1" applyAlignment="1" applyProtection="1">
      <alignment horizontal="distributed" vertical="center"/>
    </xf>
    <xf numFmtId="0" fontId="14" fillId="0" borderId="236" xfId="1" applyFont="1" applyFill="1" applyBorder="1" applyAlignment="1" applyProtection="1">
      <alignment horizontal="distributed" vertical="center"/>
    </xf>
    <xf numFmtId="49" fontId="14" fillId="0" borderId="236" xfId="1" applyNumberFormat="1" applyFont="1" applyFill="1" applyBorder="1" applyAlignment="1" applyProtection="1">
      <alignment horizontal="right" vertical="center" shrinkToFit="1"/>
    </xf>
    <xf numFmtId="49" fontId="14" fillId="0" borderId="237" xfId="1" applyNumberFormat="1" applyFont="1" applyFill="1" applyBorder="1" applyAlignment="1" applyProtection="1">
      <alignment horizontal="right" vertical="center" shrinkToFit="1"/>
    </xf>
    <xf numFmtId="0" fontId="7" fillId="0" borderId="59" xfId="1" applyNumberFormat="1" applyFont="1" applyFill="1" applyBorder="1" applyAlignment="1">
      <alignment horizontal="distributed" vertical="center" shrinkToFit="1"/>
    </xf>
    <xf numFmtId="0" fontId="7" fillId="0" borderId="56" xfId="1" applyNumberFormat="1" applyFont="1" applyFill="1" applyBorder="1" applyAlignment="1">
      <alignment horizontal="distributed" vertical="center" shrinkToFit="1"/>
    </xf>
    <xf numFmtId="0" fontId="7" fillId="0" borderId="58" xfId="1" applyNumberFormat="1" applyFont="1" applyFill="1" applyBorder="1" applyAlignment="1">
      <alignment horizontal="distributed" vertical="center" shrinkToFit="1"/>
    </xf>
    <xf numFmtId="0" fontId="14" fillId="0" borderId="22" xfId="1" applyFont="1" applyFill="1" applyBorder="1" applyAlignment="1">
      <alignment horizontal="distributed" vertical="center"/>
    </xf>
    <xf numFmtId="0" fontId="14" fillId="0" borderId="14" xfId="1" applyFont="1" applyFill="1" applyBorder="1" applyAlignment="1">
      <alignment horizontal="distributed" vertical="center"/>
    </xf>
    <xf numFmtId="0" fontId="14" fillId="0" borderId="21" xfId="1" applyFont="1" applyFill="1" applyBorder="1" applyAlignment="1">
      <alignment horizontal="distributed" vertical="center"/>
    </xf>
    <xf numFmtId="49" fontId="14" fillId="0" borderId="21" xfId="1" applyNumberFormat="1" applyFont="1" applyFill="1" applyBorder="1" applyAlignment="1">
      <alignment horizontal="right" vertical="center" shrinkToFit="1"/>
    </xf>
    <xf numFmtId="0" fontId="12" fillId="0" borderId="76" xfId="1" applyNumberFormat="1" applyFont="1" applyFill="1" applyBorder="1" applyAlignment="1">
      <alignment horizontal="distributed" vertical="center" shrinkToFit="1"/>
    </xf>
    <xf numFmtId="0" fontId="12" fillId="0" borderId="18" xfId="1" applyNumberFormat="1" applyFont="1" applyFill="1" applyBorder="1" applyAlignment="1">
      <alignment horizontal="distributed" vertical="center" shrinkToFit="1"/>
    </xf>
    <xf numFmtId="0" fontId="12" fillId="0" borderId="45" xfId="1" applyNumberFormat="1" applyFont="1" applyFill="1" applyBorder="1" applyAlignment="1">
      <alignment horizontal="distributed" vertical="center" shrinkToFit="1"/>
    </xf>
    <xf numFmtId="0" fontId="14" fillId="0" borderId="130" xfId="1" applyFont="1" applyFill="1" applyBorder="1" applyAlignment="1">
      <alignment horizontal="distributed" vertical="center"/>
    </xf>
    <xf numFmtId="0" fontId="14" fillId="0" borderId="106" xfId="1" applyFont="1" applyFill="1" applyBorder="1" applyAlignment="1">
      <alignment horizontal="distributed" vertical="center"/>
    </xf>
    <xf numFmtId="49" fontId="14" fillId="0" borderId="128" xfId="1" applyNumberFormat="1" applyFont="1" applyFill="1" applyBorder="1" applyAlignment="1">
      <alignment horizontal="right" vertical="center" shrinkToFit="1"/>
    </xf>
    <xf numFmtId="49" fontId="14" fillId="0" borderId="106" xfId="1" applyNumberFormat="1" applyFont="1" applyFill="1" applyBorder="1" applyAlignment="1">
      <alignment horizontal="right" vertical="center" shrinkToFit="1"/>
    </xf>
    <xf numFmtId="49" fontId="14" fillId="0" borderId="165" xfId="1" applyNumberFormat="1" applyFont="1" applyFill="1" applyBorder="1" applyAlignment="1">
      <alignment horizontal="right" vertical="center" shrinkToFit="1"/>
    </xf>
    <xf numFmtId="0" fontId="13" fillId="0" borderId="81" xfId="1" applyNumberFormat="1" applyFont="1" applyFill="1" applyBorder="1" applyAlignment="1">
      <alignment horizontal="center" vertical="center" shrinkToFit="1"/>
    </xf>
    <xf numFmtId="0" fontId="13" fillId="0" borderId="78" xfId="1" applyNumberFormat="1" applyFont="1" applyFill="1" applyBorder="1" applyAlignment="1">
      <alignment horizontal="center" vertical="center" shrinkToFit="1"/>
    </xf>
    <xf numFmtId="0" fontId="13" fillId="0" borderId="80" xfId="1" applyNumberFormat="1" applyFont="1" applyFill="1" applyBorder="1" applyAlignment="1">
      <alignment horizontal="center" vertical="center" shrinkToFit="1"/>
    </xf>
    <xf numFmtId="49" fontId="14" fillId="0" borderId="47" xfId="1" applyNumberFormat="1" applyFont="1" applyFill="1" applyBorder="1" applyAlignment="1">
      <alignment horizontal="right" vertical="center" shrinkToFit="1"/>
    </xf>
    <xf numFmtId="49" fontId="14" fillId="0" borderId="46" xfId="1" applyNumberFormat="1" applyFont="1" applyFill="1" applyBorder="1" applyAlignment="1">
      <alignment horizontal="right" vertical="center" shrinkToFit="1"/>
    </xf>
    <xf numFmtId="49" fontId="14" fillId="0" borderId="163" xfId="1" applyNumberFormat="1" applyFont="1" applyFill="1" applyBorder="1" applyAlignment="1">
      <alignment horizontal="right" vertical="center" shrinkToFit="1"/>
    </xf>
    <xf numFmtId="0" fontId="14" fillId="0" borderId="41" xfId="1" applyFont="1" applyFill="1" applyBorder="1" applyAlignment="1">
      <alignment horizontal="distributed" vertical="center"/>
    </xf>
    <xf numFmtId="0" fontId="14" fillId="0" borderId="63" xfId="1" applyFont="1" applyFill="1" applyBorder="1" applyAlignment="1">
      <alignment horizontal="distributed" vertical="center"/>
    </xf>
    <xf numFmtId="49" fontId="14" fillId="0" borderId="42" xfId="1" applyNumberFormat="1" applyFont="1" applyFill="1" applyBorder="1" applyAlignment="1">
      <alignment horizontal="right" vertical="center" shrinkToFit="1"/>
    </xf>
    <xf numFmtId="0" fontId="19" fillId="0" borderId="83" xfId="1" applyFont="1" applyFill="1" applyBorder="1" applyAlignment="1">
      <alignment horizontal="left" vertical="center"/>
    </xf>
    <xf numFmtId="0" fontId="19" fillId="0" borderId="8" xfId="1" applyFont="1" applyFill="1" applyBorder="1" applyAlignment="1">
      <alignment horizontal="left" vertical="center"/>
    </xf>
    <xf numFmtId="0" fontId="13" fillId="0" borderId="82" xfId="1" applyNumberFormat="1" applyFont="1" applyFill="1" applyBorder="1" applyAlignment="1">
      <alignment horizontal="distributed" vertical="center" shrinkToFit="1"/>
    </xf>
    <xf numFmtId="0" fontId="13" fillId="0" borderId="56" xfId="1" applyNumberFormat="1" applyFont="1" applyFill="1" applyBorder="1" applyAlignment="1">
      <alignment horizontal="distributed" vertical="center" shrinkToFit="1"/>
    </xf>
    <xf numFmtId="0" fontId="13" fillId="0" borderId="58" xfId="1" applyNumberFormat="1" applyFont="1" applyFill="1" applyBorder="1" applyAlignment="1">
      <alignment horizontal="distributed" vertical="center" shrinkToFit="1"/>
    </xf>
    <xf numFmtId="0" fontId="14" fillId="0" borderId="48" xfId="1" applyFont="1" applyFill="1" applyBorder="1" applyAlignment="1">
      <alignment horizontal="distributed" vertical="center"/>
    </xf>
    <xf numFmtId="0" fontId="14" fillId="0" borderId="46" xfId="1" applyFont="1" applyFill="1" applyBorder="1" applyAlignment="1">
      <alignment horizontal="distributed" vertical="center"/>
    </xf>
    <xf numFmtId="0" fontId="14" fillId="0" borderId="89" xfId="1" applyFont="1" applyFill="1" applyBorder="1" applyAlignment="1">
      <alignment horizontal="distributed" vertical="center"/>
    </xf>
    <xf numFmtId="49" fontId="14" fillId="0" borderId="89" xfId="1" applyNumberFormat="1" applyFont="1" applyFill="1" applyBorder="1" applyAlignment="1">
      <alignment horizontal="right" vertical="center" shrinkToFit="1"/>
    </xf>
    <xf numFmtId="49" fontId="14" fillId="0" borderId="84" xfId="1" applyNumberFormat="1" applyFont="1" applyFill="1" applyBorder="1" applyAlignment="1">
      <alignment horizontal="right" vertical="center" shrinkToFit="1"/>
    </xf>
    <xf numFmtId="0" fontId="7" fillId="0" borderId="32" xfId="1" applyNumberFormat="1" applyFont="1" applyFill="1" applyBorder="1" applyAlignment="1">
      <alignment horizontal="distributed" vertical="center" shrinkToFit="1"/>
    </xf>
    <xf numFmtId="49" fontId="14" fillId="0" borderId="91" xfId="1" applyNumberFormat="1" applyFont="1" applyFill="1" applyBorder="1" applyAlignment="1">
      <alignment horizontal="right" vertical="center" shrinkToFit="1"/>
    </xf>
    <xf numFmtId="0" fontId="7" fillId="0" borderId="94" xfId="1" applyNumberFormat="1" applyFont="1" applyFill="1" applyBorder="1" applyAlignment="1">
      <alignment horizontal="distributed" vertical="center" shrinkToFit="1"/>
    </xf>
    <xf numFmtId="0" fontId="7" fillId="0" borderId="43" xfId="1" applyNumberFormat="1" applyFont="1" applyFill="1" applyBorder="1" applyAlignment="1">
      <alignment horizontal="distributed" vertical="center" shrinkToFit="1"/>
    </xf>
    <xf numFmtId="0" fontId="7" fillId="0" borderId="93" xfId="1" applyNumberFormat="1" applyFont="1" applyFill="1" applyBorder="1" applyAlignment="1">
      <alignment horizontal="distributed" vertical="center" shrinkToFit="1"/>
    </xf>
    <xf numFmtId="0" fontId="14" fillId="0" borderId="94" xfId="1" applyFont="1" applyFill="1" applyBorder="1" applyAlignment="1">
      <alignment horizontal="distributed" vertical="center"/>
    </xf>
    <xf numFmtId="0" fontId="7" fillId="0" borderId="167" xfId="1" applyNumberFormat="1" applyFont="1" applyFill="1" applyBorder="1" applyAlignment="1">
      <alignment horizontal="center" vertical="center" textRotation="255" shrinkToFit="1"/>
    </xf>
    <xf numFmtId="0" fontId="7" fillId="0" borderId="166" xfId="1" applyNumberFormat="1" applyFont="1" applyFill="1" applyBorder="1" applyAlignment="1">
      <alignment horizontal="center" vertical="center" textRotation="255" shrinkToFit="1"/>
    </xf>
    <xf numFmtId="0" fontId="7" fillId="0" borderId="164" xfId="1" applyNumberFormat="1" applyFont="1" applyFill="1" applyBorder="1" applyAlignment="1">
      <alignment horizontal="center" vertical="center" textRotation="255" shrinkToFit="1"/>
    </xf>
    <xf numFmtId="0" fontId="7" fillId="0" borderId="85" xfId="1" applyNumberFormat="1" applyFont="1" applyFill="1" applyBorder="1" applyAlignment="1">
      <alignment horizontal="distributed" vertical="center" shrinkToFit="1"/>
    </xf>
    <xf numFmtId="0" fontId="14" fillId="0" borderId="28" xfId="1" applyFont="1" applyFill="1" applyBorder="1" applyAlignment="1">
      <alignment horizontal="distributed" vertical="center"/>
    </xf>
    <xf numFmtId="0" fontId="12" fillId="0" borderId="82" xfId="1" applyNumberFormat="1" applyFont="1" applyFill="1" applyBorder="1" applyAlignment="1">
      <alignment horizontal="center" vertical="center" shrinkToFit="1"/>
    </xf>
    <xf numFmtId="0" fontId="12" fillId="0" borderId="56" xfId="1" applyNumberFormat="1" applyFont="1" applyFill="1" applyBorder="1" applyAlignment="1">
      <alignment horizontal="center" vertical="center" shrinkToFit="1"/>
    </xf>
    <xf numFmtId="0" fontId="12" fillId="0" borderId="58" xfId="1" applyNumberFormat="1" applyFont="1" applyFill="1" applyBorder="1" applyAlignment="1">
      <alignment horizontal="center" vertical="center" shrinkToFit="1"/>
    </xf>
    <xf numFmtId="0" fontId="14" fillId="0" borderId="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21" xfId="1" applyFont="1" applyFill="1" applyBorder="1" applyAlignment="1">
      <alignment horizontal="center" vertical="center"/>
    </xf>
    <xf numFmtId="0" fontId="14" fillId="0" borderId="27" xfId="1" applyFont="1" applyFill="1" applyBorder="1" applyAlignment="1">
      <alignment horizontal="distributed" vertical="center" wrapText="1"/>
    </xf>
    <xf numFmtId="0" fontId="14" fillId="0" borderId="26" xfId="1" applyFont="1" applyFill="1" applyBorder="1" applyAlignment="1">
      <alignment horizontal="distributed" vertical="center"/>
    </xf>
    <xf numFmtId="0" fontId="14" fillId="0" borderId="88" xfId="1" applyFont="1" applyFill="1" applyBorder="1" applyAlignment="1">
      <alignment horizontal="distributed" vertical="center"/>
    </xf>
    <xf numFmtId="0" fontId="14" fillId="0" borderId="0" xfId="1" applyFont="1" applyFill="1" applyBorder="1" applyAlignment="1">
      <alignment horizontal="distributed" vertical="center"/>
    </xf>
    <xf numFmtId="0" fontId="14" fillId="0" borderId="20" xfId="1" applyFont="1" applyFill="1" applyBorder="1" applyAlignment="1">
      <alignment horizontal="distributed" vertical="center"/>
    </xf>
    <xf numFmtId="0" fontId="14" fillId="0" borderId="10" xfId="1" applyFont="1" applyFill="1" applyBorder="1" applyAlignment="1">
      <alignment horizontal="distributed" vertical="center"/>
    </xf>
    <xf numFmtId="0" fontId="7" fillId="0" borderId="41" xfId="1" applyNumberFormat="1" applyFont="1" applyFill="1" applyBorder="1" applyAlignment="1">
      <alignment horizontal="center" vertical="center"/>
    </xf>
    <xf numFmtId="0" fontId="7" fillId="0" borderId="63" xfId="1" applyNumberFormat="1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center" vertical="center"/>
    </xf>
    <xf numFmtId="0" fontId="7" fillId="0" borderId="75" xfId="1" applyNumberFormat="1" applyFont="1" applyFill="1" applyBorder="1" applyAlignment="1">
      <alignment horizontal="center" vertical="center"/>
    </xf>
    <xf numFmtId="0" fontId="14" fillId="0" borderId="88" xfId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/>
    </xf>
    <xf numFmtId="0" fontId="14" fillId="0" borderId="74" xfId="1" applyFont="1" applyFill="1" applyBorder="1" applyAlignment="1">
      <alignment horizontal="center" vertical="center"/>
    </xf>
    <xf numFmtId="0" fontId="14" fillId="0" borderId="3" xfId="1" applyFont="1" applyFill="1" applyBorder="1" applyAlignment="1">
      <alignment horizontal="center" vertical="center"/>
    </xf>
    <xf numFmtId="0" fontId="17" fillId="0" borderId="28" xfId="1" applyFont="1" applyFill="1" applyBorder="1" applyAlignment="1">
      <alignment horizontal="distributed" vertical="center"/>
    </xf>
    <xf numFmtId="0" fontId="17" fillId="0" borderId="14" xfId="1" applyFont="1" applyFill="1" applyBorder="1" applyAlignment="1">
      <alignment horizontal="distributed" vertical="center"/>
    </xf>
    <xf numFmtId="0" fontId="7" fillId="0" borderId="97" xfId="1" applyNumberFormat="1" applyFont="1" applyFill="1" applyBorder="1" applyAlignment="1">
      <alignment horizontal="distributed" vertical="center" shrinkToFit="1"/>
    </xf>
    <xf numFmtId="0" fontId="7" fillId="0" borderId="46" xfId="1" applyNumberFormat="1" applyFont="1" applyFill="1" applyBorder="1" applyAlignment="1">
      <alignment horizontal="distributed" vertical="center" shrinkToFit="1"/>
    </xf>
    <xf numFmtId="0" fontId="7" fillId="0" borderId="96" xfId="1" applyNumberFormat="1" applyFont="1" applyFill="1" applyBorder="1" applyAlignment="1">
      <alignment horizontal="distributed" vertical="center" shrinkToFit="1"/>
    </xf>
    <xf numFmtId="0" fontId="14" fillId="0" borderId="25" xfId="1" applyFont="1" applyFill="1" applyBorder="1" applyAlignment="1">
      <alignment horizontal="distributed" vertical="center"/>
    </xf>
    <xf numFmtId="0" fontId="14" fillId="0" borderId="38" xfId="1" applyFont="1" applyFill="1" applyBorder="1" applyAlignment="1">
      <alignment horizontal="distributed" vertical="center"/>
    </xf>
    <xf numFmtId="49" fontId="14" fillId="0" borderId="24" xfId="1" applyNumberFormat="1" applyFont="1" applyFill="1" applyBorder="1" applyAlignment="1">
      <alignment horizontal="right" vertical="center" shrinkToFit="1"/>
    </xf>
    <xf numFmtId="49" fontId="14" fillId="0" borderId="23" xfId="1" applyNumberFormat="1" applyFont="1" applyFill="1" applyBorder="1" applyAlignment="1">
      <alignment horizontal="right" vertical="center" shrinkToFit="1"/>
    </xf>
    <xf numFmtId="0" fontId="14" fillId="0" borderId="30" xfId="1" applyFont="1" applyFill="1" applyBorder="1" applyAlignment="1">
      <alignment horizontal="distributed" vertical="center"/>
    </xf>
    <xf numFmtId="0" fontId="7" fillId="0" borderId="94" xfId="1" applyNumberFormat="1" applyFont="1" applyFill="1" applyBorder="1" applyAlignment="1">
      <alignment horizontal="distributed" vertical="center"/>
    </xf>
    <xf numFmtId="0" fontId="7" fillId="0" borderId="43" xfId="1" applyNumberFormat="1" applyFont="1" applyFill="1" applyBorder="1" applyAlignment="1">
      <alignment horizontal="distributed" vertical="center"/>
    </xf>
    <xf numFmtId="0" fontId="7" fillId="0" borderId="93" xfId="1" applyNumberFormat="1" applyFont="1" applyFill="1" applyBorder="1" applyAlignment="1">
      <alignment horizontal="distributed" vertical="center"/>
    </xf>
    <xf numFmtId="0" fontId="8" fillId="0" borderId="35" xfId="1" applyNumberFormat="1" applyFont="1" applyFill="1" applyBorder="1" applyAlignment="1">
      <alignment horizontal="left" vertical="center"/>
    </xf>
    <xf numFmtId="0" fontId="8" fillId="0" borderId="34" xfId="1" applyNumberFormat="1" applyFont="1" applyFill="1" applyBorder="1" applyAlignment="1">
      <alignment horizontal="left" vertical="center"/>
    </xf>
    <xf numFmtId="0" fontId="8" fillId="0" borderId="33" xfId="1" applyNumberFormat="1" applyFont="1" applyFill="1" applyBorder="1" applyAlignment="1">
      <alignment horizontal="left" vertical="center"/>
    </xf>
    <xf numFmtId="0" fontId="14" fillId="0" borderId="19" xfId="1" applyFont="1" applyFill="1" applyBorder="1" applyAlignment="1">
      <alignment horizontal="distributed" vertical="center"/>
    </xf>
    <xf numFmtId="0" fontId="7" fillId="0" borderId="49" xfId="1" applyNumberFormat="1" applyFont="1" applyFill="1" applyBorder="1" applyAlignment="1">
      <alignment horizontal="center" vertical="center"/>
    </xf>
    <xf numFmtId="0" fontId="7" fillId="0" borderId="74" xfId="1" applyNumberFormat="1" applyFont="1" applyFill="1" applyBorder="1" applyAlignment="1">
      <alignment horizontal="center" vertical="center"/>
    </xf>
    <xf numFmtId="0" fontId="7" fillId="0" borderId="100" xfId="1" applyNumberFormat="1" applyFont="1" applyFill="1" applyBorder="1" applyAlignment="1">
      <alignment horizontal="center" vertical="center"/>
    </xf>
    <xf numFmtId="0" fontId="14" fillId="0" borderId="10" xfId="2" applyFont="1" applyFill="1" applyBorder="1" applyAlignment="1">
      <alignment horizontal="distributed" vertical="center"/>
    </xf>
    <xf numFmtId="0" fontId="14" fillId="0" borderId="104" xfId="2" applyFont="1" applyFill="1" applyBorder="1" applyAlignment="1">
      <alignment horizontal="distributed" vertical="center"/>
    </xf>
    <xf numFmtId="49" fontId="14" fillId="0" borderId="15" xfId="2" applyNumberFormat="1" applyFont="1" applyFill="1" applyBorder="1" applyAlignment="1">
      <alignment horizontal="right" vertical="center" shrinkToFit="1"/>
    </xf>
    <xf numFmtId="49" fontId="14" fillId="0" borderId="14" xfId="2" applyNumberFormat="1" applyFont="1" applyFill="1" applyBorder="1" applyAlignment="1">
      <alignment horizontal="right" vertical="center" shrinkToFit="1"/>
    </xf>
    <xf numFmtId="49" fontId="14" fillId="0" borderId="13" xfId="2" applyNumberFormat="1" applyFont="1" applyFill="1" applyBorder="1" applyAlignment="1">
      <alignment horizontal="right" vertical="center" shrinkToFit="1"/>
    </xf>
    <xf numFmtId="0" fontId="14" fillId="0" borderId="98" xfId="1" applyFont="1" applyFill="1" applyBorder="1" applyAlignment="1">
      <alignment horizontal="distributed" vertical="center"/>
    </xf>
    <xf numFmtId="0" fontId="14" fillId="0" borderId="26" xfId="1" applyFont="1" applyFill="1" applyBorder="1" applyAlignment="1">
      <alignment horizontal="distributed" vertical="center" wrapText="1"/>
    </xf>
    <xf numFmtId="0" fontId="14" fillId="0" borderId="88" xfId="1" applyFont="1" applyFill="1" applyBorder="1" applyAlignment="1">
      <alignment horizontal="distributed" vertical="center" wrapText="1"/>
    </xf>
    <xf numFmtId="0" fontId="14" fillId="0" borderId="0" xfId="1" applyFont="1" applyFill="1" applyBorder="1" applyAlignment="1">
      <alignment horizontal="distributed" vertical="center" wrapText="1"/>
    </xf>
    <xf numFmtId="0" fontId="14" fillId="0" borderId="24" xfId="1" applyFont="1" applyFill="1" applyBorder="1" applyAlignment="1">
      <alignment horizontal="distributed" vertical="center" wrapText="1"/>
    </xf>
    <xf numFmtId="0" fontId="14" fillId="0" borderId="23" xfId="1" applyFont="1" applyFill="1" applyBorder="1" applyAlignment="1">
      <alignment horizontal="distributed" vertical="center" wrapText="1"/>
    </xf>
    <xf numFmtId="0" fontId="14" fillId="0" borderId="124" xfId="1" applyFont="1" applyFill="1" applyBorder="1" applyAlignment="1">
      <alignment horizontal="distributed" vertical="center" justifyLastLine="1"/>
    </xf>
    <xf numFmtId="0" fontId="14" fillId="0" borderId="4" xfId="1" applyFont="1" applyFill="1" applyBorder="1" applyAlignment="1">
      <alignment horizontal="distributed" vertical="center" justifyLastLine="1"/>
    </xf>
    <xf numFmtId="0" fontId="14" fillId="0" borderId="43" xfId="2" applyFont="1" applyFill="1" applyBorder="1" applyAlignment="1">
      <alignment horizontal="distributed" vertical="center"/>
    </xf>
    <xf numFmtId="0" fontId="14" fillId="0" borderId="42" xfId="2" applyFont="1" applyFill="1" applyBorder="1" applyAlignment="1">
      <alignment horizontal="distributed" vertical="center"/>
    </xf>
    <xf numFmtId="49" fontId="14" fillId="0" borderId="86" xfId="2" applyNumberFormat="1" applyFont="1" applyFill="1" applyBorder="1" applyAlignment="1">
      <alignment horizontal="right" vertical="center" shrinkToFit="1"/>
    </xf>
    <xf numFmtId="49" fontId="14" fillId="0" borderId="43" xfId="2" applyNumberFormat="1" applyFont="1" applyFill="1" applyBorder="1" applyAlignment="1">
      <alignment horizontal="right" vertical="center" shrinkToFit="1"/>
    </xf>
    <xf numFmtId="49" fontId="14" fillId="0" borderId="91" xfId="2" applyNumberFormat="1" applyFont="1" applyFill="1" applyBorder="1" applyAlignment="1">
      <alignment horizontal="right" vertical="center" shrinkToFit="1"/>
    </xf>
    <xf numFmtId="0" fontId="17" fillId="0" borderId="22" xfId="1" applyFont="1" applyFill="1" applyBorder="1" applyAlignment="1">
      <alignment horizontal="distributed" vertical="center"/>
    </xf>
    <xf numFmtId="0" fontId="17" fillId="0" borderId="21" xfId="1" applyFont="1" applyFill="1" applyBorder="1" applyAlignment="1">
      <alignment horizontal="distributed" vertical="center"/>
    </xf>
    <xf numFmtId="0" fontId="7" fillId="0" borderId="109" xfId="1" applyNumberFormat="1" applyFont="1" applyFill="1" applyBorder="1" applyAlignment="1">
      <alignment horizontal="distributed" vertical="center" shrinkToFit="1"/>
    </xf>
    <xf numFmtId="0" fontId="7" fillId="0" borderId="108" xfId="1" applyNumberFormat="1" applyFont="1" applyFill="1" applyBorder="1" applyAlignment="1">
      <alignment horizontal="distributed" vertical="center" shrinkToFit="1"/>
    </xf>
    <xf numFmtId="0" fontId="14" fillId="0" borderId="40" xfId="2" applyFont="1" applyFill="1" applyBorder="1" applyAlignment="1">
      <alignment horizontal="distributed" vertical="center"/>
    </xf>
    <xf numFmtId="0" fontId="14" fillId="0" borderId="26" xfId="2" applyFont="1" applyFill="1" applyBorder="1" applyAlignment="1">
      <alignment horizontal="distributed" vertical="center"/>
    </xf>
    <xf numFmtId="0" fontId="14" fillId="0" borderId="39" xfId="2" applyFont="1" applyFill="1" applyBorder="1" applyAlignment="1">
      <alignment horizontal="distributed" vertical="center"/>
    </xf>
    <xf numFmtId="49" fontId="14" fillId="0" borderId="47" xfId="2" applyNumberFormat="1" applyFont="1" applyFill="1" applyBorder="1" applyAlignment="1">
      <alignment horizontal="right" vertical="center" shrinkToFit="1"/>
    </xf>
    <xf numFmtId="49" fontId="14" fillId="0" borderId="46" xfId="2" applyNumberFormat="1" applyFont="1" applyFill="1" applyBorder="1" applyAlignment="1">
      <alignment horizontal="right" vertical="center" shrinkToFit="1"/>
    </xf>
    <xf numFmtId="49" fontId="14" fillId="0" borderId="84" xfId="2" applyNumberFormat="1" applyFont="1" applyFill="1" applyBorder="1" applyAlignment="1">
      <alignment horizontal="right" vertical="center" shrinkToFit="1"/>
    </xf>
    <xf numFmtId="0" fontId="18" fillId="0" borderId="32" xfId="1" applyFont="1" applyFill="1" applyBorder="1" applyAlignment="1">
      <alignment horizontal="center" vertical="center" wrapText="1"/>
    </xf>
    <xf numFmtId="0" fontId="18" fillId="0" borderId="18" xfId="1" applyFont="1" applyFill="1" applyBorder="1" applyAlignment="1">
      <alignment horizontal="center" vertical="center" wrapText="1"/>
    </xf>
    <xf numFmtId="0" fontId="18" fillId="0" borderId="31" xfId="1" applyFont="1" applyFill="1" applyBorder="1" applyAlignment="1">
      <alignment horizontal="center" vertical="center" wrapText="1"/>
    </xf>
    <xf numFmtId="0" fontId="13" fillId="0" borderId="64" xfId="1" applyNumberFormat="1" applyFont="1" applyFill="1" applyBorder="1" applyAlignment="1">
      <alignment horizontal="center" vertical="center" wrapText="1" shrinkToFit="1"/>
    </xf>
    <xf numFmtId="0" fontId="13" fillId="0" borderId="63" xfId="1" applyNumberFormat="1" applyFont="1" applyFill="1" applyBorder="1" applyAlignment="1">
      <alignment horizontal="center" vertical="center" wrapText="1" shrinkToFit="1"/>
    </xf>
    <xf numFmtId="0" fontId="13" fillId="0" borderId="11" xfId="1" applyNumberFormat="1" applyFont="1" applyFill="1" applyBorder="1" applyAlignment="1">
      <alignment horizontal="center" vertical="center" wrapText="1" shrinkToFit="1"/>
    </xf>
    <xf numFmtId="0" fontId="13" fillId="0" borderId="104" xfId="1" applyNumberFormat="1" applyFont="1" applyFill="1" applyBorder="1" applyAlignment="1">
      <alignment horizontal="center" vertical="center" wrapText="1" shrinkToFit="1"/>
    </xf>
    <xf numFmtId="0" fontId="7" fillId="0" borderId="112" xfId="1" applyNumberFormat="1" applyFont="1" applyFill="1" applyBorder="1" applyAlignment="1">
      <alignment horizontal="distributed" vertical="center" shrinkToFit="1"/>
    </xf>
    <xf numFmtId="0" fontId="7" fillId="0" borderId="111" xfId="1" applyNumberFormat="1" applyFont="1" applyFill="1" applyBorder="1" applyAlignment="1">
      <alignment horizontal="distributed" vertical="center" shrinkToFit="1"/>
    </xf>
    <xf numFmtId="0" fontId="14" fillId="0" borderId="76" xfId="1" applyFont="1" applyFill="1" applyBorder="1" applyAlignment="1">
      <alignment horizontal="distributed" vertical="center"/>
    </xf>
    <xf numFmtId="0" fontId="14" fillId="0" borderId="32" xfId="2" applyFont="1" applyFill="1" applyBorder="1" applyAlignment="1">
      <alignment horizontal="distributed" vertical="center"/>
    </xf>
    <xf numFmtId="0" fontId="14" fillId="0" borderId="18" xfId="2" applyFont="1" applyFill="1" applyBorder="1" applyAlignment="1">
      <alignment horizontal="distributed" vertical="center"/>
    </xf>
    <xf numFmtId="0" fontId="14" fillId="0" borderId="31" xfId="2" applyFont="1" applyFill="1" applyBorder="1" applyAlignment="1">
      <alignment horizontal="distributed" vertical="center"/>
    </xf>
    <xf numFmtId="49" fontId="14" fillId="0" borderId="30" xfId="2" applyNumberFormat="1" applyFont="1" applyFill="1" applyBorder="1" applyAlignment="1">
      <alignment horizontal="right" vertical="center" shrinkToFit="1"/>
    </xf>
    <xf numFmtId="49" fontId="14" fillId="0" borderId="18" xfId="2" applyNumberFormat="1" applyFont="1" applyFill="1" applyBorder="1" applyAlignment="1">
      <alignment horizontal="right" vertical="center" shrinkToFit="1"/>
    </xf>
    <xf numFmtId="49" fontId="14" fillId="0" borderId="17" xfId="2" applyNumberFormat="1" applyFont="1" applyFill="1" applyBorder="1" applyAlignment="1">
      <alignment horizontal="right" vertical="center" shrinkToFit="1"/>
    </xf>
    <xf numFmtId="0" fontId="14" fillId="0" borderId="40" xfId="1" applyFont="1" applyFill="1" applyBorder="1" applyAlignment="1">
      <alignment horizontal="distributed" vertical="center"/>
    </xf>
    <xf numFmtId="0" fontId="14" fillId="0" borderId="39" xfId="1" applyFont="1" applyFill="1" applyBorder="1" applyAlignment="1">
      <alignment horizontal="distributed" vertical="center"/>
    </xf>
    <xf numFmtId="0" fontId="7" fillId="0" borderId="103" xfId="1" applyNumberFormat="1" applyFont="1" applyFill="1" applyBorder="1" applyAlignment="1">
      <alignment horizontal="distributed" vertical="center" shrinkToFit="1"/>
    </xf>
    <xf numFmtId="0" fontId="7" fillId="0" borderId="102" xfId="1" applyNumberFormat="1" applyFont="1" applyFill="1" applyBorder="1" applyAlignment="1">
      <alignment horizontal="distributed" vertical="center" shrinkToFit="1"/>
    </xf>
    <xf numFmtId="0" fontId="12" fillId="0" borderId="32" xfId="1" applyFont="1" applyFill="1" applyBorder="1" applyAlignment="1">
      <alignment horizontal="center" vertical="center" shrinkToFit="1"/>
    </xf>
    <xf numFmtId="0" fontId="12" fillId="0" borderId="31" xfId="1" applyFont="1" applyFill="1" applyBorder="1" applyAlignment="1">
      <alignment horizontal="center" vertical="center" shrinkToFit="1"/>
    </xf>
    <xf numFmtId="0" fontId="7" fillId="0" borderId="64" xfId="1" applyNumberFormat="1" applyFont="1" applyFill="1" applyBorder="1" applyAlignment="1">
      <alignment horizontal="center" vertical="center" wrapText="1" shrinkToFit="1"/>
    </xf>
    <xf numFmtId="0" fontId="7" fillId="0" borderId="63" xfId="1" applyNumberFormat="1" applyFont="1" applyFill="1" applyBorder="1" applyAlignment="1">
      <alignment horizontal="center" vertical="center" wrapText="1" shrinkToFit="1"/>
    </xf>
    <xf numFmtId="0" fontId="7" fillId="0" borderId="49" xfId="1" applyNumberFormat="1" applyFont="1" applyFill="1" applyBorder="1" applyAlignment="1">
      <alignment horizontal="center" vertical="center" wrapText="1" shrinkToFit="1"/>
    </xf>
    <xf numFmtId="0" fontId="7" fillId="0" borderId="75" xfId="1" applyNumberFormat="1" applyFont="1" applyFill="1" applyBorder="1" applyAlignment="1">
      <alignment horizontal="center" vertical="center" wrapText="1" shrinkToFit="1"/>
    </xf>
    <xf numFmtId="49" fontId="14" fillId="0" borderId="24" xfId="2" applyNumberFormat="1" applyFont="1" applyFill="1" applyBorder="1" applyAlignment="1">
      <alignment horizontal="right" vertical="center" shrinkToFit="1"/>
    </xf>
    <xf numFmtId="49" fontId="14" fillId="0" borderId="23" xfId="2" applyNumberFormat="1" applyFont="1" applyFill="1" applyBorder="1" applyAlignment="1">
      <alignment horizontal="right" vertical="center" shrinkToFit="1"/>
    </xf>
    <xf numFmtId="49" fontId="14" fillId="0" borderId="234" xfId="2" applyNumberFormat="1" applyFont="1" applyFill="1" applyBorder="1" applyAlignment="1">
      <alignment horizontal="right" vertical="center" shrinkToFit="1"/>
    </xf>
    <xf numFmtId="0" fontId="14" fillId="0" borderId="41" xfId="2" applyFont="1" applyFill="1" applyBorder="1" applyAlignment="1">
      <alignment horizontal="distributed" vertical="center"/>
    </xf>
    <xf numFmtId="0" fontId="14" fillId="0" borderId="63" xfId="2" applyFont="1" applyFill="1" applyBorder="1" applyAlignment="1">
      <alignment horizontal="distributed" vertical="center"/>
    </xf>
    <xf numFmtId="0" fontId="7" fillId="0" borderId="124" xfId="1" applyNumberFormat="1" applyFont="1" applyFill="1" applyBorder="1" applyAlignment="1">
      <alignment horizontal="distributed" vertical="center" justifyLastLine="1" shrinkToFit="1"/>
    </xf>
    <xf numFmtId="0" fontId="7" fillId="0" borderId="4" xfId="1" applyNumberFormat="1" applyFont="1" applyFill="1" applyBorder="1" applyAlignment="1">
      <alignment horizontal="distributed" vertical="center" justifyLastLine="1" shrinkToFit="1"/>
    </xf>
    <xf numFmtId="0" fontId="7" fillId="0" borderId="121" xfId="1" applyNumberFormat="1" applyFont="1" applyFill="1" applyBorder="1" applyAlignment="1">
      <alignment horizontal="distributed" vertical="center" justifyLastLine="1" shrinkToFit="1"/>
    </xf>
    <xf numFmtId="0" fontId="14" fillId="0" borderId="5" xfId="1" applyFont="1" applyFill="1" applyBorder="1" applyAlignment="1">
      <alignment horizontal="center" vertical="center"/>
    </xf>
    <xf numFmtId="0" fontId="14" fillId="0" borderId="6" xfId="1" applyFont="1" applyFill="1" applyBorder="1" applyAlignment="1">
      <alignment horizontal="center" vertical="center"/>
    </xf>
    <xf numFmtId="0" fontId="14" fillId="0" borderId="6" xfId="1" applyFont="1" applyFill="1" applyBorder="1" applyAlignment="1">
      <alignment horizontal="distributed" vertical="center"/>
    </xf>
    <xf numFmtId="0" fontId="14" fillId="0" borderId="174" xfId="1" applyFont="1" applyFill="1" applyBorder="1" applyAlignment="1">
      <alignment horizontal="distributed" vertical="center"/>
    </xf>
    <xf numFmtId="0" fontId="14" fillId="0" borderId="169" xfId="1" applyFont="1" applyFill="1" applyBorder="1" applyAlignment="1">
      <alignment horizontal="center" vertical="center" textRotation="255"/>
    </xf>
    <xf numFmtId="0" fontId="14" fillId="0" borderId="168" xfId="1" applyFont="1" applyFill="1" applyBorder="1" applyAlignment="1">
      <alignment horizontal="center" vertical="center" textRotation="255"/>
    </xf>
    <xf numFmtId="0" fontId="14" fillId="0" borderId="86" xfId="1" applyFont="1" applyFill="1" applyBorder="1" applyAlignment="1">
      <alignment horizontal="distributed" vertical="center"/>
    </xf>
    <xf numFmtId="49" fontId="14" fillId="0" borderId="170" xfId="2" applyNumberFormat="1" applyFont="1" applyFill="1" applyBorder="1" applyAlignment="1">
      <alignment horizontal="right" vertical="center" shrinkToFit="1"/>
    </xf>
    <xf numFmtId="49" fontId="14" fillId="0" borderId="1" xfId="2" applyNumberFormat="1" applyFont="1" applyFill="1" applyBorder="1" applyAlignment="1">
      <alignment horizontal="right" vertical="center" shrinkToFit="1"/>
    </xf>
    <xf numFmtId="49" fontId="14" fillId="0" borderId="2" xfId="1" applyNumberFormat="1" applyFont="1" applyFill="1" applyBorder="1" applyAlignment="1">
      <alignment horizontal="right" vertical="center" shrinkToFit="1"/>
    </xf>
    <xf numFmtId="49" fontId="14" fillId="0" borderId="41" xfId="1" applyNumberFormat="1" applyFont="1" applyFill="1" applyBorder="1" applyAlignment="1">
      <alignment horizontal="right" vertical="center" shrinkToFit="1"/>
    </xf>
    <xf numFmtId="49" fontId="14" fillId="0" borderId="65" xfId="1" applyNumberFormat="1" applyFont="1" applyFill="1" applyBorder="1" applyAlignment="1">
      <alignment horizontal="right" vertical="center" shrinkToFit="1"/>
    </xf>
    <xf numFmtId="0" fontId="17" fillId="0" borderId="40" xfId="1" applyFont="1" applyFill="1" applyBorder="1" applyAlignment="1">
      <alignment horizontal="center" vertical="center" shrinkToFit="1"/>
    </xf>
    <xf numFmtId="0" fontId="17" fillId="0" borderId="18" xfId="1" applyFont="1" applyFill="1" applyBorder="1" applyAlignment="1">
      <alignment horizontal="center" vertical="center" shrinkToFit="1"/>
    </xf>
    <xf numFmtId="0" fontId="17" fillId="0" borderId="31" xfId="1" applyFont="1" applyFill="1" applyBorder="1" applyAlignment="1">
      <alignment horizontal="center" vertical="center" shrinkToFit="1"/>
    </xf>
    <xf numFmtId="0" fontId="13" fillId="0" borderId="64" xfId="1" applyNumberFormat="1" applyFont="1" applyFill="1" applyBorder="1" applyAlignment="1">
      <alignment horizontal="center" vertical="center" shrinkToFit="1"/>
    </xf>
    <xf numFmtId="0" fontId="13" fillId="0" borderId="63" xfId="1" applyNumberFormat="1" applyFont="1" applyFill="1" applyBorder="1" applyAlignment="1">
      <alignment horizontal="center" vertical="center" shrinkToFit="1"/>
    </xf>
    <xf numFmtId="0" fontId="7" fillId="0" borderId="171" xfId="1" applyNumberFormat="1" applyFont="1" applyFill="1" applyBorder="1" applyAlignment="1">
      <alignment horizontal="distributed" vertical="center" shrinkToFit="1"/>
    </xf>
    <xf numFmtId="0" fontId="7" fillId="0" borderId="173" xfId="1" applyNumberFormat="1" applyFont="1" applyFill="1" applyBorder="1" applyAlignment="1">
      <alignment horizontal="distributed" vertical="center" shrinkToFit="1"/>
    </xf>
    <xf numFmtId="49" fontId="14" fillId="0" borderId="171" xfId="1" applyNumberFormat="1" applyFont="1" applyFill="1" applyBorder="1" applyAlignment="1">
      <alignment horizontal="right" vertical="center" shrinkToFit="1"/>
    </xf>
    <xf numFmtId="49" fontId="14" fillId="0" borderId="69" xfId="1" applyNumberFormat="1" applyFont="1" applyFill="1" applyBorder="1" applyAlignment="1">
      <alignment horizontal="right" vertical="center" shrinkToFit="1"/>
    </xf>
    <xf numFmtId="49" fontId="14" fillId="0" borderId="68" xfId="1" applyNumberFormat="1" applyFont="1" applyFill="1" applyBorder="1" applyAlignment="1">
      <alignment horizontal="right" vertical="center" shrinkToFit="1"/>
    </xf>
    <xf numFmtId="0" fontId="7" fillId="0" borderId="82" xfId="1" applyNumberFormat="1" applyFont="1" applyFill="1" applyBorder="1" applyAlignment="1">
      <alignment horizontal="distributed" vertical="center"/>
    </xf>
    <xf numFmtId="0" fontId="7" fillId="0" borderId="56" xfId="1" applyNumberFormat="1" applyFont="1" applyFill="1" applyBorder="1" applyAlignment="1">
      <alignment horizontal="distributed" vertical="center"/>
    </xf>
    <xf numFmtId="0" fontId="7" fillId="0" borderId="113" xfId="1" applyNumberFormat="1" applyFont="1" applyFill="1" applyBorder="1" applyAlignment="1">
      <alignment horizontal="distributed" vertical="center"/>
    </xf>
    <xf numFmtId="49" fontId="14" fillId="0" borderId="177" xfId="1" applyNumberFormat="1" applyFont="1" applyFill="1" applyBorder="1" applyAlignment="1">
      <alignment horizontal="right" vertical="center" shrinkToFit="1"/>
    </xf>
    <xf numFmtId="0" fontId="14" fillId="0" borderId="47" xfId="1" applyFont="1" applyFill="1" applyBorder="1" applyAlignment="1">
      <alignment horizontal="distributed" vertical="center"/>
    </xf>
    <xf numFmtId="0" fontId="7" fillId="0" borderId="117" xfId="1" applyNumberFormat="1" applyFont="1" applyFill="1" applyBorder="1" applyAlignment="1">
      <alignment horizontal="distributed" vertical="center" shrinkToFit="1"/>
    </xf>
    <xf numFmtId="0" fontId="7" fillId="0" borderId="116" xfId="1" applyNumberFormat="1" applyFont="1" applyFill="1" applyBorder="1" applyAlignment="1">
      <alignment horizontal="distributed" vertical="center" shrinkToFit="1"/>
    </xf>
    <xf numFmtId="0" fontId="7" fillId="0" borderId="175" xfId="1" applyNumberFormat="1" applyFont="1" applyFill="1" applyBorder="1" applyAlignment="1">
      <alignment horizontal="distributed" vertical="center" shrinkToFit="1"/>
    </xf>
    <xf numFmtId="0" fontId="16" fillId="0" borderId="178" xfId="1" applyFont="1" applyFill="1" applyBorder="1" applyAlignment="1">
      <alignment horizontal="center" vertical="center" textRotation="255" shrinkToFit="1"/>
    </xf>
    <xf numFmtId="0" fontId="16" fillId="0" borderId="176" xfId="1" applyFont="1" applyFill="1" applyBorder="1" applyAlignment="1">
      <alignment horizontal="center" vertical="center" textRotation="255" shrinkToFit="1"/>
    </xf>
    <xf numFmtId="0" fontId="7" fillId="0" borderId="117" xfId="1" applyNumberFormat="1" applyFont="1" applyFill="1" applyBorder="1" applyAlignment="1">
      <alignment horizontal="distributed" vertical="center"/>
    </xf>
    <xf numFmtId="0" fontId="14" fillId="0" borderId="178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4" fillId="0" borderId="73" xfId="1" applyFont="1" applyFill="1" applyBorder="1" applyAlignment="1">
      <alignment horizontal="center" vertical="center"/>
    </xf>
    <xf numFmtId="0" fontId="14" fillId="0" borderId="168" xfId="1" applyFont="1" applyFill="1" applyBorder="1" applyAlignment="1">
      <alignment horizontal="center" vertical="center"/>
    </xf>
    <xf numFmtId="0" fontId="14" fillId="0" borderId="10" xfId="1" applyFont="1" applyFill="1" applyBorder="1" applyAlignment="1">
      <alignment horizontal="center" vertical="center"/>
    </xf>
    <xf numFmtId="0" fontId="14" fillId="0" borderId="54" xfId="1" applyFont="1" applyFill="1" applyBorder="1" applyAlignment="1">
      <alignment horizontal="center" vertical="center"/>
    </xf>
    <xf numFmtId="0" fontId="14" fillId="0" borderId="119" xfId="1" applyFont="1" applyFill="1" applyBorder="1" applyAlignment="1">
      <alignment horizontal="distributed" vertical="center"/>
    </xf>
    <xf numFmtId="0" fontId="14" fillId="0" borderId="183" xfId="1" applyFont="1" applyFill="1" applyBorder="1" applyAlignment="1">
      <alignment horizontal="center" vertical="center"/>
    </xf>
    <xf numFmtId="0" fontId="14" fillId="0" borderId="123" xfId="1" applyFont="1" applyFill="1" applyBorder="1" applyAlignment="1">
      <alignment horizontal="center" vertical="center"/>
    </xf>
    <xf numFmtId="0" fontId="14" fillId="0" borderId="122" xfId="1" applyFont="1" applyFill="1" applyBorder="1" applyAlignment="1">
      <alignment horizontal="distributed" vertical="center"/>
    </xf>
    <xf numFmtId="0" fontId="14" fillId="0" borderId="4" xfId="1" applyFont="1" applyFill="1" applyBorder="1" applyAlignment="1">
      <alignment horizontal="distributed" vertical="center"/>
    </xf>
    <xf numFmtId="0" fontId="14" fillId="0" borderId="5" xfId="1" applyFont="1" applyFill="1" applyBorder="1" applyAlignment="1">
      <alignment horizontal="distributed" vertical="center"/>
    </xf>
    <xf numFmtId="49" fontId="14" fillId="0" borderId="7" xfId="1" applyNumberFormat="1" applyFont="1" applyFill="1" applyBorder="1" applyAlignment="1">
      <alignment horizontal="right" vertical="center" shrinkToFit="1"/>
    </xf>
    <xf numFmtId="49" fontId="14" fillId="0" borderId="4" xfId="1" applyNumberFormat="1" applyFont="1" applyFill="1" applyBorder="1" applyAlignment="1">
      <alignment horizontal="right" vertical="center" shrinkToFit="1"/>
    </xf>
    <xf numFmtId="49" fontId="14" fillId="0" borderId="182" xfId="1" applyNumberFormat="1" applyFont="1" applyFill="1" applyBorder="1" applyAlignment="1">
      <alignment horizontal="right" vertical="center" shrinkToFit="1"/>
    </xf>
    <xf numFmtId="0" fontId="12" fillId="0" borderId="113" xfId="1" applyNumberFormat="1" applyFont="1" applyFill="1" applyBorder="1" applyAlignment="1">
      <alignment horizontal="center" vertical="center" shrinkToFit="1"/>
    </xf>
    <xf numFmtId="49" fontId="14" fillId="0" borderId="179" xfId="1" applyNumberFormat="1" applyFont="1" applyFill="1" applyBorder="1" applyAlignment="1">
      <alignment horizontal="right" vertical="center" shrinkToFit="1"/>
    </xf>
    <xf numFmtId="49" fontId="14" fillId="0" borderId="12" xfId="1" applyNumberFormat="1" applyFont="1" applyFill="1" applyBorder="1" applyAlignment="1">
      <alignment horizontal="right" vertical="center" shrinkToFit="1"/>
    </xf>
    <xf numFmtId="49" fontId="14" fillId="0" borderId="16" xfId="1" applyNumberFormat="1" applyFont="1" applyFill="1" applyBorder="1" applyAlignment="1">
      <alignment horizontal="right" vertical="center" shrinkToFit="1"/>
    </xf>
    <xf numFmtId="0" fontId="17" fillId="0" borderId="32" xfId="1" applyFont="1" applyFill="1" applyBorder="1" applyAlignment="1">
      <alignment horizontal="center" vertical="center" shrinkToFit="1"/>
    </xf>
    <xf numFmtId="0" fontId="17" fillId="0" borderId="32" xfId="1" applyFont="1" applyFill="1" applyBorder="1" applyAlignment="1">
      <alignment horizontal="distributed" vertical="center"/>
    </xf>
    <xf numFmtId="0" fontId="17" fillId="0" borderId="18" xfId="1" applyFont="1" applyFill="1" applyBorder="1" applyAlignment="1">
      <alignment horizontal="distributed" vertical="center"/>
    </xf>
    <xf numFmtId="0" fontId="17" fillId="0" borderId="31" xfId="1" applyFont="1" applyFill="1" applyBorder="1" applyAlignment="1">
      <alignment horizontal="distributed" vertical="center"/>
    </xf>
    <xf numFmtId="0" fontId="7" fillId="0" borderId="181" xfId="1" applyFont="1" applyFill="1" applyBorder="1" applyAlignment="1">
      <alignment horizontal="distributed" vertical="center"/>
    </xf>
    <xf numFmtId="0" fontId="7" fillId="0" borderId="12" xfId="1" applyFont="1" applyFill="1" applyBorder="1" applyAlignment="1">
      <alignment horizontal="distributed" vertical="center"/>
    </xf>
    <xf numFmtId="0" fontId="7" fillId="0" borderId="180" xfId="1" applyFont="1" applyFill="1" applyBorder="1" applyAlignment="1">
      <alignment horizontal="distributed" vertical="center"/>
    </xf>
    <xf numFmtId="0" fontId="18" fillId="0" borderId="32" xfId="1" applyFont="1" applyFill="1" applyBorder="1" applyAlignment="1">
      <alignment horizontal="distributed" vertical="center"/>
    </xf>
    <xf numFmtId="0" fontId="18" fillId="0" borderId="18" xfId="1" applyFont="1" applyFill="1" applyBorder="1" applyAlignment="1">
      <alignment horizontal="distributed" vertical="center"/>
    </xf>
    <xf numFmtId="0" fontId="18" fillId="0" borderId="31" xfId="1" applyFont="1" applyFill="1" applyBorder="1" applyAlignment="1">
      <alignment horizontal="distributed" vertical="center"/>
    </xf>
    <xf numFmtId="0" fontId="17" fillId="0" borderId="32" xfId="1" applyFont="1" applyFill="1" applyBorder="1" applyAlignment="1">
      <alignment horizontal="distributed" vertical="center" shrinkToFit="1"/>
    </xf>
    <xf numFmtId="0" fontId="17" fillId="0" borderId="18" xfId="1" applyFont="1" applyFill="1" applyBorder="1" applyAlignment="1">
      <alignment horizontal="distributed" vertical="center" shrinkToFit="1"/>
    </xf>
    <xf numFmtId="0" fontId="17" fillId="0" borderId="31" xfId="1" applyFont="1" applyFill="1" applyBorder="1" applyAlignment="1">
      <alignment horizontal="distributed" vertical="center" shrinkToFit="1"/>
    </xf>
    <xf numFmtId="0" fontId="7" fillId="0" borderId="130" xfId="1" applyFont="1" applyFill="1" applyBorder="1" applyAlignment="1">
      <alignment horizontal="distributed" vertical="center"/>
    </xf>
    <xf numFmtId="0" fontId="7" fillId="0" borderId="106" xfId="1" applyFont="1" applyFill="1" applyBorder="1" applyAlignment="1">
      <alignment horizontal="distributed" vertical="center"/>
    </xf>
    <xf numFmtId="0" fontId="7" fillId="0" borderId="129" xfId="1" applyFont="1" applyFill="1" applyBorder="1" applyAlignment="1">
      <alignment horizontal="distributed" vertical="center"/>
    </xf>
    <xf numFmtId="49" fontId="14" fillId="0" borderId="105" xfId="1" applyNumberFormat="1" applyFont="1" applyFill="1" applyBorder="1" applyAlignment="1">
      <alignment horizontal="right" vertical="center" shrinkToFit="1"/>
    </xf>
    <xf numFmtId="0" fontId="12" fillId="0" borderId="82" xfId="1" applyNumberFormat="1" applyFont="1" applyFill="1" applyBorder="1" applyAlignment="1">
      <alignment horizontal="distributed" vertical="center" shrinkToFit="1"/>
    </xf>
    <xf numFmtId="49" fontId="14" fillId="0" borderId="187" xfId="1" applyNumberFormat="1" applyFont="1" applyFill="1" applyBorder="1" applyAlignment="1">
      <alignment horizontal="right" vertical="center" shrinkToFit="1"/>
    </xf>
    <xf numFmtId="49" fontId="14" fillId="0" borderId="186" xfId="1" applyNumberFormat="1" applyFont="1" applyFill="1" applyBorder="1" applyAlignment="1">
      <alignment horizontal="right" vertical="center" shrinkToFit="1"/>
    </xf>
    <xf numFmtId="49" fontId="14" fillId="0" borderId="185" xfId="1" applyNumberFormat="1" applyFont="1" applyFill="1" applyBorder="1" applyAlignment="1">
      <alignment horizontal="right" vertical="center" shrinkToFit="1"/>
    </xf>
    <xf numFmtId="0" fontId="7" fillId="0" borderId="40" xfId="1" applyFont="1" applyFill="1" applyBorder="1" applyAlignment="1">
      <alignment horizontal="distributed" vertical="center"/>
    </xf>
    <xf numFmtId="0" fontId="7" fillId="0" borderId="26" xfId="1" applyFont="1" applyFill="1" applyBorder="1" applyAlignment="1">
      <alignment horizontal="distributed" vertical="center"/>
    </xf>
    <xf numFmtId="0" fontId="7" fillId="0" borderId="39" xfId="1" applyFont="1" applyFill="1" applyBorder="1" applyAlignment="1">
      <alignment horizontal="distributed" vertical="center"/>
    </xf>
    <xf numFmtId="0" fontId="14" fillId="0" borderId="64" xfId="1" applyFont="1" applyFill="1" applyBorder="1" applyAlignment="1">
      <alignment horizontal="distributed"/>
    </xf>
    <xf numFmtId="0" fontId="14" fillId="0" borderId="41" xfId="1" applyFont="1" applyFill="1" applyBorder="1" applyAlignment="1">
      <alignment horizontal="distributed"/>
    </xf>
    <xf numFmtId="0" fontId="14" fillId="0" borderId="63" xfId="1" applyFont="1" applyFill="1" applyBorder="1" applyAlignment="1">
      <alignment horizontal="distributed"/>
    </xf>
    <xf numFmtId="0" fontId="14" fillId="0" borderId="162" xfId="1" applyFont="1" applyFill="1" applyBorder="1" applyAlignment="1">
      <alignment horizontal="center" vertical="center" textRotation="255"/>
    </xf>
    <xf numFmtId="0" fontId="14" fillId="0" borderId="161" xfId="1" applyFont="1" applyFill="1" applyBorder="1" applyAlignment="1">
      <alignment horizontal="center" vertical="center" textRotation="255"/>
    </xf>
    <xf numFmtId="0" fontId="14" fillId="0" borderId="184" xfId="1" applyFont="1" applyFill="1" applyBorder="1" applyAlignment="1">
      <alignment horizontal="center" vertical="center" textRotation="255"/>
    </xf>
    <xf numFmtId="0" fontId="14" fillId="0" borderId="119" xfId="1" applyFont="1" applyFill="1" applyBorder="1" applyAlignment="1">
      <alignment horizontal="distributed" vertical="center" shrinkToFit="1"/>
    </xf>
    <xf numFmtId="0" fontId="14" fillId="0" borderId="43" xfId="1" applyFont="1" applyFill="1" applyBorder="1" applyAlignment="1">
      <alignment horizontal="distributed" vertical="center" shrinkToFit="1"/>
    </xf>
    <xf numFmtId="0" fontId="14" fillId="0" borderId="42" xfId="1" applyFont="1" applyFill="1" applyBorder="1" applyAlignment="1">
      <alignment horizontal="distributed" vertical="center" shrinkToFit="1"/>
    </xf>
    <xf numFmtId="0" fontId="7" fillId="0" borderId="32" xfId="1" applyFont="1" applyFill="1" applyBorder="1" applyAlignment="1">
      <alignment horizontal="distributed" vertical="center"/>
    </xf>
    <xf numFmtId="0" fontId="7" fillId="0" borderId="18" xfId="1" applyFont="1" applyFill="1" applyBorder="1" applyAlignment="1">
      <alignment horizontal="distributed" vertical="center"/>
    </xf>
    <xf numFmtId="0" fontId="7" fillId="0" borderId="31" xfId="1" applyFont="1" applyFill="1" applyBorder="1" applyAlignment="1">
      <alignment horizontal="distributed" vertical="center"/>
    </xf>
    <xf numFmtId="0" fontId="7" fillId="0" borderId="82" xfId="1" applyNumberFormat="1" applyFont="1" applyFill="1" applyBorder="1" applyAlignment="1">
      <alignment horizontal="distributed" vertical="center" shrinkToFit="1"/>
    </xf>
    <xf numFmtId="49" fontId="14" fillId="0" borderId="127" xfId="1" applyNumberFormat="1" applyFont="1" applyFill="1" applyBorder="1" applyAlignment="1">
      <alignment horizontal="right" vertical="center" shrinkToFit="1"/>
    </xf>
    <xf numFmtId="49" fontId="14" fillId="0" borderId="78" xfId="1" applyNumberFormat="1" applyFont="1" applyFill="1" applyBorder="1" applyAlignment="1">
      <alignment horizontal="right" vertical="center" shrinkToFit="1"/>
    </xf>
    <xf numFmtId="49" fontId="14" fillId="0" borderId="77" xfId="1" applyNumberFormat="1" applyFont="1" applyFill="1" applyBorder="1" applyAlignment="1">
      <alignment horizontal="right" vertical="center" shrinkToFit="1"/>
    </xf>
    <xf numFmtId="0" fontId="14" fillId="0" borderId="32" xfId="1" applyFont="1" applyFill="1" applyBorder="1" applyAlignment="1">
      <alignment horizontal="distributed" vertical="center" shrinkToFit="1"/>
    </xf>
    <xf numFmtId="0" fontId="14" fillId="0" borderId="18" xfId="1" applyFont="1" applyFill="1" applyBorder="1" applyAlignment="1">
      <alignment horizontal="distributed" vertical="center" shrinkToFit="1"/>
    </xf>
    <xf numFmtId="0" fontId="14" fillId="0" borderId="31" xfId="1" applyFont="1" applyFill="1" applyBorder="1" applyAlignment="1">
      <alignment horizontal="distributed" vertical="center" shrinkToFit="1"/>
    </xf>
    <xf numFmtId="0" fontId="12" fillId="0" borderId="32" xfId="1" applyFont="1" applyFill="1" applyBorder="1" applyAlignment="1">
      <alignment horizontal="distributed" vertical="center"/>
    </xf>
    <xf numFmtId="0" fontId="12" fillId="0" borderId="18" xfId="1" applyFont="1" applyFill="1" applyBorder="1" applyAlignment="1">
      <alignment horizontal="distributed" vertical="center"/>
    </xf>
    <xf numFmtId="0" fontId="12" fillId="0" borderId="31" xfId="1" applyFont="1" applyFill="1" applyBorder="1" applyAlignment="1">
      <alignment horizontal="distributed" vertical="center"/>
    </xf>
    <xf numFmtId="0" fontId="14" fillId="0" borderId="162" xfId="1" applyFont="1" applyFill="1" applyBorder="1" applyAlignment="1">
      <alignment horizontal="center" vertical="center" textRotation="255" shrinkToFit="1"/>
    </xf>
    <xf numFmtId="0" fontId="14" fillId="0" borderId="161" xfId="1" applyFont="1" applyFill="1" applyBorder="1" applyAlignment="1">
      <alignment horizontal="center" vertical="center" textRotation="255" shrinkToFit="1"/>
    </xf>
    <xf numFmtId="0" fontId="14" fillId="0" borderId="184" xfId="1" applyFont="1" applyFill="1" applyBorder="1" applyAlignment="1">
      <alignment horizontal="center" vertical="center" textRotation="255" shrinkToFit="1"/>
    </xf>
    <xf numFmtId="0" fontId="7" fillId="0" borderId="41" xfId="1" applyFont="1" applyFill="1" applyBorder="1" applyAlignment="1">
      <alignment horizontal="distributed" vertical="center"/>
    </xf>
    <xf numFmtId="0" fontId="7" fillId="0" borderId="43" xfId="1" applyFont="1" applyFill="1" applyBorder="1" applyAlignment="1">
      <alignment horizontal="distributed" vertical="center"/>
    </xf>
    <xf numFmtId="0" fontId="7" fillId="0" borderId="42" xfId="1" applyFont="1" applyFill="1" applyBorder="1" applyAlignment="1">
      <alignment horizontal="distributed" vertical="center"/>
    </xf>
    <xf numFmtId="49" fontId="14" fillId="0" borderId="146" xfId="1" applyNumberFormat="1" applyFont="1" applyFill="1" applyBorder="1" applyAlignment="1">
      <alignment horizontal="right" vertical="center" shrinkToFit="1"/>
    </xf>
    <xf numFmtId="49" fontId="14" fillId="0" borderId="145" xfId="1" applyNumberFormat="1" applyFont="1" applyFill="1" applyBorder="1" applyAlignment="1">
      <alignment horizontal="right" vertical="center" shrinkToFit="1"/>
    </xf>
    <xf numFmtId="49" fontId="14" fillId="0" borderId="144" xfId="1" applyNumberFormat="1" applyFont="1" applyFill="1" applyBorder="1" applyAlignment="1">
      <alignment horizontal="right" vertical="center" shrinkToFit="1"/>
    </xf>
    <xf numFmtId="0" fontId="7" fillId="0" borderId="98" xfId="1" applyFont="1" applyFill="1" applyBorder="1" applyAlignment="1">
      <alignment horizontal="distributed" vertical="center"/>
    </xf>
    <xf numFmtId="0" fontId="7" fillId="0" borderId="23" xfId="1" applyFont="1" applyFill="1" applyBorder="1" applyAlignment="1">
      <alignment horizontal="distributed" vertical="center"/>
    </xf>
    <xf numFmtId="0" fontId="7" fillId="0" borderId="87" xfId="1" applyFont="1" applyFill="1" applyBorder="1" applyAlignment="1">
      <alignment horizontal="distributed" vertical="center"/>
    </xf>
    <xf numFmtId="0" fontId="7" fillId="0" borderId="64" xfId="1" applyFont="1" applyFill="1" applyBorder="1" applyAlignment="1">
      <alignment horizontal="distributed" vertical="center"/>
    </xf>
    <xf numFmtId="0" fontId="8" fillId="0" borderId="49" xfId="1" applyNumberFormat="1" applyFont="1" applyFill="1" applyBorder="1" applyAlignment="1">
      <alignment horizontal="left" vertical="center"/>
    </xf>
    <xf numFmtId="0" fontId="8" fillId="0" borderId="3" xfId="1" applyNumberFormat="1" applyFont="1" applyFill="1" applyBorder="1" applyAlignment="1">
      <alignment horizontal="left" vertical="center"/>
    </xf>
    <xf numFmtId="0" fontId="8" fillId="0" borderId="190" xfId="1" applyNumberFormat="1" applyFont="1" applyFill="1" applyBorder="1" applyAlignment="1">
      <alignment horizontal="left" vertical="center"/>
    </xf>
    <xf numFmtId="0" fontId="8" fillId="0" borderId="189" xfId="1" applyNumberFormat="1" applyFont="1" applyFill="1" applyBorder="1" applyAlignment="1">
      <alignment horizontal="left" vertical="center"/>
    </xf>
    <xf numFmtId="0" fontId="8" fillId="0" borderId="157" xfId="1" applyNumberFormat="1" applyFont="1" applyFill="1" applyBorder="1" applyAlignment="1">
      <alignment horizontal="left" vertical="center"/>
    </xf>
    <xf numFmtId="0" fontId="8" fillId="0" borderId="49" xfId="1" applyNumberFormat="1" applyFont="1" applyFill="1" applyBorder="1" applyAlignment="1">
      <alignment horizontal="left" vertical="distributed"/>
    </xf>
    <xf numFmtId="0" fontId="7" fillId="0" borderId="3" xfId="1" applyNumberFormat="1" applyFont="1" applyFill="1" applyBorder="1" applyAlignment="1">
      <alignment horizontal="left" vertical="distributed"/>
    </xf>
    <xf numFmtId="0" fontId="7" fillId="0" borderId="100" xfId="1" applyNumberFormat="1" applyFont="1" applyFill="1" applyBorder="1" applyAlignment="1">
      <alignment horizontal="left" vertical="distributed"/>
    </xf>
    <xf numFmtId="0" fontId="14" fillId="0" borderId="49" xfId="1" applyFont="1" applyFill="1" applyBorder="1" applyAlignment="1">
      <alignment horizontal="distributed" vertical="center" justifyLastLine="1"/>
    </xf>
    <xf numFmtId="0" fontId="14" fillId="0" borderId="176" xfId="1" applyFont="1" applyFill="1" applyBorder="1" applyAlignment="1">
      <alignment horizontal="distributed" vertical="center" justifyLastLine="1"/>
    </xf>
    <xf numFmtId="0" fontId="7" fillId="0" borderId="74" xfId="1" applyFont="1" applyFill="1" applyBorder="1" applyAlignment="1">
      <alignment horizontal="center" vertical="center" shrinkToFit="1"/>
    </xf>
    <xf numFmtId="0" fontId="7" fillId="0" borderId="3" xfId="1" applyFont="1" applyFill="1" applyBorder="1" applyAlignment="1">
      <alignment horizontal="center" vertical="center" shrinkToFit="1"/>
    </xf>
    <xf numFmtId="0" fontId="7" fillId="0" borderId="100" xfId="1" applyFont="1" applyFill="1" applyBorder="1" applyAlignment="1">
      <alignment horizontal="center" vertical="center" shrinkToFit="1"/>
    </xf>
    <xf numFmtId="0" fontId="7" fillId="0" borderId="124" xfId="1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0" fontId="7" fillId="0" borderId="5" xfId="1" applyNumberFormat="1" applyFont="1" applyFill="1" applyBorder="1" applyAlignment="1">
      <alignment horizontal="center" vertical="center"/>
    </xf>
    <xf numFmtId="0" fontId="7" fillId="0" borderId="7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7" fillId="0" borderId="121" xfId="1" applyNumberFormat="1" applyFont="1" applyFill="1" applyBorder="1" applyAlignment="1">
      <alignment horizontal="center" vertical="center" wrapText="1"/>
    </xf>
    <xf numFmtId="0" fontId="7" fillId="0" borderId="64" xfId="1" applyNumberFormat="1" applyFont="1" applyFill="1" applyBorder="1" applyAlignment="1">
      <alignment horizontal="distributed" vertical="distributed"/>
    </xf>
    <xf numFmtId="0" fontId="7" fillId="0" borderId="41" xfId="1" applyNumberFormat="1" applyFont="1" applyFill="1" applyBorder="1" applyAlignment="1">
      <alignment horizontal="distributed" vertical="distributed"/>
    </xf>
    <xf numFmtId="0" fontId="7" fillId="0" borderId="63" xfId="1" applyNumberFormat="1" applyFont="1" applyFill="1" applyBorder="1" applyAlignment="1">
      <alignment horizontal="distributed" vertical="distributed"/>
    </xf>
    <xf numFmtId="0" fontId="7" fillId="0" borderId="233" xfId="1" applyNumberFormat="1" applyFont="1" applyFill="1" applyBorder="1" applyAlignment="1">
      <alignment horizontal="center" vertical="center" shrinkToFit="1"/>
    </xf>
    <xf numFmtId="0" fontId="7" fillId="0" borderId="6" xfId="1" applyNumberFormat="1" applyFont="1" applyFill="1" applyBorder="1" applyAlignment="1">
      <alignment horizontal="center" vertical="center" shrinkToFit="1"/>
    </xf>
    <xf numFmtId="0" fontId="7" fillId="0" borderId="6" xfId="1" applyNumberFormat="1" applyFont="1" applyFill="1" applyBorder="1" applyAlignment="1">
      <alignment horizontal="center" vertical="center"/>
    </xf>
    <xf numFmtId="0" fontId="7" fillId="0" borderId="174" xfId="1" applyNumberFormat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121" xfId="1" applyFont="1" applyFill="1" applyBorder="1" applyAlignment="1">
      <alignment horizontal="center" vertical="center"/>
    </xf>
    <xf numFmtId="0" fontId="7" fillId="0" borderId="124" xfId="1" applyNumberFormat="1" applyFont="1" applyFill="1" applyBorder="1" applyAlignment="1">
      <alignment horizontal="center" vertical="center" shrinkToFit="1"/>
    </xf>
    <xf numFmtId="0" fontId="7" fillId="0" borderId="4" xfId="1" applyNumberFormat="1" applyFont="1" applyFill="1" applyBorder="1" applyAlignment="1">
      <alignment horizontal="center" vertical="center" shrinkToFit="1"/>
    </xf>
    <xf numFmtId="0" fontId="7" fillId="0" borderId="5" xfId="1" applyNumberFormat="1" applyFont="1" applyFill="1" applyBorder="1" applyAlignment="1">
      <alignment horizontal="center" vertical="center" shrinkToFit="1"/>
    </xf>
    <xf numFmtId="0" fontId="7" fillId="0" borderId="7" xfId="1" applyNumberFormat="1" applyFont="1" applyFill="1" applyBorder="1" applyAlignment="1">
      <alignment horizontal="center" vertical="center" shrinkToFit="1"/>
    </xf>
    <xf numFmtId="0" fontId="7" fillId="0" borderId="5" xfId="1" applyFont="1" applyFill="1" applyBorder="1" applyAlignment="1">
      <alignment horizontal="center" vertical="center"/>
    </xf>
    <xf numFmtId="0" fontId="10" fillId="0" borderId="7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49" fontId="7" fillId="0" borderId="124" xfId="1" applyNumberFormat="1" applyFont="1" applyFill="1" applyBorder="1" applyAlignment="1">
      <alignment horizontal="center" vertical="center"/>
    </xf>
    <xf numFmtId="0" fontId="7" fillId="0" borderId="106" xfId="1" applyNumberFormat="1" applyFont="1" applyFill="1" applyBorder="1" applyAlignment="1">
      <alignment horizontal="center" vertical="center" shrinkToFit="1"/>
    </xf>
    <xf numFmtId="0" fontId="7" fillId="0" borderId="105" xfId="1" applyNumberFormat="1" applyFont="1" applyFill="1" applyBorder="1" applyAlignment="1">
      <alignment horizontal="center" vertical="center" shrinkToFit="1"/>
    </xf>
    <xf numFmtId="0" fontId="7" fillId="0" borderId="134" xfId="1" applyNumberFormat="1" applyFont="1" applyFill="1" applyBorder="1" applyAlignment="1">
      <alignment horizontal="distributed" vertical="center"/>
    </xf>
    <xf numFmtId="0" fontId="7" fillId="0" borderId="48" xfId="1" applyNumberFormat="1" applyFont="1" applyFill="1" applyBorder="1" applyAlignment="1">
      <alignment horizontal="distributed" vertical="center"/>
    </xf>
    <xf numFmtId="0" fontId="15" fillId="0" borderId="0" xfId="1" applyFont="1" applyFill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49" fontId="7" fillId="0" borderId="212" xfId="1" applyNumberFormat="1" applyFont="1" applyFill="1" applyBorder="1" applyAlignment="1">
      <alignment horizontal="right" vertical="center" shrinkToFit="1"/>
    </xf>
    <xf numFmtId="49" fontId="7" fillId="0" borderId="142" xfId="1" applyNumberFormat="1" applyFont="1" applyFill="1" applyBorder="1" applyAlignment="1">
      <alignment horizontal="right" vertical="center" shrinkToFit="1"/>
    </xf>
    <xf numFmtId="49" fontId="7" fillId="0" borderId="211" xfId="1" applyNumberFormat="1" applyFont="1" applyFill="1" applyBorder="1" applyAlignment="1">
      <alignment horizontal="right" vertical="center" shrinkToFit="1"/>
    </xf>
    <xf numFmtId="49" fontId="7" fillId="0" borderId="210" xfId="1" applyNumberFormat="1" applyFont="1" applyFill="1" applyBorder="1" applyAlignment="1">
      <alignment horizontal="right" vertical="center" shrinkToFit="1"/>
    </xf>
    <xf numFmtId="49" fontId="7" fillId="0" borderId="43" xfId="1" applyNumberFormat="1" applyFont="1" applyFill="1" applyBorder="1" applyAlignment="1">
      <alignment horizontal="right" vertical="center" shrinkToFit="1"/>
    </xf>
    <xf numFmtId="49" fontId="7" fillId="0" borderId="155" xfId="1" applyNumberFormat="1" applyFont="1" applyFill="1" applyBorder="1" applyAlignment="1">
      <alignment horizontal="right" vertical="center" shrinkToFit="1"/>
    </xf>
    <xf numFmtId="0" fontId="20" fillId="0" borderId="135" xfId="1" applyNumberFormat="1" applyFont="1" applyFill="1" applyBorder="1" applyAlignment="1">
      <alignment horizontal="distributed" vertical="center"/>
    </xf>
    <xf numFmtId="0" fontId="20" fillId="0" borderId="40" xfId="1" applyNumberFormat="1" applyFont="1" applyFill="1" applyBorder="1" applyAlignment="1">
      <alignment horizontal="distributed" vertical="center"/>
    </xf>
    <xf numFmtId="49" fontId="7" fillId="0" borderId="209" xfId="1" applyNumberFormat="1" applyFont="1" applyFill="1" applyBorder="1" applyAlignment="1">
      <alignment horizontal="right" vertical="center" shrinkToFit="1"/>
    </xf>
    <xf numFmtId="49" fontId="7" fillId="0" borderId="90" xfId="1" applyNumberFormat="1" applyFont="1" applyFill="1" applyBorder="1" applyAlignment="1">
      <alignment horizontal="right" vertical="center" shrinkToFit="1"/>
    </xf>
    <xf numFmtId="49" fontId="7" fillId="0" borderId="208" xfId="1" applyNumberFormat="1" applyFont="1" applyFill="1" applyBorder="1" applyAlignment="1">
      <alignment horizontal="right" vertical="center" shrinkToFit="1"/>
    </xf>
    <xf numFmtId="49" fontId="7" fillId="0" borderId="177" xfId="1" applyNumberFormat="1" applyFont="1" applyFill="1" applyBorder="1" applyAlignment="1">
      <alignment horizontal="right" vertical="center" shrinkToFit="1"/>
    </xf>
    <xf numFmtId="49" fontId="7" fillId="0" borderId="18" xfId="1" applyNumberFormat="1" applyFont="1" applyFill="1" applyBorder="1" applyAlignment="1">
      <alignment horizontal="right" vertical="center" shrinkToFit="1"/>
    </xf>
    <xf numFmtId="49" fontId="7" fillId="0" borderId="153" xfId="1" applyNumberFormat="1" applyFont="1" applyFill="1" applyBorder="1" applyAlignment="1">
      <alignment horizontal="right" vertical="center" shrinkToFit="1"/>
    </xf>
    <xf numFmtId="49" fontId="7" fillId="0" borderId="205" xfId="1" applyNumberFormat="1" applyFont="1" applyFill="1" applyBorder="1" applyAlignment="1">
      <alignment horizontal="right" vertical="center" shrinkToFit="1"/>
    </xf>
    <xf numFmtId="49" fontId="7" fillId="0" borderId="46" xfId="1" applyNumberFormat="1" applyFont="1" applyFill="1" applyBorder="1" applyAlignment="1">
      <alignment horizontal="right" vertical="center" shrinkToFit="1"/>
    </xf>
    <xf numFmtId="49" fontId="7" fillId="0" borderId="163" xfId="1" applyNumberFormat="1" applyFont="1" applyFill="1" applyBorder="1" applyAlignment="1">
      <alignment horizontal="right" vertical="center" shrinkToFit="1"/>
    </xf>
    <xf numFmtId="49" fontId="7" fillId="0" borderId="15" xfId="1" applyNumberFormat="1" applyFont="1" applyFill="1" applyBorder="1" applyAlignment="1">
      <alignment horizontal="right" vertical="center" shrinkToFit="1"/>
    </xf>
    <xf numFmtId="49" fontId="7" fillId="0" borderId="14" xfId="1" applyNumberFormat="1" applyFont="1" applyFill="1" applyBorder="1" applyAlignment="1">
      <alignment horizontal="right" vertical="center" shrinkToFit="1"/>
    </xf>
    <xf numFmtId="49" fontId="7" fillId="0" borderId="21" xfId="1" applyNumberFormat="1" applyFont="1" applyFill="1" applyBorder="1" applyAlignment="1">
      <alignment horizontal="right" vertical="center" shrinkToFit="1"/>
    </xf>
    <xf numFmtId="49" fontId="7" fillId="0" borderId="13" xfId="1" applyNumberFormat="1" applyFont="1" applyFill="1" applyBorder="1" applyAlignment="1">
      <alignment horizontal="right" vertical="center" shrinkToFit="1"/>
    </xf>
    <xf numFmtId="49" fontId="7" fillId="0" borderId="76" xfId="1" applyNumberFormat="1" applyFont="1" applyFill="1" applyBorder="1" applyAlignment="1">
      <alignment horizontal="center" vertical="center" shrinkToFit="1"/>
    </xf>
    <xf numFmtId="49" fontId="7" fillId="0" borderId="26" xfId="1" applyNumberFormat="1" applyFont="1" applyFill="1" applyBorder="1" applyAlignment="1">
      <alignment horizontal="center" vertical="center" shrinkToFit="1"/>
    </xf>
    <xf numFmtId="49" fontId="7" fillId="0" borderId="39" xfId="1" applyNumberFormat="1" applyFont="1" applyFill="1" applyBorder="1" applyAlignment="1">
      <alignment horizontal="center" vertical="center" shrinkToFit="1"/>
    </xf>
    <xf numFmtId="49" fontId="7" fillId="0" borderId="30" xfId="1" applyNumberFormat="1" applyFont="1" applyFill="1" applyBorder="1" applyAlignment="1">
      <alignment horizontal="right" vertical="center" shrinkToFit="1"/>
    </xf>
    <xf numFmtId="49" fontId="7" fillId="0" borderId="31" xfId="1" applyNumberFormat="1" applyFont="1" applyFill="1" applyBorder="1" applyAlignment="1">
      <alignment horizontal="right" vertical="center" shrinkToFit="1"/>
    </xf>
    <xf numFmtId="49" fontId="7" fillId="0" borderId="17" xfId="1" applyNumberFormat="1" applyFont="1" applyFill="1" applyBorder="1" applyAlignment="1">
      <alignment horizontal="right" vertical="center" shrinkToFit="1"/>
    </xf>
    <xf numFmtId="49" fontId="7" fillId="0" borderId="201" xfId="1" applyNumberFormat="1" applyFont="1" applyFill="1" applyBorder="1" applyAlignment="1">
      <alignment horizontal="right" vertical="center" shrinkToFit="1"/>
    </xf>
    <xf numFmtId="49" fontId="7" fillId="0" borderId="200" xfId="1" applyNumberFormat="1" applyFont="1" applyFill="1" applyBorder="1" applyAlignment="1">
      <alignment horizontal="right" vertical="center" shrinkToFit="1"/>
    </xf>
    <xf numFmtId="49" fontId="7" fillId="0" borderId="199" xfId="1" applyNumberFormat="1" applyFont="1" applyFill="1" applyBorder="1" applyAlignment="1">
      <alignment horizontal="right" vertical="center" shrinkToFit="1"/>
    </xf>
    <xf numFmtId="0" fontId="7" fillId="0" borderId="32" xfId="2" applyNumberFormat="1" applyFont="1" applyFill="1" applyBorder="1" applyAlignment="1">
      <alignment horizontal="distributed" vertical="center" shrinkToFit="1"/>
    </xf>
    <xf numFmtId="0" fontId="7" fillId="0" borderId="18" xfId="2" applyNumberFormat="1" applyFont="1" applyFill="1" applyBorder="1" applyAlignment="1">
      <alignment horizontal="distributed" vertical="center" shrinkToFit="1"/>
    </xf>
    <xf numFmtId="0" fontId="7" fillId="0" borderId="45" xfId="2" applyNumberFormat="1" applyFont="1" applyFill="1" applyBorder="1" applyAlignment="1">
      <alignment horizontal="distributed" vertical="center" shrinkToFit="1"/>
    </xf>
    <xf numFmtId="0" fontId="7" fillId="0" borderId="40" xfId="1" applyNumberFormat="1" applyFont="1" applyFill="1" applyBorder="1" applyAlignment="1">
      <alignment horizontal="distributed" vertical="center"/>
    </xf>
    <xf numFmtId="0" fontId="7" fillId="0" borderId="26" xfId="1" applyNumberFormat="1" applyFont="1" applyFill="1" applyBorder="1" applyAlignment="1">
      <alignment horizontal="distributed" vertical="center"/>
    </xf>
    <xf numFmtId="0" fontId="7" fillId="0" borderId="137" xfId="1" applyNumberFormat="1" applyFont="1" applyFill="1" applyBorder="1" applyAlignment="1">
      <alignment horizontal="distributed" vertical="center"/>
    </xf>
    <xf numFmtId="0" fontId="7" fillId="0" borderId="40" xfId="2" applyNumberFormat="1" applyFont="1" applyFill="1" applyBorder="1" applyAlignment="1">
      <alignment horizontal="distributed" vertical="center" shrinkToFit="1"/>
    </xf>
    <xf numFmtId="0" fontId="7" fillId="0" borderId="26" xfId="2" applyNumberFormat="1" applyFont="1" applyFill="1" applyBorder="1" applyAlignment="1">
      <alignment horizontal="distributed" vertical="center" shrinkToFit="1"/>
    </xf>
    <xf numFmtId="0" fontId="7" fillId="0" borderId="137" xfId="2" applyNumberFormat="1" applyFont="1" applyFill="1" applyBorder="1" applyAlignment="1">
      <alignment horizontal="distributed" vertical="center" shrinkToFit="1"/>
    </xf>
    <xf numFmtId="0" fontId="7" fillId="0" borderId="193" xfId="2" applyNumberFormat="1" applyFont="1" applyFill="1" applyBorder="1" applyAlignment="1">
      <alignment horizontal="distributed" vertical="center" shrinkToFit="1"/>
    </xf>
    <xf numFmtId="0" fontId="7" fillId="0" borderId="149" xfId="2" applyNumberFormat="1" applyFont="1" applyFill="1" applyBorder="1" applyAlignment="1">
      <alignment horizontal="distributed" vertical="center" shrinkToFit="1"/>
    </xf>
    <xf numFmtId="0" fontId="7" fillId="0" borderId="192" xfId="2" applyNumberFormat="1" applyFont="1" applyFill="1" applyBorder="1" applyAlignment="1">
      <alignment horizontal="distributed" vertical="center" shrinkToFit="1"/>
    </xf>
    <xf numFmtId="0" fontId="7" fillId="0" borderId="178" xfId="2" applyNumberFormat="1" applyFont="1" applyFill="1" applyBorder="1" applyAlignment="1">
      <alignment horizontal="center" vertical="center" textRotation="255"/>
    </xf>
    <xf numFmtId="0" fontId="7" fillId="0" borderId="41" xfId="2" applyNumberFormat="1" applyFont="1" applyFill="1" applyBorder="1" applyAlignment="1">
      <alignment horizontal="center" vertical="center" textRotation="255"/>
    </xf>
    <xf numFmtId="0" fontId="7" fillId="0" borderId="169" xfId="2" applyNumberFormat="1" applyFont="1" applyFill="1" applyBorder="1" applyAlignment="1">
      <alignment horizontal="center" vertical="center" textRotation="255"/>
    </xf>
    <xf numFmtId="0" fontId="7" fillId="0" borderId="0" xfId="2" applyNumberFormat="1" applyFont="1" applyFill="1" applyBorder="1" applyAlignment="1">
      <alignment horizontal="center" vertical="center" textRotation="255"/>
    </xf>
    <xf numFmtId="0" fontId="7" fillId="0" borderId="197" xfId="2" applyNumberFormat="1" applyFont="1" applyFill="1" applyBorder="1" applyAlignment="1">
      <alignment horizontal="center" vertical="center" textRotation="255"/>
    </xf>
    <xf numFmtId="0" fontId="7" fillId="0" borderId="196" xfId="2" applyNumberFormat="1" applyFont="1" applyFill="1" applyBorder="1" applyAlignment="1">
      <alignment horizontal="center" vertical="center" textRotation="255"/>
    </xf>
    <xf numFmtId="0" fontId="7" fillId="0" borderId="136" xfId="2" applyNumberFormat="1" applyFont="1" applyFill="1" applyBorder="1" applyAlignment="1">
      <alignment horizontal="center" vertical="center" textRotation="255"/>
    </xf>
    <xf numFmtId="0" fontId="7" fillId="0" borderId="73" xfId="2" applyNumberFormat="1" applyFont="1" applyFill="1" applyBorder="1" applyAlignment="1">
      <alignment horizontal="center" vertical="center" textRotation="255"/>
    </xf>
    <xf numFmtId="0" fontId="7" fillId="0" borderId="98" xfId="2" applyNumberFormat="1" applyFont="1" applyFill="1" applyBorder="1" applyAlignment="1">
      <alignment horizontal="center" vertical="center" textRotation="255"/>
    </xf>
    <xf numFmtId="0" fontId="7" fillId="0" borderId="60" xfId="2" applyNumberFormat="1" applyFont="1" applyFill="1" applyBorder="1" applyAlignment="1">
      <alignment horizontal="center" vertical="center" textRotation="255"/>
    </xf>
    <xf numFmtId="0" fontId="7" fillId="0" borderId="40" xfId="2" applyNumberFormat="1" applyFont="1" applyFill="1" applyBorder="1" applyAlignment="1">
      <alignment horizontal="center" vertical="center"/>
    </xf>
    <xf numFmtId="0" fontId="7" fillId="0" borderId="137" xfId="2" applyNumberFormat="1" applyFont="1" applyFill="1" applyBorder="1" applyAlignment="1">
      <alignment horizontal="center" vertical="center"/>
    </xf>
    <xf numFmtId="0" fontId="7" fillId="0" borderId="98" xfId="2" applyNumberFormat="1" applyFont="1" applyFill="1" applyBorder="1" applyAlignment="1">
      <alignment horizontal="center" vertical="center"/>
    </xf>
    <xf numFmtId="0" fontId="7" fillId="0" borderId="60" xfId="2" applyNumberFormat="1" applyFont="1" applyFill="1" applyBorder="1" applyAlignment="1">
      <alignment horizontal="center" vertical="center"/>
    </xf>
    <xf numFmtId="0" fontId="7" fillId="0" borderId="195" xfId="2" applyNumberFormat="1" applyFont="1" applyFill="1" applyBorder="1" applyAlignment="1">
      <alignment horizontal="center" vertical="center"/>
    </xf>
    <xf numFmtId="0" fontId="7" fillId="0" borderId="194" xfId="2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horizontal="distributed" vertical="center" shrinkToFit="1"/>
    </xf>
    <xf numFmtId="0" fontId="7" fillId="0" borderId="60" xfId="2" applyNumberFormat="1" applyFont="1" applyFill="1" applyBorder="1" applyAlignment="1">
      <alignment horizontal="distributed" vertical="center" shrinkToFit="1"/>
    </xf>
    <xf numFmtId="0" fontId="7" fillId="0" borderId="55" xfId="1" applyNumberFormat="1" applyFont="1" applyFill="1" applyBorder="1" applyAlignment="1">
      <alignment horizontal="distributed" vertical="center" wrapText="1"/>
    </xf>
    <xf numFmtId="0" fontId="7" fillId="0" borderId="133" xfId="1" applyNumberFormat="1" applyFont="1" applyFill="1" applyBorder="1" applyAlignment="1">
      <alignment horizontal="distributed" vertical="center" wrapText="1"/>
    </xf>
    <xf numFmtId="0" fontId="7" fillId="0" borderId="48" xfId="1" applyNumberFormat="1" applyFont="1" applyFill="1" applyBorder="1" applyAlignment="1">
      <alignment horizontal="distributed" vertical="center" wrapText="1"/>
    </xf>
    <xf numFmtId="0" fontId="7" fillId="0" borderId="96" xfId="1" applyNumberFormat="1" applyFont="1" applyFill="1" applyBorder="1" applyAlignment="1">
      <alignment horizontal="distributed" vertical="center" wrapText="1"/>
    </xf>
    <xf numFmtId="0" fontId="7" fillId="0" borderId="22" xfId="1" applyNumberFormat="1" applyFont="1" applyFill="1" applyBorder="1" applyAlignment="1">
      <alignment horizontal="distributed" vertical="center"/>
    </xf>
    <xf numFmtId="0" fontId="7" fillId="0" borderId="14" xfId="1" applyNumberFormat="1" applyFont="1" applyFill="1" applyBorder="1" applyAlignment="1">
      <alignment horizontal="distributed" vertical="center"/>
    </xf>
    <xf numFmtId="0" fontId="7" fillId="0" borderId="37" xfId="1" applyNumberFormat="1" applyFont="1" applyFill="1" applyBorder="1" applyAlignment="1">
      <alignment horizontal="distributed" vertical="center"/>
    </xf>
    <xf numFmtId="49" fontId="7" fillId="0" borderId="207" xfId="1" applyNumberFormat="1" applyFont="1" applyFill="1" applyBorder="1" applyAlignment="1">
      <alignment horizontal="right" vertical="center" shrinkToFit="1"/>
    </xf>
    <xf numFmtId="49" fontId="7" fillId="0" borderId="131" xfId="1" applyNumberFormat="1" applyFont="1" applyFill="1" applyBorder="1" applyAlignment="1">
      <alignment horizontal="right" vertical="center" shrinkToFit="1"/>
    </xf>
    <xf numFmtId="49" fontId="7" fillId="0" borderId="206" xfId="1" applyNumberFormat="1" applyFont="1" applyFill="1" applyBorder="1" applyAlignment="1">
      <alignment horizontal="right" vertical="center" shrinkToFit="1"/>
    </xf>
    <xf numFmtId="0" fontId="7" fillId="0" borderId="0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61" xfId="1" applyNumberFormat="1" applyFont="1" applyFill="1" applyBorder="1" applyAlignment="1">
      <alignment horizontal="distributed" vertical="center"/>
    </xf>
    <xf numFmtId="0" fontId="7" fillId="0" borderId="98" xfId="1" applyNumberFormat="1" applyFont="1" applyFill="1" applyBorder="1" applyAlignment="1">
      <alignment horizontal="distributed" vertical="center"/>
    </xf>
    <xf numFmtId="0" fontId="7" fillId="0" borderId="41" xfId="2" applyNumberFormat="1" applyFont="1" applyFill="1" applyBorder="1" applyAlignment="1">
      <alignment horizontal="distributed" vertical="center" shrinkToFit="1"/>
    </xf>
    <xf numFmtId="0" fontId="7" fillId="0" borderId="73" xfId="2" applyNumberFormat="1" applyFont="1" applyFill="1" applyBorder="1" applyAlignment="1">
      <alignment horizontal="distributed" vertical="center" shrinkToFit="1"/>
    </xf>
    <xf numFmtId="0" fontId="7" fillId="0" borderId="88" xfId="1" applyNumberFormat="1" applyFont="1" applyFill="1" applyBorder="1" applyAlignment="1">
      <alignment horizontal="center" vertical="center" textRotation="255"/>
    </xf>
    <xf numFmtId="0" fontId="7" fillId="0" borderId="0" xfId="1" applyNumberFormat="1" applyFont="1" applyFill="1" applyBorder="1" applyAlignment="1">
      <alignment horizontal="center" vertical="center" textRotation="255"/>
    </xf>
    <xf numFmtId="0" fontId="7" fillId="0" borderId="74" xfId="1" applyNumberFormat="1" applyFont="1" applyFill="1" applyBorder="1" applyAlignment="1">
      <alignment horizontal="center" vertical="center" textRotation="255"/>
    </xf>
    <xf numFmtId="0" fontId="7" fillId="0" borderId="3" xfId="1" applyNumberFormat="1" applyFont="1" applyFill="1" applyBorder="1" applyAlignment="1">
      <alignment horizontal="center" vertical="center" textRotation="255"/>
    </xf>
    <xf numFmtId="0" fontId="7" fillId="0" borderId="55" xfId="1" applyNumberFormat="1" applyFont="1" applyFill="1" applyBorder="1" applyAlignment="1">
      <alignment horizontal="distributed" vertical="center"/>
    </xf>
    <xf numFmtId="0" fontId="7" fillId="0" borderId="23" xfId="1" applyNumberFormat="1" applyFont="1" applyFill="1" applyBorder="1" applyAlignment="1">
      <alignment horizontal="distributed" vertical="center"/>
    </xf>
    <xf numFmtId="0" fontId="7" fillId="0" borderId="133" xfId="1" applyNumberFormat="1" applyFont="1" applyFill="1" applyBorder="1" applyAlignment="1">
      <alignment horizontal="distributed" vertical="center"/>
    </xf>
    <xf numFmtId="0" fontId="7" fillId="0" borderId="2" xfId="1" applyNumberFormat="1" applyFont="1" applyFill="1" applyBorder="1" applyAlignment="1">
      <alignment horizontal="center" vertical="center" textRotation="255"/>
    </xf>
    <xf numFmtId="0" fontId="7" fillId="0" borderId="73" xfId="1" applyNumberFormat="1" applyFont="1" applyFill="1" applyBorder="1" applyAlignment="1">
      <alignment horizontal="center" vertical="center" textRotation="255"/>
    </xf>
    <xf numFmtId="0" fontId="7" fillId="0" borderId="60" xfId="1" applyNumberFormat="1" applyFont="1" applyFill="1" applyBorder="1" applyAlignment="1">
      <alignment horizontal="center" vertical="center" textRotation="255"/>
    </xf>
    <xf numFmtId="0" fontId="7" fillId="0" borderId="20" xfId="1" applyNumberFormat="1" applyFont="1" applyFill="1" applyBorder="1" applyAlignment="1">
      <alignment horizontal="center" vertical="center" textRotation="255"/>
    </xf>
    <xf numFmtId="0" fontId="7" fillId="0" borderId="54" xfId="1" applyNumberFormat="1" applyFont="1" applyFill="1" applyBorder="1" applyAlignment="1">
      <alignment horizontal="center" vertical="center" textRotation="255"/>
    </xf>
    <xf numFmtId="0" fontId="7" fillId="0" borderId="119" xfId="1" applyNumberFormat="1" applyFont="1" applyFill="1" applyBorder="1" applyAlignment="1">
      <alignment horizontal="distributed" vertical="center"/>
    </xf>
    <xf numFmtId="49" fontId="7" fillId="0" borderId="204" xfId="1" applyNumberFormat="1" applyFont="1" applyFill="1" applyBorder="1" applyAlignment="1">
      <alignment horizontal="right" vertical="center" shrinkToFit="1"/>
    </xf>
    <xf numFmtId="49" fontId="7" fillId="0" borderId="203" xfId="1" applyNumberFormat="1" applyFont="1" applyFill="1" applyBorder="1" applyAlignment="1">
      <alignment horizontal="right" vertical="center" shrinkToFit="1"/>
    </xf>
    <xf numFmtId="49" fontId="7" fillId="0" borderId="202" xfId="1" applyNumberFormat="1" applyFont="1" applyFill="1" applyBorder="1" applyAlignment="1">
      <alignment horizontal="right" vertical="center" shrinkToFit="1"/>
    </xf>
    <xf numFmtId="0" fontId="7" fillId="0" borderId="48" xfId="1" applyNumberFormat="1" applyFont="1" applyFill="1" applyBorder="1" applyAlignment="1">
      <alignment horizontal="distributed" vertical="center" shrinkToFit="1"/>
    </xf>
    <xf numFmtId="0" fontId="7" fillId="0" borderId="46" xfId="1" applyNumberFormat="1" applyFont="1" applyFill="1" applyBorder="1" applyAlignment="1">
      <alignment horizontal="distributed" vertical="center"/>
    </xf>
    <xf numFmtId="0" fontId="7" fillId="0" borderId="96" xfId="1" applyNumberFormat="1" applyFont="1" applyFill="1" applyBorder="1" applyAlignment="1">
      <alignment horizontal="distributed" vertical="center"/>
    </xf>
    <xf numFmtId="0" fontId="7" fillId="0" borderId="135" xfId="1" applyNumberFormat="1" applyFont="1" applyFill="1" applyBorder="1" applyAlignment="1">
      <alignment horizontal="distributed" vertical="center"/>
    </xf>
    <xf numFmtId="0" fontId="12" fillId="0" borderId="32" xfId="1" applyNumberFormat="1" applyFont="1" applyFill="1" applyBorder="1" applyAlignment="1">
      <alignment horizontal="distributed" vertical="center"/>
    </xf>
    <xf numFmtId="0" fontId="12" fillId="0" borderId="18" xfId="1" applyNumberFormat="1" applyFont="1" applyFill="1" applyBorder="1" applyAlignment="1">
      <alignment horizontal="distributed" vertical="center"/>
    </xf>
    <xf numFmtId="49" fontId="7" fillId="0" borderId="19" xfId="1" applyNumberFormat="1" applyFont="1" applyFill="1" applyBorder="1" applyAlignment="1">
      <alignment horizontal="center" vertical="center" shrinkToFit="1"/>
    </xf>
    <xf numFmtId="49" fontId="7" fillId="0" borderId="18" xfId="1" applyNumberFormat="1" applyFont="1" applyFill="1" applyBorder="1" applyAlignment="1">
      <alignment horizontal="center" vertical="center" shrinkToFit="1"/>
    </xf>
    <xf numFmtId="49" fontId="7" fillId="0" borderId="31" xfId="1" applyNumberFormat="1" applyFont="1" applyFill="1" applyBorder="1" applyAlignment="1">
      <alignment horizontal="center" vertical="center" shrinkToFit="1"/>
    </xf>
    <xf numFmtId="0" fontId="20" fillId="0" borderId="26" xfId="1" applyNumberFormat="1" applyFont="1" applyFill="1" applyBorder="1" applyAlignment="1">
      <alignment horizontal="distributed" vertical="center"/>
    </xf>
    <xf numFmtId="49" fontId="7" fillId="0" borderId="28" xfId="1" applyNumberFormat="1" applyFont="1" applyFill="1" applyBorder="1" applyAlignment="1">
      <alignment horizontal="center" vertical="center" shrinkToFit="1"/>
    </xf>
    <xf numFmtId="49" fontId="7" fillId="0" borderId="14" xfId="1" applyNumberFormat="1" applyFont="1" applyFill="1" applyBorder="1" applyAlignment="1">
      <alignment horizontal="center" vertical="center" shrinkToFit="1"/>
    </xf>
    <xf numFmtId="49" fontId="7" fillId="0" borderId="21" xfId="1" applyNumberFormat="1" applyFont="1" applyFill="1" applyBorder="1" applyAlignment="1">
      <alignment horizontal="center" vertical="center" shrinkToFit="1"/>
    </xf>
    <xf numFmtId="0" fontId="7" fillId="0" borderId="40" xfId="1" applyNumberFormat="1" applyFont="1" applyFill="1" applyBorder="1" applyAlignment="1">
      <alignment horizontal="distributed" vertical="center" wrapText="1"/>
    </xf>
    <xf numFmtId="0" fontId="7" fillId="0" borderId="137" xfId="1" applyNumberFormat="1" applyFont="1" applyFill="1" applyBorder="1" applyAlignment="1">
      <alignment horizontal="distributed" vertical="center" wrapText="1"/>
    </xf>
    <xf numFmtId="0" fontId="7" fillId="0" borderId="98" xfId="1" applyNumberFormat="1" applyFont="1" applyFill="1" applyBorder="1" applyAlignment="1">
      <alignment horizontal="distributed" vertical="center" wrapText="1"/>
    </xf>
    <xf numFmtId="0" fontId="7" fillId="0" borderId="60" xfId="1" applyNumberFormat="1" applyFont="1" applyFill="1" applyBorder="1" applyAlignment="1">
      <alignment horizontal="distributed" vertical="center" wrapText="1"/>
    </xf>
    <xf numFmtId="0" fontId="7" fillId="0" borderId="40" xfId="1" applyNumberFormat="1" applyFont="1" applyFill="1" applyBorder="1" applyAlignment="1">
      <alignment horizontal="center" vertical="center" wrapText="1" shrinkToFit="1"/>
    </xf>
    <xf numFmtId="0" fontId="7" fillId="0" borderId="137" xfId="1" applyNumberFormat="1" applyFont="1" applyFill="1" applyBorder="1" applyAlignment="1">
      <alignment horizontal="center" vertical="center" wrapText="1" shrinkToFit="1"/>
    </xf>
    <xf numFmtId="0" fontId="7" fillId="0" borderId="98" xfId="1" applyNumberFormat="1" applyFont="1" applyFill="1" applyBorder="1" applyAlignment="1">
      <alignment horizontal="center" vertical="center" wrapText="1" shrinkToFit="1"/>
    </xf>
    <xf numFmtId="0" fontId="7" fillId="0" borderId="60" xfId="1" applyNumberFormat="1" applyFont="1" applyFill="1" applyBorder="1" applyAlignment="1">
      <alignment horizontal="center" vertical="center" wrapText="1" shrinkToFit="1"/>
    </xf>
    <xf numFmtId="0" fontId="7" fillId="0" borderId="125" xfId="1" applyNumberFormat="1" applyFont="1" applyFill="1" applyBorder="1" applyAlignment="1">
      <alignment horizontal="center" vertical="center" wrapText="1" shrinkToFit="1"/>
    </xf>
    <xf numFmtId="0" fontId="7" fillId="0" borderId="132" xfId="1" applyNumberFormat="1" applyFont="1" applyFill="1" applyBorder="1" applyAlignment="1">
      <alignment horizontal="center" vertical="center" wrapText="1" shrinkToFit="1"/>
    </xf>
    <xf numFmtId="0" fontId="12" fillId="0" borderId="40" xfId="1" applyNumberFormat="1" applyFont="1" applyFill="1" applyBorder="1" applyAlignment="1">
      <alignment horizontal="distributed" vertical="center" shrinkToFit="1"/>
    </xf>
    <xf numFmtId="0" fontId="7" fillId="0" borderId="132" xfId="1" applyNumberFormat="1" applyFont="1" applyFill="1" applyBorder="1" applyAlignment="1">
      <alignment horizontal="center" vertical="center" textRotation="255"/>
    </xf>
    <xf numFmtId="0" fontId="7" fillId="0" borderId="55" xfId="1" applyNumberFormat="1" applyFont="1" applyFill="1" applyBorder="1" applyAlignment="1">
      <alignment horizontal="distributed" vertical="center" shrinkToFit="1"/>
    </xf>
    <xf numFmtId="0" fontId="7" fillId="0" borderId="23" xfId="1" applyNumberFormat="1" applyFont="1" applyFill="1" applyBorder="1" applyAlignment="1">
      <alignment horizontal="distributed" vertical="center" shrinkToFit="1"/>
    </xf>
    <xf numFmtId="0" fontId="7" fillId="0" borderId="133" xfId="1" applyNumberFormat="1" applyFont="1" applyFill="1" applyBorder="1" applyAlignment="1">
      <alignment horizontal="distributed" vertical="center" shrinkToFit="1"/>
    </xf>
    <xf numFmtId="0" fontId="7" fillId="0" borderId="32" xfId="1" applyNumberFormat="1" applyFont="1" applyFill="1" applyBorder="1" applyAlignment="1">
      <alignment horizontal="distributed" vertical="center"/>
    </xf>
    <xf numFmtId="0" fontId="7" fillId="0" borderId="18" xfId="1" applyNumberFormat="1" applyFont="1" applyFill="1" applyBorder="1" applyAlignment="1">
      <alignment horizontal="distributed" vertical="center"/>
    </xf>
    <xf numFmtId="0" fontId="7" fillId="0" borderId="41" xfId="1" applyNumberFormat="1" applyFont="1" applyFill="1" applyBorder="1" applyAlignment="1">
      <alignment horizontal="center" vertical="center" wrapText="1"/>
    </xf>
    <xf numFmtId="0" fontId="7" fillId="0" borderId="136" xfId="1" applyNumberFormat="1" applyFont="1" applyFill="1" applyBorder="1" applyAlignment="1">
      <alignment horizontal="distributed" vertical="center" wrapText="1"/>
    </xf>
    <xf numFmtId="0" fontId="7" fillId="0" borderId="73" xfId="1" applyNumberFormat="1" applyFont="1" applyFill="1" applyBorder="1" applyAlignment="1">
      <alignment horizontal="distributed" vertical="center" wrapText="1"/>
    </xf>
    <xf numFmtId="0" fontId="12" fillId="0" borderId="119" xfId="1" applyNumberFormat="1" applyFont="1" applyFill="1" applyBorder="1" applyAlignment="1">
      <alignment horizontal="distributed" vertical="center"/>
    </xf>
    <xf numFmtId="0" fontId="12" fillId="0" borderId="43" xfId="1" applyNumberFormat="1" applyFont="1" applyFill="1" applyBorder="1" applyAlignment="1">
      <alignment horizontal="distributed" vertical="center"/>
    </xf>
    <xf numFmtId="49" fontId="7" fillId="0" borderId="217" xfId="1" applyNumberFormat="1" applyFont="1" applyFill="1" applyBorder="1" applyAlignment="1">
      <alignment horizontal="right" vertical="center" shrinkToFit="1"/>
    </xf>
    <xf numFmtId="49" fontId="7" fillId="0" borderId="66" xfId="1" applyNumberFormat="1" applyFont="1" applyFill="1" applyBorder="1" applyAlignment="1">
      <alignment horizontal="right" vertical="center" shrinkToFit="1"/>
    </xf>
    <xf numFmtId="49" fontId="7" fillId="0" borderId="216" xfId="1" applyNumberFormat="1" applyFont="1" applyFill="1" applyBorder="1" applyAlignment="1">
      <alignment horizontal="right" vertical="center" shrinkToFit="1"/>
    </xf>
    <xf numFmtId="0" fontId="18" fillId="0" borderId="32" xfId="1" applyFont="1" applyFill="1" applyBorder="1" applyAlignment="1">
      <alignment horizontal="distributed" vertical="center" shrinkToFit="1"/>
    </xf>
    <xf numFmtId="0" fontId="18" fillId="0" borderId="18" xfId="1" applyFont="1" applyFill="1" applyBorder="1" applyAlignment="1">
      <alignment horizontal="distributed" vertical="center" shrinkToFit="1"/>
    </xf>
    <xf numFmtId="0" fontId="18" fillId="0" borderId="31" xfId="1" applyFont="1" applyFill="1" applyBorder="1" applyAlignment="1">
      <alignment horizontal="distributed" vertical="center" shrinkToFit="1"/>
    </xf>
    <xf numFmtId="49" fontId="7" fillId="0" borderId="215" xfId="1" applyNumberFormat="1" applyFont="1" applyFill="1" applyBorder="1" applyAlignment="1">
      <alignment horizontal="right" vertical="center" shrinkToFit="1"/>
    </xf>
    <xf numFmtId="49" fontId="7" fillId="0" borderId="214" xfId="1" applyNumberFormat="1" applyFont="1" applyFill="1" applyBorder="1" applyAlignment="1">
      <alignment horizontal="right" vertical="center" shrinkToFit="1"/>
    </xf>
    <xf numFmtId="49" fontId="7" fillId="0" borderId="213" xfId="1" applyNumberFormat="1" applyFont="1" applyFill="1" applyBorder="1" applyAlignment="1">
      <alignment horizontal="right" vertical="center" shrinkToFit="1"/>
    </xf>
    <xf numFmtId="0" fontId="7" fillId="0" borderId="176" xfId="2" applyNumberFormat="1" applyFont="1" applyFill="1" applyBorder="1" applyAlignment="1">
      <alignment horizontal="center" vertical="center" textRotation="255"/>
    </xf>
    <xf numFmtId="0" fontId="7" fillId="0" borderId="3" xfId="2" applyNumberFormat="1" applyFont="1" applyFill="1" applyBorder="1" applyAlignment="1">
      <alignment horizontal="center" vertical="center" textRotation="255"/>
    </xf>
    <xf numFmtId="0" fontId="7" fillId="0" borderId="55" xfId="2" applyNumberFormat="1" applyFont="1" applyFill="1" applyBorder="1" applyAlignment="1">
      <alignment horizontal="center" vertical="center" textRotation="255"/>
    </xf>
    <xf numFmtId="0" fontId="7" fillId="0" borderId="133" xfId="2" applyNumberFormat="1" applyFont="1" applyFill="1" applyBorder="1" applyAlignment="1">
      <alignment horizontal="center" vertical="center" textRotation="255"/>
    </xf>
    <xf numFmtId="0" fontId="7" fillId="0" borderId="119" xfId="2" applyNumberFormat="1" applyFont="1" applyFill="1" applyBorder="1" applyAlignment="1">
      <alignment horizontal="distributed" vertical="center" shrinkToFit="1"/>
    </xf>
    <xf numFmtId="0" fontId="7" fillId="0" borderId="43" xfId="2" applyNumberFormat="1" applyFont="1" applyFill="1" applyBorder="1" applyAlignment="1">
      <alignment horizontal="distributed" vertical="center" shrinkToFit="1"/>
    </xf>
    <xf numFmtId="0" fontId="7" fillId="0" borderId="93" xfId="2" applyNumberFormat="1" applyFont="1" applyFill="1" applyBorder="1" applyAlignment="1">
      <alignment horizontal="distributed" vertical="center" shrinkToFit="1"/>
    </xf>
    <xf numFmtId="0" fontId="7" fillId="0" borderId="2" xfId="1" applyNumberFormat="1" applyFont="1" applyFill="1" applyBorder="1" applyAlignment="1">
      <alignment horizontal="distributed" vertical="center"/>
    </xf>
    <xf numFmtId="0" fontId="7" fillId="0" borderId="41" xfId="1" applyNumberFormat="1" applyFont="1" applyFill="1" applyBorder="1" applyAlignment="1">
      <alignment horizontal="distributed" vertical="center"/>
    </xf>
    <xf numFmtId="0" fontId="7" fillId="0" borderId="73" xfId="1" applyNumberFormat="1" applyFont="1" applyFill="1" applyBorder="1" applyAlignment="1">
      <alignment horizontal="distributed" vertical="center"/>
    </xf>
    <xf numFmtId="0" fontId="7" fillId="0" borderId="125" xfId="2" applyNumberFormat="1" applyFont="1" applyFill="1" applyBorder="1" applyAlignment="1">
      <alignment horizontal="center" vertical="center"/>
    </xf>
    <xf numFmtId="0" fontId="7" fillId="0" borderId="132" xfId="2" applyNumberFormat="1" applyFont="1" applyFill="1" applyBorder="1" applyAlignment="1">
      <alignment horizontal="center" vertical="center"/>
    </xf>
    <xf numFmtId="49" fontId="7" fillId="0" borderId="218" xfId="1" applyNumberFormat="1" applyFont="1" applyFill="1" applyBorder="1" applyAlignment="1">
      <alignment horizontal="right" vertical="center" shrinkToFit="1"/>
    </xf>
    <xf numFmtId="49" fontId="7" fillId="0" borderId="4" xfId="1" applyNumberFormat="1" applyFont="1" applyFill="1" applyBorder="1" applyAlignment="1">
      <alignment horizontal="right" vertical="center" shrinkToFit="1"/>
    </xf>
    <xf numFmtId="49" fontId="7" fillId="0" borderId="182" xfId="1" applyNumberFormat="1" applyFont="1" applyFill="1" applyBorder="1" applyAlignment="1">
      <alignment horizontal="right" vertical="center" shrinkToFit="1"/>
    </xf>
    <xf numFmtId="0" fontId="18" fillId="0" borderId="40" xfId="1" applyFont="1" applyFill="1" applyBorder="1" applyAlignment="1">
      <alignment horizontal="distributed" vertical="center" shrinkToFit="1"/>
    </xf>
    <xf numFmtId="0" fontId="18" fillId="0" borderId="26" xfId="1" applyFont="1" applyFill="1" applyBorder="1" applyAlignment="1">
      <alignment horizontal="distributed" vertical="center" shrinkToFit="1"/>
    </xf>
    <xf numFmtId="0" fontId="18" fillId="0" borderId="39" xfId="1" applyFont="1" applyFill="1" applyBorder="1" applyAlignment="1">
      <alignment horizontal="distributed" vertical="center" shrinkToFit="1"/>
    </xf>
    <xf numFmtId="0" fontId="14" fillId="0" borderId="96" xfId="1" applyFont="1" applyFill="1" applyBorder="1" applyAlignment="1">
      <alignment horizontal="distributed" vertical="center"/>
    </xf>
    <xf numFmtId="0" fontId="7" fillId="0" borderId="4" xfId="1" applyNumberFormat="1" applyFont="1" applyFill="1" applyBorder="1" applyAlignment="1">
      <alignment horizontal="distributed" vertical="center"/>
    </xf>
    <xf numFmtId="0" fontId="14" fillId="0" borderId="32" xfId="1" applyFont="1" applyFill="1" applyBorder="1" applyAlignment="1">
      <alignment horizontal="center" vertical="center" shrinkToFit="1"/>
    </xf>
    <xf numFmtId="0" fontId="14" fillId="0" borderId="18" xfId="1" applyFont="1" applyFill="1" applyBorder="1" applyAlignment="1">
      <alignment horizontal="center" vertical="center" shrinkToFit="1"/>
    </xf>
    <xf numFmtId="0" fontId="14" fillId="0" borderId="31" xfId="1" applyFont="1" applyFill="1" applyBorder="1" applyAlignment="1">
      <alignment horizontal="center" vertical="center" shrinkToFit="1"/>
    </xf>
    <xf numFmtId="0" fontId="7" fillId="0" borderId="40" xfId="1" applyNumberFormat="1" applyFont="1" applyFill="1" applyBorder="1" applyAlignment="1">
      <alignment horizontal="center" vertical="center"/>
    </xf>
    <xf numFmtId="0" fontId="7" fillId="0" borderId="137" xfId="1" applyNumberFormat="1" applyFont="1" applyFill="1" applyBorder="1" applyAlignment="1">
      <alignment horizontal="center" vertical="center"/>
    </xf>
    <xf numFmtId="0" fontId="7" fillId="0" borderId="125" xfId="1" applyNumberFormat="1" applyFont="1" applyFill="1" applyBorder="1" applyAlignment="1">
      <alignment horizontal="center" vertical="center"/>
    </xf>
    <xf numFmtId="0" fontId="7" fillId="0" borderId="132" xfId="1" applyNumberFormat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distributed" vertical="center"/>
    </xf>
    <xf numFmtId="0" fontId="7" fillId="0" borderId="125" xfId="1" applyNumberFormat="1" applyFont="1" applyFill="1" applyBorder="1" applyAlignment="1">
      <alignment horizontal="distributed" vertical="center"/>
    </xf>
    <xf numFmtId="0" fontId="7" fillId="0" borderId="3" xfId="1" applyNumberFormat="1" applyFont="1" applyFill="1" applyBorder="1" applyAlignment="1">
      <alignment horizontal="distributed" vertical="center"/>
    </xf>
    <xf numFmtId="0" fontId="14" fillId="0" borderId="64" xfId="1" applyFont="1" applyFill="1" applyBorder="1" applyAlignment="1">
      <alignment horizontal="distributed" vertical="center"/>
    </xf>
    <xf numFmtId="49" fontId="7" fillId="0" borderId="86" xfId="1" applyNumberFormat="1" applyFont="1" applyFill="1" applyBorder="1" applyAlignment="1">
      <alignment horizontal="right" vertical="center" shrinkToFit="1"/>
    </xf>
    <xf numFmtId="49" fontId="7" fillId="0" borderId="91" xfId="1" applyNumberFormat="1" applyFont="1" applyFill="1" applyBorder="1" applyAlignment="1">
      <alignment horizontal="right" vertical="center" shrinkToFit="1"/>
    </xf>
    <xf numFmtId="0" fontId="13" fillId="0" borderId="48" xfId="1" applyNumberFormat="1" applyFont="1" applyFill="1" applyBorder="1" applyAlignment="1">
      <alignment horizontal="distributed" vertical="center" wrapText="1"/>
    </xf>
    <xf numFmtId="0" fontId="13" fillId="0" borderId="46" xfId="1" applyNumberFormat="1" applyFont="1" applyFill="1" applyBorder="1" applyAlignment="1">
      <alignment horizontal="distributed" vertical="center" wrapText="1"/>
    </xf>
    <xf numFmtId="0" fontId="7" fillId="0" borderId="41" xfId="1" applyNumberFormat="1" applyFont="1" applyFill="1" applyBorder="1" applyAlignment="1">
      <alignment horizontal="center" vertical="center" textRotation="255"/>
    </xf>
    <xf numFmtId="0" fontId="7" fillId="0" borderId="32" xfId="1" applyNumberFormat="1" applyFont="1" applyFill="1" applyBorder="1" applyAlignment="1">
      <alignment horizontal="center" vertical="center" wrapText="1"/>
    </xf>
    <xf numFmtId="0" fontId="7" fillId="0" borderId="18" xfId="1" applyNumberFormat="1" applyFont="1" applyFill="1" applyBorder="1" applyAlignment="1">
      <alignment horizontal="center" vertical="center" wrapText="1"/>
    </xf>
    <xf numFmtId="0" fontId="7" fillId="0" borderId="178" xfId="1" applyNumberFormat="1" applyFont="1" applyFill="1" applyBorder="1" applyAlignment="1">
      <alignment horizontal="center" vertical="center" textRotation="255"/>
    </xf>
    <xf numFmtId="0" fontId="7" fillId="0" borderId="169" xfId="1" applyNumberFormat="1" applyFont="1" applyFill="1" applyBorder="1" applyAlignment="1">
      <alignment horizontal="center" vertical="center" textRotation="255"/>
    </xf>
    <xf numFmtId="0" fontId="7" fillId="0" borderId="176" xfId="1" applyNumberFormat="1" applyFont="1" applyFill="1" applyBorder="1" applyAlignment="1">
      <alignment horizontal="center" vertical="center" textRotation="255"/>
    </xf>
    <xf numFmtId="0" fontId="7" fillId="0" borderId="136" xfId="1" applyNumberFormat="1" applyFont="1" applyFill="1" applyBorder="1" applyAlignment="1">
      <alignment horizontal="center" vertical="center" textRotation="255"/>
    </xf>
    <xf numFmtId="0" fontId="7" fillId="0" borderId="98" xfId="1" applyNumberFormat="1" applyFont="1" applyFill="1" applyBorder="1" applyAlignment="1">
      <alignment horizontal="center" vertical="center" textRotation="255"/>
    </xf>
    <xf numFmtId="0" fontId="7" fillId="0" borderId="55" xfId="1" applyNumberFormat="1" applyFont="1" applyFill="1" applyBorder="1" applyAlignment="1">
      <alignment horizontal="center" vertical="center" textRotation="255"/>
    </xf>
    <xf numFmtId="0" fontId="7" fillId="0" borderId="133" xfId="1" applyNumberFormat="1" applyFont="1" applyFill="1" applyBorder="1" applyAlignment="1">
      <alignment horizontal="center" vertical="center" textRotation="255"/>
    </xf>
    <xf numFmtId="0" fontId="7" fillId="0" borderId="119" xfId="1" applyNumberFormat="1" applyFont="1" applyFill="1" applyBorder="1" applyAlignment="1">
      <alignment horizontal="distributed" vertical="center" shrinkToFit="1"/>
    </xf>
    <xf numFmtId="0" fontId="7" fillId="0" borderId="119" xfId="1" applyNumberFormat="1" applyFont="1" applyFill="1" applyBorder="1" applyAlignment="1">
      <alignment horizontal="distributed" vertical="center" textRotation="255"/>
    </xf>
    <xf numFmtId="0" fontId="7" fillId="0" borderId="93" xfId="1" applyNumberFormat="1" applyFont="1" applyFill="1" applyBorder="1" applyAlignment="1">
      <alignment horizontal="distributed" vertical="center" textRotation="255"/>
    </xf>
    <xf numFmtId="0" fontId="7" fillId="0" borderId="32" xfId="1" applyNumberFormat="1" applyFont="1" applyFill="1" applyBorder="1" applyAlignment="1">
      <alignment horizontal="distributed" vertical="center" textRotation="255"/>
    </xf>
    <xf numFmtId="0" fontId="7" fillId="0" borderId="45" xfId="1" applyNumberFormat="1" applyFont="1" applyFill="1" applyBorder="1" applyAlignment="1">
      <alignment horizontal="distributed" vertical="center" textRotation="255"/>
    </xf>
    <xf numFmtId="0" fontId="14" fillId="0" borderId="14" xfId="2" applyFont="1" applyFill="1" applyBorder="1" applyAlignment="1">
      <alignment vertical="center" shrinkToFit="1"/>
    </xf>
    <xf numFmtId="49" fontId="7" fillId="0" borderId="223" xfId="2" applyNumberFormat="1" applyFont="1" applyFill="1" applyBorder="1" applyAlignment="1">
      <alignment horizontal="right" vertical="center" shrinkToFit="1"/>
    </xf>
    <xf numFmtId="49" fontId="7" fillId="0" borderId="222" xfId="2" applyNumberFormat="1" applyFont="1" applyFill="1" applyBorder="1" applyAlignment="1">
      <alignment horizontal="right" vertical="center" shrinkToFit="1"/>
    </xf>
    <xf numFmtId="49" fontId="7" fillId="0" borderId="221" xfId="2" applyNumberFormat="1" applyFont="1" applyFill="1" applyBorder="1" applyAlignment="1">
      <alignment horizontal="right" vertical="center" shrinkToFit="1"/>
    </xf>
    <xf numFmtId="49" fontId="7" fillId="0" borderId="220" xfId="1" applyNumberFormat="1" applyFont="1" applyFill="1" applyBorder="1" applyAlignment="1">
      <alignment horizontal="right" vertical="center" shrinkToFit="1"/>
    </xf>
    <xf numFmtId="49" fontId="7" fillId="0" borderId="149" xfId="1" applyNumberFormat="1" applyFont="1" applyFill="1" applyBorder="1" applyAlignment="1">
      <alignment horizontal="right" vertical="center" shrinkToFit="1"/>
    </xf>
    <xf numFmtId="49" fontId="7" fillId="0" borderId="219" xfId="1" applyNumberFormat="1" applyFont="1" applyFill="1" applyBorder="1" applyAlignment="1">
      <alignment horizontal="right" vertical="center" shrinkToFit="1"/>
    </xf>
    <xf numFmtId="0" fontId="7" fillId="0" borderId="140" xfId="1" applyNumberFormat="1" applyFont="1" applyFill="1" applyBorder="1" applyAlignment="1">
      <alignment horizontal="distributed" vertical="center"/>
    </xf>
    <xf numFmtId="0" fontId="7" fillId="0" borderId="2" xfId="2" applyNumberFormat="1" applyFont="1" applyFill="1" applyBorder="1" applyAlignment="1">
      <alignment horizontal="distributed" vertical="center"/>
    </xf>
    <xf numFmtId="0" fontId="7" fillId="0" borderId="41" xfId="2" applyNumberFormat="1" applyFont="1" applyFill="1" applyBorder="1" applyAlignment="1">
      <alignment horizontal="distributed" vertical="center"/>
    </xf>
    <xf numFmtId="49" fontId="7" fillId="0" borderId="42" xfId="1" applyNumberFormat="1" applyFont="1" applyFill="1" applyBorder="1" applyAlignment="1">
      <alignment horizontal="right" vertical="center" shrinkToFit="1"/>
    </xf>
    <xf numFmtId="0" fontId="7" fillId="0" borderId="7" xfId="2" applyNumberFormat="1" applyFont="1" applyFill="1" applyBorder="1" applyAlignment="1">
      <alignment horizontal="distributed" vertical="center"/>
    </xf>
    <xf numFmtId="0" fontId="7" fillId="0" borderId="4" xfId="2" applyNumberFormat="1" applyFont="1" applyFill="1" applyBorder="1" applyAlignment="1">
      <alignment horizontal="distributed" vertical="center"/>
    </xf>
    <xf numFmtId="49" fontId="7" fillId="0" borderId="225" xfId="2" applyNumberFormat="1" applyFont="1" applyFill="1" applyBorder="1" applyAlignment="1">
      <alignment horizontal="right" vertical="center" shrinkToFit="1"/>
    </xf>
    <xf numFmtId="49" fontId="7" fillId="0" borderId="138" xfId="2" applyNumberFormat="1" applyFont="1" applyFill="1" applyBorder="1" applyAlignment="1">
      <alignment horizontal="right" vertical="center" shrinkToFit="1"/>
    </xf>
    <xf numFmtId="49" fontId="7" fillId="0" borderId="224" xfId="2" applyNumberFormat="1" applyFont="1" applyFill="1" applyBorder="1" applyAlignment="1">
      <alignment horizontal="right" vertical="center" shrinkToFit="1"/>
    </xf>
    <xf numFmtId="49" fontId="7" fillId="0" borderId="121" xfId="1" applyNumberFormat="1" applyFont="1" applyFill="1" applyBorder="1" applyAlignment="1">
      <alignment horizontal="right" vertical="center" shrinkToFit="1"/>
    </xf>
    <xf numFmtId="0" fontId="17" fillId="0" borderId="134" xfId="2" applyFont="1" applyFill="1" applyBorder="1" applyAlignment="1">
      <alignment horizontal="distributed" vertical="center"/>
    </xf>
    <xf numFmtId="0" fontId="17" fillId="0" borderId="48" xfId="2" applyFont="1" applyFill="1" applyBorder="1" applyAlignment="1">
      <alignment horizontal="distributed" vertical="center"/>
    </xf>
    <xf numFmtId="49" fontId="7" fillId="0" borderId="207" xfId="2" applyNumberFormat="1" applyFont="1" applyFill="1" applyBorder="1" applyAlignment="1">
      <alignment horizontal="right" vertical="center" shrinkToFit="1"/>
    </xf>
    <xf numFmtId="49" fontId="7" fillId="0" borderId="131" xfId="2" applyNumberFormat="1" applyFont="1" applyFill="1" applyBorder="1" applyAlignment="1">
      <alignment horizontal="right" vertical="center" shrinkToFit="1"/>
    </xf>
    <xf numFmtId="49" fontId="7" fillId="0" borderId="206" xfId="2" applyNumberFormat="1" applyFont="1" applyFill="1" applyBorder="1" applyAlignment="1">
      <alignment horizontal="right" vertical="center" shrinkToFit="1"/>
    </xf>
    <xf numFmtId="49" fontId="7" fillId="0" borderId="84" xfId="1" applyNumberFormat="1" applyFont="1" applyFill="1" applyBorder="1" applyAlignment="1">
      <alignment horizontal="right" vertical="center" shrinkToFit="1"/>
    </xf>
    <xf numFmtId="49" fontId="7" fillId="0" borderId="25" xfId="1" applyNumberFormat="1" applyFont="1" applyFill="1" applyBorder="1" applyAlignment="1">
      <alignment horizontal="center" vertical="center" shrinkToFit="1"/>
    </xf>
    <xf numFmtId="49" fontId="7" fillId="0" borderId="0" xfId="1" applyNumberFormat="1" applyFont="1" applyFill="1" applyBorder="1" applyAlignment="1">
      <alignment horizontal="center" vertical="center" shrinkToFit="1"/>
    </xf>
    <xf numFmtId="49" fontId="7" fillId="0" borderId="38" xfId="1" applyNumberFormat="1" applyFont="1" applyFill="1" applyBorder="1" applyAlignment="1">
      <alignment horizontal="center" vertical="center" shrinkToFit="1"/>
    </xf>
    <xf numFmtId="0" fontId="7" fillId="0" borderId="40" xfId="1" applyNumberFormat="1" applyFont="1" applyFill="1" applyBorder="1" applyAlignment="1">
      <alignment horizontal="center" vertical="center" textRotation="255"/>
    </xf>
    <xf numFmtId="0" fontId="7" fillId="0" borderId="137" xfId="1" applyNumberFormat="1" applyFont="1" applyFill="1" applyBorder="1" applyAlignment="1">
      <alignment horizontal="center" vertical="center" textRotation="255"/>
    </xf>
    <xf numFmtId="0" fontId="7" fillId="0" borderId="125" xfId="1" applyNumberFormat="1" applyFont="1" applyFill="1" applyBorder="1" applyAlignment="1">
      <alignment horizontal="center" vertical="center" textRotation="255"/>
    </xf>
    <xf numFmtId="49" fontId="7" fillId="0" borderId="225" xfId="1" applyNumberFormat="1" applyFont="1" applyFill="1" applyBorder="1" applyAlignment="1">
      <alignment horizontal="right" vertical="center" shrinkToFit="1"/>
    </xf>
    <xf numFmtId="49" fontId="7" fillId="0" borderId="138" xfId="1" applyNumberFormat="1" applyFont="1" applyFill="1" applyBorder="1" applyAlignment="1">
      <alignment horizontal="right" vertical="center" shrinkToFit="1"/>
    </xf>
    <xf numFmtId="49" fontId="7" fillId="0" borderId="224" xfId="1" applyNumberFormat="1" applyFont="1" applyFill="1" applyBorder="1" applyAlignment="1">
      <alignment horizontal="right" vertical="center" shrinkToFit="1"/>
    </xf>
    <xf numFmtId="0" fontId="7" fillId="0" borderId="55" xfId="1" applyNumberFormat="1" applyFont="1" applyFill="1" applyBorder="1" applyAlignment="1">
      <alignment horizontal="distributed" vertical="center" textRotation="255"/>
    </xf>
    <xf numFmtId="0" fontId="7" fillId="0" borderId="133" xfId="1" applyNumberFormat="1" applyFont="1" applyFill="1" applyBorder="1" applyAlignment="1">
      <alignment horizontal="distributed" vertical="center" textRotation="255"/>
    </xf>
    <xf numFmtId="0" fontId="7" fillId="0" borderId="48" xfId="1" applyNumberFormat="1" applyFont="1" applyFill="1" applyBorder="1" applyAlignment="1">
      <alignment horizontal="distributed" vertical="center" textRotation="255"/>
    </xf>
    <xf numFmtId="0" fontId="7" fillId="0" borderId="96" xfId="1" applyNumberFormat="1" applyFont="1" applyFill="1" applyBorder="1" applyAlignment="1">
      <alignment horizontal="distributed" vertical="center" textRotation="255"/>
    </xf>
    <xf numFmtId="49" fontId="7" fillId="0" borderId="47" xfId="1" applyNumberFormat="1" applyFont="1" applyFill="1" applyBorder="1" applyAlignment="1">
      <alignment horizontal="right" vertical="center" shrinkToFit="1"/>
    </xf>
    <xf numFmtId="49" fontId="7" fillId="0" borderId="89" xfId="1" applyNumberFormat="1" applyFont="1" applyFill="1" applyBorder="1" applyAlignment="1">
      <alignment horizontal="right" vertical="center" shrinkToFit="1"/>
    </xf>
    <xf numFmtId="0" fontId="14" fillId="0" borderId="227" xfId="2" applyFont="1" applyFill="1" applyBorder="1" applyAlignment="1">
      <alignment horizontal="distributed" vertical="center"/>
    </xf>
    <xf numFmtId="0" fontId="14" fillId="0" borderId="141" xfId="2" applyFont="1" applyFill="1" applyBorder="1" applyAlignment="1">
      <alignment horizontal="distributed" vertical="center"/>
    </xf>
    <xf numFmtId="0" fontId="14" fillId="0" borderId="119" xfId="2" applyFont="1" applyFill="1" applyBorder="1" applyAlignment="1">
      <alignment horizontal="distributed" vertical="center"/>
    </xf>
    <xf numFmtId="49" fontId="7" fillId="0" borderId="217" xfId="2" applyNumberFormat="1" applyFont="1" applyFill="1" applyBorder="1" applyAlignment="1">
      <alignment horizontal="right" vertical="center" shrinkToFit="1"/>
    </xf>
    <xf numFmtId="49" fontId="7" fillId="0" borderId="66" xfId="2" applyNumberFormat="1" applyFont="1" applyFill="1" applyBorder="1" applyAlignment="1">
      <alignment horizontal="right" vertical="center" shrinkToFit="1"/>
    </xf>
    <xf numFmtId="49" fontId="7" fillId="0" borderId="216" xfId="2" applyNumberFormat="1" applyFont="1" applyFill="1" applyBorder="1" applyAlignment="1">
      <alignment horizontal="right" vertical="center" shrinkToFit="1"/>
    </xf>
    <xf numFmtId="0" fontId="7" fillId="0" borderId="73" xfId="1" applyNumberFormat="1" applyFont="1" applyFill="1" applyBorder="1" applyAlignment="1">
      <alignment horizontal="center" vertical="center" textRotation="255" wrapText="1"/>
    </xf>
    <xf numFmtId="0" fontId="7" fillId="0" borderId="60" xfId="1" applyNumberFormat="1" applyFont="1" applyFill="1" applyBorder="1" applyAlignment="1">
      <alignment horizontal="center" vertical="center" textRotation="255" wrapText="1"/>
    </xf>
    <xf numFmtId="0" fontId="7" fillId="0" borderId="132" xfId="1" applyNumberFormat="1" applyFont="1" applyFill="1" applyBorder="1" applyAlignment="1">
      <alignment horizontal="center" vertical="center" textRotation="255" wrapText="1"/>
    </xf>
    <xf numFmtId="0" fontId="7" fillId="0" borderId="141" xfId="1" applyNumberFormat="1" applyFont="1" applyFill="1" applyBorder="1" applyAlignment="1">
      <alignment horizontal="distributed" vertical="center"/>
    </xf>
    <xf numFmtId="0" fontId="13" fillId="0" borderId="32" xfId="1" applyNumberFormat="1" applyFont="1" applyFill="1" applyBorder="1" applyAlignment="1">
      <alignment horizontal="center" vertical="center" shrinkToFit="1"/>
    </xf>
    <xf numFmtId="0" fontId="13" fillId="0" borderId="18" xfId="1" applyNumberFormat="1" applyFont="1" applyFill="1" applyBorder="1" applyAlignment="1">
      <alignment horizontal="center" vertical="center" shrinkToFit="1"/>
    </xf>
    <xf numFmtId="49" fontId="7" fillId="0" borderId="7" xfId="1" applyNumberFormat="1" applyFont="1" applyFill="1" applyBorder="1" applyAlignment="1">
      <alignment horizontal="right" vertical="center" shrinkToFit="1"/>
    </xf>
    <xf numFmtId="0" fontId="12" fillId="0" borderId="2" xfId="1" applyNumberFormat="1" applyFont="1" applyFill="1" applyBorder="1" applyAlignment="1">
      <alignment horizontal="center" vertical="center" wrapText="1"/>
    </xf>
    <xf numFmtId="0" fontId="12" fillId="0" borderId="73" xfId="1" applyNumberFormat="1" applyFont="1" applyFill="1" applyBorder="1" applyAlignment="1">
      <alignment horizontal="center" vertical="center" wrapText="1"/>
    </xf>
    <xf numFmtId="0" fontId="12" fillId="0" borderId="88" xfId="1" applyNumberFormat="1" applyFont="1" applyFill="1" applyBorder="1" applyAlignment="1">
      <alignment horizontal="center" vertical="center" wrapText="1"/>
    </xf>
    <xf numFmtId="0" fontId="12" fillId="0" borderId="60" xfId="1" applyNumberFormat="1" applyFont="1" applyFill="1" applyBorder="1" applyAlignment="1">
      <alignment horizontal="center" vertical="center" wrapText="1"/>
    </xf>
    <xf numFmtId="0" fontId="12" fillId="0" borderId="74" xfId="1" applyNumberFormat="1" applyFont="1" applyFill="1" applyBorder="1" applyAlignment="1">
      <alignment horizontal="center" vertical="center" wrapText="1"/>
    </xf>
    <xf numFmtId="0" fontId="12" fillId="0" borderId="132" xfId="1" applyNumberFormat="1" applyFont="1" applyFill="1" applyBorder="1" applyAlignment="1">
      <alignment horizontal="center" vertical="center" wrapText="1"/>
    </xf>
    <xf numFmtId="0" fontId="13" fillId="0" borderId="119" xfId="1" applyNumberFormat="1" applyFont="1" applyFill="1" applyBorder="1" applyAlignment="1">
      <alignment horizontal="center" vertical="center" shrinkToFit="1"/>
    </xf>
    <xf numFmtId="0" fontId="13" fillId="0" borderId="43" xfId="1" applyNumberFormat="1" applyFont="1" applyFill="1" applyBorder="1" applyAlignment="1">
      <alignment horizontal="center" vertical="center" shrinkToFit="1"/>
    </xf>
    <xf numFmtId="0" fontId="14" fillId="0" borderId="48" xfId="1" applyFont="1" applyFill="1" applyBorder="1" applyAlignment="1">
      <alignment horizontal="center" vertical="center"/>
    </xf>
    <xf numFmtId="0" fontId="14" fillId="0" borderId="46" xfId="1" applyFont="1" applyFill="1" applyBorder="1" applyAlignment="1">
      <alignment horizontal="center" vertical="center"/>
    </xf>
    <xf numFmtId="0" fontId="13" fillId="0" borderId="40" xfId="1" applyNumberFormat="1" applyFont="1" applyFill="1" applyBorder="1" applyAlignment="1">
      <alignment horizontal="distributed" vertical="center"/>
    </xf>
    <xf numFmtId="0" fontId="13" fillId="0" borderId="26" xfId="1" applyNumberFormat="1" applyFont="1" applyFill="1" applyBorder="1" applyAlignment="1">
      <alignment horizontal="distributed" vertical="center"/>
    </xf>
    <xf numFmtId="0" fontId="7" fillId="0" borderId="226" xfId="1" applyNumberFormat="1" applyFont="1" applyFill="1" applyBorder="1" applyAlignment="1">
      <alignment horizontal="distributed" vertical="center"/>
    </xf>
    <xf numFmtId="0" fontId="7" fillId="0" borderId="143" xfId="1" applyNumberFormat="1" applyFont="1" applyFill="1" applyBorder="1" applyAlignment="1">
      <alignment horizontal="distributed" vertical="center"/>
    </xf>
    <xf numFmtId="49" fontId="7" fillId="0" borderId="5" xfId="1" applyNumberFormat="1" applyFont="1" applyFill="1" applyBorder="1" applyAlignment="1">
      <alignment horizontal="right" vertical="center" shrinkToFit="1"/>
    </xf>
    <xf numFmtId="0" fontId="7" fillId="0" borderId="45" xfId="1" applyNumberFormat="1" applyFont="1" applyFill="1" applyBorder="1" applyAlignment="1">
      <alignment horizontal="distributed" vertical="center"/>
    </xf>
    <xf numFmtId="0" fontId="7" fillId="0" borderId="7" xfId="1" applyNumberFormat="1" applyFont="1" applyFill="1" applyBorder="1" applyAlignment="1">
      <alignment horizontal="distributed" vertical="center" wrapText="1"/>
    </xf>
    <xf numFmtId="0" fontId="7" fillId="0" borderId="4" xfId="1" applyNumberFormat="1" applyFont="1" applyFill="1" applyBorder="1" applyAlignment="1">
      <alignment horizontal="distributed" vertical="center" wrapText="1"/>
    </xf>
    <xf numFmtId="0" fontId="14" fillId="0" borderId="125" xfId="1" applyFont="1" applyFill="1" applyBorder="1" applyAlignment="1">
      <alignment horizontal="distributed" vertical="center"/>
    </xf>
    <xf numFmtId="0" fontId="14" fillId="0" borderId="3" xfId="1" applyFont="1" applyFill="1" applyBorder="1" applyAlignment="1">
      <alignment horizontal="distributed" vertical="center"/>
    </xf>
    <xf numFmtId="0" fontId="7" fillId="0" borderId="41" xfId="1" applyNumberFormat="1" applyFont="1" applyFill="1" applyBorder="1" applyAlignment="1">
      <alignment horizontal="left" vertical="center" textRotation="255"/>
    </xf>
    <xf numFmtId="0" fontId="7" fillId="0" borderId="0" xfId="1" applyNumberFormat="1" applyFont="1" applyFill="1" applyBorder="1" applyAlignment="1">
      <alignment horizontal="left" vertical="center" textRotation="255"/>
    </xf>
    <xf numFmtId="0" fontId="7" fillId="0" borderId="3" xfId="1" applyNumberFormat="1" applyFont="1" applyFill="1" applyBorder="1" applyAlignment="1">
      <alignment horizontal="left" vertical="center" textRotation="255"/>
    </xf>
    <xf numFmtId="0" fontId="7" fillId="0" borderId="2" xfId="1" applyNumberFormat="1" applyFont="1" applyFill="1" applyBorder="1" applyAlignment="1">
      <alignment horizontal="center" vertical="center"/>
    </xf>
    <xf numFmtId="0" fontId="7" fillId="0" borderId="73" xfId="1" applyNumberFormat="1" applyFont="1" applyFill="1" applyBorder="1" applyAlignment="1">
      <alignment horizontal="center" vertical="center"/>
    </xf>
    <xf numFmtId="0" fontId="7" fillId="0" borderId="88" xfId="1" applyNumberFormat="1" applyFont="1" applyFill="1" applyBorder="1" applyAlignment="1">
      <alignment horizontal="center" vertical="center"/>
    </xf>
    <xf numFmtId="0" fontId="7" fillId="0" borderId="60" xfId="1" applyNumberFormat="1" applyFont="1" applyFill="1" applyBorder="1" applyAlignment="1">
      <alignment horizontal="center" vertical="center"/>
    </xf>
    <xf numFmtId="0" fontId="12" fillId="0" borderId="136" xfId="1" applyNumberFormat="1" applyFont="1" applyFill="1" applyBorder="1" applyAlignment="1">
      <alignment horizontal="center" vertical="center" shrinkToFit="1"/>
    </xf>
    <xf numFmtId="0" fontId="12" fillId="0" borderId="41" xfId="1" applyNumberFormat="1" applyFont="1" applyFill="1" applyBorder="1" applyAlignment="1">
      <alignment horizontal="center" vertical="center" shrinkToFit="1"/>
    </xf>
    <xf numFmtId="0" fontId="12" fillId="0" borderId="32" xfId="1" applyNumberFormat="1" applyFont="1" applyFill="1" applyBorder="1" applyAlignment="1">
      <alignment horizontal="distributed" vertical="center" wrapText="1"/>
    </xf>
    <xf numFmtId="0" fontId="12" fillId="0" borderId="18" xfId="1" applyNumberFormat="1" applyFont="1" applyFill="1" applyBorder="1" applyAlignment="1">
      <alignment horizontal="distributed" vertical="center" wrapText="1"/>
    </xf>
    <xf numFmtId="0" fontId="7" fillId="0" borderId="40" xfId="1" applyNumberFormat="1" applyFont="1" applyFill="1" applyBorder="1" applyAlignment="1">
      <alignment horizontal="distributed" vertical="center" shrinkToFit="1"/>
    </xf>
    <xf numFmtId="0" fontId="7" fillId="0" borderId="0" xfId="1" applyNumberFormat="1" applyFont="1" applyFill="1" applyBorder="1" applyAlignment="1">
      <alignment horizontal="distributed" vertical="center"/>
    </xf>
    <xf numFmtId="0" fontId="13" fillId="0" borderId="7" xfId="1" applyNumberFormat="1" applyFont="1" applyFill="1" applyBorder="1" applyAlignment="1">
      <alignment horizontal="center" vertical="center" shrinkToFit="1"/>
    </xf>
    <xf numFmtId="0" fontId="13" fillId="0" borderId="4" xfId="1" applyNumberFormat="1" applyFont="1" applyFill="1" applyBorder="1" applyAlignment="1">
      <alignment horizontal="center" vertical="center" shrinkToFit="1"/>
    </xf>
    <xf numFmtId="0" fontId="7" fillId="0" borderId="2" xfId="1" applyNumberFormat="1" applyFont="1" applyFill="1" applyBorder="1" applyAlignment="1">
      <alignment horizontal="center" vertical="center" textRotation="255" wrapText="1"/>
    </xf>
    <xf numFmtId="0" fontId="7" fillId="0" borderId="41" xfId="1" applyNumberFormat="1" applyFont="1" applyFill="1" applyBorder="1" applyAlignment="1">
      <alignment horizontal="center" vertical="center" textRotation="255" wrapText="1"/>
    </xf>
    <xf numFmtId="0" fontId="7" fillId="0" borderId="88" xfId="1" applyNumberFormat="1" applyFont="1" applyFill="1" applyBorder="1" applyAlignment="1">
      <alignment horizontal="center" vertical="center" textRotation="255" wrapText="1"/>
    </xf>
    <xf numFmtId="0" fontId="7" fillId="0" borderId="0" xfId="1" applyNumberFormat="1" applyFont="1" applyFill="1" applyBorder="1" applyAlignment="1">
      <alignment horizontal="center" vertical="center" textRotation="255" wrapText="1"/>
    </xf>
    <xf numFmtId="0" fontId="7" fillId="0" borderId="74" xfId="1" applyNumberFormat="1" applyFont="1" applyFill="1" applyBorder="1" applyAlignment="1">
      <alignment horizontal="center" vertical="center" textRotation="255" wrapText="1"/>
    </xf>
    <xf numFmtId="0" fontId="7" fillId="0" borderId="3" xfId="1" applyNumberFormat="1" applyFont="1" applyFill="1" applyBorder="1" applyAlignment="1">
      <alignment horizontal="center" vertical="center" textRotation="255" wrapText="1"/>
    </xf>
    <xf numFmtId="0" fontId="13" fillId="0" borderId="140" xfId="1" applyNumberFormat="1" applyFont="1" applyFill="1" applyBorder="1" applyAlignment="1">
      <alignment horizontal="distributed" vertical="center"/>
    </xf>
    <xf numFmtId="0" fontId="13" fillId="0" borderId="32" xfId="1" applyNumberFormat="1" applyFont="1" applyFill="1" applyBorder="1" applyAlignment="1">
      <alignment horizontal="distributed" vertical="center"/>
    </xf>
    <xf numFmtId="0" fontId="12" fillId="0" borderId="32" xfId="1" applyNumberFormat="1" applyFont="1" applyFill="1" applyBorder="1" applyAlignment="1">
      <alignment horizontal="center" vertical="center" shrinkToFit="1"/>
    </xf>
    <xf numFmtId="49" fontId="7" fillId="0" borderId="170" xfId="1" applyNumberFormat="1" applyFont="1" applyFill="1" applyBorder="1" applyAlignment="1">
      <alignment horizontal="right" vertical="center" shrinkToFit="1"/>
    </xf>
    <xf numFmtId="49" fontId="7" fillId="0" borderId="228" xfId="1" applyNumberFormat="1" applyFont="1" applyFill="1" applyBorder="1" applyAlignment="1">
      <alignment horizontal="right" vertical="center" shrinkToFit="1"/>
    </xf>
    <xf numFmtId="0" fontId="7" fillId="0" borderId="98" xfId="1" applyNumberFormat="1" applyFont="1" applyFill="1" applyBorder="1" applyAlignment="1">
      <alignment horizontal="center" vertical="center" wrapText="1"/>
    </xf>
    <xf numFmtId="0" fontId="7" fillId="0" borderId="55" xfId="1" applyNumberFormat="1" applyFont="1" applyFill="1" applyBorder="1" applyAlignment="1">
      <alignment horizontal="center" vertical="center"/>
    </xf>
    <xf numFmtId="0" fontId="7" fillId="0" borderId="133" xfId="1" applyNumberFormat="1" applyFont="1" applyFill="1" applyBorder="1" applyAlignment="1">
      <alignment horizontal="center" vertical="center"/>
    </xf>
    <xf numFmtId="0" fontId="13" fillId="0" borderId="115" xfId="1" applyNumberFormat="1" applyFont="1" applyFill="1" applyBorder="1" applyAlignment="1">
      <alignment horizontal="distributed" vertical="center"/>
    </xf>
    <xf numFmtId="0" fontId="13" fillId="0" borderId="55" xfId="1" applyNumberFormat="1" applyFont="1" applyFill="1" applyBorder="1" applyAlignment="1">
      <alignment horizontal="distributed" vertical="center"/>
    </xf>
    <xf numFmtId="49" fontId="7" fillId="0" borderId="3" xfId="1" applyNumberFormat="1" applyFont="1" applyFill="1" applyBorder="1" applyAlignment="1">
      <alignment horizontal="right" vertical="center" shrinkToFit="1"/>
    </xf>
    <xf numFmtId="0" fontId="14" fillId="0" borderId="229" xfId="1" applyFont="1" applyFill="1" applyBorder="1" applyAlignment="1">
      <alignment horizontal="distributed" vertical="center"/>
    </xf>
    <xf numFmtId="0" fontId="14" fillId="0" borderId="147" xfId="1" applyFont="1" applyFill="1" applyBorder="1" applyAlignment="1">
      <alignment horizontal="distributed" vertical="center"/>
    </xf>
    <xf numFmtId="0" fontId="7" fillId="0" borderId="25" xfId="1" applyNumberFormat="1" applyFont="1" applyFill="1" applyBorder="1" applyAlignment="1">
      <alignment horizontal="distributed" vertical="center" shrinkToFit="1"/>
    </xf>
    <xf numFmtId="0" fontId="7" fillId="0" borderId="0" xfId="1" applyNumberFormat="1" applyFont="1" applyFill="1" applyBorder="1" applyAlignment="1">
      <alignment horizontal="distributed" vertical="center" shrinkToFit="1"/>
    </xf>
    <xf numFmtId="0" fontId="7" fillId="0" borderId="38" xfId="1" applyNumberFormat="1" applyFont="1" applyFill="1" applyBorder="1" applyAlignment="1">
      <alignment horizontal="distributed" vertical="center" shrinkToFit="1"/>
    </xf>
    <xf numFmtId="0" fontId="14" fillId="0" borderId="232" xfId="1" applyFont="1" applyFill="1" applyBorder="1" applyAlignment="1">
      <alignment horizontal="center" vertical="center"/>
    </xf>
    <xf numFmtId="0" fontId="14" fillId="0" borderId="231" xfId="1" applyFont="1" applyFill="1" applyBorder="1" applyAlignment="1">
      <alignment horizontal="center" vertical="center"/>
    </xf>
    <xf numFmtId="0" fontId="14" fillId="0" borderId="230" xfId="1" applyFont="1" applyFill="1" applyBorder="1" applyAlignment="1">
      <alignment horizontal="center" vertical="center"/>
    </xf>
    <xf numFmtId="0" fontId="7" fillId="0" borderId="35" xfId="1" applyNumberFormat="1" applyFont="1" applyFill="1" applyBorder="1" applyAlignment="1">
      <alignment horizontal="center" vertical="center" shrinkToFit="1"/>
    </xf>
    <xf numFmtId="0" fontId="7" fillId="0" borderId="34" xfId="1" applyNumberFormat="1" applyFont="1" applyFill="1" applyBorder="1" applyAlignment="1">
      <alignment horizontal="center" vertical="center" shrinkToFit="1"/>
    </xf>
    <xf numFmtId="0" fontId="7" fillId="0" borderId="33" xfId="1" applyNumberFormat="1" applyFont="1" applyFill="1" applyBorder="1" applyAlignment="1">
      <alignment horizontal="center" vertical="center" shrinkToFit="1"/>
    </xf>
    <xf numFmtId="0" fontId="8" fillId="0" borderId="190" xfId="1" applyNumberFormat="1" applyFont="1" applyFill="1" applyBorder="1" applyAlignment="1">
      <alignment horizontal="left" vertical="center" shrinkToFit="1"/>
    </xf>
    <xf numFmtId="0" fontId="8" fillId="0" borderId="189" xfId="1" applyNumberFormat="1" applyFont="1" applyFill="1" applyBorder="1" applyAlignment="1">
      <alignment horizontal="left" vertical="center" shrinkToFit="1"/>
    </xf>
    <xf numFmtId="0" fontId="8" fillId="0" borderId="188" xfId="1" applyNumberFormat="1" applyFont="1" applyFill="1" applyBorder="1" applyAlignment="1">
      <alignment horizontal="left" vertical="center" shrinkToFit="1"/>
    </xf>
    <xf numFmtId="0" fontId="8" fillId="0" borderId="8" xfId="1" applyNumberFormat="1" applyFont="1" applyFill="1" applyBorder="1" applyAlignment="1">
      <alignment horizontal="left" vertical="center"/>
    </xf>
    <xf numFmtId="0" fontId="8" fillId="0" borderId="35" xfId="1" applyNumberFormat="1" applyFont="1" applyFill="1" applyBorder="1" applyAlignment="1">
      <alignment horizontal="left" vertical="center" shrinkToFit="1"/>
    </xf>
    <xf numFmtId="0" fontId="8" fillId="0" borderId="34" xfId="1" applyNumberFormat="1" applyFont="1" applyFill="1" applyBorder="1" applyAlignment="1">
      <alignment horizontal="left" vertical="center" shrinkToFit="1"/>
    </xf>
    <xf numFmtId="0" fontId="8" fillId="0" borderId="33" xfId="1" applyNumberFormat="1" applyFont="1" applyFill="1" applyBorder="1" applyAlignment="1">
      <alignment horizontal="left" vertical="center" shrinkToFit="1"/>
    </xf>
    <xf numFmtId="0" fontId="7" fillId="0" borderId="136" xfId="1" applyNumberFormat="1" applyFont="1" applyFill="1" applyBorder="1" applyAlignment="1">
      <alignment horizontal="center" vertical="center" textRotation="255" shrinkToFit="1"/>
    </xf>
    <xf numFmtId="0" fontId="7" fillId="0" borderId="73" xfId="1" applyNumberFormat="1" applyFont="1" applyFill="1" applyBorder="1" applyAlignment="1">
      <alignment horizontal="center" vertical="center" textRotation="255" shrinkToFit="1"/>
    </xf>
    <xf numFmtId="0" fontId="7" fillId="0" borderId="98" xfId="1" applyNumberFormat="1" applyFont="1" applyFill="1" applyBorder="1" applyAlignment="1">
      <alignment horizontal="center" vertical="center" textRotation="255" shrinkToFit="1"/>
    </xf>
    <xf numFmtId="0" fontId="7" fillId="0" borderId="60" xfId="1" applyNumberFormat="1" applyFont="1" applyFill="1" applyBorder="1" applyAlignment="1">
      <alignment horizontal="center" vertical="center" textRotation="255" shrinkToFit="1"/>
    </xf>
    <xf numFmtId="0" fontId="7" fillId="0" borderId="55" xfId="1" applyNumberFormat="1" applyFont="1" applyFill="1" applyBorder="1" applyAlignment="1">
      <alignment horizontal="center" vertical="center" textRotation="255" shrinkToFit="1"/>
    </xf>
    <xf numFmtId="0" fontId="7" fillId="0" borderId="133" xfId="1" applyNumberFormat="1" applyFont="1" applyFill="1" applyBorder="1" applyAlignment="1">
      <alignment horizontal="center" vertical="center" textRotation="255" shrinkToFit="1"/>
    </xf>
    <xf numFmtId="0" fontId="7" fillId="0" borderId="136" xfId="1" applyNumberFormat="1" applyFont="1" applyFill="1" applyBorder="1" applyAlignment="1">
      <alignment horizontal="center" vertical="center" textRotation="255" wrapText="1" shrinkToFit="1"/>
    </xf>
    <xf numFmtId="0" fontId="7" fillId="0" borderId="41" xfId="1" applyNumberFormat="1" applyFont="1" applyFill="1" applyBorder="1" applyAlignment="1">
      <alignment horizontal="center" vertical="center" textRotation="255" wrapText="1" shrinkToFit="1"/>
    </xf>
    <xf numFmtId="0" fontId="7" fillId="0" borderId="98" xfId="1" applyNumberFormat="1" applyFont="1" applyFill="1" applyBorder="1" applyAlignment="1">
      <alignment horizontal="center" vertical="center" textRotation="255" wrapText="1" shrinkToFit="1"/>
    </xf>
    <xf numFmtId="0" fontId="7" fillId="0" borderId="0" xfId="1" applyNumberFormat="1" applyFont="1" applyFill="1" applyBorder="1" applyAlignment="1">
      <alignment horizontal="center" vertical="center" textRotation="255" wrapText="1" shrinkToFit="1"/>
    </xf>
    <xf numFmtId="0" fontId="7" fillId="0" borderId="55" xfId="1" applyNumberFormat="1" applyFont="1" applyFill="1" applyBorder="1" applyAlignment="1">
      <alignment horizontal="center" vertical="center" textRotation="255" wrapText="1" shrinkToFit="1"/>
    </xf>
    <xf numFmtId="0" fontId="7" fillId="0" borderId="23" xfId="1" applyNumberFormat="1" applyFont="1" applyFill="1" applyBorder="1" applyAlignment="1">
      <alignment horizontal="center" vertical="center" textRotation="255" wrapText="1" shrinkToFit="1"/>
    </xf>
    <xf numFmtId="0" fontId="17" fillId="0" borderId="232" xfId="1" applyFont="1" applyFill="1" applyBorder="1" applyAlignment="1">
      <alignment horizontal="center" vertical="center" shrinkToFit="1"/>
    </xf>
    <xf numFmtId="0" fontId="17" fillId="0" borderId="231" xfId="1" applyFont="1" applyFill="1" applyBorder="1" applyAlignment="1">
      <alignment horizontal="center" vertical="center" shrinkToFit="1"/>
    </xf>
    <xf numFmtId="0" fontId="17" fillId="0" borderId="230" xfId="1" applyFont="1" applyFill="1" applyBorder="1" applyAlignment="1">
      <alignment horizontal="center" vertical="center" shrinkToFit="1"/>
    </xf>
    <xf numFmtId="0" fontId="7" fillId="0" borderId="49" xfId="1" applyNumberFormat="1" applyFont="1" applyFill="1" applyBorder="1" applyAlignment="1">
      <alignment horizontal="center" vertical="center" shrinkToFit="1"/>
    </xf>
    <xf numFmtId="0" fontId="7" fillId="0" borderId="3" xfId="1" applyNumberFormat="1" applyFont="1" applyFill="1" applyBorder="1" applyAlignment="1">
      <alignment horizontal="center" vertical="center" shrinkToFit="1"/>
    </xf>
    <xf numFmtId="0" fontId="7" fillId="0" borderId="75" xfId="1" applyNumberFormat="1" applyFont="1" applyFill="1" applyBorder="1" applyAlignment="1">
      <alignment horizontal="center" vertical="center" shrinkToFit="1"/>
    </xf>
    <xf numFmtId="0" fontId="14" fillId="0" borderId="75" xfId="1" applyFont="1" applyFill="1" applyBorder="1" applyAlignment="1">
      <alignment horizontal="center" vertical="center"/>
    </xf>
    <xf numFmtId="0" fontId="14" fillId="0" borderId="100" xfId="1" applyFont="1" applyFill="1" applyBorder="1" applyAlignment="1">
      <alignment horizontal="center" vertical="center"/>
    </xf>
    <xf numFmtId="0" fontId="7" fillId="0" borderId="132" xfId="1" applyNumberFormat="1" applyFont="1" applyFill="1" applyBorder="1" applyAlignment="1">
      <alignment horizontal="distributed" vertical="center"/>
    </xf>
    <xf numFmtId="0" fontId="7" fillId="0" borderId="115" xfId="1" applyNumberFormat="1" applyFont="1" applyFill="1" applyBorder="1" applyAlignment="1">
      <alignment horizontal="distributed" vertical="center"/>
    </xf>
    <xf numFmtId="0" fontId="12" fillId="0" borderId="32" xfId="1" applyNumberFormat="1" applyFont="1" applyFill="1" applyBorder="1" applyAlignment="1">
      <alignment horizontal="center" vertical="center"/>
    </xf>
    <xf numFmtId="0" fontId="12" fillId="0" borderId="18" xfId="1" applyNumberFormat="1" applyFont="1" applyFill="1" applyBorder="1" applyAlignment="1">
      <alignment horizontal="center" vertical="center"/>
    </xf>
    <xf numFmtId="0" fontId="12" fillId="0" borderId="31" xfId="1" applyNumberFormat="1" applyFont="1" applyFill="1" applyBorder="1" applyAlignment="1">
      <alignment horizontal="center" vertical="center"/>
    </xf>
    <xf numFmtId="0" fontId="7" fillId="0" borderId="21" xfId="1" applyNumberFormat="1" applyFont="1" applyFill="1" applyBorder="1" applyAlignment="1">
      <alignment horizontal="distributed" vertical="center"/>
    </xf>
    <xf numFmtId="0" fontId="7" fillId="0" borderId="31" xfId="1" applyNumberFormat="1" applyFont="1" applyFill="1" applyBorder="1" applyAlignment="1">
      <alignment horizontal="distributed" vertical="center"/>
    </xf>
    <xf numFmtId="0" fontId="7" fillId="0" borderId="25" xfId="1" applyNumberFormat="1" applyFont="1" applyFill="1" applyBorder="1" applyAlignment="1">
      <alignment horizontal="distributed" vertical="center"/>
    </xf>
    <xf numFmtId="0" fontId="7" fillId="0" borderId="38" xfId="1" applyNumberFormat="1" applyFont="1" applyFill="1" applyBorder="1" applyAlignment="1">
      <alignment horizontal="distributed" vertical="center"/>
    </xf>
    <xf numFmtId="0" fontId="7" fillId="0" borderId="128" xfId="2" applyNumberFormat="1" applyFont="1" applyFill="1" applyBorder="1" applyAlignment="1">
      <alignment horizontal="distributed" vertical="center" wrapText="1"/>
    </xf>
    <xf numFmtId="0" fontId="7" fillId="0" borderId="106" xfId="2" applyNumberFormat="1" applyFont="1" applyFill="1" applyBorder="1" applyAlignment="1">
      <alignment horizontal="distributed" vertical="center" wrapText="1"/>
    </xf>
    <xf numFmtId="0" fontId="7" fillId="0" borderId="129" xfId="2" applyNumberFormat="1" applyFont="1" applyFill="1" applyBorder="1" applyAlignment="1">
      <alignment horizontal="distributed" vertical="center" wrapText="1"/>
    </xf>
    <xf numFmtId="0" fontId="7" fillId="0" borderId="7" xfId="2" applyNumberFormat="1" applyFont="1" applyFill="1" applyBorder="1" applyAlignment="1">
      <alignment horizontal="center" vertical="center"/>
    </xf>
    <xf numFmtId="0" fontId="7" fillId="0" borderId="4" xfId="2" applyNumberFormat="1" applyFont="1" applyFill="1" applyBorder="1" applyAlignment="1">
      <alignment horizontal="center" vertical="center"/>
    </xf>
    <xf numFmtId="0" fontId="7" fillId="0" borderId="5" xfId="2" applyNumberFormat="1" applyFont="1" applyFill="1" applyBorder="1" applyAlignment="1">
      <alignment horizontal="center" vertical="center"/>
    </xf>
    <xf numFmtId="0" fontId="7" fillId="0" borderId="7" xfId="2" applyNumberFormat="1" applyFont="1" applyFill="1" applyBorder="1" applyAlignment="1">
      <alignment horizontal="center" vertical="center" wrapText="1"/>
    </xf>
    <xf numFmtId="0" fontId="7" fillId="0" borderId="4" xfId="2" applyNumberFormat="1" applyFont="1" applyFill="1" applyBorder="1" applyAlignment="1">
      <alignment horizontal="center" vertical="center" wrapText="1"/>
    </xf>
    <xf numFmtId="0" fontId="7" fillId="0" borderId="121" xfId="2" applyNumberFormat="1" applyFont="1" applyFill="1" applyBorder="1" applyAlignment="1">
      <alignment horizontal="center" vertical="center" wrapText="1"/>
    </xf>
    <xf numFmtId="0" fontId="7" fillId="0" borderId="7" xfId="1" applyNumberFormat="1" applyFont="1" applyFill="1" applyBorder="1" applyAlignment="1">
      <alignment horizontal="center" vertical="center"/>
    </xf>
    <xf numFmtId="0" fontId="7" fillId="0" borderId="64" xfId="1" applyNumberFormat="1" applyFont="1" applyFill="1" applyBorder="1" applyAlignment="1">
      <alignment horizontal="distributed" vertical="center"/>
    </xf>
    <xf numFmtId="0" fontId="7" fillId="0" borderId="25" xfId="1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center" vertical="center"/>
    </xf>
    <xf numFmtId="0" fontId="7" fillId="0" borderId="38" xfId="1" applyNumberFormat="1" applyFont="1" applyFill="1" applyBorder="1" applyAlignment="1">
      <alignment horizontal="center" vertical="center"/>
    </xf>
    <xf numFmtId="0" fontId="12" fillId="0" borderId="31" xfId="1" applyNumberFormat="1" applyFont="1" applyFill="1" applyBorder="1" applyAlignment="1">
      <alignment horizontal="distributed" vertical="center"/>
    </xf>
    <xf numFmtId="0" fontId="7" fillId="0" borderId="64" xfId="1" applyNumberFormat="1" applyFont="1" applyFill="1" applyBorder="1" applyAlignment="1">
      <alignment horizontal="center" vertical="center" textRotation="255"/>
    </xf>
    <xf numFmtId="0" fontId="7" fillId="0" borderId="25" xfId="1" applyNumberFormat="1" applyFont="1" applyFill="1" applyBorder="1" applyAlignment="1">
      <alignment horizontal="center" vertical="center" textRotation="255"/>
    </xf>
    <xf numFmtId="0" fontId="7" fillId="0" borderId="11" xfId="1" applyNumberFormat="1" applyFont="1" applyFill="1" applyBorder="1" applyAlignment="1">
      <alignment horizontal="center" vertical="center" textRotation="255"/>
    </xf>
    <xf numFmtId="0" fontId="7" fillId="0" borderId="10" xfId="1" applyNumberFormat="1" applyFont="1" applyFill="1" applyBorder="1" applyAlignment="1">
      <alignment horizontal="center" vertical="center" textRotation="255"/>
    </xf>
    <xf numFmtId="0" fontId="7" fillId="0" borderId="39" xfId="1" applyNumberFormat="1" applyFont="1" applyFill="1" applyBorder="1" applyAlignment="1">
      <alignment horizontal="distributed" vertical="center"/>
    </xf>
    <xf numFmtId="0" fontId="13" fillId="0" borderId="64" xfId="1" applyNumberFormat="1" applyFont="1" applyFill="1" applyBorder="1" applyAlignment="1">
      <alignment horizontal="distributed" vertical="center"/>
    </xf>
    <xf numFmtId="0" fontId="13" fillId="0" borderId="41" xfId="1" applyNumberFormat="1" applyFont="1" applyFill="1" applyBorder="1" applyAlignment="1">
      <alignment horizontal="distributed" vertical="center"/>
    </xf>
    <xf numFmtId="0" fontId="13" fillId="0" borderId="63" xfId="1" applyNumberFormat="1" applyFont="1" applyFill="1" applyBorder="1" applyAlignment="1">
      <alignment horizontal="distributed" vertical="center"/>
    </xf>
    <xf numFmtId="0" fontId="7" fillId="0" borderId="89" xfId="1" applyNumberFormat="1" applyFont="1" applyFill="1" applyBorder="1" applyAlignment="1">
      <alignment horizontal="distributed" vertical="center"/>
    </xf>
    <xf numFmtId="0" fontId="13" fillId="0" borderId="25" xfId="1" applyNumberFormat="1" applyFont="1" applyFill="1" applyBorder="1" applyAlignment="1">
      <alignment horizontal="distributed" vertical="center"/>
    </xf>
    <xf numFmtId="0" fontId="13" fillId="0" borderId="0" xfId="1" applyNumberFormat="1" applyFont="1" applyFill="1" applyBorder="1" applyAlignment="1">
      <alignment horizontal="distributed" vertical="center"/>
    </xf>
    <xf numFmtId="0" fontId="13" fillId="0" borderId="38" xfId="1" applyNumberFormat="1" applyFont="1" applyFill="1" applyBorder="1" applyAlignment="1">
      <alignment horizontal="distributed" vertical="center"/>
    </xf>
    <xf numFmtId="0" fontId="13" fillId="0" borderId="31" xfId="1" applyNumberFormat="1" applyFont="1" applyFill="1" applyBorder="1" applyAlignment="1">
      <alignment horizontal="distributed" vertical="center"/>
    </xf>
    <xf numFmtId="0" fontId="7" fillId="0" borderId="49" xfId="1" applyNumberFormat="1" applyFont="1" applyFill="1" applyBorder="1" applyAlignment="1">
      <alignment horizontal="center" vertical="center" textRotation="255"/>
    </xf>
    <xf numFmtId="0" fontId="14" fillId="0" borderId="2" xfId="1" applyFont="1" applyFill="1" applyBorder="1" applyAlignment="1">
      <alignment horizontal="center" vertical="center"/>
    </xf>
    <xf numFmtId="0" fontId="14" fillId="0" borderId="65" xfId="1" applyFont="1" applyFill="1" applyBorder="1" applyAlignment="1">
      <alignment horizontal="center" vertical="center"/>
    </xf>
    <xf numFmtId="0" fontId="14" fillId="0" borderId="63" xfId="1" applyFont="1" applyFill="1" applyBorder="1" applyAlignment="1">
      <alignment horizontal="center" vertical="center"/>
    </xf>
    <xf numFmtId="0" fontId="7" fillId="0" borderId="64" xfId="1" applyNumberFormat="1" applyFont="1" applyFill="1" applyBorder="1" applyAlignment="1">
      <alignment horizontal="center" vertical="center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63" xfId="1" applyNumberFormat="1" applyFont="1" applyFill="1" applyBorder="1" applyAlignment="1">
      <alignment horizontal="center" vertical="center" wrapText="1"/>
    </xf>
    <xf numFmtId="0" fontId="7" fillId="0" borderId="88" xfId="1" applyNumberFormat="1" applyFont="1" applyFill="1" applyBorder="1" applyAlignment="1">
      <alignment horizontal="center" vertical="center" wrapText="1"/>
    </xf>
    <xf numFmtId="0" fontId="7" fillId="0" borderId="38" xfId="1" applyNumberFormat="1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7" fillId="0" borderId="130" xfId="1" applyNumberFormat="1" applyFont="1" applyFill="1" applyBorder="1" applyAlignment="1">
      <alignment horizontal="center" vertical="center" shrinkToFit="1"/>
    </xf>
  </cellXfs>
  <cellStyles count="7">
    <cellStyle name="桁区切り 2" xfId="6"/>
    <cellStyle name="標準" xfId="0" builtinId="0"/>
    <cellStyle name="標準 2" xfId="3"/>
    <cellStyle name="標準 2 2" xfId="4"/>
    <cellStyle name="標準 2 4" xfId="5"/>
    <cellStyle name="標準 3" xfId="1"/>
    <cellStyle name="標準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97"/>
  <sheetViews>
    <sheetView tabSelected="1" view="pageBreakPreview" zoomScale="130" zoomScaleNormal="120" zoomScaleSheetLayoutView="130" workbookViewId="0"/>
  </sheetViews>
  <sheetFormatPr defaultColWidth="9" defaultRowHeight="12" x14ac:dyDescent="0.15"/>
  <cols>
    <col min="1" max="1" width="1.85546875" style="22" customWidth="1"/>
    <col min="2" max="2" width="1" style="70" customWidth="1"/>
    <col min="3" max="3" width="0.85546875" style="71" customWidth="1"/>
    <col min="4" max="4" width="1.7109375" style="71" customWidth="1"/>
    <col min="5" max="5" width="4.42578125" style="71" customWidth="1"/>
    <col min="6" max="6" width="2.140625" style="71" customWidth="1"/>
    <col min="7" max="19" width="2" style="70" customWidth="1"/>
    <col min="20" max="20" width="1.28515625" style="70" customWidth="1"/>
    <col min="21" max="21" width="2.42578125" style="70" customWidth="1"/>
    <col min="22" max="26" width="2" style="70" customWidth="1"/>
    <col min="27" max="31" width="1" style="70" customWidth="1"/>
    <col min="32" max="32" width="6" style="70" customWidth="1"/>
    <col min="33" max="37" width="2" style="70" customWidth="1"/>
    <col min="38" max="39" width="1.140625" style="70" customWidth="1"/>
    <col min="40" max="42" width="1.28515625" style="70" customWidth="1"/>
    <col min="43" max="43" width="4.140625" style="70" customWidth="1"/>
    <col min="44" max="44" width="1.28515625" style="70" customWidth="1"/>
    <col min="45" max="45" width="3" style="70" customWidth="1"/>
    <col min="46" max="48" width="2" style="70" customWidth="1"/>
    <col min="49" max="51" width="1.140625" style="70" customWidth="1"/>
    <col min="52" max="52" width="1" style="70" customWidth="1"/>
    <col min="53" max="53" width="5.7109375" style="70" customWidth="1"/>
    <col min="54" max="58" width="2" style="70" customWidth="1"/>
    <col min="59" max="60" width="1.7109375" style="70" customWidth="1"/>
    <col min="61" max="61" width="1.140625" style="70" customWidth="1"/>
    <col min="62" max="62" width="4.140625" style="70" customWidth="1"/>
    <col min="63" max="63" width="1.7109375" style="70" customWidth="1"/>
    <col min="64" max="68" width="2" style="70" customWidth="1"/>
    <col min="69" max="73" width="2.7109375" style="70" customWidth="1"/>
    <col min="74" max="394" width="9" style="70" customWidth="1"/>
    <col min="395" max="16384" width="9" style="70"/>
  </cols>
  <sheetData>
    <row r="1" spans="1:68" ht="14.25" customHeight="1" x14ac:dyDescent="0.15">
      <c r="B1" s="128" t="str">
        <f>B5&amp;"年　農業経営統計調査（営農類型別経営統計（農業経営体））　集計結果表No.１"</f>
        <v>年　農業経営統計調査（営農類型別経営統計（農業経営体））　集計結果表No.１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21"/>
      <c r="AQ1" s="21"/>
      <c r="AR1" s="21"/>
      <c r="AS1" s="21"/>
      <c r="AT1" s="21"/>
      <c r="AU1" s="21"/>
      <c r="AV1" s="21"/>
    </row>
    <row r="2" spans="1:68" ht="10.5" customHeight="1" thickBot="1" x14ac:dyDescent="0.2"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21"/>
      <c r="AQ2" s="21"/>
      <c r="AR2" s="21"/>
      <c r="AS2" s="21"/>
      <c r="AT2" s="21"/>
      <c r="AU2" s="21"/>
      <c r="AV2" s="21"/>
    </row>
    <row r="3" spans="1:68" s="202" customFormat="1" ht="9.75" customHeight="1" x14ac:dyDescent="0.15">
      <c r="A3" s="201"/>
      <c r="B3" s="379" t="s">
        <v>397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0"/>
      <c r="AP3" s="380"/>
      <c r="AQ3" s="380"/>
      <c r="AR3" s="380"/>
      <c r="AS3" s="380"/>
      <c r="AT3" s="380"/>
      <c r="AU3" s="380"/>
      <c r="AV3" s="380"/>
      <c r="AW3" s="380"/>
      <c r="AX3" s="380"/>
      <c r="AY3" s="380"/>
      <c r="AZ3" s="380"/>
      <c r="BA3" s="380"/>
      <c r="BB3" s="380"/>
      <c r="BC3" s="380"/>
      <c r="BD3" s="380"/>
      <c r="BE3" s="380"/>
      <c r="BF3" s="380"/>
      <c r="BG3" s="380"/>
      <c r="BH3" s="380"/>
      <c r="BI3" s="380"/>
      <c r="BJ3" s="380"/>
      <c r="BK3" s="380"/>
      <c r="BL3" s="380"/>
      <c r="BM3" s="380"/>
      <c r="BN3" s="380"/>
      <c r="BO3" s="380"/>
      <c r="BP3" s="381"/>
    </row>
    <row r="4" spans="1:68" s="202" customFormat="1" ht="9.75" customHeight="1" x14ac:dyDescent="0.15">
      <c r="A4" s="201"/>
      <c r="B4" s="581" t="s">
        <v>410</v>
      </c>
      <c r="C4" s="582"/>
      <c r="D4" s="582"/>
      <c r="E4" s="582"/>
      <c r="F4" s="582"/>
      <c r="G4" s="582" t="s">
        <v>411</v>
      </c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3" t="s">
        <v>412</v>
      </c>
      <c r="W4" s="583"/>
      <c r="X4" s="583"/>
      <c r="Y4" s="583"/>
      <c r="Z4" s="583"/>
      <c r="AA4" s="583"/>
      <c r="AB4" s="583"/>
      <c r="AC4" s="583"/>
      <c r="AD4" s="583"/>
      <c r="AE4" s="583"/>
      <c r="AF4" s="582" t="s">
        <v>413</v>
      </c>
      <c r="AG4" s="582"/>
      <c r="AH4" s="582"/>
      <c r="AI4" s="582"/>
      <c r="AJ4" s="582"/>
      <c r="AK4" s="582"/>
      <c r="AL4" s="582"/>
      <c r="AM4" s="582"/>
      <c r="AN4" s="582"/>
      <c r="AO4" s="582" t="s">
        <v>414</v>
      </c>
      <c r="AP4" s="582"/>
      <c r="AQ4" s="582"/>
      <c r="AR4" s="582"/>
      <c r="AS4" s="582"/>
      <c r="AT4" s="582"/>
      <c r="AU4" s="582"/>
      <c r="AV4" s="582"/>
      <c r="AW4" s="582"/>
      <c r="AX4" s="582" t="s">
        <v>415</v>
      </c>
      <c r="AY4" s="582"/>
      <c r="AZ4" s="582"/>
      <c r="BA4" s="582"/>
      <c r="BB4" s="582"/>
      <c r="BC4" s="582"/>
      <c r="BD4" s="582"/>
      <c r="BE4" s="582"/>
      <c r="BF4" s="582"/>
      <c r="BG4" s="582" t="s">
        <v>416</v>
      </c>
      <c r="BH4" s="582"/>
      <c r="BI4" s="582"/>
      <c r="BJ4" s="582"/>
      <c r="BK4" s="582"/>
      <c r="BL4" s="582"/>
      <c r="BM4" s="582"/>
      <c r="BN4" s="582"/>
      <c r="BO4" s="582"/>
      <c r="BP4" s="584"/>
    </row>
    <row r="5" spans="1:68" s="202" customFormat="1" ht="9.75" customHeight="1" x14ac:dyDescent="0.15">
      <c r="A5" s="201"/>
      <c r="B5" s="596"/>
      <c r="C5" s="243"/>
      <c r="D5" s="243"/>
      <c r="E5" s="243"/>
      <c r="F5" s="244"/>
      <c r="G5" s="242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4"/>
      <c r="V5" s="242"/>
      <c r="W5" s="243"/>
      <c r="X5" s="243"/>
      <c r="Y5" s="243"/>
      <c r="Z5" s="243"/>
      <c r="AA5" s="243"/>
      <c r="AB5" s="243"/>
      <c r="AC5" s="243"/>
      <c r="AD5" s="243"/>
      <c r="AE5" s="244"/>
      <c r="AF5" s="242"/>
      <c r="AG5" s="243"/>
      <c r="AH5" s="243"/>
      <c r="AI5" s="243"/>
      <c r="AJ5" s="243"/>
      <c r="AK5" s="243"/>
      <c r="AL5" s="243"/>
      <c r="AM5" s="243"/>
      <c r="AN5" s="244"/>
      <c r="AO5" s="242"/>
      <c r="AP5" s="243"/>
      <c r="AQ5" s="243"/>
      <c r="AR5" s="243"/>
      <c r="AS5" s="243"/>
      <c r="AT5" s="243"/>
      <c r="AU5" s="243"/>
      <c r="AV5" s="243"/>
      <c r="AW5" s="244"/>
      <c r="AX5" s="242"/>
      <c r="AY5" s="243"/>
      <c r="AZ5" s="243"/>
      <c r="BA5" s="243"/>
      <c r="BB5" s="243"/>
      <c r="BC5" s="243"/>
      <c r="BD5" s="243"/>
      <c r="BE5" s="243"/>
      <c r="BF5" s="244"/>
      <c r="BG5" s="242"/>
      <c r="BH5" s="243"/>
      <c r="BI5" s="243"/>
      <c r="BJ5" s="243"/>
      <c r="BK5" s="243"/>
      <c r="BL5" s="243"/>
      <c r="BM5" s="243"/>
      <c r="BN5" s="243"/>
      <c r="BO5" s="243"/>
      <c r="BP5" s="245"/>
    </row>
    <row r="6" spans="1:68" s="202" customFormat="1" ht="9.75" customHeight="1" x14ac:dyDescent="0.15">
      <c r="A6" s="201"/>
      <c r="B6" s="588" t="s">
        <v>150</v>
      </c>
      <c r="C6" s="589"/>
      <c r="D6" s="589"/>
      <c r="E6" s="589"/>
      <c r="F6" s="590"/>
      <c r="G6" s="591" t="s">
        <v>398</v>
      </c>
      <c r="H6" s="589"/>
      <c r="I6" s="589"/>
      <c r="J6" s="589"/>
      <c r="K6" s="590"/>
      <c r="L6" s="591" t="s">
        <v>417</v>
      </c>
      <c r="M6" s="589"/>
      <c r="N6" s="589"/>
      <c r="O6" s="589"/>
      <c r="P6" s="590"/>
      <c r="Q6" s="585" t="s">
        <v>418</v>
      </c>
      <c r="R6" s="586"/>
      <c r="S6" s="586"/>
      <c r="T6" s="586"/>
      <c r="U6" s="592"/>
      <c r="V6" s="586" t="s">
        <v>419</v>
      </c>
      <c r="W6" s="586"/>
      <c r="X6" s="586"/>
      <c r="Y6" s="586"/>
      <c r="Z6" s="586"/>
      <c r="AA6" s="586"/>
      <c r="AB6" s="586"/>
      <c r="AC6" s="586"/>
      <c r="AD6" s="586"/>
      <c r="AE6" s="586"/>
      <c r="AF6" s="586"/>
      <c r="AG6" s="586"/>
      <c r="AH6" s="586"/>
      <c r="AI6" s="586"/>
      <c r="AJ6" s="586"/>
      <c r="AK6" s="586"/>
      <c r="AL6" s="586"/>
      <c r="AM6" s="586"/>
      <c r="AN6" s="586"/>
      <c r="AO6" s="586"/>
      <c r="AP6" s="586"/>
      <c r="AQ6" s="586"/>
      <c r="AR6" s="586"/>
      <c r="AS6" s="586"/>
      <c r="AT6" s="586"/>
      <c r="AU6" s="586"/>
      <c r="AV6" s="586"/>
      <c r="AW6" s="586"/>
      <c r="AX6" s="586"/>
      <c r="AY6" s="586"/>
      <c r="AZ6" s="586"/>
      <c r="BA6" s="586"/>
      <c r="BB6" s="586"/>
      <c r="BC6" s="586"/>
      <c r="BD6" s="586"/>
      <c r="BE6" s="586"/>
      <c r="BF6" s="592"/>
      <c r="BG6" s="593"/>
      <c r="BH6" s="594"/>
      <c r="BI6" s="594"/>
      <c r="BJ6" s="594"/>
      <c r="BK6" s="595"/>
      <c r="BL6" s="585"/>
      <c r="BM6" s="586"/>
      <c r="BN6" s="586"/>
      <c r="BO6" s="586"/>
      <c r="BP6" s="587"/>
    </row>
    <row r="7" spans="1:68" s="202" customFormat="1" ht="9.75" customHeight="1" thickBot="1" x14ac:dyDescent="0.2">
      <c r="A7" s="201"/>
      <c r="B7" s="229"/>
      <c r="C7" s="230"/>
      <c r="D7" s="230"/>
      <c r="E7" s="230"/>
      <c r="F7" s="231"/>
      <c r="G7" s="232"/>
      <c r="H7" s="233"/>
      <c r="I7" s="233"/>
      <c r="J7" s="233"/>
      <c r="K7" s="234"/>
      <c r="L7" s="235"/>
      <c r="M7" s="236"/>
      <c r="N7" s="236"/>
      <c r="O7" s="236"/>
      <c r="P7" s="237"/>
      <c r="Q7" s="235"/>
      <c r="R7" s="236"/>
      <c r="S7" s="236"/>
      <c r="T7" s="236"/>
      <c r="U7" s="237"/>
      <c r="V7" s="238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39"/>
      <c r="BD7" s="239"/>
      <c r="BE7" s="239"/>
      <c r="BF7" s="240"/>
      <c r="BG7" s="238"/>
      <c r="BH7" s="239"/>
      <c r="BI7" s="239"/>
      <c r="BJ7" s="239"/>
      <c r="BK7" s="240"/>
      <c r="BL7" s="238"/>
      <c r="BM7" s="239"/>
      <c r="BN7" s="239"/>
      <c r="BO7" s="239"/>
      <c r="BP7" s="241"/>
    </row>
    <row r="8" spans="1:68" ht="10.5" customHeight="1" thickBot="1" x14ac:dyDescent="0.2">
      <c r="A8" s="23"/>
      <c r="B8" s="559" t="s">
        <v>401</v>
      </c>
      <c r="C8" s="560"/>
      <c r="D8" s="560"/>
      <c r="E8" s="560"/>
      <c r="F8" s="560"/>
      <c r="G8" s="560"/>
      <c r="H8" s="560"/>
      <c r="I8" s="560"/>
      <c r="J8" s="560"/>
      <c r="K8" s="560"/>
      <c r="L8" s="561" t="s">
        <v>368</v>
      </c>
      <c r="M8" s="562"/>
      <c r="N8" s="562"/>
      <c r="O8" s="562"/>
      <c r="P8" s="562"/>
      <c r="Q8" s="562"/>
      <c r="R8" s="562"/>
      <c r="S8" s="562"/>
      <c r="T8" s="562"/>
      <c r="U8" s="562"/>
      <c r="V8" s="560"/>
      <c r="W8" s="560"/>
      <c r="X8" s="560"/>
      <c r="Y8" s="560"/>
      <c r="Z8" s="563"/>
      <c r="AA8" s="227" t="s">
        <v>403</v>
      </c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8"/>
      <c r="AW8" s="126" t="s">
        <v>405</v>
      </c>
      <c r="AX8" s="125"/>
      <c r="AY8" s="125"/>
      <c r="AZ8" s="125"/>
      <c r="BA8" s="125"/>
      <c r="BB8" s="125"/>
      <c r="BC8" s="125"/>
      <c r="BD8" s="125"/>
      <c r="BE8" s="125"/>
      <c r="BF8" s="124"/>
      <c r="BG8" s="564" t="s">
        <v>406</v>
      </c>
      <c r="BH8" s="565"/>
      <c r="BI8" s="565"/>
      <c r="BJ8" s="565"/>
      <c r="BK8" s="565"/>
      <c r="BL8" s="565"/>
      <c r="BM8" s="565"/>
      <c r="BN8" s="565"/>
      <c r="BO8" s="565"/>
      <c r="BP8" s="566"/>
    </row>
    <row r="9" spans="1:68" ht="10.5" customHeight="1" x14ac:dyDescent="0.15">
      <c r="A9" s="23">
        <v>1</v>
      </c>
      <c r="B9" s="567" t="s">
        <v>149</v>
      </c>
      <c r="C9" s="267"/>
      <c r="D9" s="267"/>
      <c r="E9" s="267"/>
      <c r="F9" s="267"/>
      <c r="G9" s="267"/>
      <c r="H9" s="267"/>
      <c r="I9" s="267"/>
      <c r="J9" s="267"/>
      <c r="K9" s="267"/>
      <c r="L9" s="568" t="s">
        <v>148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8"/>
      <c r="AA9" s="360" t="s">
        <v>43</v>
      </c>
      <c r="AB9" s="360"/>
      <c r="AC9" s="360"/>
      <c r="AD9" s="360"/>
      <c r="AE9" s="360"/>
      <c r="AF9" s="361"/>
      <c r="AG9" s="569" t="s">
        <v>367</v>
      </c>
      <c r="AH9" s="570"/>
      <c r="AI9" s="570"/>
      <c r="AJ9" s="570"/>
      <c r="AK9" s="571"/>
      <c r="AL9" s="383" t="s">
        <v>43</v>
      </c>
      <c r="AM9" s="360"/>
      <c r="AN9" s="360"/>
      <c r="AO9" s="360"/>
      <c r="AP9" s="360"/>
      <c r="AQ9" s="361"/>
      <c r="AR9" s="569" t="s">
        <v>366</v>
      </c>
      <c r="AS9" s="570"/>
      <c r="AT9" s="570"/>
      <c r="AU9" s="570"/>
      <c r="AV9" s="571"/>
      <c r="AW9" s="572" t="s">
        <v>43</v>
      </c>
      <c r="AX9" s="573"/>
      <c r="AY9" s="573"/>
      <c r="AZ9" s="573"/>
      <c r="BA9" s="574"/>
      <c r="BB9" s="575" t="s">
        <v>35</v>
      </c>
      <c r="BC9" s="576"/>
      <c r="BD9" s="576"/>
      <c r="BE9" s="576"/>
      <c r="BF9" s="577"/>
      <c r="BG9" s="578" t="s">
        <v>109</v>
      </c>
      <c r="BH9" s="579"/>
      <c r="BI9" s="579"/>
      <c r="BJ9" s="579"/>
      <c r="BK9" s="580"/>
      <c r="BL9" s="518"/>
      <c r="BM9" s="519"/>
      <c r="BN9" s="519"/>
      <c r="BO9" s="519"/>
      <c r="BP9" s="520"/>
    </row>
    <row r="10" spans="1:68" ht="10.5" customHeight="1" x14ac:dyDescent="0.15">
      <c r="A10" s="23">
        <v>2</v>
      </c>
      <c r="B10" s="371" t="s">
        <v>147</v>
      </c>
      <c r="C10" s="355"/>
      <c r="D10" s="355"/>
      <c r="E10" s="355"/>
      <c r="F10" s="355"/>
      <c r="G10" s="276"/>
      <c r="H10" s="277"/>
      <c r="I10" s="277"/>
      <c r="J10" s="277"/>
      <c r="K10" s="277"/>
      <c r="L10" s="546" t="s">
        <v>146</v>
      </c>
      <c r="M10" s="530" t="s">
        <v>145</v>
      </c>
      <c r="N10" s="531"/>
      <c r="O10" s="531"/>
      <c r="P10" s="531"/>
      <c r="Q10" s="531"/>
      <c r="R10" s="531"/>
      <c r="S10" s="531"/>
      <c r="T10" s="532"/>
      <c r="U10" s="88" t="s">
        <v>17</v>
      </c>
      <c r="V10" s="276"/>
      <c r="W10" s="277"/>
      <c r="X10" s="277"/>
      <c r="Y10" s="277"/>
      <c r="Z10" s="278"/>
      <c r="AA10" s="549" t="s">
        <v>142</v>
      </c>
      <c r="AB10" s="550"/>
      <c r="AC10" s="550"/>
      <c r="AD10" s="550"/>
      <c r="AE10" s="550"/>
      <c r="AF10" s="551"/>
      <c r="AG10" s="276"/>
      <c r="AH10" s="277"/>
      <c r="AI10" s="277"/>
      <c r="AJ10" s="277"/>
      <c r="AK10" s="278"/>
      <c r="AL10" s="558" t="s">
        <v>141</v>
      </c>
      <c r="AM10" s="550"/>
      <c r="AN10" s="550"/>
      <c r="AO10" s="550"/>
      <c r="AP10" s="550"/>
      <c r="AQ10" s="551"/>
      <c r="AR10" s="276"/>
      <c r="AS10" s="277"/>
      <c r="AT10" s="277"/>
      <c r="AU10" s="277"/>
      <c r="AV10" s="336"/>
      <c r="AW10" s="371" t="s">
        <v>57</v>
      </c>
      <c r="AX10" s="355"/>
      <c r="AY10" s="355"/>
      <c r="AZ10" s="355"/>
      <c r="BA10" s="372"/>
      <c r="BB10" s="276"/>
      <c r="BC10" s="277"/>
      <c r="BD10" s="277"/>
      <c r="BE10" s="277"/>
      <c r="BF10" s="336"/>
      <c r="BG10" s="17"/>
      <c r="BH10" s="536" t="s">
        <v>144</v>
      </c>
      <c r="BI10" s="302"/>
      <c r="BJ10" s="302"/>
      <c r="BK10" s="303"/>
      <c r="BL10" s="552"/>
      <c r="BM10" s="553"/>
      <c r="BN10" s="553"/>
      <c r="BO10" s="553"/>
      <c r="BP10" s="554"/>
    </row>
    <row r="11" spans="1:68" ht="10.5" customHeight="1" x14ac:dyDescent="0.15">
      <c r="A11" s="23">
        <v>3</v>
      </c>
      <c r="B11" s="226"/>
      <c r="C11" s="288" t="s">
        <v>365</v>
      </c>
      <c r="D11" s="270"/>
      <c r="E11" s="270"/>
      <c r="F11" s="271"/>
      <c r="G11" s="427"/>
      <c r="H11" s="428"/>
      <c r="I11" s="428"/>
      <c r="J11" s="428"/>
      <c r="K11" s="428"/>
      <c r="L11" s="547"/>
      <c r="M11" s="540" t="s">
        <v>143</v>
      </c>
      <c r="N11" s="541"/>
      <c r="O11" s="541"/>
      <c r="P11" s="541"/>
      <c r="Q11" s="541"/>
      <c r="R11" s="541"/>
      <c r="S11" s="541"/>
      <c r="T11" s="542"/>
      <c r="U11" s="87" t="s">
        <v>27</v>
      </c>
      <c r="V11" s="249"/>
      <c r="W11" s="250"/>
      <c r="X11" s="250"/>
      <c r="Y11" s="250"/>
      <c r="Z11" s="272"/>
      <c r="AA11" s="1"/>
      <c r="AB11" s="521" t="s">
        <v>138</v>
      </c>
      <c r="AC11" s="522"/>
      <c r="AD11" s="522"/>
      <c r="AE11" s="522"/>
      <c r="AF11" s="523"/>
      <c r="AG11" s="249"/>
      <c r="AH11" s="250"/>
      <c r="AI11" s="250"/>
      <c r="AJ11" s="250"/>
      <c r="AK11" s="251"/>
      <c r="AL11" s="2"/>
      <c r="AM11" s="555" t="s">
        <v>137</v>
      </c>
      <c r="AN11" s="556"/>
      <c r="AO11" s="556"/>
      <c r="AP11" s="556"/>
      <c r="AQ11" s="557"/>
      <c r="AR11" s="249"/>
      <c r="AS11" s="250"/>
      <c r="AT11" s="250"/>
      <c r="AU11" s="250"/>
      <c r="AV11" s="251"/>
      <c r="AW11" s="210"/>
      <c r="AX11" s="211"/>
      <c r="AY11" s="288" t="s">
        <v>222</v>
      </c>
      <c r="AZ11" s="270"/>
      <c r="BA11" s="271"/>
      <c r="BB11" s="249"/>
      <c r="BC11" s="250"/>
      <c r="BD11" s="250"/>
      <c r="BE11" s="250"/>
      <c r="BF11" s="251"/>
      <c r="BG11" s="17"/>
      <c r="BH11" s="536" t="s">
        <v>140</v>
      </c>
      <c r="BI11" s="302"/>
      <c r="BJ11" s="302"/>
      <c r="BK11" s="303"/>
      <c r="BL11" s="249"/>
      <c r="BM11" s="250"/>
      <c r="BN11" s="250"/>
      <c r="BO11" s="250"/>
      <c r="BP11" s="251"/>
    </row>
    <row r="12" spans="1:68" ht="10.5" customHeight="1" x14ac:dyDescent="0.15">
      <c r="A12" s="23">
        <v>4</v>
      </c>
      <c r="B12" s="226"/>
      <c r="C12" s="507" t="s">
        <v>364</v>
      </c>
      <c r="D12" s="508"/>
      <c r="E12" s="508"/>
      <c r="F12" s="509"/>
      <c r="G12" s="427"/>
      <c r="H12" s="428"/>
      <c r="I12" s="428"/>
      <c r="J12" s="428"/>
      <c r="K12" s="428"/>
      <c r="L12" s="547"/>
      <c r="M12" s="540" t="s">
        <v>139</v>
      </c>
      <c r="N12" s="541"/>
      <c r="O12" s="541"/>
      <c r="P12" s="541"/>
      <c r="Q12" s="541"/>
      <c r="R12" s="541"/>
      <c r="S12" s="541"/>
      <c r="T12" s="542"/>
      <c r="U12" s="87" t="s">
        <v>27</v>
      </c>
      <c r="V12" s="249"/>
      <c r="W12" s="250"/>
      <c r="X12" s="250"/>
      <c r="Y12" s="250"/>
      <c r="Z12" s="272"/>
      <c r="AA12" s="9"/>
      <c r="AB12" s="13"/>
      <c r="AC12" s="521" t="s">
        <v>135</v>
      </c>
      <c r="AD12" s="522"/>
      <c r="AE12" s="522"/>
      <c r="AF12" s="523"/>
      <c r="AG12" s="249"/>
      <c r="AH12" s="250"/>
      <c r="AI12" s="250"/>
      <c r="AJ12" s="250"/>
      <c r="AK12" s="251"/>
      <c r="AL12" s="7"/>
      <c r="AM12" s="18"/>
      <c r="AN12" s="521" t="s">
        <v>134</v>
      </c>
      <c r="AO12" s="522"/>
      <c r="AP12" s="534"/>
      <c r="AQ12" s="535"/>
      <c r="AR12" s="249"/>
      <c r="AS12" s="250"/>
      <c r="AT12" s="250"/>
      <c r="AU12" s="250"/>
      <c r="AV12" s="251"/>
      <c r="AW12" s="210"/>
      <c r="AX12" s="211"/>
      <c r="AY12" s="288" t="s">
        <v>217</v>
      </c>
      <c r="AZ12" s="270"/>
      <c r="BA12" s="271"/>
      <c r="BB12" s="249"/>
      <c r="BC12" s="250"/>
      <c r="BD12" s="250"/>
      <c r="BE12" s="250"/>
      <c r="BF12" s="251"/>
      <c r="BG12" s="17"/>
      <c r="BH12" s="536" t="s">
        <v>136</v>
      </c>
      <c r="BI12" s="302"/>
      <c r="BJ12" s="302"/>
      <c r="BK12" s="303"/>
      <c r="BL12" s="249"/>
      <c r="BM12" s="250"/>
      <c r="BN12" s="250"/>
      <c r="BO12" s="250"/>
      <c r="BP12" s="251"/>
    </row>
    <row r="13" spans="1:68" ht="10.5" customHeight="1" x14ac:dyDescent="0.15">
      <c r="A13" s="23">
        <v>5</v>
      </c>
      <c r="B13" s="226"/>
      <c r="C13" s="288" t="s">
        <v>363</v>
      </c>
      <c r="D13" s="270"/>
      <c r="E13" s="270"/>
      <c r="F13" s="271"/>
      <c r="G13" s="427"/>
      <c r="H13" s="428"/>
      <c r="I13" s="428"/>
      <c r="J13" s="428"/>
      <c r="K13" s="428"/>
      <c r="L13" s="548"/>
      <c r="M13" s="540" t="s">
        <v>130</v>
      </c>
      <c r="N13" s="541"/>
      <c r="O13" s="541"/>
      <c r="P13" s="541"/>
      <c r="Q13" s="541"/>
      <c r="R13" s="541"/>
      <c r="S13" s="541"/>
      <c r="T13" s="542"/>
      <c r="U13" s="87" t="s">
        <v>27</v>
      </c>
      <c r="V13" s="319"/>
      <c r="W13" s="320"/>
      <c r="X13" s="320"/>
      <c r="Y13" s="320"/>
      <c r="Z13" s="321"/>
      <c r="AA13" s="9"/>
      <c r="AB13" s="212"/>
      <c r="AC13" s="13"/>
      <c r="AD13" s="543" t="s">
        <v>132</v>
      </c>
      <c r="AE13" s="544"/>
      <c r="AF13" s="545"/>
      <c r="AG13" s="249"/>
      <c r="AH13" s="250"/>
      <c r="AI13" s="250"/>
      <c r="AJ13" s="250"/>
      <c r="AK13" s="251"/>
      <c r="AL13" s="2"/>
      <c r="AM13" s="18"/>
      <c r="AN13" s="533" t="s">
        <v>16</v>
      </c>
      <c r="AO13" s="534"/>
      <c r="AP13" s="534"/>
      <c r="AQ13" s="535"/>
      <c r="AR13" s="249"/>
      <c r="AS13" s="250"/>
      <c r="AT13" s="250"/>
      <c r="AU13" s="250"/>
      <c r="AV13" s="251"/>
      <c r="AW13" s="210"/>
      <c r="AX13" s="211"/>
      <c r="AY13" s="288" t="s">
        <v>215</v>
      </c>
      <c r="AZ13" s="270"/>
      <c r="BA13" s="271"/>
      <c r="BB13" s="249"/>
      <c r="BC13" s="250"/>
      <c r="BD13" s="250"/>
      <c r="BE13" s="250"/>
      <c r="BF13" s="251"/>
      <c r="BG13" s="17"/>
      <c r="BH13" s="536" t="s">
        <v>133</v>
      </c>
      <c r="BI13" s="302"/>
      <c r="BJ13" s="302"/>
      <c r="BK13" s="303"/>
      <c r="BL13" s="249"/>
      <c r="BM13" s="250"/>
      <c r="BN13" s="250"/>
      <c r="BO13" s="250"/>
      <c r="BP13" s="251"/>
    </row>
    <row r="14" spans="1:68" ht="10.5" customHeight="1" x14ac:dyDescent="0.15">
      <c r="A14" s="23">
        <v>6</v>
      </c>
      <c r="B14" s="423" t="s">
        <v>72</v>
      </c>
      <c r="C14" s="270"/>
      <c r="D14" s="270"/>
      <c r="E14" s="270"/>
      <c r="F14" s="271"/>
      <c r="G14" s="427"/>
      <c r="H14" s="428"/>
      <c r="I14" s="428"/>
      <c r="J14" s="428"/>
      <c r="K14" s="428"/>
      <c r="L14" s="527" t="s">
        <v>124</v>
      </c>
      <c r="M14" s="530" t="s">
        <v>36</v>
      </c>
      <c r="N14" s="531"/>
      <c r="O14" s="531"/>
      <c r="P14" s="531"/>
      <c r="Q14" s="531"/>
      <c r="R14" s="531"/>
      <c r="S14" s="531"/>
      <c r="T14" s="532"/>
      <c r="U14" s="123" t="s">
        <v>402</v>
      </c>
      <c r="V14" s="276"/>
      <c r="W14" s="277"/>
      <c r="X14" s="277"/>
      <c r="Y14" s="277"/>
      <c r="Z14" s="278"/>
      <c r="AA14" s="206"/>
      <c r="AB14" s="211"/>
      <c r="AC14" s="38"/>
      <c r="AD14" s="288" t="s">
        <v>362</v>
      </c>
      <c r="AE14" s="270"/>
      <c r="AF14" s="271"/>
      <c r="AG14" s="249"/>
      <c r="AH14" s="250"/>
      <c r="AI14" s="250"/>
      <c r="AJ14" s="250"/>
      <c r="AK14" s="251"/>
      <c r="AL14" s="2"/>
      <c r="AM14" s="18"/>
      <c r="AN14" s="533" t="s">
        <v>95</v>
      </c>
      <c r="AO14" s="534"/>
      <c r="AP14" s="534"/>
      <c r="AQ14" s="535"/>
      <c r="AR14" s="249"/>
      <c r="AS14" s="250"/>
      <c r="AT14" s="250"/>
      <c r="AU14" s="250"/>
      <c r="AV14" s="251"/>
      <c r="AW14" s="210"/>
      <c r="AX14" s="211"/>
      <c r="AY14" s="288" t="s">
        <v>212</v>
      </c>
      <c r="AZ14" s="270"/>
      <c r="BA14" s="271"/>
      <c r="BB14" s="249"/>
      <c r="BC14" s="250"/>
      <c r="BD14" s="250"/>
      <c r="BE14" s="250"/>
      <c r="BF14" s="251"/>
      <c r="BG14" s="17"/>
      <c r="BH14" s="517" t="s">
        <v>131</v>
      </c>
      <c r="BI14" s="291"/>
      <c r="BJ14" s="291"/>
      <c r="BK14" s="292"/>
      <c r="BL14" s="518"/>
      <c r="BM14" s="519"/>
      <c r="BN14" s="519"/>
      <c r="BO14" s="519"/>
      <c r="BP14" s="520"/>
    </row>
    <row r="15" spans="1:68" ht="10.5" customHeight="1" x14ac:dyDescent="0.15">
      <c r="A15" s="23">
        <v>7</v>
      </c>
      <c r="B15" s="226"/>
      <c r="C15" s="288" t="s">
        <v>361</v>
      </c>
      <c r="D15" s="270"/>
      <c r="E15" s="270"/>
      <c r="F15" s="271"/>
      <c r="G15" s="427"/>
      <c r="H15" s="428"/>
      <c r="I15" s="428"/>
      <c r="J15" s="428"/>
      <c r="K15" s="428"/>
      <c r="L15" s="528"/>
      <c r="M15" s="540" t="s">
        <v>120</v>
      </c>
      <c r="N15" s="541"/>
      <c r="O15" s="541"/>
      <c r="P15" s="541"/>
      <c r="Q15" s="541"/>
      <c r="R15" s="541"/>
      <c r="S15" s="541"/>
      <c r="T15" s="542"/>
      <c r="U15" s="87" t="s">
        <v>17</v>
      </c>
      <c r="V15" s="249"/>
      <c r="W15" s="250"/>
      <c r="X15" s="250"/>
      <c r="Y15" s="250"/>
      <c r="Z15" s="272"/>
      <c r="AA15" s="206"/>
      <c r="AB15" s="121"/>
      <c r="AC15" s="430" t="s">
        <v>126</v>
      </c>
      <c r="AD15" s="353"/>
      <c r="AE15" s="353"/>
      <c r="AF15" s="431"/>
      <c r="AG15" s="249"/>
      <c r="AH15" s="250"/>
      <c r="AI15" s="250"/>
      <c r="AJ15" s="250"/>
      <c r="AK15" s="251"/>
      <c r="AL15" s="2"/>
      <c r="AM15" s="521" t="s">
        <v>128</v>
      </c>
      <c r="AN15" s="534"/>
      <c r="AO15" s="534"/>
      <c r="AP15" s="534"/>
      <c r="AQ15" s="535"/>
      <c r="AR15" s="249"/>
      <c r="AS15" s="250"/>
      <c r="AT15" s="250"/>
      <c r="AU15" s="250"/>
      <c r="AV15" s="251"/>
      <c r="AW15" s="210"/>
      <c r="AX15" s="211"/>
      <c r="AY15" s="288" t="s">
        <v>209</v>
      </c>
      <c r="AZ15" s="270"/>
      <c r="BA15" s="271"/>
      <c r="BB15" s="249"/>
      <c r="BC15" s="250"/>
      <c r="BD15" s="250"/>
      <c r="BE15" s="250"/>
      <c r="BF15" s="251"/>
      <c r="BG15" s="17"/>
      <c r="BH15" s="536" t="s">
        <v>95</v>
      </c>
      <c r="BI15" s="302"/>
      <c r="BJ15" s="302"/>
      <c r="BK15" s="303"/>
      <c r="BL15" s="537"/>
      <c r="BM15" s="538"/>
      <c r="BN15" s="538"/>
      <c r="BO15" s="538"/>
      <c r="BP15" s="539"/>
    </row>
    <row r="16" spans="1:68" ht="10.5" customHeight="1" x14ac:dyDescent="0.15">
      <c r="A16" s="23">
        <v>8</v>
      </c>
      <c r="B16" s="226"/>
      <c r="C16" s="507" t="s">
        <v>360</v>
      </c>
      <c r="D16" s="508"/>
      <c r="E16" s="508"/>
      <c r="F16" s="509"/>
      <c r="G16" s="427"/>
      <c r="H16" s="428"/>
      <c r="I16" s="428"/>
      <c r="J16" s="428"/>
      <c r="K16" s="428"/>
      <c r="L16" s="528"/>
      <c r="M16" s="510" t="s">
        <v>113</v>
      </c>
      <c r="N16" s="511"/>
      <c r="O16" s="511"/>
      <c r="P16" s="511"/>
      <c r="Q16" s="511"/>
      <c r="R16" s="511"/>
      <c r="S16" s="511"/>
      <c r="T16" s="512"/>
      <c r="U16" s="87" t="s">
        <v>420</v>
      </c>
      <c r="V16" s="249"/>
      <c r="W16" s="250"/>
      <c r="X16" s="250"/>
      <c r="Y16" s="250"/>
      <c r="Z16" s="272"/>
      <c r="AA16" s="206"/>
      <c r="AB16" s="211"/>
      <c r="AC16" s="121"/>
      <c r="AD16" s="430" t="s">
        <v>123</v>
      </c>
      <c r="AE16" s="270"/>
      <c r="AF16" s="271"/>
      <c r="AG16" s="249"/>
      <c r="AH16" s="250"/>
      <c r="AI16" s="250"/>
      <c r="AJ16" s="250"/>
      <c r="AK16" s="251"/>
      <c r="AL16" s="122"/>
      <c r="AM16" s="3"/>
      <c r="AN16" s="521" t="s">
        <v>19</v>
      </c>
      <c r="AO16" s="522"/>
      <c r="AP16" s="522"/>
      <c r="AQ16" s="523"/>
      <c r="AR16" s="319"/>
      <c r="AS16" s="320"/>
      <c r="AT16" s="320"/>
      <c r="AU16" s="320"/>
      <c r="AV16" s="334"/>
      <c r="AW16" s="210"/>
      <c r="AX16" s="211"/>
      <c r="AY16" s="288" t="s">
        <v>206</v>
      </c>
      <c r="AZ16" s="270"/>
      <c r="BA16" s="271"/>
      <c r="BB16" s="249"/>
      <c r="BC16" s="250"/>
      <c r="BD16" s="250"/>
      <c r="BE16" s="250"/>
      <c r="BF16" s="251"/>
      <c r="BG16" s="524" t="s">
        <v>127</v>
      </c>
      <c r="BH16" s="525"/>
      <c r="BI16" s="525"/>
      <c r="BJ16" s="525"/>
      <c r="BK16" s="526"/>
      <c r="BL16" s="276"/>
      <c r="BM16" s="277"/>
      <c r="BN16" s="277"/>
      <c r="BO16" s="277"/>
      <c r="BP16" s="336"/>
    </row>
    <row r="17" spans="1:68" ht="10.5" customHeight="1" thickBot="1" x14ac:dyDescent="0.2">
      <c r="A17" s="23">
        <v>9</v>
      </c>
      <c r="B17" s="226"/>
      <c r="C17" s="288" t="s">
        <v>359</v>
      </c>
      <c r="D17" s="270"/>
      <c r="E17" s="270"/>
      <c r="F17" s="271"/>
      <c r="G17" s="427"/>
      <c r="H17" s="428"/>
      <c r="I17" s="428"/>
      <c r="J17" s="428"/>
      <c r="K17" s="428"/>
      <c r="L17" s="529"/>
      <c r="M17" s="330" t="s">
        <v>110</v>
      </c>
      <c r="N17" s="331"/>
      <c r="O17" s="331"/>
      <c r="P17" s="331"/>
      <c r="Q17" s="331"/>
      <c r="R17" s="331"/>
      <c r="S17" s="331"/>
      <c r="T17" s="332"/>
      <c r="U17" s="115" t="s">
        <v>402</v>
      </c>
      <c r="V17" s="319"/>
      <c r="W17" s="320"/>
      <c r="X17" s="320"/>
      <c r="Y17" s="320"/>
      <c r="Z17" s="321"/>
      <c r="AA17" s="206"/>
      <c r="AB17" s="121"/>
      <c r="AC17" s="430" t="s">
        <v>95</v>
      </c>
      <c r="AD17" s="270"/>
      <c r="AE17" s="270"/>
      <c r="AF17" s="271"/>
      <c r="AG17" s="249"/>
      <c r="AH17" s="250"/>
      <c r="AI17" s="250"/>
      <c r="AJ17" s="250"/>
      <c r="AK17" s="251"/>
      <c r="AL17" s="513" t="s">
        <v>117</v>
      </c>
      <c r="AM17" s="514"/>
      <c r="AN17" s="514"/>
      <c r="AO17" s="514"/>
      <c r="AP17" s="514"/>
      <c r="AQ17" s="515"/>
      <c r="AR17" s="313"/>
      <c r="AS17" s="314"/>
      <c r="AT17" s="314"/>
      <c r="AU17" s="314"/>
      <c r="AV17" s="516"/>
      <c r="AW17" s="210"/>
      <c r="AX17" s="211"/>
      <c r="AY17" s="288" t="s">
        <v>203</v>
      </c>
      <c r="AZ17" s="270"/>
      <c r="BA17" s="271"/>
      <c r="BB17" s="249"/>
      <c r="BC17" s="250"/>
      <c r="BD17" s="250"/>
      <c r="BE17" s="250"/>
      <c r="BF17" s="251"/>
      <c r="BG17" s="14"/>
      <c r="BH17" s="470" t="s">
        <v>122</v>
      </c>
      <c r="BI17" s="471"/>
      <c r="BJ17" s="471"/>
      <c r="BK17" s="472"/>
      <c r="BL17" s="473"/>
      <c r="BM17" s="250"/>
      <c r="BN17" s="250"/>
      <c r="BO17" s="250"/>
      <c r="BP17" s="251"/>
    </row>
    <row r="18" spans="1:68" ht="10.5" customHeight="1" thickBot="1" x14ac:dyDescent="0.2">
      <c r="A18" s="23">
        <v>10</v>
      </c>
      <c r="B18" s="423" t="s">
        <v>46</v>
      </c>
      <c r="C18" s="270"/>
      <c r="D18" s="270"/>
      <c r="E18" s="270"/>
      <c r="F18" s="271"/>
      <c r="G18" s="427"/>
      <c r="H18" s="428"/>
      <c r="I18" s="428"/>
      <c r="J18" s="428"/>
      <c r="K18" s="428"/>
      <c r="L18" s="488" t="s">
        <v>108</v>
      </c>
      <c r="M18" s="350"/>
      <c r="N18" s="489"/>
      <c r="O18" s="490" t="s">
        <v>107</v>
      </c>
      <c r="P18" s="491"/>
      <c r="Q18" s="491"/>
      <c r="R18" s="491"/>
      <c r="S18" s="491"/>
      <c r="T18" s="492"/>
      <c r="U18" s="120" t="s">
        <v>63</v>
      </c>
      <c r="V18" s="493"/>
      <c r="W18" s="494"/>
      <c r="X18" s="494"/>
      <c r="Y18" s="494"/>
      <c r="Z18" s="495"/>
      <c r="AA18" s="26"/>
      <c r="AB18" s="430" t="s">
        <v>118</v>
      </c>
      <c r="AC18" s="353"/>
      <c r="AD18" s="353"/>
      <c r="AE18" s="353"/>
      <c r="AF18" s="431"/>
      <c r="AG18" s="249"/>
      <c r="AH18" s="250"/>
      <c r="AI18" s="250"/>
      <c r="AJ18" s="250"/>
      <c r="AK18" s="272"/>
      <c r="AW18" s="210"/>
      <c r="AX18" s="211"/>
      <c r="AY18" s="288" t="s">
        <v>196</v>
      </c>
      <c r="AZ18" s="270"/>
      <c r="BA18" s="271"/>
      <c r="BB18" s="249"/>
      <c r="BC18" s="250"/>
      <c r="BD18" s="250"/>
      <c r="BE18" s="250"/>
      <c r="BF18" s="251"/>
      <c r="BG18" s="14"/>
      <c r="BH18" s="480" t="s">
        <v>119</v>
      </c>
      <c r="BI18" s="471"/>
      <c r="BJ18" s="471"/>
      <c r="BK18" s="472"/>
      <c r="BL18" s="473"/>
      <c r="BM18" s="250"/>
      <c r="BN18" s="250"/>
      <c r="BO18" s="250"/>
      <c r="BP18" s="251"/>
    </row>
    <row r="19" spans="1:68" ht="10.5" customHeight="1" thickBot="1" x14ac:dyDescent="0.2">
      <c r="A19" s="23">
        <v>11</v>
      </c>
      <c r="B19" s="226"/>
      <c r="C19" s="288" t="s">
        <v>358</v>
      </c>
      <c r="D19" s="270"/>
      <c r="E19" s="270"/>
      <c r="F19" s="271"/>
      <c r="G19" s="427"/>
      <c r="H19" s="428"/>
      <c r="I19" s="428"/>
      <c r="J19" s="428"/>
      <c r="K19" s="428"/>
      <c r="L19" s="481" t="s">
        <v>105</v>
      </c>
      <c r="M19" s="482"/>
      <c r="N19" s="483"/>
      <c r="O19" s="487" t="s">
        <v>104</v>
      </c>
      <c r="P19" s="274"/>
      <c r="Q19" s="274"/>
      <c r="R19" s="274"/>
      <c r="S19" s="274"/>
      <c r="T19" s="275"/>
      <c r="U19" s="113" t="s">
        <v>17</v>
      </c>
      <c r="V19" s="276"/>
      <c r="W19" s="277"/>
      <c r="X19" s="277"/>
      <c r="Y19" s="277"/>
      <c r="Z19" s="278"/>
      <c r="AA19" s="97"/>
      <c r="AB19" s="119"/>
      <c r="AC19" s="501" t="s">
        <v>26</v>
      </c>
      <c r="AD19" s="502"/>
      <c r="AE19" s="502"/>
      <c r="AF19" s="503"/>
      <c r="AG19" s="249"/>
      <c r="AH19" s="250"/>
      <c r="AI19" s="250"/>
      <c r="AJ19" s="250"/>
      <c r="AK19" s="251"/>
      <c r="AL19" s="504" t="s">
        <v>357</v>
      </c>
      <c r="AM19" s="505"/>
      <c r="AN19" s="505"/>
      <c r="AO19" s="505"/>
      <c r="AP19" s="505"/>
      <c r="AQ19" s="506"/>
      <c r="AR19" s="497"/>
      <c r="AS19" s="498"/>
      <c r="AT19" s="498"/>
      <c r="AU19" s="498"/>
      <c r="AV19" s="499"/>
      <c r="AW19" s="210"/>
      <c r="AX19" s="211"/>
      <c r="AY19" s="288" t="s">
        <v>190</v>
      </c>
      <c r="AZ19" s="270"/>
      <c r="BA19" s="271"/>
      <c r="BB19" s="249"/>
      <c r="BC19" s="250"/>
      <c r="BD19" s="250"/>
      <c r="BE19" s="250"/>
      <c r="BF19" s="251"/>
      <c r="BG19" s="16"/>
      <c r="BH19" s="118"/>
      <c r="BI19" s="346" t="s">
        <v>116</v>
      </c>
      <c r="BJ19" s="347"/>
      <c r="BK19" s="496"/>
      <c r="BL19" s="473"/>
      <c r="BM19" s="250"/>
      <c r="BN19" s="250"/>
      <c r="BO19" s="250"/>
      <c r="BP19" s="251"/>
    </row>
    <row r="20" spans="1:68" ht="10.5" customHeight="1" thickBot="1" x14ac:dyDescent="0.2">
      <c r="A20" s="23">
        <v>12</v>
      </c>
      <c r="B20" s="226"/>
      <c r="C20" s="500" t="s">
        <v>356</v>
      </c>
      <c r="D20" s="461"/>
      <c r="E20" s="461"/>
      <c r="F20" s="462"/>
      <c r="G20" s="427"/>
      <c r="H20" s="428"/>
      <c r="I20" s="428"/>
      <c r="J20" s="428"/>
      <c r="K20" s="428"/>
      <c r="L20" s="484"/>
      <c r="M20" s="485"/>
      <c r="N20" s="486"/>
      <c r="O20" s="304" t="s">
        <v>101</v>
      </c>
      <c r="P20" s="305"/>
      <c r="Q20" s="305"/>
      <c r="R20" s="305"/>
      <c r="S20" s="305"/>
      <c r="T20" s="306"/>
      <c r="U20" s="117" t="s">
        <v>27</v>
      </c>
      <c r="V20" s="262"/>
      <c r="W20" s="263"/>
      <c r="X20" s="263"/>
      <c r="Y20" s="263"/>
      <c r="Z20" s="296"/>
      <c r="AA20" s="206"/>
      <c r="AB20" s="211"/>
      <c r="AC20" s="501" t="s">
        <v>29</v>
      </c>
      <c r="AD20" s="502"/>
      <c r="AE20" s="502"/>
      <c r="AF20" s="503"/>
      <c r="AG20" s="249"/>
      <c r="AH20" s="250"/>
      <c r="AI20" s="250"/>
      <c r="AJ20" s="250"/>
      <c r="AK20" s="2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86"/>
      <c r="AW20" s="210"/>
      <c r="AX20" s="211"/>
      <c r="AY20" s="288" t="s">
        <v>185</v>
      </c>
      <c r="AZ20" s="270"/>
      <c r="BA20" s="271"/>
      <c r="BB20" s="249"/>
      <c r="BC20" s="250"/>
      <c r="BD20" s="250"/>
      <c r="BE20" s="250"/>
      <c r="BF20" s="251"/>
      <c r="BG20" s="14"/>
      <c r="BH20" s="470" t="s">
        <v>222</v>
      </c>
      <c r="BI20" s="471"/>
      <c r="BJ20" s="471"/>
      <c r="BK20" s="472"/>
      <c r="BL20" s="473"/>
      <c r="BM20" s="250"/>
      <c r="BN20" s="250"/>
      <c r="BO20" s="250"/>
      <c r="BP20" s="251"/>
    </row>
    <row r="21" spans="1:68" ht="10.5" customHeight="1" x14ac:dyDescent="0.15">
      <c r="A21" s="23">
        <v>13</v>
      </c>
      <c r="B21" s="226"/>
      <c r="C21" s="288" t="s">
        <v>355</v>
      </c>
      <c r="D21" s="270"/>
      <c r="E21" s="270"/>
      <c r="F21" s="271"/>
      <c r="G21" s="427"/>
      <c r="H21" s="428"/>
      <c r="I21" s="428"/>
      <c r="J21" s="428"/>
      <c r="K21" s="428"/>
      <c r="L21" s="265" t="s">
        <v>99</v>
      </c>
      <c r="M21" s="266"/>
      <c r="N21" s="266"/>
      <c r="O21" s="266"/>
      <c r="P21" s="266"/>
      <c r="Q21" s="266"/>
      <c r="R21" s="266"/>
      <c r="S21" s="266"/>
      <c r="T21" s="266"/>
      <c r="U21" s="266"/>
      <c r="V21" s="267"/>
      <c r="W21" s="267"/>
      <c r="X21" s="267"/>
      <c r="Y21" s="267"/>
      <c r="Z21" s="268"/>
      <c r="AA21" s="206"/>
      <c r="AB21" s="211"/>
      <c r="AC21" s="430" t="s">
        <v>32</v>
      </c>
      <c r="AD21" s="270"/>
      <c r="AE21" s="270"/>
      <c r="AF21" s="271"/>
      <c r="AG21" s="249"/>
      <c r="AH21" s="250"/>
      <c r="AI21" s="250"/>
      <c r="AJ21" s="250"/>
      <c r="AK21" s="2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86"/>
      <c r="AW21" s="210"/>
      <c r="AX21" s="211"/>
      <c r="AY21" s="288" t="s">
        <v>179</v>
      </c>
      <c r="AZ21" s="270"/>
      <c r="BA21" s="271"/>
      <c r="BB21" s="249"/>
      <c r="BC21" s="250"/>
      <c r="BD21" s="250"/>
      <c r="BE21" s="250"/>
      <c r="BF21" s="251"/>
      <c r="BG21" s="14"/>
      <c r="BH21" s="470" t="s">
        <v>112</v>
      </c>
      <c r="BI21" s="471"/>
      <c r="BJ21" s="471"/>
      <c r="BK21" s="472"/>
      <c r="BL21" s="473"/>
      <c r="BM21" s="250"/>
      <c r="BN21" s="250"/>
      <c r="BO21" s="250"/>
      <c r="BP21" s="251"/>
    </row>
    <row r="22" spans="1:68" ht="10.5" customHeight="1" thickBot="1" x14ac:dyDescent="0.2">
      <c r="A22" s="23">
        <v>14</v>
      </c>
      <c r="B22" s="423" t="s">
        <v>44</v>
      </c>
      <c r="C22" s="270"/>
      <c r="D22" s="270"/>
      <c r="E22" s="270"/>
      <c r="F22" s="271"/>
      <c r="G22" s="427"/>
      <c r="H22" s="428"/>
      <c r="I22" s="428"/>
      <c r="J22" s="428"/>
      <c r="K22" s="428"/>
      <c r="L22" s="478" t="s">
        <v>50</v>
      </c>
      <c r="M22" s="454" t="s">
        <v>96</v>
      </c>
      <c r="N22" s="274"/>
      <c r="O22" s="274"/>
      <c r="P22" s="274"/>
      <c r="Q22" s="274"/>
      <c r="R22" s="274"/>
      <c r="S22" s="274"/>
      <c r="T22" s="275"/>
      <c r="U22" s="88" t="s">
        <v>17</v>
      </c>
      <c r="V22" s="276"/>
      <c r="W22" s="277"/>
      <c r="X22" s="277"/>
      <c r="Y22" s="277"/>
      <c r="Z22" s="278"/>
      <c r="AA22" s="207"/>
      <c r="AB22" s="116"/>
      <c r="AC22" s="304" t="s">
        <v>354</v>
      </c>
      <c r="AD22" s="305"/>
      <c r="AE22" s="305"/>
      <c r="AF22" s="306"/>
      <c r="AG22" s="262"/>
      <c r="AH22" s="263"/>
      <c r="AI22" s="263"/>
      <c r="AJ22" s="263"/>
      <c r="AK22" s="296"/>
      <c r="AL22" s="72"/>
      <c r="AM22" s="72"/>
      <c r="AN22" s="72"/>
      <c r="AO22" s="72"/>
      <c r="AP22" s="72"/>
      <c r="AQ22" s="72"/>
      <c r="AW22" s="210"/>
      <c r="AX22" s="211"/>
      <c r="AY22" s="288" t="s">
        <v>173</v>
      </c>
      <c r="AZ22" s="270"/>
      <c r="BA22" s="271"/>
      <c r="BB22" s="249"/>
      <c r="BC22" s="250"/>
      <c r="BD22" s="250"/>
      <c r="BE22" s="250"/>
      <c r="BF22" s="251"/>
      <c r="BG22" s="14"/>
      <c r="BH22" s="470" t="s">
        <v>98</v>
      </c>
      <c r="BI22" s="471"/>
      <c r="BJ22" s="471"/>
      <c r="BK22" s="472"/>
      <c r="BL22" s="473"/>
      <c r="BM22" s="250"/>
      <c r="BN22" s="250"/>
      <c r="BO22" s="250"/>
      <c r="BP22" s="251"/>
    </row>
    <row r="23" spans="1:68" ht="10.5" customHeight="1" thickBot="1" x14ac:dyDescent="0.2">
      <c r="A23" s="23">
        <v>15</v>
      </c>
      <c r="B23" s="423" t="s">
        <v>40</v>
      </c>
      <c r="C23" s="270"/>
      <c r="D23" s="270"/>
      <c r="E23" s="270"/>
      <c r="F23" s="271"/>
      <c r="G23" s="427"/>
      <c r="H23" s="428"/>
      <c r="I23" s="428"/>
      <c r="J23" s="428"/>
      <c r="K23" s="428"/>
      <c r="L23" s="479"/>
      <c r="M23" s="474" t="s">
        <v>93</v>
      </c>
      <c r="N23" s="331"/>
      <c r="O23" s="331"/>
      <c r="P23" s="331"/>
      <c r="Q23" s="331"/>
      <c r="R23" s="331"/>
      <c r="S23" s="331"/>
      <c r="T23" s="332"/>
      <c r="U23" s="115" t="s">
        <v>27</v>
      </c>
      <c r="V23" s="319"/>
      <c r="W23" s="320"/>
      <c r="X23" s="320"/>
      <c r="Y23" s="320"/>
      <c r="Z23" s="321"/>
      <c r="AL23" s="114"/>
      <c r="AM23" s="114"/>
      <c r="AN23" s="114"/>
      <c r="AO23" s="114"/>
      <c r="AP23" s="114"/>
      <c r="AQ23" s="114"/>
      <c r="AW23" s="210"/>
      <c r="AX23" s="211"/>
      <c r="AY23" s="288" t="s">
        <v>168</v>
      </c>
      <c r="AZ23" s="270"/>
      <c r="BA23" s="271"/>
      <c r="BB23" s="249"/>
      <c r="BC23" s="250"/>
      <c r="BD23" s="250"/>
      <c r="BE23" s="250"/>
      <c r="BF23" s="251"/>
      <c r="BG23" s="17"/>
      <c r="BH23" s="475" t="s">
        <v>95</v>
      </c>
      <c r="BI23" s="476"/>
      <c r="BJ23" s="476"/>
      <c r="BK23" s="477"/>
      <c r="BL23" s="319"/>
      <c r="BM23" s="320"/>
      <c r="BN23" s="320"/>
      <c r="BO23" s="320"/>
      <c r="BP23" s="334"/>
    </row>
    <row r="24" spans="1:68" ht="10.5" customHeight="1" x14ac:dyDescent="0.15">
      <c r="A24" s="23">
        <v>16</v>
      </c>
      <c r="B24" s="423" t="s">
        <v>30</v>
      </c>
      <c r="C24" s="353"/>
      <c r="D24" s="353"/>
      <c r="E24" s="353"/>
      <c r="F24" s="431"/>
      <c r="G24" s="427"/>
      <c r="H24" s="428"/>
      <c r="I24" s="428"/>
      <c r="J24" s="428"/>
      <c r="K24" s="428"/>
      <c r="L24" s="452" t="s">
        <v>90</v>
      </c>
      <c r="M24" s="454" t="s">
        <v>36</v>
      </c>
      <c r="N24" s="274"/>
      <c r="O24" s="274"/>
      <c r="P24" s="274"/>
      <c r="Q24" s="274"/>
      <c r="R24" s="274"/>
      <c r="S24" s="274"/>
      <c r="T24" s="275"/>
      <c r="U24" s="113" t="s">
        <v>402</v>
      </c>
      <c r="V24" s="276"/>
      <c r="W24" s="277"/>
      <c r="X24" s="277"/>
      <c r="Y24" s="277"/>
      <c r="Z24" s="278"/>
      <c r="AA24" s="112" t="s">
        <v>353</v>
      </c>
      <c r="AB24" s="112"/>
      <c r="AC24" s="112"/>
      <c r="AD24" s="112"/>
      <c r="AE24" s="112"/>
      <c r="AF24" s="112"/>
      <c r="AG24" s="112"/>
      <c r="AH24" s="111"/>
      <c r="AI24" s="112"/>
      <c r="AJ24" s="112"/>
      <c r="AK24" s="112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0"/>
      <c r="AW24" s="210"/>
      <c r="AX24" s="211"/>
      <c r="AY24" s="288" t="s">
        <v>164</v>
      </c>
      <c r="AZ24" s="270"/>
      <c r="BA24" s="271"/>
      <c r="BB24" s="249"/>
      <c r="BC24" s="250"/>
      <c r="BD24" s="250"/>
      <c r="BE24" s="250"/>
      <c r="BF24" s="251"/>
      <c r="BG24" s="445" t="s">
        <v>352</v>
      </c>
      <c r="BH24" s="446"/>
      <c r="BI24" s="446"/>
      <c r="BJ24" s="446"/>
      <c r="BK24" s="446"/>
      <c r="BL24" s="446"/>
      <c r="BM24" s="446"/>
      <c r="BN24" s="446"/>
      <c r="BO24" s="446"/>
      <c r="BP24" s="447"/>
    </row>
    <row r="25" spans="1:68" ht="10.5" customHeight="1" x14ac:dyDescent="0.15">
      <c r="A25" s="23">
        <v>17</v>
      </c>
      <c r="B25" s="397" t="s">
        <v>129</v>
      </c>
      <c r="C25" s="398"/>
      <c r="D25" s="398"/>
      <c r="E25" s="398"/>
      <c r="F25" s="398"/>
      <c r="G25" s="398"/>
      <c r="H25" s="398"/>
      <c r="I25" s="398"/>
      <c r="J25" s="398"/>
      <c r="K25" s="398"/>
      <c r="L25" s="452"/>
      <c r="M25" s="375" t="s">
        <v>89</v>
      </c>
      <c r="N25" s="270"/>
      <c r="O25" s="270"/>
      <c r="P25" s="270"/>
      <c r="Q25" s="270"/>
      <c r="R25" s="270"/>
      <c r="S25" s="270"/>
      <c r="T25" s="271"/>
      <c r="U25" s="87" t="s">
        <v>17</v>
      </c>
      <c r="V25" s="249"/>
      <c r="W25" s="250"/>
      <c r="X25" s="250"/>
      <c r="Y25" s="250"/>
      <c r="Z25" s="272"/>
      <c r="AA25" s="350" t="s">
        <v>71</v>
      </c>
      <c r="AB25" s="350"/>
      <c r="AC25" s="350"/>
      <c r="AD25" s="350"/>
      <c r="AE25" s="350"/>
      <c r="AF25" s="448"/>
      <c r="AG25" s="449" t="s">
        <v>35</v>
      </c>
      <c r="AH25" s="449"/>
      <c r="AI25" s="449"/>
      <c r="AJ25" s="449"/>
      <c r="AK25" s="449"/>
      <c r="AL25" s="450" t="s">
        <v>68</v>
      </c>
      <c r="AM25" s="450"/>
      <c r="AN25" s="450"/>
      <c r="AO25" s="450"/>
      <c r="AP25" s="450"/>
      <c r="AQ25" s="450"/>
      <c r="AR25" s="450" t="s">
        <v>69</v>
      </c>
      <c r="AS25" s="450"/>
      <c r="AT25" s="450"/>
      <c r="AU25" s="450"/>
      <c r="AV25" s="451"/>
      <c r="AW25" s="210"/>
      <c r="AX25" s="211"/>
      <c r="AY25" s="288" t="s">
        <v>159</v>
      </c>
      <c r="AZ25" s="270"/>
      <c r="BA25" s="271"/>
      <c r="BB25" s="249"/>
      <c r="BC25" s="250"/>
      <c r="BD25" s="250"/>
      <c r="BE25" s="250"/>
      <c r="BF25" s="251"/>
      <c r="BG25" s="463" t="s">
        <v>88</v>
      </c>
      <c r="BH25" s="464"/>
      <c r="BI25" s="465" t="s">
        <v>87</v>
      </c>
      <c r="BJ25" s="466"/>
      <c r="BK25" s="109" t="s">
        <v>77</v>
      </c>
      <c r="BL25" s="467"/>
      <c r="BM25" s="468"/>
      <c r="BN25" s="468"/>
      <c r="BO25" s="468"/>
      <c r="BP25" s="469"/>
    </row>
    <row r="26" spans="1:68" ht="10.5" customHeight="1" thickBot="1" x14ac:dyDescent="0.2">
      <c r="A26" s="23">
        <v>18</v>
      </c>
      <c r="B26" s="371" t="s">
        <v>55</v>
      </c>
      <c r="C26" s="355"/>
      <c r="D26" s="355"/>
      <c r="E26" s="355"/>
      <c r="F26" s="355"/>
      <c r="G26" s="373"/>
      <c r="H26" s="374"/>
      <c r="I26" s="374"/>
      <c r="J26" s="374"/>
      <c r="K26" s="374"/>
      <c r="L26" s="452"/>
      <c r="M26" s="352" t="s">
        <v>84</v>
      </c>
      <c r="N26" s="392"/>
      <c r="O26" s="392"/>
      <c r="P26" s="392"/>
      <c r="Q26" s="288" t="s">
        <v>36</v>
      </c>
      <c r="R26" s="270"/>
      <c r="S26" s="270"/>
      <c r="T26" s="271"/>
      <c r="U26" s="87" t="s">
        <v>420</v>
      </c>
      <c r="V26" s="249"/>
      <c r="W26" s="250"/>
      <c r="X26" s="250"/>
      <c r="Y26" s="250"/>
      <c r="Z26" s="272"/>
      <c r="AA26" s="443" t="s">
        <v>66</v>
      </c>
      <c r="AB26" s="443"/>
      <c r="AC26" s="443"/>
      <c r="AD26" s="443"/>
      <c r="AE26" s="443"/>
      <c r="AF26" s="444"/>
      <c r="AG26" s="455"/>
      <c r="AH26" s="455"/>
      <c r="AI26" s="455"/>
      <c r="AJ26" s="455"/>
      <c r="AK26" s="455"/>
      <c r="AL26" s="456"/>
      <c r="AM26" s="456"/>
      <c r="AN26" s="456"/>
      <c r="AO26" s="456"/>
      <c r="AP26" s="456"/>
      <c r="AQ26" s="456"/>
      <c r="AR26" s="457"/>
      <c r="AS26" s="458"/>
      <c r="AT26" s="458"/>
      <c r="AU26" s="458"/>
      <c r="AV26" s="459"/>
      <c r="AW26" s="210"/>
      <c r="AX26" s="211"/>
      <c r="AY26" s="460" t="s">
        <v>154</v>
      </c>
      <c r="AZ26" s="461"/>
      <c r="BA26" s="462"/>
      <c r="BB26" s="249"/>
      <c r="BC26" s="250"/>
      <c r="BD26" s="250"/>
      <c r="BE26" s="250"/>
      <c r="BF26" s="251"/>
      <c r="BG26" s="436" t="s">
        <v>79</v>
      </c>
      <c r="BH26" s="437"/>
      <c r="BI26" s="421" t="s">
        <v>78</v>
      </c>
      <c r="BJ26" s="422"/>
      <c r="BK26" s="6" t="s">
        <v>77</v>
      </c>
      <c r="BL26" s="276"/>
      <c r="BM26" s="277"/>
      <c r="BN26" s="277"/>
      <c r="BO26" s="277"/>
      <c r="BP26" s="336"/>
    </row>
    <row r="27" spans="1:68" ht="10.5" customHeight="1" x14ac:dyDescent="0.15">
      <c r="A27" s="23">
        <v>19</v>
      </c>
      <c r="B27" s="423" t="s">
        <v>125</v>
      </c>
      <c r="C27" s="270"/>
      <c r="D27" s="270"/>
      <c r="E27" s="270"/>
      <c r="F27" s="271"/>
      <c r="G27" s="373"/>
      <c r="H27" s="374"/>
      <c r="I27" s="374"/>
      <c r="J27" s="374"/>
      <c r="K27" s="374"/>
      <c r="L27" s="452"/>
      <c r="M27" s="393"/>
      <c r="N27" s="394"/>
      <c r="O27" s="394"/>
      <c r="P27" s="394"/>
      <c r="Q27" s="288" t="s">
        <v>60</v>
      </c>
      <c r="R27" s="270"/>
      <c r="S27" s="270"/>
      <c r="T27" s="271"/>
      <c r="U27" s="87" t="s">
        <v>402</v>
      </c>
      <c r="V27" s="249"/>
      <c r="W27" s="250"/>
      <c r="X27" s="250"/>
      <c r="Y27" s="250"/>
      <c r="Z27" s="272"/>
      <c r="AA27" s="106"/>
      <c r="AB27" s="424" t="s">
        <v>62</v>
      </c>
      <c r="AC27" s="425"/>
      <c r="AD27" s="425"/>
      <c r="AE27" s="425"/>
      <c r="AF27" s="426"/>
      <c r="AG27" s="440"/>
      <c r="AH27" s="441"/>
      <c r="AI27" s="441"/>
      <c r="AJ27" s="441"/>
      <c r="AK27" s="442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8"/>
      <c r="AW27" s="210"/>
      <c r="AX27" s="211"/>
      <c r="AY27" s="430" t="s">
        <v>153</v>
      </c>
      <c r="AZ27" s="270"/>
      <c r="BA27" s="271"/>
      <c r="BB27" s="249"/>
      <c r="BC27" s="250"/>
      <c r="BD27" s="250"/>
      <c r="BE27" s="250"/>
      <c r="BF27" s="251"/>
      <c r="BG27" s="438"/>
      <c r="BH27" s="439"/>
      <c r="BI27" s="432" t="s">
        <v>75</v>
      </c>
      <c r="BJ27" s="433"/>
      <c r="BK27" s="4" t="s">
        <v>74</v>
      </c>
      <c r="BL27" s="319"/>
      <c r="BM27" s="320"/>
      <c r="BN27" s="320"/>
      <c r="BO27" s="320"/>
      <c r="BP27" s="334"/>
    </row>
    <row r="28" spans="1:68" ht="10.5" customHeight="1" x14ac:dyDescent="0.15">
      <c r="A28" s="23">
        <v>20</v>
      </c>
      <c r="B28" s="107"/>
      <c r="C28" s="391" t="s">
        <v>121</v>
      </c>
      <c r="D28" s="355"/>
      <c r="E28" s="355"/>
      <c r="F28" s="372"/>
      <c r="G28" s="373"/>
      <c r="H28" s="374"/>
      <c r="I28" s="374"/>
      <c r="J28" s="374"/>
      <c r="K28" s="374"/>
      <c r="L28" s="452"/>
      <c r="M28" s="393"/>
      <c r="N28" s="394"/>
      <c r="O28" s="394"/>
      <c r="P28" s="394"/>
      <c r="Q28" s="288" t="s">
        <v>57</v>
      </c>
      <c r="R28" s="270"/>
      <c r="S28" s="270"/>
      <c r="T28" s="271"/>
      <c r="U28" s="87" t="s">
        <v>27</v>
      </c>
      <c r="V28" s="249"/>
      <c r="W28" s="250"/>
      <c r="X28" s="250"/>
      <c r="Y28" s="250"/>
      <c r="Z28" s="272"/>
      <c r="AA28" s="106"/>
      <c r="AB28" s="424" t="s">
        <v>59</v>
      </c>
      <c r="AC28" s="425"/>
      <c r="AD28" s="425"/>
      <c r="AE28" s="425"/>
      <c r="AF28" s="426"/>
      <c r="AG28" s="427"/>
      <c r="AH28" s="428"/>
      <c r="AI28" s="428"/>
      <c r="AJ28" s="428"/>
      <c r="AK28" s="429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86"/>
      <c r="AW28" s="210"/>
      <c r="AX28" s="211"/>
      <c r="AY28" s="27"/>
      <c r="AZ28" s="434" t="s">
        <v>351</v>
      </c>
      <c r="BA28" s="435"/>
      <c r="BB28" s="249"/>
      <c r="BC28" s="250"/>
      <c r="BD28" s="250"/>
      <c r="BE28" s="250"/>
      <c r="BF28" s="251"/>
      <c r="BG28" s="436" t="s">
        <v>86</v>
      </c>
      <c r="BH28" s="437"/>
      <c r="BI28" s="421" t="s">
        <v>78</v>
      </c>
      <c r="BJ28" s="422"/>
      <c r="BK28" s="6" t="s">
        <v>77</v>
      </c>
      <c r="BL28" s="276"/>
      <c r="BM28" s="277"/>
      <c r="BN28" s="277"/>
      <c r="BO28" s="277"/>
      <c r="BP28" s="336"/>
    </row>
    <row r="29" spans="1:68" ht="10.5" customHeight="1" x14ac:dyDescent="0.15">
      <c r="A29" s="23">
        <v>21</v>
      </c>
      <c r="B29" s="423" t="s">
        <v>57</v>
      </c>
      <c r="C29" s="270"/>
      <c r="D29" s="270"/>
      <c r="E29" s="270"/>
      <c r="F29" s="271"/>
      <c r="G29" s="373"/>
      <c r="H29" s="374"/>
      <c r="I29" s="374"/>
      <c r="J29" s="374"/>
      <c r="K29" s="374"/>
      <c r="L29" s="452"/>
      <c r="M29" s="395"/>
      <c r="N29" s="396"/>
      <c r="O29" s="396"/>
      <c r="P29" s="396"/>
      <c r="Q29" s="288" t="s">
        <v>55</v>
      </c>
      <c r="R29" s="270"/>
      <c r="S29" s="270"/>
      <c r="T29" s="271"/>
      <c r="U29" s="87" t="s">
        <v>27</v>
      </c>
      <c r="V29" s="249"/>
      <c r="W29" s="250"/>
      <c r="X29" s="250"/>
      <c r="Y29" s="250"/>
      <c r="Z29" s="272"/>
      <c r="AA29" s="106"/>
      <c r="AB29" s="424" t="s">
        <v>56</v>
      </c>
      <c r="AC29" s="425"/>
      <c r="AD29" s="425"/>
      <c r="AE29" s="425"/>
      <c r="AF29" s="426"/>
      <c r="AG29" s="427"/>
      <c r="AH29" s="428"/>
      <c r="AI29" s="428"/>
      <c r="AJ29" s="428"/>
      <c r="AK29" s="429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86"/>
      <c r="AW29" s="210"/>
      <c r="AX29" s="211"/>
      <c r="AY29" s="430" t="s">
        <v>98</v>
      </c>
      <c r="AZ29" s="353"/>
      <c r="BA29" s="431"/>
      <c r="BB29" s="249"/>
      <c r="BC29" s="250"/>
      <c r="BD29" s="250"/>
      <c r="BE29" s="250"/>
      <c r="BF29" s="251"/>
      <c r="BG29" s="438"/>
      <c r="BH29" s="439"/>
      <c r="BI29" s="432" t="s">
        <v>83</v>
      </c>
      <c r="BJ29" s="433"/>
      <c r="BK29" s="4" t="s">
        <v>74</v>
      </c>
      <c r="BL29" s="319"/>
      <c r="BM29" s="320"/>
      <c r="BN29" s="320"/>
      <c r="BO29" s="320"/>
      <c r="BP29" s="334"/>
    </row>
    <row r="30" spans="1:68" ht="10.5" customHeight="1" x14ac:dyDescent="0.15">
      <c r="A30" s="23">
        <v>22</v>
      </c>
      <c r="B30" s="107"/>
      <c r="C30" s="391" t="s">
        <v>115</v>
      </c>
      <c r="D30" s="355"/>
      <c r="E30" s="355"/>
      <c r="F30" s="372"/>
      <c r="G30" s="373"/>
      <c r="H30" s="374"/>
      <c r="I30" s="374"/>
      <c r="J30" s="374"/>
      <c r="K30" s="374"/>
      <c r="L30" s="452"/>
      <c r="M30" s="352" t="s">
        <v>350</v>
      </c>
      <c r="N30" s="392"/>
      <c r="O30" s="392"/>
      <c r="P30" s="392"/>
      <c r="Q30" s="288" t="s">
        <v>60</v>
      </c>
      <c r="R30" s="270"/>
      <c r="S30" s="270"/>
      <c r="T30" s="271"/>
      <c r="U30" s="87" t="s">
        <v>420</v>
      </c>
      <c r="V30" s="249"/>
      <c r="W30" s="250"/>
      <c r="X30" s="250"/>
      <c r="Y30" s="250"/>
      <c r="Z30" s="272"/>
      <c r="AA30" s="106"/>
      <c r="AB30" s="408" t="s">
        <v>54</v>
      </c>
      <c r="AC30" s="409"/>
      <c r="AD30" s="409"/>
      <c r="AE30" s="409"/>
      <c r="AF30" s="410"/>
      <c r="AG30" s="411"/>
      <c r="AH30" s="412"/>
      <c r="AI30" s="412"/>
      <c r="AJ30" s="412"/>
      <c r="AK30" s="413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86"/>
      <c r="AW30" s="210"/>
      <c r="AX30" s="414" t="s">
        <v>349</v>
      </c>
      <c r="AY30" s="415"/>
      <c r="AZ30" s="415"/>
      <c r="BA30" s="416"/>
      <c r="BB30" s="249"/>
      <c r="BC30" s="250"/>
      <c r="BD30" s="250"/>
      <c r="BE30" s="250"/>
      <c r="BF30" s="251"/>
      <c r="BG30" s="417" t="s">
        <v>81</v>
      </c>
      <c r="BH30" s="418"/>
      <c r="BI30" s="421" t="s">
        <v>80</v>
      </c>
      <c r="BJ30" s="422"/>
      <c r="BK30" s="6" t="s">
        <v>77</v>
      </c>
      <c r="BL30" s="276"/>
      <c r="BM30" s="277"/>
      <c r="BN30" s="277"/>
      <c r="BO30" s="277"/>
      <c r="BP30" s="336"/>
    </row>
    <row r="31" spans="1:68" ht="10.5" customHeight="1" thickBot="1" x14ac:dyDescent="0.2">
      <c r="A31" s="23">
        <v>23</v>
      </c>
      <c r="B31" s="397" t="s">
        <v>114</v>
      </c>
      <c r="C31" s="398"/>
      <c r="D31" s="398"/>
      <c r="E31" s="398"/>
      <c r="F31" s="398"/>
      <c r="G31" s="398"/>
      <c r="H31" s="398"/>
      <c r="I31" s="398"/>
      <c r="J31" s="398"/>
      <c r="K31" s="398"/>
      <c r="L31" s="452"/>
      <c r="M31" s="393"/>
      <c r="N31" s="394"/>
      <c r="O31" s="394"/>
      <c r="P31" s="394"/>
      <c r="Q31" s="288" t="s">
        <v>57</v>
      </c>
      <c r="R31" s="270"/>
      <c r="S31" s="270"/>
      <c r="T31" s="271"/>
      <c r="U31" s="87" t="s">
        <v>27</v>
      </c>
      <c r="V31" s="249"/>
      <c r="W31" s="250"/>
      <c r="X31" s="250"/>
      <c r="Y31" s="250"/>
      <c r="Z31" s="272"/>
      <c r="AA31" s="399" t="s">
        <v>52</v>
      </c>
      <c r="AB31" s="399"/>
      <c r="AC31" s="399"/>
      <c r="AD31" s="399"/>
      <c r="AE31" s="399"/>
      <c r="AF31" s="400"/>
      <c r="AG31" s="401"/>
      <c r="AH31" s="402"/>
      <c r="AI31" s="402"/>
      <c r="AJ31" s="402"/>
      <c r="AK31" s="403"/>
      <c r="AW31" s="105"/>
      <c r="AX31" s="404" t="s">
        <v>152</v>
      </c>
      <c r="AY31" s="367"/>
      <c r="AZ31" s="367"/>
      <c r="BA31" s="405"/>
      <c r="BB31" s="262"/>
      <c r="BC31" s="263"/>
      <c r="BD31" s="263"/>
      <c r="BE31" s="263"/>
      <c r="BF31" s="264"/>
      <c r="BG31" s="419"/>
      <c r="BH31" s="420"/>
      <c r="BI31" s="406" t="s">
        <v>76</v>
      </c>
      <c r="BJ31" s="407"/>
      <c r="BK31" s="5" t="s">
        <v>74</v>
      </c>
      <c r="BL31" s="262"/>
      <c r="BM31" s="263"/>
      <c r="BN31" s="263"/>
      <c r="BO31" s="263"/>
      <c r="BP31" s="264"/>
    </row>
    <row r="32" spans="1:68" ht="10.5" customHeight="1" thickBot="1" x14ac:dyDescent="0.2">
      <c r="A32" s="23">
        <v>24</v>
      </c>
      <c r="B32" s="371" t="s">
        <v>111</v>
      </c>
      <c r="C32" s="355"/>
      <c r="D32" s="355"/>
      <c r="E32" s="355"/>
      <c r="F32" s="355"/>
      <c r="G32" s="373"/>
      <c r="H32" s="374"/>
      <c r="I32" s="374"/>
      <c r="J32" s="374"/>
      <c r="K32" s="374"/>
      <c r="L32" s="452"/>
      <c r="M32" s="395"/>
      <c r="N32" s="396"/>
      <c r="O32" s="396"/>
      <c r="P32" s="396"/>
      <c r="Q32" s="288" t="s">
        <v>55</v>
      </c>
      <c r="R32" s="270"/>
      <c r="S32" s="270"/>
      <c r="T32" s="271"/>
      <c r="U32" s="87" t="s">
        <v>27</v>
      </c>
      <c r="V32" s="249"/>
      <c r="W32" s="250"/>
      <c r="X32" s="250"/>
      <c r="Y32" s="250"/>
      <c r="Z32" s="272"/>
      <c r="AA32" s="386" t="s">
        <v>48</v>
      </c>
      <c r="AB32" s="386"/>
      <c r="AC32" s="386"/>
      <c r="AD32" s="386"/>
      <c r="AE32" s="386"/>
      <c r="AF32" s="387"/>
      <c r="AG32" s="388"/>
      <c r="AH32" s="389"/>
      <c r="AI32" s="389"/>
      <c r="AJ32" s="389"/>
      <c r="AK32" s="390"/>
      <c r="BG32" s="379" t="s">
        <v>348</v>
      </c>
      <c r="BH32" s="380"/>
      <c r="BI32" s="380"/>
      <c r="BJ32" s="380"/>
      <c r="BK32" s="380"/>
      <c r="BL32" s="380"/>
      <c r="BM32" s="380"/>
      <c r="BN32" s="380"/>
      <c r="BO32" s="380"/>
      <c r="BP32" s="381"/>
    </row>
    <row r="33" spans="1:68" ht="10.5" customHeight="1" thickBot="1" x14ac:dyDescent="0.2">
      <c r="A33" s="23">
        <v>25</v>
      </c>
      <c r="B33" s="382" t="s">
        <v>109</v>
      </c>
      <c r="C33" s="270"/>
      <c r="D33" s="270"/>
      <c r="E33" s="270"/>
      <c r="F33" s="271"/>
      <c r="G33" s="373"/>
      <c r="H33" s="374"/>
      <c r="I33" s="374"/>
      <c r="J33" s="374"/>
      <c r="K33" s="374"/>
      <c r="L33" s="452"/>
      <c r="M33" s="375" t="s">
        <v>67</v>
      </c>
      <c r="N33" s="270"/>
      <c r="O33" s="270"/>
      <c r="P33" s="270"/>
      <c r="Q33" s="270"/>
      <c r="R33" s="270"/>
      <c r="S33" s="270"/>
      <c r="T33" s="271"/>
      <c r="U33" s="87" t="s">
        <v>27</v>
      </c>
      <c r="V33" s="249"/>
      <c r="W33" s="250"/>
      <c r="X33" s="250"/>
      <c r="Y33" s="250"/>
      <c r="Z33" s="272"/>
      <c r="AW33" s="72"/>
      <c r="AX33" s="72"/>
      <c r="AY33" s="72"/>
      <c r="AZ33" s="72"/>
      <c r="BA33" s="72"/>
      <c r="BB33" s="72"/>
      <c r="BC33" s="72"/>
      <c r="BD33" s="72"/>
      <c r="BE33" s="72"/>
      <c r="BF33" s="86"/>
      <c r="BG33" s="383" t="s">
        <v>39</v>
      </c>
      <c r="BH33" s="360"/>
      <c r="BI33" s="360"/>
      <c r="BJ33" s="360"/>
      <c r="BK33" s="361"/>
      <c r="BL33" s="384" t="s">
        <v>73</v>
      </c>
      <c r="BM33" s="360"/>
      <c r="BN33" s="360"/>
      <c r="BO33" s="360"/>
      <c r="BP33" s="385"/>
    </row>
    <row r="34" spans="1:68" ht="10.5" customHeight="1" thickBot="1" x14ac:dyDescent="0.2">
      <c r="A34" s="23">
        <v>26</v>
      </c>
      <c r="B34" s="371" t="s">
        <v>106</v>
      </c>
      <c r="C34" s="355"/>
      <c r="D34" s="355"/>
      <c r="E34" s="355"/>
      <c r="F34" s="372"/>
      <c r="G34" s="373"/>
      <c r="H34" s="374"/>
      <c r="I34" s="374"/>
      <c r="J34" s="374"/>
      <c r="K34" s="374"/>
      <c r="L34" s="452"/>
      <c r="M34" s="375" t="s">
        <v>64</v>
      </c>
      <c r="N34" s="270"/>
      <c r="O34" s="270"/>
      <c r="P34" s="270"/>
      <c r="Q34" s="270"/>
      <c r="R34" s="270"/>
      <c r="S34" s="270"/>
      <c r="T34" s="271"/>
      <c r="U34" s="87" t="s">
        <v>63</v>
      </c>
      <c r="V34" s="249"/>
      <c r="W34" s="250"/>
      <c r="X34" s="250"/>
      <c r="Y34" s="250"/>
      <c r="Z34" s="272"/>
      <c r="AA34" s="205" t="s">
        <v>404</v>
      </c>
      <c r="AB34" s="104"/>
      <c r="AC34" s="104"/>
      <c r="AD34" s="205"/>
      <c r="AE34" s="205"/>
      <c r="AF34" s="205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2"/>
      <c r="AW34" s="72"/>
      <c r="AX34" s="72"/>
      <c r="AY34" s="72"/>
      <c r="AZ34" s="72"/>
      <c r="BA34" s="72"/>
      <c r="BB34" s="72"/>
      <c r="BC34" s="72"/>
      <c r="BD34" s="72"/>
      <c r="BE34" s="72"/>
      <c r="BF34" s="86"/>
      <c r="BG34" s="376" t="s">
        <v>15</v>
      </c>
      <c r="BH34" s="377"/>
      <c r="BI34" s="377"/>
      <c r="BJ34" s="378"/>
      <c r="BK34" s="101" t="s">
        <v>70</v>
      </c>
      <c r="BL34" s="276"/>
      <c r="BM34" s="277"/>
      <c r="BN34" s="277"/>
      <c r="BO34" s="277"/>
      <c r="BP34" s="336"/>
    </row>
    <row r="35" spans="1:68" ht="10.5" customHeight="1" x14ac:dyDescent="0.15">
      <c r="A35" s="23">
        <v>27</v>
      </c>
      <c r="B35" s="325" t="s">
        <v>102</v>
      </c>
      <c r="C35" s="326"/>
      <c r="D35" s="326"/>
      <c r="E35" s="326"/>
      <c r="F35" s="326"/>
      <c r="G35" s="326"/>
      <c r="H35" s="326"/>
      <c r="I35" s="326"/>
      <c r="J35" s="326"/>
      <c r="K35" s="326"/>
      <c r="L35" s="452"/>
      <c r="M35" s="352" t="s">
        <v>61</v>
      </c>
      <c r="N35" s="353"/>
      <c r="O35" s="353"/>
      <c r="P35" s="353"/>
      <c r="Q35" s="288" t="s">
        <v>60</v>
      </c>
      <c r="R35" s="270"/>
      <c r="S35" s="270"/>
      <c r="T35" s="271"/>
      <c r="U35" s="87" t="s">
        <v>402</v>
      </c>
      <c r="V35" s="249"/>
      <c r="W35" s="250"/>
      <c r="X35" s="250"/>
      <c r="Y35" s="250"/>
      <c r="Z35" s="272"/>
      <c r="AA35" s="358" t="s">
        <v>43</v>
      </c>
      <c r="AB35" s="358"/>
      <c r="AC35" s="358"/>
      <c r="AD35" s="358"/>
      <c r="AE35" s="358"/>
      <c r="AF35" s="359"/>
      <c r="AG35" s="362" t="s">
        <v>35</v>
      </c>
      <c r="AH35" s="363"/>
      <c r="AI35" s="363"/>
      <c r="AJ35" s="363"/>
      <c r="AK35" s="363"/>
      <c r="AL35" s="26"/>
      <c r="AM35" s="26"/>
      <c r="AN35" s="26"/>
      <c r="AO35" s="26"/>
      <c r="AP35" s="26"/>
      <c r="AQ35" s="36"/>
      <c r="AW35" s="72"/>
      <c r="AX35" s="72"/>
      <c r="AY35" s="72"/>
      <c r="AZ35" s="72"/>
      <c r="BA35" s="72"/>
      <c r="BB35" s="72"/>
      <c r="BC35" s="72"/>
      <c r="BD35" s="72"/>
      <c r="BE35" s="72"/>
      <c r="BF35" s="86"/>
      <c r="BG35" s="246" t="s">
        <v>14</v>
      </c>
      <c r="BH35" s="247"/>
      <c r="BI35" s="247"/>
      <c r="BJ35" s="248"/>
      <c r="BK35" s="84" t="s">
        <v>21</v>
      </c>
      <c r="BL35" s="249"/>
      <c r="BM35" s="250"/>
      <c r="BN35" s="250"/>
      <c r="BO35" s="250"/>
      <c r="BP35" s="251"/>
    </row>
    <row r="36" spans="1:68" ht="10.5" customHeight="1" x14ac:dyDescent="0.15">
      <c r="A36" s="23">
        <v>28</v>
      </c>
      <c r="B36" s="340" t="s">
        <v>97</v>
      </c>
      <c r="C36" s="274"/>
      <c r="D36" s="274"/>
      <c r="E36" s="274"/>
      <c r="F36" s="274"/>
      <c r="G36" s="276"/>
      <c r="H36" s="277"/>
      <c r="I36" s="277"/>
      <c r="J36" s="277"/>
      <c r="K36" s="278"/>
      <c r="L36" s="452"/>
      <c r="M36" s="354"/>
      <c r="N36" s="355"/>
      <c r="O36" s="355"/>
      <c r="P36" s="355"/>
      <c r="Q36" s="288" t="s">
        <v>57</v>
      </c>
      <c r="R36" s="270"/>
      <c r="S36" s="270"/>
      <c r="T36" s="271"/>
      <c r="U36" s="87" t="s">
        <v>27</v>
      </c>
      <c r="V36" s="249"/>
      <c r="W36" s="250"/>
      <c r="X36" s="250"/>
      <c r="Y36" s="250"/>
      <c r="Z36" s="272"/>
      <c r="AA36" s="360"/>
      <c r="AB36" s="360"/>
      <c r="AC36" s="360"/>
      <c r="AD36" s="360"/>
      <c r="AE36" s="360"/>
      <c r="AF36" s="361"/>
      <c r="AG36" s="364"/>
      <c r="AH36" s="365"/>
      <c r="AI36" s="365"/>
      <c r="AJ36" s="365"/>
      <c r="AK36" s="365"/>
      <c r="AL36" s="349" t="s">
        <v>38</v>
      </c>
      <c r="AM36" s="350"/>
      <c r="AN36" s="350"/>
      <c r="AO36" s="350"/>
      <c r="AP36" s="350"/>
      <c r="AQ36" s="351"/>
      <c r="BG36" s="246" t="s">
        <v>65</v>
      </c>
      <c r="BH36" s="247"/>
      <c r="BI36" s="247"/>
      <c r="BJ36" s="248"/>
      <c r="BK36" s="84" t="s">
        <v>21</v>
      </c>
      <c r="BL36" s="249"/>
      <c r="BM36" s="250"/>
      <c r="BN36" s="250"/>
      <c r="BO36" s="250"/>
      <c r="BP36" s="251"/>
    </row>
    <row r="37" spans="1:68" ht="10.5" customHeight="1" thickBot="1" x14ac:dyDescent="0.2">
      <c r="A37" s="23">
        <v>29</v>
      </c>
      <c r="B37" s="366" t="s">
        <v>94</v>
      </c>
      <c r="C37" s="367"/>
      <c r="D37" s="367"/>
      <c r="E37" s="367"/>
      <c r="F37" s="367"/>
      <c r="G37" s="262"/>
      <c r="H37" s="263"/>
      <c r="I37" s="263"/>
      <c r="J37" s="263"/>
      <c r="K37" s="296"/>
      <c r="L37" s="453"/>
      <c r="M37" s="356"/>
      <c r="N37" s="357"/>
      <c r="O37" s="357"/>
      <c r="P37" s="357"/>
      <c r="Q37" s="304" t="s">
        <v>55</v>
      </c>
      <c r="R37" s="305"/>
      <c r="S37" s="305"/>
      <c r="T37" s="306"/>
      <c r="U37" s="100" t="s">
        <v>27</v>
      </c>
      <c r="V37" s="262"/>
      <c r="W37" s="263"/>
      <c r="X37" s="263"/>
      <c r="Y37" s="263"/>
      <c r="Z37" s="296"/>
      <c r="AA37" s="322" t="s">
        <v>34</v>
      </c>
      <c r="AB37" s="322"/>
      <c r="AC37" s="322"/>
      <c r="AD37" s="322"/>
      <c r="AE37" s="322"/>
      <c r="AF37" s="323"/>
      <c r="AG37" s="276"/>
      <c r="AH37" s="277"/>
      <c r="AI37" s="277"/>
      <c r="AJ37" s="277"/>
      <c r="AK37" s="324"/>
      <c r="AL37" s="276"/>
      <c r="AM37" s="277"/>
      <c r="AN37" s="277"/>
      <c r="AO37" s="277"/>
      <c r="AP37" s="277"/>
      <c r="AQ37" s="336"/>
      <c r="BG37" s="368" t="s">
        <v>13</v>
      </c>
      <c r="BH37" s="369"/>
      <c r="BI37" s="369"/>
      <c r="BJ37" s="370"/>
      <c r="BK37" s="99" t="s">
        <v>21</v>
      </c>
      <c r="BL37" s="319"/>
      <c r="BM37" s="320"/>
      <c r="BN37" s="320"/>
      <c r="BO37" s="320"/>
      <c r="BP37" s="334"/>
    </row>
    <row r="38" spans="1:68" ht="10.5" customHeight="1" x14ac:dyDescent="0.15">
      <c r="A38" s="23">
        <v>30</v>
      </c>
      <c r="B38" s="325" t="s">
        <v>91</v>
      </c>
      <c r="C38" s="326"/>
      <c r="D38" s="326"/>
      <c r="E38" s="326"/>
      <c r="F38" s="326"/>
      <c r="G38" s="326"/>
      <c r="H38" s="326"/>
      <c r="I38" s="326"/>
      <c r="J38" s="326"/>
      <c r="K38" s="326"/>
      <c r="L38" s="265" t="s">
        <v>53</v>
      </c>
      <c r="M38" s="266"/>
      <c r="N38" s="266"/>
      <c r="O38" s="266"/>
      <c r="P38" s="266"/>
      <c r="Q38" s="266"/>
      <c r="R38" s="266"/>
      <c r="S38" s="266"/>
      <c r="T38" s="266"/>
      <c r="U38" s="266"/>
      <c r="V38" s="267"/>
      <c r="W38" s="267"/>
      <c r="X38" s="267"/>
      <c r="Y38" s="267"/>
      <c r="Z38" s="268"/>
      <c r="AA38" s="97"/>
      <c r="AB38" s="288" t="s">
        <v>32</v>
      </c>
      <c r="AC38" s="270"/>
      <c r="AD38" s="270"/>
      <c r="AE38" s="270"/>
      <c r="AF38" s="271"/>
      <c r="AG38" s="249"/>
      <c r="AH38" s="250"/>
      <c r="AI38" s="250"/>
      <c r="AJ38" s="250"/>
      <c r="AK38" s="289"/>
      <c r="AL38" s="249"/>
      <c r="AM38" s="250"/>
      <c r="AN38" s="250"/>
      <c r="AO38" s="250"/>
      <c r="AP38" s="250"/>
      <c r="AQ38" s="251"/>
      <c r="BG38" s="337" t="s">
        <v>12</v>
      </c>
      <c r="BH38" s="338"/>
      <c r="BI38" s="338"/>
      <c r="BJ38" s="339"/>
      <c r="BK38" s="98" t="s">
        <v>58</v>
      </c>
      <c r="BL38" s="276"/>
      <c r="BM38" s="277"/>
      <c r="BN38" s="277"/>
      <c r="BO38" s="277"/>
      <c r="BP38" s="336"/>
    </row>
    <row r="39" spans="1:68" ht="10.5" customHeight="1" x14ac:dyDescent="0.15">
      <c r="A39" s="23">
        <v>31</v>
      </c>
      <c r="B39" s="340" t="s">
        <v>85</v>
      </c>
      <c r="C39" s="274"/>
      <c r="D39" s="274"/>
      <c r="E39" s="274"/>
      <c r="F39" s="274"/>
      <c r="G39" s="276"/>
      <c r="H39" s="277"/>
      <c r="I39" s="277"/>
      <c r="J39" s="277"/>
      <c r="K39" s="278"/>
      <c r="L39" s="341" t="s">
        <v>50</v>
      </c>
      <c r="M39" s="344" t="s">
        <v>49</v>
      </c>
      <c r="N39" s="286"/>
      <c r="O39" s="286"/>
      <c r="P39" s="286"/>
      <c r="Q39" s="286"/>
      <c r="R39" s="286"/>
      <c r="S39" s="286"/>
      <c r="T39" s="287"/>
      <c r="U39" s="93" t="s">
        <v>17</v>
      </c>
      <c r="V39" s="276"/>
      <c r="W39" s="277"/>
      <c r="X39" s="277"/>
      <c r="Y39" s="277"/>
      <c r="Z39" s="278"/>
      <c r="AA39" s="97"/>
      <c r="AB39" s="288" t="s">
        <v>29</v>
      </c>
      <c r="AC39" s="270"/>
      <c r="AD39" s="270"/>
      <c r="AE39" s="270"/>
      <c r="AF39" s="271"/>
      <c r="AG39" s="249"/>
      <c r="AH39" s="250"/>
      <c r="AI39" s="250"/>
      <c r="AJ39" s="250"/>
      <c r="AK39" s="289"/>
      <c r="AL39" s="249"/>
      <c r="AM39" s="250"/>
      <c r="AN39" s="250"/>
      <c r="AO39" s="250"/>
      <c r="AP39" s="250"/>
      <c r="AQ39" s="251"/>
      <c r="BG39" s="246" t="s">
        <v>11</v>
      </c>
      <c r="BH39" s="247"/>
      <c r="BI39" s="247"/>
      <c r="BJ39" s="248"/>
      <c r="BK39" s="84" t="s">
        <v>21</v>
      </c>
      <c r="BL39" s="249"/>
      <c r="BM39" s="250"/>
      <c r="BN39" s="250"/>
      <c r="BO39" s="250"/>
      <c r="BP39" s="251"/>
    </row>
    <row r="40" spans="1:68" ht="10.5" customHeight="1" thickBot="1" x14ac:dyDescent="0.2">
      <c r="A40" s="23">
        <v>32</v>
      </c>
      <c r="B40" s="345" t="s">
        <v>82</v>
      </c>
      <c r="C40" s="305"/>
      <c r="D40" s="305"/>
      <c r="E40" s="305"/>
      <c r="F40" s="305"/>
      <c r="G40" s="262"/>
      <c r="H40" s="263"/>
      <c r="I40" s="263"/>
      <c r="J40" s="263"/>
      <c r="K40" s="296"/>
      <c r="L40" s="342"/>
      <c r="M40" s="346" t="s">
        <v>47</v>
      </c>
      <c r="N40" s="347"/>
      <c r="O40" s="347"/>
      <c r="P40" s="347"/>
      <c r="Q40" s="347"/>
      <c r="R40" s="347"/>
      <c r="S40" s="347"/>
      <c r="T40" s="348"/>
      <c r="U40" s="90" t="s">
        <v>420</v>
      </c>
      <c r="V40" s="249"/>
      <c r="W40" s="250"/>
      <c r="X40" s="250"/>
      <c r="Y40" s="250"/>
      <c r="Z40" s="272"/>
      <c r="AA40" s="92"/>
      <c r="AB40" s="288" t="s">
        <v>26</v>
      </c>
      <c r="AC40" s="270"/>
      <c r="AD40" s="270"/>
      <c r="AE40" s="270"/>
      <c r="AF40" s="271"/>
      <c r="AG40" s="249"/>
      <c r="AH40" s="250"/>
      <c r="AI40" s="250"/>
      <c r="AJ40" s="250"/>
      <c r="AK40" s="289"/>
      <c r="AL40" s="249"/>
      <c r="AM40" s="250"/>
      <c r="AN40" s="250"/>
      <c r="AO40" s="250"/>
      <c r="AP40" s="250"/>
      <c r="AQ40" s="251"/>
      <c r="BG40" s="308" t="s">
        <v>10</v>
      </c>
      <c r="BH40" s="309"/>
      <c r="BI40" s="309"/>
      <c r="BJ40" s="310"/>
      <c r="BK40" s="84" t="s">
        <v>21</v>
      </c>
      <c r="BL40" s="249"/>
      <c r="BM40" s="250"/>
      <c r="BN40" s="250"/>
      <c r="BO40" s="250"/>
      <c r="BP40" s="251"/>
    </row>
    <row r="41" spans="1:68" ht="10.5" customHeight="1" x14ac:dyDescent="0.15">
      <c r="A41" s="23">
        <v>33</v>
      </c>
      <c r="B41" s="325" t="s">
        <v>347</v>
      </c>
      <c r="C41" s="326"/>
      <c r="D41" s="326"/>
      <c r="E41" s="326"/>
      <c r="F41" s="326"/>
      <c r="G41" s="326"/>
      <c r="H41" s="326"/>
      <c r="I41" s="326"/>
      <c r="J41" s="326"/>
      <c r="K41" s="326"/>
      <c r="L41" s="342"/>
      <c r="M41" s="327" t="s">
        <v>45</v>
      </c>
      <c r="N41" s="328"/>
      <c r="O41" s="328"/>
      <c r="P41" s="328"/>
      <c r="Q41" s="328"/>
      <c r="R41" s="328"/>
      <c r="S41" s="328"/>
      <c r="T41" s="329"/>
      <c r="U41" s="90" t="s">
        <v>27</v>
      </c>
      <c r="V41" s="249"/>
      <c r="W41" s="250"/>
      <c r="X41" s="250"/>
      <c r="Y41" s="250"/>
      <c r="Z41" s="272"/>
      <c r="AA41" s="96"/>
      <c r="AB41" s="330" t="s">
        <v>24</v>
      </c>
      <c r="AC41" s="331"/>
      <c r="AD41" s="331"/>
      <c r="AE41" s="331"/>
      <c r="AF41" s="332"/>
      <c r="AG41" s="319"/>
      <c r="AH41" s="320"/>
      <c r="AI41" s="320"/>
      <c r="AJ41" s="320"/>
      <c r="AK41" s="333"/>
      <c r="AL41" s="319"/>
      <c r="AM41" s="320"/>
      <c r="AN41" s="320"/>
      <c r="AO41" s="320"/>
      <c r="AP41" s="320"/>
      <c r="AQ41" s="334"/>
      <c r="BG41" s="95"/>
      <c r="BH41" s="335" t="s">
        <v>51</v>
      </c>
      <c r="BI41" s="247"/>
      <c r="BJ41" s="248"/>
      <c r="BK41" s="84" t="s">
        <v>21</v>
      </c>
      <c r="BL41" s="249"/>
      <c r="BM41" s="250"/>
      <c r="BN41" s="250"/>
      <c r="BO41" s="250"/>
      <c r="BP41" s="251"/>
    </row>
    <row r="42" spans="1:68" ht="10.5" customHeight="1" thickBot="1" x14ac:dyDescent="0.2">
      <c r="A42" s="23">
        <v>34</v>
      </c>
      <c r="B42" s="311" t="s">
        <v>346</v>
      </c>
      <c r="C42" s="312"/>
      <c r="D42" s="312"/>
      <c r="E42" s="312"/>
      <c r="F42" s="312"/>
      <c r="G42" s="313"/>
      <c r="H42" s="314"/>
      <c r="I42" s="314"/>
      <c r="J42" s="314"/>
      <c r="K42" s="315"/>
      <c r="L42" s="343"/>
      <c r="M42" s="316" t="s">
        <v>42</v>
      </c>
      <c r="N42" s="317"/>
      <c r="O42" s="317"/>
      <c r="P42" s="317"/>
      <c r="Q42" s="317"/>
      <c r="R42" s="317"/>
      <c r="S42" s="317"/>
      <c r="T42" s="318"/>
      <c r="U42" s="94" t="s">
        <v>41</v>
      </c>
      <c r="V42" s="319"/>
      <c r="W42" s="320"/>
      <c r="X42" s="320"/>
      <c r="Y42" s="320"/>
      <c r="Z42" s="321"/>
      <c r="AA42" s="322" t="s">
        <v>22</v>
      </c>
      <c r="AB42" s="322"/>
      <c r="AC42" s="322"/>
      <c r="AD42" s="322"/>
      <c r="AE42" s="322"/>
      <c r="AF42" s="323"/>
      <c r="AG42" s="276"/>
      <c r="AH42" s="277"/>
      <c r="AI42" s="277"/>
      <c r="AJ42" s="277"/>
      <c r="AK42" s="324"/>
      <c r="AL42" s="276"/>
      <c r="AM42" s="277"/>
      <c r="AN42" s="277"/>
      <c r="AO42" s="277"/>
      <c r="AP42" s="277"/>
      <c r="AQ42" s="336"/>
      <c r="BF42" s="86"/>
      <c r="BG42" s="246" t="s">
        <v>9</v>
      </c>
      <c r="BH42" s="247"/>
      <c r="BI42" s="247"/>
      <c r="BJ42" s="248"/>
      <c r="BK42" s="84" t="s">
        <v>21</v>
      </c>
      <c r="BL42" s="249"/>
      <c r="BM42" s="250"/>
      <c r="BN42" s="250"/>
      <c r="BO42" s="250"/>
      <c r="BP42" s="251"/>
    </row>
    <row r="43" spans="1:68" ht="10.5" customHeight="1" thickBot="1" x14ac:dyDescent="0.2">
      <c r="A43" s="23">
        <v>35</v>
      </c>
      <c r="B43" s="82"/>
      <c r="L43" s="282" t="s">
        <v>37</v>
      </c>
      <c r="M43" s="285" t="s">
        <v>36</v>
      </c>
      <c r="N43" s="286"/>
      <c r="O43" s="286"/>
      <c r="P43" s="286"/>
      <c r="Q43" s="286"/>
      <c r="R43" s="286"/>
      <c r="S43" s="286"/>
      <c r="T43" s="287"/>
      <c r="U43" s="93" t="s">
        <v>402</v>
      </c>
      <c r="V43" s="276"/>
      <c r="W43" s="277"/>
      <c r="X43" s="277"/>
      <c r="Y43" s="277"/>
      <c r="Z43" s="278"/>
      <c r="AA43" s="92"/>
      <c r="AB43" s="288" t="s">
        <v>19</v>
      </c>
      <c r="AC43" s="270"/>
      <c r="AD43" s="270"/>
      <c r="AE43" s="270"/>
      <c r="AF43" s="271"/>
      <c r="AG43" s="249"/>
      <c r="AH43" s="250"/>
      <c r="AI43" s="250"/>
      <c r="AJ43" s="250"/>
      <c r="AK43" s="289"/>
      <c r="AL43" s="249"/>
      <c r="AM43" s="250"/>
      <c r="AN43" s="250"/>
      <c r="AO43" s="250"/>
      <c r="AP43" s="250"/>
      <c r="AQ43" s="251"/>
      <c r="BG43" s="246" t="s">
        <v>8</v>
      </c>
      <c r="BH43" s="247"/>
      <c r="BI43" s="247"/>
      <c r="BJ43" s="248"/>
      <c r="BK43" s="84" t="s">
        <v>21</v>
      </c>
      <c r="BL43" s="249"/>
      <c r="BM43" s="250"/>
      <c r="BN43" s="250"/>
      <c r="BO43" s="250"/>
      <c r="BP43" s="251"/>
    </row>
    <row r="44" spans="1:68" ht="10.5" customHeight="1" thickBot="1" x14ac:dyDescent="0.2">
      <c r="A44" s="23">
        <v>36</v>
      </c>
      <c r="B44" s="297" t="s">
        <v>421</v>
      </c>
      <c r="C44" s="298"/>
      <c r="D44" s="298"/>
      <c r="E44" s="298"/>
      <c r="F44" s="298"/>
      <c r="G44" s="299"/>
      <c r="H44" s="299"/>
      <c r="I44" s="299"/>
      <c r="J44" s="299"/>
      <c r="K44" s="300"/>
      <c r="L44" s="283"/>
      <c r="M44" s="301" t="s">
        <v>33</v>
      </c>
      <c r="N44" s="302"/>
      <c r="O44" s="302"/>
      <c r="P44" s="302"/>
      <c r="Q44" s="302"/>
      <c r="R44" s="302"/>
      <c r="S44" s="302"/>
      <c r="T44" s="303"/>
      <c r="U44" s="90" t="s">
        <v>17</v>
      </c>
      <c r="V44" s="249"/>
      <c r="W44" s="250"/>
      <c r="X44" s="250"/>
      <c r="Y44" s="250"/>
      <c r="Z44" s="272"/>
      <c r="AA44" s="91"/>
      <c r="AB44" s="304" t="s">
        <v>16</v>
      </c>
      <c r="AC44" s="305"/>
      <c r="AD44" s="305"/>
      <c r="AE44" s="305"/>
      <c r="AF44" s="306"/>
      <c r="AG44" s="262"/>
      <c r="AH44" s="263"/>
      <c r="AI44" s="263"/>
      <c r="AJ44" s="263"/>
      <c r="AK44" s="307"/>
      <c r="AL44" s="262"/>
      <c r="AM44" s="263"/>
      <c r="AN44" s="263"/>
      <c r="AO44" s="263"/>
      <c r="AP44" s="263"/>
      <c r="AQ44" s="264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246" t="s">
        <v>7</v>
      </c>
      <c r="BH44" s="247"/>
      <c r="BI44" s="247"/>
      <c r="BJ44" s="248"/>
      <c r="BK44" s="84" t="s">
        <v>21</v>
      </c>
      <c r="BL44" s="249"/>
      <c r="BM44" s="250"/>
      <c r="BN44" s="250"/>
      <c r="BO44" s="250"/>
      <c r="BP44" s="251"/>
    </row>
    <row r="45" spans="1:68" ht="10.5" customHeight="1" x14ac:dyDescent="0.15">
      <c r="A45" s="23">
        <v>37</v>
      </c>
      <c r="B45" s="82"/>
      <c r="L45" s="283"/>
      <c r="M45" s="290" t="s">
        <v>31</v>
      </c>
      <c r="N45" s="291"/>
      <c r="O45" s="291"/>
      <c r="P45" s="291"/>
      <c r="Q45" s="291"/>
      <c r="R45" s="291"/>
      <c r="S45" s="291"/>
      <c r="T45" s="292"/>
      <c r="U45" s="90" t="s">
        <v>420</v>
      </c>
      <c r="V45" s="249"/>
      <c r="W45" s="250"/>
      <c r="X45" s="250"/>
      <c r="Y45" s="250"/>
      <c r="Z45" s="2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246" t="s">
        <v>6</v>
      </c>
      <c r="BH45" s="247"/>
      <c r="BI45" s="247"/>
      <c r="BJ45" s="248"/>
      <c r="BK45" s="84" t="s">
        <v>21</v>
      </c>
      <c r="BL45" s="249"/>
      <c r="BM45" s="250"/>
      <c r="BN45" s="250"/>
      <c r="BO45" s="250"/>
      <c r="BP45" s="251"/>
    </row>
    <row r="46" spans="1:68" ht="10.5" customHeight="1" thickBot="1" x14ac:dyDescent="0.2">
      <c r="A46" s="23">
        <v>38</v>
      </c>
      <c r="B46" s="82"/>
      <c r="L46" s="284"/>
      <c r="M46" s="293" t="s">
        <v>28</v>
      </c>
      <c r="N46" s="294"/>
      <c r="O46" s="294"/>
      <c r="P46" s="294"/>
      <c r="Q46" s="294"/>
      <c r="R46" s="294"/>
      <c r="S46" s="294"/>
      <c r="T46" s="295"/>
      <c r="U46" s="89" t="s">
        <v>27</v>
      </c>
      <c r="V46" s="262"/>
      <c r="W46" s="263"/>
      <c r="X46" s="263"/>
      <c r="Y46" s="263"/>
      <c r="Z46" s="296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246" t="s">
        <v>5</v>
      </c>
      <c r="BH46" s="247"/>
      <c r="BI46" s="247"/>
      <c r="BJ46" s="248"/>
      <c r="BK46" s="84" t="s">
        <v>21</v>
      </c>
      <c r="BL46" s="249"/>
      <c r="BM46" s="250"/>
      <c r="BN46" s="250"/>
      <c r="BO46" s="250"/>
      <c r="BP46" s="251"/>
    </row>
    <row r="47" spans="1:68" ht="10.5" customHeight="1" x14ac:dyDescent="0.15">
      <c r="A47" s="23">
        <v>39</v>
      </c>
      <c r="B47" s="82"/>
      <c r="L47" s="265" t="s">
        <v>25</v>
      </c>
      <c r="M47" s="266"/>
      <c r="N47" s="266"/>
      <c r="O47" s="266"/>
      <c r="P47" s="266"/>
      <c r="Q47" s="266"/>
      <c r="R47" s="266"/>
      <c r="S47" s="266"/>
      <c r="T47" s="266"/>
      <c r="U47" s="266"/>
      <c r="V47" s="267"/>
      <c r="W47" s="267"/>
      <c r="X47" s="267"/>
      <c r="Y47" s="267"/>
      <c r="Z47" s="268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246" t="s">
        <v>4</v>
      </c>
      <c r="BH47" s="247"/>
      <c r="BI47" s="247"/>
      <c r="BJ47" s="248"/>
      <c r="BK47" s="84" t="s">
        <v>21</v>
      </c>
      <c r="BL47" s="249"/>
      <c r="BM47" s="250"/>
      <c r="BN47" s="250"/>
      <c r="BO47" s="250"/>
      <c r="BP47" s="251"/>
    </row>
    <row r="48" spans="1:68" ht="10.5" customHeight="1" x14ac:dyDescent="0.15">
      <c r="A48" s="23">
        <v>40</v>
      </c>
      <c r="B48" s="82"/>
      <c r="L48" s="273" t="s">
        <v>23</v>
      </c>
      <c r="M48" s="274"/>
      <c r="N48" s="274"/>
      <c r="O48" s="274"/>
      <c r="P48" s="274"/>
      <c r="Q48" s="274"/>
      <c r="R48" s="274"/>
      <c r="S48" s="274"/>
      <c r="T48" s="275"/>
      <c r="U48" s="88" t="s">
        <v>17</v>
      </c>
      <c r="V48" s="276"/>
      <c r="W48" s="277"/>
      <c r="X48" s="277"/>
      <c r="Y48" s="277"/>
      <c r="Z48" s="278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279" t="s">
        <v>3</v>
      </c>
      <c r="BH48" s="280"/>
      <c r="BI48" s="280"/>
      <c r="BJ48" s="281"/>
      <c r="BK48" s="84" t="s">
        <v>21</v>
      </c>
      <c r="BL48" s="249"/>
      <c r="BM48" s="250"/>
      <c r="BN48" s="250"/>
      <c r="BO48" s="250"/>
      <c r="BP48" s="251"/>
    </row>
    <row r="49" spans="1:85" ht="10.5" customHeight="1" x14ac:dyDescent="0.15">
      <c r="A49" s="23">
        <v>41</v>
      </c>
      <c r="B49" s="82"/>
      <c r="L49" s="269" t="s">
        <v>20</v>
      </c>
      <c r="M49" s="270"/>
      <c r="N49" s="270"/>
      <c r="O49" s="270"/>
      <c r="P49" s="270"/>
      <c r="Q49" s="270"/>
      <c r="R49" s="270"/>
      <c r="S49" s="270"/>
      <c r="T49" s="271"/>
      <c r="U49" s="87" t="s">
        <v>402</v>
      </c>
      <c r="V49" s="249"/>
      <c r="W49" s="250"/>
      <c r="X49" s="250"/>
      <c r="Y49" s="250"/>
      <c r="Z49" s="272"/>
      <c r="AW49" s="72"/>
      <c r="AX49" s="72"/>
      <c r="AY49" s="72"/>
      <c r="AZ49" s="72"/>
      <c r="BA49" s="72"/>
      <c r="BB49" s="72"/>
      <c r="BC49" s="72"/>
      <c r="BD49" s="72"/>
      <c r="BE49" s="72"/>
      <c r="BF49" s="86"/>
      <c r="BG49" s="246" t="s">
        <v>2</v>
      </c>
      <c r="BH49" s="247"/>
      <c r="BI49" s="247"/>
      <c r="BJ49" s="248"/>
      <c r="BK49" s="84" t="s">
        <v>21</v>
      </c>
      <c r="BL49" s="249"/>
      <c r="BM49" s="250"/>
      <c r="BN49" s="250"/>
      <c r="BO49" s="250"/>
      <c r="BP49" s="251"/>
    </row>
    <row r="50" spans="1:85" ht="10.5" customHeight="1" thickBot="1" x14ac:dyDescent="0.2">
      <c r="A50" s="23">
        <v>42</v>
      </c>
      <c r="B50" s="82"/>
      <c r="L50" s="252" t="s">
        <v>18</v>
      </c>
      <c r="M50" s="253"/>
      <c r="N50" s="253"/>
      <c r="O50" s="253"/>
      <c r="P50" s="253"/>
      <c r="Q50" s="253"/>
      <c r="R50" s="253"/>
      <c r="S50" s="253"/>
      <c r="T50" s="254"/>
      <c r="U50" s="85" t="s">
        <v>17</v>
      </c>
      <c r="V50" s="255"/>
      <c r="W50" s="256"/>
      <c r="X50" s="256"/>
      <c r="Y50" s="256"/>
      <c r="Z50" s="257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246" t="s">
        <v>1</v>
      </c>
      <c r="BH50" s="247"/>
      <c r="BI50" s="247"/>
      <c r="BJ50" s="248"/>
      <c r="BK50" s="84" t="s">
        <v>21</v>
      </c>
      <c r="BL50" s="249"/>
      <c r="BM50" s="250"/>
      <c r="BN50" s="250"/>
      <c r="BO50" s="250"/>
      <c r="BP50" s="251"/>
      <c r="CB50" s="72"/>
      <c r="CC50" s="72"/>
      <c r="CD50" s="72"/>
      <c r="CE50" s="72"/>
      <c r="CF50" s="72"/>
      <c r="CG50" s="72"/>
    </row>
    <row r="51" spans="1:85" ht="10.5" customHeight="1" thickBot="1" x14ac:dyDescent="0.2">
      <c r="A51" s="23">
        <v>43</v>
      </c>
      <c r="B51" s="82"/>
      <c r="C51" s="73"/>
      <c r="D51" s="73"/>
      <c r="E51" s="73"/>
      <c r="F51" s="73"/>
      <c r="G51" s="72"/>
      <c r="H51" s="72"/>
      <c r="I51" s="72"/>
      <c r="J51" s="72"/>
      <c r="K51" s="72"/>
      <c r="L51" s="206"/>
      <c r="M51" s="206"/>
      <c r="N51" s="206"/>
      <c r="O51" s="206"/>
      <c r="P51" s="206"/>
      <c r="Q51" s="206"/>
      <c r="R51" s="206"/>
      <c r="S51" s="206"/>
      <c r="T51" s="206"/>
      <c r="U51" s="81"/>
      <c r="V51" s="26"/>
      <c r="W51" s="26"/>
      <c r="X51" s="26"/>
      <c r="Y51" s="26"/>
      <c r="Z51" s="26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259" t="s">
        <v>0</v>
      </c>
      <c r="BH51" s="260"/>
      <c r="BI51" s="260"/>
      <c r="BJ51" s="261"/>
      <c r="BK51" s="83" t="s">
        <v>21</v>
      </c>
      <c r="BL51" s="262"/>
      <c r="BM51" s="263"/>
      <c r="BN51" s="263"/>
      <c r="BO51" s="263"/>
      <c r="BP51" s="264"/>
      <c r="CB51" s="72"/>
      <c r="CC51" s="72"/>
      <c r="CD51" s="72"/>
      <c r="CE51" s="72"/>
      <c r="CF51" s="72"/>
      <c r="CG51" s="72"/>
    </row>
    <row r="52" spans="1:85" ht="10.5" customHeight="1" x14ac:dyDescent="0.15">
      <c r="A52" s="23">
        <v>44</v>
      </c>
      <c r="B52" s="82"/>
      <c r="C52" s="73"/>
      <c r="D52" s="73"/>
      <c r="E52" s="73"/>
      <c r="F52" s="73"/>
      <c r="G52" s="72"/>
      <c r="H52" s="72"/>
      <c r="I52" s="72"/>
      <c r="J52" s="72"/>
      <c r="K52" s="72"/>
      <c r="L52" s="206"/>
      <c r="M52" s="206"/>
      <c r="N52" s="206"/>
      <c r="O52" s="206"/>
      <c r="P52" s="206"/>
      <c r="Q52" s="206"/>
      <c r="R52" s="206"/>
      <c r="S52" s="206"/>
      <c r="T52" s="206"/>
      <c r="U52" s="81"/>
      <c r="V52" s="26"/>
      <c r="W52" s="26"/>
      <c r="X52" s="26"/>
      <c r="Y52" s="26"/>
      <c r="Z52" s="26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213"/>
      <c r="BM52" s="213"/>
      <c r="BN52" s="213"/>
      <c r="BO52" s="213"/>
      <c r="BP52" s="80"/>
      <c r="CB52" s="72"/>
      <c r="CC52" s="72"/>
      <c r="CD52" s="72"/>
      <c r="CE52" s="72"/>
      <c r="CF52" s="72"/>
      <c r="CG52" s="72"/>
    </row>
    <row r="53" spans="1:85" ht="10.5" customHeight="1" x14ac:dyDescent="0.15">
      <c r="A53" s="23">
        <v>45</v>
      </c>
      <c r="B53" s="82"/>
      <c r="C53" s="73"/>
      <c r="D53" s="73"/>
      <c r="E53" s="73"/>
      <c r="F53" s="73"/>
      <c r="G53" s="72"/>
      <c r="H53" s="72"/>
      <c r="I53" s="72"/>
      <c r="J53" s="72"/>
      <c r="K53" s="72"/>
      <c r="L53" s="206"/>
      <c r="M53" s="206"/>
      <c r="N53" s="206"/>
      <c r="O53" s="206"/>
      <c r="P53" s="206"/>
      <c r="Q53" s="206"/>
      <c r="R53" s="206"/>
      <c r="S53" s="206"/>
      <c r="T53" s="206"/>
      <c r="U53" s="81"/>
      <c r="V53" s="26"/>
      <c r="W53" s="26"/>
      <c r="X53" s="26"/>
      <c r="Y53" s="26"/>
      <c r="Z53" s="26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213"/>
      <c r="BM53" s="213"/>
      <c r="BN53" s="213"/>
      <c r="BO53" s="213"/>
      <c r="BP53" s="80"/>
      <c r="CB53" s="72"/>
      <c r="CC53" s="72"/>
      <c r="CD53" s="72"/>
      <c r="CE53" s="72"/>
      <c r="CF53" s="72"/>
      <c r="CG53" s="72"/>
    </row>
    <row r="54" spans="1:85" ht="10.5" customHeight="1" x14ac:dyDescent="0.15">
      <c r="A54" s="23">
        <v>46</v>
      </c>
      <c r="B54" s="82"/>
      <c r="C54" s="73"/>
      <c r="D54" s="73"/>
      <c r="E54" s="73"/>
      <c r="F54" s="73"/>
      <c r="G54" s="72"/>
      <c r="H54" s="72"/>
      <c r="I54" s="72"/>
      <c r="J54" s="72"/>
      <c r="K54" s="72"/>
      <c r="L54" s="206"/>
      <c r="M54" s="206"/>
      <c r="N54" s="206"/>
      <c r="O54" s="206"/>
      <c r="P54" s="206"/>
      <c r="Q54" s="206"/>
      <c r="R54" s="206"/>
      <c r="S54" s="206"/>
      <c r="T54" s="206"/>
      <c r="U54" s="81"/>
      <c r="V54" s="26"/>
      <c r="W54" s="26"/>
      <c r="X54" s="26"/>
      <c r="Y54" s="26"/>
      <c r="Z54" s="26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213"/>
      <c r="BM54" s="213"/>
      <c r="BN54" s="213"/>
      <c r="BO54" s="213"/>
      <c r="BP54" s="80"/>
      <c r="CB54" s="72"/>
      <c r="CC54" s="72"/>
      <c r="CD54" s="72"/>
      <c r="CE54" s="72"/>
      <c r="CF54" s="72"/>
      <c r="CG54" s="72"/>
    </row>
    <row r="55" spans="1:85" ht="10.5" customHeight="1" x14ac:dyDescent="0.15">
      <c r="A55" s="23">
        <v>47</v>
      </c>
      <c r="B55" s="82"/>
      <c r="C55" s="73"/>
      <c r="D55" s="73"/>
      <c r="E55" s="73"/>
      <c r="F55" s="73"/>
      <c r="G55" s="72"/>
      <c r="H55" s="72"/>
      <c r="I55" s="72"/>
      <c r="J55" s="72"/>
      <c r="K55" s="72"/>
      <c r="L55" s="206"/>
      <c r="M55" s="206"/>
      <c r="N55" s="206"/>
      <c r="O55" s="206"/>
      <c r="P55" s="206"/>
      <c r="Q55" s="206"/>
      <c r="R55" s="206"/>
      <c r="S55" s="206"/>
      <c r="T55" s="206"/>
      <c r="U55" s="81"/>
      <c r="V55" s="26"/>
      <c r="W55" s="26"/>
      <c r="X55" s="26"/>
      <c r="Y55" s="26"/>
      <c r="Z55" s="26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BG55" s="72"/>
      <c r="BH55" s="72"/>
      <c r="BI55" s="72"/>
      <c r="BJ55" s="72"/>
      <c r="BK55" s="72"/>
      <c r="BL55" s="213"/>
      <c r="BM55" s="213"/>
      <c r="BN55" s="213"/>
      <c r="BO55" s="213"/>
      <c r="BP55" s="80"/>
      <c r="CB55" s="72"/>
      <c r="CC55" s="72"/>
      <c r="CD55" s="72"/>
      <c r="CE55" s="72"/>
      <c r="CF55" s="72"/>
      <c r="CG55" s="72"/>
    </row>
    <row r="56" spans="1:85" ht="10.5" customHeight="1" x14ac:dyDescent="0.15">
      <c r="A56" s="23">
        <v>48</v>
      </c>
      <c r="B56" s="82"/>
      <c r="C56" s="73"/>
      <c r="D56" s="73"/>
      <c r="E56" s="73"/>
      <c r="F56" s="73"/>
      <c r="G56" s="72"/>
      <c r="H56" s="72"/>
      <c r="I56" s="72"/>
      <c r="J56" s="72"/>
      <c r="K56" s="72"/>
      <c r="L56" s="206"/>
      <c r="M56" s="206"/>
      <c r="N56" s="206"/>
      <c r="O56" s="206"/>
      <c r="P56" s="206"/>
      <c r="Q56" s="206"/>
      <c r="R56" s="206"/>
      <c r="S56" s="206"/>
      <c r="T56" s="206"/>
      <c r="U56" s="81"/>
      <c r="V56" s="26"/>
      <c r="W56" s="26"/>
      <c r="X56" s="26"/>
      <c r="Y56" s="26"/>
      <c r="Z56" s="26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BG56" s="72"/>
      <c r="BH56" s="72"/>
      <c r="BI56" s="72"/>
      <c r="BJ56" s="72"/>
      <c r="BK56" s="72"/>
      <c r="BL56" s="213"/>
      <c r="BM56" s="213"/>
      <c r="BN56" s="213"/>
      <c r="BO56" s="213"/>
      <c r="BP56" s="80"/>
      <c r="CB56" s="72"/>
      <c r="CC56" s="72"/>
      <c r="CD56" s="72"/>
      <c r="CE56" s="72"/>
      <c r="CF56" s="72"/>
      <c r="CG56" s="72"/>
    </row>
    <row r="57" spans="1:85" ht="10.5" customHeight="1" x14ac:dyDescent="0.15">
      <c r="A57" s="23">
        <v>49</v>
      </c>
      <c r="B57" s="82"/>
      <c r="C57" s="73"/>
      <c r="D57" s="73"/>
      <c r="E57" s="73"/>
      <c r="F57" s="73"/>
      <c r="G57" s="72"/>
      <c r="H57" s="72"/>
      <c r="I57" s="72"/>
      <c r="J57" s="72"/>
      <c r="K57" s="72"/>
      <c r="L57" s="206"/>
      <c r="M57" s="206"/>
      <c r="N57" s="206"/>
      <c r="O57" s="206"/>
      <c r="P57" s="206"/>
      <c r="Q57" s="206"/>
      <c r="R57" s="206"/>
      <c r="S57" s="206"/>
      <c r="T57" s="206"/>
      <c r="U57" s="81"/>
      <c r="V57" s="26"/>
      <c r="W57" s="26"/>
      <c r="X57" s="26"/>
      <c r="Y57" s="26"/>
      <c r="Z57" s="26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BG57" s="72"/>
      <c r="BH57" s="72"/>
      <c r="BI57" s="72"/>
      <c r="BJ57" s="72"/>
      <c r="BK57" s="72"/>
      <c r="BL57" s="213"/>
      <c r="BM57" s="213"/>
      <c r="BN57" s="213"/>
      <c r="BO57" s="213"/>
      <c r="BP57" s="80"/>
      <c r="CB57" s="72"/>
      <c r="CC57" s="72"/>
      <c r="CD57" s="72"/>
      <c r="CE57" s="72"/>
      <c r="CF57" s="72"/>
      <c r="CG57" s="72"/>
    </row>
    <row r="58" spans="1:85" ht="10.5" customHeight="1" thickBot="1" x14ac:dyDescent="0.2">
      <c r="A58" s="23">
        <v>50</v>
      </c>
      <c r="B58" s="79"/>
      <c r="C58" s="78"/>
      <c r="D58" s="78"/>
      <c r="E58" s="78"/>
      <c r="F58" s="78"/>
      <c r="G58" s="25"/>
      <c r="H58" s="25"/>
      <c r="I58" s="25"/>
      <c r="J58" s="25"/>
      <c r="K58" s="25"/>
      <c r="L58" s="207"/>
      <c r="M58" s="207"/>
      <c r="N58" s="207"/>
      <c r="O58" s="207"/>
      <c r="P58" s="207"/>
      <c r="Q58" s="207"/>
      <c r="R58" s="207"/>
      <c r="S58" s="207"/>
      <c r="T58" s="207"/>
      <c r="U58" s="77"/>
      <c r="V58" s="24"/>
      <c r="W58" s="24"/>
      <c r="X58" s="24"/>
      <c r="Y58" s="24"/>
      <c r="Z58" s="24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BG58" s="25"/>
      <c r="BH58" s="25"/>
      <c r="BI58" s="25"/>
      <c r="BJ58" s="25"/>
      <c r="BK58" s="25"/>
      <c r="BL58" s="76"/>
      <c r="BM58" s="76"/>
      <c r="BN58" s="76"/>
      <c r="BO58" s="76"/>
      <c r="BP58" s="75"/>
      <c r="CB58" s="72"/>
      <c r="CC58" s="72"/>
      <c r="CD58" s="72"/>
      <c r="CE58" s="72"/>
      <c r="CF58" s="72"/>
      <c r="CG58" s="72"/>
    </row>
    <row r="59" spans="1:85" ht="10.5" customHeight="1" x14ac:dyDescent="0.15">
      <c r="A59" s="74"/>
      <c r="B59" s="258">
        <v>1</v>
      </c>
      <c r="C59" s="258"/>
      <c r="D59" s="258"/>
      <c r="E59" s="258"/>
      <c r="F59" s="258"/>
      <c r="G59" s="258">
        <v>2</v>
      </c>
      <c r="H59" s="258"/>
      <c r="I59" s="258"/>
      <c r="J59" s="258"/>
      <c r="K59" s="258"/>
      <c r="L59" s="258">
        <v>3</v>
      </c>
      <c r="M59" s="258"/>
      <c r="N59" s="258"/>
      <c r="O59" s="258"/>
      <c r="P59" s="258"/>
      <c r="Q59" s="258">
        <v>4</v>
      </c>
      <c r="R59" s="258"/>
      <c r="S59" s="258"/>
      <c r="T59" s="258"/>
      <c r="U59" s="258"/>
      <c r="V59" s="258">
        <v>5</v>
      </c>
      <c r="W59" s="258"/>
      <c r="X59" s="258"/>
      <c r="Y59" s="258"/>
      <c r="Z59" s="258"/>
      <c r="AA59" s="258">
        <v>6</v>
      </c>
      <c r="AB59" s="258"/>
      <c r="AC59" s="258"/>
      <c r="AD59" s="258"/>
      <c r="AE59" s="258"/>
      <c r="AF59" s="258"/>
      <c r="AG59" s="258">
        <v>7</v>
      </c>
      <c r="AH59" s="258"/>
      <c r="AI59" s="258"/>
      <c r="AJ59" s="258"/>
      <c r="AK59" s="258"/>
      <c r="AL59" s="258">
        <v>8</v>
      </c>
      <c r="AM59" s="258"/>
      <c r="AN59" s="258"/>
      <c r="AO59" s="258"/>
      <c r="AP59" s="258"/>
      <c r="AQ59" s="258"/>
      <c r="AR59" s="258">
        <v>9</v>
      </c>
      <c r="AS59" s="258"/>
      <c r="AT59" s="258"/>
      <c r="AU59" s="258"/>
      <c r="AV59" s="258"/>
      <c r="AW59" s="258">
        <v>10</v>
      </c>
      <c r="AX59" s="258"/>
      <c r="AY59" s="258"/>
      <c r="AZ59" s="258"/>
      <c r="BA59" s="258"/>
      <c r="BB59" s="258">
        <v>11</v>
      </c>
      <c r="BC59" s="258"/>
      <c r="BD59" s="258"/>
      <c r="BE59" s="258"/>
      <c r="BF59" s="258"/>
      <c r="BG59" s="258">
        <v>12</v>
      </c>
      <c r="BH59" s="258"/>
      <c r="BI59" s="258"/>
      <c r="BJ59" s="258"/>
      <c r="BK59" s="258"/>
      <c r="BL59" s="258">
        <v>13</v>
      </c>
      <c r="BM59" s="258"/>
      <c r="BN59" s="258"/>
      <c r="BO59" s="258"/>
      <c r="BP59" s="258"/>
      <c r="CB59" s="72"/>
      <c r="CC59" s="72"/>
      <c r="CD59" s="72"/>
      <c r="CE59" s="72"/>
      <c r="CF59" s="72"/>
      <c r="CG59" s="72"/>
    </row>
    <row r="60" spans="1:85" ht="10.5" customHeight="1" x14ac:dyDescent="0.15">
      <c r="A60" s="74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</row>
    <row r="61" spans="1:85" ht="10.5" customHeight="1" x14ac:dyDescent="0.15">
      <c r="A61" s="74"/>
      <c r="B61" s="72"/>
      <c r="C61" s="73"/>
      <c r="D61" s="73"/>
      <c r="E61" s="73"/>
      <c r="F61" s="73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</row>
    <row r="62" spans="1:85" ht="10.5" customHeight="1" x14ac:dyDescent="0.15">
      <c r="C62" s="70"/>
      <c r="D62" s="70"/>
      <c r="E62" s="70"/>
      <c r="F62" s="70"/>
    </row>
    <row r="63" spans="1:85" ht="10.5" customHeight="1" x14ac:dyDescent="0.15">
      <c r="C63" s="70"/>
      <c r="D63" s="70"/>
      <c r="E63" s="70"/>
      <c r="F63" s="70"/>
    </row>
    <row r="64" spans="1:85" ht="12.75" customHeight="1" x14ac:dyDescent="0.15">
      <c r="C64" s="70"/>
      <c r="D64" s="70"/>
      <c r="E64" s="70"/>
      <c r="F64" s="70"/>
    </row>
    <row r="65" spans="3:78" ht="12.75" customHeight="1" x14ac:dyDescent="0.15">
      <c r="C65" s="70"/>
      <c r="D65" s="70"/>
      <c r="E65" s="70"/>
      <c r="F65" s="70"/>
    </row>
    <row r="66" spans="3:78" ht="12.75" customHeight="1" x14ac:dyDescent="0.15">
      <c r="C66" s="70"/>
      <c r="D66" s="70"/>
      <c r="E66" s="70"/>
      <c r="F66" s="70"/>
    </row>
    <row r="67" spans="3:78" ht="12.75" customHeight="1" x14ac:dyDescent="0.15">
      <c r="C67" s="70"/>
      <c r="D67" s="70"/>
      <c r="E67" s="70"/>
      <c r="F67" s="70"/>
    </row>
    <row r="68" spans="3:78" ht="12.75" customHeight="1" x14ac:dyDescent="0.15">
      <c r="C68" s="70"/>
      <c r="D68" s="70"/>
      <c r="E68" s="70"/>
      <c r="F68" s="70"/>
    </row>
    <row r="69" spans="3:78" ht="12.75" customHeight="1" x14ac:dyDescent="0.15">
      <c r="C69" s="70"/>
      <c r="D69" s="70"/>
      <c r="E69" s="70"/>
      <c r="F69" s="70"/>
    </row>
    <row r="70" spans="3:78" ht="12.75" customHeight="1" x14ac:dyDescent="0.15">
      <c r="C70" s="70"/>
      <c r="D70" s="70"/>
      <c r="E70" s="70"/>
      <c r="F70" s="70"/>
    </row>
    <row r="71" spans="3:78" ht="12.75" customHeight="1" x14ac:dyDescent="0.15">
      <c r="C71" s="70"/>
      <c r="D71" s="70"/>
      <c r="E71" s="70"/>
      <c r="F71" s="70"/>
    </row>
    <row r="72" spans="3:78" ht="12.75" customHeight="1" x14ac:dyDescent="0.15">
      <c r="C72" s="70"/>
      <c r="D72" s="70"/>
      <c r="E72" s="70"/>
      <c r="F72" s="70"/>
    </row>
    <row r="73" spans="3:78" ht="12.75" customHeight="1" x14ac:dyDescent="0.15">
      <c r="C73" s="70"/>
      <c r="D73" s="70"/>
      <c r="E73" s="70"/>
      <c r="F73" s="70"/>
    </row>
    <row r="74" spans="3:78" ht="12.75" customHeight="1" x14ac:dyDescent="0.15">
      <c r="C74" s="70"/>
      <c r="D74" s="70"/>
      <c r="E74" s="70"/>
      <c r="F74" s="70"/>
    </row>
    <row r="75" spans="3:78" ht="12.75" customHeight="1" x14ac:dyDescent="0.15">
      <c r="C75" s="70"/>
      <c r="D75" s="70"/>
      <c r="E75" s="70"/>
      <c r="F75" s="70"/>
      <c r="BQ75" s="72"/>
      <c r="BR75" s="72"/>
      <c r="BS75" s="72"/>
    </row>
    <row r="76" spans="3:78" ht="12.75" customHeight="1" x14ac:dyDescent="0.15">
      <c r="BQ76" s="72"/>
      <c r="BR76" s="72"/>
      <c r="BS76" s="72"/>
    </row>
    <row r="77" spans="3:78" ht="12.75" customHeight="1" x14ac:dyDescent="0.15">
      <c r="BQ77" s="72"/>
      <c r="BR77" s="72"/>
      <c r="BS77" s="72"/>
    </row>
    <row r="78" spans="3:78" ht="12.75" customHeight="1" x14ac:dyDescent="0.15">
      <c r="BT78" s="72"/>
      <c r="BU78" s="72"/>
      <c r="BV78" s="72"/>
      <c r="BW78" s="72"/>
      <c r="BX78" s="72"/>
      <c r="BY78" s="72"/>
      <c r="BZ78" s="72"/>
    </row>
    <row r="79" spans="3:78" ht="12.75" customHeight="1" x14ac:dyDescent="0.15">
      <c r="C79" s="70"/>
      <c r="D79" s="70"/>
      <c r="E79" s="70"/>
      <c r="F79" s="70"/>
      <c r="BT79" s="72"/>
      <c r="BU79" s="72"/>
      <c r="BV79" s="72"/>
      <c r="BW79" s="72"/>
      <c r="BX79" s="72"/>
      <c r="BY79" s="72"/>
      <c r="BZ79" s="72"/>
    </row>
    <row r="80" spans="3:78" ht="12.75" customHeight="1" x14ac:dyDescent="0.15">
      <c r="C80" s="70"/>
      <c r="D80" s="70"/>
      <c r="E80" s="70"/>
      <c r="F80" s="70"/>
      <c r="BT80" s="72"/>
      <c r="BU80" s="72"/>
      <c r="BV80" s="72"/>
      <c r="BW80" s="72"/>
      <c r="BX80" s="72"/>
      <c r="BY80" s="72"/>
      <c r="BZ80" s="72"/>
    </row>
    <row r="81" spans="2:21" ht="12.75" customHeight="1" x14ac:dyDescent="0.15">
      <c r="C81" s="70"/>
      <c r="D81" s="70"/>
      <c r="E81" s="70"/>
      <c r="F81" s="70"/>
    </row>
    <row r="82" spans="2:21" ht="12.75" customHeight="1" x14ac:dyDescent="0.15">
      <c r="C82" s="70"/>
      <c r="D82" s="70"/>
      <c r="E82" s="70"/>
      <c r="F82" s="70"/>
      <c r="Q82" s="72"/>
      <c r="R82" s="72"/>
      <c r="S82" s="72"/>
      <c r="T82" s="72"/>
      <c r="U82" s="72"/>
    </row>
    <row r="83" spans="2:21" ht="12.75" customHeight="1" x14ac:dyDescent="0.15">
      <c r="C83" s="70"/>
      <c r="D83" s="70"/>
      <c r="E83" s="70"/>
      <c r="F83" s="70"/>
      <c r="Q83" s="72"/>
      <c r="R83" s="72"/>
      <c r="S83" s="72"/>
      <c r="T83" s="72"/>
      <c r="U83" s="72"/>
    </row>
    <row r="84" spans="2:21" ht="12.75" customHeight="1" x14ac:dyDescent="0.15">
      <c r="C84" s="70"/>
      <c r="D84" s="70"/>
      <c r="E84" s="70"/>
      <c r="F84" s="70"/>
      <c r="Q84" s="72"/>
      <c r="R84" s="72"/>
      <c r="S84" s="72"/>
      <c r="T84" s="72"/>
      <c r="U84" s="72"/>
    </row>
    <row r="85" spans="2:21" ht="12.75" customHeight="1" x14ac:dyDescent="0.15">
      <c r="C85" s="70"/>
      <c r="D85" s="70"/>
      <c r="E85" s="70"/>
      <c r="F85" s="70"/>
      <c r="Q85" s="72"/>
      <c r="R85" s="72"/>
      <c r="S85" s="72"/>
      <c r="T85" s="72"/>
      <c r="U85" s="72"/>
    </row>
    <row r="86" spans="2:21" ht="12.75" customHeight="1" x14ac:dyDescent="0.15">
      <c r="C86" s="70"/>
      <c r="D86" s="70"/>
      <c r="E86" s="70"/>
      <c r="F86" s="70"/>
    </row>
    <row r="87" spans="2:21" ht="12.75" customHeight="1" x14ac:dyDescent="0.15">
      <c r="C87" s="70"/>
      <c r="D87" s="70"/>
      <c r="E87" s="70"/>
      <c r="F87" s="70"/>
    </row>
    <row r="88" spans="2:21" x14ac:dyDescent="0.15">
      <c r="C88" s="70"/>
      <c r="D88" s="70"/>
      <c r="E88" s="70"/>
      <c r="F88" s="70"/>
    </row>
    <row r="89" spans="2:21" x14ac:dyDescent="0.15">
      <c r="C89" s="70"/>
      <c r="D89" s="70"/>
      <c r="E89" s="70"/>
      <c r="F89" s="70"/>
    </row>
    <row r="90" spans="2:21" x14ac:dyDescent="0.15">
      <c r="C90" s="70"/>
      <c r="D90" s="70"/>
      <c r="E90" s="70"/>
      <c r="F90" s="70"/>
    </row>
    <row r="91" spans="2:21" x14ac:dyDescent="0.15">
      <c r="B91" s="72"/>
      <c r="C91" s="73"/>
      <c r="D91" s="73"/>
      <c r="E91" s="73"/>
      <c r="F91" s="73"/>
    </row>
    <row r="92" spans="2:21" x14ac:dyDescent="0.15">
      <c r="B92" s="72"/>
      <c r="C92" s="73"/>
      <c r="D92" s="73"/>
      <c r="E92" s="73"/>
      <c r="F92" s="73"/>
      <c r="G92" s="72"/>
      <c r="H92" s="72"/>
      <c r="I92" s="72"/>
      <c r="J92" s="72"/>
      <c r="K92" s="72"/>
    </row>
    <row r="93" spans="2:21" x14ac:dyDescent="0.15">
      <c r="B93" s="72"/>
      <c r="C93" s="73"/>
      <c r="D93" s="73"/>
      <c r="E93" s="73"/>
      <c r="F93" s="73"/>
      <c r="G93" s="72"/>
      <c r="H93" s="72"/>
      <c r="I93" s="72"/>
      <c r="J93" s="72"/>
      <c r="K93" s="72"/>
    </row>
    <row r="94" spans="2:21" x14ac:dyDescent="0.15">
      <c r="B94" s="72"/>
      <c r="C94" s="73"/>
      <c r="D94" s="73"/>
      <c r="E94" s="73"/>
      <c r="F94" s="73"/>
      <c r="G94" s="72"/>
      <c r="H94" s="72"/>
      <c r="I94" s="72"/>
      <c r="J94" s="72"/>
      <c r="K94" s="72"/>
      <c r="L94" s="72"/>
      <c r="M94" s="72"/>
      <c r="N94" s="72"/>
      <c r="O94" s="72"/>
      <c r="P94" s="72"/>
    </row>
    <row r="95" spans="2:21" x14ac:dyDescent="0.15">
      <c r="G95" s="72"/>
      <c r="H95" s="72"/>
      <c r="I95" s="72"/>
      <c r="J95" s="72"/>
      <c r="K95" s="72"/>
      <c r="L95" s="72"/>
      <c r="M95" s="72"/>
      <c r="N95" s="72"/>
      <c r="O95" s="72"/>
      <c r="P95" s="72"/>
    </row>
    <row r="96" spans="2:21" x14ac:dyDescent="0.15">
      <c r="L96" s="72"/>
      <c r="M96" s="72"/>
      <c r="N96" s="72"/>
      <c r="O96" s="72"/>
      <c r="P96" s="72"/>
    </row>
    <row r="97" spans="12:16" x14ac:dyDescent="0.15">
      <c r="L97" s="72"/>
      <c r="M97" s="72"/>
      <c r="N97" s="72"/>
      <c r="O97" s="72"/>
      <c r="P97" s="72"/>
    </row>
  </sheetData>
  <mergeCells count="429">
    <mergeCell ref="B3:BP3"/>
    <mergeCell ref="B4:F4"/>
    <mergeCell ref="G4:U4"/>
    <mergeCell ref="V4:AE4"/>
    <mergeCell ref="AF4:AN4"/>
    <mergeCell ref="AO4:AW4"/>
    <mergeCell ref="AX4:BF4"/>
    <mergeCell ref="BG4:BP4"/>
    <mergeCell ref="BL6:BP6"/>
    <mergeCell ref="B6:F6"/>
    <mergeCell ref="G6:K6"/>
    <mergeCell ref="L6:P6"/>
    <mergeCell ref="Q6:U6"/>
    <mergeCell ref="V6:BF6"/>
    <mergeCell ref="BG6:BK6"/>
    <mergeCell ref="V5:AE5"/>
    <mergeCell ref="G5:U5"/>
    <mergeCell ref="B5:F5"/>
    <mergeCell ref="B8:K8"/>
    <mergeCell ref="L8:Z8"/>
    <mergeCell ref="BG8:BP8"/>
    <mergeCell ref="B9:K9"/>
    <mergeCell ref="L9:Z9"/>
    <mergeCell ref="AA9:AF9"/>
    <mergeCell ref="AG9:AK9"/>
    <mergeCell ref="AL9:AQ9"/>
    <mergeCell ref="AR9:AV9"/>
    <mergeCell ref="AW9:BA9"/>
    <mergeCell ref="BB9:BF9"/>
    <mergeCell ref="BG9:BK9"/>
    <mergeCell ref="BL9:BP9"/>
    <mergeCell ref="B10:F10"/>
    <mergeCell ref="G10:K10"/>
    <mergeCell ref="L10:L13"/>
    <mergeCell ref="M10:T10"/>
    <mergeCell ref="V10:Z10"/>
    <mergeCell ref="AA10:AF10"/>
    <mergeCell ref="BL10:BP10"/>
    <mergeCell ref="C11:F11"/>
    <mergeCell ref="G11:K11"/>
    <mergeCell ref="M11:T11"/>
    <mergeCell ref="V11:Z11"/>
    <mergeCell ref="AB11:AF11"/>
    <mergeCell ref="AG11:AK11"/>
    <mergeCell ref="AM11:AQ11"/>
    <mergeCell ref="AR11:AV11"/>
    <mergeCell ref="AY11:BA11"/>
    <mergeCell ref="AG10:AK10"/>
    <mergeCell ref="AL10:AQ10"/>
    <mergeCell ref="AR10:AV10"/>
    <mergeCell ref="AW10:BA10"/>
    <mergeCell ref="BB10:BF10"/>
    <mergeCell ref="BH10:BK10"/>
    <mergeCell ref="BB11:BF11"/>
    <mergeCell ref="BH11:BK11"/>
    <mergeCell ref="BL11:BP11"/>
    <mergeCell ref="C12:F12"/>
    <mergeCell ref="G12:K12"/>
    <mergeCell ref="M12:T12"/>
    <mergeCell ref="V12:Z12"/>
    <mergeCell ref="AC12:AF12"/>
    <mergeCell ref="AG12:AK12"/>
    <mergeCell ref="AN12:AQ12"/>
    <mergeCell ref="AR12:AV12"/>
    <mergeCell ref="AY12:BA12"/>
    <mergeCell ref="BB12:BF12"/>
    <mergeCell ref="BH12:BK12"/>
    <mergeCell ref="BL12:BP12"/>
    <mergeCell ref="C13:F13"/>
    <mergeCell ref="G13:K13"/>
    <mergeCell ref="M13:T13"/>
    <mergeCell ref="V13:Z13"/>
    <mergeCell ref="AD13:AF13"/>
    <mergeCell ref="C15:F15"/>
    <mergeCell ref="G15:K15"/>
    <mergeCell ref="M15:T15"/>
    <mergeCell ref="V15:Z15"/>
    <mergeCell ref="AC15:AF15"/>
    <mergeCell ref="AG15:AK15"/>
    <mergeCell ref="BL13:BP13"/>
    <mergeCell ref="B14:F14"/>
    <mergeCell ref="G14:K14"/>
    <mergeCell ref="L14:L17"/>
    <mergeCell ref="M14:T14"/>
    <mergeCell ref="V14:Z14"/>
    <mergeCell ref="AD14:AF14"/>
    <mergeCell ref="AG14:AK14"/>
    <mergeCell ref="AN14:AQ14"/>
    <mergeCell ref="AR14:AV14"/>
    <mergeCell ref="AG13:AK13"/>
    <mergeCell ref="AN13:AQ13"/>
    <mergeCell ref="AR13:AV13"/>
    <mergeCell ref="AY13:BA13"/>
    <mergeCell ref="BB13:BF13"/>
    <mergeCell ref="BH13:BK13"/>
    <mergeCell ref="AM15:AQ15"/>
    <mergeCell ref="AR15:AV15"/>
    <mergeCell ref="AY15:BA15"/>
    <mergeCell ref="BB15:BF15"/>
    <mergeCell ref="BH15:BK15"/>
    <mergeCell ref="BL15:BP15"/>
    <mergeCell ref="AY14:BA14"/>
    <mergeCell ref="BB14:BF14"/>
    <mergeCell ref="BH14:BK14"/>
    <mergeCell ref="BL14:BP14"/>
    <mergeCell ref="AN16:AQ16"/>
    <mergeCell ref="AR16:AV16"/>
    <mergeCell ref="AY16:BA16"/>
    <mergeCell ref="BB16:BF16"/>
    <mergeCell ref="BG16:BK16"/>
    <mergeCell ref="BL16:BP16"/>
    <mergeCell ref="C16:F16"/>
    <mergeCell ref="G16:K16"/>
    <mergeCell ref="M16:T16"/>
    <mergeCell ref="V16:Z16"/>
    <mergeCell ref="AD16:AF16"/>
    <mergeCell ref="AG16:AK16"/>
    <mergeCell ref="AL17:AQ17"/>
    <mergeCell ref="AR17:AV17"/>
    <mergeCell ref="AY17:BA17"/>
    <mergeCell ref="BB17:BF17"/>
    <mergeCell ref="BH17:BK17"/>
    <mergeCell ref="BL17:BP17"/>
    <mergeCell ref="C17:F17"/>
    <mergeCell ref="G17:K17"/>
    <mergeCell ref="M17:T17"/>
    <mergeCell ref="V17:Z17"/>
    <mergeCell ref="AC17:AF17"/>
    <mergeCell ref="AG17:AK17"/>
    <mergeCell ref="C20:F20"/>
    <mergeCell ref="G20:K20"/>
    <mergeCell ref="O20:T20"/>
    <mergeCell ref="V20:Z20"/>
    <mergeCell ref="AC20:AF20"/>
    <mergeCell ref="AG20:AK20"/>
    <mergeCell ref="AC19:AF19"/>
    <mergeCell ref="AG19:AK19"/>
    <mergeCell ref="AL19:AQ19"/>
    <mergeCell ref="V19:Z19"/>
    <mergeCell ref="L18:N18"/>
    <mergeCell ref="O18:T18"/>
    <mergeCell ref="V18:Z18"/>
    <mergeCell ref="AB18:AF18"/>
    <mergeCell ref="BI19:BK19"/>
    <mergeCell ref="BL19:BP19"/>
    <mergeCell ref="AR19:AV19"/>
    <mergeCell ref="AY19:BA19"/>
    <mergeCell ref="BB19:BF19"/>
    <mergeCell ref="BH20:BK20"/>
    <mergeCell ref="AG18:AK18"/>
    <mergeCell ref="AY18:BA18"/>
    <mergeCell ref="BB18:BF18"/>
    <mergeCell ref="BH18:BK18"/>
    <mergeCell ref="BL20:BP20"/>
    <mergeCell ref="C21:F21"/>
    <mergeCell ref="G21:K21"/>
    <mergeCell ref="L21:Z21"/>
    <mergeCell ref="AC21:AF21"/>
    <mergeCell ref="AG21:AK21"/>
    <mergeCell ref="AY21:BA21"/>
    <mergeCell ref="BB21:BF21"/>
    <mergeCell ref="BH21:BK21"/>
    <mergeCell ref="BL21:BP21"/>
    <mergeCell ref="AY20:BA20"/>
    <mergeCell ref="BB20:BF20"/>
    <mergeCell ref="BL18:BP18"/>
    <mergeCell ref="C19:F19"/>
    <mergeCell ref="G19:K19"/>
    <mergeCell ref="L19:N20"/>
    <mergeCell ref="O19:T19"/>
    <mergeCell ref="B18:F18"/>
    <mergeCell ref="G18:K18"/>
    <mergeCell ref="BH22:BK22"/>
    <mergeCell ref="BL22:BP22"/>
    <mergeCell ref="B23:F23"/>
    <mergeCell ref="G23:K23"/>
    <mergeCell ref="M23:T23"/>
    <mergeCell ref="V23:Z23"/>
    <mergeCell ref="AY23:BA23"/>
    <mergeCell ref="BB23:BF23"/>
    <mergeCell ref="BH23:BK23"/>
    <mergeCell ref="BL23:BP23"/>
    <mergeCell ref="B22:F22"/>
    <mergeCell ref="G22:K22"/>
    <mergeCell ref="L22:L23"/>
    <mergeCell ref="M22:T22"/>
    <mergeCell ref="V22:Z22"/>
    <mergeCell ref="AC22:AF22"/>
    <mergeCell ref="AG22:AK22"/>
    <mergeCell ref="AY22:BA22"/>
    <mergeCell ref="BB22:BF22"/>
    <mergeCell ref="BB24:BF24"/>
    <mergeCell ref="BG24:BP24"/>
    <mergeCell ref="B25:K25"/>
    <mergeCell ref="M25:T25"/>
    <mergeCell ref="V25:Z25"/>
    <mergeCell ref="AA25:AF25"/>
    <mergeCell ref="AG25:AK25"/>
    <mergeCell ref="AL25:AQ25"/>
    <mergeCell ref="AR25:AV25"/>
    <mergeCell ref="AY25:BA25"/>
    <mergeCell ref="B24:F24"/>
    <mergeCell ref="G24:K24"/>
    <mergeCell ref="L24:L37"/>
    <mergeCell ref="M24:T24"/>
    <mergeCell ref="V24:Z24"/>
    <mergeCell ref="AY24:BA24"/>
    <mergeCell ref="AG26:AK26"/>
    <mergeCell ref="AL26:AQ26"/>
    <mergeCell ref="AR26:AV26"/>
    <mergeCell ref="AY26:BA26"/>
    <mergeCell ref="BB25:BF25"/>
    <mergeCell ref="BG25:BH25"/>
    <mergeCell ref="BI25:BJ25"/>
    <mergeCell ref="BL25:BP25"/>
    <mergeCell ref="BL26:BP26"/>
    <mergeCell ref="B27:F27"/>
    <mergeCell ref="G27:K27"/>
    <mergeCell ref="Q27:T27"/>
    <mergeCell ref="V27:Z27"/>
    <mergeCell ref="AB27:AF27"/>
    <mergeCell ref="AG27:AK27"/>
    <mergeCell ref="AY27:BA27"/>
    <mergeCell ref="BB27:BF27"/>
    <mergeCell ref="BI27:BJ27"/>
    <mergeCell ref="BL27:BP27"/>
    <mergeCell ref="B26:F26"/>
    <mergeCell ref="G26:K26"/>
    <mergeCell ref="M26:P29"/>
    <mergeCell ref="Q26:T26"/>
    <mergeCell ref="V26:Z26"/>
    <mergeCell ref="AA26:AF26"/>
    <mergeCell ref="BB26:BF26"/>
    <mergeCell ref="BG26:BH27"/>
    <mergeCell ref="BI26:BJ26"/>
    <mergeCell ref="C28:F28"/>
    <mergeCell ref="G28:K28"/>
    <mergeCell ref="Q28:T28"/>
    <mergeCell ref="V28:Z28"/>
    <mergeCell ref="BL28:BP28"/>
    <mergeCell ref="B29:F29"/>
    <mergeCell ref="G29:K29"/>
    <mergeCell ref="Q29:T29"/>
    <mergeCell ref="V29:Z29"/>
    <mergeCell ref="AB29:AF29"/>
    <mergeCell ref="AG29:AK29"/>
    <mergeCell ref="AY29:BA29"/>
    <mergeCell ref="BB29:BF29"/>
    <mergeCell ref="BI29:BJ29"/>
    <mergeCell ref="BL29:BP29"/>
    <mergeCell ref="AB28:AF28"/>
    <mergeCell ref="AG28:AK28"/>
    <mergeCell ref="AZ28:BA28"/>
    <mergeCell ref="BB28:BF28"/>
    <mergeCell ref="BG28:BH29"/>
    <mergeCell ref="BI28:BJ28"/>
    <mergeCell ref="C30:F30"/>
    <mergeCell ref="G30:K30"/>
    <mergeCell ref="M30:P32"/>
    <mergeCell ref="Q30:T30"/>
    <mergeCell ref="V30:Z30"/>
    <mergeCell ref="BL30:BP30"/>
    <mergeCell ref="B31:K31"/>
    <mergeCell ref="Q31:T31"/>
    <mergeCell ref="V31:Z31"/>
    <mergeCell ref="AA31:AF31"/>
    <mergeCell ref="AG31:AK31"/>
    <mergeCell ref="AX31:BA31"/>
    <mergeCell ref="BB31:BF31"/>
    <mergeCell ref="BI31:BJ31"/>
    <mergeCell ref="BL31:BP31"/>
    <mergeCell ref="AB30:AF30"/>
    <mergeCell ref="AG30:AK30"/>
    <mergeCell ref="AX30:BA30"/>
    <mergeCell ref="BB30:BF30"/>
    <mergeCell ref="BG30:BH31"/>
    <mergeCell ref="BI30:BJ30"/>
    <mergeCell ref="B34:F34"/>
    <mergeCell ref="G34:K34"/>
    <mergeCell ref="M34:T34"/>
    <mergeCell ref="V34:Z34"/>
    <mergeCell ref="BG34:BJ34"/>
    <mergeCell ref="BL34:BP34"/>
    <mergeCell ref="BG32:BP32"/>
    <mergeCell ref="B33:F33"/>
    <mergeCell ref="G33:K33"/>
    <mergeCell ref="M33:T33"/>
    <mergeCell ref="V33:Z33"/>
    <mergeCell ref="BG33:BK33"/>
    <mergeCell ref="BL33:BP33"/>
    <mergeCell ref="B32:F32"/>
    <mergeCell ref="G32:K32"/>
    <mergeCell ref="Q32:T32"/>
    <mergeCell ref="V32:Z32"/>
    <mergeCell ref="AA32:AF32"/>
    <mergeCell ref="AG32:AK32"/>
    <mergeCell ref="BG35:BJ35"/>
    <mergeCell ref="BL35:BP35"/>
    <mergeCell ref="B36:F36"/>
    <mergeCell ref="G36:K36"/>
    <mergeCell ref="Q36:T36"/>
    <mergeCell ref="V36:Z36"/>
    <mergeCell ref="AL36:AQ36"/>
    <mergeCell ref="BG36:BJ36"/>
    <mergeCell ref="BL36:BP36"/>
    <mergeCell ref="B35:K35"/>
    <mergeCell ref="M35:P37"/>
    <mergeCell ref="Q35:T35"/>
    <mergeCell ref="V35:Z35"/>
    <mergeCell ref="AA35:AF36"/>
    <mergeCell ref="AG35:AK36"/>
    <mergeCell ref="B37:F37"/>
    <mergeCell ref="G37:K37"/>
    <mergeCell ref="Q37:T37"/>
    <mergeCell ref="V37:Z37"/>
    <mergeCell ref="AA37:AF37"/>
    <mergeCell ref="AG37:AK37"/>
    <mergeCell ref="AL37:AQ37"/>
    <mergeCell ref="BG37:BJ37"/>
    <mergeCell ref="BL37:BP37"/>
    <mergeCell ref="B38:K38"/>
    <mergeCell ref="L38:Z38"/>
    <mergeCell ref="AB38:AF38"/>
    <mergeCell ref="AG38:AK38"/>
    <mergeCell ref="AL38:AQ38"/>
    <mergeCell ref="BG38:BJ38"/>
    <mergeCell ref="BL38:BP38"/>
    <mergeCell ref="B39:F39"/>
    <mergeCell ref="G39:K39"/>
    <mergeCell ref="L39:L42"/>
    <mergeCell ref="M39:T39"/>
    <mergeCell ref="V39:Z39"/>
    <mergeCell ref="AB39:AF39"/>
    <mergeCell ref="AG39:AK39"/>
    <mergeCell ref="AL39:AQ39"/>
    <mergeCell ref="BG39:BJ39"/>
    <mergeCell ref="BL39:BP39"/>
    <mergeCell ref="B40:F40"/>
    <mergeCell ref="G40:K40"/>
    <mergeCell ref="M40:T40"/>
    <mergeCell ref="V40:Z40"/>
    <mergeCell ref="AB40:AF40"/>
    <mergeCell ref="AG40:AK40"/>
    <mergeCell ref="AL40:AQ40"/>
    <mergeCell ref="BG40:BJ40"/>
    <mergeCell ref="B42:F42"/>
    <mergeCell ref="G42:K42"/>
    <mergeCell ref="M42:T42"/>
    <mergeCell ref="V42:Z42"/>
    <mergeCell ref="AA42:AF42"/>
    <mergeCell ref="AG42:AK42"/>
    <mergeCell ref="BL40:BP40"/>
    <mergeCell ref="B41:K41"/>
    <mergeCell ref="M41:T41"/>
    <mergeCell ref="V41:Z41"/>
    <mergeCell ref="AB41:AF41"/>
    <mergeCell ref="AG41:AK41"/>
    <mergeCell ref="AL41:AQ41"/>
    <mergeCell ref="BH41:BJ41"/>
    <mergeCell ref="BL41:BP41"/>
    <mergeCell ref="AL42:AQ42"/>
    <mergeCell ref="BG42:BJ42"/>
    <mergeCell ref="BL42:BP42"/>
    <mergeCell ref="B44:F44"/>
    <mergeCell ref="G44:K44"/>
    <mergeCell ref="M44:T44"/>
    <mergeCell ref="V44:Z44"/>
    <mergeCell ref="AB44:AF44"/>
    <mergeCell ref="AG44:AK44"/>
    <mergeCell ref="AL44:AQ44"/>
    <mergeCell ref="BG44:BJ44"/>
    <mergeCell ref="BL43:BP43"/>
    <mergeCell ref="BL44:BP44"/>
    <mergeCell ref="BG47:BJ47"/>
    <mergeCell ref="BL47:BP47"/>
    <mergeCell ref="L48:T48"/>
    <mergeCell ref="V48:Z48"/>
    <mergeCell ref="BG48:BJ48"/>
    <mergeCell ref="BL48:BP48"/>
    <mergeCell ref="BL46:BP46"/>
    <mergeCell ref="L43:L46"/>
    <mergeCell ref="M43:T43"/>
    <mergeCell ref="V43:Z43"/>
    <mergeCell ref="AB43:AF43"/>
    <mergeCell ref="AG43:AK43"/>
    <mergeCell ref="AL43:AQ43"/>
    <mergeCell ref="BG43:BJ43"/>
    <mergeCell ref="M45:T45"/>
    <mergeCell ref="V45:Z45"/>
    <mergeCell ref="BG45:BJ45"/>
    <mergeCell ref="BL45:BP45"/>
    <mergeCell ref="M46:T46"/>
    <mergeCell ref="V46:Z46"/>
    <mergeCell ref="BG46:BJ46"/>
    <mergeCell ref="B59:F59"/>
    <mergeCell ref="G59:K59"/>
    <mergeCell ref="L59:P59"/>
    <mergeCell ref="Q59:U59"/>
    <mergeCell ref="V59:Z59"/>
    <mergeCell ref="AA59:AF59"/>
    <mergeCell ref="AG59:AK59"/>
    <mergeCell ref="AL59:AQ59"/>
    <mergeCell ref="L47:Z47"/>
    <mergeCell ref="L49:T49"/>
    <mergeCell ref="V49:Z49"/>
    <mergeCell ref="BG49:BJ49"/>
    <mergeCell ref="BL49:BP49"/>
    <mergeCell ref="L50:T50"/>
    <mergeCell ref="V50:Z50"/>
    <mergeCell ref="BG50:BJ50"/>
    <mergeCell ref="BL50:BP50"/>
    <mergeCell ref="AR59:AV59"/>
    <mergeCell ref="AW59:BA59"/>
    <mergeCell ref="BB59:BF59"/>
    <mergeCell ref="BG59:BK59"/>
    <mergeCell ref="BL59:BP59"/>
    <mergeCell ref="BG51:BJ51"/>
    <mergeCell ref="BL51:BP51"/>
    <mergeCell ref="B7:F7"/>
    <mergeCell ref="G7:K7"/>
    <mergeCell ref="L7:P7"/>
    <mergeCell ref="Q7:U7"/>
    <mergeCell ref="V7:BF7"/>
    <mergeCell ref="BG7:BK7"/>
    <mergeCell ref="BL7:BP7"/>
    <mergeCell ref="AF5:AN5"/>
    <mergeCell ref="AO5:AW5"/>
    <mergeCell ref="AX5:BF5"/>
    <mergeCell ref="BG5:BP5"/>
  </mergeCells>
  <phoneticPr fontId="1"/>
  <printOptions horizontalCentered="1" verticalCentered="1"/>
  <pageMargins left="0.39370078740157483" right="0.39370078740157483" top="0.39370078740157483" bottom="0.19685039370078741" header="0.31496062992125984" footer="0.31496062992125984"/>
  <pageSetup paperSize="9" scale="95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5"/>
  <sheetViews>
    <sheetView view="pageBreakPreview" zoomScale="130" zoomScaleNormal="120" zoomScaleSheetLayoutView="130" workbookViewId="0"/>
  </sheetViews>
  <sheetFormatPr defaultColWidth="2.7109375" defaultRowHeight="14.25" customHeight="1" x14ac:dyDescent="0.15"/>
  <cols>
    <col min="1" max="1" width="2" style="22" customWidth="1"/>
    <col min="2" max="3" width="1.28515625" style="22" customWidth="1"/>
    <col min="4" max="4" width="1.7109375" style="22" customWidth="1"/>
    <col min="5" max="5" width="2.7109375" style="22" customWidth="1"/>
    <col min="6" max="6" width="2.28515625" style="22" customWidth="1"/>
    <col min="7" max="10" width="1.7109375" style="22" customWidth="1"/>
    <col min="11" max="11" width="2.42578125" style="22" customWidth="1"/>
    <col min="12" max="16" width="1.85546875" style="22" customWidth="1"/>
    <col min="17" max="18" width="1.42578125" style="22" customWidth="1"/>
    <col min="19" max="19" width="2.28515625" style="22" customWidth="1"/>
    <col min="20" max="20" width="2.7109375" style="22" customWidth="1"/>
    <col min="21" max="21" width="1.42578125" style="22" customWidth="1"/>
    <col min="22" max="25" width="1.7109375" style="22" customWidth="1"/>
    <col min="26" max="26" width="2.28515625" style="22" customWidth="1"/>
    <col min="27" max="31" width="1.85546875" style="22" customWidth="1"/>
    <col min="32" max="33" width="1.7109375" style="22" customWidth="1"/>
    <col min="34" max="34" width="1.140625" style="22" customWidth="1"/>
    <col min="35" max="35" width="1.7109375" style="22" customWidth="1"/>
    <col min="36" max="36" width="2.7109375" style="22" customWidth="1"/>
    <col min="37" max="46" width="1.85546875" style="22" customWidth="1"/>
    <col min="47" max="47" width="0.85546875" style="22" customWidth="1"/>
    <col min="48" max="48" width="2.28515625" style="22" customWidth="1"/>
    <col min="49" max="49" width="1.28515625" style="22" customWidth="1"/>
    <col min="50" max="50" width="1.85546875" style="22" customWidth="1"/>
    <col min="51" max="51" width="3.28515625" style="22" customWidth="1"/>
    <col min="52" max="53" width="0.85546875" style="22" customWidth="1"/>
    <col min="54" max="54" width="0.7109375" style="22" customWidth="1"/>
    <col min="55" max="55" width="2.85546875" style="22" customWidth="1"/>
    <col min="56" max="56" width="3.42578125" style="22" customWidth="1"/>
    <col min="57" max="61" width="1.85546875" style="22" customWidth="1"/>
    <col min="62" max="63" width="1.140625" style="22" customWidth="1"/>
    <col min="64" max="65" width="1.85546875" style="22" customWidth="1"/>
    <col min="66" max="66" width="3.42578125" style="22" customWidth="1"/>
    <col min="67" max="76" width="1.85546875" style="22" customWidth="1"/>
    <col min="77" max="16384" width="2.7109375" style="22"/>
  </cols>
  <sheetData>
    <row r="1" spans="1:76" ht="14.25" customHeight="1" x14ac:dyDescent="0.15">
      <c r="B1" s="128" t="str">
        <f>'No4'!B5&amp;"年　農業経営統計調査（営農類型別経営統計（農業経営体））　集計結果表No.２"</f>
        <v>年　農業経営統計調査（営農類型別経営統計（農業経営体））　集計結果表No.２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</row>
    <row r="2" spans="1:76" ht="14.25" customHeight="1" thickBot="1" x14ac:dyDescent="0.2"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</row>
    <row r="3" spans="1:76" ht="9.75" customHeight="1" x14ac:dyDescent="0.15">
      <c r="A3" s="23"/>
      <c r="B3" s="220"/>
      <c r="C3" s="220"/>
      <c r="D3" s="220"/>
      <c r="E3" s="220"/>
      <c r="F3" s="220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Z3" s="220"/>
      <c r="BA3" s="220"/>
      <c r="BB3" s="220"/>
      <c r="BC3" s="220"/>
      <c r="BD3" s="220"/>
      <c r="BE3" s="220"/>
      <c r="BF3" s="220"/>
      <c r="BG3" s="220"/>
      <c r="BH3" s="220"/>
      <c r="BI3" s="220"/>
      <c r="BJ3" s="220"/>
      <c r="BK3" s="220"/>
      <c r="BL3" s="220"/>
      <c r="BM3" s="220"/>
      <c r="BN3" s="220"/>
      <c r="BO3" s="900" t="s">
        <v>396</v>
      </c>
      <c r="BP3" s="901"/>
      <c r="BQ3" s="901"/>
      <c r="BR3" s="901"/>
      <c r="BS3" s="901"/>
      <c r="BT3" s="901"/>
      <c r="BU3" s="901"/>
      <c r="BV3" s="901"/>
      <c r="BW3" s="901"/>
      <c r="BX3" s="902"/>
    </row>
    <row r="4" spans="1:76" ht="9.75" customHeight="1" thickBot="1" x14ac:dyDescent="0.2">
      <c r="A4" s="2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978" t="str">
        <f>IF('No4'!G5="","",'No4'!G5)</f>
        <v/>
      </c>
      <c r="BP4" s="597"/>
      <c r="BQ4" s="597"/>
      <c r="BR4" s="597"/>
      <c r="BS4" s="597"/>
      <c r="BT4" s="597"/>
      <c r="BU4" s="597"/>
      <c r="BV4" s="597"/>
      <c r="BW4" s="597"/>
      <c r="BX4" s="598"/>
    </row>
    <row r="5" spans="1:76" ht="10.5" customHeight="1" x14ac:dyDescent="0.15">
      <c r="A5" s="23"/>
      <c r="B5" s="903" t="s">
        <v>311</v>
      </c>
      <c r="C5" s="904"/>
      <c r="D5" s="904"/>
      <c r="E5" s="904"/>
      <c r="F5" s="904"/>
      <c r="G5" s="904"/>
      <c r="H5" s="904"/>
      <c r="I5" s="904"/>
      <c r="J5" s="904"/>
      <c r="K5" s="904"/>
      <c r="L5" s="904"/>
      <c r="M5" s="904"/>
      <c r="N5" s="904"/>
      <c r="O5" s="904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904"/>
      <c r="AA5" s="904"/>
      <c r="AB5" s="904"/>
      <c r="AC5" s="904"/>
      <c r="AD5" s="904"/>
      <c r="AE5" s="905"/>
      <c r="AF5" s="380" t="s">
        <v>390</v>
      </c>
      <c r="AG5" s="380"/>
      <c r="AH5" s="380"/>
      <c r="AI5" s="380"/>
      <c r="AJ5" s="380"/>
      <c r="AK5" s="906"/>
      <c r="AL5" s="906"/>
      <c r="AM5" s="906"/>
      <c r="AN5" s="906"/>
      <c r="AO5" s="906"/>
      <c r="AP5" s="380"/>
      <c r="AQ5" s="380"/>
      <c r="AR5" s="380"/>
      <c r="AS5" s="380"/>
      <c r="AT5" s="380"/>
      <c r="AU5" s="380"/>
      <c r="AV5" s="380"/>
      <c r="AW5" s="380"/>
      <c r="AX5" s="380"/>
      <c r="AY5" s="380"/>
      <c r="AZ5" s="906"/>
      <c r="BA5" s="906"/>
      <c r="BB5" s="906"/>
      <c r="BC5" s="906"/>
      <c r="BD5" s="906"/>
      <c r="BE5" s="380"/>
      <c r="BF5" s="380"/>
      <c r="BG5" s="380"/>
      <c r="BH5" s="380"/>
      <c r="BI5" s="380"/>
      <c r="BJ5" s="907" t="s">
        <v>409</v>
      </c>
      <c r="BK5" s="908"/>
      <c r="BL5" s="908"/>
      <c r="BM5" s="908"/>
      <c r="BN5" s="908"/>
      <c r="BO5" s="908"/>
      <c r="BP5" s="908"/>
      <c r="BQ5" s="908"/>
      <c r="BR5" s="908"/>
      <c r="BS5" s="908"/>
      <c r="BT5" s="908"/>
      <c r="BU5" s="908"/>
      <c r="BV5" s="908"/>
      <c r="BW5" s="908"/>
      <c r="BX5" s="909"/>
    </row>
    <row r="6" spans="1:76" ht="10.5" customHeight="1" x14ac:dyDescent="0.15">
      <c r="A6" s="23">
        <v>1</v>
      </c>
      <c r="B6" s="777" t="s">
        <v>310</v>
      </c>
      <c r="C6" s="687"/>
      <c r="D6" s="910" t="s">
        <v>183</v>
      </c>
      <c r="E6" s="911"/>
      <c r="F6" s="784" t="s">
        <v>309</v>
      </c>
      <c r="G6" s="338"/>
      <c r="H6" s="338"/>
      <c r="I6" s="338"/>
      <c r="J6" s="339"/>
      <c r="K6" s="143" t="s">
        <v>231</v>
      </c>
      <c r="L6" s="276"/>
      <c r="M6" s="277"/>
      <c r="N6" s="277"/>
      <c r="O6" s="277"/>
      <c r="P6" s="324"/>
      <c r="Q6" s="686" t="s">
        <v>296</v>
      </c>
      <c r="R6" s="687"/>
      <c r="S6" s="916" t="s">
        <v>295</v>
      </c>
      <c r="T6" s="917"/>
      <c r="U6" s="784" t="s">
        <v>294</v>
      </c>
      <c r="V6" s="338"/>
      <c r="W6" s="338"/>
      <c r="X6" s="338"/>
      <c r="Y6" s="339"/>
      <c r="Z6" s="41" t="s">
        <v>231</v>
      </c>
      <c r="AA6" s="276"/>
      <c r="AB6" s="277"/>
      <c r="AC6" s="277"/>
      <c r="AD6" s="277"/>
      <c r="AE6" s="336"/>
      <c r="AF6" s="350"/>
      <c r="AG6" s="350"/>
      <c r="AH6" s="350"/>
      <c r="AI6" s="350"/>
      <c r="AJ6" s="350"/>
      <c r="AK6" s="897" t="s">
        <v>308</v>
      </c>
      <c r="AL6" s="898"/>
      <c r="AM6" s="898"/>
      <c r="AN6" s="898"/>
      <c r="AO6" s="899"/>
      <c r="AP6" s="350" t="s">
        <v>407</v>
      </c>
      <c r="AQ6" s="350"/>
      <c r="AR6" s="350"/>
      <c r="AS6" s="350"/>
      <c r="AT6" s="448"/>
      <c r="AU6" s="449"/>
      <c r="AV6" s="449"/>
      <c r="AW6" s="449"/>
      <c r="AX6" s="449"/>
      <c r="AY6" s="349"/>
      <c r="AZ6" s="922" t="s">
        <v>307</v>
      </c>
      <c r="BA6" s="923"/>
      <c r="BB6" s="923"/>
      <c r="BC6" s="923"/>
      <c r="BD6" s="924"/>
      <c r="BE6" s="350" t="s">
        <v>407</v>
      </c>
      <c r="BF6" s="350"/>
      <c r="BG6" s="350"/>
      <c r="BH6" s="350"/>
      <c r="BI6" s="350"/>
      <c r="BJ6" s="925" t="s">
        <v>306</v>
      </c>
      <c r="BK6" s="926"/>
      <c r="BL6" s="926"/>
      <c r="BM6" s="926"/>
      <c r="BN6" s="927"/>
      <c r="BO6" s="364" t="s">
        <v>305</v>
      </c>
      <c r="BP6" s="365"/>
      <c r="BQ6" s="365"/>
      <c r="BR6" s="365"/>
      <c r="BS6" s="928"/>
      <c r="BT6" s="364" t="s">
        <v>304</v>
      </c>
      <c r="BU6" s="365"/>
      <c r="BV6" s="365"/>
      <c r="BW6" s="365"/>
      <c r="BX6" s="929"/>
    </row>
    <row r="7" spans="1:76" ht="10.5" customHeight="1" x14ac:dyDescent="0.15">
      <c r="A7" s="23">
        <v>2</v>
      </c>
      <c r="B7" s="778"/>
      <c r="C7" s="688"/>
      <c r="D7" s="912"/>
      <c r="E7" s="913"/>
      <c r="F7" s="335" t="s">
        <v>178</v>
      </c>
      <c r="G7" s="247"/>
      <c r="H7" s="247"/>
      <c r="I7" s="247"/>
      <c r="J7" s="248"/>
      <c r="K7" s="217" t="s">
        <v>27</v>
      </c>
      <c r="L7" s="249"/>
      <c r="M7" s="250"/>
      <c r="N7" s="250"/>
      <c r="O7" s="250"/>
      <c r="P7" s="289"/>
      <c r="Q7" s="679"/>
      <c r="R7" s="688"/>
      <c r="S7" s="918"/>
      <c r="T7" s="919"/>
      <c r="U7" s="335" t="s">
        <v>178</v>
      </c>
      <c r="V7" s="247"/>
      <c r="W7" s="247"/>
      <c r="X7" s="247"/>
      <c r="Y7" s="248"/>
      <c r="Z7" s="37" t="s">
        <v>156</v>
      </c>
      <c r="AA7" s="249"/>
      <c r="AB7" s="250"/>
      <c r="AC7" s="250"/>
      <c r="AD7" s="250"/>
      <c r="AE7" s="251"/>
      <c r="AF7" s="930" t="s">
        <v>303</v>
      </c>
      <c r="AG7" s="853"/>
      <c r="AH7" s="853"/>
      <c r="AI7" s="853"/>
      <c r="AJ7" s="767"/>
      <c r="AK7" s="818"/>
      <c r="AL7" s="819"/>
      <c r="AM7" s="819"/>
      <c r="AN7" s="819"/>
      <c r="AO7" s="820"/>
      <c r="AP7" s="891"/>
      <c r="AQ7" s="891"/>
      <c r="AR7" s="891"/>
      <c r="AS7" s="891"/>
      <c r="AT7" s="891"/>
      <c r="AU7" s="892" t="s">
        <v>302</v>
      </c>
      <c r="AV7" s="893"/>
      <c r="AW7" s="893"/>
      <c r="AX7" s="893"/>
      <c r="AY7" s="490"/>
      <c r="AZ7" s="818"/>
      <c r="BA7" s="819"/>
      <c r="BB7" s="819"/>
      <c r="BC7" s="819"/>
      <c r="BD7" s="820"/>
      <c r="BE7" s="891"/>
      <c r="BF7" s="891"/>
      <c r="BG7" s="891"/>
      <c r="BH7" s="891"/>
      <c r="BI7" s="891"/>
      <c r="BJ7" s="894" t="s">
        <v>389</v>
      </c>
      <c r="BK7" s="895"/>
      <c r="BL7" s="895"/>
      <c r="BM7" s="895"/>
      <c r="BN7" s="896"/>
      <c r="BO7" s="884"/>
      <c r="BP7" s="884"/>
      <c r="BQ7" s="884"/>
      <c r="BR7" s="884"/>
      <c r="BS7" s="884"/>
      <c r="BT7" s="884"/>
      <c r="BU7" s="884"/>
      <c r="BV7" s="884"/>
      <c r="BW7" s="884"/>
      <c r="BX7" s="885"/>
    </row>
    <row r="8" spans="1:76" ht="10.5" customHeight="1" x14ac:dyDescent="0.15">
      <c r="A8" s="23">
        <v>3</v>
      </c>
      <c r="B8" s="778"/>
      <c r="C8" s="688"/>
      <c r="D8" s="912"/>
      <c r="E8" s="913"/>
      <c r="F8" s="335" t="s">
        <v>301</v>
      </c>
      <c r="G8" s="247"/>
      <c r="H8" s="247"/>
      <c r="I8" s="247"/>
      <c r="J8" s="248"/>
      <c r="K8" s="37" t="s">
        <v>27</v>
      </c>
      <c r="L8" s="249"/>
      <c r="M8" s="250"/>
      <c r="N8" s="250"/>
      <c r="O8" s="250"/>
      <c r="P8" s="289"/>
      <c r="Q8" s="679"/>
      <c r="R8" s="688"/>
      <c r="S8" s="918"/>
      <c r="T8" s="919"/>
      <c r="U8" s="335" t="s">
        <v>289</v>
      </c>
      <c r="V8" s="247"/>
      <c r="W8" s="247"/>
      <c r="X8" s="247"/>
      <c r="Y8" s="248"/>
      <c r="Z8" s="37" t="s">
        <v>156</v>
      </c>
      <c r="AA8" s="249"/>
      <c r="AB8" s="250"/>
      <c r="AC8" s="250"/>
      <c r="AD8" s="250"/>
      <c r="AE8" s="251"/>
      <c r="AF8" s="688" t="s">
        <v>300</v>
      </c>
      <c r="AG8" s="886" t="s">
        <v>299</v>
      </c>
      <c r="AH8" s="866"/>
      <c r="AI8" s="889" t="s">
        <v>298</v>
      </c>
      <c r="AJ8" s="890"/>
      <c r="AK8" s="249"/>
      <c r="AL8" s="250"/>
      <c r="AM8" s="250"/>
      <c r="AN8" s="250"/>
      <c r="AO8" s="289"/>
      <c r="AP8" s="770"/>
      <c r="AQ8" s="607"/>
      <c r="AR8" s="607"/>
      <c r="AS8" s="607"/>
      <c r="AT8" s="799"/>
      <c r="AU8" s="865" t="s">
        <v>208</v>
      </c>
      <c r="AV8" s="866"/>
      <c r="AW8" s="931" t="s">
        <v>297</v>
      </c>
      <c r="AX8" s="931"/>
      <c r="AY8" s="683"/>
      <c r="AZ8" s="603"/>
      <c r="BA8" s="604"/>
      <c r="BB8" s="604"/>
      <c r="BC8" s="604"/>
      <c r="BD8" s="605"/>
      <c r="BE8" s="606"/>
      <c r="BF8" s="607"/>
      <c r="BG8" s="607"/>
      <c r="BH8" s="607"/>
      <c r="BI8" s="771"/>
      <c r="BJ8" s="701"/>
      <c r="BK8" s="702"/>
      <c r="BL8" s="702"/>
      <c r="BM8" s="702"/>
      <c r="BN8" s="703"/>
      <c r="BO8" s="627"/>
      <c r="BP8" s="615"/>
      <c r="BQ8" s="615"/>
      <c r="BR8" s="615"/>
      <c r="BS8" s="628"/>
      <c r="BT8" s="627"/>
      <c r="BU8" s="615"/>
      <c r="BV8" s="615"/>
      <c r="BW8" s="615"/>
      <c r="BX8" s="629"/>
    </row>
    <row r="9" spans="1:76" ht="10.5" customHeight="1" x14ac:dyDescent="0.15">
      <c r="A9" s="23">
        <v>4</v>
      </c>
      <c r="B9" s="778"/>
      <c r="C9" s="688"/>
      <c r="D9" s="912"/>
      <c r="E9" s="913"/>
      <c r="F9" s="335" t="s">
        <v>178</v>
      </c>
      <c r="G9" s="247"/>
      <c r="H9" s="247"/>
      <c r="I9" s="247"/>
      <c r="J9" s="248"/>
      <c r="K9" s="217" t="s">
        <v>27</v>
      </c>
      <c r="L9" s="249"/>
      <c r="M9" s="250"/>
      <c r="N9" s="250"/>
      <c r="O9" s="250"/>
      <c r="P9" s="289"/>
      <c r="Q9" s="679"/>
      <c r="R9" s="688"/>
      <c r="S9" s="918"/>
      <c r="T9" s="919"/>
      <c r="U9" s="335" t="s">
        <v>178</v>
      </c>
      <c r="V9" s="247"/>
      <c r="W9" s="247"/>
      <c r="X9" s="247"/>
      <c r="Y9" s="248"/>
      <c r="Z9" s="37" t="s">
        <v>156</v>
      </c>
      <c r="AA9" s="249"/>
      <c r="AB9" s="250"/>
      <c r="AC9" s="250"/>
      <c r="AD9" s="250"/>
      <c r="AE9" s="251"/>
      <c r="AF9" s="688"/>
      <c r="AG9" s="887"/>
      <c r="AH9" s="888"/>
      <c r="AI9" s="881" t="s">
        <v>286</v>
      </c>
      <c r="AJ9" s="882"/>
      <c r="AK9" s="249"/>
      <c r="AL9" s="250"/>
      <c r="AM9" s="250"/>
      <c r="AN9" s="250"/>
      <c r="AO9" s="289"/>
      <c r="AP9" s="627"/>
      <c r="AQ9" s="615"/>
      <c r="AR9" s="615"/>
      <c r="AS9" s="615"/>
      <c r="AT9" s="628"/>
      <c r="AU9" s="865"/>
      <c r="AV9" s="866"/>
      <c r="AW9" s="883" t="s">
        <v>293</v>
      </c>
      <c r="AX9" s="280"/>
      <c r="AY9" s="280"/>
      <c r="AZ9" s="627"/>
      <c r="BA9" s="615"/>
      <c r="BB9" s="615"/>
      <c r="BC9" s="615"/>
      <c r="BD9" s="628"/>
      <c r="BE9" s="627"/>
      <c r="BF9" s="615"/>
      <c r="BG9" s="615"/>
      <c r="BH9" s="615"/>
      <c r="BI9" s="629"/>
      <c r="BJ9" s="701"/>
      <c r="BK9" s="702"/>
      <c r="BL9" s="702"/>
      <c r="BM9" s="702"/>
      <c r="BN9" s="703"/>
      <c r="BO9" s="627"/>
      <c r="BP9" s="615"/>
      <c r="BQ9" s="615"/>
      <c r="BR9" s="615"/>
      <c r="BS9" s="628"/>
      <c r="BT9" s="627"/>
      <c r="BU9" s="615"/>
      <c r="BV9" s="615"/>
      <c r="BW9" s="615"/>
      <c r="BX9" s="629"/>
    </row>
    <row r="10" spans="1:76" ht="10.5" customHeight="1" x14ac:dyDescent="0.15">
      <c r="A10" s="23">
        <v>5</v>
      </c>
      <c r="B10" s="778"/>
      <c r="C10" s="688"/>
      <c r="D10" s="914"/>
      <c r="E10" s="915"/>
      <c r="F10" s="335" t="s">
        <v>288</v>
      </c>
      <c r="G10" s="247"/>
      <c r="H10" s="247"/>
      <c r="I10" s="247"/>
      <c r="J10" s="248"/>
      <c r="K10" s="217" t="s">
        <v>27</v>
      </c>
      <c r="L10" s="249"/>
      <c r="M10" s="250"/>
      <c r="N10" s="250"/>
      <c r="O10" s="250"/>
      <c r="P10" s="289"/>
      <c r="Q10" s="679"/>
      <c r="R10" s="688"/>
      <c r="S10" s="918"/>
      <c r="T10" s="919"/>
      <c r="U10" s="335" t="s">
        <v>388</v>
      </c>
      <c r="V10" s="247"/>
      <c r="W10" s="247"/>
      <c r="X10" s="247"/>
      <c r="Y10" s="248"/>
      <c r="Z10" s="37" t="s">
        <v>156</v>
      </c>
      <c r="AA10" s="249"/>
      <c r="AB10" s="250"/>
      <c r="AC10" s="250"/>
      <c r="AD10" s="250"/>
      <c r="AE10" s="251"/>
      <c r="AF10" s="688"/>
      <c r="AG10" s="796" t="s">
        <v>292</v>
      </c>
      <c r="AH10" s="796"/>
      <c r="AI10" s="796"/>
      <c r="AJ10" s="723"/>
      <c r="AK10" s="611"/>
      <c r="AL10" s="612"/>
      <c r="AM10" s="612"/>
      <c r="AN10" s="612"/>
      <c r="AO10" s="613"/>
      <c r="AP10" s="614"/>
      <c r="AQ10" s="615"/>
      <c r="AR10" s="615"/>
      <c r="AS10" s="615"/>
      <c r="AT10" s="628"/>
      <c r="AU10" s="384"/>
      <c r="AV10" s="765"/>
      <c r="AW10" s="330" t="s">
        <v>291</v>
      </c>
      <c r="AX10" s="331"/>
      <c r="AY10" s="331"/>
      <c r="AZ10" s="670"/>
      <c r="BA10" s="671"/>
      <c r="BB10" s="671"/>
      <c r="BC10" s="671"/>
      <c r="BD10" s="672"/>
      <c r="BE10" s="617"/>
      <c r="BF10" s="618"/>
      <c r="BG10" s="618"/>
      <c r="BH10" s="618"/>
      <c r="BI10" s="811"/>
      <c r="BJ10" s="701"/>
      <c r="BK10" s="702"/>
      <c r="BL10" s="702"/>
      <c r="BM10" s="702"/>
      <c r="BN10" s="703"/>
      <c r="BO10" s="627"/>
      <c r="BP10" s="615"/>
      <c r="BQ10" s="615"/>
      <c r="BR10" s="615"/>
      <c r="BS10" s="628"/>
      <c r="BT10" s="627"/>
      <c r="BU10" s="615"/>
      <c r="BV10" s="615"/>
      <c r="BW10" s="615"/>
      <c r="BX10" s="629"/>
    </row>
    <row r="11" spans="1:76" ht="10.5" customHeight="1" x14ac:dyDescent="0.15">
      <c r="A11" s="23">
        <v>6</v>
      </c>
      <c r="B11" s="778"/>
      <c r="C11" s="688"/>
      <c r="D11" s="762" t="s">
        <v>202</v>
      </c>
      <c r="E11" s="763"/>
      <c r="F11" s="335" t="s">
        <v>290</v>
      </c>
      <c r="G11" s="247"/>
      <c r="H11" s="247"/>
      <c r="I11" s="247"/>
      <c r="J11" s="248"/>
      <c r="K11" s="37" t="s">
        <v>160</v>
      </c>
      <c r="L11" s="249"/>
      <c r="M11" s="250"/>
      <c r="N11" s="250"/>
      <c r="O11" s="250"/>
      <c r="P11" s="289"/>
      <c r="Q11" s="679"/>
      <c r="R11" s="688"/>
      <c r="S11" s="918"/>
      <c r="T11" s="919"/>
      <c r="U11" s="335" t="s">
        <v>178</v>
      </c>
      <c r="V11" s="247"/>
      <c r="W11" s="247"/>
      <c r="X11" s="247"/>
      <c r="Y11" s="248"/>
      <c r="Z11" s="37" t="s">
        <v>156</v>
      </c>
      <c r="AA11" s="249"/>
      <c r="AB11" s="250"/>
      <c r="AC11" s="250"/>
      <c r="AD11" s="250"/>
      <c r="AE11" s="251"/>
      <c r="AF11" s="719"/>
      <c r="AG11" s="599" t="s">
        <v>288</v>
      </c>
      <c r="AH11" s="599"/>
      <c r="AI11" s="599"/>
      <c r="AJ11" s="600"/>
      <c r="AK11" s="670"/>
      <c r="AL11" s="671"/>
      <c r="AM11" s="671"/>
      <c r="AN11" s="671"/>
      <c r="AO11" s="672"/>
      <c r="AP11" s="617"/>
      <c r="AQ11" s="618"/>
      <c r="AR11" s="618"/>
      <c r="AS11" s="618"/>
      <c r="AT11" s="826"/>
      <c r="AU11" s="873" t="s">
        <v>287</v>
      </c>
      <c r="AV11" s="874"/>
      <c r="AW11" s="874"/>
      <c r="AX11" s="874"/>
      <c r="AY11" s="874"/>
      <c r="AZ11" s="839"/>
      <c r="BA11" s="752"/>
      <c r="BB11" s="752"/>
      <c r="BC11" s="752"/>
      <c r="BD11" s="854"/>
      <c r="BE11" s="839"/>
      <c r="BF11" s="752"/>
      <c r="BG11" s="752"/>
      <c r="BH11" s="752"/>
      <c r="BI11" s="805"/>
      <c r="BJ11" s="701"/>
      <c r="BK11" s="702"/>
      <c r="BL11" s="702"/>
      <c r="BM11" s="702"/>
      <c r="BN11" s="703"/>
      <c r="BO11" s="627"/>
      <c r="BP11" s="615"/>
      <c r="BQ11" s="615"/>
      <c r="BR11" s="615"/>
      <c r="BS11" s="628"/>
      <c r="BT11" s="627"/>
      <c r="BU11" s="615"/>
      <c r="BV11" s="615"/>
      <c r="BW11" s="615"/>
      <c r="BX11" s="629"/>
    </row>
    <row r="12" spans="1:76" ht="10.5" customHeight="1" x14ac:dyDescent="0.15">
      <c r="A12" s="23">
        <v>7</v>
      </c>
      <c r="B12" s="779"/>
      <c r="C12" s="719"/>
      <c r="D12" s="764"/>
      <c r="E12" s="765"/>
      <c r="F12" s="695" t="s">
        <v>286</v>
      </c>
      <c r="G12" s="369"/>
      <c r="H12" s="369"/>
      <c r="I12" s="369"/>
      <c r="J12" s="370"/>
      <c r="K12" s="218" t="s">
        <v>27</v>
      </c>
      <c r="L12" s="319"/>
      <c r="M12" s="320"/>
      <c r="N12" s="320"/>
      <c r="O12" s="320"/>
      <c r="P12" s="333"/>
      <c r="Q12" s="679"/>
      <c r="R12" s="688"/>
      <c r="S12" s="918"/>
      <c r="T12" s="919"/>
      <c r="U12" s="871" t="s">
        <v>233</v>
      </c>
      <c r="V12" s="247"/>
      <c r="W12" s="247"/>
      <c r="X12" s="247"/>
      <c r="Y12" s="248"/>
      <c r="Z12" s="217" t="s">
        <v>156</v>
      </c>
      <c r="AA12" s="249"/>
      <c r="AB12" s="250"/>
      <c r="AC12" s="250"/>
      <c r="AD12" s="250"/>
      <c r="AE12" s="251"/>
      <c r="AF12" s="860" t="s">
        <v>151</v>
      </c>
      <c r="AG12" s="676" t="s">
        <v>262</v>
      </c>
      <c r="AH12" s="872"/>
      <c r="AI12" s="872"/>
      <c r="AJ12" s="872"/>
      <c r="AK12" s="276"/>
      <c r="AL12" s="277"/>
      <c r="AM12" s="277"/>
      <c r="AN12" s="277"/>
      <c r="AO12" s="324"/>
      <c r="AP12" s="770"/>
      <c r="AQ12" s="607"/>
      <c r="AR12" s="607"/>
      <c r="AS12" s="607"/>
      <c r="AT12" s="799"/>
      <c r="AU12" s="875" t="s">
        <v>387</v>
      </c>
      <c r="AV12" s="876"/>
      <c r="AW12" s="867" t="s">
        <v>386</v>
      </c>
      <c r="AX12" s="868"/>
      <c r="AY12" s="868"/>
      <c r="AZ12" s="770"/>
      <c r="BA12" s="607"/>
      <c r="BB12" s="607"/>
      <c r="BC12" s="607"/>
      <c r="BD12" s="799"/>
      <c r="BE12" s="770"/>
      <c r="BF12" s="607"/>
      <c r="BG12" s="607"/>
      <c r="BH12" s="607"/>
      <c r="BI12" s="771"/>
      <c r="BJ12" s="701"/>
      <c r="BK12" s="702"/>
      <c r="BL12" s="702"/>
      <c r="BM12" s="702"/>
      <c r="BN12" s="703"/>
      <c r="BO12" s="627"/>
      <c r="BP12" s="615"/>
      <c r="BQ12" s="615"/>
      <c r="BR12" s="615"/>
      <c r="BS12" s="628"/>
      <c r="BT12" s="627"/>
      <c r="BU12" s="615"/>
      <c r="BV12" s="615"/>
      <c r="BW12" s="615"/>
      <c r="BX12" s="629"/>
    </row>
    <row r="13" spans="1:76" ht="10.5" customHeight="1" x14ac:dyDescent="0.15">
      <c r="A13" s="23">
        <v>8</v>
      </c>
      <c r="B13" s="777" t="s">
        <v>284</v>
      </c>
      <c r="C13" s="687"/>
      <c r="D13" s="780" t="s">
        <v>283</v>
      </c>
      <c r="E13" s="687"/>
      <c r="F13" s="784" t="s">
        <v>282</v>
      </c>
      <c r="G13" s="338"/>
      <c r="H13" s="338"/>
      <c r="I13" s="338"/>
      <c r="J13" s="339"/>
      <c r="K13" s="41" t="s">
        <v>181</v>
      </c>
      <c r="L13" s="276"/>
      <c r="M13" s="277"/>
      <c r="N13" s="277"/>
      <c r="O13" s="277"/>
      <c r="P13" s="324"/>
      <c r="Q13" s="679"/>
      <c r="R13" s="688"/>
      <c r="S13" s="920"/>
      <c r="T13" s="921"/>
      <c r="U13" s="335" t="s">
        <v>178</v>
      </c>
      <c r="V13" s="247"/>
      <c r="W13" s="247"/>
      <c r="X13" s="247"/>
      <c r="Y13" s="248"/>
      <c r="Z13" s="217" t="s">
        <v>156</v>
      </c>
      <c r="AA13" s="249"/>
      <c r="AB13" s="250"/>
      <c r="AC13" s="250"/>
      <c r="AD13" s="250"/>
      <c r="AE13" s="251"/>
      <c r="AF13" s="861"/>
      <c r="AG13" s="723" t="s">
        <v>257</v>
      </c>
      <c r="AH13" s="724"/>
      <c r="AI13" s="724"/>
      <c r="AJ13" s="724"/>
      <c r="AK13" s="249"/>
      <c r="AL13" s="250"/>
      <c r="AM13" s="250"/>
      <c r="AN13" s="250"/>
      <c r="AO13" s="289"/>
      <c r="AP13" s="627"/>
      <c r="AQ13" s="615"/>
      <c r="AR13" s="615"/>
      <c r="AS13" s="615"/>
      <c r="AT13" s="628"/>
      <c r="AU13" s="877"/>
      <c r="AV13" s="878"/>
      <c r="AW13" s="142"/>
      <c r="AX13" s="869" t="s">
        <v>285</v>
      </c>
      <c r="AY13" s="870"/>
      <c r="AZ13" s="627"/>
      <c r="BA13" s="615"/>
      <c r="BB13" s="615"/>
      <c r="BC13" s="615"/>
      <c r="BD13" s="628"/>
      <c r="BE13" s="627"/>
      <c r="BF13" s="615"/>
      <c r="BG13" s="615"/>
      <c r="BH13" s="615"/>
      <c r="BI13" s="629"/>
      <c r="BJ13" s="701"/>
      <c r="BK13" s="702"/>
      <c r="BL13" s="702"/>
      <c r="BM13" s="702"/>
      <c r="BN13" s="703"/>
      <c r="BO13" s="627"/>
      <c r="BP13" s="615"/>
      <c r="BQ13" s="615"/>
      <c r="BR13" s="615"/>
      <c r="BS13" s="628"/>
      <c r="BT13" s="627"/>
      <c r="BU13" s="615"/>
      <c r="BV13" s="615"/>
      <c r="BW13" s="615"/>
      <c r="BX13" s="629"/>
    </row>
    <row r="14" spans="1:76" ht="10.5" customHeight="1" x14ac:dyDescent="0.15">
      <c r="A14" s="23">
        <v>9</v>
      </c>
      <c r="B14" s="778"/>
      <c r="C14" s="688"/>
      <c r="D14" s="781"/>
      <c r="E14" s="688"/>
      <c r="F14" s="335" t="s">
        <v>178</v>
      </c>
      <c r="G14" s="247"/>
      <c r="H14" s="247"/>
      <c r="I14" s="247"/>
      <c r="J14" s="248"/>
      <c r="K14" s="37" t="s">
        <v>156</v>
      </c>
      <c r="L14" s="249"/>
      <c r="M14" s="250"/>
      <c r="N14" s="250"/>
      <c r="O14" s="250"/>
      <c r="P14" s="289"/>
      <c r="Q14" s="679"/>
      <c r="R14" s="688"/>
      <c r="S14" s="723" t="s">
        <v>279</v>
      </c>
      <c r="T14" s="724"/>
      <c r="U14" s="724"/>
      <c r="V14" s="724"/>
      <c r="W14" s="724"/>
      <c r="X14" s="724"/>
      <c r="Y14" s="855"/>
      <c r="Z14" s="217" t="s">
        <v>156</v>
      </c>
      <c r="AA14" s="249"/>
      <c r="AB14" s="250"/>
      <c r="AC14" s="250"/>
      <c r="AD14" s="250"/>
      <c r="AE14" s="251"/>
      <c r="AF14" s="861"/>
      <c r="AG14" s="683" t="s">
        <v>252</v>
      </c>
      <c r="AH14" s="684"/>
      <c r="AI14" s="684"/>
      <c r="AJ14" s="684"/>
      <c r="AK14" s="249"/>
      <c r="AL14" s="250"/>
      <c r="AM14" s="250"/>
      <c r="AN14" s="250"/>
      <c r="AO14" s="289"/>
      <c r="AP14" s="627"/>
      <c r="AQ14" s="615"/>
      <c r="AR14" s="615"/>
      <c r="AS14" s="615"/>
      <c r="AT14" s="628"/>
      <c r="AU14" s="877"/>
      <c r="AV14" s="878"/>
      <c r="AW14" s="141"/>
      <c r="AX14" s="723" t="s">
        <v>180</v>
      </c>
      <c r="AY14" s="724"/>
      <c r="AZ14" s="627"/>
      <c r="BA14" s="615"/>
      <c r="BB14" s="615"/>
      <c r="BC14" s="615"/>
      <c r="BD14" s="628"/>
      <c r="BE14" s="627"/>
      <c r="BF14" s="615"/>
      <c r="BG14" s="615"/>
      <c r="BH14" s="615"/>
      <c r="BI14" s="629"/>
      <c r="BJ14" s="701"/>
      <c r="BK14" s="702"/>
      <c r="BL14" s="702"/>
      <c r="BM14" s="702"/>
      <c r="BN14" s="703"/>
      <c r="BO14" s="627"/>
      <c r="BP14" s="615"/>
      <c r="BQ14" s="615"/>
      <c r="BR14" s="615"/>
      <c r="BS14" s="628"/>
      <c r="BT14" s="627"/>
      <c r="BU14" s="615"/>
      <c r="BV14" s="615"/>
      <c r="BW14" s="615"/>
      <c r="BX14" s="629"/>
    </row>
    <row r="15" spans="1:76" ht="10.5" customHeight="1" x14ac:dyDescent="0.15">
      <c r="A15" s="23">
        <v>10</v>
      </c>
      <c r="B15" s="778"/>
      <c r="C15" s="688"/>
      <c r="D15" s="781"/>
      <c r="E15" s="688"/>
      <c r="F15" s="335" t="s">
        <v>281</v>
      </c>
      <c r="G15" s="247"/>
      <c r="H15" s="247"/>
      <c r="I15" s="247"/>
      <c r="J15" s="248"/>
      <c r="K15" s="37" t="s">
        <v>156</v>
      </c>
      <c r="L15" s="249"/>
      <c r="M15" s="250"/>
      <c r="N15" s="250"/>
      <c r="O15" s="250"/>
      <c r="P15" s="289"/>
      <c r="Q15" s="679"/>
      <c r="R15" s="688"/>
      <c r="S15" s="723" t="s">
        <v>276</v>
      </c>
      <c r="T15" s="724"/>
      <c r="U15" s="724"/>
      <c r="V15" s="724"/>
      <c r="W15" s="724"/>
      <c r="X15" s="724"/>
      <c r="Y15" s="855"/>
      <c r="Z15" s="37" t="s">
        <v>156</v>
      </c>
      <c r="AA15" s="249"/>
      <c r="AB15" s="250"/>
      <c r="AC15" s="250"/>
      <c r="AD15" s="250"/>
      <c r="AE15" s="251"/>
      <c r="AF15" s="861"/>
      <c r="AG15" s="723" t="s">
        <v>249</v>
      </c>
      <c r="AH15" s="724"/>
      <c r="AI15" s="724"/>
      <c r="AJ15" s="724"/>
      <c r="AK15" s="249"/>
      <c r="AL15" s="250"/>
      <c r="AM15" s="250"/>
      <c r="AN15" s="250"/>
      <c r="AO15" s="289"/>
      <c r="AP15" s="627"/>
      <c r="AQ15" s="615"/>
      <c r="AR15" s="615"/>
      <c r="AS15" s="615"/>
      <c r="AT15" s="628"/>
      <c r="AU15" s="877"/>
      <c r="AV15" s="878"/>
      <c r="AW15" s="723" t="s">
        <v>187</v>
      </c>
      <c r="AX15" s="724"/>
      <c r="AY15" s="724"/>
      <c r="AZ15" s="627"/>
      <c r="BA15" s="615"/>
      <c r="BB15" s="615"/>
      <c r="BC15" s="615"/>
      <c r="BD15" s="628"/>
      <c r="BE15" s="627"/>
      <c r="BF15" s="615"/>
      <c r="BG15" s="615"/>
      <c r="BH15" s="615"/>
      <c r="BI15" s="629"/>
      <c r="BJ15" s="701"/>
      <c r="BK15" s="702"/>
      <c r="BL15" s="702"/>
      <c r="BM15" s="702"/>
      <c r="BN15" s="703"/>
      <c r="BO15" s="627"/>
      <c r="BP15" s="615"/>
      <c r="BQ15" s="615"/>
      <c r="BR15" s="615"/>
      <c r="BS15" s="628"/>
      <c r="BT15" s="627"/>
      <c r="BU15" s="615"/>
      <c r="BV15" s="615"/>
      <c r="BW15" s="615"/>
      <c r="BX15" s="629"/>
    </row>
    <row r="16" spans="1:76" ht="10.5" customHeight="1" x14ac:dyDescent="0.15">
      <c r="A16" s="23">
        <v>11</v>
      </c>
      <c r="B16" s="778"/>
      <c r="C16" s="688"/>
      <c r="D16" s="781"/>
      <c r="E16" s="688"/>
      <c r="F16" s="335" t="s">
        <v>178</v>
      </c>
      <c r="G16" s="247"/>
      <c r="H16" s="247"/>
      <c r="I16" s="247"/>
      <c r="J16" s="248"/>
      <c r="K16" s="37" t="s">
        <v>156</v>
      </c>
      <c r="L16" s="249"/>
      <c r="M16" s="250"/>
      <c r="N16" s="250"/>
      <c r="O16" s="250"/>
      <c r="P16" s="289"/>
      <c r="Q16" s="679"/>
      <c r="R16" s="688"/>
      <c r="S16" s="787" t="s">
        <v>202</v>
      </c>
      <c r="T16" s="788"/>
      <c r="U16" s="723" t="s">
        <v>246</v>
      </c>
      <c r="V16" s="724"/>
      <c r="W16" s="724"/>
      <c r="X16" s="724"/>
      <c r="Y16" s="855"/>
      <c r="Z16" s="45" t="s">
        <v>273</v>
      </c>
      <c r="AA16" s="249"/>
      <c r="AB16" s="250"/>
      <c r="AC16" s="250"/>
      <c r="AD16" s="250"/>
      <c r="AE16" s="251"/>
      <c r="AF16" s="861"/>
      <c r="AG16" s="723" t="s">
        <v>385</v>
      </c>
      <c r="AH16" s="724"/>
      <c r="AI16" s="724"/>
      <c r="AJ16" s="724"/>
      <c r="AK16" s="249"/>
      <c r="AL16" s="250"/>
      <c r="AM16" s="250"/>
      <c r="AN16" s="250"/>
      <c r="AO16" s="289"/>
      <c r="AP16" s="627"/>
      <c r="AQ16" s="615"/>
      <c r="AR16" s="615"/>
      <c r="AS16" s="615"/>
      <c r="AT16" s="628"/>
      <c r="AU16" s="879"/>
      <c r="AV16" s="880"/>
      <c r="AW16" s="330" t="s">
        <v>280</v>
      </c>
      <c r="AX16" s="331"/>
      <c r="AY16" s="331"/>
      <c r="AZ16" s="670"/>
      <c r="BA16" s="671"/>
      <c r="BB16" s="671"/>
      <c r="BC16" s="671"/>
      <c r="BD16" s="672"/>
      <c r="BE16" s="617"/>
      <c r="BF16" s="618"/>
      <c r="BG16" s="618"/>
      <c r="BH16" s="618"/>
      <c r="BI16" s="811"/>
      <c r="BJ16" s="701"/>
      <c r="BK16" s="702"/>
      <c r="BL16" s="702"/>
      <c r="BM16" s="702"/>
      <c r="BN16" s="703"/>
      <c r="BO16" s="627"/>
      <c r="BP16" s="615"/>
      <c r="BQ16" s="615"/>
      <c r="BR16" s="615"/>
      <c r="BS16" s="628"/>
      <c r="BT16" s="627"/>
      <c r="BU16" s="615"/>
      <c r="BV16" s="615"/>
      <c r="BW16" s="615"/>
      <c r="BX16" s="629"/>
    </row>
    <row r="17" spans="1:76" ht="10.5" customHeight="1" x14ac:dyDescent="0.15">
      <c r="A17" s="23">
        <v>12</v>
      </c>
      <c r="B17" s="778"/>
      <c r="C17" s="688"/>
      <c r="D17" s="781"/>
      <c r="E17" s="688"/>
      <c r="F17" s="335" t="s">
        <v>277</v>
      </c>
      <c r="G17" s="247"/>
      <c r="H17" s="247"/>
      <c r="I17" s="247"/>
      <c r="J17" s="248"/>
      <c r="K17" s="37" t="s">
        <v>156</v>
      </c>
      <c r="L17" s="249"/>
      <c r="M17" s="250"/>
      <c r="N17" s="250"/>
      <c r="O17" s="250"/>
      <c r="P17" s="289"/>
      <c r="Q17" s="679"/>
      <c r="R17" s="688"/>
      <c r="S17" s="787"/>
      <c r="T17" s="788"/>
      <c r="U17" s="723" t="s">
        <v>242</v>
      </c>
      <c r="V17" s="724"/>
      <c r="W17" s="724"/>
      <c r="X17" s="724"/>
      <c r="Y17" s="855"/>
      <c r="Z17" s="37" t="s">
        <v>156</v>
      </c>
      <c r="AA17" s="249"/>
      <c r="AB17" s="250"/>
      <c r="AC17" s="250"/>
      <c r="AD17" s="250"/>
      <c r="AE17" s="251"/>
      <c r="AF17" s="862"/>
      <c r="AG17" s="600" t="s">
        <v>275</v>
      </c>
      <c r="AH17" s="696"/>
      <c r="AI17" s="696"/>
      <c r="AJ17" s="696"/>
      <c r="AK17" s="319"/>
      <c r="AL17" s="320"/>
      <c r="AM17" s="320"/>
      <c r="AN17" s="320"/>
      <c r="AO17" s="333"/>
      <c r="AP17" s="825"/>
      <c r="AQ17" s="618"/>
      <c r="AR17" s="618"/>
      <c r="AS17" s="618"/>
      <c r="AT17" s="826"/>
      <c r="AU17" s="863" t="s">
        <v>177</v>
      </c>
      <c r="AV17" s="864"/>
      <c r="AW17" s="683" t="s">
        <v>278</v>
      </c>
      <c r="AX17" s="684"/>
      <c r="AY17" s="684"/>
      <c r="AZ17" s="770"/>
      <c r="BA17" s="607"/>
      <c r="BB17" s="607"/>
      <c r="BC17" s="607"/>
      <c r="BD17" s="799"/>
      <c r="BE17" s="770"/>
      <c r="BF17" s="607"/>
      <c r="BG17" s="607"/>
      <c r="BH17" s="607"/>
      <c r="BI17" s="771"/>
      <c r="BJ17" s="701"/>
      <c r="BK17" s="702"/>
      <c r="BL17" s="702"/>
      <c r="BM17" s="702"/>
      <c r="BN17" s="703"/>
      <c r="BO17" s="627"/>
      <c r="BP17" s="615"/>
      <c r="BQ17" s="615"/>
      <c r="BR17" s="615"/>
      <c r="BS17" s="628"/>
      <c r="BT17" s="627"/>
      <c r="BU17" s="615"/>
      <c r="BV17" s="615"/>
      <c r="BW17" s="615"/>
      <c r="BX17" s="629"/>
    </row>
    <row r="18" spans="1:76" ht="10.5" customHeight="1" x14ac:dyDescent="0.15">
      <c r="A18" s="23">
        <v>13</v>
      </c>
      <c r="B18" s="778"/>
      <c r="C18" s="688"/>
      <c r="D18" s="781"/>
      <c r="E18" s="688"/>
      <c r="F18" s="335" t="s">
        <v>178</v>
      </c>
      <c r="G18" s="247"/>
      <c r="H18" s="247"/>
      <c r="I18" s="247"/>
      <c r="J18" s="248"/>
      <c r="K18" s="37" t="s">
        <v>156</v>
      </c>
      <c r="L18" s="249"/>
      <c r="M18" s="250"/>
      <c r="N18" s="250"/>
      <c r="O18" s="250"/>
      <c r="P18" s="289"/>
      <c r="Q18" s="681"/>
      <c r="R18" s="719"/>
      <c r="S18" s="823"/>
      <c r="T18" s="824"/>
      <c r="U18" s="600" t="s">
        <v>268</v>
      </c>
      <c r="V18" s="696"/>
      <c r="W18" s="696"/>
      <c r="X18" s="696"/>
      <c r="Y18" s="697"/>
      <c r="Z18" s="43" t="s">
        <v>156</v>
      </c>
      <c r="AA18" s="319"/>
      <c r="AB18" s="320"/>
      <c r="AC18" s="320"/>
      <c r="AD18" s="320"/>
      <c r="AE18" s="334"/>
      <c r="AF18" s="860" t="s">
        <v>272</v>
      </c>
      <c r="AG18" s="691" t="s">
        <v>226</v>
      </c>
      <c r="AH18" s="377"/>
      <c r="AI18" s="377"/>
      <c r="AJ18" s="377"/>
      <c r="AK18" s="276"/>
      <c r="AL18" s="277"/>
      <c r="AM18" s="277"/>
      <c r="AN18" s="277"/>
      <c r="AO18" s="324"/>
      <c r="AP18" s="770"/>
      <c r="AQ18" s="607"/>
      <c r="AR18" s="607"/>
      <c r="AS18" s="607"/>
      <c r="AT18" s="799"/>
      <c r="AU18" s="865"/>
      <c r="AV18" s="866"/>
      <c r="AW18" s="723" t="s">
        <v>274</v>
      </c>
      <c r="AX18" s="724"/>
      <c r="AY18" s="724"/>
      <c r="AZ18" s="627"/>
      <c r="BA18" s="615"/>
      <c r="BB18" s="615"/>
      <c r="BC18" s="615"/>
      <c r="BD18" s="628"/>
      <c r="BE18" s="627"/>
      <c r="BF18" s="615"/>
      <c r="BG18" s="615"/>
      <c r="BH18" s="615"/>
      <c r="BI18" s="629"/>
      <c r="BJ18" s="701"/>
      <c r="BK18" s="702"/>
      <c r="BL18" s="702"/>
      <c r="BM18" s="702"/>
      <c r="BN18" s="703"/>
      <c r="BO18" s="627"/>
      <c r="BP18" s="615"/>
      <c r="BQ18" s="615"/>
      <c r="BR18" s="615"/>
      <c r="BS18" s="628"/>
      <c r="BT18" s="627"/>
      <c r="BU18" s="615"/>
      <c r="BV18" s="615"/>
      <c r="BW18" s="615"/>
      <c r="BX18" s="629"/>
    </row>
    <row r="19" spans="1:76" ht="10.5" customHeight="1" x14ac:dyDescent="0.15">
      <c r="A19" s="23">
        <v>14</v>
      </c>
      <c r="B19" s="778"/>
      <c r="C19" s="688"/>
      <c r="D19" s="781"/>
      <c r="E19" s="688"/>
      <c r="F19" s="335" t="s">
        <v>270</v>
      </c>
      <c r="G19" s="247"/>
      <c r="H19" s="247"/>
      <c r="I19" s="247"/>
      <c r="J19" s="248"/>
      <c r="K19" s="37" t="s">
        <v>156</v>
      </c>
      <c r="L19" s="249"/>
      <c r="M19" s="250"/>
      <c r="N19" s="250"/>
      <c r="O19" s="250"/>
      <c r="P19" s="289"/>
      <c r="Q19" s="679" t="s">
        <v>230</v>
      </c>
      <c r="R19" s="688"/>
      <c r="S19" s="663" t="s">
        <v>266</v>
      </c>
      <c r="T19" s="685"/>
      <c r="U19" s="683" t="s">
        <v>229</v>
      </c>
      <c r="V19" s="684"/>
      <c r="W19" s="684"/>
      <c r="X19" s="684"/>
      <c r="Y19" s="685"/>
      <c r="Z19" s="222" t="s">
        <v>231</v>
      </c>
      <c r="AA19" s="276"/>
      <c r="AB19" s="277"/>
      <c r="AC19" s="277"/>
      <c r="AD19" s="277"/>
      <c r="AE19" s="336"/>
      <c r="AF19" s="861"/>
      <c r="AG19" s="699" t="s">
        <v>384</v>
      </c>
      <c r="AH19" s="700"/>
      <c r="AI19" s="700"/>
      <c r="AJ19" s="700"/>
      <c r="AK19" s="611"/>
      <c r="AL19" s="612"/>
      <c r="AM19" s="612"/>
      <c r="AN19" s="612"/>
      <c r="AO19" s="613"/>
      <c r="AP19" s="614"/>
      <c r="AQ19" s="615"/>
      <c r="AR19" s="615"/>
      <c r="AS19" s="615"/>
      <c r="AT19" s="628"/>
      <c r="AU19" s="384"/>
      <c r="AV19" s="765"/>
      <c r="AW19" s="858" t="s">
        <v>271</v>
      </c>
      <c r="AX19" s="859"/>
      <c r="AY19" s="859"/>
      <c r="AZ19" s="670"/>
      <c r="BA19" s="671"/>
      <c r="BB19" s="671"/>
      <c r="BC19" s="671"/>
      <c r="BD19" s="672"/>
      <c r="BE19" s="617"/>
      <c r="BF19" s="618"/>
      <c r="BG19" s="618"/>
      <c r="BH19" s="618"/>
      <c r="BI19" s="811"/>
      <c r="BJ19" s="624"/>
      <c r="BK19" s="625"/>
      <c r="BL19" s="625"/>
      <c r="BM19" s="625"/>
      <c r="BN19" s="626"/>
      <c r="BO19" s="627"/>
      <c r="BP19" s="615"/>
      <c r="BQ19" s="615"/>
      <c r="BR19" s="615"/>
      <c r="BS19" s="628"/>
      <c r="BT19" s="627"/>
      <c r="BU19" s="615"/>
      <c r="BV19" s="615"/>
      <c r="BW19" s="615"/>
      <c r="BX19" s="629"/>
    </row>
    <row r="20" spans="1:76" ht="10.5" customHeight="1" x14ac:dyDescent="0.15">
      <c r="A20" s="23">
        <v>15</v>
      </c>
      <c r="B20" s="778"/>
      <c r="C20" s="688"/>
      <c r="D20" s="781"/>
      <c r="E20" s="688"/>
      <c r="F20" s="335" t="s">
        <v>178</v>
      </c>
      <c r="G20" s="247"/>
      <c r="H20" s="247"/>
      <c r="I20" s="247"/>
      <c r="J20" s="248"/>
      <c r="K20" s="37" t="s">
        <v>156</v>
      </c>
      <c r="L20" s="249"/>
      <c r="M20" s="250"/>
      <c r="N20" s="250"/>
      <c r="O20" s="250"/>
      <c r="P20" s="289"/>
      <c r="Q20" s="679"/>
      <c r="R20" s="688"/>
      <c r="S20" s="723"/>
      <c r="T20" s="855"/>
      <c r="U20" s="723" t="s">
        <v>227</v>
      </c>
      <c r="V20" s="724"/>
      <c r="W20" s="724"/>
      <c r="X20" s="724"/>
      <c r="Y20" s="855"/>
      <c r="Z20" s="217" t="s">
        <v>238</v>
      </c>
      <c r="AA20" s="249"/>
      <c r="AB20" s="250"/>
      <c r="AC20" s="250"/>
      <c r="AD20" s="250"/>
      <c r="AE20" s="251"/>
      <c r="AF20" s="862"/>
      <c r="AG20" s="600" t="s">
        <v>224</v>
      </c>
      <c r="AH20" s="696"/>
      <c r="AI20" s="696"/>
      <c r="AJ20" s="696"/>
      <c r="AK20" s="670"/>
      <c r="AL20" s="671"/>
      <c r="AM20" s="671"/>
      <c r="AN20" s="671"/>
      <c r="AO20" s="672"/>
      <c r="AP20" s="617"/>
      <c r="AQ20" s="618"/>
      <c r="AR20" s="618"/>
      <c r="AS20" s="618"/>
      <c r="AT20" s="826"/>
      <c r="AU20" s="856" t="s">
        <v>269</v>
      </c>
      <c r="AV20" s="857"/>
      <c r="AW20" s="857"/>
      <c r="AX20" s="857"/>
      <c r="AY20" s="857"/>
      <c r="AZ20" s="818"/>
      <c r="BA20" s="819"/>
      <c r="BB20" s="819"/>
      <c r="BC20" s="819"/>
      <c r="BD20" s="820"/>
      <c r="BE20" s="751"/>
      <c r="BF20" s="752"/>
      <c r="BG20" s="752"/>
      <c r="BH20" s="752"/>
      <c r="BI20" s="805"/>
      <c r="BJ20" s="701"/>
      <c r="BK20" s="702"/>
      <c r="BL20" s="702"/>
      <c r="BM20" s="702"/>
      <c r="BN20" s="703"/>
      <c r="BO20" s="627"/>
      <c r="BP20" s="615"/>
      <c r="BQ20" s="615"/>
      <c r="BR20" s="615"/>
      <c r="BS20" s="628"/>
      <c r="BT20" s="627"/>
      <c r="BU20" s="615"/>
      <c r="BV20" s="615"/>
      <c r="BW20" s="615"/>
      <c r="BX20" s="629"/>
    </row>
    <row r="21" spans="1:76" ht="10.5" customHeight="1" x14ac:dyDescent="0.15">
      <c r="A21" s="23">
        <v>16</v>
      </c>
      <c r="B21" s="778"/>
      <c r="C21" s="688"/>
      <c r="D21" s="781"/>
      <c r="E21" s="688"/>
      <c r="F21" s="335" t="s">
        <v>383</v>
      </c>
      <c r="G21" s="247"/>
      <c r="H21" s="247"/>
      <c r="I21" s="247"/>
      <c r="J21" s="248"/>
      <c r="K21" s="37" t="s">
        <v>156</v>
      </c>
      <c r="L21" s="249"/>
      <c r="M21" s="250"/>
      <c r="N21" s="250"/>
      <c r="O21" s="250"/>
      <c r="P21" s="289"/>
      <c r="Q21" s="681"/>
      <c r="R21" s="719"/>
      <c r="S21" s="600"/>
      <c r="T21" s="697"/>
      <c r="U21" s="600" t="s">
        <v>225</v>
      </c>
      <c r="V21" s="696"/>
      <c r="W21" s="696"/>
      <c r="X21" s="696"/>
      <c r="Y21" s="697"/>
      <c r="Z21" s="43" t="s">
        <v>231</v>
      </c>
      <c r="AA21" s="319"/>
      <c r="AB21" s="320"/>
      <c r="AC21" s="320"/>
      <c r="AD21" s="320"/>
      <c r="AE21" s="334"/>
      <c r="AF21" s="687" t="s">
        <v>265</v>
      </c>
      <c r="AG21" s="683" t="s">
        <v>201</v>
      </c>
      <c r="AH21" s="684"/>
      <c r="AI21" s="684"/>
      <c r="AJ21" s="684"/>
      <c r="AK21" s="276"/>
      <c r="AL21" s="277"/>
      <c r="AM21" s="277"/>
      <c r="AN21" s="277"/>
      <c r="AO21" s="324"/>
      <c r="AP21" s="770"/>
      <c r="AQ21" s="607"/>
      <c r="AR21" s="607"/>
      <c r="AS21" s="607"/>
      <c r="AT21" s="799"/>
      <c r="AU21" s="852" t="s">
        <v>267</v>
      </c>
      <c r="AV21" s="853"/>
      <c r="AW21" s="853"/>
      <c r="AX21" s="853"/>
      <c r="AY21" s="767"/>
      <c r="AZ21" s="839"/>
      <c r="BA21" s="752"/>
      <c r="BB21" s="752"/>
      <c r="BC21" s="752"/>
      <c r="BD21" s="854"/>
      <c r="BE21" s="839"/>
      <c r="BF21" s="752"/>
      <c r="BG21" s="752"/>
      <c r="BH21" s="752"/>
      <c r="BI21" s="805"/>
      <c r="BJ21" s="624"/>
      <c r="BK21" s="625"/>
      <c r="BL21" s="625"/>
      <c r="BM21" s="625"/>
      <c r="BN21" s="626"/>
      <c r="BO21" s="627"/>
      <c r="BP21" s="615"/>
      <c r="BQ21" s="615"/>
      <c r="BR21" s="615"/>
      <c r="BS21" s="628"/>
      <c r="BT21" s="627"/>
      <c r="BU21" s="615"/>
      <c r="BV21" s="615"/>
      <c r="BW21" s="615"/>
      <c r="BX21" s="629"/>
    </row>
    <row r="22" spans="1:76" ht="10.5" customHeight="1" x14ac:dyDescent="0.15">
      <c r="A22" s="23">
        <v>17</v>
      </c>
      <c r="B22" s="778"/>
      <c r="C22" s="688"/>
      <c r="D22" s="781"/>
      <c r="E22" s="688"/>
      <c r="F22" s="335" t="s">
        <v>178</v>
      </c>
      <c r="G22" s="247"/>
      <c r="H22" s="247"/>
      <c r="I22" s="247"/>
      <c r="J22" s="248"/>
      <c r="K22" s="37" t="s">
        <v>156</v>
      </c>
      <c r="L22" s="249"/>
      <c r="M22" s="250"/>
      <c r="N22" s="250"/>
      <c r="O22" s="250"/>
      <c r="P22" s="289"/>
      <c r="Q22" s="679" t="s">
        <v>223</v>
      </c>
      <c r="R22" s="680"/>
      <c r="S22" s="691" t="s">
        <v>263</v>
      </c>
      <c r="T22" s="377"/>
      <c r="U22" s="377"/>
      <c r="V22" s="377"/>
      <c r="W22" s="377"/>
      <c r="X22" s="377"/>
      <c r="Y22" s="378"/>
      <c r="Z22" s="39" t="s">
        <v>231</v>
      </c>
      <c r="AA22" s="276"/>
      <c r="AB22" s="277"/>
      <c r="AC22" s="277"/>
      <c r="AD22" s="277"/>
      <c r="AE22" s="336"/>
      <c r="AF22" s="688"/>
      <c r="AG22" s="850" t="s">
        <v>382</v>
      </c>
      <c r="AH22" s="851"/>
      <c r="AI22" s="851"/>
      <c r="AJ22" s="851"/>
      <c r="AK22" s="249"/>
      <c r="AL22" s="250"/>
      <c r="AM22" s="250"/>
      <c r="AN22" s="250"/>
      <c r="AO22" s="289"/>
      <c r="AP22" s="627"/>
      <c r="AQ22" s="615"/>
      <c r="AR22" s="615"/>
      <c r="AS22" s="615"/>
      <c r="AT22" s="628"/>
      <c r="AU22" s="840" t="s">
        <v>264</v>
      </c>
      <c r="AV22" s="841"/>
      <c r="AW22" s="846" t="s">
        <v>422</v>
      </c>
      <c r="AX22" s="847"/>
      <c r="AY22" s="847"/>
      <c r="AZ22" s="730"/>
      <c r="BA22" s="731"/>
      <c r="BB22" s="731"/>
      <c r="BC22" s="731"/>
      <c r="BD22" s="732"/>
      <c r="BE22" s="606"/>
      <c r="BF22" s="607"/>
      <c r="BG22" s="607"/>
      <c r="BH22" s="607"/>
      <c r="BI22" s="771"/>
      <c r="BJ22" s="701"/>
      <c r="BK22" s="702"/>
      <c r="BL22" s="702"/>
      <c r="BM22" s="702"/>
      <c r="BN22" s="703"/>
      <c r="BO22" s="627"/>
      <c r="BP22" s="615"/>
      <c r="BQ22" s="615"/>
      <c r="BR22" s="615"/>
      <c r="BS22" s="628"/>
      <c r="BT22" s="627"/>
      <c r="BU22" s="615"/>
      <c r="BV22" s="615"/>
      <c r="BW22" s="615"/>
      <c r="BX22" s="629"/>
    </row>
    <row r="23" spans="1:76" ht="10.5" customHeight="1" x14ac:dyDescent="0.15">
      <c r="A23" s="23">
        <v>18</v>
      </c>
      <c r="B23" s="778"/>
      <c r="C23" s="688"/>
      <c r="D23" s="781"/>
      <c r="E23" s="688"/>
      <c r="F23" s="335" t="s">
        <v>240</v>
      </c>
      <c r="G23" s="247"/>
      <c r="H23" s="247"/>
      <c r="I23" s="247"/>
      <c r="J23" s="248"/>
      <c r="K23" s="37" t="s">
        <v>156</v>
      </c>
      <c r="L23" s="249"/>
      <c r="M23" s="250"/>
      <c r="N23" s="250"/>
      <c r="O23" s="250"/>
      <c r="P23" s="289"/>
      <c r="Q23" s="681"/>
      <c r="R23" s="682"/>
      <c r="S23" s="600" t="s">
        <v>261</v>
      </c>
      <c r="T23" s="696"/>
      <c r="U23" s="696"/>
      <c r="V23" s="696"/>
      <c r="W23" s="696"/>
      <c r="X23" s="696"/>
      <c r="Y23" s="697"/>
      <c r="Z23" s="40" t="s">
        <v>27</v>
      </c>
      <c r="AA23" s="319"/>
      <c r="AB23" s="320"/>
      <c r="AC23" s="320"/>
      <c r="AD23" s="320"/>
      <c r="AE23" s="334"/>
      <c r="AF23" s="688"/>
      <c r="AG23" s="723" t="s">
        <v>381</v>
      </c>
      <c r="AH23" s="724"/>
      <c r="AI23" s="724"/>
      <c r="AJ23" s="724"/>
      <c r="AK23" s="611"/>
      <c r="AL23" s="612"/>
      <c r="AM23" s="612"/>
      <c r="AN23" s="612"/>
      <c r="AO23" s="613"/>
      <c r="AP23" s="614"/>
      <c r="AQ23" s="615"/>
      <c r="AR23" s="615"/>
      <c r="AS23" s="615"/>
      <c r="AT23" s="628"/>
      <c r="AU23" s="842"/>
      <c r="AV23" s="843"/>
      <c r="AW23" s="723" t="s">
        <v>95</v>
      </c>
      <c r="AX23" s="724"/>
      <c r="AY23" s="724"/>
      <c r="AZ23" s="611"/>
      <c r="BA23" s="612"/>
      <c r="BB23" s="612"/>
      <c r="BC23" s="612"/>
      <c r="BD23" s="613"/>
      <c r="BE23" s="614"/>
      <c r="BF23" s="615"/>
      <c r="BG23" s="615"/>
      <c r="BH23" s="615"/>
      <c r="BI23" s="629"/>
      <c r="BJ23" s="701"/>
      <c r="BK23" s="702"/>
      <c r="BL23" s="702"/>
      <c r="BM23" s="702"/>
      <c r="BN23" s="703"/>
      <c r="BO23" s="627"/>
      <c r="BP23" s="615"/>
      <c r="BQ23" s="615"/>
      <c r="BR23" s="615"/>
      <c r="BS23" s="628"/>
      <c r="BT23" s="627"/>
      <c r="BU23" s="615"/>
      <c r="BV23" s="615"/>
      <c r="BW23" s="615"/>
      <c r="BX23" s="629"/>
    </row>
    <row r="24" spans="1:76" ht="10.5" customHeight="1" x14ac:dyDescent="0.15">
      <c r="A24" s="23">
        <v>19</v>
      </c>
      <c r="B24" s="778"/>
      <c r="C24" s="688"/>
      <c r="D24" s="782"/>
      <c r="E24" s="783"/>
      <c r="F24" s="335" t="s">
        <v>178</v>
      </c>
      <c r="G24" s="247"/>
      <c r="H24" s="247"/>
      <c r="I24" s="247"/>
      <c r="J24" s="248"/>
      <c r="K24" s="217" t="s">
        <v>156</v>
      </c>
      <c r="L24" s="249"/>
      <c r="M24" s="250"/>
      <c r="N24" s="250"/>
      <c r="O24" s="250"/>
      <c r="P24" s="289"/>
      <c r="Q24" s="679" t="s">
        <v>256</v>
      </c>
      <c r="R24" s="688"/>
      <c r="S24" s="821" t="s">
        <v>183</v>
      </c>
      <c r="T24" s="822"/>
      <c r="U24" s="720" t="s">
        <v>255</v>
      </c>
      <c r="V24" s="721"/>
      <c r="W24" s="721"/>
      <c r="X24" s="721"/>
      <c r="Y24" s="722"/>
      <c r="Z24" s="222" t="s">
        <v>181</v>
      </c>
      <c r="AA24" s="276"/>
      <c r="AB24" s="277"/>
      <c r="AC24" s="277"/>
      <c r="AD24" s="277"/>
      <c r="AE24" s="336"/>
      <c r="AF24" s="719"/>
      <c r="AG24" s="600" t="s">
        <v>188</v>
      </c>
      <c r="AH24" s="696"/>
      <c r="AI24" s="696"/>
      <c r="AJ24" s="696"/>
      <c r="AK24" s="319"/>
      <c r="AL24" s="320"/>
      <c r="AM24" s="320"/>
      <c r="AN24" s="320"/>
      <c r="AO24" s="333"/>
      <c r="AP24" s="825"/>
      <c r="AQ24" s="618"/>
      <c r="AR24" s="618"/>
      <c r="AS24" s="618"/>
      <c r="AT24" s="826"/>
      <c r="AU24" s="844"/>
      <c r="AV24" s="845"/>
      <c r="AW24" s="848" t="s">
        <v>35</v>
      </c>
      <c r="AX24" s="849"/>
      <c r="AY24" s="849"/>
      <c r="AZ24" s="670"/>
      <c r="BA24" s="671"/>
      <c r="BB24" s="671"/>
      <c r="BC24" s="671"/>
      <c r="BD24" s="672"/>
      <c r="BE24" s="617"/>
      <c r="BF24" s="618"/>
      <c r="BG24" s="618"/>
      <c r="BH24" s="618"/>
      <c r="BI24" s="811"/>
      <c r="BJ24" s="812"/>
      <c r="BK24" s="813"/>
      <c r="BL24" s="813"/>
      <c r="BM24" s="813"/>
      <c r="BN24" s="814"/>
      <c r="BO24" s="627"/>
      <c r="BP24" s="615"/>
      <c r="BQ24" s="615"/>
      <c r="BR24" s="615"/>
      <c r="BS24" s="628"/>
      <c r="BT24" s="627"/>
      <c r="BU24" s="615"/>
      <c r="BV24" s="615"/>
      <c r="BW24" s="615"/>
      <c r="BX24" s="629"/>
    </row>
    <row r="25" spans="1:76" ht="10.5" customHeight="1" x14ac:dyDescent="0.15">
      <c r="A25" s="23">
        <v>20</v>
      </c>
      <c r="B25" s="778"/>
      <c r="C25" s="688"/>
      <c r="D25" s="815" t="s">
        <v>202</v>
      </c>
      <c r="E25" s="816"/>
      <c r="F25" s="335" t="s">
        <v>262</v>
      </c>
      <c r="G25" s="247"/>
      <c r="H25" s="247"/>
      <c r="I25" s="247"/>
      <c r="J25" s="248"/>
      <c r="K25" s="44" t="s">
        <v>160</v>
      </c>
      <c r="L25" s="249"/>
      <c r="M25" s="250"/>
      <c r="N25" s="250"/>
      <c r="O25" s="250"/>
      <c r="P25" s="289"/>
      <c r="Q25" s="679"/>
      <c r="R25" s="688"/>
      <c r="S25" s="787"/>
      <c r="T25" s="788"/>
      <c r="U25" s="335" t="s">
        <v>251</v>
      </c>
      <c r="V25" s="247"/>
      <c r="W25" s="247"/>
      <c r="X25" s="247"/>
      <c r="Y25" s="248"/>
      <c r="Z25" s="37" t="s">
        <v>156</v>
      </c>
      <c r="AA25" s="249"/>
      <c r="AB25" s="250"/>
      <c r="AC25" s="250"/>
      <c r="AD25" s="250"/>
      <c r="AE25" s="251"/>
      <c r="AF25" s="774" t="s">
        <v>260</v>
      </c>
      <c r="AG25" s="683" t="s">
        <v>259</v>
      </c>
      <c r="AH25" s="684"/>
      <c r="AI25" s="684"/>
      <c r="AJ25" s="684"/>
      <c r="AK25" s="276"/>
      <c r="AL25" s="277"/>
      <c r="AM25" s="277"/>
      <c r="AN25" s="277"/>
      <c r="AO25" s="324"/>
      <c r="AP25" s="770"/>
      <c r="AQ25" s="607"/>
      <c r="AR25" s="607"/>
      <c r="AS25" s="607"/>
      <c r="AT25" s="799"/>
      <c r="AU25" s="746" t="s">
        <v>380</v>
      </c>
      <c r="AV25" s="747"/>
      <c r="AW25" s="747"/>
      <c r="AX25" s="747"/>
      <c r="AY25" s="747"/>
      <c r="AZ25" s="818"/>
      <c r="BA25" s="819"/>
      <c r="BB25" s="819"/>
      <c r="BC25" s="819"/>
      <c r="BD25" s="820"/>
      <c r="BE25" s="751"/>
      <c r="BF25" s="752"/>
      <c r="BG25" s="752"/>
      <c r="BH25" s="752"/>
      <c r="BI25" s="805"/>
      <c r="BJ25" s="701"/>
      <c r="BK25" s="702"/>
      <c r="BL25" s="702"/>
      <c r="BM25" s="702"/>
      <c r="BN25" s="703"/>
      <c r="BO25" s="627"/>
      <c r="BP25" s="615"/>
      <c r="BQ25" s="615"/>
      <c r="BR25" s="615"/>
      <c r="BS25" s="628"/>
      <c r="BT25" s="627"/>
      <c r="BU25" s="615"/>
      <c r="BV25" s="615"/>
      <c r="BW25" s="615"/>
      <c r="BX25" s="629"/>
    </row>
    <row r="26" spans="1:76" ht="10.5" customHeight="1" x14ac:dyDescent="0.15">
      <c r="A26" s="23">
        <v>21</v>
      </c>
      <c r="B26" s="778"/>
      <c r="C26" s="688"/>
      <c r="D26" s="781"/>
      <c r="E26" s="688"/>
      <c r="F26" s="335" t="s">
        <v>257</v>
      </c>
      <c r="G26" s="247"/>
      <c r="H26" s="247"/>
      <c r="I26" s="247"/>
      <c r="J26" s="248"/>
      <c r="K26" s="217" t="s">
        <v>156</v>
      </c>
      <c r="L26" s="249"/>
      <c r="M26" s="250"/>
      <c r="N26" s="250"/>
      <c r="O26" s="250"/>
      <c r="P26" s="289"/>
      <c r="Q26" s="679"/>
      <c r="R26" s="688"/>
      <c r="S26" s="787"/>
      <c r="T26" s="788"/>
      <c r="U26" s="335" t="s">
        <v>248</v>
      </c>
      <c r="V26" s="247"/>
      <c r="W26" s="247"/>
      <c r="X26" s="247"/>
      <c r="Y26" s="248"/>
      <c r="Z26" s="37" t="s">
        <v>156</v>
      </c>
      <c r="AA26" s="249"/>
      <c r="AB26" s="250"/>
      <c r="AC26" s="250"/>
      <c r="AD26" s="250"/>
      <c r="AE26" s="251"/>
      <c r="AF26" s="680"/>
      <c r="AG26" s="723" t="s">
        <v>254</v>
      </c>
      <c r="AH26" s="724"/>
      <c r="AI26" s="724"/>
      <c r="AJ26" s="724"/>
      <c r="AK26" s="249"/>
      <c r="AL26" s="250"/>
      <c r="AM26" s="250"/>
      <c r="AN26" s="250"/>
      <c r="AO26" s="289"/>
      <c r="AP26" s="627"/>
      <c r="AQ26" s="615"/>
      <c r="AR26" s="615"/>
      <c r="AS26" s="615"/>
      <c r="AT26" s="628"/>
      <c r="AU26" s="827" t="s">
        <v>258</v>
      </c>
      <c r="AV26" s="828"/>
      <c r="AW26" s="828"/>
      <c r="AX26" s="828"/>
      <c r="AY26" s="829"/>
      <c r="AZ26" s="830"/>
      <c r="BA26" s="831"/>
      <c r="BB26" s="831"/>
      <c r="BC26" s="831"/>
      <c r="BD26" s="832"/>
      <c r="BE26" s="606"/>
      <c r="BF26" s="607"/>
      <c r="BG26" s="607"/>
      <c r="BH26" s="607"/>
      <c r="BI26" s="771"/>
      <c r="BJ26" s="701"/>
      <c r="BK26" s="702"/>
      <c r="BL26" s="702"/>
      <c r="BM26" s="702"/>
      <c r="BN26" s="703"/>
      <c r="BO26" s="627"/>
      <c r="BP26" s="615"/>
      <c r="BQ26" s="615"/>
      <c r="BR26" s="615"/>
      <c r="BS26" s="628"/>
      <c r="BT26" s="627"/>
      <c r="BU26" s="615"/>
      <c r="BV26" s="615"/>
      <c r="BW26" s="615"/>
      <c r="BX26" s="629"/>
    </row>
    <row r="27" spans="1:76" ht="10.5" customHeight="1" x14ac:dyDescent="0.15">
      <c r="A27" s="23">
        <v>22</v>
      </c>
      <c r="B27" s="778"/>
      <c r="C27" s="688"/>
      <c r="D27" s="781"/>
      <c r="E27" s="688"/>
      <c r="F27" s="335" t="s">
        <v>252</v>
      </c>
      <c r="G27" s="247"/>
      <c r="H27" s="247"/>
      <c r="I27" s="247"/>
      <c r="J27" s="248"/>
      <c r="K27" s="217" t="s">
        <v>156</v>
      </c>
      <c r="L27" s="249"/>
      <c r="M27" s="250"/>
      <c r="N27" s="250"/>
      <c r="O27" s="250"/>
      <c r="P27" s="289"/>
      <c r="Q27" s="679"/>
      <c r="R27" s="688"/>
      <c r="S27" s="787"/>
      <c r="T27" s="788"/>
      <c r="U27" s="335" t="s">
        <v>243</v>
      </c>
      <c r="V27" s="247"/>
      <c r="W27" s="247"/>
      <c r="X27" s="247"/>
      <c r="Y27" s="248"/>
      <c r="Z27" s="37" t="s">
        <v>238</v>
      </c>
      <c r="AA27" s="249"/>
      <c r="AB27" s="250"/>
      <c r="AC27" s="250"/>
      <c r="AD27" s="250"/>
      <c r="AE27" s="251"/>
      <c r="AF27" s="682"/>
      <c r="AG27" s="636" t="s">
        <v>162</v>
      </c>
      <c r="AH27" s="637"/>
      <c r="AI27" s="637"/>
      <c r="AJ27" s="637"/>
      <c r="AK27" s="319"/>
      <c r="AL27" s="320"/>
      <c r="AM27" s="320"/>
      <c r="AN27" s="320"/>
      <c r="AO27" s="333"/>
      <c r="AP27" s="825"/>
      <c r="AQ27" s="618"/>
      <c r="AR27" s="618"/>
      <c r="AS27" s="618"/>
      <c r="AT27" s="826"/>
      <c r="AU27" s="140"/>
      <c r="AV27" s="806" t="s">
        <v>253</v>
      </c>
      <c r="AW27" s="806"/>
      <c r="AX27" s="806"/>
      <c r="AY27" s="807"/>
      <c r="AZ27" s="808"/>
      <c r="BA27" s="809"/>
      <c r="BB27" s="809"/>
      <c r="BC27" s="809"/>
      <c r="BD27" s="810"/>
      <c r="BE27" s="617"/>
      <c r="BF27" s="618"/>
      <c r="BG27" s="618"/>
      <c r="BH27" s="618"/>
      <c r="BI27" s="811"/>
      <c r="BJ27" s="701"/>
      <c r="BK27" s="702"/>
      <c r="BL27" s="702"/>
      <c r="BM27" s="702"/>
      <c r="BN27" s="703"/>
      <c r="BO27" s="627"/>
      <c r="BP27" s="615"/>
      <c r="BQ27" s="615"/>
      <c r="BR27" s="615"/>
      <c r="BS27" s="628"/>
      <c r="BT27" s="627"/>
      <c r="BU27" s="615"/>
      <c r="BV27" s="615"/>
      <c r="BW27" s="615"/>
      <c r="BX27" s="629"/>
    </row>
    <row r="28" spans="1:76" ht="10.5" customHeight="1" x14ac:dyDescent="0.15">
      <c r="A28" s="23">
        <v>23</v>
      </c>
      <c r="B28" s="778"/>
      <c r="C28" s="688"/>
      <c r="D28" s="781"/>
      <c r="E28" s="688"/>
      <c r="F28" s="335" t="s">
        <v>249</v>
      </c>
      <c r="G28" s="247"/>
      <c r="H28" s="247"/>
      <c r="I28" s="247"/>
      <c r="J28" s="248"/>
      <c r="K28" s="217" t="s">
        <v>156</v>
      </c>
      <c r="L28" s="249"/>
      <c r="M28" s="250"/>
      <c r="N28" s="250"/>
      <c r="O28" s="250"/>
      <c r="P28" s="289"/>
      <c r="Q28" s="679"/>
      <c r="R28" s="688"/>
      <c r="S28" s="787"/>
      <c r="T28" s="788"/>
      <c r="U28" s="335" t="s">
        <v>239</v>
      </c>
      <c r="V28" s="247"/>
      <c r="W28" s="247"/>
      <c r="X28" s="247"/>
      <c r="Y28" s="248"/>
      <c r="Z28" s="222" t="s">
        <v>27</v>
      </c>
      <c r="AA28" s="249"/>
      <c r="AB28" s="250"/>
      <c r="AC28" s="250"/>
      <c r="AD28" s="250"/>
      <c r="AE28" s="251"/>
      <c r="AF28" s="833" t="s">
        <v>247</v>
      </c>
      <c r="AG28" s="836" t="s">
        <v>246</v>
      </c>
      <c r="AH28" s="836"/>
      <c r="AI28" s="836"/>
      <c r="AJ28" s="691"/>
      <c r="AK28" s="276"/>
      <c r="AL28" s="277"/>
      <c r="AM28" s="277"/>
      <c r="AN28" s="277"/>
      <c r="AO28" s="324"/>
      <c r="AP28" s="770"/>
      <c r="AQ28" s="607"/>
      <c r="AR28" s="607"/>
      <c r="AS28" s="607"/>
      <c r="AT28" s="799"/>
      <c r="AU28" s="800" t="s">
        <v>250</v>
      </c>
      <c r="AV28" s="801"/>
      <c r="AW28" s="801"/>
      <c r="AX28" s="801"/>
      <c r="AY28" s="801"/>
      <c r="AZ28" s="802"/>
      <c r="BA28" s="803"/>
      <c r="BB28" s="803"/>
      <c r="BC28" s="803"/>
      <c r="BD28" s="804"/>
      <c r="BE28" s="751"/>
      <c r="BF28" s="752"/>
      <c r="BG28" s="752"/>
      <c r="BH28" s="752"/>
      <c r="BI28" s="805"/>
      <c r="BJ28" s="701"/>
      <c r="BK28" s="702"/>
      <c r="BL28" s="702"/>
      <c r="BM28" s="702"/>
      <c r="BN28" s="703"/>
      <c r="BO28" s="627"/>
      <c r="BP28" s="615"/>
      <c r="BQ28" s="615"/>
      <c r="BR28" s="615"/>
      <c r="BS28" s="628"/>
      <c r="BT28" s="627"/>
      <c r="BU28" s="615"/>
      <c r="BV28" s="615"/>
      <c r="BW28" s="615"/>
      <c r="BX28" s="629"/>
    </row>
    <row r="29" spans="1:76" ht="10.5" customHeight="1" x14ac:dyDescent="0.15">
      <c r="A29" s="23">
        <v>24</v>
      </c>
      <c r="B29" s="778"/>
      <c r="C29" s="688"/>
      <c r="D29" s="781"/>
      <c r="E29" s="688"/>
      <c r="F29" s="335" t="s">
        <v>244</v>
      </c>
      <c r="G29" s="247"/>
      <c r="H29" s="247"/>
      <c r="I29" s="247"/>
      <c r="J29" s="248"/>
      <c r="K29" s="37" t="s">
        <v>156</v>
      </c>
      <c r="L29" s="249"/>
      <c r="M29" s="250"/>
      <c r="N29" s="250"/>
      <c r="O29" s="250"/>
      <c r="P29" s="289"/>
      <c r="Q29" s="679"/>
      <c r="R29" s="688"/>
      <c r="S29" s="787"/>
      <c r="T29" s="788"/>
      <c r="U29" s="335" t="s">
        <v>234</v>
      </c>
      <c r="V29" s="247"/>
      <c r="W29" s="247"/>
      <c r="X29" s="247"/>
      <c r="Y29" s="248"/>
      <c r="Z29" s="222" t="s">
        <v>27</v>
      </c>
      <c r="AA29" s="249"/>
      <c r="AB29" s="250"/>
      <c r="AC29" s="250"/>
      <c r="AD29" s="250"/>
      <c r="AE29" s="251"/>
      <c r="AF29" s="834"/>
      <c r="AG29" s="796" t="s">
        <v>242</v>
      </c>
      <c r="AH29" s="796"/>
      <c r="AI29" s="796"/>
      <c r="AJ29" s="723"/>
      <c r="AK29" s="249"/>
      <c r="AL29" s="250"/>
      <c r="AM29" s="250"/>
      <c r="AN29" s="250"/>
      <c r="AO29" s="289"/>
      <c r="AP29" s="627"/>
      <c r="AQ29" s="615"/>
      <c r="AR29" s="615"/>
      <c r="AS29" s="615"/>
      <c r="AT29" s="628"/>
      <c r="AU29" s="797" t="s">
        <v>245</v>
      </c>
      <c r="AV29" s="798"/>
      <c r="AW29" s="798"/>
      <c r="AX29" s="798"/>
      <c r="AY29" s="798"/>
      <c r="AZ29" s="830"/>
      <c r="BA29" s="831"/>
      <c r="BB29" s="831"/>
      <c r="BC29" s="831"/>
      <c r="BD29" s="832"/>
      <c r="BE29" s="606"/>
      <c r="BF29" s="607"/>
      <c r="BG29" s="607"/>
      <c r="BH29" s="607"/>
      <c r="BI29" s="771"/>
      <c r="BJ29" s="701"/>
      <c r="BK29" s="702"/>
      <c r="BL29" s="702"/>
      <c r="BM29" s="702"/>
      <c r="BN29" s="703"/>
      <c r="BO29" s="627"/>
      <c r="BP29" s="615"/>
      <c r="BQ29" s="615"/>
      <c r="BR29" s="615"/>
      <c r="BS29" s="628"/>
      <c r="BT29" s="627"/>
      <c r="BU29" s="615"/>
      <c r="BV29" s="615"/>
      <c r="BW29" s="615"/>
      <c r="BX29" s="629"/>
    </row>
    <row r="30" spans="1:76" ht="10.5" customHeight="1" thickBot="1" x14ac:dyDescent="0.2">
      <c r="A30" s="23">
        <v>25</v>
      </c>
      <c r="B30" s="779"/>
      <c r="C30" s="719"/>
      <c r="D30" s="817"/>
      <c r="E30" s="719"/>
      <c r="F30" s="695" t="s">
        <v>240</v>
      </c>
      <c r="G30" s="369"/>
      <c r="H30" s="369"/>
      <c r="I30" s="369"/>
      <c r="J30" s="370"/>
      <c r="K30" s="43" t="s">
        <v>156</v>
      </c>
      <c r="L30" s="319"/>
      <c r="M30" s="320"/>
      <c r="N30" s="320"/>
      <c r="O30" s="320"/>
      <c r="P30" s="333"/>
      <c r="Q30" s="681"/>
      <c r="R30" s="719"/>
      <c r="S30" s="823"/>
      <c r="T30" s="824"/>
      <c r="U30" s="695" t="s">
        <v>197</v>
      </c>
      <c r="V30" s="369"/>
      <c r="W30" s="369"/>
      <c r="X30" s="369"/>
      <c r="Y30" s="370"/>
      <c r="Z30" s="43" t="s">
        <v>400</v>
      </c>
      <c r="AA30" s="319"/>
      <c r="AB30" s="320"/>
      <c r="AC30" s="320"/>
      <c r="AD30" s="320"/>
      <c r="AE30" s="334"/>
      <c r="AF30" s="834"/>
      <c r="AG30" s="775" t="s">
        <v>237</v>
      </c>
      <c r="AH30" s="776"/>
      <c r="AI30" s="776"/>
      <c r="AJ30" s="776"/>
      <c r="AK30" s="249"/>
      <c r="AL30" s="250"/>
      <c r="AM30" s="250"/>
      <c r="AN30" s="250"/>
      <c r="AO30" s="289"/>
      <c r="AP30" s="627"/>
      <c r="AQ30" s="615"/>
      <c r="AR30" s="615"/>
      <c r="AS30" s="615"/>
      <c r="AT30" s="628"/>
      <c r="AU30" s="139"/>
      <c r="AV30" s="789" t="s">
        <v>241</v>
      </c>
      <c r="AW30" s="789"/>
      <c r="AX30" s="789"/>
      <c r="AY30" s="789"/>
      <c r="AZ30" s="790"/>
      <c r="BA30" s="791"/>
      <c r="BB30" s="791"/>
      <c r="BC30" s="791"/>
      <c r="BD30" s="792"/>
      <c r="BE30" s="793"/>
      <c r="BF30" s="794"/>
      <c r="BG30" s="794"/>
      <c r="BH30" s="794"/>
      <c r="BI30" s="795"/>
      <c r="BJ30" s="701"/>
      <c r="BK30" s="702"/>
      <c r="BL30" s="702"/>
      <c r="BM30" s="702"/>
      <c r="BN30" s="703"/>
      <c r="BO30" s="627"/>
      <c r="BP30" s="615"/>
      <c r="BQ30" s="615"/>
      <c r="BR30" s="615"/>
      <c r="BS30" s="628"/>
      <c r="BT30" s="627"/>
      <c r="BU30" s="615"/>
      <c r="BV30" s="615"/>
      <c r="BW30" s="615"/>
      <c r="BX30" s="629"/>
    </row>
    <row r="31" spans="1:76" ht="10.5" customHeight="1" thickBot="1" x14ac:dyDescent="0.2">
      <c r="A31" s="23">
        <v>26</v>
      </c>
      <c r="B31" s="777" t="s">
        <v>236</v>
      </c>
      <c r="C31" s="687"/>
      <c r="D31" s="780" t="s">
        <v>183</v>
      </c>
      <c r="E31" s="687"/>
      <c r="F31" s="784" t="s">
        <v>235</v>
      </c>
      <c r="G31" s="338"/>
      <c r="H31" s="338"/>
      <c r="I31" s="338"/>
      <c r="J31" s="339"/>
      <c r="K31" s="41" t="s">
        <v>181</v>
      </c>
      <c r="L31" s="276"/>
      <c r="M31" s="277"/>
      <c r="N31" s="277"/>
      <c r="O31" s="277"/>
      <c r="P31" s="324"/>
      <c r="Q31" s="686" t="s">
        <v>232</v>
      </c>
      <c r="R31" s="774"/>
      <c r="S31" s="785" t="s">
        <v>183</v>
      </c>
      <c r="T31" s="786"/>
      <c r="U31" s="784" t="s">
        <v>191</v>
      </c>
      <c r="V31" s="338"/>
      <c r="W31" s="338"/>
      <c r="X31" s="338"/>
      <c r="Y31" s="339"/>
      <c r="Z31" s="41" t="s">
        <v>231</v>
      </c>
      <c r="AA31" s="276"/>
      <c r="AB31" s="277"/>
      <c r="AC31" s="277"/>
      <c r="AD31" s="277"/>
      <c r="AE31" s="336"/>
      <c r="AF31" s="834"/>
      <c r="AG31" s="837" t="s">
        <v>423</v>
      </c>
      <c r="AH31" s="838"/>
      <c r="AI31" s="838"/>
      <c r="AJ31" s="838"/>
      <c r="AK31" s="611"/>
      <c r="AL31" s="612"/>
      <c r="AM31" s="612"/>
      <c r="AN31" s="612"/>
      <c r="AO31" s="613"/>
      <c r="AP31" s="614"/>
      <c r="AQ31" s="615"/>
      <c r="AR31" s="615"/>
      <c r="AS31" s="615"/>
      <c r="AT31" s="616"/>
      <c r="AU31" s="26"/>
      <c r="AV31" s="26"/>
      <c r="AW31" s="26"/>
      <c r="AX31" s="26"/>
      <c r="AY31" s="26"/>
      <c r="BJ31" s="701"/>
      <c r="BK31" s="702"/>
      <c r="BL31" s="702"/>
      <c r="BM31" s="702"/>
      <c r="BN31" s="703"/>
      <c r="BO31" s="627"/>
      <c r="BP31" s="615"/>
      <c r="BQ31" s="615"/>
      <c r="BR31" s="615"/>
      <c r="BS31" s="628"/>
      <c r="BT31" s="627"/>
      <c r="BU31" s="615"/>
      <c r="BV31" s="615"/>
      <c r="BW31" s="615"/>
      <c r="BX31" s="629"/>
    </row>
    <row r="32" spans="1:76" ht="10.5" customHeight="1" x14ac:dyDescent="0.15">
      <c r="A32" s="23">
        <v>27</v>
      </c>
      <c r="B32" s="778"/>
      <c r="C32" s="688"/>
      <c r="D32" s="781"/>
      <c r="E32" s="688"/>
      <c r="F32" s="335" t="s">
        <v>178</v>
      </c>
      <c r="G32" s="247"/>
      <c r="H32" s="247"/>
      <c r="I32" s="247"/>
      <c r="J32" s="248"/>
      <c r="K32" s="37" t="s">
        <v>27</v>
      </c>
      <c r="L32" s="249"/>
      <c r="M32" s="250"/>
      <c r="N32" s="250"/>
      <c r="O32" s="250"/>
      <c r="P32" s="289"/>
      <c r="Q32" s="679"/>
      <c r="R32" s="680"/>
      <c r="S32" s="787"/>
      <c r="T32" s="788"/>
      <c r="U32" s="335" t="s">
        <v>228</v>
      </c>
      <c r="V32" s="247"/>
      <c r="W32" s="247"/>
      <c r="X32" s="247"/>
      <c r="Y32" s="248"/>
      <c r="Z32" s="37" t="s">
        <v>27</v>
      </c>
      <c r="AA32" s="249"/>
      <c r="AB32" s="250"/>
      <c r="AC32" s="250"/>
      <c r="AD32" s="250"/>
      <c r="AE32" s="251"/>
      <c r="AF32" s="835"/>
      <c r="AG32" s="772" t="s">
        <v>233</v>
      </c>
      <c r="AH32" s="773"/>
      <c r="AI32" s="773"/>
      <c r="AJ32" s="773"/>
      <c r="AK32" s="670"/>
      <c r="AL32" s="671"/>
      <c r="AM32" s="671"/>
      <c r="AN32" s="671"/>
      <c r="AO32" s="672"/>
      <c r="AP32" s="617"/>
      <c r="AQ32" s="618"/>
      <c r="AR32" s="618"/>
      <c r="AS32" s="618"/>
      <c r="AT32" s="619"/>
      <c r="AU32" s="26"/>
      <c r="AV32" s="26"/>
      <c r="AW32" s="26"/>
      <c r="AX32" s="26"/>
      <c r="AY32" s="26"/>
      <c r="AZ32" s="379" t="s">
        <v>408</v>
      </c>
      <c r="BA32" s="380"/>
      <c r="BB32" s="380"/>
      <c r="BC32" s="380"/>
      <c r="BD32" s="380"/>
      <c r="BE32" s="380"/>
      <c r="BF32" s="380"/>
      <c r="BG32" s="380"/>
      <c r="BH32" s="380"/>
      <c r="BI32" s="380"/>
      <c r="BJ32" s="701"/>
      <c r="BK32" s="702"/>
      <c r="BL32" s="702"/>
      <c r="BM32" s="702"/>
      <c r="BN32" s="703"/>
      <c r="BO32" s="627"/>
      <c r="BP32" s="615"/>
      <c r="BQ32" s="615"/>
      <c r="BR32" s="615"/>
      <c r="BS32" s="628"/>
      <c r="BT32" s="627"/>
      <c r="BU32" s="615"/>
      <c r="BV32" s="615"/>
      <c r="BW32" s="615"/>
      <c r="BX32" s="629"/>
    </row>
    <row r="33" spans="1:77" ht="10.5" customHeight="1" x14ac:dyDescent="0.15">
      <c r="A33" s="23">
        <v>28</v>
      </c>
      <c r="B33" s="778"/>
      <c r="C33" s="688"/>
      <c r="D33" s="781"/>
      <c r="E33" s="688"/>
      <c r="F33" s="288" t="s">
        <v>224</v>
      </c>
      <c r="G33" s="270"/>
      <c r="H33" s="270"/>
      <c r="I33" s="270"/>
      <c r="J33" s="766"/>
      <c r="K33" s="37" t="s">
        <v>27</v>
      </c>
      <c r="L33" s="249"/>
      <c r="M33" s="250"/>
      <c r="N33" s="250"/>
      <c r="O33" s="250"/>
      <c r="P33" s="289"/>
      <c r="Q33" s="679"/>
      <c r="R33" s="680"/>
      <c r="S33" s="787"/>
      <c r="T33" s="788"/>
      <c r="U33" s="335" t="s">
        <v>95</v>
      </c>
      <c r="V33" s="247"/>
      <c r="W33" s="247"/>
      <c r="X33" s="247"/>
      <c r="Y33" s="248"/>
      <c r="Z33" s="37" t="s">
        <v>27</v>
      </c>
      <c r="AA33" s="249"/>
      <c r="AB33" s="250"/>
      <c r="AC33" s="250"/>
      <c r="AD33" s="250"/>
      <c r="AE33" s="251"/>
      <c r="AF33" s="774" t="s">
        <v>230</v>
      </c>
      <c r="AG33" s="691" t="s">
        <v>229</v>
      </c>
      <c r="AH33" s="377"/>
      <c r="AI33" s="377"/>
      <c r="AJ33" s="377"/>
      <c r="AK33" s="730"/>
      <c r="AL33" s="731"/>
      <c r="AM33" s="731"/>
      <c r="AN33" s="731"/>
      <c r="AO33" s="732"/>
      <c r="AP33" s="606"/>
      <c r="AQ33" s="607"/>
      <c r="AR33" s="607"/>
      <c r="AS33" s="607"/>
      <c r="AT33" s="608"/>
      <c r="AU33" s="26"/>
      <c r="AV33" s="26"/>
      <c r="AW33" s="26"/>
      <c r="AX33" s="26"/>
      <c r="AY33" s="26"/>
      <c r="AZ33" s="769" t="s">
        <v>195</v>
      </c>
      <c r="BA33" s="322"/>
      <c r="BB33" s="322"/>
      <c r="BC33" s="322"/>
      <c r="BD33" s="323"/>
      <c r="BE33" s="770"/>
      <c r="BF33" s="607"/>
      <c r="BG33" s="607"/>
      <c r="BH33" s="607"/>
      <c r="BI33" s="771"/>
      <c r="BJ33" s="701"/>
      <c r="BK33" s="702"/>
      <c r="BL33" s="702"/>
      <c r="BM33" s="702"/>
      <c r="BN33" s="703"/>
      <c r="BO33" s="627"/>
      <c r="BP33" s="615"/>
      <c r="BQ33" s="615"/>
      <c r="BR33" s="615"/>
      <c r="BS33" s="628"/>
      <c r="BT33" s="627"/>
      <c r="BU33" s="615"/>
      <c r="BV33" s="615"/>
      <c r="BW33" s="615"/>
      <c r="BX33" s="629"/>
    </row>
    <row r="34" spans="1:77" ht="10.5" customHeight="1" x14ac:dyDescent="0.15">
      <c r="A34" s="23">
        <v>29</v>
      </c>
      <c r="B34" s="778"/>
      <c r="C34" s="688"/>
      <c r="D34" s="782"/>
      <c r="E34" s="783"/>
      <c r="F34" s="288" t="s">
        <v>178</v>
      </c>
      <c r="G34" s="270"/>
      <c r="H34" s="270"/>
      <c r="I34" s="270"/>
      <c r="J34" s="766"/>
      <c r="K34" s="217" t="s">
        <v>27</v>
      </c>
      <c r="L34" s="249"/>
      <c r="M34" s="250"/>
      <c r="N34" s="250"/>
      <c r="O34" s="250"/>
      <c r="P34" s="289"/>
      <c r="Q34" s="679"/>
      <c r="R34" s="680"/>
      <c r="S34" s="787"/>
      <c r="T34" s="788"/>
      <c r="U34" s="335" t="s">
        <v>178</v>
      </c>
      <c r="V34" s="247"/>
      <c r="W34" s="247"/>
      <c r="X34" s="247"/>
      <c r="Y34" s="248"/>
      <c r="Z34" s="37" t="s">
        <v>27</v>
      </c>
      <c r="AA34" s="249"/>
      <c r="AB34" s="250"/>
      <c r="AC34" s="250"/>
      <c r="AD34" s="250"/>
      <c r="AE34" s="251"/>
      <c r="AF34" s="680"/>
      <c r="AG34" s="723" t="s">
        <v>227</v>
      </c>
      <c r="AH34" s="724"/>
      <c r="AI34" s="724"/>
      <c r="AJ34" s="724"/>
      <c r="AK34" s="736"/>
      <c r="AL34" s="737"/>
      <c r="AM34" s="737"/>
      <c r="AN34" s="737"/>
      <c r="AO34" s="738"/>
      <c r="AP34" s="614"/>
      <c r="AQ34" s="615"/>
      <c r="AR34" s="615"/>
      <c r="AS34" s="615"/>
      <c r="AT34" s="616"/>
      <c r="AU34" s="26"/>
      <c r="AV34" s="26"/>
      <c r="AW34" s="26"/>
      <c r="AX34" s="26"/>
      <c r="AY34" s="26"/>
      <c r="AZ34" s="35"/>
      <c r="BA34" s="288" t="s">
        <v>189</v>
      </c>
      <c r="BB34" s="270"/>
      <c r="BC34" s="270"/>
      <c r="BD34" s="271"/>
      <c r="BE34" s="627"/>
      <c r="BF34" s="615"/>
      <c r="BG34" s="615"/>
      <c r="BH34" s="615"/>
      <c r="BI34" s="629"/>
      <c r="BJ34" s="701"/>
      <c r="BK34" s="702"/>
      <c r="BL34" s="702"/>
      <c r="BM34" s="702"/>
      <c r="BN34" s="703"/>
      <c r="BO34" s="627"/>
      <c r="BP34" s="615"/>
      <c r="BQ34" s="615"/>
      <c r="BR34" s="615"/>
      <c r="BS34" s="628"/>
      <c r="BT34" s="627"/>
      <c r="BU34" s="615"/>
      <c r="BV34" s="615"/>
      <c r="BW34" s="615"/>
      <c r="BX34" s="629"/>
    </row>
    <row r="35" spans="1:77" ht="10.5" customHeight="1" x14ac:dyDescent="0.15">
      <c r="A35" s="23">
        <v>30</v>
      </c>
      <c r="B35" s="778"/>
      <c r="C35" s="688"/>
      <c r="D35" s="762" t="s">
        <v>202</v>
      </c>
      <c r="E35" s="763"/>
      <c r="F35" s="288" t="s">
        <v>226</v>
      </c>
      <c r="G35" s="270"/>
      <c r="H35" s="270"/>
      <c r="I35" s="270"/>
      <c r="J35" s="766"/>
      <c r="K35" s="37" t="s">
        <v>160</v>
      </c>
      <c r="L35" s="249"/>
      <c r="M35" s="250"/>
      <c r="N35" s="250"/>
      <c r="O35" s="250"/>
      <c r="P35" s="289"/>
      <c r="Q35" s="679"/>
      <c r="R35" s="680"/>
      <c r="S35" s="787"/>
      <c r="T35" s="788"/>
      <c r="U35" s="288" t="s">
        <v>174</v>
      </c>
      <c r="V35" s="270"/>
      <c r="W35" s="270"/>
      <c r="X35" s="270"/>
      <c r="Y35" s="766"/>
      <c r="Z35" s="217" t="s">
        <v>27</v>
      </c>
      <c r="AA35" s="249"/>
      <c r="AB35" s="250"/>
      <c r="AC35" s="250"/>
      <c r="AD35" s="250"/>
      <c r="AE35" s="251"/>
      <c r="AF35" s="682"/>
      <c r="AG35" s="767" t="s">
        <v>225</v>
      </c>
      <c r="AH35" s="768"/>
      <c r="AI35" s="768"/>
      <c r="AJ35" s="768"/>
      <c r="AK35" s="670"/>
      <c r="AL35" s="671"/>
      <c r="AM35" s="671"/>
      <c r="AN35" s="671"/>
      <c r="AO35" s="672"/>
      <c r="AP35" s="617"/>
      <c r="AQ35" s="618"/>
      <c r="AR35" s="618"/>
      <c r="AS35" s="618"/>
      <c r="AT35" s="619"/>
      <c r="AU35" s="26"/>
      <c r="AV35" s="26"/>
      <c r="AW35" s="26"/>
      <c r="AX35" s="26"/>
      <c r="AY35" s="26"/>
      <c r="AZ35" s="35"/>
      <c r="BA35" s="759" t="s">
        <v>184</v>
      </c>
      <c r="BB35" s="760"/>
      <c r="BC35" s="760"/>
      <c r="BD35" s="761"/>
      <c r="BE35" s="627"/>
      <c r="BF35" s="615"/>
      <c r="BG35" s="615"/>
      <c r="BH35" s="615"/>
      <c r="BI35" s="629"/>
      <c r="BJ35" s="701"/>
      <c r="BK35" s="702"/>
      <c r="BL35" s="702"/>
      <c r="BM35" s="702"/>
      <c r="BN35" s="703"/>
      <c r="BO35" s="627"/>
      <c r="BP35" s="615"/>
      <c r="BQ35" s="615"/>
      <c r="BR35" s="615"/>
      <c r="BS35" s="628"/>
      <c r="BT35" s="627"/>
      <c r="BU35" s="615"/>
      <c r="BV35" s="615"/>
      <c r="BW35" s="615"/>
      <c r="BX35" s="629"/>
    </row>
    <row r="36" spans="1:77" ht="10.5" customHeight="1" x14ac:dyDescent="0.15">
      <c r="A36" s="23">
        <v>31</v>
      </c>
      <c r="B36" s="779"/>
      <c r="C36" s="719"/>
      <c r="D36" s="764"/>
      <c r="E36" s="765"/>
      <c r="F36" s="330" t="s">
        <v>224</v>
      </c>
      <c r="G36" s="331"/>
      <c r="H36" s="331"/>
      <c r="I36" s="331"/>
      <c r="J36" s="757"/>
      <c r="K36" s="43" t="s">
        <v>27</v>
      </c>
      <c r="L36" s="319"/>
      <c r="M36" s="320"/>
      <c r="N36" s="320"/>
      <c r="O36" s="320"/>
      <c r="P36" s="333"/>
      <c r="Q36" s="681"/>
      <c r="R36" s="682"/>
      <c r="S36" s="600" t="s">
        <v>216</v>
      </c>
      <c r="T36" s="696"/>
      <c r="U36" s="696"/>
      <c r="V36" s="696"/>
      <c r="W36" s="696"/>
      <c r="X36" s="696"/>
      <c r="Y36" s="697"/>
      <c r="Z36" s="43" t="s">
        <v>160</v>
      </c>
      <c r="AA36" s="319"/>
      <c r="AB36" s="320"/>
      <c r="AC36" s="320"/>
      <c r="AD36" s="320"/>
      <c r="AE36" s="334"/>
      <c r="AF36" s="758" t="s">
        <v>223</v>
      </c>
      <c r="AG36" s="758"/>
      <c r="AH36" s="758"/>
      <c r="AI36" s="758"/>
      <c r="AJ36" s="758"/>
      <c r="AK36" s="603"/>
      <c r="AL36" s="604"/>
      <c r="AM36" s="604"/>
      <c r="AN36" s="604"/>
      <c r="AO36" s="605"/>
      <c r="AP36" s="751"/>
      <c r="AQ36" s="752"/>
      <c r="AR36" s="752"/>
      <c r="AS36" s="752"/>
      <c r="AT36" s="753"/>
      <c r="AU36" s="26"/>
      <c r="AV36" s="26"/>
      <c r="AW36" s="26"/>
      <c r="AX36" s="26"/>
      <c r="AY36" s="26"/>
      <c r="AZ36" s="35"/>
      <c r="BA36" s="754" t="s">
        <v>379</v>
      </c>
      <c r="BB36" s="755"/>
      <c r="BC36" s="755"/>
      <c r="BD36" s="756"/>
      <c r="BE36" s="627"/>
      <c r="BF36" s="615"/>
      <c r="BG36" s="615"/>
      <c r="BH36" s="615"/>
      <c r="BI36" s="629"/>
      <c r="BJ36" s="701"/>
      <c r="BK36" s="702"/>
      <c r="BL36" s="702"/>
      <c r="BM36" s="702"/>
      <c r="BN36" s="703"/>
      <c r="BO36" s="627"/>
      <c r="BP36" s="615"/>
      <c r="BQ36" s="615"/>
      <c r="BR36" s="615"/>
      <c r="BS36" s="628"/>
      <c r="BT36" s="627"/>
      <c r="BU36" s="615"/>
      <c r="BV36" s="615"/>
      <c r="BW36" s="615"/>
      <c r="BX36" s="629"/>
    </row>
    <row r="37" spans="1:77" ht="10.5" customHeight="1" x14ac:dyDescent="0.15">
      <c r="A37" s="23">
        <v>32</v>
      </c>
      <c r="B37" s="645" t="s">
        <v>221</v>
      </c>
      <c r="C37" s="646"/>
      <c r="D37" s="651" t="s">
        <v>183</v>
      </c>
      <c r="E37" s="652"/>
      <c r="F37" s="743" t="s">
        <v>220</v>
      </c>
      <c r="G37" s="744"/>
      <c r="H37" s="744"/>
      <c r="I37" s="744"/>
      <c r="J37" s="745"/>
      <c r="K37" s="135" t="s">
        <v>181</v>
      </c>
      <c r="L37" s="276"/>
      <c r="M37" s="277"/>
      <c r="N37" s="277"/>
      <c r="O37" s="277"/>
      <c r="P37" s="324"/>
      <c r="Q37" s="746" t="s">
        <v>378</v>
      </c>
      <c r="R37" s="747"/>
      <c r="S37" s="747"/>
      <c r="T37" s="747"/>
      <c r="U37" s="747"/>
      <c r="V37" s="747"/>
      <c r="W37" s="747"/>
      <c r="X37" s="747"/>
      <c r="Y37" s="748"/>
      <c r="Z37" s="39" t="s">
        <v>231</v>
      </c>
      <c r="AA37" s="276"/>
      <c r="AB37" s="277"/>
      <c r="AC37" s="277"/>
      <c r="AD37" s="277"/>
      <c r="AE37" s="336"/>
      <c r="AF37" s="725" t="s">
        <v>219</v>
      </c>
      <c r="AG37" s="726" t="s">
        <v>218</v>
      </c>
      <c r="AH37" s="727"/>
      <c r="AI37" s="728" t="s">
        <v>210</v>
      </c>
      <c r="AJ37" s="729"/>
      <c r="AK37" s="730"/>
      <c r="AL37" s="731"/>
      <c r="AM37" s="731"/>
      <c r="AN37" s="731"/>
      <c r="AO37" s="732"/>
      <c r="AP37" s="606"/>
      <c r="AQ37" s="607"/>
      <c r="AR37" s="607"/>
      <c r="AS37" s="607"/>
      <c r="AT37" s="608"/>
      <c r="AU37" s="26"/>
      <c r="AV37" s="26"/>
      <c r="AW37" s="26"/>
      <c r="AX37" s="26"/>
      <c r="AY37" s="26"/>
      <c r="AZ37" s="35"/>
      <c r="BA37" s="38"/>
      <c r="BB37" s="288" t="s">
        <v>172</v>
      </c>
      <c r="BC37" s="270"/>
      <c r="BD37" s="271"/>
      <c r="BE37" s="627"/>
      <c r="BF37" s="615"/>
      <c r="BG37" s="615"/>
      <c r="BH37" s="615"/>
      <c r="BI37" s="629"/>
      <c r="BJ37" s="701"/>
      <c r="BK37" s="702"/>
      <c r="BL37" s="702"/>
      <c r="BM37" s="702"/>
      <c r="BN37" s="703"/>
      <c r="BO37" s="627"/>
      <c r="BP37" s="615"/>
      <c r="BQ37" s="615"/>
      <c r="BR37" s="615"/>
      <c r="BS37" s="628"/>
      <c r="BT37" s="627"/>
      <c r="BU37" s="615"/>
      <c r="BV37" s="615"/>
      <c r="BW37" s="615"/>
      <c r="BX37" s="629"/>
    </row>
    <row r="38" spans="1:77" ht="10.5" customHeight="1" x14ac:dyDescent="0.15">
      <c r="A38" s="23">
        <v>33</v>
      </c>
      <c r="B38" s="647"/>
      <c r="C38" s="648"/>
      <c r="D38" s="653"/>
      <c r="E38" s="654"/>
      <c r="F38" s="639" t="s">
        <v>178</v>
      </c>
      <c r="G38" s="640"/>
      <c r="H38" s="640"/>
      <c r="I38" s="640"/>
      <c r="J38" s="641"/>
      <c r="K38" s="132" t="s">
        <v>156</v>
      </c>
      <c r="L38" s="249"/>
      <c r="M38" s="250"/>
      <c r="N38" s="250"/>
      <c r="O38" s="250"/>
      <c r="P38" s="289"/>
      <c r="Q38" s="49"/>
      <c r="R38" s="48"/>
      <c r="S38" s="600" t="s">
        <v>377</v>
      </c>
      <c r="T38" s="696"/>
      <c r="U38" s="696"/>
      <c r="V38" s="696"/>
      <c r="W38" s="696"/>
      <c r="X38" s="696"/>
      <c r="Y38" s="697"/>
      <c r="Z38" s="40" t="s">
        <v>27</v>
      </c>
      <c r="AA38" s="319"/>
      <c r="AB38" s="320"/>
      <c r="AC38" s="320"/>
      <c r="AD38" s="320"/>
      <c r="AE38" s="334"/>
      <c r="AF38" s="673"/>
      <c r="AG38" s="710"/>
      <c r="AH38" s="711"/>
      <c r="AI38" s="723" t="s">
        <v>207</v>
      </c>
      <c r="AJ38" s="724"/>
      <c r="AK38" s="611"/>
      <c r="AL38" s="612"/>
      <c r="AM38" s="612"/>
      <c r="AN38" s="612"/>
      <c r="AO38" s="613"/>
      <c r="AP38" s="614"/>
      <c r="AQ38" s="615"/>
      <c r="AR38" s="615"/>
      <c r="AS38" s="615"/>
      <c r="AT38" s="616"/>
      <c r="AU38" s="26"/>
      <c r="AV38" s="26"/>
      <c r="AW38" s="26"/>
      <c r="AX38" s="26"/>
      <c r="AY38" s="26"/>
      <c r="AZ38" s="35"/>
      <c r="BA38" s="38"/>
      <c r="BB38" s="733" t="s">
        <v>167</v>
      </c>
      <c r="BC38" s="734"/>
      <c r="BD38" s="735"/>
      <c r="BE38" s="627"/>
      <c r="BF38" s="615"/>
      <c r="BG38" s="615"/>
      <c r="BH38" s="615"/>
      <c r="BI38" s="629"/>
      <c r="BJ38" s="701"/>
      <c r="BK38" s="702"/>
      <c r="BL38" s="702"/>
      <c r="BM38" s="702"/>
      <c r="BN38" s="703"/>
      <c r="BO38" s="627"/>
      <c r="BP38" s="615"/>
      <c r="BQ38" s="615"/>
      <c r="BR38" s="615"/>
      <c r="BS38" s="628"/>
      <c r="BT38" s="627"/>
      <c r="BU38" s="615"/>
      <c r="BV38" s="615"/>
      <c r="BW38" s="615"/>
      <c r="BX38" s="629"/>
    </row>
    <row r="39" spans="1:77" ht="10.5" customHeight="1" x14ac:dyDescent="0.15">
      <c r="A39" s="23">
        <v>34</v>
      </c>
      <c r="B39" s="647"/>
      <c r="C39" s="648"/>
      <c r="D39" s="653"/>
      <c r="E39" s="654"/>
      <c r="F39" s="633" t="s">
        <v>214</v>
      </c>
      <c r="G39" s="634"/>
      <c r="H39" s="634"/>
      <c r="I39" s="634"/>
      <c r="J39" s="635"/>
      <c r="K39" s="132" t="s">
        <v>156</v>
      </c>
      <c r="L39" s="249"/>
      <c r="M39" s="250"/>
      <c r="N39" s="250"/>
      <c r="O39" s="250"/>
      <c r="P39" s="289"/>
      <c r="Q39" s="679" t="s">
        <v>208</v>
      </c>
      <c r="R39" s="680"/>
      <c r="S39" s="720" t="s">
        <v>399</v>
      </c>
      <c r="T39" s="721"/>
      <c r="U39" s="721"/>
      <c r="V39" s="721"/>
      <c r="W39" s="721"/>
      <c r="X39" s="721"/>
      <c r="Y39" s="722"/>
      <c r="Z39" s="222" t="s">
        <v>175</v>
      </c>
      <c r="AA39" s="276"/>
      <c r="AB39" s="277"/>
      <c r="AC39" s="277"/>
      <c r="AD39" s="277"/>
      <c r="AE39" s="336"/>
      <c r="AF39" s="673"/>
      <c r="AG39" s="710"/>
      <c r="AH39" s="711"/>
      <c r="AI39" s="610" t="s">
        <v>213</v>
      </c>
      <c r="AJ39" s="704"/>
      <c r="AK39" s="736"/>
      <c r="AL39" s="737"/>
      <c r="AM39" s="737"/>
      <c r="AN39" s="737"/>
      <c r="AO39" s="738"/>
      <c r="AP39" s="614"/>
      <c r="AQ39" s="615"/>
      <c r="AR39" s="615"/>
      <c r="AS39" s="615"/>
      <c r="AT39" s="616"/>
      <c r="AU39" s="26"/>
      <c r="AV39" s="26"/>
      <c r="AW39" s="26"/>
      <c r="AX39" s="26"/>
      <c r="AY39" s="26"/>
      <c r="AZ39" s="35"/>
      <c r="BA39" s="38"/>
      <c r="BB39" s="507" t="s">
        <v>163</v>
      </c>
      <c r="BC39" s="508"/>
      <c r="BD39" s="509"/>
      <c r="BE39" s="627"/>
      <c r="BF39" s="615"/>
      <c r="BG39" s="615"/>
      <c r="BH39" s="615"/>
      <c r="BI39" s="629"/>
      <c r="BJ39" s="701"/>
      <c r="BK39" s="702"/>
      <c r="BL39" s="702"/>
      <c r="BM39" s="702"/>
      <c r="BN39" s="703"/>
      <c r="BO39" s="627"/>
      <c r="BP39" s="615"/>
      <c r="BQ39" s="615"/>
      <c r="BR39" s="615"/>
      <c r="BS39" s="628"/>
      <c r="BT39" s="627"/>
      <c r="BU39" s="615"/>
      <c r="BV39" s="615"/>
      <c r="BW39" s="615"/>
      <c r="BX39" s="629"/>
    </row>
    <row r="40" spans="1:77" ht="10.5" customHeight="1" x14ac:dyDescent="0.15">
      <c r="A40" s="23">
        <v>35</v>
      </c>
      <c r="B40" s="647"/>
      <c r="C40" s="648"/>
      <c r="D40" s="653"/>
      <c r="E40" s="654"/>
      <c r="F40" s="633" t="s">
        <v>178</v>
      </c>
      <c r="G40" s="634"/>
      <c r="H40" s="634"/>
      <c r="I40" s="634"/>
      <c r="J40" s="635"/>
      <c r="K40" s="132" t="s">
        <v>156</v>
      </c>
      <c r="L40" s="249"/>
      <c r="M40" s="250"/>
      <c r="N40" s="250"/>
      <c r="O40" s="250"/>
      <c r="P40" s="289"/>
      <c r="Q40" s="681"/>
      <c r="R40" s="682"/>
      <c r="S40" s="600" t="s">
        <v>205</v>
      </c>
      <c r="T40" s="696"/>
      <c r="U40" s="696"/>
      <c r="V40" s="696"/>
      <c r="W40" s="696"/>
      <c r="X40" s="696"/>
      <c r="Y40" s="697"/>
      <c r="Z40" s="43" t="s">
        <v>160</v>
      </c>
      <c r="AA40" s="319"/>
      <c r="AB40" s="320"/>
      <c r="AC40" s="320"/>
      <c r="AD40" s="320"/>
      <c r="AE40" s="334"/>
      <c r="AF40" s="673"/>
      <c r="AG40" s="708" t="s">
        <v>211</v>
      </c>
      <c r="AH40" s="709"/>
      <c r="AI40" s="699" t="s">
        <v>210</v>
      </c>
      <c r="AJ40" s="700"/>
      <c r="AK40" s="611"/>
      <c r="AL40" s="612"/>
      <c r="AM40" s="612"/>
      <c r="AN40" s="612"/>
      <c r="AO40" s="613"/>
      <c r="AP40" s="614"/>
      <c r="AQ40" s="615"/>
      <c r="AR40" s="615"/>
      <c r="AS40" s="615"/>
      <c r="AT40" s="616"/>
      <c r="AU40" s="26"/>
      <c r="AV40" s="26"/>
      <c r="AW40" s="26"/>
      <c r="AX40" s="26"/>
      <c r="AY40" s="26"/>
      <c r="AZ40" s="35"/>
      <c r="BA40" s="34"/>
      <c r="BB40" s="288" t="s">
        <v>158</v>
      </c>
      <c r="BC40" s="270"/>
      <c r="BD40" s="271"/>
      <c r="BE40" s="627"/>
      <c r="BF40" s="615"/>
      <c r="BG40" s="615"/>
      <c r="BH40" s="615"/>
      <c r="BI40" s="629"/>
      <c r="BJ40" s="701"/>
      <c r="BK40" s="702"/>
      <c r="BL40" s="702"/>
      <c r="BM40" s="702"/>
      <c r="BN40" s="703"/>
      <c r="BO40" s="627"/>
      <c r="BP40" s="615"/>
      <c r="BQ40" s="615"/>
      <c r="BR40" s="615"/>
      <c r="BS40" s="628"/>
      <c r="BT40" s="627"/>
      <c r="BU40" s="615"/>
      <c r="BV40" s="615"/>
      <c r="BW40" s="615"/>
      <c r="BX40" s="629"/>
    </row>
    <row r="41" spans="1:77" ht="10.5" customHeight="1" thickBot="1" x14ac:dyDescent="0.2">
      <c r="A41" s="23">
        <v>36</v>
      </c>
      <c r="B41" s="647"/>
      <c r="C41" s="648"/>
      <c r="D41" s="653"/>
      <c r="E41" s="654"/>
      <c r="F41" s="633" t="s">
        <v>188</v>
      </c>
      <c r="G41" s="634"/>
      <c r="H41" s="634"/>
      <c r="I41" s="634"/>
      <c r="J41" s="635"/>
      <c r="K41" s="132" t="s">
        <v>156</v>
      </c>
      <c r="L41" s="249"/>
      <c r="M41" s="250"/>
      <c r="N41" s="250"/>
      <c r="O41" s="250"/>
      <c r="P41" s="289"/>
      <c r="Q41" s="686" t="s">
        <v>200</v>
      </c>
      <c r="R41" s="687"/>
      <c r="S41" s="720" t="s">
        <v>199</v>
      </c>
      <c r="T41" s="721"/>
      <c r="U41" s="721"/>
      <c r="V41" s="721"/>
      <c r="W41" s="721"/>
      <c r="X41" s="721"/>
      <c r="Y41" s="722"/>
      <c r="Z41" s="222" t="s">
        <v>198</v>
      </c>
      <c r="AA41" s="276"/>
      <c r="AB41" s="277"/>
      <c r="AC41" s="277"/>
      <c r="AD41" s="277"/>
      <c r="AE41" s="336"/>
      <c r="AF41" s="673"/>
      <c r="AG41" s="710"/>
      <c r="AH41" s="711"/>
      <c r="AI41" s="723" t="s">
        <v>207</v>
      </c>
      <c r="AJ41" s="724"/>
      <c r="AK41" s="611"/>
      <c r="AL41" s="612"/>
      <c r="AM41" s="612"/>
      <c r="AN41" s="612"/>
      <c r="AO41" s="613"/>
      <c r="AP41" s="614"/>
      <c r="AQ41" s="615"/>
      <c r="AR41" s="615"/>
      <c r="AS41" s="615"/>
      <c r="AT41" s="616"/>
      <c r="AU41" s="26"/>
      <c r="AV41" s="26"/>
      <c r="AW41" s="26"/>
      <c r="AX41" s="26"/>
      <c r="AY41" s="26"/>
      <c r="AZ41" s="31"/>
      <c r="BA41" s="304" t="s">
        <v>95</v>
      </c>
      <c r="BB41" s="305"/>
      <c r="BC41" s="305"/>
      <c r="BD41" s="306"/>
      <c r="BE41" s="620"/>
      <c r="BF41" s="621"/>
      <c r="BG41" s="621"/>
      <c r="BH41" s="621"/>
      <c r="BI41" s="623"/>
      <c r="BJ41" s="624"/>
      <c r="BK41" s="625"/>
      <c r="BL41" s="625"/>
      <c r="BM41" s="625"/>
      <c r="BN41" s="626"/>
      <c r="BO41" s="627"/>
      <c r="BP41" s="615"/>
      <c r="BQ41" s="615"/>
      <c r="BR41" s="615"/>
      <c r="BS41" s="628"/>
      <c r="BT41" s="627"/>
      <c r="BU41" s="615"/>
      <c r="BV41" s="615"/>
      <c r="BW41" s="615"/>
      <c r="BX41" s="629"/>
    </row>
    <row r="42" spans="1:77" ht="10.5" customHeight="1" thickBot="1" x14ac:dyDescent="0.2">
      <c r="A42" s="23">
        <v>37</v>
      </c>
      <c r="B42" s="647"/>
      <c r="C42" s="648"/>
      <c r="D42" s="741"/>
      <c r="E42" s="742"/>
      <c r="F42" s="633" t="s">
        <v>178</v>
      </c>
      <c r="G42" s="634"/>
      <c r="H42" s="634"/>
      <c r="I42" s="634"/>
      <c r="J42" s="635"/>
      <c r="K42" s="214" t="s">
        <v>156</v>
      </c>
      <c r="L42" s="249"/>
      <c r="M42" s="250"/>
      <c r="N42" s="250"/>
      <c r="O42" s="250"/>
      <c r="P42" s="289"/>
      <c r="Q42" s="679"/>
      <c r="R42" s="688"/>
      <c r="S42" s="712" t="s">
        <v>376</v>
      </c>
      <c r="T42" s="713"/>
      <c r="U42" s="718" t="s">
        <v>375</v>
      </c>
      <c r="V42" s="309"/>
      <c r="W42" s="309"/>
      <c r="X42" s="309"/>
      <c r="Y42" s="310"/>
      <c r="Z42" s="37" t="s">
        <v>156</v>
      </c>
      <c r="AA42" s="249"/>
      <c r="AB42" s="250"/>
      <c r="AC42" s="250"/>
      <c r="AD42" s="250"/>
      <c r="AE42" s="251"/>
      <c r="AF42" s="673"/>
      <c r="AG42" s="663"/>
      <c r="AH42" s="664"/>
      <c r="AI42" s="610" t="s">
        <v>204</v>
      </c>
      <c r="AJ42" s="704"/>
      <c r="AK42" s="611"/>
      <c r="AL42" s="612"/>
      <c r="AM42" s="612"/>
      <c r="AN42" s="612"/>
      <c r="AO42" s="613"/>
      <c r="AP42" s="614"/>
      <c r="AQ42" s="615"/>
      <c r="AR42" s="615"/>
      <c r="AS42" s="615"/>
      <c r="AT42" s="616"/>
      <c r="AU42" s="26"/>
      <c r="AV42" s="26"/>
      <c r="AW42" s="26"/>
      <c r="AX42" s="26"/>
      <c r="AY42" s="26"/>
      <c r="BJ42" s="705"/>
      <c r="BK42" s="706"/>
      <c r="BL42" s="706"/>
      <c r="BM42" s="706"/>
      <c r="BN42" s="707"/>
      <c r="BO42" s="620"/>
      <c r="BP42" s="621"/>
      <c r="BQ42" s="621"/>
      <c r="BR42" s="621"/>
      <c r="BS42" s="622"/>
      <c r="BT42" s="620"/>
      <c r="BU42" s="621"/>
      <c r="BV42" s="621"/>
      <c r="BW42" s="621"/>
      <c r="BX42" s="623"/>
    </row>
    <row r="43" spans="1:77" ht="10.5" customHeight="1" x14ac:dyDescent="0.15">
      <c r="A43" s="23">
        <v>38</v>
      </c>
      <c r="B43" s="647"/>
      <c r="C43" s="648"/>
      <c r="D43" s="655" t="s">
        <v>202</v>
      </c>
      <c r="E43" s="656"/>
      <c r="F43" s="633" t="s">
        <v>201</v>
      </c>
      <c r="G43" s="634"/>
      <c r="H43" s="634"/>
      <c r="I43" s="634"/>
      <c r="J43" s="635"/>
      <c r="K43" s="132" t="s">
        <v>160</v>
      </c>
      <c r="L43" s="249"/>
      <c r="M43" s="250"/>
      <c r="N43" s="250"/>
      <c r="O43" s="250"/>
      <c r="P43" s="289"/>
      <c r="Q43" s="679"/>
      <c r="R43" s="688"/>
      <c r="S43" s="714"/>
      <c r="T43" s="715"/>
      <c r="U43" s="138"/>
      <c r="V43" s="335" t="s">
        <v>193</v>
      </c>
      <c r="W43" s="247"/>
      <c r="X43" s="247"/>
      <c r="Y43" s="248"/>
      <c r="Z43" s="37" t="s">
        <v>156</v>
      </c>
      <c r="AA43" s="249"/>
      <c r="AB43" s="250"/>
      <c r="AC43" s="250"/>
      <c r="AD43" s="250"/>
      <c r="AE43" s="251"/>
      <c r="AF43" s="674"/>
      <c r="AG43" s="600" t="s">
        <v>197</v>
      </c>
      <c r="AH43" s="696"/>
      <c r="AI43" s="696"/>
      <c r="AJ43" s="696"/>
      <c r="AK43" s="670"/>
      <c r="AL43" s="671"/>
      <c r="AM43" s="671"/>
      <c r="AN43" s="671"/>
      <c r="AO43" s="672"/>
      <c r="AP43" s="617"/>
      <c r="AQ43" s="618"/>
      <c r="AR43" s="618"/>
      <c r="AS43" s="618"/>
      <c r="AT43" s="619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36"/>
    </row>
    <row r="44" spans="1:77" ht="10.5" customHeight="1" x14ac:dyDescent="0.15">
      <c r="A44" s="23">
        <v>39</v>
      </c>
      <c r="B44" s="647"/>
      <c r="C44" s="648"/>
      <c r="D44" s="657"/>
      <c r="E44" s="658"/>
      <c r="F44" s="639" t="s">
        <v>194</v>
      </c>
      <c r="G44" s="640"/>
      <c r="H44" s="640"/>
      <c r="I44" s="640"/>
      <c r="J44" s="641"/>
      <c r="K44" s="215" t="s">
        <v>27</v>
      </c>
      <c r="L44" s="249"/>
      <c r="M44" s="250"/>
      <c r="N44" s="250"/>
      <c r="O44" s="250"/>
      <c r="P44" s="289"/>
      <c r="Q44" s="679"/>
      <c r="R44" s="688"/>
      <c r="S44" s="714"/>
      <c r="T44" s="715"/>
      <c r="U44" s="137"/>
      <c r="V44" s="335" t="s">
        <v>374</v>
      </c>
      <c r="W44" s="247"/>
      <c r="X44" s="247"/>
      <c r="Y44" s="248"/>
      <c r="Z44" s="37" t="s">
        <v>156</v>
      </c>
      <c r="AA44" s="249"/>
      <c r="AB44" s="250"/>
      <c r="AC44" s="250"/>
      <c r="AD44" s="250"/>
      <c r="AE44" s="251"/>
      <c r="AF44" s="673" t="s">
        <v>192</v>
      </c>
      <c r="AG44" s="675" t="s">
        <v>191</v>
      </c>
      <c r="AH44" s="675"/>
      <c r="AI44" s="675"/>
      <c r="AJ44" s="676"/>
      <c r="AK44" s="603"/>
      <c r="AL44" s="604"/>
      <c r="AM44" s="604"/>
      <c r="AN44" s="604"/>
      <c r="AO44" s="605"/>
      <c r="AP44" s="606"/>
      <c r="AQ44" s="607"/>
      <c r="AR44" s="607"/>
      <c r="AS44" s="607"/>
      <c r="AT44" s="608"/>
      <c r="AU44" s="26"/>
      <c r="AV44" s="26"/>
      <c r="AW44" s="26"/>
      <c r="AX44" s="26"/>
      <c r="AY44" s="26"/>
      <c r="BT44" s="26"/>
      <c r="BU44" s="26"/>
      <c r="BV44" s="26"/>
      <c r="BW44" s="26"/>
      <c r="BX44" s="36"/>
    </row>
    <row r="45" spans="1:77" ht="10.5" customHeight="1" x14ac:dyDescent="0.15">
      <c r="A45" s="23">
        <v>40</v>
      </c>
      <c r="B45" s="739"/>
      <c r="C45" s="740"/>
      <c r="D45" s="749"/>
      <c r="E45" s="750"/>
      <c r="F45" s="639" t="s">
        <v>188</v>
      </c>
      <c r="G45" s="640"/>
      <c r="H45" s="640"/>
      <c r="I45" s="640"/>
      <c r="J45" s="641"/>
      <c r="K45" s="136" t="s">
        <v>27</v>
      </c>
      <c r="L45" s="319"/>
      <c r="M45" s="320"/>
      <c r="N45" s="320"/>
      <c r="O45" s="320"/>
      <c r="P45" s="333"/>
      <c r="Q45" s="681"/>
      <c r="R45" s="719"/>
      <c r="S45" s="716"/>
      <c r="T45" s="717"/>
      <c r="U45" s="600" t="s">
        <v>187</v>
      </c>
      <c r="V45" s="696"/>
      <c r="W45" s="696"/>
      <c r="X45" s="696"/>
      <c r="Y45" s="697"/>
      <c r="Z45" s="40" t="s">
        <v>27</v>
      </c>
      <c r="AA45" s="319"/>
      <c r="AB45" s="320"/>
      <c r="AC45" s="320"/>
      <c r="AD45" s="320"/>
      <c r="AE45" s="334"/>
      <c r="AF45" s="673"/>
      <c r="AG45" s="698" t="s">
        <v>186</v>
      </c>
      <c r="AH45" s="698"/>
      <c r="AI45" s="698"/>
      <c r="AJ45" s="636"/>
      <c r="AK45" s="611"/>
      <c r="AL45" s="612"/>
      <c r="AM45" s="612"/>
      <c r="AN45" s="612"/>
      <c r="AO45" s="613"/>
      <c r="AP45" s="614"/>
      <c r="AQ45" s="615"/>
      <c r="AR45" s="615"/>
      <c r="AS45" s="615"/>
      <c r="AT45" s="616"/>
      <c r="AU45" s="26"/>
      <c r="AV45" s="26"/>
      <c r="AW45" s="26"/>
      <c r="AX45" s="26"/>
      <c r="AY45" s="26"/>
      <c r="BT45" s="26"/>
      <c r="BU45" s="26"/>
      <c r="BV45" s="26"/>
      <c r="BW45" s="26"/>
      <c r="BX45" s="36"/>
    </row>
    <row r="46" spans="1:77" ht="10.5" customHeight="1" x14ac:dyDescent="0.15">
      <c r="A46" s="23">
        <v>41</v>
      </c>
      <c r="B46" s="645" t="s">
        <v>373</v>
      </c>
      <c r="C46" s="646"/>
      <c r="D46" s="651" t="s">
        <v>183</v>
      </c>
      <c r="E46" s="652"/>
      <c r="F46" s="677" t="s">
        <v>182</v>
      </c>
      <c r="G46" s="677"/>
      <c r="H46" s="677"/>
      <c r="I46" s="677"/>
      <c r="J46" s="678"/>
      <c r="K46" s="135" t="s">
        <v>181</v>
      </c>
      <c r="L46" s="276"/>
      <c r="M46" s="277"/>
      <c r="N46" s="277"/>
      <c r="O46" s="277"/>
      <c r="P46" s="324"/>
      <c r="Q46" s="679" t="s">
        <v>177</v>
      </c>
      <c r="R46" s="680"/>
      <c r="S46" s="663" t="s">
        <v>372</v>
      </c>
      <c r="T46" s="664"/>
      <c r="U46" s="683" t="s">
        <v>176</v>
      </c>
      <c r="V46" s="684"/>
      <c r="W46" s="684"/>
      <c r="X46" s="684"/>
      <c r="Y46" s="685"/>
      <c r="Z46" s="39" t="s">
        <v>175</v>
      </c>
      <c r="AA46" s="276"/>
      <c r="AB46" s="277"/>
      <c r="AC46" s="277"/>
      <c r="AD46" s="277"/>
      <c r="AE46" s="336"/>
      <c r="AF46" s="673"/>
      <c r="AG46" s="609" t="s">
        <v>371</v>
      </c>
      <c r="AH46" s="609"/>
      <c r="AI46" s="609"/>
      <c r="AJ46" s="610"/>
      <c r="AK46" s="611"/>
      <c r="AL46" s="612"/>
      <c r="AM46" s="612"/>
      <c r="AN46" s="612"/>
      <c r="AO46" s="613"/>
      <c r="AP46" s="614"/>
      <c r="AQ46" s="615"/>
      <c r="AR46" s="615"/>
      <c r="AS46" s="615"/>
      <c r="AT46" s="616"/>
      <c r="AU46" s="26"/>
      <c r="AV46" s="26"/>
      <c r="AW46" s="26"/>
      <c r="AX46" s="26"/>
      <c r="AY46" s="26"/>
      <c r="BT46" s="26"/>
      <c r="BU46" s="26"/>
      <c r="BV46" s="26"/>
      <c r="BW46" s="26"/>
      <c r="BX46" s="36"/>
    </row>
    <row r="47" spans="1:77" ht="10.5" customHeight="1" x14ac:dyDescent="0.15">
      <c r="A47" s="23">
        <v>42</v>
      </c>
      <c r="B47" s="647"/>
      <c r="C47" s="648"/>
      <c r="D47" s="653"/>
      <c r="E47" s="654"/>
      <c r="F47" s="633" t="s">
        <v>178</v>
      </c>
      <c r="G47" s="634"/>
      <c r="H47" s="634"/>
      <c r="I47" s="634"/>
      <c r="J47" s="635"/>
      <c r="K47" s="132" t="s">
        <v>156</v>
      </c>
      <c r="L47" s="249"/>
      <c r="M47" s="250"/>
      <c r="N47" s="250"/>
      <c r="O47" s="250"/>
      <c r="P47" s="289"/>
      <c r="Q47" s="681"/>
      <c r="R47" s="682"/>
      <c r="S47" s="665"/>
      <c r="T47" s="666"/>
      <c r="U47" s="695" t="s">
        <v>170</v>
      </c>
      <c r="V47" s="369"/>
      <c r="W47" s="369"/>
      <c r="X47" s="369"/>
      <c r="Y47" s="370"/>
      <c r="Z47" s="218" t="s">
        <v>27</v>
      </c>
      <c r="AA47" s="319"/>
      <c r="AB47" s="320"/>
      <c r="AC47" s="320"/>
      <c r="AD47" s="320"/>
      <c r="AE47" s="334"/>
      <c r="AF47" s="674"/>
      <c r="AG47" s="599" t="s">
        <v>174</v>
      </c>
      <c r="AH47" s="599"/>
      <c r="AI47" s="599"/>
      <c r="AJ47" s="600"/>
      <c r="AK47" s="670"/>
      <c r="AL47" s="671"/>
      <c r="AM47" s="671"/>
      <c r="AN47" s="671"/>
      <c r="AO47" s="672"/>
      <c r="AP47" s="617"/>
      <c r="AQ47" s="618"/>
      <c r="AR47" s="618"/>
      <c r="AS47" s="618"/>
      <c r="AT47" s="619"/>
      <c r="AU47" s="26"/>
      <c r="AV47" s="26"/>
      <c r="AW47" s="26"/>
      <c r="AX47" s="26"/>
      <c r="AY47" s="26"/>
      <c r="BT47" s="26"/>
      <c r="BU47" s="26"/>
      <c r="BV47" s="26"/>
      <c r="BW47" s="26"/>
      <c r="BX47" s="36"/>
    </row>
    <row r="48" spans="1:77" ht="10.5" customHeight="1" thickBot="1" x14ac:dyDescent="0.2">
      <c r="A48" s="23">
        <v>43</v>
      </c>
      <c r="B48" s="647"/>
      <c r="C48" s="648"/>
      <c r="D48" s="653"/>
      <c r="E48" s="654"/>
      <c r="F48" s="633" t="s">
        <v>171</v>
      </c>
      <c r="G48" s="634"/>
      <c r="H48" s="634"/>
      <c r="I48" s="634"/>
      <c r="J48" s="635"/>
      <c r="K48" s="132" t="s">
        <v>156</v>
      </c>
      <c r="L48" s="249"/>
      <c r="M48" s="250"/>
      <c r="N48" s="250"/>
      <c r="O48" s="250"/>
      <c r="P48" s="289"/>
      <c r="Q48" s="686" t="s">
        <v>166</v>
      </c>
      <c r="R48" s="687"/>
      <c r="S48" s="691" t="s">
        <v>165</v>
      </c>
      <c r="T48" s="377"/>
      <c r="U48" s="377"/>
      <c r="V48" s="377"/>
      <c r="W48" s="377"/>
      <c r="X48" s="377"/>
      <c r="Y48" s="378"/>
      <c r="Z48" s="41" t="s">
        <v>155</v>
      </c>
      <c r="AA48" s="276"/>
      <c r="AB48" s="277"/>
      <c r="AC48" s="277"/>
      <c r="AD48" s="277"/>
      <c r="AE48" s="336"/>
      <c r="AF48" s="312" t="s">
        <v>169</v>
      </c>
      <c r="AG48" s="312"/>
      <c r="AH48" s="312"/>
      <c r="AI48" s="312"/>
      <c r="AJ48" s="312"/>
      <c r="AK48" s="692"/>
      <c r="AL48" s="693"/>
      <c r="AM48" s="693"/>
      <c r="AN48" s="693"/>
      <c r="AO48" s="694"/>
      <c r="AP48" s="630"/>
      <c r="AQ48" s="631"/>
      <c r="AR48" s="631"/>
      <c r="AS48" s="631"/>
      <c r="AT48" s="632"/>
      <c r="AU48" s="26"/>
      <c r="AV48" s="26"/>
      <c r="AW48" s="26"/>
      <c r="AX48" s="26"/>
      <c r="AY48" s="26"/>
      <c r="BT48" s="26"/>
      <c r="BU48" s="26"/>
      <c r="BV48" s="26"/>
      <c r="BW48" s="26"/>
      <c r="BX48" s="36"/>
      <c r="BY48" s="26"/>
    </row>
    <row r="49" spans="1:76" ht="10.5" customHeight="1" x14ac:dyDescent="0.15">
      <c r="A49" s="23">
        <v>44</v>
      </c>
      <c r="B49" s="647"/>
      <c r="C49" s="648"/>
      <c r="D49" s="653"/>
      <c r="E49" s="654"/>
      <c r="F49" s="633" t="s">
        <v>157</v>
      </c>
      <c r="G49" s="634"/>
      <c r="H49" s="634"/>
      <c r="I49" s="634"/>
      <c r="J49" s="635"/>
      <c r="K49" s="214" t="s">
        <v>156</v>
      </c>
      <c r="L49" s="249"/>
      <c r="M49" s="250"/>
      <c r="N49" s="250"/>
      <c r="O49" s="250"/>
      <c r="P49" s="289"/>
      <c r="Q49" s="679"/>
      <c r="R49" s="688"/>
      <c r="S49" s="636" t="s">
        <v>161</v>
      </c>
      <c r="T49" s="637"/>
      <c r="U49" s="637"/>
      <c r="V49" s="637"/>
      <c r="W49" s="637"/>
      <c r="X49" s="637"/>
      <c r="Y49" s="638"/>
      <c r="Z49" s="217" t="s">
        <v>160</v>
      </c>
      <c r="AA49" s="249"/>
      <c r="AB49" s="250"/>
      <c r="AC49" s="250"/>
      <c r="AD49" s="250"/>
      <c r="AE49" s="251"/>
      <c r="AF49" s="134"/>
      <c r="AG49" s="134"/>
      <c r="AH49" s="134"/>
      <c r="AI49" s="134"/>
      <c r="AJ49" s="134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BT49" s="26"/>
      <c r="BU49" s="26"/>
      <c r="BV49" s="26"/>
      <c r="BW49" s="26"/>
      <c r="BX49" s="36"/>
    </row>
    <row r="50" spans="1:76" ht="9.75" customHeight="1" thickBot="1" x14ac:dyDescent="0.2">
      <c r="A50" s="23">
        <v>45</v>
      </c>
      <c r="B50" s="647"/>
      <c r="C50" s="648"/>
      <c r="D50" s="653"/>
      <c r="E50" s="654"/>
      <c r="F50" s="633" t="s">
        <v>162</v>
      </c>
      <c r="G50" s="634"/>
      <c r="H50" s="634"/>
      <c r="I50" s="634"/>
      <c r="J50" s="635"/>
      <c r="K50" s="132" t="s">
        <v>156</v>
      </c>
      <c r="L50" s="249"/>
      <c r="M50" s="250"/>
      <c r="N50" s="250"/>
      <c r="O50" s="250"/>
      <c r="P50" s="289"/>
      <c r="Q50" s="689"/>
      <c r="R50" s="690"/>
      <c r="S50" s="667" t="s">
        <v>370</v>
      </c>
      <c r="T50" s="668"/>
      <c r="U50" s="668"/>
      <c r="V50" s="668"/>
      <c r="W50" s="668"/>
      <c r="X50" s="668"/>
      <c r="Y50" s="669"/>
      <c r="Z50" s="33" t="s">
        <v>155</v>
      </c>
      <c r="AA50" s="262"/>
      <c r="AB50" s="263"/>
      <c r="AC50" s="263"/>
      <c r="AD50" s="263"/>
      <c r="AE50" s="264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BT50" s="26"/>
      <c r="BU50" s="26"/>
      <c r="BV50" s="26"/>
      <c r="BW50" s="26"/>
      <c r="BX50" s="36"/>
    </row>
    <row r="51" spans="1:76" ht="10.5" customHeight="1" x14ac:dyDescent="0.15">
      <c r="A51" s="23">
        <v>46</v>
      </c>
      <c r="B51" s="647"/>
      <c r="C51" s="648"/>
      <c r="D51" s="653"/>
      <c r="E51" s="654"/>
      <c r="F51" s="661" t="s">
        <v>157</v>
      </c>
      <c r="G51" s="661"/>
      <c r="H51" s="661"/>
      <c r="I51" s="661"/>
      <c r="J51" s="662"/>
      <c r="K51" s="214" t="s">
        <v>156</v>
      </c>
      <c r="L51" s="249"/>
      <c r="M51" s="250"/>
      <c r="N51" s="250"/>
      <c r="O51" s="250"/>
      <c r="P51" s="272"/>
      <c r="Q51" s="133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BT51" s="26"/>
      <c r="BU51" s="26"/>
      <c r="BV51" s="26"/>
      <c r="BW51" s="26"/>
      <c r="BX51" s="36"/>
    </row>
    <row r="52" spans="1:76" ht="9.75" customHeight="1" x14ac:dyDescent="0.15">
      <c r="A52" s="23">
        <v>47</v>
      </c>
      <c r="B52" s="647"/>
      <c r="C52" s="648"/>
      <c r="D52" s="655" t="s">
        <v>202</v>
      </c>
      <c r="E52" s="656"/>
      <c r="F52" s="633" t="s">
        <v>259</v>
      </c>
      <c r="G52" s="634"/>
      <c r="H52" s="634"/>
      <c r="I52" s="634"/>
      <c r="J52" s="635"/>
      <c r="K52" s="132" t="s">
        <v>160</v>
      </c>
      <c r="L52" s="249"/>
      <c r="M52" s="250"/>
      <c r="N52" s="250"/>
      <c r="O52" s="250"/>
      <c r="P52" s="272"/>
      <c r="Q52" s="131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BT52" s="26"/>
      <c r="BU52" s="26"/>
      <c r="BV52" s="26"/>
      <c r="BW52" s="26"/>
      <c r="BX52" s="36"/>
    </row>
    <row r="53" spans="1:76" ht="9.75" customHeight="1" x14ac:dyDescent="0.15">
      <c r="A53" s="23">
        <v>48</v>
      </c>
      <c r="B53" s="647"/>
      <c r="C53" s="648"/>
      <c r="D53" s="657"/>
      <c r="E53" s="658"/>
      <c r="F53" s="639" t="s">
        <v>254</v>
      </c>
      <c r="G53" s="640"/>
      <c r="H53" s="640"/>
      <c r="I53" s="640"/>
      <c r="J53" s="641"/>
      <c r="K53" s="215" t="s">
        <v>27</v>
      </c>
      <c r="L53" s="249"/>
      <c r="M53" s="250"/>
      <c r="N53" s="250"/>
      <c r="O53" s="250"/>
      <c r="P53" s="272"/>
      <c r="Q53" s="131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BT53" s="26"/>
      <c r="BU53" s="26"/>
      <c r="BV53" s="26"/>
      <c r="BW53" s="26"/>
      <c r="BX53" s="36"/>
    </row>
    <row r="54" spans="1:76" ht="9.75" customHeight="1" thickBot="1" x14ac:dyDescent="0.2">
      <c r="A54" s="23">
        <v>49</v>
      </c>
      <c r="B54" s="649"/>
      <c r="C54" s="650"/>
      <c r="D54" s="659"/>
      <c r="E54" s="660"/>
      <c r="F54" s="642" t="s">
        <v>369</v>
      </c>
      <c r="G54" s="643"/>
      <c r="H54" s="643"/>
      <c r="I54" s="643"/>
      <c r="J54" s="644"/>
      <c r="K54" s="130" t="s">
        <v>27</v>
      </c>
      <c r="L54" s="262"/>
      <c r="M54" s="263"/>
      <c r="N54" s="263"/>
      <c r="O54" s="263"/>
      <c r="P54" s="296"/>
      <c r="Q54" s="129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32"/>
    </row>
    <row r="55" spans="1:76" ht="10.5" customHeight="1" x14ac:dyDescent="0.15">
      <c r="A55" s="23"/>
      <c r="B55" s="601">
        <v>1</v>
      </c>
      <c r="C55" s="601"/>
      <c r="D55" s="601"/>
      <c r="E55" s="601"/>
      <c r="F55" s="601"/>
      <c r="G55" s="601">
        <v>2</v>
      </c>
      <c r="H55" s="601"/>
      <c r="I55" s="601"/>
      <c r="J55" s="601"/>
      <c r="K55" s="601"/>
      <c r="L55" s="601">
        <v>3</v>
      </c>
      <c r="M55" s="601"/>
      <c r="N55" s="601"/>
      <c r="O55" s="601"/>
      <c r="P55" s="601"/>
      <c r="Q55" s="601">
        <v>4</v>
      </c>
      <c r="R55" s="601"/>
      <c r="S55" s="601"/>
      <c r="T55" s="601"/>
      <c r="U55" s="601"/>
      <c r="V55" s="601">
        <v>5</v>
      </c>
      <c r="W55" s="601"/>
      <c r="X55" s="601"/>
      <c r="Y55" s="601"/>
      <c r="Z55" s="601"/>
      <c r="AA55" s="601">
        <v>6</v>
      </c>
      <c r="AB55" s="601"/>
      <c r="AC55" s="601"/>
      <c r="AD55" s="601"/>
      <c r="AE55" s="601"/>
      <c r="AF55" s="601">
        <v>7</v>
      </c>
      <c r="AG55" s="601"/>
      <c r="AH55" s="601"/>
      <c r="AI55" s="601"/>
      <c r="AJ55" s="601"/>
      <c r="AK55" s="601">
        <v>8</v>
      </c>
      <c r="AL55" s="601"/>
      <c r="AM55" s="601"/>
      <c r="AN55" s="601"/>
      <c r="AO55" s="601"/>
      <c r="AP55" s="601">
        <v>9</v>
      </c>
      <c r="AQ55" s="601"/>
      <c r="AR55" s="601"/>
      <c r="AS55" s="601"/>
      <c r="AT55" s="601"/>
      <c r="AU55" s="602">
        <v>10</v>
      </c>
      <c r="AV55" s="602"/>
      <c r="AW55" s="602"/>
      <c r="AX55" s="602"/>
      <c r="AY55" s="602"/>
      <c r="AZ55" s="602">
        <v>11</v>
      </c>
      <c r="BA55" s="602"/>
      <c r="BB55" s="602"/>
      <c r="BC55" s="602"/>
      <c r="BD55" s="602"/>
      <c r="BE55" s="602">
        <v>12</v>
      </c>
      <c r="BF55" s="602"/>
      <c r="BG55" s="602"/>
      <c r="BH55" s="602"/>
      <c r="BI55" s="602"/>
      <c r="BJ55" s="601">
        <v>13</v>
      </c>
      <c r="BK55" s="601"/>
      <c r="BL55" s="601"/>
      <c r="BM55" s="601"/>
      <c r="BN55" s="601"/>
      <c r="BO55" s="601">
        <v>14</v>
      </c>
      <c r="BP55" s="601"/>
      <c r="BQ55" s="601"/>
      <c r="BR55" s="601"/>
      <c r="BS55" s="601"/>
      <c r="BT55" s="601">
        <v>15</v>
      </c>
      <c r="BU55" s="601"/>
      <c r="BV55" s="601"/>
      <c r="BW55" s="601"/>
      <c r="BX55" s="601"/>
    </row>
  </sheetData>
  <mergeCells count="589">
    <mergeCell ref="BO3:BX3"/>
    <mergeCell ref="B5:AE5"/>
    <mergeCell ref="AF5:BI5"/>
    <mergeCell ref="BJ5:BX5"/>
    <mergeCell ref="B6:C12"/>
    <mergeCell ref="D6:E10"/>
    <mergeCell ref="F6:J6"/>
    <mergeCell ref="L6:P6"/>
    <mergeCell ref="Q6:R18"/>
    <mergeCell ref="S6:T13"/>
    <mergeCell ref="AZ6:BD6"/>
    <mergeCell ref="BE6:BI6"/>
    <mergeCell ref="BJ6:BN6"/>
    <mergeCell ref="BO6:BS6"/>
    <mergeCell ref="BT6:BX6"/>
    <mergeCell ref="F7:J7"/>
    <mergeCell ref="L7:P7"/>
    <mergeCell ref="U7:Y7"/>
    <mergeCell ref="AA7:AE7"/>
    <mergeCell ref="AF7:AJ7"/>
    <mergeCell ref="AU8:AV10"/>
    <mergeCell ref="AW8:AY8"/>
    <mergeCell ref="AZ8:BD8"/>
    <mergeCell ref="BE8:BI8"/>
    <mergeCell ref="AP6:AT6"/>
    <mergeCell ref="AU6:AY6"/>
    <mergeCell ref="AP8:AT8"/>
    <mergeCell ref="U6:Y6"/>
    <mergeCell ref="AA6:AE6"/>
    <mergeCell ref="AF6:AJ6"/>
    <mergeCell ref="AK6:AO6"/>
    <mergeCell ref="L9:P9"/>
    <mergeCell ref="U9:Y9"/>
    <mergeCell ref="AA9:AE9"/>
    <mergeCell ref="BO7:BS7"/>
    <mergeCell ref="BT7:BX7"/>
    <mergeCell ref="F8:J8"/>
    <mergeCell ref="L8:P8"/>
    <mergeCell ref="U8:Y8"/>
    <mergeCell ref="AA8:AE8"/>
    <mergeCell ref="AF8:AF11"/>
    <mergeCell ref="AG8:AH9"/>
    <mergeCell ref="AI8:AJ8"/>
    <mergeCell ref="AK8:AO8"/>
    <mergeCell ref="AK7:AO7"/>
    <mergeCell ref="AP7:AT7"/>
    <mergeCell ref="AU7:AY7"/>
    <mergeCell ref="AZ7:BD7"/>
    <mergeCell ref="BE7:BI7"/>
    <mergeCell ref="BJ7:BN7"/>
    <mergeCell ref="BO8:BS8"/>
    <mergeCell ref="BT8:BX8"/>
    <mergeCell ref="BJ8:BN8"/>
    <mergeCell ref="AZ9:BD9"/>
    <mergeCell ref="BE9:BI9"/>
    <mergeCell ref="BJ9:BN9"/>
    <mergeCell ref="AZ10:BD10"/>
    <mergeCell ref="BO9:BS9"/>
    <mergeCell ref="BT9:BX9"/>
    <mergeCell ref="F10:J10"/>
    <mergeCell ref="L10:P10"/>
    <mergeCell ref="U10:Y10"/>
    <mergeCell ref="AA10:AE10"/>
    <mergeCell ref="AG10:AJ10"/>
    <mergeCell ref="AK10:AO10"/>
    <mergeCell ref="AP10:AT10"/>
    <mergeCell ref="AW10:AY10"/>
    <mergeCell ref="BE10:BI10"/>
    <mergeCell ref="BJ10:BN10"/>
    <mergeCell ref="BO10:BS10"/>
    <mergeCell ref="BT10:BX10"/>
    <mergeCell ref="AI9:AJ9"/>
    <mergeCell ref="AK9:AO9"/>
    <mergeCell ref="AP9:AT9"/>
    <mergeCell ref="AW9:AY9"/>
    <mergeCell ref="F9:J9"/>
    <mergeCell ref="D11:E12"/>
    <mergeCell ref="F11:J11"/>
    <mergeCell ref="L11:P11"/>
    <mergeCell ref="U11:Y11"/>
    <mergeCell ref="AA11:AE11"/>
    <mergeCell ref="AG11:AJ11"/>
    <mergeCell ref="BO11:BS11"/>
    <mergeCell ref="BT11:BX11"/>
    <mergeCell ref="F12:J12"/>
    <mergeCell ref="L12:P12"/>
    <mergeCell ref="U12:Y12"/>
    <mergeCell ref="AA12:AE12"/>
    <mergeCell ref="AF12:AF17"/>
    <mergeCell ref="AG12:AJ12"/>
    <mergeCell ref="AK12:AO12"/>
    <mergeCell ref="AP12:AT12"/>
    <mergeCell ref="AK11:AO11"/>
    <mergeCell ref="AP11:AT11"/>
    <mergeCell ref="AU11:AY11"/>
    <mergeCell ref="AZ11:BD11"/>
    <mergeCell ref="BE11:BI11"/>
    <mergeCell ref="BJ11:BN11"/>
    <mergeCell ref="BT12:BX12"/>
    <mergeCell ref="AU12:AV16"/>
    <mergeCell ref="B13:C30"/>
    <mergeCell ref="D13:E24"/>
    <mergeCell ref="F13:J13"/>
    <mergeCell ref="L13:P13"/>
    <mergeCell ref="U13:Y13"/>
    <mergeCell ref="AA13:AE13"/>
    <mergeCell ref="AG13:AJ13"/>
    <mergeCell ref="AK13:AO13"/>
    <mergeCell ref="AP13:AT13"/>
    <mergeCell ref="F15:J15"/>
    <mergeCell ref="L15:P15"/>
    <mergeCell ref="S15:Y15"/>
    <mergeCell ref="AA15:AE15"/>
    <mergeCell ref="AG15:AJ15"/>
    <mergeCell ref="F16:J16"/>
    <mergeCell ref="L16:P16"/>
    <mergeCell ref="S16:T18"/>
    <mergeCell ref="U16:Y16"/>
    <mergeCell ref="AA16:AE16"/>
    <mergeCell ref="AG16:AJ16"/>
    <mergeCell ref="AK16:AO16"/>
    <mergeCell ref="AP16:AT16"/>
    <mergeCell ref="AK15:AO15"/>
    <mergeCell ref="AP15:AT15"/>
    <mergeCell ref="AW12:AY12"/>
    <mergeCell ref="AZ12:BD12"/>
    <mergeCell ref="BE12:BI12"/>
    <mergeCell ref="BJ12:BN12"/>
    <mergeCell ref="BO12:BS12"/>
    <mergeCell ref="AX13:AY13"/>
    <mergeCell ref="AZ13:BD13"/>
    <mergeCell ref="BE13:BI13"/>
    <mergeCell ref="BJ13:BN13"/>
    <mergeCell ref="BO13:BS13"/>
    <mergeCell ref="BT13:BX13"/>
    <mergeCell ref="F14:J14"/>
    <mergeCell ref="L14:P14"/>
    <mergeCell ref="S14:Y14"/>
    <mergeCell ref="AA14:AE14"/>
    <mergeCell ref="AG14:AJ14"/>
    <mergeCell ref="AK14:AO14"/>
    <mergeCell ref="AP14:AT14"/>
    <mergeCell ref="AX14:AY14"/>
    <mergeCell ref="AZ14:BD14"/>
    <mergeCell ref="BE14:BI14"/>
    <mergeCell ref="BJ14:BN14"/>
    <mergeCell ref="BO14:BS14"/>
    <mergeCell ref="BT14:BX14"/>
    <mergeCell ref="BO17:BS17"/>
    <mergeCell ref="BT17:BX17"/>
    <mergeCell ref="AU17:AV19"/>
    <mergeCell ref="AW17:AY17"/>
    <mergeCell ref="AZ17:BD17"/>
    <mergeCell ref="BE17:BI17"/>
    <mergeCell ref="BJ17:BN17"/>
    <mergeCell ref="AW18:AY18"/>
    <mergeCell ref="AZ18:BD18"/>
    <mergeCell ref="BE18:BI18"/>
    <mergeCell ref="BJ18:BN18"/>
    <mergeCell ref="BO18:BS18"/>
    <mergeCell ref="BT18:BX18"/>
    <mergeCell ref="BT19:BX19"/>
    <mergeCell ref="BE19:BI19"/>
    <mergeCell ref="BJ19:BN19"/>
    <mergeCell ref="BO19:BS19"/>
    <mergeCell ref="AW16:AY16"/>
    <mergeCell ref="AZ16:BD16"/>
    <mergeCell ref="BE16:BI16"/>
    <mergeCell ref="BJ16:BN16"/>
    <mergeCell ref="BO16:BS16"/>
    <mergeCell ref="BT16:BX16"/>
    <mergeCell ref="BO15:BS15"/>
    <mergeCell ref="BT15:BX15"/>
    <mergeCell ref="AW15:AY15"/>
    <mergeCell ref="AZ15:BD15"/>
    <mergeCell ref="BE15:BI15"/>
    <mergeCell ref="BJ15:BN15"/>
    <mergeCell ref="F18:J18"/>
    <mergeCell ref="L18:P18"/>
    <mergeCell ref="U18:Y18"/>
    <mergeCell ref="AA18:AE18"/>
    <mergeCell ref="AF18:AF20"/>
    <mergeCell ref="AG18:AJ18"/>
    <mergeCell ref="AK18:AO18"/>
    <mergeCell ref="AP18:AT18"/>
    <mergeCell ref="AP17:AT17"/>
    <mergeCell ref="AG17:AJ17"/>
    <mergeCell ref="AK17:AO17"/>
    <mergeCell ref="F17:J17"/>
    <mergeCell ref="L17:P17"/>
    <mergeCell ref="U17:Y17"/>
    <mergeCell ref="AA17:AE17"/>
    <mergeCell ref="F19:J19"/>
    <mergeCell ref="L19:P19"/>
    <mergeCell ref="Q19:R21"/>
    <mergeCell ref="S19:T21"/>
    <mergeCell ref="U19:Y19"/>
    <mergeCell ref="AA19:AE19"/>
    <mergeCell ref="AG19:AJ19"/>
    <mergeCell ref="AK19:AO19"/>
    <mergeCell ref="F20:J20"/>
    <mergeCell ref="L20:P20"/>
    <mergeCell ref="U20:Y20"/>
    <mergeCell ref="AA20:AE20"/>
    <mergeCell ref="AG20:AJ20"/>
    <mergeCell ref="AK20:AO20"/>
    <mergeCell ref="AP20:AT20"/>
    <mergeCell ref="AU20:AY20"/>
    <mergeCell ref="AZ20:BD20"/>
    <mergeCell ref="AP19:AT19"/>
    <mergeCell ref="AW19:AY19"/>
    <mergeCell ref="AZ19:BD19"/>
    <mergeCell ref="BE20:BI20"/>
    <mergeCell ref="BJ20:BN20"/>
    <mergeCell ref="BO20:BS20"/>
    <mergeCell ref="BT20:BX20"/>
    <mergeCell ref="F21:J21"/>
    <mergeCell ref="L21:P21"/>
    <mergeCell ref="U21:Y21"/>
    <mergeCell ref="AA21:AE21"/>
    <mergeCell ref="AF21:AF24"/>
    <mergeCell ref="AG21:AJ21"/>
    <mergeCell ref="BO21:BS21"/>
    <mergeCell ref="BT21:BX21"/>
    <mergeCell ref="F22:J22"/>
    <mergeCell ref="L22:P22"/>
    <mergeCell ref="Q22:R23"/>
    <mergeCell ref="S22:Y22"/>
    <mergeCell ref="AA22:AE22"/>
    <mergeCell ref="AG22:AJ22"/>
    <mergeCell ref="AK22:AO22"/>
    <mergeCell ref="AP22:AT22"/>
    <mergeCell ref="AK21:AO21"/>
    <mergeCell ref="AP21:AT21"/>
    <mergeCell ref="AU21:AY21"/>
    <mergeCell ref="AZ21:BD21"/>
    <mergeCell ref="BE21:BI21"/>
    <mergeCell ref="BJ21:BN21"/>
    <mergeCell ref="BT22:BX22"/>
    <mergeCell ref="F23:J23"/>
    <mergeCell ref="L23:P23"/>
    <mergeCell ref="S23:Y23"/>
    <mergeCell ref="AA23:AE23"/>
    <mergeCell ref="AG23:AJ23"/>
    <mergeCell ref="AK23:AO23"/>
    <mergeCell ref="AP23:AT23"/>
    <mergeCell ref="AW23:AY23"/>
    <mergeCell ref="AZ23:BD23"/>
    <mergeCell ref="AU22:AV24"/>
    <mergeCell ref="AW22:AY22"/>
    <mergeCell ref="AZ22:BD22"/>
    <mergeCell ref="BE22:BI22"/>
    <mergeCell ref="BJ22:BN22"/>
    <mergeCell ref="BO22:BS22"/>
    <mergeCell ref="BE23:BI23"/>
    <mergeCell ref="BJ23:BN23"/>
    <mergeCell ref="BO23:BS23"/>
    <mergeCell ref="AW24:AY24"/>
    <mergeCell ref="BT23:BX23"/>
    <mergeCell ref="F24:J24"/>
    <mergeCell ref="L24:P24"/>
    <mergeCell ref="Q24:R30"/>
    <mergeCell ref="S24:T30"/>
    <mergeCell ref="U24:Y24"/>
    <mergeCell ref="AA24:AE24"/>
    <mergeCell ref="AG24:AJ24"/>
    <mergeCell ref="AK24:AO24"/>
    <mergeCell ref="AP24:AT24"/>
    <mergeCell ref="AZ24:BD24"/>
    <mergeCell ref="AP26:AT26"/>
    <mergeCell ref="AU26:AY26"/>
    <mergeCell ref="AZ26:BD26"/>
    <mergeCell ref="AP27:AT27"/>
    <mergeCell ref="AA28:AE28"/>
    <mergeCell ref="AF28:AF32"/>
    <mergeCell ref="AG28:AJ28"/>
    <mergeCell ref="AG31:AJ31"/>
    <mergeCell ref="AZ29:BD29"/>
    <mergeCell ref="BE24:BI24"/>
    <mergeCell ref="BJ24:BN24"/>
    <mergeCell ref="BO24:BS24"/>
    <mergeCell ref="BT24:BX24"/>
    <mergeCell ref="U27:Y27"/>
    <mergeCell ref="AA27:AE27"/>
    <mergeCell ref="D25:E30"/>
    <mergeCell ref="F25:J25"/>
    <mergeCell ref="L25:P25"/>
    <mergeCell ref="U25:Y25"/>
    <mergeCell ref="AA25:AE25"/>
    <mergeCell ref="BT25:BX25"/>
    <mergeCell ref="F26:J26"/>
    <mergeCell ref="L26:P26"/>
    <mergeCell ref="U26:Y26"/>
    <mergeCell ref="AA26:AE26"/>
    <mergeCell ref="AG26:AJ26"/>
    <mergeCell ref="AK26:AO26"/>
    <mergeCell ref="AF25:AF27"/>
    <mergeCell ref="AG25:AJ25"/>
    <mergeCell ref="AK25:AO25"/>
    <mergeCell ref="AP25:AT25"/>
    <mergeCell ref="AU25:AY25"/>
    <mergeCell ref="AZ25:BD25"/>
    <mergeCell ref="F27:J27"/>
    <mergeCell ref="L27:P27"/>
    <mergeCell ref="AG27:AJ27"/>
    <mergeCell ref="AK27:AO27"/>
    <mergeCell ref="BE25:BI25"/>
    <mergeCell ref="BJ25:BN25"/>
    <mergeCell ref="BO25:BS25"/>
    <mergeCell ref="AV27:AY27"/>
    <mergeCell ref="AZ27:BD27"/>
    <mergeCell ref="BE27:BI27"/>
    <mergeCell ref="BJ27:BN27"/>
    <mergeCell ref="BO27:BS27"/>
    <mergeCell ref="BT27:BX27"/>
    <mergeCell ref="BE26:BI26"/>
    <mergeCell ref="BJ26:BN26"/>
    <mergeCell ref="BO26:BS26"/>
    <mergeCell ref="BT26:BX26"/>
    <mergeCell ref="BO28:BS28"/>
    <mergeCell ref="BT28:BX28"/>
    <mergeCell ref="F29:J29"/>
    <mergeCell ref="L29:P29"/>
    <mergeCell ref="U29:Y29"/>
    <mergeCell ref="AA29:AE29"/>
    <mergeCell ref="AG29:AJ29"/>
    <mergeCell ref="AK29:AO29"/>
    <mergeCell ref="AP29:AT29"/>
    <mergeCell ref="AU29:AY29"/>
    <mergeCell ref="AK28:AO28"/>
    <mergeCell ref="AP28:AT28"/>
    <mergeCell ref="AU28:AY28"/>
    <mergeCell ref="AZ28:BD28"/>
    <mergeCell ref="BE28:BI28"/>
    <mergeCell ref="BJ28:BN28"/>
    <mergeCell ref="F28:J28"/>
    <mergeCell ref="L28:P28"/>
    <mergeCell ref="U28:Y28"/>
    <mergeCell ref="BE29:BI29"/>
    <mergeCell ref="BJ29:BN29"/>
    <mergeCell ref="BO29:BS29"/>
    <mergeCell ref="BT29:BX29"/>
    <mergeCell ref="AP31:AT31"/>
    <mergeCell ref="BJ31:BN31"/>
    <mergeCell ref="BO31:BS31"/>
    <mergeCell ref="BT31:BX31"/>
    <mergeCell ref="AK32:AO32"/>
    <mergeCell ref="AP32:AT32"/>
    <mergeCell ref="AZ32:BI32"/>
    <mergeCell ref="BJ32:BN32"/>
    <mergeCell ref="F30:J30"/>
    <mergeCell ref="L30:P30"/>
    <mergeCell ref="U30:Y30"/>
    <mergeCell ref="AA30:AE30"/>
    <mergeCell ref="AG30:AJ30"/>
    <mergeCell ref="BO30:BS30"/>
    <mergeCell ref="BT30:BX30"/>
    <mergeCell ref="B31:C36"/>
    <mergeCell ref="D31:E34"/>
    <mergeCell ref="F31:J31"/>
    <mergeCell ref="L31:P31"/>
    <mergeCell ref="Q31:R36"/>
    <mergeCell ref="S31:T35"/>
    <mergeCell ref="U31:Y31"/>
    <mergeCell ref="AA31:AE31"/>
    <mergeCell ref="AK30:AO30"/>
    <mergeCell ref="AP30:AT30"/>
    <mergeCell ref="AV30:AY30"/>
    <mergeCell ref="AZ30:BD30"/>
    <mergeCell ref="BE30:BI30"/>
    <mergeCell ref="BJ30:BN30"/>
    <mergeCell ref="BO32:BS32"/>
    <mergeCell ref="BT32:BX32"/>
    <mergeCell ref="AK31:AO31"/>
    <mergeCell ref="F32:J32"/>
    <mergeCell ref="L32:P32"/>
    <mergeCell ref="U32:Y32"/>
    <mergeCell ref="AA32:AE32"/>
    <mergeCell ref="AG32:AJ32"/>
    <mergeCell ref="L33:P33"/>
    <mergeCell ref="U33:Y33"/>
    <mergeCell ref="AA33:AE33"/>
    <mergeCell ref="AF33:AF35"/>
    <mergeCell ref="AG33:AJ33"/>
    <mergeCell ref="D35:E36"/>
    <mergeCell ref="F35:J35"/>
    <mergeCell ref="L35:P35"/>
    <mergeCell ref="U35:Y35"/>
    <mergeCell ref="AA35:AE35"/>
    <mergeCell ref="AG35:AJ35"/>
    <mergeCell ref="AK35:AO35"/>
    <mergeCell ref="BT33:BX33"/>
    <mergeCell ref="F34:J34"/>
    <mergeCell ref="L34:P34"/>
    <mergeCell ref="U34:Y34"/>
    <mergeCell ref="AA34:AE34"/>
    <mergeCell ref="AG34:AJ34"/>
    <mergeCell ref="AK34:AO34"/>
    <mergeCell ref="AP34:AT34"/>
    <mergeCell ref="BA34:BD34"/>
    <mergeCell ref="BE34:BI34"/>
    <mergeCell ref="AK33:AO33"/>
    <mergeCell ref="AP33:AT33"/>
    <mergeCell ref="AZ33:BD33"/>
    <mergeCell ref="BE33:BI33"/>
    <mergeCell ref="BJ33:BN33"/>
    <mergeCell ref="BO33:BS33"/>
    <mergeCell ref="F33:J33"/>
    <mergeCell ref="AP35:AT35"/>
    <mergeCell ref="BA35:BD35"/>
    <mergeCell ref="BE35:BI35"/>
    <mergeCell ref="BJ35:BN35"/>
    <mergeCell ref="BO35:BS35"/>
    <mergeCell ref="BT35:BX35"/>
    <mergeCell ref="BJ34:BN34"/>
    <mergeCell ref="BO34:BS34"/>
    <mergeCell ref="BT34:BX34"/>
    <mergeCell ref="AP36:AT36"/>
    <mergeCell ref="BA36:BD36"/>
    <mergeCell ref="BE36:BI36"/>
    <mergeCell ref="BJ36:BN36"/>
    <mergeCell ref="BO36:BS36"/>
    <mergeCell ref="BT36:BX36"/>
    <mergeCell ref="F36:J36"/>
    <mergeCell ref="L36:P36"/>
    <mergeCell ref="S36:Y36"/>
    <mergeCell ref="AA36:AE36"/>
    <mergeCell ref="AF36:AJ36"/>
    <mergeCell ref="AK36:AO36"/>
    <mergeCell ref="B37:C45"/>
    <mergeCell ref="D37:E42"/>
    <mergeCell ref="F37:J37"/>
    <mergeCell ref="L37:P37"/>
    <mergeCell ref="Q37:Y37"/>
    <mergeCell ref="AA37:AE37"/>
    <mergeCell ref="D43:E45"/>
    <mergeCell ref="F43:J43"/>
    <mergeCell ref="L43:P43"/>
    <mergeCell ref="V43:Y43"/>
    <mergeCell ref="F39:J39"/>
    <mergeCell ref="L39:P39"/>
    <mergeCell ref="Q39:R40"/>
    <mergeCell ref="S39:Y39"/>
    <mergeCell ref="AA39:AE39"/>
    <mergeCell ref="F44:J44"/>
    <mergeCell ref="L44:P44"/>
    <mergeCell ref="V44:Y44"/>
    <mergeCell ref="AA44:AE44"/>
    <mergeCell ref="AA43:AE43"/>
    <mergeCell ref="BE37:BI37"/>
    <mergeCell ref="BJ37:BN37"/>
    <mergeCell ref="BO37:BS37"/>
    <mergeCell ref="BT37:BX37"/>
    <mergeCell ref="F38:J38"/>
    <mergeCell ref="L38:P38"/>
    <mergeCell ref="S38:Y38"/>
    <mergeCell ref="AA38:AE38"/>
    <mergeCell ref="AI38:AJ38"/>
    <mergeCell ref="AK38:AO38"/>
    <mergeCell ref="AF37:AF43"/>
    <mergeCell ref="AG37:AH39"/>
    <mergeCell ref="AI37:AJ37"/>
    <mergeCell ref="AK37:AO37"/>
    <mergeCell ref="AP37:AT37"/>
    <mergeCell ref="BB37:BD37"/>
    <mergeCell ref="AP38:AT38"/>
    <mergeCell ref="BB38:BD38"/>
    <mergeCell ref="AK39:AO39"/>
    <mergeCell ref="AP39:AT39"/>
    <mergeCell ref="BE38:BI38"/>
    <mergeCell ref="BJ38:BN38"/>
    <mergeCell ref="BO38:BS38"/>
    <mergeCell ref="BT38:BX38"/>
    <mergeCell ref="AI39:AJ39"/>
    <mergeCell ref="BB39:BD39"/>
    <mergeCell ref="BE39:BI39"/>
    <mergeCell ref="BJ39:BN39"/>
    <mergeCell ref="BO39:BS39"/>
    <mergeCell ref="BT39:BX39"/>
    <mergeCell ref="F40:J40"/>
    <mergeCell ref="L40:P40"/>
    <mergeCell ref="S40:Y40"/>
    <mergeCell ref="AA40:AE40"/>
    <mergeCell ref="AG40:AH42"/>
    <mergeCell ref="F42:J42"/>
    <mergeCell ref="L42:P42"/>
    <mergeCell ref="S42:T45"/>
    <mergeCell ref="U42:Y42"/>
    <mergeCell ref="AA42:AE42"/>
    <mergeCell ref="BO40:BS40"/>
    <mergeCell ref="BT40:BX40"/>
    <mergeCell ref="F41:J41"/>
    <mergeCell ref="L41:P41"/>
    <mergeCell ref="Q41:R45"/>
    <mergeCell ref="S41:Y41"/>
    <mergeCell ref="AA41:AE41"/>
    <mergeCell ref="AI41:AJ41"/>
    <mergeCell ref="AI40:AJ40"/>
    <mergeCell ref="AK40:AO40"/>
    <mergeCell ref="AP40:AT40"/>
    <mergeCell ref="BB40:BD40"/>
    <mergeCell ref="BE40:BI40"/>
    <mergeCell ref="BJ40:BN40"/>
    <mergeCell ref="AI42:AJ42"/>
    <mergeCell ref="AK42:AO42"/>
    <mergeCell ref="AP42:AT42"/>
    <mergeCell ref="BJ42:BN42"/>
    <mergeCell ref="AG43:AJ43"/>
    <mergeCell ref="AK43:AO43"/>
    <mergeCell ref="AP43:AT43"/>
    <mergeCell ref="AK41:AO41"/>
    <mergeCell ref="AP41:AT41"/>
    <mergeCell ref="L45:P45"/>
    <mergeCell ref="U45:Y45"/>
    <mergeCell ref="AA45:AE45"/>
    <mergeCell ref="AG45:AJ45"/>
    <mergeCell ref="AK45:AO45"/>
    <mergeCell ref="AP45:AT45"/>
    <mergeCell ref="S46:T47"/>
    <mergeCell ref="AA49:AE49"/>
    <mergeCell ref="F50:J50"/>
    <mergeCell ref="L50:P50"/>
    <mergeCell ref="S50:Y50"/>
    <mergeCell ref="AA50:AE50"/>
    <mergeCell ref="AK47:AO47"/>
    <mergeCell ref="AF44:AF47"/>
    <mergeCell ref="AG44:AJ44"/>
    <mergeCell ref="F46:J46"/>
    <mergeCell ref="L46:P46"/>
    <mergeCell ref="Q46:R47"/>
    <mergeCell ref="U46:Y46"/>
    <mergeCell ref="AA46:AE46"/>
    <mergeCell ref="Q48:R50"/>
    <mergeCell ref="S48:Y48"/>
    <mergeCell ref="AA48:AE48"/>
    <mergeCell ref="AF48:AJ48"/>
    <mergeCell ref="AK48:AO48"/>
    <mergeCell ref="U47:Y47"/>
    <mergeCell ref="AA47:AE47"/>
    <mergeCell ref="F48:J48"/>
    <mergeCell ref="L48:P48"/>
    <mergeCell ref="AP48:AT48"/>
    <mergeCell ref="F49:J49"/>
    <mergeCell ref="L49:P49"/>
    <mergeCell ref="S49:Y49"/>
    <mergeCell ref="F45:J45"/>
    <mergeCell ref="B55:F55"/>
    <mergeCell ref="G55:K55"/>
    <mergeCell ref="L55:P55"/>
    <mergeCell ref="Q55:U55"/>
    <mergeCell ref="V55:Z55"/>
    <mergeCell ref="AA55:AE55"/>
    <mergeCell ref="F52:J52"/>
    <mergeCell ref="L52:P52"/>
    <mergeCell ref="F53:J53"/>
    <mergeCell ref="L53:P53"/>
    <mergeCell ref="F54:J54"/>
    <mergeCell ref="L54:P54"/>
    <mergeCell ref="B46:C54"/>
    <mergeCell ref="D46:E51"/>
    <mergeCell ref="D52:E54"/>
    <mergeCell ref="F51:J51"/>
    <mergeCell ref="L51:P51"/>
    <mergeCell ref="F47:J47"/>
    <mergeCell ref="L47:P47"/>
    <mergeCell ref="BO4:BX4"/>
    <mergeCell ref="AG47:AJ47"/>
    <mergeCell ref="BJ55:BN55"/>
    <mergeCell ref="BO55:BS55"/>
    <mergeCell ref="BT55:BX55"/>
    <mergeCell ref="AF55:AJ55"/>
    <mergeCell ref="AK55:AO55"/>
    <mergeCell ref="AP55:AT55"/>
    <mergeCell ref="AU55:AY55"/>
    <mergeCell ref="AZ55:BD55"/>
    <mergeCell ref="BE55:BI55"/>
    <mergeCell ref="AK44:AO44"/>
    <mergeCell ref="AP44:AT44"/>
    <mergeCell ref="AG46:AJ46"/>
    <mergeCell ref="AK46:AO46"/>
    <mergeCell ref="AP46:AT46"/>
    <mergeCell ref="AP47:AT47"/>
    <mergeCell ref="BO42:BS42"/>
    <mergeCell ref="BT42:BX42"/>
    <mergeCell ref="BA41:BD41"/>
    <mergeCell ref="BE41:BI41"/>
    <mergeCell ref="BJ41:BN41"/>
    <mergeCell ref="BO41:BS41"/>
    <mergeCell ref="BT41:BX41"/>
  </mergeCells>
  <phoneticPr fontId="1"/>
  <printOptions horizontalCentered="1"/>
  <pageMargins left="0.39370078740157483" right="0.39370078740157483" top="0.59055118110236227" bottom="0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66"/>
  <sheetViews>
    <sheetView view="pageBreakPreview" zoomScale="120" zoomScaleNormal="120" zoomScaleSheetLayoutView="120" workbookViewId="0"/>
  </sheetViews>
  <sheetFormatPr defaultColWidth="9" defaultRowHeight="12" x14ac:dyDescent="0.15"/>
  <cols>
    <col min="1" max="1" width="1.85546875" style="22" customWidth="1"/>
    <col min="2" max="2" width="0.42578125" style="70" customWidth="1"/>
    <col min="3" max="4" width="0.42578125" style="71" customWidth="1"/>
    <col min="5" max="5" width="3.28515625" style="71" customWidth="1"/>
    <col min="6" max="6" width="3.85546875" style="71" customWidth="1"/>
    <col min="7" max="21" width="1.7109375" style="70" customWidth="1"/>
    <col min="22" max="24" width="0.42578125" style="70" customWidth="1"/>
    <col min="25" max="25" width="3.42578125" style="70" customWidth="1"/>
    <col min="26" max="26" width="4.42578125" style="70" customWidth="1"/>
    <col min="27" max="40" width="1.7109375" style="70" customWidth="1"/>
    <col min="41" max="41" width="2.28515625" style="70" customWidth="1"/>
    <col min="42" max="43" width="1" style="70" customWidth="1"/>
    <col min="44" max="44" width="3.28515625" style="70" customWidth="1"/>
    <col min="45" max="45" width="2" style="70" customWidth="1"/>
    <col min="46" max="46" width="2.28515625" style="70" customWidth="1"/>
    <col min="47" max="51" width="1.7109375" style="70" customWidth="1"/>
    <col min="52" max="53" width="1" style="70" customWidth="1"/>
    <col min="54" max="56" width="2" style="70" customWidth="1"/>
    <col min="57" max="70" width="1.7109375" style="70" customWidth="1"/>
    <col min="71" max="71" width="2.140625" style="70" customWidth="1"/>
    <col min="72" max="76" width="1.85546875" style="70" customWidth="1"/>
    <col min="77" max="81" width="1.7109375" style="70" customWidth="1"/>
    <col min="82" max="129" width="2.28515625" style="70" customWidth="1"/>
    <col min="130" max="487" width="9" style="70" customWidth="1"/>
    <col min="488" max="16384" width="9" style="70"/>
  </cols>
  <sheetData>
    <row r="1" spans="1:155" ht="14.25" customHeight="1" x14ac:dyDescent="0.15">
      <c r="A1" s="200"/>
      <c r="B1" s="128" t="str">
        <f>'No4'!B5&amp;"年　農業経営統計調査（営農類型別経営統計（農業経営体））　集計結果表No.３"</f>
        <v>年　農業経営統計調査（営農類型別経営統計（農業経営体））　集計結果表No.３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</row>
    <row r="2" spans="1:155" ht="14.25" customHeight="1" thickBot="1" x14ac:dyDescent="0.2">
      <c r="A2" s="200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</row>
    <row r="3" spans="1:155" s="202" customFormat="1" ht="9.75" customHeight="1" x14ac:dyDescent="0.15">
      <c r="A3" s="201"/>
      <c r="B3" s="68"/>
      <c r="C3" s="68"/>
      <c r="D3" s="68"/>
      <c r="E3" s="68"/>
      <c r="F3" s="68"/>
      <c r="G3" s="19"/>
      <c r="H3" s="19"/>
      <c r="I3" s="19"/>
      <c r="J3" s="19"/>
      <c r="K3" s="19"/>
      <c r="L3" s="19"/>
      <c r="M3" s="19"/>
      <c r="N3" s="19"/>
      <c r="O3" s="19"/>
      <c r="P3" s="19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220"/>
      <c r="BF3" s="220"/>
      <c r="BG3" s="220"/>
      <c r="BH3" s="220"/>
      <c r="BI3" s="220"/>
      <c r="BJ3" s="225"/>
      <c r="BK3" s="225"/>
      <c r="BL3" s="225"/>
      <c r="BM3" s="225"/>
      <c r="BN3" s="225"/>
      <c r="BO3" s="225"/>
      <c r="BP3" s="225"/>
      <c r="BQ3" s="225"/>
      <c r="BR3" s="225"/>
      <c r="BS3" s="225"/>
      <c r="BT3" s="900" t="s">
        <v>396</v>
      </c>
      <c r="BU3" s="901"/>
      <c r="BV3" s="901"/>
      <c r="BW3" s="901"/>
      <c r="BX3" s="901"/>
      <c r="BY3" s="901"/>
      <c r="BZ3" s="901"/>
      <c r="CA3" s="901"/>
      <c r="CB3" s="901"/>
      <c r="CC3" s="902"/>
    </row>
    <row r="4" spans="1:155" s="202" customFormat="1" ht="9.75" customHeight="1" thickBot="1" x14ac:dyDescent="0.2">
      <c r="A4" s="201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978" t="str">
        <f>IF('No4'!G5="","",'No4'!G5)</f>
        <v/>
      </c>
      <c r="BU4" s="597"/>
      <c r="BV4" s="597"/>
      <c r="BW4" s="597"/>
      <c r="BX4" s="597"/>
      <c r="BY4" s="597"/>
      <c r="BZ4" s="597"/>
      <c r="CA4" s="597"/>
      <c r="CB4" s="597"/>
      <c r="CC4" s="598"/>
    </row>
    <row r="5" spans="1:155" ht="10.5" customHeight="1" x14ac:dyDescent="0.15">
      <c r="A5" s="23"/>
      <c r="B5" s="65" t="s">
        <v>345</v>
      </c>
      <c r="C5" s="64"/>
      <c r="D5" s="64"/>
      <c r="E5" s="64"/>
      <c r="F5" s="64"/>
      <c r="G5" s="63"/>
      <c r="H5" s="61"/>
      <c r="I5" s="193"/>
      <c r="J5" s="63"/>
      <c r="K5" s="62"/>
      <c r="L5" s="63"/>
      <c r="M5" s="63"/>
      <c r="N5" s="62"/>
      <c r="O5" s="62"/>
      <c r="P5" s="62"/>
      <c r="Q5" s="63"/>
      <c r="R5" s="63"/>
      <c r="S5" s="62"/>
      <c r="T5" s="62"/>
      <c r="U5" s="66"/>
      <c r="V5" s="65" t="s">
        <v>395</v>
      </c>
      <c r="W5" s="64"/>
      <c r="X5" s="64"/>
      <c r="Y5" s="64"/>
      <c r="Z5" s="64"/>
      <c r="AA5" s="63"/>
      <c r="AB5" s="63"/>
      <c r="AC5" s="63"/>
      <c r="AD5" s="63"/>
      <c r="AE5" s="62"/>
      <c r="AF5" s="63"/>
      <c r="AG5" s="63"/>
      <c r="AH5" s="62"/>
      <c r="AI5" s="62"/>
      <c r="AJ5" s="62"/>
      <c r="AK5" s="63"/>
      <c r="AL5" s="63"/>
      <c r="AM5" s="62"/>
      <c r="AN5" s="62"/>
      <c r="AO5" s="66"/>
      <c r="AP5" s="194" t="s">
        <v>394</v>
      </c>
      <c r="AQ5" s="193"/>
      <c r="AR5" s="193"/>
      <c r="AS5" s="193"/>
      <c r="AT5" s="193"/>
      <c r="AU5" s="193"/>
      <c r="AV5" s="193"/>
      <c r="AW5" s="193"/>
      <c r="AX5" s="193"/>
      <c r="AY5" s="193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7"/>
      <c r="BK5" s="197"/>
      <c r="BL5" s="197"/>
      <c r="BM5" s="197"/>
      <c r="BN5" s="197"/>
      <c r="BO5" s="61"/>
      <c r="BP5" s="62"/>
      <c r="BQ5" s="62"/>
      <c r="BR5" s="62"/>
      <c r="BS5" s="62"/>
      <c r="BT5" s="196"/>
      <c r="BU5" s="196"/>
      <c r="BV5" s="196"/>
      <c r="BW5" s="196"/>
      <c r="BX5" s="196"/>
      <c r="BY5" s="193"/>
      <c r="BZ5" s="193"/>
      <c r="CA5" s="193"/>
      <c r="CB5" s="193"/>
      <c r="CC5" s="195"/>
    </row>
    <row r="6" spans="1:155" ht="10.5" customHeight="1" x14ac:dyDescent="0.15">
      <c r="A6" s="23">
        <v>1</v>
      </c>
      <c r="B6" s="950" t="s">
        <v>43</v>
      </c>
      <c r="C6" s="951"/>
      <c r="D6" s="951"/>
      <c r="E6" s="951"/>
      <c r="F6" s="952"/>
      <c r="G6" s="865" t="s">
        <v>35</v>
      </c>
      <c r="H6" s="951"/>
      <c r="I6" s="951"/>
      <c r="J6" s="951"/>
      <c r="K6" s="951"/>
      <c r="L6" s="219"/>
      <c r="M6" s="219"/>
      <c r="N6" s="208"/>
      <c r="O6" s="208"/>
      <c r="P6" s="208"/>
      <c r="Q6" s="192"/>
      <c r="R6" s="192"/>
      <c r="S6" s="192"/>
      <c r="T6" s="192"/>
      <c r="U6" s="191"/>
      <c r="V6" s="971" t="s">
        <v>43</v>
      </c>
      <c r="W6" s="358"/>
      <c r="X6" s="358"/>
      <c r="Y6" s="358"/>
      <c r="Z6" s="359"/>
      <c r="AA6" s="863" t="s">
        <v>35</v>
      </c>
      <c r="AB6" s="358"/>
      <c r="AC6" s="358"/>
      <c r="AD6" s="358"/>
      <c r="AE6" s="358"/>
      <c r="AF6" s="216"/>
      <c r="AG6" s="216"/>
      <c r="AH6" s="204"/>
      <c r="AI6" s="204"/>
      <c r="AJ6" s="204"/>
      <c r="AK6" s="29"/>
      <c r="AL6" s="29"/>
      <c r="AM6" s="29"/>
      <c r="AN6" s="29"/>
      <c r="AO6" s="28"/>
      <c r="AP6" s="971" t="s">
        <v>43</v>
      </c>
      <c r="AQ6" s="358"/>
      <c r="AR6" s="358"/>
      <c r="AS6" s="358"/>
      <c r="AT6" s="359"/>
      <c r="AU6" s="972" t="s">
        <v>35</v>
      </c>
      <c r="AV6" s="725"/>
      <c r="AW6" s="725"/>
      <c r="AX6" s="725"/>
      <c r="AY6" s="973"/>
      <c r="AZ6" s="972" t="s">
        <v>393</v>
      </c>
      <c r="BA6" s="725"/>
      <c r="BB6" s="725"/>
      <c r="BC6" s="725"/>
      <c r="BD6" s="725"/>
      <c r="BE6" s="204"/>
      <c r="BF6" s="204"/>
      <c r="BG6" s="204"/>
      <c r="BH6" s="204"/>
      <c r="BI6" s="204"/>
      <c r="BJ6" s="47"/>
      <c r="BK6" s="47"/>
      <c r="BL6" s="47"/>
      <c r="BM6" s="47"/>
      <c r="BN6" s="47"/>
      <c r="BO6" s="968" t="s">
        <v>100</v>
      </c>
      <c r="BP6" s="482"/>
      <c r="BQ6" s="482"/>
      <c r="BR6" s="482"/>
      <c r="BS6" s="482"/>
      <c r="BT6" s="29"/>
      <c r="BU6" s="29"/>
      <c r="BV6" s="29"/>
      <c r="BW6" s="29"/>
      <c r="BX6" s="29"/>
      <c r="BY6" s="968" t="s">
        <v>92</v>
      </c>
      <c r="BZ6" s="482"/>
      <c r="CA6" s="482"/>
      <c r="CB6" s="482"/>
      <c r="CC6" s="969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</row>
    <row r="7" spans="1:155" ht="10.5" customHeight="1" x14ac:dyDescent="0.15">
      <c r="A7" s="23">
        <v>2</v>
      </c>
      <c r="B7" s="950"/>
      <c r="C7" s="951"/>
      <c r="D7" s="951"/>
      <c r="E7" s="951"/>
      <c r="F7" s="952"/>
      <c r="G7" s="865"/>
      <c r="H7" s="951"/>
      <c r="I7" s="951"/>
      <c r="J7" s="951"/>
      <c r="K7" s="951"/>
      <c r="L7" s="863" t="s">
        <v>332</v>
      </c>
      <c r="M7" s="358"/>
      <c r="N7" s="358"/>
      <c r="O7" s="358"/>
      <c r="P7" s="359"/>
      <c r="Q7" s="968" t="s">
        <v>325</v>
      </c>
      <c r="R7" s="482"/>
      <c r="S7" s="482"/>
      <c r="T7" s="482"/>
      <c r="U7" s="969"/>
      <c r="V7" s="383"/>
      <c r="W7" s="360"/>
      <c r="X7" s="360"/>
      <c r="Y7" s="360"/>
      <c r="Z7" s="361"/>
      <c r="AA7" s="384"/>
      <c r="AB7" s="360"/>
      <c r="AC7" s="360"/>
      <c r="AD7" s="360"/>
      <c r="AE7" s="360"/>
      <c r="AF7" s="948" t="s">
        <v>332</v>
      </c>
      <c r="AG7" s="573"/>
      <c r="AH7" s="573"/>
      <c r="AI7" s="573"/>
      <c r="AJ7" s="574"/>
      <c r="AK7" s="349" t="s">
        <v>325</v>
      </c>
      <c r="AL7" s="350"/>
      <c r="AM7" s="350"/>
      <c r="AN7" s="350"/>
      <c r="AO7" s="351"/>
      <c r="AP7" s="383"/>
      <c r="AQ7" s="360"/>
      <c r="AR7" s="360"/>
      <c r="AS7" s="360"/>
      <c r="AT7" s="361"/>
      <c r="AU7" s="974"/>
      <c r="AV7" s="673"/>
      <c r="AW7" s="673"/>
      <c r="AX7" s="673"/>
      <c r="AY7" s="975"/>
      <c r="AZ7" s="974"/>
      <c r="BA7" s="673"/>
      <c r="BB7" s="673"/>
      <c r="BC7" s="673"/>
      <c r="BD7" s="673"/>
      <c r="BE7" s="968" t="s">
        <v>330</v>
      </c>
      <c r="BF7" s="482"/>
      <c r="BG7" s="482"/>
      <c r="BH7" s="482"/>
      <c r="BI7" s="482"/>
      <c r="BJ7" s="968" t="s">
        <v>328</v>
      </c>
      <c r="BK7" s="482"/>
      <c r="BL7" s="482"/>
      <c r="BM7" s="482"/>
      <c r="BN7" s="970"/>
      <c r="BO7" s="362"/>
      <c r="BP7" s="363"/>
      <c r="BQ7" s="363"/>
      <c r="BR7" s="363"/>
      <c r="BS7" s="976"/>
      <c r="BT7" s="30" t="s">
        <v>327</v>
      </c>
      <c r="BU7" s="30"/>
      <c r="BV7" s="30"/>
      <c r="BW7" s="30"/>
      <c r="BX7" s="30"/>
      <c r="BY7" s="362"/>
      <c r="BZ7" s="363"/>
      <c r="CA7" s="363"/>
      <c r="CB7" s="363"/>
      <c r="CC7" s="977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</row>
    <row r="8" spans="1:155" ht="10.5" customHeight="1" x14ac:dyDescent="0.15">
      <c r="A8" s="23">
        <v>3</v>
      </c>
      <c r="B8" s="949" t="s">
        <v>341</v>
      </c>
      <c r="C8" s="747"/>
      <c r="D8" s="747"/>
      <c r="E8" s="747"/>
      <c r="F8" s="747"/>
      <c r="G8" s="276"/>
      <c r="H8" s="277"/>
      <c r="I8" s="277"/>
      <c r="J8" s="277"/>
      <c r="K8" s="324"/>
      <c r="L8" s="276"/>
      <c r="M8" s="277"/>
      <c r="N8" s="277"/>
      <c r="O8" s="277"/>
      <c r="P8" s="324"/>
      <c r="Q8" s="276"/>
      <c r="R8" s="277"/>
      <c r="S8" s="277"/>
      <c r="T8" s="277"/>
      <c r="U8" s="336"/>
      <c r="V8" s="937" t="s">
        <v>334</v>
      </c>
      <c r="W8" s="872"/>
      <c r="X8" s="872"/>
      <c r="Y8" s="872"/>
      <c r="Z8" s="872"/>
      <c r="AA8" s="276"/>
      <c r="AB8" s="277"/>
      <c r="AC8" s="277"/>
      <c r="AD8" s="277"/>
      <c r="AE8" s="324"/>
      <c r="AF8" s="770"/>
      <c r="AG8" s="607"/>
      <c r="AH8" s="607"/>
      <c r="AI8" s="607"/>
      <c r="AJ8" s="799"/>
      <c r="AK8" s="276"/>
      <c r="AL8" s="277"/>
      <c r="AM8" s="277"/>
      <c r="AN8" s="277"/>
      <c r="AO8" s="336"/>
      <c r="AP8" s="954" t="s">
        <v>326</v>
      </c>
      <c r="AQ8" s="774"/>
      <c r="AR8" s="55"/>
      <c r="AS8" s="55"/>
      <c r="AT8" s="54"/>
      <c r="AU8" s="276"/>
      <c r="AV8" s="277"/>
      <c r="AW8" s="277"/>
      <c r="AX8" s="277"/>
      <c r="AY8" s="324"/>
      <c r="AZ8" s="276"/>
      <c r="BA8" s="277"/>
      <c r="BB8" s="277"/>
      <c r="BC8" s="277"/>
      <c r="BD8" s="324"/>
      <c r="BE8" s="276"/>
      <c r="BF8" s="277"/>
      <c r="BG8" s="277"/>
      <c r="BH8" s="277"/>
      <c r="BI8" s="324"/>
      <c r="BJ8" s="276"/>
      <c r="BK8" s="277"/>
      <c r="BL8" s="277"/>
      <c r="BM8" s="277"/>
      <c r="BN8" s="324"/>
      <c r="BO8" s="276"/>
      <c r="BP8" s="277"/>
      <c r="BQ8" s="277"/>
      <c r="BR8" s="277"/>
      <c r="BS8" s="324"/>
      <c r="BT8" s="276"/>
      <c r="BU8" s="277"/>
      <c r="BV8" s="277"/>
      <c r="BW8" s="277"/>
      <c r="BX8" s="324"/>
      <c r="BY8" s="276"/>
      <c r="BZ8" s="277"/>
      <c r="CA8" s="277"/>
      <c r="CB8" s="277"/>
      <c r="CC8" s="336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</row>
    <row r="9" spans="1:155" ht="10.5" customHeight="1" x14ac:dyDescent="0.15">
      <c r="A9" s="23">
        <v>4</v>
      </c>
      <c r="B9" s="223"/>
      <c r="C9" s="699" t="s">
        <v>393</v>
      </c>
      <c r="D9" s="700"/>
      <c r="E9" s="700"/>
      <c r="F9" s="953"/>
      <c r="G9" s="249"/>
      <c r="H9" s="250"/>
      <c r="I9" s="250"/>
      <c r="J9" s="250"/>
      <c r="K9" s="289"/>
      <c r="L9" s="249"/>
      <c r="M9" s="250"/>
      <c r="N9" s="250"/>
      <c r="O9" s="250"/>
      <c r="P9" s="289"/>
      <c r="Q9" s="249"/>
      <c r="R9" s="250"/>
      <c r="S9" s="250"/>
      <c r="T9" s="250"/>
      <c r="U9" s="251"/>
      <c r="V9" s="224"/>
      <c r="W9" s="723" t="s">
        <v>393</v>
      </c>
      <c r="X9" s="724"/>
      <c r="Y9" s="724"/>
      <c r="Z9" s="936"/>
      <c r="AA9" s="249"/>
      <c r="AB9" s="250"/>
      <c r="AC9" s="250"/>
      <c r="AD9" s="250"/>
      <c r="AE9" s="289"/>
      <c r="AF9" s="627"/>
      <c r="AG9" s="615"/>
      <c r="AH9" s="615"/>
      <c r="AI9" s="615"/>
      <c r="AJ9" s="628"/>
      <c r="AK9" s="249"/>
      <c r="AL9" s="250"/>
      <c r="AM9" s="250"/>
      <c r="AN9" s="250"/>
      <c r="AO9" s="251"/>
      <c r="AP9" s="955"/>
      <c r="AQ9" s="680"/>
      <c r="AR9" s="723" t="s">
        <v>320</v>
      </c>
      <c r="AS9" s="724"/>
      <c r="AT9" s="936"/>
      <c r="AU9" s="249"/>
      <c r="AV9" s="250"/>
      <c r="AW9" s="250"/>
      <c r="AX9" s="250"/>
      <c r="AY9" s="289"/>
      <c r="AZ9" s="249"/>
      <c r="BA9" s="250"/>
      <c r="BB9" s="250"/>
      <c r="BC9" s="250"/>
      <c r="BD9" s="289"/>
      <c r="BE9" s="249"/>
      <c r="BF9" s="250"/>
      <c r="BG9" s="250"/>
      <c r="BH9" s="250"/>
      <c r="BI9" s="289"/>
      <c r="BJ9" s="249"/>
      <c r="BK9" s="250"/>
      <c r="BL9" s="250"/>
      <c r="BM9" s="250"/>
      <c r="BN9" s="289"/>
      <c r="BO9" s="249"/>
      <c r="BP9" s="250"/>
      <c r="BQ9" s="250"/>
      <c r="BR9" s="250"/>
      <c r="BS9" s="289"/>
      <c r="BT9" s="249"/>
      <c r="BU9" s="250"/>
      <c r="BV9" s="250"/>
      <c r="BW9" s="250"/>
      <c r="BX9" s="289"/>
      <c r="BY9" s="249"/>
      <c r="BZ9" s="250"/>
      <c r="CA9" s="250"/>
      <c r="CB9" s="250"/>
      <c r="CC9" s="251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</row>
    <row r="10" spans="1:155" ht="10.5" customHeight="1" x14ac:dyDescent="0.15">
      <c r="A10" s="23">
        <v>5</v>
      </c>
      <c r="B10" s="223"/>
      <c r="C10" s="636" t="s">
        <v>103</v>
      </c>
      <c r="D10" s="637"/>
      <c r="E10" s="637"/>
      <c r="F10" s="958"/>
      <c r="G10" s="249"/>
      <c r="H10" s="250"/>
      <c r="I10" s="250"/>
      <c r="J10" s="250"/>
      <c r="K10" s="289"/>
      <c r="L10" s="249"/>
      <c r="M10" s="250"/>
      <c r="N10" s="250"/>
      <c r="O10" s="250"/>
      <c r="P10" s="289"/>
      <c r="Q10" s="249"/>
      <c r="R10" s="250"/>
      <c r="S10" s="250"/>
      <c r="T10" s="250"/>
      <c r="U10" s="251"/>
      <c r="V10" s="224"/>
      <c r="W10" s="636" t="s">
        <v>103</v>
      </c>
      <c r="X10" s="637"/>
      <c r="Y10" s="637"/>
      <c r="Z10" s="958"/>
      <c r="AA10" s="249"/>
      <c r="AB10" s="250"/>
      <c r="AC10" s="250"/>
      <c r="AD10" s="250"/>
      <c r="AE10" s="289"/>
      <c r="AF10" s="627"/>
      <c r="AG10" s="615"/>
      <c r="AH10" s="615"/>
      <c r="AI10" s="615"/>
      <c r="AJ10" s="628"/>
      <c r="AK10" s="249"/>
      <c r="AL10" s="250"/>
      <c r="AM10" s="250"/>
      <c r="AN10" s="250"/>
      <c r="AO10" s="251"/>
      <c r="AP10" s="955"/>
      <c r="AQ10" s="680"/>
      <c r="AR10" s="723" t="s">
        <v>323</v>
      </c>
      <c r="AS10" s="724"/>
      <c r="AT10" s="936"/>
      <c r="AU10" s="249"/>
      <c r="AV10" s="250"/>
      <c r="AW10" s="250"/>
      <c r="AX10" s="250"/>
      <c r="AY10" s="289"/>
      <c r="AZ10" s="249"/>
      <c r="BA10" s="250"/>
      <c r="BB10" s="250"/>
      <c r="BC10" s="250"/>
      <c r="BD10" s="289"/>
      <c r="BE10" s="249"/>
      <c r="BF10" s="250"/>
      <c r="BG10" s="250"/>
      <c r="BH10" s="250"/>
      <c r="BI10" s="289"/>
      <c r="BJ10" s="249"/>
      <c r="BK10" s="250"/>
      <c r="BL10" s="250"/>
      <c r="BM10" s="250"/>
      <c r="BN10" s="289"/>
      <c r="BO10" s="249"/>
      <c r="BP10" s="250"/>
      <c r="BQ10" s="250"/>
      <c r="BR10" s="250"/>
      <c r="BS10" s="289"/>
      <c r="BT10" s="249"/>
      <c r="BU10" s="250"/>
      <c r="BV10" s="250"/>
      <c r="BW10" s="250"/>
      <c r="BX10" s="289"/>
      <c r="BY10" s="249"/>
      <c r="BZ10" s="250"/>
      <c r="CA10" s="250"/>
      <c r="CB10" s="250"/>
      <c r="CC10" s="251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</row>
    <row r="11" spans="1:155" ht="10.5" customHeight="1" x14ac:dyDescent="0.15">
      <c r="A11" s="23">
        <v>6</v>
      </c>
      <c r="B11" s="224"/>
      <c r="C11" s="12"/>
      <c r="D11" s="636" t="s">
        <v>100</v>
      </c>
      <c r="E11" s="637"/>
      <c r="F11" s="958"/>
      <c r="G11" s="249"/>
      <c r="H11" s="250"/>
      <c r="I11" s="250"/>
      <c r="J11" s="250"/>
      <c r="K11" s="289"/>
      <c r="L11" s="249"/>
      <c r="M11" s="250"/>
      <c r="N11" s="250"/>
      <c r="O11" s="250"/>
      <c r="P11" s="289"/>
      <c r="Q11" s="249"/>
      <c r="R11" s="250"/>
      <c r="S11" s="250"/>
      <c r="T11" s="250"/>
      <c r="U11" s="251"/>
      <c r="V11" s="224"/>
      <c r="W11" s="12"/>
      <c r="X11" s="636" t="s">
        <v>100</v>
      </c>
      <c r="Y11" s="637"/>
      <c r="Z11" s="958"/>
      <c r="AA11" s="249"/>
      <c r="AB11" s="250"/>
      <c r="AC11" s="250"/>
      <c r="AD11" s="250"/>
      <c r="AE11" s="289"/>
      <c r="AF11" s="627"/>
      <c r="AG11" s="615"/>
      <c r="AH11" s="615"/>
      <c r="AI11" s="615"/>
      <c r="AJ11" s="628"/>
      <c r="AK11" s="249"/>
      <c r="AL11" s="250"/>
      <c r="AM11" s="250"/>
      <c r="AN11" s="250"/>
      <c r="AO11" s="251"/>
      <c r="AP11" s="955"/>
      <c r="AQ11" s="680"/>
      <c r="AR11" s="723" t="s">
        <v>322</v>
      </c>
      <c r="AS11" s="724"/>
      <c r="AT11" s="936"/>
      <c r="AU11" s="249"/>
      <c r="AV11" s="250"/>
      <c r="AW11" s="250"/>
      <c r="AX11" s="250"/>
      <c r="AY11" s="289"/>
      <c r="AZ11" s="249"/>
      <c r="BA11" s="250"/>
      <c r="BB11" s="250"/>
      <c r="BC11" s="250"/>
      <c r="BD11" s="289"/>
      <c r="BE11" s="249"/>
      <c r="BF11" s="250"/>
      <c r="BG11" s="250"/>
      <c r="BH11" s="250"/>
      <c r="BI11" s="289"/>
      <c r="BJ11" s="249"/>
      <c r="BK11" s="250"/>
      <c r="BL11" s="250"/>
      <c r="BM11" s="250"/>
      <c r="BN11" s="289"/>
      <c r="BO11" s="249"/>
      <c r="BP11" s="250"/>
      <c r="BQ11" s="250"/>
      <c r="BR11" s="250"/>
      <c r="BS11" s="289"/>
      <c r="BT11" s="249"/>
      <c r="BU11" s="250"/>
      <c r="BV11" s="250"/>
      <c r="BW11" s="250"/>
      <c r="BX11" s="289"/>
      <c r="BY11" s="249"/>
      <c r="BZ11" s="250"/>
      <c r="CA11" s="250"/>
      <c r="CB11" s="250"/>
      <c r="CC11" s="251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</row>
    <row r="12" spans="1:155" ht="10.5" customHeight="1" x14ac:dyDescent="0.15">
      <c r="A12" s="23">
        <v>7</v>
      </c>
      <c r="B12" s="224"/>
      <c r="C12" s="12"/>
      <c r="D12" s="59"/>
      <c r="E12" s="882" t="s">
        <v>331</v>
      </c>
      <c r="F12" s="966"/>
      <c r="G12" s="249"/>
      <c r="H12" s="250"/>
      <c r="I12" s="250"/>
      <c r="J12" s="250"/>
      <c r="K12" s="289"/>
      <c r="L12" s="249"/>
      <c r="M12" s="250"/>
      <c r="N12" s="250"/>
      <c r="O12" s="250"/>
      <c r="P12" s="289"/>
      <c r="Q12" s="249"/>
      <c r="R12" s="250"/>
      <c r="S12" s="250"/>
      <c r="T12" s="250"/>
      <c r="U12" s="251"/>
      <c r="V12" s="224"/>
      <c r="W12" s="12"/>
      <c r="X12" s="59"/>
      <c r="Y12" s="699" t="s">
        <v>331</v>
      </c>
      <c r="Z12" s="953"/>
      <c r="AA12" s="249"/>
      <c r="AB12" s="250"/>
      <c r="AC12" s="250"/>
      <c r="AD12" s="250"/>
      <c r="AE12" s="289"/>
      <c r="AF12" s="627"/>
      <c r="AG12" s="615"/>
      <c r="AH12" s="615"/>
      <c r="AI12" s="615"/>
      <c r="AJ12" s="628"/>
      <c r="AK12" s="249"/>
      <c r="AL12" s="250"/>
      <c r="AM12" s="250"/>
      <c r="AN12" s="250"/>
      <c r="AO12" s="251"/>
      <c r="AP12" s="955"/>
      <c r="AQ12" s="680"/>
      <c r="AR12" s="723" t="s">
        <v>321</v>
      </c>
      <c r="AS12" s="724"/>
      <c r="AT12" s="936"/>
      <c r="AU12" s="249"/>
      <c r="AV12" s="250"/>
      <c r="AW12" s="250"/>
      <c r="AX12" s="250"/>
      <c r="AY12" s="289"/>
      <c r="AZ12" s="249"/>
      <c r="BA12" s="250"/>
      <c r="BB12" s="250"/>
      <c r="BC12" s="250"/>
      <c r="BD12" s="289"/>
      <c r="BE12" s="249"/>
      <c r="BF12" s="250"/>
      <c r="BG12" s="250"/>
      <c r="BH12" s="250"/>
      <c r="BI12" s="289"/>
      <c r="BJ12" s="249"/>
      <c r="BK12" s="250"/>
      <c r="BL12" s="250"/>
      <c r="BM12" s="250"/>
      <c r="BN12" s="289"/>
      <c r="BO12" s="249"/>
      <c r="BP12" s="250"/>
      <c r="BQ12" s="250"/>
      <c r="BR12" s="250"/>
      <c r="BS12" s="289"/>
      <c r="BT12" s="249"/>
      <c r="BU12" s="250"/>
      <c r="BV12" s="250"/>
      <c r="BW12" s="250"/>
      <c r="BX12" s="289"/>
      <c r="BY12" s="249"/>
      <c r="BZ12" s="250"/>
      <c r="CA12" s="250"/>
      <c r="CB12" s="250"/>
      <c r="CC12" s="251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</row>
    <row r="13" spans="1:155" ht="10.5" customHeight="1" x14ac:dyDescent="0.15">
      <c r="A13" s="23">
        <v>8</v>
      </c>
      <c r="B13" s="209"/>
      <c r="C13" s="15"/>
      <c r="D13" s="600" t="s">
        <v>92</v>
      </c>
      <c r="E13" s="696"/>
      <c r="F13" s="962"/>
      <c r="G13" s="319"/>
      <c r="H13" s="320"/>
      <c r="I13" s="320"/>
      <c r="J13" s="320"/>
      <c r="K13" s="333"/>
      <c r="L13" s="319"/>
      <c r="M13" s="320"/>
      <c r="N13" s="320"/>
      <c r="O13" s="320"/>
      <c r="P13" s="333"/>
      <c r="Q13" s="319"/>
      <c r="R13" s="320"/>
      <c r="S13" s="320"/>
      <c r="T13" s="320"/>
      <c r="U13" s="334"/>
      <c r="V13" s="209"/>
      <c r="W13" s="15"/>
      <c r="X13" s="600" t="s">
        <v>92</v>
      </c>
      <c r="Y13" s="696"/>
      <c r="Z13" s="962"/>
      <c r="AA13" s="319"/>
      <c r="AB13" s="320"/>
      <c r="AC13" s="320"/>
      <c r="AD13" s="320"/>
      <c r="AE13" s="333"/>
      <c r="AF13" s="825"/>
      <c r="AG13" s="618"/>
      <c r="AH13" s="618"/>
      <c r="AI13" s="618"/>
      <c r="AJ13" s="826"/>
      <c r="AK13" s="319"/>
      <c r="AL13" s="320"/>
      <c r="AM13" s="320"/>
      <c r="AN13" s="320"/>
      <c r="AO13" s="334"/>
      <c r="AP13" s="955"/>
      <c r="AQ13" s="680"/>
      <c r="AR13" s="723" t="s">
        <v>319</v>
      </c>
      <c r="AS13" s="724"/>
      <c r="AT13" s="936"/>
      <c r="AU13" s="249"/>
      <c r="AV13" s="250"/>
      <c r="AW13" s="250"/>
      <c r="AX13" s="250"/>
      <c r="AY13" s="289"/>
      <c r="AZ13" s="249"/>
      <c r="BA13" s="250"/>
      <c r="BB13" s="250"/>
      <c r="BC13" s="250"/>
      <c r="BD13" s="289"/>
      <c r="BE13" s="249"/>
      <c r="BF13" s="250"/>
      <c r="BG13" s="250"/>
      <c r="BH13" s="250"/>
      <c r="BI13" s="289"/>
      <c r="BJ13" s="249"/>
      <c r="BK13" s="250"/>
      <c r="BL13" s="250"/>
      <c r="BM13" s="250"/>
      <c r="BN13" s="289"/>
      <c r="BO13" s="249"/>
      <c r="BP13" s="250"/>
      <c r="BQ13" s="250"/>
      <c r="BR13" s="250"/>
      <c r="BS13" s="289"/>
      <c r="BT13" s="249"/>
      <c r="BU13" s="250"/>
      <c r="BV13" s="250"/>
      <c r="BW13" s="250"/>
      <c r="BX13" s="289"/>
      <c r="BY13" s="249"/>
      <c r="BZ13" s="250"/>
      <c r="CA13" s="250"/>
      <c r="CB13" s="250"/>
      <c r="CC13" s="251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</row>
    <row r="14" spans="1:155" ht="10.5" customHeight="1" x14ac:dyDescent="0.15">
      <c r="A14" s="23">
        <v>9</v>
      </c>
      <c r="B14" s="963" t="s">
        <v>337</v>
      </c>
      <c r="C14" s="964"/>
      <c r="D14" s="964"/>
      <c r="E14" s="964"/>
      <c r="F14" s="964"/>
      <c r="G14" s="276"/>
      <c r="H14" s="277"/>
      <c r="I14" s="277"/>
      <c r="J14" s="277"/>
      <c r="K14" s="324"/>
      <c r="L14" s="276"/>
      <c r="M14" s="277"/>
      <c r="N14" s="277"/>
      <c r="O14" s="277"/>
      <c r="P14" s="324"/>
      <c r="Q14" s="276"/>
      <c r="R14" s="277"/>
      <c r="S14" s="277"/>
      <c r="T14" s="277"/>
      <c r="U14" s="336"/>
      <c r="V14" s="963" t="s">
        <v>336</v>
      </c>
      <c r="W14" s="964"/>
      <c r="X14" s="964"/>
      <c r="Y14" s="964"/>
      <c r="Z14" s="965"/>
      <c r="AA14" s="276"/>
      <c r="AB14" s="277"/>
      <c r="AC14" s="277"/>
      <c r="AD14" s="277"/>
      <c r="AE14" s="324"/>
      <c r="AF14" s="770"/>
      <c r="AG14" s="607"/>
      <c r="AH14" s="607"/>
      <c r="AI14" s="607"/>
      <c r="AJ14" s="799"/>
      <c r="AK14" s="276"/>
      <c r="AL14" s="277"/>
      <c r="AM14" s="277"/>
      <c r="AN14" s="277"/>
      <c r="AO14" s="336"/>
      <c r="AP14" s="955"/>
      <c r="AQ14" s="680"/>
      <c r="AR14" s="723" t="s">
        <v>317</v>
      </c>
      <c r="AS14" s="724"/>
      <c r="AT14" s="936"/>
      <c r="AU14" s="249"/>
      <c r="AV14" s="250"/>
      <c r="AW14" s="250"/>
      <c r="AX14" s="250"/>
      <c r="AY14" s="289"/>
      <c r="AZ14" s="249"/>
      <c r="BA14" s="250"/>
      <c r="BB14" s="250"/>
      <c r="BC14" s="250"/>
      <c r="BD14" s="289"/>
      <c r="BE14" s="249"/>
      <c r="BF14" s="250"/>
      <c r="BG14" s="250"/>
      <c r="BH14" s="250"/>
      <c r="BI14" s="289"/>
      <c r="BJ14" s="249"/>
      <c r="BK14" s="250"/>
      <c r="BL14" s="250"/>
      <c r="BM14" s="250"/>
      <c r="BN14" s="289"/>
      <c r="BO14" s="249"/>
      <c r="BP14" s="250"/>
      <c r="BQ14" s="250"/>
      <c r="BR14" s="250"/>
      <c r="BS14" s="289"/>
      <c r="BT14" s="249"/>
      <c r="BU14" s="250"/>
      <c r="BV14" s="250"/>
      <c r="BW14" s="250"/>
      <c r="BX14" s="289"/>
      <c r="BY14" s="249"/>
      <c r="BZ14" s="250"/>
      <c r="CA14" s="250"/>
      <c r="CB14" s="250"/>
      <c r="CC14" s="251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</row>
    <row r="15" spans="1:155" ht="10.5" customHeight="1" x14ac:dyDescent="0.15">
      <c r="A15" s="23">
        <v>10</v>
      </c>
      <c r="B15" s="224"/>
      <c r="C15" s="699" t="s">
        <v>393</v>
      </c>
      <c r="D15" s="700"/>
      <c r="E15" s="700"/>
      <c r="F15" s="953"/>
      <c r="G15" s="249"/>
      <c r="H15" s="250"/>
      <c r="I15" s="250"/>
      <c r="J15" s="250"/>
      <c r="K15" s="289"/>
      <c r="L15" s="249"/>
      <c r="M15" s="250"/>
      <c r="N15" s="250"/>
      <c r="O15" s="250"/>
      <c r="P15" s="289"/>
      <c r="Q15" s="249"/>
      <c r="R15" s="250"/>
      <c r="S15" s="250"/>
      <c r="T15" s="250"/>
      <c r="U15" s="251"/>
      <c r="V15" s="224"/>
      <c r="W15" s="723" t="s">
        <v>393</v>
      </c>
      <c r="X15" s="724"/>
      <c r="Y15" s="724"/>
      <c r="Z15" s="936"/>
      <c r="AA15" s="249"/>
      <c r="AB15" s="250"/>
      <c r="AC15" s="250"/>
      <c r="AD15" s="250"/>
      <c r="AE15" s="289"/>
      <c r="AF15" s="627"/>
      <c r="AG15" s="615"/>
      <c r="AH15" s="615"/>
      <c r="AI15" s="615"/>
      <c r="AJ15" s="628"/>
      <c r="AK15" s="249"/>
      <c r="AL15" s="250"/>
      <c r="AM15" s="250"/>
      <c r="AN15" s="250"/>
      <c r="AO15" s="251"/>
      <c r="AP15" s="967"/>
      <c r="AQ15" s="682"/>
      <c r="AR15" s="600" t="s">
        <v>312</v>
      </c>
      <c r="AS15" s="696"/>
      <c r="AT15" s="962"/>
      <c r="AU15" s="319"/>
      <c r="AV15" s="320"/>
      <c r="AW15" s="320"/>
      <c r="AX15" s="320"/>
      <c r="AY15" s="333"/>
      <c r="AZ15" s="319"/>
      <c r="BA15" s="320"/>
      <c r="BB15" s="320"/>
      <c r="BC15" s="320"/>
      <c r="BD15" s="333"/>
      <c r="BE15" s="319"/>
      <c r="BF15" s="320"/>
      <c r="BG15" s="320"/>
      <c r="BH15" s="320"/>
      <c r="BI15" s="333"/>
      <c r="BJ15" s="319"/>
      <c r="BK15" s="320"/>
      <c r="BL15" s="320"/>
      <c r="BM15" s="320"/>
      <c r="BN15" s="333"/>
      <c r="BO15" s="319"/>
      <c r="BP15" s="320"/>
      <c r="BQ15" s="320"/>
      <c r="BR15" s="320"/>
      <c r="BS15" s="333"/>
      <c r="BT15" s="319"/>
      <c r="BU15" s="320"/>
      <c r="BV15" s="320"/>
      <c r="BW15" s="320"/>
      <c r="BX15" s="333"/>
      <c r="BY15" s="319"/>
      <c r="BZ15" s="320"/>
      <c r="CA15" s="320"/>
      <c r="CB15" s="320"/>
      <c r="CC15" s="334"/>
      <c r="CQ15" s="72"/>
      <c r="CR15" s="72"/>
      <c r="CS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</row>
    <row r="16" spans="1:155" ht="10.5" customHeight="1" x14ac:dyDescent="0.15">
      <c r="A16" s="23">
        <v>11</v>
      </c>
      <c r="B16" s="224"/>
      <c r="C16" s="636" t="s">
        <v>103</v>
      </c>
      <c r="D16" s="637"/>
      <c r="E16" s="637"/>
      <c r="F16" s="958"/>
      <c r="G16" s="249"/>
      <c r="H16" s="250"/>
      <c r="I16" s="250"/>
      <c r="J16" s="250"/>
      <c r="K16" s="289"/>
      <c r="L16" s="249"/>
      <c r="M16" s="250"/>
      <c r="N16" s="250"/>
      <c r="O16" s="250"/>
      <c r="P16" s="289"/>
      <c r="Q16" s="249"/>
      <c r="R16" s="250"/>
      <c r="S16" s="250"/>
      <c r="T16" s="250"/>
      <c r="U16" s="251"/>
      <c r="V16" s="209"/>
      <c r="W16" s="600" t="s">
        <v>103</v>
      </c>
      <c r="X16" s="696"/>
      <c r="Y16" s="696"/>
      <c r="Z16" s="962"/>
      <c r="AA16" s="319"/>
      <c r="AB16" s="320"/>
      <c r="AC16" s="320"/>
      <c r="AD16" s="320"/>
      <c r="AE16" s="333"/>
      <c r="AF16" s="825"/>
      <c r="AG16" s="618"/>
      <c r="AH16" s="618"/>
      <c r="AI16" s="618"/>
      <c r="AJ16" s="826"/>
      <c r="AK16" s="319"/>
      <c r="AL16" s="320"/>
      <c r="AM16" s="320"/>
      <c r="AN16" s="320"/>
      <c r="AO16" s="334"/>
      <c r="AP16" s="954" t="s">
        <v>325</v>
      </c>
      <c r="AQ16" s="774"/>
      <c r="AR16" s="55"/>
      <c r="AS16" s="55"/>
      <c r="AT16" s="54"/>
      <c r="AU16" s="276"/>
      <c r="AV16" s="277"/>
      <c r="AW16" s="277"/>
      <c r="AX16" s="277"/>
      <c r="AY16" s="324"/>
      <c r="AZ16" s="276"/>
      <c r="BA16" s="277"/>
      <c r="BB16" s="277"/>
      <c r="BC16" s="277"/>
      <c r="BD16" s="324"/>
      <c r="BE16" s="276"/>
      <c r="BF16" s="277"/>
      <c r="BG16" s="277"/>
      <c r="BH16" s="277"/>
      <c r="BI16" s="324"/>
      <c r="BJ16" s="276"/>
      <c r="BK16" s="277"/>
      <c r="BL16" s="277"/>
      <c r="BM16" s="277"/>
      <c r="BN16" s="324"/>
      <c r="BO16" s="276"/>
      <c r="BP16" s="277"/>
      <c r="BQ16" s="277"/>
      <c r="BR16" s="277"/>
      <c r="BS16" s="324"/>
      <c r="BT16" s="276"/>
      <c r="BU16" s="277"/>
      <c r="BV16" s="277"/>
      <c r="BW16" s="277"/>
      <c r="BX16" s="324"/>
      <c r="BY16" s="276"/>
      <c r="BZ16" s="277"/>
      <c r="CA16" s="277"/>
      <c r="CB16" s="277"/>
      <c r="CC16" s="336"/>
      <c r="CQ16" s="72"/>
      <c r="CR16" s="72"/>
      <c r="CS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</row>
    <row r="17" spans="1:178" ht="10.5" customHeight="1" x14ac:dyDescent="0.15">
      <c r="A17" s="23">
        <v>12</v>
      </c>
      <c r="B17" s="224"/>
      <c r="C17" s="12"/>
      <c r="D17" s="636" t="s">
        <v>100</v>
      </c>
      <c r="E17" s="637"/>
      <c r="F17" s="958"/>
      <c r="G17" s="249"/>
      <c r="H17" s="250"/>
      <c r="I17" s="250"/>
      <c r="J17" s="250"/>
      <c r="K17" s="289"/>
      <c r="L17" s="249"/>
      <c r="M17" s="250"/>
      <c r="N17" s="250"/>
      <c r="O17" s="250"/>
      <c r="P17" s="289"/>
      <c r="Q17" s="249"/>
      <c r="R17" s="250"/>
      <c r="S17" s="250"/>
      <c r="T17" s="250"/>
      <c r="U17" s="251"/>
      <c r="V17" s="937" t="s">
        <v>333</v>
      </c>
      <c r="W17" s="872"/>
      <c r="X17" s="872"/>
      <c r="Y17" s="872"/>
      <c r="Z17" s="872"/>
      <c r="AA17" s="276"/>
      <c r="AB17" s="277"/>
      <c r="AC17" s="277"/>
      <c r="AD17" s="277"/>
      <c r="AE17" s="324"/>
      <c r="AF17" s="770"/>
      <c r="AG17" s="607"/>
      <c r="AH17" s="607"/>
      <c r="AI17" s="607"/>
      <c r="AJ17" s="799"/>
      <c r="AK17" s="276"/>
      <c r="AL17" s="277"/>
      <c r="AM17" s="277"/>
      <c r="AN17" s="277"/>
      <c r="AO17" s="336"/>
      <c r="AP17" s="955"/>
      <c r="AQ17" s="680"/>
      <c r="AR17" s="723" t="s">
        <v>320</v>
      </c>
      <c r="AS17" s="724"/>
      <c r="AT17" s="936"/>
      <c r="AU17" s="249"/>
      <c r="AV17" s="250"/>
      <c r="AW17" s="250"/>
      <c r="AX17" s="250"/>
      <c r="AY17" s="289"/>
      <c r="AZ17" s="249"/>
      <c r="BA17" s="250"/>
      <c r="BB17" s="250"/>
      <c r="BC17" s="250"/>
      <c r="BD17" s="289"/>
      <c r="BE17" s="249"/>
      <c r="BF17" s="250"/>
      <c r="BG17" s="250"/>
      <c r="BH17" s="250"/>
      <c r="BI17" s="289"/>
      <c r="BJ17" s="249"/>
      <c r="BK17" s="250"/>
      <c r="BL17" s="250"/>
      <c r="BM17" s="250"/>
      <c r="BN17" s="289"/>
      <c r="BO17" s="249"/>
      <c r="BP17" s="250"/>
      <c r="BQ17" s="250"/>
      <c r="BR17" s="250"/>
      <c r="BS17" s="289"/>
      <c r="BT17" s="249"/>
      <c r="BU17" s="250"/>
      <c r="BV17" s="250"/>
      <c r="BW17" s="250"/>
      <c r="BX17" s="289"/>
      <c r="BY17" s="249"/>
      <c r="BZ17" s="250"/>
      <c r="CA17" s="250"/>
      <c r="CB17" s="250"/>
      <c r="CC17" s="251"/>
      <c r="CL17" s="46"/>
      <c r="CM17" s="46"/>
      <c r="CN17" s="46"/>
      <c r="CO17" s="46"/>
      <c r="CP17" s="46"/>
      <c r="CQ17" s="46"/>
      <c r="CR17" s="72"/>
      <c r="CS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</row>
    <row r="18" spans="1:178" ht="10.5" customHeight="1" x14ac:dyDescent="0.15">
      <c r="A18" s="23">
        <v>13</v>
      </c>
      <c r="B18" s="224"/>
      <c r="C18" s="12"/>
      <c r="D18" s="59"/>
      <c r="E18" s="699" t="s">
        <v>331</v>
      </c>
      <c r="F18" s="953"/>
      <c r="G18" s="249"/>
      <c r="H18" s="250"/>
      <c r="I18" s="250"/>
      <c r="J18" s="250"/>
      <c r="K18" s="289"/>
      <c r="L18" s="249"/>
      <c r="M18" s="250"/>
      <c r="N18" s="250"/>
      <c r="O18" s="250"/>
      <c r="P18" s="289"/>
      <c r="Q18" s="249"/>
      <c r="R18" s="250"/>
      <c r="S18" s="250"/>
      <c r="T18" s="250"/>
      <c r="U18" s="251"/>
      <c r="V18" s="224"/>
      <c r="W18" s="723" t="s">
        <v>393</v>
      </c>
      <c r="X18" s="724"/>
      <c r="Y18" s="724"/>
      <c r="Z18" s="936"/>
      <c r="AA18" s="249"/>
      <c r="AB18" s="250"/>
      <c r="AC18" s="250"/>
      <c r="AD18" s="250"/>
      <c r="AE18" s="289"/>
      <c r="AF18" s="627"/>
      <c r="AG18" s="615"/>
      <c r="AH18" s="615"/>
      <c r="AI18" s="615"/>
      <c r="AJ18" s="628"/>
      <c r="AK18" s="249"/>
      <c r="AL18" s="250"/>
      <c r="AM18" s="250"/>
      <c r="AN18" s="250"/>
      <c r="AO18" s="251"/>
      <c r="AP18" s="955"/>
      <c r="AQ18" s="680"/>
      <c r="AR18" s="723" t="s">
        <v>323</v>
      </c>
      <c r="AS18" s="724"/>
      <c r="AT18" s="936"/>
      <c r="AU18" s="249"/>
      <c r="AV18" s="250"/>
      <c r="AW18" s="250"/>
      <c r="AX18" s="250"/>
      <c r="AY18" s="289"/>
      <c r="AZ18" s="249"/>
      <c r="BA18" s="250"/>
      <c r="BB18" s="250"/>
      <c r="BC18" s="250"/>
      <c r="BD18" s="289"/>
      <c r="BE18" s="249"/>
      <c r="BF18" s="250"/>
      <c r="BG18" s="250"/>
      <c r="BH18" s="250"/>
      <c r="BI18" s="289"/>
      <c r="BJ18" s="249"/>
      <c r="BK18" s="250"/>
      <c r="BL18" s="250"/>
      <c r="BM18" s="250"/>
      <c r="BN18" s="289"/>
      <c r="BO18" s="249"/>
      <c r="BP18" s="250"/>
      <c r="BQ18" s="250"/>
      <c r="BR18" s="250"/>
      <c r="BS18" s="289"/>
      <c r="BT18" s="249"/>
      <c r="BU18" s="250"/>
      <c r="BV18" s="250"/>
      <c r="BW18" s="250"/>
      <c r="BX18" s="289"/>
      <c r="BY18" s="249"/>
      <c r="BZ18" s="250"/>
      <c r="CA18" s="250"/>
      <c r="CB18" s="250"/>
      <c r="CC18" s="251"/>
      <c r="CL18" s="46"/>
      <c r="CM18" s="46"/>
      <c r="CN18" s="46"/>
      <c r="CO18" s="46"/>
      <c r="CP18" s="46"/>
      <c r="CQ18" s="46"/>
      <c r="CR18" s="72"/>
      <c r="CS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</row>
    <row r="19" spans="1:178" ht="10.5" customHeight="1" x14ac:dyDescent="0.15">
      <c r="A19" s="23">
        <v>14</v>
      </c>
      <c r="B19" s="224"/>
      <c r="C19" s="12"/>
      <c r="D19" s="636" t="s">
        <v>92</v>
      </c>
      <c r="E19" s="637"/>
      <c r="F19" s="958"/>
      <c r="G19" s="319"/>
      <c r="H19" s="320"/>
      <c r="I19" s="320"/>
      <c r="J19" s="320"/>
      <c r="K19" s="333"/>
      <c r="L19" s="319"/>
      <c r="M19" s="320"/>
      <c r="N19" s="320"/>
      <c r="O19" s="320"/>
      <c r="P19" s="333"/>
      <c r="Q19" s="319"/>
      <c r="R19" s="320"/>
      <c r="S19" s="320"/>
      <c r="T19" s="320"/>
      <c r="U19" s="334"/>
      <c r="V19" s="224"/>
      <c r="W19" s="636" t="s">
        <v>103</v>
      </c>
      <c r="X19" s="637"/>
      <c r="Y19" s="637"/>
      <c r="Z19" s="958"/>
      <c r="AA19" s="249"/>
      <c r="AB19" s="250"/>
      <c r="AC19" s="250"/>
      <c r="AD19" s="250"/>
      <c r="AE19" s="289"/>
      <c r="AF19" s="627"/>
      <c r="AG19" s="615"/>
      <c r="AH19" s="615"/>
      <c r="AI19" s="615"/>
      <c r="AJ19" s="628"/>
      <c r="AK19" s="249"/>
      <c r="AL19" s="250"/>
      <c r="AM19" s="250"/>
      <c r="AN19" s="250"/>
      <c r="AO19" s="251"/>
      <c r="AP19" s="955"/>
      <c r="AQ19" s="680"/>
      <c r="AR19" s="723" t="s">
        <v>322</v>
      </c>
      <c r="AS19" s="724"/>
      <c r="AT19" s="936"/>
      <c r="AU19" s="249"/>
      <c r="AV19" s="250"/>
      <c r="AW19" s="250"/>
      <c r="AX19" s="250"/>
      <c r="AY19" s="289"/>
      <c r="AZ19" s="249"/>
      <c r="BA19" s="250"/>
      <c r="BB19" s="250"/>
      <c r="BC19" s="250"/>
      <c r="BD19" s="289"/>
      <c r="BE19" s="249"/>
      <c r="BF19" s="250"/>
      <c r="BG19" s="250"/>
      <c r="BH19" s="250"/>
      <c r="BI19" s="289"/>
      <c r="BJ19" s="249"/>
      <c r="BK19" s="250"/>
      <c r="BL19" s="250"/>
      <c r="BM19" s="250"/>
      <c r="BN19" s="289"/>
      <c r="BO19" s="249"/>
      <c r="BP19" s="250"/>
      <c r="BQ19" s="250"/>
      <c r="BR19" s="250"/>
      <c r="BS19" s="289"/>
      <c r="BT19" s="249"/>
      <c r="BU19" s="250"/>
      <c r="BV19" s="250"/>
      <c r="BW19" s="250"/>
      <c r="BX19" s="289"/>
      <c r="BY19" s="249"/>
      <c r="BZ19" s="250"/>
      <c r="CA19" s="250"/>
      <c r="CB19" s="250"/>
      <c r="CC19" s="251"/>
      <c r="CL19" s="46"/>
      <c r="CM19" s="46"/>
      <c r="CN19" s="46"/>
      <c r="CO19" s="46"/>
      <c r="CP19" s="46"/>
      <c r="CQ19" s="46"/>
      <c r="CR19" s="72"/>
      <c r="CS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</row>
    <row r="20" spans="1:178" ht="10.5" customHeight="1" x14ac:dyDescent="0.15">
      <c r="A20" s="23">
        <v>15</v>
      </c>
      <c r="B20" s="959" t="s">
        <v>340</v>
      </c>
      <c r="C20" s="960"/>
      <c r="D20" s="960"/>
      <c r="E20" s="960"/>
      <c r="F20" s="961"/>
      <c r="G20" s="276"/>
      <c r="H20" s="277"/>
      <c r="I20" s="277"/>
      <c r="J20" s="277"/>
      <c r="K20" s="324"/>
      <c r="L20" s="276"/>
      <c r="M20" s="277"/>
      <c r="N20" s="277"/>
      <c r="O20" s="277"/>
      <c r="P20" s="324"/>
      <c r="Q20" s="276"/>
      <c r="R20" s="277"/>
      <c r="S20" s="277"/>
      <c r="T20" s="277"/>
      <c r="U20" s="336"/>
      <c r="V20" s="221"/>
      <c r="W20" s="12"/>
      <c r="X20" s="636" t="s">
        <v>100</v>
      </c>
      <c r="Y20" s="637"/>
      <c r="Z20" s="958"/>
      <c r="AA20" s="249"/>
      <c r="AB20" s="250"/>
      <c r="AC20" s="250"/>
      <c r="AD20" s="250"/>
      <c r="AE20" s="289"/>
      <c r="AF20" s="627"/>
      <c r="AG20" s="615"/>
      <c r="AH20" s="615"/>
      <c r="AI20" s="615"/>
      <c r="AJ20" s="628"/>
      <c r="AK20" s="249"/>
      <c r="AL20" s="250"/>
      <c r="AM20" s="250"/>
      <c r="AN20" s="250"/>
      <c r="AO20" s="251"/>
      <c r="AP20" s="955"/>
      <c r="AQ20" s="680"/>
      <c r="AR20" s="723" t="s">
        <v>321</v>
      </c>
      <c r="AS20" s="724"/>
      <c r="AT20" s="936"/>
      <c r="AU20" s="249"/>
      <c r="AV20" s="250"/>
      <c r="AW20" s="250"/>
      <c r="AX20" s="250"/>
      <c r="AY20" s="289"/>
      <c r="AZ20" s="249"/>
      <c r="BA20" s="250"/>
      <c r="BB20" s="250"/>
      <c r="BC20" s="250"/>
      <c r="BD20" s="289"/>
      <c r="BE20" s="249"/>
      <c r="BF20" s="250"/>
      <c r="BG20" s="250"/>
      <c r="BH20" s="250"/>
      <c r="BI20" s="289"/>
      <c r="BJ20" s="249"/>
      <c r="BK20" s="250"/>
      <c r="BL20" s="250"/>
      <c r="BM20" s="250"/>
      <c r="BN20" s="289"/>
      <c r="BO20" s="249"/>
      <c r="BP20" s="250"/>
      <c r="BQ20" s="250"/>
      <c r="BR20" s="250"/>
      <c r="BS20" s="289"/>
      <c r="BT20" s="249"/>
      <c r="BU20" s="250"/>
      <c r="BV20" s="250"/>
      <c r="BW20" s="250"/>
      <c r="BX20" s="289"/>
      <c r="BY20" s="249"/>
      <c r="BZ20" s="250"/>
      <c r="CA20" s="250"/>
      <c r="CB20" s="250"/>
      <c r="CC20" s="251"/>
      <c r="CL20" s="46"/>
      <c r="CM20" s="46"/>
      <c r="CN20" s="46"/>
      <c r="CO20" s="46"/>
      <c r="CP20" s="46"/>
      <c r="CQ20" s="46"/>
      <c r="CR20" s="72"/>
      <c r="CS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</row>
    <row r="21" spans="1:178" ht="10.5" customHeight="1" x14ac:dyDescent="0.15">
      <c r="A21" s="23">
        <v>16</v>
      </c>
      <c r="B21" s="224"/>
      <c r="C21" s="699" t="s">
        <v>393</v>
      </c>
      <c r="D21" s="700"/>
      <c r="E21" s="700"/>
      <c r="F21" s="953"/>
      <c r="G21" s="249"/>
      <c r="H21" s="250"/>
      <c r="I21" s="250"/>
      <c r="J21" s="250"/>
      <c r="K21" s="289"/>
      <c r="L21" s="249"/>
      <c r="M21" s="250"/>
      <c r="N21" s="250"/>
      <c r="O21" s="250"/>
      <c r="P21" s="289"/>
      <c r="Q21" s="249"/>
      <c r="R21" s="250"/>
      <c r="S21" s="250"/>
      <c r="T21" s="250"/>
      <c r="U21" s="251"/>
      <c r="V21" s="221"/>
      <c r="W21" s="12"/>
      <c r="X21" s="59"/>
      <c r="Y21" s="699" t="s">
        <v>331</v>
      </c>
      <c r="Z21" s="953"/>
      <c r="AA21" s="249"/>
      <c r="AB21" s="250"/>
      <c r="AC21" s="250"/>
      <c r="AD21" s="250"/>
      <c r="AE21" s="289"/>
      <c r="AF21" s="627"/>
      <c r="AG21" s="615"/>
      <c r="AH21" s="615"/>
      <c r="AI21" s="615"/>
      <c r="AJ21" s="628"/>
      <c r="AK21" s="249"/>
      <c r="AL21" s="250"/>
      <c r="AM21" s="250"/>
      <c r="AN21" s="250"/>
      <c r="AO21" s="251"/>
      <c r="AP21" s="955"/>
      <c r="AQ21" s="680"/>
      <c r="AR21" s="723" t="s">
        <v>319</v>
      </c>
      <c r="AS21" s="724"/>
      <c r="AT21" s="936"/>
      <c r="AU21" s="249"/>
      <c r="AV21" s="250"/>
      <c r="AW21" s="250"/>
      <c r="AX21" s="250"/>
      <c r="AY21" s="289"/>
      <c r="AZ21" s="249"/>
      <c r="BA21" s="250"/>
      <c r="BB21" s="250"/>
      <c r="BC21" s="250"/>
      <c r="BD21" s="289"/>
      <c r="BE21" s="249"/>
      <c r="BF21" s="250"/>
      <c r="BG21" s="250"/>
      <c r="BH21" s="250"/>
      <c r="BI21" s="289"/>
      <c r="BJ21" s="249"/>
      <c r="BK21" s="250"/>
      <c r="BL21" s="250"/>
      <c r="BM21" s="250"/>
      <c r="BN21" s="289"/>
      <c r="BO21" s="249"/>
      <c r="BP21" s="250"/>
      <c r="BQ21" s="250"/>
      <c r="BR21" s="250"/>
      <c r="BS21" s="289"/>
      <c r="BT21" s="249"/>
      <c r="BU21" s="250"/>
      <c r="BV21" s="250"/>
      <c r="BW21" s="250"/>
      <c r="BX21" s="289"/>
      <c r="BY21" s="249"/>
      <c r="BZ21" s="250"/>
      <c r="CA21" s="250"/>
      <c r="CB21" s="250"/>
      <c r="CC21" s="251"/>
      <c r="CL21" s="46"/>
      <c r="CM21" s="46"/>
      <c r="CN21" s="46"/>
      <c r="CO21" s="46"/>
      <c r="CP21" s="46"/>
      <c r="CQ21" s="46"/>
      <c r="CR21" s="72"/>
      <c r="CS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</row>
    <row r="22" spans="1:178" ht="10.5" customHeight="1" thickBot="1" x14ac:dyDescent="0.2">
      <c r="A22" s="23">
        <v>17</v>
      </c>
      <c r="B22" s="224"/>
      <c r="C22" s="636" t="s">
        <v>103</v>
      </c>
      <c r="D22" s="637"/>
      <c r="E22" s="637"/>
      <c r="F22" s="958"/>
      <c r="G22" s="249"/>
      <c r="H22" s="250"/>
      <c r="I22" s="250"/>
      <c r="J22" s="250"/>
      <c r="K22" s="289"/>
      <c r="L22" s="249"/>
      <c r="M22" s="250"/>
      <c r="N22" s="250"/>
      <c r="O22" s="250"/>
      <c r="P22" s="289"/>
      <c r="Q22" s="249"/>
      <c r="R22" s="250"/>
      <c r="S22" s="250"/>
      <c r="T22" s="250"/>
      <c r="U22" s="251"/>
      <c r="V22" s="58"/>
      <c r="W22" s="10"/>
      <c r="X22" s="667" t="s">
        <v>92</v>
      </c>
      <c r="Y22" s="668"/>
      <c r="Z22" s="935"/>
      <c r="AA22" s="262"/>
      <c r="AB22" s="263"/>
      <c r="AC22" s="263"/>
      <c r="AD22" s="263"/>
      <c r="AE22" s="307"/>
      <c r="AF22" s="620"/>
      <c r="AG22" s="621"/>
      <c r="AH22" s="621"/>
      <c r="AI22" s="621"/>
      <c r="AJ22" s="622"/>
      <c r="AK22" s="262"/>
      <c r="AL22" s="263"/>
      <c r="AM22" s="263"/>
      <c r="AN22" s="263"/>
      <c r="AO22" s="264"/>
      <c r="AP22" s="955"/>
      <c r="AQ22" s="680"/>
      <c r="AR22" s="723" t="s">
        <v>317</v>
      </c>
      <c r="AS22" s="724"/>
      <c r="AT22" s="936"/>
      <c r="AU22" s="249"/>
      <c r="AV22" s="250"/>
      <c r="AW22" s="250"/>
      <c r="AX22" s="250"/>
      <c r="AY22" s="289"/>
      <c r="AZ22" s="249"/>
      <c r="BA22" s="250"/>
      <c r="BB22" s="250"/>
      <c r="BC22" s="250"/>
      <c r="BD22" s="289"/>
      <c r="BE22" s="249"/>
      <c r="BF22" s="250"/>
      <c r="BG22" s="250"/>
      <c r="BH22" s="250"/>
      <c r="BI22" s="289"/>
      <c r="BJ22" s="249"/>
      <c r="BK22" s="250"/>
      <c r="BL22" s="250"/>
      <c r="BM22" s="250"/>
      <c r="BN22" s="289"/>
      <c r="BO22" s="249"/>
      <c r="BP22" s="250"/>
      <c r="BQ22" s="250"/>
      <c r="BR22" s="250"/>
      <c r="BS22" s="289"/>
      <c r="BT22" s="249"/>
      <c r="BU22" s="250"/>
      <c r="BV22" s="250"/>
      <c r="BW22" s="250"/>
      <c r="BX22" s="289"/>
      <c r="BY22" s="249"/>
      <c r="BZ22" s="250"/>
      <c r="CA22" s="250"/>
      <c r="CB22" s="250"/>
      <c r="CC22" s="251"/>
      <c r="CL22" s="46"/>
      <c r="CM22" s="46"/>
      <c r="CN22" s="46"/>
      <c r="CO22" s="46"/>
      <c r="CP22" s="46"/>
      <c r="CQ22" s="46"/>
      <c r="CR22" s="72"/>
      <c r="CS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</row>
    <row r="23" spans="1:178" ht="10.5" customHeight="1" x14ac:dyDescent="0.15">
      <c r="A23" s="23">
        <v>18</v>
      </c>
      <c r="B23" s="224"/>
      <c r="C23" s="12"/>
      <c r="D23" s="636" t="s">
        <v>100</v>
      </c>
      <c r="E23" s="637"/>
      <c r="F23" s="958"/>
      <c r="G23" s="249"/>
      <c r="H23" s="250"/>
      <c r="I23" s="250"/>
      <c r="J23" s="250"/>
      <c r="K23" s="289"/>
      <c r="L23" s="249"/>
      <c r="M23" s="250"/>
      <c r="N23" s="250"/>
      <c r="O23" s="250"/>
      <c r="P23" s="289"/>
      <c r="Q23" s="249"/>
      <c r="R23" s="250"/>
      <c r="S23" s="250"/>
      <c r="T23" s="250"/>
      <c r="U23" s="251"/>
      <c r="AP23" s="955"/>
      <c r="AQ23" s="680"/>
      <c r="AR23" s="636" t="s">
        <v>312</v>
      </c>
      <c r="AS23" s="637"/>
      <c r="AT23" s="958"/>
      <c r="AU23" s="319"/>
      <c r="AV23" s="320"/>
      <c r="AW23" s="320"/>
      <c r="AX23" s="320"/>
      <c r="AY23" s="333"/>
      <c r="AZ23" s="319"/>
      <c r="BA23" s="320"/>
      <c r="BB23" s="320"/>
      <c r="BC23" s="320"/>
      <c r="BD23" s="333"/>
      <c r="BE23" s="319"/>
      <c r="BF23" s="320"/>
      <c r="BG23" s="320"/>
      <c r="BH23" s="320"/>
      <c r="BI23" s="333"/>
      <c r="BJ23" s="319"/>
      <c r="BK23" s="320"/>
      <c r="BL23" s="320"/>
      <c r="BM23" s="320"/>
      <c r="BN23" s="333"/>
      <c r="BO23" s="319"/>
      <c r="BP23" s="320"/>
      <c r="BQ23" s="320"/>
      <c r="BR23" s="320"/>
      <c r="BS23" s="333"/>
      <c r="BT23" s="319"/>
      <c r="BU23" s="320"/>
      <c r="BV23" s="320"/>
      <c r="BW23" s="320"/>
      <c r="BX23" s="333"/>
      <c r="BY23" s="319"/>
      <c r="BZ23" s="320"/>
      <c r="CA23" s="320"/>
      <c r="CB23" s="320"/>
      <c r="CC23" s="334"/>
      <c r="CL23" s="46"/>
      <c r="CM23" s="46"/>
      <c r="CN23" s="46"/>
      <c r="CO23" s="46"/>
      <c r="CP23" s="46"/>
      <c r="CQ23" s="46"/>
      <c r="CR23" s="72"/>
      <c r="CS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72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</row>
    <row r="24" spans="1:178" ht="10.5" customHeight="1" x14ac:dyDescent="0.15">
      <c r="A24" s="23">
        <v>19</v>
      </c>
      <c r="B24" s="224"/>
      <c r="C24" s="12"/>
      <c r="D24" s="59"/>
      <c r="E24" s="699" t="s">
        <v>331</v>
      </c>
      <c r="F24" s="953"/>
      <c r="G24" s="249"/>
      <c r="H24" s="250"/>
      <c r="I24" s="250"/>
      <c r="J24" s="250"/>
      <c r="K24" s="289"/>
      <c r="L24" s="249"/>
      <c r="M24" s="250"/>
      <c r="N24" s="250"/>
      <c r="O24" s="250"/>
      <c r="P24" s="289"/>
      <c r="Q24" s="249"/>
      <c r="R24" s="250"/>
      <c r="S24" s="250"/>
      <c r="T24" s="250"/>
      <c r="U24" s="251"/>
      <c r="AP24" s="954" t="s">
        <v>35</v>
      </c>
      <c r="AQ24" s="774"/>
      <c r="AR24" s="55"/>
      <c r="AS24" s="55"/>
      <c r="AT24" s="54"/>
      <c r="AU24" s="276"/>
      <c r="AV24" s="277"/>
      <c r="AW24" s="277"/>
      <c r="AX24" s="277"/>
      <c r="AY24" s="324"/>
      <c r="AZ24" s="276"/>
      <c r="BA24" s="277"/>
      <c r="BB24" s="277"/>
      <c r="BC24" s="277"/>
      <c r="BD24" s="324"/>
      <c r="BE24" s="276"/>
      <c r="BF24" s="277"/>
      <c r="BG24" s="277"/>
      <c r="BH24" s="277"/>
      <c r="BI24" s="324"/>
      <c r="BJ24" s="276"/>
      <c r="BK24" s="277"/>
      <c r="BL24" s="277"/>
      <c r="BM24" s="277"/>
      <c r="BN24" s="324"/>
      <c r="BO24" s="276"/>
      <c r="BP24" s="277"/>
      <c r="BQ24" s="277"/>
      <c r="BR24" s="277"/>
      <c r="BS24" s="324"/>
      <c r="BT24" s="276"/>
      <c r="BU24" s="277"/>
      <c r="BV24" s="277"/>
      <c r="BW24" s="277"/>
      <c r="BX24" s="324"/>
      <c r="BY24" s="276"/>
      <c r="BZ24" s="277"/>
      <c r="CA24" s="277"/>
      <c r="CB24" s="277"/>
      <c r="CC24" s="336"/>
      <c r="CL24" s="46"/>
      <c r="CM24" s="46"/>
      <c r="CN24" s="46"/>
      <c r="CO24" s="46"/>
      <c r="CP24" s="46"/>
      <c r="CQ24" s="46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72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</row>
    <row r="25" spans="1:178" ht="10.5" customHeight="1" thickBot="1" x14ac:dyDescent="0.2">
      <c r="A25" s="23">
        <v>20</v>
      </c>
      <c r="B25" s="11"/>
      <c r="C25" s="10"/>
      <c r="D25" s="667" t="s">
        <v>92</v>
      </c>
      <c r="E25" s="668"/>
      <c r="F25" s="935"/>
      <c r="G25" s="262"/>
      <c r="H25" s="263"/>
      <c r="I25" s="263"/>
      <c r="J25" s="263"/>
      <c r="K25" s="307"/>
      <c r="L25" s="262"/>
      <c r="M25" s="263"/>
      <c r="N25" s="263"/>
      <c r="O25" s="263"/>
      <c r="P25" s="307"/>
      <c r="Q25" s="262"/>
      <c r="R25" s="263"/>
      <c r="S25" s="263"/>
      <c r="T25" s="263"/>
      <c r="U25" s="264"/>
      <c r="AP25" s="955"/>
      <c r="AQ25" s="680"/>
      <c r="AR25" s="723" t="s">
        <v>320</v>
      </c>
      <c r="AS25" s="724"/>
      <c r="AT25" s="936"/>
      <c r="AU25" s="249"/>
      <c r="AV25" s="250"/>
      <c r="AW25" s="250"/>
      <c r="AX25" s="250"/>
      <c r="AY25" s="289"/>
      <c r="AZ25" s="249"/>
      <c r="BA25" s="250"/>
      <c r="BB25" s="250"/>
      <c r="BC25" s="250"/>
      <c r="BD25" s="289"/>
      <c r="BE25" s="249"/>
      <c r="BF25" s="250"/>
      <c r="BG25" s="250"/>
      <c r="BH25" s="250"/>
      <c r="BI25" s="289"/>
      <c r="BJ25" s="249"/>
      <c r="BK25" s="250"/>
      <c r="BL25" s="250"/>
      <c r="BM25" s="250"/>
      <c r="BN25" s="289"/>
      <c r="BO25" s="249"/>
      <c r="BP25" s="250"/>
      <c r="BQ25" s="250"/>
      <c r="BR25" s="250"/>
      <c r="BS25" s="289"/>
      <c r="BT25" s="249"/>
      <c r="BU25" s="250"/>
      <c r="BV25" s="250"/>
      <c r="BW25" s="250"/>
      <c r="BX25" s="289"/>
      <c r="BY25" s="249"/>
      <c r="BZ25" s="250"/>
      <c r="CA25" s="250"/>
      <c r="CB25" s="250"/>
      <c r="CC25" s="251"/>
      <c r="CL25" s="46"/>
      <c r="CM25" s="46"/>
      <c r="CN25" s="46"/>
      <c r="CO25" s="46"/>
      <c r="CP25" s="46"/>
      <c r="CQ25" s="46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</row>
    <row r="26" spans="1:178" ht="10.5" customHeight="1" x14ac:dyDescent="0.15">
      <c r="A26" s="23">
        <v>21</v>
      </c>
      <c r="B26" s="194" t="s">
        <v>335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193"/>
      <c r="R26" s="193"/>
      <c r="S26" s="193"/>
      <c r="T26" s="193"/>
      <c r="U26" s="193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0"/>
      <c r="AP26" s="955"/>
      <c r="AQ26" s="680"/>
      <c r="AR26" s="723" t="s">
        <v>318</v>
      </c>
      <c r="AS26" s="724"/>
      <c r="AT26" s="936"/>
      <c r="AU26" s="249"/>
      <c r="AV26" s="250"/>
      <c r="AW26" s="250"/>
      <c r="AX26" s="250"/>
      <c r="AY26" s="289"/>
      <c r="AZ26" s="249"/>
      <c r="BA26" s="250"/>
      <c r="BB26" s="250"/>
      <c r="BC26" s="250"/>
      <c r="BD26" s="289"/>
      <c r="BE26" s="249"/>
      <c r="BF26" s="250"/>
      <c r="BG26" s="250"/>
      <c r="BH26" s="250"/>
      <c r="BI26" s="289"/>
      <c r="BJ26" s="249"/>
      <c r="BK26" s="250"/>
      <c r="BL26" s="250"/>
      <c r="BM26" s="250"/>
      <c r="BN26" s="289"/>
      <c r="BO26" s="249"/>
      <c r="BP26" s="250"/>
      <c r="BQ26" s="250"/>
      <c r="BR26" s="250"/>
      <c r="BS26" s="289"/>
      <c r="BT26" s="249"/>
      <c r="BU26" s="250"/>
      <c r="BV26" s="250"/>
      <c r="BW26" s="250"/>
      <c r="BX26" s="289"/>
      <c r="BY26" s="249"/>
      <c r="BZ26" s="250"/>
      <c r="CA26" s="250"/>
      <c r="CB26" s="250"/>
      <c r="CC26" s="251"/>
      <c r="CL26" s="46"/>
      <c r="CM26" s="46"/>
      <c r="CN26" s="46"/>
      <c r="CO26" s="46"/>
      <c r="CP26" s="46"/>
      <c r="CQ26" s="46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</row>
    <row r="27" spans="1:178" ht="10.5" customHeight="1" x14ac:dyDescent="0.15">
      <c r="A27" s="23">
        <v>22</v>
      </c>
      <c r="B27" s="950" t="s">
        <v>43</v>
      </c>
      <c r="C27" s="951"/>
      <c r="D27" s="951"/>
      <c r="E27" s="951"/>
      <c r="F27" s="952"/>
      <c r="G27" s="865" t="s">
        <v>35</v>
      </c>
      <c r="H27" s="951"/>
      <c r="I27" s="951"/>
      <c r="J27" s="951"/>
      <c r="K27" s="951"/>
      <c r="L27" s="219"/>
      <c r="M27" s="219"/>
      <c r="N27" s="208"/>
      <c r="O27" s="208"/>
      <c r="P27" s="208"/>
      <c r="Q27" s="192"/>
      <c r="R27" s="192"/>
      <c r="S27" s="192"/>
      <c r="T27" s="192"/>
      <c r="U27" s="192"/>
      <c r="V27" s="863" t="s">
        <v>43</v>
      </c>
      <c r="W27" s="358"/>
      <c r="X27" s="358"/>
      <c r="Y27" s="358"/>
      <c r="Z27" s="359"/>
      <c r="AA27" s="863" t="s">
        <v>35</v>
      </c>
      <c r="AB27" s="358"/>
      <c r="AC27" s="358"/>
      <c r="AD27" s="358"/>
      <c r="AE27" s="358"/>
      <c r="AF27" s="219"/>
      <c r="AG27" s="219"/>
      <c r="AH27" s="208"/>
      <c r="AI27" s="208"/>
      <c r="AJ27" s="208"/>
      <c r="AK27" s="192"/>
      <c r="AL27" s="192"/>
      <c r="AM27" s="192"/>
      <c r="AN27" s="192"/>
      <c r="AO27" s="191"/>
      <c r="AP27" s="955"/>
      <c r="AQ27" s="680"/>
      <c r="AR27" s="723" t="s">
        <v>316</v>
      </c>
      <c r="AS27" s="724"/>
      <c r="AT27" s="936"/>
      <c r="AU27" s="249"/>
      <c r="AV27" s="250"/>
      <c r="AW27" s="250"/>
      <c r="AX27" s="250"/>
      <c r="AY27" s="289"/>
      <c r="AZ27" s="249"/>
      <c r="BA27" s="250"/>
      <c r="BB27" s="250"/>
      <c r="BC27" s="250"/>
      <c r="BD27" s="289"/>
      <c r="BE27" s="249"/>
      <c r="BF27" s="250"/>
      <c r="BG27" s="250"/>
      <c r="BH27" s="250"/>
      <c r="BI27" s="289"/>
      <c r="BJ27" s="249"/>
      <c r="BK27" s="250"/>
      <c r="BL27" s="250"/>
      <c r="BM27" s="250"/>
      <c r="BN27" s="289"/>
      <c r="BO27" s="249"/>
      <c r="BP27" s="250"/>
      <c r="BQ27" s="250"/>
      <c r="BR27" s="250"/>
      <c r="BS27" s="289"/>
      <c r="BT27" s="249"/>
      <c r="BU27" s="250"/>
      <c r="BV27" s="250"/>
      <c r="BW27" s="250"/>
      <c r="BX27" s="289"/>
      <c r="BY27" s="249"/>
      <c r="BZ27" s="250"/>
      <c r="CA27" s="250"/>
      <c r="CB27" s="250"/>
      <c r="CC27" s="251"/>
      <c r="CL27" s="46"/>
      <c r="CM27" s="46"/>
      <c r="CN27" s="46"/>
      <c r="CO27" s="46"/>
      <c r="CP27" s="46"/>
      <c r="CQ27" s="46"/>
      <c r="EM27" s="72"/>
      <c r="EN27" s="72"/>
      <c r="EO27" s="72"/>
      <c r="EP27" s="72"/>
      <c r="EQ27" s="72"/>
      <c r="ER27" s="72"/>
      <c r="ES27" s="72"/>
      <c r="ET27" s="72"/>
      <c r="EU27" s="72"/>
      <c r="EV27" s="72"/>
      <c r="EW27" s="72"/>
      <c r="EX27" s="72"/>
      <c r="EY27" s="72"/>
      <c r="EZ27" s="72"/>
      <c r="FA27" s="72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</row>
    <row r="28" spans="1:178" ht="10.5" customHeight="1" x14ac:dyDescent="0.15">
      <c r="A28" s="23">
        <v>23</v>
      </c>
      <c r="B28" s="950"/>
      <c r="C28" s="951"/>
      <c r="D28" s="951"/>
      <c r="E28" s="951"/>
      <c r="F28" s="952"/>
      <c r="G28" s="865"/>
      <c r="H28" s="951"/>
      <c r="I28" s="951"/>
      <c r="J28" s="951"/>
      <c r="K28" s="951"/>
      <c r="L28" s="948" t="s">
        <v>332</v>
      </c>
      <c r="M28" s="573"/>
      <c r="N28" s="573"/>
      <c r="O28" s="573"/>
      <c r="P28" s="574"/>
      <c r="Q28" s="349" t="s">
        <v>325</v>
      </c>
      <c r="R28" s="350"/>
      <c r="S28" s="350"/>
      <c r="T28" s="350"/>
      <c r="U28" s="350"/>
      <c r="V28" s="384"/>
      <c r="W28" s="360"/>
      <c r="X28" s="360"/>
      <c r="Y28" s="360"/>
      <c r="Z28" s="361"/>
      <c r="AA28" s="384"/>
      <c r="AB28" s="360"/>
      <c r="AC28" s="360"/>
      <c r="AD28" s="360"/>
      <c r="AE28" s="360"/>
      <c r="AF28" s="948" t="s">
        <v>332</v>
      </c>
      <c r="AG28" s="573"/>
      <c r="AH28" s="573"/>
      <c r="AI28" s="573"/>
      <c r="AJ28" s="574"/>
      <c r="AK28" s="349" t="s">
        <v>325</v>
      </c>
      <c r="AL28" s="350"/>
      <c r="AM28" s="350"/>
      <c r="AN28" s="350"/>
      <c r="AO28" s="351"/>
      <c r="AP28" s="955"/>
      <c r="AQ28" s="680"/>
      <c r="AR28" s="723" t="s">
        <v>315</v>
      </c>
      <c r="AS28" s="724"/>
      <c r="AT28" s="936"/>
      <c r="AU28" s="249"/>
      <c r="AV28" s="250"/>
      <c r="AW28" s="250"/>
      <c r="AX28" s="250"/>
      <c r="AY28" s="289"/>
      <c r="AZ28" s="249"/>
      <c r="BA28" s="250"/>
      <c r="BB28" s="250"/>
      <c r="BC28" s="250"/>
      <c r="BD28" s="289"/>
      <c r="BE28" s="249"/>
      <c r="BF28" s="250"/>
      <c r="BG28" s="250"/>
      <c r="BH28" s="250"/>
      <c r="BI28" s="289"/>
      <c r="BJ28" s="249"/>
      <c r="BK28" s="250"/>
      <c r="BL28" s="250"/>
      <c r="BM28" s="250"/>
      <c r="BN28" s="289"/>
      <c r="BO28" s="249"/>
      <c r="BP28" s="250"/>
      <c r="BQ28" s="250"/>
      <c r="BR28" s="250"/>
      <c r="BS28" s="289"/>
      <c r="BT28" s="249"/>
      <c r="BU28" s="250"/>
      <c r="BV28" s="250"/>
      <c r="BW28" s="250"/>
      <c r="BX28" s="289"/>
      <c r="BY28" s="249"/>
      <c r="BZ28" s="250"/>
      <c r="CA28" s="250"/>
      <c r="CB28" s="250"/>
      <c r="CC28" s="251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</row>
    <row r="29" spans="1:178" ht="10.5" customHeight="1" x14ac:dyDescent="0.15">
      <c r="A29" s="23">
        <v>24</v>
      </c>
      <c r="B29" s="949" t="s">
        <v>329</v>
      </c>
      <c r="C29" s="747"/>
      <c r="D29" s="747"/>
      <c r="E29" s="747"/>
      <c r="F29" s="747"/>
      <c r="G29" s="276"/>
      <c r="H29" s="277"/>
      <c r="I29" s="277"/>
      <c r="J29" s="277"/>
      <c r="K29" s="324"/>
      <c r="L29" s="276"/>
      <c r="M29" s="277"/>
      <c r="N29" s="277"/>
      <c r="O29" s="277"/>
      <c r="P29" s="324"/>
      <c r="Q29" s="276"/>
      <c r="R29" s="277"/>
      <c r="S29" s="277"/>
      <c r="T29" s="277"/>
      <c r="U29" s="324"/>
      <c r="V29" s="872" t="s">
        <v>324</v>
      </c>
      <c r="W29" s="872"/>
      <c r="X29" s="872"/>
      <c r="Y29" s="872"/>
      <c r="Z29" s="938"/>
      <c r="AA29" s="276"/>
      <c r="AB29" s="277"/>
      <c r="AC29" s="277"/>
      <c r="AD29" s="277"/>
      <c r="AE29" s="324"/>
      <c r="AF29" s="770"/>
      <c r="AG29" s="607"/>
      <c r="AH29" s="607"/>
      <c r="AI29" s="607"/>
      <c r="AJ29" s="799"/>
      <c r="AK29" s="276"/>
      <c r="AL29" s="277"/>
      <c r="AM29" s="277"/>
      <c r="AN29" s="277"/>
      <c r="AO29" s="336"/>
      <c r="AP29" s="955"/>
      <c r="AQ29" s="680"/>
      <c r="AR29" s="723" t="s">
        <v>314</v>
      </c>
      <c r="AS29" s="724"/>
      <c r="AT29" s="936"/>
      <c r="AU29" s="249"/>
      <c r="AV29" s="250"/>
      <c r="AW29" s="250"/>
      <c r="AX29" s="250"/>
      <c r="AY29" s="289"/>
      <c r="AZ29" s="249"/>
      <c r="BA29" s="250"/>
      <c r="BB29" s="250"/>
      <c r="BC29" s="250"/>
      <c r="BD29" s="289"/>
      <c r="BE29" s="249"/>
      <c r="BF29" s="250"/>
      <c r="BG29" s="250"/>
      <c r="BH29" s="250"/>
      <c r="BI29" s="289"/>
      <c r="BJ29" s="249"/>
      <c r="BK29" s="250"/>
      <c r="BL29" s="250"/>
      <c r="BM29" s="250"/>
      <c r="BN29" s="289"/>
      <c r="BO29" s="249"/>
      <c r="BP29" s="250"/>
      <c r="BQ29" s="250"/>
      <c r="BR29" s="250"/>
      <c r="BS29" s="289"/>
      <c r="BT29" s="249"/>
      <c r="BU29" s="250"/>
      <c r="BV29" s="250"/>
      <c r="BW29" s="250"/>
      <c r="BX29" s="289"/>
      <c r="BY29" s="249"/>
      <c r="BZ29" s="250"/>
      <c r="CA29" s="250"/>
      <c r="CB29" s="250"/>
      <c r="CC29" s="251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72"/>
      <c r="EK29" s="72"/>
      <c r="EL29" s="72"/>
      <c r="EM29" s="72"/>
      <c r="EN29" s="72"/>
      <c r="EO29" s="72"/>
      <c r="EP29" s="72"/>
      <c r="EQ29" s="72"/>
      <c r="ER29" s="72"/>
      <c r="ES29" s="72"/>
      <c r="ET29" s="72"/>
      <c r="EU29" s="72"/>
      <c r="EV29" s="72"/>
      <c r="EW29" s="72"/>
      <c r="EX29" s="72"/>
      <c r="EY29" s="72"/>
    </row>
    <row r="30" spans="1:178" ht="10.5" customHeight="1" x14ac:dyDescent="0.15">
      <c r="A30" s="23">
        <v>25</v>
      </c>
      <c r="B30" s="53"/>
      <c r="C30" s="52"/>
      <c r="D30" s="723" t="s">
        <v>320</v>
      </c>
      <c r="E30" s="724"/>
      <c r="F30" s="936"/>
      <c r="G30" s="249"/>
      <c r="H30" s="250"/>
      <c r="I30" s="250"/>
      <c r="J30" s="250"/>
      <c r="K30" s="289"/>
      <c r="L30" s="249"/>
      <c r="M30" s="250"/>
      <c r="N30" s="250"/>
      <c r="O30" s="250"/>
      <c r="P30" s="289"/>
      <c r="Q30" s="249"/>
      <c r="R30" s="250"/>
      <c r="S30" s="250"/>
      <c r="T30" s="250"/>
      <c r="U30" s="289"/>
      <c r="V30" s="181"/>
      <c r="W30" s="52"/>
      <c r="X30" s="723" t="s">
        <v>320</v>
      </c>
      <c r="Y30" s="724"/>
      <c r="Z30" s="936"/>
      <c r="AA30" s="249"/>
      <c r="AB30" s="250"/>
      <c r="AC30" s="250"/>
      <c r="AD30" s="250"/>
      <c r="AE30" s="289"/>
      <c r="AF30" s="627"/>
      <c r="AG30" s="615"/>
      <c r="AH30" s="615"/>
      <c r="AI30" s="615"/>
      <c r="AJ30" s="628"/>
      <c r="AK30" s="249"/>
      <c r="AL30" s="250"/>
      <c r="AM30" s="250"/>
      <c r="AN30" s="250"/>
      <c r="AO30" s="251"/>
      <c r="AP30" s="955"/>
      <c r="AQ30" s="680"/>
      <c r="AR30" s="723" t="s">
        <v>313</v>
      </c>
      <c r="AS30" s="724"/>
      <c r="AT30" s="936"/>
      <c r="AU30" s="249"/>
      <c r="AV30" s="250"/>
      <c r="AW30" s="250"/>
      <c r="AX30" s="250"/>
      <c r="AY30" s="289"/>
      <c r="AZ30" s="249"/>
      <c r="BA30" s="250"/>
      <c r="BB30" s="250"/>
      <c r="BC30" s="250"/>
      <c r="BD30" s="289"/>
      <c r="BE30" s="249"/>
      <c r="BF30" s="250"/>
      <c r="BG30" s="250"/>
      <c r="BH30" s="250"/>
      <c r="BI30" s="289"/>
      <c r="BJ30" s="249"/>
      <c r="BK30" s="250"/>
      <c r="BL30" s="250"/>
      <c r="BM30" s="250"/>
      <c r="BN30" s="289"/>
      <c r="BO30" s="249"/>
      <c r="BP30" s="250"/>
      <c r="BQ30" s="250"/>
      <c r="BR30" s="250"/>
      <c r="BS30" s="289"/>
      <c r="BT30" s="249"/>
      <c r="BU30" s="250"/>
      <c r="BV30" s="250"/>
      <c r="BW30" s="250"/>
      <c r="BX30" s="289"/>
      <c r="BY30" s="249"/>
      <c r="BZ30" s="250"/>
      <c r="CA30" s="250"/>
      <c r="CB30" s="250"/>
      <c r="CC30" s="251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  <c r="EP30" s="72"/>
      <c r="EQ30" s="72"/>
      <c r="ER30" s="72"/>
      <c r="ES30" s="72"/>
      <c r="ET30" s="72"/>
      <c r="EU30" s="72"/>
      <c r="EV30" s="72"/>
      <c r="EW30" s="72"/>
      <c r="EX30" s="72"/>
      <c r="EY30" s="72"/>
    </row>
    <row r="31" spans="1:178" ht="10.5" customHeight="1" thickBot="1" x14ac:dyDescent="0.2">
      <c r="A31" s="23">
        <v>26</v>
      </c>
      <c r="B31" s="53"/>
      <c r="C31" s="52"/>
      <c r="D31" s="723" t="s">
        <v>323</v>
      </c>
      <c r="E31" s="724"/>
      <c r="F31" s="936"/>
      <c r="G31" s="249"/>
      <c r="H31" s="250"/>
      <c r="I31" s="250"/>
      <c r="J31" s="250"/>
      <c r="K31" s="289"/>
      <c r="L31" s="249"/>
      <c r="M31" s="250"/>
      <c r="N31" s="250"/>
      <c r="O31" s="250"/>
      <c r="P31" s="289"/>
      <c r="Q31" s="249"/>
      <c r="R31" s="250"/>
      <c r="S31" s="250"/>
      <c r="T31" s="250"/>
      <c r="U31" s="289"/>
      <c r="V31" s="181"/>
      <c r="W31" s="52"/>
      <c r="X31" s="723" t="s">
        <v>323</v>
      </c>
      <c r="Y31" s="724"/>
      <c r="Z31" s="936"/>
      <c r="AA31" s="249"/>
      <c r="AB31" s="250"/>
      <c r="AC31" s="250"/>
      <c r="AD31" s="250"/>
      <c r="AE31" s="289"/>
      <c r="AF31" s="627"/>
      <c r="AG31" s="615"/>
      <c r="AH31" s="615"/>
      <c r="AI31" s="615"/>
      <c r="AJ31" s="628"/>
      <c r="AK31" s="249"/>
      <c r="AL31" s="250"/>
      <c r="AM31" s="250"/>
      <c r="AN31" s="250"/>
      <c r="AO31" s="251"/>
      <c r="AP31" s="956"/>
      <c r="AQ31" s="957"/>
      <c r="AR31" s="667" t="s">
        <v>312</v>
      </c>
      <c r="AS31" s="668"/>
      <c r="AT31" s="935"/>
      <c r="AU31" s="262"/>
      <c r="AV31" s="263"/>
      <c r="AW31" s="263"/>
      <c r="AX31" s="263"/>
      <c r="AY31" s="307"/>
      <c r="AZ31" s="262"/>
      <c r="BA31" s="263"/>
      <c r="BB31" s="263"/>
      <c r="BC31" s="263"/>
      <c r="BD31" s="307"/>
      <c r="BE31" s="262"/>
      <c r="BF31" s="263"/>
      <c r="BG31" s="263"/>
      <c r="BH31" s="263"/>
      <c r="BI31" s="307"/>
      <c r="BJ31" s="262"/>
      <c r="BK31" s="263"/>
      <c r="BL31" s="263"/>
      <c r="BM31" s="263"/>
      <c r="BN31" s="307"/>
      <c r="BO31" s="262"/>
      <c r="BP31" s="263"/>
      <c r="BQ31" s="263"/>
      <c r="BR31" s="263"/>
      <c r="BS31" s="307"/>
      <c r="BT31" s="262"/>
      <c r="BU31" s="263"/>
      <c r="BV31" s="263"/>
      <c r="BW31" s="263"/>
      <c r="BX31" s="307"/>
      <c r="BY31" s="262"/>
      <c r="BZ31" s="263"/>
      <c r="CA31" s="263"/>
      <c r="CB31" s="263"/>
      <c r="CC31" s="264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</row>
    <row r="32" spans="1:178" ht="10.5" customHeight="1" x14ac:dyDescent="0.15">
      <c r="A32" s="23">
        <v>27</v>
      </c>
      <c r="B32" s="53"/>
      <c r="C32" s="52"/>
      <c r="D32" s="723" t="s">
        <v>322</v>
      </c>
      <c r="E32" s="724"/>
      <c r="F32" s="936"/>
      <c r="G32" s="249"/>
      <c r="H32" s="250"/>
      <c r="I32" s="250"/>
      <c r="J32" s="250"/>
      <c r="K32" s="289"/>
      <c r="L32" s="249"/>
      <c r="M32" s="250"/>
      <c r="N32" s="250"/>
      <c r="O32" s="250"/>
      <c r="P32" s="289"/>
      <c r="Q32" s="249"/>
      <c r="R32" s="250"/>
      <c r="S32" s="250"/>
      <c r="T32" s="250"/>
      <c r="U32" s="289"/>
      <c r="V32" s="181"/>
      <c r="W32" s="52"/>
      <c r="X32" s="723" t="s">
        <v>322</v>
      </c>
      <c r="Y32" s="724"/>
      <c r="Z32" s="936"/>
      <c r="AA32" s="249"/>
      <c r="AB32" s="250"/>
      <c r="AC32" s="250"/>
      <c r="AD32" s="250"/>
      <c r="AE32" s="289"/>
      <c r="AF32" s="627"/>
      <c r="AG32" s="615"/>
      <c r="AH32" s="615"/>
      <c r="AI32" s="615"/>
      <c r="AJ32" s="628"/>
      <c r="AK32" s="249"/>
      <c r="AL32" s="250"/>
      <c r="AM32" s="250"/>
      <c r="AN32" s="250"/>
      <c r="AO32" s="251"/>
      <c r="AP32" s="190" t="s">
        <v>392</v>
      </c>
      <c r="AQ32" s="189"/>
      <c r="AR32" s="188"/>
      <c r="AS32" s="188"/>
      <c r="AT32" s="188"/>
      <c r="AU32" s="187"/>
      <c r="AV32" s="187"/>
      <c r="AW32" s="187"/>
      <c r="AX32" s="187"/>
      <c r="AY32" s="186"/>
      <c r="AZ32" s="185"/>
      <c r="BA32" s="185"/>
      <c r="BB32" s="185"/>
      <c r="BC32" s="185"/>
      <c r="BD32" s="185"/>
      <c r="BE32" s="185"/>
      <c r="BF32" s="185"/>
      <c r="BG32" s="185"/>
      <c r="BH32" s="185"/>
      <c r="BI32" s="184"/>
      <c r="BJ32" s="183"/>
      <c r="BK32" s="183"/>
      <c r="BL32" s="183"/>
      <c r="BM32" s="183"/>
      <c r="BN32" s="183"/>
      <c r="BO32" s="162"/>
      <c r="BP32" s="162"/>
      <c r="BQ32" s="162"/>
      <c r="BR32" s="162"/>
      <c r="BS32" s="162"/>
      <c r="BT32" s="162"/>
      <c r="BU32" s="162"/>
      <c r="BV32" s="162"/>
      <c r="BW32" s="162"/>
      <c r="BX32" s="162"/>
      <c r="BY32" s="162"/>
      <c r="BZ32" s="162"/>
      <c r="CA32" s="162"/>
      <c r="CB32" s="162"/>
      <c r="CC32" s="182"/>
      <c r="ER32" s="72"/>
      <c r="ES32" s="72"/>
      <c r="ET32" s="72"/>
      <c r="EU32" s="72"/>
      <c r="EV32" s="72"/>
      <c r="EW32" s="72"/>
      <c r="EX32" s="72"/>
      <c r="EY32" s="72"/>
      <c r="EZ32" s="72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2"/>
      <c r="FV32" s="72"/>
    </row>
    <row r="33" spans="1:218" ht="10.5" customHeight="1" x14ac:dyDescent="0.15">
      <c r="A33" s="23">
        <v>28</v>
      </c>
      <c r="B33" s="53"/>
      <c r="C33" s="52"/>
      <c r="D33" s="723" t="s">
        <v>321</v>
      </c>
      <c r="E33" s="724"/>
      <c r="F33" s="936"/>
      <c r="G33" s="249"/>
      <c r="H33" s="250"/>
      <c r="I33" s="250"/>
      <c r="J33" s="250"/>
      <c r="K33" s="289"/>
      <c r="L33" s="249"/>
      <c r="M33" s="250"/>
      <c r="N33" s="250"/>
      <c r="O33" s="250"/>
      <c r="P33" s="289"/>
      <c r="Q33" s="249"/>
      <c r="R33" s="250"/>
      <c r="S33" s="250"/>
      <c r="T33" s="250"/>
      <c r="U33" s="289"/>
      <c r="V33" s="181"/>
      <c r="W33" s="52"/>
      <c r="X33" s="723" t="s">
        <v>321</v>
      </c>
      <c r="Y33" s="724"/>
      <c r="Z33" s="936"/>
      <c r="AA33" s="249"/>
      <c r="AB33" s="250"/>
      <c r="AC33" s="250"/>
      <c r="AD33" s="250"/>
      <c r="AE33" s="289"/>
      <c r="AF33" s="627"/>
      <c r="AG33" s="615"/>
      <c r="AH33" s="615"/>
      <c r="AI33" s="615"/>
      <c r="AJ33" s="628"/>
      <c r="AK33" s="249"/>
      <c r="AL33" s="250"/>
      <c r="AM33" s="250"/>
      <c r="AN33" s="250"/>
      <c r="AO33" s="251"/>
      <c r="AP33" s="383" t="s">
        <v>306</v>
      </c>
      <c r="AQ33" s="360"/>
      <c r="AR33" s="360"/>
      <c r="AS33" s="360"/>
      <c r="AT33" s="361"/>
      <c r="AU33" s="384" t="s">
        <v>391</v>
      </c>
      <c r="AV33" s="360"/>
      <c r="AW33" s="360"/>
      <c r="AX33" s="360"/>
      <c r="AY33" s="360"/>
      <c r="AZ33" s="942" t="s">
        <v>344</v>
      </c>
      <c r="BA33" s="943"/>
      <c r="BB33" s="943"/>
      <c r="BC33" s="943"/>
      <c r="BD33" s="944"/>
      <c r="BE33" s="945" t="s">
        <v>343</v>
      </c>
      <c r="BF33" s="946"/>
      <c r="BG33" s="946"/>
      <c r="BH33" s="946"/>
      <c r="BI33" s="947"/>
      <c r="BJ33" s="148"/>
      <c r="BK33" s="148"/>
      <c r="BL33" s="148"/>
      <c r="BM33" s="148"/>
      <c r="BN33" s="148"/>
      <c r="BO33" s="19"/>
      <c r="BP33" s="19"/>
      <c r="BQ33" s="19"/>
      <c r="BR33" s="19"/>
      <c r="BS33" s="19"/>
      <c r="BT33" s="151"/>
      <c r="BU33" s="151"/>
      <c r="BV33" s="151"/>
      <c r="BW33" s="151"/>
      <c r="BX33" s="151"/>
      <c r="BY33" s="151"/>
      <c r="BZ33" s="151"/>
      <c r="CA33" s="151"/>
      <c r="CB33" s="151"/>
      <c r="CC33" s="163"/>
      <c r="GF33" s="72"/>
      <c r="GG33" s="72"/>
      <c r="GH33" s="72"/>
      <c r="GI33" s="72"/>
      <c r="GJ33" s="72"/>
      <c r="GK33" s="72"/>
      <c r="GL33" s="72"/>
      <c r="GM33" s="72"/>
      <c r="GN33" s="72"/>
      <c r="GO33" s="72"/>
      <c r="GP33" s="72"/>
      <c r="GQ33" s="72"/>
      <c r="GR33" s="72"/>
      <c r="GS33" s="72"/>
      <c r="GT33" s="72"/>
      <c r="GU33" s="72"/>
      <c r="GV33" s="72"/>
      <c r="GW33" s="72"/>
      <c r="GX33" s="72"/>
      <c r="GY33" s="72"/>
      <c r="GZ33" s="72"/>
      <c r="HA33" s="72"/>
      <c r="HB33" s="72"/>
      <c r="HC33" s="72"/>
      <c r="HD33" s="72"/>
      <c r="HE33" s="72"/>
      <c r="HF33" s="72"/>
      <c r="HG33" s="72"/>
      <c r="HH33" s="72"/>
      <c r="HI33" s="72"/>
      <c r="HJ33" s="72"/>
    </row>
    <row r="34" spans="1:218" ht="10.5" customHeight="1" thickBot="1" x14ac:dyDescent="0.2">
      <c r="A34" s="23">
        <v>29</v>
      </c>
      <c r="B34" s="53"/>
      <c r="C34" s="52"/>
      <c r="D34" s="723" t="s">
        <v>319</v>
      </c>
      <c r="E34" s="724"/>
      <c r="F34" s="936"/>
      <c r="G34" s="249"/>
      <c r="H34" s="250"/>
      <c r="I34" s="250"/>
      <c r="J34" s="250"/>
      <c r="K34" s="289"/>
      <c r="L34" s="249"/>
      <c r="M34" s="250"/>
      <c r="N34" s="250"/>
      <c r="O34" s="250"/>
      <c r="P34" s="289"/>
      <c r="Q34" s="249"/>
      <c r="R34" s="250"/>
      <c r="S34" s="250"/>
      <c r="T34" s="250"/>
      <c r="U34" s="289"/>
      <c r="V34" s="181"/>
      <c r="W34" s="52"/>
      <c r="X34" s="723" t="s">
        <v>319</v>
      </c>
      <c r="Y34" s="724"/>
      <c r="Z34" s="936"/>
      <c r="AA34" s="249"/>
      <c r="AB34" s="250"/>
      <c r="AC34" s="250"/>
      <c r="AD34" s="250"/>
      <c r="AE34" s="289"/>
      <c r="AF34" s="627"/>
      <c r="AG34" s="615"/>
      <c r="AH34" s="615"/>
      <c r="AI34" s="615"/>
      <c r="AJ34" s="628"/>
      <c r="AK34" s="249"/>
      <c r="AL34" s="250"/>
      <c r="AM34" s="250"/>
      <c r="AN34" s="250"/>
      <c r="AO34" s="251"/>
      <c r="AP34" s="937" t="s">
        <v>342</v>
      </c>
      <c r="AQ34" s="872"/>
      <c r="AR34" s="872"/>
      <c r="AS34" s="872"/>
      <c r="AT34" s="938"/>
      <c r="AU34" s="276"/>
      <c r="AV34" s="277"/>
      <c r="AW34" s="277"/>
      <c r="AX34" s="277"/>
      <c r="AY34" s="324"/>
      <c r="AZ34" s="939" t="s">
        <v>330</v>
      </c>
      <c r="BA34" s="940"/>
      <c r="BB34" s="940"/>
      <c r="BC34" s="940"/>
      <c r="BD34" s="941"/>
      <c r="BE34" s="313"/>
      <c r="BF34" s="314"/>
      <c r="BG34" s="314"/>
      <c r="BH34" s="314"/>
      <c r="BI34" s="516"/>
      <c r="BJ34" s="147"/>
      <c r="BK34" s="147"/>
      <c r="BL34" s="147"/>
      <c r="BM34" s="147"/>
      <c r="BN34" s="147"/>
      <c r="BO34" s="19"/>
      <c r="BP34" s="19"/>
      <c r="BQ34" s="19"/>
      <c r="BR34" s="19"/>
      <c r="BS34" s="19"/>
      <c r="BT34" s="26"/>
      <c r="BU34" s="26"/>
      <c r="BV34" s="26"/>
      <c r="BW34" s="26"/>
      <c r="BX34" s="26"/>
      <c r="BY34" s="26"/>
      <c r="BZ34" s="26"/>
      <c r="CA34" s="26"/>
      <c r="CB34" s="26"/>
      <c r="CC34" s="36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</row>
    <row r="35" spans="1:218" ht="10.5" customHeight="1" x14ac:dyDescent="0.15">
      <c r="A35" s="23">
        <v>30</v>
      </c>
      <c r="B35" s="53"/>
      <c r="C35" s="52"/>
      <c r="D35" s="723" t="s">
        <v>317</v>
      </c>
      <c r="E35" s="724"/>
      <c r="F35" s="936"/>
      <c r="G35" s="249"/>
      <c r="H35" s="250"/>
      <c r="I35" s="250"/>
      <c r="J35" s="250"/>
      <c r="K35" s="289"/>
      <c r="L35" s="249"/>
      <c r="M35" s="250"/>
      <c r="N35" s="250"/>
      <c r="O35" s="250"/>
      <c r="P35" s="289"/>
      <c r="Q35" s="249"/>
      <c r="R35" s="250"/>
      <c r="S35" s="250"/>
      <c r="T35" s="250"/>
      <c r="U35" s="289"/>
      <c r="V35" s="181"/>
      <c r="W35" s="52"/>
      <c r="X35" s="723" t="s">
        <v>317</v>
      </c>
      <c r="Y35" s="724"/>
      <c r="Z35" s="936"/>
      <c r="AA35" s="249"/>
      <c r="AB35" s="250"/>
      <c r="AC35" s="250"/>
      <c r="AD35" s="250"/>
      <c r="AE35" s="289"/>
      <c r="AF35" s="627"/>
      <c r="AG35" s="615"/>
      <c r="AH35" s="615"/>
      <c r="AI35" s="615"/>
      <c r="AJ35" s="628"/>
      <c r="AK35" s="249"/>
      <c r="AL35" s="250"/>
      <c r="AM35" s="250"/>
      <c r="AN35" s="250"/>
      <c r="AO35" s="251"/>
      <c r="AP35" s="153"/>
      <c r="AQ35" s="932" t="s">
        <v>339</v>
      </c>
      <c r="AR35" s="933"/>
      <c r="AS35" s="933"/>
      <c r="AT35" s="934"/>
      <c r="AU35" s="249"/>
      <c r="AV35" s="250"/>
      <c r="AW35" s="250"/>
      <c r="AX35" s="250"/>
      <c r="AY35" s="251"/>
      <c r="AZ35" s="150"/>
      <c r="BA35" s="148"/>
      <c r="BB35" s="148"/>
      <c r="BC35" s="148"/>
      <c r="BD35" s="148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68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36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</row>
    <row r="36" spans="1:218" s="72" customFormat="1" ht="10.5" customHeight="1" thickBot="1" x14ac:dyDescent="0.2">
      <c r="A36" s="23">
        <v>31</v>
      </c>
      <c r="B36" s="51"/>
      <c r="C36" s="50"/>
      <c r="D36" s="667" t="s">
        <v>312</v>
      </c>
      <c r="E36" s="668"/>
      <c r="F36" s="935"/>
      <c r="G36" s="262"/>
      <c r="H36" s="263"/>
      <c r="I36" s="263"/>
      <c r="J36" s="263"/>
      <c r="K36" s="307"/>
      <c r="L36" s="262"/>
      <c r="M36" s="263"/>
      <c r="N36" s="263"/>
      <c r="O36" s="263"/>
      <c r="P36" s="307"/>
      <c r="Q36" s="262"/>
      <c r="R36" s="263"/>
      <c r="S36" s="263"/>
      <c r="T36" s="263"/>
      <c r="U36" s="307"/>
      <c r="V36" s="180"/>
      <c r="W36" s="50"/>
      <c r="X36" s="667" t="s">
        <v>312</v>
      </c>
      <c r="Y36" s="668"/>
      <c r="Z36" s="935"/>
      <c r="AA36" s="262"/>
      <c r="AB36" s="263"/>
      <c r="AC36" s="263"/>
      <c r="AD36" s="263"/>
      <c r="AE36" s="307"/>
      <c r="AF36" s="620"/>
      <c r="AG36" s="621"/>
      <c r="AH36" s="621"/>
      <c r="AI36" s="621"/>
      <c r="AJ36" s="622"/>
      <c r="AK36" s="262"/>
      <c r="AL36" s="263"/>
      <c r="AM36" s="263"/>
      <c r="AN36" s="263"/>
      <c r="AO36" s="264"/>
      <c r="AP36" s="179"/>
      <c r="AQ36" s="667" t="s">
        <v>338</v>
      </c>
      <c r="AR36" s="668"/>
      <c r="AS36" s="668"/>
      <c r="AT36" s="935"/>
      <c r="AU36" s="262"/>
      <c r="AV36" s="263"/>
      <c r="AW36" s="263"/>
      <c r="AX36" s="263"/>
      <c r="AY36" s="264"/>
      <c r="AZ36" s="150"/>
      <c r="BA36" s="178"/>
      <c r="BB36" s="148"/>
      <c r="BC36" s="148"/>
      <c r="BD36" s="148"/>
      <c r="BO36" s="168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36"/>
    </row>
    <row r="37" spans="1:218" ht="10.5" customHeight="1" x14ac:dyDescent="0.15">
      <c r="A37" s="23">
        <v>32</v>
      </c>
      <c r="B37" s="177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176"/>
    </row>
    <row r="38" spans="1:218" s="72" customFormat="1" ht="10.5" customHeight="1" x14ac:dyDescent="0.15">
      <c r="A38" s="23">
        <v>33</v>
      </c>
      <c r="B38" s="153"/>
      <c r="C38" s="19"/>
      <c r="D38" s="19"/>
      <c r="E38" s="19"/>
      <c r="F38" s="19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172"/>
      <c r="W38" s="172"/>
      <c r="X38" s="172"/>
      <c r="Y38" s="172"/>
      <c r="Z38" s="172"/>
      <c r="AA38" s="26"/>
      <c r="AB38" s="26"/>
      <c r="AC38" s="26"/>
      <c r="AD38" s="26"/>
      <c r="AE38" s="26"/>
      <c r="AF38" s="171"/>
      <c r="AG38" s="171"/>
      <c r="AH38" s="171"/>
      <c r="AI38" s="171"/>
      <c r="AJ38" s="171"/>
      <c r="AK38" s="26"/>
      <c r="AL38" s="26"/>
      <c r="AM38" s="26"/>
      <c r="AN38" s="26"/>
      <c r="AO38" s="26"/>
      <c r="AP38" s="175"/>
      <c r="AQ38" s="166"/>
      <c r="AR38" s="174"/>
      <c r="AS38" s="174"/>
      <c r="AT38" s="174"/>
      <c r="AU38" s="174"/>
      <c r="AV38" s="174"/>
      <c r="AW38" s="174"/>
      <c r="AX38" s="174"/>
      <c r="AY38" s="173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47"/>
      <c r="BK38" s="147"/>
      <c r="BL38" s="147"/>
      <c r="BM38" s="147"/>
      <c r="BN38" s="147"/>
      <c r="BO38" s="168"/>
      <c r="BP38" s="151"/>
      <c r="BQ38" s="151"/>
      <c r="BR38" s="151"/>
      <c r="BS38" s="151"/>
      <c r="BT38" s="26"/>
      <c r="BU38" s="26"/>
      <c r="BV38" s="26"/>
      <c r="BW38" s="26"/>
      <c r="BX38" s="26"/>
      <c r="BY38" s="26"/>
      <c r="BZ38" s="26"/>
      <c r="CA38" s="26"/>
      <c r="CB38" s="26"/>
      <c r="CC38" s="36"/>
    </row>
    <row r="39" spans="1:218" s="72" customFormat="1" ht="10.5" customHeight="1" x14ac:dyDescent="0.15">
      <c r="A39" s="23">
        <v>34</v>
      </c>
      <c r="B39" s="153"/>
      <c r="C39" s="19"/>
      <c r="D39" s="19"/>
      <c r="E39" s="19"/>
      <c r="F39" s="19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172"/>
      <c r="W39" s="172"/>
      <c r="X39" s="172"/>
      <c r="Y39" s="172"/>
      <c r="Z39" s="172"/>
      <c r="AA39" s="26"/>
      <c r="AB39" s="26"/>
      <c r="AC39" s="26"/>
      <c r="AD39" s="26"/>
      <c r="AE39" s="26"/>
      <c r="AF39" s="171"/>
      <c r="AG39" s="171"/>
      <c r="AH39" s="171"/>
      <c r="AI39" s="171"/>
      <c r="AJ39" s="171"/>
      <c r="AK39" s="114"/>
      <c r="AL39" s="170"/>
      <c r="AM39" s="170"/>
      <c r="AN39" s="170"/>
      <c r="AO39" s="170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BJ39" s="147"/>
      <c r="BK39" s="147"/>
      <c r="BL39" s="147"/>
      <c r="BM39" s="147"/>
      <c r="BN39" s="147"/>
      <c r="BO39" s="168"/>
      <c r="BP39" s="151"/>
      <c r="BQ39" s="151"/>
      <c r="BR39" s="151"/>
      <c r="BS39" s="151"/>
      <c r="BT39" s="26"/>
      <c r="BU39" s="26"/>
      <c r="BV39" s="26"/>
      <c r="BW39" s="26"/>
      <c r="BX39" s="26"/>
      <c r="BY39" s="26"/>
      <c r="BZ39" s="26"/>
      <c r="CA39" s="26"/>
      <c r="CB39" s="26"/>
      <c r="CC39" s="36"/>
    </row>
    <row r="40" spans="1:218" s="72" customFormat="1" ht="10.5" customHeight="1" x14ac:dyDescent="0.15">
      <c r="A40" s="23">
        <v>35</v>
      </c>
      <c r="B40" s="153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69"/>
      <c r="AQ40" s="169"/>
      <c r="AR40" s="169"/>
      <c r="AS40" s="169"/>
      <c r="AT40" s="169"/>
      <c r="AU40" s="164"/>
      <c r="AV40" s="164"/>
      <c r="AW40" s="164"/>
      <c r="AX40" s="164"/>
      <c r="AY40" s="164"/>
      <c r="BJ40" s="147"/>
      <c r="BK40" s="147"/>
      <c r="BL40" s="147"/>
      <c r="BM40" s="147"/>
      <c r="BN40" s="147"/>
      <c r="BO40" s="151"/>
      <c r="BP40" s="151"/>
      <c r="BQ40" s="151"/>
      <c r="BR40" s="151"/>
      <c r="BS40" s="151"/>
      <c r="BT40" s="26"/>
      <c r="BV40" s="26"/>
      <c r="BW40" s="26"/>
      <c r="BX40" s="26"/>
      <c r="BY40" s="26"/>
      <c r="BZ40" s="26"/>
      <c r="CA40" s="26"/>
      <c r="CB40" s="26"/>
      <c r="CC40" s="36"/>
    </row>
    <row r="41" spans="1:218" s="72" customFormat="1" ht="10.5" customHeight="1" x14ac:dyDescent="0.15">
      <c r="A41" s="23">
        <v>36</v>
      </c>
      <c r="B41" s="153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68"/>
      <c r="AL41" s="68"/>
      <c r="AM41" s="68"/>
      <c r="AN41" s="68"/>
      <c r="AO41" s="19"/>
      <c r="AP41" s="169"/>
      <c r="AQ41" s="169"/>
      <c r="AR41" s="169"/>
      <c r="AS41" s="169"/>
      <c r="AT41" s="169"/>
      <c r="AU41" s="164"/>
      <c r="AV41" s="164"/>
      <c r="AW41" s="164"/>
      <c r="AX41" s="164"/>
      <c r="AY41" s="164"/>
      <c r="AZ41" s="165"/>
      <c r="BA41" s="165"/>
      <c r="BB41" s="165"/>
      <c r="BC41" s="165"/>
      <c r="BD41" s="165"/>
      <c r="BE41" s="164"/>
      <c r="BF41" s="164"/>
      <c r="BG41" s="164"/>
      <c r="BH41" s="164"/>
      <c r="BI41" s="164"/>
      <c r="BJ41" s="147"/>
      <c r="BK41" s="147"/>
      <c r="BL41" s="147"/>
      <c r="BM41" s="147"/>
      <c r="BN41" s="147"/>
      <c r="BO41" s="168"/>
      <c r="BP41" s="151"/>
      <c r="BQ41" s="151"/>
      <c r="BR41" s="151"/>
      <c r="BS41" s="151"/>
      <c r="BT41" s="26"/>
      <c r="BU41" s="26"/>
      <c r="BV41" s="26"/>
      <c r="BW41" s="26"/>
      <c r="BX41" s="26"/>
      <c r="BY41" s="26"/>
      <c r="BZ41" s="26"/>
      <c r="CA41" s="26"/>
      <c r="CB41" s="26"/>
      <c r="CC41" s="36"/>
    </row>
    <row r="42" spans="1:218" s="72" customFormat="1" ht="10.5" customHeight="1" x14ac:dyDescent="0.15">
      <c r="A42" s="23">
        <v>37</v>
      </c>
      <c r="B42" s="153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69"/>
      <c r="AQ42" s="169"/>
      <c r="AR42" s="169"/>
      <c r="AS42" s="169"/>
      <c r="AT42" s="169"/>
      <c r="AU42" s="164"/>
      <c r="AV42" s="164"/>
      <c r="AW42" s="164"/>
      <c r="AX42" s="164"/>
      <c r="AY42" s="164"/>
      <c r="AZ42" s="165"/>
      <c r="BA42" s="165"/>
      <c r="BB42" s="165"/>
      <c r="BC42" s="165"/>
      <c r="BD42" s="165"/>
      <c r="BE42" s="164"/>
      <c r="BF42" s="164"/>
      <c r="BG42" s="164"/>
      <c r="BH42" s="164"/>
      <c r="BI42" s="164"/>
      <c r="BJ42" s="147"/>
      <c r="BK42" s="147"/>
      <c r="BL42" s="147"/>
      <c r="BM42" s="147"/>
      <c r="BN42" s="147"/>
      <c r="BO42" s="168"/>
      <c r="BP42" s="151"/>
      <c r="BQ42" s="151"/>
      <c r="BR42" s="151"/>
      <c r="BS42" s="151"/>
      <c r="BT42" s="26"/>
      <c r="BU42" s="26"/>
      <c r="BV42" s="26"/>
      <c r="BW42" s="26"/>
      <c r="BX42" s="26"/>
      <c r="BY42" s="26"/>
      <c r="BZ42" s="26"/>
      <c r="CA42" s="26"/>
      <c r="CB42" s="26"/>
      <c r="CC42" s="36"/>
    </row>
    <row r="43" spans="1:218" s="72" customFormat="1" ht="10.5" customHeight="1" x14ac:dyDescent="0.15">
      <c r="A43" s="23">
        <v>38</v>
      </c>
      <c r="B43" s="153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66"/>
      <c r="AQ43" s="167"/>
      <c r="AR43" s="167"/>
      <c r="AS43" s="167"/>
      <c r="AT43" s="167"/>
      <c r="AU43" s="166"/>
      <c r="AV43" s="166"/>
      <c r="AW43" s="166"/>
      <c r="AX43" s="166"/>
      <c r="AY43" s="166"/>
      <c r="AZ43" s="165"/>
      <c r="BA43" s="165"/>
      <c r="BB43" s="165"/>
      <c r="BC43" s="165"/>
      <c r="BD43" s="165"/>
      <c r="BE43" s="164"/>
      <c r="BF43" s="164"/>
      <c r="BG43" s="164"/>
      <c r="BH43" s="164"/>
      <c r="BI43" s="164"/>
      <c r="BJ43" s="147"/>
      <c r="BK43" s="147"/>
      <c r="BL43" s="147"/>
      <c r="BM43" s="147"/>
      <c r="BN43" s="147"/>
      <c r="BO43" s="19"/>
      <c r="BP43" s="19"/>
      <c r="BQ43" s="19"/>
      <c r="BR43" s="19"/>
      <c r="BS43" s="19"/>
      <c r="BT43" s="151"/>
      <c r="BU43" s="151"/>
      <c r="BV43" s="151"/>
      <c r="BW43" s="151"/>
      <c r="BX43" s="151"/>
      <c r="BY43" s="151"/>
      <c r="BZ43" s="151"/>
      <c r="CA43" s="151"/>
      <c r="CB43" s="151"/>
      <c r="CC43" s="163"/>
    </row>
    <row r="44" spans="1:218" s="72" customFormat="1" ht="10.5" customHeight="1" x14ac:dyDescent="0.15">
      <c r="A44" s="23">
        <v>39</v>
      </c>
      <c r="B44" s="153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26"/>
      <c r="AT44" s="26"/>
      <c r="AU44" s="26"/>
      <c r="AV44" s="26"/>
      <c r="AW44" s="26"/>
      <c r="AX44" s="26"/>
      <c r="AY44" s="26"/>
      <c r="AZ44" s="150"/>
      <c r="BA44" s="158"/>
      <c r="BB44" s="158"/>
      <c r="BC44" s="158"/>
      <c r="BD44" s="158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61"/>
      <c r="BP44" s="161"/>
      <c r="BQ44" s="161"/>
      <c r="BR44" s="161"/>
      <c r="BS44" s="161"/>
      <c r="BT44" s="26"/>
      <c r="BU44" s="26"/>
      <c r="BV44" s="26"/>
      <c r="BW44" s="26"/>
      <c r="BX44" s="26"/>
      <c r="BY44" s="26"/>
      <c r="BZ44" s="26"/>
      <c r="CA44" s="26"/>
      <c r="CB44" s="26"/>
      <c r="CC44" s="36"/>
    </row>
    <row r="45" spans="1:218" s="72" customFormat="1" ht="10.5" customHeight="1" x14ac:dyDescent="0.15">
      <c r="A45" s="23">
        <v>40</v>
      </c>
      <c r="B45" s="153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50"/>
      <c r="BA45" s="158"/>
      <c r="BB45" s="158"/>
      <c r="BC45" s="158"/>
      <c r="BD45" s="158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61"/>
      <c r="BP45" s="161"/>
      <c r="BQ45" s="161"/>
      <c r="BR45" s="161"/>
      <c r="BS45" s="161"/>
      <c r="BT45" s="26"/>
      <c r="BU45" s="26"/>
      <c r="BV45" s="26"/>
      <c r="BW45" s="26"/>
      <c r="BX45" s="26"/>
      <c r="BY45" s="26"/>
      <c r="BZ45" s="26"/>
      <c r="CA45" s="26"/>
      <c r="CB45" s="26"/>
      <c r="CC45" s="36"/>
      <c r="DJ45" s="57"/>
      <c r="DK45" s="57"/>
    </row>
    <row r="46" spans="1:218" s="72" customFormat="1" ht="10.5" customHeight="1" x14ac:dyDescent="0.15">
      <c r="A46" s="23">
        <v>41</v>
      </c>
      <c r="B46" s="153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59"/>
      <c r="AL46" s="151"/>
      <c r="AM46" s="151"/>
      <c r="AN46" s="151"/>
      <c r="AO46" s="151"/>
      <c r="AP46" s="151"/>
      <c r="AQ46" s="151"/>
      <c r="AR46" s="151"/>
      <c r="AS46" s="151"/>
      <c r="AT46" s="151"/>
      <c r="AU46" s="26"/>
      <c r="AV46" s="26"/>
      <c r="AW46" s="26"/>
      <c r="AX46" s="26"/>
      <c r="AY46" s="26"/>
      <c r="AZ46" s="150"/>
      <c r="BA46" s="158"/>
      <c r="BB46" s="158"/>
      <c r="BC46" s="158"/>
      <c r="BD46" s="158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60"/>
      <c r="BP46" s="160"/>
      <c r="BQ46" s="160"/>
      <c r="BR46" s="160"/>
      <c r="BS46" s="160"/>
      <c r="BT46" s="26"/>
      <c r="BU46" s="26"/>
      <c r="BV46" s="26"/>
      <c r="BW46" s="26"/>
      <c r="BX46" s="26"/>
      <c r="BY46" s="26"/>
      <c r="BZ46" s="26"/>
      <c r="CA46" s="26"/>
      <c r="CB46" s="26"/>
      <c r="CC46" s="36"/>
      <c r="DJ46" s="57"/>
      <c r="DK46" s="57"/>
    </row>
    <row r="47" spans="1:218" s="72" customFormat="1" ht="10.5" customHeight="1" x14ac:dyDescent="0.15">
      <c r="A47" s="23">
        <v>42</v>
      </c>
      <c r="B47" s="153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59"/>
      <c r="AL47" s="151"/>
      <c r="AM47" s="151"/>
      <c r="AN47" s="151"/>
      <c r="AO47" s="151"/>
      <c r="AP47" s="151"/>
      <c r="AQ47" s="151"/>
      <c r="AR47" s="151"/>
      <c r="AS47" s="151"/>
      <c r="AT47" s="151"/>
      <c r="AU47" s="26"/>
      <c r="AV47" s="26"/>
      <c r="AW47" s="26"/>
      <c r="AX47" s="26"/>
      <c r="AY47" s="26"/>
      <c r="AZ47" s="150"/>
      <c r="BA47" s="158"/>
      <c r="BB47" s="158"/>
      <c r="BC47" s="158"/>
      <c r="BD47" s="158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57"/>
      <c r="BP47" s="157"/>
      <c r="BQ47" s="157"/>
      <c r="BR47" s="157"/>
      <c r="BS47" s="157"/>
      <c r="BT47" s="26"/>
      <c r="BU47" s="26"/>
      <c r="BV47" s="26"/>
      <c r="BW47" s="26"/>
      <c r="BX47" s="26"/>
      <c r="BY47" s="26"/>
      <c r="BZ47" s="26"/>
      <c r="CA47" s="26"/>
      <c r="CB47" s="26"/>
      <c r="CC47" s="36"/>
      <c r="DJ47" s="57"/>
      <c r="DK47" s="57"/>
    </row>
    <row r="48" spans="1:218" s="72" customFormat="1" ht="10.5" customHeight="1" x14ac:dyDescent="0.15">
      <c r="A48" s="23">
        <v>43</v>
      </c>
      <c r="B48" s="153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52"/>
      <c r="AL48" s="151"/>
      <c r="AM48" s="151"/>
      <c r="AN48" s="151"/>
      <c r="AO48" s="151"/>
      <c r="AP48" s="151"/>
      <c r="AQ48" s="151"/>
      <c r="AR48" s="151"/>
      <c r="AS48" s="151"/>
      <c r="AT48" s="151"/>
      <c r="AU48" s="26"/>
      <c r="AV48" s="26"/>
      <c r="AW48" s="26"/>
      <c r="AX48" s="26"/>
      <c r="AY48" s="26"/>
      <c r="AZ48" s="150"/>
      <c r="BA48" s="148"/>
      <c r="BB48" s="148"/>
      <c r="BC48" s="148"/>
      <c r="BD48" s="148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57"/>
      <c r="BP48" s="157"/>
      <c r="BQ48" s="157"/>
      <c r="BR48" s="157"/>
      <c r="BS48" s="157"/>
      <c r="BT48" s="26"/>
      <c r="BU48" s="26"/>
      <c r="BV48" s="26"/>
      <c r="BW48" s="26"/>
      <c r="BX48" s="26"/>
      <c r="BY48" s="26"/>
      <c r="BZ48" s="26"/>
      <c r="CA48" s="26"/>
      <c r="CB48" s="26"/>
      <c r="CC48" s="36"/>
      <c r="DJ48" s="56"/>
      <c r="DK48" s="56"/>
      <c r="DL48" s="56"/>
      <c r="DM48" s="56"/>
      <c r="DN48" s="56"/>
      <c r="DO48" s="56"/>
      <c r="DP48" s="56"/>
      <c r="DQ48" s="56"/>
    </row>
    <row r="49" spans="1:84" s="72" customFormat="1" ht="10.5" customHeight="1" x14ac:dyDescent="0.15">
      <c r="A49" s="23">
        <v>44</v>
      </c>
      <c r="B49" s="153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52"/>
      <c r="AL49" s="151"/>
      <c r="AM49" s="151"/>
      <c r="AN49" s="151"/>
      <c r="AO49" s="151"/>
      <c r="AP49" s="151"/>
      <c r="AQ49" s="151"/>
      <c r="AR49" s="151"/>
      <c r="AS49" s="151"/>
      <c r="AT49" s="151"/>
      <c r="AU49" s="26"/>
      <c r="AV49" s="26"/>
      <c r="AW49" s="26"/>
      <c r="AX49" s="26"/>
      <c r="AY49" s="26"/>
      <c r="AZ49" s="150"/>
      <c r="BA49" s="148"/>
      <c r="BB49" s="148"/>
      <c r="BC49" s="148"/>
      <c r="BD49" s="148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57"/>
      <c r="BP49" s="157"/>
      <c r="BQ49" s="157"/>
      <c r="BR49" s="157"/>
      <c r="BS49" s="157"/>
      <c r="BT49" s="26"/>
      <c r="BU49" s="26"/>
      <c r="BV49" s="26"/>
      <c r="BW49" s="26"/>
      <c r="BX49" s="26"/>
      <c r="BY49" s="26"/>
      <c r="BZ49" s="26"/>
      <c r="CA49" s="26"/>
      <c r="CB49" s="26"/>
      <c r="CC49" s="36"/>
    </row>
    <row r="50" spans="1:84" s="72" customFormat="1" ht="10.5" customHeight="1" x14ac:dyDescent="0.15">
      <c r="A50" s="23">
        <v>45</v>
      </c>
      <c r="B50" s="153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52"/>
      <c r="AL50" s="151"/>
      <c r="AM50" s="151"/>
      <c r="AN50" s="151"/>
      <c r="AO50" s="151"/>
      <c r="AP50" s="151"/>
      <c r="AQ50" s="151"/>
      <c r="AR50" s="151"/>
      <c r="AS50" s="151"/>
      <c r="AT50" s="151"/>
      <c r="AU50" s="26"/>
      <c r="AV50" s="26"/>
      <c r="AW50" s="26"/>
      <c r="AX50" s="26"/>
      <c r="AY50" s="26"/>
      <c r="AZ50" s="150"/>
      <c r="BA50" s="148"/>
      <c r="BB50" s="148"/>
      <c r="BC50" s="148"/>
      <c r="BD50" s="148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57"/>
      <c r="BP50" s="157"/>
      <c r="BQ50" s="157"/>
      <c r="BR50" s="157"/>
      <c r="BS50" s="157"/>
      <c r="BT50" s="26"/>
      <c r="BU50" s="26"/>
      <c r="BV50" s="26"/>
      <c r="BW50" s="26"/>
      <c r="BX50" s="26"/>
      <c r="BY50" s="26"/>
      <c r="BZ50" s="26"/>
      <c r="CA50" s="26"/>
      <c r="CB50" s="26"/>
      <c r="CC50" s="36"/>
    </row>
    <row r="51" spans="1:84" s="72" customFormat="1" ht="10.5" customHeight="1" x14ac:dyDescent="0.15">
      <c r="A51" s="23">
        <v>46</v>
      </c>
      <c r="B51" s="153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52"/>
      <c r="AL51" s="155"/>
      <c r="AM51" s="155"/>
      <c r="AN51" s="155"/>
      <c r="AO51" s="151"/>
      <c r="AP51" s="151"/>
      <c r="AQ51" s="151"/>
      <c r="AR51" s="151"/>
      <c r="AS51" s="151"/>
      <c r="AT51" s="151"/>
      <c r="AU51" s="26"/>
      <c r="AV51" s="26"/>
      <c r="AW51" s="26"/>
      <c r="AX51" s="26"/>
      <c r="AY51" s="26"/>
      <c r="AZ51" s="150"/>
      <c r="BA51" s="148"/>
      <c r="BB51" s="148"/>
      <c r="BC51" s="148"/>
      <c r="BD51" s="148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57"/>
      <c r="BP51" s="157"/>
      <c r="BQ51" s="157"/>
      <c r="BR51" s="157"/>
      <c r="BS51" s="157"/>
      <c r="BT51" s="26"/>
      <c r="BU51" s="26"/>
      <c r="BV51" s="26"/>
      <c r="BW51" s="26"/>
      <c r="BX51" s="26"/>
      <c r="BY51" s="26"/>
      <c r="BZ51" s="26"/>
      <c r="CA51" s="26"/>
      <c r="CB51" s="26"/>
      <c r="CC51" s="36"/>
    </row>
    <row r="52" spans="1:84" s="72" customFormat="1" ht="10.5" customHeight="1" x14ac:dyDescent="0.15">
      <c r="A52" s="23">
        <v>47</v>
      </c>
      <c r="B52" s="153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52"/>
      <c r="AL52" s="155"/>
      <c r="AM52" s="155"/>
      <c r="AN52" s="155"/>
      <c r="AO52" s="151"/>
      <c r="AP52" s="151"/>
      <c r="AQ52" s="151"/>
      <c r="AR52" s="151"/>
      <c r="AS52" s="151"/>
      <c r="AT52" s="151"/>
      <c r="AU52" s="26"/>
      <c r="AV52" s="26"/>
      <c r="AW52" s="26"/>
      <c r="AX52" s="26"/>
      <c r="AY52" s="26"/>
      <c r="AZ52" s="150"/>
      <c r="BA52" s="149"/>
      <c r="BB52" s="148"/>
      <c r="BC52" s="148"/>
      <c r="BD52" s="148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56"/>
      <c r="BP52" s="156"/>
      <c r="BQ52" s="156"/>
      <c r="BR52" s="156"/>
      <c r="BS52" s="156"/>
      <c r="BT52" s="26"/>
      <c r="BU52" s="26"/>
      <c r="BV52" s="26"/>
      <c r="BW52" s="26"/>
      <c r="BX52" s="26"/>
      <c r="BY52" s="26"/>
      <c r="BZ52" s="26"/>
      <c r="CA52" s="26"/>
      <c r="CB52" s="26"/>
      <c r="CC52" s="36"/>
    </row>
    <row r="53" spans="1:84" s="72" customFormat="1" ht="10.5" customHeight="1" x14ac:dyDescent="0.15">
      <c r="A53" s="23">
        <v>48</v>
      </c>
      <c r="B53" s="153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52"/>
      <c r="AL53" s="155"/>
      <c r="AM53" s="155"/>
      <c r="AN53" s="155"/>
      <c r="AO53" s="151"/>
      <c r="AP53" s="151"/>
      <c r="AQ53" s="151"/>
      <c r="AR53" s="151"/>
      <c r="AS53" s="151"/>
      <c r="AT53" s="151"/>
      <c r="AU53" s="26"/>
      <c r="AV53" s="26"/>
      <c r="AW53" s="26"/>
      <c r="AX53" s="26"/>
      <c r="AY53" s="26"/>
      <c r="AZ53" s="150"/>
      <c r="BA53" s="149"/>
      <c r="BB53" s="148"/>
      <c r="BC53" s="148"/>
      <c r="BD53" s="148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56"/>
      <c r="BP53" s="156"/>
      <c r="BQ53" s="156"/>
      <c r="BR53" s="156"/>
      <c r="BS53" s="156"/>
      <c r="BT53" s="26"/>
      <c r="BU53" s="26"/>
      <c r="BV53" s="26"/>
      <c r="BW53" s="26"/>
      <c r="BX53" s="26"/>
      <c r="BY53" s="26"/>
      <c r="BZ53" s="26"/>
      <c r="CA53" s="26"/>
      <c r="CB53" s="26"/>
      <c r="CC53" s="36"/>
    </row>
    <row r="54" spans="1:84" s="72" customFormat="1" ht="10.5" customHeight="1" x14ac:dyDescent="0.15">
      <c r="A54" s="23">
        <v>49</v>
      </c>
      <c r="B54" s="153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52"/>
      <c r="AL54" s="155"/>
      <c r="AM54" s="155"/>
      <c r="AN54" s="155"/>
      <c r="AO54" s="151"/>
      <c r="AP54" s="151"/>
      <c r="AQ54" s="151"/>
      <c r="AR54" s="151"/>
      <c r="AS54" s="151"/>
      <c r="AT54" s="151"/>
      <c r="AU54" s="26"/>
      <c r="AV54" s="26"/>
      <c r="AW54" s="26"/>
      <c r="AX54" s="26"/>
      <c r="AY54" s="26"/>
      <c r="AZ54" s="150"/>
      <c r="BA54" s="149"/>
      <c r="BB54" s="148"/>
      <c r="BC54" s="148"/>
      <c r="BD54" s="148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54"/>
      <c r="BP54" s="154"/>
      <c r="BQ54" s="154"/>
      <c r="BR54" s="154"/>
      <c r="BS54" s="154"/>
      <c r="BT54" s="26"/>
      <c r="BU54" s="26"/>
      <c r="BV54" s="26"/>
      <c r="BW54" s="26"/>
      <c r="BX54" s="26"/>
      <c r="BY54" s="26"/>
      <c r="BZ54" s="26"/>
      <c r="CA54" s="26"/>
      <c r="CB54" s="26"/>
      <c r="CC54" s="36"/>
    </row>
    <row r="55" spans="1:84" s="72" customFormat="1" ht="10.5" customHeight="1" x14ac:dyDescent="0.15">
      <c r="A55" s="23">
        <v>50</v>
      </c>
      <c r="B55" s="153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52"/>
      <c r="AL55" s="151"/>
      <c r="AM55" s="151"/>
      <c r="AN55" s="151"/>
      <c r="AO55" s="151"/>
      <c r="AP55" s="151"/>
      <c r="AQ55" s="151"/>
      <c r="AR55" s="151"/>
      <c r="AS55" s="151"/>
      <c r="AT55" s="151"/>
      <c r="AU55" s="26"/>
      <c r="AV55" s="26"/>
      <c r="AW55" s="26"/>
      <c r="AX55" s="26"/>
      <c r="AY55" s="26"/>
      <c r="AZ55" s="150"/>
      <c r="BA55" s="149"/>
      <c r="BB55" s="148"/>
      <c r="BC55" s="148"/>
      <c r="BD55" s="148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36"/>
    </row>
    <row r="56" spans="1:84" s="72" customFormat="1" ht="10.5" customHeight="1" x14ac:dyDescent="0.15">
      <c r="A56" s="23">
        <v>51</v>
      </c>
      <c r="B56" s="82"/>
      <c r="C56" s="73"/>
      <c r="D56" s="73"/>
      <c r="E56" s="73"/>
      <c r="F56" s="73"/>
      <c r="AZ56" s="150"/>
      <c r="BA56" s="149"/>
      <c r="BB56" s="148"/>
      <c r="BC56" s="148"/>
      <c r="BD56" s="148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CC56" s="86"/>
    </row>
    <row r="57" spans="1:84" s="72" customFormat="1" ht="9.75" customHeight="1" thickBot="1" x14ac:dyDescent="0.2">
      <c r="A57" s="23">
        <v>52</v>
      </c>
      <c r="B57" s="79"/>
      <c r="C57" s="78"/>
      <c r="D57" s="78"/>
      <c r="E57" s="78"/>
      <c r="F57" s="78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146"/>
      <c r="BA57" s="146"/>
      <c r="BB57" s="146"/>
      <c r="BC57" s="146"/>
      <c r="BD57" s="146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144"/>
    </row>
    <row r="58" spans="1:84" x14ac:dyDescent="0.15">
      <c r="B58" s="601">
        <v>1</v>
      </c>
      <c r="C58" s="601"/>
      <c r="D58" s="601"/>
      <c r="E58" s="601"/>
      <c r="F58" s="601"/>
      <c r="G58" s="601">
        <v>2</v>
      </c>
      <c r="H58" s="601"/>
      <c r="I58" s="601"/>
      <c r="J58" s="601"/>
      <c r="K58" s="601"/>
      <c r="L58" s="601">
        <v>3</v>
      </c>
      <c r="M58" s="601"/>
      <c r="N58" s="601"/>
      <c r="O58" s="601"/>
      <c r="P58" s="601"/>
      <c r="Q58" s="601">
        <v>4</v>
      </c>
      <c r="R58" s="601"/>
      <c r="S58" s="601"/>
      <c r="T58" s="601"/>
      <c r="U58" s="601"/>
      <c r="V58" s="601">
        <v>5</v>
      </c>
      <c r="W58" s="601"/>
      <c r="X58" s="601"/>
      <c r="Y58" s="601"/>
      <c r="Z58" s="601"/>
      <c r="AA58" s="601">
        <v>6</v>
      </c>
      <c r="AB58" s="601"/>
      <c r="AC58" s="601"/>
      <c r="AD58" s="601"/>
      <c r="AE58" s="601"/>
      <c r="AF58" s="601">
        <v>7</v>
      </c>
      <c r="AG58" s="601"/>
      <c r="AH58" s="601"/>
      <c r="AI58" s="601"/>
      <c r="AJ58" s="601"/>
      <c r="AK58" s="601">
        <v>8</v>
      </c>
      <c r="AL58" s="601"/>
      <c r="AM58" s="601"/>
      <c r="AN58" s="601"/>
      <c r="AO58" s="601"/>
      <c r="AP58" s="601">
        <v>9</v>
      </c>
      <c r="AQ58" s="601"/>
      <c r="AR58" s="601"/>
      <c r="AS58" s="601"/>
      <c r="AT58" s="601"/>
      <c r="AU58" s="601">
        <v>10</v>
      </c>
      <c r="AV58" s="601"/>
      <c r="AW58" s="601"/>
      <c r="AX58" s="601"/>
      <c r="AY58" s="601"/>
      <c r="AZ58" s="601">
        <v>11</v>
      </c>
      <c r="BA58" s="601"/>
      <c r="BB58" s="601"/>
      <c r="BC58" s="601"/>
      <c r="BD58" s="601"/>
      <c r="BE58" s="601">
        <v>12</v>
      </c>
      <c r="BF58" s="601"/>
      <c r="BG58" s="601"/>
      <c r="BH58" s="601"/>
      <c r="BI58" s="601"/>
      <c r="BJ58" s="601">
        <v>13</v>
      </c>
      <c r="BK58" s="601"/>
      <c r="BL58" s="601"/>
      <c r="BM58" s="601"/>
      <c r="BN58" s="601"/>
      <c r="BO58" s="601">
        <v>14</v>
      </c>
      <c r="BP58" s="601"/>
      <c r="BQ58" s="601"/>
      <c r="BR58" s="601"/>
      <c r="BS58" s="601"/>
      <c r="BT58" s="601">
        <v>15</v>
      </c>
      <c r="BU58" s="601"/>
      <c r="BV58" s="601"/>
      <c r="BW58" s="601"/>
      <c r="BX58" s="601"/>
      <c r="BY58" s="601">
        <v>16</v>
      </c>
      <c r="BZ58" s="601"/>
      <c r="CA58" s="601"/>
      <c r="CB58" s="601"/>
      <c r="CC58" s="601"/>
    </row>
    <row r="59" spans="1:84" ht="12" customHeight="1" x14ac:dyDescent="0.15"/>
    <row r="60" spans="1:84" ht="12" customHeight="1" x14ac:dyDescent="0.15"/>
    <row r="61" spans="1:84" ht="12" customHeight="1" x14ac:dyDescent="0.15"/>
    <row r="63" spans="1:84" x14ac:dyDescent="0.15">
      <c r="BD63" s="46"/>
    </row>
    <row r="64" spans="1:84" x14ac:dyDescent="0.15">
      <c r="CF64" s="72"/>
    </row>
    <row r="65" spans="59:84" x14ac:dyDescent="0.15">
      <c r="BG65" s="72"/>
      <c r="CF65" s="72"/>
    </row>
    <row r="66" spans="59:84" x14ac:dyDescent="0.15">
      <c r="BG66" s="72"/>
    </row>
  </sheetData>
  <mergeCells count="441">
    <mergeCell ref="L7:P7"/>
    <mergeCell ref="Q7:U7"/>
    <mergeCell ref="AF7:AJ7"/>
    <mergeCell ref="AK7:AO7"/>
    <mergeCell ref="BE7:BI7"/>
    <mergeCell ref="BJ7:BN7"/>
    <mergeCell ref="BT3:CC3"/>
    <mergeCell ref="B6:F7"/>
    <mergeCell ref="G6:K7"/>
    <mergeCell ref="V6:Z7"/>
    <mergeCell ref="AA6:AE7"/>
    <mergeCell ref="AP6:AT7"/>
    <mergeCell ref="AU6:AY7"/>
    <mergeCell ref="AZ6:BD7"/>
    <mergeCell ref="BO6:BS7"/>
    <mergeCell ref="BY6:CC7"/>
    <mergeCell ref="BT4:CC4"/>
    <mergeCell ref="AF9:AJ9"/>
    <mergeCell ref="AK9:AO9"/>
    <mergeCell ref="AR9:AT9"/>
    <mergeCell ref="AU9:AY9"/>
    <mergeCell ref="B8:F8"/>
    <mergeCell ref="G8:K8"/>
    <mergeCell ref="L8:P8"/>
    <mergeCell ref="Q8:U8"/>
    <mergeCell ref="V8:Z8"/>
    <mergeCell ref="AA8:AE8"/>
    <mergeCell ref="C9:F9"/>
    <mergeCell ref="G9:K9"/>
    <mergeCell ref="L9:P9"/>
    <mergeCell ref="Q9:U9"/>
    <mergeCell ref="W9:Z9"/>
    <mergeCell ref="AA9:AE9"/>
    <mergeCell ref="AF8:AJ8"/>
    <mergeCell ref="AK8:AO8"/>
    <mergeCell ref="AP8:AQ15"/>
    <mergeCell ref="C10:F10"/>
    <mergeCell ref="G10:K10"/>
    <mergeCell ref="L10:P10"/>
    <mergeCell ref="Q10:U10"/>
    <mergeCell ref="W10:Z10"/>
    <mergeCell ref="BJ9:BN9"/>
    <mergeCell ref="AU10:AY10"/>
    <mergeCell ref="AZ10:BD10"/>
    <mergeCell ref="BE10:BI10"/>
    <mergeCell ref="BO9:BS9"/>
    <mergeCell ref="BT9:BX9"/>
    <mergeCell ref="BY9:CC9"/>
    <mergeCell ref="BJ8:BN8"/>
    <mergeCell ref="BO8:BS8"/>
    <mergeCell ref="BT8:BX8"/>
    <mergeCell ref="BY8:CC8"/>
    <mergeCell ref="BJ10:BN10"/>
    <mergeCell ref="BO10:BS10"/>
    <mergeCell ref="BT10:BX10"/>
    <mergeCell ref="BY10:CC10"/>
    <mergeCell ref="AU8:AY8"/>
    <mergeCell ref="AZ8:BD8"/>
    <mergeCell ref="BE8:BI8"/>
    <mergeCell ref="AZ9:BD9"/>
    <mergeCell ref="BE9:BI9"/>
    <mergeCell ref="AA10:AE10"/>
    <mergeCell ref="BJ11:BN11"/>
    <mergeCell ref="BO11:BS11"/>
    <mergeCell ref="BT11:BX11"/>
    <mergeCell ref="G11:K11"/>
    <mergeCell ref="L11:P11"/>
    <mergeCell ref="Q11:U11"/>
    <mergeCell ref="X11:Z11"/>
    <mergeCell ref="AA11:AE11"/>
    <mergeCell ref="AF10:AJ10"/>
    <mergeCell ref="AK10:AO10"/>
    <mergeCell ref="AR10:AT10"/>
    <mergeCell ref="BY11:CC11"/>
    <mergeCell ref="E12:F12"/>
    <mergeCell ref="G12:K12"/>
    <mergeCell ref="L12:P12"/>
    <mergeCell ref="Q12:U12"/>
    <mergeCell ref="Y12:Z12"/>
    <mergeCell ref="AA12:AE12"/>
    <mergeCell ref="AF11:AJ11"/>
    <mergeCell ref="AK11:AO11"/>
    <mergeCell ref="AR11:AT11"/>
    <mergeCell ref="AU11:AY11"/>
    <mergeCell ref="AZ11:BD11"/>
    <mergeCell ref="BE11:BI11"/>
    <mergeCell ref="BJ12:BN12"/>
    <mergeCell ref="BO12:BS12"/>
    <mergeCell ref="BT12:BX12"/>
    <mergeCell ref="BY12:CC12"/>
    <mergeCell ref="AU12:AY12"/>
    <mergeCell ref="AZ12:BD12"/>
    <mergeCell ref="BE12:BI12"/>
    <mergeCell ref="D11:F11"/>
    <mergeCell ref="G13:K13"/>
    <mergeCell ref="L13:P13"/>
    <mergeCell ref="Q13:U13"/>
    <mergeCell ref="X13:Z13"/>
    <mergeCell ref="AA13:AE13"/>
    <mergeCell ref="AF12:AJ12"/>
    <mergeCell ref="AK12:AO12"/>
    <mergeCell ref="AR12:AT12"/>
    <mergeCell ref="AF14:AJ14"/>
    <mergeCell ref="AK14:AO14"/>
    <mergeCell ref="AR14:AT14"/>
    <mergeCell ref="BJ13:BN13"/>
    <mergeCell ref="BO13:BS13"/>
    <mergeCell ref="BT13:BX13"/>
    <mergeCell ref="BY13:CC13"/>
    <mergeCell ref="B14:F14"/>
    <mergeCell ref="G14:K14"/>
    <mergeCell ref="L14:P14"/>
    <mergeCell ref="Q14:U14"/>
    <mergeCell ref="V14:Z14"/>
    <mergeCell ref="AA14:AE14"/>
    <mergeCell ref="AF13:AJ13"/>
    <mergeCell ref="AK13:AO13"/>
    <mergeCell ref="AR13:AT13"/>
    <mergeCell ref="AU13:AY13"/>
    <mergeCell ref="AZ13:BD13"/>
    <mergeCell ref="BE13:BI13"/>
    <mergeCell ref="BJ14:BN14"/>
    <mergeCell ref="BO14:BS14"/>
    <mergeCell ref="BT14:BX14"/>
    <mergeCell ref="BY14:CC14"/>
    <mergeCell ref="AU14:AY14"/>
    <mergeCell ref="AZ14:BD14"/>
    <mergeCell ref="BE14:BI14"/>
    <mergeCell ref="D13:F13"/>
    <mergeCell ref="BT15:BX15"/>
    <mergeCell ref="BY15:CC15"/>
    <mergeCell ref="C16:F16"/>
    <mergeCell ref="G16:K16"/>
    <mergeCell ref="L16:P16"/>
    <mergeCell ref="Q16:U16"/>
    <mergeCell ref="W16:Z16"/>
    <mergeCell ref="AA16:AE16"/>
    <mergeCell ref="AF15:AJ15"/>
    <mergeCell ref="AK15:AO15"/>
    <mergeCell ref="AR15:AT15"/>
    <mergeCell ref="AU15:AY15"/>
    <mergeCell ref="AZ15:BD15"/>
    <mergeCell ref="BE15:BI15"/>
    <mergeCell ref="AU16:AY16"/>
    <mergeCell ref="AZ16:BD16"/>
    <mergeCell ref="BE16:BI16"/>
    <mergeCell ref="C15:F15"/>
    <mergeCell ref="G15:K15"/>
    <mergeCell ref="L15:P15"/>
    <mergeCell ref="Q15:U15"/>
    <mergeCell ref="W15:Z15"/>
    <mergeCell ref="AA15:AE15"/>
    <mergeCell ref="BJ15:BN15"/>
    <mergeCell ref="BO15:BS15"/>
    <mergeCell ref="D17:F17"/>
    <mergeCell ref="G17:K17"/>
    <mergeCell ref="L17:P17"/>
    <mergeCell ref="Q17:U17"/>
    <mergeCell ref="V17:Z17"/>
    <mergeCell ref="AA17:AE17"/>
    <mergeCell ref="AF16:AJ16"/>
    <mergeCell ref="AK16:AO16"/>
    <mergeCell ref="AP16:AQ23"/>
    <mergeCell ref="AZ17:BD17"/>
    <mergeCell ref="BE17:BI17"/>
    <mergeCell ref="BJ17:BN17"/>
    <mergeCell ref="BO17:BS17"/>
    <mergeCell ref="D19:F19"/>
    <mergeCell ref="G19:K19"/>
    <mergeCell ref="L19:P19"/>
    <mergeCell ref="Q19:U19"/>
    <mergeCell ref="W19:Z19"/>
    <mergeCell ref="E18:F18"/>
    <mergeCell ref="G18:K18"/>
    <mergeCell ref="L18:P18"/>
    <mergeCell ref="Q18:U18"/>
    <mergeCell ref="W18:Z18"/>
    <mergeCell ref="AA18:AE18"/>
    <mergeCell ref="BT17:BX17"/>
    <mergeCell ref="BY17:CC17"/>
    <mergeCell ref="BJ16:BN16"/>
    <mergeCell ref="BO16:BS16"/>
    <mergeCell ref="BT16:BX16"/>
    <mergeCell ref="BY16:CC16"/>
    <mergeCell ref="BJ18:BN18"/>
    <mergeCell ref="BO18:BS18"/>
    <mergeCell ref="BT18:BX18"/>
    <mergeCell ref="BY18:CC18"/>
    <mergeCell ref="AF17:AJ17"/>
    <mergeCell ref="AK17:AO17"/>
    <mergeCell ref="AR17:AT17"/>
    <mergeCell ref="AU17:AY17"/>
    <mergeCell ref="AF18:AJ18"/>
    <mergeCell ref="AK18:AO18"/>
    <mergeCell ref="AR18:AT18"/>
    <mergeCell ref="AU18:AY18"/>
    <mergeCell ref="AZ18:BD18"/>
    <mergeCell ref="BE18:BI18"/>
    <mergeCell ref="AF20:AJ20"/>
    <mergeCell ref="AK20:AO20"/>
    <mergeCell ref="AR20:AT20"/>
    <mergeCell ref="BJ19:BN19"/>
    <mergeCell ref="BO19:BS19"/>
    <mergeCell ref="BT19:BX19"/>
    <mergeCell ref="BY19:CC19"/>
    <mergeCell ref="B20:F20"/>
    <mergeCell ref="G20:K20"/>
    <mergeCell ref="L20:P20"/>
    <mergeCell ref="Q20:U20"/>
    <mergeCell ref="X20:Z20"/>
    <mergeCell ref="AA20:AE20"/>
    <mergeCell ref="AF19:AJ19"/>
    <mergeCell ref="AK19:AO19"/>
    <mergeCell ref="AR19:AT19"/>
    <mergeCell ref="AU19:AY19"/>
    <mergeCell ref="AZ19:BD19"/>
    <mergeCell ref="BE19:BI19"/>
    <mergeCell ref="BJ20:BN20"/>
    <mergeCell ref="BO20:BS20"/>
    <mergeCell ref="BT20:BX20"/>
    <mergeCell ref="BY20:CC20"/>
    <mergeCell ref="AU20:AY20"/>
    <mergeCell ref="AZ20:BD20"/>
    <mergeCell ref="BE20:BI20"/>
    <mergeCell ref="AA19:AE19"/>
    <mergeCell ref="BJ21:BN21"/>
    <mergeCell ref="BO21:BS21"/>
    <mergeCell ref="BT21:BX21"/>
    <mergeCell ref="BY21:CC21"/>
    <mergeCell ref="C22:F22"/>
    <mergeCell ref="G22:K22"/>
    <mergeCell ref="L22:P22"/>
    <mergeCell ref="Q22:U22"/>
    <mergeCell ref="X22:Z22"/>
    <mergeCell ref="AA22:AE22"/>
    <mergeCell ref="AF21:AJ21"/>
    <mergeCell ref="AK21:AO21"/>
    <mergeCell ref="AR21:AT21"/>
    <mergeCell ref="AU21:AY21"/>
    <mergeCell ref="AZ21:BD21"/>
    <mergeCell ref="BE21:BI21"/>
    <mergeCell ref="C21:F21"/>
    <mergeCell ref="G21:K21"/>
    <mergeCell ref="L21:P21"/>
    <mergeCell ref="Q21:U21"/>
    <mergeCell ref="Y21:Z21"/>
    <mergeCell ref="AA21:AE21"/>
    <mergeCell ref="D23:F23"/>
    <mergeCell ref="G23:K23"/>
    <mergeCell ref="L23:P23"/>
    <mergeCell ref="Q23:U23"/>
    <mergeCell ref="AR23:AT23"/>
    <mergeCell ref="AU23:AY23"/>
    <mergeCell ref="AF22:AJ22"/>
    <mergeCell ref="AK22:AO22"/>
    <mergeCell ref="AR22:AT22"/>
    <mergeCell ref="AU22:AY22"/>
    <mergeCell ref="AZ23:BD23"/>
    <mergeCell ref="BE23:BI23"/>
    <mergeCell ref="BJ23:BN23"/>
    <mergeCell ref="BO23:BS23"/>
    <mergeCell ref="BT23:BX23"/>
    <mergeCell ref="BY23:CC23"/>
    <mergeCell ref="BJ22:BN22"/>
    <mergeCell ref="BO22:BS22"/>
    <mergeCell ref="BT22:BX22"/>
    <mergeCell ref="BY22:CC22"/>
    <mergeCell ref="AZ22:BD22"/>
    <mergeCell ref="BE22:BI22"/>
    <mergeCell ref="AZ24:BD24"/>
    <mergeCell ref="BE24:BI24"/>
    <mergeCell ref="BJ24:BN24"/>
    <mergeCell ref="BO24:BS24"/>
    <mergeCell ref="BT24:BX24"/>
    <mergeCell ref="BY24:CC24"/>
    <mergeCell ref="E24:F24"/>
    <mergeCell ref="G24:K24"/>
    <mergeCell ref="L24:P24"/>
    <mergeCell ref="Q24:U24"/>
    <mergeCell ref="AP24:AQ31"/>
    <mergeCell ref="AU24:AY24"/>
    <mergeCell ref="D25:F25"/>
    <mergeCell ref="G25:K25"/>
    <mergeCell ref="L25:P25"/>
    <mergeCell ref="Q25:U25"/>
    <mergeCell ref="BT25:BX25"/>
    <mergeCell ref="BY25:CC25"/>
    <mergeCell ref="AR26:AT26"/>
    <mergeCell ref="AU26:AY26"/>
    <mergeCell ref="AZ26:BD26"/>
    <mergeCell ref="BE26:BI26"/>
    <mergeCell ref="BJ26:BN26"/>
    <mergeCell ref="BO26:BS26"/>
    <mergeCell ref="BT26:BX26"/>
    <mergeCell ref="BY26:CC26"/>
    <mergeCell ref="AR25:AT25"/>
    <mergeCell ref="AU25:AY25"/>
    <mergeCell ref="AZ25:BD25"/>
    <mergeCell ref="BE25:BI25"/>
    <mergeCell ref="BJ25:BN25"/>
    <mergeCell ref="BO25:BS25"/>
    <mergeCell ref="AZ27:BD27"/>
    <mergeCell ref="BE27:BI27"/>
    <mergeCell ref="BJ27:BN27"/>
    <mergeCell ref="BO27:BS27"/>
    <mergeCell ref="BT27:BX27"/>
    <mergeCell ref="BY27:CC27"/>
    <mergeCell ref="BY28:CC28"/>
    <mergeCell ref="B29:F29"/>
    <mergeCell ref="G29:K29"/>
    <mergeCell ref="L29:P29"/>
    <mergeCell ref="Q29:U29"/>
    <mergeCell ref="V29:Z29"/>
    <mergeCell ref="AA29:AE29"/>
    <mergeCell ref="AF29:AJ29"/>
    <mergeCell ref="AK29:AO29"/>
    <mergeCell ref="AR28:AT28"/>
    <mergeCell ref="AU28:AY28"/>
    <mergeCell ref="AZ28:BD28"/>
    <mergeCell ref="BE28:BI28"/>
    <mergeCell ref="BJ28:BN28"/>
    <mergeCell ref="BO28:BS28"/>
    <mergeCell ref="BT29:BX29"/>
    <mergeCell ref="BY29:CC29"/>
    <mergeCell ref="AU29:AY29"/>
    <mergeCell ref="AZ29:BD29"/>
    <mergeCell ref="BE29:BI29"/>
    <mergeCell ref="BJ29:BN29"/>
    <mergeCell ref="BO29:BS29"/>
    <mergeCell ref="B27:F28"/>
    <mergeCell ref="G27:K28"/>
    <mergeCell ref="L30:P30"/>
    <mergeCell ref="Q30:U30"/>
    <mergeCell ref="X30:Z30"/>
    <mergeCell ref="AA30:AE30"/>
    <mergeCell ref="AF30:AJ30"/>
    <mergeCell ref="AK30:AO30"/>
    <mergeCell ref="AR29:AT29"/>
    <mergeCell ref="BT28:BX28"/>
    <mergeCell ref="V27:Z28"/>
    <mergeCell ref="AA27:AE28"/>
    <mergeCell ref="AR27:AT27"/>
    <mergeCell ref="AU27:AY27"/>
    <mergeCell ref="L28:P28"/>
    <mergeCell ref="Q28:U28"/>
    <mergeCell ref="AF28:AJ28"/>
    <mergeCell ref="AK28:AO28"/>
    <mergeCell ref="BT30:BX30"/>
    <mergeCell ref="BY30:CC30"/>
    <mergeCell ref="D31:F31"/>
    <mergeCell ref="G31:K31"/>
    <mergeCell ref="L31:P31"/>
    <mergeCell ref="Q31:U31"/>
    <mergeCell ref="X31:Z31"/>
    <mergeCell ref="AA31:AE31"/>
    <mergeCell ref="AF31:AJ31"/>
    <mergeCell ref="AK31:AO31"/>
    <mergeCell ref="AR30:AT30"/>
    <mergeCell ref="AU30:AY30"/>
    <mergeCell ref="AZ30:BD30"/>
    <mergeCell ref="BE30:BI30"/>
    <mergeCell ref="BJ30:BN30"/>
    <mergeCell ref="BO30:BS30"/>
    <mergeCell ref="BT31:BX31"/>
    <mergeCell ref="BY31:CC31"/>
    <mergeCell ref="AU31:AY31"/>
    <mergeCell ref="AZ31:BD31"/>
    <mergeCell ref="BE31:BI31"/>
    <mergeCell ref="BJ31:BN31"/>
    <mergeCell ref="BO31:BS31"/>
    <mergeCell ref="D30:F30"/>
    <mergeCell ref="G30:K30"/>
    <mergeCell ref="D32:F32"/>
    <mergeCell ref="G32:K32"/>
    <mergeCell ref="L32:P32"/>
    <mergeCell ref="Q32:U32"/>
    <mergeCell ref="X32:Z32"/>
    <mergeCell ref="AA32:AE32"/>
    <mergeCell ref="AF32:AJ32"/>
    <mergeCell ref="AK32:AO32"/>
    <mergeCell ref="AR31:AT31"/>
    <mergeCell ref="AF33:AJ33"/>
    <mergeCell ref="AK33:AO33"/>
    <mergeCell ref="AP33:AT33"/>
    <mergeCell ref="AU33:AY33"/>
    <mergeCell ref="AZ33:BD33"/>
    <mergeCell ref="BE33:BI33"/>
    <mergeCell ref="D33:F33"/>
    <mergeCell ref="G33:K33"/>
    <mergeCell ref="L33:P33"/>
    <mergeCell ref="Q33:U33"/>
    <mergeCell ref="X33:Z33"/>
    <mergeCell ref="AA33:AE33"/>
    <mergeCell ref="AF34:AJ34"/>
    <mergeCell ref="AK34:AO34"/>
    <mergeCell ref="AP34:AT34"/>
    <mergeCell ref="AU34:AY34"/>
    <mergeCell ref="AZ34:BD34"/>
    <mergeCell ref="BE34:BI34"/>
    <mergeCell ref="D34:F34"/>
    <mergeCell ref="G34:K34"/>
    <mergeCell ref="L34:P34"/>
    <mergeCell ref="Q34:U34"/>
    <mergeCell ref="X34:Z34"/>
    <mergeCell ref="AA34:AE34"/>
    <mergeCell ref="AF35:AJ35"/>
    <mergeCell ref="AK35:AO35"/>
    <mergeCell ref="AQ35:AT35"/>
    <mergeCell ref="AU35:AY35"/>
    <mergeCell ref="D36:F36"/>
    <mergeCell ref="G36:K36"/>
    <mergeCell ref="L36:P36"/>
    <mergeCell ref="Q36:U36"/>
    <mergeCell ref="X36:Z36"/>
    <mergeCell ref="AA36:AE36"/>
    <mergeCell ref="D35:F35"/>
    <mergeCell ref="G35:K35"/>
    <mergeCell ref="L35:P35"/>
    <mergeCell ref="Q35:U35"/>
    <mergeCell ref="X35:Z35"/>
    <mergeCell ref="AA35:AE35"/>
    <mergeCell ref="AF36:AJ36"/>
    <mergeCell ref="AK36:AO36"/>
    <mergeCell ref="AQ36:AT36"/>
    <mergeCell ref="AU36:AY36"/>
    <mergeCell ref="BY58:CC58"/>
    <mergeCell ref="AF58:AJ58"/>
    <mergeCell ref="AK58:AO58"/>
    <mergeCell ref="AP58:AT58"/>
    <mergeCell ref="AU58:AY58"/>
    <mergeCell ref="AZ58:BD58"/>
    <mergeCell ref="BE58:BI58"/>
    <mergeCell ref="B58:F58"/>
    <mergeCell ref="G58:K58"/>
    <mergeCell ref="L58:P58"/>
    <mergeCell ref="Q58:U58"/>
    <mergeCell ref="V58:Z58"/>
    <mergeCell ref="AA58:AE58"/>
    <mergeCell ref="BJ58:BN58"/>
    <mergeCell ref="BO58:BS58"/>
    <mergeCell ref="BT58:BX58"/>
  </mergeCells>
  <phoneticPr fontId="1"/>
  <printOptions horizontalCentered="1" verticalCentered="1"/>
  <pageMargins left="0.19685039370078741" right="0.19685039370078741" top="0.39370078740157483" bottom="0" header="0.31496062992125984" footer="0.31496062992125984"/>
  <pageSetup paperSize="9" scale="95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No4</vt:lpstr>
      <vt:lpstr>No5</vt:lpstr>
      <vt:lpstr>No6</vt:lpstr>
      <vt:lpstr>'No4'!Print_Area</vt:lpstr>
      <vt:lpstr>'No5'!Print_Area</vt:lpstr>
      <vt:lpstr>'No6'!Print_Area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健</dc:creator>
  <cp:lastModifiedBy>advance</cp:lastModifiedBy>
  <cp:lastPrinted>2019-10-25T05:07:22Z</cp:lastPrinted>
  <dcterms:created xsi:type="dcterms:W3CDTF">2019-05-13T01:22:11Z</dcterms:created>
  <dcterms:modified xsi:type="dcterms:W3CDTF">2020-02-18T02:15:37Z</dcterms:modified>
</cp:coreProperties>
</file>