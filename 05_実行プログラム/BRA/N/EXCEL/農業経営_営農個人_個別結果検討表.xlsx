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afe\User_Work\kawasuzaki\Phase3\Excel\"/>
    </mc:Choice>
  </mc:AlternateContent>
  <xr:revisionPtr revIDLastSave="0" documentId="13_ncr:1_{0419BBC0-05ED-460D-AF89-7C07D06611CE}" xr6:coauthVersionLast="36" xr6:coauthVersionMax="36" xr10:uidLastSave="{00000000-0000-0000-0000-000000000000}"/>
  <bookViews>
    <workbookView xWindow="930" yWindow="0" windowWidth="20490" windowHeight="7710" xr2:uid="{00000000-000D-0000-FFFF-FFFF00000000}"/>
  </bookViews>
  <sheets>
    <sheet name="個別検討表" sheetId="17" r:id="rId1"/>
    <sheet name="個別検討表（部門）" sheetId="27" r:id="rId2"/>
    <sheet name="指標部" sheetId="10" state="hidden" r:id="rId3"/>
  </sheets>
  <definedNames>
    <definedName name="_xlnm.Print_Area" localSheetId="0">個別検討表!$A$1:$N$59</definedName>
    <definedName name="_xlnm.Print_Area" localSheetId="1">'個別検討表（部門）'!$A$1:$P$41</definedName>
    <definedName name="_xlnm.Print_Area" localSheetId="2">指標部!$A$1:$I$25</definedName>
    <definedName name="経費範囲" localSheetId="1">#REF!</definedName>
    <definedName name="経費範囲" localSheetId="2">#REF!</definedName>
    <definedName name="経費範囲">#REF!</definedName>
    <definedName name="経理範囲2" localSheetId="1">#REF!</definedName>
    <definedName name="経理範囲2" localSheetId="2">#REF!</definedName>
    <definedName name="経理範囲2">#REF!</definedName>
    <definedName name="現場調査費" localSheetId="1">#REF!</definedName>
    <definedName name="現場調査費" localSheetId="2">#REF!</definedName>
    <definedName name="現場調査費">#REF!</definedName>
    <definedName name="現調単価" localSheetId="1">#REF!</definedName>
    <definedName name="現調単価" localSheetId="2">#REF!</definedName>
    <definedName name="現調単価">#REF!</definedName>
    <definedName name="合計" localSheetId="1">#REF!</definedName>
    <definedName name="合計" localSheetId="2">#REF!</definedName>
    <definedName name="合計">#REF!</definedName>
    <definedName name="材料範囲" localSheetId="1">#REF!</definedName>
    <definedName name="材料範囲" localSheetId="2">#REF!</definedName>
    <definedName name="材料範囲">#REF!</definedName>
    <definedName name="資産編" localSheetId="1">#REF!</definedName>
    <definedName name="資産編" localSheetId="2">#REF!</definedName>
    <definedName name="資産編">#REF!</definedName>
    <definedName name="資産編２" localSheetId="1">#REF!</definedName>
    <definedName name="資産編２" localSheetId="2">#REF!</definedName>
    <definedName name="資産編２">#REF!</definedName>
    <definedName name="諸経費率" localSheetId="1">#REF!</definedName>
    <definedName name="諸経費率" localSheetId="2">#REF!</definedName>
    <definedName name="諸経費率">#REF!</definedName>
    <definedName name="範囲" localSheetId="1">#REF!</definedName>
    <definedName name="範囲" localSheetId="2">#REF!</definedName>
    <definedName name="範囲">#REF!</definedName>
    <definedName name="労務範囲" localSheetId="1">#REF!</definedName>
    <definedName name="労務範囲" localSheetId="2">#REF!</definedName>
    <definedName name="労務範囲">#REF!</definedName>
    <definedName name="労務範囲２" localSheetId="1">#REF!</definedName>
    <definedName name="労務範囲２" localSheetId="2">#REF!</definedName>
    <definedName name="労務範囲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7" l="1"/>
  <c r="L13" i="27"/>
  <c r="J10" i="17"/>
  <c r="L10" i="27"/>
  <c r="J22" i="17" l="1"/>
  <c r="J23" i="17"/>
  <c r="J24" i="17"/>
  <c r="J25" i="17"/>
  <c r="J26" i="17"/>
  <c r="J27" i="17"/>
  <c r="J28" i="17"/>
  <c r="J29" i="17"/>
  <c r="J30" i="17"/>
  <c r="J31" i="17"/>
  <c r="J21" i="17"/>
  <c r="M20" i="17" l="1"/>
  <c r="M21" i="17"/>
  <c r="M22" i="17"/>
  <c r="I6" i="27" l="1"/>
  <c r="J6" i="27" s="1"/>
  <c r="G6" i="17"/>
  <c r="H6" i="17" s="1"/>
  <c r="A1" i="27" l="1"/>
  <c r="A1" i="17"/>
  <c r="O37" i="27"/>
  <c r="O36" i="27"/>
  <c r="O35" i="27"/>
  <c r="O34" i="27"/>
  <c r="O33" i="27"/>
  <c r="O32" i="27"/>
  <c r="O31" i="27"/>
  <c r="O30" i="27"/>
  <c r="O29" i="27"/>
  <c r="O28" i="27"/>
  <c r="O25" i="27"/>
  <c r="O24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L21" i="27"/>
  <c r="L20" i="27"/>
  <c r="L19" i="27"/>
  <c r="L18" i="27"/>
  <c r="L17" i="27"/>
  <c r="L16" i="27"/>
  <c r="L15" i="27"/>
  <c r="L14" i="27"/>
  <c r="K40" i="27"/>
  <c r="K39" i="27"/>
  <c r="K38" i="27"/>
  <c r="K37" i="27"/>
  <c r="K36" i="27"/>
  <c r="K35" i="27"/>
  <c r="K34" i="27"/>
  <c r="K33" i="27"/>
  <c r="K32" i="27"/>
  <c r="K31" i="27"/>
  <c r="K30" i="27"/>
  <c r="K29" i="27"/>
  <c r="K28" i="27"/>
  <c r="K26" i="27"/>
  <c r="K25" i="27"/>
  <c r="K24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M37" i="17"/>
  <c r="M32" i="17"/>
  <c r="M27" i="17"/>
  <c r="M26" i="17"/>
  <c r="M25" i="17"/>
  <c r="M24" i="17"/>
  <c r="M23" i="17"/>
  <c r="M15" i="17"/>
  <c r="M14" i="17"/>
  <c r="M13" i="17"/>
  <c r="M12" i="17"/>
  <c r="M11" i="17"/>
  <c r="M10" i="17"/>
  <c r="J19" i="17"/>
  <c r="J18" i="17"/>
  <c r="J17" i="17"/>
  <c r="J16" i="17"/>
  <c r="J15" i="17"/>
  <c r="J14" i="17"/>
  <c r="J13" i="17"/>
  <c r="J12" i="17"/>
  <c r="J11" i="17"/>
  <c r="I37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M9" i="17"/>
  <c r="I9" i="17"/>
  <c r="G40" i="17" l="1"/>
  <c r="A7" i="10" l="1"/>
  <c r="H40" i="17"/>
</calcChain>
</file>

<file path=xl/sharedStrings.xml><?xml version="1.0" encoding="utf-8"?>
<sst xmlns="http://schemas.openxmlformats.org/spreadsheetml/2006/main" count="165" uniqueCount="90">
  <si>
    <t>個別結果検討表（営農類型別経営統計）　</t>
    <rPh sb="0" eb="2">
      <t>コベツ</t>
    </rPh>
    <rPh sb="2" eb="4">
      <t>ケッカ</t>
    </rPh>
    <rPh sb="4" eb="6">
      <t>ケントウ</t>
    </rPh>
    <rPh sb="6" eb="7">
      <t>ヒョウ</t>
    </rPh>
    <rPh sb="8" eb="10">
      <t>エイノウ</t>
    </rPh>
    <rPh sb="10" eb="12">
      <t>ルイケイ</t>
    </rPh>
    <rPh sb="12" eb="13">
      <t>ベツ</t>
    </rPh>
    <rPh sb="13" eb="15">
      <t>ケイエイ</t>
    </rPh>
    <rPh sb="15" eb="17">
      <t>トウケイ</t>
    </rPh>
    <phoneticPr fontId="2"/>
  </si>
  <si>
    <t>単位</t>
    <rPh sb="0" eb="2">
      <t>タンイ</t>
    </rPh>
    <phoneticPr fontId="2"/>
  </si>
  <si>
    <t>増減率(%)</t>
    <rPh sb="0" eb="2">
      <t>ゾウゲン</t>
    </rPh>
    <rPh sb="2" eb="3">
      <t>リツ</t>
    </rPh>
    <phoneticPr fontId="2"/>
  </si>
  <si>
    <t>寄与率(%)</t>
    <rPh sb="0" eb="3">
      <t>キヨリツ</t>
    </rPh>
    <phoneticPr fontId="2"/>
  </si>
  <si>
    <t>検討結果の概要（増減要因）</t>
    <rPh sb="0" eb="1">
      <t>ケン</t>
    </rPh>
    <rPh sb="1" eb="2">
      <t>ウ</t>
    </rPh>
    <rPh sb="2" eb="3">
      <t>ムスブ</t>
    </rPh>
    <rPh sb="3" eb="4">
      <t>ハタシ</t>
    </rPh>
    <rPh sb="5" eb="6">
      <t>オオムネ</t>
    </rPh>
    <rPh sb="6" eb="7">
      <t>ヨウ</t>
    </rPh>
    <rPh sb="8" eb="10">
      <t>ゾウゲン</t>
    </rPh>
    <rPh sb="10" eb="12">
      <t>ヨウイン</t>
    </rPh>
    <phoneticPr fontId="2"/>
  </si>
  <si>
    <t>　　　年［本年］</t>
    <rPh sb="3" eb="4">
      <t>ネン</t>
    </rPh>
    <rPh sb="5" eb="7">
      <t>ホンネン</t>
    </rPh>
    <phoneticPr fontId="7"/>
  </si>
  <si>
    <t>　　　年［前年］</t>
    <rPh sb="5" eb="6">
      <t>ゼン</t>
    </rPh>
    <phoneticPr fontId="7"/>
  </si>
  <si>
    <t>［収支の概要］</t>
    <rPh sb="1" eb="3">
      <t>シュウシ</t>
    </rPh>
    <rPh sb="4" eb="6">
      <t>ガイヨウ</t>
    </rPh>
    <phoneticPr fontId="2"/>
  </si>
  <si>
    <t>農業粗収益</t>
    <rPh sb="0" eb="2">
      <t>ノウギョウ</t>
    </rPh>
    <rPh sb="2" eb="5">
      <t>ソシュウエキ</t>
    </rPh>
    <phoneticPr fontId="2"/>
  </si>
  <si>
    <t>〃</t>
  </si>
  <si>
    <t>制度受取金等</t>
    <rPh sb="0" eb="2">
      <t>セイド</t>
    </rPh>
    <rPh sb="2" eb="5">
      <t>ウケトリキン</t>
    </rPh>
    <rPh sb="5" eb="6">
      <t>トウ</t>
    </rPh>
    <phoneticPr fontId="2"/>
  </si>
  <si>
    <t>農業生産関連事業の収入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シュウニュウ</t>
    </rPh>
    <phoneticPr fontId="2"/>
  </si>
  <si>
    <t>農業経営費</t>
    <rPh sb="0" eb="2">
      <t>ノウギョウ</t>
    </rPh>
    <rPh sb="2" eb="5">
      <t>ケイエイヒ</t>
    </rPh>
    <phoneticPr fontId="2"/>
  </si>
  <si>
    <t>制度積立金等</t>
    <rPh sb="0" eb="2">
      <t>セイド</t>
    </rPh>
    <rPh sb="2" eb="3">
      <t>ツ</t>
    </rPh>
    <rPh sb="3" eb="4">
      <t>タ</t>
    </rPh>
    <rPh sb="4" eb="5">
      <t>キン</t>
    </rPh>
    <rPh sb="5" eb="6">
      <t>トウ</t>
    </rPh>
    <phoneticPr fontId="2"/>
  </si>
  <si>
    <t>減価償却費</t>
    <rPh sb="0" eb="2">
      <t>ゲンカ</t>
    </rPh>
    <rPh sb="2" eb="5">
      <t>ショウキャクヒ</t>
    </rPh>
    <phoneticPr fontId="2"/>
  </si>
  <si>
    <t>農業所得</t>
    <rPh sb="0" eb="2">
      <t>ノウギョウ</t>
    </rPh>
    <rPh sb="2" eb="4">
      <t>ショトク</t>
    </rPh>
    <phoneticPr fontId="2"/>
  </si>
  <si>
    <t>農業生産関連事業の支出</t>
    <rPh sb="0" eb="2">
      <t>ノウギョウ</t>
    </rPh>
    <rPh sb="2" eb="4">
      <t>セイサン</t>
    </rPh>
    <rPh sb="4" eb="6">
      <t>カンレン</t>
    </rPh>
    <rPh sb="6" eb="8">
      <t>ジギョウ</t>
    </rPh>
    <rPh sb="9" eb="11">
      <t>シシュツ</t>
    </rPh>
    <phoneticPr fontId="2"/>
  </si>
  <si>
    <t>農業生産関連事業所得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ショトク</t>
    </rPh>
    <phoneticPr fontId="2"/>
  </si>
  <si>
    <t>［資産］</t>
    <rPh sb="1" eb="3">
      <t>シサン</t>
    </rPh>
    <phoneticPr fontId="2"/>
  </si>
  <si>
    <t>農業固定資産額</t>
    <rPh sb="0" eb="2">
      <t>ノウギョウ</t>
    </rPh>
    <rPh sb="2" eb="4">
      <t>コテイ</t>
    </rPh>
    <rPh sb="4" eb="7">
      <t>シサンガク</t>
    </rPh>
    <phoneticPr fontId="2"/>
  </si>
  <si>
    <t>円</t>
    <rPh sb="0" eb="1">
      <t>エン</t>
    </rPh>
    <phoneticPr fontId="2"/>
  </si>
  <si>
    <t>No.2</t>
  </si>
  <si>
    <t>［経営概況］</t>
    <rPh sb="1" eb="3">
      <t>ケイエイ</t>
    </rPh>
    <rPh sb="3" eb="5">
      <t>ガイキョウ</t>
    </rPh>
    <phoneticPr fontId="2"/>
  </si>
  <si>
    <t>農業従事者</t>
    <rPh sb="0" eb="2">
      <t>ノウギョウ</t>
    </rPh>
    <rPh sb="2" eb="5">
      <t>ジュウジシャ</t>
    </rPh>
    <phoneticPr fontId="2"/>
  </si>
  <si>
    <t>人</t>
    <rPh sb="0" eb="1">
      <t>ニン</t>
    </rPh>
    <phoneticPr fontId="2"/>
  </si>
  <si>
    <t>時間</t>
    <rPh sb="0" eb="2">
      <t>ジカン</t>
    </rPh>
    <phoneticPr fontId="2"/>
  </si>
  <si>
    <t>経営耕地面積</t>
    <rPh sb="0" eb="2">
      <t>ケイエイ</t>
    </rPh>
    <rPh sb="2" eb="4">
      <t>コウチ</t>
    </rPh>
    <rPh sb="4" eb="6">
      <t>メンセキ</t>
    </rPh>
    <phoneticPr fontId="2"/>
  </si>
  <si>
    <t>a㎡頭羽</t>
    <rPh sb="2" eb="3">
      <t>トウ</t>
    </rPh>
    <rPh sb="3" eb="4">
      <t>ハ</t>
    </rPh>
    <phoneticPr fontId="2"/>
  </si>
  <si>
    <t>営農類型規模</t>
    <rPh sb="0" eb="2">
      <t>エイノウ</t>
    </rPh>
    <rPh sb="2" eb="4">
      <t>ルイケイ</t>
    </rPh>
    <rPh sb="4" eb="6">
      <t>キボ</t>
    </rPh>
    <phoneticPr fontId="2"/>
  </si>
  <si>
    <t>個別結果検討表（営農類型別経営統計（指定部門））　</t>
    <rPh sb="0" eb="2">
      <t>コベツ</t>
    </rPh>
    <rPh sb="2" eb="4">
      <t>ケッカ</t>
    </rPh>
    <rPh sb="4" eb="6">
      <t>ケントウ</t>
    </rPh>
    <rPh sb="6" eb="7">
      <t>ヒョウ</t>
    </rPh>
    <rPh sb="8" eb="10">
      <t>エイノウ</t>
    </rPh>
    <rPh sb="10" eb="12">
      <t>ルイケイ</t>
    </rPh>
    <rPh sb="12" eb="13">
      <t>ベツ</t>
    </rPh>
    <rPh sb="13" eb="15">
      <t>ケイエイ</t>
    </rPh>
    <rPh sb="15" eb="17">
      <t>トウケイ</t>
    </rPh>
    <rPh sb="18" eb="20">
      <t>シテイ</t>
    </rPh>
    <rPh sb="20" eb="22">
      <t>ブモン</t>
    </rPh>
    <phoneticPr fontId="2"/>
  </si>
  <si>
    <t>［農業経営収支（部門）］</t>
    <rPh sb="1" eb="3">
      <t>ノウギョウ</t>
    </rPh>
    <rPh sb="3" eb="5">
      <t>ケイエイ</t>
    </rPh>
    <rPh sb="5" eb="7">
      <t>シュウシ</t>
    </rPh>
    <rPh sb="8" eb="10">
      <t>ブモン</t>
    </rPh>
    <phoneticPr fontId="2"/>
  </si>
  <si>
    <t>部門粗収益</t>
    <rPh sb="0" eb="2">
      <t>ブモン</t>
    </rPh>
    <rPh sb="2" eb="5">
      <t>ソシュウエキ</t>
    </rPh>
    <phoneticPr fontId="2"/>
  </si>
  <si>
    <t>部門経営費</t>
    <rPh sb="0" eb="2">
      <t>ブモン</t>
    </rPh>
    <rPh sb="2" eb="5">
      <t>ケイエイヒ</t>
    </rPh>
    <phoneticPr fontId="2"/>
  </si>
  <si>
    <t>部門所得</t>
    <rPh sb="0" eb="2">
      <t>ブモン</t>
    </rPh>
    <rPh sb="2" eb="4">
      <t>ショトク</t>
    </rPh>
    <phoneticPr fontId="2"/>
  </si>
  <si>
    <t>［部門経営概況］</t>
    <rPh sb="1" eb="3">
      <t>ブモン</t>
    </rPh>
    <rPh sb="3" eb="5">
      <t>ケイエイ</t>
    </rPh>
    <rPh sb="5" eb="7">
      <t>ガイキョウ</t>
    </rPh>
    <phoneticPr fontId="2"/>
  </si>
  <si>
    <t>部門投下労働時間</t>
    <rPh sb="0" eb="2">
      <t>ブモン</t>
    </rPh>
    <rPh sb="2" eb="4">
      <t>トウカ</t>
    </rPh>
    <rPh sb="4" eb="6">
      <t>ロウドウ</t>
    </rPh>
    <rPh sb="6" eb="8">
      <t>ジカン</t>
    </rPh>
    <phoneticPr fontId="2"/>
  </si>
  <si>
    <t>部門投下労働時間（雇用者）</t>
    <rPh sb="0" eb="2">
      <t>ブモン</t>
    </rPh>
    <rPh sb="2" eb="4">
      <t>トウカ</t>
    </rPh>
    <rPh sb="4" eb="6">
      <t>ロウドウ</t>
    </rPh>
    <rPh sb="6" eb="8">
      <t>ジカン</t>
    </rPh>
    <rPh sb="9" eb="11">
      <t>コヨウ</t>
    </rPh>
    <rPh sb="11" eb="12">
      <t>シャ</t>
    </rPh>
    <phoneticPr fontId="2"/>
  </si>
  <si>
    <t>雇用単価</t>
    <rPh sb="0" eb="2">
      <t>コヨウ</t>
    </rPh>
    <rPh sb="2" eb="4">
      <t>タンカ</t>
    </rPh>
    <phoneticPr fontId="2"/>
  </si>
  <si>
    <t>円/人</t>
    <rPh sb="0" eb="1">
      <t>エン</t>
    </rPh>
    <rPh sb="2" eb="3">
      <t>ニン</t>
    </rPh>
    <phoneticPr fontId="2"/>
  </si>
  <si>
    <t>部門作業別労働時間</t>
    <rPh sb="0" eb="2">
      <t>ブモン</t>
    </rPh>
    <rPh sb="2" eb="5">
      <t>サギョウベツ</t>
    </rPh>
    <rPh sb="5" eb="7">
      <t>ロウドウ</t>
    </rPh>
    <rPh sb="7" eb="9">
      <t>ジカン</t>
    </rPh>
    <phoneticPr fontId="2"/>
  </si>
  <si>
    <t>耕うん・施肥</t>
    <rPh sb="0" eb="1">
      <t>コウ</t>
    </rPh>
    <rPh sb="4" eb="6">
      <t>セヒ</t>
    </rPh>
    <phoneticPr fontId="2"/>
  </si>
  <si>
    <t>除草・防除</t>
    <rPh sb="0" eb="2">
      <t>ジョソウ</t>
    </rPh>
    <rPh sb="3" eb="5">
      <t>ボウジョ</t>
    </rPh>
    <phoneticPr fontId="2"/>
  </si>
  <si>
    <t>授粉・摘果</t>
    <rPh sb="0" eb="2">
      <t>ジュフン</t>
    </rPh>
    <rPh sb="3" eb="5">
      <t>テッカ</t>
    </rPh>
    <phoneticPr fontId="2"/>
  </si>
  <si>
    <t>生育管理</t>
    <rPh sb="0" eb="2">
      <t>セイイク</t>
    </rPh>
    <rPh sb="2" eb="4">
      <t>カンリ</t>
    </rPh>
    <phoneticPr fontId="2"/>
  </si>
  <si>
    <t>収穫・調製</t>
    <rPh sb="0" eb="2">
      <t>シュウカク</t>
    </rPh>
    <rPh sb="3" eb="5">
      <t>チョウセイ</t>
    </rPh>
    <phoneticPr fontId="2"/>
  </si>
  <si>
    <t>包装・荷造り</t>
    <rPh sb="0" eb="2">
      <t>ホウソウ</t>
    </rPh>
    <rPh sb="3" eb="5">
      <t>ニヅク</t>
    </rPh>
    <phoneticPr fontId="2"/>
  </si>
  <si>
    <t>搬出・出荷・販売</t>
    <rPh sb="0" eb="2">
      <t>ハンシュツ</t>
    </rPh>
    <rPh sb="3" eb="5">
      <t>シュッカ</t>
    </rPh>
    <rPh sb="6" eb="8">
      <t>ハンバイ</t>
    </rPh>
    <phoneticPr fontId="2"/>
  </si>
  <si>
    <t>経営管理・間接労働</t>
    <rPh sb="0" eb="2">
      <t>ケイエイ</t>
    </rPh>
    <rPh sb="2" eb="4">
      <t>カンリ</t>
    </rPh>
    <rPh sb="5" eb="7">
      <t>カンセツ</t>
    </rPh>
    <rPh sb="7" eb="9">
      <t>ロウドウ</t>
    </rPh>
    <phoneticPr fontId="2"/>
  </si>
  <si>
    <t>部門作付面積</t>
    <rPh sb="0" eb="2">
      <t>ブモン</t>
    </rPh>
    <rPh sb="2" eb="4">
      <t>サクツケ</t>
    </rPh>
    <rPh sb="4" eb="6">
      <t>メンセキ</t>
    </rPh>
    <phoneticPr fontId="2"/>
  </si>
  <si>
    <t>指標部</t>
    <rPh sb="0" eb="2">
      <t>シヒョウ</t>
    </rPh>
    <rPh sb="2" eb="3">
      <t>ブ</t>
    </rPh>
    <phoneticPr fontId="2"/>
  </si>
  <si>
    <t>都道府県</t>
    <rPh sb="0" eb="4">
      <t>トドウフケン</t>
    </rPh>
    <phoneticPr fontId="2"/>
  </si>
  <si>
    <t>地方農政局等</t>
    <rPh sb="0" eb="2">
      <t>チホウ</t>
    </rPh>
    <rPh sb="2" eb="5">
      <t>ノウセイキョク</t>
    </rPh>
    <rPh sb="5" eb="6">
      <t>トウ</t>
    </rPh>
    <phoneticPr fontId="2"/>
  </si>
  <si>
    <t>センサス番号</t>
    <rPh sb="4" eb="6">
      <t>バンゴウ</t>
    </rPh>
    <phoneticPr fontId="2"/>
  </si>
  <si>
    <t>経営種類</t>
    <rPh sb="0" eb="2">
      <t>ケイエイ</t>
    </rPh>
    <rPh sb="2" eb="4">
      <t>シュルイ</t>
    </rPh>
    <phoneticPr fontId="2"/>
  </si>
  <si>
    <t>営農類型区分</t>
    <rPh sb="0" eb="2">
      <t>エイノウ</t>
    </rPh>
    <rPh sb="2" eb="4">
      <t>ルイケイ</t>
    </rPh>
    <rPh sb="4" eb="6">
      <t>クブン</t>
    </rPh>
    <phoneticPr fontId="2"/>
  </si>
  <si>
    <t>営農類型
規模区分</t>
    <rPh sb="0" eb="2">
      <t>エイノウ</t>
    </rPh>
    <rPh sb="2" eb="4">
      <t>ルイケイ</t>
    </rPh>
    <rPh sb="5" eb="7">
      <t>キボ</t>
    </rPh>
    <rPh sb="7" eb="9">
      <t>クブン</t>
    </rPh>
    <phoneticPr fontId="2"/>
  </si>
  <si>
    <t>指定部門区分</t>
    <rPh sb="0" eb="2">
      <t>シテイ</t>
    </rPh>
    <rPh sb="2" eb="4">
      <t>ブモン</t>
    </rPh>
    <rPh sb="4" eb="6">
      <t>クブン</t>
    </rPh>
    <phoneticPr fontId="2"/>
  </si>
  <si>
    <t>指定部門
規模区分</t>
    <rPh sb="0" eb="2">
      <t>シテイ</t>
    </rPh>
    <rPh sb="2" eb="4">
      <t>ブモン</t>
    </rPh>
    <rPh sb="5" eb="7">
      <t>キボ</t>
    </rPh>
    <rPh sb="7" eb="9">
      <t>クブン</t>
    </rPh>
    <phoneticPr fontId="2"/>
  </si>
  <si>
    <t>No.1</t>
    <phoneticPr fontId="2"/>
  </si>
  <si>
    <t>雇用者数</t>
    <rPh sb="0" eb="3">
      <t>コヨウシャ</t>
    </rPh>
    <rPh sb="3" eb="4">
      <t>スウ</t>
    </rPh>
    <phoneticPr fontId="2"/>
  </si>
  <si>
    <t>投下労働時間</t>
    <rPh sb="0" eb="2">
      <t>トウカ</t>
    </rPh>
    <rPh sb="2" eb="4">
      <t>ロウドウ</t>
    </rPh>
    <rPh sb="4" eb="6">
      <t>ジカン</t>
    </rPh>
    <phoneticPr fontId="2"/>
  </si>
  <si>
    <t>投下労働時間（雇用者）</t>
    <rPh sb="0" eb="2">
      <t>トウカ</t>
    </rPh>
    <rPh sb="2" eb="4">
      <t>ロウドウ</t>
    </rPh>
    <rPh sb="4" eb="6">
      <t>ジカン</t>
    </rPh>
    <rPh sb="7" eb="10">
      <t>コヨウシャ</t>
    </rPh>
    <phoneticPr fontId="2"/>
  </si>
  <si>
    <t>「都道府県」・・・個別結果表の≪000001≫に対応する名称を表示（別表７「都道府県、地方農政局等」参照）</t>
    <rPh sb="1" eb="5">
      <t>トドウフケン</t>
    </rPh>
    <rPh sb="9" eb="11">
      <t>コベツ</t>
    </rPh>
    <rPh sb="11" eb="14">
      <t>ケッカヒョウ</t>
    </rPh>
    <rPh sb="24" eb="26">
      <t>タイオウ</t>
    </rPh>
    <rPh sb="28" eb="30">
      <t>メイショウ</t>
    </rPh>
    <rPh sb="31" eb="33">
      <t>ヒョウジ</t>
    </rPh>
    <rPh sb="34" eb="36">
      <t>ベッピョウ</t>
    </rPh>
    <rPh sb="38" eb="42">
      <t>トドウフケン</t>
    </rPh>
    <rPh sb="43" eb="45">
      <t>チホウ</t>
    </rPh>
    <rPh sb="45" eb="48">
      <t>ノウセイキョク</t>
    </rPh>
    <rPh sb="48" eb="49">
      <t>トウ</t>
    </rPh>
    <rPh sb="50" eb="52">
      <t>サンショウ</t>
    </rPh>
    <phoneticPr fontId="2"/>
  </si>
  <si>
    <t>「地方農政局等」・・・「都道府県」に対応する名称を表示（別表７「都道府県、地方農政局等」参照）</t>
    <rPh sb="1" eb="3">
      <t>チホウ</t>
    </rPh>
    <rPh sb="3" eb="6">
      <t>ノウセイキョク</t>
    </rPh>
    <rPh sb="6" eb="7">
      <t>トウ</t>
    </rPh>
    <rPh sb="12" eb="16">
      <t>トドウフケン</t>
    </rPh>
    <rPh sb="18" eb="20">
      <t>タイオウ</t>
    </rPh>
    <rPh sb="22" eb="24">
      <t>メイショウ</t>
    </rPh>
    <rPh sb="25" eb="27">
      <t>ヒョウジ</t>
    </rPh>
    <phoneticPr fontId="2"/>
  </si>
  <si>
    <t>「営農類型区分」・・・個別結果表の≪000004≫に対応する名称を表示（別表８「営農類型区分」参照）</t>
    <rPh sb="1" eb="3">
      <t>エイノウ</t>
    </rPh>
    <rPh sb="3" eb="5">
      <t>ルイケイ</t>
    </rPh>
    <rPh sb="5" eb="7">
      <t>クブン</t>
    </rPh>
    <rPh sb="11" eb="13">
      <t>コベツ</t>
    </rPh>
    <rPh sb="13" eb="15">
      <t>ケッカ</t>
    </rPh>
    <rPh sb="15" eb="16">
      <t>オモテ</t>
    </rPh>
    <rPh sb="26" eb="28">
      <t>タイオウ</t>
    </rPh>
    <rPh sb="30" eb="32">
      <t>メイショウ</t>
    </rPh>
    <rPh sb="33" eb="35">
      <t>ヒョウジ</t>
    </rPh>
    <rPh sb="40" eb="42">
      <t>エイノウ</t>
    </rPh>
    <rPh sb="42" eb="44">
      <t>ルイケイ</t>
    </rPh>
    <rPh sb="44" eb="46">
      <t>クブン</t>
    </rPh>
    <phoneticPr fontId="2"/>
  </si>
  <si>
    <t>「営農類型規模区分」・・・個別結果表の≪000005≫に対応する名称を表示（別表10「営農類型規模区分、指定部門規模区分」参照）</t>
    <rPh sb="1" eb="3">
      <t>エイノウ</t>
    </rPh>
    <rPh sb="3" eb="5">
      <t>ルイケイ</t>
    </rPh>
    <rPh sb="5" eb="7">
      <t>キボ</t>
    </rPh>
    <rPh sb="7" eb="9">
      <t>クブン</t>
    </rPh>
    <rPh sb="13" eb="15">
      <t>コベツ</t>
    </rPh>
    <rPh sb="15" eb="17">
      <t>ケッカ</t>
    </rPh>
    <rPh sb="17" eb="18">
      <t>オモテ</t>
    </rPh>
    <rPh sb="28" eb="30">
      <t>タイオウ</t>
    </rPh>
    <rPh sb="32" eb="34">
      <t>メイショウ</t>
    </rPh>
    <rPh sb="35" eb="37">
      <t>ヒョウジ</t>
    </rPh>
    <phoneticPr fontId="2"/>
  </si>
  <si>
    <t>「指定部門規模区分」・・・個別結果表の≪000007≫に対応する名称を表示（別表10「営農類型規模区分、指定部門規模区分」参照）</t>
    <rPh sb="1" eb="3">
      <t>シテイ</t>
    </rPh>
    <rPh sb="3" eb="5">
      <t>ブモン</t>
    </rPh>
    <rPh sb="5" eb="7">
      <t>キボ</t>
    </rPh>
    <rPh sb="7" eb="9">
      <t>クブン</t>
    </rPh>
    <rPh sb="13" eb="15">
      <t>コベツ</t>
    </rPh>
    <rPh sb="15" eb="17">
      <t>ケッカ</t>
    </rPh>
    <rPh sb="17" eb="18">
      <t>オモテ</t>
    </rPh>
    <rPh sb="28" eb="30">
      <t>タイオウ</t>
    </rPh>
    <rPh sb="32" eb="34">
      <t>メイショウ</t>
    </rPh>
    <rPh sb="35" eb="37">
      <t>ヒョウジ</t>
    </rPh>
    <phoneticPr fontId="2"/>
  </si>
  <si>
    <t>「指定部門区分」・・・個別結果表の≪000006≫に対応する名称を表示（別表９「指定部門区分」参照）</t>
    <rPh sb="1" eb="3">
      <t>シテイ</t>
    </rPh>
    <rPh sb="3" eb="5">
      <t>ブモン</t>
    </rPh>
    <rPh sb="5" eb="7">
      <t>クブン</t>
    </rPh>
    <rPh sb="11" eb="13">
      <t>コベツ</t>
    </rPh>
    <rPh sb="13" eb="15">
      <t>ケッカ</t>
    </rPh>
    <rPh sb="15" eb="16">
      <t>オモテ</t>
    </rPh>
    <rPh sb="26" eb="28">
      <t>タイオウ</t>
    </rPh>
    <rPh sb="30" eb="32">
      <t>メイショウ</t>
    </rPh>
    <rPh sb="33" eb="35">
      <t>ヒョウジ</t>
    </rPh>
    <phoneticPr fontId="2"/>
  </si>
  <si>
    <t>「センサス番号」・・・個別結果表の≪000002≫を表示</t>
    <rPh sb="5" eb="7">
      <t>バンゴウ</t>
    </rPh>
    <rPh sb="26" eb="28">
      <t>ヒョウジ</t>
    </rPh>
    <phoneticPr fontId="2"/>
  </si>
  <si>
    <t>「経営種類」・・・『個人経営体』と表示</t>
    <rPh sb="1" eb="3">
      <t>ケイエイ</t>
    </rPh>
    <rPh sb="3" eb="5">
      <t>シュルイ</t>
    </rPh>
    <rPh sb="17" eb="19">
      <t>ヒョウジ</t>
    </rPh>
    <phoneticPr fontId="2"/>
  </si>
  <si>
    <t>〃</t>
    <phoneticPr fontId="2"/>
  </si>
  <si>
    <t>No.3</t>
    <phoneticPr fontId="2"/>
  </si>
  <si>
    <t>区　　分</t>
    <rPh sb="0" eb="1">
      <t>ク</t>
    </rPh>
    <rPh sb="3" eb="4">
      <t>ブン</t>
    </rPh>
    <phoneticPr fontId="2"/>
  </si>
  <si>
    <t>当該品目収入</t>
    <rPh sb="0" eb="2">
      <t>トウガイ</t>
    </rPh>
    <rPh sb="2" eb="4">
      <t>ヒンモク</t>
    </rPh>
    <rPh sb="4" eb="6">
      <t>シュウニュウ</t>
    </rPh>
    <phoneticPr fontId="2"/>
  </si>
  <si>
    <t>制度受取金</t>
    <rPh sb="0" eb="2">
      <t>セイド</t>
    </rPh>
    <rPh sb="2" eb="5">
      <t>ウケトリキン</t>
    </rPh>
    <phoneticPr fontId="2"/>
  </si>
  <si>
    <t>雇人費</t>
    <rPh sb="0" eb="1">
      <t>コ</t>
    </rPh>
    <rPh sb="1" eb="2">
      <t>ニン</t>
    </rPh>
    <rPh sb="2" eb="3">
      <t>ヒ</t>
    </rPh>
    <phoneticPr fontId="2"/>
  </si>
  <si>
    <t>種苗費</t>
    <rPh sb="0" eb="2">
      <t>シュビョウ</t>
    </rPh>
    <rPh sb="2" eb="3">
      <t>ヒ</t>
    </rPh>
    <phoneticPr fontId="2"/>
  </si>
  <si>
    <t>肥料費</t>
    <rPh sb="0" eb="2">
      <t>ヒリョウ</t>
    </rPh>
    <rPh sb="2" eb="3">
      <t>ヒ</t>
    </rPh>
    <phoneticPr fontId="2"/>
  </si>
  <si>
    <t>農薬衛生費</t>
    <rPh sb="0" eb="2">
      <t>ノウヤク</t>
    </rPh>
    <rPh sb="2" eb="5">
      <t>エイセイヒ</t>
    </rPh>
    <phoneticPr fontId="2"/>
  </si>
  <si>
    <t>動力光熱費</t>
    <rPh sb="0" eb="2">
      <t>ドウリョク</t>
    </rPh>
    <rPh sb="2" eb="4">
      <t>コウネツ</t>
    </rPh>
    <rPh sb="4" eb="5">
      <t>ヒ</t>
    </rPh>
    <phoneticPr fontId="2"/>
  </si>
  <si>
    <t>荷造運賃手数料</t>
    <rPh sb="0" eb="2">
      <t>ニヅク</t>
    </rPh>
    <rPh sb="2" eb="4">
      <t>ウンチン</t>
    </rPh>
    <rPh sb="4" eb="7">
      <t>テスウリョウ</t>
    </rPh>
    <phoneticPr fontId="2"/>
  </si>
  <si>
    <t>減価償却費</t>
    <rPh sb="0" eb="2">
      <t>ゲンカ</t>
    </rPh>
    <rPh sb="2" eb="4">
      <t>ショウキャク</t>
    </rPh>
    <rPh sb="4" eb="5">
      <t>ヒ</t>
    </rPh>
    <phoneticPr fontId="2"/>
  </si>
  <si>
    <t>制度積立金</t>
    <rPh sb="0" eb="2">
      <t>セイド</t>
    </rPh>
    <rPh sb="2" eb="3">
      <t>ツ</t>
    </rPh>
    <rPh sb="3" eb="4">
      <t>タ</t>
    </rPh>
    <rPh sb="4" eb="5">
      <t>キン</t>
    </rPh>
    <phoneticPr fontId="2"/>
  </si>
  <si>
    <t>区　　分</t>
    <phoneticPr fontId="2"/>
  </si>
  <si>
    <t>作物収入</t>
    <rPh sb="0" eb="2">
      <t>サクモツ</t>
    </rPh>
    <rPh sb="2" eb="4">
      <t>シュウニュウ</t>
    </rPh>
    <phoneticPr fontId="2"/>
  </si>
  <si>
    <t>畜産収入</t>
    <rPh sb="0" eb="2">
      <t>チクサン</t>
    </rPh>
    <rPh sb="2" eb="4">
      <t>シュウニュウ</t>
    </rPh>
    <phoneticPr fontId="2"/>
  </si>
  <si>
    <t>は種・定植・整枝・せん定</t>
    <rPh sb="1" eb="2">
      <t>シュ</t>
    </rPh>
    <rPh sb="3" eb="5">
      <t>テイショク</t>
    </rPh>
    <phoneticPr fontId="2"/>
  </si>
  <si>
    <t>種子予措・育苗</t>
    <rPh sb="0" eb="2">
      <t>シュシ</t>
    </rPh>
    <rPh sb="2" eb="4">
      <t>ヨソ</t>
    </rPh>
    <rPh sb="5" eb="7">
      <t>イクビョウ</t>
    </rPh>
    <phoneticPr fontId="2"/>
  </si>
  <si>
    <t>a</t>
    <phoneticPr fontId="2"/>
  </si>
  <si>
    <t>農具費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</si>
</sst>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0&quot;年[前年]&quot;"/>
    <numFmt numFmtId="177" formatCode="#\ ###\ ##0.0;\-#\ ###\ ##0.0;"/>
    <numFmt numFmtId="178" formatCode="###\ ###\ ##0.0"/>
    <numFmt numFmtId="179" formatCode="#0&quot;年[本年]&quot;"/>
    <numFmt numFmtId="180" formatCode="00"/>
    <numFmt numFmtId="181" formatCode="#,##0.0_ "/>
    <numFmt numFmtId="182" formatCode="#,##0.0"/>
    <numFmt numFmtId="183" formatCode="0.0"/>
  </numFmts>
  <fonts count="16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明朝"/>
      <family val="1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/>
      <top style="double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double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6">
    <xf numFmtId="0" fontId="0" fillId="0" borderId="0"/>
    <xf numFmtId="0" fontId="10" fillId="0" borderId="0">
      <alignment vertical="center"/>
    </xf>
    <xf numFmtId="0" fontId="12" fillId="0" borderId="0"/>
    <xf numFmtId="0" fontId="12" fillId="0" borderId="0"/>
    <xf numFmtId="0" fontId="10" fillId="0" borderId="0">
      <alignment vertical="center"/>
    </xf>
    <xf numFmtId="0" fontId="11" fillId="0" borderId="0"/>
  </cellStyleXfs>
  <cellXfs count="304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176" fontId="3" fillId="2" borderId="4" xfId="0" applyNumberFormat="1" applyFont="1" applyFill="1" applyBorder="1" applyAlignment="1">
      <alignment horizontal="center" vertical="center" wrapText="1" shrinkToFit="1"/>
    </xf>
    <xf numFmtId="176" fontId="3" fillId="2" borderId="6" xfId="0" applyNumberFormat="1" applyFont="1" applyFill="1" applyBorder="1" applyAlignment="1">
      <alignment horizontal="center" vertical="center" wrapText="1" shrinkToFit="1"/>
    </xf>
    <xf numFmtId="176" fontId="3" fillId="2" borderId="5" xfId="0" applyNumberFormat="1" applyFont="1" applyFill="1" applyBorder="1" applyAlignment="1">
      <alignment horizontal="center" vertical="center" wrapText="1" shrinkToFit="1"/>
    </xf>
    <xf numFmtId="0" fontId="3" fillId="2" borderId="8" xfId="0" applyFont="1" applyFill="1" applyBorder="1" applyAlignment="1">
      <alignment horizontal="center" shrinkToFit="1"/>
    </xf>
    <xf numFmtId="176" fontId="6" fillId="2" borderId="12" xfId="0" applyNumberFormat="1" applyFont="1" applyFill="1" applyBorder="1" applyAlignment="1">
      <alignment horizontal="right"/>
    </xf>
    <xf numFmtId="176" fontId="6" fillId="2" borderId="14" xfId="0" applyNumberFormat="1" applyFont="1" applyFill="1" applyBorder="1" applyAlignment="1">
      <alignment horizontal="right"/>
    </xf>
    <xf numFmtId="176" fontId="6" fillId="2" borderId="13" xfId="0" applyNumberFormat="1" applyFont="1" applyFill="1" applyBorder="1" applyAlignment="1">
      <alignment horizontal="right"/>
    </xf>
    <xf numFmtId="0" fontId="8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distributed" vertical="center" justifyLastLine="1"/>
    </xf>
    <xf numFmtId="0" fontId="3" fillId="2" borderId="3" xfId="0" applyFont="1" applyFill="1" applyBorder="1" applyAlignment="1">
      <alignment horizontal="center" shrinkToFit="1"/>
    </xf>
    <xf numFmtId="0" fontId="3" fillId="2" borderId="17" xfId="0" applyFont="1" applyFill="1" applyBorder="1" applyAlignment="1">
      <alignment horizontal="center" shrinkToFit="1"/>
    </xf>
    <xf numFmtId="0" fontId="8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distributed" vertical="center" justifyLastLine="1"/>
    </xf>
    <xf numFmtId="0" fontId="3" fillId="2" borderId="20" xfId="0" applyFont="1" applyFill="1" applyBorder="1" applyAlignment="1">
      <alignment horizontal="distributed" vertical="center" justifyLastLine="1"/>
    </xf>
    <xf numFmtId="0" fontId="3" fillId="2" borderId="21" xfId="0" applyFont="1" applyFill="1" applyBorder="1" applyAlignment="1">
      <alignment horizontal="center" shrinkToFit="1"/>
    </xf>
    <xf numFmtId="0" fontId="8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distributed" vertical="center" justifyLastLine="1"/>
    </xf>
    <xf numFmtId="0" fontId="3" fillId="2" borderId="17" xfId="0" applyFont="1" applyFill="1" applyBorder="1" applyAlignment="1">
      <alignment horizontal="distributed" vertical="center" justifyLastLine="1"/>
    </xf>
    <xf numFmtId="0" fontId="3" fillId="2" borderId="26" xfId="0" applyFont="1" applyFill="1" applyBorder="1" applyAlignment="1">
      <alignment horizontal="center" shrinkToFit="1"/>
    </xf>
    <xf numFmtId="0" fontId="3" fillId="2" borderId="24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30" xfId="0" applyFont="1" applyFill="1" applyBorder="1" applyAlignment="1">
      <alignment horizontal="distributed" vertical="center" justifyLastLine="1"/>
    </xf>
    <xf numFmtId="0" fontId="3" fillId="2" borderId="31" xfId="0" applyFont="1" applyFill="1" applyBorder="1" applyAlignment="1">
      <alignment horizontal="distributed" vertical="center" justifyLastLine="1"/>
    </xf>
    <xf numFmtId="0" fontId="3" fillId="2" borderId="32" xfId="0" applyFont="1" applyFill="1" applyBorder="1" applyAlignment="1">
      <alignment horizontal="center" shrinkToFit="1"/>
    </xf>
    <xf numFmtId="0" fontId="3" fillId="2" borderId="36" xfId="0" applyFont="1" applyFill="1" applyBorder="1" applyAlignment="1">
      <alignment vertical="center"/>
    </xf>
    <xf numFmtId="0" fontId="3" fillId="2" borderId="42" xfId="0" applyFont="1" applyFill="1" applyBorder="1" applyAlignment="1">
      <alignment horizontal="center" shrinkToFit="1"/>
    </xf>
    <xf numFmtId="0" fontId="3" fillId="2" borderId="43" xfId="0" applyFont="1" applyFill="1" applyBorder="1" applyAlignment="1">
      <alignment vertical="center"/>
    </xf>
    <xf numFmtId="0" fontId="3" fillId="2" borderId="44" xfId="0" applyFont="1" applyFill="1" applyBorder="1" applyAlignment="1">
      <alignment vertical="center"/>
    </xf>
    <xf numFmtId="0" fontId="3" fillId="2" borderId="45" xfId="0" applyFont="1" applyFill="1" applyBorder="1" applyAlignment="1">
      <alignment horizontal="distributed" vertical="center" justifyLastLine="1"/>
    </xf>
    <xf numFmtId="0" fontId="8" fillId="2" borderId="51" xfId="0" applyFont="1" applyFill="1" applyBorder="1" applyAlignment="1">
      <alignment vertical="center"/>
    </xf>
    <xf numFmtId="0" fontId="3" fillId="2" borderId="52" xfId="0" applyFont="1" applyFill="1" applyBorder="1" applyAlignment="1">
      <alignment horizontal="distributed" vertical="center" justifyLastLine="1"/>
    </xf>
    <xf numFmtId="0" fontId="3" fillId="2" borderId="2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3" fillId="2" borderId="52" xfId="0" applyFont="1" applyFill="1" applyBorder="1" applyAlignment="1">
      <alignment vertical="center"/>
    </xf>
    <xf numFmtId="0" fontId="3" fillId="2" borderId="31" xfId="0" applyFont="1" applyFill="1" applyBorder="1" applyAlignment="1">
      <alignment horizontal="center" shrinkToFit="1"/>
    </xf>
    <xf numFmtId="0" fontId="3" fillId="2" borderId="56" xfId="0" applyFont="1" applyFill="1" applyBorder="1" applyAlignment="1">
      <alignment vertical="center"/>
    </xf>
    <xf numFmtId="0" fontId="3" fillId="2" borderId="57" xfId="0" applyFont="1" applyFill="1" applyBorder="1" applyAlignment="1">
      <alignment horizontal="distributed" vertical="center" justifyLastLine="1"/>
    </xf>
    <xf numFmtId="0" fontId="3" fillId="2" borderId="8" xfId="0" applyFont="1" applyFill="1" applyBorder="1" applyAlignment="1">
      <alignment horizontal="distributed" vertical="center" justifyLastLine="1"/>
    </xf>
    <xf numFmtId="0" fontId="8" fillId="2" borderId="67" xfId="0" applyFont="1" applyFill="1" applyBorder="1" applyAlignment="1">
      <alignment horizontal="left" vertical="center"/>
    </xf>
    <xf numFmtId="0" fontId="3" fillId="2" borderId="68" xfId="0" applyFont="1" applyFill="1" applyBorder="1" applyAlignment="1"/>
    <xf numFmtId="0" fontId="3" fillId="2" borderId="68" xfId="0" applyFont="1" applyFill="1" applyBorder="1" applyAlignment="1">
      <alignment horizontal="center" textRotation="255"/>
    </xf>
    <xf numFmtId="0" fontId="3" fillId="2" borderId="68" xfId="0" applyFont="1" applyFill="1" applyBorder="1" applyAlignment="1">
      <alignment horizontal="left"/>
    </xf>
    <xf numFmtId="0" fontId="3" fillId="2" borderId="69" xfId="0" applyFont="1" applyFill="1" applyBorder="1" applyAlignment="1">
      <alignment horizontal="center" shrinkToFit="1"/>
    </xf>
    <xf numFmtId="0" fontId="3" fillId="2" borderId="63" xfId="0" applyFont="1" applyFill="1" applyBorder="1" applyAlignment="1">
      <alignment horizontal="left" vertical="center"/>
    </xf>
    <xf numFmtId="0" fontId="3" fillId="2" borderId="64" xfId="0" applyFont="1" applyFill="1" applyBorder="1" applyAlignment="1"/>
    <xf numFmtId="0" fontId="3" fillId="2" borderId="64" xfId="0" applyFont="1" applyFill="1" applyBorder="1" applyAlignment="1">
      <alignment horizontal="left" vertical="center"/>
    </xf>
    <xf numFmtId="0" fontId="3" fillId="2" borderId="64" xfId="0" applyFont="1" applyFill="1" applyBorder="1" applyAlignment="1">
      <alignment horizontal="left"/>
    </xf>
    <xf numFmtId="0" fontId="3" fillId="2" borderId="66" xfId="0" applyFont="1" applyFill="1" applyBorder="1" applyAlignment="1">
      <alignment horizontal="center" shrinkToFi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 shrinkToFit="1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/>
    <xf numFmtId="0" fontId="3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shrinkToFit="1"/>
    </xf>
    <xf numFmtId="176" fontId="6" fillId="2" borderId="16" xfId="0" applyNumberFormat="1" applyFont="1" applyFill="1" applyBorder="1" applyAlignment="1">
      <alignment horizontal="center" vertical="center" wrapText="1" shrinkToFit="1"/>
    </xf>
    <xf numFmtId="0" fontId="3" fillId="2" borderId="0" xfId="0" applyFont="1" applyFill="1" applyBorder="1" applyAlignment="1">
      <alignment vertical="center" wrapText="1"/>
    </xf>
    <xf numFmtId="0" fontId="3" fillId="2" borderId="52" xfId="0" applyFont="1" applyFill="1" applyBorder="1" applyAlignment="1"/>
    <xf numFmtId="0" fontId="3" fillId="2" borderId="52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25" xfId="0" applyFont="1" applyFill="1" applyBorder="1" applyAlignment="1"/>
    <xf numFmtId="0" fontId="3" fillId="2" borderId="25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 vertical="center" textRotation="255"/>
    </xf>
    <xf numFmtId="0" fontId="3" fillId="2" borderId="44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left"/>
    </xf>
    <xf numFmtId="0" fontId="3" fillId="2" borderId="45" xfId="0" applyFont="1" applyFill="1" applyBorder="1" applyAlignment="1">
      <alignment horizontal="center" shrinkToFit="1"/>
    </xf>
    <xf numFmtId="0" fontId="3" fillId="2" borderId="0" xfId="0" applyFont="1" applyFill="1" applyAlignment="1">
      <alignment shrinkToFit="1"/>
    </xf>
    <xf numFmtId="0" fontId="3" fillId="2" borderId="59" xfId="0" applyFont="1" applyFill="1" applyBorder="1" applyAlignment="1">
      <alignment horizontal="center" vertical="center"/>
    </xf>
    <xf numFmtId="177" fontId="9" fillId="2" borderId="0" xfId="0" applyNumberFormat="1" applyFont="1" applyFill="1" applyBorder="1" applyAlignment="1">
      <alignment horizontal="right" vertical="center" shrinkToFit="1"/>
    </xf>
    <xf numFmtId="177" fontId="9" fillId="2" borderId="10" xfId="0" applyNumberFormat="1" applyFont="1" applyFill="1" applyBorder="1" applyAlignment="1">
      <alignment horizontal="right" vertical="center" shrinkToFit="1"/>
    </xf>
    <xf numFmtId="177" fontId="1" fillId="2" borderId="10" xfId="0" applyNumberFormat="1" applyFont="1" applyFill="1" applyBorder="1" applyAlignment="1">
      <alignment horizontal="right" vertical="center" shrinkToFit="1"/>
    </xf>
    <xf numFmtId="0" fontId="1" fillId="2" borderId="0" xfId="0" applyFont="1" applyFill="1" applyBorder="1" applyAlignment="1">
      <alignment horizontal="right" vertical="center"/>
    </xf>
    <xf numFmtId="177" fontId="9" fillId="2" borderId="24" xfId="0" applyNumberFormat="1" applyFont="1" applyFill="1" applyBorder="1" applyAlignment="1">
      <alignment horizontal="right" vertical="center" shrinkToFit="1"/>
    </xf>
    <xf numFmtId="0" fontId="4" fillId="2" borderId="0" xfId="0" applyFont="1" applyFill="1"/>
    <xf numFmtId="0" fontId="8" fillId="2" borderId="52" xfId="0" applyFont="1" applyFill="1" applyBorder="1" applyAlignment="1">
      <alignment vertical="center"/>
    </xf>
    <xf numFmtId="0" fontId="3" fillId="2" borderId="76" xfId="0" applyFont="1" applyFill="1" applyBorder="1" applyAlignment="1">
      <alignment horizontal="center" shrinkToFit="1"/>
    </xf>
    <xf numFmtId="0" fontId="8" fillId="2" borderId="25" xfId="0" applyFont="1" applyFill="1" applyBorder="1" applyAlignment="1">
      <alignment vertical="center"/>
    </xf>
    <xf numFmtId="0" fontId="3" fillId="2" borderId="80" xfId="0" applyFont="1" applyFill="1" applyBorder="1" applyAlignment="1">
      <alignment horizontal="center" shrinkToFit="1"/>
    </xf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9" xfId="0" applyFont="1" applyFill="1" applyBorder="1"/>
    <xf numFmtId="0" fontId="3" fillId="2" borderId="30" xfId="0" applyFont="1" applyFill="1" applyBorder="1"/>
    <xf numFmtId="0" fontId="3" fillId="2" borderId="30" xfId="0" applyFont="1" applyFill="1" applyBorder="1" applyAlignment="1"/>
    <xf numFmtId="0" fontId="3" fillId="2" borderId="30" xfId="0" applyFont="1" applyFill="1" applyBorder="1" applyAlignment="1">
      <alignment horizontal="left"/>
    </xf>
    <xf numFmtId="0" fontId="3" fillId="2" borderId="83" xfId="0" applyFont="1" applyFill="1" applyBorder="1" applyAlignment="1">
      <alignment horizontal="center" shrinkToFit="1"/>
    </xf>
    <xf numFmtId="0" fontId="3" fillId="2" borderId="43" xfId="0" applyFont="1" applyFill="1" applyBorder="1"/>
    <xf numFmtId="0" fontId="3" fillId="2" borderId="44" xfId="0" applyFont="1" applyFill="1" applyBorder="1"/>
    <xf numFmtId="0" fontId="3" fillId="2" borderId="44" xfId="0" applyFont="1" applyFill="1" applyBorder="1" applyAlignment="1"/>
    <xf numFmtId="0" fontId="3" fillId="2" borderId="84" xfId="0" applyFont="1" applyFill="1" applyBorder="1" applyAlignment="1">
      <alignment horizontal="center" shrinkToFit="1"/>
    </xf>
    <xf numFmtId="0" fontId="7" fillId="2" borderId="0" xfId="0" applyFont="1" applyFill="1"/>
    <xf numFmtId="0" fontId="3" fillId="2" borderId="59" xfId="0" applyFont="1" applyFill="1" applyBorder="1"/>
    <xf numFmtId="0" fontId="3" fillId="2" borderId="56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distributed" vertical="center" justifyLastLine="1"/>
    </xf>
    <xf numFmtId="0" fontId="3" fillId="2" borderId="59" xfId="0" applyFont="1" applyFill="1" applyBorder="1" applyAlignment="1">
      <alignment horizontal="center" vertical="center" wrapText="1" justifyLastLine="1"/>
    </xf>
    <xf numFmtId="0" fontId="3" fillId="2" borderId="59" xfId="0" applyFont="1" applyFill="1" applyBorder="1" applyAlignment="1">
      <alignment horizontal="center" vertical="center" justifyLastLine="1"/>
    </xf>
    <xf numFmtId="179" fontId="3" fillId="2" borderId="36" xfId="0" applyNumberFormat="1" applyFont="1" applyFill="1" applyBorder="1" applyAlignment="1">
      <alignment horizontal="center" vertical="center"/>
    </xf>
    <xf numFmtId="180" fontId="3" fillId="2" borderId="36" xfId="0" applyNumberFormat="1" applyFont="1" applyFill="1" applyBorder="1" applyAlignment="1">
      <alignment horizontal="center" vertical="center" shrinkToFit="1"/>
    </xf>
    <xf numFmtId="180" fontId="3" fillId="2" borderId="59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distributed" vertical="center" justifyLastLine="1"/>
    </xf>
    <xf numFmtId="0" fontId="3" fillId="2" borderId="20" xfId="0" applyFont="1" applyFill="1" applyBorder="1" applyAlignment="1">
      <alignment horizontal="center" shrinkToFit="1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13" fillId="2" borderId="25" xfId="0" applyFont="1" applyFill="1" applyBorder="1" applyAlignment="1">
      <alignment vertical="center"/>
    </xf>
    <xf numFmtId="0" fontId="13" fillId="2" borderId="25" xfId="0" applyFont="1" applyFill="1" applyBorder="1" applyAlignment="1">
      <alignment horizontal="distributed" vertical="center" justifyLastLine="1"/>
    </xf>
    <xf numFmtId="0" fontId="14" fillId="3" borderId="24" xfId="0" applyFont="1" applyFill="1" applyBorder="1" applyAlignment="1">
      <alignment vertical="center"/>
    </xf>
    <xf numFmtId="0" fontId="14" fillId="3" borderId="25" xfId="0" applyFont="1" applyFill="1" applyBorder="1" applyAlignment="1">
      <alignment vertical="center"/>
    </xf>
    <xf numFmtId="0" fontId="15" fillId="3" borderId="25" xfId="0" applyFont="1" applyFill="1" applyBorder="1" applyAlignment="1">
      <alignment vertical="center"/>
    </xf>
    <xf numFmtId="0" fontId="13" fillId="3" borderId="25" xfId="0" applyFont="1" applyFill="1" applyBorder="1" applyAlignment="1">
      <alignment vertical="center"/>
    </xf>
    <xf numFmtId="0" fontId="13" fillId="3" borderId="25" xfId="0" applyFont="1" applyFill="1" applyBorder="1" applyAlignment="1">
      <alignment horizontal="distributed" vertical="center" justifyLastLine="1"/>
    </xf>
    <xf numFmtId="0" fontId="14" fillId="3" borderId="25" xfId="0" applyFont="1" applyFill="1" applyBorder="1" applyAlignment="1">
      <alignment horizontal="distributed" vertical="center" justifyLastLine="1"/>
    </xf>
    <xf numFmtId="0" fontId="13" fillId="2" borderId="80" xfId="0" applyFont="1" applyFill="1" applyBorder="1" applyAlignment="1">
      <alignment horizontal="center" shrinkToFit="1"/>
    </xf>
    <xf numFmtId="0" fontId="8" fillId="2" borderId="19" xfId="0" applyFont="1" applyFill="1" applyBorder="1" applyAlignment="1">
      <alignment vertical="center"/>
    </xf>
    <xf numFmtId="0" fontId="3" fillId="2" borderId="19" xfId="0" applyFont="1" applyFill="1" applyBorder="1" applyAlignment="1"/>
    <xf numFmtId="0" fontId="3" fillId="2" borderId="19" xfId="0" applyFont="1" applyFill="1" applyBorder="1" applyAlignment="1">
      <alignment horizontal="left"/>
    </xf>
    <xf numFmtId="0" fontId="3" fillId="2" borderId="92" xfId="0" applyFont="1" applyFill="1" applyBorder="1" applyAlignment="1">
      <alignment horizont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179" fontId="3" fillId="2" borderId="4" xfId="0" applyNumberFormat="1" applyFont="1" applyFill="1" applyBorder="1" applyAlignment="1">
      <alignment horizontal="center" vertical="center" wrapText="1" shrinkToFit="1"/>
    </xf>
    <xf numFmtId="0" fontId="9" fillId="2" borderId="5" xfId="0" applyFont="1" applyFill="1" applyBorder="1" applyAlignment="1">
      <alignment horizontal="center" vertical="center" shrinkToFit="1"/>
    </xf>
    <xf numFmtId="176" fontId="3" fillId="2" borderId="4" xfId="0" applyNumberFormat="1" applyFont="1" applyFill="1" applyBorder="1" applyAlignment="1">
      <alignment horizontal="right" vertical="center" shrinkToFit="1"/>
    </xf>
    <xf numFmtId="181" fontId="3" fillId="2" borderId="5" xfId="0" applyNumberFormat="1" applyFont="1" applyFill="1" applyBorder="1" applyAlignment="1">
      <alignment horizontal="right" vertical="center" shrinkToFit="1"/>
    </xf>
    <xf numFmtId="176" fontId="3" fillId="2" borderId="3" xfId="0" applyNumberFormat="1" applyFont="1" applyFill="1" applyBorder="1" applyAlignment="1">
      <alignment horizontal="right" vertical="center" shrinkToFit="1"/>
    </xf>
    <xf numFmtId="176" fontId="3" fillId="2" borderId="2" xfId="0" applyNumberFormat="1" applyFont="1" applyFill="1" applyBorder="1" applyAlignment="1">
      <alignment horizontal="right" vertical="center" shrinkToFit="1"/>
    </xf>
    <xf numFmtId="176" fontId="3" fillId="2" borderId="5" xfId="0" applyNumberFormat="1" applyFont="1" applyFill="1" applyBorder="1" applyAlignment="1">
      <alignment horizontal="right" vertical="center" shrinkToFit="1"/>
    </xf>
    <xf numFmtId="179" fontId="3" fillId="2" borderId="86" xfId="0" applyNumberFormat="1" applyFont="1" applyFill="1" applyBorder="1" applyAlignment="1">
      <alignment horizontal="center" vertical="center"/>
    </xf>
    <xf numFmtId="180" fontId="3" fillId="2" borderId="90" xfId="0" applyNumberFormat="1" applyFont="1" applyFill="1" applyBorder="1" applyAlignment="1">
      <alignment horizontal="center" vertical="center"/>
    </xf>
    <xf numFmtId="180" fontId="3" fillId="2" borderId="59" xfId="0" applyNumberFormat="1" applyFont="1" applyFill="1" applyBorder="1" applyAlignment="1">
      <alignment horizontal="center" vertical="center"/>
    </xf>
    <xf numFmtId="176" fontId="3" fillId="2" borderId="59" xfId="0" applyNumberFormat="1" applyFont="1" applyFill="1" applyBorder="1" applyAlignment="1">
      <alignment horizontal="center" vertical="center"/>
    </xf>
    <xf numFmtId="176" fontId="6" fillId="2" borderId="14" xfId="0" applyNumberFormat="1" applyFont="1" applyFill="1" applyBorder="1" applyAlignment="1">
      <alignment horizontal="center"/>
    </xf>
    <xf numFmtId="176" fontId="6" fillId="2" borderId="71" xfId="0" applyNumberFormat="1" applyFont="1" applyFill="1" applyBorder="1" applyAlignment="1">
      <alignment horizontal="center"/>
    </xf>
    <xf numFmtId="49" fontId="3" fillId="2" borderId="36" xfId="0" applyNumberFormat="1" applyFont="1" applyFill="1" applyBorder="1" applyAlignment="1">
      <alignment horizontal="center" vertical="center" shrinkToFit="1"/>
    </xf>
    <xf numFmtId="177" fontId="9" fillId="2" borderId="18" xfId="0" applyNumberFormat="1" applyFont="1" applyFill="1" applyBorder="1" applyAlignment="1">
      <alignment horizontal="right" vertical="center" shrinkToFit="1"/>
    </xf>
    <xf numFmtId="177" fontId="9" fillId="2" borderId="23" xfId="0" applyNumberFormat="1" applyFont="1" applyFill="1" applyBorder="1" applyAlignment="1">
      <alignment horizontal="right" vertical="center" shrinkToFit="1"/>
    </xf>
    <xf numFmtId="178" fontId="9" fillId="2" borderId="22" xfId="0" applyNumberFormat="1" applyFont="1" applyFill="1" applyBorder="1" applyAlignment="1">
      <alignment horizontal="right" vertical="center" shrinkToFit="1"/>
    </xf>
    <xf numFmtId="178" fontId="9" fillId="2" borderId="92" xfId="0" applyNumberFormat="1" applyFont="1" applyFill="1" applyBorder="1" applyAlignment="1">
      <alignment horizontal="right" vertical="center" shrinkToFit="1"/>
    </xf>
    <xf numFmtId="177" fontId="9" fillId="2" borderId="28" xfId="0" applyNumberFormat="1" applyFont="1" applyFill="1" applyBorder="1" applyAlignment="1">
      <alignment horizontal="right" vertical="center" shrinkToFit="1"/>
    </xf>
    <xf numFmtId="178" fontId="9" fillId="2" borderId="53" xfId="0" applyNumberFormat="1" applyFont="1" applyFill="1" applyBorder="1" applyAlignment="1">
      <alignment horizontal="right" vertical="center" shrinkToFit="1"/>
    </xf>
    <xf numFmtId="178" fontId="9" fillId="2" borderId="76" xfId="0" applyNumberFormat="1" applyFont="1" applyFill="1" applyBorder="1" applyAlignment="1">
      <alignment horizontal="right" vertical="center" shrinkToFit="1"/>
    </xf>
    <xf numFmtId="179" fontId="3" fillId="2" borderId="52" xfId="0" applyNumberFormat="1" applyFont="1" applyFill="1" applyBorder="1" applyAlignment="1">
      <alignment horizontal="right" vertical="center" shrinkToFit="1"/>
    </xf>
    <xf numFmtId="176" fontId="3" fillId="2" borderId="54" xfId="0" applyNumberFormat="1" applyFont="1" applyFill="1" applyBorder="1" applyAlignment="1">
      <alignment horizontal="right" vertical="center" shrinkToFit="1"/>
    </xf>
    <xf numFmtId="0" fontId="3" fillId="2" borderId="52" xfId="0" applyFont="1" applyFill="1" applyBorder="1" applyAlignment="1">
      <alignment horizontal="right" vertical="center" shrinkToFit="1"/>
    </xf>
    <xf numFmtId="0" fontId="3" fillId="2" borderId="76" xfId="0" applyFont="1" applyFill="1" applyBorder="1" applyAlignment="1">
      <alignment horizontal="right" vertical="center" shrinkToFit="1"/>
    </xf>
    <xf numFmtId="3" fontId="3" fillId="2" borderId="91" xfId="0" applyNumberFormat="1" applyFont="1" applyFill="1" applyBorder="1" applyAlignment="1">
      <alignment horizontal="right" vertical="center" shrinkToFit="1"/>
    </xf>
    <xf numFmtId="3" fontId="3" fillId="2" borderId="28" xfId="0" applyNumberFormat="1" applyFont="1" applyFill="1" applyBorder="1" applyAlignment="1">
      <alignment horizontal="right" vertical="center" shrinkToFit="1"/>
    </xf>
    <xf numFmtId="182" fontId="3" fillId="2" borderId="28" xfId="0" applyNumberFormat="1" applyFont="1" applyFill="1" applyBorder="1" applyAlignment="1">
      <alignment horizontal="right" vertical="center" shrinkToFit="1"/>
    </xf>
    <xf numFmtId="182" fontId="3" fillId="2" borderId="80" xfId="0" applyNumberFormat="1" applyFont="1" applyFill="1" applyBorder="1" applyAlignment="1">
      <alignment horizontal="right" vertical="center" shrinkToFit="1"/>
    </xf>
    <xf numFmtId="3" fontId="3" fillId="2" borderId="85" xfId="0" applyNumberFormat="1" applyFont="1" applyFill="1" applyBorder="1" applyAlignment="1">
      <alignment horizontal="right" vertical="center" shrinkToFit="1"/>
    </xf>
    <xf numFmtId="3" fontId="3" fillId="2" borderId="47" xfId="0" applyNumberFormat="1" applyFont="1" applyFill="1" applyBorder="1" applyAlignment="1">
      <alignment horizontal="right" vertical="center" shrinkToFit="1"/>
    </xf>
    <xf numFmtId="182" fontId="3" fillId="2" borderId="47" xfId="0" applyNumberFormat="1" applyFont="1" applyFill="1" applyBorder="1" applyAlignment="1">
      <alignment horizontal="right" vertical="center" shrinkToFit="1"/>
    </xf>
    <xf numFmtId="0" fontId="3" fillId="2" borderId="5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left" vertical="center"/>
    </xf>
    <xf numFmtId="3" fontId="3" fillId="2" borderId="100" xfId="0" applyNumberFormat="1" applyFont="1" applyFill="1" applyBorder="1" applyAlignment="1">
      <alignment horizontal="right" vertical="center" shrinkToFit="1"/>
    </xf>
    <xf numFmtId="3" fontId="3" fillId="2" borderId="23" xfId="0" applyNumberFormat="1" applyFont="1" applyFill="1" applyBorder="1" applyAlignment="1">
      <alignment horizontal="right" vertical="center" shrinkToFit="1"/>
    </xf>
    <xf numFmtId="182" fontId="3" fillId="2" borderId="23" xfId="0" applyNumberFormat="1" applyFont="1" applyFill="1" applyBorder="1" applyAlignment="1">
      <alignment horizontal="right" vertical="center" shrinkToFit="1"/>
    </xf>
    <xf numFmtId="182" fontId="3" fillId="2" borderId="92" xfId="0" applyNumberFormat="1" applyFont="1" applyFill="1" applyBorder="1" applyAlignment="1">
      <alignment horizontal="right" vertical="center" shrinkToFit="1"/>
    </xf>
    <xf numFmtId="3" fontId="3" fillId="2" borderId="101" xfId="0" applyNumberFormat="1" applyFont="1" applyFill="1" applyBorder="1" applyAlignment="1">
      <alignment horizontal="right" vertical="center" shrinkToFit="1"/>
    </xf>
    <xf numFmtId="3" fontId="3" fillId="2" borderId="38" xfId="0" applyNumberFormat="1" applyFont="1" applyFill="1" applyBorder="1" applyAlignment="1">
      <alignment horizontal="right" vertical="center" shrinkToFit="1"/>
    </xf>
    <xf numFmtId="182" fontId="3" fillId="2" borderId="38" xfId="0" applyNumberFormat="1" applyFont="1" applyFill="1" applyBorder="1" applyAlignment="1">
      <alignment horizontal="right" vertical="center" shrinkToFit="1"/>
    </xf>
    <xf numFmtId="182" fontId="3" fillId="2" borderId="83" xfId="0" applyNumberFormat="1" applyFont="1" applyFill="1" applyBorder="1" applyAlignment="1">
      <alignment horizontal="right" vertical="center" shrinkToFit="1"/>
    </xf>
    <xf numFmtId="3" fontId="3" fillId="2" borderId="102" xfId="0" applyNumberFormat="1" applyFont="1" applyFill="1" applyBorder="1" applyAlignment="1">
      <alignment horizontal="right" vertical="center" shrinkToFit="1"/>
    </xf>
    <xf numFmtId="3" fontId="3" fillId="2" borderId="54" xfId="0" applyNumberFormat="1" applyFont="1" applyFill="1" applyBorder="1" applyAlignment="1">
      <alignment horizontal="right" vertical="center" shrinkToFit="1"/>
    </xf>
    <xf numFmtId="182" fontId="3" fillId="2" borderId="54" xfId="0" applyNumberFormat="1" applyFont="1" applyFill="1" applyBorder="1" applyAlignment="1">
      <alignment horizontal="right" vertical="center" shrinkToFit="1"/>
    </xf>
    <xf numFmtId="3" fontId="3" fillId="2" borderId="90" xfId="0" applyNumberFormat="1" applyFont="1" applyFill="1" applyBorder="1" applyAlignment="1">
      <alignment horizontal="right" vertical="center" shrinkToFit="1"/>
    </xf>
    <xf numFmtId="3" fontId="3" fillId="2" borderId="58" xfId="0" applyNumberFormat="1" applyFont="1" applyFill="1" applyBorder="1" applyAlignment="1">
      <alignment horizontal="right" vertical="center" shrinkToFit="1"/>
    </xf>
    <xf numFmtId="182" fontId="3" fillId="2" borderId="58" xfId="0" applyNumberFormat="1" applyFont="1" applyFill="1" applyBorder="1" applyAlignment="1">
      <alignment horizontal="right" vertical="center" shrinkToFit="1"/>
    </xf>
    <xf numFmtId="177" fontId="9" fillId="2" borderId="103" xfId="0" applyNumberFormat="1" applyFont="1" applyFill="1" applyBorder="1" applyAlignment="1">
      <alignment horizontal="right" vertical="center" shrinkToFit="1"/>
    </xf>
    <xf numFmtId="177" fontId="9" fillId="2" borderId="70" xfId="0" applyNumberFormat="1" applyFont="1" applyFill="1" applyBorder="1" applyAlignment="1">
      <alignment horizontal="right" vertical="center" shrinkToFit="1"/>
    </xf>
    <xf numFmtId="177" fontId="9" fillId="2" borderId="105" xfId="0" applyNumberFormat="1" applyFont="1" applyFill="1" applyBorder="1" applyAlignment="1">
      <alignment horizontal="right" vertical="center" shrinkToFit="1"/>
    </xf>
    <xf numFmtId="177" fontId="9" fillId="2" borderId="67" xfId="0" applyNumberFormat="1" applyFont="1" applyFill="1" applyBorder="1" applyAlignment="1">
      <alignment horizontal="right" vertical="center" shrinkToFit="1"/>
    </xf>
    <xf numFmtId="3" fontId="3" fillId="2" borderId="104" xfId="0" applyNumberFormat="1" applyFont="1" applyFill="1" applyBorder="1" applyAlignment="1">
      <alignment horizontal="right" vertical="center" shrinkToFit="1"/>
    </xf>
    <xf numFmtId="3" fontId="3" fillId="2" borderId="65" xfId="0" applyNumberFormat="1" applyFont="1" applyFill="1" applyBorder="1" applyAlignment="1">
      <alignment horizontal="right" vertical="center" shrinkToFit="1"/>
    </xf>
    <xf numFmtId="182" fontId="3" fillId="2" borderId="65" xfId="0" applyNumberFormat="1" applyFont="1" applyFill="1" applyBorder="1" applyAlignment="1">
      <alignment horizontal="right" vertical="center" shrinkToFit="1"/>
    </xf>
    <xf numFmtId="182" fontId="3" fillId="2" borderId="93" xfId="0" applyNumberFormat="1" applyFont="1" applyFill="1" applyBorder="1" applyAlignment="1">
      <alignment horizontal="right" vertical="center" shrinkToFit="1"/>
    </xf>
    <xf numFmtId="0" fontId="3" fillId="2" borderId="1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left" vertical="center" wrapText="1"/>
    </xf>
    <xf numFmtId="0" fontId="9" fillId="2" borderId="55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3" fillId="2" borderId="69" xfId="0" applyFont="1" applyFill="1" applyBorder="1" applyAlignment="1">
      <alignment horizontal="left" vertical="center"/>
    </xf>
    <xf numFmtId="0" fontId="3" fillId="2" borderId="66" xfId="0" applyFont="1" applyFill="1" applyBorder="1" applyAlignment="1">
      <alignment horizontal="left" vertical="center"/>
    </xf>
    <xf numFmtId="3" fontId="3" fillId="2" borderId="106" xfId="0" applyNumberFormat="1" applyFont="1" applyFill="1" applyBorder="1" applyAlignment="1">
      <alignment horizontal="right" vertical="center" shrinkToFit="1"/>
    </xf>
    <xf numFmtId="3" fontId="3" fillId="2" borderId="26" xfId="0" applyNumberFormat="1" applyFont="1" applyFill="1" applyBorder="1" applyAlignment="1">
      <alignment horizontal="right" vertical="center" shrinkToFit="1"/>
    </xf>
    <xf numFmtId="3" fontId="3" fillId="2" borderId="66" xfId="0" applyNumberFormat="1" applyFont="1" applyFill="1" applyBorder="1" applyAlignment="1">
      <alignment horizontal="right" vertical="center" shrinkToFit="1"/>
    </xf>
    <xf numFmtId="182" fontId="3" fillId="2" borderId="46" xfId="0" applyNumberFormat="1" applyFont="1" applyFill="1" applyBorder="1" applyAlignment="1">
      <alignment horizontal="right" vertical="center" shrinkToFit="1"/>
    </xf>
    <xf numFmtId="176" fontId="3" fillId="2" borderId="108" xfId="0" applyNumberFormat="1" applyFont="1" applyFill="1" applyBorder="1" applyAlignment="1">
      <alignment horizontal="right" vertical="center" shrinkToFit="1"/>
    </xf>
    <xf numFmtId="176" fontId="3" fillId="2" borderId="109" xfId="0" applyNumberFormat="1" applyFont="1" applyFill="1" applyBorder="1" applyAlignment="1">
      <alignment horizontal="right" vertical="center" shrinkToFit="1"/>
    </xf>
    <xf numFmtId="176" fontId="3" fillId="2" borderId="110" xfId="0" applyNumberFormat="1" applyFont="1" applyFill="1" applyBorder="1" applyAlignment="1">
      <alignment horizontal="right" vertical="center" shrinkToFit="1"/>
    </xf>
    <xf numFmtId="183" fontId="3" fillId="2" borderId="80" xfId="0" applyNumberFormat="1" applyFont="1" applyFill="1" applyBorder="1" applyAlignment="1">
      <alignment horizontal="right" vertical="center" shrinkToFit="1"/>
    </xf>
    <xf numFmtId="0" fontId="3" fillId="2" borderId="110" xfId="0" applyFont="1" applyFill="1" applyBorder="1" applyAlignment="1">
      <alignment horizontal="right" vertical="center" shrinkToFit="1"/>
    </xf>
    <xf numFmtId="182" fontId="3" fillId="2" borderId="109" xfId="0" applyNumberFormat="1" applyFont="1" applyFill="1" applyBorder="1" applyAlignment="1">
      <alignment horizontal="right" vertical="center" shrinkToFit="1"/>
    </xf>
    <xf numFmtId="178" fontId="9" fillId="2" borderId="110" xfId="0" applyNumberFormat="1" applyFont="1" applyFill="1" applyBorder="1" applyAlignment="1">
      <alignment horizontal="right" vertical="center" shrinkToFi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justifyLastLine="1"/>
    </xf>
    <xf numFmtId="0" fontId="3" fillId="2" borderId="2" xfId="0" applyFont="1" applyFill="1" applyBorder="1" applyAlignment="1">
      <alignment horizontal="center" vertical="center" justifyLastLine="1"/>
    </xf>
    <xf numFmtId="0" fontId="3" fillId="2" borderId="3" xfId="0" applyFont="1" applyFill="1" applyBorder="1" applyAlignment="1">
      <alignment horizontal="center" vertical="center" justifyLastLine="1"/>
    </xf>
    <xf numFmtId="0" fontId="3" fillId="2" borderId="9" xfId="0" applyFont="1" applyFill="1" applyBorder="1" applyAlignment="1">
      <alignment horizontal="center" vertical="center" justifyLastLine="1"/>
    </xf>
    <xf numFmtId="0" fontId="3" fillId="2" borderId="10" xfId="0" applyFont="1" applyFill="1" applyBorder="1" applyAlignment="1">
      <alignment horizontal="center" vertical="center" justifyLastLine="1"/>
    </xf>
    <xf numFmtId="0" fontId="3" fillId="2" borderId="11" xfId="0" applyFont="1" applyFill="1" applyBorder="1" applyAlignment="1">
      <alignment horizontal="center" vertical="center" justifyLastLine="1"/>
    </xf>
    <xf numFmtId="0" fontId="3" fillId="2" borderId="3" xfId="0" applyFont="1" applyFill="1" applyBorder="1" applyAlignment="1">
      <alignment horizontal="center" vertical="center" textRotation="255" shrinkToFit="1"/>
    </xf>
    <xf numFmtId="0" fontId="3" fillId="2" borderId="11" xfId="0" applyFont="1" applyFill="1" applyBorder="1" applyAlignment="1">
      <alignment horizontal="center" vertical="center" textRotation="255" shrinkToFit="1"/>
    </xf>
    <xf numFmtId="176" fontId="5" fillId="2" borderId="5" xfId="0" applyNumberFormat="1" applyFont="1" applyFill="1" applyBorder="1" applyAlignment="1">
      <alignment horizontal="center" vertical="center" wrapText="1" shrinkToFit="1"/>
    </xf>
    <xf numFmtId="176" fontId="5" fillId="2" borderId="13" xfId="0" applyNumberFormat="1" applyFont="1" applyFill="1" applyBorder="1" applyAlignment="1">
      <alignment horizontal="center" vertical="center" wrapText="1" shrinkToFit="1"/>
    </xf>
    <xf numFmtId="176" fontId="5" fillId="2" borderId="3" xfId="0" applyNumberFormat="1" applyFont="1" applyFill="1" applyBorder="1" applyAlignment="1">
      <alignment horizontal="center" vertical="center" wrapText="1" shrinkToFit="1"/>
    </xf>
    <xf numFmtId="176" fontId="5" fillId="2" borderId="11" xfId="0" applyNumberFormat="1" applyFont="1" applyFill="1" applyBorder="1" applyAlignment="1">
      <alignment horizontal="center" vertical="center" wrapText="1" shrinkToFit="1"/>
    </xf>
    <xf numFmtId="176" fontId="3" fillId="2" borderId="33" xfId="0" applyNumberFormat="1" applyFont="1" applyFill="1" applyBorder="1" applyAlignment="1">
      <alignment horizontal="right" vertical="center" shrinkToFit="1"/>
    </xf>
    <xf numFmtId="176" fontId="3" fillId="2" borderId="34" xfId="0" applyNumberFormat="1" applyFont="1" applyFill="1" applyBorder="1" applyAlignment="1">
      <alignment horizontal="right" vertical="center" shrinkToFit="1"/>
    </xf>
    <xf numFmtId="176" fontId="3" fillId="2" borderId="35" xfId="0" applyNumberFormat="1" applyFont="1" applyFill="1" applyBorder="1" applyAlignment="1">
      <alignment horizontal="right" vertical="center" shrinkToFit="1"/>
    </xf>
    <xf numFmtId="176" fontId="3" fillId="2" borderId="39" xfId="0" applyNumberFormat="1" applyFont="1" applyFill="1" applyBorder="1" applyAlignment="1">
      <alignment horizontal="right" vertical="center" shrinkToFit="1"/>
    </xf>
    <xf numFmtId="176" fontId="3" fillId="2" borderId="40" xfId="0" applyNumberFormat="1" applyFont="1" applyFill="1" applyBorder="1" applyAlignment="1">
      <alignment horizontal="right" vertical="center" shrinkToFit="1"/>
    </xf>
    <xf numFmtId="176" fontId="3" fillId="2" borderId="41" xfId="0" applyNumberFormat="1" applyFont="1" applyFill="1" applyBorder="1" applyAlignment="1">
      <alignment horizontal="right" vertical="center" shrinkToFit="1"/>
    </xf>
    <xf numFmtId="0" fontId="3" fillId="2" borderId="27" xfId="0" applyFont="1" applyFill="1" applyBorder="1" applyAlignment="1">
      <alignment horizontal="left" vertical="center" justifyLastLine="1"/>
    </xf>
    <xf numFmtId="0" fontId="3" fillId="2" borderId="25" xfId="0" applyFont="1" applyFill="1" applyBorder="1" applyAlignment="1">
      <alignment horizontal="left" vertical="center" justifyLastLine="1"/>
    </xf>
    <xf numFmtId="0" fontId="3" fillId="2" borderId="17" xfId="0" applyFont="1" applyFill="1" applyBorder="1" applyAlignment="1">
      <alignment horizontal="left" vertical="center" justifyLastLine="1"/>
    </xf>
    <xf numFmtId="0" fontId="3" fillId="2" borderId="37" xfId="0" applyFont="1" applyFill="1" applyBorder="1" applyAlignment="1">
      <alignment horizontal="left" vertical="center" justifyLastLine="1"/>
    </xf>
    <xf numFmtId="0" fontId="3" fillId="2" borderId="30" xfId="0" applyFont="1" applyFill="1" applyBorder="1" applyAlignment="1">
      <alignment horizontal="left" vertical="center" justifyLastLine="1"/>
    </xf>
    <xf numFmtId="0" fontId="3" fillId="2" borderId="31" xfId="0" applyFont="1" applyFill="1" applyBorder="1" applyAlignment="1">
      <alignment horizontal="left" vertical="center" justifyLastLine="1"/>
    </xf>
    <xf numFmtId="176" fontId="3" fillId="2" borderId="48" xfId="0" applyNumberFormat="1" applyFont="1" applyFill="1" applyBorder="1" applyAlignment="1">
      <alignment horizontal="right" vertical="center" shrinkToFit="1"/>
    </xf>
    <xf numFmtId="176" fontId="3" fillId="2" borderId="49" xfId="0" applyNumberFormat="1" applyFont="1" applyFill="1" applyBorder="1" applyAlignment="1">
      <alignment horizontal="right" vertical="center" shrinkToFit="1"/>
    </xf>
    <xf numFmtId="176" fontId="3" fillId="2" borderId="50" xfId="0" applyNumberFormat="1" applyFont="1" applyFill="1" applyBorder="1" applyAlignment="1">
      <alignment horizontal="right" vertical="center" shrinkToFit="1"/>
    </xf>
    <xf numFmtId="0" fontId="3" fillId="2" borderId="27" xfId="0" applyFont="1" applyFill="1" applyBorder="1" applyAlignment="1">
      <alignment vertical="center" justifyLastLine="1"/>
    </xf>
    <xf numFmtId="0" fontId="3" fillId="2" borderId="17" xfId="0" applyFont="1" applyFill="1" applyBorder="1" applyAlignment="1">
      <alignment vertical="center" justifyLastLine="1"/>
    </xf>
    <xf numFmtId="177" fontId="9" fillId="2" borderId="24" xfId="0" applyNumberFormat="1" applyFont="1" applyFill="1" applyBorder="1" applyAlignment="1">
      <alignment horizontal="right" vertical="center" shrinkToFit="1"/>
    </xf>
    <xf numFmtId="177" fontId="9" fillId="2" borderId="25" xfId="0" applyNumberFormat="1" applyFont="1" applyFill="1" applyBorder="1" applyAlignment="1">
      <alignment horizontal="right" vertical="center" shrinkToFit="1"/>
    </xf>
    <xf numFmtId="177" fontId="9" fillId="2" borderId="17" xfId="0" applyNumberFormat="1" applyFont="1" applyFill="1" applyBorder="1" applyAlignment="1">
      <alignment horizontal="right" vertical="center" shrinkToFit="1"/>
    </xf>
    <xf numFmtId="176" fontId="3" fillId="2" borderId="60" xfId="0" applyNumberFormat="1" applyFont="1" applyFill="1" applyBorder="1" applyAlignment="1">
      <alignment horizontal="right" vertical="center" shrinkToFit="1"/>
    </xf>
    <xf numFmtId="176" fontId="3" fillId="2" borderId="61" xfId="0" applyNumberFormat="1" applyFont="1" applyFill="1" applyBorder="1" applyAlignment="1">
      <alignment horizontal="right" vertical="center" shrinkToFit="1"/>
    </xf>
    <xf numFmtId="176" fontId="3" fillId="2" borderId="62" xfId="0" applyNumberFormat="1" applyFont="1" applyFill="1" applyBorder="1" applyAlignment="1">
      <alignment horizontal="right" vertical="center" shrinkToFit="1"/>
    </xf>
    <xf numFmtId="0" fontId="3" fillId="2" borderId="6" xfId="0" applyFont="1" applyFill="1" applyBorder="1" applyAlignment="1">
      <alignment horizontal="center" vertical="center" justifyLastLine="1"/>
    </xf>
    <xf numFmtId="0" fontId="3" fillId="2" borderId="14" xfId="0" applyFont="1" applyFill="1" applyBorder="1" applyAlignment="1">
      <alignment horizontal="center" vertical="center" justifyLastLine="1"/>
    </xf>
    <xf numFmtId="0" fontId="3" fillId="2" borderId="16" xfId="0" applyFont="1" applyFill="1" applyBorder="1" applyAlignment="1">
      <alignment horizontal="center" vertical="center" textRotation="255" shrinkToFit="1"/>
    </xf>
    <xf numFmtId="0" fontId="3" fillId="2" borderId="71" xfId="0" applyFont="1" applyFill="1" applyBorder="1" applyAlignment="1">
      <alignment horizontal="center" vertical="center" textRotation="255" shrinkToFit="1"/>
    </xf>
    <xf numFmtId="176" fontId="3" fillId="2" borderId="16" xfId="0" applyNumberFormat="1" applyFont="1" applyFill="1" applyBorder="1" applyAlignment="1">
      <alignment horizontal="center" vertical="center" shrinkToFit="1"/>
    </xf>
    <xf numFmtId="176" fontId="3" fillId="2" borderId="71" xfId="0" applyNumberFormat="1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77" fontId="9" fillId="2" borderId="43" xfId="0" applyNumberFormat="1" applyFont="1" applyFill="1" applyBorder="1" applyAlignment="1">
      <alignment horizontal="right" vertical="center" shrinkToFit="1"/>
    </xf>
    <xf numFmtId="177" fontId="9" fillId="2" borderId="44" xfId="0" applyNumberFormat="1" applyFont="1" applyFill="1" applyBorder="1" applyAlignment="1">
      <alignment horizontal="right" vertical="center" shrinkToFit="1"/>
    </xf>
    <xf numFmtId="177" fontId="9" fillId="2" borderId="45" xfId="0" applyNumberFormat="1" applyFont="1" applyFill="1" applyBorder="1" applyAlignment="1">
      <alignment horizontal="right" vertical="center" shrinkToFit="1"/>
    </xf>
    <xf numFmtId="177" fontId="9" fillId="2" borderId="111" xfId="0" applyNumberFormat="1" applyFont="1" applyFill="1" applyBorder="1" applyAlignment="1">
      <alignment horizontal="right" vertical="center" shrinkToFit="1"/>
    </xf>
    <xf numFmtId="177" fontId="9" fillId="2" borderId="112" xfId="0" applyNumberFormat="1" applyFont="1" applyFill="1" applyBorder="1" applyAlignment="1">
      <alignment horizontal="right" vertical="center" shrinkToFit="1"/>
    </xf>
    <xf numFmtId="177" fontId="9" fillId="2" borderId="107" xfId="0" applyNumberFormat="1" applyFont="1" applyFill="1" applyBorder="1" applyAlignment="1">
      <alignment horizontal="right" vertical="center" shrinkToFit="1"/>
    </xf>
    <xf numFmtId="177" fontId="9" fillId="2" borderId="72" xfId="0" applyNumberFormat="1" applyFont="1" applyFill="1" applyBorder="1" applyAlignment="1">
      <alignment horizontal="right" vertical="center" shrinkToFit="1"/>
    </xf>
    <xf numFmtId="177" fontId="9" fillId="2" borderId="73" xfId="0" applyNumberFormat="1" applyFont="1" applyFill="1" applyBorder="1" applyAlignment="1">
      <alignment horizontal="right" vertical="center" shrinkToFit="1"/>
    </xf>
    <xf numFmtId="177" fontId="9" fillId="2" borderId="24" xfId="0" applyNumberFormat="1" applyFont="1" applyFill="1" applyBorder="1" applyAlignment="1">
      <alignment horizontal="center" vertical="center" shrinkToFit="1"/>
    </xf>
    <xf numFmtId="177" fontId="9" fillId="2" borderId="25" xfId="0" applyNumberFormat="1" applyFont="1" applyFill="1" applyBorder="1" applyAlignment="1">
      <alignment horizontal="center" vertical="center" shrinkToFit="1"/>
    </xf>
    <xf numFmtId="177" fontId="9" fillId="2" borderId="17" xfId="0" applyNumberFormat="1" applyFont="1" applyFill="1" applyBorder="1" applyAlignment="1">
      <alignment horizontal="center" vertical="center" shrinkToFit="1"/>
    </xf>
    <xf numFmtId="0" fontId="9" fillId="2" borderId="74" xfId="0" applyFont="1" applyFill="1" applyBorder="1" applyAlignment="1">
      <alignment horizontal="center" vertical="center" shrinkToFit="1"/>
    </xf>
    <xf numFmtId="0" fontId="9" fillId="2" borderId="75" xfId="0" applyFont="1" applyFill="1" applyBorder="1" applyAlignment="1">
      <alignment horizontal="center" vertical="center" shrinkToFit="1"/>
    </xf>
    <xf numFmtId="0" fontId="3" fillId="2" borderId="94" xfId="0" applyFont="1" applyFill="1" applyBorder="1" applyAlignment="1">
      <alignment horizontal="center" vertical="center" justifyLastLine="1"/>
    </xf>
    <xf numFmtId="0" fontId="3" fillId="2" borderId="95" xfId="0" applyFont="1" applyFill="1" applyBorder="1" applyAlignment="1">
      <alignment horizontal="center" vertical="center" justifyLastLine="1"/>
    </xf>
    <xf numFmtId="0" fontId="3" fillId="2" borderId="74" xfId="0" applyFont="1" applyFill="1" applyBorder="1" applyAlignment="1">
      <alignment horizontal="center" vertical="center" textRotation="255" shrinkToFit="1"/>
    </xf>
    <xf numFmtId="0" fontId="3" fillId="2" borderId="75" xfId="0" applyFont="1" applyFill="1" applyBorder="1" applyAlignment="1">
      <alignment horizontal="center" vertical="center" textRotation="255" shrinkToFit="1"/>
    </xf>
    <xf numFmtId="0" fontId="9" fillId="2" borderId="5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right" vertical="center" shrinkToFit="1"/>
    </xf>
    <xf numFmtId="0" fontId="3" fillId="2" borderId="78" xfId="0" applyFont="1" applyFill="1" applyBorder="1" applyAlignment="1">
      <alignment horizontal="right" vertical="center" shrinkToFit="1"/>
    </xf>
    <xf numFmtId="0" fontId="3" fillId="2" borderId="79" xfId="0" applyFont="1" applyFill="1" applyBorder="1" applyAlignment="1">
      <alignment horizontal="right" vertical="center" shrinkToFit="1"/>
    </xf>
    <xf numFmtId="0" fontId="3" fillId="2" borderId="96" xfId="0" applyFont="1" applyFill="1" applyBorder="1" applyAlignment="1">
      <alignment horizontal="right" vertical="center" shrinkToFit="1"/>
    </xf>
    <xf numFmtId="0" fontId="3" fillId="2" borderId="97" xfId="0" applyFont="1" applyFill="1" applyBorder="1" applyAlignment="1">
      <alignment horizontal="right" vertical="center" shrinkToFit="1"/>
    </xf>
    <xf numFmtId="0" fontId="3" fillId="2" borderId="98" xfId="0" applyFont="1" applyFill="1" applyBorder="1" applyAlignment="1">
      <alignment horizontal="right" vertical="center" shrinkToFit="1"/>
    </xf>
    <xf numFmtId="178" fontId="9" fillId="2" borderId="33" xfId="0" applyNumberFormat="1" applyFont="1" applyFill="1" applyBorder="1" applyAlignment="1">
      <alignment horizontal="right" vertical="center" shrinkToFit="1"/>
    </xf>
    <xf numFmtId="178" fontId="9" fillId="2" borderId="34" xfId="0" applyNumberFormat="1" applyFont="1" applyFill="1" applyBorder="1" applyAlignment="1">
      <alignment horizontal="right" vertical="center" shrinkToFit="1"/>
    </xf>
    <xf numFmtId="178" fontId="9" fillId="2" borderId="35" xfId="0" applyNumberFormat="1" applyFont="1" applyFill="1" applyBorder="1" applyAlignment="1">
      <alignment horizontal="right" vertical="center" shrinkToFit="1"/>
    </xf>
    <xf numFmtId="178" fontId="9" fillId="2" borderId="81" xfId="0" applyNumberFormat="1" applyFont="1" applyFill="1" applyBorder="1" applyAlignment="1">
      <alignment horizontal="right" vertical="center" shrinkToFit="1"/>
    </xf>
    <xf numFmtId="178" fontId="9" fillId="2" borderId="99" xfId="0" applyNumberFormat="1" applyFont="1" applyFill="1" applyBorder="1" applyAlignment="1">
      <alignment horizontal="right" vertical="center" shrinkToFit="1"/>
    </xf>
    <xf numFmtId="178" fontId="9" fillId="2" borderId="82" xfId="0" applyNumberFormat="1" applyFont="1" applyFill="1" applyBorder="1" applyAlignment="1">
      <alignment horizontal="right" vertical="center" shrinkToFit="1"/>
    </xf>
    <xf numFmtId="178" fontId="9" fillId="2" borderId="39" xfId="0" applyNumberFormat="1" applyFont="1" applyFill="1" applyBorder="1" applyAlignment="1">
      <alignment horizontal="right" vertical="center" shrinkToFit="1"/>
    </xf>
    <xf numFmtId="178" fontId="9" fillId="2" borderId="40" xfId="0" applyNumberFormat="1" applyFont="1" applyFill="1" applyBorder="1" applyAlignment="1">
      <alignment horizontal="right" vertical="center" shrinkToFit="1"/>
    </xf>
    <xf numFmtId="178" fontId="9" fillId="2" borderId="41" xfId="0" applyNumberFormat="1" applyFont="1" applyFill="1" applyBorder="1" applyAlignment="1">
      <alignment horizontal="right" vertical="center" shrinkToFit="1"/>
    </xf>
    <xf numFmtId="178" fontId="9" fillId="2" borderId="48" xfId="0" applyNumberFormat="1" applyFont="1" applyFill="1" applyBorder="1" applyAlignment="1">
      <alignment horizontal="right" vertical="center" shrinkToFit="1"/>
    </xf>
    <xf numFmtId="178" fontId="9" fillId="2" borderId="49" xfId="0" applyNumberFormat="1" applyFont="1" applyFill="1" applyBorder="1" applyAlignment="1">
      <alignment horizontal="right" vertical="center" shrinkToFit="1"/>
    </xf>
    <xf numFmtId="178" fontId="9" fillId="2" borderId="50" xfId="0" applyNumberFormat="1" applyFont="1" applyFill="1" applyBorder="1" applyAlignment="1">
      <alignment horizontal="right" vertical="center" shrinkToFit="1"/>
    </xf>
    <xf numFmtId="0" fontId="3" fillId="2" borderId="74" xfId="0" applyFont="1" applyFill="1" applyBorder="1" applyAlignment="1">
      <alignment horizontal="center" vertical="center" shrinkToFit="1"/>
    </xf>
    <xf numFmtId="0" fontId="3" fillId="2" borderId="75" xfId="0" applyFont="1" applyFill="1" applyBorder="1" applyAlignment="1">
      <alignment horizontal="center" vertical="center" shrinkToFit="1"/>
    </xf>
    <xf numFmtId="176" fontId="3" fillId="2" borderId="87" xfId="0" applyNumberFormat="1" applyFont="1" applyFill="1" applyBorder="1" applyAlignment="1">
      <alignment horizontal="center" vertical="center"/>
    </xf>
    <xf numFmtId="176" fontId="3" fillId="2" borderId="88" xfId="0" applyNumberFormat="1" applyFont="1" applyFill="1" applyBorder="1" applyAlignment="1">
      <alignment horizontal="center" vertical="center"/>
    </xf>
    <xf numFmtId="176" fontId="3" fillId="2" borderId="89" xfId="0" applyNumberFormat="1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>
      <alignment horizontal="center" vertical="center" wrapText="1" shrinkToFit="1"/>
    </xf>
  </cellXfs>
  <cellStyles count="6">
    <cellStyle name="標準" xfId="0" builtinId="0"/>
    <cellStyle name="標準 2" xfId="2" xr:uid="{00000000-0005-0000-0000-000001000000}"/>
    <cellStyle name="標準 3" xfId="4" xr:uid="{00000000-0005-0000-0000-000002000000}"/>
    <cellStyle name="標準 3 3" xfId="3" xr:uid="{00000000-0005-0000-0000-000003000000}"/>
    <cellStyle name="標準 4" xfId="5" xr:uid="{00000000-0005-0000-0000-000004000000}"/>
    <cellStyle name="標準 6" xfId="1" xr:uid="{00000000-0005-0000-0000-000005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409574</xdr:colOff>
          <xdr:row>0</xdr:row>
          <xdr:rowOff>142875</xdr:rowOff>
        </xdr:from>
        <xdr:to>
          <xdr:col>13</xdr:col>
          <xdr:colOff>2762249</xdr:colOff>
          <xdr:row>4</xdr:row>
          <xdr:rowOff>2882</xdr:rowOff>
        </xdr:to>
        <xdr:pic>
          <xdr:nvPicPr>
            <xdr:cNvPr id="74" name="図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指標部!$A$5:$I$7" spid="_x0000_s10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81674" y="142875"/>
              <a:ext cx="8105775" cy="7172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590550</xdr:colOff>
          <xdr:row>0</xdr:row>
          <xdr:rowOff>95250</xdr:rowOff>
        </xdr:from>
        <xdr:to>
          <xdr:col>15</xdr:col>
          <xdr:colOff>3324225</xdr:colOff>
          <xdr:row>3</xdr:row>
          <xdr:rowOff>183857</xdr:rowOff>
        </xdr:to>
        <xdr:pic>
          <xdr:nvPicPr>
            <xdr:cNvPr id="28" name="図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指標部!$A$5:$I$7" spid="_x0000_s20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476750" y="95250"/>
              <a:ext cx="8105775" cy="7172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9"/>
  <sheetViews>
    <sheetView tabSelected="1" zoomScaleNormal="100" workbookViewId="0"/>
  </sheetViews>
  <sheetFormatPr defaultColWidth="9" defaultRowHeight="12" x14ac:dyDescent="0.15"/>
  <cols>
    <col min="1" max="1" width="1.75" style="2" customWidth="1"/>
    <col min="2" max="2" width="1.875" style="2" customWidth="1"/>
    <col min="3" max="3" width="3.75" style="2" customWidth="1"/>
    <col min="4" max="4" width="5.5" style="3" customWidth="1"/>
    <col min="5" max="5" width="19.5" style="3" customWidth="1"/>
    <col min="6" max="6" width="6.5" style="3" customWidth="1"/>
    <col min="7" max="7" width="16" style="3" customWidth="1"/>
    <col min="8" max="8" width="15.625" style="3" customWidth="1"/>
    <col min="9" max="10" width="14.75" style="3" customWidth="1"/>
    <col min="11" max="12" width="15.625" style="3" customWidth="1"/>
    <col min="13" max="13" width="14.75" style="3" customWidth="1"/>
    <col min="14" max="14" width="44.25" style="2" customWidth="1"/>
    <col min="15" max="15" width="12.5" style="2" bestFit="1" customWidth="1"/>
    <col min="16" max="16" width="3.875" style="2" customWidth="1"/>
    <col min="17" max="18" width="9.625" style="2" customWidth="1"/>
    <col min="19" max="19" width="7.625" style="2" customWidth="1"/>
    <col min="20" max="16384" width="9" style="2"/>
  </cols>
  <sheetData>
    <row r="1" spans="1:14" ht="20.25" customHeight="1" x14ac:dyDescent="0.2">
      <c r="A1" s="1" t="str">
        <f>G6&amp;"年  　農業経営統計調査"</f>
        <v>0年  　農業経営統計調査</v>
      </c>
      <c r="C1" s="3"/>
      <c r="G1" s="2"/>
      <c r="H1" s="2"/>
      <c r="I1" s="2"/>
      <c r="J1" s="2"/>
      <c r="K1" s="2"/>
      <c r="L1" s="2"/>
      <c r="M1" s="2"/>
      <c r="N1" s="4" t="s">
        <v>58</v>
      </c>
    </row>
    <row r="2" spans="1:14" ht="14.25" customHeight="1" x14ac:dyDescent="0.1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15"/>
    <row r="4" spans="1:14" ht="18.75" customHeight="1" x14ac:dyDescent="0.15"/>
    <row r="5" spans="1:14" ht="16.5" customHeight="1" thickBot="1" x14ac:dyDescent="0.2"/>
    <row r="6" spans="1:14" ht="28.5" customHeight="1" thickTop="1" x14ac:dyDescent="0.15">
      <c r="B6" s="213" t="s">
        <v>83</v>
      </c>
      <c r="C6" s="214"/>
      <c r="D6" s="214"/>
      <c r="E6" s="215"/>
      <c r="F6" s="219" t="s">
        <v>1</v>
      </c>
      <c r="G6" s="134">
        <f>指標部!A6</f>
        <v>0</v>
      </c>
      <c r="H6" s="6">
        <f>G6-1</f>
        <v>-1</v>
      </c>
      <c r="I6" s="221" t="s">
        <v>2</v>
      </c>
      <c r="J6" s="223" t="s">
        <v>3</v>
      </c>
      <c r="K6" s="7"/>
      <c r="L6" s="8"/>
      <c r="M6" s="223" t="s">
        <v>2</v>
      </c>
      <c r="N6" s="211" t="s">
        <v>4</v>
      </c>
    </row>
    <row r="7" spans="1:14" ht="18" customHeight="1" thickBot="1" x14ac:dyDescent="0.2">
      <c r="B7" s="216"/>
      <c r="C7" s="217"/>
      <c r="D7" s="217"/>
      <c r="E7" s="218"/>
      <c r="F7" s="220"/>
      <c r="G7" s="10" t="s">
        <v>5</v>
      </c>
      <c r="H7" s="10" t="s">
        <v>6</v>
      </c>
      <c r="I7" s="222"/>
      <c r="J7" s="224"/>
      <c r="K7" s="11" t="s">
        <v>5</v>
      </c>
      <c r="L7" s="12" t="s">
        <v>6</v>
      </c>
      <c r="M7" s="224"/>
      <c r="N7" s="212"/>
    </row>
    <row r="8" spans="1:14" ht="20.25" customHeight="1" thickTop="1" thickBot="1" x14ac:dyDescent="0.2">
      <c r="B8" s="13" t="s">
        <v>7</v>
      </c>
      <c r="C8" s="111"/>
      <c r="D8" s="111"/>
      <c r="E8" s="14"/>
      <c r="F8" s="15"/>
      <c r="G8" s="136"/>
      <c r="H8" s="136"/>
      <c r="I8" s="137"/>
      <c r="J8" s="138"/>
      <c r="K8" s="139"/>
      <c r="L8" s="140"/>
      <c r="M8" s="139"/>
      <c r="N8" s="193"/>
    </row>
    <row r="9" spans="1:14" ht="21.6" customHeight="1" x14ac:dyDescent="0.15">
      <c r="B9" s="17" t="s">
        <v>8</v>
      </c>
      <c r="C9" s="18"/>
      <c r="D9" s="18"/>
      <c r="E9" s="19"/>
      <c r="F9" s="20" t="s">
        <v>20</v>
      </c>
      <c r="G9" s="171"/>
      <c r="H9" s="172"/>
      <c r="I9" s="173" t="str">
        <f>IFERROR(100*(G9-H9)/H9,"-")</f>
        <v>-</v>
      </c>
      <c r="J9" s="174">
        <v>100</v>
      </c>
      <c r="K9" s="171"/>
      <c r="L9" s="172"/>
      <c r="M9" s="173" t="str">
        <f>IFERROR(100*(K9-L9)/L9,"-")</f>
        <v>-</v>
      </c>
      <c r="N9" s="168"/>
    </row>
    <row r="10" spans="1:14" ht="21.6" customHeight="1" x14ac:dyDescent="0.15">
      <c r="B10" s="21"/>
      <c r="C10" s="22" t="s">
        <v>84</v>
      </c>
      <c r="D10" s="23"/>
      <c r="E10" s="24"/>
      <c r="F10" s="25" t="s">
        <v>9</v>
      </c>
      <c r="G10" s="159"/>
      <c r="H10" s="160"/>
      <c r="I10" s="161" t="str">
        <f t="shared" ref="I10:I35" si="0">IFERROR(100*(G10-H10)/H10,"-")</f>
        <v>-</v>
      </c>
      <c r="J10" s="162" t="str">
        <f>IFERROR(100*(G10-H10)/($G$9-$H$9),"-")</f>
        <v>-</v>
      </c>
      <c r="K10" s="159"/>
      <c r="L10" s="160"/>
      <c r="M10" s="161" t="str">
        <f t="shared" ref="M10:M15" si="1">IFERROR(100*(K10-L10)/L10,"-")</f>
        <v>-</v>
      </c>
      <c r="N10" s="167"/>
    </row>
    <row r="11" spans="1:14" ht="21.6" customHeight="1" x14ac:dyDescent="0.15">
      <c r="B11" s="21"/>
      <c r="C11" s="22" t="s">
        <v>85</v>
      </c>
      <c r="D11" s="23"/>
      <c r="E11" s="24"/>
      <c r="F11" s="25" t="s">
        <v>9</v>
      </c>
      <c r="G11" s="159"/>
      <c r="H11" s="160"/>
      <c r="I11" s="161" t="str">
        <f t="shared" si="0"/>
        <v>-</v>
      </c>
      <c r="J11" s="162" t="str">
        <f t="shared" ref="J11:J19" si="2">IFERROR(100*(G11-H11)/($G$9-$H$9),"-")</f>
        <v>-</v>
      </c>
      <c r="K11" s="159"/>
      <c r="L11" s="160"/>
      <c r="M11" s="161" t="str">
        <f t="shared" si="1"/>
        <v>-</v>
      </c>
      <c r="N11" s="167"/>
    </row>
    <row r="12" spans="1:14" ht="21.6" customHeight="1" x14ac:dyDescent="0.15">
      <c r="B12" s="26"/>
      <c r="C12" s="22"/>
      <c r="D12" s="22"/>
      <c r="E12" s="23"/>
      <c r="F12" s="25" t="s">
        <v>9</v>
      </c>
      <c r="G12" s="159"/>
      <c r="H12" s="160"/>
      <c r="I12" s="161" t="str">
        <f t="shared" si="0"/>
        <v>-</v>
      </c>
      <c r="J12" s="162" t="str">
        <f t="shared" si="2"/>
        <v>-</v>
      </c>
      <c r="K12" s="159"/>
      <c r="L12" s="160"/>
      <c r="M12" s="161" t="str">
        <f t="shared" si="1"/>
        <v>-</v>
      </c>
      <c r="N12" s="167"/>
    </row>
    <row r="13" spans="1:14" ht="21.6" customHeight="1" x14ac:dyDescent="0.15">
      <c r="B13" s="26"/>
      <c r="C13" s="22"/>
      <c r="D13" s="22"/>
      <c r="E13" s="23"/>
      <c r="F13" s="25" t="s">
        <v>9</v>
      </c>
      <c r="G13" s="159"/>
      <c r="H13" s="160"/>
      <c r="I13" s="161" t="str">
        <f t="shared" si="0"/>
        <v>-</v>
      </c>
      <c r="J13" s="162" t="str">
        <f t="shared" si="2"/>
        <v>-</v>
      </c>
      <c r="K13" s="159"/>
      <c r="L13" s="160"/>
      <c r="M13" s="161" t="str">
        <f t="shared" si="1"/>
        <v>-</v>
      </c>
      <c r="N13" s="167"/>
    </row>
    <row r="14" spans="1:14" ht="21.6" customHeight="1" x14ac:dyDescent="0.15">
      <c r="B14" s="26"/>
      <c r="C14" s="22"/>
      <c r="D14" s="22"/>
      <c r="E14" s="23"/>
      <c r="F14" s="25" t="s">
        <v>9</v>
      </c>
      <c r="G14" s="159"/>
      <c r="H14" s="160"/>
      <c r="I14" s="161" t="str">
        <f t="shared" si="0"/>
        <v>-</v>
      </c>
      <c r="J14" s="162" t="str">
        <f t="shared" si="2"/>
        <v>-</v>
      </c>
      <c r="K14" s="159"/>
      <c r="L14" s="160"/>
      <c r="M14" s="161" t="str">
        <f t="shared" si="1"/>
        <v>-</v>
      </c>
      <c r="N14" s="167"/>
    </row>
    <row r="15" spans="1:14" ht="21.6" customHeight="1" x14ac:dyDescent="0.15">
      <c r="B15" s="27"/>
      <c r="C15" s="28"/>
      <c r="D15" s="22"/>
      <c r="E15" s="29"/>
      <c r="F15" s="31" t="s">
        <v>9</v>
      </c>
      <c r="G15" s="159"/>
      <c r="H15" s="160"/>
      <c r="I15" s="161" t="str">
        <f t="shared" si="0"/>
        <v>-</v>
      </c>
      <c r="J15" s="162" t="str">
        <f t="shared" si="2"/>
        <v>-</v>
      </c>
      <c r="K15" s="159"/>
      <c r="L15" s="160"/>
      <c r="M15" s="161" t="str">
        <f t="shared" si="1"/>
        <v>-</v>
      </c>
      <c r="N15" s="167"/>
    </row>
    <row r="16" spans="1:14" ht="21.6" customHeight="1" x14ac:dyDescent="0.15">
      <c r="B16" s="27"/>
      <c r="C16" s="28" t="s">
        <v>10</v>
      </c>
      <c r="D16" s="29"/>
      <c r="E16" s="30"/>
      <c r="F16" s="31" t="s">
        <v>9</v>
      </c>
      <c r="G16" s="159"/>
      <c r="H16" s="160"/>
      <c r="I16" s="161" t="str">
        <f t="shared" si="0"/>
        <v>-</v>
      </c>
      <c r="J16" s="162" t="str">
        <f t="shared" si="2"/>
        <v>-</v>
      </c>
      <c r="K16" s="225"/>
      <c r="L16" s="226"/>
      <c r="M16" s="227"/>
      <c r="N16" s="194"/>
    </row>
    <row r="17" spans="2:14" ht="21.6" customHeight="1" x14ac:dyDescent="0.15">
      <c r="B17" s="32"/>
      <c r="C17" s="231"/>
      <c r="D17" s="232"/>
      <c r="E17" s="233"/>
      <c r="F17" s="31" t="s">
        <v>9</v>
      </c>
      <c r="G17" s="159"/>
      <c r="H17" s="160"/>
      <c r="I17" s="161" t="str">
        <f t="shared" si="0"/>
        <v>-</v>
      </c>
      <c r="J17" s="162" t="str">
        <f t="shared" si="2"/>
        <v>-</v>
      </c>
      <c r="K17" s="228"/>
      <c r="L17" s="229"/>
      <c r="M17" s="230"/>
      <c r="N17" s="195"/>
    </row>
    <row r="18" spans="2:14" ht="21.6" customHeight="1" x14ac:dyDescent="0.15">
      <c r="B18" s="32"/>
      <c r="C18" s="231"/>
      <c r="D18" s="232"/>
      <c r="E18" s="233"/>
      <c r="F18" s="31" t="s">
        <v>9</v>
      </c>
      <c r="G18" s="159"/>
      <c r="H18" s="160"/>
      <c r="I18" s="161" t="str">
        <f t="shared" si="0"/>
        <v>-</v>
      </c>
      <c r="J18" s="162" t="str">
        <f t="shared" si="2"/>
        <v>-</v>
      </c>
      <c r="K18" s="228"/>
      <c r="L18" s="229"/>
      <c r="M18" s="230"/>
      <c r="N18" s="195"/>
    </row>
    <row r="19" spans="2:14" ht="21.6" customHeight="1" thickBot="1" x14ac:dyDescent="0.2">
      <c r="B19" s="32"/>
      <c r="C19" s="234"/>
      <c r="D19" s="235"/>
      <c r="E19" s="236"/>
      <c r="F19" s="31" t="s">
        <v>9</v>
      </c>
      <c r="G19" s="175"/>
      <c r="H19" s="176"/>
      <c r="I19" s="177" t="str">
        <f t="shared" si="0"/>
        <v>-</v>
      </c>
      <c r="J19" s="178" t="str">
        <f t="shared" si="2"/>
        <v>-</v>
      </c>
      <c r="K19" s="228"/>
      <c r="L19" s="229"/>
      <c r="M19" s="230"/>
      <c r="N19" s="195"/>
    </row>
    <row r="20" spans="2:14" ht="21.6" customHeight="1" x14ac:dyDescent="0.15">
      <c r="B20" s="17" t="s">
        <v>12</v>
      </c>
      <c r="C20" s="18"/>
      <c r="D20" s="18"/>
      <c r="E20" s="19"/>
      <c r="F20" s="112" t="s">
        <v>9</v>
      </c>
      <c r="G20" s="171"/>
      <c r="H20" s="172"/>
      <c r="I20" s="173" t="str">
        <f t="shared" si="0"/>
        <v>-</v>
      </c>
      <c r="J20" s="174">
        <v>100</v>
      </c>
      <c r="K20" s="171"/>
      <c r="L20" s="172"/>
      <c r="M20" s="173" t="str">
        <f t="shared" ref="M20:M27" si="3">IFERROR(100*(K20-L20)/L20,"-")</f>
        <v>-</v>
      </c>
      <c r="N20" s="168"/>
    </row>
    <row r="21" spans="2:14" ht="21.6" customHeight="1" x14ac:dyDescent="0.15">
      <c r="B21" s="26"/>
      <c r="C21" s="22"/>
      <c r="D21" s="23"/>
      <c r="E21" s="24"/>
      <c r="F21" s="16" t="s">
        <v>9</v>
      </c>
      <c r="G21" s="159"/>
      <c r="H21" s="160"/>
      <c r="I21" s="161" t="str">
        <f t="shared" si="0"/>
        <v>-</v>
      </c>
      <c r="J21" s="162" t="str">
        <f>IFERROR(100*(G21-H21)/($G$20-$H$20),"-")</f>
        <v>-</v>
      </c>
      <c r="K21" s="159"/>
      <c r="L21" s="160"/>
      <c r="M21" s="161" t="str">
        <f t="shared" si="3"/>
        <v>-</v>
      </c>
      <c r="N21" s="167"/>
    </row>
    <row r="22" spans="2:14" ht="21.6" customHeight="1" x14ac:dyDescent="0.15">
      <c r="B22" s="26"/>
      <c r="C22" s="22"/>
      <c r="D22" s="23"/>
      <c r="E22" s="24"/>
      <c r="F22" s="16" t="s">
        <v>9</v>
      </c>
      <c r="G22" s="159"/>
      <c r="H22" s="160"/>
      <c r="I22" s="161" t="str">
        <f t="shared" si="0"/>
        <v>-</v>
      </c>
      <c r="J22" s="162" t="str">
        <f t="shared" ref="J22:J31" si="4">IFERROR(100*(G22-H22)/($G$20-$H$20),"-")</f>
        <v>-</v>
      </c>
      <c r="K22" s="159"/>
      <c r="L22" s="160"/>
      <c r="M22" s="161" t="str">
        <f t="shared" si="3"/>
        <v>-</v>
      </c>
      <c r="N22" s="167"/>
    </row>
    <row r="23" spans="2:14" ht="21.6" customHeight="1" x14ac:dyDescent="0.15">
      <c r="B23" s="26"/>
      <c r="C23" s="22"/>
      <c r="D23" s="23"/>
      <c r="E23" s="24"/>
      <c r="F23" s="16" t="s">
        <v>9</v>
      </c>
      <c r="G23" s="159"/>
      <c r="H23" s="160"/>
      <c r="I23" s="161" t="str">
        <f t="shared" si="0"/>
        <v>-</v>
      </c>
      <c r="J23" s="162" t="str">
        <f t="shared" si="4"/>
        <v>-</v>
      </c>
      <c r="K23" s="159"/>
      <c r="L23" s="160"/>
      <c r="M23" s="161" t="str">
        <f t="shared" si="3"/>
        <v>-</v>
      </c>
      <c r="N23" s="167"/>
    </row>
    <row r="24" spans="2:14" ht="21.6" customHeight="1" x14ac:dyDescent="0.15">
      <c r="B24" s="26"/>
      <c r="C24" s="22"/>
      <c r="D24" s="23"/>
      <c r="E24" s="24"/>
      <c r="F24" s="16" t="s">
        <v>9</v>
      </c>
      <c r="G24" s="159"/>
      <c r="H24" s="160"/>
      <c r="I24" s="161" t="str">
        <f t="shared" si="0"/>
        <v>-</v>
      </c>
      <c r="J24" s="162" t="str">
        <f t="shared" si="4"/>
        <v>-</v>
      </c>
      <c r="K24" s="159"/>
      <c r="L24" s="160"/>
      <c r="M24" s="161" t="str">
        <f t="shared" si="3"/>
        <v>-</v>
      </c>
      <c r="N24" s="167"/>
    </row>
    <row r="25" spans="2:14" ht="21.6" customHeight="1" x14ac:dyDescent="0.15">
      <c r="B25" s="26"/>
      <c r="C25" s="22"/>
      <c r="D25" s="23"/>
      <c r="E25" s="24"/>
      <c r="F25" s="16" t="s">
        <v>9</v>
      </c>
      <c r="G25" s="159"/>
      <c r="H25" s="160"/>
      <c r="I25" s="161" t="str">
        <f t="shared" si="0"/>
        <v>-</v>
      </c>
      <c r="J25" s="162" t="str">
        <f t="shared" si="4"/>
        <v>-</v>
      </c>
      <c r="K25" s="159"/>
      <c r="L25" s="160"/>
      <c r="M25" s="161" t="str">
        <f t="shared" si="3"/>
        <v>-</v>
      </c>
      <c r="N25" s="167"/>
    </row>
    <row r="26" spans="2:14" ht="21.6" customHeight="1" x14ac:dyDescent="0.15">
      <c r="B26" s="26"/>
      <c r="C26" s="22"/>
      <c r="D26" s="23"/>
      <c r="E26" s="24"/>
      <c r="F26" s="16" t="s">
        <v>9</v>
      </c>
      <c r="G26" s="159"/>
      <c r="H26" s="160"/>
      <c r="I26" s="161" t="str">
        <f t="shared" si="0"/>
        <v>-</v>
      </c>
      <c r="J26" s="162" t="str">
        <f t="shared" si="4"/>
        <v>-</v>
      </c>
      <c r="K26" s="159"/>
      <c r="L26" s="160"/>
      <c r="M26" s="161" t="str">
        <f t="shared" si="3"/>
        <v>-</v>
      </c>
      <c r="N26" s="167"/>
    </row>
    <row r="27" spans="2:14" ht="21.6" customHeight="1" x14ac:dyDescent="0.15">
      <c r="B27" s="27"/>
      <c r="C27" s="28" t="s">
        <v>14</v>
      </c>
      <c r="D27" s="28"/>
      <c r="E27" s="30"/>
      <c r="F27" s="43" t="s">
        <v>9</v>
      </c>
      <c r="G27" s="159"/>
      <c r="H27" s="160"/>
      <c r="I27" s="161" t="str">
        <f t="shared" si="0"/>
        <v>-</v>
      </c>
      <c r="J27" s="162" t="str">
        <f t="shared" si="4"/>
        <v>-</v>
      </c>
      <c r="K27" s="159"/>
      <c r="L27" s="160"/>
      <c r="M27" s="161" t="str">
        <f t="shared" si="3"/>
        <v>-</v>
      </c>
      <c r="N27" s="167"/>
    </row>
    <row r="28" spans="2:14" ht="21.6" customHeight="1" x14ac:dyDescent="0.15">
      <c r="B28" s="27"/>
      <c r="C28" s="28"/>
      <c r="D28" s="22" t="s">
        <v>13</v>
      </c>
      <c r="E28" s="24"/>
      <c r="F28" s="16" t="s">
        <v>9</v>
      </c>
      <c r="G28" s="179"/>
      <c r="H28" s="180"/>
      <c r="I28" s="181" t="str">
        <f t="shared" si="0"/>
        <v>-</v>
      </c>
      <c r="J28" s="162" t="str">
        <f t="shared" si="4"/>
        <v>-</v>
      </c>
      <c r="K28" s="225"/>
      <c r="L28" s="226"/>
      <c r="M28" s="227"/>
      <c r="N28" s="196"/>
    </row>
    <row r="29" spans="2:14" ht="21.6" customHeight="1" x14ac:dyDescent="0.15">
      <c r="B29" s="32"/>
      <c r="C29" s="40"/>
      <c r="D29" s="240"/>
      <c r="E29" s="241"/>
      <c r="F29" s="16" t="s">
        <v>9</v>
      </c>
      <c r="G29" s="159"/>
      <c r="H29" s="160"/>
      <c r="I29" s="161" t="str">
        <f t="shared" si="0"/>
        <v>-</v>
      </c>
      <c r="J29" s="162" t="str">
        <f t="shared" si="4"/>
        <v>-</v>
      </c>
      <c r="K29" s="228"/>
      <c r="L29" s="229"/>
      <c r="M29" s="230"/>
      <c r="N29" s="194"/>
    </row>
    <row r="30" spans="2:14" ht="21.6" customHeight="1" x14ac:dyDescent="0.15">
      <c r="B30" s="32"/>
      <c r="C30" s="40"/>
      <c r="D30" s="240"/>
      <c r="E30" s="241"/>
      <c r="F30" s="16" t="s">
        <v>9</v>
      </c>
      <c r="G30" s="159"/>
      <c r="H30" s="160"/>
      <c r="I30" s="161" t="str">
        <f t="shared" si="0"/>
        <v>-</v>
      </c>
      <c r="J30" s="162" t="str">
        <f t="shared" si="4"/>
        <v>-</v>
      </c>
      <c r="K30" s="228"/>
      <c r="L30" s="229"/>
      <c r="M30" s="230"/>
      <c r="N30" s="194"/>
    </row>
    <row r="31" spans="2:14" ht="21.6" customHeight="1" thickBot="1" x14ac:dyDescent="0.2">
      <c r="B31" s="41"/>
      <c r="C31" s="42"/>
      <c r="D31" s="240"/>
      <c r="E31" s="241"/>
      <c r="F31" s="16" t="s">
        <v>9</v>
      </c>
      <c r="G31" s="159"/>
      <c r="H31" s="160"/>
      <c r="I31" s="161" t="str">
        <f t="shared" si="0"/>
        <v>-</v>
      </c>
      <c r="J31" s="162" t="str">
        <f t="shared" si="4"/>
        <v>-</v>
      </c>
      <c r="K31" s="237"/>
      <c r="L31" s="238"/>
      <c r="M31" s="239"/>
      <c r="N31" s="194"/>
    </row>
    <row r="32" spans="2:14" ht="25.9" customHeight="1" thickBot="1" x14ac:dyDescent="0.2">
      <c r="B32" s="44" t="s">
        <v>15</v>
      </c>
      <c r="C32" s="45"/>
      <c r="D32" s="45"/>
      <c r="E32" s="46"/>
      <c r="F32" s="9" t="s">
        <v>9</v>
      </c>
      <c r="G32" s="182"/>
      <c r="H32" s="183"/>
      <c r="I32" s="184" t="str">
        <f t="shared" si="0"/>
        <v>-</v>
      </c>
      <c r="J32" s="204"/>
      <c r="K32" s="175"/>
      <c r="L32" s="176"/>
      <c r="M32" s="177" t="str">
        <f>IFERROR(100*(K32-L32)/L32,"-")</f>
        <v>-</v>
      </c>
      <c r="N32" s="197"/>
    </row>
    <row r="33" spans="2:14" ht="25.9" customHeight="1" x14ac:dyDescent="0.15">
      <c r="B33" s="113" t="s">
        <v>11</v>
      </c>
      <c r="C33" s="114"/>
      <c r="D33" s="114"/>
      <c r="E33" s="19"/>
      <c r="F33" s="20" t="s">
        <v>9</v>
      </c>
      <c r="G33" s="159"/>
      <c r="H33" s="160"/>
      <c r="I33" s="161" t="str">
        <f t="shared" si="0"/>
        <v>-</v>
      </c>
      <c r="J33" s="205"/>
      <c r="K33" s="245"/>
      <c r="L33" s="246"/>
      <c r="M33" s="247"/>
      <c r="N33" s="167"/>
    </row>
    <row r="34" spans="2:14" ht="28.15" customHeight="1" x14ac:dyDescent="0.15">
      <c r="B34" s="26" t="s">
        <v>16</v>
      </c>
      <c r="C34" s="22"/>
      <c r="D34" s="22"/>
      <c r="E34" s="24"/>
      <c r="F34" s="16" t="s">
        <v>9</v>
      </c>
      <c r="G34" s="159"/>
      <c r="H34" s="160"/>
      <c r="I34" s="161" t="str">
        <f t="shared" si="0"/>
        <v>-</v>
      </c>
      <c r="J34" s="205"/>
      <c r="K34" s="228"/>
      <c r="L34" s="229"/>
      <c r="M34" s="230"/>
      <c r="N34" s="167"/>
    </row>
    <row r="35" spans="2:14" ht="26.45" customHeight="1" thickBot="1" x14ac:dyDescent="0.2">
      <c r="B35" s="34" t="s">
        <v>17</v>
      </c>
      <c r="C35" s="35"/>
      <c r="D35" s="35"/>
      <c r="E35" s="36"/>
      <c r="F35" s="76" t="s">
        <v>9</v>
      </c>
      <c r="G35" s="163"/>
      <c r="H35" s="164"/>
      <c r="I35" s="165" t="str">
        <f t="shared" si="0"/>
        <v>-</v>
      </c>
      <c r="J35" s="206"/>
      <c r="K35" s="237"/>
      <c r="L35" s="238"/>
      <c r="M35" s="239"/>
      <c r="N35" s="170"/>
    </row>
    <row r="36" spans="2:14" ht="12.75" customHeight="1" x14ac:dyDescent="0.15">
      <c r="B36" s="47" t="s">
        <v>18</v>
      </c>
      <c r="C36" s="48"/>
      <c r="D36" s="49"/>
      <c r="E36" s="50"/>
      <c r="F36" s="51"/>
      <c r="G36" s="185"/>
      <c r="H36" s="186"/>
      <c r="I36" s="186"/>
      <c r="J36" s="263"/>
      <c r="K36" s="188"/>
      <c r="L36" s="186"/>
      <c r="M36" s="187"/>
      <c r="N36" s="198"/>
    </row>
    <row r="37" spans="2:14" ht="22.15" customHeight="1" thickBot="1" x14ac:dyDescent="0.2">
      <c r="B37" s="52" t="s">
        <v>19</v>
      </c>
      <c r="C37" s="53"/>
      <c r="D37" s="54"/>
      <c r="E37" s="55"/>
      <c r="F37" s="56" t="s">
        <v>70</v>
      </c>
      <c r="G37" s="189"/>
      <c r="H37" s="190"/>
      <c r="I37" s="191" t="str">
        <f>IFERROR(100*(G37-H37)/H37,"-")</f>
        <v>-</v>
      </c>
      <c r="J37" s="264"/>
      <c r="K37" s="189"/>
      <c r="L37" s="190"/>
      <c r="M37" s="192" t="str">
        <f>IFERROR(100*(K37-L37)/L37,"-")</f>
        <v>-</v>
      </c>
      <c r="N37" s="199"/>
    </row>
    <row r="38" spans="2:14" ht="6" customHeight="1" x14ac:dyDescent="0.15">
      <c r="B38" s="57"/>
      <c r="C38" s="58"/>
      <c r="D38" s="57"/>
      <c r="E38" s="59"/>
      <c r="F38" s="60"/>
      <c r="G38" s="79"/>
      <c r="H38" s="79"/>
      <c r="I38" s="79"/>
      <c r="J38" s="79"/>
      <c r="K38" s="79"/>
      <c r="L38" s="79"/>
      <c r="M38" s="79"/>
      <c r="N38" s="40"/>
    </row>
    <row r="39" spans="2:14" ht="28.5" customHeight="1" thickBot="1" x14ac:dyDescent="0.2">
      <c r="B39" s="61"/>
      <c r="C39" s="62"/>
      <c r="D39" s="61"/>
      <c r="E39" s="63"/>
      <c r="F39" s="64"/>
      <c r="G39" s="80"/>
      <c r="H39" s="80"/>
      <c r="I39" s="80"/>
      <c r="J39" s="80"/>
      <c r="K39" s="80"/>
      <c r="L39" s="80"/>
      <c r="M39" s="81" t="s">
        <v>21</v>
      </c>
      <c r="N39" s="82"/>
    </row>
    <row r="40" spans="2:14" ht="34.5" customHeight="1" thickTop="1" x14ac:dyDescent="0.15">
      <c r="B40" s="248" t="s">
        <v>83</v>
      </c>
      <c r="C40" s="214"/>
      <c r="D40" s="214"/>
      <c r="E40" s="215"/>
      <c r="F40" s="250" t="s">
        <v>1</v>
      </c>
      <c r="G40" s="303">
        <f>G6</f>
        <v>0</v>
      </c>
      <c r="H40" s="65">
        <f>H6</f>
        <v>-1</v>
      </c>
      <c r="I40" s="252" t="s">
        <v>2</v>
      </c>
      <c r="J40" s="254" t="s">
        <v>4</v>
      </c>
      <c r="K40" s="255"/>
      <c r="L40" s="255"/>
      <c r="M40" s="256"/>
      <c r="N40" s="66"/>
    </row>
    <row r="41" spans="2:14" ht="24" customHeight="1" thickBot="1" x14ac:dyDescent="0.2">
      <c r="B41" s="249"/>
      <c r="C41" s="217"/>
      <c r="D41" s="217"/>
      <c r="E41" s="218"/>
      <c r="F41" s="251"/>
      <c r="G41" s="145" t="s">
        <v>5</v>
      </c>
      <c r="H41" s="146" t="s">
        <v>6</v>
      </c>
      <c r="I41" s="253"/>
      <c r="J41" s="257"/>
      <c r="K41" s="258"/>
      <c r="L41" s="258"/>
      <c r="M41" s="259"/>
      <c r="N41" s="66"/>
    </row>
    <row r="42" spans="2:14" ht="27" customHeight="1" thickTop="1" x14ac:dyDescent="0.15">
      <c r="B42" s="37" t="s">
        <v>22</v>
      </c>
      <c r="C42" s="67"/>
      <c r="D42" s="68"/>
      <c r="E42" s="69"/>
      <c r="F42" s="33"/>
      <c r="G42" s="200"/>
      <c r="H42" s="200"/>
      <c r="I42" s="161"/>
      <c r="J42" s="265"/>
      <c r="K42" s="266"/>
      <c r="L42" s="266"/>
      <c r="M42" s="267"/>
      <c r="N42" s="40"/>
    </row>
    <row r="43" spans="2:14" ht="27" customHeight="1" x14ac:dyDescent="0.15">
      <c r="B43" s="26" t="s">
        <v>23</v>
      </c>
      <c r="C43" s="70"/>
      <c r="D43" s="71"/>
      <c r="E43" s="72"/>
      <c r="F43" s="16" t="s">
        <v>24</v>
      </c>
      <c r="G43" s="201"/>
      <c r="H43" s="201"/>
      <c r="I43" s="161" t="str">
        <f>IFERROR(100*(G43-H43)/H43,"-")</f>
        <v>-</v>
      </c>
      <c r="J43" s="242"/>
      <c r="K43" s="243"/>
      <c r="L43" s="243"/>
      <c r="M43" s="244"/>
      <c r="N43" s="40"/>
    </row>
    <row r="44" spans="2:14" ht="27" customHeight="1" x14ac:dyDescent="0.15">
      <c r="B44" s="26" t="s">
        <v>59</v>
      </c>
      <c r="C44" s="70"/>
      <c r="D44" s="71"/>
      <c r="E44" s="72"/>
      <c r="F44" s="16" t="s">
        <v>24</v>
      </c>
      <c r="G44" s="201"/>
      <c r="H44" s="201"/>
      <c r="I44" s="161" t="str">
        <f t="shared" ref="I44:I58" si="5">IFERROR(100*(G44-H44)/H44,"-")</f>
        <v>-</v>
      </c>
      <c r="J44" s="268"/>
      <c r="K44" s="269"/>
      <c r="L44" s="269"/>
      <c r="M44" s="270"/>
      <c r="N44" s="40"/>
    </row>
    <row r="45" spans="2:14" ht="27" customHeight="1" x14ac:dyDescent="0.15">
      <c r="B45" s="26"/>
      <c r="C45" s="22" t="s">
        <v>37</v>
      </c>
      <c r="D45" s="71"/>
      <c r="E45" s="72"/>
      <c r="F45" s="88" t="s">
        <v>38</v>
      </c>
      <c r="G45" s="201"/>
      <c r="H45" s="201"/>
      <c r="I45" s="161" t="str">
        <f t="shared" si="5"/>
        <v>-</v>
      </c>
      <c r="J45" s="242"/>
      <c r="K45" s="243"/>
      <c r="L45" s="243"/>
      <c r="M45" s="244"/>
      <c r="N45" s="40"/>
    </row>
    <row r="46" spans="2:14" ht="27" customHeight="1" x14ac:dyDescent="0.15">
      <c r="B46" s="26" t="s">
        <v>60</v>
      </c>
      <c r="C46" s="70"/>
      <c r="D46" s="71"/>
      <c r="E46" s="72"/>
      <c r="F46" s="16" t="s">
        <v>25</v>
      </c>
      <c r="G46" s="201"/>
      <c r="H46" s="201"/>
      <c r="I46" s="161" t="str">
        <f t="shared" si="5"/>
        <v>-</v>
      </c>
      <c r="J46" s="242"/>
      <c r="K46" s="243"/>
      <c r="L46" s="243"/>
      <c r="M46" s="244"/>
      <c r="N46" s="40"/>
    </row>
    <row r="47" spans="2:14" ht="27" customHeight="1" x14ac:dyDescent="0.15">
      <c r="B47" s="26" t="s">
        <v>61</v>
      </c>
      <c r="C47" s="22"/>
      <c r="D47" s="71"/>
      <c r="E47" s="72"/>
      <c r="F47" s="16" t="s">
        <v>25</v>
      </c>
      <c r="G47" s="201"/>
      <c r="H47" s="201"/>
      <c r="I47" s="161" t="str">
        <f t="shared" si="5"/>
        <v>-</v>
      </c>
      <c r="J47" s="242"/>
      <c r="K47" s="243"/>
      <c r="L47" s="243"/>
      <c r="M47" s="244"/>
      <c r="N47" s="40"/>
    </row>
    <row r="48" spans="2:14" ht="27" customHeight="1" x14ac:dyDescent="0.15">
      <c r="B48" s="26" t="s">
        <v>26</v>
      </c>
      <c r="C48" s="70"/>
      <c r="D48" s="71"/>
      <c r="E48" s="72"/>
      <c r="F48" s="16" t="s">
        <v>88</v>
      </c>
      <c r="G48" s="201"/>
      <c r="H48" s="201"/>
      <c r="I48" s="161" t="str">
        <f t="shared" si="5"/>
        <v>-</v>
      </c>
      <c r="J48" s="242"/>
      <c r="K48" s="243"/>
      <c r="L48" s="243"/>
      <c r="M48" s="244"/>
      <c r="N48" s="40"/>
    </row>
    <row r="49" spans="2:14" ht="27" customHeight="1" x14ac:dyDescent="0.15">
      <c r="B49" s="26" t="s">
        <v>28</v>
      </c>
      <c r="C49" s="70"/>
      <c r="D49" s="71"/>
      <c r="E49" s="72"/>
      <c r="F49" s="16" t="s">
        <v>27</v>
      </c>
      <c r="G49" s="201"/>
      <c r="H49" s="201"/>
      <c r="I49" s="161" t="str">
        <f t="shared" si="5"/>
        <v>-</v>
      </c>
      <c r="J49" s="242"/>
      <c r="K49" s="243"/>
      <c r="L49" s="243"/>
      <c r="M49" s="244"/>
      <c r="N49" s="40"/>
    </row>
    <row r="50" spans="2:14" ht="27" customHeight="1" x14ac:dyDescent="0.15">
      <c r="B50" s="26"/>
      <c r="C50" s="22"/>
      <c r="D50" s="73"/>
      <c r="E50" s="72"/>
      <c r="F50" s="16"/>
      <c r="G50" s="201"/>
      <c r="H50" s="201"/>
      <c r="I50" s="161" t="str">
        <f t="shared" si="5"/>
        <v>-</v>
      </c>
      <c r="J50" s="242"/>
      <c r="K50" s="243"/>
      <c r="L50" s="243"/>
      <c r="M50" s="244"/>
      <c r="N50" s="40"/>
    </row>
    <row r="51" spans="2:14" ht="21.75" customHeight="1" x14ac:dyDescent="0.15">
      <c r="B51" s="26"/>
      <c r="C51" s="22"/>
      <c r="D51" s="71"/>
      <c r="E51" s="72"/>
      <c r="F51" s="16"/>
      <c r="G51" s="201"/>
      <c r="H51" s="201"/>
      <c r="I51" s="161" t="str">
        <f t="shared" si="5"/>
        <v>-</v>
      </c>
      <c r="J51" s="242"/>
      <c r="K51" s="243"/>
      <c r="L51" s="243"/>
      <c r="M51" s="244"/>
      <c r="N51" s="40"/>
    </row>
    <row r="52" spans="2:14" ht="27" customHeight="1" x14ac:dyDescent="0.15">
      <c r="B52" s="26"/>
      <c r="C52" s="22"/>
      <c r="D52" s="71"/>
      <c r="E52" s="72"/>
      <c r="F52" s="16"/>
      <c r="G52" s="201"/>
      <c r="H52" s="201"/>
      <c r="I52" s="161" t="str">
        <f t="shared" si="5"/>
        <v>-</v>
      </c>
      <c r="J52" s="242"/>
      <c r="K52" s="243"/>
      <c r="L52" s="243"/>
      <c r="M52" s="244"/>
      <c r="N52" s="40"/>
    </row>
    <row r="53" spans="2:14" ht="27" customHeight="1" x14ac:dyDescent="0.15">
      <c r="B53" s="26"/>
      <c r="C53" s="22"/>
      <c r="D53" s="73"/>
      <c r="E53" s="72"/>
      <c r="F53" s="16"/>
      <c r="G53" s="201"/>
      <c r="H53" s="201"/>
      <c r="I53" s="161" t="str">
        <f t="shared" si="5"/>
        <v>-</v>
      </c>
      <c r="J53" s="242"/>
      <c r="K53" s="243"/>
      <c r="L53" s="243"/>
      <c r="M53" s="244"/>
      <c r="N53" s="40"/>
    </row>
    <row r="54" spans="2:14" ht="21" customHeight="1" x14ac:dyDescent="0.15">
      <c r="B54" s="26"/>
      <c r="C54" s="22"/>
      <c r="D54" s="71"/>
      <c r="E54" s="72"/>
      <c r="F54" s="16"/>
      <c r="G54" s="201"/>
      <c r="H54" s="201"/>
      <c r="I54" s="161" t="str">
        <f t="shared" si="5"/>
        <v>-</v>
      </c>
      <c r="J54" s="242"/>
      <c r="K54" s="243"/>
      <c r="L54" s="243"/>
      <c r="M54" s="244"/>
      <c r="N54" s="40"/>
    </row>
    <row r="55" spans="2:14" ht="27" customHeight="1" x14ac:dyDescent="0.15">
      <c r="B55" s="26"/>
      <c r="C55" s="22"/>
      <c r="D55" s="71"/>
      <c r="E55" s="72"/>
      <c r="F55" s="16"/>
      <c r="G55" s="201"/>
      <c r="H55" s="201"/>
      <c r="I55" s="161" t="str">
        <f t="shared" si="5"/>
        <v>-</v>
      </c>
      <c r="J55" s="242"/>
      <c r="K55" s="243"/>
      <c r="L55" s="243"/>
      <c r="M55" s="244"/>
      <c r="N55" s="40"/>
    </row>
    <row r="56" spans="2:14" ht="27" customHeight="1" x14ac:dyDescent="0.15">
      <c r="B56" s="26"/>
      <c r="C56" s="22"/>
      <c r="D56" s="73"/>
      <c r="E56" s="72"/>
      <c r="F56" s="16"/>
      <c r="G56" s="201"/>
      <c r="H56" s="201"/>
      <c r="I56" s="161" t="str">
        <f t="shared" si="5"/>
        <v>-</v>
      </c>
      <c r="J56" s="242"/>
      <c r="K56" s="243"/>
      <c r="L56" s="243"/>
      <c r="M56" s="244"/>
      <c r="N56" s="40"/>
    </row>
    <row r="57" spans="2:14" ht="26.25" customHeight="1" x14ac:dyDescent="0.15">
      <c r="B57" s="26"/>
      <c r="C57" s="22"/>
      <c r="D57" s="71"/>
      <c r="E57" s="72"/>
      <c r="F57" s="16"/>
      <c r="G57" s="201"/>
      <c r="H57" s="201"/>
      <c r="I57" s="161" t="str">
        <f t="shared" si="5"/>
        <v>-</v>
      </c>
      <c r="J57" s="242"/>
      <c r="K57" s="243"/>
      <c r="L57" s="243"/>
      <c r="M57" s="244"/>
      <c r="N57" s="40"/>
    </row>
    <row r="58" spans="2:14" ht="26.25" customHeight="1" thickBot="1" x14ac:dyDescent="0.2">
      <c r="B58" s="34"/>
      <c r="C58" s="35"/>
      <c r="D58" s="74"/>
      <c r="E58" s="75"/>
      <c r="F58" s="76"/>
      <c r="G58" s="202"/>
      <c r="H58" s="202"/>
      <c r="I58" s="203" t="str">
        <f t="shared" si="5"/>
        <v>-</v>
      </c>
      <c r="J58" s="260"/>
      <c r="K58" s="261"/>
      <c r="L58" s="261"/>
      <c r="M58" s="262"/>
      <c r="N58" s="40"/>
    </row>
    <row r="59" spans="2:14" ht="9.75" customHeight="1" x14ac:dyDescent="0.15"/>
  </sheetData>
  <mergeCells count="37">
    <mergeCell ref="J57:M57"/>
    <mergeCell ref="J58:M58"/>
    <mergeCell ref="J36:J37"/>
    <mergeCell ref="J52:M52"/>
    <mergeCell ref="J53:M53"/>
    <mergeCell ref="J54:M54"/>
    <mergeCell ref="J55:M55"/>
    <mergeCell ref="J56:M56"/>
    <mergeCell ref="J47:M47"/>
    <mergeCell ref="J48:M48"/>
    <mergeCell ref="J49:M49"/>
    <mergeCell ref="J50:M50"/>
    <mergeCell ref="J51:M51"/>
    <mergeCell ref="J42:M42"/>
    <mergeCell ref="J43:M43"/>
    <mergeCell ref="J44:M44"/>
    <mergeCell ref="J45:M45"/>
    <mergeCell ref="J46:M46"/>
    <mergeCell ref="K33:M35"/>
    <mergeCell ref="B40:E41"/>
    <mergeCell ref="F40:F41"/>
    <mergeCell ref="I40:I41"/>
    <mergeCell ref="J40:M41"/>
    <mergeCell ref="K16:M19"/>
    <mergeCell ref="C17:E17"/>
    <mergeCell ref="C18:E18"/>
    <mergeCell ref="C19:E19"/>
    <mergeCell ref="K28:M31"/>
    <mergeCell ref="D29:E29"/>
    <mergeCell ref="D30:E30"/>
    <mergeCell ref="D31:E31"/>
    <mergeCell ref="N6:N7"/>
    <mergeCell ref="B6:E7"/>
    <mergeCell ref="F6:F7"/>
    <mergeCell ref="I6:I7"/>
    <mergeCell ref="J6:J7"/>
    <mergeCell ref="M6:M7"/>
  </mergeCells>
  <phoneticPr fontId="2"/>
  <printOptions horizontalCentered="1"/>
  <pageMargins left="0.39370078740157483" right="0.39370078740157483" top="0.23622047244094491" bottom="0" header="0.39370078740157483" footer="0.19685039370078741"/>
  <pageSetup paperSize="9" scale="74" fitToHeight="0" orientation="landscape" r:id="rId1"/>
  <headerFooter alignWithMargins="0">
    <oddHeader>&amp;L&amp;12別紙２</oddHeader>
  </headerFooter>
  <rowBreaks count="1" manualBreakCount="1">
    <brk id="37" max="1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workbookViewId="0"/>
  </sheetViews>
  <sheetFormatPr defaultColWidth="9" defaultRowHeight="12" x14ac:dyDescent="0.15"/>
  <cols>
    <col min="1" max="1" width="1.75" style="2" customWidth="1"/>
    <col min="2" max="2" width="2.625" style="2" customWidth="1"/>
    <col min="3" max="3" width="3" style="2" customWidth="1"/>
    <col min="4" max="4" width="2.5" style="2" customWidth="1"/>
    <col min="5" max="5" width="2.625" style="2" customWidth="1"/>
    <col min="6" max="6" width="5.5" style="3" customWidth="1"/>
    <col min="7" max="7" width="16.5" style="3" customWidth="1"/>
    <col min="8" max="8" width="5.625" style="3" customWidth="1"/>
    <col min="9" max="10" width="10.875" style="3" customWidth="1"/>
    <col min="11" max="12" width="10.875" style="77" customWidth="1"/>
    <col min="13" max="15" width="12.625" style="77" customWidth="1"/>
    <col min="16" max="16" width="50.625" style="2" customWidth="1"/>
    <col min="17" max="17" width="12.5" style="2" bestFit="1" customWidth="1"/>
    <col min="18" max="18" width="3.875" style="2" customWidth="1"/>
    <col min="19" max="20" width="9.625" style="2" customWidth="1"/>
    <col min="21" max="21" width="7.625" style="2" customWidth="1"/>
    <col min="22" max="16384" width="9" style="2"/>
  </cols>
  <sheetData>
    <row r="1" spans="1:16" ht="21" customHeight="1" x14ac:dyDescent="0.2">
      <c r="A1" s="1" t="str">
        <f>I6&amp;"年  　農業経営統計調査"</f>
        <v>0年  　農業経営統計調査</v>
      </c>
      <c r="E1" s="3"/>
      <c r="J1" s="2"/>
      <c r="K1" s="2"/>
      <c r="L1" s="2"/>
      <c r="M1" s="2"/>
      <c r="N1" s="2"/>
      <c r="O1" s="2"/>
      <c r="P1" s="4" t="s">
        <v>71</v>
      </c>
    </row>
    <row r="2" spans="1:16" ht="14.25" customHeight="1" x14ac:dyDescent="0.15">
      <c r="B2" s="5" t="s">
        <v>29</v>
      </c>
      <c r="C2" s="5"/>
      <c r="D2" s="5"/>
      <c r="E2" s="5"/>
      <c r="F2" s="5"/>
      <c r="G2" s="5"/>
      <c r="H2" s="5"/>
      <c r="I2" s="5"/>
      <c r="J2" s="5"/>
      <c r="K2" s="5"/>
      <c r="L2" s="5"/>
      <c r="M2" s="115"/>
      <c r="N2" s="115"/>
      <c r="O2" s="115"/>
      <c r="P2" s="5"/>
    </row>
    <row r="3" spans="1:16" ht="14.25" customHeight="1" x14ac:dyDescent="0.15">
      <c r="B3" s="84"/>
      <c r="C3" s="84"/>
      <c r="K3" s="2"/>
      <c r="L3" s="2"/>
      <c r="M3" s="115"/>
      <c r="N3" s="115"/>
      <c r="O3" s="115"/>
    </row>
    <row r="4" spans="1:16" ht="18.75" customHeight="1" x14ac:dyDescent="0.15">
      <c r="B4" s="116"/>
      <c r="C4" s="116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6"/>
      <c r="O4" s="2"/>
    </row>
    <row r="5" spans="1:16" ht="9.75" customHeight="1" thickBot="1" x14ac:dyDescent="0.2">
      <c r="B5" s="116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6"/>
      <c r="O5" s="2"/>
    </row>
    <row r="6" spans="1:16" ht="21" customHeight="1" thickTop="1" x14ac:dyDescent="0.15">
      <c r="B6" s="213" t="s">
        <v>72</v>
      </c>
      <c r="C6" s="214"/>
      <c r="D6" s="214"/>
      <c r="E6" s="214"/>
      <c r="F6" s="214"/>
      <c r="G6" s="273"/>
      <c r="H6" s="275" t="s">
        <v>1</v>
      </c>
      <c r="I6" s="134">
        <f>指標部!A6</f>
        <v>0</v>
      </c>
      <c r="J6" s="6">
        <f>I6-1</f>
        <v>-1</v>
      </c>
      <c r="K6" s="277" t="s">
        <v>2</v>
      </c>
      <c r="L6" s="271" t="s">
        <v>3</v>
      </c>
      <c r="M6" s="131"/>
      <c r="N6" s="135"/>
      <c r="O6" s="298" t="s">
        <v>2</v>
      </c>
      <c r="P6" s="279" t="s">
        <v>4</v>
      </c>
    </row>
    <row r="7" spans="1:16" ht="21" customHeight="1" thickBot="1" x14ac:dyDescent="0.2">
      <c r="B7" s="216"/>
      <c r="C7" s="217"/>
      <c r="D7" s="217"/>
      <c r="E7" s="217"/>
      <c r="F7" s="217"/>
      <c r="G7" s="274"/>
      <c r="H7" s="276"/>
      <c r="I7" s="10" t="s">
        <v>5</v>
      </c>
      <c r="J7" s="10" t="s">
        <v>6</v>
      </c>
      <c r="K7" s="278"/>
      <c r="L7" s="272"/>
      <c r="M7" s="132" t="s">
        <v>5</v>
      </c>
      <c r="N7" s="133" t="s">
        <v>6</v>
      </c>
      <c r="O7" s="299"/>
      <c r="P7" s="212"/>
    </row>
    <row r="8" spans="1:16" ht="21" customHeight="1" thickTop="1" x14ac:dyDescent="0.15">
      <c r="B8" s="37" t="s">
        <v>30</v>
      </c>
      <c r="C8" s="85"/>
      <c r="D8" s="38"/>
      <c r="E8" s="38"/>
      <c r="F8" s="38"/>
      <c r="G8" s="38"/>
      <c r="H8" s="86"/>
      <c r="I8" s="155"/>
      <c r="J8" s="156"/>
      <c r="K8" s="157"/>
      <c r="L8" s="158"/>
      <c r="M8" s="280"/>
      <c r="N8" s="281"/>
      <c r="O8" s="282"/>
      <c r="P8" s="166"/>
    </row>
    <row r="9" spans="1:16" ht="21" customHeight="1" x14ac:dyDescent="0.15">
      <c r="B9" s="26"/>
      <c r="C9" s="22"/>
      <c r="D9" s="87" t="s">
        <v>31</v>
      </c>
      <c r="E9" s="23"/>
      <c r="F9" s="23"/>
      <c r="G9" s="23"/>
      <c r="H9" s="88" t="s">
        <v>20</v>
      </c>
      <c r="I9" s="159"/>
      <c r="J9" s="160"/>
      <c r="K9" s="161" t="str">
        <f>IFERROR(100*(I9-J9)/J9,"-")</f>
        <v>-</v>
      </c>
      <c r="L9" s="207">
        <v>100</v>
      </c>
      <c r="M9" s="159"/>
      <c r="N9" s="160"/>
      <c r="O9" s="161" t="str">
        <f>IFERROR(100*(M9-N9)/N9,"-")</f>
        <v>-</v>
      </c>
      <c r="P9" s="167"/>
    </row>
    <row r="10" spans="1:16" ht="21" customHeight="1" x14ac:dyDescent="0.15">
      <c r="B10" s="26"/>
      <c r="C10" s="22"/>
      <c r="D10" s="22"/>
      <c r="E10" s="118" t="s">
        <v>73</v>
      </c>
      <c r="F10" s="119"/>
      <c r="G10" s="23"/>
      <c r="H10" s="88" t="s">
        <v>9</v>
      </c>
      <c r="I10" s="159"/>
      <c r="J10" s="160"/>
      <c r="K10" s="161" t="str">
        <f t="shared" ref="K10:K22" si="0">IFERROR(100*(I10-J10)/J10,"-")</f>
        <v>-</v>
      </c>
      <c r="L10" s="207" t="str">
        <f>IFERROR(100*(I10-J10)/($I$9-$J$9),"-")</f>
        <v>-</v>
      </c>
      <c r="M10" s="159"/>
      <c r="N10" s="160"/>
      <c r="O10" s="161" t="str">
        <f t="shared" ref="O10:O22" si="1">IFERROR(100*(M10-N10)/N10,"-")</f>
        <v>-</v>
      </c>
      <c r="P10" s="167"/>
    </row>
    <row r="11" spans="1:16" ht="21" customHeight="1" x14ac:dyDescent="0.15">
      <c r="B11" s="26"/>
      <c r="C11" s="22"/>
      <c r="D11" s="22"/>
      <c r="E11" s="118" t="s">
        <v>74</v>
      </c>
      <c r="F11" s="119"/>
      <c r="G11" s="23"/>
      <c r="H11" s="88" t="s">
        <v>9</v>
      </c>
      <c r="I11" s="159"/>
      <c r="J11" s="160"/>
      <c r="K11" s="161" t="str">
        <f t="shared" si="0"/>
        <v>-</v>
      </c>
      <c r="L11" s="207" t="str">
        <f>IFERROR(100*(I11-J11)/($I$9-$J$9),"-")</f>
        <v>-</v>
      </c>
      <c r="M11" s="159"/>
      <c r="N11" s="160"/>
      <c r="O11" s="161" t="str">
        <f t="shared" si="1"/>
        <v>-</v>
      </c>
      <c r="P11" s="167"/>
    </row>
    <row r="12" spans="1:16" ht="21" customHeight="1" x14ac:dyDescent="0.15">
      <c r="B12" s="26"/>
      <c r="C12" s="22"/>
      <c r="D12" s="87" t="s">
        <v>32</v>
      </c>
      <c r="E12" s="119"/>
      <c r="F12" s="119"/>
      <c r="G12" s="23"/>
      <c r="H12" s="88" t="s">
        <v>9</v>
      </c>
      <c r="I12" s="159"/>
      <c r="J12" s="160"/>
      <c r="K12" s="161" t="str">
        <f t="shared" si="0"/>
        <v>-</v>
      </c>
      <c r="L12" s="161">
        <v>100</v>
      </c>
      <c r="M12" s="159"/>
      <c r="N12" s="160"/>
      <c r="O12" s="161" t="str">
        <f t="shared" si="1"/>
        <v>-</v>
      </c>
      <c r="P12" s="167"/>
    </row>
    <row r="13" spans="1:16" ht="21" customHeight="1" x14ac:dyDescent="0.15">
      <c r="B13" s="120"/>
      <c r="C13" s="121"/>
      <c r="D13" s="122"/>
      <c r="E13" s="123" t="s">
        <v>75</v>
      </c>
      <c r="F13" s="124"/>
      <c r="G13" s="125"/>
      <c r="H13" s="126" t="s">
        <v>9</v>
      </c>
      <c r="I13" s="159"/>
      <c r="J13" s="160"/>
      <c r="K13" s="161" t="str">
        <f t="shared" si="0"/>
        <v>-</v>
      </c>
      <c r="L13" s="161" t="str">
        <f>IFERROR(100*(I13-J13)/($I$12-$J$12),"-")</f>
        <v>-</v>
      </c>
      <c r="M13" s="159"/>
      <c r="N13" s="160"/>
      <c r="O13" s="161" t="str">
        <f t="shared" si="1"/>
        <v>-</v>
      </c>
      <c r="P13" s="167"/>
    </row>
    <row r="14" spans="1:16" ht="21" customHeight="1" x14ac:dyDescent="0.15">
      <c r="B14" s="120"/>
      <c r="C14" s="121"/>
      <c r="D14" s="122"/>
      <c r="E14" s="123" t="s">
        <v>76</v>
      </c>
      <c r="F14" s="124"/>
      <c r="G14" s="125"/>
      <c r="H14" s="126" t="s">
        <v>9</v>
      </c>
      <c r="I14" s="159"/>
      <c r="J14" s="160"/>
      <c r="K14" s="161" t="str">
        <f t="shared" si="0"/>
        <v>-</v>
      </c>
      <c r="L14" s="161" t="str">
        <f t="shared" ref="L14:L21" si="2">IFERROR(100*(I14-J14)/($I$12-$J$12),"-")</f>
        <v>-</v>
      </c>
      <c r="M14" s="159"/>
      <c r="N14" s="160"/>
      <c r="O14" s="161" t="str">
        <f t="shared" si="1"/>
        <v>-</v>
      </c>
      <c r="P14" s="167"/>
    </row>
    <row r="15" spans="1:16" ht="21" customHeight="1" x14ac:dyDescent="0.15">
      <c r="B15" s="120"/>
      <c r="C15" s="121"/>
      <c r="D15" s="122"/>
      <c r="E15" s="123" t="s">
        <v>77</v>
      </c>
      <c r="F15" s="124"/>
      <c r="G15" s="125"/>
      <c r="H15" s="126" t="s">
        <v>9</v>
      </c>
      <c r="I15" s="159"/>
      <c r="J15" s="160"/>
      <c r="K15" s="161" t="str">
        <f t="shared" si="0"/>
        <v>-</v>
      </c>
      <c r="L15" s="161" t="str">
        <f t="shared" si="2"/>
        <v>-</v>
      </c>
      <c r="M15" s="159"/>
      <c r="N15" s="160"/>
      <c r="O15" s="161" t="str">
        <f t="shared" si="1"/>
        <v>-</v>
      </c>
      <c r="P15" s="167"/>
    </row>
    <row r="16" spans="1:16" ht="21" customHeight="1" x14ac:dyDescent="0.15">
      <c r="B16" s="120"/>
      <c r="C16" s="121"/>
      <c r="D16" s="122"/>
      <c r="E16" s="123" t="s">
        <v>78</v>
      </c>
      <c r="F16" s="124"/>
      <c r="G16" s="125"/>
      <c r="H16" s="126" t="s">
        <v>9</v>
      </c>
      <c r="I16" s="159"/>
      <c r="J16" s="160"/>
      <c r="K16" s="161" t="str">
        <f t="shared" si="0"/>
        <v>-</v>
      </c>
      <c r="L16" s="161" t="str">
        <f t="shared" si="2"/>
        <v>-</v>
      </c>
      <c r="M16" s="159"/>
      <c r="N16" s="160"/>
      <c r="O16" s="161" t="str">
        <f t="shared" si="1"/>
        <v>-</v>
      </c>
      <c r="P16" s="167"/>
    </row>
    <row r="17" spans="2:16" ht="21" customHeight="1" x14ac:dyDescent="0.15">
      <c r="B17" s="120"/>
      <c r="C17" s="121"/>
      <c r="D17" s="122"/>
      <c r="E17" s="123" t="s">
        <v>79</v>
      </c>
      <c r="F17" s="124"/>
      <c r="G17" s="125"/>
      <c r="H17" s="126" t="s">
        <v>9</v>
      </c>
      <c r="I17" s="159"/>
      <c r="J17" s="160"/>
      <c r="K17" s="161" t="str">
        <f t="shared" si="0"/>
        <v>-</v>
      </c>
      <c r="L17" s="161" t="str">
        <f t="shared" si="2"/>
        <v>-</v>
      </c>
      <c r="M17" s="159"/>
      <c r="N17" s="160"/>
      <c r="O17" s="161" t="str">
        <f t="shared" si="1"/>
        <v>-</v>
      </c>
      <c r="P17" s="167"/>
    </row>
    <row r="18" spans="2:16" ht="21" customHeight="1" x14ac:dyDescent="0.15">
      <c r="B18" s="120"/>
      <c r="C18" s="121"/>
      <c r="D18" s="122"/>
      <c r="E18" s="123" t="s">
        <v>89</v>
      </c>
      <c r="F18" s="124"/>
      <c r="G18" s="125"/>
      <c r="H18" s="126" t="s">
        <v>9</v>
      </c>
      <c r="I18" s="159"/>
      <c r="J18" s="160"/>
      <c r="K18" s="161" t="str">
        <f t="shared" si="0"/>
        <v>-</v>
      </c>
      <c r="L18" s="161" t="str">
        <f t="shared" si="2"/>
        <v>-</v>
      </c>
      <c r="M18" s="159"/>
      <c r="N18" s="160"/>
      <c r="O18" s="161" t="str">
        <f t="shared" si="1"/>
        <v>-</v>
      </c>
      <c r="P18" s="167"/>
    </row>
    <row r="19" spans="2:16" ht="21" customHeight="1" x14ac:dyDescent="0.15">
      <c r="B19" s="120"/>
      <c r="C19" s="121"/>
      <c r="D19" s="122"/>
      <c r="E19" s="123" t="s">
        <v>80</v>
      </c>
      <c r="F19" s="124"/>
      <c r="G19" s="125"/>
      <c r="H19" s="126" t="s">
        <v>9</v>
      </c>
      <c r="I19" s="159"/>
      <c r="J19" s="160"/>
      <c r="K19" s="161" t="str">
        <f t="shared" si="0"/>
        <v>-</v>
      </c>
      <c r="L19" s="161" t="str">
        <f t="shared" si="2"/>
        <v>-</v>
      </c>
      <c r="M19" s="159"/>
      <c r="N19" s="160"/>
      <c r="O19" s="161" t="str">
        <f t="shared" si="1"/>
        <v>-</v>
      </c>
      <c r="P19" s="167"/>
    </row>
    <row r="20" spans="2:16" ht="21" customHeight="1" x14ac:dyDescent="0.15">
      <c r="B20" s="120"/>
      <c r="C20" s="121"/>
      <c r="D20" s="122"/>
      <c r="E20" s="123" t="s">
        <v>81</v>
      </c>
      <c r="F20" s="124"/>
      <c r="G20" s="125"/>
      <c r="H20" s="126" t="s">
        <v>9</v>
      </c>
      <c r="I20" s="159"/>
      <c r="J20" s="160"/>
      <c r="K20" s="161" t="str">
        <f t="shared" si="0"/>
        <v>-</v>
      </c>
      <c r="L20" s="161" t="str">
        <f t="shared" si="2"/>
        <v>-</v>
      </c>
      <c r="M20" s="159"/>
      <c r="N20" s="160"/>
      <c r="O20" s="161" t="str">
        <f t="shared" si="1"/>
        <v>-</v>
      </c>
      <c r="P20" s="167"/>
    </row>
    <row r="21" spans="2:16" ht="21" customHeight="1" x14ac:dyDescent="0.15">
      <c r="B21" s="26"/>
      <c r="C21" s="22"/>
      <c r="D21" s="22"/>
      <c r="E21" s="22" t="s">
        <v>82</v>
      </c>
      <c r="F21" s="23"/>
      <c r="G21" s="23"/>
      <c r="H21" s="88" t="s">
        <v>9</v>
      </c>
      <c r="I21" s="159"/>
      <c r="J21" s="160"/>
      <c r="K21" s="161" t="str">
        <f t="shared" si="0"/>
        <v>-</v>
      </c>
      <c r="L21" s="161" t="str">
        <f t="shared" si="2"/>
        <v>-</v>
      </c>
      <c r="M21" s="159"/>
      <c r="N21" s="160"/>
      <c r="O21" s="161" t="str">
        <f t="shared" si="1"/>
        <v>-</v>
      </c>
      <c r="P21" s="167"/>
    </row>
    <row r="22" spans="2:16" ht="21" customHeight="1" thickBot="1" x14ac:dyDescent="0.2">
      <c r="B22" s="26"/>
      <c r="C22" s="22"/>
      <c r="D22" s="87" t="s">
        <v>33</v>
      </c>
      <c r="E22" s="23"/>
      <c r="F22" s="23"/>
      <c r="G22" s="23"/>
      <c r="H22" s="88" t="s">
        <v>9</v>
      </c>
      <c r="I22" s="159"/>
      <c r="J22" s="160"/>
      <c r="K22" s="161" t="str">
        <f t="shared" si="0"/>
        <v>-</v>
      </c>
      <c r="L22" s="208"/>
      <c r="M22" s="159"/>
      <c r="N22" s="160"/>
      <c r="O22" s="161" t="str">
        <f t="shared" si="1"/>
        <v>-</v>
      </c>
      <c r="P22" s="167"/>
    </row>
    <row r="23" spans="2:16" ht="21" customHeight="1" x14ac:dyDescent="0.15">
      <c r="B23" s="17" t="s">
        <v>34</v>
      </c>
      <c r="C23" s="127"/>
      <c r="D23" s="114"/>
      <c r="E23" s="128"/>
      <c r="F23" s="129"/>
      <c r="G23" s="129"/>
      <c r="H23" s="130"/>
      <c r="I23" s="148"/>
      <c r="J23" s="149"/>
      <c r="K23" s="150"/>
      <c r="L23" s="151"/>
      <c r="M23" s="283"/>
      <c r="N23" s="284"/>
      <c r="O23" s="285"/>
      <c r="P23" s="168"/>
    </row>
    <row r="24" spans="2:16" ht="21" customHeight="1" x14ac:dyDescent="0.15">
      <c r="B24" s="89"/>
      <c r="C24" s="90"/>
      <c r="D24" s="22" t="s">
        <v>35</v>
      </c>
      <c r="E24" s="70"/>
      <c r="F24" s="71"/>
      <c r="G24" s="71"/>
      <c r="H24" s="88" t="s">
        <v>25</v>
      </c>
      <c r="I24" s="159"/>
      <c r="J24" s="160"/>
      <c r="K24" s="161" t="str">
        <f t="shared" ref="K24:K26" si="3">IFERROR(100*(I24-J24)/J24,"-")</f>
        <v>-</v>
      </c>
      <c r="L24" s="209"/>
      <c r="M24" s="159"/>
      <c r="N24" s="160"/>
      <c r="O24" s="161" t="str">
        <f t="shared" ref="O24:O25" si="4">IFERROR(100*(M24-N24)/N24,"-")</f>
        <v>-</v>
      </c>
      <c r="P24" s="167"/>
    </row>
    <row r="25" spans="2:16" ht="21" customHeight="1" x14ac:dyDescent="0.15">
      <c r="B25" s="89"/>
      <c r="C25" s="90"/>
      <c r="D25" s="22" t="s">
        <v>36</v>
      </c>
      <c r="E25" s="70"/>
      <c r="F25" s="71"/>
      <c r="G25" s="71"/>
      <c r="H25" s="88" t="s">
        <v>9</v>
      </c>
      <c r="I25" s="159"/>
      <c r="J25" s="160"/>
      <c r="K25" s="161" t="str">
        <f t="shared" si="3"/>
        <v>-</v>
      </c>
      <c r="L25" s="209"/>
      <c r="M25" s="159"/>
      <c r="N25" s="160"/>
      <c r="O25" s="161" t="str">
        <f t="shared" si="4"/>
        <v>-</v>
      </c>
      <c r="P25" s="167"/>
    </row>
    <row r="26" spans="2:16" ht="21" customHeight="1" x14ac:dyDescent="0.15">
      <c r="B26" s="89"/>
      <c r="C26" s="90"/>
      <c r="D26" s="22"/>
      <c r="E26" s="39" t="s">
        <v>37</v>
      </c>
      <c r="F26" s="71"/>
      <c r="G26" s="71"/>
      <c r="H26" s="88" t="s">
        <v>38</v>
      </c>
      <c r="I26" s="159"/>
      <c r="J26" s="160"/>
      <c r="K26" s="161" t="str">
        <f t="shared" si="3"/>
        <v>-</v>
      </c>
      <c r="L26" s="209"/>
      <c r="M26" s="286"/>
      <c r="N26" s="287"/>
      <c r="O26" s="288"/>
      <c r="P26" s="167"/>
    </row>
    <row r="27" spans="2:16" ht="21" customHeight="1" x14ac:dyDescent="0.15">
      <c r="B27" s="89"/>
      <c r="C27" s="90"/>
      <c r="D27" s="22" t="s">
        <v>39</v>
      </c>
      <c r="E27" s="39"/>
      <c r="F27" s="71"/>
      <c r="G27" s="71"/>
      <c r="H27" s="88"/>
      <c r="I27" s="83"/>
      <c r="J27" s="152"/>
      <c r="K27" s="153"/>
      <c r="L27" s="154"/>
      <c r="M27" s="289"/>
      <c r="N27" s="290"/>
      <c r="O27" s="291"/>
      <c r="P27" s="167"/>
    </row>
    <row r="28" spans="2:16" ht="21" customHeight="1" x14ac:dyDescent="0.15">
      <c r="B28" s="89"/>
      <c r="C28" s="90"/>
      <c r="D28" s="22"/>
      <c r="E28" s="39" t="s">
        <v>87</v>
      </c>
      <c r="F28" s="71"/>
      <c r="G28" s="71"/>
      <c r="H28" s="88" t="s">
        <v>25</v>
      </c>
      <c r="I28" s="159"/>
      <c r="J28" s="160"/>
      <c r="K28" s="161" t="str">
        <f t="shared" ref="K28:K40" si="5">IFERROR(100*(I28-J28)/J28,"-")</f>
        <v>-</v>
      </c>
      <c r="L28" s="209"/>
      <c r="M28" s="159"/>
      <c r="N28" s="160"/>
      <c r="O28" s="161" t="str">
        <f t="shared" ref="O28:O37" si="6">IFERROR(100*(M28-N28)/N28,"-")</f>
        <v>-</v>
      </c>
      <c r="P28" s="167"/>
    </row>
    <row r="29" spans="2:16" ht="21" customHeight="1" x14ac:dyDescent="0.15">
      <c r="B29" s="89"/>
      <c r="C29" s="90"/>
      <c r="D29" s="22"/>
      <c r="E29" s="39" t="s">
        <v>40</v>
      </c>
      <c r="F29" s="71"/>
      <c r="G29" s="71"/>
      <c r="H29" s="88" t="s">
        <v>9</v>
      </c>
      <c r="I29" s="159"/>
      <c r="J29" s="160"/>
      <c r="K29" s="161" t="str">
        <f t="shared" si="5"/>
        <v>-</v>
      </c>
      <c r="L29" s="209"/>
      <c r="M29" s="159"/>
      <c r="N29" s="160"/>
      <c r="O29" s="161" t="str">
        <f t="shared" si="6"/>
        <v>-</v>
      </c>
      <c r="P29" s="167"/>
    </row>
    <row r="30" spans="2:16" ht="21" customHeight="1" x14ac:dyDescent="0.15">
      <c r="B30" s="89"/>
      <c r="C30" s="90"/>
      <c r="D30" s="22"/>
      <c r="E30" s="39" t="s">
        <v>86</v>
      </c>
      <c r="F30" s="71"/>
      <c r="G30" s="71"/>
      <c r="H30" s="88" t="s">
        <v>9</v>
      </c>
      <c r="I30" s="159"/>
      <c r="J30" s="160"/>
      <c r="K30" s="161" t="str">
        <f t="shared" si="5"/>
        <v>-</v>
      </c>
      <c r="L30" s="209"/>
      <c r="M30" s="159"/>
      <c r="N30" s="160"/>
      <c r="O30" s="161" t="str">
        <f t="shared" si="6"/>
        <v>-</v>
      </c>
      <c r="P30" s="167"/>
    </row>
    <row r="31" spans="2:16" ht="21" customHeight="1" x14ac:dyDescent="0.15">
      <c r="B31" s="89"/>
      <c r="C31" s="90"/>
      <c r="D31" s="22"/>
      <c r="E31" s="39" t="s">
        <v>41</v>
      </c>
      <c r="F31" s="71"/>
      <c r="G31" s="71"/>
      <c r="H31" s="88" t="s">
        <v>9</v>
      </c>
      <c r="I31" s="159"/>
      <c r="J31" s="160"/>
      <c r="K31" s="161" t="str">
        <f t="shared" si="5"/>
        <v>-</v>
      </c>
      <c r="L31" s="209"/>
      <c r="M31" s="159"/>
      <c r="N31" s="160"/>
      <c r="O31" s="161" t="str">
        <f t="shared" si="6"/>
        <v>-</v>
      </c>
      <c r="P31" s="167"/>
    </row>
    <row r="32" spans="2:16" ht="21" customHeight="1" x14ac:dyDescent="0.15">
      <c r="B32" s="89"/>
      <c r="C32" s="90"/>
      <c r="D32" s="22"/>
      <c r="E32" s="39" t="s">
        <v>42</v>
      </c>
      <c r="F32" s="71"/>
      <c r="G32" s="71"/>
      <c r="H32" s="88" t="s">
        <v>9</v>
      </c>
      <c r="I32" s="159"/>
      <c r="J32" s="160"/>
      <c r="K32" s="161" t="str">
        <f t="shared" si="5"/>
        <v>-</v>
      </c>
      <c r="L32" s="209"/>
      <c r="M32" s="159"/>
      <c r="N32" s="160"/>
      <c r="O32" s="161" t="str">
        <f t="shared" si="6"/>
        <v>-</v>
      </c>
      <c r="P32" s="167"/>
    </row>
    <row r="33" spans="2:16" ht="21" customHeight="1" x14ac:dyDescent="0.15">
      <c r="B33" s="89"/>
      <c r="C33" s="90"/>
      <c r="D33" s="22"/>
      <c r="E33" s="39" t="s">
        <v>43</v>
      </c>
      <c r="F33" s="71"/>
      <c r="G33" s="71"/>
      <c r="H33" s="88" t="s">
        <v>9</v>
      </c>
      <c r="I33" s="159"/>
      <c r="J33" s="160"/>
      <c r="K33" s="161" t="str">
        <f t="shared" si="5"/>
        <v>-</v>
      </c>
      <c r="L33" s="209"/>
      <c r="M33" s="159"/>
      <c r="N33" s="160"/>
      <c r="O33" s="161" t="str">
        <f t="shared" si="6"/>
        <v>-</v>
      </c>
      <c r="P33" s="167"/>
    </row>
    <row r="34" spans="2:16" ht="21" customHeight="1" x14ac:dyDescent="0.15">
      <c r="B34" s="89"/>
      <c r="C34" s="90"/>
      <c r="D34" s="22"/>
      <c r="E34" s="39" t="s">
        <v>44</v>
      </c>
      <c r="F34" s="71"/>
      <c r="G34" s="71"/>
      <c r="H34" s="88" t="s">
        <v>9</v>
      </c>
      <c r="I34" s="159"/>
      <c r="J34" s="160"/>
      <c r="K34" s="161" t="str">
        <f t="shared" si="5"/>
        <v>-</v>
      </c>
      <c r="L34" s="209"/>
      <c r="M34" s="159"/>
      <c r="N34" s="160"/>
      <c r="O34" s="161" t="str">
        <f t="shared" si="6"/>
        <v>-</v>
      </c>
      <c r="P34" s="167"/>
    </row>
    <row r="35" spans="2:16" ht="21" customHeight="1" x14ac:dyDescent="0.15">
      <c r="B35" s="89"/>
      <c r="C35" s="90"/>
      <c r="D35" s="22"/>
      <c r="E35" s="39" t="s">
        <v>45</v>
      </c>
      <c r="F35" s="71"/>
      <c r="G35" s="71"/>
      <c r="H35" s="88" t="s">
        <v>9</v>
      </c>
      <c r="I35" s="159"/>
      <c r="J35" s="160"/>
      <c r="K35" s="161" t="str">
        <f t="shared" si="5"/>
        <v>-</v>
      </c>
      <c r="L35" s="209"/>
      <c r="M35" s="159"/>
      <c r="N35" s="160"/>
      <c r="O35" s="161" t="str">
        <f t="shared" si="6"/>
        <v>-</v>
      </c>
      <c r="P35" s="167"/>
    </row>
    <row r="36" spans="2:16" ht="21" customHeight="1" x14ac:dyDescent="0.15">
      <c r="B36" s="89"/>
      <c r="C36" s="90"/>
      <c r="D36" s="22"/>
      <c r="E36" s="39" t="s">
        <v>46</v>
      </c>
      <c r="F36" s="71"/>
      <c r="G36" s="71"/>
      <c r="H36" s="88" t="s">
        <v>9</v>
      </c>
      <c r="I36" s="159"/>
      <c r="J36" s="160"/>
      <c r="K36" s="161" t="str">
        <f t="shared" si="5"/>
        <v>-</v>
      </c>
      <c r="L36" s="209"/>
      <c r="M36" s="159"/>
      <c r="N36" s="160"/>
      <c r="O36" s="161" t="str">
        <f t="shared" si="6"/>
        <v>-</v>
      </c>
      <c r="P36" s="167"/>
    </row>
    <row r="37" spans="2:16" ht="21" customHeight="1" x14ac:dyDescent="0.15">
      <c r="B37" s="89"/>
      <c r="C37" s="90"/>
      <c r="D37" s="22"/>
      <c r="E37" s="39" t="s">
        <v>47</v>
      </c>
      <c r="F37" s="71"/>
      <c r="G37" s="71"/>
      <c r="H37" s="88" t="s">
        <v>9</v>
      </c>
      <c r="I37" s="159"/>
      <c r="J37" s="160"/>
      <c r="K37" s="161" t="str">
        <f t="shared" si="5"/>
        <v>-</v>
      </c>
      <c r="L37" s="209"/>
      <c r="M37" s="159"/>
      <c r="N37" s="160"/>
      <c r="O37" s="161" t="str">
        <f t="shared" si="6"/>
        <v>-</v>
      </c>
      <c r="P37" s="167"/>
    </row>
    <row r="38" spans="2:16" ht="21" customHeight="1" x14ac:dyDescent="0.15">
      <c r="B38" s="89"/>
      <c r="C38" s="90"/>
      <c r="D38" s="22" t="s">
        <v>48</v>
      </c>
      <c r="E38" s="70"/>
      <c r="F38" s="71"/>
      <c r="G38" s="71"/>
      <c r="H38" s="88" t="s">
        <v>88</v>
      </c>
      <c r="I38" s="159"/>
      <c r="J38" s="160"/>
      <c r="K38" s="161" t="str">
        <f t="shared" si="5"/>
        <v>-</v>
      </c>
      <c r="L38" s="209"/>
      <c r="M38" s="286"/>
      <c r="N38" s="287"/>
      <c r="O38" s="288"/>
      <c r="P38" s="167"/>
    </row>
    <row r="39" spans="2:16" ht="21" customHeight="1" x14ac:dyDescent="0.15">
      <c r="B39" s="91"/>
      <c r="C39" s="92"/>
      <c r="D39" s="28"/>
      <c r="E39" s="93"/>
      <c r="F39" s="94"/>
      <c r="G39" s="94"/>
      <c r="H39" s="95"/>
      <c r="I39" s="159"/>
      <c r="J39" s="160"/>
      <c r="K39" s="161" t="str">
        <f t="shared" si="5"/>
        <v>-</v>
      </c>
      <c r="L39" s="209"/>
      <c r="M39" s="292"/>
      <c r="N39" s="293"/>
      <c r="O39" s="294"/>
      <c r="P39" s="169"/>
    </row>
    <row r="40" spans="2:16" ht="21" customHeight="1" thickBot="1" x14ac:dyDescent="0.2">
      <c r="B40" s="96"/>
      <c r="C40" s="97"/>
      <c r="D40" s="35"/>
      <c r="E40" s="98"/>
      <c r="F40" s="74"/>
      <c r="G40" s="74"/>
      <c r="H40" s="99" t="s">
        <v>20</v>
      </c>
      <c r="I40" s="163"/>
      <c r="J40" s="164"/>
      <c r="K40" s="165" t="str">
        <f t="shared" si="5"/>
        <v>-</v>
      </c>
      <c r="L40" s="210"/>
      <c r="M40" s="295"/>
      <c r="N40" s="296"/>
      <c r="O40" s="297"/>
      <c r="P40" s="170"/>
    </row>
    <row r="41" spans="2:16" ht="10.5" customHeight="1" x14ac:dyDescent="0.15"/>
  </sheetData>
  <mergeCells count="10">
    <mergeCell ref="M8:O8"/>
    <mergeCell ref="M23:O23"/>
    <mergeCell ref="M26:O27"/>
    <mergeCell ref="M38:O40"/>
    <mergeCell ref="O6:O7"/>
    <mergeCell ref="L6:L7"/>
    <mergeCell ref="B6:G7"/>
    <mergeCell ref="H6:H7"/>
    <mergeCell ref="K6:K7"/>
    <mergeCell ref="P6:P7"/>
  </mergeCells>
  <phoneticPr fontId="2"/>
  <printOptions horizontalCentered="1"/>
  <pageMargins left="0.59055118110236227" right="0.39370078740157483" top="0.23622047244094491" bottom="0" header="0.39370078740157483" footer="0.19685039370078741"/>
  <pageSetup paperSize="9" scale="74" fitToHeight="0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25"/>
  <sheetViews>
    <sheetView workbookViewId="0"/>
  </sheetViews>
  <sheetFormatPr defaultColWidth="9" defaultRowHeight="12" x14ac:dyDescent="0.15"/>
  <cols>
    <col min="1" max="1" width="13.25" style="100" customWidth="1"/>
    <col min="2" max="2" width="12.75" style="100" customWidth="1"/>
    <col min="3" max="3" width="13.375" style="100" customWidth="1"/>
    <col min="4" max="4" width="27.375" style="100" customWidth="1"/>
    <col min="5" max="5" width="11" style="100" customWidth="1"/>
    <col min="6" max="6" width="14.625" style="100" customWidth="1"/>
    <col min="7" max="7" width="12.125" style="100" customWidth="1"/>
    <col min="8" max="8" width="13.125" style="100" customWidth="1"/>
    <col min="9" max="9" width="13.625" style="100" customWidth="1"/>
    <col min="10" max="16384" width="9" style="100"/>
  </cols>
  <sheetData>
    <row r="3" spans="1:9" x14ac:dyDescent="0.15">
      <c r="A3" s="100" t="s">
        <v>49</v>
      </c>
    </row>
    <row r="4" spans="1:9" ht="12.75" thickBot="1" x14ac:dyDescent="0.2"/>
    <row r="5" spans="1:9" ht="36.6" customHeight="1" thickBot="1" x14ac:dyDescent="0.2">
      <c r="A5" s="101"/>
      <c r="B5" s="102" t="s">
        <v>50</v>
      </c>
      <c r="C5" s="78" t="s">
        <v>51</v>
      </c>
      <c r="D5" s="103" t="s">
        <v>52</v>
      </c>
      <c r="E5" s="104" t="s">
        <v>53</v>
      </c>
      <c r="F5" s="105" t="s">
        <v>54</v>
      </c>
      <c r="G5" s="106" t="s">
        <v>55</v>
      </c>
      <c r="H5" s="107" t="s">
        <v>56</v>
      </c>
      <c r="I5" s="106" t="s">
        <v>57</v>
      </c>
    </row>
    <row r="6" spans="1:9" ht="16.899999999999999" customHeight="1" thickBot="1" x14ac:dyDescent="0.2">
      <c r="A6" s="141"/>
      <c r="B6" s="108"/>
      <c r="C6" s="141"/>
      <c r="D6" s="147"/>
      <c r="E6" s="109"/>
      <c r="F6" s="109"/>
      <c r="G6" s="109"/>
      <c r="H6" s="109"/>
      <c r="I6" s="110"/>
    </row>
    <row r="7" spans="1:9" ht="16.899999999999999" customHeight="1" thickBot="1" x14ac:dyDescent="0.2">
      <c r="A7" s="144">
        <f>個別検討表!H6</f>
        <v>-1</v>
      </c>
      <c r="B7" s="300"/>
      <c r="C7" s="301"/>
      <c r="D7" s="302"/>
      <c r="E7" s="102"/>
      <c r="F7" s="142"/>
      <c r="G7" s="78"/>
      <c r="H7" s="143"/>
      <c r="I7" s="143"/>
    </row>
    <row r="11" spans="1:9" x14ac:dyDescent="0.15">
      <c r="A11" s="100" t="s">
        <v>62</v>
      </c>
    </row>
    <row r="13" spans="1:9" x14ac:dyDescent="0.15">
      <c r="A13" s="100" t="s">
        <v>63</v>
      </c>
    </row>
    <row r="15" spans="1:9" x14ac:dyDescent="0.15">
      <c r="A15" s="100" t="s">
        <v>68</v>
      </c>
    </row>
    <row r="17" spans="1:1" x14ac:dyDescent="0.15">
      <c r="A17" s="100" t="s">
        <v>69</v>
      </c>
    </row>
    <row r="19" spans="1:1" x14ac:dyDescent="0.15">
      <c r="A19" s="100" t="s">
        <v>64</v>
      </c>
    </row>
    <row r="21" spans="1:1" x14ac:dyDescent="0.15">
      <c r="A21" s="100" t="s">
        <v>65</v>
      </c>
    </row>
    <row r="23" spans="1:1" x14ac:dyDescent="0.15">
      <c r="A23" s="100" t="s">
        <v>67</v>
      </c>
    </row>
    <row r="25" spans="1:1" x14ac:dyDescent="0.15">
      <c r="A25" s="100" t="s">
        <v>66</v>
      </c>
    </row>
  </sheetData>
  <mergeCells count="1">
    <mergeCell ref="B7:D7"/>
  </mergeCells>
  <phoneticPr fontId="2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E44FD1-3F85-43D3-A3AA-0046C4A111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85C3A8-82F9-448E-AE5A-BE348B3AC967}">
  <ds:schemaRefs>
    <ds:schemaRef ds:uri="http://schemas.openxmlformats.org/package/2006/metadata/core-properties"/>
    <ds:schemaRef ds:uri="1f80570b-921c-4f4d-b36a-d1e87defc2ad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DBBEB12-D109-4FC0-A0D1-77A0F360E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個別検討表</vt:lpstr>
      <vt:lpstr>個別検討表（部門）</vt:lpstr>
      <vt:lpstr>指標部</vt:lpstr>
      <vt:lpstr>個別検討表!Print_Area</vt:lpstr>
      <vt:lpstr>'個別検討表（部門）'!Print_Area</vt:lpstr>
      <vt:lpstr>指標部!Print_Area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経営・構造統計課</dc:creator>
  <cp:lastModifiedBy>kaihatu02</cp:lastModifiedBy>
  <cp:lastPrinted>2019-07-05T06:09:24Z</cp:lastPrinted>
  <dcterms:created xsi:type="dcterms:W3CDTF">2019-04-11T04:19:41Z</dcterms:created>
  <dcterms:modified xsi:type="dcterms:W3CDTF">2021-03-17T10:18:13Z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